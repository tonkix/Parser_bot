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tonk1x - NextCloud\TT data\Прайс-листы\"/>
    </mc:Choice>
  </mc:AlternateContent>
  <xr:revisionPtr revIDLastSave="0" documentId="13_ncr:1_{E000EEC6-1C3E-4D10-983B-13053F2D7655}" xr6:coauthVersionLast="47" xr6:coauthVersionMax="47" xr10:uidLastSave="{00000000-0000-0000-0000-000000000000}"/>
  <bookViews>
    <workbookView xWindow="28680" yWindow="-120" windowWidth="29040" windowHeight="15990" activeTab="6" xr2:uid="{00000000-000D-0000-FFFF-FFFF00000000}"/>
  </bookViews>
  <sheets>
    <sheet name="Кат" sheetId="2" r:id="rId1"/>
    <sheet name="Торг" sheetId="3" r:id="rId2"/>
    <sheet name="Прайс-лист" sheetId="6" r:id="rId3"/>
    <sheet name="Наценка" sheetId="4" r:id="rId4"/>
    <sheet name="Выгр Кат" sheetId="1" r:id="rId5"/>
    <sheet name="Выгр Торг" sheetId="5" r:id="rId6"/>
    <sheet name="Ссылки" sheetId="7" r:id="rId7"/>
    <sheet name="Из Гугла" sheetId="8" r:id="rId8"/>
  </sheets>
  <definedNames>
    <definedName name="_xlnm._FilterDatabase" localSheetId="4" hidden="1">'Выгр Кат'!$A$1:$Q$19</definedName>
    <definedName name="_xlnm._FilterDatabase" localSheetId="5" hidden="1">'Выгр Торг'!$A$1:$R$1</definedName>
    <definedName name="_xlnm._FilterDatabase" localSheetId="0" hidden="1">Кат!$A$2:$AU$20</definedName>
    <definedName name="_xlnm._FilterDatabase" localSheetId="1" hidden="1">Торг!$A$2:$AU$2</definedName>
    <definedName name="ExternalData_1" localSheetId="7" hidden="1">'Из Гугла'!$A$1:$X$23</definedName>
    <definedName name="_xlnm.Print_Area" localSheetId="2">'Прайс-лист'!$B$1:$F$36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7" l="1" a="1"/>
  <c r="H22" i="7" s="1"/>
  <c r="F22" i="7" a="1"/>
  <c r="F22" i="7" s="1"/>
  <c r="D22" i="7" a="1"/>
  <c r="D22" i="7" s="1"/>
  <c r="B22" i="7" a="1"/>
  <c r="B22" i="7" s="1"/>
  <c r="H1" i="7" a="1"/>
  <c r="H1" i="7" s="1"/>
  <c r="F1" i="7" a="1"/>
  <c r="F1" i="7" s="1"/>
  <c r="D1" i="7" a="1"/>
  <c r="D1" i="7" s="1"/>
  <c r="B1" i="7" a="1"/>
  <c r="B1" i="7" s="1"/>
  <c r="A22" i="7" a="1"/>
  <c r="A22" i="7" s="1"/>
  <c r="A1" i="7" a="1"/>
  <c r="A1" i="7" s="1"/>
  <c r="AA4" i="2" l="1"/>
  <c r="J6" i="2"/>
  <c r="J32" i="2"/>
  <c r="J31" i="2"/>
  <c r="J30" i="2"/>
  <c r="J29" i="2"/>
  <c r="J28" i="2"/>
  <c r="J27" i="2"/>
  <c r="J26" i="2"/>
  <c r="J25" i="2"/>
  <c r="M6" i="2"/>
  <c r="N6" i="2" s="1"/>
  <c r="AA20" i="2"/>
  <c r="J20" i="2" s="1"/>
  <c r="AA18" i="2"/>
  <c r="J18" i="2" s="1"/>
  <c r="AA15" i="2"/>
  <c r="J15" i="2" s="1"/>
  <c r="AA8" i="2"/>
  <c r="J8" i="2" s="1"/>
  <c r="AA9" i="2"/>
  <c r="J9" i="2" s="1"/>
  <c r="AA19" i="2"/>
  <c r="J19" i="2" s="1"/>
  <c r="AA16" i="2"/>
  <c r="J16" i="2" s="1"/>
  <c r="AA17" i="2"/>
  <c r="AA11" i="2"/>
  <c r="J11" i="2" s="1"/>
  <c r="M11" i="2" s="1"/>
  <c r="N11" i="2" s="1"/>
  <c r="AA7" i="2"/>
  <c r="Z7" i="2" s="1"/>
  <c r="AA6" i="2"/>
  <c r="Z6" i="2" s="1"/>
  <c r="AA5" i="2"/>
  <c r="J5" i="2" s="1"/>
  <c r="M5" i="2" s="1"/>
  <c r="N5" i="2" s="1"/>
  <c r="AA3" i="2"/>
  <c r="J3" i="2" s="1"/>
  <c r="AA1" i="2"/>
  <c r="B13" i="2"/>
  <c r="C13" i="2"/>
  <c r="D13" i="2"/>
  <c r="H13" i="2"/>
  <c r="I13" i="2" s="1"/>
  <c r="S13" i="2"/>
  <c r="T13" i="2"/>
  <c r="AB13" i="2"/>
  <c r="AG13" i="2"/>
  <c r="AL13" i="2"/>
  <c r="AQ13" i="2"/>
  <c r="B14" i="2"/>
  <c r="C14" i="2"/>
  <c r="D14" i="2"/>
  <c r="H14" i="2"/>
  <c r="S14" i="2"/>
  <c r="T14" i="2"/>
  <c r="AB14" i="2"/>
  <c r="AG14" i="2"/>
  <c r="AL14" i="2"/>
  <c r="AQ14" i="2"/>
  <c r="B15" i="2"/>
  <c r="C15" i="2"/>
  <c r="D15" i="2"/>
  <c r="H15" i="2"/>
  <c r="I15" i="2" s="1"/>
  <c r="S15" i="2"/>
  <c r="T15" i="2"/>
  <c r="AB15" i="2"/>
  <c r="AG15" i="2"/>
  <c r="AL15" i="2"/>
  <c r="AQ15" i="2"/>
  <c r="B16" i="2"/>
  <c r="C16" i="2"/>
  <c r="D16" i="2"/>
  <c r="H16" i="2"/>
  <c r="I16" i="2" s="1"/>
  <c r="S16" i="2"/>
  <c r="T16" i="2"/>
  <c r="AB16" i="2"/>
  <c r="AG16" i="2"/>
  <c r="AL16" i="2"/>
  <c r="AQ16" i="2"/>
  <c r="B17" i="2"/>
  <c r="C17" i="2"/>
  <c r="D17" i="2"/>
  <c r="H17" i="2"/>
  <c r="J17" i="2" s="1"/>
  <c r="K17" i="2" s="1"/>
  <c r="S17" i="2"/>
  <c r="T17" i="2"/>
  <c r="AB17" i="2"/>
  <c r="AG17" i="2"/>
  <c r="AL17" i="2"/>
  <c r="AQ17" i="2"/>
  <c r="B18" i="2"/>
  <c r="C18" i="2"/>
  <c r="D18" i="2"/>
  <c r="H18" i="2"/>
  <c r="I18" i="2" s="1"/>
  <c r="S18" i="2"/>
  <c r="T18" i="2"/>
  <c r="AB18" i="2"/>
  <c r="AG18" i="2"/>
  <c r="AL18" i="2"/>
  <c r="AQ18" i="2"/>
  <c r="B19" i="2"/>
  <c r="C19" i="2"/>
  <c r="D19" i="2"/>
  <c r="S19" i="2"/>
  <c r="H19" i="2" s="1"/>
  <c r="I19" i="2" s="1"/>
  <c r="T19" i="2"/>
  <c r="AB19" i="2"/>
  <c r="AG19" i="2"/>
  <c r="AL19" i="2"/>
  <c r="AQ19" i="2"/>
  <c r="B20" i="2"/>
  <c r="C20" i="2"/>
  <c r="D20" i="2"/>
  <c r="S20" i="2"/>
  <c r="H20" i="2" s="1"/>
  <c r="T20" i="2"/>
  <c r="AB20" i="2"/>
  <c r="AG20" i="2"/>
  <c r="AL20" i="2"/>
  <c r="AQ20" i="2"/>
  <c r="Q19" i="1"/>
  <c r="P19" i="1"/>
  <c r="Q18" i="1"/>
  <c r="P18" i="1"/>
  <c r="Q17" i="1"/>
  <c r="P17" i="1"/>
  <c r="E20" i="2" s="1"/>
  <c r="Q16" i="1"/>
  <c r="P16" i="1"/>
  <c r="E19" i="2" s="1"/>
  <c r="Q15" i="1"/>
  <c r="P15" i="1"/>
  <c r="E18" i="2" s="1"/>
  <c r="Q14" i="1"/>
  <c r="P14" i="1"/>
  <c r="E17" i="2" s="1"/>
  <c r="Q13" i="1"/>
  <c r="P13" i="1"/>
  <c r="E10" i="2" s="1"/>
  <c r="Q12" i="1"/>
  <c r="P12" i="1"/>
  <c r="E9" i="2" s="1"/>
  <c r="AG4" i="3"/>
  <c r="AL4" i="3"/>
  <c r="AQ4" i="3"/>
  <c r="AG5" i="3"/>
  <c r="AL5" i="3"/>
  <c r="AQ5" i="3"/>
  <c r="AG6" i="3"/>
  <c r="AL6" i="3"/>
  <c r="AQ6" i="3"/>
  <c r="AG7" i="3"/>
  <c r="AL7" i="3"/>
  <c r="AQ7" i="3"/>
  <c r="AG8" i="3"/>
  <c r="AL8" i="3"/>
  <c r="AQ8" i="3"/>
  <c r="AG9" i="3"/>
  <c r="AL9" i="3"/>
  <c r="AQ9" i="3"/>
  <c r="AG10" i="3"/>
  <c r="AL10" i="3"/>
  <c r="AQ10" i="3"/>
  <c r="AQ3" i="3"/>
  <c r="AS1" i="3"/>
  <c r="AL3" i="3"/>
  <c r="AN1" i="3"/>
  <c r="AG3" i="3"/>
  <c r="AI1" i="3"/>
  <c r="W4" i="3"/>
  <c r="X4" i="3" s="1"/>
  <c r="Z4" i="3"/>
  <c r="AB4" i="3"/>
  <c r="W5" i="3"/>
  <c r="X5" i="3" s="1"/>
  <c r="Z5" i="3"/>
  <c r="AB5" i="3"/>
  <c r="W6" i="3"/>
  <c r="Y6" i="3" s="1"/>
  <c r="Z6" i="3"/>
  <c r="AB6" i="3"/>
  <c r="W7" i="3"/>
  <c r="X7" i="3"/>
  <c r="Y7" i="3"/>
  <c r="Z7" i="3"/>
  <c r="AB7" i="3"/>
  <c r="W8" i="3"/>
  <c r="X8" i="3"/>
  <c r="Y8" i="3"/>
  <c r="Z8" i="3"/>
  <c r="AB8" i="3"/>
  <c r="W9" i="3"/>
  <c r="X9" i="3"/>
  <c r="Y9" i="3"/>
  <c r="Z9" i="3"/>
  <c r="AB9" i="3"/>
  <c r="W10" i="3"/>
  <c r="X10" i="3"/>
  <c r="Y10" i="3"/>
  <c r="Z10" i="3"/>
  <c r="AB10" i="3"/>
  <c r="AB3" i="3"/>
  <c r="Z3" i="3"/>
  <c r="AD1" i="3"/>
  <c r="AG4" i="2"/>
  <c r="AL4" i="2"/>
  <c r="AQ4" i="2"/>
  <c r="AG5" i="2"/>
  <c r="AL5" i="2"/>
  <c r="AQ5" i="2"/>
  <c r="AG6" i="2"/>
  <c r="AL6" i="2"/>
  <c r="AQ6" i="2"/>
  <c r="AG7" i="2"/>
  <c r="AL7" i="2"/>
  <c r="AQ7" i="2"/>
  <c r="AG8" i="2"/>
  <c r="AL8" i="2"/>
  <c r="AQ8" i="2"/>
  <c r="AG12" i="2"/>
  <c r="AL12" i="2"/>
  <c r="AQ12" i="2"/>
  <c r="AG9" i="2"/>
  <c r="AL9" i="2"/>
  <c r="AQ9" i="2"/>
  <c r="AG10" i="2"/>
  <c r="AL10" i="2"/>
  <c r="AQ10" i="2"/>
  <c r="AG11" i="2"/>
  <c r="AL11" i="2"/>
  <c r="AQ11" i="2"/>
  <c r="AQ3" i="2"/>
  <c r="AS1" i="2"/>
  <c r="AL3" i="2"/>
  <c r="AN1" i="2"/>
  <c r="AG3" i="2"/>
  <c r="AI1" i="2"/>
  <c r="AB4" i="2"/>
  <c r="AB5" i="2"/>
  <c r="AB6" i="2"/>
  <c r="AB7" i="2"/>
  <c r="AB8" i="2"/>
  <c r="AB12" i="2"/>
  <c r="AB9" i="2"/>
  <c r="AB10" i="2"/>
  <c r="AB11" i="2"/>
  <c r="AB3" i="2"/>
  <c r="Z12" i="2"/>
  <c r="Z10" i="2"/>
  <c r="AD1" i="2"/>
  <c r="B9" i="2"/>
  <c r="C9" i="2"/>
  <c r="D9" i="2"/>
  <c r="S9" i="2"/>
  <c r="H9" i="2" s="1"/>
  <c r="Z9" i="2" s="1"/>
  <c r="T9" i="2"/>
  <c r="B10" i="2"/>
  <c r="C10" i="2"/>
  <c r="D10" i="2"/>
  <c r="H10" i="2"/>
  <c r="I10" i="2" s="1"/>
  <c r="S10" i="2"/>
  <c r="T10" i="2"/>
  <c r="Q11" i="1"/>
  <c r="P11" i="1"/>
  <c r="Q10" i="1"/>
  <c r="P10" i="1"/>
  <c r="S4" i="3"/>
  <c r="H4" i="3" s="1"/>
  <c r="T4" i="3"/>
  <c r="S5" i="3"/>
  <c r="T5" i="3"/>
  <c r="S6" i="3"/>
  <c r="T6" i="3"/>
  <c r="S7" i="3"/>
  <c r="T7" i="3"/>
  <c r="S8" i="3"/>
  <c r="T8" i="3"/>
  <c r="S9" i="3"/>
  <c r="T9" i="3"/>
  <c r="S10" i="3"/>
  <c r="T10" i="3"/>
  <c r="T3" i="3"/>
  <c r="S3" i="3"/>
  <c r="H3" i="3" s="1"/>
  <c r="S3" i="2"/>
  <c r="T3" i="2"/>
  <c r="S4" i="2"/>
  <c r="T4" i="2"/>
  <c r="S5" i="2"/>
  <c r="H5" i="2" s="1"/>
  <c r="T5" i="2"/>
  <c r="S6" i="2"/>
  <c r="T6" i="2"/>
  <c r="S7" i="2"/>
  <c r="T7" i="2"/>
  <c r="S8" i="2"/>
  <c r="T8" i="2"/>
  <c r="S12" i="2"/>
  <c r="T12" i="2"/>
  <c r="S11" i="2"/>
  <c r="T11" i="2"/>
  <c r="J4" i="3"/>
  <c r="M4" i="3" s="1"/>
  <c r="N4" i="3" s="1"/>
  <c r="J9" i="3"/>
  <c r="M9" i="3" s="1"/>
  <c r="N9" i="3" s="1"/>
  <c r="J8" i="3"/>
  <c r="M8" i="3" s="1"/>
  <c r="N8" i="3" s="1"/>
  <c r="B3" i="2"/>
  <c r="B4" i="2"/>
  <c r="B5" i="2"/>
  <c r="B6" i="2"/>
  <c r="B7" i="2"/>
  <c r="B8" i="2"/>
  <c r="B12" i="2"/>
  <c r="B11" i="2"/>
  <c r="B4" i="3"/>
  <c r="B5" i="3"/>
  <c r="B6" i="3"/>
  <c r="B7" i="3"/>
  <c r="B8" i="3"/>
  <c r="B9" i="3"/>
  <c r="B10" i="3"/>
  <c r="B3" i="3"/>
  <c r="J7" i="2" l="1"/>
  <c r="M7" i="2" s="1"/>
  <c r="N7" i="2" s="1"/>
  <c r="K19" i="2"/>
  <c r="V19" i="2" s="1"/>
  <c r="I17" i="2"/>
  <c r="U16" i="2"/>
  <c r="J13" i="2"/>
  <c r="K13" i="2" s="1"/>
  <c r="V13" i="2" s="1"/>
  <c r="U14" i="2"/>
  <c r="Z17" i="2"/>
  <c r="M13" i="2"/>
  <c r="N13" i="2" s="1"/>
  <c r="O13" i="2" s="1"/>
  <c r="P13" i="2" s="1"/>
  <c r="U18" i="2"/>
  <c r="U19" i="2"/>
  <c r="Z15" i="2"/>
  <c r="U15" i="2"/>
  <c r="U17" i="2"/>
  <c r="Z18" i="2"/>
  <c r="U13" i="2"/>
  <c r="Z16" i="2"/>
  <c r="U20" i="2"/>
  <c r="Z20" i="2"/>
  <c r="Z14" i="2"/>
  <c r="Z19" i="2"/>
  <c r="M19" i="2"/>
  <c r="N19" i="2" s="1"/>
  <c r="Z13" i="2"/>
  <c r="I20" i="2"/>
  <c r="I14" i="2"/>
  <c r="J14" i="2" s="1"/>
  <c r="Z5" i="2"/>
  <c r="Y5" i="3"/>
  <c r="Y4" i="3"/>
  <c r="X6" i="3"/>
  <c r="Z1" i="3"/>
  <c r="O8" i="3"/>
  <c r="I9" i="2"/>
  <c r="J10" i="2"/>
  <c r="U10" i="2"/>
  <c r="U9" i="2"/>
  <c r="O4" i="3"/>
  <c r="O9" i="3"/>
  <c r="Q8" i="3"/>
  <c r="Q5" i="2"/>
  <c r="Q4" i="3"/>
  <c r="Q9" i="3"/>
  <c r="Q11" i="2"/>
  <c r="O11" i="2"/>
  <c r="O6" i="2"/>
  <c r="P6" i="2" s="1"/>
  <c r="Q6" i="2"/>
  <c r="O7" i="2"/>
  <c r="P7" i="2" s="1"/>
  <c r="Q7" i="2"/>
  <c r="O5" i="2"/>
  <c r="Q3" i="5"/>
  <c r="Q4" i="5"/>
  <c r="Q5" i="5"/>
  <c r="Q6" i="5"/>
  <c r="Q7" i="5"/>
  <c r="Q8" i="5"/>
  <c r="Q9" i="5"/>
  <c r="Q2" i="5"/>
  <c r="P3" i="1"/>
  <c r="E13" i="2" s="1"/>
  <c r="P4" i="1"/>
  <c r="E14" i="2" s="1"/>
  <c r="P5" i="1"/>
  <c r="E15" i="2" s="1"/>
  <c r="P6" i="1"/>
  <c r="E16" i="2" s="1"/>
  <c r="P7" i="1"/>
  <c r="P8" i="1"/>
  <c r="P9" i="1"/>
  <c r="P2" i="1"/>
  <c r="R3" i="5"/>
  <c r="R4" i="5"/>
  <c r="R5" i="5"/>
  <c r="R6" i="5"/>
  <c r="R7" i="5"/>
  <c r="R8" i="5"/>
  <c r="R9" i="5"/>
  <c r="R2" i="5"/>
  <c r="Q3" i="1"/>
  <c r="Q4" i="1"/>
  <c r="Q5" i="1"/>
  <c r="Q6" i="1"/>
  <c r="Q7" i="1"/>
  <c r="Q8" i="1"/>
  <c r="Q9" i="1"/>
  <c r="Q2" i="1"/>
  <c r="W13" i="2" l="1"/>
  <c r="X13" i="2" s="1"/>
  <c r="W19" i="2"/>
  <c r="X19" i="2" s="1"/>
  <c r="M20" i="2"/>
  <c r="N20" i="2" s="1"/>
  <c r="K20" i="2"/>
  <c r="K18" i="2"/>
  <c r="M18" i="2"/>
  <c r="N18" i="2" s="1"/>
  <c r="M17" i="2"/>
  <c r="N17" i="2" s="1"/>
  <c r="M16" i="2"/>
  <c r="N16" i="2" s="1"/>
  <c r="K16" i="2"/>
  <c r="M15" i="2"/>
  <c r="N15" i="2" s="1"/>
  <c r="K15" i="2"/>
  <c r="K14" i="2"/>
  <c r="M14" i="2"/>
  <c r="N14" i="2" s="1"/>
  <c r="Q13" i="2"/>
  <c r="Q19" i="2"/>
  <c r="O19" i="2"/>
  <c r="P19" i="2" s="1"/>
  <c r="K9" i="2"/>
  <c r="W9" i="2" s="1"/>
  <c r="M9" i="2"/>
  <c r="N9" i="2" s="1"/>
  <c r="O9" i="2" s="1"/>
  <c r="P9" i="2" s="1"/>
  <c r="M10" i="2"/>
  <c r="N10" i="2" s="1"/>
  <c r="K10" i="2"/>
  <c r="W10" i="2" s="1"/>
  <c r="J18" i="3"/>
  <c r="Y13" i="2" l="1"/>
  <c r="Y19" i="2"/>
  <c r="W20" i="2"/>
  <c r="V20" i="2"/>
  <c r="O20" i="2"/>
  <c r="P20" i="2" s="1"/>
  <c r="Q20" i="2"/>
  <c r="O18" i="2"/>
  <c r="P18" i="2" s="1"/>
  <c r="Q18" i="2"/>
  <c r="W18" i="2"/>
  <c r="V18" i="2"/>
  <c r="W17" i="2"/>
  <c r="V17" i="2"/>
  <c r="O17" i="2"/>
  <c r="P17" i="2" s="1"/>
  <c r="Q17" i="2"/>
  <c r="W16" i="2"/>
  <c r="V16" i="2"/>
  <c r="Q16" i="2"/>
  <c r="O16" i="2"/>
  <c r="P16" i="2" s="1"/>
  <c r="W15" i="2"/>
  <c r="V15" i="2"/>
  <c r="O15" i="2"/>
  <c r="P15" i="2" s="1"/>
  <c r="Q15" i="2"/>
  <c r="O14" i="2"/>
  <c r="P14" i="2" s="1"/>
  <c r="Q14" i="2"/>
  <c r="W14" i="2"/>
  <c r="V14" i="2"/>
  <c r="X10" i="2"/>
  <c r="Y10" i="2"/>
  <c r="X9" i="2"/>
  <c r="Y9" i="2"/>
  <c r="Q9" i="2"/>
  <c r="V9" i="2"/>
  <c r="V10" i="2"/>
  <c r="O10" i="2"/>
  <c r="P10" i="2" s="1"/>
  <c r="Q10" i="2"/>
  <c r="J13" i="3"/>
  <c r="H1" i="3"/>
  <c r="H1" i="2"/>
  <c r="H41" i="6"/>
  <c r="H40" i="6"/>
  <c r="H39" i="6"/>
  <c r="H37" i="6"/>
  <c r="H36" i="6"/>
  <c r="C3" i="2"/>
  <c r="D3" i="2"/>
  <c r="C4" i="2"/>
  <c r="D4" i="2"/>
  <c r="C5" i="2"/>
  <c r="D5" i="2"/>
  <c r="C6" i="2"/>
  <c r="D6" i="2"/>
  <c r="E6" i="2"/>
  <c r="C7" i="2"/>
  <c r="D7" i="2"/>
  <c r="C8" i="2"/>
  <c r="D8" i="2"/>
  <c r="C12" i="2"/>
  <c r="D12" i="2"/>
  <c r="C11" i="2"/>
  <c r="D11" i="2"/>
  <c r="C4" i="3"/>
  <c r="D4" i="3"/>
  <c r="C5" i="3"/>
  <c r="D5" i="3"/>
  <c r="C6" i="3"/>
  <c r="D6" i="3"/>
  <c r="C7" i="3"/>
  <c r="D7" i="3"/>
  <c r="C8" i="3"/>
  <c r="D8" i="3"/>
  <c r="C9" i="3"/>
  <c r="D9" i="3"/>
  <c r="C10" i="3"/>
  <c r="D10" i="3"/>
  <c r="D3" i="3"/>
  <c r="C3" i="3"/>
  <c r="E3" i="2"/>
  <c r="E4" i="2"/>
  <c r="E5" i="2"/>
  <c r="E7" i="2"/>
  <c r="E8" i="2"/>
  <c r="E12" i="2"/>
  <c r="E11" i="2"/>
  <c r="X20" i="2" l="1"/>
  <c r="Y20" i="2"/>
  <c r="Y18" i="2"/>
  <c r="X18" i="2"/>
  <c r="X17" i="2"/>
  <c r="Y17" i="2"/>
  <c r="X16" i="2"/>
  <c r="Y16" i="2"/>
  <c r="Y15" i="2"/>
  <c r="X15" i="2"/>
  <c r="Y14" i="2"/>
  <c r="X14" i="2"/>
  <c r="H38" i="6"/>
  <c r="G1" i="2" l="1"/>
  <c r="J17" i="3" l="1"/>
  <c r="J16" i="3"/>
  <c r="J15" i="3"/>
  <c r="J14" i="3"/>
  <c r="J12" i="3"/>
  <c r="K11" i="2" l="1"/>
  <c r="K7" i="2"/>
  <c r="K6" i="2"/>
  <c r="K5" i="2"/>
  <c r="K4" i="3"/>
  <c r="V4" i="3" s="1"/>
  <c r="K8" i="3"/>
  <c r="V8" i="3" s="1"/>
  <c r="K9" i="3"/>
  <c r="V9" i="3" s="1"/>
  <c r="J24" i="2"/>
  <c r="V5" i="2" l="1"/>
  <c r="W5" i="2"/>
  <c r="V6" i="2"/>
  <c r="W6" i="2"/>
  <c r="V7" i="2"/>
  <c r="W7" i="2"/>
  <c r="V11" i="2"/>
  <c r="W11" i="2"/>
  <c r="E6" i="3"/>
  <c r="E5" i="3"/>
  <c r="E9" i="3"/>
  <c r="E10" i="3"/>
  <c r="E4" i="3"/>
  <c r="E3" i="3"/>
  <c r="E7" i="3"/>
  <c r="E8" i="3"/>
  <c r="Y11" i="2" l="1"/>
  <c r="Y6" i="2"/>
  <c r="X6" i="2"/>
  <c r="X5" i="2"/>
  <c r="Y5" i="2"/>
  <c r="X7" i="2"/>
  <c r="Y7" i="2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H26" i="6" l="1"/>
  <c r="G26" i="6"/>
  <c r="H7" i="3"/>
  <c r="H12" i="2"/>
  <c r="H8" i="3"/>
  <c r="P8" i="3" s="1"/>
  <c r="H11" i="2"/>
  <c r="P4" i="3"/>
  <c r="H9" i="3"/>
  <c r="P9" i="3" s="1"/>
  <c r="H10" i="3"/>
  <c r="G13" i="6"/>
  <c r="H3" i="2"/>
  <c r="Z3" i="2" s="1"/>
  <c r="H4" i="2"/>
  <c r="J4" i="2" s="1"/>
  <c r="H5" i="3"/>
  <c r="P5" i="2"/>
  <c r="H6" i="3"/>
  <c r="H8" i="2"/>
  <c r="Z8" i="2" s="1"/>
  <c r="H13" i="6"/>
  <c r="H15" i="6"/>
  <c r="G15" i="6"/>
  <c r="H16" i="6"/>
  <c r="G16" i="6"/>
  <c r="H28" i="6"/>
  <c r="G28" i="6"/>
  <c r="H14" i="6"/>
  <c r="G14" i="6"/>
  <c r="H17" i="6"/>
  <c r="G17" i="6"/>
  <c r="H29" i="6"/>
  <c r="G29" i="6"/>
  <c r="G23" i="6"/>
  <c r="H23" i="6"/>
  <c r="H30" i="6"/>
  <c r="G30" i="6"/>
  <c r="G25" i="6"/>
  <c r="H25" i="6"/>
  <c r="H27" i="6"/>
  <c r="G27" i="6"/>
  <c r="H18" i="6"/>
  <c r="G18" i="6"/>
  <c r="H19" i="6"/>
  <c r="G19" i="6"/>
  <c r="H31" i="6"/>
  <c r="G31" i="6"/>
  <c r="H22" i="6"/>
  <c r="G22" i="6"/>
  <c r="H32" i="6"/>
  <c r="G32" i="6"/>
  <c r="G24" i="6"/>
  <c r="H24" i="6"/>
  <c r="G20" i="6"/>
  <c r="H20" i="6"/>
  <c r="G21" i="6"/>
  <c r="H21" i="6"/>
  <c r="I4" i="3"/>
  <c r="M4" i="2" l="1"/>
  <c r="N4" i="2" s="1"/>
  <c r="K4" i="2"/>
  <c r="Z4" i="2"/>
  <c r="P11" i="2"/>
  <c r="Z11" i="2"/>
  <c r="X11" i="2"/>
  <c r="U10" i="3"/>
  <c r="J10" i="3"/>
  <c r="M10" i="3" s="1"/>
  <c r="N10" i="3" s="1"/>
  <c r="U3" i="3"/>
  <c r="J3" i="3"/>
  <c r="U6" i="3"/>
  <c r="J6" i="3"/>
  <c r="M6" i="3" s="1"/>
  <c r="N6" i="3" s="1"/>
  <c r="U5" i="3"/>
  <c r="J5" i="3"/>
  <c r="M5" i="3" s="1"/>
  <c r="N5" i="3" s="1"/>
  <c r="U7" i="3"/>
  <c r="J7" i="3"/>
  <c r="M7" i="3" s="1"/>
  <c r="N7" i="3" s="1"/>
  <c r="U8" i="2"/>
  <c r="M8" i="2"/>
  <c r="N8" i="2" s="1"/>
  <c r="U12" i="2"/>
  <c r="J12" i="2"/>
  <c r="M12" i="2" s="1"/>
  <c r="N12" i="2" s="1"/>
  <c r="U3" i="2"/>
  <c r="U9" i="3"/>
  <c r="U4" i="3"/>
  <c r="U8" i="3"/>
  <c r="U6" i="2"/>
  <c r="U11" i="2"/>
  <c r="U5" i="2"/>
  <c r="I11" i="2"/>
  <c r="U4" i="2"/>
  <c r="U7" i="2"/>
  <c r="I9" i="3"/>
  <c r="I8" i="3"/>
  <c r="I6" i="2"/>
  <c r="I4" i="2"/>
  <c r="I7" i="2"/>
  <c r="I5" i="2"/>
  <c r="V4" i="2" l="1"/>
  <c r="W4" i="2"/>
  <c r="O4" i="2"/>
  <c r="P4" i="2" s="1"/>
  <c r="Q4" i="2"/>
  <c r="Z1" i="2"/>
  <c r="K3" i="2"/>
  <c r="W3" i="2" s="1"/>
  <c r="M3" i="2"/>
  <c r="N3" i="2" s="1"/>
  <c r="O12" i="2"/>
  <c r="P12" i="2" s="1"/>
  <c r="Q12" i="2"/>
  <c r="Q8" i="2"/>
  <c r="O8" i="2"/>
  <c r="P8" i="2" s="1"/>
  <c r="O5" i="3"/>
  <c r="P5" i="3" s="1"/>
  <c r="Q5" i="3"/>
  <c r="O6" i="3"/>
  <c r="P6" i="3" s="1"/>
  <c r="Q6" i="3"/>
  <c r="K3" i="3"/>
  <c r="M3" i="3"/>
  <c r="N3" i="3" s="1"/>
  <c r="O10" i="3"/>
  <c r="P10" i="3" s="1"/>
  <c r="Q10" i="3"/>
  <c r="O7" i="3"/>
  <c r="P7" i="3" s="1"/>
  <c r="Q7" i="3"/>
  <c r="K8" i="2"/>
  <c r="K12" i="2"/>
  <c r="K7" i="3"/>
  <c r="V7" i="3" s="1"/>
  <c r="K5" i="3"/>
  <c r="V5" i="3" s="1"/>
  <c r="K6" i="3"/>
  <c r="V6" i="3" s="1"/>
  <c r="K10" i="3"/>
  <c r="V10" i="3" s="1"/>
  <c r="V3" i="2" l="1"/>
  <c r="Y4" i="2"/>
  <c r="X4" i="2"/>
  <c r="V8" i="2"/>
  <c r="W8" i="2"/>
  <c r="V12" i="2"/>
  <c r="W12" i="2"/>
  <c r="X3" i="2"/>
  <c r="Y3" i="2"/>
  <c r="V3" i="3"/>
  <c r="W3" i="3"/>
  <c r="O3" i="2"/>
  <c r="Q3" i="2"/>
  <c r="O3" i="3"/>
  <c r="Q3" i="3"/>
  <c r="Y12" i="2" l="1"/>
  <c r="X12" i="2"/>
  <c r="X8" i="2"/>
  <c r="Y8" i="2"/>
  <c r="Y3" i="3"/>
  <c r="Y1" i="3" s="1"/>
  <c r="X3" i="3"/>
  <c r="P3" i="3"/>
  <c r="P1" i="3" s="1"/>
  <c r="X1" i="3"/>
  <c r="P3" i="2"/>
  <c r="P1" i="2" s="1"/>
  <c r="Y1" i="2"/>
  <c r="X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DA3DA1-9C31-4D9D-B6C0-D876897B892E}" keepAlive="1" name="Запрос — ФормКовер" description="Соединение с запросом &quot;ФормКовер&quot; в книге." type="5" refreshedVersion="7" background="1" saveData="1">
    <dbPr connection="Provider=Microsoft.Mashup.OleDb.1;Data Source=$Workbook$;Location=ФормКовер;Extended Properties=&quot;&quot;" command="SELECT * FROM [ФормКовер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<sst xmlns="http://schemas.openxmlformats.org/spreadsheetml/2006/main" count="509" uniqueCount="195">
  <si>
    <t>ID</t>
  </si>
  <si>
    <t>Артикул поставщика</t>
  </si>
  <si>
    <t>Поставщик</t>
  </si>
  <si>
    <t>ФормКовер</t>
  </si>
  <si>
    <t>СЦЕПКА</t>
  </si>
  <si>
    <t>Факт</t>
  </si>
  <si>
    <t>шт.</t>
  </si>
  <si>
    <t>Формованный ковер салона (цвет серый без пленки)</t>
  </si>
  <si>
    <t>ВАЗ - 2108</t>
  </si>
  <si>
    <t>Формованный ковер салона люкс</t>
  </si>
  <si>
    <t>Формованный ковер салона (на пленке)</t>
  </si>
  <si>
    <t>комп.</t>
  </si>
  <si>
    <t>Формованный ковер салона люкс (без кольца)</t>
  </si>
  <si>
    <t>ВАЗ - 2106</t>
  </si>
  <si>
    <t>Формованный ковер салона люкс (с кольцом)</t>
  </si>
  <si>
    <t>Формованный ковер салона (на пленке с кольцом)</t>
  </si>
  <si>
    <t>Формованный ковер салона (на пленке без кольца)</t>
  </si>
  <si>
    <t>Формованный ковер салона люкс из 2х частей</t>
  </si>
  <si>
    <t>ВАЗ - Гранта</t>
  </si>
  <si>
    <t xml:space="preserve">Формованный ковер салона из 2х частей (на пленке) </t>
  </si>
  <si>
    <t>ВАЗ - Приора</t>
  </si>
  <si>
    <t xml:space="preserve">Формованный ковер салона люкс </t>
  </si>
  <si>
    <t>ВАЗ - 2110</t>
  </si>
  <si>
    <t>Формованный ковер салона из 2х частей п/люкс</t>
  </si>
  <si>
    <t>Нива Шевроле</t>
  </si>
  <si>
    <t xml:space="preserve">Формованный ковер салона из 2х частей (3х слойный) </t>
  </si>
  <si>
    <t xml:space="preserve">Формованный ковер салона из 2х частей (на толстой пл.) </t>
  </si>
  <si>
    <t xml:space="preserve">Формованный ковер салона из 2х частей (на тонкой пл.) </t>
  </si>
  <si>
    <t>Нива - 2131</t>
  </si>
  <si>
    <t>Формованный ковер салона 3х слойный</t>
  </si>
  <si>
    <t>Нива - 21213</t>
  </si>
  <si>
    <t>Формованный ковер салона люкс цельный</t>
  </si>
  <si>
    <t>в руб.</t>
  </si>
  <si>
    <t>изм.</t>
  </si>
  <si>
    <t>изделия</t>
  </si>
  <si>
    <t>а/м ВАЗ</t>
  </si>
  <si>
    <t>п/п</t>
  </si>
  <si>
    <t>Цена</t>
  </si>
  <si>
    <t>Ед.</t>
  </si>
  <si>
    <t>Наименование</t>
  </si>
  <si>
    <t>Марка</t>
  </si>
  <si>
    <t>№</t>
  </si>
  <si>
    <t>на формованные ковры салона на а/машины семейства ВАЗ.</t>
  </si>
  <si>
    <t xml:space="preserve">ПРАЙС - ЛИСТ  </t>
  </si>
  <si>
    <t xml:space="preserve">formkover@mail.ru         </t>
  </si>
  <si>
    <t>ИНН 632404490800</t>
  </si>
  <si>
    <t>Кузнецова Яна Николаевна</t>
  </si>
  <si>
    <t xml:space="preserve">               </t>
  </si>
  <si>
    <t>Индивидуальный предприниматель</t>
  </si>
  <si>
    <t>ВАЗ - 2106 Формованный ковер салона люкс (с кольцом)</t>
  </si>
  <si>
    <t>ВАЗ - 2106 Формованный ковер салона люкс (без кольца)</t>
  </si>
  <si>
    <t>ВАЗ - 2108 Формованный ковер салона (цвет серый без пленки)</t>
  </si>
  <si>
    <t>Каталог</t>
  </si>
  <si>
    <t>ВАЗ - 2108 Формованный ковер салона люкс</t>
  </si>
  <si>
    <t xml:space="preserve">Нива Шевроле Формованный ковер салона из 2х частей (на тонкой пл.) </t>
  </si>
  <si>
    <t xml:space="preserve">Нива Шевроле Формованный ковер салона из 2х частей (на толстой пл.) </t>
  </si>
  <si>
    <t>Нива Шевроле Формованный ковер салона из 2х частей п/люкс</t>
  </si>
  <si>
    <t>Нива Шевроле Формованный ковер салона люкс из 2х частей</t>
  </si>
  <si>
    <t>Нива - 21213 Формованный ковер салона люкс из 2х частей</t>
  </si>
  <si>
    <t>Нива - 21213 Формованный ковер салона люкс цельный</t>
  </si>
  <si>
    <t>ВАЗ - Гранта Формованный ковер салона люкс из 2х частей</t>
  </si>
  <si>
    <t xml:space="preserve">ВАЗ - 2110 Формованный ковер салона люкс </t>
  </si>
  <si>
    <t>ВАЗ - Приора Формованный ковер салона люкс</t>
  </si>
  <si>
    <t xml:space="preserve">Нива Шевроле Формованный ковер салона из 2х частей (3х слойный) </t>
  </si>
  <si>
    <t>Нива - 21213 Формованный ковер салона 3х слойный</t>
  </si>
  <si>
    <t>Нива - 2131 Формованный ковер салона люкс из 2х частей</t>
  </si>
  <si>
    <t>Нива - 21213 Формованный ковер салона (цвет серый без пленки)</t>
  </si>
  <si>
    <t>1</t>
  </si>
  <si>
    <t>6</t>
  </si>
  <si>
    <t>https://motorring.ru/product/28799-kover-pola-trehsloynyy-shimoizolyacia-vaz-2110-2112</t>
  </si>
  <si>
    <t>https://motorring.ru/product/33069-kover-pola-lyuks-trehsloynyy-shumoizolyaciey-lada-kalina</t>
  </si>
  <si>
    <t>https://motorring.ru/product/21183-kover-pola-lyuks-trehsloynyy-vaz-2108-21099-2113-2115</t>
  </si>
  <si>
    <t>https://motorring.ru/product/12431-shtatnyy-kover-pola-formovannyy-2131-lyuks-5-dvernuyu-lada</t>
  </si>
  <si>
    <t>https://motorring.ru/product/20637-kover-pola-lyuks-trehsloynyy-shumoizolyaciey-vaz-2101-2107</t>
  </si>
  <si>
    <t>https://motorring.ru/product/28218-zavodskoy-kover-pola-dlya-shevrole-lada-niva-2123</t>
  </si>
  <si>
    <t>https://motorring.ru/product/17731-kover-pola-lyuks-trehsloynyy-shumoizolyaciey-lada-niva</t>
  </si>
  <si>
    <t>%</t>
  </si>
  <si>
    <t>Рек</t>
  </si>
  <si>
    <t>MR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</si>
  <si>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</si>
  <si>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</si>
  <si>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</si>
  <si>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</si>
  <si>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</si>
  <si>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</si>
  <si>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</si>
  <si>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</si>
  <si>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</si>
  <si>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</si>
  <si>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</si>
  <si>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</si>
  <si>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</si>
  <si>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</si>
  <si>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</si>
  <si>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</si>
  <si>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</si>
  <si>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</si>
  <si>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</si>
  <si>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https://docs.google.com/spreadsheets/d/1f8_y-lcqVEuKpceVw_F97NEKzue5YmQtx8GIXUS_2B8/export?format=xlsx</t>
  </si>
  <si>
    <t>Ссылка</t>
  </si>
  <si>
    <t>Ковер пола Люкс для ВАЗ 2110-2112</t>
  </si>
  <si>
    <t>Ковер пола Люкс для Лада Приора, Приора 2</t>
  </si>
  <si>
    <t>Ковер пола Люкс для ВАЗ 2101-2107</t>
  </si>
  <si>
    <t>Column20</t>
  </si>
  <si>
    <t/>
  </si>
  <si>
    <t>тел. +7 927 210-36-95</t>
  </si>
  <si>
    <t>сайт: FormKover</t>
  </si>
  <si>
    <t>на 09.01.2024г.</t>
  </si>
  <si>
    <t>Формованный ковер салона из 2х частей без основы</t>
  </si>
  <si>
    <t>Y</t>
  </si>
  <si>
    <t>Код</t>
  </si>
  <si>
    <t>Y / N</t>
  </si>
  <si>
    <t>Кол-во</t>
  </si>
  <si>
    <t>Под заказ</t>
  </si>
  <si>
    <t>Элемент каталога</t>
  </si>
  <si>
    <t>Ряд</t>
  </si>
  <si>
    <t>СВОД</t>
  </si>
  <si>
    <t>Данные</t>
  </si>
  <si>
    <t>Переменные</t>
  </si>
  <si>
    <t>РЦ</t>
  </si>
  <si>
    <t>ЗЦ</t>
  </si>
  <si>
    <t>"-7%</t>
  </si>
  <si>
    <t>Артикул</t>
  </si>
  <si>
    <t>Ковер пола 3-х слойный для Лада Нива 4х4 3-х дверная</t>
  </si>
  <si>
    <t>Ковер пола Люкс из 2-х частей для Лада Калина, Калина 2, Гранта, Гранта FL</t>
  </si>
  <si>
    <t>Ковер пола Люкс из 2-х частей для Лада Нива 4х4 5-ти дверная</t>
  </si>
  <si>
    <t>Ковер пола Люкс трехслойный с шумоизоляцией  для ВАЗ 2108-21099, 2113-2115</t>
  </si>
  <si>
    <t>Ковер пола с влагозащитой для ВАЗ 2108-21099, 2113-2115</t>
  </si>
  <si>
    <t>0</t>
  </si>
  <si>
    <t>Ковер пола серый для ВАЗ 2108-21099, 2113-2115</t>
  </si>
  <si>
    <t>Штатный формованный ковер пола 3-х слойный, из 2-х частей для Шевроле Нива, Лада Нива Travel</t>
  </si>
  <si>
    <t>Штатный формованный ковер пола серый, без плёнки для Лада Нива 4х4 3-х дверная</t>
  </si>
  <si>
    <t>Ковер пола из 2-х частей для Шевроле Нива, Лада Нива Travel</t>
  </si>
  <si>
    <t>Ковер пола из 2-х частей для Шевроле Нива, Нива Travel Люкс из двух частей</t>
  </si>
  <si>
    <t>Ковер пола из 2-х частей для Шевроле Нива, Нива Travel на толстой пленке</t>
  </si>
  <si>
    <t>Ковер пола из 2-х частей для Шевроле Нива, Нива Travel на тонкой пленке</t>
  </si>
  <si>
    <t>Штатный формованный ковер пола из 2-х частей для Шевроле Нива, Нива Travel Полулюкс из двух частей</t>
  </si>
  <si>
    <t>Ковер пола Люкс для ВАЗ 2101-2107 без кольца</t>
  </si>
  <si>
    <t>Ковер пола Люкс для ВАЗ 2101-2107 с кольцом</t>
  </si>
  <si>
    <t>Ковер пола Люкс для Лада Нива 4х4 3-х дверная</t>
  </si>
  <si>
    <t>Ковер пола Люкс для Лада Нива 4х4 3-х дверная Из двух частей</t>
  </si>
  <si>
    <t>Ковер пола Люкс для Лада Нива 4х4 3-х дверная Цельный</t>
  </si>
  <si>
    <t>Код товара</t>
  </si>
  <si>
    <t>Наименование элемента</t>
  </si>
  <si>
    <t>OEM</t>
  </si>
  <si>
    <t>5</t>
  </si>
  <si>
    <t>Выбор</t>
  </si>
  <si>
    <t>Google</t>
  </si>
  <si>
    <t>Доп</t>
  </si>
  <si>
    <t>Кат/ номер</t>
  </si>
  <si>
    <t>Арт. пост.</t>
  </si>
  <si>
    <t>Склад</t>
  </si>
  <si>
    <t>Ковер пола из 2-х частей на толстой пленке для Шевроле Нива, Нива Travel</t>
  </si>
  <si>
    <t>Ковер пола из 2-х частей на тонкой пленке для Шевроле Нива, Нива Travel</t>
  </si>
  <si>
    <t>Ковер пола из 2-х частей трехслойный для Шевроле Нива, Нива Travel</t>
  </si>
  <si>
    <t>Ковер пола из 2-х частей четырехслойный для Шевроле Нива, Нива Travel</t>
  </si>
  <si>
    <t>Ковер пола трехслойный без кольца для ВАЗ 2101-2107</t>
  </si>
  <si>
    <t>Ковер пола трехслойный с кольцом для ВАЗ 2101-2107</t>
  </si>
  <si>
    <t>Ковер пола трехслойный, из 2-х частей для Лада Нива 4х4 3-х дверная</t>
  </si>
  <si>
    <t>Ковер пола трехслойный, цельный для Лада Нива 4х4 3-х дверная</t>
  </si>
  <si>
    <t>Column21</t>
  </si>
  <si>
    <t>Column22</t>
  </si>
  <si>
    <t>Column23</t>
  </si>
  <si>
    <t>Column24</t>
  </si>
  <si>
    <t>Кат. номер</t>
  </si>
  <si>
    <t>Ссылка на конкурентов</t>
  </si>
  <si>
    <t>N</t>
  </si>
  <si>
    <t>https://www.ozon.ru/product/kover-salona-formovannyy-vaz-niva-4h4-957577343/</t>
  </si>
  <si>
    <t>https://www.ozon.ru/product/kover-kovrolin-pola-dlya-avtomobilya-vaz-2131-niva-5d-formovannyy-1188002488/</t>
  </si>
  <si>
    <t>https://www.ozon.ru/product/kover-pola-lyuks-4h-sloynyy-s-shumoizolyatsiey-na-lada-priora-vaz-2170-2171-2172-2110-2111-2112-1306441322/</t>
  </si>
  <si>
    <t>https://www.ozon.ru/product/kover-pola-lyuks-trehsloynyy-s-shumoizolyatsiey-dlya-vaz-2108-21099-2113-2115-1427965151/</t>
  </si>
  <si>
    <t>https://www.ozon.ru/product/kover-pola-s-shumoizolyatsiey-4h-sloynyy-lada-granta-granta-fl-kalina-kalina-2-974337837/</t>
  </si>
  <si>
    <t>https://www.ozon.ru/product/kover-pola-niva-21213-21214-vlagozashchitnyy-formovannyy-kover-niva-3-dveri-tsvet-chernyy-1483325740/</t>
  </si>
  <si>
    <t>https://www.ozon.ru/product/kover-pola-lyuks-4h-sloynyy-s-shumoizolyatsiey-razdelnyy-vaz-2121-21213-21214-urban-niva-niva-legend-1746032522/</t>
  </si>
  <si>
    <t>https://www.ozon.ru/product/kover-pola-lyuks-4h-sloynyy-s-shumoizolyatsiey-tselnoy-vaz-2121-21213-21214-urban-niva-niva-legend-1746021365/</t>
  </si>
  <si>
    <t>https://www.ozon.ru/product/kover-salona-formovannyy-vaz-2101-2103-i-2106-2105-2107-na-osnove-kovrolin-1292404630/</t>
  </si>
  <si>
    <t>https://www.ozon.ru/product/komplekt-avto-car-floor-mats-fitted-carpet-artificial-materials-1306441322/</t>
  </si>
  <si>
    <t>https://www.ozon.ru/product/kover-pola-formovannyy-s-zashchitoy-ot-vlagi-na-shevrole-niva-vaz-2123-840503599/</t>
  </si>
  <si>
    <t>https://www.ozon.ru/product/kover-calona-formovannyy-s-shumoizolyatsiey-lada-niva-4h4-2121-21214-niva-legend-kover-pola-840509034/</t>
  </si>
  <si>
    <t>https://www.ozon.ru/product/kover-salona-vaz-2108-vaz-2109-vaz-21099-vaz-2114-chernyy-formovannyy-shtatnyy-716671149/</t>
  </si>
  <si>
    <t>https://33sport.ru/catalog/tyuning_salona_vaz/tyuning_salona_vaz_2110_11_12/kovriki_salona_vaz_2110/kover_pola_s_shumkoy_vaz_2110-12/</t>
  </si>
  <si>
    <t>https://nvs-car.ru/product/kovrolin-pola-lyuks-tolstyy-vaz-2110-2111-2112-priora-tselnyy-chernyy/</t>
  </si>
  <si>
    <t>https://33sport.ru/catalog/tyuning_salona_vaz/tyuning_salona_vaz_2108_09_99/kovriki_salona_2108/kover_pola_s_shumkoy_vaz_2108-15/</t>
  </si>
  <si>
    <t>https://www.car-team.ru/collection/vaz-2114-15/product/kover-pola-tryohsloynyy-s-shumoizolyatsiey-na-vaz-2113-14-15</t>
  </si>
  <si>
    <t>https://nvs-car.ru/product/kover-pola-lyuks-lada-niva-4kh4-vaz-2121-3d-2-chasti-chernyy/</t>
  </si>
  <si>
    <t>https://autodemic.ru/product/kover-pola-2121-5109008-lyuks-tolstyytselnoy</t>
  </si>
  <si>
    <t>https://nvs-car.ru/product/kovrolin-pola-lyuks-lada-niva-4kh4-vaz-2121-3d-tselnyy-chernyy/</t>
  </si>
  <si>
    <t>https://33sport.ru/catalog/tyuning_salona_vaz/tyuning_salona_vaz_2101_07/kovriki_salona_vaz_2101-2107_-klassika/kover_pola_s_shumkoy_na_vaz_2101-07/</t>
  </si>
  <si>
    <t>https://www.car-team.ru/collection/vaz-2105-07/product/kover-pola-tryohsloynyy-s-shumoizolyatsiey-na-vaz-2105-07</t>
  </si>
  <si>
    <t>https://nvs-car.ru/product/originalnyy-kover-pola-shevrole-niva-vaz-2123-bertone-s-2009-g-v-niva-trevel-chernyy/</t>
  </si>
  <si>
    <t>https://xn--80aal0a.xn--80asehdb/shop/granta/interior-granta/26600-kover-pola-dlja-lada-granta-kalina-2.html#option_id=26601</t>
  </si>
  <si>
    <t>https://komponentavto.ru/catalog/salon/kovrovoe_pokrytie_pola/kover_pola_lada_granta_4kh_sloynyy</t>
  </si>
  <si>
    <t>https://nvs-car.ru/product/originalnyy-kover-pola-lada-niva-4kh4-vaz-2121-3d-chernyy/</t>
  </si>
  <si>
    <t>https://nvs-car.ru/product/kover-pola-lyuks-tolstyy-lada-niva-4kh4-vaz-2121-3d-2-chasti-chernyy/</t>
  </si>
  <si>
    <t>4290 снят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</si>
</sst>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color theme="1"/>
      <name val="Arial Unicode MS"/>
    </font>
    <font>
      <b/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Arial Cyr"/>
      <charset val="204"/>
    </font>
    <font>
      <sz val="12"/>
      <name val="Times New Roman Cyr"/>
      <family val="1"/>
      <charset val="204"/>
    </font>
    <font>
      <sz val="16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 Cyr"/>
      <charset val="204"/>
    </font>
    <font>
      <b/>
      <sz val="14"/>
      <name val="Times New Roman Cyr"/>
      <charset val="204"/>
    </font>
    <font>
      <sz val="11"/>
      <name val="Times New Roman Cyr"/>
      <family val="1"/>
      <charset val="204"/>
    </font>
    <font>
      <sz val="14"/>
      <name val="Times New Roman Cyr"/>
      <family val="1"/>
      <charset val="204"/>
    </font>
    <font>
      <b/>
      <sz val="14"/>
      <name val="Times New Roman Cyr"/>
      <family val="1"/>
      <charset val="204"/>
    </font>
    <font>
      <sz val="14"/>
      <name val="Times New Roman"/>
      <family val="1"/>
      <charset val="204"/>
    </font>
    <font>
      <b/>
      <sz val="9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7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33" borderId="1" applyNumberFormat="0" applyFont="0" applyBorder="0" applyAlignment="0" applyProtection="0"/>
    <xf numFmtId="0" fontId="6" fillId="28" borderId="2" applyNumberFormat="0" applyFont="0" applyBorder="0" applyAlignment="0" applyProtection="0"/>
    <xf numFmtId="0" fontId="7" fillId="34" borderId="3" applyNumberFormat="0" applyFont="0" applyBorder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38" fillId="0" borderId="24" applyNumberFormat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9" fillId="0" borderId="25" applyNumberForma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40" fillId="0" borderId="26" applyNumberForma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8" fillId="32" borderId="27" applyNumberFormat="0" applyProtection="0">
      <alignment horizontal="center" vertical="center"/>
    </xf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9" fillId="30" borderId="28" applyNumberFormat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1" fillId="3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2" fillId="0" borderId="0"/>
    <xf numFmtId="0" fontId="25" fillId="0" borderId="0"/>
    <xf numFmtId="0" fontId="36" fillId="0" borderId="0"/>
    <xf numFmtId="0" fontId="36" fillId="0" borderId="0"/>
  </cellStyleXfs>
  <cellXfs count="164">
    <xf numFmtId="0" fontId="0" fillId="0" borderId="0" xfId="0"/>
    <xf numFmtId="49" fontId="20" fillId="0" borderId="10" xfId="0" applyNumberFormat="1" applyFont="1" applyBorder="1" applyAlignment="1">
      <alignment wrapText="1"/>
    </xf>
    <xf numFmtId="49" fontId="20" fillId="0" borderId="10" xfId="0" applyNumberFormat="1" applyFont="1" applyBorder="1" applyAlignment="1">
      <alignment horizontal="left" wrapText="1"/>
    </xf>
    <xf numFmtId="2" fontId="21" fillId="0" borderId="11" xfId="0" applyNumberFormat="1" applyFont="1" applyBorder="1" applyAlignment="1">
      <alignment horizontal="center" vertical="center" wrapText="1"/>
    </xf>
    <xf numFmtId="2" fontId="23" fillId="0" borderId="11" xfId="0" applyNumberFormat="1" applyFont="1" applyBorder="1" applyAlignment="1">
      <alignment horizontal="right" wrapText="1"/>
    </xf>
    <xf numFmtId="0" fontId="24" fillId="0" borderId="14" xfId="0" applyFont="1" applyBorder="1" applyAlignment="1">
      <alignment horizontal="right" wrapText="1"/>
    </xf>
    <xf numFmtId="0" fontId="24" fillId="0" borderId="15" xfId="0" applyFont="1" applyBorder="1" applyAlignment="1">
      <alignment horizontal="right" wrapText="1"/>
    </xf>
    <xf numFmtId="0" fontId="26" fillId="0" borderId="0" xfId="44" applyFont="1"/>
    <xf numFmtId="0" fontId="27" fillId="0" borderId="0" xfId="44" applyFont="1" applyAlignment="1">
      <alignment vertical="center"/>
    </xf>
    <xf numFmtId="0" fontId="28" fillId="0" borderId="0" xfId="44" applyFont="1"/>
    <xf numFmtId="0" fontId="29" fillId="0" borderId="0" xfId="44" applyFont="1" applyAlignment="1">
      <alignment horizontal="right"/>
    </xf>
    <xf numFmtId="0" fontId="32" fillId="0" borderId="0" xfId="44" applyFont="1" applyAlignment="1">
      <alignment horizontal="center"/>
    </xf>
    <xf numFmtId="0" fontId="26" fillId="0" borderId="0" xfId="44" applyFont="1" applyAlignment="1">
      <alignment horizontal="right"/>
    </xf>
    <xf numFmtId="0" fontId="28" fillId="0" borderId="0" xfId="44" applyFont="1" applyAlignment="1">
      <alignment horizontal="right" vertical="center"/>
    </xf>
    <xf numFmtId="0" fontId="33" fillId="0" borderId="0" xfId="44" applyFont="1" applyAlignment="1">
      <alignment horizontal="center"/>
    </xf>
    <xf numFmtId="0" fontId="29" fillId="0" borderId="0" xfId="44" applyFont="1" applyBorder="1" applyAlignment="1">
      <alignment horizontal="center" vertical="center"/>
    </xf>
    <xf numFmtId="0" fontId="29" fillId="0" borderId="0" xfId="44" applyFont="1" applyAlignment="1">
      <alignment horizontal="center"/>
    </xf>
    <xf numFmtId="0" fontId="26" fillId="0" borderId="11" xfId="44" applyFont="1" applyBorder="1"/>
    <xf numFmtId="0" fontId="24" fillId="0" borderId="12" xfId="0" applyFont="1" applyBorder="1" applyAlignment="1">
      <alignment horizontal="right" wrapText="1"/>
    </xf>
    <xf numFmtId="0" fontId="24" fillId="0" borderId="13" xfId="0" applyFont="1" applyBorder="1" applyAlignment="1">
      <alignment horizontal="right" wrapText="1"/>
    </xf>
    <xf numFmtId="0" fontId="24" fillId="28" borderId="15" xfId="0" applyFont="1" applyFill="1" applyBorder="1" applyAlignment="1">
      <alignment horizontal="right" wrapText="1"/>
    </xf>
    <xf numFmtId="0" fontId="24" fillId="28" borderId="14" xfId="0" applyFont="1" applyFill="1" applyBorder="1" applyAlignment="1">
      <alignment horizontal="right" wrapText="1"/>
    </xf>
    <xf numFmtId="0" fontId="38" fillId="0" borderId="24" xfId="19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43" fillId="29" borderId="1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37" fillId="38" borderId="11" xfId="0" applyFont="1" applyFill="1" applyBorder="1" applyAlignment="1">
      <alignment horizontal="left" vertical="top" wrapText="1"/>
    </xf>
    <xf numFmtId="0" fontId="0" fillId="0" borderId="11" xfId="0" applyBorder="1" applyAlignment="1">
      <alignment wrapText="1"/>
    </xf>
    <xf numFmtId="0" fontId="0" fillId="0" borderId="11" xfId="0" applyBorder="1"/>
    <xf numFmtId="0" fontId="25" fillId="0" borderId="0" xfId="44"/>
    <xf numFmtId="0" fontId="32" fillId="0" borderId="0" xfId="44" applyFont="1" applyAlignment="1">
      <alignment horizontal="center"/>
    </xf>
    <xf numFmtId="0" fontId="26" fillId="0" borderId="23" xfId="44" applyFont="1" applyBorder="1" applyAlignment="1">
      <alignment horizontal="center"/>
    </xf>
    <xf numFmtId="0" fontId="26" fillId="0" borderId="23" xfId="44" applyFont="1" applyBorder="1" applyAlignment="1">
      <alignment horizontal="center" vertical="center"/>
    </xf>
    <xf numFmtId="0" fontId="26" fillId="0" borderId="22" xfId="44" applyFont="1" applyBorder="1" applyAlignment="1">
      <alignment horizontal="center"/>
    </xf>
    <xf numFmtId="0" fontId="26" fillId="0" borderId="22" xfId="44" applyFont="1" applyBorder="1" applyAlignment="1">
      <alignment horizontal="center" vertical="center"/>
    </xf>
    <xf numFmtId="0" fontId="26" fillId="0" borderId="11" xfId="44" applyFont="1" applyBorder="1" applyAlignment="1">
      <alignment horizontal="center" vertical="center"/>
    </xf>
    <xf numFmtId="0" fontId="26" fillId="0" borderId="11" xfId="44" applyFont="1" applyBorder="1" applyAlignment="1">
      <alignment vertical="center"/>
    </xf>
    <xf numFmtId="0" fontId="29" fillId="0" borderId="0" xfId="44" applyFont="1" applyAlignment="1">
      <alignment horizontal="right"/>
    </xf>
    <xf numFmtId="0" fontId="29" fillId="0" borderId="23" xfId="44" applyFont="1" applyBorder="1" applyAlignment="1">
      <alignment horizontal="center" vertical="center"/>
    </xf>
    <xf numFmtId="0" fontId="29" fillId="0" borderId="11" xfId="44" applyFont="1" applyBorder="1" applyAlignment="1">
      <alignment vertical="center"/>
    </xf>
    <xf numFmtId="0" fontId="26" fillId="0" borderId="19" xfId="44" applyFont="1" applyBorder="1" applyAlignment="1">
      <alignment vertical="center"/>
    </xf>
    <xf numFmtId="0" fontId="28" fillId="0" borderId="0" xfId="44" applyFont="1" applyAlignment="1">
      <alignment vertical="center"/>
    </xf>
    <xf numFmtId="0" fontId="28" fillId="0" borderId="0" xfId="44" applyFont="1" applyAlignment="1">
      <alignment horizontal="right" vertical="center"/>
    </xf>
    <xf numFmtId="0" fontId="26" fillId="0" borderId="29" xfId="44" applyFont="1" applyBorder="1" applyAlignment="1">
      <alignment horizontal="center" vertical="center"/>
    </xf>
    <xf numFmtId="0" fontId="30" fillId="0" borderId="18" xfId="44" applyFont="1" applyBorder="1" applyAlignment="1">
      <alignment horizontal="center" vertical="center"/>
    </xf>
    <xf numFmtId="0" fontId="26" fillId="0" borderId="30" xfId="44" applyFont="1" applyBorder="1" applyAlignment="1">
      <alignment horizontal="center" vertical="center"/>
    </xf>
    <xf numFmtId="0" fontId="29" fillId="0" borderId="17" xfId="44" applyFont="1" applyBorder="1" applyAlignment="1">
      <alignment vertical="center"/>
    </xf>
    <xf numFmtId="0" fontId="26" fillId="0" borderId="17" xfId="44" applyFont="1" applyBorder="1" applyAlignment="1">
      <alignment vertical="center"/>
    </xf>
    <xf numFmtId="0" fontId="26" fillId="0" borderId="17" xfId="44" applyFont="1" applyBorder="1" applyAlignment="1">
      <alignment horizontal="center" vertical="center"/>
    </xf>
    <xf numFmtId="0" fontId="30" fillId="0" borderId="16" xfId="44" applyFont="1" applyBorder="1" applyAlignment="1">
      <alignment horizontal="center" vertical="center"/>
    </xf>
    <xf numFmtId="0" fontId="35" fillId="0" borderId="0" xfId="44" applyFont="1" applyAlignment="1">
      <alignment vertical="center"/>
    </xf>
    <xf numFmtId="0" fontId="34" fillId="0" borderId="0" xfId="44" applyFont="1" applyAlignment="1">
      <alignment vertical="center"/>
    </xf>
    <xf numFmtId="0" fontId="26" fillId="0" borderId="0" xfId="44" applyFont="1" applyAlignment="1">
      <alignment horizontal="right"/>
    </xf>
    <xf numFmtId="0" fontId="31" fillId="0" borderId="11" xfId="44" applyFont="1" applyBorder="1" applyAlignment="1">
      <alignment vertical="center"/>
    </xf>
    <xf numFmtId="0" fontId="26" fillId="0" borderId="21" xfId="44" applyFont="1" applyBorder="1" applyAlignment="1">
      <alignment horizontal="center" vertical="center"/>
    </xf>
    <xf numFmtId="0" fontId="29" fillId="0" borderId="21" xfId="44" applyFont="1" applyBorder="1" applyAlignment="1">
      <alignment vertical="center"/>
    </xf>
    <xf numFmtId="0" fontId="26" fillId="0" borderId="21" xfId="44" applyFont="1" applyBorder="1" applyAlignment="1">
      <alignment vertical="center"/>
    </xf>
    <xf numFmtId="0" fontId="26" fillId="0" borderId="31" xfId="44" applyFont="1" applyBorder="1" applyAlignment="1">
      <alignment horizontal="center" vertical="center"/>
    </xf>
    <xf numFmtId="0" fontId="30" fillId="0" borderId="20" xfId="44" applyFont="1" applyBorder="1" applyAlignment="1">
      <alignment horizontal="center" vertical="center"/>
    </xf>
    <xf numFmtId="0" fontId="26" fillId="0" borderId="11" xfId="44" applyFont="1" applyBorder="1" applyAlignment="1">
      <alignment horizontal="center" vertical="center"/>
    </xf>
    <xf numFmtId="0" fontId="26" fillId="0" borderId="11" xfId="44" applyFont="1" applyBorder="1" applyAlignment="1">
      <alignment vertical="center"/>
    </xf>
    <xf numFmtId="0" fontId="29" fillId="0" borderId="11" xfId="44" applyFont="1" applyBorder="1" applyAlignment="1">
      <alignment vertical="center"/>
    </xf>
    <xf numFmtId="0" fontId="26" fillId="0" borderId="29" xfId="44" applyFont="1" applyBorder="1" applyAlignment="1">
      <alignment horizontal="center" vertical="center"/>
    </xf>
    <xf numFmtId="0" fontId="30" fillId="0" borderId="18" xfId="44" applyFont="1" applyBorder="1" applyAlignment="1">
      <alignment horizontal="center" vertical="center"/>
    </xf>
    <xf numFmtId="0" fontId="26" fillId="0" borderId="11" xfId="44" applyFont="1" applyBorder="1" applyAlignment="1">
      <alignment horizontal="center" vertical="center"/>
    </xf>
    <xf numFmtId="0" fontId="26" fillId="0" borderId="11" xfId="44" applyFont="1" applyBorder="1" applyAlignment="1">
      <alignment vertical="center"/>
    </xf>
    <xf numFmtId="0" fontId="29" fillId="0" borderId="11" xfId="44" applyFont="1" applyBorder="1" applyAlignment="1">
      <alignment vertical="center"/>
    </xf>
    <xf numFmtId="0" fontId="26" fillId="0" borderId="29" xfId="44" applyFont="1" applyBorder="1" applyAlignment="1">
      <alignment horizontal="center" vertical="center"/>
    </xf>
    <xf numFmtId="0" fontId="30" fillId="0" borderId="18" xfId="44" applyFont="1" applyBorder="1" applyAlignment="1">
      <alignment horizontal="center" vertical="center"/>
    </xf>
    <xf numFmtId="0" fontId="26" fillId="0" borderId="11" xfId="44" applyFont="1" applyBorder="1" applyAlignment="1">
      <alignment horizontal="center" vertical="center"/>
    </xf>
    <xf numFmtId="0" fontId="26" fillId="0" borderId="11" xfId="44" applyFont="1" applyBorder="1" applyAlignment="1">
      <alignment vertical="center"/>
    </xf>
    <xf numFmtId="0" fontId="29" fillId="0" borderId="11" xfId="44" applyFont="1" applyBorder="1" applyAlignment="1">
      <alignment vertical="center"/>
    </xf>
    <xf numFmtId="0" fontId="26" fillId="0" borderId="29" xfId="44" applyFont="1" applyBorder="1" applyAlignment="1">
      <alignment horizontal="center" vertical="center"/>
    </xf>
    <xf numFmtId="0" fontId="30" fillId="0" borderId="18" xfId="44" applyFont="1" applyBorder="1" applyAlignment="1">
      <alignment horizontal="center" vertical="center"/>
    </xf>
    <xf numFmtId="0" fontId="26" fillId="0" borderId="11" xfId="44" applyFont="1" applyBorder="1" applyAlignment="1">
      <alignment horizontal="center" vertical="center"/>
    </xf>
    <xf numFmtId="0" fontId="26" fillId="0" borderId="11" xfId="44" applyFont="1" applyBorder="1" applyAlignment="1">
      <alignment vertical="center"/>
    </xf>
    <xf numFmtId="0" fontId="29" fillId="0" borderId="11" xfId="44" applyFont="1" applyBorder="1" applyAlignment="1">
      <alignment vertical="center"/>
    </xf>
    <xf numFmtId="0" fontId="26" fillId="0" borderId="29" xfId="44" applyFont="1" applyBorder="1" applyAlignment="1">
      <alignment horizontal="center" vertical="center"/>
    </xf>
    <xf numFmtId="0" fontId="30" fillId="0" borderId="18" xfId="44" applyFont="1" applyBorder="1" applyAlignment="1">
      <alignment horizontal="center" vertical="center"/>
    </xf>
    <xf numFmtId="0" fontId="0" fillId="39" borderId="11" xfId="0" applyFill="1" applyBorder="1"/>
    <xf numFmtId="0" fontId="0" fillId="0" borderId="11" xfId="0" applyFill="1" applyBorder="1"/>
    <xf numFmtId="1" fontId="20" fillId="0" borderId="10" xfId="0" applyNumberFormat="1" applyFont="1" applyFill="1" applyBorder="1" applyAlignment="1">
      <alignment horizontal="right" wrapText="1"/>
    </xf>
    <xf numFmtId="1" fontId="0" fillId="0" borderId="0" xfId="0" applyNumberFormat="1"/>
    <xf numFmtId="1" fontId="37" fillId="40" borderId="11" xfId="0" applyNumberFormat="1" applyFont="1" applyFill="1" applyBorder="1" applyAlignment="1">
      <alignment horizontal="left" vertical="top" wrapText="1"/>
    </xf>
    <xf numFmtId="1" fontId="20" fillId="28" borderId="10" xfId="0" applyNumberFormat="1" applyFont="1" applyFill="1" applyBorder="1" applyAlignment="1">
      <alignment wrapText="1"/>
    </xf>
    <xf numFmtId="1" fontId="23" fillId="28" borderId="11" xfId="0" applyNumberFormat="1" applyFont="1" applyFill="1" applyBorder="1" applyAlignment="1">
      <alignment horizontal="right" wrapText="1"/>
    </xf>
    <xf numFmtId="1" fontId="9" fillId="3" borderId="10" xfId="8" applyNumberFormat="1" applyBorder="1" applyAlignment="1">
      <alignment horizontal="left" wrapText="1"/>
    </xf>
    <xf numFmtId="1" fontId="20" fillId="28" borderId="10" xfId="0" applyNumberFormat="1" applyFont="1" applyFill="1" applyBorder="1" applyAlignment="1">
      <alignment horizontal="left" wrapText="1"/>
    </xf>
    <xf numFmtId="9" fontId="43" fillId="29" borderId="11" xfId="0" applyNumberFormat="1" applyFont="1" applyFill="1" applyBorder="1" applyAlignment="1">
      <alignment horizontal="left" vertical="center"/>
    </xf>
    <xf numFmtId="1" fontId="43" fillId="29" borderId="11" xfId="0" applyNumberFormat="1" applyFont="1" applyFill="1" applyBorder="1" applyAlignment="1">
      <alignment horizontal="left" vertical="center"/>
    </xf>
    <xf numFmtId="1" fontId="20" fillId="0" borderId="10" xfId="0" applyNumberFormat="1" applyFont="1" applyBorder="1" applyAlignment="1">
      <alignment wrapText="1"/>
    </xf>
    <xf numFmtId="1" fontId="42" fillId="36" borderId="11" xfId="0" applyNumberFormat="1" applyFont="1" applyFill="1" applyBorder="1" applyAlignment="1">
      <alignment horizontal="left" vertical="center" wrapText="1"/>
    </xf>
    <xf numFmtId="1" fontId="42" fillId="27" borderId="11" xfId="0" applyNumberFormat="1" applyFont="1" applyFill="1" applyBorder="1" applyAlignment="1">
      <alignment horizontal="left" vertical="center" wrapText="1"/>
    </xf>
    <xf numFmtId="1" fontId="23" fillId="0" borderId="11" xfId="0" applyNumberFormat="1" applyFont="1" applyBorder="1" applyAlignment="1">
      <alignment horizontal="left" wrapText="1"/>
    </xf>
    <xf numFmtId="1" fontId="42" fillId="35" borderId="11" xfId="0" applyNumberFormat="1" applyFont="1" applyFill="1" applyBorder="1" applyAlignment="1">
      <alignment horizontal="left" vertical="center" wrapText="1"/>
    </xf>
    <xf numFmtId="1" fontId="42" fillId="37" borderId="11" xfId="0" applyNumberFormat="1" applyFont="1" applyFill="1" applyBorder="1" applyAlignment="1">
      <alignment horizontal="left" vertical="center" wrapText="1"/>
    </xf>
    <xf numFmtId="1" fontId="42" fillId="34" borderId="11" xfId="0" applyNumberFormat="1" applyFont="1" applyFill="1" applyBorder="1" applyAlignment="1">
      <alignment horizontal="left" vertical="center" wrapText="1"/>
    </xf>
    <xf numFmtId="2" fontId="23" fillId="28" borderId="11" xfId="0" applyNumberFormat="1" applyFont="1" applyFill="1" applyBorder="1" applyAlignment="1">
      <alignment horizontal="right" wrapText="1"/>
    </xf>
    <xf numFmtId="1" fontId="0" fillId="41" borderId="0" xfId="0" applyNumberFormat="1" applyFill="1" applyAlignment="1">
      <alignment horizontal="left"/>
    </xf>
    <xf numFmtId="1" fontId="0" fillId="0" borderId="0" xfId="0" applyNumberFormat="1" applyAlignment="1">
      <alignment horizontal="left" vertical="center"/>
    </xf>
    <xf numFmtId="9" fontId="0" fillId="0" borderId="0" xfId="0" applyNumberFormat="1" applyAlignment="1">
      <alignment horizontal="left" vertical="center"/>
    </xf>
    <xf numFmtId="9" fontId="0" fillId="28" borderId="11" xfId="0" applyNumberFormat="1" applyFill="1" applyBorder="1" applyAlignment="1">
      <alignment horizontal="left"/>
    </xf>
    <xf numFmtId="1" fontId="0" fillId="0" borderId="0" xfId="0" applyNumberFormat="1" applyAlignment="1">
      <alignment horizontal="left"/>
    </xf>
    <xf numFmtId="9" fontId="0" fillId="41" borderId="0" xfId="0" applyNumberFormat="1" applyFill="1" applyAlignment="1">
      <alignment horizontal="left"/>
    </xf>
    <xf numFmtId="1" fontId="0" fillId="41" borderId="11" xfId="0" applyNumberFormat="1" applyFill="1" applyBorder="1" applyAlignment="1">
      <alignment horizontal="left"/>
    </xf>
    <xf numFmtId="1" fontId="45" fillId="37" borderId="11" xfId="0" applyNumberFormat="1" applyFont="1" applyFill="1" applyBorder="1" applyAlignment="1">
      <alignment horizontal="left" vertical="center" wrapText="1"/>
    </xf>
    <xf numFmtId="9" fontId="23" fillId="42" borderId="11" xfId="0" applyNumberFormat="1" applyFont="1" applyFill="1" applyBorder="1" applyAlignment="1">
      <alignment horizontal="left"/>
    </xf>
    <xf numFmtId="0" fontId="21" fillId="0" borderId="11" xfId="0" applyFont="1" applyBorder="1" applyAlignment="1">
      <alignment horizontal="left" vertical="center" wrapText="1"/>
    </xf>
    <xf numFmtId="0" fontId="21" fillId="41" borderId="11" xfId="0" applyFont="1" applyFill="1" applyBorder="1" applyAlignment="1">
      <alignment horizontal="left" vertical="center" wrapText="1"/>
    </xf>
    <xf numFmtId="1" fontId="42" fillId="41" borderId="11" xfId="0" applyNumberFormat="1" applyFont="1" applyFill="1" applyBorder="1" applyAlignment="1">
      <alignment horizontal="left" wrapText="1"/>
    </xf>
    <xf numFmtId="1" fontId="42" fillId="28" borderId="11" xfId="0" applyNumberFormat="1" applyFont="1" applyFill="1" applyBorder="1" applyAlignment="1">
      <alignment horizontal="left" wrapText="1"/>
    </xf>
    <xf numFmtId="1" fontId="23" fillId="42" borderId="11" xfId="0" applyNumberFormat="1" applyFont="1" applyFill="1" applyBorder="1" applyAlignment="1">
      <alignment horizontal="left"/>
    </xf>
    <xf numFmtId="9" fontId="2" fillId="0" borderId="11" xfId="1" applyFont="1" applyBorder="1" applyAlignment="1">
      <alignment horizontal="left" wrapText="1"/>
    </xf>
    <xf numFmtId="9" fontId="2" fillId="41" borderId="11" xfId="1" applyFont="1" applyFill="1" applyBorder="1" applyAlignment="1">
      <alignment horizontal="left" wrapText="1"/>
    </xf>
    <xf numFmtId="2" fontId="0" fillId="28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29" borderId="11" xfId="0" applyFill="1" applyBorder="1" applyAlignment="1">
      <alignment horizontal="left" vertical="center"/>
    </xf>
    <xf numFmtId="2" fontId="21" fillId="0" borderId="11" xfId="0" applyNumberFormat="1" applyFont="1" applyBorder="1" applyAlignment="1">
      <alignment horizontal="left" vertical="center" wrapText="1"/>
    </xf>
    <xf numFmtId="9" fontId="46" fillId="29" borderId="11" xfId="0" applyNumberFormat="1" applyFont="1" applyFill="1" applyBorder="1" applyAlignment="1">
      <alignment horizontal="left" vertical="center"/>
    </xf>
    <xf numFmtId="9" fontId="1" fillId="0" borderId="11" xfId="1" applyFont="1" applyBorder="1" applyAlignment="1">
      <alignment horizontal="left" wrapText="1"/>
    </xf>
    <xf numFmtId="0" fontId="0" fillId="0" borderId="11" xfId="0" applyBorder="1" applyAlignment="1">
      <alignment horizontal="left" vertical="center"/>
    </xf>
    <xf numFmtId="9" fontId="0" fillId="0" borderId="0" xfId="0" applyNumberFormat="1" applyAlignment="1">
      <alignment horizontal="left"/>
    </xf>
    <xf numFmtId="9" fontId="37" fillId="29" borderId="11" xfId="1" applyFont="1" applyFill="1" applyBorder="1" applyAlignment="1">
      <alignment horizontal="left" vertical="top" wrapText="1"/>
    </xf>
    <xf numFmtId="1" fontId="37" fillId="29" borderId="11" xfId="1" applyNumberFormat="1" applyFont="1" applyFill="1" applyBorder="1" applyAlignment="1">
      <alignment horizontal="left" vertical="top" wrapText="1"/>
    </xf>
    <xf numFmtId="0" fontId="0" fillId="0" borderId="32" xfId="0" applyBorder="1" applyAlignment="1">
      <alignment horizontal="center" vertical="center"/>
    </xf>
    <xf numFmtId="1" fontId="21" fillId="0" borderId="11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left"/>
    </xf>
    <xf numFmtId="1" fontId="46" fillId="29" borderId="11" xfId="0" applyNumberFormat="1" applyFont="1" applyFill="1" applyBorder="1" applyAlignment="1">
      <alignment horizontal="left" vertical="center"/>
    </xf>
    <xf numFmtId="1" fontId="0" fillId="28" borderId="11" xfId="0" applyNumberFormat="1" applyFill="1" applyBorder="1" applyAlignment="1">
      <alignment horizontal="left"/>
    </xf>
    <xf numFmtId="0" fontId="0" fillId="0" borderId="0" xfId="0" applyAlignment="1">
      <alignment horizontal="left" wrapText="1"/>
    </xf>
    <xf numFmtId="9" fontId="0" fillId="0" borderId="0" xfId="1" applyFont="1" applyAlignment="1">
      <alignment horizontal="left"/>
    </xf>
    <xf numFmtId="1" fontId="20" fillId="0" borderId="10" xfId="0" applyNumberFormat="1" applyFont="1" applyBorder="1" applyAlignment="1">
      <alignment horizontal="left" wrapText="1"/>
    </xf>
    <xf numFmtId="2" fontId="21" fillId="0" borderId="32" xfId="0" applyNumberFormat="1" applyFont="1" applyBorder="1" applyAlignment="1">
      <alignment horizontal="left" vertical="center" wrapText="1"/>
    </xf>
    <xf numFmtId="1" fontId="21" fillId="0" borderId="32" xfId="0" applyNumberFormat="1" applyFont="1" applyBorder="1" applyAlignment="1">
      <alignment horizontal="left" vertical="center" wrapText="1"/>
    </xf>
    <xf numFmtId="1" fontId="21" fillId="0" borderId="11" xfId="0" applyNumberFormat="1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2" fontId="23" fillId="28" borderId="11" xfId="0" applyNumberFormat="1" applyFont="1" applyFill="1" applyBorder="1" applyAlignment="1">
      <alignment horizontal="left" wrapText="1"/>
    </xf>
    <xf numFmtId="1" fontId="23" fillId="28" borderId="11" xfId="0" applyNumberFormat="1" applyFont="1" applyFill="1" applyBorder="1" applyAlignment="1">
      <alignment horizontal="left" wrapText="1"/>
    </xf>
    <xf numFmtId="0" fontId="0" fillId="0" borderId="32" xfId="0" applyBorder="1" applyAlignment="1">
      <alignment horizontal="left" vertical="center"/>
    </xf>
    <xf numFmtId="2" fontId="23" fillId="0" borderId="11" xfId="0" applyNumberFormat="1" applyFont="1" applyBorder="1" applyAlignment="1">
      <alignment horizontal="left" wrapText="1"/>
    </xf>
    <xf numFmtId="0" fontId="38" fillId="0" borderId="24" xfId="19" applyAlignment="1">
      <alignment horizontal="left" vertical="center" wrapText="1"/>
    </xf>
    <xf numFmtId="0" fontId="38" fillId="0" borderId="24" xfId="19" applyAlignment="1">
      <alignment horizontal="left" vertical="center"/>
    </xf>
    <xf numFmtId="1" fontId="0" fillId="29" borderId="11" xfId="0" applyNumberFormat="1" applyFill="1" applyBorder="1" applyAlignment="1">
      <alignment horizontal="left"/>
    </xf>
    <xf numFmtId="1" fontId="0" fillId="42" borderId="11" xfId="0" applyNumberFormat="1" applyFill="1" applyBorder="1" applyAlignment="1">
      <alignment horizontal="left"/>
    </xf>
    <xf numFmtId="1" fontId="0" fillId="43" borderId="11" xfId="0" applyNumberFormat="1" applyFill="1" applyBorder="1" applyAlignment="1">
      <alignment horizontal="left"/>
    </xf>
    <xf numFmtId="1" fontId="0" fillId="35" borderId="11" xfId="0" applyNumberFormat="1" applyFill="1" applyBorder="1" applyAlignment="1">
      <alignment horizontal="left"/>
    </xf>
    <xf numFmtId="1" fontId="0" fillId="44" borderId="11" xfId="0" applyNumberFormat="1" applyFill="1" applyBorder="1" applyAlignment="1">
      <alignment horizontal="left"/>
    </xf>
    <xf numFmtId="1" fontId="23" fillId="34" borderId="11" xfId="0" applyNumberFormat="1" applyFont="1" applyFill="1" applyBorder="1" applyAlignment="1">
      <alignment horizontal="left" vertical="center"/>
    </xf>
    <xf numFmtId="1" fontId="23" fillId="45" borderId="11" xfId="0" applyNumberFormat="1" applyFont="1" applyFill="1" applyBorder="1" applyAlignment="1">
      <alignment horizontal="left" vertical="center"/>
    </xf>
    <xf numFmtId="0" fontId="37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37" fillId="28" borderId="11" xfId="0" applyNumberFormat="1" applyFont="1" applyFill="1" applyBorder="1" applyAlignment="1" applyProtection="1">
      <alignment horizontal="left" vertical="top" wrapText="1"/>
    </xf>
    <xf numFmtId="0" fontId="37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37" fillId="28" borderId="11" xfId="0" applyNumberFormat="1" applyFont="1" applyFill="1" applyBorder="1" applyAlignment="1" applyProtection="1">
      <alignment horizontal="left" vertical="top" wrapText="1"/>
    </xf>
    <xf numFmtId="1" fontId="0" fillId="0" borderId="32" xfId="0" applyNumberFormat="1" applyBorder="1" applyAlignment="1">
      <alignment horizontal="left" vertical="center"/>
    </xf>
    <xf numFmtId="0" fontId="29" fillId="0" borderId="0" xfId="44" applyFont="1" applyAlignment="1">
      <alignment horizontal="center"/>
    </xf>
    <xf numFmtId="0" fontId="32" fillId="0" borderId="0" xfId="44" applyFont="1" applyAlignment="1">
      <alignment horizontal="center"/>
    </xf>
    <xf numFmtId="0" fontId="33" fillId="0" borderId="0" xfId="44" applyFont="1" applyAlignment="1">
      <alignment horizontal="center"/>
    </xf>
    <xf numFmtId="0" fontId="36" fillId="0" borderId="0" xfId="46"/>
    <xf numFmtId="0" fontId="36" fillId="41" borderId="0" xfId="46" applyFill="1"/>
  </cellXfs>
  <cellStyles count="47">
    <cellStyle name="20% — акцент1" xfId="20" builtinId="30" customBuiltin="1"/>
    <cellStyle name="20% — акцент2" xfId="24" builtinId="34" customBuiltin="1"/>
    <cellStyle name="20% — акцент3" xfId="28" builtinId="38" customBuiltin="1"/>
    <cellStyle name="20% — акцент4" xfId="32" builtinId="42" customBuiltin="1"/>
    <cellStyle name="20% — акцент5" xfId="36" builtinId="46" customBuiltin="1"/>
    <cellStyle name="20% — акцент6" xfId="40" builtinId="50" customBuiltin="1"/>
    <cellStyle name="40% — акцент1" xfId="21" builtinId="31" customBuiltin="1"/>
    <cellStyle name="40% — акцент2" xfId="25" builtinId="35" customBuiltin="1"/>
    <cellStyle name="40% — акцент3" xfId="29" builtinId="39" customBuiltin="1"/>
    <cellStyle name="40% — акцент4" xfId="33" builtinId="43" customBuiltin="1"/>
    <cellStyle name="40% — акцент5" xfId="37" builtinId="47" customBuiltin="1"/>
    <cellStyle name="40% — акцент6" xfId="41" builtinId="51" customBuiltin="1"/>
    <cellStyle name="60% — акцент1" xfId="22" builtinId="32" customBuiltin="1"/>
    <cellStyle name="60% — акцент2" xfId="26" builtinId="36" customBuiltin="1"/>
    <cellStyle name="60% — акцент3" xfId="30" builtinId="40" customBuiltin="1"/>
    <cellStyle name="60% — акцент4" xfId="34" builtinId="44" customBuiltin="1"/>
    <cellStyle name="60% — акцент5" xfId="38" builtinId="48" customBuiltin="1"/>
    <cellStyle name="60% — акцент6" xfId="42" builtinId="52" customBuiltin="1"/>
    <cellStyle name="Акцент1" xfId="19" builtinId="29" customBuiltin="1"/>
    <cellStyle name="Акцент2" xfId="23" builtinId="33" customBuiltin="1"/>
    <cellStyle name="Акцент3" xfId="27" builtinId="37" customBuiltin="1"/>
    <cellStyle name="Акцент4" xfId="31" builtinId="41" customBuiltin="1"/>
    <cellStyle name="Акцент5" xfId="35" builtinId="45" customBuiltin="1"/>
    <cellStyle name="Акцент6" xfId="39" builtinId="49" customBuiltin="1"/>
    <cellStyle name="Ввод " xfId="10" builtinId="20" customBuiltin="1"/>
    <cellStyle name="Вывод" xfId="11" builtinId="21" customBuiltin="1"/>
    <cellStyle name="Вычисление" xfId="12" builtinId="22" customBuiltin="1"/>
    <cellStyle name="Заголовок 1" xfId="3" builtinId="16" customBuiltin="1"/>
    <cellStyle name="Заголовок 2" xfId="4" builtinId="17" customBuiltin="1"/>
    <cellStyle name="Заголовок 3" xfId="5" builtinId="18" customBuiltin="1"/>
    <cellStyle name="Заголовок 4" xfId="6" builtinId="19" customBuiltin="1"/>
    <cellStyle name="Итог" xfId="18" builtinId="25" customBuiltin="1"/>
    <cellStyle name="Контрольная ячейка" xfId="14" builtinId="23" customBuiltin="1"/>
    <cellStyle name="Название" xfId="2" builtinId="15" customBuiltin="1"/>
    <cellStyle name="Нейтральный" xfId="9" builtinId="28" customBuiltin="1"/>
    <cellStyle name="Обычный" xfId="0" builtinId="0" customBuiltin="1"/>
    <cellStyle name="Обычный 2" xfId="44" xr:uid="{00000000-0005-0000-0000-000025000000}"/>
    <cellStyle name="Обычный 3" xfId="43" xr:uid="{00000000-0005-0000-0000-000026000000}"/>
    <cellStyle name="Обычный 4" xfId="45" xr:uid="{98828738-8EFD-4B56-A4AF-FCC638091B50}"/>
    <cellStyle name="Обычный 6" xfId="46" xr:uid="{FFDE3CE3-F21F-4D9D-A89B-0258FE07555D}"/>
    <cellStyle name="Плохой" xfId="8" builtinId="27" customBuiltin="1"/>
    <cellStyle name="Пояснение" xfId="17" builtinId="53" customBuiltin="1"/>
    <cellStyle name="Примечание" xfId="16" builtinId="10" customBuiltin="1"/>
    <cellStyle name="Процентный" xfId="1" builtinId="5"/>
    <cellStyle name="Связанная ячейка" xfId="13" builtinId="24" customBuiltin="1"/>
    <cellStyle name="Текст предупреждения" xfId="15" builtinId="11" customBuiltin="1"/>
    <cellStyle name="Хороший" xfId="7" builtinId="26" customBuiltin="1"/>
  </cellStyles>
  <dxfs count="19"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57150</xdr:colOff>
      <xdr:row>0</xdr:row>
      <xdr:rowOff>9525</xdr:rowOff>
    </xdr:from>
    <xdr:to>
      <xdr:col>3</xdr:col>
      <xdr:colOff>38100</xdr:colOff>
      <xdr:row>2</xdr:row>
      <xdr:rowOff>180975</xdr:rowOff>
    </xdr:to>
    <xdr:pic>
      <xdr:nvPicPr>
        <xdr:cNvPr id="3" name="Рисунок 1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9525"/>
          <a:ext cx="5905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5CECCCE-CF22-4382-ACD4-131756748A8D}" autoFormatId="16" applyNumberFormats="0" applyBorderFormats="0" applyFontFormats="0" applyPatternFormats="0" applyAlignmentFormats="0" applyWidthHeightFormats="0">
  <queryTableRefresh nextId="25">
    <queryTableFields count="2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1DC40B-AB12-4224-9C02-93C9BD74479B}" name="ФормКовер" displayName="ФормКовер" ref="A1:X23" tableType="queryTable" totalsRowShown="0">
  <autoFilter ref="A1:X23" xr:uid="{E4245F35-6744-4EEC-A07A-29F3F8E62011}"/>
  <tableColumns count="24">
    <tableColumn id="1" xr3:uid="{F6786630-A7C1-45BF-A204-37E1BA4C144B}" uniqueName="1" name="Column1" queryTableFieldId="1"/>
    <tableColumn id="2" xr3:uid="{FA4CAD1F-92F5-4610-A68F-C6AF13581121}" uniqueName="2" name="Column2" queryTableFieldId="2" dataDxfId="18"/>
    <tableColumn id="3" xr3:uid="{C359C752-B61F-4235-8D96-D9C3D3F16D7D}" uniqueName="3" name="Column3" queryTableFieldId="3"/>
    <tableColumn id="4" xr3:uid="{7CB0DE59-6192-4951-B32A-7D41E090A1B3}" uniqueName="4" name="Column4" queryTableFieldId="4"/>
    <tableColumn id="5" xr3:uid="{7418F18E-AF7B-4FAF-9FAE-0F791C0B4645}" uniqueName="5" name="Column5" queryTableFieldId="5"/>
    <tableColumn id="6" xr3:uid="{5C068E9A-42A1-4837-B616-32656D5B8AF1}" uniqueName="6" name="Column6" queryTableFieldId="6"/>
    <tableColumn id="7" xr3:uid="{73E791AD-F6C9-4481-873C-6216D90A2C10}" uniqueName="7" name="Column7" queryTableFieldId="7" dataDxfId="17"/>
    <tableColumn id="8" xr3:uid="{D1CCDAAE-2308-410A-AD6A-B225FF2745F8}" uniqueName="8" name="Column8" queryTableFieldId="8"/>
    <tableColumn id="9" xr3:uid="{54858854-5A38-442D-A3C5-F5D7E0C09668}" uniqueName="9" name="Column9" queryTableFieldId="9"/>
    <tableColumn id="10" xr3:uid="{1BBCCCBB-08CC-4502-A195-AF449EB3EBD9}" uniqueName="10" name="Column10" queryTableFieldId="10"/>
    <tableColumn id="11" xr3:uid="{E8B48303-CDC0-46BE-9FDE-87A6C284EBC6}" uniqueName="11" name="Column11" queryTableFieldId="11"/>
    <tableColumn id="12" xr3:uid="{888CA826-7365-490F-ACDB-EF41F1B20674}" uniqueName="12" name="Column12" queryTableFieldId="12"/>
    <tableColumn id="13" xr3:uid="{4EA199F2-5482-4AB2-9535-5A41B17719D3}" uniqueName="13" name="Column13" queryTableFieldId="13"/>
    <tableColumn id="14" xr3:uid="{A0D6E214-3A6B-4153-806E-BCB3F8F272E5}" uniqueName="14" name="Column14" queryTableFieldId="14"/>
    <tableColumn id="15" xr3:uid="{3D6EA6B0-9DE8-4C7C-9891-E0C7E37B3EC1}" uniqueName="15" name="Column15" queryTableFieldId="15"/>
    <tableColumn id="16" xr3:uid="{42B30DCF-AF9C-4EE9-86EF-A023F8E1317D}" uniqueName="16" name="Column16" queryTableFieldId="16"/>
    <tableColumn id="17" xr3:uid="{A8B68325-80B0-4BFD-AD16-35A550F1D175}" uniqueName="17" name="Column17" queryTableFieldId="17"/>
    <tableColumn id="18" xr3:uid="{B17248FF-86F8-467B-B259-FC63505B13A5}" uniqueName="18" name="Column18" queryTableFieldId="18"/>
    <tableColumn id="19" xr3:uid="{054EE214-3593-4598-8B48-FD50CC1F4CD1}" uniqueName="19" name="Column19" queryTableFieldId="19"/>
    <tableColumn id="20" xr3:uid="{76C2B975-993E-474C-A55F-80D7D067BD85}" uniqueName="20" name="Column20" queryTableFieldId="20"/>
    <tableColumn id="21" xr3:uid="{C3BAAD77-B2D2-410A-A0C2-D7151F1E053D}" uniqueName="21" name="Column21" queryTableFieldId="21"/>
    <tableColumn id="22" xr3:uid="{9013C88E-1A99-4C3C-B1CB-5027600F0810}" uniqueName="22" name="Column22" queryTableFieldId="22"/>
    <tableColumn id="23" xr3:uid="{61EAB992-1C0F-4F8C-B0FE-7C37EEF8113F}" uniqueName="23" name="Column23" queryTableFieldId="23"/>
    <tableColumn id="24" xr3:uid="{A1124383-A12E-4907-A704-17E84367A6C1}" uniqueName="24" name="Column24" queryTableField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otorring.ru/product/28799-kover-pola-trehsloynyy-shimoizolyacia-vaz-2110-2112" TargetMode="External"/><Relationship Id="rId2" Type="http://schemas.openxmlformats.org/officeDocument/2006/relationships/hyperlink" Target="https://motorring.ru/product/33069-kover-pola-lyuks-trehsloynyy-shumoizolyaciey-lada-kalina" TargetMode="External"/><Relationship Id="rId1" Type="http://schemas.openxmlformats.org/officeDocument/2006/relationships/hyperlink" Target="https://motorring.ru/product/28799-kover-pola-trehsloynyy-shimoizolyacia-vaz-2110-2112" TargetMode="External"/><Relationship Id="rId5" Type="http://schemas.openxmlformats.org/officeDocument/2006/relationships/hyperlink" Target="https://motorring.ru/product/12431-shtatnyy-kover-pola-formovannyy-2131-lyuks-5-dvernuyu-lada" TargetMode="External"/><Relationship Id="rId4" Type="http://schemas.openxmlformats.org/officeDocument/2006/relationships/hyperlink" Target="https://motorring.ru/product/21183-kover-pola-lyuks-trehsloynyy-vaz-2108-21099-2113-211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motorring.ru/product/17731-kover-pola-lyuks-trehsloynyy-shumoizolyaciey-lada-niva" TargetMode="External"/><Relationship Id="rId2" Type="http://schemas.openxmlformats.org/officeDocument/2006/relationships/hyperlink" Target="https://motorring.ru/product/28218-zavodskoy-kover-pola-dlya-shevrole-lada-niva-2123" TargetMode="External"/><Relationship Id="rId1" Type="http://schemas.openxmlformats.org/officeDocument/2006/relationships/hyperlink" Target="https://motorring.ru/product/20637-kover-pola-lyuks-trehsloynyy-shumoizolyaciey-vaz-2101-2107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36"/>
  <sheetViews>
    <sheetView showGridLines="0" workbookViewId="0">
      <pane ySplit="2" topLeftCell="A3" activePane="bottomLeft" state="frozen"/>
      <selection pane="bottomLeft" activeCell="G11" sqref="G11"/>
    </sheetView>
  </sheetViews>
  <sheetFormatPr defaultRowHeight="15" outlineLevelCol="1"/>
  <cols>
    <col min="1" max="1" width="7" style="115" bestFit="1" customWidth="1"/>
    <col min="2" max="2" width="6.85546875" style="115" bestFit="1" customWidth="1"/>
    <col min="3" max="3" width="36.5703125" style="115" customWidth="1"/>
    <col min="4" max="4" width="3.42578125" style="115" bestFit="1" customWidth="1"/>
    <col min="5" max="5" width="4.85546875" style="115" bestFit="1" customWidth="1"/>
    <col min="6" max="6" width="28.5703125" style="115" customWidth="1"/>
    <col min="7" max="7" width="11" style="115" customWidth="1"/>
    <col min="8" max="8" width="5" style="102" bestFit="1" customWidth="1"/>
    <col min="9" max="9" width="4.42578125" style="115" customWidth="1"/>
    <col min="10" max="11" width="5" style="102" bestFit="1" customWidth="1"/>
    <col min="12" max="12" width="2.28515625" style="102" customWidth="1"/>
    <col min="13" max="15" width="5" style="102" customWidth="1"/>
    <col min="16" max="16" width="4.5703125" style="102" bestFit="1" customWidth="1"/>
    <col min="17" max="17" width="5.28515625" style="102" customWidth="1"/>
    <col min="18" max="18" width="2.140625" style="102" customWidth="1"/>
    <col min="19" max="20" width="5" style="115" customWidth="1" outlineLevel="1"/>
    <col min="21" max="21" width="4.140625" style="126" customWidth="1" outlineLevel="1"/>
    <col min="22" max="22" width="4.7109375" style="126" customWidth="1" outlineLevel="1"/>
    <col min="23" max="23" width="5" style="126" bestFit="1" customWidth="1"/>
    <col min="24" max="26" width="9.140625" style="115"/>
    <col min="27" max="27" width="8.5703125" style="115" bestFit="1" customWidth="1"/>
    <col min="28" max="28" width="6.5703125" style="102" customWidth="1" outlineLevel="1"/>
    <col min="29" max="29" width="2" style="126" customWidth="1" outlineLevel="1"/>
    <col min="30" max="30" width="8.28515625" style="126" customWidth="1" outlineLevel="1"/>
    <col min="31" max="31" width="5.85546875" style="115" bestFit="1" customWidth="1"/>
    <col min="32" max="32" width="9.140625" style="115"/>
    <col min="33" max="33" width="8" style="115" customWidth="1" outlineLevel="1"/>
    <col min="34" max="34" width="2" style="115" customWidth="1" outlineLevel="1"/>
    <col min="35" max="35" width="6" style="115" customWidth="1" outlineLevel="1"/>
    <col min="36" max="36" width="6.140625" style="115" customWidth="1"/>
    <col min="37" max="37" width="6.5703125" style="115" customWidth="1"/>
    <col min="38" max="38" width="8" style="115" customWidth="1" outlineLevel="1"/>
    <col min="39" max="39" width="2" style="115" customWidth="1" outlineLevel="1"/>
    <col min="40" max="40" width="6" style="115" customWidth="1" outlineLevel="1"/>
    <col min="41" max="41" width="7" style="115" customWidth="1"/>
    <col min="42" max="42" width="9.140625" style="115"/>
    <col min="43" max="43" width="8" style="115" customWidth="1" outlineLevel="1"/>
    <col min="44" max="44" width="2" style="115" customWidth="1" outlineLevel="1"/>
    <col min="45" max="45" width="6" style="115" customWidth="1" outlineLevel="1"/>
    <col min="46" max="46" width="6.42578125" style="115" customWidth="1"/>
    <col min="47" max="16384" width="9.140625" style="115"/>
  </cols>
  <sheetData>
    <row r="1" spans="1:47">
      <c r="B1" s="115">
        <v>2</v>
      </c>
      <c r="C1" s="129">
        <v>3</v>
      </c>
      <c r="D1" s="115">
        <v>4</v>
      </c>
      <c r="E1" s="115">
        <v>16</v>
      </c>
      <c r="G1" s="130">
        <f>COUNT(AE:AE,Торг!AE:AE)/COUNT(Торг!A:A,Кат!A:A)</f>
        <v>0.42307692307692307</v>
      </c>
      <c r="H1" s="86">
        <f>S1</f>
        <v>10</v>
      </c>
      <c r="L1" s="98"/>
      <c r="M1" s="99"/>
      <c r="N1" s="99"/>
      <c r="O1" s="100">
        <v>0.2</v>
      </c>
      <c r="P1" s="101" t="str">
        <f>_xlfn.CONCAT(ROUND(MIN(P3:P8946)*100,0),"-",ROUND(MAX(P3:P8946)*100,0),"%")</f>
        <v>13-88%</v>
      </c>
      <c r="R1" s="103"/>
      <c r="S1" s="115">
        <v>10</v>
      </c>
      <c r="T1" s="115">
        <v>11</v>
      </c>
      <c r="U1" s="102"/>
      <c r="V1" s="102"/>
      <c r="W1" s="121">
        <v>0.2</v>
      </c>
      <c r="X1" s="101" t="str">
        <f>_xlfn.CONCAT(ROUND(MIN(X3:X9010)*100,0),"-",ROUND(MAX(X3:X9010)*100,0),"%")</f>
        <v>20-99%</v>
      </c>
      <c r="Y1" s="101" t="str">
        <f>_xlfn.CONCAT(ROUND(SUBTOTAL(5,Y3:Y9010)*100,0)," - ",ROUND(SUBTOTAL(4,Y3:Y9010)*100,0),"%")</f>
        <v>-9 - 7%</v>
      </c>
      <c r="Z1" s="101" t="str">
        <f>_xlfn.CONCAT(ROUND(SUBTOTAL(5,Z3:Z90010)*100,0)," - ",ROUND(SUBTOTAL(4,Z3:Z90010)*100,0),"%")</f>
        <v>10 - 113%</v>
      </c>
      <c r="AA1" s="128">
        <f>MIN(AE1,AJ1,AO1,AT1)</f>
        <v>0</v>
      </c>
      <c r="AB1" s="115">
        <v>10</v>
      </c>
      <c r="AC1" s="115"/>
      <c r="AD1" s="116">
        <f>AH1</f>
        <v>0</v>
      </c>
      <c r="AE1" s="114"/>
      <c r="AG1" s="115">
        <v>11</v>
      </c>
      <c r="AI1" s="116">
        <f>AM1</f>
        <v>0</v>
      </c>
      <c r="AJ1" s="114"/>
      <c r="AL1" s="115">
        <v>12</v>
      </c>
      <c r="AN1" s="116">
        <f>AR1</f>
        <v>0</v>
      </c>
      <c r="AO1" s="114"/>
      <c r="AQ1" s="115">
        <v>13</v>
      </c>
      <c r="AS1" s="116">
        <f>AW1</f>
        <v>0</v>
      </c>
      <c r="AT1" s="114"/>
    </row>
    <row r="2" spans="1:47" ht="25.5">
      <c r="A2" s="2" t="s">
        <v>0</v>
      </c>
      <c r="B2" s="26" t="s">
        <v>110</v>
      </c>
      <c r="C2" s="26" t="s">
        <v>39</v>
      </c>
      <c r="D2" s="26"/>
      <c r="E2" s="26"/>
      <c r="F2" s="2" t="s">
        <v>1</v>
      </c>
      <c r="G2" s="2" t="s">
        <v>2</v>
      </c>
      <c r="H2" s="87" t="s">
        <v>120</v>
      </c>
      <c r="I2" s="2"/>
      <c r="J2" s="131"/>
      <c r="K2" s="87" t="s">
        <v>119</v>
      </c>
      <c r="L2" s="104"/>
      <c r="M2" s="105" t="s">
        <v>121</v>
      </c>
      <c r="N2" s="105" t="s">
        <v>121</v>
      </c>
      <c r="O2" s="106"/>
      <c r="P2" s="107" t="s">
        <v>5</v>
      </c>
      <c r="Q2" s="83"/>
      <c r="R2" s="108"/>
      <c r="S2" s="26"/>
      <c r="T2" s="26"/>
      <c r="U2" s="83"/>
      <c r="V2" s="83"/>
      <c r="W2" s="122">
        <v>0</v>
      </c>
      <c r="X2" s="107" t="s">
        <v>5</v>
      </c>
      <c r="Y2" s="107" t="s">
        <v>76</v>
      </c>
      <c r="Z2" s="107" t="s">
        <v>77</v>
      </c>
      <c r="AA2" s="117" t="s">
        <v>146</v>
      </c>
      <c r="AB2" s="118" t="s">
        <v>147</v>
      </c>
      <c r="AC2" s="88"/>
      <c r="AD2" s="118" t="s">
        <v>148</v>
      </c>
      <c r="AE2" s="132" t="s">
        <v>78</v>
      </c>
      <c r="AF2" s="117" t="s">
        <v>78</v>
      </c>
      <c r="AG2" s="118" t="s">
        <v>147</v>
      </c>
      <c r="AH2" s="88"/>
      <c r="AI2" s="118" t="s">
        <v>148</v>
      </c>
      <c r="AJ2" s="133">
        <v>2</v>
      </c>
      <c r="AK2" s="134">
        <v>2</v>
      </c>
      <c r="AL2" s="118" t="s">
        <v>147</v>
      </c>
      <c r="AM2" s="88"/>
      <c r="AN2" s="118" t="s">
        <v>148</v>
      </c>
      <c r="AO2" s="133">
        <v>3</v>
      </c>
      <c r="AP2" s="134">
        <v>3</v>
      </c>
      <c r="AQ2" s="118" t="s">
        <v>147</v>
      </c>
      <c r="AR2" s="88"/>
      <c r="AS2" s="118" t="s">
        <v>148</v>
      </c>
      <c r="AT2" s="133">
        <v>4</v>
      </c>
      <c r="AU2" s="134">
        <v>4</v>
      </c>
    </row>
    <row r="3" spans="1:47" ht="45">
      <c r="A3" s="135">
        <v>226498</v>
      </c>
      <c r="B3" s="135">
        <f>VLOOKUP($A3,'Выгр Кат'!$A:$P,B$1,0)</f>
        <v>12663</v>
      </c>
      <c r="C3" s="136" t="str">
        <f>VLOOKUP($A3,'Выгр Кат'!$A:$P,C$1,0)</f>
        <v>Штатный формованный ковер пола серый, без плёнки для Лада Нива 4х4 3-х дверная</v>
      </c>
      <c r="D3" s="135" t="str">
        <f>VLOOKUP($A3,'Выгр Кат'!$A:$P,D$1,0)</f>
        <v>Y</v>
      </c>
      <c r="E3" s="135" t="str">
        <f>VLOOKUP($A3,'Выгр Кат'!$A:$P,E$1,0)</f>
        <v>1</v>
      </c>
      <c r="F3" s="2" t="s">
        <v>66</v>
      </c>
      <c r="G3" s="2" t="s">
        <v>3</v>
      </c>
      <c r="H3" s="87">
        <f>VLOOKUP(F3,'Прайс-лист'!A:F,6,0)</f>
        <v>900</v>
      </c>
      <c r="I3" s="137">
        <v>1.6</v>
      </c>
      <c r="J3" s="145">
        <f t="shared" ref="J3:J9" si="0">AA3-100</f>
        <v>1821</v>
      </c>
      <c r="K3" s="138">
        <f t="shared" ref="K3:K11" si="1">IF(J3&lt;=1000,(ROUND(J3,-1)-1),(ROUND(J3,-2)-10))</f>
        <v>1790</v>
      </c>
      <c r="L3" s="109"/>
      <c r="M3" s="105">
        <f>J3*0.93</f>
        <v>1693.5300000000002</v>
      </c>
      <c r="N3" s="110">
        <f>IF(M3&lt;=1000,(ROUNDUP(M3,-1)-1),(ROUNDUP(M3,-2)-10))</f>
        <v>1690</v>
      </c>
      <c r="O3" s="111">
        <f>N3*(1-$W$2)</f>
        <v>1690</v>
      </c>
      <c r="P3" s="112">
        <f>IFERROR(O3/H3-1,"")</f>
        <v>0.87777777777777777</v>
      </c>
      <c r="Q3" s="83">
        <f t="shared" ref="Q3" si="2">T3-N3</f>
        <v>100</v>
      </c>
      <c r="R3" s="113"/>
      <c r="S3" s="135">
        <f>VLOOKUP($A3,'Выгр Кат'!$A:$P,S$1,0)</f>
        <v>900</v>
      </c>
      <c r="T3" s="135">
        <f>VLOOKUP($A3,'Выгр Кат'!$A:$P,T$1,0)</f>
        <v>1790</v>
      </c>
      <c r="U3" s="83">
        <f t="shared" ref="U3:U11" si="3">S3-H3</f>
        <v>0</v>
      </c>
      <c r="V3" s="83">
        <f t="shared" ref="V3:V11" si="4">T3-K3</f>
        <v>0</v>
      </c>
      <c r="W3" s="123">
        <f>IFERROR(ROUND(K3*(1-$W$2),),"")</f>
        <v>1790</v>
      </c>
      <c r="X3" s="119">
        <f>IFERROR(W3/H3-1,"")</f>
        <v>0.98888888888888893</v>
      </c>
      <c r="Y3" s="119">
        <f>IFERROR((AA3-W3)/AA3,"")</f>
        <v>6.8193649141072357E-2</v>
      </c>
      <c r="Z3" s="119">
        <f>IFERROR(IF(AA3="","",AA3/H3-1),"")</f>
        <v>1.1344444444444446</v>
      </c>
      <c r="AA3" s="128">
        <f t="shared" ref="AA3:AA9" si="5">MIN(AE3,AJ3,AO3,AT3)</f>
        <v>1921</v>
      </c>
      <c r="AB3" s="89" t="str">
        <f>IFERROR(ROUND((VLOOKUP($A3,'Из Гугла'!$B:$AD,AB$1,0)+AD3)*AC3,),VLOOKUP($A3,'Из Гугла'!$B:$AD,AB$1,0))</f>
        <v/>
      </c>
      <c r="AC3" s="24">
        <v>1</v>
      </c>
      <c r="AD3" s="24"/>
      <c r="AE3" s="139"/>
      <c r="AF3" s="135"/>
      <c r="AG3" s="89">
        <f>IFERROR(ROUND((VLOOKUP($A3,'Из Гугла'!$B:$AD,AG$1,0)+AI3)*AH3,),VLOOKUP($A3,'Из Гугла'!$B:$AD,AG$1,0))</f>
        <v>1921</v>
      </c>
      <c r="AH3" s="24">
        <v>1</v>
      </c>
      <c r="AI3" s="24"/>
      <c r="AJ3" s="158">
        <v>1921</v>
      </c>
      <c r="AK3" s="135" t="s">
        <v>167</v>
      </c>
      <c r="AL3" s="89" t="str">
        <f>IFERROR(ROUND((VLOOKUP($A3,'Из Гугла'!$B:$AD,AL$1,0)+AN3)*AM3,),VLOOKUP($A3,'Из Гугла'!$B:$AD,AL$1,0))</f>
        <v/>
      </c>
      <c r="AM3" s="24">
        <v>1</v>
      </c>
      <c r="AN3" s="24"/>
      <c r="AO3" s="139"/>
      <c r="AP3" s="135"/>
      <c r="AQ3" s="89" t="str">
        <f>IFERROR(ROUND((VLOOKUP($A3,'Из Гугла'!$B:$AD,AQ$1,0)+AS3)*AR3,),VLOOKUP($A3,'Из Гугла'!$B:$AD,AQ$1,0))</f>
        <v/>
      </c>
      <c r="AR3" s="24">
        <v>1</v>
      </c>
      <c r="AS3" s="24"/>
      <c r="AT3" s="139"/>
      <c r="AU3" s="135"/>
    </row>
    <row r="4" spans="1:47" ht="39.75" thickBot="1">
      <c r="A4" s="135">
        <v>226504</v>
      </c>
      <c r="B4" s="135">
        <f>VLOOKUP($A4,'Выгр Кат'!$A:$P,B$1,0)</f>
        <v>12664</v>
      </c>
      <c r="C4" s="136" t="str">
        <f>VLOOKUP($A4,'Выгр Кат'!$A:$P,C$1,0)</f>
        <v>Ковер пола Люкс из 2-х частей для Лада Нива 4х4 5-ти дверная</v>
      </c>
      <c r="D4" s="135" t="str">
        <f>VLOOKUP($A4,'Выгр Кат'!$A:$P,D$1,0)</f>
        <v>Y</v>
      </c>
      <c r="E4" s="135" t="str">
        <f>VLOOKUP($A4,'Выгр Кат'!$A:$P,E$1,0)</f>
        <v>1</v>
      </c>
      <c r="F4" s="2" t="s">
        <v>65</v>
      </c>
      <c r="G4" s="2" t="s">
        <v>3</v>
      </c>
      <c r="H4" s="87">
        <f>VLOOKUP(F4,'Прайс-лист'!A:F,6,0)</f>
        <v>2650</v>
      </c>
      <c r="I4" s="140">
        <f>VLOOKUP(H4,Наценка!$A$1:$B$8,2,1)</f>
        <v>1.4</v>
      </c>
      <c r="J4" s="149">
        <f>H4*1.2</f>
        <v>3180</v>
      </c>
      <c r="K4" s="138">
        <f t="shared" si="1"/>
        <v>3190</v>
      </c>
      <c r="L4" s="109"/>
      <c r="M4" s="105">
        <f t="shared" ref="M4:M11" si="6">J4*0.93</f>
        <v>2957.4</v>
      </c>
      <c r="N4" s="110">
        <f t="shared" ref="N4:N11" si="7">IF(M4&lt;=1000,(ROUNDUP(M4,-1)-1),(ROUNDUP(M4,-2)-10))</f>
        <v>2990</v>
      </c>
      <c r="O4" s="111">
        <f t="shared" ref="O4:O11" si="8">N4*(1-$W$2)</f>
        <v>2990</v>
      </c>
      <c r="P4" s="112">
        <f t="shared" ref="P4:P11" si="9">IFERROR(O4/H4-1,"")</f>
        <v>0.1283018867924528</v>
      </c>
      <c r="Q4" s="83">
        <f t="shared" ref="Q4:Q11" si="10">T4-N4</f>
        <v>200</v>
      </c>
      <c r="R4" s="113"/>
      <c r="S4" s="135">
        <f>VLOOKUP($A4,'Выгр Кат'!$A:$P,S$1,0)</f>
        <v>2650</v>
      </c>
      <c r="T4" s="135">
        <f>VLOOKUP($A4,'Выгр Кат'!$A:$P,T$1,0)</f>
        <v>3190</v>
      </c>
      <c r="U4" s="83">
        <f t="shared" si="3"/>
        <v>0</v>
      </c>
      <c r="V4" s="83">
        <f t="shared" si="4"/>
        <v>0</v>
      </c>
      <c r="W4" s="123">
        <f t="shared" ref="W4:W11" si="11">IFERROR(ROUND(K4*(1-$W$2),),"")</f>
        <v>3190</v>
      </c>
      <c r="X4" s="119">
        <f t="shared" ref="X4:X11" si="12">IFERROR(W4/H4-1,"")</f>
        <v>0.20377358490566033</v>
      </c>
      <c r="Y4" s="119">
        <f t="shared" ref="Y4:Y11" si="13">IFERROR((AA4-W4)/AA4,"")</f>
        <v>-9.2091749400890099E-2</v>
      </c>
      <c r="Z4" s="119">
        <f t="shared" ref="Z4:Z11" si="14">IFERROR(IF(AA4="","",AA4/H4-1),"")</f>
        <v>0.10226415094339614</v>
      </c>
      <c r="AA4" s="128">
        <f t="shared" si="5"/>
        <v>2921</v>
      </c>
      <c r="AB4" s="89">
        <f>IFERROR(ROUND((VLOOKUP($A4,'Из Гугла'!$B:$AD,AB$1,0)+AD4)*AC4,),VLOOKUP($A4,'Из Гугла'!$B:$AD,AB$1,0))</f>
        <v>3190</v>
      </c>
      <c r="AC4" s="24">
        <v>1</v>
      </c>
      <c r="AD4" s="24"/>
      <c r="AE4" s="141">
        <v>3190</v>
      </c>
      <c r="AF4" s="135" t="s">
        <v>72</v>
      </c>
      <c r="AG4" s="89">
        <f>IFERROR(ROUND((VLOOKUP($A4,'Из Гугла'!$B:$AD,AG$1,0)+AI4)*AH4,),VLOOKUP($A4,'Из Гугла'!$B:$AD,AG$1,0))</f>
        <v>2921</v>
      </c>
      <c r="AH4" s="24">
        <v>1</v>
      </c>
      <c r="AI4" s="24"/>
      <c r="AJ4" s="158">
        <v>2921</v>
      </c>
      <c r="AK4" s="135" t="s">
        <v>168</v>
      </c>
      <c r="AL4" s="89">
        <f>IFERROR(ROUND((VLOOKUP($A4,'Из Гугла'!$B:$AD,AL$1,0)+AN4)*AM4,),VLOOKUP($A4,'Из Гугла'!$B:$AD,AL$1,0))</f>
        <v>4017</v>
      </c>
      <c r="AM4" s="24">
        <v>1</v>
      </c>
      <c r="AN4" s="24"/>
      <c r="AO4" s="139">
        <v>4017</v>
      </c>
      <c r="AP4" s="135" t="s">
        <v>193</v>
      </c>
      <c r="AQ4" s="89" t="str">
        <f>IFERROR(ROUND((VLOOKUP($A4,'Из Гугла'!$B:$AD,AQ$1,0)+AS4)*AR4,),VLOOKUP($A4,'Из Гугла'!$B:$AD,AQ$1,0))</f>
        <v/>
      </c>
      <c r="AR4" s="24">
        <v>1</v>
      </c>
      <c r="AS4" s="24"/>
      <c r="AT4" s="139"/>
      <c r="AU4" s="135"/>
    </row>
    <row r="5" spans="1:47" ht="27.75" thickTop="1" thickBot="1">
      <c r="A5" s="135">
        <v>226509</v>
      </c>
      <c r="B5" s="135">
        <f>VLOOKUP($A5,'Выгр Кат'!$A:$P,B$1,0)</f>
        <v>20454</v>
      </c>
      <c r="C5" s="136" t="str">
        <f>VLOOKUP($A5,'Выгр Кат'!$A:$P,C$1,0)</f>
        <v>Ковер пола Люкс для ВАЗ 2110-2112</v>
      </c>
      <c r="D5" s="135" t="str">
        <f>VLOOKUP($A5,'Выгр Кат'!$A:$P,D$1,0)</f>
        <v>Y</v>
      </c>
      <c r="E5" s="135" t="str">
        <f>VLOOKUP($A5,'Выгр Кат'!$A:$P,E$1,0)</f>
        <v>1ск5</v>
      </c>
      <c r="F5" s="2" t="s">
        <v>61</v>
      </c>
      <c r="G5" s="2" t="s">
        <v>3</v>
      </c>
      <c r="H5" s="86">
        <f>S5</f>
        <v>2700</v>
      </c>
      <c r="I5" s="140">
        <f>VLOOKUP(H5,Наценка!$A$1:$B$8,2,1)</f>
        <v>1.4</v>
      </c>
      <c r="J5" s="145">
        <f t="shared" si="0"/>
        <v>3375</v>
      </c>
      <c r="K5" s="138">
        <f t="shared" si="1"/>
        <v>3390</v>
      </c>
      <c r="L5" s="109"/>
      <c r="M5" s="105">
        <f t="shared" si="6"/>
        <v>3138.75</v>
      </c>
      <c r="N5" s="110">
        <f t="shared" si="7"/>
        <v>3190</v>
      </c>
      <c r="O5" s="111">
        <f t="shared" si="8"/>
        <v>3190</v>
      </c>
      <c r="P5" s="112">
        <f t="shared" si="9"/>
        <v>0.18148148148148158</v>
      </c>
      <c r="Q5" s="83">
        <f t="shared" si="10"/>
        <v>200</v>
      </c>
      <c r="R5" s="113"/>
      <c r="S5" s="135">
        <f>VLOOKUP($A5,'Выгр Кат'!$A:$P,S$1,0)</f>
        <v>2700</v>
      </c>
      <c r="T5" s="135">
        <f>VLOOKUP($A5,'Выгр Кат'!$A:$P,T$1,0)</f>
        <v>3390</v>
      </c>
      <c r="U5" s="83">
        <f t="shared" si="3"/>
        <v>0</v>
      </c>
      <c r="V5" s="83">
        <f t="shared" si="4"/>
        <v>0</v>
      </c>
      <c r="W5" s="123">
        <f t="shared" si="11"/>
        <v>3390</v>
      </c>
      <c r="X5" s="119">
        <f t="shared" si="12"/>
        <v>0.25555555555555554</v>
      </c>
      <c r="Y5" s="119">
        <f t="shared" si="13"/>
        <v>2.4460431654676259E-2</v>
      </c>
      <c r="Z5" s="119">
        <f t="shared" si="14"/>
        <v>0.28703703703703698</v>
      </c>
      <c r="AA5" s="128">
        <f t="shared" si="5"/>
        <v>3475</v>
      </c>
      <c r="AB5" s="89">
        <f>IFERROR(ROUND((VLOOKUP($A5,'Из Гугла'!$B:$AD,AB$1,0)+AD5)*AC5,),VLOOKUP($A5,'Из Гугла'!$B:$AD,AB$1,0))</f>
        <v>4290</v>
      </c>
      <c r="AC5" s="24">
        <v>1</v>
      </c>
      <c r="AD5" s="24"/>
      <c r="AE5" s="141">
        <v>4290</v>
      </c>
      <c r="AF5" s="135" t="s">
        <v>69</v>
      </c>
      <c r="AG5" s="89">
        <f>IFERROR(ROUND((VLOOKUP($A5,'Из Гугла'!$B:$AD,AG$1,0)+AI5)*AH5,),VLOOKUP($A5,'Из Гугла'!$B:$AD,AG$1,0))</f>
        <v>4522</v>
      </c>
      <c r="AH5" s="24">
        <v>1</v>
      </c>
      <c r="AI5" s="24"/>
      <c r="AJ5" s="158">
        <v>4522</v>
      </c>
      <c r="AK5" s="135" t="s">
        <v>169</v>
      </c>
      <c r="AL5" s="89">
        <f>IFERROR(ROUND((VLOOKUP($A5,'Из Гугла'!$B:$AD,AL$1,0)+AN5)*AM5,),VLOOKUP($A5,'Из Гугла'!$B:$AD,AL$1,0))</f>
        <v>3475</v>
      </c>
      <c r="AM5" s="24">
        <v>1</v>
      </c>
      <c r="AN5" s="24"/>
      <c r="AO5" s="139">
        <v>3475</v>
      </c>
      <c r="AP5" s="135" t="s">
        <v>180</v>
      </c>
      <c r="AQ5" s="89">
        <f>IFERROR(ROUND((VLOOKUP($A5,'Из Гугла'!$B:$AD,AQ$1,0)+AS5)*AR5,),VLOOKUP($A5,'Из Гугла'!$B:$AD,AQ$1,0))</f>
        <v>4102</v>
      </c>
      <c r="AR5" s="24">
        <v>1</v>
      </c>
      <c r="AS5" s="24"/>
      <c r="AT5" s="139">
        <v>4102</v>
      </c>
      <c r="AU5" s="135" t="s">
        <v>181</v>
      </c>
    </row>
    <row r="6" spans="1:47" ht="46.5" thickTop="1" thickBot="1">
      <c r="A6" s="135">
        <v>226508</v>
      </c>
      <c r="B6" s="135">
        <f>VLOOKUP($A6,'Выгр Кат'!$A:$P,B$1,0)</f>
        <v>24918</v>
      </c>
      <c r="C6" s="136" t="str">
        <f>VLOOKUP($A6,'Выгр Кат'!$A:$P,C$1,0)</f>
        <v>Ковер пола Люкс трехслойный с шумоизоляцией  для ВАЗ 2108-21099, 2113-2115</v>
      </c>
      <c r="D6" s="135" t="str">
        <f>VLOOKUP($A6,'Выгр Кат'!$A:$P,D$1,0)</f>
        <v>Y</v>
      </c>
      <c r="E6" s="135" t="str">
        <f>VLOOKUP($A6,'Выгр Кат'!$A:$P,E$1,0)</f>
        <v>1</v>
      </c>
      <c r="F6" s="2" t="s">
        <v>53</v>
      </c>
      <c r="G6" s="2" t="s">
        <v>3</v>
      </c>
      <c r="H6" s="87">
        <v>2700</v>
      </c>
      <c r="I6" s="140">
        <f>VLOOKUP(H6,Наценка!$A$1:$B$8,2,1)</f>
        <v>1.4</v>
      </c>
      <c r="J6" s="149">
        <f>H6*1.22</f>
        <v>3294</v>
      </c>
      <c r="K6" s="138">
        <f t="shared" si="1"/>
        <v>3290</v>
      </c>
      <c r="L6" s="109"/>
      <c r="M6" s="105">
        <f t="shared" si="6"/>
        <v>3063.42</v>
      </c>
      <c r="N6" s="110">
        <f t="shared" si="7"/>
        <v>3090</v>
      </c>
      <c r="O6" s="111">
        <f t="shared" si="8"/>
        <v>3090</v>
      </c>
      <c r="P6" s="112">
        <f t="shared" si="9"/>
        <v>0.14444444444444438</v>
      </c>
      <c r="Q6" s="83">
        <f t="shared" si="10"/>
        <v>200</v>
      </c>
      <c r="R6" s="113"/>
      <c r="S6" s="135">
        <f>VLOOKUP($A6,'Выгр Кат'!$A:$P,S$1,0)</f>
        <v>2700</v>
      </c>
      <c r="T6" s="135">
        <f>VLOOKUP($A6,'Выгр Кат'!$A:$P,T$1,0)</f>
        <v>3290</v>
      </c>
      <c r="U6" s="83">
        <f t="shared" si="3"/>
        <v>0</v>
      </c>
      <c r="V6" s="83">
        <f t="shared" si="4"/>
        <v>0</v>
      </c>
      <c r="W6" s="123">
        <f t="shared" si="11"/>
        <v>3290</v>
      </c>
      <c r="X6" s="119">
        <f t="shared" si="12"/>
        <v>0.21851851851851856</v>
      </c>
      <c r="Y6" s="119">
        <f t="shared" si="13"/>
        <v>-5.4487179487179488E-2</v>
      </c>
      <c r="Z6" s="119">
        <f t="shared" si="14"/>
        <v>0.15555555555555545</v>
      </c>
      <c r="AA6" s="128">
        <f t="shared" si="5"/>
        <v>3120</v>
      </c>
      <c r="AB6" s="89">
        <f>IFERROR(ROUND((VLOOKUP($A6,'Из Гугла'!$B:$AD,AB$1,0)+AD6)*AC6,),VLOOKUP($A6,'Из Гугла'!$B:$AD,AB$1,0))</f>
        <v>4690</v>
      </c>
      <c r="AC6" s="24">
        <v>1</v>
      </c>
      <c r="AD6" s="24"/>
      <c r="AE6" s="141">
        <v>4690</v>
      </c>
      <c r="AF6" s="135" t="s">
        <v>71</v>
      </c>
      <c r="AG6" s="89">
        <f>IFERROR(ROUND((VLOOKUP($A6,'Из Гугла'!$B:$AD,AG$1,0)+AI6)*AH6,),VLOOKUP($A6,'Из Гугла'!$B:$AD,AG$1,0))</f>
        <v>4722</v>
      </c>
      <c r="AH6" s="24">
        <v>1</v>
      </c>
      <c r="AI6" s="24"/>
      <c r="AJ6" s="158">
        <v>4722</v>
      </c>
      <c r="AK6" s="135" t="s">
        <v>170</v>
      </c>
      <c r="AL6" s="89">
        <f>IFERROR(ROUND((VLOOKUP($A6,'Из Гугла'!$B:$AD,AL$1,0)+AN6)*AM6,),VLOOKUP($A6,'Из Гугла'!$B:$AD,AL$1,0))</f>
        <v>3120</v>
      </c>
      <c r="AM6" s="24">
        <v>1</v>
      </c>
      <c r="AN6" s="24"/>
      <c r="AO6" s="139">
        <v>3120</v>
      </c>
      <c r="AP6" s="135" t="s">
        <v>182</v>
      </c>
      <c r="AQ6" s="89">
        <f>IFERROR(ROUND((VLOOKUP($A6,'Из Гугла'!$B:$AD,AQ$1,0)+AS6)*AR6,),VLOOKUP($A6,'Из Гугла'!$B:$AD,AQ$1,0))</f>
        <v>4450</v>
      </c>
      <c r="AR6" s="24">
        <v>1</v>
      </c>
      <c r="AS6" s="24"/>
      <c r="AT6" s="139">
        <v>4450</v>
      </c>
      <c r="AU6" s="135" t="s">
        <v>183</v>
      </c>
    </row>
    <row r="7" spans="1:47" ht="46.5" thickTop="1" thickBot="1">
      <c r="A7" s="135">
        <v>226503</v>
      </c>
      <c r="B7" s="135">
        <f>VLOOKUP($A7,'Выгр Кат'!$A:$P,B$1,0)</f>
        <v>33697</v>
      </c>
      <c r="C7" s="136" t="str">
        <f>VLOOKUP($A7,'Выгр Кат'!$A:$P,C$1,0)</f>
        <v>Ковер пола Люкс из 2-х частей для Лада Калина, Калина 2, Гранта, Гранта FL</v>
      </c>
      <c r="D7" s="135" t="str">
        <f>VLOOKUP($A7,'Выгр Кат'!$A:$P,D$1,0)</f>
        <v>Y</v>
      </c>
      <c r="E7" s="135" t="str">
        <f>VLOOKUP($A7,'Выгр Кат'!$A:$P,E$1,0)</f>
        <v>1ск6</v>
      </c>
      <c r="F7" s="2" t="s">
        <v>60</v>
      </c>
      <c r="G7" s="2" t="s">
        <v>3</v>
      </c>
      <c r="H7" s="87">
        <v>2650</v>
      </c>
      <c r="I7" s="140">
        <f>VLOOKUP(H7,Наценка!$A$1:$B$8,2,1)</f>
        <v>1.4</v>
      </c>
      <c r="J7" s="145">
        <f t="shared" si="0"/>
        <v>3707</v>
      </c>
      <c r="K7" s="138">
        <f t="shared" si="1"/>
        <v>3690</v>
      </c>
      <c r="L7" s="109"/>
      <c r="M7" s="105">
        <f t="shared" si="6"/>
        <v>3447.51</v>
      </c>
      <c r="N7" s="110">
        <f t="shared" si="7"/>
        <v>3490</v>
      </c>
      <c r="O7" s="111">
        <f t="shared" si="8"/>
        <v>3490</v>
      </c>
      <c r="P7" s="112">
        <f t="shared" si="9"/>
        <v>0.31698113207547163</v>
      </c>
      <c r="Q7" s="83">
        <f t="shared" si="10"/>
        <v>200</v>
      </c>
      <c r="R7" s="113"/>
      <c r="S7" s="135">
        <f>VLOOKUP($A7,'Выгр Кат'!$A:$P,S$1,0)</f>
        <v>2650</v>
      </c>
      <c r="T7" s="135">
        <f>VLOOKUP($A7,'Выгр Кат'!$A:$P,T$1,0)</f>
        <v>3690</v>
      </c>
      <c r="U7" s="83">
        <f t="shared" si="3"/>
        <v>0</v>
      </c>
      <c r="V7" s="83">
        <f t="shared" si="4"/>
        <v>0</v>
      </c>
      <c r="W7" s="123">
        <f t="shared" si="11"/>
        <v>3690</v>
      </c>
      <c r="X7" s="119">
        <f t="shared" si="12"/>
        <v>0.39245283018867916</v>
      </c>
      <c r="Y7" s="119">
        <f t="shared" si="13"/>
        <v>3.0732860520094562E-2</v>
      </c>
      <c r="Z7" s="119">
        <f t="shared" si="14"/>
        <v>0.43660377358490576</v>
      </c>
      <c r="AA7" s="128">
        <f t="shared" si="5"/>
        <v>3807</v>
      </c>
      <c r="AB7" s="89">
        <f>IFERROR(ROUND((VLOOKUP($A7,'Из Гугла'!$B:$AD,AB$1,0)+AD7)*AC7,),VLOOKUP($A7,'Из Гугла'!$B:$AD,AB$1,0))</f>
        <v>4890</v>
      </c>
      <c r="AC7" s="24">
        <v>1</v>
      </c>
      <c r="AD7" s="24"/>
      <c r="AE7" s="141">
        <v>4890</v>
      </c>
      <c r="AF7" s="135" t="s">
        <v>70</v>
      </c>
      <c r="AG7" s="89">
        <f>IFERROR(ROUND((VLOOKUP($A7,'Из Гугла'!$B:$AD,AG$1,0)+AI7)*AH7,),VLOOKUP($A7,'Из Гугла'!$B:$AD,AG$1,0))</f>
        <v>4706</v>
      </c>
      <c r="AH7" s="24">
        <v>1</v>
      </c>
      <c r="AI7" s="24"/>
      <c r="AJ7" s="158">
        <v>4706</v>
      </c>
      <c r="AK7" s="135" t="s">
        <v>171</v>
      </c>
      <c r="AL7" s="89">
        <f>IFERROR(ROUND((VLOOKUP($A7,'Из Гугла'!$B:$AD,AL$1,0)+AN7)*AM7,),VLOOKUP($A7,'Из Гугла'!$B:$AD,AL$1,0))</f>
        <v>3807</v>
      </c>
      <c r="AM7" s="24">
        <v>1</v>
      </c>
      <c r="AN7" s="24"/>
      <c r="AO7" s="139">
        <v>3807</v>
      </c>
      <c r="AP7" s="135" t="s">
        <v>190</v>
      </c>
      <c r="AQ7" s="89" t="str">
        <f>IFERROR(ROUND((VLOOKUP($A7,'Из Гугла'!$B:$AD,AQ$1,0)+AS7)*AR7,),VLOOKUP($A7,'Из Гугла'!$B:$AD,AQ$1,0))</f>
        <v/>
      </c>
      <c r="AR7" s="24">
        <v>1</v>
      </c>
      <c r="AS7" s="24"/>
      <c r="AT7" s="139">
        <v>3900</v>
      </c>
      <c r="AU7" s="135" t="s">
        <v>191</v>
      </c>
    </row>
    <row r="8" spans="1:47" ht="30.75" thickTop="1">
      <c r="A8" s="135">
        <v>226484</v>
      </c>
      <c r="B8" s="135">
        <f>VLOOKUP($A8,'Выгр Кат'!$A:$P,B$1,0)</f>
        <v>42302</v>
      </c>
      <c r="C8" s="136" t="str">
        <f>VLOOKUP($A8,'Выгр Кат'!$A:$P,C$1,0)</f>
        <v>Ковер пола 3-х слойный для Лада Нива 4х4 3-х дверная</v>
      </c>
      <c r="D8" s="135" t="str">
        <f>VLOOKUP($A8,'Выгр Кат'!$A:$P,D$1,0)</f>
        <v>Y</v>
      </c>
      <c r="E8" s="135" t="str">
        <f>VLOOKUP($A8,'Выгр Кат'!$A:$P,E$1,0)</f>
        <v>1</v>
      </c>
      <c r="F8" s="2" t="s">
        <v>64</v>
      </c>
      <c r="G8" s="2" t="s">
        <v>3</v>
      </c>
      <c r="H8" s="87">
        <f>VLOOKUP(F8,'Прайс-лист'!A:F,6,0)</f>
        <v>1350</v>
      </c>
      <c r="I8" s="137">
        <v>1.6</v>
      </c>
      <c r="J8" s="145">
        <f t="shared" si="0"/>
        <v>1933</v>
      </c>
      <c r="K8" s="138">
        <f t="shared" si="1"/>
        <v>1890</v>
      </c>
      <c r="L8" s="109"/>
      <c r="M8" s="105">
        <f t="shared" si="6"/>
        <v>1797.69</v>
      </c>
      <c r="N8" s="110">
        <f t="shared" si="7"/>
        <v>1790</v>
      </c>
      <c r="O8" s="111">
        <f t="shared" si="8"/>
        <v>1790</v>
      </c>
      <c r="P8" s="112">
        <f t="shared" si="9"/>
        <v>0.32592592592592595</v>
      </c>
      <c r="Q8" s="83">
        <f t="shared" si="10"/>
        <v>100</v>
      </c>
      <c r="R8" s="113"/>
      <c r="S8" s="135">
        <f>VLOOKUP($A8,'Выгр Кат'!$A:$P,S$1,0)</f>
        <v>1350</v>
      </c>
      <c r="T8" s="135">
        <f>VLOOKUP($A8,'Выгр Кат'!$A:$P,T$1,0)</f>
        <v>1890</v>
      </c>
      <c r="U8" s="83">
        <f t="shared" si="3"/>
        <v>0</v>
      </c>
      <c r="V8" s="83">
        <f t="shared" si="4"/>
        <v>0</v>
      </c>
      <c r="W8" s="123">
        <f t="shared" si="11"/>
        <v>1890</v>
      </c>
      <c r="X8" s="119">
        <f t="shared" si="12"/>
        <v>0.39999999999999991</v>
      </c>
      <c r="Y8" s="119">
        <f t="shared" si="13"/>
        <v>7.0339399901623217E-2</v>
      </c>
      <c r="Z8" s="119">
        <f t="shared" si="14"/>
        <v>0.50592592592592589</v>
      </c>
      <c r="AA8" s="128">
        <f t="shared" si="5"/>
        <v>2033</v>
      </c>
      <c r="AB8" s="89" t="str">
        <f>IFERROR(ROUND((VLOOKUP($A8,'Из Гугла'!$B:$AD,AB$1,0)+AD8)*AC8,),VLOOKUP($A8,'Из Гугла'!$B:$AD,AB$1,0))</f>
        <v/>
      </c>
      <c r="AC8" s="24">
        <v>1</v>
      </c>
      <c r="AD8" s="24"/>
      <c r="AE8" s="139"/>
      <c r="AF8" s="135"/>
      <c r="AG8" s="89">
        <f>IFERROR(ROUND((VLOOKUP($A8,'Из Гугла'!$B:$AD,AG$1,0)+AI8)*AH8,),VLOOKUP($A8,'Из Гугла'!$B:$AD,AG$1,0))</f>
        <v>2400</v>
      </c>
      <c r="AH8" s="24">
        <v>1</v>
      </c>
      <c r="AI8" s="24"/>
      <c r="AJ8" s="158">
        <v>2400</v>
      </c>
      <c r="AK8" s="135" t="s">
        <v>172</v>
      </c>
      <c r="AL8" s="89">
        <f>IFERROR(ROUND((VLOOKUP($A8,'Из Гугла'!$B:$AD,AL$1,0)+AN8)*AM8,),VLOOKUP($A8,'Из Гугла'!$B:$AD,AL$1,0))</f>
        <v>2033</v>
      </c>
      <c r="AM8" s="24">
        <v>1</v>
      </c>
      <c r="AN8" s="24"/>
      <c r="AO8" s="139">
        <v>2033</v>
      </c>
      <c r="AP8" s="135" t="s">
        <v>192</v>
      </c>
      <c r="AQ8" s="89" t="str">
        <f>IFERROR(ROUND((VLOOKUP($A8,'Из Гугла'!$B:$AD,AQ$1,0)+AS8)*AR8,),VLOOKUP($A8,'Из Гугла'!$B:$AD,AQ$1,0))</f>
        <v/>
      </c>
      <c r="AR8" s="24">
        <v>1</v>
      </c>
      <c r="AS8" s="24"/>
      <c r="AT8" s="139"/>
      <c r="AU8" s="135"/>
    </row>
    <row r="9" spans="1:47" ht="30">
      <c r="A9" s="135">
        <v>226500</v>
      </c>
      <c r="B9" s="135">
        <f>VLOOKUP($A9,'Выгр Кат'!$A:$P,B$1,0)</f>
        <v>42491</v>
      </c>
      <c r="C9" s="136" t="str">
        <f>VLOOKUP($A9,'Выгр Кат'!$A:$P,C$1,0)</f>
        <v>Ковер пола с влагозащитой для ВАЗ 2108-21099, 2113-2115</v>
      </c>
      <c r="D9" s="135" t="str">
        <f>VLOOKUP($A9,'Выгр Кат'!$A:$P,D$1,0)</f>
        <v>Y</v>
      </c>
      <c r="E9" s="135" t="str">
        <f>VLOOKUP($A9,'Выгр Кат'!$A:$P,E$1,0)</f>
        <v>0</v>
      </c>
      <c r="F9" s="2"/>
      <c r="G9" s="2" t="s">
        <v>3</v>
      </c>
      <c r="H9" s="86">
        <f>S9</f>
        <v>1450</v>
      </c>
      <c r="I9" s="140">
        <f>VLOOKUP(H9,Наценка!$A$1:$B$8,2,1)</f>
        <v>1.4</v>
      </c>
      <c r="J9" s="145">
        <f t="shared" si="0"/>
        <v>2380</v>
      </c>
      <c r="K9" s="138">
        <f t="shared" ref="K9:K10" si="15">IF(J9&lt;=1000,(ROUND(J9,-1)-1),(ROUND(J9,-2)-10))</f>
        <v>2390</v>
      </c>
      <c r="L9" s="109"/>
      <c r="M9" s="105">
        <f t="shared" ref="M9:M10" si="16">J9*0.93</f>
        <v>2213.4</v>
      </c>
      <c r="N9" s="110">
        <f t="shared" ref="N9:N10" si="17">IF(M9&lt;=1000,(ROUNDUP(M9,-1)-1),(ROUNDUP(M9,-2)-10))</f>
        <v>2290</v>
      </c>
      <c r="O9" s="111">
        <f t="shared" ref="O9:O10" si="18">N9*(1-$W$2)</f>
        <v>2290</v>
      </c>
      <c r="P9" s="112">
        <f t="shared" ref="P9:P10" si="19">IFERROR(O9/H9-1,"")</f>
        <v>0.57931034482758625</v>
      </c>
      <c r="Q9" s="83">
        <f t="shared" ref="Q9:Q10" si="20">T9-N9</f>
        <v>0</v>
      </c>
      <c r="R9" s="113"/>
      <c r="S9" s="135">
        <f>VLOOKUP($A9,'Выгр Кат'!$A:$P,S$1,0)</f>
        <v>1450</v>
      </c>
      <c r="T9" s="135">
        <f>VLOOKUP($A9,'Выгр Кат'!$A:$P,T$1,0)</f>
        <v>2290</v>
      </c>
      <c r="U9" s="83">
        <f t="shared" ref="U9:U10" si="21">S9-H9</f>
        <v>0</v>
      </c>
      <c r="V9" s="83">
        <f t="shared" ref="V9:V10" si="22">T9-K9</f>
        <v>-100</v>
      </c>
      <c r="W9" s="123">
        <f t="shared" si="11"/>
        <v>2390</v>
      </c>
      <c r="X9" s="119">
        <f t="shared" si="12"/>
        <v>0.64827586206896548</v>
      </c>
      <c r="Y9" s="119">
        <f t="shared" si="13"/>
        <v>3.6290322580645164E-2</v>
      </c>
      <c r="Z9" s="119">
        <f t="shared" si="14"/>
        <v>0.71034482758620698</v>
      </c>
      <c r="AA9" s="128">
        <f t="shared" si="5"/>
        <v>2480</v>
      </c>
      <c r="AB9" s="89" t="str">
        <f>IFERROR(ROUND((VLOOKUP($A9,'Из Гугла'!$B:$AD,AB$1,0)+AD9)*AC9,),VLOOKUP($A9,'Из Гугла'!$B:$AD,AB$1,0))</f>
        <v/>
      </c>
      <c r="AC9" s="24">
        <v>1</v>
      </c>
      <c r="AD9" s="24"/>
      <c r="AE9" s="139"/>
      <c r="AF9" s="135"/>
      <c r="AG9" s="89">
        <f>IFERROR(ROUND((VLOOKUP($A9,'Из Гугла'!$B:$AD,AG$1,0)+AI9)*AH9,),VLOOKUP($A9,'Из Гугла'!$B:$AD,AG$1,0))</f>
        <v>2480</v>
      </c>
      <c r="AH9" s="24">
        <v>1</v>
      </c>
      <c r="AI9" s="24"/>
      <c r="AJ9" s="158">
        <v>2480</v>
      </c>
      <c r="AK9" s="135" t="s">
        <v>179</v>
      </c>
      <c r="AL9" s="89" t="str">
        <f>IFERROR(ROUND((VLOOKUP($A9,'Из Гугла'!$B:$AD,AL$1,0)+AN9)*AM9,),VLOOKUP($A9,'Из Гугла'!$B:$AD,AL$1,0))</f>
        <v/>
      </c>
      <c r="AM9" s="24">
        <v>1</v>
      </c>
      <c r="AN9" s="24"/>
      <c r="AO9" s="139"/>
      <c r="AP9" s="135"/>
      <c r="AQ9" s="89" t="str">
        <f>IFERROR(ROUND((VLOOKUP($A9,'Из Гугла'!$B:$AD,AQ$1,0)+AS9)*AR9,),VLOOKUP($A9,'Из Гугла'!$B:$AD,AQ$1,0))</f>
        <v/>
      </c>
      <c r="AR9" s="24">
        <v>1</v>
      </c>
      <c r="AS9" s="24"/>
      <c r="AT9" s="139"/>
      <c r="AU9" s="135"/>
    </row>
    <row r="10" spans="1:47" ht="39">
      <c r="A10" s="135">
        <v>430000</v>
      </c>
      <c r="B10" s="135">
        <f>VLOOKUP($A10,'Выгр Кат'!$A:$P,B$1,0)</f>
        <v>42486</v>
      </c>
      <c r="C10" s="136" t="str">
        <f>VLOOKUP($A10,'Выгр Кат'!$A:$P,C$1,0)</f>
        <v>Ковер пола серый для ВАЗ 2108-21099, 2113-2115</v>
      </c>
      <c r="D10" s="135" t="str">
        <f>VLOOKUP($A10,'Выгр Кат'!$A:$P,D$1,0)</f>
        <v>Y</v>
      </c>
      <c r="E10" s="135" t="str">
        <f>VLOOKUP($A10,'Выгр Кат'!$A:$P,E$1,0)</f>
        <v>0</v>
      </c>
      <c r="F10" s="2" t="s">
        <v>51</v>
      </c>
      <c r="G10" s="2" t="s">
        <v>3</v>
      </c>
      <c r="H10" s="87">
        <f>VLOOKUP(F10,'Прайс-лист'!A:F,6,0)</f>
        <v>900</v>
      </c>
      <c r="I10" s="140">
        <f>VLOOKUP(H10,Наценка!$A$1:$B$8,2,1)</f>
        <v>1.4</v>
      </c>
      <c r="J10" s="93">
        <f>H10*I10</f>
        <v>1260</v>
      </c>
      <c r="K10" s="138">
        <f t="shared" si="15"/>
        <v>1290</v>
      </c>
      <c r="L10" s="109"/>
      <c r="M10" s="105">
        <f t="shared" si="16"/>
        <v>1171.8</v>
      </c>
      <c r="N10" s="110">
        <f t="shared" si="17"/>
        <v>1190</v>
      </c>
      <c r="O10" s="111">
        <f t="shared" si="18"/>
        <v>1190</v>
      </c>
      <c r="P10" s="112">
        <f t="shared" si="19"/>
        <v>0.32222222222222219</v>
      </c>
      <c r="Q10" s="83">
        <f t="shared" si="20"/>
        <v>100</v>
      </c>
      <c r="R10" s="113"/>
      <c r="S10" s="135">
        <f>VLOOKUP($A10,'Выгр Кат'!$A:$P,S$1,0)</f>
        <v>900</v>
      </c>
      <c r="T10" s="135">
        <f>VLOOKUP($A10,'Выгр Кат'!$A:$P,T$1,0)</f>
        <v>1290</v>
      </c>
      <c r="U10" s="83">
        <f t="shared" si="21"/>
        <v>0</v>
      </c>
      <c r="V10" s="83">
        <f t="shared" si="22"/>
        <v>0</v>
      </c>
      <c r="W10" s="123">
        <f t="shared" si="11"/>
        <v>1290</v>
      </c>
      <c r="X10" s="119">
        <f t="shared" si="12"/>
        <v>0.43333333333333335</v>
      </c>
      <c r="Y10" s="119" t="str">
        <f t="shared" si="13"/>
        <v/>
      </c>
      <c r="Z10" s="119" t="str">
        <f t="shared" si="14"/>
        <v/>
      </c>
      <c r="AA10" s="120"/>
      <c r="AB10" s="89" t="str">
        <f>IFERROR(ROUND((VLOOKUP($A10,'Из Гугла'!$B:$AD,AB$1,0)+AD10)*AC10,),VLOOKUP($A10,'Из Гугла'!$B:$AD,AB$1,0))</f>
        <v/>
      </c>
      <c r="AC10" s="24">
        <v>1</v>
      </c>
      <c r="AD10" s="24"/>
      <c r="AE10" s="139"/>
      <c r="AF10" s="135"/>
      <c r="AG10" s="89" t="str">
        <f>IFERROR(ROUND((VLOOKUP($A10,'Из Гугла'!$B:$AD,AG$1,0)+AI10)*AH10,),VLOOKUP($A10,'Из Гугла'!$B:$AD,AG$1,0))</f>
        <v/>
      </c>
      <c r="AH10" s="24">
        <v>1</v>
      </c>
      <c r="AI10" s="24"/>
      <c r="AJ10" s="158" t="s">
        <v>104</v>
      </c>
      <c r="AK10" s="135"/>
      <c r="AL10" s="89" t="str">
        <f>IFERROR(ROUND((VLOOKUP($A10,'Из Гугла'!$B:$AD,AL$1,0)+AN10)*AM10,),VLOOKUP($A10,'Из Гугла'!$B:$AD,AL$1,0))</f>
        <v/>
      </c>
      <c r="AM10" s="24">
        <v>1</v>
      </c>
      <c r="AN10" s="24"/>
      <c r="AO10" s="139"/>
      <c r="AP10" s="135"/>
      <c r="AQ10" s="89" t="str">
        <f>IFERROR(ROUND((VLOOKUP($A10,'Из Гугла'!$B:$AD,AQ$1,0)+AS10)*AR10,),VLOOKUP($A10,'Из Гугла'!$B:$AD,AQ$1,0))</f>
        <v/>
      </c>
      <c r="AR10" s="24">
        <v>1</v>
      </c>
      <c r="AS10" s="24"/>
      <c r="AT10" s="139"/>
      <c r="AU10" s="135"/>
    </row>
    <row r="11" spans="1:47" ht="30.75" thickBot="1">
      <c r="A11" s="135">
        <v>226513</v>
      </c>
      <c r="B11" s="135">
        <f>VLOOKUP($A11,'Выгр Кат'!$A:$P,B$1,0)</f>
        <v>42409</v>
      </c>
      <c r="C11" s="136" t="str">
        <f>VLOOKUP($A11,'Выгр Кат'!$A:$P,C$1,0)</f>
        <v>Ковер пола Люкс для Лада Приора, Приора 2</v>
      </c>
      <c r="D11" s="135" t="str">
        <f>VLOOKUP($A11,'Выгр Кат'!$A:$P,D$1,0)</f>
        <v>Y</v>
      </c>
      <c r="E11" s="135" t="str">
        <f>VLOOKUP($A11,'Выгр Кат'!$A:$P,E$1,0)</f>
        <v>1ск6</v>
      </c>
      <c r="F11" s="2" t="s">
        <v>62</v>
      </c>
      <c r="G11" s="2" t="s">
        <v>3</v>
      </c>
      <c r="H11" s="87">
        <f>VLOOKUP(F11,'Прайс-лист'!A:F,6,0)</f>
        <v>2650</v>
      </c>
      <c r="I11" s="140">
        <f>VLOOKUP(H11,Наценка!$A$1:$B$8,2,1)</f>
        <v>1.4</v>
      </c>
      <c r="J11" s="145">
        <f>AA11-100</f>
        <v>3375</v>
      </c>
      <c r="K11" s="138">
        <f t="shared" si="1"/>
        <v>3390</v>
      </c>
      <c r="L11" s="109"/>
      <c r="M11" s="105">
        <f t="shared" si="6"/>
        <v>3138.75</v>
      </c>
      <c r="N11" s="110">
        <f t="shared" si="7"/>
        <v>3190</v>
      </c>
      <c r="O11" s="111">
        <f t="shared" si="8"/>
        <v>3190</v>
      </c>
      <c r="P11" s="112">
        <f t="shared" si="9"/>
        <v>0.20377358490566033</v>
      </c>
      <c r="Q11" s="83">
        <f t="shared" si="10"/>
        <v>200</v>
      </c>
      <c r="R11" s="113"/>
      <c r="S11" s="135">
        <f>VLOOKUP($A11,'Выгр Кат'!$A:$P,S$1,0)</f>
        <v>2650</v>
      </c>
      <c r="T11" s="135">
        <f>VLOOKUP($A11,'Выгр Кат'!$A:$P,T$1,0)</f>
        <v>3390</v>
      </c>
      <c r="U11" s="83">
        <f t="shared" si="3"/>
        <v>0</v>
      </c>
      <c r="V11" s="83">
        <f t="shared" si="4"/>
        <v>0</v>
      </c>
      <c r="W11" s="123">
        <f t="shared" si="11"/>
        <v>3390</v>
      </c>
      <c r="X11" s="119">
        <f t="shared" si="12"/>
        <v>0.27924528301886786</v>
      </c>
      <c r="Y11" s="119">
        <f t="shared" si="13"/>
        <v>2.4460431654676259E-2</v>
      </c>
      <c r="Z11" s="119">
        <f t="shared" si="14"/>
        <v>0.31132075471698117</v>
      </c>
      <c r="AA11" s="128">
        <f>MIN(AE11,AJ11,AO11,AT11)</f>
        <v>3475</v>
      </c>
      <c r="AB11" s="89">
        <f>IFERROR(ROUND((VLOOKUP($A11,'Из Гугла'!$B:$AD,AB$1,0)+AD11)*AC11,),VLOOKUP($A11,'Из Гугла'!$B:$AD,AB$1,0))</f>
        <v>4290</v>
      </c>
      <c r="AC11" s="24">
        <v>1</v>
      </c>
      <c r="AD11" s="24"/>
      <c r="AE11" s="141">
        <v>4290</v>
      </c>
      <c r="AF11" s="135" t="s">
        <v>69</v>
      </c>
      <c r="AG11" s="89">
        <f>IFERROR(ROUND((VLOOKUP($A11,'Из Гугла'!$B:$AD,AG$1,0)+AI11)*AH11,),VLOOKUP($A11,'Из Гугла'!$B:$AD,AG$1,0))</f>
        <v>4522</v>
      </c>
      <c r="AH11" s="24">
        <v>1</v>
      </c>
      <c r="AI11" s="24"/>
      <c r="AJ11" s="158">
        <v>4522</v>
      </c>
      <c r="AK11" s="135" t="s">
        <v>176</v>
      </c>
      <c r="AL11" s="89">
        <f>IFERROR(ROUND((VLOOKUP($A11,'Из Гугла'!$B:$AD,AL$1,0)+AN11)*AM11,),VLOOKUP($A11,'Из Гугла'!$B:$AD,AL$1,0))</f>
        <v>3475</v>
      </c>
      <c r="AM11" s="24">
        <v>1</v>
      </c>
      <c r="AN11" s="24"/>
      <c r="AO11" s="139">
        <v>3475</v>
      </c>
      <c r="AP11" s="135" t="s">
        <v>180</v>
      </c>
      <c r="AQ11" s="89" t="str">
        <f>IFERROR(ROUND((VLOOKUP($A11,'Из Гугла'!$B:$AD,AQ$1,0)+AS11)*AR11,),VLOOKUP($A11,'Из Гугла'!$B:$AD,AQ$1,0))</f>
        <v/>
      </c>
      <c r="AR11" s="24">
        <v>1</v>
      </c>
      <c r="AS11" s="24"/>
      <c r="AT11" s="139"/>
      <c r="AU11" s="135"/>
    </row>
    <row r="12" spans="1:47" ht="45.75" thickTop="1">
      <c r="A12" s="135">
        <v>226483</v>
      </c>
      <c r="B12" s="135">
        <f>VLOOKUP($A12,'Выгр Кат'!$A:$P,B$1,0)</f>
        <v>42373</v>
      </c>
      <c r="C12" s="136" t="str">
        <f>VLOOKUP($A12,'Выгр Кат'!$A:$P,C$1,0)</f>
        <v>Штатный формованный ковер пола 3-х слойный, из 2-х частей для Шевроле Нива, Лада Нива Travel</v>
      </c>
      <c r="D12" s="135" t="str">
        <f>VLOOKUP($A12,'Выгр Кат'!$A:$P,D$1,0)</f>
        <v>Y</v>
      </c>
      <c r="E12" s="135" t="str">
        <f>VLOOKUP($A12,'Выгр Кат'!$A:$P,E$1,0)</f>
        <v>1</v>
      </c>
      <c r="F12" s="2" t="s">
        <v>63</v>
      </c>
      <c r="G12" s="2" t="s">
        <v>3</v>
      </c>
      <c r="H12" s="87">
        <f>VLOOKUP(F12,'Прайс-лист'!A:F,6,0)</f>
        <v>1500</v>
      </c>
      <c r="I12" s="137">
        <v>1.6</v>
      </c>
      <c r="J12" s="93">
        <f>H12*I12</f>
        <v>2400</v>
      </c>
      <c r="K12" s="138">
        <f>IF(J12&lt;=1000,(ROUND(J12,-1)-1),(ROUND(J12,-2)-10))</f>
        <v>2390</v>
      </c>
      <c r="L12" s="109"/>
      <c r="M12" s="105">
        <f>J12*0.93</f>
        <v>2232</v>
      </c>
      <c r="N12" s="110">
        <f>IF(M12&lt;=1000,(ROUNDUP(M12,-1)-1),(ROUNDUP(M12,-2)-10))</f>
        <v>2290</v>
      </c>
      <c r="O12" s="111">
        <f>N12*(1-$W$2)</f>
        <v>2290</v>
      </c>
      <c r="P12" s="112">
        <f>IFERROR(O12/H12-1,"")</f>
        <v>0.52666666666666662</v>
      </c>
      <c r="Q12" s="83">
        <f>T12-N12</f>
        <v>100</v>
      </c>
      <c r="R12" s="113"/>
      <c r="S12" s="135">
        <f>VLOOKUP($A12,'Выгр Кат'!$A:$P,S$1,0)</f>
        <v>1500</v>
      </c>
      <c r="T12" s="135">
        <f>VLOOKUP($A12,'Выгр Кат'!$A:$P,T$1,0)</f>
        <v>2390</v>
      </c>
      <c r="U12" s="83">
        <f>S12-H12</f>
        <v>0</v>
      </c>
      <c r="V12" s="83">
        <f>T12-K12</f>
        <v>0</v>
      </c>
      <c r="W12" s="123">
        <f>IFERROR(ROUND(K12*(1-$W$2),),"")</f>
        <v>2390</v>
      </c>
      <c r="X12" s="119">
        <f>IFERROR(W12/H12-1,"")</f>
        <v>0.59333333333333327</v>
      </c>
      <c r="Y12" s="119" t="str">
        <f>IFERROR((AA12-W12)/AA12,"")</f>
        <v/>
      </c>
      <c r="Z12" s="119" t="str">
        <f>IFERROR(IF(AA12="","",AA12/H12-1),"")</f>
        <v/>
      </c>
      <c r="AA12" s="120"/>
      <c r="AB12" s="89" t="str">
        <f>IFERROR(ROUND((VLOOKUP($A12,'Из Гугла'!$B:$AD,AB$1,0)+AD12)*AC12,),VLOOKUP($A12,'Из Гугла'!$B:$AD,AB$1,0))</f>
        <v/>
      </c>
      <c r="AC12" s="24">
        <v>1</v>
      </c>
      <c r="AD12" s="24"/>
      <c r="AE12" s="139"/>
      <c r="AF12" s="135"/>
      <c r="AG12" s="89" t="str">
        <f>IFERROR(ROUND((VLOOKUP($A12,'Из Гугла'!$B:$AD,AG$1,0)+AI12)*AH12,),VLOOKUP($A12,'Из Гугла'!$B:$AD,AG$1,0))</f>
        <v/>
      </c>
      <c r="AH12" s="24">
        <v>1</v>
      </c>
      <c r="AI12" s="24"/>
      <c r="AJ12" s="139"/>
      <c r="AK12" s="135"/>
      <c r="AL12" s="89" t="str">
        <f>IFERROR(ROUND((VLOOKUP($A12,'Из Гугла'!$B:$AD,AL$1,0)+AN12)*AM12,),VLOOKUP($A12,'Из Гугла'!$B:$AD,AL$1,0))</f>
        <v/>
      </c>
      <c r="AM12" s="24">
        <v>1</v>
      </c>
      <c r="AN12" s="24"/>
      <c r="AO12" s="139"/>
      <c r="AP12" s="135"/>
      <c r="AQ12" s="89" t="str">
        <f>IFERROR(ROUND((VLOOKUP($A12,'Из Гугла'!$B:$AD,AQ$1,0)+AS12)*AR12,),VLOOKUP($A12,'Из Гугла'!$B:$AD,AQ$1,0))</f>
        <v/>
      </c>
      <c r="AR12" s="24">
        <v>1</v>
      </c>
      <c r="AS12" s="24"/>
      <c r="AT12" s="139"/>
      <c r="AU12" s="135"/>
    </row>
    <row r="13" spans="1:47" ht="45">
      <c r="A13" s="135">
        <v>469993</v>
      </c>
      <c r="B13" s="135">
        <f>VLOOKUP($A13,'Выгр Кат'!$A:$P,B$1,0)</f>
        <v>42353</v>
      </c>
      <c r="C13" s="136" t="str">
        <f>VLOOKUP($A13,'Выгр Кат'!$A:$P,C$1,0)</f>
        <v>Ковер пола из 2-х частей на толстой пленке для Шевроле Нива, Нива Travel</v>
      </c>
      <c r="D13" s="135" t="str">
        <f>VLOOKUP($A13,'Выгр Кат'!$A:$P,D$1,0)</f>
        <v>Y</v>
      </c>
      <c r="E13" s="135" t="str">
        <f>VLOOKUP($A13,'Выгр Кат'!$A:$P,E$1,0)</f>
        <v>1</v>
      </c>
      <c r="F13" s="2" t="s">
        <v>55</v>
      </c>
      <c r="G13" s="2" t="s">
        <v>3</v>
      </c>
      <c r="H13" s="87">
        <f>VLOOKUP(F13,'Прайс-лист'!A:F,6,0)</f>
        <v>1500</v>
      </c>
      <c r="I13" s="140">
        <f>VLOOKUP(H13,Наценка!$A$1:$B$8,2,1)</f>
        <v>1.4</v>
      </c>
      <c r="J13" s="93">
        <f t="shared" ref="J13:J14" si="23">H13*I13</f>
        <v>2100</v>
      </c>
      <c r="K13" s="138">
        <f t="shared" ref="K13:K20" si="24">IF(J13&lt;=1000,(ROUND(J13,-1)-1),(ROUND(J13,-2)-10))</f>
        <v>2090</v>
      </c>
      <c r="L13" s="109"/>
      <c r="M13" s="105">
        <f t="shared" ref="M13:M20" si="25">J13*0.93</f>
        <v>1953</v>
      </c>
      <c r="N13" s="110">
        <f t="shared" ref="N13:N20" si="26">IF(M13&lt;=1000,(ROUNDUP(M13,-1)-1),(ROUNDUP(M13,-2)-10))</f>
        <v>1990</v>
      </c>
      <c r="O13" s="111">
        <f t="shared" ref="O13:O20" si="27">N13*(1-$W$2)</f>
        <v>1990</v>
      </c>
      <c r="P13" s="112">
        <f t="shared" ref="P13:P20" si="28">IFERROR(O13/H13-1,"")</f>
        <v>0.32666666666666666</v>
      </c>
      <c r="Q13" s="83">
        <f t="shared" ref="Q13:Q20" si="29">T13-N13</f>
        <v>100</v>
      </c>
      <c r="R13" s="113"/>
      <c r="S13" s="135">
        <f>VLOOKUP($A13,'Выгр Кат'!$A:$P,S$1,0)</f>
        <v>1500</v>
      </c>
      <c r="T13" s="135">
        <f>VLOOKUP($A13,'Выгр Кат'!$A:$P,T$1,0)</f>
        <v>2090</v>
      </c>
      <c r="U13" s="83">
        <f t="shared" ref="U13:U20" si="30">S13-H13</f>
        <v>0</v>
      </c>
      <c r="V13" s="83">
        <f t="shared" ref="V13:V20" si="31">T13-K13</f>
        <v>0</v>
      </c>
      <c r="W13" s="123">
        <f t="shared" ref="W13:W20" si="32">IFERROR(ROUND(K13*(1-$W$2),),"")</f>
        <v>2090</v>
      </c>
      <c r="X13" s="119">
        <f t="shared" ref="X13:X20" si="33">IFERROR(W13/H13-1,"")</f>
        <v>0.39333333333333331</v>
      </c>
      <c r="Y13" s="119" t="str">
        <f t="shared" ref="Y13:Y20" si="34">IFERROR((AA13-W13)/AA13,"")</f>
        <v/>
      </c>
      <c r="Z13" s="119" t="str">
        <f t="shared" ref="Z13:Z20" si="35">IFERROR(IF(AA13="","",AA13/H13-1),"")</f>
        <v/>
      </c>
      <c r="AA13" s="120"/>
      <c r="AB13" s="89" t="str">
        <f>IFERROR(ROUND((VLOOKUP($A13,'Из Гугла'!$B:$AD,AB$1,0)+AD13)*AC13,),VLOOKUP($A13,'Из Гугла'!$B:$AD,AB$1,0))</f>
        <v/>
      </c>
      <c r="AC13" s="24">
        <v>1</v>
      </c>
      <c r="AD13" s="24"/>
      <c r="AE13" s="139"/>
      <c r="AF13" s="135"/>
      <c r="AG13" s="89" t="str">
        <f>IFERROR(ROUND((VLOOKUP($A13,'Из Гугла'!$B:$AD,AG$1,0)+AI13)*AH13,),VLOOKUP($A13,'Из Гугла'!$B:$AD,AG$1,0))</f>
        <v/>
      </c>
      <c r="AH13" s="24">
        <v>1</v>
      </c>
      <c r="AI13" s="24"/>
      <c r="AJ13" s="139"/>
      <c r="AK13" s="135"/>
      <c r="AL13" s="89" t="str">
        <f>IFERROR(ROUND((VLOOKUP($A13,'Из Гугла'!$B:$AD,AL$1,0)+AN13)*AM13,),VLOOKUP($A13,'Из Гугла'!$B:$AD,AL$1,0))</f>
        <v/>
      </c>
      <c r="AM13" s="24">
        <v>1</v>
      </c>
      <c r="AN13" s="24"/>
      <c r="AO13" s="139"/>
      <c r="AP13" s="135"/>
      <c r="AQ13" s="89" t="str">
        <f>IFERROR(ROUND((VLOOKUP($A13,'Из Гугла'!$B:$AD,AQ$1,0)+AS13)*AR13,),VLOOKUP($A13,'Из Гугла'!$B:$AD,AQ$1,0))</f>
        <v/>
      </c>
      <c r="AR13" s="24">
        <v>1</v>
      </c>
      <c r="AS13" s="24"/>
      <c r="AT13" s="139"/>
      <c r="AU13" s="135"/>
    </row>
    <row r="14" spans="1:47" ht="45">
      <c r="A14" s="135">
        <v>469991</v>
      </c>
      <c r="B14" s="135">
        <f>VLOOKUP($A14,'Выгр Кат'!$A:$P,B$1,0)</f>
        <v>42352</v>
      </c>
      <c r="C14" s="136" t="str">
        <f>VLOOKUP($A14,'Выгр Кат'!$A:$P,C$1,0)</f>
        <v>Ковер пола из 2-х частей на тонкой пленке для Шевроле Нива, Нива Travel</v>
      </c>
      <c r="D14" s="135" t="str">
        <f>VLOOKUP($A14,'Выгр Кат'!$A:$P,D$1,0)</f>
        <v>Y</v>
      </c>
      <c r="E14" s="135" t="str">
        <f>VLOOKUP($A14,'Выгр Кат'!$A:$P,E$1,0)</f>
        <v>1</v>
      </c>
      <c r="F14" s="2" t="s">
        <v>54</v>
      </c>
      <c r="G14" s="2" t="s">
        <v>3</v>
      </c>
      <c r="H14" s="87">
        <f>VLOOKUP(F14,'Прайс-лист'!A:F,6,0)</f>
        <v>1250</v>
      </c>
      <c r="I14" s="140">
        <f>VLOOKUP(H14,Наценка!$A$1:$B$8,2,1)</f>
        <v>1.4</v>
      </c>
      <c r="J14" s="93">
        <f t="shared" si="23"/>
        <v>1750</v>
      </c>
      <c r="K14" s="138">
        <f t="shared" si="24"/>
        <v>1790</v>
      </c>
      <c r="L14" s="109"/>
      <c r="M14" s="105">
        <f t="shared" si="25"/>
        <v>1627.5</v>
      </c>
      <c r="N14" s="110">
        <f t="shared" si="26"/>
        <v>1690</v>
      </c>
      <c r="O14" s="111">
        <f t="shared" si="27"/>
        <v>1690</v>
      </c>
      <c r="P14" s="112">
        <f t="shared" si="28"/>
        <v>0.35200000000000009</v>
      </c>
      <c r="Q14" s="83">
        <f t="shared" si="29"/>
        <v>100</v>
      </c>
      <c r="R14" s="113"/>
      <c r="S14" s="135">
        <f>VLOOKUP($A14,'Выгр Кат'!$A:$P,S$1,0)</f>
        <v>1250</v>
      </c>
      <c r="T14" s="135">
        <f>VLOOKUP($A14,'Выгр Кат'!$A:$P,T$1,0)</f>
        <v>1790</v>
      </c>
      <c r="U14" s="83">
        <f t="shared" si="30"/>
        <v>0</v>
      </c>
      <c r="V14" s="83">
        <f t="shared" si="31"/>
        <v>0</v>
      </c>
      <c r="W14" s="123">
        <f t="shared" si="32"/>
        <v>1790</v>
      </c>
      <c r="X14" s="119">
        <f t="shared" si="33"/>
        <v>0.43199999999999994</v>
      </c>
      <c r="Y14" s="119" t="str">
        <f t="shared" si="34"/>
        <v/>
      </c>
      <c r="Z14" s="119" t="str">
        <f t="shared" si="35"/>
        <v/>
      </c>
      <c r="AA14" s="120"/>
      <c r="AB14" s="89" t="str">
        <f>IFERROR(ROUND((VLOOKUP($A14,'Из Гугла'!$B:$AD,AB$1,0)+AD14)*AC14,),VLOOKUP($A14,'Из Гугла'!$B:$AD,AB$1,0))</f>
        <v/>
      </c>
      <c r="AC14" s="24">
        <v>1</v>
      </c>
      <c r="AD14" s="24"/>
      <c r="AE14" s="139"/>
      <c r="AF14" s="135"/>
      <c r="AG14" s="89" t="str">
        <f>IFERROR(ROUND((VLOOKUP($A14,'Из Гугла'!$B:$AD,AG$1,0)+AI14)*AH14,),VLOOKUP($A14,'Из Гугла'!$B:$AD,AG$1,0))</f>
        <v/>
      </c>
      <c r="AH14" s="24">
        <v>1</v>
      </c>
      <c r="AI14" s="24"/>
      <c r="AJ14" s="139"/>
      <c r="AK14" s="135"/>
      <c r="AL14" s="89" t="str">
        <f>IFERROR(ROUND((VLOOKUP($A14,'Из Гугла'!$B:$AD,AL$1,0)+AN14)*AM14,),VLOOKUP($A14,'Из Гугла'!$B:$AD,AL$1,0))</f>
        <v/>
      </c>
      <c r="AM14" s="24">
        <v>1</v>
      </c>
      <c r="AN14" s="24"/>
      <c r="AO14" s="139"/>
      <c r="AP14" s="135"/>
      <c r="AQ14" s="89" t="str">
        <f>IFERROR(ROUND((VLOOKUP($A14,'Из Гугла'!$B:$AD,AQ$1,0)+AS14)*AR14,),VLOOKUP($A14,'Из Гугла'!$B:$AD,AQ$1,0))</f>
        <v/>
      </c>
      <c r="AR14" s="24">
        <v>1</v>
      </c>
      <c r="AS14" s="24"/>
      <c r="AT14" s="139"/>
      <c r="AU14" s="135"/>
    </row>
    <row r="15" spans="1:47" ht="45">
      <c r="A15" s="135">
        <v>470018</v>
      </c>
      <c r="B15" s="135">
        <f>VLOOKUP($A15,'Выгр Кат'!$A:$P,B$1,0)</f>
        <v>55012</v>
      </c>
      <c r="C15" s="136" t="str">
        <f>VLOOKUP($A15,'Выгр Кат'!$A:$P,C$1,0)</f>
        <v>Ковер пола из 2-х частей трехслойный для Шевроле Нива, Нива Travel</v>
      </c>
      <c r="D15" s="135" t="str">
        <f>VLOOKUP($A15,'Выгр Кат'!$A:$P,D$1,0)</f>
        <v>Y</v>
      </c>
      <c r="E15" s="135" t="str">
        <f>VLOOKUP($A15,'Выгр Кат'!$A:$P,E$1,0)</f>
        <v>1</v>
      </c>
      <c r="F15" s="2" t="s">
        <v>56</v>
      </c>
      <c r="G15" s="2" t="s">
        <v>3</v>
      </c>
      <c r="H15" s="87">
        <f>VLOOKUP(F15,'Прайс-лист'!A:F,6,0)</f>
        <v>2500</v>
      </c>
      <c r="I15" s="140">
        <f>VLOOKUP(H15,Наценка!$A$1:$B$8,2,1)</f>
        <v>1.4</v>
      </c>
      <c r="J15" s="145">
        <f t="shared" ref="J15:J20" si="36">AA15-100</f>
        <v>3173</v>
      </c>
      <c r="K15" s="138">
        <f t="shared" si="24"/>
        <v>3190</v>
      </c>
      <c r="L15" s="109"/>
      <c r="M15" s="105">
        <f t="shared" si="25"/>
        <v>2950.8900000000003</v>
      </c>
      <c r="N15" s="110">
        <f t="shared" si="26"/>
        <v>2990</v>
      </c>
      <c r="O15" s="111">
        <f t="shared" si="27"/>
        <v>2990</v>
      </c>
      <c r="P15" s="112">
        <f t="shared" si="28"/>
        <v>0.19599999999999995</v>
      </c>
      <c r="Q15" s="83">
        <f t="shared" si="29"/>
        <v>100</v>
      </c>
      <c r="R15" s="113"/>
      <c r="S15" s="135">
        <f>VLOOKUP($A15,'Выгр Кат'!$A:$P,S$1,0)</f>
        <v>2500</v>
      </c>
      <c r="T15" s="135">
        <f>VLOOKUP($A15,'Выгр Кат'!$A:$P,T$1,0)</f>
        <v>3090</v>
      </c>
      <c r="U15" s="83">
        <f t="shared" si="30"/>
        <v>0</v>
      </c>
      <c r="V15" s="83">
        <f t="shared" si="31"/>
        <v>-100</v>
      </c>
      <c r="W15" s="123">
        <f t="shared" si="32"/>
        <v>3190</v>
      </c>
      <c r="X15" s="119">
        <f t="shared" si="33"/>
        <v>0.27600000000000002</v>
      </c>
      <c r="Y15" s="119">
        <f t="shared" si="34"/>
        <v>2.5358997861289336E-2</v>
      </c>
      <c r="Z15" s="119">
        <f t="shared" si="35"/>
        <v>0.30919999999999992</v>
      </c>
      <c r="AA15" s="128">
        <f t="shared" ref="AA15:AA20" si="37">MIN(AE15,AJ15,AO15,AT15)</f>
        <v>3273</v>
      </c>
      <c r="AB15" s="89" t="str">
        <f>IFERROR(ROUND((VLOOKUP($A15,'Из Гугла'!$B:$AD,AB$1,0)+AD15)*AC15,),VLOOKUP($A15,'Из Гугла'!$B:$AD,AB$1,0))</f>
        <v/>
      </c>
      <c r="AC15" s="24">
        <v>1</v>
      </c>
      <c r="AD15" s="24"/>
      <c r="AE15" s="139"/>
      <c r="AF15" s="135"/>
      <c r="AG15" s="89">
        <f>IFERROR(ROUND((VLOOKUP($A15,'Из Гугла'!$B:$AD,AG$1,0)+AI15)*AH15,),VLOOKUP($A15,'Из Гугла'!$B:$AD,AG$1,0))</f>
        <v>3273</v>
      </c>
      <c r="AH15" s="24">
        <v>1</v>
      </c>
      <c r="AI15" s="24"/>
      <c r="AJ15" s="158">
        <v>3273</v>
      </c>
      <c r="AK15" s="135" t="s">
        <v>177</v>
      </c>
      <c r="AL15" s="89" t="str">
        <f>IFERROR(ROUND((VLOOKUP($A15,'Из Гугла'!$B:$AD,AL$1,0)+AN15)*AM15,),VLOOKUP($A15,'Из Гугла'!$B:$AD,AL$1,0))</f>
        <v/>
      </c>
      <c r="AM15" s="24">
        <v>1</v>
      </c>
      <c r="AN15" s="24"/>
      <c r="AO15" s="139"/>
      <c r="AP15" s="135"/>
      <c r="AQ15" s="89" t="str">
        <f>IFERROR(ROUND((VLOOKUP($A15,'Из Гугла'!$B:$AD,AQ$1,0)+AS15)*AR15,),VLOOKUP($A15,'Из Гугла'!$B:$AD,AQ$1,0))</f>
        <v/>
      </c>
      <c r="AR15" s="24">
        <v>1</v>
      </c>
      <c r="AS15" s="24"/>
      <c r="AT15" s="139"/>
      <c r="AU15" s="135"/>
    </row>
    <row r="16" spans="1:47" ht="45.75" thickBot="1">
      <c r="A16" s="135">
        <v>469995</v>
      </c>
      <c r="B16" s="135">
        <f>VLOOKUP($A16,'Выгр Кат'!$A:$P,B$1,0)</f>
        <v>55011</v>
      </c>
      <c r="C16" s="136" t="str">
        <f>VLOOKUP($A16,'Выгр Кат'!$A:$P,C$1,0)</f>
        <v>Ковер пола из 2-х частей четырехслойный для Шевроле Нива, Нива Travel</v>
      </c>
      <c r="D16" s="135" t="str">
        <f>VLOOKUP($A16,'Выгр Кат'!$A:$P,D$1,0)</f>
        <v>Y</v>
      </c>
      <c r="E16" s="135" t="str">
        <f>VLOOKUP($A16,'Выгр Кат'!$A:$P,E$1,0)</f>
        <v>1</v>
      </c>
      <c r="F16" s="2" t="s">
        <v>57</v>
      </c>
      <c r="G16" s="2" t="s">
        <v>3</v>
      </c>
      <c r="H16" s="87">
        <f>VLOOKUP(F16,'Прайс-лист'!A:F,6,0)</f>
        <v>3000</v>
      </c>
      <c r="I16" s="140">
        <f>VLOOKUP(H16,Наценка!$A$1:$B$8,2,1)</f>
        <v>1.4</v>
      </c>
      <c r="J16" s="145">
        <f t="shared" si="36"/>
        <v>4061</v>
      </c>
      <c r="K16" s="138">
        <f t="shared" si="24"/>
        <v>4090</v>
      </c>
      <c r="L16" s="109"/>
      <c r="M16" s="105">
        <f t="shared" si="25"/>
        <v>3776.73</v>
      </c>
      <c r="N16" s="110">
        <f t="shared" si="26"/>
        <v>3790</v>
      </c>
      <c r="O16" s="111">
        <f t="shared" si="27"/>
        <v>3790</v>
      </c>
      <c r="P16" s="112">
        <f t="shared" si="28"/>
        <v>0.26333333333333342</v>
      </c>
      <c r="Q16" s="83">
        <f t="shared" si="29"/>
        <v>200</v>
      </c>
      <c r="R16" s="113"/>
      <c r="S16" s="135">
        <f>VLOOKUP($A16,'Выгр Кат'!$A:$P,S$1,0)</f>
        <v>3000</v>
      </c>
      <c r="T16" s="135">
        <f>VLOOKUP($A16,'Выгр Кат'!$A:$P,T$1,0)</f>
        <v>3990</v>
      </c>
      <c r="U16" s="83">
        <f t="shared" si="30"/>
        <v>0</v>
      </c>
      <c r="V16" s="83">
        <f t="shared" si="31"/>
        <v>-100</v>
      </c>
      <c r="W16" s="123">
        <f t="shared" si="32"/>
        <v>4090</v>
      </c>
      <c r="X16" s="119">
        <f t="shared" si="33"/>
        <v>0.36333333333333329</v>
      </c>
      <c r="Y16" s="119">
        <f t="shared" si="34"/>
        <v>1.7063205960105743E-2</v>
      </c>
      <c r="Z16" s="119">
        <f t="shared" si="35"/>
        <v>0.38700000000000001</v>
      </c>
      <c r="AA16" s="128">
        <f t="shared" si="37"/>
        <v>4161</v>
      </c>
      <c r="AB16" s="89">
        <f>IFERROR(ROUND((VLOOKUP($A16,'Из Гугла'!$B:$AD,AB$1,0)+AD16)*AC16,),VLOOKUP($A16,'Из Гугла'!$B:$AD,AB$1,0))</f>
        <v>7190</v>
      </c>
      <c r="AC16" s="24">
        <v>1</v>
      </c>
      <c r="AD16" s="24"/>
      <c r="AE16" s="142">
        <v>7190</v>
      </c>
      <c r="AF16" s="135" t="s">
        <v>74</v>
      </c>
      <c r="AG16" s="89">
        <f>IFERROR(ROUND((VLOOKUP($A16,'Из Гугла'!$B:$AD,AG$1,0)+AI16)*AH16,),VLOOKUP($A16,'Из Гугла'!$B:$AD,AG$1,0))</f>
        <v>4161</v>
      </c>
      <c r="AH16" s="24">
        <v>1</v>
      </c>
      <c r="AI16" s="24"/>
      <c r="AJ16" s="158">
        <v>4161</v>
      </c>
      <c r="AK16" s="135" t="s">
        <v>173</v>
      </c>
      <c r="AL16" s="89">
        <f>IFERROR(ROUND((VLOOKUP($A16,'Из Гугла'!$B:$AD,AL$1,0)+AN16)*AM16,),VLOOKUP($A16,'Из Гугла'!$B:$AD,AL$1,0))</f>
        <v>6852</v>
      </c>
      <c r="AM16" s="24">
        <v>1</v>
      </c>
      <c r="AN16" s="24"/>
      <c r="AO16" s="139">
        <v>6852</v>
      </c>
      <c r="AP16" s="135" t="s">
        <v>189</v>
      </c>
      <c r="AQ16" s="89" t="str">
        <f>IFERROR(ROUND((VLOOKUP($A16,'Из Гугла'!$B:$AD,AQ$1,0)+AS16)*AR16,),VLOOKUP($A16,'Из Гугла'!$B:$AD,AQ$1,0))</f>
        <v/>
      </c>
      <c r="AR16" s="24">
        <v>1</v>
      </c>
      <c r="AS16" s="24"/>
      <c r="AT16" s="139"/>
      <c r="AU16" s="135"/>
    </row>
    <row r="17" spans="1:47" ht="40.5" thickTop="1" thickBot="1">
      <c r="A17" s="135">
        <v>470032</v>
      </c>
      <c r="B17" s="135">
        <f>VLOOKUP($A17,'Выгр Кат'!$A:$P,B$1,0)</f>
        <v>42480</v>
      </c>
      <c r="C17" s="136" t="str">
        <f>VLOOKUP($A17,'Выгр Кат'!$A:$P,C$1,0)</f>
        <v>Ковер пола трехслойный без кольца для ВАЗ 2101-2107</v>
      </c>
      <c r="D17" s="135" t="str">
        <f>VLOOKUP($A17,'Выгр Кат'!$A:$P,D$1,0)</f>
        <v>Y</v>
      </c>
      <c r="E17" s="135" t="str">
        <f>VLOOKUP($A17,'Выгр Кат'!$A:$P,E$1,0)</f>
        <v>1ск6</v>
      </c>
      <c r="F17" s="2" t="s">
        <v>50</v>
      </c>
      <c r="G17" s="2" t="s">
        <v>3</v>
      </c>
      <c r="H17" s="87">
        <f>VLOOKUP(F17,'Прайс-лист'!A:F,6,0)</f>
        <v>2650</v>
      </c>
      <c r="I17" s="140">
        <f>VLOOKUP(H17,Наценка!$A$1:$B$8,2,1)</f>
        <v>1.4</v>
      </c>
      <c r="J17" s="149">
        <f>H17*1.22</f>
        <v>3233</v>
      </c>
      <c r="K17" s="138">
        <f t="shared" si="24"/>
        <v>3190</v>
      </c>
      <c r="L17" s="109"/>
      <c r="M17" s="105">
        <f t="shared" si="25"/>
        <v>3006.69</v>
      </c>
      <c r="N17" s="110">
        <f t="shared" si="26"/>
        <v>3090</v>
      </c>
      <c r="O17" s="111">
        <f t="shared" si="27"/>
        <v>3090</v>
      </c>
      <c r="P17" s="112">
        <f t="shared" si="28"/>
        <v>0.16603773584905657</v>
      </c>
      <c r="Q17" s="83">
        <f t="shared" si="29"/>
        <v>100</v>
      </c>
      <c r="R17" s="113"/>
      <c r="S17" s="135">
        <f>VLOOKUP($A17,'Выгр Кат'!$A:$P,S$1,0)</f>
        <v>2650</v>
      </c>
      <c r="T17" s="135">
        <f>VLOOKUP($A17,'Выгр Кат'!$A:$P,T$1,0)</f>
        <v>3190</v>
      </c>
      <c r="U17" s="83">
        <f t="shared" si="30"/>
        <v>0</v>
      </c>
      <c r="V17" s="83">
        <f t="shared" si="31"/>
        <v>0</v>
      </c>
      <c r="W17" s="123">
        <f t="shared" si="32"/>
        <v>3190</v>
      </c>
      <c r="X17" s="119">
        <f t="shared" si="33"/>
        <v>0.20377358490566033</v>
      </c>
      <c r="Y17" s="119">
        <f t="shared" si="34"/>
        <v>-2.2435897435897436E-2</v>
      </c>
      <c r="Z17" s="119">
        <f t="shared" si="35"/>
        <v>0.1773584905660377</v>
      </c>
      <c r="AA17" s="128">
        <f t="shared" si="37"/>
        <v>3120</v>
      </c>
      <c r="AB17" s="89">
        <f>IFERROR(ROUND((VLOOKUP($A17,'Из Гугла'!$B:$AD,AB$1,0)+AD17)*AC17,),VLOOKUP($A17,'Из Гугла'!$B:$AD,AB$1,0))</f>
        <v>4290</v>
      </c>
      <c r="AC17" s="24">
        <v>1</v>
      </c>
      <c r="AD17" s="24"/>
      <c r="AE17" s="142">
        <v>4290</v>
      </c>
      <c r="AF17" s="135" t="s">
        <v>73</v>
      </c>
      <c r="AG17" s="89">
        <f>IFERROR(ROUND((VLOOKUP($A17,'Из Гугла'!$B:$AD,AG$1,0)+AI17)*AH17,),VLOOKUP($A17,'Из Гугла'!$B:$AD,AG$1,0))</f>
        <v>4161</v>
      </c>
      <c r="AH17" s="24">
        <v>1</v>
      </c>
      <c r="AI17" s="24"/>
      <c r="AJ17" s="158">
        <v>4161</v>
      </c>
      <c r="AK17" s="135" t="s">
        <v>175</v>
      </c>
      <c r="AL17" s="89">
        <f>IFERROR(ROUND((VLOOKUP($A17,'Из Гугла'!$B:$AD,AL$1,0)+AN17)*AM17,),VLOOKUP($A17,'Из Гугла'!$B:$AD,AL$1,0))</f>
        <v>3120</v>
      </c>
      <c r="AM17" s="24">
        <v>1</v>
      </c>
      <c r="AN17" s="24"/>
      <c r="AO17" s="139">
        <v>3120</v>
      </c>
      <c r="AP17" s="135" t="s">
        <v>187</v>
      </c>
      <c r="AQ17" s="89">
        <f>IFERROR(ROUND((VLOOKUP($A17,'Из Гугла'!$B:$AD,AQ$1,0)+AS17)*AR17,),VLOOKUP($A17,'Из Гугла'!$B:$AD,AQ$1,0))</f>
        <v>4450</v>
      </c>
      <c r="AR17" s="24">
        <v>1</v>
      </c>
      <c r="AS17" s="24"/>
      <c r="AT17" s="139">
        <v>4450</v>
      </c>
      <c r="AU17" s="135" t="s">
        <v>188</v>
      </c>
    </row>
    <row r="18" spans="1:47" ht="30.75" thickTop="1">
      <c r="A18" s="135">
        <v>470030</v>
      </c>
      <c r="B18" s="135">
        <f>VLOOKUP($A18,'Выгр Кат'!$A:$P,B$1,0)</f>
        <v>42481</v>
      </c>
      <c r="C18" s="136" t="str">
        <f>VLOOKUP($A18,'Выгр Кат'!$A:$P,C$1,0)</f>
        <v>Ковер пола трехслойный с кольцом для ВАЗ 2101-2107</v>
      </c>
      <c r="D18" s="135" t="str">
        <f>VLOOKUP($A18,'Выгр Кат'!$A:$P,D$1,0)</f>
        <v>Y</v>
      </c>
      <c r="E18" s="135" t="str">
        <f>VLOOKUP($A18,'Выгр Кат'!$A:$P,E$1,0)</f>
        <v>0</v>
      </c>
      <c r="F18" s="2" t="s">
        <v>49</v>
      </c>
      <c r="G18" s="2" t="s">
        <v>3</v>
      </c>
      <c r="H18" s="87">
        <f>VLOOKUP(F18,'Прайс-лист'!A:F,6,0)</f>
        <v>2900</v>
      </c>
      <c r="I18" s="140">
        <f>VLOOKUP(H18,Наценка!$A$1:$B$8,2,1)</f>
        <v>1.4</v>
      </c>
      <c r="J18" s="145">
        <f t="shared" si="36"/>
        <v>4361</v>
      </c>
      <c r="K18" s="138">
        <f t="shared" si="24"/>
        <v>4390</v>
      </c>
      <c r="L18" s="109"/>
      <c r="M18" s="105">
        <f t="shared" si="25"/>
        <v>4055.73</v>
      </c>
      <c r="N18" s="110">
        <f t="shared" si="26"/>
        <v>4090</v>
      </c>
      <c r="O18" s="111">
        <f t="shared" si="27"/>
        <v>4090</v>
      </c>
      <c r="P18" s="112">
        <f t="shared" si="28"/>
        <v>0.41034482758620694</v>
      </c>
      <c r="Q18" s="83">
        <f t="shared" si="29"/>
        <v>200</v>
      </c>
      <c r="R18" s="113"/>
      <c r="S18" s="135">
        <f>VLOOKUP($A18,'Выгр Кат'!$A:$P,S$1,0)</f>
        <v>2900</v>
      </c>
      <c r="T18" s="135">
        <f>VLOOKUP($A18,'Выгр Кат'!$A:$P,T$1,0)</f>
        <v>4290</v>
      </c>
      <c r="U18" s="83">
        <f t="shared" si="30"/>
        <v>0</v>
      </c>
      <c r="V18" s="83">
        <f t="shared" si="31"/>
        <v>-100</v>
      </c>
      <c r="W18" s="123">
        <f t="shared" si="32"/>
        <v>4390</v>
      </c>
      <c r="X18" s="119">
        <f t="shared" si="33"/>
        <v>0.51379310344827589</v>
      </c>
      <c r="Y18" s="119">
        <f t="shared" si="34"/>
        <v>1.5915713965478591E-2</v>
      </c>
      <c r="Z18" s="119">
        <f t="shared" si="35"/>
        <v>0.5382758620689656</v>
      </c>
      <c r="AA18" s="128">
        <f t="shared" si="37"/>
        <v>4461</v>
      </c>
      <c r="AB18" s="89" t="str">
        <f>IFERROR(ROUND((VLOOKUP($A18,'Из Гугла'!$B:$AD,AB$1,0)+AD18)*AC18,),VLOOKUP($A18,'Из Гугла'!$B:$AD,AB$1,0))</f>
        <v/>
      </c>
      <c r="AC18" s="24">
        <v>1</v>
      </c>
      <c r="AD18" s="24"/>
      <c r="AE18" s="139"/>
      <c r="AF18" s="135"/>
      <c r="AG18" s="89">
        <f>IFERROR(ROUND((VLOOKUP($A18,'Из Гугла'!$B:$AD,AG$1,0)+AI18)*AH18,),VLOOKUP($A18,'Из Гугла'!$B:$AD,AG$1,0))</f>
        <v>4461</v>
      </c>
      <c r="AH18" s="24">
        <v>1</v>
      </c>
      <c r="AI18" s="24">
        <v>300</v>
      </c>
      <c r="AJ18" s="158">
        <v>4461</v>
      </c>
      <c r="AK18" s="135" t="s">
        <v>175</v>
      </c>
      <c r="AL18" s="89" t="str">
        <f>IFERROR(ROUND((VLOOKUP($A18,'Из Гугла'!$B:$AD,AL$1,0)+AN18)*AM18,),VLOOKUP($A18,'Из Гугла'!$B:$AD,AL$1,0))</f>
        <v/>
      </c>
      <c r="AM18" s="24">
        <v>1</v>
      </c>
      <c r="AN18" s="24"/>
      <c r="AO18" s="139"/>
      <c r="AP18" s="135"/>
      <c r="AQ18" s="89" t="str">
        <f>IFERROR(ROUND((VLOOKUP($A18,'Из Гугла'!$B:$AD,AQ$1,0)+AS18)*AR18,),VLOOKUP($A18,'Из Гугла'!$B:$AD,AQ$1,0))</f>
        <v/>
      </c>
      <c r="AR18" s="24">
        <v>1</v>
      </c>
      <c r="AS18" s="24"/>
      <c r="AT18" s="139"/>
      <c r="AU18" s="135"/>
    </row>
    <row r="19" spans="1:47" ht="39.75" thickBot="1">
      <c r="A19" s="135">
        <v>470216</v>
      </c>
      <c r="B19" s="135">
        <f>VLOOKUP($A19,'Выгр Кат'!$A:$P,B$1,0)</f>
        <v>42292</v>
      </c>
      <c r="C19" s="136" t="str">
        <f>VLOOKUP($A19,'Выгр Кат'!$A:$P,C$1,0)</f>
        <v>Ковер пола трехслойный, из 2-х частей для Лада Нива 4х4 3-х дверная</v>
      </c>
      <c r="D19" s="135" t="str">
        <f>VLOOKUP($A19,'Выгр Кат'!$A:$P,D$1,0)</f>
        <v>Y</v>
      </c>
      <c r="E19" s="135" t="str">
        <f>VLOOKUP($A19,'Выгр Кат'!$A:$P,E$1,0)</f>
        <v>1ск5</v>
      </c>
      <c r="F19" s="2" t="s">
        <v>58</v>
      </c>
      <c r="G19" s="2" t="s">
        <v>3</v>
      </c>
      <c r="H19" s="86">
        <f>S19</f>
        <v>2700</v>
      </c>
      <c r="I19" s="140">
        <f>VLOOKUP(H19,Наценка!$A$1:$B$8,2,1)</f>
        <v>1.4</v>
      </c>
      <c r="J19" s="145">
        <f t="shared" si="36"/>
        <v>3523</v>
      </c>
      <c r="K19" s="138">
        <f t="shared" si="24"/>
        <v>3490</v>
      </c>
      <c r="L19" s="109"/>
      <c r="M19" s="105">
        <f t="shared" si="25"/>
        <v>3276.3900000000003</v>
      </c>
      <c r="N19" s="110">
        <f t="shared" si="26"/>
        <v>3290</v>
      </c>
      <c r="O19" s="111">
        <f t="shared" si="27"/>
        <v>3290</v>
      </c>
      <c r="P19" s="112">
        <f t="shared" si="28"/>
        <v>0.21851851851851856</v>
      </c>
      <c r="Q19" s="83">
        <f t="shared" si="29"/>
        <v>200</v>
      </c>
      <c r="R19" s="113"/>
      <c r="S19" s="135">
        <f>VLOOKUP($A19,'Выгр Кат'!$A:$P,S$1,0)</f>
        <v>2700</v>
      </c>
      <c r="T19" s="135">
        <f>VLOOKUP($A19,'Выгр Кат'!$A:$P,T$1,0)</f>
        <v>3490</v>
      </c>
      <c r="U19" s="83">
        <f t="shared" si="30"/>
        <v>0</v>
      </c>
      <c r="V19" s="83">
        <f t="shared" si="31"/>
        <v>0</v>
      </c>
      <c r="W19" s="123">
        <f t="shared" si="32"/>
        <v>3490</v>
      </c>
      <c r="X19" s="119">
        <f t="shared" si="33"/>
        <v>0.29259259259259252</v>
      </c>
      <c r="Y19" s="119">
        <f t="shared" si="34"/>
        <v>3.6709908915263594E-2</v>
      </c>
      <c r="Z19" s="119">
        <f t="shared" si="35"/>
        <v>0.34185185185185185</v>
      </c>
      <c r="AA19" s="128">
        <f t="shared" si="37"/>
        <v>3623</v>
      </c>
      <c r="AB19" s="89">
        <f>IFERROR(ROUND((VLOOKUP($A19,'Из Гугла'!$B:$AD,AB$1,0)+AD19)*AC19,),VLOOKUP($A19,'Из Гугла'!$B:$AD,AB$1,0))</f>
        <v>3990</v>
      </c>
      <c r="AC19" s="24">
        <v>1</v>
      </c>
      <c r="AD19" s="24"/>
      <c r="AE19" s="142">
        <v>3990</v>
      </c>
      <c r="AF19" s="135" t="s">
        <v>75</v>
      </c>
      <c r="AG19" s="89">
        <f>IFERROR(ROUND((VLOOKUP($A19,'Из Гугла'!$B:$AD,AG$1,0)+AI19)*AH19,),VLOOKUP($A19,'Из Гугла'!$B:$AD,AG$1,0))</f>
        <v>5594</v>
      </c>
      <c r="AH19" s="24">
        <v>1</v>
      </c>
      <c r="AI19" s="24"/>
      <c r="AJ19" s="158">
        <v>5594</v>
      </c>
      <c r="AK19" s="135" t="s">
        <v>178</v>
      </c>
      <c r="AL19" s="89">
        <f>IFERROR(ROUND((VLOOKUP($A19,'Из Гугла'!$B:$AD,AL$1,0)+AN19)*AM19,),VLOOKUP($A19,'Из Гугла'!$B:$AD,AL$1,0))</f>
        <v>3623</v>
      </c>
      <c r="AM19" s="24">
        <v>1</v>
      </c>
      <c r="AN19" s="24"/>
      <c r="AO19" s="139">
        <v>3623</v>
      </c>
      <c r="AP19" s="135" t="s">
        <v>184</v>
      </c>
      <c r="AQ19" s="89" t="str">
        <f>IFERROR(ROUND((VLOOKUP($A19,'Из Гугла'!$B:$AD,AQ$1,0)+AS19)*AR19,),VLOOKUP($A19,'Из Гугла'!$B:$AD,AQ$1,0))</f>
        <v/>
      </c>
      <c r="AR19" s="24">
        <v>1</v>
      </c>
      <c r="AS19" s="24"/>
      <c r="AT19" s="139"/>
      <c r="AU19" s="135"/>
    </row>
    <row r="20" spans="1:47" ht="30.75" thickTop="1">
      <c r="A20" s="135">
        <v>470211</v>
      </c>
      <c r="B20" s="135">
        <f>VLOOKUP($A20,'Выгр Кат'!$A:$P,B$1,0)</f>
        <v>42291</v>
      </c>
      <c r="C20" s="136" t="str">
        <f>VLOOKUP($A20,'Выгр Кат'!$A:$P,C$1,0)</f>
        <v>Ковер пола трехслойный, цельный для Лада Нива 4х4 3-х дверная</v>
      </c>
      <c r="D20" s="135" t="str">
        <f>VLOOKUP($A20,'Выгр Кат'!$A:$P,D$1,0)</f>
        <v>Y</v>
      </c>
      <c r="E20" s="135" t="str">
        <f>VLOOKUP($A20,'Выгр Кат'!$A:$P,E$1,0)</f>
        <v>1</v>
      </c>
      <c r="F20" s="2" t="s">
        <v>59</v>
      </c>
      <c r="G20" s="2" t="s">
        <v>3</v>
      </c>
      <c r="H20" s="86">
        <f>S20</f>
        <v>2700</v>
      </c>
      <c r="I20" s="140">
        <f>VLOOKUP(H20,Наценка!$A$1:$B$8,2,1)</f>
        <v>1.4</v>
      </c>
      <c r="J20" s="145">
        <f t="shared" si="36"/>
        <v>3547</v>
      </c>
      <c r="K20" s="138">
        <f t="shared" si="24"/>
        <v>3490</v>
      </c>
      <c r="L20" s="109"/>
      <c r="M20" s="105">
        <f t="shared" si="25"/>
        <v>3298.71</v>
      </c>
      <c r="N20" s="110">
        <f t="shared" si="26"/>
        <v>3290</v>
      </c>
      <c r="O20" s="111">
        <f t="shared" si="27"/>
        <v>3290</v>
      </c>
      <c r="P20" s="112">
        <f t="shared" si="28"/>
        <v>0.21851851851851856</v>
      </c>
      <c r="Q20" s="83">
        <f t="shared" si="29"/>
        <v>200</v>
      </c>
      <c r="R20" s="113"/>
      <c r="S20" s="135">
        <f>VLOOKUP($A20,'Выгр Кат'!$A:$P,S$1,0)</f>
        <v>2700</v>
      </c>
      <c r="T20" s="135">
        <f>VLOOKUP($A20,'Выгр Кат'!$A:$P,T$1,0)</f>
        <v>3490</v>
      </c>
      <c r="U20" s="83">
        <f t="shared" si="30"/>
        <v>0</v>
      </c>
      <c r="V20" s="83">
        <f t="shared" si="31"/>
        <v>0</v>
      </c>
      <c r="W20" s="123">
        <f t="shared" si="32"/>
        <v>3490</v>
      </c>
      <c r="X20" s="119">
        <f t="shared" si="33"/>
        <v>0.29259259259259252</v>
      </c>
      <c r="Y20" s="119">
        <f t="shared" si="34"/>
        <v>4.3049081436797365E-2</v>
      </c>
      <c r="Z20" s="119">
        <f t="shared" si="35"/>
        <v>0.3507407407407408</v>
      </c>
      <c r="AA20" s="128">
        <f t="shared" si="37"/>
        <v>3647</v>
      </c>
      <c r="AB20" s="89" t="str">
        <f>IFERROR(ROUND((VLOOKUP($A20,'Из Гугла'!$B:$AD,AB$1,0)+AD20)*AC20,),VLOOKUP($A20,'Из Гугла'!$B:$AD,AB$1,0))</f>
        <v/>
      </c>
      <c r="AC20" s="24">
        <v>1</v>
      </c>
      <c r="AD20" s="24"/>
      <c r="AE20" s="139"/>
      <c r="AF20" s="135"/>
      <c r="AG20" s="89">
        <f>IFERROR(ROUND((VLOOKUP($A20,'Из Гугла'!$B:$AD,AG$1,0)+AI20)*AH20,),VLOOKUP($A20,'Из Гугла'!$B:$AD,AG$1,0))</f>
        <v>4304</v>
      </c>
      <c r="AH20" s="24">
        <v>1</v>
      </c>
      <c r="AI20" s="24"/>
      <c r="AJ20" s="158">
        <v>4304</v>
      </c>
      <c r="AK20" s="135" t="s">
        <v>174</v>
      </c>
      <c r="AL20" s="89" t="str">
        <f>IFERROR(ROUND((VLOOKUP($A20,'Из Гугла'!$B:$AD,AL$1,0)+AN20)*AM20,),VLOOKUP($A20,'Из Гугла'!$B:$AD,AL$1,0))</f>
        <v/>
      </c>
      <c r="AM20" s="24">
        <v>1</v>
      </c>
      <c r="AN20" s="24"/>
      <c r="AO20" s="139" t="s">
        <v>194</v>
      </c>
      <c r="AP20" s="135" t="s">
        <v>185</v>
      </c>
      <c r="AQ20" s="89">
        <f>IFERROR(ROUND((VLOOKUP($A20,'Из Гугла'!$B:$AD,AQ$1,0)+AS20)*AR20,),VLOOKUP($A20,'Из Гугла'!$B:$AD,AQ$1,0))</f>
        <v>3647</v>
      </c>
      <c r="AR20" s="24">
        <v>1</v>
      </c>
      <c r="AS20" s="24"/>
      <c r="AT20" s="139">
        <v>3647</v>
      </c>
      <c r="AU20" s="135" t="s">
        <v>186</v>
      </c>
    </row>
    <row r="21" spans="1:47">
      <c r="H21" s="115"/>
      <c r="J21" s="115"/>
      <c r="K21" s="115"/>
      <c r="L21" s="115"/>
      <c r="M21" s="115"/>
      <c r="N21" s="115"/>
      <c r="O21" s="115"/>
      <c r="P21" s="115"/>
      <c r="Q21" s="115"/>
      <c r="R21" s="115"/>
      <c r="U21" s="115"/>
      <c r="V21" s="115"/>
      <c r="W21" s="115"/>
      <c r="AB21" s="115"/>
      <c r="AC21" s="115"/>
      <c r="AD21" s="115"/>
    </row>
    <row r="22" spans="1:47">
      <c r="H22" s="115"/>
      <c r="J22" s="115"/>
      <c r="K22" s="115"/>
      <c r="L22" s="115"/>
      <c r="M22" s="115"/>
      <c r="N22" s="115"/>
      <c r="O22" s="115"/>
      <c r="P22" s="115"/>
      <c r="Q22" s="115"/>
      <c r="R22" s="115"/>
      <c r="U22" s="115"/>
      <c r="V22" s="115"/>
      <c r="W22" s="115"/>
      <c r="AB22" s="115"/>
      <c r="AC22" s="115"/>
      <c r="AD22" s="115"/>
    </row>
    <row r="24" spans="1:47">
      <c r="J24" s="93">
        <f>H24*I24</f>
        <v>0</v>
      </c>
    </row>
    <row r="25" spans="1:47">
      <c r="J25" s="143">
        <f>AA25-10</f>
        <v>-10</v>
      </c>
      <c r="O25"/>
    </row>
    <row r="26" spans="1:47">
      <c r="J26" s="144">
        <f>AA26-30</f>
        <v>-30</v>
      </c>
      <c r="O26"/>
    </row>
    <row r="27" spans="1:47">
      <c r="J27" s="145">
        <f>AA27-100</f>
        <v>-100</v>
      </c>
      <c r="O27"/>
    </row>
    <row r="28" spans="1:47">
      <c r="J28" s="146">
        <f>AA28</f>
        <v>0</v>
      </c>
      <c r="O28"/>
    </row>
    <row r="29" spans="1:47">
      <c r="J29" s="146">
        <f>AA29*1.02</f>
        <v>0</v>
      </c>
      <c r="O29"/>
    </row>
    <row r="30" spans="1:47">
      <c r="J30" s="147">
        <f>AA30*1.05</f>
        <v>0</v>
      </c>
      <c r="O30"/>
    </row>
    <row r="31" spans="1:47">
      <c r="J31" s="148">
        <f>AA31*1.08</f>
        <v>0</v>
      </c>
      <c r="O31"/>
    </row>
    <row r="32" spans="1:47">
      <c r="H32" s="115"/>
      <c r="J32" s="149">
        <f>H32*1.22</f>
        <v>0</v>
      </c>
      <c r="K32" s="115"/>
      <c r="L32" s="115"/>
      <c r="O32"/>
    </row>
    <row r="33" spans="8:12">
      <c r="H33" s="115"/>
      <c r="J33" s="115"/>
      <c r="K33" s="115"/>
      <c r="L33" s="115"/>
    </row>
    <row r="34" spans="8:12">
      <c r="H34" s="115"/>
      <c r="J34" s="115"/>
      <c r="K34" s="115"/>
      <c r="L34" s="115"/>
    </row>
    <row r="35" spans="8:12">
      <c r="H35" s="115"/>
      <c r="J35" s="115"/>
      <c r="K35" s="115"/>
      <c r="L35" s="115"/>
    </row>
    <row r="36" spans="8:12">
      <c r="H36" s="115"/>
      <c r="J36" s="115"/>
      <c r="K36" s="115"/>
      <c r="L36" s="115"/>
    </row>
  </sheetData>
  <autoFilter ref="A2:AU20" xr:uid="{00000000-0001-0000-0000-000000000000}"/>
  <conditionalFormatting sqref="F23:F1048576 F1:F20">
    <cfRule type="duplicateValues" dxfId="16" priority="36"/>
  </conditionalFormatting>
  <conditionalFormatting sqref="C3:C20">
    <cfRule type="expression" dxfId="15" priority="10">
      <formula>OR(D3="N",E3="0")</formula>
    </cfRule>
  </conditionalFormatting>
  <conditionalFormatting sqref="A3:A20">
    <cfRule type="expression" dxfId="14" priority="8">
      <formula>AND($V3=0,$U3=0)</formula>
    </cfRule>
  </conditionalFormatting>
  <conditionalFormatting sqref="Y3:Y20">
    <cfRule type="cellIs" dxfId="13" priority="5" operator="lessThan">
      <formula>0%</formula>
    </cfRule>
  </conditionalFormatting>
  <conditionalFormatting sqref="Z3:Z20 X3:X20">
    <cfRule type="cellIs" dxfId="12" priority="4" operator="lessThan">
      <formula>$W$1</formula>
    </cfRule>
  </conditionalFormatting>
  <conditionalFormatting sqref="AB3:AB20 AG3:AG20 AL3:AL20 AQ3:AQ20">
    <cfRule type="expression" dxfId="11" priority="6">
      <formula>VALUE(AB3)&lt;&gt;AE3</formula>
    </cfRule>
  </conditionalFormatting>
  <hyperlinks>
    <hyperlink ref="AE11" r:id="rId1" display="https://motorring.ru/product/28799-kover-pola-trehsloynyy-shimoizolyacia-vaz-2110-2112" xr:uid="{FA1C00AF-ACBC-4AA1-8A23-FD930EC51305}"/>
    <hyperlink ref="AE7" r:id="rId2" display="https://motorring.ru/product/33069-kover-pola-lyuks-trehsloynyy-shumoizolyaciey-lada-kalina" xr:uid="{7088A08C-0146-464E-BF14-EDCC4E4BD72C}"/>
    <hyperlink ref="AE5" r:id="rId3" display="https://motorring.ru/product/28799-kover-pola-trehsloynyy-shimoizolyacia-vaz-2110-2112" xr:uid="{469D5037-032F-4FBD-B522-C58B1ED73848}"/>
    <hyperlink ref="AE6" r:id="rId4" display="https://motorring.ru/product/21183-kover-pola-lyuks-trehsloynyy-vaz-2108-21099-2113-2115" xr:uid="{13323630-D456-465E-91FB-870D8BCD40A7}"/>
    <hyperlink ref="AE4" r:id="rId5" display="https://motorring.ru/product/12431-shtatnyy-kover-pola-formovannyy-2131-lyuks-5-dvernuyu-lada" xr:uid="{2A74B507-610C-4DA2-ACF6-A543D22ED8B4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AU18"/>
  <sheetViews>
    <sheetView zoomScaleNormal="100" workbookViewId="0">
      <selection activeCell="C6" sqref="C6"/>
    </sheetView>
  </sheetViews>
  <sheetFormatPr defaultRowHeight="15" outlineLevelCol="1"/>
  <cols>
    <col min="1" max="1" width="7" bestFit="1" customWidth="1"/>
    <col min="2" max="2" width="6.85546875" bestFit="1" customWidth="1"/>
    <col min="3" max="3" width="36.42578125" customWidth="1"/>
    <col min="4" max="4" width="3.42578125" bestFit="1" customWidth="1"/>
    <col min="5" max="5" width="3" bestFit="1" customWidth="1"/>
    <col min="6" max="6" width="21.28515625" customWidth="1"/>
    <col min="7" max="7" width="12.85546875" customWidth="1"/>
    <col min="8" max="8" width="5" style="82" bestFit="1" customWidth="1"/>
    <col min="9" max="9" width="4.42578125" bestFit="1" customWidth="1"/>
    <col min="10" max="11" width="5" style="82" bestFit="1" customWidth="1"/>
    <col min="12" max="12" width="5.7109375" style="82" customWidth="1"/>
    <col min="13" max="15" width="5" style="82" bestFit="1" customWidth="1"/>
    <col min="16" max="16" width="5.5703125" style="82" bestFit="1" customWidth="1"/>
    <col min="17" max="17" width="5" style="82" customWidth="1"/>
    <col min="18" max="18" width="5.7109375" style="82" customWidth="1"/>
    <col min="19" max="20" width="5" bestFit="1" customWidth="1"/>
    <col min="21" max="21" width="3.28515625" customWidth="1"/>
    <col min="22" max="22" width="4.7109375" bestFit="1" customWidth="1"/>
    <col min="23" max="23" width="5" bestFit="1" customWidth="1"/>
    <col min="24" max="24" width="6.28515625" style="82" bestFit="1" customWidth="1"/>
    <col min="25" max="25" width="2" bestFit="1" customWidth="1"/>
    <col min="26" max="26" width="7.5703125" bestFit="1" customWidth="1"/>
    <col min="27" max="27" width="9.28515625" bestFit="1" customWidth="1"/>
    <col min="28" max="28" width="8" style="82" bestFit="1" customWidth="1" outlineLevel="1"/>
    <col min="29" max="29" width="2" bestFit="1" customWidth="1" outlineLevel="1"/>
    <col min="30" max="30" width="6" bestFit="1" customWidth="1" outlineLevel="1"/>
    <col min="33" max="33" width="8" bestFit="1" customWidth="1" outlineLevel="1"/>
    <col min="34" max="34" width="2" bestFit="1" customWidth="1" outlineLevel="1"/>
    <col min="35" max="35" width="6" bestFit="1" customWidth="1" outlineLevel="1"/>
    <col min="38" max="38" width="8" bestFit="1" customWidth="1" outlineLevel="1"/>
    <col min="39" max="39" width="2" bestFit="1" customWidth="1" outlineLevel="1"/>
    <col min="40" max="40" width="6" bestFit="1" customWidth="1" outlineLevel="1"/>
    <col min="43" max="43" width="8" bestFit="1" customWidth="1" outlineLevel="1"/>
    <col min="44" max="44" width="2" bestFit="1" customWidth="1" outlineLevel="1"/>
    <col min="45" max="45" width="6" bestFit="1" customWidth="1" outlineLevel="1"/>
  </cols>
  <sheetData>
    <row r="1" spans="1:47">
      <c r="B1">
        <v>2</v>
      </c>
      <c r="C1" s="25">
        <v>3</v>
      </c>
      <c r="D1">
        <v>4</v>
      </c>
      <c r="E1">
        <v>16</v>
      </c>
      <c r="H1" s="86">
        <f>S1</f>
        <v>10</v>
      </c>
      <c r="L1" s="98"/>
      <c r="M1" s="99"/>
      <c r="N1" s="99"/>
      <c r="O1" s="100">
        <v>0.2</v>
      </c>
      <c r="P1" s="101" t="str">
        <f>_xlfn.CONCAT(ROUND(MIN(P3:P8932)*100,0),"-",ROUND(MAX(P3:P8932)*100,0),"%")</f>
        <v>37-120%</v>
      </c>
      <c r="Q1" s="102"/>
      <c r="R1" s="103"/>
      <c r="S1">
        <v>10</v>
      </c>
      <c r="T1">
        <v>11</v>
      </c>
      <c r="U1" s="82"/>
      <c r="V1" s="82"/>
      <c r="W1" s="121">
        <v>0.2</v>
      </c>
      <c r="X1" s="101" t="str">
        <f>_xlfn.CONCAT(ROUND(MIN(X3:X9000)*100,0),"-",ROUND(MAX(X3:X9000)*100,0),"%")</f>
        <v>0-0%</v>
      </c>
      <c r="Y1" s="101" t="str">
        <f>_xlfn.CONCAT(ROUND(SUBTOTAL(5,Y3:Y9000)*100,0)," - ",ROUND(SUBTOTAL(4,Y3:Y9000)*100,0),"%")</f>
        <v>0 - 0%</v>
      </c>
      <c r="Z1" s="101" t="str">
        <f>_xlfn.CONCAT(ROUND(SUBTOTAL(5,Z3:Z90000)*100,0)," - ",ROUND(SUBTOTAL(4,Z3:Z90000)*100,0),"%")</f>
        <v>0 - 0%</v>
      </c>
      <c r="AA1" s="114"/>
      <c r="AB1" s="102">
        <v>10</v>
      </c>
      <c r="AC1" s="115"/>
      <c r="AD1" s="116">
        <f>AH1</f>
        <v>0</v>
      </c>
      <c r="AG1" s="102">
        <v>11</v>
      </c>
      <c r="AH1" s="115"/>
      <c r="AI1" s="116">
        <f>AM1</f>
        <v>0</v>
      </c>
      <c r="AL1" s="102">
        <v>12</v>
      </c>
      <c r="AM1" s="115"/>
      <c r="AN1" s="116">
        <f>AR1</f>
        <v>0</v>
      </c>
      <c r="AQ1" s="102">
        <v>13</v>
      </c>
      <c r="AR1" s="115"/>
      <c r="AS1" s="116">
        <f>AW1</f>
        <v>0</v>
      </c>
    </row>
    <row r="2" spans="1:47">
      <c r="A2" s="1" t="s">
        <v>0</v>
      </c>
      <c r="B2" s="26" t="s">
        <v>110</v>
      </c>
      <c r="C2" s="26" t="s">
        <v>39</v>
      </c>
      <c r="D2" s="26"/>
      <c r="E2" s="26"/>
      <c r="F2" s="1" t="s">
        <v>1</v>
      </c>
      <c r="G2" s="1" t="s">
        <v>2</v>
      </c>
      <c r="H2" s="84" t="s">
        <v>120</v>
      </c>
      <c r="I2" s="1"/>
      <c r="J2" s="90"/>
      <c r="K2" s="84" t="s">
        <v>119</v>
      </c>
      <c r="L2" s="104"/>
      <c r="M2" s="105" t="s">
        <v>121</v>
      </c>
      <c r="N2" s="105" t="s">
        <v>121</v>
      </c>
      <c r="O2" s="106"/>
      <c r="P2" s="107" t="s">
        <v>5</v>
      </c>
      <c r="Q2" s="83"/>
      <c r="R2" s="108"/>
      <c r="S2" s="26"/>
      <c r="T2" s="26"/>
      <c r="U2" s="83"/>
      <c r="V2" s="83"/>
      <c r="W2" s="122">
        <v>0</v>
      </c>
      <c r="X2" s="107" t="s">
        <v>5</v>
      </c>
      <c r="Y2" s="107" t="s">
        <v>76</v>
      </c>
      <c r="Z2" s="107" t="s">
        <v>77</v>
      </c>
      <c r="AA2" s="117" t="s">
        <v>146</v>
      </c>
      <c r="AB2" s="127" t="s">
        <v>147</v>
      </c>
      <c r="AC2" s="88"/>
      <c r="AD2" s="118" t="s">
        <v>148</v>
      </c>
      <c r="AE2" s="3" t="s">
        <v>78</v>
      </c>
      <c r="AF2" s="3" t="s">
        <v>78</v>
      </c>
      <c r="AG2" s="127" t="s">
        <v>147</v>
      </c>
      <c r="AH2" s="88"/>
      <c r="AI2" s="118" t="s">
        <v>148</v>
      </c>
      <c r="AJ2" s="125">
        <v>2</v>
      </c>
      <c r="AK2" s="125">
        <v>2</v>
      </c>
      <c r="AL2" s="127" t="s">
        <v>147</v>
      </c>
      <c r="AM2" s="88"/>
      <c r="AN2" s="118" t="s">
        <v>148</v>
      </c>
      <c r="AO2" s="125">
        <v>3</v>
      </c>
      <c r="AP2" s="125">
        <v>3</v>
      </c>
      <c r="AQ2" s="127" t="s">
        <v>147</v>
      </c>
      <c r="AR2" s="88"/>
      <c r="AS2" s="118" t="s">
        <v>148</v>
      </c>
      <c r="AT2" s="125">
        <v>4</v>
      </c>
      <c r="AU2" s="125">
        <v>4</v>
      </c>
    </row>
    <row r="3" spans="1:47" ht="39">
      <c r="A3" s="80">
        <v>265226</v>
      </c>
      <c r="B3" s="28">
        <f>VLOOKUP($A3,'Выгр Торг'!$B:$Q,B$1,0)</f>
        <v>42291</v>
      </c>
      <c r="C3" s="27" t="str">
        <f>VLOOKUP($A3,'Выгр Торг'!$B:$Q,C$1,0)</f>
        <v>Ковер пола Люкс для Лада Нива 4х4 3-х дверная Цельный</v>
      </c>
      <c r="D3" s="28" t="str">
        <f>VLOOKUP($A3,'Выгр Торг'!$B:$Q,D$1,0)</f>
        <v>N</v>
      </c>
      <c r="E3" s="28" t="str">
        <f>VLOOKUP($A3,'Выгр Торг'!$B:$Q,E$1,0)</f>
        <v>1</v>
      </c>
      <c r="F3" s="2" t="s">
        <v>59</v>
      </c>
      <c r="G3" s="2" t="s">
        <v>3</v>
      </c>
      <c r="H3" s="86">
        <f>S3</f>
        <v>2700</v>
      </c>
      <c r="I3" s="97">
        <v>1.6</v>
      </c>
      <c r="J3" s="93">
        <f>H3*I3</f>
        <v>4320</v>
      </c>
      <c r="K3" s="85">
        <f>IF(J3&lt;=1000,(ROUND(J3,-1)-1),(ROUND(J3,-2)-10))</f>
        <v>4290</v>
      </c>
      <c r="L3" s="109"/>
      <c r="M3" s="105">
        <f>J3*0.93</f>
        <v>4017.6000000000004</v>
      </c>
      <c r="N3" s="110">
        <f>IF(M3&lt;=1000,(ROUNDUP(M3,-1)-1),(ROUNDUP(M3,-2)-10))</f>
        <v>4090</v>
      </c>
      <c r="O3" s="111">
        <f>N3*(1-$W$2)</f>
        <v>4090</v>
      </c>
      <c r="P3" s="112">
        <f>IFERROR(O3/H3-1,"")</f>
        <v>0.51481481481481484</v>
      </c>
      <c r="Q3" s="83">
        <f t="shared" ref="Q3" si="0">T3-N3</f>
        <v>-100</v>
      </c>
      <c r="R3" s="113"/>
      <c r="S3" s="28">
        <f>VLOOKUP($A3,'Выгр Торг'!$B:$Q,S$1,0)</f>
        <v>2700</v>
      </c>
      <c r="T3" s="28">
        <f>VLOOKUP($A3,'Выгр Торг'!$B:$Q,T$1,0)</f>
        <v>3990</v>
      </c>
      <c r="U3" s="83">
        <f>S3-H3</f>
        <v>0</v>
      </c>
      <c r="V3" s="83">
        <f>T3-K3</f>
        <v>-300</v>
      </c>
      <c r="W3" s="123">
        <f>IFERROR(ROUND(K3*(1-$W$2),),"")</f>
        <v>4290</v>
      </c>
      <c r="X3" s="119">
        <f>IFERROR(W3/K3-1,"")</f>
        <v>0</v>
      </c>
      <c r="Y3" s="119" t="str">
        <f>IFERROR((AA3-W3)/AA3,"")</f>
        <v/>
      </c>
      <c r="Z3" s="119" t="str">
        <f>IFERROR(IF(AA3="","",AA3/H3-1),"")</f>
        <v/>
      </c>
      <c r="AA3" s="120"/>
      <c r="AB3" s="89" t="e">
        <f>IFERROR(ROUND((VLOOKUP($A3,'Из Гугла'!$B:$AD,AB$1,0)+AD3)*AC3,),VLOOKUP($A3,'Из Гугла'!$B:$AD,AB$1,0))</f>
        <v>#N/A</v>
      </c>
      <c r="AC3" s="24">
        <v>1</v>
      </c>
      <c r="AD3" s="24"/>
      <c r="AE3" s="124"/>
      <c r="AF3" s="23"/>
      <c r="AG3" s="89" t="e">
        <f>IFERROR(ROUND((VLOOKUP($A3,'Из Гугла'!$B:$AD,AG$1,0)+AI3)*AH3,),VLOOKUP($A3,'Из Гугла'!$B:$AD,AG$1,0))</f>
        <v>#N/A</v>
      </c>
      <c r="AH3" s="24">
        <v>1</v>
      </c>
      <c r="AI3" s="24"/>
      <c r="AJ3" s="23"/>
      <c r="AK3" s="23"/>
      <c r="AL3" s="89" t="e">
        <f>IFERROR(ROUND((VLOOKUP($A3,'Из Гугла'!$B:$AD,AL$1,0)+AN3)*AM3,),VLOOKUP($A3,'Из Гугла'!$B:$AD,AL$1,0))</f>
        <v>#N/A</v>
      </c>
      <c r="AM3" s="24">
        <v>1</v>
      </c>
      <c r="AN3" s="24"/>
      <c r="AO3" s="23"/>
      <c r="AP3" s="23"/>
      <c r="AQ3" s="89" t="e">
        <f>IFERROR(ROUND((VLOOKUP($A3,'Из Гугла'!$B:$AD,AQ$1,0)+AS3)*AR3,),VLOOKUP($A3,'Из Гугла'!$B:$AD,AQ$1,0))</f>
        <v>#N/A</v>
      </c>
      <c r="AR3" s="24">
        <v>1</v>
      </c>
      <c r="AS3" s="24"/>
      <c r="AT3" s="23"/>
      <c r="AU3" s="23"/>
    </row>
    <row r="4" spans="1:47" ht="52.5" thickBot="1">
      <c r="A4" s="81">
        <v>265225</v>
      </c>
      <c r="B4" s="28">
        <f>VLOOKUP($A4,'Выгр Торг'!$B:$Q,B$1,0)</f>
        <v>42292</v>
      </c>
      <c r="C4" s="27" t="str">
        <f>VLOOKUP($A4,'Выгр Торг'!$B:$Q,C$1,0)</f>
        <v>Ковер пола Люкс для Лада Нива 4х4 3-х дверная Из двух частей</v>
      </c>
      <c r="D4" s="28" t="str">
        <f>VLOOKUP($A4,'Выгр Торг'!$B:$Q,D$1,0)</f>
        <v>N</v>
      </c>
      <c r="E4" s="28" t="str">
        <f>VLOOKUP($A4,'Выгр Торг'!$B:$Q,E$1,0)</f>
        <v>1</v>
      </c>
      <c r="F4" s="2" t="s">
        <v>58</v>
      </c>
      <c r="G4" s="2" t="s">
        <v>3</v>
      </c>
      <c r="H4" s="86">
        <f>S4</f>
        <v>2700</v>
      </c>
      <c r="I4" s="4">
        <f>VLOOKUP(H4,Наценка!$A$1:$B$8,2,1)</f>
        <v>1.4</v>
      </c>
      <c r="J4" s="92">
        <f>AE4-100</f>
        <v>3890</v>
      </c>
      <c r="K4" s="85">
        <f t="shared" ref="K4:K10" si="1">IF(J4&lt;=1000,(ROUND(J4,-1)-1),(ROUND(J4,-2)-10))</f>
        <v>3890</v>
      </c>
      <c r="L4" s="109"/>
      <c r="M4" s="105">
        <f t="shared" ref="M4:M10" si="2">J4*0.93</f>
        <v>3617.7000000000003</v>
      </c>
      <c r="N4" s="110">
        <f t="shared" ref="N4:N10" si="3">IF(M4&lt;=1000,(ROUNDUP(M4,-1)-1),(ROUNDUP(M4,-2)-10))</f>
        <v>3690</v>
      </c>
      <c r="O4" s="111">
        <f t="shared" ref="O4:O10" si="4">N4*(1-$W$2)</f>
        <v>3690</v>
      </c>
      <c r="P4" s="112">
        <f t="shared" ref="P4:P10" si="5">IFERROR(O4/H4-1,"")</f>
        <v>0.3666666666666667</v>
      </c>
      <c r="Q4" s="83">
        <f t="shared" ref="Q4:Q10" si="6">T4-N4</f>
        <v>0</v>
      </c>
      <c r="R4" s="113"/>
      <c r="S4" s="28">
        <f>VLOOKUP($A4,'Выгр Торг'!$B:$Q,S$1,0)</f>
        <v>2700</v>
      </c>
      <c r="T4" s="28">
        <f>VLOOKUP($A4,'Выгр Торг'!$B:$Q,T$1,0)</f>
        <v>3690</v>
      </c>
      <c r="U4" s="83">
        <f t="shared" ref="U4:U10" si="7">S4-H4</f>
        <v>0</v>
      </c>
      <c r="V4" s="83">
        <f t="shared" ref="V4:V10" si="8">T4-K4</f>
        <v>-200</v>
      </c>
      <c r="W4" s="123">
        <f t="shared" ref="W4:W10" si="9">IFERROR(ROUND(K4*(1-$W$2),),"")</f>
        <v>3890</v>
      </c>
      <c r="X4" s="119">
        <f t="shared" ref="X4:X10" si="10">IFERROR(W4/K4-1,"")</f>
        <v>0</v>
      </c>
      <c r="Y4" s="119" t="str">
        <f t="shared" ref="Y4:Y10" si="11">IFERROR((AA4-W4)/AA4,"")</f>
        <v/>
      </c>
      <c r="Z4" s="119" t="str">
        <f t="shared" ref="Z4:Z10" si="12">IFERROR(IF(AA4="","",AA4/H4-1),"")</f>
        <v/>
      </c>
      <c r="AA4" s="120"/>
      <c r="AB4" s="89" t="e">
        <f>IFERROR(ROUND((VLOOKUP($A4,'Из Гугла'!$B:$AD,AB$1,0)+AD4)*AC4,),VLOOKUP($A4,'Из Гугла'!$B:$AD,AB$1,0))</f>
        <v>#N/A</v>
      </c>
      <c r="AC4" s="24">
        <v>1</v>
      </c>
      <c r="AD4" s="24"/>
      <c r="AE4" s="22">
        <v>3990</v>
      </c>
      <c r="AF4" s="28" t="s">
        <v>75</v>
      </c>
      <c r="AG4" s="89" t="e">
        <f>IFERROR(ROUND((VLOOKUP($A4,'Из Гугла'!$B:$AD,AG$1,0)+AI4)*AH4,),VLOOKUP($A4,'Из Гугла'!$B:$AD,AG$1,0))</f>
        <v>#N/A</v>
      </c>
      <c r="AH4" s="24">
        <v>1</v>
      </c>
      <c r="AI4" s="24"/>
      <c r="AJ4" s="23"/>
      <c r="AK4" s="23"/>
      <c r="AL4" s="89" t="e">
        <f>IFERROR(ROUND((VLOOKUP($A4,'Из Гугла'!$B:$AD,AL$1,0)+AN4)*AM4,),VLOOKUP($A4,'Из Гугла'!$B:$AD,AL$1,0))</f>
        <v>#N/A</v>
      </c>
      <c r="AM4" s="24">
        <v>1</v>
      </c>
      <c r="AN4" s="24"/>
      <c r="AO4" s="23"/>
      <c r="AP4" s="23"/>
      <c r="AQ4" s="89" t="e">
        <f>IFERROR(ROUND((VLOOKUP($A4,'Из Гугла'!$B:$AD,AQ$1,0)+AS4)*AR4,),VLOOKUP($A4,'Из Гугла'!$B:$AD,AQ$1,0))</f>
        <v>#N/A</v>
      </c>
      <c r="AR4" s="24">
        <v>1</v>
      </c>
      <c r="AS4" s="24"/>
      <c r="AT4" s="23"/>
      <c r="AU4" s="23"/>
    </row>
    <row r="5" spans="1:47" ht="52.5" thickTop="1">
      <c r="A5" s="81">
        <v>265218</v>
      </c>
      <c r="B5" s="28">
        <f>VLOOKUP($A5,'Выгр Торг'!$B:$Q,B$1,0)</f>
        <v>42352</v>
      </c>
      <c r="C5" s="27" t="str">
        <f>VLOOKUP($A5,'Выгр Торг'!$B:$Q,C$1,0)</f>
        <v>Ковер пола из 2-х частей для Шевроле Нива, Нива Travel на тонкой пленке</v>
      </c>
      <c r="D5" s="28" t="str">
        <f>VLOOKUP($A5,'Выгр Торг'!$B:$Q,D$1,0)</f>
        <v>N</v>
      </c>
      <c r="E5" s="28" t="str">
        <f>VLOOKUP($A5,'Выгр Торг'!$B:$Q,E$1,0)</f>
        <v>1</v>
      </c>
      <c r="F5" s="2" t="s">
        <v>54</v>
      </c>
      <c r="G5" s="2" t="s">
        <v>3</v>
      </c>
      <c r="H5" s="87">
        <f>VLOOKUP(F5,'Прайс-лист'!A:F,6,0)</f>
        <v>1250</v>
      </c>
      <c r="I5" s="97">
        <v>1.6</v>
      </c>
      <c r="J5" s="93">
        <f>H5*I5</f>
        <v>2000</v>
      </c>
      <c r="K5" s="85">
        <f t="shared" si="1"/>
        <v>1990</v>
      </c>
      <c r="L5" s="109"/>
      <c r="M5" s="105">
        <f t="shared" si="2"/>
        <v>1860</v>
      </c>
      <c r="N5" s="110">
        <f t="shared" si="3"/>
        <v>1890</v>
      </c>
      <c r="O5" s="111">
        <f t="shared" si="4"/>
        <v>1890</v>
      </c>
      <c r="P5" s="112">
        <f t="shared" si="5"/>
        <v>0.51200000000000001</v>
      </c>
      <c r="Q5" s="83">
        <f t="shared" si="6"/>
        <v>0</v>
      </c>
      <c r="R5" s="113"/>
      <c r="S5" s="28">
        <f>VLOOKUP($A5,'Выгр Торг'!$B:$Q,S$1,0)</f>
        <v>1250</v>
      </c>
      <c r="T5" s="28">
        <f>VLOOKUP($A5,'Выгр Торг'!$B:$Q,T$1,0)</f>
        <v>1890</v>
      </c>
      <c r="U5" s="83">
        <f t="shared" si="7"/>
        <v>0</v>
      </c>
      <c r="V5" s="83">
        <f t="shared" si="8"/>
        <v>-100</v>
      </c>
      <c r="W5" s="123">
        <f t="shared" si="9"/>
        <v>1990</v>
      </c>
      <c r="X5" s="119">
        <f t="shared" si="10"/>
        <v>0</v>
      </c>
      <c r="Y5" s="119" t="str">
        <f t="shared" si="11"/>
        <v/>
      </c>
      <c r="Z5" s="119" t="str">
        <f t="shared" si="12"/>
        <v/>
      </c>
      <c r="AA5" s="120"/>
      <c r="AB5" s="89" t="e">
        <f>IFERROR(ROUND((VLOOKUP($A5,'Из Гугла'!$B:$AD,AB$1,0)+AD5)*AC5,),VLOOKUP($A5,'Из Гугла'!$B:$AD,AB$1,0))</f>
        <v>#N/A</v>
      </c>
      <c r="AC5" s="24">
        <v>1</v>
      </c>
      <c r="AD5" s="24"/>
      <c r="AE5" s="124"/>
      <c r="AF5" s="28"/>
      <c r="AG5" s="89" t="e">
        <f>IFERROR(ROUND((VLOOKUP($A5,'Из Гугла'!$B:$AD,AG$1,0)+AI5)*AH5,),VLOOKUP($A5,'Из Гугла'!$B:$AD,AG$1,0))</f>
        <v>#N/A</v>
      </c>
      <c r="AH5" s="24">
        <v>1</v>
      </c>
      <c r="AI5" s="24"/>
      <c r="AJ5" s="23"/>
      <c r="AK5" s="23"/>
      <c r="AL5" s="89" t="e">
        <f>IFERROR(ROUND((VLOOKUP($A5,'Из Гугла'!$B:$AD,AL$1,0)+AN5)*AM5,),VLOOKUP($A5,'Из Гугла'!$B:$AD,AL$1,0))</f>
        <v>#N/A</v>
      </c>
      <c r="AM5" s="24">
        <v>1</v>
      </c>
      <c r="AN5" s="24"/>
      <c r="AO5" s="23"/>
      <c r="AP5" s="23"/>
      <c r="AQ5" s="89" t="e">
        <f>IFERROR(ROUND((VLOOKUP($A5,'Из Гугла'!$B:$AD,AQ$1,0)+AS5)*AR5,),VLOOKUP($A5,'Из Гугла'!$B:$AD,AQ$1,0))</f>
        <v>#N/A</v>
      </c>
      <c r="AR5" s="24">
        <v>1</v>
      </c>
      <c r="AS5" s="24"/>
      <c r="AT5" s="23"/>
      <c r="AU5" s="23"/>
    </row>
    <row r="6" spans="1:47" ht="51.75">
      <c r="A6" s="81">
        <v>265217</v>
      </c>
      <c r="B6" s="28">
        <f>VLOOKUP($A6,'Выгр Торг'!$B:$Q,B$1,0)</f>
        <v>42353</v>
      </c>
      <c r="C6" s="27" t="str">
        <f>VLOOKUP($A6,'Выгр Торг'!$B:$Q,C$1,0)</f>
        <v>Ковер пола из 2-х частей для Шевроле Нива, Нива Travel на толстой пленке</v>
      </c>
      <c r="D6" s="28" t="str">
        <f>VLOOKUP($A6,'Выгр Торг'!$B:$Q,D$1,0)</f>
        <v>N</v>
      </c>
      <c r="E6" s="28" t="str">
        <f>VLOOKUP($A6,'Выгр Торг'!$B:$Q,E$1,0)</f>
        <v>1</v>
      </c>
      <c r="F6" s="2" t="s">
        <v>55</v>
      </c>
      <c r="G6" s="2" t="s">
        <v>3</v>
      </c>
      <c r="H6" s="87">
        <f>VLOOKUP(F6,'Прайс-лист'!A:F,6,0)</f>
        <v>1500</v>
      </c>
      <c r="I6" s="97">
        <v>1.6</v>
      </c>
      <c r="J6" s="93">
        <f>H6*I6</f>
        <v>2400</v>
      </c>
      <c r="K6" s="85">
        <f t="shared" si="1"/>
        <v>2390</v>
      </c>
      <c r="L6" s="109"/>
      <c r="M6" s="105">
        <f t="shared" si="2"/>
        <v>2232</v>
      </c>
      <c r="N6" s="110">
        <f t="shared" si="3"/>
        <v>2290</v>
      </c>
      <c r="O6" s="111">
        <f t="shared" si="4"/>
        <v>2290</v>
      </c>
      <c r="P6" s="112">
        <f t="shared" si="5"/>
        <v>0.52666666666666662</v>
      </c>
      <c r="Q6" s="83">
        <f t="shared" si="6"/>
        <v>0</v>
      </c>
      <c r="R6" s="113"/>
      <c r="S6" s="28">
        <f>VLOOKUP($A6,'Выгр Торг'!$B:$Q,S$1,0)</f>
        <v>1500</v>
      </c>
      <c r="T6" s="28">
        <f>VLOOKUP($A6,'Выгр Торг'!$B:$Q,T$1,0)</f>
        <v>2290</v>
      </c>
      <c r="U6" s="83">
        <f t="shared" si="7"/>
        <v>0</v>
      </c>
      <c r="V6" s="83">
        <f t="shared" si="8"/>
        <v>-100</v>
      </c>
      <c r="W6" s="123">
        <f t="shared" si="9"/>
        <v>2390</v>
      </c>
      <c r="X6" s="119">
        <f t="shared" si="10"/>
        <v>0</v>
      </c>
      <c r="Y6" s="119" t="str">
        <f t="shared" si="11"/>
        <v/>
      </c>
      <c r="Z6" s="119" t="str">
        <f t="shared" si="12"/>
        <v/>
      </c>
      <c r="AA6" s="120"/>
      <c r="AB6" s="89" t="e">
        <f>IFERROR(ROUND((VLOOKUP($A6,'Из Гугла'!$B:$AD,AB$1,0)+AD6)*AC6,),VLOOKUP($A6,'Из Гугла'!$B:$AD,AB$1,0))</f>
        <v>#N/A</v>
      </c>
      <c r="AC6" s="24">
        <v>1</v>
      </c>
      <c r="AD6" s="24"/>
      <c r="AE6" s="124"/>
      <c r="AF6" s="28"/>
      <c r="AG6" s="89" t="e">
        <f>IFERROR(ROUND((VLOOKUP($A6,'Из Гугла'!$B:$AD,AG$1,0)+AI6)*AH6,),VLOOKUP($A6,'Из Гугла'!$B:$AD,AG$1,0))</f>
        <v>#N/A</v>
      </c>
      <c r="AH6" s="24">
        <v>1</v>
      </c>
      <c r="AI6" s="24"/>
      <c r="AJ6" s="23"/>
      <c r="AK6" s="23"/>
      <c r="AL6" s="89" t="e">
        <f>IFERROR(ROUND((VLOOKUP($A6,'Из Гугла'!$B:$AD,AL$1,0)+AN6)*AM6,),VLOOKUP($A6,'Из Гугла'!$B:$AD,AL$1,0))</f>
        <v>#N/A</v>
      </c>
      <c r="AM6" s="24">
        <v>1</v>
      </c>
      <c r="AN6" s="24"/>
      <c r="AO6" s="23"/>
      <c r="AP6" s="23"/>
      <c r="AQ6" s="89" t="e">
        <f>IFERROR(ROUND((VLOOKUP($A6,'Из Гугла'!$B:$AD,AQ$1,0)+AS6)*AR6,),VLOOKUP($A6,'Из Гугла'!$B:$AD,AQ$1,0))</f>
        <v>#N/A</v>
      </c>
      <c r="AR6" s="24">
        <v>1</v>
      </c>
      <c r="AS6" s="24"/>
      <c r="AT6" s="23"/>
      <c r="AU6" s="23"/>
    </row>
    <row r="7" spans="1:47" ht="51.75">
      <c r="A7" s="81">
        <v>226491</v>
      </c>
      <c r="B7" s="28">
        <f>VLOOKUP($A7,'Выгр Торг'!$B:$Q,B$1,0)</f>
        <v>55012</v>
      </c>
      <c r="C7" s="27" t="str">
        <f>VLOOKUP($A7,'Выгр Торг'!$B:$Q,C$1,0)</f>
        <v>Штатный формованный ковер пола из 2-х частей для Шевроле Нива, Нива Travel Полулюкс из двух частей</v>
      </c>
      <c r="D7" s="28" t="str">
        <f>VLOOKUP($A7,'Выгр Торг'!$B:$Q,D$1,0)</f>
        <v>N</v>
      </c>
      <c r="E7" s="28" t="str">
        <f>VLOOKUP($A7,'Выгр Торг'!$B:$Q,E$1,0)</f>
        <v>1</v>
      </c>
      <c r="F7" s="2" t="s">
        <v>56</v>
      </c>
      <c r="G7" s="2" t="s">
        <v>3</v>
      </c>
      <c r="H7" s="87">
        <f>VLOOKUP(F7,'Прайс-лист'!A:F,6,0)</f>
        <v>2500</v>
      </c>
      <c r="I7" s="97">
        <v>1.6</v>
      </c>
      <c r="J7" s="93">
        <f>H7*I7</f>
        <v>4000</v>
      </c>
      <c r="K7" s="85">
        <f t="shared" si="1"/>
        <v>3990</v>
      </c>
      <c r="L7" s="109"/>
      <c r="M7" s="105">
        <f t="shared" si="2"/>
        <v>3720</v>
      </c>
      <c r="N7" s="110">
        <f t="shared" si="3"/>
        <v>3790</v>
      </c>
      <c r="O7" s="111">
        <f t="shared" si="4"/>
        <v>3790</v>
      </c>
      <c r="P7" s="112">
        <f t="shared" si="5"/>
        <v>0.51600000000000001</v>
      </c>
      <c r="Q7" s="83">
        <f t="shared" si="6"/>
        <v>0</v>
      </c>
      <c r="R7" s="113"/>
      <c r="S7" s="28">
        <f>VLOOKUP($A7,'Выгр Торг'!$B:$Q,S$1,0)</f>
        <v>2500</v>
      </c>
      <c r="T7" s="28">
        <f>VLOOKUP($A7,'Выгр Торг'!$B:$Q,T$1,0)</f>
        <v>3790</v>
      </c>
      <c r="U7" s="83">
        <f t="shared" si="7"/>
        <v>0</v>
      </c>
      <c r="V7" s="83">
        <f t="shared" si="8"/>
        <v>-200</v>
      </c>
      <c r="W7" s="123">
        <f t="shared" si="9"/>
        <v>3990</v>
      </c>
      <c r="X7" s="119">
        <f t="shared" si="10"/>
        <v>0</v>
      </c>
      <c r="Y7" s="119" t="str">
        <f t="shared" si="11"/>
        <v/>
      </c>
      <c r="Z7" s="119" t="str">
        <f t="shared" si="12"/>
        <v/>
      </c>
      <c r="AA7" s="120"/>
      <c r="AB7" s="89" t="e">
        <f>IFERROR(ROUND((VLOOKUP($A7,'Из Гугла'!$B:$AD,AB$1,0)+AD7)*AC7,),VLOOKUP($A7,'Из Гугла'!$B:$AD,AB$1,0))</f>
        <v>#N/A</v>
      </c>
      <c r="AC7" s="24">
        <v>1</v>
      </c>
      <c r="AD7" s="24"/>
      <c r="AE7" s="124"/>
      <c r="AF7" s="28"/>
      <c r="AG7" s="89" t="e">
        <f>IFERROR(ROUND((VLOOKUP($A7,'Из Гугла'!$B:$AD,AG$1,0)+AI7)*AH7,),VLOOKUP($A7,'Из Гугла'!$B:$AD,AG$1,0))</f>
        <v>#N/A</v>
      </c>
      <c r="AH7" s="24">
        <v>1</v>
      </c>
      <c r="AI7" s="24"/>
      <c r="AJ7" s="23"/>
      <c r="AK7" s="23"/>
      <c r="AL7" s="89" t="e">
        <f>IFERROR(ROUND((VLOOKUP($A7,'Из Гугла'!$B:$AD,AL$1,0)+AN7)*AM7,),VLOOKUP($A7,'Из Гугла'!$B:$AD,AL$1,0))</f>
        <v>#N/A</v>
      </c>
      <c r="AM7" s="24">
        <v>1</v>
      </c>
      <c r="AN7" s="24"/>
      <c r="AO7" s="23"/>
      <c r="AP7" s="23"/>
      <c r="AQ7" s="89" t="e">
        <f>IFERROR(ROUND((VLOOKUP($A7,'Из Гугла'!$B:$AD,AQ$1,0)+AS7)*AR7,),VLOOKUP($A7,'Из Гугла'!$B:$AD,AQ$1,0))</f>
        <v>#N/A</v>
      </c>
      <c r="AR7" s="24">
        <v>1</v>
      </c>
      <c r="AS7" s="24"/>
      <c r="AT7" s="23"/>
      <c r="AU7" s="23"/>
    </row>
    <row r="8" spans="1:47" ht="52.5" thickBot="1">
      <c r="A8" s="81">
        <v>265216</v>
      </c>
      <c r="B8" s="28">
        <f>VLOOKUP($A8,'Выгр Торг'!$B:$Q,B$1,0)</f>
        <v>55011</v>
      </c>
      <c r="C8" s="27" t="str">
        <f>VLOOKUP($A8,'Выгр Торг'!$B:$Q,C$1,0)</f>
        <v>Ковер пола из 2-х частей для Шевроле Нива, Нива Travel Люкс из двух частей</v>
      </c>
      <c r="D8" s="28" t="str">
        <f>VLOOKUP($A8,'Выгр Торг'!$B:$Q,D$1,0)</f>
        <v>N</v>
      </c>
      <c r="E8" s="28" t="str">
        <f>VLOOKUP($A8,'Выгр Торг'!$B:$Q,E$1,0)</f>
        <v>1</v>
      </c>
      <c r="F8" s="2" t="s">
        <v>57</v>
      </c>
      <c r="G8" s="2" t="s">
        <v>3</v>
      </c>
      <c r="H8" s="87">
        <f>VLOOKUP(F8,'Прайс-лист'!A:F,6,0)</f>
        <v>3000</v>
      </c>
      <c r="I8" s="4">
        <f>VLOOKUP(H8,Наценка!$A$1:$B$8,2,1)</f>
        <v>1.4</v>
      </c>
      <c r="J8" s="92">
        <f>AE8-100</f>
        <v>7090</v>
      </c>
      <c r="K8" s="85">
        <f t="shared" si="1"/>
        <v>7090</v>
      </c>
      <c r="L8" s="109"/>
      <c r="M8" s="105">
        <f t="shared" si="2"/>
        <v>6593.7000000000007</v>
      </c>
      <c r="N8" s="110">
        <f t="shared" si="3"/>
        <v>6590</v>
      </c>
      <c r="O8" s="111">
        <f t="shared" si="4"/>
        <v>6590</v>
      </c>
      <c r="P8" s="112">
        <f t="shared" si="5"/>
        <v>1.1966666666666668</v>
      </c>
      <c r="Q8" s="83">
        <f t="shared" si="6"/>
        <v>0</v>
      </c>
      <c r="R8" s="113"/>
      <c r="S8" s="28">
        <f>VLOOKUP($A8,'Выгр Торг'!$B:$Q,S$1,0)</f>
        <v>3000</v>
      </c>
      <c r="T8" s="28">
        <f>VLOOKUP($A8,'Выгр Торг'!$B:$Q,T$1,0)</f>
        <v>6590</v>
      </c>
      <c r="U8" s="83">
        <f t="shared" si="7"/>
        <v>0</v>
      </c>
      <c r="V8" s="83">
        <f t="shared" si="8"/>
        <v>-500</v>
      </c>
      <c r="W8" s="123">
        <f t="shared" si="9"/>
        <v>7090</v>
      </c>
      <c r="X8" s="119">
        <f t="shared" si="10"/>
        <v>0</v>
      </c>
      <c r="Y8" s="119" t="str">
        <f t="shared" si="11"/>
        <v/>
      </c>
      <c r="Z8" s="119" t="str">
        <f t="shared" si="12"/>
        <v/>
      </c>
      <c r="AA8" s="120"/>
      <c r="AB8" s="89" t="e">
        <f>IFERROR(ROUND((VLOOKUP($A8,'Из Гугла'!$B:$AD,AB$1,0)+AD8)*AC8,),VLOOKUP($A8,'Из Гугла'!$B:$AD,AB$1,0))</f>
        <v>#N/A</v>
      </c>
      <c r="AC8" s="24">
        <v>1</v>
      </c>
      <c r="AD8" s="24"/>
      <c r="AE8" s="22">
        <v>7190</v>
      </c>
      <c r="AF8" s="28" t="s">
        <v>74</v>
      </c>
      <c r="AG8" s="89" t="e">
        <f>IFERROR(ROUND((VLOOKUP($A8,'Из Гугла'!$B:$AD,AG$1,0)+AI8)*AH8,),VLOOKUP($A8,'Из Гугла'!$B:$AD,AG$1,0))</f>
        <v>#N/A</v>
      </c>
      <c r="AH8" s="24">
        <v>1</v>
      </c>
      <c r="AI8" s="24"/>
      <c r="AJ8" s="23"/>
      <c r="AK8" s="23"/>
      <c r="AL8" s="89" t="e">
        <f>IFERROR(ROUND((VLOOKUP($A8,'Из Гугла'!$B:$AD,AL$1,0)+AN8)*AM8,),VLOOKUP($A8,'Из Гугла'!$B:$AD,AL$1,0))</f>
        <v>#N/A</v>
      </c>
      <c r="AM8" s="24">
        <v>1</v>
      </c>
      <c r="AN8" s="24"/>
      <c r="AO8" s="23"/>
      <c r="AP8" s="23"/>
      <c r="AQ8" s="89" t="e">
        <f>IFERROR(ROUND((VLOOKUP($A8,'Из Гугла'!$B:$AD,AQ$1,0)+AS8)*AR8,),VLOOKUP($A8,'Из Гугла'!$B:$AD,AQ$1,0))</f>
        <v>#N/A</v>
      </c>
      <c r="AR8" s="24">
        <v>1</v>
      </c>
      <c r="AS8" s="24"/>
      <c r="AT8" s="23"/>
      <c r="AU8" s="23"/>
    </row>
    <row r="9" spans="1:47" ht="53.25" thickTop="1" thickBot="1">
      <c r="A9" s="81">
        <v>265223</v>
      </c>
      <c r="B9" s="28">
        <f>VLOOKUP($A9,'Выгр Торг'!$B:$Q,B$1,0)</f>
        <v>42480</v>
      </c>
      <c r="C9" s="27" t="str">
        <f>VLOOKUP($A9,'Выгр Торг'!$B:$Q,C$1,0)</f>
        <v>Ковер пола Люкс для ВАЗ 2101-2107 без кольца</v>
      </c>
      <c r="D9" s="28" t="str">
        <f>VLOOKUP($A9,'Выгр Торг'!$B:$Q,D$1,0)</f>
        <v>N</v>
      </c>
      <c r="E9" s="28" t="str">
        <f>VLOOKUP($A9,'Выгр Торг'!$B:$Q,E$1,0)</f>
        <v>1ск6</v>
      </c>
      <c r="F9" s="2" t="s">
        <v>50</v>
      </c>
      <c r="G9" s="2" t="s">
        <v>3</v>
      </c>
      <c r="H9" s="87">
        <f>VLOOKUP(F9,'Прайс-лист'!A:F,6,0)</f>
        <v>2650</v>
      </c>
      <c r="I9" s="4">
        <f>VLOOKUP(H9,Наценка!$A$1:$B$8,2,1)</f>
        <v>1.4</v>
      </c>
      <c r="J9" s="92">
        <f>AE9-100</f>
        <v>4190</v>
      </c>
      <c r="K9" s="85">
        <f t="shared" si="1"/>
        <v>4190</v>
      </c>
      <c r="L9" s="109"/>
      <c r="M9" s="105">
        <f t="shared" si="2"/>
        <v>3896.7000000000003</v>
      </c>
      <c r="N9" s="110">
        <f t="shared" si="3"/>
        <v>3890</v>
      </c>
      <c r="O9" s="111">
        <f t="shared" si="4"/>
        <v>3890</v>
      </c>
      <c r="P9" s="112">
        <f t="shared" si="5"/>
        <v>0.46792452830188669</v>
      </c>
      <c r="Q9" s="83">
        <f t="shared" si="6"/>
        <v>0</v>
      </c>
      <c r="R9" s="113"/>
      <c r="S9" s="28">
        <f>VLOOKUP($A9,'Выгр Торг'!$B:$Q,S$1,0)</f>
        <v>2650</v>
      </c>
      <c r="T9" s="28">
        <f>VLOOKUP($A9,'Выгр Торг'!$B:$Q,T$1,0)</f>
        <v>3890</v>
      </c>
      <c r="U9" s="83">
        <f t="shared" si="7"/>
        <v>0</v>
      </c>
      <c r="V9" s="83">
        <f t="shared" si="8"/>
        <v>-300</v>
      </c>
      <c r="W9" s="123">
        <f t="shared" si="9"/>
        <v>4190</v>
      </c>
      <c r="X9" s="119">
        <f t="shared" si="10"/>
        <v>0</v>
      </c>
      <c r="Y9" s="119" t="str">
        <f t="shared" si="11"/>
        <v/>
      </c>
      <c r="Z9" s="119" t="str">
        <f t="shared" si="12"/>
        <v/>
      </c>
      <c r="AA9" s="120"/>
      <c r="AB9" s="89" t="e">
        <f>IFERROR(ROUND((VLOOKUP($A9,'Из Гугла'!$B:$AD,AB$1,0)+AD9)*AC9,),VLOOKUP($A9,'Из Гугла'!$B:$AD,AB$1,0))</f>
        <v>#N/A</v>
      </c>
      <c r="AC9" s="24">
        <v>1</v>
      </c>
      <c r="AD9" s="24"/>
      <c r="AE9" s="22">
        <v>4290</v>
      </c>
      <c r="AF9" s="28" t="s">
        <v>73</v>
      </c>
      <c r="AG9" s="89" t="e">
        <f>IFERROR(ROUND((VLOOKUP($A9,'Из Гугла'!$B:$AD,AG$1,0)+AI9)*AH9,),VLOOKUP($A9,'Из Гугла'!$B:$AD,AG$1,0))</f>
        <v>#N/A</v>
      </c>
      <c r="AH9" s="24">
        <v>1</v>
      </c>
      <c r="AI9" s="24"/>
      <c r="AJ9" s="23"/>
      <c r="AK9" s="23"/>
      <c r="AL9" s="89" t="e">
        <f>IFERROR(ROUND((VLOOKUP($A9,'Из Гугла'!$B:$AD,AL$1,0)+AN9)*AM9,),VLOOKUP($A9,'Из Гугла'!$B:$AD,AL$1,0))</f>
        <v>#N/A</v>
      </c>
      <c r="AM9" s="24">
        <v>1</v>
      </c>
      <c r="AN9" s="24"/>
      <c r="AO9" s="23"/>
      <c r="AP9" s="23"/>
      <c r="AQ9" s="89" t="e">
        <f>IFERROR(ROUND((VLOOKUP($A9,'Из Гугла'!$B:$AD,AQ$1,0)+AS9)*AR9,),VLOOKUP($A9,'Из Гугла'!$B:$AD,AQ$1,0))</f>
        <v>#N/A</v>
      </c>
      <c r="AR9" s="24">
        <v>1</v>
      </c>
      <c r="AS9" s="24"/>
      <c r="AT9" s="23"/>
      <c r="AU9" s="23"/>
    </row>
    <row r="10" spans="1:47" ht="52.5" thickTop="1">
      <c r="A10" s="81">
        <v>265224</v>
      </c>
      <c r="B10" s="28">
        <f>VLOOKUP($A10,'Выгр Торг'!$B:$Q,B$1,0)</f>
        <v>42481</v>
      </c>
      <c r="C10" s="27" t="str">
        <f>VLOOKUP($A10,'Выгр Торг'!$B:$Q,C$1,0)</f>
        <v>Ковер пола Люкс для ВАЗ 2101-2107 с кольцом</v>
      </c>
      <c r="D10" s="28" t="str">
        <f>VLOOKUP($A10,'Выгр Торг'!$B:$Q,D$1,0)</f>
        <v>N</v>
      </c>
      <c r="E10" s="28" t="str">
        <f>VLOOKUP($A10,'Выгр Торг'!$B:$Q,E$1,0)</f>
        <v>0</v>
      </c>
      <c r="F10" s="2" t="s">
        <v>49</v>
      </c>
      <c r="G10" s="2" t="s">
        <v>3</v>
      </c>
      <c r="H10" s="87">
        <f>VLOOKUP(F10,'Прайс-лист'!A:F,6,0)</f>
        <v>2900</v>
      </c>
      <c r="I10" s="97">
        <v>1.6</v>
      </c>
      <c r="J10" s="93">
        <f>H10*I10</f>
        <v>4640</v>
      </c>
      <c r="K10" s="85">
        <f t="shared" si="1"/>
        <v>4590</v>
      </c>
      <c r="L10" s="109"/>
      <c r="M10" s="105">
        <f t="shared" si="2"/>
        <v>4315.2</v>
      </c>
      <c r="N10" s="110">
        <f t="shared" si="3"/>
        <v>4390</v>
      </c>
      <c r="O10" s="111">
        <f t="shared" si="4"/>
        <v>4390</v>
      </c>
      <c r="P10" s="112">
        <f t="shared" si="5"/>
        <v>0.51379310344827589</v>
      </c>
      <c r="Q10" s="83">
        <f t="shared" si="6"/>
        <v>0</v>
      </c>
      <c r="R10" s="113"/>
      <c r="S10" s="28">
        <f>VLOOKUP($A10,'Выгр Торг'!$B:$Q,S$1,0)</f>
        <v>2900</v>
      </c>
      <c r="T10" s="28">
        <f>VLOOKUP($A10,'Выгр Торг'!$B:$Q,T$1,0)</f>
        <v>4390</v>
      </c>
      <c r="U10" s="83">
        <f t="shared" si="7"/>
        <v>0</v>
      </c>
      <c r="V10" s="83">
        <f t="shared" si="8"/>
        <v>-200</v>
      </c>
      <c r="W10" s="123">
        <f t="shared" si="9"/>
        <v>4590</v>
      </c>
      <c r="X10" s="119">
        <f t="shared" si="10"/>
        <v>0</v>
      </c>
      <c r="Y10" s="119" t="str">
        <f t="shared" si="11"/>
        <v/>
      </c>
      <c r="Z10" s="119" t="str">
        <f t="shared" si="12"/>
        <v/>
      </c>
      <c r="AA10" s="120"/>
      <c r="AB10" s="89" t="e">
        <f>IFERROR(ROUND((VLOOKUP($A10,'Из Гугла'!$B:$AD,AB$1,0)+AD10)*AC10,),VLOOKUP($A10,'Из Гугла'!$B:$AD,AB$1,0))</f>
        <v>#N/A</v>
      </c>
      <c r="AC10" s="24">
        <v>1</v>
      </c>
      <c r="AD10" s="24"/>
      <c r="AE10" s="124"/>
      <c r="AF10" s="28"/>
      <c r="AG10" s="89" t="e">
        <f>IFERROR(ROUND((VLOOKUP($A10,'Из Гугла'!$B:$AD,AG$1,0)+AI10)*AH10,),VLOOKUP($A10,'Из Гугла'!$B:$AD,AG$1,0))</f>
        <v>#N/A</v>
      </c>
      <c r="AH10" s="24">
        <v>1</v>
      </c>
      <c r="AI10" s="24"/>
      <c r="AJ10" s="23"/>
      <c r="AK10" s="23"/>
      <c r="AL10" s="89" t="e">
        <f>IFERROR(ROUND((VLOOKUP($A10,'Из Гугла'!$B:$AD,AL$1,0)+AN10)*AM10,),VLOOKUP($A10,'Из Гугла'!$B:$AD,AL$1,0))</f>
        <v>#N/A</v>
      </c>
      <c r="AM10" s="24">
        <v>1</v>
      </c>
      <c r="AN10" s="24"/>
      <c r="AO10" s="23"/>
      <c r="AP10" s="23"/>
      <c r="AQ10" s="89" t="e">
        <f>IFERROR(ROUND((VLOOKUP($A10,'Из Гугла'!$B:$AD,AQ$1,0)+AS10)*AR10,),VLOOKUP($A10,'Из Гугла'!$B:$AD,AQ$1,0))</f>
        <v>#N/A</v>
      </c>
      <c r="AR10" s="24">
        <v>1</v>
      </c>
      <c r="AS10" s="24"/>
      <c r="AT10" s="23"/>
      <c r="AU10" s="23"/>
    </row>
    <row r="12" spans="1:47">
      <c r="J12" s="93">
        <f>H12*I12</f>
        <v>0</v>
      </c>
    </row>
    <row r="13" spans="1:47">
      <c r="J13" s="92">
        <f>AE13-100</f>
        <v>-100</v>
      </c>
    </row>
    <row r="14" spans="1:47">
      <c r="J14" s="94">
        <f>AE14*0.99</f>
        <v>0</v>
      </c>
    </row>
    <row r="15" spans="1:47">
      <c r="J15" s="91">
        <f>AE15</f>
        <v>0</v>
      </c>
    </row>
    <row r="16" spans="1:47">
      <c r="J16" s="95">
        <f>AE16*1.07</f>
        <v>0</v>
      </c>
    </row>
    <row r="17" spans="10:10">
      <c r="J17" s="96">
        <f>AE17*1.1</f>
        <v>0</v>
      </c>
    </row>
    <row r="18" spans="10:10">
      <c r="J18" s="95">
        <f>AE18*1.07-100</f>
        <v>-100</v>
      </c>
    </row>
  </sheetData>
  <autoFilter ref="A2:AU2" xr:uid="{00000000-0001-0000-0100-000000000000}"/>
  <conditionalFormatting sqref="F1:F1048576">
    <cfRule type="duplicateValues" dxfId="10" priority="26"/>
  </conditionalFormatting>
  <conditionalFormatting sqref="C3:C10">
    <cfRule type="expression" dxfId="9" priority="9">
      <formula>OR(D3="N",E3="0")</formula>
    </cfRule>
  </conditionalFormatting>
  <conditionalFormatting sqref="A3:A10">
    <cfRule type="expression" dxfId="8" priority="8">
      <formula>AND($U3=0,$V3=0)</formula>
    </cfRule>
  </conditionalFormatting>
  <conditionalFormatting sqref="Y3:Y10">
    <cfRule type="cellIs" dxfId="7" priority="5" operator="lessThan">
      <formula>0</formula>
    </cfRule>
  </conditionalFormatting>
  <conditionalFormatting sqref="Z3:Z10 X3:X10">
    <cfRule type="cellIs" dxfId="6" priority="4" operator="lessThan">
      <formula>$T$1</formula>
    </cfRule>
  </conditionalFormatting>
  <conditionalFormatting sqref="AB3:AB10">
    <cfRule type="expression" dxfId="5" priority="6">
      <formula>VALUE(AB3)&lt;&gt;AE3</formula>
    </cfRule>
  </conditionalFormatting>
  <conditionalFormatting sqref="AG3:AG10">
    <cfRule type="expression" dxfId="4" priority="3">
      <formula>VALUE(AG3)&lt;&gt;AJ3</formula>
    </cfRule>
  </conditionalFormatting>
  <conditionalFormatting sqref="AL3:AL10">
    <cfRule type="expression" dxfId="3" priority="2">
      <formula>VALUE(AL3)&lt;&gt;AO3</formula>
    </cfRule>
  </conditionalFormatting>
  <conditionalFormatting sqref="AQ3:AQ10">
    <cfRule type="expression" dxfId="2" priority="1">
      <formula>VALUE(AQ3)&lt;&gt;AT3</formula>
    </cfRule>
  </conditionalFormatting>
  <hyperlinks>
    <hyperlink ref="AE9" r:id="rId1" display="https://motorring.ru/product/20637-kover-pola-lyuks-trehsloynyy-shumoizolyaciey-vaz-2101-2107" xr:uid="{CEFBC0AE-52DA-4857-84BE-FADB6A575D61}"/>
    <hyperlink ref="AE8" r:id="rId2" display="https://motorring.ru/product/28218-zavodskoy-kover-pola-dlya-shevrole-lada-niva-2123" xr:uid="{DFA25792-2C97-4293-A8F3-14BEF4E62F4F}"/>
    <hyperlink ref="AE4" r:id="rId3" display="https://motorring.ru/product/17731-kover-pola-lyuks-trehsloynyy-shumoizolyaciey-lada-niva" xr:uid="{580318FB-1594-473C-A87D-9D769A36E420}"/>
  </hyperlinks>
  <pageMargins left="0.7" right="0.7" top="0.75" bottom="0.75" header="0.3" footer="0.3"/>
  <pageSetup paperSize="9" orientation="portrait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pageSetUpPr fitToPage="1"/>
  </sheetPr>
  <dimension ref="A1:I51"/>
  <sheetViews>
    <sheetView topLeftCell="A19" workbookViewId="0">
      <selection activeCell="A22" sqref="A22"/>
    </sheetView>
  </sheetViews>
  <sheetFormatPr defaultRowHeight="15.75"/>
  <cols>
    <col min="1" max="1" width="74.5703125" style="7" customWidth="1"/>
    <col min="2" max="2" width="4.7109375" style="7" customWidth="1"/>
    <col min="3" max="3" width="16.7109375" style="7" customWidth="1"/>
    <col min="4" max="4" width="52.7109375" style="7" customWidth="1"/>
    <col min="5" max="5" width="6.7109375" style="7" customWidth="1"/>
    <col min="6" max="7" width="12.7109375" style="7" customWidth="1"/>
    <col min="8" max="8" width="9.140625" style="7"/>
    <col min="10" max="16384" width="9.140625" style="7"/>
  </cols>
  <sheetData>
    <row r="1" spans="1:8" ht="15" customHeight="1">
      <c r="B1" s="29"/>
      <c r="C1" s="29"/>
      <c r="D1" s="29"/>
      <c r="E1" s="29"/>
      <c r="F1" s="29"/>
    </row>
    <row r="2" spans="1:8" ht="15" customHeight="1">
      <c r="B2" s="29"/>
      <c r="C2" s="29"/>
      <c r="D2" s="29"/>
      <c r="E2" s="29"/>
      <c r="F2" s="42" t="s">
        <v>48</v>
      </c>
      <c r="G2" s="13"/>
    </row>
    <row r="3" spans="1:8" ht="15" customHeight="1">
      <c r="B3" s="29"/>
      <c r="C3" s="41" t="s">
        <v>47</v>
      </c>
      <c r="D3" s="29"/>
      <c r="E3" s="29"/>
      <c r="F3" s="42" t="s">
        <v>46</v>
      </c>
      <c r="G3" s="13"/>
    </row>
    <row r="4" spans="1:8" ht="15" customHeight="1">
      <c r="B4" s="29"/>
      <c r="C4" s="50" t="s">
        <v>105</v>
      </c>
      <c r="D4" s="29"/>
      <c r="E4" s="29"/>
      <c r="F4" s="52" t="s">
        <v>45</v>
      </c>
      <c r="G4" s="12"/>
    </row>
    <row r="5" spans="1:8" ht="15" customHeight="1">
      <c r="B5" s="29"/>
      <c r="C5" s="51" t="s">
        <v>44</v>
      </c>
      <c r="D5" s="29"/>
      <c r="E5" s="29"/>
      <c r="F5" s="29"/>
    </row>
    <row r="6" spans="1:8" ht="15" customHeight="1">
      <c r="B6" s="29"/>
      <c r="C6" s="51" t="s">
        <v>106</v>
      </c>
      <c r="D6" s="29"/>
      <c r="E6" s="29"/>
      <c r="F6" s="29"/>
    </row>
    <row r="7" spans="1:8" ht="15" customHeight="1">
      <c r="B7" s="29"/>
      <c r="C7" s="29"/>
      <c r="D7" s="29"/>
      <c r="E7" s="29"/>
      <c r="F7" s="29"/>
    </row>
    <row r="8" spans="1:8" ht="18.75">
      <c r="B8" s="161" t="s">
        <v>43</v>
      </c>
      <c r="C8" s="161"/>
      <c r="D8" s="161"/>
      <c r="E8" s="161"/>
      <c r="F8" s="161"/>
      <c r="G8" s="14"/>
    </row>
    <row r="9" spans="1:8" ht="18.75">
      <c r="B9" s="160" t="s">
        <v>42</v>
      </c>
      <c r="C9" s="160"/>
      <c r="D9" s="160"/>
      <c r="E9" s="160"/>
      <c r="F9" s="160"/>
      <c r="G9" s="11"/>
    </row>
    <row r="10" spans="1:8" ht="15.95" customHeight="1" thickBot="1">
      <c r="B10" s="29"/>
      <c r="C10" s="29"/>
      <c r="D10" s="29"/>
      <c r="E10" s="30"/>
      <c r="F10" s="37" t="s">
        <v>107</v>
      </c>
      <c r="G10" s="10"/>
    </row>
    <row r="11" spans="1:8">
      <c r="B11" s="31" t="s">
        <v>41</v>
      </c>
      <c r="C11" s="32" t="s">
        <v>40</v>
      </c>
      <c r="D11" s="32" t="s">
        <v>39</v>
      </c>
      <c r="E11" s="32" t="s">
        <v>38</v>
      </c>
      <c r="F11" s="38" t="s">
        <v>37</v>
      </c>
      <c r="G11" s="15"/>
    </row>
    <row r="12" spans="1:8" ht="16.5" thickBot="1">
      <c r="B12" s="33" t="s">
        <v>36</v>
      </c>
      <c r="C12" s="34" t="s">
        <v>35</v>
      </c>
      <c r="D12" s="34" t="s">
        <v>34</v>
      </c>
      <c r="E12" s="34" t="s">
        <v>33</v>
      </c>
      <c r="F12" s="34" t="s">
        <v>32</v>
      </c>
      <c r="G12" s="17" t="s">
        <v>52</v>
      </c>
      <c r="H12" s="17" t="s">
        <v>52</v>
      </c>
    </row>
    <row r="13" spans="1:8" ht="20.100000000000001" customHeight="1">
      <c r="A13" s="17" t="str">
        <f>CONCATENATE(C13," ",D13)</f>
        <v>Нива - 21213 Формованный ковер салона люкс из 2х частей</v>
      </c>
      <c r="B13" s="43">
        <v>1</v>
      </c>
      <c r="C13" s="39" t="s">
        <v>30</v>
      </c>
      <c r="D13" s="36" t="s">
        <v>17</v>
      </c>
      <c r="E13" s="35" t="s">
        <v>11</v>
      </c>
      <c r="F13" s="44">
        <v>2650</v>
      </c>
      <c r="G13" s="17" t="str">
        <f>IFERROR(IFERROR(INDEX(Кат!$G:$G,MATCH($A13,Кат!$F:$F,0)),INDEX(Торг!$G:$G,MATCH($A13,Торг!$F:$F,0))),"")</f>
        <v>ФормКовер</v>
      </c>
      <c r="H13" s="17">
        <f>IFERROR(IFERROR(INDEX(Кат!$A:$A,MATCH($A13,Кат!$F:$F,0)),INDEX(Торг!$A:$A,MATCH($A13,Торг!$F:$F,0))),"")</f>
        <v>470216</v>
      </c>
    </row>
    <row r="14" spans="1:8" ht="20.100000000000001" customHeight="1">
      <c r="A14" s="17" t="str">
        <f t="shared" ref="A14:A32" si="0">CONCATENATE(C14," ",D14)</f>
        <v>Нива - 21213 Формованный ковер салона люкс цельный</v>
      </c>
      <c r="B14" s="43">
        <v>2</v>
      </c>
      <c r="C14" s="39" t="s">
        <v>30</v>
      </c>
      <c r="D14" s="36" t="s">
        <v>31</v>
      </c>
      <c r="E14" s="35" t="s">
        <v>6</v>
      </c>
      <c r="F14" s="44">
        <v>2650</v>
      </c>
      <c r="G14" s="17" t="str">
        <f>IFERROR(IFERROR(INDEX(Кат!$G:$G,MATCH($A14,Кат!$F:$F,0)),INDEX(Торг!$G:$G,MATCH($A14,Торг!$F:$F,0))),"")</f>
        <v>ФормКовер</v>
      </c>
      <c r="H14" s="17">
        <f>IFERROR(IFERROR(INDEX(Кат!$A:$A,MATCH($A14,Кат!$F:$F,0)),INDEX(Торг!A:A,MATCH($A14,Торг!$F:$F,0))),"")</f>
        <v>470211</v>
      </c>
    </row>
    <row r="15" spans="1:8" ht="20.100000000000001" customHeight="1">
      <c r="A15" s="17" t="str">
        <f t="shared" si="0"/>
        <v>Нива - 21213 Формованный ковер салона (цвет серый без пленки)</v>
      </c>
      <c r="B15" s="43">
        <v>3</v>
      </c>
      <c r="C15" s="39" t="s">
        <v>30</v>
      </c>
      <c r="D15" s="36" t="s">
        <v>7</v>
      </c>
      <c r="E15" s="35" t="s">
        <v>6</v>
      </c>
      <c r="F15" s="44">
        <v>900</v>
      </c>
      <c r="G15" s="17" t="str">
        <f>IFERROR(IFERROR(INDEX(Кат!$G:$G,MATCH($A15,Кат!$F:$F,0)),INDEX(Торг!$G:$G,MATCH($A15,Торг!$F:$F,0))),"")</f>
        <v>ФормКовер</v>
      </c>
      <c r="H15" s="17">
        <f>IFERROR(IFERROR(INDEX(Кат!$A:$A,MATCH($A15,Кат!$F:$F,0)),INDEX(Торг!A:A,MATCH($A15,Торг!$F:$F,0))),"")</f>
        <v>226498</v>
      </c>
    </row>
    <row r="16" spans="1:8" ht="20.100000000000001" customHeight="1">
      <c r="A16" s="17" t="str">
        <f t="shared" si="0"/>
        <v>Нива - 21213 Формованный ковер салона 3х слойный</v>
      </c>
      <c r="B16" s="43">
        <v>4</v>
      </c>
      <c r="C16" s="39" t="s">
        <v>30</v>
      </c>
      <c r="D16" s="36" t="s">
        <v>29</v>
      </c>
      <c r="E16" s="35" t="s">
        <v>6</v>
      </c>
      <c r="F16" s="44">
        <v>1350</v>
      </c>
      <c r="G16" s="17" t="str">
        <f>IFERROR(IFERROR(INDEX(Кат!$G:$G,MATCH($A16,Кат!$F:$F,0)),INDEX(Торг!$G:$G,MATCH($A16,Торг!$F:$F,0))),"")</f>
        <v>ФормКовер</v>
      </c>
      <c r="H16" s="17">
        <f>IFERROR(IFERROR(INDEX(Кат!$A:$A,MATCH($A16,Кат!$F:$F,0)),INDEX(Торг!A:A,MATCH($A16,Торг!$F:$F,0))),"")</f>
        <v>226484</v>
      </c>
    </row>
    <row r="17" spans="1:8" ht="20.100000000000001" customHeight="1">
      <c r="A17" s="17" t="str">
        <f t="shared" si="0"/>
        <v>Нива - 2131 Формованный ковер салона люкс из 2х частей</v>
      </c>
      <c r="B17" s="43">
        <v>5</v>
      </c>
      <c r="C17" s="39" t="s">
        <v>28</v>
      </c>
      <c r="D17" s="36" t="s">
        <v>17</v>
      </c>
      <c r="E17" s="35" t="s">
        <v>11</v>
      </c>
      <c r="F17" s="44">
        <v>2650</v>
      </c>
      <c r="G17" s="17" t="str">
        <f>IFERROR(IFERROR(INDEX(Кат!$G:$G,MATCH($A17,Кат!$F:$F,0)),INDEX(Торг!$G:$G,MATCH($A17,Торг!$F:$F,0))),"")</f>
        <v>ФормКовер</v>
      </c>
      <c r="H17" s="17">
        <f>IFERROR(IFERROR(INDEX(Кат!$A:$A,MATCH($A17,Кат!$F:$F,0)),INDEX(Торг!A:A,MATCH($A17,Торг!$F:$F,0))),"")</f>
        <v>226504</v>
      </c>
    </row>
    <row r="18" spans="1:8" ht="20.100000000000001" customHeight="1">
      <c r="A18" s="17" t="str">
        <f t="shared" si="0"/>
        <v xml:space="preserve">Нива Шевроле Формованный ковер салона из 2х частей (на тонкой пл.) </v>
      </c>
      <c r="B18" s="43">
        <v>6</v>
      </c>
      <c r="C18" s="39" t="s">
        <v>24</v>
      </c>
      <c r="D18" s="53" t="s">
        <v>27</v>
      </c>
      <c r="E18" s="35" t="s">
        <v>11</v>
      </c>
      <c r="F18" s="44">
        <v>1250</v>
      </c>
      <c r="G18" s="17" t="str">
        <f>IFERROR(IFERROR(INDEX(Кат!$G:$G,MATCH($A18,Кат!$F:$F,0)),INDEX(Торг!$G:$G,MATCH($A18,Торг!$F:$F,0))),"")</f>
        <v>ФормКовер</v>
      </c>
      <c r="H18" s="17">
        <f>IFERROR(IFERROR(INDEX(Кат!$A:$A,MATCH($A18,Кат!$F:$F,0)),INDEX(Торг!A:A,MATCH($A18,Торг!$F:$F,0))),"")</f>
        <v>469991</v>
      </c>
    </row>
    <row r="19" spans="1:8" ht="20.100000000000001" customHeight="1">
      <c r="A19" s="17" t="str">
        <f t="shared" si="0"/>
        <v xml:space="preserve">Нива Шевроле Формованный ковер салона из 2х частей (на толстой пл.) </v>
      </c>
      <c r="B19" s="43">
        <v>7</v>
      </c>
      <c r="C19" s="39" t="s">
        <v>24</v>
      </c>
      <c r="D19" s="53" t="s">
        <v>26</v>
      </c>
      <c r="E19" s="35" t="s">
        <v>11</v>
      </c>
      <c r="F19" s="44">
        <v>1500</v>
      </c>
      <c r="G19" s="17" t="str">
        <f>IFERROR(IFERROR(INDEX(Кат!$G:$G,MATCH($A19,Кат!$F:$F,0)),INDEX(Торг!$G:$G,MATCH($A19,Торг!$F:$F,0))),"")</f>
        <v>ФормКовер</v>
      </c>
      <c r="H19" s="17">
        <f>IFERROR(IFERROR(INDEX(Кат!$A:$A,MATCH($A19,Кат!$F:$F,0)),INDEX(Торг!A:A,MATCH($A19,Торг!$F:$F,0))),"")</f>
        <v>469993</v>
      </c>
    </row>
    <row r="20" spans="1:8" ht="20.100000000000001" customHeight="1">
      <c r="A20" s="17" t="str">
        <f t="shared" si="0"/>
        <v xml:space="preserve">Нива Шевроле Формованный ковер салона из 2х частей (3х слойный) </v>
      </c>
      <c r="B20" s="43">
        <v>8</v>
      </c>
      <c r="C20" s="39" t="s">
        <v>24</v>
      </c>
      <c r="D20" s="53" t="s">
        <v>25</v>
      </c>
      <c r="E20" s="35" t="s">
        <v>11</v>
      </c>
      <c r="F20" s="44">
        <v>1500</v>
      </c>
      <c r="G20" s="17" t="str">
        <f>IFERROR(IFERROR(INDEX(Кат!$G:$G,MATCH($A20,Кат!$F:$F,0)),INDEX(Торг!$G:$G,MATCH($A20,Торг!$F:$F,0))),"")</f>
        <v>ФормКовер</v>
      </c>
      <c r="H20" s="17">
        <f>IFERROR(IFERROR(INDEX(Кат!$A:$A,MATCH($A20,Кат!$F:$F,0)),INDEX(Торг!A:A,MATCH($A20,Торг!$F:$F,0))),"")</f>
        <v>226483</v>
      </c>
    </row>
    <row r="21" spans="1:8" ht="20.100000000000001" customHeight="1">
      <c r="A21" s="17" t="str">
        <f t="shared" si="0"/>
        <v>Нива Шевроле Формованный ковер салона из 2х частей без основы</v>
      </c>
      <c r="B21" s="43">
        <v>9</v>
      </c>
      <c r="C21" s="39" t="s">
        <v>24</v>
      </c>
      <c r="D21" s="53" t="s">
        <v>108</v>
      </c>
      <c r="E21" s="35" t="s">
        <v>11</v>
      </c>
      <c r="F21" s="44">
        <v>1500</v>
      </c>
      <c r="G21" s="17" t="str">
        <f>IFERROR(IFERROR(INDEX(Кат!$G:$G,MATCH($A21,Кат!$F:$F,0)),INDEX(Торг!$G:$G,MATCH($A21,Торг!$F:$F,0))),"")</f>
        <v/>
      </c>
      <c r="H21" s="17" t="str">
        <f>IFERROR(IFERROR(INDEX(Кат!$A:$A,MATCH($A21,Кат!$F:$F,0)),INDEX(Торг!A:A,MATCH($A21,Торг!$F:$F,0))),"")</f>
        <v/>
      </c>
    </row>
    <row r="22" spans="1:8" ht="20.100000000000001" customHeight="1">
      <c r="A22" s="17" t="str">
        <f t="shared" si="0"/>
        <v>Нива Шевроле Формованный ковер салона люкс из 2х частей</v>
      </c>
      <c r="B22" s="43">
        <v>10</v>
      </c>
      <c r="C22" s="39" t="s">
        <v>24</v>
      </c>
      <c r="D22" s="36" t="s">
        <v>17</v>
      </c>
      <c r="E22" s="35" t="s">
        <v>11</v>
      </c>
      <c r="F22" s="44">
        <v>3000</v>
      </c>
      <c r="G22" s="17" t="str">
        <f>IFERROR(IFERROR(INDEX(Кат!$G:$G,MATCH($A22,Кат!$F:$F,0)),INDEX(Торг!$G:$G,MATCH($A22,Торг!$F:$F,0))),"")</f>
        <v>ФормКовер</v>
      </c>
      <c r="H22" s="17">
        <f>IFERROR(IFERROR(INDEX(Кат!$A:$A,MATCH($A22,Кат!$F:$F,0)),INDEX(Торг!A:A,MATCH($A22,Торг!$F:$F,0))),"")</f>
        <v>469995</v>
      </c>
    </row>
    <row r="23" spans="1:8" ht="20.100000000000001" customHeight="1">
      <c r="A23" s="17" t="str">
        <f t="shared" si="0"/>
        <v>Нива Шевроле Формованный ковер салона из 2х частей п/люкс</v>
      </c>
      <c r="B23" s="43">
        <v>11</v>
      </c>
      <c r="C23" s="39" t="s">
        <v>24</v>
      </c>
      <c r="D23" s="36" t="s">
        <v>23</v>
      </c>
      <c r="E23" s="35" t="s">
        <v>11</v>
      </c>
      <c r="F23" s="44">
        <v>2500</v>
      </c>
      <c r="G23" s="17" t="str">
        <f>IFERROR(IFERROR(INDEX(Кат!$G:$G,MATCH($A23,Кат!$F:$F,0)),INDEX(Торг!$G:$G,MATCH($A23,Торг!$F:$F,0))),"")</f>
        <v>ФормКовер</v>
      </c>
      <c r="H23" s="17">
        <f>IFERROR(IFERROR(INDEX(Кат!$A:$A,MATCH($A23,Кат!$F:$F,0)),INDEX(Торг!A:A,MATCH($A23,Торг!$F:$F,0))),"")</f>
        <v>470018</v>
      </c>
    </row>
    <row r="24" spans="1:8" ht="20.100000000000001" customHeight="1">
      <c r="A24" s="17" t="str">
        <f t="shared" si="0"/>
        <v>ВАЗ - 2110 Формованный ковер салона (на пленке)</v>
      </c>
      <c r="B24" s="43">
        <v>12</v>
      </c>
      <c r="C24" s="39" t="s">
        <v>22</v>
      </c>
      <c r="D24" s="40" t="s">
        <v>10</v>
      </c>
      <c r="E24" s="35" t="s">
        <v>6</v>
      </c>
      <c r="F24" s="44">
        <v>1200</v>
      </c>
      <c r="G24" s="17" t="str">
        <f>IFERROR(IFERROR(INDEX(Кат!$G:$G,MATCH($A24,Кат!$F:$F,0)),INDEX(Торг!$G:$G,MATCH($A24,Торг!$F:$F,0))),"")</f>
        <v/>
      </c>
      <c r="H24" s="17" t="str">
        <f>IFERROR(IFERROR(INDEX(Кат!$A:$A,MATCH($A24,Кат!$F:$F,0)),INDEX(Торг!A:A,MATCH($A24,Торг!$F:$F,0))),"")</f>
        <v/>
      </c>
    </row>
    <row r="25" spans="1:8" ht="20.100000000000001" customHeight="1">
      <c r="A25" s="17" t="str">
        <f t="shared" si="0"/>
        <v xml:space="preserve">ВАЗ - 2110 Формованный ковер салона люкс </v>
      </c>
      <c r="B25" s="43">
        <v>13</v>
      </c>
      <c r="C25" s="39" t="s">
        <v>22</v>
      </c>
      <c r="D25" s="36" t="s">
        <v>21</v>
      </c>
      <c r="E25" s="35" t="s">
        <v>6</v>
      </c>
      <c r="F25" s="44">
        <v>2650</v>
      </c>
      <c r="G25" s="17" t="str">
        <f>IFERROR(IFERROR(INDEX(Кат!$G:$G,MATCH($A25,Кат!$F:$F,0)),INDEX(Торг!$G:$G,MATCH($A25,Торг!$F:$F,0))),"")</f>
        <v>ФормКовер</v>
      </c>
      <c r="H25" s="17">
        <f>IFERROR(IFERROR(INDEX(Кат!$A:$A,MATCH($A25,Кат!$F:$F,0)),INDEX(Торг!A:A,MATCH($A25,Торг!$F:$F,0))),"")</f>
        <v>226509</v>
      </c>
    </row>
    <row r="26" spans="1:8" ht="20.100000000000001" customHeight="1">
      <c r="A26" s="17" t="str">
        <f t="shared" si="0"/>
        <v>ВАЗ - Приора Формованный ковер салона (на пленке)</v>
      </c>
      <c r="B26" s="43">
        <v>14</v>
      </c>
      <c r="C26" s="39" t="s">
        <v>20</v>
      </c>
      <c r="D26" s="40" t="s">
        <v>10</v>
      </c>
      <c r="E26" s="35" t="s">
        <v>6</v>
      </c>
      <c r="F26" s="44">
        <v>1250</v>
      </c>
      <c r="G26" s="17" t="str">
        <f>IFERROR(IFERROR(INDEX(Кат!$G:$G,MATCH($A26,Кат!$F:$F,0)),INDEX(Торг!$G:$G,MATCH($A26,Торг!$F:$F,0))),"")</f>
        <v/>
      </c>
      <c r="H26" s="17" t="str">
        <f>IFERROR(IFERROR(INDEX(Кат!$A:$A,MATCH($A26,Кат!$F:$F,0)),INDEX(Торг!A:A,MATCH($A26,Торг!$F:$F,0))),"")</f>
        <v/>
      </c>
    </row>
    <row r="27" spans="1:8" ht="20.100000000000001" customHeight="1">
      <c r="A27" s="17" t="str">
        <f t="shared" si="0"/>
        <v>ВАЗ - Приора Формованный ковер салона люкс</v>
      </c>
      <c r="B27" s="43">
        <v>15</v>
      </c>
      <c r="C27" s="39" t="s">
        <v>20</v>
      </c>
      <c r="D27" s="36" t="s">
        <v>9</v>
      </c>
      <c r="E27" s="35" t="s">
        <v>6</v>
      </c>
      <c r="F27" s="44">
        <v>2650</v>
      </c>
      <c r="G27" s="17" t="str">
        <f>IFERROR(IFERROR(INDEX(Кат!$G:$G,MATCH($A27,Кат!$F:$F,0)),INDEX(Торг!$G:$G,MATCH($A27,Торг!$F:$F,0))),"")</f>
        <v>ФормКовер</v>
      </c>
      <c r="H27" s="17">
        <f>IFERROR(IFERROR(INDEX(Кат!$A:$A,MATCH($A27,Кат!$F:$F,0)),INDEX(Торг!A:A,MATCH($A27,Торг!$F:$F,0))),"")</f>
        <v>226513</v>
      </c>
    </row>
    <row r="28" spans="1:8" ht="20.100000000000001" customHeight="1">
      <c r="A28" s="17" t="str">
        <f t="shared" si="0"/>
        <v>ВАЗ - Гранта Формованный ковер салона люкс из 2х частей</v>
      </c>
      <c r="B28" s="43">
        <v>16</v>
      </c>
      <c r="C28" s="39" t="s">
        <v>18</v>
      </c>
      <c r="D28" s="36" t="s">
        <v>17</v>
      </c>
      <c r="E28" s="35" t="s">
        <v>11</v>
      </c>
      <c r="F28" s="44">
        <v>2700</v>
      </c>
      <c r="G28" s="17" t="str">
        <f>IFERROR(IFERROR(INDEX(Кат!$G:$G,MATCH($A28,Кат!$F:$F,0)),INDEX(Торг!$G:$G,MATCH($A28,Торг!$F:$F,0))),"")</f>
        <v>ФормКовер</v>
      </c>
      <c r="H28" s="17">
        <f>IFERROR(IFERROR(INDEX(Кат!$A:$A,MATCH($A28,Кат!$F:$F,0)),INDEX(Торг!A:A,MATCH($A28,Торг!$F:$F,0))),"")</f>
        <v>226503</v>
      </c>
    </row>
    <row r="29" spans="1:8" ht="20.100000000000001" customHeight="1">
      <c r="A29" s="17" t="str">
        <f t="shared" si="0"/>
        <v>ВАЗ - 2106 Формованный ковер салона люкс (с кольцом)</v>
      </c>
      <c r="B29" s="43">
        <v>17</v>
      </c>
      <c r="C29" s="39" t="s">
        <v>13</v>
      </c>
      <c r="D29" s="36" t="s">
        <v>14</v>
      </c>
      <c r="E29" s="35" t="s">
        <v>11</v>
      </c>
      <c r="F29" s="44">
        <v>2900</v>
      </c>
      <c r="G29" s="17" t="str">
        <f>IFERROR(IFERROR(INDEX(Кат!$G:$G,MATCH($A29,Кат!$F:$F,0)),INDEX(Торг!$G:$G,MATCH($A29,Торг!$F:$F,0))),"")</f>
        <v>ФормКовер</v>
      </c>
      <c r="H29" s="17">
        <f>IFERROR(IFERROR(INDEX(Кат!$A:$A,MATCH($A29,Кат!$F:$F,0)),INDEX(Торг!A:A,MATCH($A29,Торг!$F:$F,0))),"")</f>
        <v>470030</v>
      </c>
    </row>
    <row r="30" spans="1:8" ht="20.100000000000001" customHeight="1">
      <c r="A30" s="17" t="str">
        <f t="shared" si="0"/>
        <v>ВАЗ - 2106 Формованный ковер салона люкс (без кольца)</v>
      </c>
      <c r="B30" s="43">
        <v>18</v>
      </c>
      <c r="C30" s="39" t="s">
        <v>13</v>
      </c>
      <c r="D30" s="36" t="s">
        <v>12</v>
      </c>
      <c r="E30" s="35" t="s">
        <v>11</v>
      </c>
      <c r="F30" s="44">
        <v>2650</v>
      </c>
      <c r="G30" s="17" t="str">
        <f>IFERROR(IFERROR(INDEX(Кат!$G:$G,MATCH($A30,Кат!$F:$F,0)),INDEX(Торг!$G:$G,MATCH($A30,Торг!$F:$F,0))),"")</f>
        <v>ФормКовер</v>
      </c>
      <c r="H30" s="17">
        <f>IFERROR(IFERROR(INDEX(Кат!$A:$A,MATCH($A30,Кат!$F:$F,0)),INDEX(Торг!A:A,MATCH($A30,Торг!$F:$F,0))),"")</f>
        <v>470032</v>
      </c>
    </row>
    <row r="31" spans="1:8" ht="20.100000000000001" customHeight="1">
      <c r="A31" s="17" t="str">
        <f t="shared" si="0"/>
        <v>ВАЗ - 2108 Формованный ковер салона люкс</v>
      </c>
      <c r="B31" s="43">
        <v>19</v>
      </c>
      <c r="C31" s="39" t="s">
        <v>8</v>
      </c>
      <c r="D31" s="36" t="s">
        <v>9</v>
      </c>
      <c r="E31" s="35" t="s">
        <v>6</v>
      </c>
      <c r="F31" s="44">
        <v>2650</v>
      </c>
      <c r="G31" s="17" t="str">
        <f>IFERROR(IFERROR(INDEX(Кат!$G:$G,MATCH($A31,Кат!$F:$F,0)),INDEX(Торг!$G:$G,MATCH($A31,Торг!$F:$F,0))),"")</f>
        <v>ФормКовер</v>
      </c>
      <c r="H31" s="17">
        <f>IFERROR(IFERROR(INDEX(Кат!$A:$A,MATCH($A31,Кат!$F:$F,0)),INDEX(Торг!A:A,MATCH($A31,Торг!$F:$F,0))),"")</f>
        <v>226508</v>
      </c>
    </row>
    <row r="32" spans="1:8" ht="20.100000000000001" customHeight="1" thickBot="1">
      <c r="A32" s="17" t="str">
        <f t="shared" si="0"/>
        <v>ВАЗ - 2108 Формованный ковер салона (цвет серый без пленки)</v>
      </c>
      <c r="B32" s="45">
        <v>20</v>
      </c>
      <c r="C32" s="46" t="s">
        <v>8</v>
      </c>
      <c r="D32" s="47" t="s">
        <v>7</v>
      </c>
      <c r="E32" s="48" t="s">
        <v>6</v>
      </c>
      <c r="F32" s="49">
        <v>900</v>
      </c>
      <c r="G32" s="17" t="str">
        <f>IFERROR(IFERROR(INDEX(Кат!$G:$G,MATCH($A32,Кат!$F:$F,0)),INDEX(Торг!$G:$G,MATCH($A32,Торг!$F:$F,0))),"")</f>
        <v>ФормКовер</v>
      </c>
      <c r="H32" s="17">
        <f>IFERROR(IFERROR(INDEX(Кат!$A:$A,MATCH($A32,Кат!$F:$F,0)),INDEX(Торг!A:A,MATCH($A32,Торг!$F:$F,0))),"")</f>
        <v>430000</v>
      </c>
    </row>
    <row r="33" spans="1:8" ht="20.100000000000001" customHeight="1"/>
    <row r="35" spans="1:8" ht="16.5" thickBot="1"/>
    <row r="36" spans="1:8" ht="18.75">
      <c r="A36" s="17"/>
      <c r="B36" s="57">
        <v>1</v>
      </c>
      <c r="C36" s="55" t="s">
        <v>30</v>
      </c>
      <c r="D36" s="56" t="s">
        <v>10</v>
      </c>
      <c r="E36" s="54" t="s">
        <v>6</v>
      </c>
      <c r="F36" s="58">
        <v>1000</v>
      </c>
      <c r="H36" s="17" t="str">
        <f>IFERROR(IFERROR(INDEX(Кат!$A:$A,MATCH($A36,Кат!$F:$F,0)),INDEX(Торг!A:A,MATCH($A36,Торг!$F:$F,0))),"")</f>
        <v/>
      </c>
    </row>
    <row r="37" spans="1:8" ht="18.75">
      <c r="A37" s="17"/>
      <c r="B37" s="62">
        <v>6</v>
      </c>
      <c r="C37" s="61" t="s">
        <v>28</v>
      </c>
      <c r="D37" s="60" t="s">
        <v>19</v>
      </c>
      <c r="E37" s="59" t="s">
        <v>11</v>
      </c>
      <c r="F37" s="63">
        <v>1500</v>
      </c>
      <c r="H37" s="17" t="str">
        <f>IFERROR(IFERROR(INDEX(Кат!$A:$A,MATCH($A37,Кат!$F:$F,0)),INDEX(Торг!A:A,MATCH($A37,Торг!$F:$F,0))),"")</f>
        <v/>
      </c>
    </row>
    <row r="38" spans="1:8" ht="18.75">
      <c r="A38" s="17"/>
      <c r="B38" s="67">
        <v>17</v>
      </c>
      <c r="C38" s="66" t="s">
        <v>18</v>
      </c>
      <c r="D38" s="65" t="s">
        <v>19</v>
      </c>
      <c r="E38" s="64" t="s">
        <v>11</v>
      </c>
      <c r="F38" s="68">
        <v>1500</v>
      </c>
      <c r="H38" s="17" t="str">
        <f>IFERROR(IFERROR(INDEX(Кат!$A:$A,MATCH($A38,Кат!$F:$F,0)),INDEX(Торг!A:A,MATCH($A38,Торг!$F:$F,0))),"")</f>
        <v/>
      </c>
    </row>
    <row r="39" spans="1:8" ht="18.75">
      <c r="A39" s="17"/>
      <c r="B39" s="72">
        <v>19</v>
      </c>
      <c r="C39" s="71" t="s">
        <v>13</v>
      </c>
      <c r="D39" s="70" t="s">
        <v>16</v>
      </c>
      <c r="E39" s="69" t="s">
        <v>11</v>
      </c>
      <c r="F39" s="73">
        <v>1000</v>
      </c>
      <c r="H39" s="17" t="str">
        <f>IFERROR(IFERROR(INDEX(Кат!$A:$A,MATCH($A39,Кат!$F:$F,0)),INDEX(Торг!A:A,MATCH($A39,Торг!$F:$F,0))),"")</f>
        <v/>
      </c>
    </row>
    <row r="40" spans="1:8" ht="18.75">
      <c r="A40" s="17"/>
      <c r="B40" s="72">
        <v>20</v>
      </c>
      <c r="C40" s="71" t="s">
        <v>13</v>
      </c>
      <c r="D40" s="70" t="s">
        <v>15</v>
      </c>
      <c r="E40" s="69" t="s">
        <v>11</v>
      </c>
      <c r="F40" s="73">
        <v>1250</v>
      </c>
      <c r="H40" s="17" t="str">
        <f>IFERROR(IFERROR(INDEX(Кат!$A:$A,MATCH($A40,Кат!$F:$F,0)),INDEX(Торг!A:A,MATCH($A40,Торг!$F:$F,0))),"")</f>
        <v/>
      </c>
    </row>
    <row r="41" spans="1:8" ht="18.75">
      <c r="A41" s="17"/>
      <c r="B41" s="77">
        <v>23</v>
      </c>
      <c r="C41" s="76" t="s">
        <v>8</v>
      </c>
      <c r="D41" s="75" t="s">
        <v>10</v>
      </c>
      <c r="E41" s="74" t="s">
        <v>6</v>
      </c>
      <c r="F41" s="78">
        <v>1000</v>
      </c>
      <c r="H41" s="17" t="str">
        <f>IFERROR(IFERROR(INDEX(Кат!$A:$A,MATCH($A41,Кат!$F:$F,0)),INDEX(Торг!A:A,MATCH($A41,Торг!$F:$F,0))),"")</f>
        <v/>
      </c>
    </row>
    <row r="45" spans="1:8">
      <c r="B45" s="159"/>
      <c r="C45" s="159"/>
      <c r="D45" s="159"/>
      <c r="E45" s="159"/>
      <c r="F45" s="159"/>
      <c r="G45" s="16"/>
    </row>
    <row r="46" spans="1:8" ht="20.25">
      <c r="C46" s="8"/>
    </row>
    <row r="47" spans="1:8" ht="20.25">
      <c r="B47" s="9"/>
      <c r="C47" s="8"/>
    </row>
    <row r="48" spans="1:8" ht="20.25">
      <c r="B48" s="9"/>
      <c r="C48" s="8"/>
    </row>
    <row r="49" spans="2:3" ht="20.25">
      <c r="B49" s="9"/>
      <c r="C49" s="8"/>
    </row>
    <row r="50" spans="2:3" ht="20.25">
      <c r="C50" s="8"/>
    </row>
    <row r="51" spans="2:3" ht="20.25">
      <c r="C51" s="8"/>
    </row>
  </sheetData>
  <mergeCells count="3">
    <mergeCell ref="B45:F45"/>
    <mergeCell ref="B9:F9"/>
    <mergeCell ref="B8:F8"/>
  </mergeCells>
  <conditionalFormatting sqref="A1:A1048576">
    <cfRule type="duplicateValues" dxfId="1" priority="1"/>
  </conditionalFormatting>
  <pageMargins left="0.78740157480314965" right="0" top="0" bottom="0" header="0.51181102362204722" footer="0.51181102362204722"/>
  <pageSetup orientation="portrait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E8"/>
  <sheetViews>
    <sheetView workbookViewId="0">
      <selection activeCell="C13" sqref="C13"/>
    </sheetView>
  </sheetViews>
  <sheetFormatPr defaultRowHeight="15"/>
  <sheetData>
    <row r="1" spans="1:5" ht="15.75" thickBot="1">
      <c r="A1" s="18">
        <v>0.1</v>
      </c>
      <c r="B1" s="20">
        <v>1.4</v>
      </c>
      <c r="D1" s="18">
        <v>0.1</v>
      </c>
      <c r="E1" s="19">
        <v>2</v>
      </c>
    </row>
    <row r="2" spans="1:5" ht="15.75" thickBot="1">
      <c r="A2" s="5">
        <v>100</v>
      </c>
      <c r="B2" s="20">
        <v>1.4</v>
      </c>
      <c r="D2" s="5">
        <v>100</v>
      </c>
      <c r="E2" s="6">
        <v>1.8</v>
      </c>
    </row>
    <row r="3" spans="1:5" ht="15.75" thickBot="1">
      <c r="A3" s="5">
        <v>300</v>
      </c>
      <c r="B3" s="20">
        <v>1.4</v>
      </c>
      <c r="D3" s="5">
        <v>300</v>
      </c>
      <c r="E3" s="6">
        <v>1.6</v>
      </c>
    </row>
    <row r="4" spans="1:5" ht="15.75" thickBot="1">
      <c r="A4" s="21">
        <v>500</v>
      </c>
      <c r="B4" s="20">
        <v>1.4</v>
      </c>
      <c r="D4" s="5">
        <v>500</v>
      </c>
      <c r="E4" s="6">
        <v>1.55</v>
      </c>
    </row>
    <row r="5" spans="1:5" ht="15.75" thickBot="1">
      <c r="A5" s="21">
        <v>1000</v>
      </c>
      <c r="B5" s="20">
        <v>1.4</v>
      </c>
      <c r="D5" s="5">
        <v>1000</v>
      </c>
      <c r="E5" s="6">
        <v>1.5</v>
      </c>
    </row>
    <row r="6" spans="1:5" ht="15.75" thickBot="1">
      <c r="A6" s="21">
        <v>2000</v>
      </c>
      <c r="B6" s="20">
        <v>1.4</v>
      </c>
      <c r="D6" s="5">
        <v>2000</v>
      </c>
      <c r="E6" s="6">
        <v>1.4</v>
      </c>
    </row>
    <row r="7" spans="1:5" ht="15.75" thickBot="1">
      <c r="A7" s="5">
        <v>5000</v>
      </c>
      <c r="B7" s="20">
        <v>1.4</v>
      </c>
      <c r="D7" s="5">
        <v>5000</v>
      </c>
      <c r="E7" s="6">
        <v>1.35</v>
      </c>
    </row>
    <row r="8" spans="1:5" ht="15.75" thickBot="1">
      <c r="A8" s="5">
        <v>10000</v>
      </c>
      <c r="B8" s="20">
        <v>1.4</v>
      </c>
      <c r="D8" s="5">
        <v>10000</v>
      </c>
      <c r="E8" s="6">
        <v>1.3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19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5"/>
  <cols>
    <col min="1" max="1" width="7" bestFit="1" customWidth="1"/>
    <col min="2" max="2" width="9.42578125" bestFit="1" customWidth="1"/>
    <col min="3" max="3" width="36.42578125" customWidth="1"/>
    <col min="4" max="4" width="7.5703125" bestFit="1" customWidth="1"/>
    <col min="5" max="5" width="10.85546875" bestFit="1" customWidth="1"/>
    <col min="6" max="6" width="21.85546875" bestFit="1" customWidth="1"/>
    <col min="7" max="7" width="7.5703125" bestFit="1" customWidth="1"/>
    <col min="8" max="8" width="14.140625" bestFit="1" customWidth="1"/>
    <col min="9" max="9" width="13.28515625" customWidth="1"/>
    <col min="10" max="10" width="5.7109375" bestFit="1" customWidth="1"/>
    <col min="11" max="11" width="5.85546875" bestFit="1" customWidth="1"/>
    <col min="12" max="12" width="10" bestFit="1" customWidth="1"/>
    <col min="13" max="13" width="9.5703125" bestFit="1" customWidth="1"/>
    <col min="14" max="14" width="6.7109375" bestFit="1" customWidth="1"/>
    <col min="15" max="15" width="12.140625" bestFit="1" customWidth="1"/>
    <col min="16" max="16" width="10.5703125" customWidth="1"/>
    <col min="17" max="17" width="12.85546875" customWidth="1"/>
  </cols>
  <sheetData>
    <row r="1" spans="1:17" s="25" customFormat="1">
      <c r="A1" s="150" t="s">
        <v>0</v>
      </c>
      <c r="B1" s="150" t="s">
        <v>110</v>
      </c>
      <c r="C1" s="150" t="s">
        <v>143</v>
      </c>
      <c r="D1" s="150" t="s">
        <v>111</v>
      </c>
      <c r="E1" s="150" t="s">
        <v>122</v>
      </c>
      <c r="F1" s="150" t="s">
        <v>149</v>
      </c>
      <c r="G1" s="150" t="s">
        <v>144</v>
      </c>
      <c r="H1" s="150" t="s">
        <v>150</v>
      </c>
      <c r="I1" s="150" t="s">
        <v>2</v>
      </c>
      <c r="J1" s="150" t="s">
        <v>120</v>
      </c>
      <c r="K1" s="150" t="s">
        <v>119</v>
      </c>
      <c r="L1" s="150" t="s">
        <v>99</v>
      </c>
      <c r="M1" s="150" t="s">
        <v>112</v>
      </c>
      <c r="N1" s="150" t="s">
        <v>151</v>
      </c>
      <c r="O1" s="150" t="s">
        <v>113</v>
      </c>
      <c r="P1" s="79" t="s">
        <v>4</v>
      </c>
      <c r="Q1" s="79"/>
    </row>
    <row r="2" spans="1:17" ht="30">
      <c r="A2" s="151">
        <v>226484</v>
      </c>
      <c r="B2" s="151">
        <v>42302</v>
      </c>
      <c r="C2" s="152" t="s">
        <v>123</v>
      </c>
      <c r="D2" s="152" t="s">
        <v>109</v>
      </c>
      <c r="E2" s="152"/>
      <c r="F2" s="152"/>
      <c r="G2" s="152"/>
      <c r="H2" s="152"/>
      <c r="I2" s="152" t="s">
        <v>3</v>
      </c>
      <c r="J2" s="153">
        <v>1350</v>
      </c>
      <c r="K2" s="153">
        <v>1890</v>
      </c>
      <c r="L2" s="152"/>
      <c r="M2" s="152" t="s">
        <v>67</v>
      </c>
      <c r="N2" s="152"/>
      <c r="O2" s="152"/>
      <c r="P2" s="79" t="str">
        <f>_xlfn.CONCAT(M2,IF(N2&lt;&gt;"",_xlfn.CONCAT("ск",N2),""))</f>
        <v>1</v>
      </c>
      <c r="Q2" s="79" t="str">
        <f>INDEX(Кат!$G:$G,MATCH($A2,Кат!$A:$A,0))</f>
        <v>ФормКовер</v>
      </c>
    </row>
    <row r="3" spans="1:17" ht="45">
      <c r="A3" s="151">
        <v>469993</v>
      </c>
      <c r="B3" s="151">
        <v>42353</v>
      </c>
      <c r="C3" s="152" t="s">
        <v>152</v>
      </c>
      <c r="D3" s="152" t="s">
        <v>109</v>
      </c>
      <c r="E3" s="152"/>
      <c r="F3" s="152"/>
      <c r="G3" s="152"/>
      <c r="H3" s="152"/>
      <c r="I3" s="152" t="s">
        <v>3</v>
      </c>
      <c r="J3" s="153">
        <v>1500</v>
      </c>
      <c r="K3" s="153">
        <v>2090</v>
      </c>
      <c r="L3" s="152"/>
      <c r="M3" s="152" t="s">
        <v>67</v>
      </c>
      <c r="N3" s="152"/>
      <c r="O3" s="152"/>
      <c r="P3" s="79" t="str">
        <f t="shared" ref="P3:P9" si="0">_xlfn.CONCAT(M3,IF(N3&lt;&gt;"",_xlfn.CONCAT("ск",N3),""))</f>
        <v>1</v>
      </c>
      <c r="Q3" s="79" t="str">
        <f>INDEX(Кат!$G:$G,MATCH($A3,Кат!$A:$A,0))</f>
        <v>ФормКовер</v>
      </c>
    </row>
    <row r="4" spans="1:17" ht="45">
      <c r="A4" s="151">
        <v>469991</v>
      </c>
      <c r="B4" s="151">
        <v>42352</v>
      </c>
      <c r="C4" s="152" t="s">
        <v>153</v>
      </c>
      <c r="D4" s="152" t="s">
        <v>109</v>
      </c>
      <c r="E4" s="152"/>
      <c r="F4" s="152"/>
      <c r="G4" s="152"/>
      <c r="H4" s="152"/>
      <c r="I4" s="152" t="s">
        <v>3</v>
      </c>
      <c r="J4" s="153">
        <v>1250</v>
      </c>
      <c r="K4" s="153">
        <v>1790</v>
      </c>
      <c r="L4" s="152"/>
      <c r="M4" s="152" t="s">
        <v>67</v>
      </c>
      <c r="N4" s="152"/>
      <c r="O4" s="152"/>
      <c r="P4" s="79" t="str">
        <f t="shared" si="0"/>
        <v>1</v>
      </c>
      <c r="Q4" s="79" t="str">
        <f>INDEX(Кат!$G:$G,MATCH($A4,Кат!$A:$A,0))</f>
        <v>ФормКовер</v>
      </c>
    </row>
    <row r="5" spans="1:17" ht="45">
      <c r="A5" s="151">
        <v>470018</v>
      </c>
      <c r="B5" s="151">
        <v>55012</v>
      </c>
      <c r="C5" s="152" t="s">
        <v>154</v>
      </c>
      <c r="D5" s="152" t="s">
        <v>109</v>
      </c>
      <c r="E5" s="152"/>
      <c r="F5" s="152"/>
      <c r="G5" s="152"/>
      <c r="H5" s="152"/>
      <c r="I5" s="152" t="s">
        <v>3</v>
      </c>
      <c r="J5" s="153">
        <v>2500</v>
      </c>
      <c r="K5" s="153">
        <v>3090</v>
      </c>
      <c r="L5" s="152"/>
      <c r="M5" s="152" t="s">
        <v>67</v>
      </c>
      <c r="N5" s="152"/>
      <c r="O5" s="152"/>
      <c r="P5" s="79" t="str">
        <f t="shared" si="0"/>
        <v>1</v>
      </c>
      <c r="Q5" s="79" t="str">
        <f>INDEX(Кат!$G:$G,MATCH($A5,Кат!$A:$A,0))</f>
        <v>ФормКовер</v>
      </c>
    </row>
    <row r="6" spans="1:17" ht="45">
      <c r="A6" s="151">
        <v>469995</v>
      </c>
      <c r="B6" s="151">
        <v>55011</v>
      </c>
      <c r="C6" s="152" t="s">
        <v>155</v>
      </c>
      <c r="D6" s="152" t="s">
        <v>109</v>
      </c>
      <c r="E6" s="152"/>
      <c r="F6" s="152"/>
      <c r="G6" s="152"/>
      <c r="H6" s="152"/>
      <c r="I6" s="152" t="s">
        <v>3</v>
      </c>
      <c r="J6" s="153">
        <v>3000</v>
      </c>
      <c r="K6" s="153">
        <v>3990</v>
      </c>
      <c r="L6" s="152"/>
      <c r="M6" s="152" t="s">
        <v>67</v>
      </c>
      <c r="N6" s="152"/>
      <c r="O6" s="152"/>
      <c r="P6" s="79" t="str">
        <f t="shared" si="0"/>
        <v>1</v>
      </c>
      <c r="Q6" s="79" t="str">
        <f>INDEX(Кат!$G:$G,MATCH($A6,Кат!$A:$A,0))</f>
        <v>ФормКовер</v>
      </c>
    </row>
    <row r="7" spans="1:17">
      <c r="A7" s="151">
        <v>226509</v>
      </c>
      <c r="B7" s="151">
        <v>20454</v>
      </c>
      <c r="C7" s="152" t="s">
        <v>100</v>
      </c>
      <c r="D7" s="152" t="s">
        <v>109</v>
      </c>
      <c r="E7" s="152"/>
      <c r="F7" s="152"/>
      <c r="G7" s="152"/>
      <c r="H7" s="152"/>
      <c r="I7" s="152" t="s">
        <v>3</v>
      </c>
      <c r="J7" s="153">
        <v>2700</v>
      </c>
      <c r="K7" s="153">
        <v>3390</v>
      </c>
      <c r="L7" s="152"/>
      <c r="M7" s="152" t="s">
        <v>67</v>
      </c>
      <c r="N7" s="152" t="s">
        <v>145</v>
      </c>
      <c r="O7" s="152"/>
      <c r="P7" s="79" t="str">
        <f t="shared" si="0"/>
        <v>1ск5</v>
      </c>
      <c r="Q7" s="79" t="str">
        <f>INDEX(Кат!$G:$G,MATCH($A7,Кат!$A:$A,0))</f>
        <v>ФормКовер</v>
      </c>
    </row>
    <row r="8" spans="1:17" ht="30">
      <c r="A8" s="151">
        <v>226513</v>
      </c>
      <c r="B8" s="151">
        <v>42409</v>
      </c>
      <c r="C8" s="152" t="s">
        <v>101</v>
      </c>
      <c r="D8" s="152" t="s">
        <v>109</v>
      </c>
      <c r="E8" s="152"/>
      <c r="F8" s="152"/>
      <c r="G8" s="152"/>
      <c r="H8" s="152"/>
      <c r="I8" s="152" t="s">
        <v>3</v>
      </c>
      <c r="J8" s="153">
        <v>2650</v>
      </c>
      <c r="K8" s="153">
        <v>3390</v>
      </c>
      <c r="L8" s="152"/>
      <c r="M8" s="152" t="s">
        <v>67</v>
      </c>
      <c r="N8" s="152" t="s">
        <v>68</v>
      </c>
      <c r="O8" s="152"/>
      <c r="P8" s="79" t="str">
        <f t="shared" si="0"/>
        <v>1ск6</v>
      </c>
      <c r="Q8" s="79" t="str">
        <f>INDEX(Кат!$G:$G,MATCH($A8,Кат!$A:$A,0))</f>
        <v>ФормКовер</v>
      </c>
    </row>
    <row r="9" spans="1:17" ht="45">
      <c r="A9" s="151">
        <v>226503</v>
      </c>
      <c r="B9" s="151">
        <v>33697</v>
      </c>
      <c r="C9" s="152" t="s">
        <v>124</v>
      </c>
      <c r="D9" s="152" t="s">
        <v>109</v>
      </c>
      <c r="E9" s="152"/>
      <c r="F9" s="152"/>
      <c r="G9" s="152"/>
      <c r="H9" s="152"/>
      <c r="I9" s="152" t="s">
        <v>3</v>
      </c>
      <c r="J9" s="153">
        <v>2650</v>
      </c>
      <c r="K9" s="153">
        <v>3690</v>
      </c>
      <c r="L9" s="152"/>
      <c r="M9" s="152" t="s">
        <v>67</v>
      </c>
      <c r="N9" s="152" t="s">
        <v>68</v>
      </c>
      <c r="O9" s="152"/>
      <c r="P9" s="79" t="str">
        <f t="shared" si="0"/>
        <v>1ск6</v>
      </c>
      <c r="Q9" s="79" t="str">
        <f>INDEX(Кат!$G:$G,MATCH($A9,Кат!$A:$A,0))</f>
        <v>ФормКовер</v>
      </c>
    </row>
    <row r="10" spans="1:17" ht="30">
      <c r="A10" s="151">
        <v>226504</v>
      </c>
      <c r="B10" s="151">
        <v>12664</v>
      </c>
      <c r="C10" s="152" t="s">
        <v>125</v>
      </c>
      <c r="D10" s="152" t="s">
        <v>109</v>
      </c>
      <c r="E10" s="152"/>
      <c r="F10" s="152"/>
      <c r="G10" s="152"/>
      <c r="H10" s="152"/>
      <c r="I10" s="152" t="s">
        <v>3</v>
      </c>
      <c r="J10" s="153">
        <v>2650</v>
      </c>
      <c r="K10" s="153">
        <v>3190</v>
      </c>
      <c r="L10" s="152"/>
      <c r="M10" s="152" t="s">
        <v>67</v>
      </c>
      <c r="N10" s="152"/>
      <c r="O10" s="152"/>
      <c r="P10" s="79" t="str">
        <f t="shared" ref="P10:P11" si="1">_xlfn.CONCAT(M10,IF(N10&lt;&gt;"",_xlfn.CONCAT("ск",N10),""))</f>
        <v>1</v>
      </c>
      <c r="Q10" s="79" t="str">
        <f>INDEX(Кат!$G:$G,MATCH($A10,Кат!$A:$A,0))</f>
        <v>ФормКовер</v>
      </c>
    </row>
    <row r="11" spans="1:17" ht="45">
      <c r="A11" s="151">
        <v>226508</v>
      </c>
      <c r="B11" s="151">
        <v>24918</v>
      </c>
      <c r="C11" s="152" t="s">
        <v>126</v>
      </c>
      <c r="D11" s="152" t="s">
        <v>109</v>
      </c>
      <c r="E11" s="152"/>
      <c r="F11" s="152"/>
      <c r="G11" s="152"/>
      <c r="H11" s="152"/>
      <c r="I11" s="152" t="s">
        <v>3</v>
      </c>
      <c r="J11" s="153">
        <v>2700</v>
      </c>
      <c r="K11" s="153">
        <v>3290</v>
      </c>
      <c r="L11" s="152"/>
      <c r="M11" s="152" t="s">
        <v>67</v>
      </c>
      <c r="N11" s="152"/>
      <c r="O11" s="152"/>
      <c r="P11" s="79" t="str">
        <f t="shared" si="1"/>
        <v>1</v>
      </c>
      <c r="Q11" s="79" t="str">
        <f>INDEX(Кат!$G:$G,MATCH($A11,Кат!$A:$A,0))</f>
        <v>ФормКовер</v>
      </c>
    </row>
    <row r="12" spans="1:17" ht="30">
      <c r="A12" s="151">
        <v>226500</v>
      </c>
      <c r="B12" s="151">
        <v>42491</v>
      </c>
      <c r="C12" s="152" t="s">
        <v>127</v>
      </c>
      <c r="D12" s="152" t="s">
        <v>109</v>
      </c>
      <c r="E12" s="152"/>
      <c r="F12" s="152"/>
      <c r="G12" s="152"/>
      <c r="H12" s="152"/>
      <c r="I12" s="152" t="s">
        <v>3</v>
      </c>
      <c r="J12" s="153">
        <v>1450</v>
      </c>
      <c r="K12" s="153">
        <v>2290</v>
      </c>
      <c r="L12" s="152"/>
      <c r="M12" s="152" t="s">
        <v>128</v>
      </c>
      <c r="N12" s="152"/>
      <c r="O12" s="152"/>
      <c r="P12" s="79" t="str">
        <f t="shared" ref="P12:P19" si="2">_xlfn.CONCAT(M12,IF(N12&lt;&gt;"",_xlfn.CONCAT("ск",N12),""))</f>
        <v>0</v>
      </c>
      <c r="Q12" s="79" t="str">
        <f>INDEX(Кат!$G:$G,MATCH($A12,Кат!$A:$A,0))</f>
        <v>ФормКовер</v>
      </c>
    </row>
    <row r="13" spans="1:17" ht="30">
      <c r="A13" s="151">
        <v>430000</v>
      </c>
      <c r="B13" s="151">
        <v>42486</v>
      </c>
      <c r="C13" s="152" t="s">
        <v>129</v>
      </c>
      <c r="D13" s="152" t="s">
        <v>109</v>
      </c>
      <c r="E13" s="152"/>
      <c r="F13" s="152"/>
      <c r="G13" s="152"/>
      <c r="H13" s="152"/>
      <c r="I13" s="152" t="s">
        <v>3</v>
      </c>
      <c r="J13" s="153">
        <v>900</v>
      </c>
      <c r="K13" s="153">
        <v>1290</v>
      </c>
      <c r="L13" s="152"/>
      <c r="M13" s="152" t="s">
        <v>128</v>
      </c>
      <c r="N13" s="152"/>
      <c r="O13" s="152"/>
      <c r="P13" s="79" t="str">
        <f t="shared" si="2"/>
        <v>0</v>
      </c>
      <c r="Q13" s="79" t="str">
        <f>INDEX(Кат!$G:$G,MATCH($A13,Кат!$A:$A,0))</f>
        <v>ФормКовер</v>
      </c>
    </row>
    <row r="14" spans="1:17" ht="30">
      <c r="A14" s="151">
        <v>470032</v>
      </c>
      <c r="B14" s="151">
        <v>42480</v>
      </c>
      <c r="C14" s="152" t="s">
        <v>156</v>
      </c>
      <c r="D14" s="152" t="s">
        <v>109</v>
      </c>
      <c r="E14" s="152"/>
      <c r="F14" s="152"/>
      <c r="G14" s="152"/>
      <c r="H14" s="152"/>
      <c r="I14" s="152" t="s">
        <v>3</v>
      </c>
      <c r="J14" s="153">
        <v>2650</v>
      </c>
      <c r="K14" s="153">
        <v>3190</v>
      </c>
      <c r="L14" s="152"/>
      <c r="M14" s="152" t="s">
        <v>67</v>
      </c>
      <c r="N14" s="152" t="s">
        <v>68</v>
      </c>
      <c r="O14" s="152" t="s">
        <v>109</v>
      </c>
      <c r="P14" s="79" t="str">
        <f t="shared" si="2"/>
        <v>1ск6</v>
      </c>
      <c r="Q14" s="79" t="str">
        <f>INDEX(Кат!$G:$G,MATCH($A14,Кат!$A:$A,0))</f>
        <v>ФормКовер</v>
      </c>
    </row>
    <row r="15" spans="1:17" ht="30">
      <c r="A15" s="151">
        <v>470030</v>
      </c>
      <c r="B15" s="151">
        <v>42481</v>
      </c>
      <c r="C15" s="152" t="s">
        <v>157</v>
      </c>
      <c r="D15" s="152" t="s">
        <v>109</v>
      </c>
      <c r="E15" s="152"/>
      <c r="F15" s="152"/>
      <c r="G15" s="152"/>
      <c r="H15" s="152"/>
      <c r="I15" s="152" t="s">
        <v>3</v>
      </c>
      <c r="J15" s="153">
        <v>2900</v>
      </c>
      <c r="K15" s="153">
        <v>4290</v>
      </c>
      <c r="L15" s="152"/>
      <c r="M15" s="152" t="s">
        <v>128</v>
      </c>
      <c r="N15" s="152"/>
      <c r="O15" s="152" t="s">
        <v>109</v>
      </c>
      <c r="P15" s="79" t="str">
        <f t="shared" si="2"/>
        <v>0</v>
      </c>
      <c r="Q15" s="79" t="str">
        <f>INDEX(Кат!$G:$G,MATCH($A15,Кат!$A:$A,0))</f>
        <v>ФормКовер</v>
      </c>
    </row>
    <row r="16" spans="1:17" ht="30">
      <c r="A16" s="151">
        <v>470216</v>
      </c>
      <c r="B16" s="151">
        <v>42292</v>
      </c>
      <c r="C16" s="152" t="s">
        <v>158</v>
      </c>
      <c r="D16" s="152" t="s">
        <v>109</v>
      </c>
      <c r="E16" s="152"/>
      <c r="F16" s="152"/>
      <c r="G16" s="152"/>
      <c r="H16" s="152"/>
      <c r="I16" s="152" t="s">
        <v>3</v>
      </c>
      <c r="J16" s="153">
        <v>2700</v>
      </c>
      <c r="K16" s="153">
        <v>3490</v>
      </c>
      <c r="L16" s="152"/>
      <c r="M16" s="152" t="s">
        <v>67</v>
      </c>
      <c r="N16" s="152" t="s">
        <v>145</v>
      </c>
      <c r="O16" s="152"/>
      <c r="P16" s="79" t="str">
        <f t="shared" si="2"/>
        <v>1ск5</v>
      </c>
      <c r="Q16" s="79" t="str">
        <f>INDEX(Кат!$G:$G,MATCH($A16,Кат!$A:$A,0))</f>
        <v>ФормКовер</v>
      </c>
    </row>
    <row r="17" spans="1:17" ht="30">
      <c r="A17" s="151">
        <v>470211</v>
      </c>
      <c r="B17" s="151">
        <v>42291</v>
      </c>
      <c r="C17" s="152" t="s">
        <v>159</v>
      </c>
      <c r="D17" s="152" t="s">
        <v>109</v>
      </c>
      <c r="E17" s="152"/>
      <c r="F17" s="152"/>
      <c r="G17" s="152"/>
      <c r="H17" s="152"/>
      <c r="I17" s="152" t="s">
        <v>3</v>
      </c>
      <c r="J17" s="153">
        <v>2700</v>
      </c>
      <c r="K17" s="153">
        <v>3490</v>
      </c>
      <c r="L17" s="152"/>
      <c r="M17" s="152" t="s">
        <v>67</v>
      </c>
      <c r="N17" s="152"/>
      <c r="O17" s="152"/>
      <c r="P17" s="79" t="str">
        <f t="shared" si="2"/>
        <v>1</v>
      </c>
      <c r="Q17" s="79" t="str">
        <f>INDEX(Кат!$G:$G,MATCH($A17,Кат!$A:$A,0))</f>
        <v>ФормКовер</v>
      </c>
    </row>
    <row r="18" spans="1:17" ht="45">
      <c r="A18" s="151">
        <v>226483</v>
      </c>
      <c r="B18" s="151">
        <v>42373</v>
      </c>
      <c r="C18" s="152" t="s">
        <v>130</v>
      </c>
      <c r="D18" s="152" t="s">
        <v>109</v>
      </c>
      <c r="E18" s="152"/>
      <c r="F18" s="152"/>
      <c r="G18" s="152"/>
      <c r="H18" s="152"/>
      <c r="I18" s="152" t="s">
        <v>3</v>
      </c>
      <c r="J18" s="153">
        <v>1500</v>
      </c>
      <c r="K18" s="153">
        <v>2390</v>
      </c>
      <c r="L18" s="152"/>
      <c r="M18" s="152" t="s">
        <v>67</v>
      </c>
      <c r="N18" s="152"/>
      <c r="O18" s="152"/>
      <c r="P18" s="79" t="str">
        <f t="shared" si="2"/>
        <v>1</v>
      </c>
      <c r="Q18" s="79" t="str">
        <f>INDEX(Кат!$G:$G,MATCH($A18,Кат!$A:$A,0))</f>
        <v>ФормКовер</v>
      </c>
    </row>
    <row r="19" spans="1:17" ht="45">
      <c r="A19" s="151">
        <v>226498</v>
      </c>
      <c r="B19" s="151">
        <v>12663</v>
      </c>
      <c r="C19" s="152" t="s">
        <v>131</v>
      </c>
      <c r="D19" s="152" t="s">
        <v>109</v>
      </c>
      <c r="E19" s="152"/>
      <c r="F19" s="152"/>
      <c r="G19" s="152"/>
      <c r="H19" s="152"/>
      <c r="I19" s="152" t="s">
        <v>3</v>
      </c>
      <c r="J19" s="153">
        <v>900</v>
      </c>
      <c r="K19" s="153">
        <v>1790</v>
      </c>
      <c r="L19" s="152"/>
      <c r="M19" s="152" t="s">
        <v>67</v>
      </c>
      <c r="N19" s="152"/>
      <c r="O19" s="152"/>
      <c r="P19" s="79" t="str">
        <f t="shared" si="2"/>
        <v>1</v>
      </c>
      <c r="Q19" s="79" t="str">
        <f>INDEX(Кат!$G:$G,MATCH($A19,Кат!$A:$A,0))</f>
        <v>ФормКовер</v>
      </c>
    </row>
  </sheetData>
  <autoFilter ref="A1:Q19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R9"/>
  <sheetViews>
    <sheetView showGridLines="0" workbookViewId="0">
      <selection activeCell="I14" sqref="I14"/>
    </sheetView>
  </sheetViews>
  <sheetFormatPr defaultRowHeight="15"/>
  <cols>
    <col min="1" max="1" width="29.140625" customWidth="1"/>
    <col min="2" max="2" width="7" bestFit="1" customWidth="1"/>
    <col min="3" max="3" width="8.85546875" customWidth="1"/>
    <col min="4" max="4" width="36.42578125" bestFit="1" customWidth="1"/>
    <col min="5" max="5" width="7.5703125" bestFit="1" customWidth="1"/>
    <col min="6" max="6" width="10.85546875" bestFit="1" customWidth="1"/>
    <col min="7" max="7" width="13.42578125" bestFit="1" customWidth="1"/>
    <col min="8" max="8" width="7.5703125" bestFit="1" customWidth="1"/>
    <col min="9" max="9" width="12.140625" bestFit="1" customWidth="1"/>
    <col min="10" max="10" width="11.140625" bestFit="1" customWidth="1"/>
    <col min="11" max="11" width="5.7109375" bestFit="1" customWidth="1"/>
    <col min="12" max="12" width="5.85546875" bestFit="1" customWidth="1"/>
    <col min="13" max="13" width="25.140625" bestFit="1" customWidth="1"/>
    <col min="14" max="14" width="9.5703125" bestFit="1" customWidth="1"/>
    <col min="15" max="15" width="6.7109375" bestFit="1" customWidth="1"/>
    <col min="16" max="16" width="12.140625" bestFit="1" customWidth="1"/>
    <col min="17" max="17" width="10.5703125" bestFit="1" customWidth="1"/>
    <col min="18" max="18" width="11.7109375" bestFit="1" customWidth="1"/>
  </cols>
  <sheetData>
    <row r="1" spans="1:18" ht="30">
      <c r="A1" s="154" t="s">
        <v>114</v>
      </c>
      <c r="B1" s="154" t="s">
        <v>0</v>
      </c>
      <c r="C1" s="154" t="s">
        <v>142</v>
      </c>
      <c r="D1" s="154" t="s">
        <v>143</v>
      </c>
      <c r="E1" s="154" t="s">
        <v>111</v>
      </c>
      <c r="F1" s="154" t="s">
        <v>122</v>
      </c>
      <c r="G1" s="154" t="s">
        <v>164</v>
      </c>
      <c r="H1" s="154" t="s">
        <v>144</v>
      </c>
      <c r="I1" s="154" t="s">
        <v>150</v>
      </c>
      <c r="J1" s="154" t="s">
        <v>2</v>
      </c>
      <c r="K1" s="154" t="s">
        <v>120</v>
      </c>
      <c r="L1" s="154" t="s">
        <v>119</v>
      </c>
      <c r="M1" s="154" t="s">
        <v>165</v>
      </c>
      <c r="N1" s="154" t="s">
        <v>112</v>
      </c>
      <c r="O1" s="154" t="s">
        <v>115</v>
      </c>
      <c r="P1" s="154" t="s">
        <v>113</v>
      </c>
      <c r="Q1" s="79" t="s">
        <v>4</v>
      </c>
      <c r="R1" s="79"/>
    </row>
    <row r="2" spans="1:18" ht="45">
      <c r="A2" s="156" t="s">
        <v>132</v>
      </c>
      <c r="B2" s="155">
        <v>265216</v>
      </c>
      <c r="C2" s="155">
        <v>55011</v>
      </c>
      <c r="D2" s="156" t="s">
        <v>133</v>
      </c>
      <c r="E2" s="156" t="s">
        <v>166</v>
      </c>
      <c r="F2" s="156"/>
      <c r="G2" s="156"/>
      <c r="H2" s="156"/>
      <c r="I2" s="156"/>
      <c r="J2" s="156" t="s">
        <v>3</v>
      </c>
      <c r="K2" s="157">
        <v>3000</v>
      </c>
      <c r="L2" s="157">
        <v>6590</v>
      </c>
      <c r="M2" s="156"/>
      <c r="N2" s="155">
        <v>1</v>
      </c>
      <c r="O2" s="155"/>
      <c r="P2" s="156"/>
      <c r="Q2" s="79" t="str">
        <f>_xlfn.CONCAT(N2,IF(O2&lt;&gt;"",_xlfn.CONCAT("ск",O2),""))</f>
        <v>1</v>
      </c>
      <c r="R2" s="79" t="str">
        <f>INDEX(Торг!$G:$G,MATCH($B2,Торг!$A:$A,0))</f>
        <v>ФормКовер</v>
      </c>
    </row>
    <row r="3" spans="1:18" ht="45">
      <c r="A3" s="156" t="s">
        <v>132</v>
      </c>
      <c r="B3" s="155">
        <v>265217</v>
      </c>
      <c r="C3" s="155">
        <v>42353</v>
      </c>
      <c r="D3" s="156" t="s">
        <v>134</v>
      </c>
      <c r="E3" s="156" t="s">
        <v>166</v>
      </c>
      <c r="F3" s="156"/>
      <c r="G3" s="156"/>
      <c r="H3" s="156"/>
      <c r="I3" s="156"/>
      <c r="J3" s="156" t="s">
        <v>3</v>
      </c>
      <c r="K3" s="157">
        <v>1500</v>
      </c>
      <c r="L3" s="157">
        <v>2290</v>
      </c>
      <c r="M3" s="156"/>
      <c r="N3" s="155">
        <v>1</v>
      </c>
      <c r="O3" s="155"/>
      <c r="P3" s="156"/>
      <c r="Q3" s="79" t="str">
        <f t="shared" ref="Q3:Q9" si="0">_xlfn.CONCAT(N3,IF(O3&lt;&gt;"",_xlfn.CONCAT("ск",O3),""))</f>
        <v>1</v>
      </c>
      <c r="R3" s="79" t="str">
        <f>INDEX(Торг!$G:$G,MATCH($B3,Торг!$A:$A,0))</f>
        <v>ФормКовер</v>
      </c>
    </row>
    <row r="4" spans="1:18" ht="45">
      <c r="A4" s="156" t="s">
        <v>132</v>
      </c>
      <c r="B4" s="155">
        <v>265218</v>
      </c>
      <c r="C4" s="155">
        <v>42352</v>
      </c>
      <c r="D4" s="156" t="s">
        <v>135</v>
      </c>
      <c r="E4" s="156" t="s">
        <v>166</v>
      </c>
      <c r="F4" s="156"/>
      <c r="G4" s="156"/>
      <c r="H4" s="156"/>
      <c r="I4" s="156"/>
      <c r="J4" s="156" t="s">
        <v>3</v>
      </c>
      <c r="K4" s="157">
        <v>1250</v>
      </c>
      <c r="L4" s="157">
        <v>1890</v>
      </c>
      <c r="M4" s="156"/>
      <c r="N4" s="155">
        <v>1</v>
      </c>
      <c r="O4" s="155"/>
      <c r="P4" s="156"/>
      <c r="Q4" s="79" t="str">
        <f t="shared" si="0"/>
        <v>1</v>
      </c>
      <c r="R4" s="79" t="str">
        <f>INDEX(Торг!$G:$G,MATCH($B4,Торг!$A:$A,0))</f>
        <v>ФормКовер</v>
      </c>
    </row>
    <row r="5" spans="1:18" ht="45">
      <c r="A5" s="156" t="s">
        <v>132</v>
      </c>
      <c r="B5" s="155">
        <v>226491</v>
      </c>
      <c r="C5" s="155">
        <v>55012</v>
      </c>
      <c r="D5" s="156" t="s">
        <v>136</v>
      </c>
      <c r="E5" s="156" t="s">
        <v>166</v>
      </c>
      <c r="F5" s="156"/>
      <c r="G5" s="156"/>
      <c r="H5" s="156"/>
      <c r="I5" s="156"/>
      <c r="J5" s="156" t="s">
        <v>3</v>
      </c>
      <c r="K5" s="157">
        <v>2500</v>
      </c>
      <c r="L5" s="157">
        <v>3790</v>
      </c>
      <c r="M5" s="156"/>
      <c r="N5" s="155">
        <v>1</v>
      </c>
      <c r="O5" s="155"/>
      <c r="P5" s="156"/>
      <c r="Q5" s="79" t="str">
        <f t="shared" si="0"/>
        <v>1</v>
      </c>
      <c r="R5" s="79" t="str">
        <f>INDEX(Торг!$G:$G,MATCH($B5,Торг!$A:$A,0))</f>
        <v>ФормКовер</v>
      </c>
    </row>
    <row r="6" spans="1:18" ht="30">
      <c r="A6" s="156" t="s">
        <v>102</v>
      </c>
      <c r="B6" s="155">
        <v>265223</v>
      </c>
      <c r="C6" s="155">
        <v>42480</v>
      </c>
      <c r="D6" s="156" t="s">
        <v>137</v>
      </c>
      <c r="E6" s="156" t="s">
        <v>166</v>
      </c>
      <c r="F6" s="156"/>
      <c r="G6" s="156"/>
      <c r="H6" s="156"/>
      <c r="I6" s="156"/>
      <c r="J6" s="156" t="s">
        <v>3</v>
      </c>
      <c r="K6" s="157">
        <v>2650</v>
      </c>
      <c r="L6" s="157">
        <v>3890</v>
      </c>
      <c r="M6" s="156"/>
      <c r="N6" s="155">
        <v>1</v>
      </c>
      <c r="O6" s="155">
        <v>6</v>
      </c>
      <c r="P6" s="156"/>
      <c r="Q6" s="79" t="str">
        <f t="shared" si="0"/>
        <v>1ск6</v>
      </c>
      <c r="R6" s="79" t="str">
        <f>INDEX(Торг!$G:$G,MATCH($B6,Торг!$A:$A,0))</f>
        <v>ФормКовер</v>
      </c>
    </row>
    <row r="7" spans="1:18" ht="30">
      <c r="A7" s="156" t="s">
        <v>102</v>
      </c>
      <c r="B7" s="155">
        <v>265224</v>
      </c>
      <c r="C7" s="155">
        <v>42481</v>
      </c>
      <c r="D7" s="156" t="s">
        <v>138</v>
      </c>
      <c r="E7" s="156" t="s">
        <v>166</v>
      </c>
      <c r="F7" s="156"/>
      <c r="G7" s="156"/>
      <c r="H7" s="156"/>
      <c r="I7" s="156"/>
      <c r="J7" s="156" t="s">
        <v>3</v>
      </c>
      <c r="K7" s="157">
        <v>2900</v>
      </c>
      <c r="L7" s="157">
        <v>4390</v>
      </c>
      <c r="M7" s="156"/>
      <c r="N7" s="155">
        <v>0</v>
      </c>
      <c r="O7" s="155"/>
      <c r="P7" s="156"/>
      <c r="Q7" s="79" t="str">
        <f t="shared" si="0"/>
        <v>0</v>
      </c>
      <c r="R7" s="79" t="str">
        <f>INDEX(Торг!$G:$G,MATCH($B7,Торг!$A:$A,0))</f>
        <v>ФормКовер</v>
      </c>
    </row>
    <row r="8" spans="1:18" ht="30">
      <c r="A8" s="156" t="s">
        <v>139</v>
      </c>
      <c r="B8" s="155">
        <v>265225</v>
      </c>
      <c r="C8" s="155">
        <v>42292</v>
      </c>
      <c r="D8" s="156" t="s">
        <v>140</v>
      </c>
      <c r="E8" s="156" t="s">
        <v>166</v>
      </c>
      <c r="F8" s="156"/>
      <c r="G8" s="156"/>
      <c r="H8" s="156"/>
      <c r="I8" s="156"/>
      <c r="J8" s="156" t="s">
        <v>3</v>
      </c>
      <c r="K8" s="157">
        <v>2700</v>
      </c>
      <c r="L8" s="157">
        <v>3690</v>
      </c>
      <c r="M8" s="156"/>
      <c r="N8" s="155">
        <v>1</v>
      </c>
      <c r="O8" s="155"/>
      <c r="P8" s="156"/>
      <c r="Q8" s="79" t="str">
        <f t="shared" si="0"/>
        <v>1</v>
      </c>
      <c r="R8" s="79" t="str">
        <f>INDEX(Торг!$G:$G,MATCH($B8,Торг!$A:$A,0))</f>
        <v>ФормКовер</v>
      </c>
    </row>
    <row r="9" spans="1:18" ht="30">
      <c r="A9" s="156" t="s">
        <v>139</v>
      </c>
      <c r="B9" s="155">
        <v>265226</v>
      </c>
      <c r="C9" s="155">
        <v>42291</v>
      </c>
      <c r="D9" s="156" t="s">
        <v>141</v>
      </c>
      <c r="E9" s="156" t="s">
        <v>166</v>
      </c>
      <c r="F9" s="156"/>
      <c r="G9" s="156"/>
      <c r="H9" s="156"/>
      <c r="I9" s="156"/>
      <c r="J9" s="156" t="s">
        <v>3</v>
      </c>
      <c r="K9" s="157">
        <v>2700</v>
      </c>
      <c r="L9" s="157">
        <v>3990</v>
      </c>
      <c r="M9" s="156"/>
      <c r="N9" s="155">
        <v>1</v>
      </c>
      <c r="O9" s="155"/>
      <c r="P9" s="156"/>
      <c r="Q9" s="79" t="str">
        <f t="shared" si="0"/>
        <v>1</v>
      </c>
      <c r="R9" s="79" t="str">
        <f>INDEX(Торг!$G:$G,MATCH($B9,Торг!$A:$A,0))</f>
        <v>ФормКовер</v>
      </c>
    </row>
  </sheetData>
  <autoFilter ref="A1:R1" xr:uid="{A0069A8C-ADF9-4DCD-8753-D568A7572ADE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92C2D-712A-4578-9F28-E5FF92FC22B2}">
  <sheetPr codeName="Лист2">
    <tabColor rgb="FF92D050"/>
  </sheetPr>
  <dimension ref="A1:I30"/>
  <sheetViews>
    <sheetView tabSelected="1" workbookViewId="0">
      <selection activeCell="I30" sqref="A2:I30"/>
    </sheetView>
  </sheetViews>
  <sheetFormatPr defaultRowHeight="15"/>
  <cols>
    <col min="1" max="1" width="11" bestFit="1" customWidth="1"/>
    <col min="2" max="2" width="11" bestFit="1" customWidth="1" collapsed="1"/>
    <col min="5" max="5" width="6.42578125" customWidth="1" collapsed="1"/>
  </cols>
  <sheetData>
    <row r="1" spans="1:9" s="162" customFormat="1" ht="14.25" customHeight="1">
      <c r="A1" t="str" cm="1">
        <f t="array" ref="A1:A19">_xlfn._xlws.FILTER(Кат!$A:$A,Кат!$A:$A&lt;&gt;"")</f>
        <v>ID</v>
      </c>
      <c r="B1" t="str" cm="1">
        <f t="array" ref="B1:C19">_xlfn._xlws.FILTER(Кат!AE:AF,Кат!$A:$A&lt;&gt;"")</f>
        <v>MR</v>
      </c>
      <c r="C1" t="str">
        <v>MR</v>
      </c>
      <c r="D1" cm="1">
        <f t="array" ref="D1:E19">_xlfn._xlws.FILTER(Кат!AJ:AK,Кат!$A:$A&lt;&gt;"")</f>
        <v>2</v>
      </c>
      <c r="E1">
        <v>2</v>
      </c>
      <c r="F1" cm="1">
        <f t="array" ref="F1:G19">_xlfn._xlws.FILTER(Кат!AO:AP,Кат!$A:$A&lt;&gt;"")</f>
        <v>3</v>
      </c>
      <c r="G1" s="162">
        <v>3</v>
      </c>
      <c r="H1" cm="1">
        <f t="array" ref="H1:I19">_xlfn._xlws.FILTER(Кат!AT:AU,Кат!$A:$A&lt;&gt;"")</f>
        <v>4</v>
      </c>
      <c r="I1" s="162">
        <v>4</v>
      </c>
    </row>
    <row r="2" spans="1:9" s="162" customFormat="1">
      <c r="A2">
        <v>226498</v>
      </c>
      <c r="B2">
        <v>0</v>
      </c>
      <c r="C2">
        <v>0</v>
      </c>
      <c r="D2">
        <v>1921</v>
      </c>
      <c r="E2" t="str">
        <v>https://www.ozon.ru/product/kover-salona-formovannyy-vaz-niva-4h4-957577343/</v>
      </c>
      <c r="F2" s="162">
        <v>0</v>
      </c>
      <c r="G2" s="162">
        <v>0</v>
      </c>
      <c r="H2" s="162">
        <v>0</v>
      </c>
      <c r="I2" s="162">
        <v>0</v>
      </c>
    </row>
    <row r="3" spans="1:9" s="162" customFormat="1">
      <c r="A3" s="162">
        <v>226504</v>
      </c>
      <c r="B3" s="162">
        <v>3190</v>
      </c>
      <c r="C3" s="162" t="str">
        <v>https://motorring.ru/product/12431-shtatnyy-kover-pola-formovannyy-2131-lyuks-5-dvernuyu-lada</v>
      </c>
      <c r="D3" s="162">
        <v>2921</v>
      </c>
      <c r="E3" s="162" t="str">
        <v>https://www.ozon.ru/product/kover-kovrolin-pola-dlya-avtomobilya-vaz-2131-niva-5d-formovannyy-1188002488/</v>
      </c>
      <c r="F3" s="162">
        <v>4017</v>
      </c>
      <c r="G3" s="162" t="str">
        <v>https://nvs-car.ru/product/kover-pola-lyuks-tolstyy-lada-niva-4kh4-vaz-2121-3d-2-chasti-chernyy/</v>
      </c>
      <c r="H3" s="162">
        <v>0</v>
      </c>
      <c r="I3" s="162">
        <v>0</v>
      </c>
    </row>
    <row r="4" spans="1:9" s="162" customFormat="1">
      <c r="A4" s="162">
        <v>226509</v>
      </c>
      <c r="B4" s="162">
        <v>4290</v>
      </c>
      <c r="C4" s="162" t="str">
        <v>https://motorring.ru/product/28799-kover-pola-trehsloynyy-shimoizolyacia-vaz-2110-2112</v>
      </c>
      <c r="D4" s="162">
        <v>4522</v>
      </c>
      <c r="E4" s="162" t="str">
        <v>https://www.ozon.ru/product/kover-pola-lyuks-4h-sloynyy-s-shumoizolyatsiey-na-lada-priora-vaz-2170-2171-2172-2110-2111-2112-1306441322/</v>
      </c>
      <c r="F4" s="162">
        <v>3475</v>
      </c>
      <c r="G4" s="162" t="str">
        <v>https://33sport.ru/catalog/tyuning_salona_vaz/tyuning_salona_vaz_2110_11_12/kovriki_salona_vaz_2110/kover_pola_s_shumkoy_vaz_2110-12/</v>
      </c>
      <c r="H4" s="162">
        <v>4102</v>
      </c>
      <c r="I4" s="162" t="str">
        <v>https://nvs-car.ru/product/kovrolin-pola-lyuks-tolstyy-vaz-2110-2111-2112-priora-tselnyy-chernyy/</v>
      </c>
    </row>
    <row r="5" spans="1:9" s="162" customFormat="1">
      <c r="A5" s="162">
        <v>226508</v>
      </c>
      <c r="B5" s="162">
        <v>4690</v>
      </c>
      <c r="C5" s="162" t="str">
        <v>https://motorring.ru/product/21183-kover-pola-lyuks-trehsloynyy-vaz-2108-21099-2113-2115</v>
      </c>
      <c r="D5" s="162">
        <v>4722</v>
      </c>
      <c r="E5" s="162" t="str">
        <v>https://www.ozon.ru/product/kover-pola-lyuks-trehsloynyy-s-shumoizolyatsiey-dlya-vaz-2108-21099-2113-2115-1427965151/</v>
      </c>
      <c r="F5" s="162">
        <v>3120</v>
      </c>
      <c r="G5" s="162" t="str">
        <v>https://33sport.ru/catalog/tyuning_salona_vaz/tyuning_salona_vaz_2108_09_99/kovriki_salona_2108/kover_pola_s_shumkoy_vaz_2108-15/</v>
      </c>
      <c r="H5" s="162">
        <v>4450</v>
      </c>
      <c r="I5" s="162" t="str">
        <v>https://www.car-team.ru/collection/vaz-2114-15/product/kover-pola-tryohsloynyy-s-shumoizolyatsiey-na-vaz-2113-14-15</v>
      </c>
    </row>
    <row r="6" spans="1:9" s="162" customFormat="1">
      <c r="A6" s="162">
        <v>226503</v>
      </c>
      <c r="B6" s="162">
        <v>4890</v>
      </c>
      <c r="C6" s="162" t="str">
        <v>https://motorring.ru/product/33069-kover-pola-lyuks-trehsloynyy-shumoizolyaciey-lada-kalina</v>
      </c>
      <c r="D6" s="162">
        <v>4706</v>
      </c>
      <c r="E6" s="162" t="str">
        <v>https://www.ozon.ru/product/kover-pola-s-shumoizolyatsiey-4h-sloynyy-lada-granta-granta-fl-kalina-kalina-2-974337837/</v>
      </c>
      <c r="F6" s="162">
        <v>3807</v>
      </c>
      <c r="G6" s="162" t="str">
        <v>https://xn--80aal0a.xn--80asehdb/shop/granta/interior-granta/26600-kover-pola-dlja-lada-granta-kalina-2.html#option_id=26601</v>
      </c>
      <c r="H6" s="162">
        <v>3900</v>
      </c>
      <c r="I6" s="162" t="str">
        <v>https://komponentavto.ru/catalog/salon/kovrovoe_pokrytie_pola/kover_pola_lada_granta_4kh_sloynyy</v>
      </c>
    </row>
    <row r="7" spans="1:9" s="162" customFormat="1">
      <c r="A7" s="162">
        <v>226484</v>
      </c>
      <c r="B7" s="162">
        <v>0</v>
      </c>
      <c r="C7" s="162">
        <v>0</v>
      </c>
      <c r="D7" s="162">
        <v>2400</v>
      </c>
      <c r="E7" s="162" t="str">
        <v>https://www.ozon.ru/product/kover-pola-niva-21213-21214-vlagozashchitnyy-formovannyy-kover-niva-3-dveri-tsvet-chernyy-1483325740/</v>
      </c>
      <c r="F7" s="162">
        <v>2033</v>
      </c>
      <c r="G7" s="162" t="str">
        <v>https://nvs-car.ru/product/originalnyy-kover-pola-lada-niva-4kh4-vaz-2121-3d-chernyy/</v>
      </c>
      <c r="H7" s="162">
        <v>0</v>
      </c>
      <c r="I7" s="162">
        <v>0</v>
      </c>
    </row>
    <row r="8" spans="1:9" s="162" customFormat="1">
      <c r="A8" s="162">
        <v>226500</v>
      </c>
      <c r="B8" s="162">
        <v>0</v>
      </c>
      <c r="C8" s="162">
        <v>0</v>
      </c>
      <c r="D8" s="162">
        <v>2480</v>
      </c>
      <c r="E8" s="162" t="str">
        <v>https://www.ozon.ru/product/kover-salona-vaz-2108-vaz-2109-vaz-21099-vaz-2114-chernyy-formovannyy-shtatnyy-716671149/</v>
      </c>
      <c r="F8" s="162">
        <v>0</v>
      </c>
      <c r="G8" s="162">
        <v>0</v>
      </c>
      <c r="H8" s="162">
        <v>0</v>
      </c>
      <c r="I8" s="162">
        <v>0</v>
      </c>
    </row>
    <row r="9" spans="1:9" s="162" customFormat="1">
      <c r="A9" s="162">
        <v>430000</v>
      </c>
      <c r="B9" s="162">
        <v>0</v>
      </c>
      <c r="C9" s="162">
        <v>0</v>
      </c>
      <c r="D9" s="162" t="str">
        <v/>
      </c>
      <c r="E9" s="162">
        <v>0</v>
      </c>
      <c r="F9" s="162">
        <v>0</v>
      </c>
      <c r="G9" s="162">
        <v>0</v>
      </c>
      <c r="H9" s="162">
        <v>0</v>
      </c>
      <c r="I9" s="162">
        <v>0</v>
      </c>
    </row>
    <row r="10" spans="1:9" s="162" customFormat="1">
      <c r="A10" s="162">
        <v>226513</v>
      </c>
      <c r="B10" s="162">
        <v>4290</v>
      </c>
      <c r="C10" s="162" t="str">
        <v>https://motorring.ru/product/28799-kover-pola-trehsloynyy-shimoizolyacia-vaz-2110-2112</v>
      </c>
      <c r="D10" s="162">
        <v>4522</v>
      </c>
      <c r="E10" s="162" t="str">
        <v>https://www.ozon.ru/product/komplekt-avto-car-floor-mats-fitted-carpet-artificial-materials-1306441322/</v>
      </c>
      <c r="F10" s="162">
        <v>3475</v>
      </c>
      <c r="G10" s="162" t="str">
        <v>https://33sport.ru/catalog/tyuning_salona_vaz/tyuning_salona_vaz_2110_11_12/kovriki_salona_vaz_2110/kover_pola_s_shumkoy_vaz_2110-12/</v>
      </c>
      <c r="H10" s="162">
        <v>0</v>
      </c>
      <c r="I10" s="162">
        <v>0</v>
      </c>
    </row>
    <row r="11" spans="1:9" s="162" customFormat="1">
      <c r="A11" s="162">
        <v>226483</v>
      </c>
      <c r="B11" s="162">
        <v>0</v>
      </c>
      <c r="C11" s="162">
        <v>0</v>
      </c>
      <c r="D11" s="162">
        <v>0</v>
      </c>
      <c r="E11" s="162">
        <v>0</v>
      </c>
      <c r="F11" s="162">
        <v>0</v>
      </c>
      <c r="G11" s="162">
        <v>0</v>
      </c>
      <c r="H11" s="162">
        <v>0</v>
      </c>
      <c r="I11" s="162">
        <v>0</v>
      </c>
    </row>
    <row r="12" spans="1:9" s="162" customFormat="1">
      <c r="A12" s="162">
        <v>469993</v>
      </c>
      <c r="B12" s="162">
        <v>0</v>
      </c>
      <c r="C12" s="162">
        <v>0</v>
      </c>
      <c r="D12" s="162">
        <v>0</v>
      </c>
      <c r="E12" s="162">
        <v>0</v>
      </c>
      <c r="F12" s="162">
        <v>0</v>
      </c>
      <c r="G12" s="162">
        <v>0</v>
      </c>
      <c r="H12" s="162">
        <v>0</v>
      </c>
      <c r="I12" s="162">
        <v>0</v>
      </c>
    </row>
    <row r="13" spans="1:9" s="162" customFormat="1">
      <c r="A13" s="162">
        <v>469991</v>
      </c>
      <c r="B13" s="162">
        <v>0</v>
      </c>
      <c r="C13" s="162">
        <v>0</v>
      </c>
      <c r="D13" s="162">
        <v>0</v>
      </c>
      <c r="E13" s="162">
        <v>0</v>
      </c>
      <c r="F13" s="162">
        <v>0</v>
      </c>
      <c r="G13" s="162">
        <v>0</v>
      </c>
      <c r="H13" s="162">
        <v>0</v>
      </c>
      <c r="I13" s="162">
        <v>0</v>
      </c>
    </row>
    <row r="14" spans="1:9" s="162" customFormat="1">
      <c r="A14" s="162">
        <v>470018</v>
      </c>
      <c r="B14" s="162">
        <v>0</v>
      </c>
      <c r="C14" s="162">
        <v>0</v>
      </c>
      <c r="D14" s="162">
        <v>3273</v>
      </c>
      <c r="E14" s="162" t="str">
        <v>https://www.ozon.ru/product/kover-pola-formovannyy-s-zashchitoy-ot-vlagi-na-shevrole-niva-vaz-2123-840503599/</v>
      </c>
      <c r="F14" s="162">
        <v>0</v>
      </c>
      <c r="G14" s="162">
        <v>0</v>
      </c>
      <c r="H14" s="162">
        <v>0</v>
      </c>
      <c r="I14" s="162">
        <v>0</v>
      </c>
    </row>
    <row r="15" spans="1:9" s="162" customFormat="1">
      <c r="A15" s="162">
        <v>469995</v>
      </c>
      <c r="B15" s="162">
        <v>7190</v>
      </c>
      <c r="C15" s="162" t="str">
        <v>https://motorring.ru/product/28218-zavodskoy-kover-pola-dlya-shevrole-lada-niva-2123</v>
      </c>
      <c r="D15" s="162">
        <v>4161</v>
      </c>
      <c r="E15" s="162" t="str">
        <v>https://www.ozon.ru/product/kover-pola-lyuks-4h-sloynyy-s-shumoizolyatsiey-razdelnyy-vaz-2121-21213-21214-urban-niva-niva-legend-1746032522/</v>
      </c>
      <c r="F15" s="162">
        <v>6852</v>
      </c>
      <c r="G15" s="162" t="str">
        <v>https://nvs-car.ru/product/originalnyy-kover-pola-shevrole-niva-vaz-2123-bertone-s-2009-g-v-niva-trevel-chernyy/</v>
      </c>
      <c r="H15" s="162">
        <v>0</v>
      </c>
      <c r="I15" s="162">
        <v>0</v>
      </c>
    </row>
    <row r="16" spans="1:9" s="162" customFormat="1">
      <c r="A16" s="162">
        <v>470032</v>
      </c>
      <c r="B16" s="162">
        <v>4290</v>
      </c>
      <c r="C16" s="162" t="str">
        <v>https://motorring.ru/product/20637-kover-pola-lyuks-trehsloynyy-shumoizolyaciey-vaz-2101-2107</v>
      </c>
      <c r="D16" s="162">
        <v>4161</v>
      </c>
      <c r="E16" s="162" t="str">
        <v>https://www.ozon.ru/product/kover-salona-formovannyy-vaz-2101-2103-i-2106-2105-2107-na-osnove-kovrolin-1292404630/</v>
      </c>
      <c r="F16" s="162">
        <v>3120</v>
      </c>
      <c r="G16" s="162" t="str">
        <v>https://33sport.ru/catalog/tyuning_salona_vaz/tyuning_salona_vaz_2101_07/kovriki_salona_vaz_2101-2107_-klassika/kover_pola_s_shumkoy_na_vaz_2101-07/</v>
      </c>
      <c r="H16" s="162">
        <v>4450</v>
      </c>
      <c r="I16" s="162" t="str">
        <v>https://www.car-team.ru/collection/vaz-2105-07/product/kover-pola-tryohsloynyy-s-shumoizolyatsiey-na-vaz-2105-07</v>
      </c>
    </row>
    <row r="17" spans="1:9" s="162" customFormat="1">
      <c r="A17" s="162">
        <v>470030</v>
      </c>
      <c r="B17" s="162">
        <v>0</v>
      </c>
      <c r="C17" s="162">
        <v>0</v>
      </c>
      <c r="D17" s="162">
        <v>4461</v>
      </c>
      <c r="E17" s="162" t="str">
        <v>https://www.ozon.ru/product/kover-salona-formovannyy-vaz-2101-2103-i-2106-2105-2107-na-osnove-kovrolin-1292404630/</v>
      </c>
      <c r="F17" s="162">
        <v>0</v>
      </c>
      <c r="G17" s="162">
        <v>0</v>
      </c>
      <c r="H17" s="162">
        <v>0</v>
      </c>
      <c r="I17" s="162">
        <v>0</v>
      </c>
    </row>
    <row r="18" spans="1:9" s="162" customFormat="1">
      <c r="A18" s="162">
        <v>470216</v>
      </c>
      <c r="B18" s="162">
        <v>3990</v>
      </c>
      <c r="C18" s="162" t="str">
        <v>https://motorring.ru/product/17731-kover-pola-lyuks-trehsloynyy-shumoizolyaciey-lada-niva</v>
      </c>
      <c r="D18" s="162">
        <v>5594</v>
      </c>
      <c r="E18" s="162" t="str">
        <v>https://www.ozon.ru/product/kover-calona-formovannyy-s-shumoizolyatsiey-lada-niva-4h4-2121-21214-niva-legend-kover-pola-840509034/</v>
      </c>
      <c r="F18" s="162">
        <v>3623</v>
      </c>
      <c r="G18" s="162" t="str">
        <v>https://nvs-car.ru/product/kover-pola-lyuks-lada-niva-4kh4-vaz-2121-3d-2-chasti-chernyy/</v>
      </c>
      <c r="H18" s="162">
        <v>0</v>
      </c>
      <c r="I18" s="162">
        <v>0</v>
      </c>
    </row>
    <row r="19" spans="1:9" s="162" customFormat="1">
      <c r="A19" s="162">
        <v>470211</v>
      </c>
      <c r="B19" s="162">
        <v>0</v>
      </c>
      <c r="C19" s="162">
        <v>0</v>
      </c>
      <c r="D19" s="162">
        <v>4304</v>
      </c>
      <c r="E19" s="162" t="str">
        <v>https://www.ozon.ru/product/kover-pola-lyuks-4h-sloynyy-s-shumoizolyatsiey-tselnoy-vaz-2121-21213-21214-urban-niva-niva-legend-1746021365/</v>
      </c>
      <c r="F19" s="162" t="str">
        <v>4290 снят</v>
      </c>
      <c r="G19" s="162" t="str">
        <v>https://autodemic.ru/product/kover-pola-2121-5109008-lyuks-tolstyytselnoy</v>
      </c>
      <c r="H19" s="162">
        <v>3647</v>
      </c>
      <c r="I19" s="162" t="str">
        <v>https://nvs-car.ru/product/kovrolin-pola-lyuks-lada-niva-4kh4-vaz-2121-3d-tselnyy-chernyy/</v>
      </c>
    </row>
    <row r="20" spans="1:9" s="162" customFormat="1"/>
    <row r="21" spans="1:9" s="163" customFormat="1"/>
    <row r="22" spans="1:9" s="162" customFormat="1">
      <c r="A22" t="str" cm="1">
        <f t="array" ref="A22:A30">_xlfn._xlws.FILTER(Торг!$A:$A,Торг!$A:$A&lt;&gt;"")</f>
        <v>ID</v>
      </c>
      <c r="B22" t="str" cm="1">
        <f t="array" ref="B22:C30">_xlfn._xlws.FILTER(Торг!AE:AF,Торг!$A:$A&lt;&gt;"")</f>
        <v>MR</v>
      </c>
      <c r="C22" t="str">
        <v>MR</v>
      </c>
      <c r="D22" cm="1">
        <f t="array" ref="D22:E30">_xlfn._xlws.FILTER(Торг!AJ:AK,Торг!$A:$A&lt;&gt;"")</f>
        <v>2</v>
      </c>
      <c r="E22">
        <v>2</v>
      </c>
      <c r="F22" cm="1">
        <f t="array" ref="F22:G30">_xlfn._xlws.FILTER(Торг!AO:AP,Торг!$A:$A&lt;&gt;"")</f>
        <v>3</v>
      </c>
      <c r="G22" s="162">
        <v>3</v>
      </c>
      <c r="H22" cm="1">
        <f t="array" ref="H22:I30">_xlfn._xlws.FILTER(Торг!AT:AU,Торг!$A:$A&lt;&gt;"")</f>
        <v>4</v>
      </c>
      <c r="I22" s="162">
        <v>4</v>
      </c>
    </row>
    <row r="23" spans="1:9">
      <c r="A23">
        <v>265226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>
        <v>265225</v>
      </c>
      <c r="B24">
        <v>3990</v>
      </c>
      <c r="C24" t="str">
        <v>https://motorring.ru/product/17731-kover-pola-lyuks-trehsloynyy-shumoizolyaciey-lada-niva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>
        <v>265218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>
      <c r="A26">
        <v>265217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>
        <v>226491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>
      <c r="A28">
        <v>265216</v>
      </c>
      <c r="B28">
        <v>7190</v>
      </c>
      <c r="C28" t="str">
        <v>https://motorring.ru/product/28218-zavodskoy-kover-pola-dlya-shevrole-lada-niva-2123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>
      <c r="A29">
        <v>265223</v>
      </c>
      <c r="B29">
        <v>4290</v>
      </c>
      <c r="C29" t="str">
        <v>https://motorring.ru/product/20637-kover-pola-lyuks-trehsloynyy-shumoizolyaciey-vaz-2101-2107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>
      <c r="A30">
        <v>265224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67FD8-5E25-4117-8204-1F6EE6150C2C}">
  <sheetPr codeName="Лист8">
    <tabColor rgb="FF92D050"/>
  </sheetPr>
  <dimension ref="A1:X23"/>
  <sheetViews>
    <sheetView workbookViewId="0">
      <selection activeCell="B37" sqref="B37"/>
    </sheetView>
  </sheetViews>
  <sheetFormatPr defaultRowHeight="15"/>
  <cols>
    <col min="1" max="1" width="11.7109375" bestFit="1" customWidth="1"/>
    <col min="2" max="2" width="11.140625" style="82" bestFit="1" customWidth="1"/>
    <col min="3" max="3" width="13.28515625" bestFit="1" customWidth="1"/>
    <col min="4" max="4" width="81.140625" bestFit="1" customWidth="1"/>
    <col min="5" max="5" width="11.140625" bestFit="1" customWidth="1"/>
    <col min="6" max="6" width="81.140625" bestFit="1" customWidth="1"/>
    <col min="7" max="7" width="11.140625" style="82" bestFit="1" customWidth="1"/>
    <col min="8" max="8" width="81.140625" bestFit="1" customWidth="1"/>
    <col min="9" max="9" width="11.140625" bestFit="1" customWidth="1"/>
    <col min="10" max="10" width="81.140625" bestFit="1" customWidth="1"/>
    <col min="11" max="19" width="12.140625" bestFit="1" customWidth="1"/>
    <col min="20" max="24" width="12.140625" customWidth="1"/>
  </cols>
  <sheetData>
    <row r="1" spans="1:24">
      <c r="A1" t="s">
        <v>79</v>
      </c>
      <c r="B1" s="82" t="s">
        <v>80</v>
      </c>
      <c r="C1" t="s">
        <v>81</v>
      </c>
      <c r="D1" t="s">
        <v>82</v>
      </c>
      <c r="E1" t="s">
        <v>83</v>
      </c>
      <c r="F1" t="s">
        <v>84</v>
      </c>
      <c r="G1" s="82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  <c r="T1" t="s">
        <v>103</v>
      </c>
      <c r="U1" t="s">
        <v>160</v>
      </c>
      <c r="V1" t="s">
        <v>161</v>
      </c>
      <c r="W1" t="s">
        <v>162</v>
      </c>
      <c r="X1" t="s">
        <v>163</v>
      </c>
    </row>
    <row r="3" spans="1:24">
      <c r="K3">
        <v>0.44444444440000003</v>
      </c>
      <c r="L3">
        <v>0.77777777780000001</v>
      </c>
      <c r="M3">
        <v>0.55555555560000003</v>
      </c>
      <c r="N3">
        <v>0.27777777780000001</v>
      </c>
      <c r="O3">
        <v>0.77777777780000001</v>
      </c>
    </row>
    <row r="4" spans="1:24">
      <c r="A4" t="s">
        <v>116</v>
      </c>
      <c r="B4" s="82" t="s">
        <v>117</v>
      </c>
      <c r="C4" t="s">
        <v>118</v>
      </c>
      <c r="D4" t="s">
        <v>98</v>
      </c>
    </row>
    <row r="5" spans="1:24">
      <c r="B5" s="82" t="s">
        <v>0</v>
      </c>
      <c r="C5" t="s">
        <v>78</v>
      </c>
      <c r="D5" t="s">
        <v>78</v>
      </c>
      <c r="E5">
        <v>2</v>
      </c>
      <c r="F5">
        <v>2</v>
      </c>
      <c r="G5" s="82">
        <v>3</v>
      </c>
      <c r="H5">
        <v>3</v>
      </c>
      <c r="I5">
        <v>4</v>
      </c>
      <c r="J5">
        <v>4</v>
      </c>
      <c r="K5" t="s">
        <v>78</v>
      </c>
      <c r="L5">
        <v>2</v>
      </c>
      <c r="M5">
        <v>3</v>
      </c>
      <c r="N5">
        <v>4</v>
      </c>
    </row>
    <row r="6" spans="1:24">
      <c r="A6" t="s">
        <v>3</v>
      </c>
      <c r="B6" s="82">
        <v>226498</v>
      </c>
      <c r="E6">
        <v>1897</v>
      </c>
      <c r="F6" t="s">
        <v>167</v>
      </c>
      <c r="K6" t="s">
        <v>104</v>
      </c>
      <c r="L6">
        <v>1921</v>
      </c>
      <c r="M6" t="s">
        <v>104</v>
      </c>
      <c r="N6" t="s">
        <v>104</v>
      </c>
      <c r="O6" t="b">
        <v>1</v>
      </c>
    </row>
    <row r="7" spans="1:24">
      <c r="A7" t="s">
        <v>3</v>
      </c>
      <c r="B7" s="82">
        <v>226504</v>
      </c>
      <c r="C7">
        <v>3190</v>
      </c>
      <c r="D7" t="s">
        <v>72</v>
      </c>
      <c r="E7">
        <v>2885</v>
      </c>
      <c r="F7" t="s">
        <v>168</v>
      </c>
      <c r="G7" s="82">
        <v>4017</v>
      </c>
      <c r="H7" t="s">
        <v>193</v>
      </c>
      <c r="K7">
        <v>3190</v>
      </c>
      <c r="L7">
        <v>2921</v>
      </c>
      <c r="M7">
        <v>4017</v>
      </c>
      <c r="N7" t="s">
        <v>104</v>
      </c>
      <c r="O7" t="b">
        <v>1</v>
      </c>
    </row>
    <row r="8" spans="1:24">
      <c r="A8" t="s">
        <v>3</v>
      </c>
      <c r="B8" s="82">
        <v>226509</v>
      </c>
      <c r="C8">
        <v>4290</v>
      </c>
      <c r="D8" t="s">
        <v>69</v>
      </c>
      <c r="E8">
        <v>4465</v>
      </c>
      <c r="F8" t="s">
        <v>169</v>
      </c>
      <c r="G8" s="82">
        <v>3475</v>
      </c>
      <c r="H8" t="s">
        <v>180</v>
      </c>
      <c r="I8">
        <v>4102</v>
      </c>
      <c r="J8" t="s">
        <v>181</v>
      </c>
      <c r="K8">
        <v>4290</v>
      </c>
      <c r="L8">
        <v>4522</v>
      </c>
      <c r="M8">
        <v>3475</v>
      </c>
      <c r="N8">
        <v>4102</v>
      </c>
      <c r="O8" t="b">
        <v>1</v>
      </c>
    </row>
    <row r="9" spans="1:24">
      <c r="A9" t="s">
        <v>3</v>
      </c>
      <c r="B9" s="82">
        <v>226508</v>
      </c>
      <c r="C9">
        <v>4690</v>
      </c>
      <c r="D9" t="s">
        <v>71</v>
      </c>
      <c r="E9">
        <v>3952</v>
      </c>
      <c r="F9" t="s">
        <v>170</v>
      </c>
      <c r="G9" s="82">
        <v>3120</v>
      </c>
      <c r="H9" t="s">
        <v>182</v>
      </c>
      <c r="I9">
        <v>4450</v>
      </c>
      <c r="J9" t="s">
        <v>183</v>
      </c>
      <c r="K9">
        <v>4690</v>
      </c>
      <c r="L9">
        <v>4722</v>
      </c>
      <c r="M9">
        <v>3120</v>
      </c>
      <c r="N9">
        <v>4450</v>
      </c>
      <c r="O9" t="b">
        <v>1</v>
      </c>
    </row>
    <row r="10" spans="1:24">
      <c r="A10" t="s">
        <v>3</v>
      </c>
      <c r="B10" s="82">
        <v>226503</v>
      </c>
      <c r="C10">
        <v>4890</v>
      </c>
      <c r="D10" t="s">
        <v>70</v>
      </c>
      <c r="E10">
        <v>4647</v>
      </c>
      <c r="F10" t="s">
        <v>171</v>
      </c>
      <c r="G10" s="82">
        <v>3807</v>
      </c>
      <c r="H10" t="s">
        <v>190</v>
      </c>
      <c r="I10">
        <v>3900</v>
      </c>
      <c r="J10" t="s">
        <v>191</v>
      </c>
      <c r="K10">
        <v>4890</v>
      </c>
      <c r="L10">
        <v>4706</v>
      </c>
      <c r="M10">
        <v>3807</v>
      </c>
      <c r="N10" t="s">
        <v>104</v>
      </c>
      <c r="O10" t="b">
        <v>1</v>
      </c>
    </row>
    <row r="11" spans="1:24">
      <c r="A11" t="s">
        <v>3</v>
      </c>
      <c r="B11" s="82">
        <v>226484</v>
      </c>
      <c r="E11">
        <v>2370</v>
      </c>
      <c r="F11" t="s">
        <v>172</v>
      </c>
      <c r="G11" s="82">
        <v>2033</v>
      </c>
      <c r="H11" t="s">
        <v>192</v>
      </c>
      <c r="K11" t="s">
        <v>104</v>
      </c>
      <c r="L11">
        <v>2400</v>
      </c>
      <c r="M11">
        <v>2033</v>
      </c>
      <c r="N11" t="s">
        <v>104</v>
      </c>
      <c r="O11" t="b">
        <v>1</v>
      </c>
    </row>
    <row r="12" spans="1:24">
      <c r="A12" t="s">
        <v>3</v>
      </c>
      <c r="B12" s="82">
        <v>226500</v>
      </c>
      <c r="E12">
        <v>2449</v>
      </c>
      <c r="F12" t="s">
        <v>179</v>
      </c>
      <c r="K12" t="s">
        <v>104</v>
      </c>
      <c r="L12">
        <v>2480</v>
      </c>
      <c r="M12" t="s">
        <v>104</v>
      </c>
      <c r="N12" t="s">
        <v>104</v>
      </c>
      <c r="O12" t="b">
        <v>1</v>
      </c>
    </row>
    <row r="13" spans="1:24">
      <c r="A13" t="s">
        <v>3</v>
      </c>
      <c r="B13" s="82">
        <v>430000</v>
      </c>
      <c r="K13" t="s">
        <v>104</v>
      </c>
      <c r="L13" t="s">
        <v>104</v>
      </c>
      <c r="M13" t="s">
        <v>104</v>
      </c>
      <c r="N13" t="s">
        <v>104</v>
      </c>
      <c r="O13" t="b">
        <v>0</v>
      </c>
    </row>
    <row r="14" spans="1:24">
      <c r="A14" t="s">
        <v>3</v>
      </c>
      <c r="B14" s="82">
        <v>226513</v>
      </c>
      <c r="C14">
        <v>4290</v>
      </c>
      <c r="D14" t="s">
        <v>69</v>
      </c>
      <c r="E14">
        <v>4465</v>
      </c>
      <c r="F14" t="s">
        <v>176</v>
      </c>
      <c r="G14" s="82">
        <v>3475</v>
      </c>
      <c r="H14" t="s">
        <v>180</v>
      </c>
      <c r="K14">
        <v>4290</v>
      </c>
      <c r="L14">
        <v>4522</v>
      </c>
      <c r="M14">
        <v>3475</v>
      </c>
      <c r="N14" t="s">
        <v>104</v>
      </c>
      <c r="O14" t="b">
        <v>1</v>
      </c>
    </row>
    <row r="15" spans="1:24">
      <c r="A15" t="s">
        <v>3</v>
      </c>
      <c r="B15" s="82">
        <v>226483</v>
      </c>
      <c r="K15" t="s">
        <v>104</v>
      </c>
      <c r="L15" t="s">
        <v>104</v>
      </c>
      <c r="M15" t="s">
        <v>104</v>
      </c>
      <c r="N15" t="s">
        <v>104</v>
      </c>
      <c r="O15" t="b">
        <v>0</v>
      </c>
    </row>
    <row r="16" spans="1:24">
      <c r="A16" t="s">
        <v>3</v>
      </c>
      <c r="B16" s="82">
        <v>469993</v>
      </c>
      <c r="K16" t="s">
        <v>104</v>
      </c>
      <c r="L16" t="s">
        <v>104</v>
      </c>
      <c r="M16" t="s">
        <v>104</v>
      </c>
      <c r="N16" t="s">
        <v>104</v>
      </c>
      <c r="O16" t="b">
        <v>0</v>
      </c>
    </row>
    <row r="17" spans="1:15">
      <c r="A17" t="s">
        <v>3</v>
      </c>
      <c r="B17" s="82">
        <v>469991</v>
      </c>
      <c r="K17" t="s">
        <v>104</v>
      </c>
      <c r="L17" t="s">
        <v>104</v>
      </c>
      <c r="M17" t="s">
        <v>104</v>
      </c>
      <c r="N17" t="s">
        <v>104</v>
      </c>
      <c r="O17" t="b">
        <v>0</v>
      </c>
    </row>
    <row r="18" spans="1:15">
      <c r="A18" t="s">
        <v>3</v>
      </c>
      <c r="B18" s="82">
        <v>470018</v>
      </c>
      <c r="E18">
        <v>3232</v>
      </c>
      <c r="F18" t="s">
        <v>177</v>
      </c>
      <c r="K18" t="s">
        <v>104</v>
      </c>
      <c r="L18">
        <v>3273</v>
      </c>
      <c r="M18" t="s">
        <v>104</v>
      </c>
      <c r="N18" t="s">
        <v>104</v>
      </c>
      <c r="O18" t="b">
        <v>1</v>
      </c>
    </row>
    <row r="19" spans="1:15">
      <c r="A19" t="s">
        <v>3</v>
      </c>
      <c r="B19" s="82">
        <v>469995</v>
      </c>
      <c r="C19">
        <v>7190</v>
      </c>
      <c r="D19" t="s">
        <v>74</v>
      </c>
      <c r="E19">
        <v>4126</v>
      </c>
      <c r="F19" t="s">
        <v>173</v>
      </c>
      <c r="G19" s="82">
        <v>6852</v>
      </c>
      <c r="H19" t="s">
        <v>189</v>
      </c>
      <c r="K19">
        <v>7190</v>
      </c>
      <c r="L19">
        <v>4161</v>
      </c>
      <c r="M19">
        <v>6852</v>
      </c>
      <c r="N19" t="s">
        <v>104</v>
      </c>
      <c r="O19" t="b">
        <v>1</v>
      </c>
    </row>
    <row r="20" spans="1:15">
      <c r="A20" t="s">
        <v>3</v>
      </c>
      <c r="B20" s="82">
        <v>470032</v>
      </c>
      <c r="C20">
        <v>4290</v>
      </c>
      <c r="D20" t="s">
        <v>73</v>
      </c>
      <c r="E20">
        <v>4110</v>
      </c>
      <c r="F20" t="s">
        <v>175</v>
      </c>
      <c r="G20" s="82">
        <v>3120</v>
      </c>
      <c r="H20" t="s">
        <v>187</v>
      </c>
      <c r="I20">
        <v>4450</v>
      </c>
      <c r="J20" t="s">
        <v>188</v>
      </c>
      <c r="K20">
        <v>4290</v>
      </c>
      <c r="L20">
        <v>4161</v>
      </c>
      <c r="M20">
        <v>3120</v>
      </c>
      <c r="N20">
        <v>4450</v>
      </c>
      <c r="O20" t="b">
        <v>1</v>
      </c>
    </row>
    <row r="21" spans="1:15">
      <c r="A21" t="s">
        <v>3</v>
      </c>
      <c r="B21" s="82">
        <v>470030</v>
      </c>
      <c r="E21">
        <v>4410</v>
      </c>
      <c r="F21" t="s">
        <v>175</v>
      </c>
      <c r="K21" t="s">
        <v>104</v>
      </c>
      <c r="L21">
        <v>4161</v>
      </c>
      <c r="M21" t="s">
        <v>104</v>
      </c>
      <c r="N21" t="s">
        <v>104</v>
      </c>
      <c r="O21" t="b">
        <v>1</v>
      </c>
    </row>
    <row r="22" spans="1:15">
      <c r="A22" t="s">
        <v>3</v>
      </c>
      <c r="B22" s="82">
        <v>470216</v>
      </c>
      <c r="C22">
        <v>3990</v>
      </c>
      <c r="D22" t="s">
        <v>75</v>
      </c>
      <c r="E22">
        <v>5524</v>
      </c>
      <c r="F22" t="s">
        <v>178</v>
      </c>
      <c r="G22" s="82">
        <v>3623</v>
      </c>
      <c r="H22" t="s">
        <v>184</v>
      </c>
      <c r="K22">
        <v>3990</v>
      </c>
      <c r="L22">
        <v>5594</v>
      </c>
      <c r="M22">
        <v>3623</v>
      </c>
      <c r="N22" t="s">
        <v>104</v>
      </c>
      <c r="O22" t="b">
        <v>1</v>
      </c>
    </row>
    <row r="23" spans="1:15">
      <c r="A23" t="s">
        <v>3</v>
      </c>
      <c r="B23" s="82">
        <v>470211</v>
      </c>
      <c r="E23">
        <v>4268</v>
      </c>
      <c r="F23" t="s">
        <v>174</v>
      </c>
      <c r="G23" s="82">
        <v>4290</v>
      </c>
      <c r="H23" t="s">
        <v>185</v>
      </c>
      <c r="I23">
        <v>3647</v>
      </c>
      <c r="J23" t="s">
        <v>186</v>
      </c>
      <c r="K23" t="s">
        <v>104</v>
      </c>
      <c r="L23">
        <v>4304</v>
      </c>
      <c r="M23" t="s">
        <v>104</v>
      </c>
      <c r="N23">
        <v>3647</v>
      </c>
      <c r="O23" t="b">
        <v>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3F402-6C95-4E7F-8244-FC51CCBCF2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Кат</vt:lpstr>
      <vt:lpstr>Торг</vt:lpstr>
      <vt:lpstr>Прайс-лист</vt:lpstr>
      <vt:lpstr>Наценка</vt:lpstr>
      <vt:lpstr>Выгр Кат</vt:lpstr>
      <vt:lpstr>Выгр Торг</vt:lpstr>
      <vt:lpstr>Ссылки</vt:lpstr>
      <vt:lpstr>Из Гугла</vt:lpstr>
      <vt:lpstr>'Прайс-лист'!Область_печати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2023-04-25T08:15:16Z</dcterms:created>
  <dcterms:modified xsi:type="dcterms:W3CDTF">2024-12-26T09:49:47Z</dcterms:modified>
</cp:coreProperties>
</file>