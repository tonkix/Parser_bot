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C2A6A06C-A8B1-45C4-8A11-559976832128}" xr6:coauthVersionLast="47" xr6:coauthVersionMax="47" xr10:uidLastSave="{00000000-0000-0000-0000-000000000000}"/>
  <bookViews>
    <workbookView xWindow="28680" yWindow="-120" windowWidth="29040" windowHeight="15990" activeTab="6" xr2:uid="{00000000-000D-0000-FFFF-FFFF00000000}"/>
  </bookViews>
  <sheets>
    <sheet name="Кат" sheetId="5" r:id="rId1"/>
    <sheet name="Торг" sheetId="10" r:id="rId2"/>
    <sheet name="ПРАЙС" sheetId="1" r:id="rId3"/>
    <sheet name="Наценка" sheetId="6" r:id="rId4"/>
    <sheet name="Выгр Кат" sheetId="8" r:id="rId5"/>
    <sheet name="Выгр Торг" sheetId="9" r:id="rId6"/>
    <sheet name="Ссылки" sheetId="13" r:id="rId7"/>
    <sheet name="Из ГУГЛа" sheetId="14" r:id="rId8"/>
  </sheets>
  <definedNames>
    <definedName name="_xlnm._FilterDatabase" localSheetId="4" hidden="1">'Выгр Кат'!$A$1:$O$298</definedName>
    <definedName name="_xlnm._FilterDatabase" localSheetId="5" hidden="1">'Выгр Торг'!$B$1:$Q$23</definedName>
    <definedName name="_xlnm._FilterDatabase" localSheetId="0" hidden="1">Кат!$A$2:$Y$299</definedName>
    <definedName name="_xlnm._FilterDatabase" localSheetId="2" hidden="1">ПРАЙС!$A$1:$L$271</definedName>
    <definedName name="_xlnm._FilterDatabase" localSheetId="1" hidden="1">Торг!$A$2:$AA$24</definedName>
    <definedName name="ExternalData_1" localSheetId="7" hidden="1">'Из ГУГЛа'!$A$1:$S$1126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" i="10" l="1"/>
  <c r="K11" i="10"/>
  <c r="K10" i="10"/>
  <c r="K9" i="10"/>
  <c r="K8" i="10"/>
  <c r="K7" i="10"/>
  <c r="K6" i="10"/>
  <c r="K5" i="10"/>
  <c r="K4" i="10"/>
  <c r="I299" i="5"/>
  <c r="I298" i="5"/>
  <c r="J298" i="5" s="1"/>
  <c r="I297" i="5"/>
  <c r="W297" i="5" s="1"/>
  <c r="I296" i="5"/>
  <c r="I292" i="5"/>
  <c r="I291" i="5"/>
  <c r="I290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3" i="5"/>
  <c r="I207" i="5"/>
  <c r="I205" i="5"/>
  <c r="I204" i="5"/>
  <c r="I203" i="5"/>
  <c r="I202" i="5"/>
  <c r="I201" i="5"/>
  <c r="I200" i="5"/>
  <c r="I199" i="5"/>
  <c r="I198" i="5"/>
  <c r="I197" i="5"/>
  <c r="I195" i="5"/>
  <c r="I194" i="5"/>
  <c r="I193" i="5"/>
  <c r="I191" i="5"/>
  <c r="W191" i="5" s="1"/>
  <c r="I190" i="5"/>
  <c r="I189" i="5"/>
  <c r="I188" i="5"/>
  <c r="I186" i="5"/>
  <c r="I183" i="5"/>
  <c r="I182" i="5"/>
  <c r="I181" i="5"/>
  <c r="I180" i="5"/>
  <c r="I179" i="5"/>
  <c r="I178" i="5"/>
  <c r="I176" i="5"/>
  <c r="I175" i="5"/>
  <c r="I174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W160" i="5" s="1"/>
  <c r="I159" i="5"/>
  <c r="I158" i="5"/>
  <c r="I157" i="5"/>
  <c r="I156" i="5"/>
  <c r="I155" i="5"/>
  <c r="I154" i="5"/>
  <c r="I153" i="5"/>
  <c r="I152" i="5"/>
  <c r="I151" i="5"/>
  <c r="I150" i="5"/>
  <c r="I149" i="5"/>
  <c r="I148" i="5"/>
  <c r="W148" i="5" s="1"/>
  <c r="I147" i="5"/>
  <c r="I145" i="5"/>
  <c r="I144" i="5"/>
  <c r="I143" i="5"/>
  <c r="I142" i="5"/>
  <c r="I141" i="5"/>
  <c r="I139" i="5"/>
  <c r="I138" i="5"/>
  <c r="I137" i="5"/>
  <c r="I136" i="5"/>
  <c r="I135" i="5"/>
  <c r="I134" i="5"/>
  <c r="W134" i="5" s="1"/>
  <c r="I133" i="5"/>
  <c r="I132" i="5"/>
  <c r="I131" i="5"/>
  <c r="W131" i="5" s="1"/>
  <c r="I130" i="5"/>
  <c r="I129" i="5"/>
  <c r="I128" i="5"/>
  <c r="I127" i="5"/>
  <c r="I126" i="5"/>
  <c r="I125" i="5"/>
  <c r="I124" i="5"/>
  <c r="W124" i="5" s="1"/>
  <c r="I123" i="5"/>
  <c r="I122" i="5"/>
  <c r="I121" i="5"/>
  <c r="I120" i="5"/>
  <c r="I119" i="5"/>
  <c r="W119" i="5" s="1"/>
  <c r="I118" i="5"/>
  <c r="W118" i="5" s="1"/>
  <c r="I117" i="5"/>
  <c r="W117" i="5" s="1"/>
  <c r="I116" i="5"/>
  <c r="W116" i="5" s="1"/>
  <c r="I115" i="5"/>
  <c r="W115" i="5" s="1"/>
  <c r="I114" i="5"/>
  <c r="I113" i="5"/>
  <c r="W113" i="5" s="1"/>
  <c r="I112" i="5"/>
  <c r="W112" i="5" s="1"/>
  <c r="I111" i="5"/>
  <c r="W111" i="5" s="1"/>
  <c r="I109" i="5"/>
  <c r="W109" i="5" s="1"/>
  <c r="I107" i="5"/>
  <c r="W107" i="5" s="1"/>
  <c r="I106" i="5"/>
  <c r="W106" i="5" s="1"/>
  <c r="I105" i="5"/>
  <c r="I104" i="5"/>
  <c r="W104" i="5" s="1"/>
  <c r="I103" i="5"/>
  <c r="W103" i="5" s="1"/>
  <c r="I102" i="5"/>
  <c r="W102" i="5" s="1"/>
  <c r="I101" i="5"/>
  <c r="W101" i="5" s="1"/>
  <c r="I100" i="5"/>
  <c r="W100" i="5" s="1"/>
  <c r="I99" i="5"/>
  <c r="I98" i="5"/>
  <c r="I97" i="5"/>
  <c r="W97" i="5" s="1"/>
  <c r="I96" i="5"/>
  <c r="W96" i="5" s="1"/>
  <c r="I95" i="5"/>
  <c r="W95" i="5" s="1"/>
  <c r="I94" i="5"/>
  <c r="W94" i="5" s="1"/>
  <c r="I93" i="5"/>
  <c r="W93" i="5" s="1"/>
  <c r="I92" i="5"/>
  <c r="W92" i="5" s="1"/>
  <c r="I91" i="5"/>
  <c r="W91" i="5" s="1"/>
  <c r="I90" i="5"/>
  <c r="I89" i="5"/>
  <c r="W89" i="5" s="1"/>
  <c r="I88" i="5"/>
  <c r="W88" i="5" s="1"/>
  <c r="I87" i="5"/>
  <c r="I86" i="5"/>
  <c r="W86" i="5" s="1"/>
  <c r="I85" i="5"/>
  <c r="W85" i="5" s="1"/>
  <c r="I84" i="5"/>
  <c r="W84" i="5" s="1"/>
  <c r="I83" i="5"/>
  <c r="W83" i="5" s="1"/>
  <c r="I82" i="5"/>
  <c r="W82" i="5" s="1"/>
  <c r="I81" i="5"/>
  <c r="W81" i="5" s="1"/>
  <c r="I80" i="5"/>
  <c r="W80" i="5" s="1"/>
  <c r="I79" i="5"/>
  <c r="W79" i="5" s="1"/>
  <c r="I78" i="5"/>
  <c r="I77" i="5"/>
  <c r="W77" i="5" s="1"/>
  <c r="I76" i="5"/>
  <c r="W76" i="5" s="1"/>
  <c r="I75" i="5"/>
  <c r="I74" i="5"/>
  <c r="I73" i="5"/>
  <c r="W73" i="5" s="1"/>
  <c r="I72" i="5"/>
  <c r="W72" i="5" s="1"/>
  <c r="I71" i="5"/>
  <c r="W71" i="5" s="1"/>
  <c r="I70" i="5"/>
  <c r="W70" i="5" s="1"/>
  <c r="I69" i="5"/>
  <c r="I68" i="5"/>
  <c r="W68" i="5" s="1"/>
  <c r="I67" i="5"/>
  <c r="W67" i="5" s="1"/>
  <c r="I66" i="5"/>
  <c r="I65" i="5"/>
  <c r="W65" i="5" s="1"/>
  <c r="I64" i="5"/>
  <c r="W64" i="5" s="1"/>
  <c r="I63" i="5"/>
  <c r="I62" i="5"/>
  <c r="W62" i="5" s="1"/>
  <c r="I61" i="5"/>
  <c r="W61" i="5" s="1"/>
  <c r="I60" i="5"/>
  <c r="W60" i="5" s="1"/>
  <c r="I59" i="5"/>
  <c r="I58" i="5"/>
  <c r="W58" i="5" s="1"/>
  <c r="I57" i="5"/>
  <c r="W57" i="5" s="1"/>
  <c r="I56" i="5"/>
  <c r="W56" i="5" s="1"/>
  <c r="I55" i="5"/>
  <c r="W55" i="5" s="1"/>
  <c r="I54" i="5"/>
  <c r="W54" i="5" s="1"/>
  <c r="I53" i="5"/>
  <c r="W53" i="5" s="1"/>
  <c r="I52" i="5"/>
  <c r="W52" i="5" s="1"/>
  <c r="I51" i="5"/>
  <c r="I50" i="5"/>
  <c r="W50" i="5" s="1"/>
  <c r="I49" i="5"/>
  <c r="W49" i="5" s="1"/>
  <c r="I48" i="5"/>
  <c r="W48" i="5" s="1"/>
  <c r="I47" i="5"/>
  <c r="W47" i="5" s="1"/>
  <c r="I46" i="5"/>
  <c r="W46" i="5" s="1"/>
  <c r="I45" i="5"/>
  <c r="W45" i="5" s="1"/>
  <c r="I44" i="5"/>
  <c r="W44" i="5" s="1"/>
  <c r="I43" i="5"/>
  <c r="W43" i="5" s="1"/>
  <c r="I42" i="5"/>
  <c r="W42" i="5" s="1"/>
  <c r="I40" i="5"/>
  <c r="I39" i="5"/>
  <c r="W39" i="5" s="1"/>
  <c r="I38" i="5"/>
  <c r="W38" i="5" s="1"/>
  <c r="I37" i="5"/>
  <c r="W37" i="5" s="1"/>
  <c r="I36" i="5"/>
  <c r="W36" i="5" s="1"/>
  <c r="I35" i="5"/>
  <c r="W35" i="5" s="1"/>
  <c r="I34" i="5"/>
  <c r="W34" i="5" s="1"/>
  <c r="I33" i="5"/>
  <c r="W33" i="5" s="1"/>
  <c r="I32" i="5"/>
  <c r="W32" i="5" s="1"/>
  <c r="I31" i="5"/>
  <c r="I30" i="5"/>
  <c r="I29" i="5"/>
  <c r="W29" i="5" s="1"/>
  <c r="I28" i="5"/>
  <c r="W28" i="5" s="1"/>
  <c r="I27" i="5"/>
  <c r="W27" i="5" s="1"/>
  <c r="I26" i="5"/>
  <c r="W26" i="5" s="1"/>
  <c r="I25" i="5"/>
  <c r="W25" i="5" s="1"/>
  <c r="I24" i="5"/>
  <c r="W24" i="5" s="1"/>
  <c r="I23" i="5"/>
  <c r="W23" i="5" s="1"/>
  <c r="I22" i="5"/>
  <c r="W22" i="5" s="1"/>
  <c r="I21" i="5"/>
  <c r="W21" i="5" s="1"/>
  <c r="I20" i="5"/>
  <c r="W20" i="5" s="1"/>
  <c r="I19" i="5"/>
  <c r="W19" i="5" s="1"/>
  <c r="I18" i="5"/>
  <c r="W18" i="5" s="1"/>
  <c r="I17" i="5"/>
  <c r="I16" i="5"/>
  <c r="W16" i="5" s="1"/>
  <c r="I15" i="5"/>
  <c r="W15" i="5" s="1"/>
  <c r="I14" i="5"/>
  <c r="W14" i="5" s="1"/>
  <c r="I13" i="5"/>
  <c r="W13" i="5" s="1"/>
  <c r="I12" i="5"/>
  <c r="W12" i="5" s="1"/>
  <c r="I11" i="5"/>
  <c r="W11" i="5" s="1"/>
  <c r="I10" i="5"/>
  <c r="W10" i="5" s="1"/>
  <c r="I9" i="5"/>
  <c r="W9" i="5" s="1"/>
  <c r="I8" i="5"/>
  <c r="W8" i="5" s="1"/>
  <c r="I7" i="5"/>
  <c r="W7" i="5" s="1"/>
  <c r="I6" i="5"/>
  <c r="W6" i="5" s="1"/>
  <c r="I5" i="5"/>
  <c r="I4" i="5"/>
  <c r="W4" i="5" s="1"/>
  <c r="K134" i="5"/>
  <c r="K96" i="5"/>
  <c r="K94" i="5"/>
  <c r="K89" i="5"/>
  <c r="K88" i="5"/>
  <c r="K83" i="5"/>
  <c r="K82" i="5"/>
  <c r="K79" i="5"/>
  <c r="K77" i="5"/>
  <c r="K74" i="5"/>
  <c r="K73" i="5"/>
  <c r="K72" i="5"/>
  <c r="K71" i="5"/>
  <c r="K70" i="5"/>
  <c r="K68" i="5"/>
  <c r="K67" i="5"/>
  <c r="K64" i="5"/>
  <c r="K63" i="5"/>
  <c r="K291" i="5"/>
  <c r="K283" i="5"/>
  <c r="K76" i="5"/>
  <c r="K69" i="5"/>
  <c r="K65" i="5"/>
  <c r="K62" i="5"/>
  <c r="K298" i="5"/>
  <c r="K292" i="5"/>
  <c r="K286" i="5"/>
  <c r="K136" i="5"/>
  <c r="K133" i="5"/>
  <c r="K131" i="5"/>
  <c r="K130" i="5"/>
  <c r="K129" i="5"/>
  <c r="K128" i="5"/>
  <c r="K127" i="5"/>
  <c r="K126" i="5"/>
  <c r="K125" i="5"/>
  <c r="K124" i="5"/>
  <c r="K115" i="5"/>
  <c r="K113" i="5"/>
  <c r="K111" i="5"/>
  <c r="K105" i="5"/>
  <c r="K11" i="5"/>
  <c r="K10" i="5"/>
  <c r="K8" i="5"/>
  <c r="K290" i="5"/>
  <c r="K288" i="5"/>
  <c r="K287" i="5"/>
  <c r="K281" i="5"/>
  <c r="K171" i="5"/>
  <c r="K166" i="5"/>
  <c r="K156" i="5"/>
  <c r="K153" i="5"/>
  <c r="K152" i="5"/>
  <c r="K151" i="5"/>
  <c r="K150" i="5"/>
  <c r="K148" i="5"/>
  <c r="K145" i="5"/>
  <c r="K143" i="5"/>
  <c r="K142" i="5"/>
  <c r="K139" i="5"/>
  <c r="K123" i="5"/>
  <c r="K121" i="5"/>
  <c r="K119" i="5"/>
  <c r="K118" i="5"/>
  <c r="K117" i="5"/>
  <c r="K116" i="5"/>
  <c r="K114" i="5"/>
  <c r="K112" i="5"/>
  <c r="K109" i="5"/>
  <c r="K66" i="5"/>
  <c r="K54" i="5"/>
  <c r="K48" i="5"/>
  <c r="K47" i="5"/>
  <c r="K42" i="5"/>
  <c r="K29" i="5"/>
  <c r="K296" i="5"/>
  <c r="K293" i="5"/>
  <c r="K289" i="5"/>
  <c r="K284" i="5"/>
  <c r="K282" i="5"/>
  <c r="K280" i="5"/>
  <c r="K278" i="5"/>
  <c r="K205" i="5"/>
  <c r="K198" i="5"/>
  <c r="K197" i="5"/>
  <c r="K192" i="5"/>
  <c r="K188" i="5"/>
  <c r="K174" i="5"/>
  <c r="K172" i="5"/>
  <c r="K162" i="5"/>
  <c r="K161" i="5"/>
  <c r="K160" i="5"/>
  <c r="K155" i="5"/>
  <c r="K154" i="5"/>
  <c r="K144" i="5"/>
  <c r="K141" i="5"/>
  <c r="K138" i="5"/>
  <c r="K137" i="5"/>
  <c r="K104" i="5"/>
  <c r="K103" i="5"/>
  <c r="K102" i="5"/>
  <c r="K101" i="5"/>
  <c r="K100" i="5"/>
  <c r="K99" i="5"/>
  <c r="K98" i="5"/>
  <c r="K97" i="5"/>
  <c r="K95" i="5"/>
  <c r="K93" i="5"/>
  <c r="K91" i="5"/>
  <c r="K87" i="5"/>
  <c r="K84" i="5"/>
  <c r="K75" i="5"/>
  <c r="K61" i="5"/>
  <c r="K60" i="5"/>
  <c r="K59" i="5"/>
  <c r="K58" i="5"/>
  <c r="K57" i="5"/>
  <c r="K56" i="5"/>
  <c r="K55" i="5"/>
  <c r="K53" i="5"/>
  <c r="K52" i="5"/>
  <c r="K51" i="5"/>
  <c r="K50" i="5"/>
  <c r="K46" i="5"/>
  <c r="K45" i="5"/>
  <c r="K44" i="5"/>
  <c r="K43" i="5"/>
  <c r="K40" i="5"/>
  <c r="K39" i="5"/>
  <c r="K38" i="5"/>
  <c r="K37" i="5"/>
  <c r="K36" i="5"/>
  <c r="K35" i="5"/>
  <c r="K33" i="5"/>
  <c r="K32" i="5"/>
  <c r="K31" i="5"/>
  <c r="K30" i="5"/>
  <c r="K28" i="5"/>
  <c r="K27" i="5"/>
  <c r="K26" i="5"/>
  <c r="K25" i="5"/>
  <c r="K24" i="5"/>
  <c r="K22" i="5"/>
  <c r="K20" i="5"/>
  <c r="K19" i="5"/>
  <c r="K16" i="5"/>
  <c r="K15" i="5"/>
  <c r="K14" i="5"/>
  <c r="K13" i="5"/>
  <c r="K12" i="5"/>
  <c r="K9" i="5"/>
  <c r="K6" i="5"/>
  <c r="K191" i="5"/>
  <c r="K190" i="5"/>
  <c r="K182" i="5"/>
  <c r="K175" i="5"/>
  <c r="K147" i="5"/>
  <c r="K135" i="5"/>
  <c r="K132" i="5"/>
  <c r="K90" i="5"/>
  <c r="K5" i="5"/>
  <c r="K3" i="5"/>
  <c r="W291" i="5"/>
  <c r="W288" i="5"/>
  <c r="K285" i="5"/>
  <c r="W284" i="5"/>
  <c r="W283" i="5"/>
  <c r="W282" i="5"/>
  <c r="W205" i="5"/>
  <c r="W198" i="5"/>
  <c r="K194" i="5"/>
  <c r="W190" i="5"/>
  <c r="W188" i="5"/>
  <c r="W182" i="5"/>
  <c r="W180" i="5"/>
  <c r="K176" i="5"/>
  <c r="W172" i="5"/>
  <c r="W171" i="5"/>
  <c r="W167" i="5"/>
  <c r="W166" i="5"/>
  <c r="W165" i="5"/>
  <c r="W162" i="5"/>
  <c r="W156" i="5"/>
  <c r="W155" i="5"/>
  <c r="W154" i="5"/>
  <c r="W153" i="5"/>
  <c r="W147" i="5"/>
  <c r="W144" i="5"/>
  <c r="W143" i="5"/>
  <c r="W142" i="5"/>
  <c r="W141" i="5"/>
  <c r="W139" i="5"/>
  <c r="W133" i="5"/>
  <c r="W132" i="5"/>
  <c r="W130" i="5"/>
  <c r="W129" i="5"/>
  <c r="W128" i="5"/>
  <c r="W127" i="5"/>
  <c r="W121" i="5"/>
  <c r="W105" i="5"/>
  <c r="W98" i="5"/>
  <c r="W90" i="5"/>
  <c r="W78" i="5"/>
  <c r="W75" i="5"/>
  <c r="W74" i="5"/>
  <c r="W66" i="5"/>
  <c r="W63" i="5"/>
  <c r="W59" i="5"/>
  <c r="W30" i="5"/>
  <c r="I3" i="5"/>
  <c r="W298" i="5"/>
  <c r="R298" i="5"/>
  <c r="N298" i="5"/>
  <c r="M298" i="5"/>
  <c r="F298" i="5"/>
  <c r="D298" i="5"/>
  <c r="C298" i="5"/>
  <c r="I45" i="1" s="1"/>
  <c r="B298" i="5"/>
  <c r="H45" i="1" s="1"/>
  <c r="R297" i="5"/>
  <c r="N297" i="5"/>
  <c r="M297" i="5"/>
  <c r="O297" i="5" s="1"/>
  <c r="F297" i="5"/>
  <c r="D297" i="5"/>
  <c r="C297" i="5"/>
  <c r="B297" i="5"/>
  <c r="O298" i="8"/>
  <c r="N298" i="8"/>
  <c r="M36" i="10"/>
  <c r="M35" i="10"/>
  <c r="M34" i="10"/>
  <c r="M33" i="10"/>
  <c r="M32" i="10"/>
  <c r="M31" i="10"/>
  <c r="M30" i="10"/>
  <c r="M29" i="10"/>
  <c r="M28" i="10"/>
  <c r="K309" i="5"/>
  <c r="K301" i="5"/>
  <c r="K308" i="5"/>
  <c r="K307" i="5"/>
  <c r="K306" i="5"/>
  <c r="K305" i="5"/>
  <c r="K304" i="5"/>
  <c r="K303" i="5"/>
  <c r="K302" i="5"/>
  <c r="T4" i="10"/>
  <c r="T5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3" i="10"/>
  <c r="N1" i="10"/>
  <c r="K1" i="10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W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W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W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W120" i="5"/>
  <c r="R121" i="5"/>
  <c r="R122" i="5"/>
  <c r="W122" i="5"/>
  <c r="R123" i="5"/>
  <c r="R124" i="5"/>
  <c r="R125" i="5"/>
  <c r="W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W137" i="5"/>
  <c r="R138" i="5"/>
  <c r="R139" i="5"/>
  <c r="R140" i="5"/>
  <c r="W140" i="5"/>
  <c r="R141" i="5"/>
  <c r="R142" i="5"/>
  <c r="R143" i="5"/>
  <c r="R144" i="5"/>
  <c r="R145" i="5"/>
  <c r="W145" i="5"/>
  <c r="R146" i="5"/>
  <c r="W146" i="5"/>
  <c r="R147" i="5"/>
  <c r="R148" i="5"/>
  <c r="R149" i="5"/>
  <c r="K149" i="5" s="1"/>
  <c r="R150" i="5"/>
  <c r="W150" i="5"/>
  <c r="R151" i="5"/>
  <c r="R152" i="5"/>
  <c r="R153" i="5"/>
  <c r="R154" i="5"/>
  <c r="R155" i="5"/>
  <c r="R156" i="5"/>
  <c r="R157" i="5"/>
  <c r="W157" i="5"/>
  <c r="R158" i="5"/>
  <c r="W158" i="5"/>
  <c r="R159" i="5"/>
  <c r="W159" i="5"/>
  <c r="R160" i="5"/>
  <c r="R161" i="5"/>
  <c r="R162" i="5"/>
  <c r="R163" i="5"/>
  <c r="W163" i="5"/>
  <c r="R164" i="5"/>
  <c r="W164" i="5"/>
  <c r="R165" i="5"/>
  <c r="R166" i="5"/>
  <c r="R167" i="5"/>
  <c r="R168" i="5"/>
  <c r="K168" i="5" s="1"/>
  <c r="R169" i="5"/>
  <c r="K169" i="5" s="1"/>
  <c r="R170" i="5"/>
  <c r="W170" i="5"/>
  <c r="R171" i="5"/>
  <c r="R172" i="5"/>
  <c r="R173" i="5"/>
  <c r="W173" i="5"/>
  <c r="R174" i="5"/>
  <c r="R175" i="5"/>
  <c r="R176" i="5"/>
  <c r="W176" i="5"/>
  <c r="R177" i="5"/>
  <c r="R178" i="5"/>
  <c r="K178" i="5" s="1"/>
  <c r="R179" i="5"/>
  <c r="R180" i="5"/>
  <c r="R181" i="5"/>
  <c r="K181" i="5" s="1"/>
  <c r="R182" i="5"/>
  <c r="R183" i="5"/>
  <c r="W183" i="5"/>
  <c r="R184" i="5"/>
  <c r="W184" i="5"/>
  <c r="R185" i="5"/>
  <c r="W185" i="5"/>
  <c r="R186" i="5"/>
  <c r="W186" i="5"/>
  <c r="R187" i="5"/>
  <c r="K187" i="5" s="1"/>
  <c r="R188" i="5"/>
  <c r="R189" i="5"/>
  <c r="R190" i="5"/>
  <c r="R191" i="5"/>
  <c r="R192" i="5"/>
  <c r="R193" i="5"/>
  <c r="K193" i="5" s="1"/>
  <c r="R194" i="5"/>
  <c r="R195" i="5"/>
  <c r="W195" i="5"/>
  <c r="R196" i="5"/>
  <c r="W196" i="5"/>
  <c r="R197" i="5"/>
  <c r="R198" i="5"/>
  <c r="R199" i="5"/>
  <c r="K199" i="5" s="1"/>
  <c r="R200" i="5"/>
  <c r="K200" i="5" s="1"/>
  <c r="R201" i="5"/>
  <c r="K201" i="5" s="1"/>
  <c r="R202" i="5"/>
  <c r="K202" i="5" s="1"/>
  <c r="R203" i="5"/>
  <c r="K203" i="5" s="1"/>
  <c r="R204" i="5"/>
  <c r="K204" i="5" s="1"/>
  <c r="R205" i="5"/>
  <c r="R206" i="5"/>
  <c r="W206" i="5"/>
  <c r="R207" i="5"/>
  <c r="R208" i="5"/>
  <c r="W208" i="5"/>
  <c r="R209" i="5"/>
  <c r="W209" i="5"/>
  <c r="R210" i="5"/>
  <c r="W210" i="5"/>
  <c r="R211" i="5"/>
  <c r="W211" i="5"/>
  <c r="R212" i="5"/>
  <c r="W212" i="5"/>
  <c r="R213" i="5"/>
  <c r="W213" i="5"/>
  <c r="R214" i="5"/>
  <c r="W214" i="5"/>
  <c r="R215" i="5"/>
  <c r="W215" i="5"/>
  <c r="R216" i="5"/>
  <c r="W216" i="5"/>
  <c r="R217" i="5"/>
  <c r="W217" i="5"/>
  <c r="R218" i="5"/>
  <c r="W218" i="5"/>
  <c r="R219" i="5"/>
  <c r="W219" i="5"/>
  <c r="R220" i="5"/>
  <c r="W220" i="5"/>
  <c r="R221" i="5"/>
  <c r="W221" i="5"/>
  <c r="R222" i="5"/>
  <c r="W222" i="5"/>
  <c r="R223" i="5"/>
  <c r="W223" i="5"/>
  <c r="R224" i="5"/>
  <c r="W224" i="5"/>
  <c r="R225" i="5"/>
  <c r="W225" i="5"/>
  <c r="R226" i="5"/>
  <c r="W226" i="5"/>
  <c r="R227" i="5"/>
  <c r="W227" i="5"/>
  <c r="R228" i="5"/>
  <c r="W228" i="5"/>
  <c r="R229" i="5"/>
  <c r="W229" i="5"/>
  <c r="R230" i="5"/>
  <c r="W230" i="5"/>
  <c r="R231" i="5"/>
  <c r="W231" i="5"/>
  <c r="R232" i="5"/>
  <c r="W232" i="5"/>
  <c r="R233" i="5"/>
  <c r="W233" i="5"/>
  <c r="R234" i="5"/>
  <c r="W234" i="5"/>
  <c r="R235" i="5"/>
  <c r="W235" i="5"/>
  <c r="R236" i="5"/>
  <c r="W236" i="5"/>
  <c r="R237" i="5"/>
  <c r="W237" i="5"/>
  <c r="R238" i="5"/>
  <c r="W238" i="5"/>
  <c r="R239" i="5"/>
  <c r="W239" i="5"/>
  <c r="R240" i="5"/>
  <c r="W240" i="5"/>
  <c r="R241" i="5"/>
  <c r="W241" i="5"/>
  <c r="R242" i="5"/>
  <c r="W242" i="5"/>
  <c r="R243" i="5"/>
  <c r="W243" i="5"/>
  <c r="R244" i="5"/>
  <c r="W244" i="5"/>
  <c r="R245" i="5"/>
  <c r="W245" i="5"/>
  <c r="R246" i="5"/>
  <c r="W246" i="5"/>
  <c r="R247" i="5"/>
  <c r="W247" i="5"/>
  <c r="R248" i="5"/>
  <c r="W248" i="5"/>
  <c r="R249" i="5"/>
  <c r="W249" i="5"/>
  <c r="R250" i="5"/>
  <c r="W250" i="5"/>
  <c r="R251" i="5"/>
  <c r="W251" i="5"/>
  <c r="R252" i="5"/>
  <c r="W252" i="5"/>
  <c r="R253" i="5"/>
  <c r="W253" i="5"/>
  <c r="R254" i="5"/>
  <c r="W254" i="5"/>
  <c r="R255" i="5"/>
  <c r="W255" i="5"/>
  <c r="R256" i="5"/>
  <c r="W256" i="5"/>
  <c r="R257" i="5"/>
  <c r="W257" i="5"/>
  <c r="R258" i="5"/>
  <c r="W258" i="5"/>
  <c r="R259" i="5"/>
  <c r="W259" i="5"/>
  <c r="R260" i="5"/>
  <c r="W260" i="5"/>
  <c r="R261" i="5"/>
  <c r="W261" i="5"/>
  <c r="R262" i="5"/>
  <c r="W262" i="5"/>
  <c r="R263" i="5"/>
  <c r="W263" i="5"/>
  <c r="R264" i="5"/>
  <c r="W264" i="5"/>
  <c r="R265" i="5"/>
  <c r="W265" i="5"/>
  <c r="R266" i="5"/>
  <c r="W266" i="5"/>
  <c r="R267" i="5"/>
  <c r="W267" i="5"/>
  <c r="R268" i="5"/>
  <c r="W268" i="5"/>
  <c r="R269" i="5"/>
  <c r="W269" i="5"/>
  <c r="R270" i="5"/>
  <c r="W270" i="5"/>
  <c r="R271" i="5"/>
  <c r="W271" i="5"/>
  <c r="R272" i="5"/>
  <c r="W272" i="5"/>
  <c r="R273" i="5"/>
  <c r="R274" i="5"/>
  <c r="W274" i="5"/>
  <c r="R275" i="5"/>
  <c r="W275" i="5"/>
  <c r="R276" i="5"/>
  <c r="W276" i="5"/>
  <c r="R277" i="5"/>
  <c r="W277" i="5"/>
  <c r="R278" i="5"/>
  <c r="R279" i="5"/>
  <c r="R280" i="5"/>
  <c r="W280" i="5"/>
  <c r="R281" i="5"/>
  <c r="W281" i="5"/>
  <c r="R282" i="5"/>
  <c r="R283" i="5"/>
  <c r="R284" i="5"/>
  <c r="R285" i="5"/>
  <c r="W285" i="5"/>
  <c r="R286" i="5"/>
  <c r="W286" i="5"/>
  <c r="R287" i="5"/>
  <c r="W287" i="5"/>
  <c r="R288" i="5"/>
  <c r="R289" i="5"/>
  <c r="R290" i="5"/>
  <c r="R291" i="5"/>
  <c r="R292" i="5"/>
  <c r="W292" i="5"/>
  <c r="R293" i="5"/>
  <c r="R294" i="5"/>
  <c r="R295" i="5"/>
  <c r="R296" i="5"/>
  <c r="W296" i="5"/>
  <c r="R299" i="5"/>
  <c r="R3" i="5"/>
  <c r="L1" i="5"/>
  <c r="K1" i="5"/>
  <c r="I1" i="5"/>
  <c r="J296" i="5"/>
  <c r="W279" i="5"/>
  <c r="W278" i="5"/>
  <c r="W197" i="5"/>
  <c r="W194" i="5"/>
  <c r="W175" i="5"/>
  <c r="W174" i="5"/>
  <c r="W161" i="5"/>
  <c r="W152" i="5"/>
  <c r="W151" i="5"/>
  <c r="W138" i="5"/>
  <c r="W136" i="5"/>
  <c r="W135" i="5"/>
  <c r="W126" i="5"/>
  <c r="W123" i="5"/>
  <c r="W87" i="5"/>
  <c r="W51" i="5"/>
  <c r="G1" i="1"/>
  <c r="H1" i="1"/>
  <c r="I1" i="1"/>
  <c r="G2" i="1"/>
  <c r="G3" i="1"/>
  <c r="G4" i="1"/>
  <c r="G5" i="1"/>
  <c r="H5" i="1"/>
  <c r="I5" i="1"/>
  <c r="G6" i="1"/>
  <c r="G7" i="1"/>
  <c r="G8" i="1"/>
  <c r="G9" i="1"/>
  <c r="G10" i="1"/>
  <c r="G11" i="1"/>
  <c r="H11" i="1"/>
  <c r="I11" i="1"/>
  <c r="G12" i="1"/>
  <c r="G13" i="1"/>
  <c r="G14" i="1"/>
  <c r="G15" i="1"/>
  <c r="G16" i="1"/>
  <c r="G17" i="1"/>
  <c r="H17" i="1"/>
  <c r="I17" i="1"/>
  <c r="G18" i="1"/>
  <c r="H18" i="1"/>
  <c r="I18" i="1"/>
  <c r="G19" i="1"/>
  <c r="H19" i="1"/>
  <c r="I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H34" i="1"/>
  <c r="I34" i="1"/>
  <c r="G35" i="1"/>
  <c r="G36" i="1"/>
  <c r="G37" i="1"/>
  <c r="G38" i="1"/>
  <c r="H38" i="1"/>
  <c r="I38" i="1"/>
  <c r="G39" i="1"/>
  <c r="G40" i="1"/>
  <c r="G41" i="1"/>
  <c r="G42" i="1"/>
  <c r="G43" i="1"/>
  <c r="G44" i="1"/>
  <c r="G45" i="1"/>
  <c r="G46" i="1"/>
  <c r="H46" i="1"/>
  <c r="I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H61" i="1"/>
  <c r="I61" i="1"/>
  <c r="G62" i="1"/>
  <c r="G63" i="1"/>
  <c r="G64" i="1"/>
  <c r="G65" i="1"/>
  <c r="G66" i="1"/>
  <c r="G67" i="1"/>
  <c r="G68" i="1"/>
  <c r="G69" i="1"/>
  <c r="G70" i="1"/>
  <c r="G71" i="1"/>
  <c r="G72" i="1"/>
  <c r="G73" i="1"/>
  <c r="H73" i="1"/>
  <c r="I73" i="1"/>
  <c r="G74" i="1"/>
  <c r="G75" i="1"/>
  <c r="G76" i="1"/>
  <c r="G77" i="1"/>
  <c r="G78" i="1"/>
  <c r="H78" i="1"/>
  <c r="I78" i="1"/>
  <c r="G79" i="1"/>
  <c r="H79" i="1"/>
  <c r="I79" i="1"/>
  <c r="G80" i="1"/>
  <c r="G81" i="1"/>
  <c r="G82" i="1"/>
  <c r="H82" i="1"/>
  <c r="I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H102" i="1"/>
  <c r="I102" i="1"/>
  <c r="G103" i="1"/>
  <c r="H103" i="1"/>
  <c r="I103" i="1"/>
  <c r="G104" i="1"/>
  <c r="H104" i="1"/>
  <c r="I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H118" i="1"/>
  <c r="I118" i="1"/>
  <c r="G119" i="1"/>
  <c r="H119" i="1"/>
  <c r="I119" i="1"/>
  <c r="G120" i="1"/>
  <c r="H120" i="1"/>
  <c r="I120" i="1"/>
  <c r="G121" i="1"/>
  <c r="H121" i="1"/>
  <c r="I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H153" i="1"/>
  <c r="I153" i="1"/>
  <c r="G154" i="1"/>
  <c r="H154" i="1"/>
  <c r="I154" i="1"/>
  <c r="G155" i="1"/>
  <c r="H155" i="1"/>
  <c r="I155" i="1"/>
  <c r="G156" i="1"/>
  <c r="H156" i="1"/>
  <c r="I156" i="1"/>
  <c r="G157" i="1"/>
  <c r="H157" i="1"/>
  <c r="I157" i="1"/>
  <c r="G158" i="1"/>
  <c r="H158" i="1"/>
  <c r="I158" i="1"/>
  <c r="G159" i="1"/>
  <c r="H159" i="1"/>
  <c r="I159" i="1"/>
  <c r="G160" i="1"/>
  <c r="H160" i="1"/>
  <c r="I160" i="1"/>
  <c r="G161" i="1"/>
  <c r="H161" i="1"/>
  <c r="I161" i="1"/>
  <c r="G162" i="1"/>
  <c r="H162" i="1"/>
  <c r="I162" i="1"/>
  <c r="G163" i="1"/>
  <c r="H163" i="1"/>
  <c r="I163" i="1"/>
  <c r="G164" i="1"/>
  <c r="H164" i="1"/>
  <c r="I164" i="1"/>
  <c r="G165" i="1"/>
  <c r="H165" i="1"/>
  <c r="I165" i="1"/>
  <c r="G166" i="1"/>
  <c r="H166" i="1"/>
  <c r="I166" i="1"/>
  <c r="G167" i="1"/>
  <c r="H167" i="1"/>
  <c r="I167" i="1"/>
  <c r="G168" i="1"/>
  <c r="H168" i="1"/>
  <c r="I168" i="1"/>
  <c r="G169" i="1"/>
  <c r="H169" i="1"/>
  <c r="I169" i="1"/>
  <c r="G170" i="1"/>
  <c r="G171" i="1"/>
  <c r="G172" i="1"/>
  <c r="G173" i="1"/>
  <c r="G174" i="1"/>
  <c r="G175" i="1"/>
  <c r="G176" i="1"/>
  <c r="G177" i="1"/>
  <c r="G178" i="1"/>
  <c r="G179" i="1"/>
  <c r="G180" i="1"/>
  <c r="H180" i="1"/>
  <c r="I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H193" i="1"/>
  <c r="I193" i="1"/>
  <c r="G194" i="1"/>
  <c r="H194" i="1"/>
  <c r="I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H240" i="1"/>
  <c r="I240" i="1"/>
  <c r="G241" i="1"/>
  <c r="H241" i="1"/>
  <c r="I241" i="1"/>
  <c r="G242" i="1"/>
  <c r="G243" i="1"/>
  <c r="G244" i="1"/>
  <c r="G245" i="1"/>
  <c r="H245" i="1"/>
  <c r="I245" i="1"/>
  <c r="G246" i="1"/>
  <c r="H246" i="1"/>
  <c r="I246" i="1"/>
  <c r="G247" i="1"/>
  <c r="H247" i="1"/>
  <c r="I247" i="1"/>
  <c r="G248" i="1"/>
  <c r="H248" i="1"/>
  <c r="I248" i="1"/>
  <c r="G249" i="1"/>
  <c r="H249" i="1"/>
  <c r="I249" i="1"/>
  <c r="G250" i="1"/>
  <c r="H250" i="1"/>
  <c r="I250" i="1"/>
  <c r="G251" i="1"/>
  <c r="H251" i="1"/>
  <c r="I251" i="1"/>
  <c r="G252" i="1"/>
  <c r="H252" i="1"/>
  <c r="I252" i="1"/>
  <c r="G253" i="1"/>
  <c r="G254" i="1"/>
  <c r="G255" i="1"/>
  <c r="G256" i="1"/>
  <c r="G257" i="1"/>
  <c r="G258" i="1"/>
  <c r="G259" i="1"/>
  <c r="H259" i="1"/>
  <c r="I259" i="1"/>
  <c r="G260" i="1"/>
  <c r="G261" i="1"/>
  <c r="H261" i="1"/>
  <c r="I261" i="1"/>
  <c r="G262" i="1"/>
  <c r="G263" i="1"/>
  <c r="G264" i="1"/>
  <c r="G265" i="1"/>
  <c r="G266" i="1"/>
  <c r="H266" i="1"/>
  <c r="I266" i="1"/>
  <c r="G267" i="1"/>
  <c r="G268" i="1"/>
  <c r="H268" i="1"/>
  <c r="I268" i="1"/>
  <c r="G269" i="1"/>
  <c r="H269" i="1"/>
  <c r="I269" i="1"/>
  <c r="G270" i="1"/>
  <c r="H270" i="1"/>
  <c r="I270" i="1"/>
  <c r="G271" i="1"/>
  <c r="B286" i="5"/>
  <c r="C286" i="5"/>
  <c r="D286" i="5"/>
  <c r="F286" i="5"/>
  <c r="M286" i="5"/>
  <c r="N286" i="5"/>
  <c r="B287" i="5"/>
  <c r="H35" i="1" s="1"/>
  <c r="C287" i="5"/>
  <c r="I35" i="1" s="1"/>
  <c r="D287" i="5"/>
  <c r="F287" i="5"/>
  <c r="J287" i="5"/>
  <c r="M287" i="5"/>
  <c r="O287" i="5" s="1"/>
  <c r="N287" i="5"/>
  <c r="B288" i="5"/>
  <c r="C288" i="5"/>
  <c r="D288" i="5"/>
  <c r="F288" i="5"/>
  <c r="M288" i="5"/>
  <c r="N288" i="5"/>
  <c r="B289" i="5"/>
  <c r="C289" i="5"/>
  <c r="D289" i="5"/>
  <c r="F289" i="5"/>
  <c r="M289" i="5"/>
  <c r="N289" i="5"/>
  <c r="B290" i="5"/>
  <c r="C290" i="5"/>
  <c r="D290" i="5"/>
  <c r="F290" i="5"/>
  <c r="M290" i="5"/>
  <c r="W290" i="5" s="1"/>
  <c r="N290" i="5"/>
  <c r="B291" i="5"/>
  <c r="C291" i="5"/>
  <c r="D291" i="5"/>
  <c r="F291" i="5"/>
  <c r="J291" i="5"/>
  <c r="M291" i="5"/>
  <c r="O291" i="5" s="1"/>
  <c r="N291" i="5"/>
  <c r="B292" i="5"/>
  <c r="H144" i="1" s="1"/>
  <c r="C292" i="5"/>
  <c r="D292" i="5"/>
  <c r="F292" i="5"/>
  <c r="J292" i="5"/>
  <c r="M292" i="5"/>
  <c r="O292" i="5" s="1"/>
  <c r="N292" i="5"/>
  <c r="B293" i="5"/>
  <c r="C293" i="5"/>
  <c r="D293" i="5"/>
  <c r="F293" i="5"/>
  <c r="M293" i="5"/>
  <c r="N293" i="5"/>
  <c r="B294" i="5"/>
  <c r="C294" i="5"/>
  <c r="D294" i="5"/>
  <c r="F294" i="5"/>
  <c r="M294" i="5"/>
  <c r="N294" i="5"/>
  <c r="B295" i="5"/>
  <c r="C295" i="5"/>
  <c r="D295" i="5"/>
  <c r="F295" i="5"/>
  <c r="M295" i="5"/>
  <c r="N295" i="5"/>
  <c r="B296" i="5"/>
  <c r="C296" i="5"/>
  <c r="D296" i="5"/>
  <c r="F296" i="5"/>
  <c r="M296" i="5"/>
  <c r="N296" i="5"/>
  <c r="B299" i="5"/>
  <c r="C299" i="5"/>
  <c r="D299" i="5"/>
  <c r="F299" i="5"/>
  <c r="M299" i="5"/>
  <c r="J299" i="5" s="1"/>
  <c r="K299" i="5" s="1"/>
  <c r="N299" i="5"/>
  <c r="B285" i="5"/>
  <c r="H139" i="1" s="1"/>
  <c r="C285" i="5"/>
  <c r="I139" i="1" s="1"/>
  <c r="D285" i="5"/>
  <c r="F285" i="5"/>
  <c r="M285" i="5"/>
  <c r="N285" i="5"/>
  <c r="B4" i="5"/>
  <c r="H59" i="1" s="1"/>
  <c r="B5" i="5"/>
  <c r="B6" i="5"/>
  <c r="H175" i="1" s="1"/>
  <c r="B7" i="5"/>
  <c r="H263" i="1" s="1"/>
  <c r="B8" i="5"/>
  <c r="H10" i="1" s="1"/>
  <c r="B9" i="5"/>
  <c r="B10" i="5"/>
  <c r="H114" i="1" s="1"/>
  <c r="B11" i="5"/>
  <c r="H225" i="1" s="1"/>
  <c r="B12" i="5"/>
  <c r="H48" i="1" s="1"/>
  <c r="B13" i="5"/>
  <c r="B14" i="5"/>
  <c r="H258" i="1" s="1"/>
  <c r="B15" i="5"/>
  <c r="H95" i="1" s="1"/>
  <c r="B16" i="5"/>
  <c r="B17" i="5"/>
  <c r="B18" i="5"/>
  <c r="B19" i="5"/>
  <c r="B20" i="5"/>
  <c r="H14" i="1" s="1"/>
  <c r="B21" i="5"/>
  <c r="B22" i="5"/>
  <c r="B23" i="5"/>
  <c r="H112" i="1" s="1"/>
  <c r="B24" i="5"/>
  <c r="H264" i="1" s="1"/>
  <c r="B25" i="5"/>
  <c r="B26" i="5"/>
  <c r="B27" i="5"/>
  <c r="B28" i="5"/>
  <c r="H239" i="1" s="1"/>
  <c r="B29" i="5"/>
  <c r="H13" i="1" s="1"/>
  <c r="B30" i="5"/>
  <c r="H110" i="1" s="1"/>
  <c r="B31" i="5"/>
  <c r="H71" i="1" s="1"/>
  <c r="B32" i="5"/>
  <c r="H70" i="1" s="1"/>
  <c r="B33" i="5"/>
  <c r="H68" i="1" s="1"/>
  <c r="B34" i="5"/>
  <c r="H117" i="1" s="1"/>
  <c r="B35" i="5"/>
  <c r="B36" i="5"/>
  <c r="B37" i="5"/>
  <c r="H152" i="1" s="1"/>
  <c r="B38" i="5"/>
  <c r="H62" i="1" s="1"/>
  <c r="B39" i="5"/>
  <c r="H63" i="1" s="1"/>
  <c r="B40" i="5"/>
  <c r="B41" i="5"/>
  <c r="B42" i="5"/>
  <c r="H122" i="1" s="1"/>
  <c r="B43" i="5"/>
  <c r="H65" i="1" s="1"/>
  <c r="B44" i="5"/>
  <c r="H64" i="1" s="1"/>
  <c r="B45" i="5"/>
  <c r="H66" i="1" s="1"/>
  <c r="B46" i="5"/>
  <c r="H67" i="1" s="1"/>
  <c r="B47" i="5"/>
  <c r="B48" i="5"/>
  <c r="H126" i="1" s="1"/>
  <c r="B49" i="5"/>
  <c r="H171" i="1" s="1"/>
  <c r="B50" i="5"/>
  <c r="B51" i="5"/>
  <c r="B52" i="5"/>
  <c r="B53" i="5"/>
  <c r="B54" i="5"/>
  <c r="H2" i="1" s="1"/>
  <c r="B55" i="5"/>
  <c r="B56" i="5"/>
  <c r="B57" i="5"/>
  <c r="B58" i="5"/>
  <c r="B59" i="5"/>
  <c r="H12" i="1" s="1"/>
  <c r="B60" i="5"/>
  <c r="B61" i="5"/>
  <c r="B62" i="5"/>
  <c r="B63" i="5"/>
  <c r="H271" i="1" s="1"/>
  <c r="B64" i="5"/>
  <c r="B65" i="5"/>
  <c r="H50" i="1" s="1"/>
  <c r="B66" i="5"/>
  <c r="B67" i="5"/>
  <c r="B68" i="5"/>
  <c r="H58" i="1" s="1"/>
  <c r="B69" i="5"/>
  <c r="B70" i="5"/>
  <c r="H257" i="1" s="1"/>
  <c r="B71" i="5"/>
  <c r="B72" i="5"/>
  <c r="B73" i="5"/>
  <c r="B74" i="5"/>
  <c r="B75" i="5"/>
  <c r="B76" i="5"/>
  <c r="B77" i="5"/>
  <c r="B78" i="5"/>
  <c r="H209" i="1" s="1"/>
  <c r="B79" i="5"/>
  <c r="B80" i="5"/>
  <c r="B81" i="5"/>
  <c r="B82" i="5"/>
  <c r="H101" i="1" s="1"/>
  <c r="B83" i="5"/>
  <c r="B84" i="5"/>
  <c r="H3" i="1" s="1"/>
  <c r="B85" i="5"/>
  <c r="H9" i="1" s="1"/>
  <c r="B86" i="5"/>
  <c r="B87" i="5"/>
  <c r="H52" i="1" s="1"/>
  <c r="B88" i="5"/>
  <c r="B89" i="5"/>
  <c r="B90" i="5"/>
  <c r="H51" i="1" s="1"/>
  <c r="B91" i="5"/>
  <c r="H53" i="1" s="1"/>
  <c r="B92" i="5"/>
  <c r="B93" i="5"/>
  <c r="B94" i="5"/>
  <c r="H4" i="1" s="1"/>
  <c r="B95" i="5"/>
  <c r="H6" i="1" s="1"/>
  <c r="B96" i="5"/>
  <c r="H7" i="1" s="1"/>
  <c r="B97" i="5"/>
  <c r="H253" i="1" s="1"/>
  <c r="B98" i="5"/>
  <c r="H55" i="1" s="1"/>
  <c r="B99" i="5"/>
  <c r="H74" i="1" s="1"/>
  <c r="B100" i="5"/>
  <c r="H179" i="1" s="1"/>
  <c r="B101" i="5"/>
  <c r="H98" i="1" s="1"/>
  <c r="B102" i="5"/>
  <c r="H69" i="1" s="1"/>
  <c r="B103" i="5"/>
  <c r="B104" i="5"/>
  <c r="H256" i="1" s="1"/>
  <c r="B105" i="5"/>
  <c r="H54" i="1" s="1"/>
  <c r="B106" i="5"/>
  <c r="B107" i="5"/>
  <c r="B108" i="5"/>
  <c r="B109" i="5"/>
  <c r="H56" i="1" s="1"/>
  <c r="B110" i="5"/>
  <c r="B111" i="5"/>
  <c r="B112" i="5"/>
  <c r="B113" i="5"/>
  <c r="H75" i="1" s="1"/>
  <c r="B114" i="5"/>
  <c r="H30" i="1" s="1"/>
  <c r="B115" i="5"/>
  <c r="H29" i="1" s="1"/>
  <c r="B116" i="5"/>
  <c r="H31" i="1" s="1"/>
  <c r="B117" i="5"/>
  <c r="H37" i="1" s="1"/>
  <c r="B118" i="5"/>
  <c r="H32" i="1" s="1"/>
  <c r="B119" i="5"/>
  <c r="H33" i="1" s="1"/>
  <c r="B120" i="5"/>
  <c r="H43" i="1" s="1"/>
  <c r="B121" i="5"/>
  <c r="H44" i="1" s="1"/>
  <c r="B122" i="5"/>
  <c r="H47" i="1" s="1"/>
  <c r="B123" i="5"/>
  <c r="H25" i="1" s="1"/>
  <c r="B124" i="5"/>
  <c r="B125" i="5"/>
  <c r="B126" i="5"/>
  <c r="H254" i="1" s="1"/>
  <c r="B127" i="5"/>
  <c r="B128" i="5"/>
  <c r="H22" i="1" s="1"/>
  <c r="B129" i="5"/>
  <c r="H23" i="1" s="1"/>
  <c r="B130" i="5"/>
  <c r="B131" i="5"/>
  <c r="B132" i="5"/>
  <c r="H77" i="1" s="1"/>
  <c r="B133" i="5"/>
  <c r="B134" i="5"/>
  <c r="H8" i="1" s="1"/>
  <c r="B135" i="5"/>
  <c r="B136" i="5"/>
  <c r="H260" i="1" s="1"/>
  <c r="B137" i="5"/>
  <c r="H76" i="1" s="1"/>
  <c r="B138" i="5"/>
  <c r="H80" i="1" s="1"/>
  <c r="B139" i="5"/>
  <c r="B140" i="5"/>
  <c r="B141" i="5"/>
  <c r="B142" i="5"/>
  <c r="H83" i="1" s="1"/>
  <c r="B143" i="5"/>
  <c r="H192" i="1" s="1"/>
  <c r="B144" i="5"/>
  <c r="B145" i="5"/>
  <c r="B146" i="5"/>
  <c r="B147" i="5"/>
  <c r="H20" i="1" s="1"/>
  <c r="B148" i="5"/>
  <c r="H57" i="1" s="1"/>
  <c r="B149" i="5"/>
  <c r="B150" i="5"/>
  <c r="B151" i="5"/>
  <c r="H262" i="1" s="1"/>
  <c r="B152" i="5"/>
  <c r="B153" i="5"/>
  <c r="B154" i="5"/>
  <c r="B155" i="5"/>
  <c r="H24" i="1" s="1"/>
  <c r="B156" i="5"/>
  <c r="H40" i="1" s="1"/>
  <c r="B157" i="5"/>
  <c r="H36" i="1" s="1"/>
  <c r="B158" i="5"/>
  <c r="B159" i="5"/>
  <c r="B160" i="5"/>
  <c r="H15" i="1" s="1"/>
  <c r="B161" i="5"/>
  <c r="H16" i="1" s="1"/>
  <c r="B162" i="5"/>
  <c r="B163" i="5"/>
  <c r="H39" i="1" s="1"/>
  <c r="B164" i="5"/>
  <c r="B165" i="5"/>
  <c r="B166" i="5"/>
  <c r="H42" i="1" s="1"/>
  <c r="B167" i="5"/>
  <c r="B168" i="5"/>
  <c r="H26" i="1" s="1"/>
  <c r="B169" i="5"/>
  <c r="H21" i="1" s="1"/>
  <c r="B170" i="5"/>
  <c r="H41" i="1" s="1"/>
  <c r="B171" i="5"/>
  <c r="B172" i="5"/>
  <c r="H255" i="1" s="1"/>
  <c r="B173" i="5"/>
  <c r="B174" i="5"/>
  <c r="B175" i="5"/>
  <c r="H244" i="1" s="1"/>
  <c r="B176" i="5"/>
  <c r="B177" i="5"/>
  <c r="B178" i="5"/>
  <c r="H27" i="1" s="1"/>
  <c r="B179" i="5"/>
  <c r="B180" i="5"/>
  <c r="B181" i="5"/>
  <c r="H81" i="1" s="1"/>
  <c r="B182" i="5"/>
  <c r="H28" i="1" s="1"/>
  <c r="B183" i="5"/>
  <c r="B184" i="5"/>
  <c r="B185" i="5"/>
  <c r="B186" i="5"/>
  <c r="H143" i="1" s="1"/>
  <c r="B187" i="5"/>
  <c r="B188" i="5"/>
  <c r="B189" i="5"/>
  <c r="B190" i="5"/>
  <c r="B191" i="5"/>
  <c r="B192" i="5"/>
  <c r="B193" i="5"/>
  <c r="B194" i="5"/>
  <c r="B195" i="5"/>
  <c r="H189" i="1" s="1"/>
  <c r="B196" i="5"/>
  <c r="B197" i="5"/>
  <c r="B198" i="5"/>
  <c r="B199" i="5"/>
  <c r="B200" i="5"/>
  <c r="B201" i="5"/>
  <c r="B202" i="5"/>
  <c r="B203" i="5"/>
  <c r="B204" i="5"/>
  <c r="H184" i="1" s="1"/>
  <c r="B205" i="5"/>
  <c r="H185" i="1" s="1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H49" i="1" s="1"/>
  <c r="B279" i="5"/>
  <c r="H265" i="1" s="1"/>
  <c r="B280" i="5"/>
  <c r="B281" i="5"/>
  <c r="B282" i="5"/>
  <c r="H60" i="1" s="1"/>
  <c r="B283" i="5"/>
  <c r="H267" i="1" s="1"/>
  <c r="B284" i="5"/>
  <c r="H72" i="1" s="1"/>
  <c r="B3" i="5"/>
  <c r="H93" i="1" s="1"/>
  <c r="D24" i="5"/>
  <c r="D35" i="5"/>
  <c r="M38" i="5"/>
  <c r="D47" i="5"/>
  <c r="C50" i="5"/>
  <c r="I172" i="1" s="1"/>
  <c r="D59" i="5"/>
  <c r="C62" i="5"/>
  <c r="D71" i="5"/>
  <c r="D83" i="5"/>
  <c r="M86" i="5"/>
  <c r="D95" i="5"/>
  <c r="M98" i="5"/>
  <c r="M109" i="5"/>
  <c r="D114" i="5"/>
  <c r="M121" i="5"/>
  <c r="D126" i="5"/>
  <c r="D138" i="5"/>
  <c r="C145" i="5"/>
  <c r="D149" i="5"/>
  <c r="N152" i="5"/>
  <c r="C157" i="5"/>
  <c r="I36" i="1" s="1"/>
  <c r="D160" i="5"/>
  <c r="N163" i="5"/>
  <c r="C169" i="5"/>
  <c r="I21" i="1" s="1"/>
  <c r="D172" i="5"/>
  <c r="F174" i="5"/>
  <c r="M175" i="5"/>
  <c r="M177" i="5"/>
  <c r="F179" i="5"/>
  <c r="M181" i="5"/>
  <c r="N185" i="5"/>
  <c r="F186" i="5"/>
  <c r="F190" i="5"/>
  <c r="C192" i="5"/>
  <c r="M193" i="5"/>
  <c r="M195" i="5"/>
  <c r="N197" i="5"/>
  <c r="C200" i="5"/>
  <c r="F202" i="5"/>
  <c r="C204" i="5"/>
  <c r="I184" i="1" s="1"/>
  <c r="D205" i="5"/>
  <c r="C207" i="5"/>
  <c r="C208" i="5"/>
  <c r="C214" i="5"/>
  <c r="F215" i="5"/>
  <c r="N217" i="5"/>
  <c r="M219" i="5"/>
  <c r="I219" i="5" s="1"/>
  <c r="D220" i="5"/>
  <c r="C226" i="5"/>
  <c r="F227" i="5"/>
  <c r="D229" i="5"/>
  <c r="F231" i="5"/>
  <c r="F239" i="5"/>
  <c r="M241" i="5"/>
  <c r="I241" i="5" s="1"/>
  <c r="M244" i="5"/>
  <c r="I244" i="5" s="1"/>
  <c r="F251" i="5"/>
  <c r="C253" i="5"/>
  <c r="M255" i="5"/>
  <c r="I255" i="5" s="1"/>
  <c r="C256" i="5"/>
  <c r="D262" i="5"/>
  <c r="F263" i="5"/>
  <c r="C265" i="5"/>
  <c r="C266" i="5"/>
  <c r="F267" i="5"/>
  <c r="D268" i="5"/>
  <c r="C271" i="5"/>
  <c r="F272" i="5"/>
  <c r="D277" i="5"/>
  <c r="F278" i="5"/>
  <c r="C279" i="5"/>
  <c r="I265" i="1" s="1"/>
  <c r="N280" i="5"/>
  <c r="C282" i="5"/>
  <c r="I60" i="1" s="1"/>
  <c r="M283" i="5"/>
  <c r="D3" i="5"/>
  <c r="C3" i="10"/>
  <c r="C4" i="10"/>
  <c r="D4" i="10"/>
  <c r="E4" i="10"/>
  <c r="G4" i="10"/>
  <c r="C5" i="10"/>
  <c r="D5" i="10"/>
  <c r="E5" i="10"/>
  <c r="G5" i="10"/>
  <c r="C6" i="10"/>
  <c r="D6" i="10"/>
  <c r="E6" i="10"/>
  <c r="G6" i="10"/>
  <c r="C7" i="10"/>
  <c r="D7" i="10"/>
  <c r="E7" i="10"/>
  <c r="G7" i="10"/>
  <c r="C8" i="10"/>
  <c r="D8" i="10"/>
  <c r="E8" i="10"/>
  <c r="G8" i="10"/>
  <c r="C9" i="10"/>
  <c r="D9" i="10"/>
  <c r="E9" i="10"/>
  <c r="G9" i="10"/>
  <c r="C10" i="10"/>
  <c r="D10" i="10"/>
  <c r="E10" i="10"/>
  <c r="G10" i="10"/>
  <c r="C11" i="10"/>
  <c r="D11" i="10"/>
  <c r="E11" i="10"/>
  <c r="G11" i="10"/>
  <c r="C12" i="10"/>
  <c r="D12" i="10"/>
  <c r="E12" i="10"/>
  <c r="G12" i="10"/>
  <c r="C13" i="10"/>
  <c r="D13" i="10"/>
  <c r="E13" i="10"/>
  <c r="G13" i="10"/>
  <c r="C14" i="10"/>
  <c r="D14" i="10"/>
  <c r="E14" i="10"/>
  <c r="G14" i="10"/>
  <c r="C15" i="10"/>
  <c r="D15" i="10"/>
  <c r="E15" i="10"/>
  <c r="G15" i="10"/>
  <c r="C16" i="10"/>
  <c r="D16" i="10"/>
  <c r="E16" i="10"/>
  <c r="G16" i="10"/>
  <c r="C17" i="10"/>
  <c r="D17" i="10"/>
  <c r="E17" i="10"/>
  <c r="G17" i="10"/>
  <c r="C18" i="10"/>
  <c r="D18" i="10"/>
  <c r="E18" i="10"/>
  <c r="G18" i="10"/>
  <c r="C19" i="10"/>
  <c r="D19" i="10"/>
  <c r="E19" i="10"/>
  <c r="G19" i="10"/>
  <c r="C20" i="10"/>
  <c r="D20" i="10"/>
  <c r="E20" i="10"/>
  <c r="G20" i="10"/>
  <c r="C21" i="10"/>
  <c r="D21" i="10"/>
  <c r="E21" i="10"/>
  <c r="G21" i="10"/>
  <c r="C22" i="10"/>
  <c r="D22" i="10"/>
  <c r="E22" i="10"/>
  <c r="G22" i="10"/>
  <c r="C23" i="10"/>
  <c r="D23" i="10"/>
  <c r="E23" i="10"/>
  <c r="G23" i="10"/>
  <c r="C24" i="10"/>
  <c r="D24" i="10"/>
  <c r="E24" i="10"/>
  <c r="G24" i="10"/>
  <c r="O4" i="10"/>
  <c r="P4" i="10"/>
  <c r="O5" i="10"/>
  <c r="P5" i="10"/>
  <c r="O6" i="10"/>
  <c r="P6" i="10"/>
  <c r="O7" i="10"/>
  <c r="P7" i="10"/>
  <c r="O8" i="10"/>
  <c r="P8" i="10"/>
  <c r="O9" i="10"/>
  <c r="P9" i="10"/>
  <c r="O10" i="10"/>
  <c r="P10" i="10"/>
  <c r="O11" i="10"/>
  <c r="P11" i="10"/>
  <c r="O12" i="10"/>
  <c r="P12" i="10"/>
  <c r="O13" i="10"/>
  <c r="K13" i="10" s="1"/>
  <c r="P13" i="10"/>
  <c r="M13" i="10" s="1"/>
  <c r="N13" i="10" s="1"/>
  <c r="S13" i="10" s="1"/>
  <c r="O15" i="10"/>
  <c r="P15" i="10"/>
  <c r="M15" i="10" s="1"/>
  <c r="N15" i="10" s="1"/>
  <c r="S15" i="10" s="1"/>
  <c r="O16" i="10"/>
  <c r="K16" i="10" s="1"/>
  <c r="P16" i="10"/>
  <c r="M16" i="10" s="1"/>
  <c r="N16" i="10" s="1"/>
  <c r="S16" i="10" s="1"/>
  <c r="O17" i="10"/>
  <c r="K17" i="10" s="1"/>
  <c r="P17" i="10"/>
  <c r="M17" i="10" s="1"/>
  <c r="N17" i="10" s="1"/>
  <c r="S17" i="10" s="1"/>
  <c r="O18" i="10"/>
  <c r="K18" i="10" s="1"/>
  <c r="P18" i="10"/>
  <c r="M18" i="10" s="1"/>
  <c r="N18" i="10" s="1"/>
  <c r="S18" i="10" s="1"/>
  <c r="O19" i="10"/>
  <c r="P19" i="10"/>
  <c r="M19" i="10" s="1"/>
  <c r="N19" i="10" s="1"/>
  <c r="S19" i="10" s="1"/>
  <c r="O20" i="10"/>
  <c r="P20" i="10"/>
  <c r="M20" i="10" s="1"/>
  <c r="N20" i="10" s="1"/>
  <c r="S20" i="10" s="1"/>
  <c r="O21" i="10"/>
  <c r="K21" i="10" s="1"/>
  <c r="P21" i="10"/>
  <c r="M21" i="10" s="1"/>
  <c r="N21" i="10" s="1"/>
  <c r="S21" i="10" s="1"/>
  <c r="O22" i="10"/>
  <c r="K22" i="10" s="1"/>
  <c r="P22" i="10"/>
  <c r="M22" i="10" s="1"/>
  <c r="N22" i="10" s="1"/>
  <c r="S22" i="10" s="1"/>
  <c r="O23" i="10"/>
  <c r="K23" i="10" s="1"/>
  <c r="P23" i="10"/>
  <c r="M23" i="10" s="1"/>
  <c r="N23" i="10" s="1"/>
  <c r="S23" i="10" s="1"/>
  <c r="O24" i="10"/>
  <c r="P24" i="10"/>
  <c r="M24" i="10" s="1"/>
  <c r="N24" i="10" s="1"/>
  <c r="S24" i="10" s="1"/>
  <c r="C4" i="5"/>
  <c r="I59" i="1" s="1"/>
  <c r="D4" i="5"/>
  <c r="F4" i="5"/>
  <c r="C5" i="5"/>
  <c r="D5" i="5"/>
  <c r="F5" i="5"/>
  <c r="C6" i="5"/>
  <c r="I175" i="1" s="1"/>
  <c r="D6" i="5"/>
  <c r="F6" i="5"/>
  <c r="C7" i="5"/>
  <c r="I263" i="1" s="1"/>
  <c r="D7" i="5"/>
  <c r="F7" i="5"/>
  <c r="C8" i="5"/>
  <c r="I10" i="1" s="1"/>
  <c r="D8" i="5"/>
  <c r="F8" i="5"/>
  <c r="C9" i="5"/>
  <c r="D9" i="5"/>
  <c r="F9" i="5"/>
  <c r="C10" i="5"/>
  <c r="I114" i="1" s="1"/>
  <c r="D10" i="5"/>
  <c r="F10" i="5"/>
  <c r="C11" i="5"/>
  <c r="I225" i="1" s="1"/>
  <c r="D11" i="5"/>
  <c r="F11" i="5"/>
  <c r="C12" i="5"/>
  <c r="I48" i="1" s="1"/>
  <c r="D12" i="5"/>
  <c r="F12" i="5"/>
  <c r="C13" i="5"/>
  <c r="D13" i="5"/>
  <c r="F13" i="5"/>
  <c r="C15" i="5"/>
  <c r="I95" i="1" s="1"/>
  <c r="D15" i="5"/>
  <c r="F15" i="5"/>
  <c r="C16" i="5"/>
  <c r="D16" i="5"/>
  <c r="F16" i="5"/>
  <c r="C17" i="5"/>
  <c r="D17" i="5"/>
  <c r="F17" i="5"/>
  <c r="C18" i="5"/>
  <c r="D18" i="5"/>
  <c r="F18" i="5"/>
  <c r="C19" i="5"/>
  <c r="D19" i="5"/>
  <c r="F19" i="5"/>
  <c r="C20" i="5"/>
  <c r="I14" i="1" s="1"/>
  <c r="D20" i="5"/>
  <c r="F20" i="5"/>
  <c r="C21" i="5"/>
  <c r="D21" i="5"/>
  <c r="F21" i="5"/>
  <c r="C22" i="5"/>
  <c r="D22" i="5"/>
  <c r="F22" i="5"/>
  <c r="C23" i="5"/>
  <c r="I112" i="1" s="1"/>
  <c r="D23" i="5"/>
  <c r="F23" i="5"/>
  <c r="C25" i="5"/>
  <c r="D25" i="5"/>
  <c r="F25" i="5"/>
  <c r="C27" i="5"/>
  <c r="D27" i="5"/>
  <c r="F27" i="5"/>
  <c r="C28" i="5"/>
  <c r="I239" i="1" s="1"/>
  <c r="D28" i="5"/>
  <c r="F28" i="5"/>
  <c r="C29" i="5"/>
  <c r="I13" i="1" s="1"/>
  <c r="D29" i="5"/>
  <c r="F29" i="5"/>
  <c r="C30" i="5"/>
  <c r="I110" i="1" s="1"/>
  <c r="D30" i="5"/>
  <c r="F30" i="5"/>
  <c r="C31" i="5"/>
  <c r="I71" i="1" s="1"/>
  <c r="D31" i="5"/>
  <c r="F31" i="5"/>
  <c r="C32" i="5"/>
  <c r="I70" i="1" s="1"/>
  <c r="D32" i="5"/>
  <c r="F32" i="5"/>
  <c r="C33" i="5"/>
  <c r="I68" i="1" s="1"/>
  <c r="D33" i="5"/>
  <c r="F33" i="5"/>
  <c r="C34" i="5"/>
  <c r="I117" i="1" s="1"/>
  <c r="D34" i="5"/>
  <c r="F34" i="5"/>
  <c r="C36" i="5"/>
  <c r="D36" i="5"/>
  <c r="F36" i="5"/>
  <c r="C37" i="5"/>
  <c r="I152" i="1" s="1"/>
  <c r="D37" i="5"/>
  <c r="F37" i="5"/>
  <c r="C39" i="5"/>
  <c r="I63" i="1" s="1"/>
  <c r="D39" i="5"/>
  <c r="F39" i="5"/>
  <c r="C40" i="5"/>
  <c r="D40" i="5"/>
  <c r="F40" i="5"/>
  <c r="C41" i="5"/>
  <c r="D41" i="5"/>
  <c r="F41" i="5"/>
  <c r="C42" i="5"/>
  <c r="I122" i="1" s="1"/>
  <c r="D42" i="5"/>
  <c r="F42" i="5"/>
  <c r="C43" i="5"/>
  <c r="I65" i="1" s="1"/>
  <c r="D43" i="5"/>
  <c r="F43" i="5"/>
  <c r="C44" i="5"/>
  <c r="I64" i="1" s="1"/>
  <c r="D44" i="5"/>
  <c r="F44" i="5"/>
  <c r="C45" i="5"/>
  <c r="I66" i="1" s="1"/>
  <c r="D45" i="5"/>
  <c r="F45" i="5"/>
  <c r="C46" i="5"/>
  <c r="I67" i="1" s="1"/>
  <c r="D46" i="5"/>
  <c r="F46" i="5"/>
  <c r="C48" i="5"/>
  <c r="I126" i="1" s="1"/>
  <c r="D48" i="5"/>
  <c r="F48" i="5"/>
  <c r="C49" i="5"/>
  <c r="I171" i="1" s="1"/>
  <c r="D49" i="5"/>
  <c r="F49" i="5"/>
  <c r="C51" i="5"/>
  <c r="D51" i="5"/>
  <c r="F51" i="5"/>
  <c r="C52" i="5"/>
  <c r="D52" i="5"/>
  <c r="F52" i="5"/>
  <c r="C53" i="5"/>
  <c r="D53" i="5"/>
  <c r="F53" i="5"/>
  <c r="C54" i="5"/>
  <c r="I2" i="1" s="1"/>
  <c r="D54" i="5"/>
  <c r="F54" i="5"/>
  <c r="C55" i="5"/>
  <c r="D55" i="5"/>
  <c r="F55" i="5"/>
  <c r="C56" i="5"/>
  <c r="D56" i="5"/>
  <c r="F56" i="5"/>
  <c r="C57" i="5"/>
  <c r="D57" i="5"/>
  <c r="F57" i="5"/>
  <c r="C58" i="5"/>
  <c r="D58" i="5"/>
  <c r="F58" i="5"/>
  <c r="C60" i="5"/>
  <c r="D60" i="5"/>
  <c r="F60" i="5"/>
  <c r="C61" i="5"/>
  <c r="D61" i="5"/>
  <c r="F61" i="5"/>
  <c r="C63" i="5"/>
  <c r="I271" i="1" s="1"/>
  <c r="D63" i="5"/>
  <c r="F63" i="5"/>
  <c r="C64" i="5"/>
  <c r="D64" i="5"/>
  <c r="F64" i="5"/>
  <c r="C65" i="5"/>
  <c r="I50" i="1" s="1"/>
  <c r="D65" i="5"/>
  <c r="F65" i="5"/>
  <c r="C66" i="5"/>
  <c r="D66" i="5"/>
  <c r="F66" i="5"/>
  <c r="C67" i="5"/>
  <c r="D67" i="5"/>
  <c r="F67" i="5"/>
  <c r="C68" i="5"/>
  <c r="I58" i="1" s="1"/>
  <c r="D68" i="5"/>
  <c r="F68" i="5"/>
  <c r="C69" i="5"/>
  <c r="D69" i="5"/>
  <c r="F69" i="5"/>
  <c r="C70" i="5"/>
  <c r="I257" i="1" s="1"/>
  <c r="D70" i="5"/>
  <c r="F70" i="5"/>
  <c r="C72" i="5"/>
  <c r="D72" i="5"/>
  <c r="F72" i="5"/>
  <c r="C73" i="5"/>
  <c r="D73" i="5"/>
  <c r="F73" i="5"/>
  <c r="C75" i="5"/>
  <c r="D75" i="5"/>
  <c r="F75" i="5"/>
  <c r="C76" i="5"/>
  <c r="D76" i="5"/>
  <c r="F76" i="5"/>
  <c r="C77" i="5"/>
  <c r="D77" i="5"/>
  <c r="F77" i="5"/>
  <c r="C78" i="5"/>
  <c r="I209" i="1" s="1"/>
  <c r="D78" i="5"/>
  <c r="F78" i="5"/>
  <c r="C79" i="5"/>
  <c r="D79" i="5"/>
  <c r="F79" i="5"/>
  <c r="C80" i="5"/>
  <c r="D80" i="5"/>
  <c r="F80" i="5"/>
  <c r="C81" i="5"/>
  <c r="I231" i="1" s="1"/>
  <c r="D81" i="5"/>
  <c r="F81" i="5"/>
  <c r="C82" i="5"/>
  <c r="I101" i="1" s="1"/>
  <c r="D82" i="5"/>
  <c r="F82" i="5"/>
  <c r="C84" i="5"/>
  <c r="I3" i="1" s="1"/>
  <c r="D84" i="5"/>
  <c r="F84" i="5"/>
  <c r="C85" i="5"/>
  <c r="I9" i="1" s="1"/>
  <c r="D85" i="5"/>
  <c r="F85" i="5"/>
  <c r="F86" i="5"/>
  <c r="C87" i="5"/>
  <c r="I52" i="1" s="1"/>
  <c r="D87" i="5"/>
  <c r="F87" i="5"/>
  <c r="C88" i="5"/>
  <c r="D88" i="5"/>
  <c r="F88" i="5"/>
  <c r="C89" i="5"/>
  <c r="D89" i="5"/>
  <c r="F89" i="5"/>
  <c r="C90" i="5"/>
  <c r="I51" i="1" s="1"/>
  <c r="D90" i="5"/>
  <c r="F90" i="5"/>
  <c r="C91" i="5"/>
  <c r="I53" i="1" s="1"/>
  <c r="D91" i="5"/>
  <c r="F91" i="5"/>
  <c r="C92" i="5"/>
  <c r="D92" i="5"/>
  <c r="F92" i="5"/>
  <c r="C93" i="5"/>
  <c r="D93" i="5"/>
  <c r="F93" i="5"/>
  <c r="C94" i="5"/>
  <c r="I4" i="1" s="1"/>
  <c r="D94" i="5"/>
  <c r="F94" i="5"/>
  <c r="C96" i="5"/>
  <c r="I7" i="1" s="1"/>
  <c r="D96" i="5"/>
  <c r="F96" i="5"/>
  <c r="C97" i="5"/>
  <c r="I253" i="1" s="1"/>
  <c r="D97" i="5"/>
  <c r="F97" i="5"/>
  <c r="C99" i="5"/>
  <c r="I74" i="1" s="1"/>
  <c r="D99" i="5"/>
  <c r="F99" i="5"/>
  <c r="C100" i="5"/>
  <c r="I179" i="1" s="1"/>
  <c r="D100" i="5"/>
  <c r="F100" i="5"/>
  <c r="C101" i="5"/>
  <c r="D101" i="5"/>
  <c r="F101" i="5"/>
  <c r="C102" i="5"/>
  <c r="I69" i="1" s="1"/>
  <c r="D102" i="5"/>
  <c r="F102" i="5"/>
  <c r="C103" i="5"/>
  <c r="D103" i="5"/>
  <c r="F103" i="5"/>
  <c r="C104" i="5"/>
  <c r="I256" i="1" s="1"/>
  <c r="D104" i="5"/>
  <c r="F104" i="5"/>
  <c r="C105" i="5"/>
  <c r="I54" i="1" s="1"/>
  <c r="D105" i="5"/>
  <c r="F105" i="5"/>
  <c r="C106" i="5"/>
  <c r="D106" i="5"/>
  <c r="F106" i="5"/>
  <c r="C107" i="5"/>
  <c r="I177" i="1" s="1"/>
  <c r="D107" i="5"/>
  <c r="F107" i="5"/>
  <c r="C108" i="5"/>
  <c r="D108" i="5"/>
  <c r="F108" i="5"/>
  <c r="I97" i="1"/>
  <c r="C110" i="5"/>
  <c r="D110" i="5"/>
  <c r="F110" i="5"/>
  <c r="C111" i="5"/>
  <c r="D111" i="5"/>
  <c r="F111" i="5"/>
  <c r="C112" i="5"/>
  <c r="D112" i="5"/>
  <c r="F112" i="5"/>
  <c r="C113" i="5"/>
  <c r="I75" i="1" s="1"/>
  <c r="D113" i="5"/>
  <c r="F113" i="5"/>
  <c r="C115" i="5"/>
  <c r="I29" i="1" s="1"/>
  <c r="D115" i="5"/>
  <c r="F115" i="5"/>
  <c r="C116" i="5"/>
  <c r="I31" i="1" s="1"/>
  <c r="D116" i="5"/>
  <c r="F116" i="5"/>
  <c r="C117" i="5"/>
  <c r="I37" i="1" s="1"/>
  <c r="D117" i="5"/>
  <c r="F117" i="5"/>
  <c r="C118" i="5"/>
  <c r="I32" i="1" s="1"/>
  <c r="D118" i="5"/>
  <c r="F118" i="5"/>
  <c r="C119" i="5"/>
  <c r="I33" i="1" s="1"/>
  <c r="D119" i="5"/>
  <c r="F119" i="5"/>
  <c r="C120" i="5"/>
  <c r="I43" i="1" s="1"/>
  <c r="D120" i="5"/>
  <c r="F120" i="5"/>
  <c r="C122" i="5"/>
  <c r="I47" i="1" s="1"/>
  <c r="D122" i="5"/>
  <c r="F122" i="5"/>
  <c r="C123" i="5"/>
  <c r="I25" i="1" s="1"/>
  <c r="D123" i="5"/>
  <c r="F123" i="5"/>
  <c r="C124" i="5"/>
  <c r="D124" i="5"/>
  <c r="F124" i="5"/>
  <c r="C125" i="5"/>
  <c r="D125" i="5"/>
  <c r="F125" i="5"/>
  <c r="C127" i="5"/>
  <c r="D127" i="5"/>
  <c r="F127" i="5"/>
  <c r="C128" i="5"/>
  <c r="I22" i="1" s="1"/>
  <c r="D128" i="5"/>
  <c r="F128" i="5"/>
  <c r="C129" i="5"/>
  <c r="I23" i="1" s="1"/>
  <c r="D129" i="5"/>
  <c r="F129" i="5"/>
  <c r="C130" i="5"/>
  <c r="D130" i="5"/>
  <c r="F130" i="5"/>
  <c r="C131" i="5"/>
  <c r="D131" i="5"/>
  <c r="F131" i="5"/>
  <c r="C132" i="5"/>
  <c r="I77" i="1" s="1"/>
  <c r="D132" i="5"/>
  <c r="F132" i="5"/>
  <c r="C133" i="5"/>
  <c r="C134" i="5"/>
  <c r="I8" i="1" s="1"/>
  <c r="D134" i="5"/>
  <c r="F134" i="5"/>
  <c r="C135" i="5"/>
  <c r="D135" i="5"/>
  <c r="F135" i="5"/>
  <c r="C136" i="5"/>
  <c r="I260" i="1" s="1"/>
  <c r="D136" i="5"/>
  <c r="F136" i="5"/>
  <c r="C137" i="5"/>
  <c r="I76" i="1" s="1"/>
  <c r="D137" i="5"/>
  <c r="F137" i="5"/>
  <c r="C139" i="5"/>
  <c r="D139" i="5"/>
  <c r="F139" i="5"/>
  <c r="C140" i="5"/>
  <c r="D140" i="5"/>
  <c r="F140" i="5"/>
  <c r="C141" i="5"/>
  <c r="D141" i="5"/>
  <c r="F141" i="5"/>
  <c r="C142" i="5"/>
  <c r="I83" i="1" s="1"/>
  <c r="D142" i="5"/>
  <c r="F142" i="5"/>
  <c r="C143" i="5"/>
  <c r="I192" i="1" s="1"/>
  <c r="D143" i="5"/>
  <c r="F143" i="5"/>
  <c r="C144" i="5"/>
  <c r="D144" i="5"/>
  <c r="F144" i="5"/>
  <c r="C146" i="5"/>
  <c r="D146" i="5"/>
  <c r="F146" i="5"/>
  <c r="C147" i="5"/>
  <c r="I20" i="1" s="1"/>
  <c r="D147" i="5"/>
  <c r="F147" i="5"/>
  <c r="C148" i="5"/>
  <c r="I57" i="1" s="1"/>
  <c r="D148" i="5"/>
  <c r="F148" i="5"/>
  <c r="C150" i="5"/>
  <c r="D150" i="5"/>
  <c r="F150" i="5"/>
  <c r="C151" i="5"/>
  <c r="I262" i="1" s="1"/>
  <c r="D151" i="5"/>
  <c r="F151" i="5"/>
  <c r="C152" i="5"/>
  <c r="D152" i="5"/>
  <c r="F152" i="5"/>
  <c r="C153" i="5"/>
  <c r="D153" i="5"/>
  <c r="F153" i="5"/>
  <c r="C154" i="5"/>
  <c r="D154" i="5"/>
  <c r="F154" i="5"/>
  <c r="C155" i="5"/>
  <c r="I24" i="1" s="1"/>
  <c r="D155" i="5"/>
  <c r="F155" i="5"/>
  <c r="C156" i="5"/>
  <c r="I40" i="1" s="1"/>
  <c r="D156" i="5"/>
  <c r="F156" i="5"/>
  <c r="C158" i="5"/>
  <c r="D158" i="5"/>
  <c r="F158" i="5"/>
  <c r="C159" i="5"/>
  <c r="D159" i="5"/>
  <c r="F159" i="5"/>
  <c r="C161" i="5"/>
  <c r="I16" i="1" s="1"/>
  <c r="D161" i="5"/>
  <c r="F161" i="5"/>
  <c r="C162" i="5"/>
  <c r="D162" i="5"/>
  <c r="F162" i="5"/>
  <c r="C163" i="5"/>
  <c r="I39" i="1" s="1"/>
  <c r="D163" i="5"/>
  <c r="F163" i="5"/>
  <c r="C164" i="5"/>
  <c r="D164" i="5"/>
  <c r="F164" i="5"/>
  <c r="C165" i="5"/>
  <c r="D165" i="5"/>
  <c r="F165" i="5"/>
  <c r="C166" i="5"/>
  <c r="I42" i="1" s="1"/>
  <c r="D166" i="5"/>
  <c r="F166" i="5"/>
  <c r="C167" i="5"/>
  <c r="D167" i="5"/>
  <c r="F167" i="5"/>
  <c r="C168" i="5"/>
  <c r="I26" i="1" s="1"/>
  <c r="D168" i="5"/>
  <c r="F168" i="5"/>
  <c r="C170" i="5"/>
  <c r="I41" i="1" s="1"/>
  <c r="D170" i="5"/>
  <c r="F170" i="5"/>
  <c r="C171" i="5"/>
  <c r="D171" i="5"/>
  <c r="F171" i="5"/>
  <c r="C173" i="5"/>
  <c r="D173" i="5"/>
  <c r="F173" i="5"/>
  <c r="C174" i="5"/>
  <c r="I242" i="1" s="1"/>
  <c r="D174" i="5"/>
  <c r="C176" i="5"/>
  <c r="D176" i="5"/>
  <c r="F176" i="5"/>
  <c r="C178" i="5"/>
  <c r="I27" i="1" s="1"/>
  <c r="D178" i="5"/>
  <c r="F178" i="5"/>
  <c r="C179" i="5"/>
  <c r="D179" i="5"/>
  <c r="C180" i="5"/>
  <c r="D180" i="5"/>
  <c r="F180" i="5"/>
  <c r="C182" i="5"/>
  <c r="I28" i="1" s="1"/>
  <c r="D182" i="5"/>
  <c r="F182" i="5"/>
  <c r="C183" i="5"/>
  <c r="D183" i="5"/>
  <c r="E183" i="5"/>
  <c r="F183" i="5"/>
  <c r="D185" i="5"/>
  <c r="D186" i="5"/>
  <c r="C187" i="5"/>
  <c r="D187" i="5"/>
  <c r="F187" i="5"/>
  <c r="D188" i="5"/>
  <c r="C189" i="5"/>
  <c r="D189" i="5"/>
  <c r="F189" i="5"/>
  <c r="D190" i="5"/>
  <c r="C191" i="5"/>
  <c r="D191" i="5"/>
  <c r="F191" i="5"/>
  <c r="D192" i="5"/>
  <c r="C194" i="5"/>
  <c r="D194" i="5"/>
  <c r="F194" i="5"/>
  <c r="C196" i="5"/>
  <c r="D196" i="5"/>
  <c r="F198" i="5"/>
  <c r="C199" i="5"/>
  <c r="D199" i="5"/>
  <c r="F199" i="5"/>
  <c r="C201" i="5"/>
  <c r="D201" i="5"/>
  <c r="F201" i="5"/>
  <c r="C202" i="5"/>
  <c r="D202" i="5"/>
  <c r="C203" i="5"/>
  <c r="D203" i="5"/>
  <c r="F203" i="5"/>
  <c r="E204" i="5"/>
  <c r="F207" i="5"/>
  <c r="C209" i="5"/>
  <c r="D209" i="5"/>
  <c r="F209" i="5"/>
  <c r="C210" i="5"/>
  <c r="C211" i="5"/>
  <c r="D211" i="5"/>
  <c r="F211" i="5"/>
  <c r="C212" i="5"/>
  <c r="D212" i="5"/>
  <c r="C213" i="5"/>
  <c r="D213" i="5"/>
  <c r="F213" i="5"/>
  <c r="D214" i="5"/>
  <c r="F214" i="5"/>
  <c r="C215" i="5"/>
  <c r="D215" i="5"/>
  <c r="C216" i="5"/>
  <c r="D216" i="5"/>
  <c r="F216" i="5"/>
  <c r="D219" i="5"/>
  <c r="F219" i="5"/>
  <c r="C220" i="5"/>
  <c r="C221" i="5"/>
  <c r="D221" i="5"/>
  <c r="F221" i="5"/>
  <c r="C223" i="5"/>
  <c r="D223" i="5"/>
  <c r="F223" i="5"/>
  <c r="C224" i="5"/>
  <c r="D224" i="5"/>
  <c r="C225" i="5"/>
  <c r="D225" i="5"/>
  <c r="F225" i="5"/>
  <c r="D226" i="5"/>
  <c r="F226" i="5"/>
  <c r="C227" i="5"/>
  <c r="D227" i="5"/>
  <c r="C228" i="5"/>
  <c r="D228" i="5"/>
  <c r="F228" i="5"/>
  <c r="C231" i="5"/>
  <c r="D231" i="5"/>
  <c r="C232" i="5"/>
  <c r="F232" i="5"/>
  <c r="C233" i="5"/>
  <c r="D233" i="5"/>
  <c r="F233" i="5"/>
  <c r="F234" i="5"/>
  <c r="C235" i="5"/>
  <c r="D235" i="5"/>
  <c r="F235" i="5"/>
  <c r="C236" i="5"/>
  <c r="D236" i="5"/>
  <c r="C237" i="5"/>
  <c r="D237" i="5"/>
  <c r="F237" i="5"/>
  <c r="C238" i="5"/>
  <c r="D238" i="5"/>
  <c r="F238" i="5"/>
  <c r="C239" i="5"/>
  <c r="D239" i="5"/>
  <c r="C240" i="5"/>
  <c r="D240" i="5"/>
  <c r="F240" i="5"/>
  <c r="C242" i="5"/>
  <c r="C243" i="5"/>
  <c r="D243" i="5"/>
  <c r="C245" i="5"/>
  <c r="D245" i="5"/>
  <c r="F245" i="5"/>
  <c r="C246" i="5"/>
  <c r="F246" i="5"/>
  <c r="C247" i="5"/>
  <c r="D247" i="5"/>
  <c r="F247" i="5"/>
  <c r="C248" i="5"/>
  <c r="D248" i="5"/>
  <c r="C249" i="5"/>
  <c r="D249" i="5"/>
  <c r="F249" i="5"/>
  <c r="C250" i="5"/>
  <c r="D250" i="5"/>
  <c r="D251" i="5"/>
  <c r="C252" i="5"/>
  <c r="D252" i="5"/>
  <c r="F252" i="5"/>
  <c r="D254" i="5"/>
  <c r="C257" i="5"/>
  <c r="D257" i="5"/>
  <c r="F257" i="5"/>
  <c r="F258" i="5"/>
  <c r="C259" i="5"/>
  <c r="D259" i="5"/>
  <c r="F259" i="5"/>
  <c r="C260" i="5"/>
  <c r="D260" i="5"/>
  <c r="C261" i="5"/>
  <c r="D261" i="5"/>
  <c r="F261" i="5"/>
  <c r="C262" i="5"/>
  <c r="C263" i="5"/>
  <c r="D263" i="5"/>
  <c r="C264" i="5"/>
  <c r="D264" i="5"/>
  <c r="F266" i="5"/>
  <c r="C267" i="5"/>
  <c r="D267" i="5"/>
  <c r="C268" i="5"/>
  <c r="F268" i="5"/>
  <c r="C269" i="5"/>
  <c r="F271" i="5"/>
  <c r="D272" i="5"/>
  <c r="C274" i="5"/>
  <c r="C275" i="5"/>
  <c r="D275" i="5"/>
  <c r="F275" i="5"/>
  <c r="C276" i="5"/>
  <c r="D276" i="5"/>
  <c r="C278" i="5"/>
  <c r="I49" i="1" s="1"/>
  <c r="D278" i="5"/>
  <c r="D279" i="5"/>
  <c r="D282" i="5"/>
  <c r="F282" i="5"/>
  <c r="M4" i="5"/>
  <c r="N4" i="5"/>
  <c r="M5" i="5"/>
  <c r="N5" i="5"/>
  <c r="M6" i="5"/>
  <c r="N6" i="5"/>
  <c r="M7" i="5"/>
  <c r="N7" i="5"/>
  <c r="M8" i="5"/>
  <c r="N8" i="5"/>
  <c r="M9" i="5"/>
  <c r="N9" i="5"/>
  <c r="M10" i="5"/>
  <c r="N10" i="5"/>
  <c r="M11" i="5"/>
  <c r="N11" i="5"/>
  <c r="M12" i="5"/>
  <c r="N12" i="5"/>
  <c r="M13" i="5"/>
  <c r="N13" i="5"/>
  <c r="M15" i="5"/>
  <c r="N15" i="5"/>
  <c r="M16" i="5"/>
  <c r="N16" i="5"/>
  <c r="M17" i="5"/>
  <c r="N17" i="5"/>
  <c r="M18" i="5"/>
  <c r="N18" i="5"/>
  <c r="M19" i="5"/>
  <c r="N19" i="5"/>
  <c r="M20" i="5"/>
  <c r="N20" i="5"/>
  <c r="M21" i="5"/>
  <c r="N21" i="5"/>
  <c r="M22" i="5"/>
  <c r="N22" i="5"/>
  <c r="M23" i="5"/>
  <c r="N23" i="5"/>
  <c r="M24" i="5"/>
  <c r="M25" i="5"/>
  <c r="N25" i="5"/>
  <c r="M27" i="5"/>
  <c r="N27" i="5"/>
  <c r="M28" i="5"/>
  <c r="N28" i="5"/>
  <c r="M29" i="5"/>
  <c r="N29" i="5"/>
  <c r="M30" i="5"/>
  <c r="N30" i="5"/>
  <c r="M31" i="5"/>
  <c r="N31" i="5"/>
  <c r="M32" i="5"/>
  <c r="N32" i="5"/>
  <c r="M33" i="5"/>
  <c r="N33" i="5"/>
  <c r="M34" i="5"/>
  <c r="N34" i="5"/>
  <c r="M35" i="5"/>
  <c r="M36" i="5"/>
  <c r="N36" i="5"/>
  <c r="M37" i="5"/>
  <c r="N37" i="5"/>
  <c r="M39" i="5"/>
  <c r="N39" i="5"/>
  <c r="M40" i="5"/>
  <c r="N40" i="5"/>
  <c r="M41" i="5"/>
  <c r="I41" i="5" s="1"/>
  <c r="N41" i="5"/>
  <c r="M42" i="5"/>
  <c r="N42" i="5"/>
  <c r="M43" i="5"/>
  <c r="N43" i="5"/>
  <c r="M44" i="5"/>
  <c r="N44" i="5"/>
  <c r="M45" i="5"/>
  <c r="N45" i="5"/>
  <c r="M46" i="5"/>
  <c r="N46" i="5"/>
  <c r="M47" i="5"/>
  <c r="M48" i="5"/>
  <c r="N48" i="5"/>
  <c r="M49" i="5"/>
  <c r="N49" i="5"/>
  <c r="M51" i="5"/>
  <c r="N51" i="5"/>
  <c r="M52" i="5"/>
  <c r="N52" i="5"/>
  <c r="M53" i="5"/>
  <c r="N53" i="5"/>
  <c r="M54" i="5"/>
  <c r="N54" i="5"/>
  <c r="M55" i="5"/>
  <c r="N55" i="5"/>
  <c r="M56" i="5"/>
  <c r="N56" i="5"/>
  <c r="M57" i="5"/>
  <c r="N57" i="5"/>
  <c r="M58" i="5"/>
  <c r="N58" i="5"/>
  <c r="M59" i="5"/>
  <c r="M60" i="5"/>
  <c r="N60" i="5"/>
  <c r="M61" i="5"/>
  <c r="N61" i="5"/>
  <c r="M63" i="5"/>
  <c r="N63" i="5"/>
  <c r="M64" i="5"/>
  <c r="N64" i="5"/>
  <c r="M65" i="5"/>
  <c r="N65" i="5"/>
  <c r="M66" i="5"/>
  <c r="N66" i="5"/>
  <c r="M67" i="5"/>
  <c r="N67" i="5"/>
  <c r="M68" i="5"/>
  <c r="N68" i="5"/>
  <c r="M69" i="5"/>
  <c r="N69" i="5"/>
  <c r="M70" i="5"/>
  <c r="N70" i="5"/>
  <c r="M71" i="5"/>
  <c r="M72" i="5"/>
  <c r="N72" i="5"/>
  <c r="M73" i="5"/>
  <c r="N73" i="5"/>
  <c r="M75" i="5"/>
  <c r="N75" i="5"/>
  <c r="M76" i="5"/>
  <c r="N76" i="5"/>
  <c r="M77" i="5"/>
  <c r="N77" i="5"/>
  <c r="M78" i="5"/>
  <c r="N78" i="5"/>
  <c r="M79" i="5"/>
  <c r="N79" i="5"/>
  <c r="M80" i="5"/>
  <c r="N80" i="5"/>
  <c r="M81" i="5"/>
  <c r="N81" i="5"/>
  <c r="M82" i="5"/>
  <c r="N82" i="5"/>
  <c r="M83" i="5"/>
  <c r="M84" i="5"/>
  <c r="N84" i="5"/>
  <c r="M85" i="5"/>
  <c r="N85" i="5"/>
  <c r="M87" i="5"/>
  <c r="N87" i="5"/>
  <c r="M88" i="5"/>
  <c r="N88" i="5"/>
  <c r="M89" i="5"/>
  <c r="N89" i="5"/>
  <c r="M90" i="5"/>
  <c r="N90" i="5"/>
  <c r="M91" i="5"/>
  <c r="N91" i="5"/>
  <c r="M92" i="5"/>
  <c r="N92" i="5"/>
  <c r="M93" i="5"/>
  <c r="N93" i="5"/>
  <c r="M94" i="5"/>
  <c r="N94" i="5"/>
  <c r="M95" i="5"/>
  <c r="M96" i="5"/>
  <c r="N96" i="5"/>
  <c r="M97" i="5"/>
  <c r="N97" i="5"/>
  <c r="M99" i="5"/>
  <c r="N99" i="5"/>
  <c r="M100" i="5"/>
  <c r="N100" i="5"/>
  <c r="M101" i="5"/>
  <c r="N101" i="5"/>
  <c r="M102" i="5"/>
  <c r="N102" i="5"/>
  <c r="M103" i="5"/>
  <c r="N103" i="5"/>
  <c r="M104" i="5"/>
  <c r="N104" i="5"/>
  <c r="M105" i="5"/>
  <c r="N105" i="5"/>
  <c r="M106" i="5"/>
  <c r="N106" i="5"/>
  <c r="M107" i="5"/>
  <c r="N107" i="5"/>
  <c r="M108" i="5"/>
  <c r="I108" i="5" s="1"/>
  <c r="N108" i="5"/>
  <c r="M110" i="5"/>
  <c r="N110" i="5"/>
  <c r="M111" i="5"/>
  <c r="N111" i="5"/>
  <c r="M112" i="5"/>
  <c r="N112" i="5"/>
  <c r="M113" i="5"/>
  <c r="N113" i="5"/>
  <c r="M114" i="5"/>
  <c r="M115" i="5"/>
  <c r="N115" i="5"/>
  <c r="M116" i="5"/>
  <c r="N116" i="5"/>
  <c r="M117" i="5"/>
  <c r="N117" i="5"/>
  <c r="M118" i="5"/>
  <c r="N118" i="5"/>
  <c r="M119" i="5"/>
  <c r="N119" i="5"/>
  <c r="M120" i="5"/>
  <c r="N120" i="5"/>
  <c r="M122" i="5"/>
  <c r="N122" i="5"/>
  <c r="M123" i="5"/>
  <c r="N123" i="5"/>
  <c r="M124" i="5"/>
  <c r="N124" i="5"/>
  <c r="M125" i="5"/>
  <c r="N125" i="5"/>
  <c r="M127" i="5"/>
  <c r="N127" i="5"/>
  <c r="M128" i="5"/>
  <c r="N128" i="5"/>
  <c r="M129" i="5"/>
  <c r="N129" i="5"/>
  <c r="M130" i="5"/>
  <c r="N130" i="5"/>
  <c r="M131" i="5"/>
  <c r="N131" i="5"/>
  <c r="M132" i="5"/>
  <c r="N132" i="5"/>
  <c r="M134" i="5"/>
  <c r="N134" i="5"/>
  <c r="M135" i="5"/>
  <c r="N135" i="5"/>
  <c r="M136" i="5"/>
  <c r="N136" i="5"/>
  <c r="M137" i="5"/>
  <c r="N137" i="5"/>
  <c r="M138" i="5"/>
  <c r="M139" i="5"/>
  <c r="N139" i="5"/>
  <c r="M140" i="5"/>
  <c r="I140" i="5" s="1"/>
  <c r="N140" i="5"/>
  <c r="M141" i="5"/>
  <c r="N141" i="5"/>
  <c r="M142" i="5"/>
  <c r="N142" i="5"/>
  <c r="M143" i="5"/>
  <c r="N143" i="5"/>
  <c r="M144" i="5"/>
  <c r="N144" i="5"/>
  <c r="M146" i="5"/>
  <c r="I146" i="5" s="1"/>
  <c r="N146" i="5"/>
  <c r="M147" i="5"/>
  <c r="N147" i="5"/>
  <c r="M148" i="5"/>
  <c r="N148" i="5"/>
  <c r="M150" i="5"/>
  <c r="N150" i="5"/>
  <c r="M151" i="5"/>
  <c r="N151" i="5"/>
  <c r="M152" i="5"/>
  <c r="M153" i="5"/>
  <c r="N153" i="5"/>
  <c r="M154" i="5"/>
  <c r="N154" i="5"/>
  <c r="M155" i="5"/>
  <c r="N155" i="5"/>
  <c r="M156" i="5"/>
  <c r="N156" i="5"/>
  <c r="M158" i="5"/>
  <c r="N158" i="5"/>
  <c r="M159" i="5"/>
  <c r="N159" i="5"/>
  <c r="M161" i="5"/>
  <c r="N161" i="5"/>
  <c r="M162" i="5"/>
  <c r="N162" i="5"/>
  <c r="M163" i="5"/>
  <c r="M164" i="5"/>
  <c r="N164" i="5"/>
  <c r="M165" i="5"/>
  <c r="N165" i="5"/>
  <c r="M166" i="5"/>
  <c r="N166" i="5"/>
  <c r="M167" i="5"/>
  <c r="N167" i="5"/>
  <c r="M168" i="5"/>
  <c r="N168" i="5"/>
  <c r="M170" i="5"/>
  <c r="N170" i="5"/>
  <c r="M171" i="5"/>
  <c r="N171" i="5"/>
  <c r="M173" i="5"/>
  <c r="I173" i="5" s="1"/>
  <c r="N173" i="5"/>
  <c r="M174" i="5"/>
  <c r="M176" i="5"/>
  <c r="N176" i="5"/>
  <c r="M178" i="5"/>
  <c r="N178" i="5"/>
  <c r="M179" i="5"/>
  <c r="W179" i="5" s="1"/>
  <c r="N179" i="5"/>
  <c r="M180" i="5"/>
  <c r="N180" i="5"/>
  <c r="M182" i="5"/>
  <c r="N182" i="5"/>
  <c r="M183" i="5"/>
  <c r="N183" i="5"/>
  <c r="M187" i="5"/>
  <c r="I187" i="5" s="1"/>
  <c r="N187" i="5"/>
  <c r="M188" i="5"/>
  <c r="M189" i="5"/>
  <c r="W189" i="5" s="1"/>
  <c r="N189" i="5"/>
  <c r="M190" i="5"/>
  <c r="N190" i="5"/>
  <c r="M191" i="5"/>
  <c r="N191" i="5"/>
  <c r="M192" i="5"/>
  <c r="I192" i="5" s="1"/>
  <c r="N192" i="5"/>
  <c r="M194" i="5"/>
  <c r="N194" i="5"/>
  <c r="N196" i="5"/>
  <c r="M197" i="5"/>
  <c r="M199" i="5"/>
  <c r="N199" i="5"/>
  <c r="M201" i="5"/>
  <c r="N201" i="5"/>
  <c r="M202" i="5"/>
  <c r="N202" i="5"/>
  <c r="M203" i="5"/>
  <c r="N203" i="5"/>
  <c r="M204" i="5"/>
  <c r="N204" i="5"/>
  <c r="M207" i="5"/>
  <c r="W207" i="5" s="1"/>
  <c r="N207" i="5"/>
  <c r="M209" i="5"/>
  <c r="I209" i="5" s="1"/>
  <c r="N209" i="5"/>
  <c r="M210" i="5"/>
  <c r="I210" i="5" s="1"/>
  <c r="M211" i="5"/>
  <c r="I211" i="5" s="1"/>
  <c r="N211" i="5"/>
  <c r="K211" i="5" s="1"/>
  <c r="M212" i="5"/>
  <c r="I212" i="5" s="1"/>
  <c r="M213" i="5"/>
  <c r="I213" i="5" s="1"/>
  <c r="N213" i="5"/>
  <c r="M214" i="5"/>
  <c r="I214" i="5" s="1"/>
  <c r="N214" i="5"/>
  <c r="M215" i="5"/>
  <c r="I215" i="5" s="1"/>
  <c r="N215" i="5"/>
  <c r="K215" i="5" s="1"/>
  <c r="M216" i="5"/>
  <c r="I216" i="5" s="1"/>
  <c r="N216" i="5"/>
  <c r="K216" i="5" s="1"/>
  <c r="M221" i="5"/>
  <c r="I221" i="5" s="1"/>
  <c r="N221" i="5"/>
  <c r="K221" i="5" s="1"/>
  <c r="M222" i="5"/>
  <c r="I222" i="5" s="1"/>
  <c r="M223" i="5"/>
  <c r="I223" i="5" s="1"/>
  <c r="N223" i="5"/>
  <c r="M224" i="5"/>
  <c r="I224" i="5" s="1"/>
  <c r="M225" i="5"/>
  <c r="I225" i="5" s="1"/>
  <c r="N225" i="5"/>
  <c r="M226" i="5"/>
  <c r="I226" i="5" s="1"/>
  <c r="N226" i="5"/>
  <c r="N227" i="5"/>
  <c r="M228" i="5"/>
  <c r="I228" i="5" s="1"/>
  <c r="N228" i="5"/>
  <c r="M230" i="5"/>
  <c r="I230" i="5" s="1"/>
  <c r="M231" i="5"/>
  <c r="I231" i="5" s="1"/>
  <c r="M233" i="5"/>
  <c r="I233" i="5" s="1"/>
  <c r="N233" i="5"/>
  <c r="K233" i="5" s="1"/>
  <c r="M235" i="5"/>
  <c r="I235" i="5" s="1"/>
  <c r="N235" i="5"/>
  <c r="K235" i="5" s="1"/>
  <c r="M236" i="5"/>
  <c r="I236" i="5" s="1"/>
  <c r="M237" i="5"/>
  <c r="I237" i="5" s="1"/>
  <c r="N237" i="5"/>
  <c r="M238" i="5"/>
  <c r="I238" i="5" s="1"/>
  <c r="N238" i="5"/>
  <c r="K238" i="5" s="1"/>
  <c r="M239" i="5"/>
  <c r="I239" i="5" s="1"/>
  <c r="N239" i="5"/>
  <c r="K239" i="5" s="1"/>
  <c r="M240" i="5"/>
  <c r="I240" i="5" s="1"/>
  <c r="N240" i="5"/>
  <c r="K240" i="5" s="1"/>
  <c r="N244" i="5"/>
  <c r="K244" i="5" s="1"/>
  <c r="M245" i="5"/>
  <c r="I245" i="5" s="1"/>
  <c r="N245" i="5"/>
  <c r="M246" i="5"/>
  <c r="I246" i="5" s="1"/>
  <c r="M247" i="5"/>
  <c r="I247" i="5" s="1"/>
  <c r="N247" i="5"/>
  <c r="K247" i="5" s="1"/>
  <c r="M248" i="5"/>
  <c r="I248" i="5" s="1"/>
  <c r="M249" i="5"/>
  <c r="I249" i="5" s="1"/>
  <c r="N249" i="5"/>
  <c r="K249" i="5" s="1"/>
  <c r="N250" i="5"/>
  <c r="K250" i="5" s="1"/>
  <c r="M251" i="5"/>
  <c r="I251" i="5" s="1"/>
  <c r="N251" i="5"/>
  <c r="K251" i="5" s="1"/>
  <c r="M252" i="5"/>
  <c r="I252" i="5" s="1"/>
  <c r="N252" i="5"/>
  <c r="K252" i="5" s="1"/>
  <c r="N255" i="5"/>
  <c r="K255" i="5" s="1"/>
  <c r="M256" i="5"/>
  <c r="I256" i="5" s="1"/>
  <c r="M257" i="5"/>
  <c r="I257" i="5" s="1"/>
  <c r="N257" i="5"/>
  <c r="K257" i="5" s="1"/>
  <c r="M259" i="5"/>
  <c r="I259" i="5" s="1"/>
  <c r="N259" i="5"/>
  <c r="M260" i="5"/>
  <c r="I260" i="5" s="1"/>
  <c r="M261" i="5"/>
  <c r="I261" i="5" s="1"/>
  <c r="N261" i="5"/>
  <c r="K261" i="5" s="1"/>
  <c r="M262" i="5"/>
  <c r="I262" i="5" s="1"/>
  <c r="N262" i="5"/>
  <c r="M263" i="5"/>
  <c r="I263" i="5" s="1"/>
  <c r="N263" i="5"/>
  <c r="M264" i="5"/>
  <c r="I264" i="5" s="1"/>
  <c r="M266" i="5"/>
  <c r="I266" i="5" s="1"/>
  <c r="N266" i="5"/>
  <c r="K266" i="5" s="1"/>
  <c r="M267" i="5"/>
  <c r="I267" i="5" s="1"/>
  <c r="N267" i="5"/>
  <c r="M268" i="5"/>
  <c r="I268" i="5" s="1"/>
  <c r="M271" i="5"/>
  <c r="I271" i="5" s="1"/>
  <c r="N271" i="5"/>
  <c r="M275" i="5"/>
  <c r="I275" i="5" s="1"/>
  <c r="N275" i="5"/>
  <c r="M276" i="5"/>
  <c r="I276" i="5" s="1"/>
  <c r="M278" i="5"/>
  <c r="N278" i="5"/>
  <c r="N282" i="5"/>
  <c r="N284" i="5"/>
  <c r="N3" i="5"/>
  <c r="M3" i="5"/>
  <c r="F3" i="5"/>
  <c r="C3" i="5"/>
  <c r="I93" i="1" s="1"/>
  <c r="N3" i="8"/>
  <c r="E275" i="5" s="1"/>
  <c r="N4" i="8"/>
  <c r="E33" i="5" s="1"/>
  <c r="N5" i="8"/>
  <c r="E31" i="5" s="1"/>
  <c r="N6" i="8"/>
  <c r="E46" i="5" s="1"/>
  <c r="N7" i="8"/>
  <c r="N8" i="8"/>
  <c r="E102" i="5" s="1"/>
  <c r="N9" i="8"/>
  <c r="E32" i="5" s="1"/>
  <c r="N10" i="8"/>
  <c r="N11" i="8"/>
  <c r="E267" i="5" s="1"/>
  <c r="N12" i="8"/>
  <c r="E45" i="5" s="1"/>
  <c r="N13" i="8"/>
  <c r="E44" i="5" s="1"/>
  <c r="N14" i="8"/>
  <c r="E43" i="5" s="1"/>
  <c r="N15" i="8"/>
  <c r="E39" i="5" s="1"/>
  <c r="N16" i="8"/>
  <c r="E8" i="5" s="1"/>
  <c r="O16" i="8"/>
  <c r="N17" i="8"/>
  <c r="N18" i="8"/>
  <c r="E264" i="5" s="1"/>
  <c r="N19" i="8"/>
  <c r="N20" i="8"/>
  <c r="E263" i="5" s="1"/>
  <c r="N21" i="8"/>
  <c r="E34" i="5" s="1"/>
  <c r="N22" i="8"/>
  <c r="E269" i="5" s="1"/>
  <c r="N23" i="8"/>
  <c r="E85" i="5" s="1"/>
  <c r="N24" i="8"/>
  <c r="E153" i="5" s="1"/>
  <c r="N25" i="8"/>
  <c r="E112" i="5" s="1"/>
  <c r="N26" i="8"/>
  <c r="E94" i="5" s="1"/>
  <c r="N27" i="8"/>
  <c r="E84" i="5" s="1"/>
  <c r="N28" i="8"/>
  <c r="E54" i="5" s="1"/>
  <c r="N29" i="8"/>
  <c r="E95" i="5" s="1"/>
  <c r="N30" i="8"/>
  <c r="E259" i="5" s="1"/>
  <c r="N31" i="8"/>
  <c r="E96" i="5" s="1"/>
  <c r="N32" i="8"/>
  <c r="E134" i="5" s="1"/>
  <c r="N33" i="8"/>
  <c r="E261" i="5" s="1"/>
  <c r="N34" i="8"/>
  <c r="E260" i="5" s="1"/>
  <c r="N35" i="8"/>
  <c r="N36" i="8"/>
  <c r="E59" i="5" s="1"/>
  <c r="N37" i="8"/>
  <c r="E29" i="5" s="1"/>
  <c r="N38" i="8"/>
  <c r="E20" i="5" s="1"/>
  <c r="N39" i="8"/>
  <c r="E65" i="5" s="1"/>
  <c r="N40" i="8"/>
  <c r="E80" i="5" s="1"/>
  <c r="N41" i="8"/>
  <c r="E278" i="5" s="1"/>
  <c r="N42" i="8"/>
  <c r="E69" i="5" s="1"/>
  <c r="N43" i="8"/>
  <c r="E285" i="5" s="1"/>
  <c r="N44" i="8"/>
  <c r="E203" i="5" s="1"/>
  <c r="N45" i="8"/>
  <c r="E176" i="5" s="1"/>
  <c r="N46" i="8"/>
  <c r="E286" i="5" s="1"/>
  <c r="N47" i="8"/>
  <c r="N48" i="8"/>
  <c r="E170" i="5" s="1"/>
  <c r="N49" i="8"/>
  <c r="E158" i="5" s="1"/>
  <c r="N50" i="8"/>
  <c r="E159" i="5" s="1"/>
  <c r="N51" i="8"/>
  <c r="E287" i="5" s="1"/>
  <c r="N52" i="8"/>
  <c r="E166" i="5" s="1"/>
  <c r="N53" i="8"/>
  <c r="E128" i="5" s="1"/>
  <c r="N54" i="8"/>
  <c r="E129" i="5" s="1"/>
  <c r="N55" i="8"/>
  <c r="E120" i="5" s="1"/>
  <c r="N56" i="8"/>
  <c r="E122" i="5" s="1"/>
  <c r="N57" i="8"/>
  <c r="N58" i="8"/>
  <c r="E298" i="5" s="1"/>
  <c r="N59" i="8"/>
  <c r="N60" i="8"/>
  <c r="N61" i="8"/>
  <c r="N62" i="8"/>
  <c r="N63" i="8"/>
  <c r="E226" i="5" s="1"/>
  <c r="N64" i="8"/>
  <c r="E227" i="5" s="1"/>
  <c r="N65" i="8"/>
  <c r="N66" i="8"/>
  <c r="N67" i="8"/>
  <c r="N68" i="8"/>
  <c r="N69" i="8"/>
  <c r="E233" i="5" s="1"/>
  <c r="N70" i="8"/>
  <c r="N71" i="8"/>
  <c r="N72" i="8"/>
  <c r="N73" i="8"/>
  <c r="N74" i="8"/>
  <c r="N75" i="8"/>
  <c r="N76" i="8"/>
  <c r="N77" i="8"/>
  <c r="N78" i="8"/>
  <c r="N79" i="8"/>
  <c r="N80" i="8"/>
  <c r="E194" i="5" s="1"/>
  <c r="N81" i="8"/>
  <c r="N82" i="8"/>
  <c r="E130" i="5" s="1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E163" i="5" s="1"/>
  <c r="N97" i="8"/>
  <c r="N98" i="8"/>
  <c r="N99" i="8"/>
  <c r="N100" i="8"/>
  <c r="N101" i="8"/>
  <c r="N102" i="8"/>
  <c r="N103" i="8"/>
  <c r="N104" i="8"/>
  <c r="E221" i="5" s="1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O136" i="8"/>
  <c r="N137" i="8"/>
  <c r="N138" i="8"/>
  <c r="N139" i="8"/>
  <c r="N140" i="8"/>
  <c r="N141" i="8"/>
  <c r="N142" i="8"/>
  <c r="N143" i="8"/>
  <c r="N144" i="8"/>
  <c r="N145" i="8"/>
  <c r="O145" i="8"/>
  <c r="N146" i="8"/>
  <c r="N147" i="8"/>
  <c r="N148" i="8"/>
  <c r="E165" i="5" s="1"/>
  <c r="N149" i="8"/>
  <c r="N150" i="8"/>
  <c r="N151" i="8"/>
  <c r="O151" i="8"/>
  <c r="N152" i="8"/>
  <c r="E37" i="5" s="1"/>
  <c r="O152" i="8"/>
  <c r="N153" i="8"/>
  <c r="N154" i="8"/>
  <c r="N155" i="8"/>
  <c r="E289" i="5" s="1"/>
  <c r="N156" i="8"/>
  <c r="E290" i="5" s="1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E239" i="5" s="1"/>
  <c r="N175" i="8"/>
  <c r="N176" i="8"/>
  <c r="N177" i="8"/>
  <c r="N178" i="8"/>
  <c r="N179" i="8"/>
  <c r="E252" i="5" s="1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E296" i="5" s="1"/>
  <c r="N205" i="8"/>
  <c r="N206" i="8"/>
  <c r="N207" i="8"/>
  <c r="N208" i="8"/>
  <c r="E297" i="5" s="1"/>
  <c r="N209" i="8"/>
  <c r="N210" i="8"/>
  <c r="N211" i="8"/>
  <c r="N212" i="8"/>
  <c r="N213" i="8"/>
  <c r="N214" i="8"/>
  <c r="E162" i="5" s="1"/>
  <c r="N215" i="8"/>
  <c r="N216" i="8"/>
  <c r="N217" i="8"/>
  <c r="E150" i="5" s="1"/>
  <c r="N218" i="8"/>
  <c r="N219" i="8"/>
  <c r="N220" i="8"/>
  <c r="N221" i="8"/>
  <c r="N222" i="8"/>
  <c r="N223" i="8"/>
  <c r="N224" i="8"/>
  <c r="N225" i="8"/>
  <c r="N226" i="8"/>
  <c r="N227" i="8"/>
  <c r="N228" i="8"/>
  <c r="N229" i="8"/>
  <c r="O229" i="8"/>
  <c r="N230" i="8"/>
  <c r="N231" i="8"/>
  <c r="N232" i="8"/>
  <c r="N233" i="8"/>
  <c r="N234" i="8"/>
  <c r="N235" i="8"/>
  <c r="O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E209" i="5" s="1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O267" i="8"/>
  <c r="N268" i="8"/>
  <c r="N269" i="8"/>
  <c r="N270" i="8"/>
  <c r="N271" i="8"/>
  <c r="N272" i="8"/>
  <c r="N273" i="8"/>
  <c r="N274" i="8"/>
  <c r="N275" i="8"/>
  <c r="N276" i="8"/>
  <c r="N277" i="8"/>
  <c r="N278" i="8"/>
  <c r="O278" i="8"/>
  <c r="N279" i="8"/>
  <c r="N280" i="8"/>
  <c r="O280" i="8"/>
  <c r="N281" i="8"/>
  <c r="N282" i="8"/>
  <c r="N283" i="8"/>
  <c r="N284" i="8"/>
  <c r="N285" i="8"/>
  <c r="O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" i="8"/>
  <c r="E131" i="5" s="1"/>
  <c r="P3" i="9"/>
  <c r="F4" i="10" s="1"/>
  <c r="P4" i="9"/>
  <c r="F5" i="10" s="1"/>
  <c r="P5" i="9"/>
  <c r="F6" i="10" s="1"/>
  <c r="P6" i="9"/>
  <c r="F7" i="10" s="1"/>
  <c r="P7" i="9"/>
  <c r="F8" i="10" s="1"/>
  <c r="P8" i="9"/>
  <c r="F9" i="10" s="1"/>
  <c r="P9" i="9"/>
  <c r="F10" i="10" s="1"/>
  <c r="P10" i="9"/>
  <c r="F11" i="10" s="1"/>
  <c r="P11" i="9"/>
  <c r="F12" i="10" s="1"/>
  <c r="P12" i="9"/>
  <c r="F13" i="10" s="1"/>
  <c r="P13" i="9"/>
  <c r="F14" i="10" s="1"/>
  <c r="P14" i="9"/>
  <c r="F15" i="10" s="1"/>
  <c r="P15" i="9"/>
  <c r="F16" i="10" s="1"/>
  <c r="P16" i="9"/>
  <c r="F17" i="10" s="1"/>
  <c r="P17" i="9"/>
  <c r="F18" i="10" s="1"/>
  <c r="P18" i="9"/>
  <c r="F19" i="10" s="1"/>
  <c r="P19" i="9"/>
  <c r="F20" i="10" s="1"/>
  <c r="P20" i="9"/>
  <c r="F21" i="10" s="1"/>
  <c r="P21" i="9"/>
  <c r="F22" i="10" s="1"/>
  <c r="P22" i="9"/>
  <c r="F23" i="10" s="1"/>
  <c r="P23" i="9"/>
  <c r="F24" i="10" s="1"/>
  <c r="P2" i="9"/>
  <c r="K19" i="10" l="1"/>
  <c r="Y19" i="10" s="1"/>
  <c r="K20" i="10"/>
  <c r="Y20" i="10" s="1"/>
  <c r="Y17" i="10"/>
  <c r="K24" i="10"/>
  <c r="Y24" i="10" s="1"/>
  <c r="Y18" i="10"/>
  <c r="Y23" i="10"/>
  <c r="Y21" i="10"/>
  <c r="I110" i="5"/>
  <c r="W110" i="5" s="1"/>
  <c r="K15" i="10"/>
  <c r="Y15" i="10" s="1"/>
  <c r="I294" i="5"/>
  <c r="W294" i="5" s="1"/>
  <c r="I295" i="5"/>
  <c r="W295" i="5" s="1"/>
  <c r="Y13" i="10"/>
  <c r="I177" i="5"/>
  <c r="W177" i="5" s="1"/>
  <c r="I289" i="5"/>
  <c r="W289" i="5" s="1"/>
  <c r="I293" i="5"/>
  <c r="W293" i="5" s="1"/>
  <c r="W108" i="5"/>
  <c r="W69" i="5"/>
  <c r="J288" i="5"/>
  <c r="K165" i="5"/>
  <c r="K78" i="5"/>
  <c r="K34" i="5"/>
  <c r="Y22" i="10"/>
  <c r="Y16" i="10"/>
  <c r="I206" i="1"/>
  <c r="W299" i="5"/>
  <c r="H1" i="5"/>
  <c r="W21" i="10"/>
  <c r="W192" i="5"/>
  <c r="I128" i="1"/>
  <c r="H231" i="1"/>
  <c r="H204" i="1"/>
  <c r="L291" i="5"/>
  <c r="L292" i="5"/>
  <c r="Q292" i="5" s="1"/>
  <c r="H97" i="1"/>
  <c r="L298" i="5"/>
  <c r="Q298" i="5" s="1"/>
  <c r="V298" i="5" s="1"/>
  <c r="W31" i="5"/>
  <c r="W114" i="5"/>
  <c r="I138" i="1"/>
  <c r="W5" i="5"/>
  <c r="L287" i="5"/>
  <c r="Q287" i="5" s="1"/>
  <c r="W40" i="5"/>
  <c r="O298" i="5"/>
  <c r="W23" i="10"/>
  <c r="H188" i="1"/>
  <c r="I235" i="1"/>
  <c r="H196" i="1"/>
  <c r="I98" i="1"/>
  <c r="H87" i="1"/>
  <c r="H200" i="1"/>
  <c r="H173" i="1"/>
  <c r="H223" i="1"/>
  <c r="H147" i="1"/>
  <c r="H135" i="1"/>
  <c r="J297" i="5"/>
  <c r="K297" i="5" s="1"/>
  <c r="H216" i="1"/>
  <c r="H218" i="1"/>
  <c r="H128" i="1"/>
  <c r="H148" i="1"/>
  <c r="H214" i="1"/>
  <c r="I148" i="1"/>
  <c r="H178" i="1"/>
  <c r="H224" i="1"/>
  <c r="H138" i="1"/>
  <c r="H106" i="1"/>
  <c r="H228" i="1"/>
  <c r="J1" i="10"/>
  <c r="W22" i="10"/>
  <c r="E72" i="5"/>
  <c r="E231" i="5"/>
  <c r="E82" i="5"/>
  <c r="E123" i="5"/>
  <c r="E126" i="5"/>
  <c r="H141" i="1"/>
  <c r="H89" i="1"/>
  <c r="H236" i="1"/>
  <c r="H132" i="1"/>
  <c r="E35" i="5"/>
  <c r="E51" i="5"/>
  <c r="E271" i="5"/>
  <c r="E142" i="5"/>
  <c r="E199" i="5"/>
  <c r="E151" i="5"/>
  <c r="E125" i="5"/>
  <c r="I218" i="1"/>
  <c r="I88" i="1"/>
  <c r="H182" i="1"/>
  <c r="H211" i="1"/>
  <c r="E78" i="5"/>
  <c r="E144" i="5"/>
  <c r="E236" i="5"/>
  <c r="E100" i="5"/>
  <c r="E235" i="5"/>
  <c r="E172" i="5"/>
  <c r="E57" i="5"/>
  <c r="E81" i="5"/>
  <c r="E178" i="5"/>
  <c r="E25" i="5"/>
  <c r="E149" i="5"/>
  <c r="E4" i="5"/>
  <c r="E175" i="5"/>
  <c r="E30" i="5"/>
  <c r="I227" i="1"/>
  <c r="W18" i="10"/>
  <c r="H229" i="1"/>
  <c r="I201" i="1"/>
  <c r="I204" i="1"/>
  <c r="H85" i="1"/>
  <c r="I216" i="1"/>
  <c r="E11" i="5"/>
  <c r="H137" i="1"/>
  <c r="H206" i="1"/>
  <c r="H91" i="1"/>
  <c r="H238" i="1"/>
  <c r="I220" i="1"/>
  <c r="I109" i="1"/>
  <c r="I183" i="1"/>
  <c r="H133" i="1"/>
  <c r="H177" i="1"/>
  <c r="H234" i="1"/>
  <c r="H124" i="1"/>
  <c r="H208" i="1"/>
  <c r="E99" i="5"/>
  <c r="E137" i="5"/>
  <c r="E16" i="5"/>
  <c r="E22" i="5"/>
  <c r="E207" i="5"/>
  <c r="E28" i="5"/>
  <c r="E141" i="5"/>
  <c r="E60" i="5"/>
  <c r="E47" i="5"/>
  <c r="E276" i="5"/>
  <c r="E53" i="5"/>
  <c r="E140" i="5"/>
  <c r="E156" i="5"/>
  <c r="E228" i="5"/>
  <c r="E124" i="5"/>
  <c r="E192" i="5"/>
  <c r="I211" i="1"/>
  <c r="I229" i="1"/>
  <c r="I198" i="1"/>
  <c r="I232" i="1"/>
  <c r="H174" i="1"/>
  <c r="I145" i="1"/>
  <c r="H203" i="1"/>
  <c r="E103" i="5"/>
  <c r="E201" i="5"/>
  <c r="E247" i="5"/>
  <c r="E9" i="5"/>
  <c r="E146" i="5"/>
  <c r="I132" i="1"/>
  <c r="I191" i="1"/>
  <c r="H136" i="1"/>
  <c r="H243" i="1"/>
  <c r="H212" i="1"/>
  <c r="H217" i="1"/>
  <c r="H202" i="1"/>
  <c r="H198" i="1"/>
  <c r="H205" i="1"/>
  <c r="H150" i="1"/>
  <c r="E249" i="5"/>
  <c r="E212" i="5"/>
  <c r="E73" i="5"/>
  <c r="E83" i="5"/>
  <c r="E79" i="5"/>
  <c r="E56" i="5"/>
  <c r="E110" i="5"/>
  <c r="E106" i="5"/>
  <c r="E89" i="5"/>
  <c r="E152" i="5"/>
  <c r="E87" i="5"/>
  <c r="E232" i="5"/>
  <c r="I147" i="1"/>
  <c r="I133" i="1"/>
  <c r="I236" i="1"/>
  <c r="H130" i="1"/>
  <c r="H116" i="1"/>
  <c r="H107" i="1"/>
  <c r="I187" i="1"/>
  <c r="I151" i="1"/>
  <c r="I100" i="1"/>
  <c r="I89" i="1"/>
  <c r="H227" i="1"/>
  <c r="H109" i="1"/>
  <c r="E243" i="5"/>
  <c r="E143" i="5"/>
  <c r="E160" i="5"/>
  <c r="E189" i="5"/>
  <c r="E250" i="5"/>
  <c r="E24" i="5"/>
  <c r="E40" i="5"/>
  <c r="E19" i="5"/>
  <c r="E76" i="5"/>
  <c r="E111" i="5"/>
  <c r="E161" i="5"/>
  <c r="E92" i="5"/>
  <c r="E258" i="5"/>
  <c r="E139" i="5"/>
  <c r="E118" i="5"/>
  <c r="E117" i="5"/>
  <c r="I131" i="1"/>
  <c r="I217" i="1"/>
  <c r="H222" i="1"/>
  <c r="E288" i="5"/>
  <c r="H181" i="1"/>
  <c r="E154" i="5"/>
  <c r="E179" i="5"/>
  <c r="E135" i="5"/>
  <c r="E225" i="5"/>
  <c r="I215" i="1"/>
  <c r="H146" i="1"/>
  <c r="I111" i="1"/>
  <c r="E148" i="5"/>
  <c r="E97" i="5"/>
  <c r="E114" i="5"/>
  <c r="E116" i="5"/>
  <c r="E127" i="5"/>
  <c r="E41" i="5"/>
  <c r="E7" i="5"/>
  <c r="E138" i="5"/>
  <c r="E254" i="5"/>
  <c r="E215" i="5"/>
  <c r="E17" i="5"/>
  <c r="E257" i="5"/>
  <c r="E67" i="5"/>
  <c r="E180" i="5"/>
  <c r="E27" i="5"/>
  <c r="E48" i="5"/>
  <c r="E113" i="5"/>
  <c r="E282" i="5"/>
  <c r="E224" i="5"/>
  <c r="E91" i="5"/>
  <c r="E202" i="5"/>
  <c r="E190" i="5"/>
  <c r="E182" i="5"/>
  <c r="I214" i="1"/>
  <c r="I106" i="1"/>
  <c r="I228" i="1"/>
  <c r="I238" i="1"/>
  <c r="I203" i="1"/>
  <c r="H183" i="1"/>
  <c r="H142" i="1"/>
  <c r="H134" i="1"/>
  <c r="H90" i="1"/>
  <c r="I150" i="1"/>
  <c r="I226" i="1"/>
  <c r="H195" i="1"/>
  <c r="H111" i="1"/>
  <c r="I96" i="1"/>
  <c r="E74" i="5"/>
  <c r="E219" i="5"/>
  <c r="E279" i="5"/>
  <c r="E68" i="5"/>
  <c r="E115" i="5"/>
  <c r="E13" i="5"/>
  <c r="E5" i="5"/>
  <c r="E18" i="5"/>
  <c r="E58" i="5"/>
  <c r="E167" i="5"/>
  <c r="E171" i="5"/>
  <c r="E61" i="5"/>
  <c r="E36" i="5"/>
  <c r="E132" i="5"/>
  <c r="E49" i="5"/>
  <c r="E155" i="5"/>
  <c r="I134" i="1"/>
  <c r="H191" i="1"/>
  <c r="H92" i="1"/>
  <c r="E291" i="5"/>
  <c r="H226" i="1"/>
  <c r="H172" i="1"/>
  <c r="H140" i="1"/>
  <c r="H96" i="1"/>
  <c r="E90" i="5"/>
  <c r="E136" i="5"/>
  <c r="E133" i="5"/>
  <c r="H232" i="1"/>
  <c r="I197" i="1"/>
  <c r="E294" i="5"/>
  <c r="E52" i="5"/>
  <c r="E216" i="5"/>
  <c r="E3" i="5"/>
  <c r="I116" i="1"/>
  <c r="H187" i="1"/>
  <c r="E251" i="5"/>
  <c r="E6" i="5"/>
  <c r="I137" i="1"/>
  <c r="E174" i="5"/>
  <c r="I190" i="1"/>
  <c r="I178" i="1"/>
  <c r="I99" i="1"/>
  <c r="I108" i="1"/>
  <c r="I174" i="1"/>
  <c r="I107" i="1"/>
  <c r="H100" i="1"/>
  <c r="E248" i="5"/>
  <c r="E70" i="5"/>
  <c r="E26" i="5"/>
  <c r="E21" i="5"/>
  <c r="E75" i="5"/>
  <c r="E64" i="5"/>
  <c r="E42" i="5"/>
  <c r="E147" i="5"/>
  <c r="E63" i="5"/>
  <c r="E238" i="5"/>
  <c r="E119" i="5"/>
  <c r="E284" i="5"/>
  <c r="I87" i="1"/>
  <c r="I202" i="1"/>
  <c r="I207" i="1"/>
  <c r="I205" i="1"/>
  <c r="I219" i="1"/>
  <c r="H213" i="1"/>
  <c r="H86" i="1"/>
  <c r="H151" i="1"/>
  <c r="H123" i="1"/>
  <c r="H197" i="1"/>
  <c r="I149" i="1"/>
  <c r="I129" i="1"/>
  <c r="H242" i="1"/>
  <c r="I127" i="1"/>
  <c r="I115" i="1"/>
  <c r="E245" i="5"/>
  <c r="E77" i="5"/>
  <c r="E223" i="5"/>
  <c r="E211" i="5"/>
  <c r="E105" i="5"/>
  <c r="E12" i="5"/>
  <c r="E213" i="5"/>
  <c r="E88" i="5"/>
  <c r="E55" i="5"/>
  <c r="E108" i="5"/>
  <c r="E240" i="5"/>
  <c r="E71" i="5"/>
  <c r="E101" i="5"/>
  <c r="E173" i="5"/>
  <c r="E237" i="5"/>
  <c r="E164" i="5"/>
  <c r="E191" i="5"/>
  <c r="I182" i="1"/>
  <c r="E168" i="5"/>
  <c r="H215" i="1"/>
  <c r="H99" i="1"/>
  <c r="H201" i="1"/>
  <c r="H233" i="1"/>
  <c r="H149" i="1"/>
  <c r="H129" i="1"/>
  <c r="I170" i="1"/>
  <c r="H127" i="1"/>
  <c r="H115" i="1"/>
  <c r="I94" i="1"/>
  <c r="I84" i="1"/>
  <c r="E93" i="5"/>
  <c r="E187" i="5"/>
  <c r="E107" i="5"/>
  <c r="E184" i="5"/>
  <c r="E15" i="5"/>
  <c r="E10" i="5"/>
  <c r="E104" i="5"/>
  <c r="E273" i="5"/>
  <c r="E23" i="5"/>
  <c r="E66" i="5"/>
  <c r="E185" i="5"/>
  <c r="I130" i="1"/>
  <c r="I146" i="1"/>
  <c r="I92" i="1"/>
  <c r="I125" i="1"/>
  <c r="I237" i="1"/>
  <c r="I224" i="1"/>
  <c r="H131" i="1"/>
  <c r="H88" i="1"/>
  <c r="H190" i="1"/>
  <c r="H235" i="1"/>
  <c r="H199" i="1"/>
  <c r="H221" i="1"/>
  <c r="E299" i="5"/>
  <c r="E292" i="5"/>
  <c r="H170" i="1"/>
  <c r="H94" i="1"/>
  <c r="H84" i="1"/>
  <c r="I230" i="1"/>
  <c r="I208" i="1"/>
  <c r="I173" i="1"/>
  <c r="H219" i="1"/>
  <c r="H237" i="1"/>
  <c r="I210" i="1"/>
  <c r="I176" i="1"/>
  <c r="I144" i="1"/>
  <c r="H186" i="1"/>
  <c r="E295" i="5"/>
  <c r="H210" i="1"/>
  <c r="H176" i="1"/>
  <c r="I113" i="1"/>
  <c r="I105" i="1"/>
  <c r="H230" i="1"/>
  <c r="H220" i="1"/>
  <c r="H108" i="1"/>
  <c r="H145" i="1"/>
  <c r="H113" i="1"/>
  <c r="H105" i="1"/>
  <c r="H207" i="1"/>
  <c r="H125" i="1"/>
  <c r="E293" i="5"/>
  <c r="I181" i="1"/>
  <c r="X17" i="10"/>
  <c r="W17" i="10"/>
  <c r="X16" i="10"/>
  <c r="W16" i="10"/>
  <c r="W15" i="10"/>
  <c r="X15" i="10"/>
  <c r="W20" i="10"/>
  <c r="X20" i="10"/>
  <c r="X13" i="10"/>
  <c r="W13" i="10"/>
  <c r="W19" i="10"/>
  <c r="X19" i="10"/>
  <c r="X24" i="10"/>
  <c r="W24" i="10"/>
  <c r="O288" i="5"/>
  <c r="O285" i="5"/>
  <c r="W181" i="5"/>
  <c r="W199" i="5"/>
  <c r="W168" i="5"/>
  <c r="W200" i="5"/>
  <c r="W201" i="5"/>
  <c r="W202" i="5"/>
  <c r="W203" i="5"/>
  <c r="W204" i="5"/>
  <c r="W187" i="5"/>
  <c r="W149" i="5"/>
  <c r="W193" i="5"/>
  <c r="W178" i="5"/>
  <c r="W169" i="5"/>
  <c r="X22" i="10"/>
  <c r="X21" i="10"/>
  <c r="X23" i="10"/>
  <c r="X18" i="10"/>
  <c r="L239" i="5"/>
  <c r="Q239" i="5" s="1"/>
  <c r="L240" i="5"/>
  <c r="Q240" i="5" s="1"/>
  <c r="L249" i="5"/>
  <c r="Q249" i="5" s="1"/>
  <c r="L250" i="5"/>
  <c r="Q250" i="5" s="1"/>
  <c r="L251" i="5"/>
  <c r="Q251" i="5" s="1"/>
  <c r="L252" i="5"/>
  <c r="Q252" i="5" s="1"/>
  <c r="L288" i="5"/>
  <c r="Q288" i="5" s="1"/>
  <c r="L296" i="5"/>
  <c r="L299" i="5"/>
  <c r="J294" i="5"/>
  <c r="K294" i="5" s="1"/>
  <c r="J290" i="5"/>
  <c r="L290" i="5" s="1"/>
  <c r="Q290" i="5" s="1"/>
  <c r="J293" i="5"/>
  <c r="L293" i="5" s="1"/>
  <c r="Q293" i="5" s="1"/>
  <c r="O286" i="5"/>
  <c r="J286" i="5"/>
  <c r="O294" i="5"/>
  <c r="O290" i="5"/>
  <c r="O293" i="5"/>
  <c r="O296" i="5"/>
  <c r="O299" i="5"/>
  <c r="J285" i="5"/>
  <c r="O170" i="8"/>
  <c r="O233" i="8"/>
  <c r="C26" i="5"/>
  <c r="I223" i="1" s="1"/>
  <c r="M133" i="5"/>
  <c r="F145" i="5"/>
  <c r="C74" i="5"/>
  <c r="I200" i="1" s="1"/>
  <c r="O275" i="8"/>
  <c r="N145" i="5"/>
  <c r="E193" i="5"/>
  <c r="F38" i="5"/>
  <c r="O40" i="8"/>
  <c r="N229" i="5"/>
  <c r="N133" i="5"/>
  <c r="C277" i="5"/>
  <c r="C205" i="5"/>
  <c r="F193" i="5"/>
  <c r="D133" i="5"/>
  <c r="D74" i="5"/>
  <c r="D26" i="5"/>
  <c r="O168" i="8"/>
  <c r="O138" i="8"/>
  <c r="O71" i="8"/>
  <c r="O27" i="8"/>
  <c r="M145" i="5"/>
  <c r="N14" i="5"/>
  <c r="D193" i="5"/>
  <c r="E145" i="5"/>
  <c r="E86" i="5"/>
  <c r="E38" i="5"/>
  <c r="N277" i="5"/>
  <c r="N265" i="5"/>
  <c r="N181" i="5"/>
  <c r="N26" i="5"/>
  <c r="M14" i="5"/>
  <c r="C193" i="5"/>
  <c r="D145" i="5"/>
  <c r="D86" i="5"/>
  <c r="D38" i="5"/>
  <c r="O281" i="8"/>
  <c r="O251" i="8"/>
  <c r="O221" i="8"/>
  <c r="O188" i="8"/>
  <c r="O155" i="8"/>
  <c r="O58" i="8"/>
  <c r="M277" i="5"/>
  <c r="M265" i="5"/>
  <c r="I265" i="5" s="1"/>
  <c r="N157" i="5"/>
  <c r="N38" i="5"/>
  <c r="M26" i="5"/>
  <c r="F157" i="5"/>
  <c r="F109" i="5"/>
  <c r="F98" i="5"/>
  <c r="C86" i="5"/>
  <c r="I91" i="1" s="1"/>
  <c r="F50" i="5"/>
  <c r="C38" i="5"/>
  <c r="I62" i="1" s="1"/>
  <c r="O239" i="8"/>
  <c r="O125" i="8"/>
  <c r="O14" i="8"/>
  <c r="M157" i="5"/>
  <c r="N50" i="5"/>
  <c r="E157" i="5"/>
  <c r="E109" i="5"/>
  <c r="E98" i="5"/>
  <c r="E50" i="5"/>
  <c r="O45" i="8"/>
  <c r="N205" i="5"/>
  <c r="N62" i="5"/>
  <c r="M50" i="5"/>
  <c r="E241" i="5"/>
  <c r="D157" i="5"/>
  <c r="D109" i="5"/>
  <c r="D98" i="5"/>
  <c r="D50" i="5"/>
  <c r="O196" i="8"/>
  <c r="O112" i="8"/>
  <c r="M205" i="5"/>
  <c r="N169" i="5"/>
  <c r="N74" i="5"/>
  <c r="M62" i="5"/>
  <c r="F169" i="5"/>
  <c r="F121" i="5"/>
  <c r="C109" i="5"/>
  <c r="I56" i="1" s="1"/>
  <c r="C98" i="5"/>
  <c r="I55" i="1" s="1"/>
  <c r="F62" i="5"/>
  <c r="F14" i="5"/>
  <c r="O269" i="8"/>
  <c r="O143" i="8"/>
  <c r="M169" i="5"/>
  <c r="N86" i="5"/>
  <c r="M74" i="5"/>
  <c r="F265" i="5"/>
  <c r="E181" i="5"/>
  <c r="E169" i="5"/>
  <c r="E121" i="5"/>
  <c r="E62" i="5"/>
  <c r="E14" i="5"/>
  <c r="O227" i="8"/>
  <c r="O99" i="8"/>
  <c r="N109" i="5"/>
  <c r="N98" i="5"/>
  <c r="F277" i="5"/>
  <c r="E265" i="5"/>
  <c r="F205" i="5"/>
  <c r="D181" i="5"/>
  <c r="D169" i="5"/>
  <c r="D121" i="5"/>
  <c r="D62" i="5"/>
  <c r="D14" i="5"/>
  <c r="O2" i="8"/>
  <c r="N193" i="5"/>
  <c r="N121" i="5"/>
  <c r="E277" i="5"/>
  <c r="D265" i="5"/>
  <c r="E205" i="5"/>
  <c r="C181" i="5"/>
  <c r="I81" i="1" s="1"/>
  <c r="F133" i="5"/>
  <c r="C121" i="5"/>
  <c r="I44" i="1" s="1"/>
  <c r="F74" i="5"/>
  <c r="F26" i="5"/>
  <c r="C14" i="5"/>
  <c r="I258" i="1" s="1"/>
  <c r="O215" i="8"/>
  <c r="C281" i="5"/>
  <c r="D281" i="5"/>
  <c r="E281" i="5"/>
  <c r="M281" i="5"/>
  <c r="M270" i="5"/>
  <c r="I270" i="5" s="1"/>
  <c r="C270" i="5"/>
  <c r="D270" i="5"/>
  <c r="E270" i="5"/>
  <c r="M254" i="5"/>
  <c r="I254" i="5" s="1"/>
  <c r="C254" i="5"/>
  <c r="D242" i="5"/>
  <c r="E242" i="5"/>
  <c r="M242" i="5"/>
  <c r="I242" i="5" s="1"/>
  <c r="E230" i="5"/>
  <c r="C230" i="5"/>
  <c r="D230" i="5"/>
  <c r="M218" i="5"/>
  <c r="I218" i="5" s="1"/>
  <c r="C218" i="5"/>
  <c r="D218" i="5"/>
  <c r="E218" i="5"/>
  <c r="C206" i="5"/>
  <c r="D206" i="5"/>
  <c r="E206" i="5"/>
  <c r="M206" i="5"/>
  <c r="I206" i="5" s="1"/>
  <c r="F196" i="5"/>
  <c r="M196" i="5"/>
  <c r="I196" i="5" s="1"/>
  <c r="E196" i="5"/>
  <c r="D200" i="5"/>
  <c r="D274" i="5"/>
  <c r="E274" i="5"/>
  <c r="F274" i="5"/>
  <c r="M274" i="5"/>
  <c r="I274" i="5" s="1"/>
  <c r="N274" i="5"/>
  <c r="C258" i="5"/>
  <c r="D258" i="5"/>
  <c r="M258" i="5"/>
  <c r="I258" i="5" s="1"/>
  <c r="N258" i="5"/>
  <c r="K258" i="5" s="1"/>
  <c r="D246" i="5"/>
  <c r="N246" i="5"/>
  <c r="K246" i="5" s="1"/>
  <c r="E246" i="5"/>
  <c r="M234" i="5"/>
  <c r="I234" i="5" s="1"/>
  <c r="N234" i="5"/>
  <c r="K234" i="5" s="1"/>
  <c r="D234" i="5"/>
  <c r="C234" i="5"/>
  <c r="E234" i="5"/>
  <c r="C222" i="5"/>
  <c r="D222" i="5"/>
  <c r="E222" i="5"/>
  <c r="F222" i="5"/>
  <c r="N222" i="5"/>
  <c r="K222" i="5" s="1"/>
  <c r="D210" i="5"/>
  <c r="N210" i="5"/>
  <c r="E210" i="5"/>
  <c r="F210" i="5"/>
  <c r="E200" i="5"/>
  <c r="F200" i="5"/>
  <c r="M200" i="5"/>
  <c r="N200" i="5"/>
  <c r="E188" i="5"/>
  <c r="N188" i="5"/>
  <c r="F188" i="5"/>
  <c r="C188" i="5"/>
  <c r="F284" i="5"/>
  <c r="C284" i="5"/>
  <c r="I72" i="1" s="1"/>
  <c r="D284" i="5"/>
  <c r="M284" i="5"/>
  <c r="F273" i="5"/>
  <c r="C273" i="5"/>
  <c r="D273" i="5"/>
  <c r="M273" i="5"/>
  <c r="W273" i="5" s="1"/>
  <c r="N273" i="5"/>
  <c r="F177" i="5"/>
  <c r="M282" i="5"/>
  <c r="M185" i="5"/>
  <c r="I185" i="5" s="1"/>
  <c r="D271" i="5"/>
  <c r="C219" i="5"/>
  <c r="E214" i="5"/>
  <c r="D207" i="5"/>
  <c r="F204" i="5"/>
  <c r="F197" i="5"/>
  <c r="D177" i="5"/>
  <c r="N243" i="5"/>
  <c r="K243" i="5" s="1"/>
  <c r="F255" i="5"/>
  <c r="E197" i="5"/>
  <c r="C177" i="5"/>
  <c r="E177" i="5"/>
  <c r="O201" i="8"/>
  <c r="O149" i="8"/>
  <c r="O130" i="8"/>
  <c r="O86" i="8"/>
  <c r="O53" i="8"/>
  <c r="O32" i="8"/>
  <c r="O12" i="8"/>
  <c r="N279" i="5"/>
  <c r="M250" i="5"/>
  <c r="I250" i="5" s="1"/>
  <c r="M243" i="5"/>
  <c r="I243" i="5" s="1"/>
  <c r="M227" i="5"/>
  <c r="I227" i="5" s="1"/>
  <c r="N219" i="5"/>
  <c r="K219" i="5" s="1"/>
  <c r="M126" i="5"/>
  <c r="E266" i="5"/>
  <c r="F262" i="5"/>
  <c r="E255" i="5"/>
  <c r="C251" i="5"/>
  <c r="F244" i="5"/>
  <c r="D204" i="5"/>
  <c r="D197" i="5"/>
  <c r="C190" i="5"/>
  <c r="M279" i="5"/>
  <c r="N177" i="5"/>
  <c r="D266" i="5"/>
  <c r="E262" i="5"/>
  <c r="D255" i="5"/>
  <c r="F250" i="5"/>
  <c r="F243" i="5"/>
  <c r="C197" i="5"/>
  <c r="I213" i="1" s="1"/>
  <c r="F279" i="5"/>
  <c r="C255" i="5"/>
  <c r="F192" i="5"/>
  <c r="F185" i="5"/>
  <c r="N231" i="5"/>
  <c r="N174" i="5"/>
  <c r="E268" i="5"/>
  <c r="E195" i="5"/>
  <c r="C185" i="5"/>
  <c r="F181" i="5"/>
  <c r="N268" i="5"/>
  <c r="K268" i="5" s="1"/>
  <c r="O104" i="8"/>
  <c r="O292" i="8"/>
  <c r="O286" i="8"/>
  <c r="O274" i="8"/>
  <c r="O268" i="8"/>
  <c r="O262" i="8"/>
  <c r="O256" i="8"/>
  <c r="O250" i="8"/>
  <c r="O244" i="8"/>
  <c r="O238" i="8"/>
  <c r="O232" i="8"/>
  <c r="O226" i="8"/>
  <c r="O220" i="8"/>
  <c r="O214" i="8"/>
  <c r="O208" i="8"/>
  <c r="O195" i="8"/>
  <c r="O182" i="8"/>
  <c r="O162" i="8"/>
  <c r="O137" i="8"/>
  <c r="O124" i="8"/>
  <c r="O111" i="8"/>
  <c r="O98" i="8"/>
  <c r="O78" i="8"/>
  <c r="O65" i="8"/>
  <c r="O52" i="8"/>
  <c r="O39" i="8"/>
  <c r="O26" i="8"/>
  <c r="O6" i="8"/>
  <c r="M280" i="5"/>
  <c r="N256" i="5"/>
  <c r="M217" i="5"/>
  <c r="I217" i="5" s="1"/>
  <c r="E272" i="5"/>
  <c r="D269" i="5"/>
  <c r="F241" i="5"/>
  <c r="D232" i="5"/>
  <c r="C229" i="5"/>
  <c r="F195" i="5"/>
  <c r="E186" i="5"/>
  <c r="D184" i="5"/>
  <c r="C175" i="5"/>
  <c r="I244" i="1" s="1"/>
  <c r="C172" i="5"/>
  <c r="I255" i="1" s="1"/>
  <c r="C160" i="5"/>
  <c r="I15" i="1" s="1"/>
  <c r="C149" i="5"/>
  <c r="I86" i="1" s="1"/>
  <c r="C138" i="5"/>
  <c r="I80" i="1" s="1"/>
  <c r="C126" i="5"/>
  <c r="I254" i="1" s="1"/>
  <c r="C114" i="5"/>
  <c r="I30" i="1" s="1"/>
  <c r="C95" i="5"/>
  <c r="I6" i="1" s="1"/>
  <c r="C83" i="5"/>
  <c r="I234" i="1" s="1"/>
  <c r="C71" i="5"/>
  <c r="C59" i="5"/>
  <c r="I12" i="1" s="1"/>
  <c r="C47" i="5"/>
  <c r="I124" i="1" s="1"/>
  <c r="C35" i="5"/>
  <c r="C24" i="5"/>
  <c r="I264" i="1" s="1"/>
  <c r="F281" i="5"/>
  <c r="N281" i="5"/>
  <c r="F270" i="5"/>
  <c r="N270" i="5"/>
  <c r="F254" i="5"/>
  <c r="N254" i="5"/>
  <c r="F242" i="5"/>
  <c r="N242" i="5"/>
  <c r="K242" i="5" s="1"/>
  <c r="F230" i="5"/>
  <c r="N230" i="5"/>
  <c r="F218" i="5"/>
  <c r="N218" i="5"/>
  <c r="K218" i="5" s="1"/>
  <c r="F206" i="5"/>
  <c r="N206" i="5"/>
  <c r="K206" i="5" s="1"/>
  <c r="O7" i="8"/>
  <c r="O13" i="8"/>
  <c r="O19" i="8"/>
  <c r="O25" i="8"/>
  <c r="O31" i="8"/>
  <c r="O37" i="8"/>
  <c r="O43" i="8"/>
  <c r="O49" i="8"/>
  <c r="O55" i="8"/>
  <c r="O61" i="8"/>
  <c r="O67" i="8"/>
  <c r="O73" i="8"/>
  <c r="O79" i="8"/>
  <c r="O85" i="8"/>
  <c r="O91" i="8"/>
  <c r="O97" i="8"/>
  <c r="O103" i="8"/>
  <c r="O109" i="8"/>
  <c r="O115" i="8"/>
  <c r="O121" i="8"/>
  <c r="O127" i="8"/>
  <c r="O133" i="8"/>
  <c r="O139" i="8"/>
  <c r="O157" i="8"/>
  <c r="O163" i="8"/>
  <c r="O169" i="8"/>
  <c r="O175" i="8"/>
  <c r="O181" i="8"/>
  <c r="O187" i="8"/>
  <c r="O193" i="8"/>
  <c r="O199" i="8"/>
  <c r="O205" i="8"/>
  <c r="O84" i="8"/>
  <c r="O297" i="8"/>
  <c r="O291" i="8"/>
  <c r="O279" i="8"/>
  <c r="O273" i="8"/>
  <c r="O261" i="8"/>
  <c r="O255" i="8"/>
  <c r="O249" i="8"/>
  <c r="O243" i="8"/>
  <c r="O237" i="8"/>
  <c r="O231" i="8"/>
  <c r="O225" i="8"/>
  <c r="O219" i="8"/>
  <c r="O213" i="8"/>
  <c r="O207" i="8"/>
  <c r="O194" i="8"/>
  <c r="O174" i="8"/>
  <c r="O161" i="8"/>
  <c r="O123" i="8"/>
  <c r="O110" i="8"/>
  <c r="O90" i="8"/>
  <c r="O77" i="8"/>
  <c r="O64" i="8"/>
  <c r="O51" i="8"/>
  <c r="O38" i="8"/>
  <c r="O18" i="8"/>
  <c r="O5" i="8"/>
  <c r="M229" i="5"/>
  <c r="I229" i="5" s="1"/>
  <c r="F280" i="5"/>
  <c r="C272" i="5"/>
  <c r="E244" i="5"/>
  <c r="D241" i="5"/>
  <c r="E198" i="5"/>
  <c r="D195" i="5"/>
  <c r="C186" i="5"/>
  <c r="I143" i="1" s="1"/>
  <c r="O200" i="8"/>
  <c r="O180" i="8"/>
  <c r="O167" i="8"/>
  <c r="O154" i="8"/>
  <c r="O148" i="8"/>
  <c r="O142" i="8"/>
  <c r="O129" i="8"/>
  <c r="O116" i="8"/>
  <c r="O96" i="8"/>
  <c r="O83" i="8"/>
  <c r="O70" i="8"/>
  <c r="O57" i="8"/>
  <c r="O44" i="8"/>
  <c r="O24" i="8"/>
  <c r="O11" i="8"/>
  <c r="N241" i="5"/>
  <c r="K241" i="5" s="1"/>
  <c r="N175" i="5"/>
  <c r="F283" i="5"/>
  <c r="E280" i="5"/>
  <c r="F253" i="5"/>
  <c r="D244" i="5"/>
  <c r="C241" i="5"/>
  <c r="D198" i="5"/>
  <c r="C195" i="5"/>
  <c r="I189" i="1" s="1"/>
  <c r="O296" i="8"/>
  <c r="O290" i="8"/>
  <c r="O284" i="8"/>
  <c r="O272" i="8"/>
  <c r="O266" i="8"/>
  <c r="O260" i="8"/>
  <c r="O254" i="8"/>
  <c r="O248" i="8"/>
  <c r="O242" i="8"/>
  <c r="O236" i="8"/>
  <c r="O230" i="8"/>
  <c r="O224" i="8"/>
  <c r="O218" i="8"/>
  <c r="O212" i="8"/>
  <c r="O206" i="8"/>
  <c r="O186" i="8"/>
  <c r="O173" i="8"/>
  <c r="O160" i="8"/>
  <c r="O135" i="8"/>
  <c r="O122" i="8"/>
  <c r="O102" i="8"/>
  <c r="O89" i="8"/>
  <c r="O76" i="8"/>
  <c r="O63" i="8"/>
  <c r="O50" i="8"/>
  <c r="O30" i="8"/>
  <c r="O17" i="8"/>
  <c r="O4" i="8"/>
  <c r="N272" i="5"/>
  <c r="N208" i="5"/>
  <c r="K208" i="5" s="1"/>
  <c r="N198" i="5"/>
  <c r="N186" i="5"/>
  <c r="E283" i="5"/>
  <c r="D280" i="5"/>
  <c r="F256" i="5"/>
  <c r="E253" i="5"/>
  <c r="C244" i="5"/>
  <c r="F208" i="5"/>
  <c r="C198" i="5"/>
  <c r="I136" i="1" s="1"/>
  <c r="O192" i="8"/>
  <c r="O179" i="8"/>
  <c r="O166" i="8"/>
  <c r="O153" i="8"/>
  <c r="O147" i="8"/>
  <c r="O141" i="8"/>
  <c r="O128" i="8"/>
  <c r="O108" i="8"/>
  <c r="O95" i="8"/>
  <c r="O82" i="8"/>
  <c r="O69" i="8"/>
  <c r="O56" i="8"/>
  <c r="O36" i="8"/>
  <c r="O23" i="8"/>
  <c r="O10" i="8"/>
  <c r="M272" i="5"/>
  <c r="I272" i="5" s="1"/>
  <c r="N253" i="5"/>
  <c r="K253" i="5" s="1"/>
  <c r="M208" i="5"/>
  <c r="I208" i="5" s="1"/>
  <c r="M198" i="5"/>
  <c r="M186" i="5"/>
  <c r="D283" i="5"/>
  <c r="C280" i="5"/>
  <c r="E256" i="5"/>
  <c r="D253" i="5"/>
  <c r="E208" i="5"/>
  <c r="O295" i="8"/>
  <c r="O289" i="8"/>
  <c r="O283" i="8"/>
  <c r="O277" i="8"/>
  <c r="O271" i="8"/>
  <c r="O265" i="8"/>
  <c r="O259" i="8"/>
  <c r="O253" i="8"/>
  <c r="O247" i="8"/>
  <c r="O241" i="8"/>
  <c r="O223" i="8"/>
  <c r="O217" i="8"/>
  <c r="O211" i="8"/>
  <c r="O198" i="8"/>
  <c r="O185" i="8"/>
  <c r="O172" i="8"/>
  <c r="O159" i="8"/>
  <c r="O134" i="8"/>
  <c r="O114" i="8"/>
  <c r="O101" i="8"/>
  <c r="O88" i="8"/>
  <c r="O75" i="8"/>
  <c r="O62" i="8"/>
  <c r="O42" i="8"/>
  <c r="O29" i="8"/>
  <c r="O3" i="8"/>
  <c r="N283" i="5"/>
  <c r="M253" i="5"/>
  <c r="I253" i="5" s="1"/>
  <c r="N220" i="5"/>
  <c r="C283" i="5"/>
  <c r="I267" i="1" s="1"/>
  <c r="D256" i="5"/>
  <c r="F217" i="5"/>
  <c r="D208" i="5"/>
  <c r="F276" i="5"/>
  <c r="N276" i="5"/>
  <c r="K276" i="5" s="1"/>
  <c r="F264" i="5"/>
  <c r="N264" i="5"/>
  <c r="F260" i="5"/>
  <c r="N260" i="5"/>
  <c r="K260" i="5" s="1"/>
  <c r="F248" i="5"/>
  <c r="N248" i="5"/>
  <c r="F236" i="5"/>
  <c r="N236" i="5"/>
  <c r="F224" i="5"/>
  <c r="N224" i="5"/>
  <c r="K224" i="5" s="1"/>
  <c r="F212" i="5"/>
  <c r="N212" i="5"/>
  <c r="K212" i="5" s="1"/>
  <c r="O117" i="8"/>
  <c r="O204" i="8"/>
  <c r="O191" i="8"/>
  <c r="O178" i="8"/>
  <c r="O165" i="8"/>
  <c r="O146" i="8"/>
  <c r="O140" i="8"/>
  <c r="O120" i="8"/>
  <c r="O107" i="8"/>
  <c r="O94" i="8"/>
  <c r="O81" i="8"/>
  <c r="O68" i="8"/>
  <c r="O48" i="8"/>
  <c r="O35" i="8"/>
  <c r="O22" i="8"/>
  <c r="O9" i="8"/>
  <c r="M220" i="5"/>
  <c r="I220" i="5" s="1"/>
  <c r="N149" i="5"/>
  <c r="F220" i="5"/>
  <c r="E217" i="5"/>
  <c r="O294" i="8"/>
  <c r="O288" i="8"/>
  <c r="O282" i="8"/>
  <c r="O276" i="8"/>
  <c r="O270" i="8"/>
  <c r="O264" i="8"/>
  <c r="O258" i="8"/>
  <c r="O252" i="8"/>
  <c r="O246" i="8"/>
  <c r="O240" i="8"/>
  <c r="O234" i="8"/>
  <c r="O228" i="8"/>
  <c r="O222" i="8"/>
  <c r="O216" i="8"/>
  <c r="O210" i="8"/>
  <c r="O197" i="8"/>
  <c r="O184" i="8"/>
  <c r="O171" i="8"/>
  <c r="O158" i="8"/>
  <c r="O126" i="8"/>
  <c r="O113" i="8"/>
  <c r="O100" i="8"/>
  <c r="O87" i="8"/>
  <c r="O74" i="8"/>
  <c r="O54" i="8"/>
  <c r="O41" i="8"/>
  <c r="O28" i="8"/>
  <c r="O15" i="8"/>
  <c r="N232" i="5"/>
  <c r="N172" i="5"/>
  <c r="N160" i="5"/>
  <c r="M149" i="5"/>
  <c r="E220" i="5"/>
  <c r="D217" i="5"/>
  <c r="O203" i="8"/>
  <c r="O190" i="8"/>
  <c r="O177" i="8"/>
  <c r="O164" i="8"/>
  <c r="O132" i="8"/>
  <c r="O119" i="8"/>
  <c r="O106" i="8"/>
  <c r="O93" i="8"/>
  <c r="O80" i="8"/>
  <c r="O60" i="8"/>
  <c r="O47" i="8"/>
  <c r="O34" i="8"/>
  <c r="O21" i="8"/>
  <c r="O8" i="8"/>
  <c r="N269" i="5"/>
  <c r="M232" i="5"/>
  <c r="I232" i="5" s="1"/>
  <c r="N184" i="5"/>
  <c r="M172" i="5"/>
  <c r="M160" i="5"/>
  <c r="N138" i="5"/>
  <c r="N126" i="5"/>
  <c r="N114" i="5"/>
  <c r="N95" i="5"/>
  <c r="N83" i="5"/>
  <c r="N71" i="5"/>
  <c r="N59" i="5"/>
  <c r="N47" i="5"/>
  <c r="N35" i="5"/>
  <c r="N24" i="5"/>
  <c r="F229" i="5"/>
  <c r="C217" i="5"/>
  <c r="F175" i="5"/>
  <c r="F172" i="5"/>
  <c r="F160" i="5"/>
  <c r="F149" i="5"/>
  <c r="F138" i="5"/>
  <c r="F126" i="5"/>
  <c r="F114" i="5"/>
  <c r="F95" i="5"/>
  <c r="F83" i="5"/>
  <c r="F71" i="5"/>
  <c r="F59" i="5"/>
  <c r="F47" i="5"/>
  <c r="F35" i="5"/>
  <c r="F24" i="5"/>
  <c r="O293" i="8"/>
  <c r="O287" i="8"/>
  <c r="O263" i="8"/>
  <c r="O257" i="8"/>
  <c r="O245" i="8"/>
  <c r="O209" i="8"/>
  <c r="O183" i="8"/>
  <c r="O66" i="8"/>
  <c r="M269" i="5"/>
  <c r="I269" i="5" s="1"/>
  <c r="N195" i="5"/>
  <c r="M184" i="5"/>
  <c r="I184" i="5" s="1"/>
  <c r="F269" i="5"/>
  <c r="E229" i="5"/>
  <c r="F184" i="5"/>
  <c r="C184" i="5"/>
  <c r="O202" i="8"/>
  <c r="O189" i="8"/>
  <c r="O176" i="8"/>
  <c r="O156" i="8"/>
  <c r="O150" i="8"/>
  <c r="O144" i="8"/>
  <c r="O131" i="8"/>
  <c r="O118" i="8"/>
  <c r="O105" i="8"/>
  <c r="O92" i="8"/>
  <c r="O72" i="8"/>
  <c r="O59" i="8"/>
  <c r="O46" i="8"/>
  <c r="O33" i="8"/>
  <c r="O20" i="8"/>
  <c r="D175" i="5"/>
  <c r="P14" i="10"/>
  <c r="M14" i="10" s="1"/>
  <c r="N14" i="10" s="1"/>
  <c r="S14" i="10" s="1"/>
  <c r="O14" i="10"/>
  <c r="K3" i="10"/>
  <c r="Y3" i="10" s="1"/>
  <c r="Q4" i="10"/>
  <c r="Q5" i="10"/>
  <c r="Q10" i="10"/>
  <c r="Q13" i="10"/>
  <c r="Q15" i="10"/>
  <c r="Q16" i="10"/>
  <c r="Q17" i="10"/>
  <c r="Q18" i="10"/>
  <c r="Q19" i="10"/>
  <c r="Q20" i="10"/>
  <c r="Q21" i="10"/>
  <c r="Q22" i="10"/>
  <c r="Q23" i="10"/>
  <c r="Q24" i="10"/>
  <c r="K14" i="10" l="1"/>
  <c r="Y14" i="10" s="1"/>
  <c r="P287" i="5"/>
  <c r="Q7" i="10"/>
  <c r="Y7" i="10"/>
  <c r="Q291" i="5"/>
  <c r="V291" i="5" s="1"/>
  <c r="P291" i="5"/>
  <c r="L285" i="5"/>
  <c r="Q285" i="5" s="1"/>
  <c r="P298" i="5"/>
  <c r="U298" i="5"/>
  <c r="L297" i="5"/>
  <c r="Q297" i="5" s="1"/>
  <c r="W14" i="10"/>
  <c r="I222" i="1"/>
  <c r="I233" i="1"/>
  <c r="I142" i="1"/>
  <c r="I186" i="1"/>
  <c r="I185" i="1"/>
  <c r="I90" i="1"/>
  <c r="I221" i="1"/>
  <c r="I196" i="1"/>
  <c r="I195" i="1"/>
  <c r="I212" i="1"/>
  <c r="I188" i="1"/>
  <c r="I243" i="1"/>
  <c r="I135" i="1"/>
  <c r="I141" i="1"/>
  <c r="I140" i="1"/>
  <c r="I199" i="1"/>
  <c r="I123" i="1"/>
  <c r="I85" i="1"/>
  <c r="Q11" i="10"/>
  <c r="Y11" i="10"/>
  <c r="Q9" i="10"/>
  <c r="Y9" i="10"/>
  <c r="Q8" i="10"/>
  <c r="Y8" i="10"/>
  <c r="Q6" i="10"/>
  <c r="Y6" i="10"/>
  <c r="Q12" i="10"/>
  <c r="Y12" i="10"/>
  <c r="Y5" i="10"/>
  <c r="Y4" i="10"/>
  <c r="Y10" i="10"/>
  <c r="X14" i="10"/>
  <c r="P299" i="5"/>
  <c r="Q299" i="5"/>
  <c r="P296" i="5"/>
  <c r="Q296" i="5"/>
  <c r="U287" i="5"/>
  <c r="V287" i="5"/>
  <c r="U292" i="5"/>
  <c r="V292" i="5"/>
  <c r="U288" i="5"/>
  <c r="V288" i="5"/>
  <c r="J295" i="5"/>
  <c r="O295" i="5"/>
  <c r="P288" i="5"/>
  <c r="P292" i="5"/>
  <c r="L242" i="5"/>
  <c r="Q242" i="5" s="1"/>
  <c r="L234" i="5"/>
  <c r="Q234" i="5" s="1"/>
  <c r="L253" i="5"/>
  <c r="Q253" i="5" s="1"/>
  <c r="L208" i="5"/>
  <c r="Q208" i="5" s="1"/>
  <c r="L219" i="5"/>
  <c r="Q219" i="5" s="1"/>
  <c r="L222" i="5"/>
  <c r="Q222" i="5" s="1"/>
  <c r="L258" i="5"/>
  <c r="Q258" i="5" s="1"/>
  <c r="L241" i="5"/>
  <c r="Q241" i="5" s="1"/>
  <c r="L276" i="5"/>
  <c r="Q276" i="5" s="1"/>
  <c r="L294" i="5"/>
  <c r="O289" i="5"/>
  <c r="L286" i="5"/>
  <c r="P290" i="5"/>
  <c r="J289" i="5"/>
  <c r="L289" i="5" s="1"/>
  <c r="Q289" i="5" s="1"/>
  <c r="P293" i="5"/>
  <c r="Q14" i="10"/>
  <c r="U291" i="5" l="1"/>
  <c r="P285" i="5"/>
  <c r="Y1" i="10"/>
  <c r="P297" i="5"/>
  <c r="K295" i="5"/>
  <c r="L295" i="5" s="1"/>
  <c r="V297" i="5"/>
  <c r="U297" i="5"/>
  <c r="P294" i="5"/>
  <c r="Q294" i="5"/>
  <c r="P286" i="5"/>
  <c r="Q286" i="5"/>
  <c r="U299" i="5"/>
  <c r="V299" i="5"/>
  <c r="U293" i="5"/>
  <c r="V293" i="5"/>
  <c r="U285" i="5"/>
  <c r="V285" i="5"/>
  <c r="U290" i="5"/>
  <c r="V290" i="5"/>
  <c r="U296" i="5"/>
  <c r="V296" i="5"/>
  <c r="P289" i="5"/>
  <c r="O277" i="5"/>
  <c r="O279" i="5"/>
  <c r="O282" i="5"/>
  <c r="O283" i="5"/>
  <c r="O284" i="5"/>
  <c r="L4" i="10"/>
  <c r="L5" i="10"/>
  <c r="L6" i="10"/>
  <c r="L7" i="10"/>
  <c r="M7" i="10" s="1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O281" i="5"/>
  <c r="O280" i="5"/>
  <c r="O278" i="5"/>
  <c r="O205" i="5"/>
  <c r="O204" i="5"/>
  <c r="O203" i="5"/>
  <c r="O202" i="5"/>
  <c r="O201" i="5"/>
  <c r="O200" i="5"/>
  <c r="O199" i="5"/>
  <c r="O198" i="5"/>
  <c r="O197" i="5"/>
  <c r="O195" i="5"/>
  <c r="O194" i="5"/>
  <c r="O193" i="5"/>
  <c r="O191" i="5"/>
  <c r="O190" i="5"/>
  <c r="O188" i="5"/>
  <c r="O186" i="5"/>
  <c r="O183" i="5"/>
  <c r="O182" i="5"/>
  <c r="O181" i="5"/>
  <c r="O180" i="5"/>
  <c r="O179" i="5"/>
  <c r="O178" i="5"/>
  <c r="O176" i="5"/>
  <c r="O175" i="5"/>
  <c r="O174" i="5"/>
  <c r="O172" i="5"/>
  <c r="O170" i="5"/>
  <c r="O169" i="5"/>
  <c r="O168" i="5"/>
  <c r="O167" i="5"/>
  <c r="O166" i="5"/>
  <c r="O165" i="5"/>
  <c r="O164" i="5"/>
  <c r="O163" i="5"/>
  <c r="O162" i="5"/>
  <c r="O161" i="5"/>
  <c r="O160" i="5"/>
  <c r="O159" i="5"/>
  <c r="O158" i="5"/>
  <c r="O157" i="5"/>
  <c r="O156" i="5"/>
  <c r="O155" i="5"/>
  <c r="O154" i="5"/>
  <c r="O153" i="5"/>
  <c r="O152" i="5"/>
  <c r="O151" i="5"/>
  <c r="O150" i="5"/>
  <c r="O149" i="5"/>
  <c r="O148" i="5"/>
  <c r="O147" i="5"/>
  <c r="O145" i="5"/>
  <c r="O144" i="5"/>
  <c r="O143" i="5"/>
  <c r="O142" i="5"/>
  <c r="O141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17" i="5"/>
  <c r="O116" i="5"/>
  <c r="O115" i="5"/>
  <c r="O114" i="5"/>
  <c r="O113" i="5"/>
  <c r="O112" i="5"/>
  <c r="O111" i="5"/>
  <c r="O109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5" i="5"/>
  <c r="O54" i="5"/>
  <c r="O53" i="5"/>
  <c r="O52" i="5"/>
  <c r="O51" i="5"/>
  <c r="O50" i="5"/>
  <c r="O49" i="5"/>
  <c r="O48" i="5"/>
  <c r="O47" i="5"/>
  <c r="O46" i="5"/>
  <c r="O45" i="5"/>
  <c r="O44" i="5"/>
  <c r="O43" i="5"/>
  <c r="O42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40" i="5"/>
  <c r="O41" i="5"/>
  <c r="O69" i="5"/>
  <c r="O108" i="5"/>
  <c r="O110" i="5"/>
  <c r="O140" i="5"/>
  <c r="O146" i="5"/>
  <c r="O171" i="5"/>
  <c r="O173" i="5"/>
  <c r="O177" i="5"/>
  <c r="O184" i="5"/>
  <c r="O185" i="5"/>
  <c r="O187" i="5"/>
  <c r="O189" i="5"/>
  <c r="O192" i="5"/>
  <c r="O196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L3" i="10"/>
  <c r="P295" i="5" l="1"/>
  <c r="Q295" i="5"/>
  <c r="U295" i="5" s="1"/>
  <c r="U286" i="5"/>
  <c r="V286" i="5"/>
  <c r="U289" i="5"/>
  <c r="V289" i="5"/>
  <c r="U294" i="5"/>
  <c r="V294" i="5"/>
  <c r="J283" i="5"/>
  <c r="J284" i="5"/>
  <c r="J282" i="5"/>
  <c r="M11" i="10"/>
  <c r="N11" i="10" s="1"/>
  <c r="S11" i="10" s="1"/>
  <c r="M8" i="10"/>
  <c r="N8" i="10" s="1"/>
  <c r="S8" i="10" s="1"/>
  <c r="M5" i="10"/>
  <c r="N5" i="10" s="1"/>
  <c r="S5" i="10" s="1"/>
  <c r="M10" i="10"/>
  <c r="N10" i="10" s="1"/>
  <c r="S10" i="10" s="1"/>
  <c r="N7" i="10"/>
  <c r="S7" i="10" s="1"/>
  <c r="M4" i="10"/>
  <c r="N4" i="10" s="1"/>
  <c r="S4" i="10" s="1"/>
  <c r="M12" i="10"/>
  <c r="N12" i="10" s="1"/>
  <c r="S12" i="10" s="1"/>
  <c r="M9" i="10"/>
  <c r="N9" i="10" s="1"/>
  <c r="S9" i="10" s="1"/>
  <c r="M6" i="10"/>
  <c r="N6" i="10" s="1"/>
  <c r="S6" i="10" s="1"/>
  <c r="M3" i="10"/>
  <c r="N3" i="10" s="1"/>
  <c r="S3" i="10" s="1"/>
  <c r="V295" i="5" l="1"/>
  <c r="W6" i="10"/>
  <c r="X6" i="10"/>
  <c r="W9" i="10"/>
  <c r="X9" i="10"/>
  <c r="X12" i="10"/>
  <c r="W12" i="10"/>
  <c r="W11" i="10"/>
  <c r="X11" i="10"/>
  <c r="W10" i="10"/>
  <c r="X10" i="10"/>
  <c r="W5" i="10"/>
  <c r="X5" i="10"/>
  <c r="X3" i="10"/>
  <c r="W3" i="10"/>
  <c r="W4" i="10"/>
  <c r="X4" i="10"/>
  <c r="W8" i="10"/>
  <c r="X8" i="10"/>
  <c r="W7" i="10"/>
  <c r="X7" i="10"/>
  <c r="X1" i="10" s="1"/>
  <c r="R10" i="10"/>
  <c r="R23" i="10"/>
  <c r="R16" i="10"/>
  <c r="R19" i="10"/>
  <c r="R7" i="10"/>
  <c r="R6" i="10"/>
  <c r="R9" i="10"/>
  <c r="R22" i="10"/>
  <c r="R12" i="10"/>
  <c r="R5" i="10"/>
  <c r="R8" i="10"/>
  <c r="R15" i="10"/>
  <c r="R18" i="10"/>
  <c r="R11" i="10"/>
  <c r="R14" i="10"/>
  <c r="R21" i="10"/>
  <c r="R17" i="10"/>
  <c r="R24" i="10"/>
  <c r="R4" i="10"/>
  <c r="R20" i="10"/>
  <c r="L282" i="5"/>
  <c r="Q282" i="5" s="1"/>
  <c r="L283" i="5"/>
  <c r="Q283" i="5" s="1"/>
  <c r="L284" i="5"/>
  <c r="Q284" i="5" s="1"/>
  <c r="P284" i="5" l="1"/>
  <c r="P283" i="5"/>
  <c r="P282" i="5"/>
  <c r="J281" i="5"/>
  <c r="J280" i="5"/>
  <c r="O3" i="5" l="1"/>
  <c r="W3" i="5"/>
  <c r="W1" i="5" s="1"/>
  <c r="U283" i="5"/>
  <c r="V283" i="5"/>
  <c r="U282" i="5"/>
  <c r="V282" i="5"/>
  <c r="U284" i="5"/>
  <c r="V284" i="5"/>
  <c r="L281" i="5"/>
  <c r="Q281" i="5" s="1"/>
  <c r="L280" i="5"/>
  <c r="Q280" i="5" s="1"/>
  <c r="J279" i="5"/>
  <c r="K279" i="5" s="1"/>
  <c r="P208" i="5"/>
  <c r="P219" i="5"/>
  <c r="P222" i="5"/>
  <c r="P234" i="5"/>
  <c r="P239" i="5"/>
  <c r="P240" i="5"/>
  <c r="P241" i="5"/>
  <c r="P242" i="5"/>
  <c r="P249" i="5"/>
  <c r="P250" i="5"/>
  <c r="P251" i="5"/>
  <c r="P252" i="5"/>
  <c r="P253" i="5"/>
  <c r="P258" i="5"/>
  <c r="P276" i="5"/>
  <c r="P280" i="5" l="1"/>
  <c r="P281" i="5"/>
  <c r="L279" i="5"/>
  <c r="Q279" i="5" s="1"/>
  <c r="J278" i="5"/>
  <c r="L278" i="5" l="1"/>
  <c r="Q278" i="5" s="1"/>
  <c r="U281" i="5"/>
  <c r="V281" i="5"/>
  <c r="U280" i="5"/>
  <c r="V280" i="5"/>
  <c r="P279" i="5"/>
  <c r="U279" i="5" l="1"/>
  <c r="V279" i="5"/>
  <c r="P278" i="5"/>
  <c r="J158" i="5"/>
  <c r="J106" i="5"/>
  <c r="J10" i="5"/>
  <c r="J15" i="5"/>
  <c r="J71" i="5"/>
  <c r="J83" i="5"/>
  <c r="J31" i="5"/>
  <c r="J38" i="5"/>
  <c r="J202" i="5"/>
  <c r="J176" i="5"/>
  <c r="J57" i="5"/>
  <c r="J248" i="5"/>
  <c r="J72" i="5"/>
  <c r="J152" i="5"/>
  <c r="J193" i="5"/>
  <c r="J262" i="5"/>
  <c r="J244" i="5"/>
  <c r="L244" i="5" s="1"/>
  <c r="Q244" i="5" s="1"/>
  <c r="J159" i="5"/>
  <c r="J240" i="5"/>
  <c r="J139" i="5"/>
  <c r="J164" i="5"/>
  <c r="J101" i="5"/>
  <c r="J116" i="5"/>
  <c r="J160" i="5"/>
  <c r="J122" i="5"/>
  <c r="J60" i="5"/>
  <c r="J44" i="5"/>
  <c r="J198" i="5"/>
  <c r="J12" i="5"/>
  <c r="J133" i="5"/>
  <c r="J188" i="5"/>
  <c r="J250" i="5"/>
  <c r="J190" i="5"/>
  <c r="J239" i="5"/>
  <c r="J155" i="5"/>
  <c r="J163" i="5"/>
  <c r="J119" i="5"/>
  <c r="J104" i="5"/>
  <c r="J255" i="5"/>
  <c r="L255" i="5" s="1"/>
  <c r="Q255" i="5" s="1"/>
  <c r="J81" i="5"/>
  <c r="J126" i="5"/>
  <c r="J212" i="5"/>
  <c r="L212" i="5" s="1"/>
  <c r="Q212" i="5" s="1"/>
  <c r="J233" i="5"/>
  <c r="L233" i="5" s="1"/>
  <c r="Q233" i="5" s="1"/>
  <c r="J134" i="5"/>
  <c r="J215" i="5"/>
  <c r="L215" i="5" s="1"/>
  <c r="Q215" i="5" s="1"/>
  <c r="L190" i="5" l="1"/>
  <c r="Q190" i="5" s="1"/>
  <c r="L134" i="5"/>
  <c r="Q134" i="5" s="1"/>
  <c r="L31" i="5"/>
  <c r="Q31" i="5" s="1"/>
  <c r="L83" i="5"/>
  <c r="Q83" i="5" s="1"/>
  <c r="L71" i="5"/>
  <c r="Q71" i="5" s="1"/>
  <c r="L202" i="5"/>
  <c r="Q202" i="5" s="1"/>
  <c r="L188" i="5"/>
  <c r="Q188" i="5" s="1"/>
  <c r="L198" i="5"/>
  <c r="Q198" i="5" s="1"/>
  <c r="L15" i="5"/>
  <c r="Q15" i="5" s="1"/>
  <c r="L133" i="5"/>
  <c r="Q133" i="5" s="1"/>
  <c r="L44" i="5"/>
  <c r="Q44" i="5" s="1"/>
  <c r="L193" i="5"/>
  <c r="Q193" i="5" s="1"/>
  <c r="L10" i="5"/>
  <c r="Q10" i="5" s="1"/>
  <c r="K164" i="5"/>
  <c r="L164" i="5" s="1"/>
  <c r="Q164" i="5" s="1"/>
  <c r="L38" i="5"/>
  <c r="Q38" i="5" s="1"/>
  <c r="K159" i="5"/>
  <c r="L159" i="5" s="1"/>
  <c r="Q159" i="5" s="1"/>
  <c r="K106" i="5"/>
  <c r="L106" i="5" s="1"/>
  <c r="Q106" i="5" s="1"/>
  <c r="L12" i="5"/>
  <c r="Q12" i="5" s="1"/>
  <c r="K262" i="5"/>
  <c r="L262" i="5" s="1"/>
  <c r="Q262" i="5" s="1"/>
  <c r="L60" i="5"/>
  <c r="Q60" i="5" s="1"/>
  <c r="L119" i="5"/>
  <c r="Q119" i="5" s="1"/>
  <c r="K122" i="5"/>
  <c r="L122" i="5" s="1"/>
  <c r="Q122" i="5" s="1"/>
  <c r="L72" i="5"/>
  <c r="Q72" i="5" s="1"/>
  <c r="K158" i="5"/>
  <c r="L158" i="5" s="1"/>
  <c r="Q158" i="5" s="1"/>
  <c r="K81" i="5"/>
  <c r="L81" i="5" s="1"/>
  <c r="Q81" i="5" s="1"/>
  <c r="L104" i="5"/>
  <c r="Q104" i="5" s="1"/>
  <c r="L152" i="5"/>
  <c r="Q152" i="5" s="1"/>
  <c r="K163" i="5"/>
  <c r="L163" i="5" s="1"/>
  <c r="Q163" i="5" s="1"/>
  <c r="L160" i="5"/>
  <c r="Q160" i="5" s="1"/>
  <c r="K248" i="5"/>
  <c r="L248" i="5" s="1"/>
  <c r="Q248" i="5" s="1"/>
  <c r="L139" i="5"/>
  <c r="Q139" i="5" s="1"/>
  <c r="L57" i="5"/>
  <c r="Q57" i="5" s="1"/>
  <c r="L126" i="5"/>
  <c r="Q126" i="5" s="1"/>
  <c r="L155" i="5"/>
  <c r="Q155" i="5" s="1"/>
  <c r="L116" i="5"/>
  <c r="Q116" i="5" s="1"/>
  <c r="L101" i="5"/>
  <c r="Q101" i="5" s="1"/>
  <c r="L176" i="5"/>
  <c r="Q176" i="5" s="1"/>
  <c r="U278" i="5"/>
  <c r="V278" i="5"/>
  <c r="J22" i="5"/>
  <c r="J129" i="5"/>
  <c r="J168" i="5"/>
  <c r="J180" i="5"/>
  <c r="K180" i="5" s="1"/>
  <c r="J140" i="5"/>
  <c r="K140" i="5" s="1"/>
  <c r="J108" i="5"/>
  <c r="K108" i="5" s="1"/>
  <c r="J105" i="5"/>
  <c r="J227" i="5"/>
  <c r="K227" i="5" s="1"/>
  <c r="J11" i="5"/>
  <c r="J121" i="5"/>
  <c r="J39" i="5"/>
  <c r="J112" i="5"/>
  <c r="J25" i="5"/>
  <c r="J94" i="5"/>
  <c r="J82" i="5"/>
  <c r="J131" i="5"/>
  <c r="J182" i="5"/>
  <c r="J91" i="5"/>
  <c r="J102" i="5"/>
  <c r="J146" i="5"/>
  <c r="J7" i="5"/>
  <c r="K7" i="5" s="1"/>
  <c r="J66" i="5"/>
  <c r="J186" i="5"/>
  <c r="K186" i="5" s="1"/>
  <c r="J216" i="5"/>
  <c r="J58" i="5"/>
  <c r="J269" i="5"/>
  <c r="J197" i="5"/>
  <c r="J78" i="5"/>
  <c r="J267" i="5"/>
  <c r="K267" i="5" s="1"/>
  <c r="J143" i="5"/>
  <c r="J92" i="5"/>
  <c r="K92" i="5" s="1"/>
  <c r="J260" i="5"/>
  <c r="J50" i="5"/>
  <c r="J27" i="5"/>
  <c r="J266" i="5"/>
  <c r="L266" i="5" s="1"/>
  <c r="Q266" i="5" s="1"/>
  <c r="J154" i="5"/>
  <c r="J238" i="5"/>
  <c r="L238" i="5" s="1"/>
  <c r="Q238" i="5" s="1"/>
  <c r="J68" i="5"/>
  <c r="J220" i="5"/>
  <c r="J271" i="5"/>
  <c r="K271" i="5" s="1"/>
  <c r="J41" i="5"/>
  <c r="J235" i="5"/>
  <c r="L235" i="5" s="1"/>
  <c r="Q235" i="5" s="1"/>
  <c r="J219" i="5"/>
  <c r="J259" i="5"/>
  <c r="J18" i="5"/>
  <c r="K18" i="5" s="1"/>
  <c r="J99" i="5"/>
  <c r="J210" i="5"/>
  <c r="J222" i="5"/>
  <c r="J258" i="5"/>
  <c r="J178" i="5"/>
  <c r="J149" i="5"/>
  <c r="J54" i="5"/>
  <c r="J103" i="5"/>
  <c r="J151" i="5"/>
  <c r="J150" i="5"/>
  <c r="J246" i="5"/>
  <c r="J70" i="5"/>
  <c r="J141" i="5"/>
  <c r="J270" i="5"/>
  <c r="J67" i="5"/>
  <c r="J213" i="5"/>
  <c r="J96" i="5"/>
  <c r="J187" i="5"/>
  <c r="J241" i="5"/>
  <c r="J272" i="5"/>
  <c r="J277" i="5"/>
  <c r="K277" i="5" s="1"/>
  <c r="J251" i="5"/>
  <c r="J77" i="5"/>
  <c r="J115" i="5"/>
  <c r="J64" i="5"/>
  <c r="J135" i="5"/>
  <c r="J253" i="5"/>
  <c r="J88" i="5"/>
  <c r="J69" i="5"/>
  <c r="J221" i="5"/>
  <c r="J4" i="5"/>
  <c r="J21" i="5"/>
  <c r="K21" i="5" s="1"/>
  <c r="J111" i="5"/>
  <c r="J75" i="5"/>
  <c r="J211" i="5"/>
  <c r="L211" i="5" s="1"/>
  <c r="Q211" i="5" s="1"/>
  <c r="J49" i="5"/>
  <c r="J59" i="5"/>
  <c r="J243" i="5"/>
  <c r="J109" i="5"/>
  <c r="J185" i="5"/>
  <c r="K185" i="5" s="1"/>
  <c r="J257" i="5"/>
  <c r="J100" i="5"/>
  <c r="J33" i="5"/>
  <c r="J79" i="5"/>
  <c r="J230" i="5"/>
  <c r="K230" i="5" s="1"/>
  <c r="J169" i="5"/>
  <c r="J52" i="5"/>
  <c r="J245" i="5"/>
  <c r="J145" i="5"/>
  <c r="J137" i="5"/>
  <c r="J275" i="5"/>
  <c r="K275" i="5" s="1"/>
  <c r="J247" i="5"/>
  <c r="J232" i="5"/>
  <c r="J20" i="5"/>
  <c r="J218" i="5"/>
  <c r="L218" i="5" s="1"/>
  <c r="Q218" i="5" s="1"/>
  <c r="J76" i="5"/>
  <c r="J123" i="5"/>
  <c r="J206" i="5"/>
  <c r="L206" i="5" s="1"/>
  <c r="Q206" i="5" s="1"/>
  <c r="J45" i="5"/>
  <c r="J263" i="5"/>
  <c r="J42" i="5"/>
  <c r="J265" i="5"/>
  <c r="K265" i="5" s="1"/>
  <c r="J208" i="5"/>
  <c r="J231" i="5"/>
  <c r="J113" i="5"/>
  <c r="J162" i="5"/>
  <c r="J55" i="5"/>
  <c r="J5" i="5"/>
  <c r="J184" i="5"/>
  <c r="J51" i="5"/>
  <c r="J172" i="5"/>
  <c r="J242" i="5"/>
  <c r="J161" i="5"/>
  <c r="J237" i="5"/>
  <c r="K237" i="5" s="1"/>
  <c r="J93" i="5"/>
  <c r="J204" i="5"/>
  <c r="J183" i="5"/>
  <c r="K183" i="5" s="1"/>
  <c r="J63" i="5"/>
  <c r="J167" i="5"/>
  <c r="K167" i="5" s="1"/>
  <c r="J201" i="5"/>
  <c r="J252" i="5"/>
  <c r="J156" i="5"/>
  <c r="J62" i="5"/>
  <c r="J65" i="5"/>
  <c r="J217" i="5"/>
  <c r="J214" i="5"/>
  <c r="J28" i="5"/>
  <c r="J73" i="5"/>
  <c r="J114" i="5"/>
  <c r="J177" i="5"/>
  <c r="K177" i="5" s="1"/>
  <c r="J84" i="5"/>
  <c r="J35" i="5"/>
  <c r="J144" i="5"/>
  <c r="J261" i="5"/>
  <c r="L261" i="5" s="1"/>
  <c r="Q261" i="5" s="1"/>
  <c r="J200" i="5"/>
  <c r="J194" i="5"/>
  <c r="J80" i="5"/>
  <c r="K80" i="5" s="1"/>
  <c r="J264" i="5"/>
  <c r="J228" i="5"/>
  <c r="J40" i="5"/>
  <c r="J37" i="5"/>
  <c r="J254" i="5"/>
  <c r="K254" i="5" s="1"/>
  <c r="J34" i="5"/>
  <c r="J117" i="5"/>
  <c r="J127" i="5"/>
  <c r="J19" i="5"/>
  <c r="J86" i="5"/>
  <c r="K86" i="5" s="1"/>
  <c r="J268" i="5"/>
  <c r="J87" i="5"/>
  <c r="J273" i="5"/>
  <c r="K273" i="5" s="1"/>
  <c r="J195" i="5"/>
  <c r="J171" i="5"/>
  <c r="J125" i="5"/>
  <c r="J128" i="5"/>
  <c r="J43" i="5"/>
  <c r="J24" i="5"/>
  <c r="J138" i="5"/>
  <c r="J136" i="5"/>
  <c r="J9" i="5"/>
  <c r="J32" i="5"/>
  <c r="J3" i="5"/>
  <c r="J173" i="5"/>
  <c r="K173" i="5" s="1"/>
  <c r="J142" i="5"/>
  <c r="J226" i="5"/>
  <c r="J16" i="5"/>
  <c r="J224" i="5"/>
  <c r="L224" i="5" s="1"/>
  <c r="Q224" i="5" s="1"/>
  <c r="J53" i="5"/>
  <c r="J14" i="5"/>
  <c r="J192" i="5"/>
  <c r="J36" i="5"/>
  <c r="J148" i="5"/>
  <c r="J48" i="5"/>
  <c r="J236" i="5"/>
  <c r="J203" i="5"/>
  <c r="J26" i="5"/>
  <c r="J124" i="5"/>
  <c r="J56" i="5"/>
  <c r="J249" i="5"/>
  <c r="J196" i="5"/>
  <c r="J120" i="5"/>
  <c r="K120" i="5" s="1"/>
  <c r="J98" i="5"/>
  <c r="J191" i="5"/>
  <c r="J47" i="5"/>
  <c r="J61" i="5"/>
  <c r="J199" i="5"/>
  <c r="J90" i="5"/>
  <c r="J234" i="5"/>
  <c r="J276" i="5"/>
  <c r="J274" i="5"/>
  <c r="J89" i="5"/>
  <c r="J223" i="5"/>
  <c r="K223" i="5" s="1"/>
  <c r="J74" i="5"/>
  <c r="J147" i="5"/>
  <c r="J30" i="5"/>
  <c r="J189" i="5"/>
  <c r="J175" i="5"/>
  <c r="J229" i="5"/>
  <c r="J110" i="5"/>
  <c r="J23" i="5"/>
  <c r="K23" i="5" s="1"/>
  <c r="J179" i="5"/>
  <c r="K179" i="5" s="1"/>
  <c r="J209" i="5"/>
  <c r="J207" i="5"/>
  <c r="J157" i="5"/>
  <c r="J13" i="5"/>
  <c r="J205" i="5"/>
  <c r="J95" i="5"/>
  <c r="J6" i="5"/>
  <c r="J174" i="5"/>
  <c r="J166" i="5"/>
  <c r="J118" i="5"/>
  <c r="J181" i="5"/>
  <c r="J29" i="5"/>
  <c r="J8" i="5"/>
  <c r="J256" i="5"/>
  <c r="J17" i="5"/>
  <c r="K17" i="5" s="1"/>
  <c r="J225" i="5"/>
  <c r="J130" i="5"/>
  <c r="J46" i="5"/>
  <c r="J153" i="5"/>
  <c r="J165" i="5"/>
  <c r="J170" i="5"/>
  <c r="J85" i="5"/>
  <c r="J132" i="5"/>
  <c r="J107" i="5"/>
  <c r="J97" i="5"/>
  <c r="L45" i="5" l="1"/>
  <c r="Q45" i="5" s="1"/>
  <c r="L91" i="5"/>
  <c r="Q91" i="5" s="1"/>
  <c r="K146" i="5"/>
  <c r="L146" i="5" s="1"/>
  <c r="Q146" i="5" s="1"/>
  <c r="L13" i="5"/>
  <c r="Q13" i="5" s="1"/>
  <c r="L35" i="5"/>
  <c r="Q35" i="5" s="1"/>
  <c r="L84" i="5"/>
  <c r="Q84" i="5" s="1"/>
  <c r="K272" i="5"/>
  <c r="L272" i="5" s="1"/>
  <c r="Q272" i="5" s="1"/>
  <c r="K41" i="5"/>
  <c r="L41" i="5" s="1"/>
  <c r="Q41" i="5" s="1"/>
  <c r="L182" i="5"/>
  <c r="Q182" i="5" s="1"/>
  <c r="L36" i="5"/>
  <c r="Q36" i="5" s="1"/>
  <c r="L246" i="5"/>
  <c r="Q246" i="5" s="1"/>
  <c r="L147" i="5"/>
  <c r="Q147" i="5" s="1"/>
  <c r="L150" i="5"/>
  <c r="Q150" i="5" s="1"/>
  <c r="K196" i="5"/>
  <c r="L196" i="5" s="1"/>
  <c r="Q196" i="5" s="1"/>
  <c r="L128" i="5"/>
  <c r="Q128" i="5" s="1"/>
  <c r="L55" i="5"/>
  <c r="Q55" i="5" s="1"/>
  <c r="K4" i="5"/>
  <c r="L4" i="5" s="1"/>
  <c r="Q4" i="5" s="1"/>
  <c r="L78" i="5"/>
  <c r="Q78" i="5" s="1"/>
  <c r="L131" i="5"/>
  <c r="Q131" i="5" s="1"/>
  <c r="L192" i="5"/>
  <c r="Q192" i="5" s="1"/>
  <c r="K184" i="5"/>
  <c r="L184" i="5" s="1"/>
  <c r="Q184" i="5" s="1"/>
  <c r="L201" i="5"/>
  <c r="Q201" i="5" s="1"/>
  <c r="K256" i="5"/>
  <c r="L256" i="5" s="1"/>
  <c r="Q256" i="5" s="1"/>
  <c r="K209" i="5"/>
  <c r="L209" i="5" s="1"/>
  <c r="Q209" i="5" s="1"/>
  <c r="L125" i="5"/>
  <c r="Q125" i="5" s="1"/>
  <c r="L114" i="5"/>
  <c r="Q114" i="5" s="1"/>
  <c r="L63" i="5"/>
  <c r="Q63" i="5" s="1"/>
  <c r="L221" i="5"/>
  <c r="Q221" i="5" s="1"/>
  <c r="K220" i="5"/>
  <c r="L220" i="5" s="1"/>
  <c r="Q220" i="5" s="1"/>
  <c r="L197" i="5"/>
  <c r="Q197" i="5" s="1"/>
  <c r="L168" i="5"/>
  <c r="Q168" i="5" s="1"/>
  <c r="L172" i="5"/>
  <c r="Q172" i="5" s="1"/>
  <c r="L130" i="5"/>
  <c r="Q130" i="5" s="1"/>
  <c r="L144" i="5"/>
  <c r="Q144" i="5" s="1"/>
  <c r="L8" i="5"/>
  <c r="Q8" i="5" s="1"/>
  <c r="K274" i="5"/>
  <c r="L274" i="5" s="1"/>
  <c r="Q274" i="5" s="1"/>
  <c r="L56" i="5"/>
  <c r="Q56" i="5" s="1"/>
  <c r="K107" i="5"/>
  <c r="L107" i="5" s="1"/>
  <c r="Q107" i="5" s="1"/>
  <c r="L124" i="5"/>
  <c r="Q124" i="5" s="1"/>
  <c r="K226" i="5"/>
  <c r="L226" i="5" s="1"/>
  <c r="Q226" i="5" s="1"/>
  <c r="K232" i="5"/>
  <c r="L232" i="5" s="1"/>
  <c r="Q232" i="5" s="1"/>
  <c r="L257" i="5"/>
  <c r="Q257" i="5" s="1"/>
  <c r="L96" i="5"/>
  <c r="Q96" i="5" s="1"/>
  <c r="L178" i="5"/>
  <c r="Q178" i="5" s="1"/>
  <c r="K269" i="5"/>
  <c r="L269" i="5" s="1"/>
  <c r="Q269" i="5" s="1"/>
  <c r="L129" i="5"/>
  <c r="Q129" i="5" s="1"/>
  <c r="L52" i="5"/>
  <c r="Q52" i="5" s="1"/>
  <c r="L98" i="5"/>
  <c r="Q98" i="5" s="1"/>
  <c r="L76" i="5"/>
  <c r="Q76" i="5" s="1"/>
  <c r="L142" i="5"/>
  <c r="Q142" i="5" s="1"/>
  <c r="K231" i="5"/>
  <c r="L231" i="5" s="1"/>
  <c r="Q231" i="5" s="1"/>
  <c r="L247" i="5"/>
  <c r="Q247" i="5" s="1"/>
  <c r="L88" i="5"/>
  <c r="Q88" i="5" s="1"/>
  <c r="K213" i="5"/>
  <c r="L213" i="5" s="1"/>
  <c r="Q213" i="5" s="1"/>
  <c r="L58" i="5"/>
  <c r="Q58" i="5" s="1"/>
  <c r="L74" i="5"/>
  <c r="Q74" i="5" s="1"/>
  <c r="L204" i="5"/>
  <c r="Q204" i="5" s="1"/>
  <c r="L118" i="5"/>
  <c r="Q118" i="5" s="1"/>
  <c r="K110" i="5"/>
  <c r="L110" i="5" s="1"/>
  <c r="Q110" i="5" s="1"/>
  <c r="L90" i="5"/>
  <c r="Q90" i="5" s="1"/>
  <c r="K264" i="5"/>
  <c r="L264" i="5" s="1"/>
  <c r="Q264" i="5" s="1"/>
  <c r="L93" i="5"/>
  <c r="Q93" i="5" s="1"/>
  <c r="L109" i="5"/>
  <c r="Q109" i="5" s="1"/>
  <c r="L67" i="5"/>
  <c r="Q67" i="5" s="1"/>
  <c r="L216" i="5"/>
  <c r="Q216" i="5" s="1"/>
  <c r="L136" i="5"/>
  <c r="Q136" i="5" s="1"/>
  <c r="K259" i="5"/>
  <c r="L259" i="5" s="1"/>
  <c r="Q259" i="5" s="1"/>
  <c r="L51" i="5"/>
  <c r="Q51" i="5" s="1"/>
  <c r="K225" i="5"/>
  <c r="L225" i="5" s="1"/>
  <c r="Q225" i="5" s="1"/>
  <c r="L34" i="5"/>
  <c r="Q34" i="5" s="1"/>
  <c r="K207" i="5"/>
  <c r="L207" i="5" s="1"/>
  <c r="Q207" i="5" s="1"/>
  <c r="L97" i="5"/>
  <c r="Q97" i="5" s="1"/>
  <c r="L26" i="5"/>
  <c r="Q26" i="5" s="1"/>
  <c r="L73" i="5"/>
  <c r="Q73" i="5" s="1"/>
  <c r="K229" i="5"/>
  <c r="L229" i="5" s="1"/>
  <c r="Q229" i="5" s="1"/>
  <c r="K236" i="5"/>
  <c r="L236" i="5" s="1"/>
  <c r="Q236" i="5" s="1"/>
  <c r="K214" i="5"/>
  <c r="L214" i="5" s="1"/>
  <c r="Q214" i="5" s="1"/>
  <c r="L137" i="5"/>
  <c r="Q137" i="5" s="1"/>
  <c r="L243" i="5"/>
  <c r="Q243" i="5" s="1"/>
  <c r="L135" i="5"/>
  <c r="Q135" i="5" s="1"/>
  <c r="K270" i="5"/>
  <c r="L270" i="5" s="1"/>
  <c r="Q270" i="5" s="1"/>
  <c r="K210" i="5"/>
  <c r="L210" i="5" s="1"/>
  <c r="Q210" i="5" s="1"/>
  <c r="L19" i="5"/>
  <c r="Q19" i="5" s="1"/>
  <c r="L260" i="5"/>
  <c r="Q260" i="5" s="1"/>
  <c r="L102" i="5"/>
  <c r="Q102" i="5" s="1"/>
  <c r="L79" i="5"/>
  <c r="Q79" i="5" s="1"/>
  <c r="K228" i="5"/>
  <c r="L228" i="5" s="1"/>
  <c r="Q228" i="5" s="1"/>
  <c r="K85" i="5"/>
  <c r="L85" i="5" s="1"/>
  <c r="Q85" i="5" s="1"/>
  <c r="L165" i="5"/>
  <c r="Q165" i="5" s="1"/>
  <c r="L32" i="5"/>
  <c r="Q32" i="5" s="1"/>
  <c r="L268" i="5"/>
  <c r="Q268" i="5" s="1"/>
  <c r="K217" i="5"/>
  <c r="L217" i="5" s="1"/>
  <c r="Q217" i="5" s="1"/>
  <c r="L42" i="5"/>
  <c r="Q42" i="5" s="1"/>
  <c r="L145" i="5"/>
  <c r="Q145" i="5" s="1"/>
  <c r="L59" i="5"/>
  <c r="Q59" i="5" s="1"/>
  <c r="L64" i="5"/>
  <c r="Q64" i="5" s="1"/>
  <c r="L99" i="5"/>
  <c r="Q99" i="5" s="1"/>
  <c r="L27" i="5"/>
  <c r="Q27" i="5" s="1"/>
  <c r="L77" i="5"/>
  <c r="Q77" i="5" s="1"/>
  <c r="L127" i="5"/>
  <c r="Q127" i="5" s="1"/>
  <c r="L75" i="5"/>
  <c r="Q75" i="5" s="1"/>
  <c r="L14" i="5"/>
  <c r="Q14" i="5" s="1"/>
  <c r="L123" i="5"/>
  <c r="Q123" i="5" s="1"/>
  <c r="K157" i="5"/>
  <c r="L157" i="5" s="1"/>
  <c r="Q157" i="5" s="1"/>
  <c r="L5" i="5"/>
  <c r="Q5" i="5" s="1"/>
  <c r="K195" i="5"/>
  <c r="L195" i="5" s="1"/>
  <c r="Q195" i="5" s="1"/>
  <c r="K170" i="5"/>
  <c r="L170" i="5" s="1"/>
  <c r="Q170" i="5" s="1"/>
  <c r="L153" i="5"/>
  <c r="Q153" i="5" s="1"/>
  <c r="L6" i="5"/>
  <c r="Q6" i="5" s="1"/>
  <c r="K189" i="5"/>
  <c r="L189" i="5" s="1"/>
  <c r="Q189" i="5" s="1"/>
  <c r="L148" i="5"/>
  <c r="Q148" i="5" s="1"/>
  <c r="L9" i="5"/>
  <c r="Q9" i="5" s="1"/>
  <c r="L200" i="5"/>
  <c r="Q200" i="5" s="1"/>
  <c r="K263" i="5"/>
  <c r="L263" i="5" s="1"/>
  <c r="Q263" i="5" s="1"/>
  <c r="K245" i="5"/>
  <c r="L245" i="5" s="1"/>
  <c r="Q245" i="5" s="1"/>
  <c r="K49" i="5"/>
  <c r="L49" i="5" s="1"/>
  <c r="Q49" i="5" s="1"/>
  <c r="L70" i="5"/>
  <c r="Q70" i="5" s="1"/>
  <c r="L154" i="5"/>
  <c r="Q154" i="5" s="1"/>
  <c r="P126" i="5"/>
  <c r="P176" i="5"/>
  <c r="P155" i="5"/>
  <c r="L29" i="5"/>
  <c r="Q29" i="5" s="1"/>
  <c r="L23" i="5"/>
  <c r="Q23" i="5" s="1"/>
  <c r="L175" i="5"/>
  <c r="Q175" i="5" s="1"/>
  <c r="L47" i="5"/>
  <c r="Q47" i="5" s="1"/>
  <c r="L53" i="5"/>
  <c r="Q53" i="5" s="1"/>
  <c r="L28" i="5"/>
  <c r="Q28" i="5" s="1"/>
  <c r="L169" i="5"/>
  <c r="Q169" i="5" s="1"/>
  <c r="L151" i="5"/>
  <c r="Q151" i="5" s="1"/>
  <c r="L66" i="5"/>
  <c r="Q66" i="5" s="1"/>
  <c r="L82" i="5"/>
  <c r="Q82" i="5" s="1"/>
  <c r="L94" i="5"/>
  <c r="Q94" i="5" s="1"/>
  <c r="L108" i="5"/>
  <c r="Q108" i="5" s="1"/>
  <c r="L180" i="5"/>
  <c r="Q180" i="5" s="1"/>
  <c r="L181" i="5"/>
  <c r="Q181" i="5" s="1"/>
  <c r="L95" i="5"/>
  <c r="Q95" i="5" s="1"/>
  <c r="L89" i="5"/>
  <c r="Q89" i="5" s="1"/>
  <c r="L61" i="5"/>
  <c r="Q61" i="5" s="1"/>
  <c r="L191" i="5"/>
  <c r="Q191" i="5" s="1"/>
  <c r="L203" i="5"/>
  <c r="Q203" i="5" s="1"/>
  <c r="L16" i="5"/>
  <c r="Q16" i="5" s="1"/>
  <c r="L24" i="5"/>
  <c r="Q24" i="5" s="1"/>
  <c r="L171" i="5"/>
  <c r="Q171" i="5" s="1"/>
  <c r="L273" i="5"/>
  <c r="Q273" i="5" s="1"/>
  <c r="L37" i="5"/>
  <c r="Q37" i="5" s="1"/>
  <c r="L80" i="5"/>
  <c r="Q80" i="5" s="1"/>
  <c r="L62" i="5"/>
  <c r="Q62" i="5" s="1"/>
  <c r="L167" i="5"/>
  <c r="Q167" i="5" s="1"/>
  <c r="L230" i="5"/>
  <c r="Q230" i="5" s="1"/>
  <c r="L103" i="5"/>
  <c r="Q103" i="5" s="1"/>
  <c r="L7" i="5"/>
  <c r="Q7" i="5" s="1"/>
  <c r="L39" i="5"/>
  <c r="Q39" i="5" s="1"/>
  <c r="L11" i="5"/>
  <c r="Q11" i="5" s="1"/>
  <c r="L205" i="5"/>
  <c r="Q205" i="5" s="1"/>
  <c r="L30" i="5"/>
  <c r="Q30" i="5" s="1"/>
  <c r="L173" i="5"/>
  <c r="Q173" i="5" s="1"/>
  <c r="L254" i="5"/>
  <c r="Q254" i="5" s="1"/>
  <c r="L177" i="5"/>
  <c r="Q177" i="5" s="1"/>
  <c r="L100" i="5"/>
  <c r="Q100" i="5" s="1"/>
  <c r="L115" i="5"/>
  <c r="Q115" i="5" s="1"/>
  <c r="L141" i="5"/>
  <c r="Q141" i="5" s="1"/>
  <c r="L267" i="5"/>
  <c r="Q267" i="5" s="1"/>
  <c r="L186" i="5"/>
  <c r="Q186" i="5" s="1"/>
  <c r="L112" i="5"/>
  <c r="Q112" i="5" s="1"/>
  <c r="L105" i="5"/>
  <c r="Q105" i="5" s="1"/>
  <c r="L132" i="5"/>
  <c r="Q132" i="5" s="1"/>
  <c r="L174" i="5"/>
  <c r="Q174" i="5" s="1"/>
  <c r="L179" i="5"/>
  <c r="Q179" i="5" s="1"/>
  <c r="L48" i="5"/>
  <c r="Q48" i="5" s="1"/>
  <c r="L117" i="5"/>
  <c r="Q117" i="5" s="1"/>
  <c r="L40" i="5"/>
  <c r="Q40" i="5" s="1"/>
  <c r="L194" i="5"/>
  <c r="Q194" i="5" s="1"/>
  <c r="L156" i="5"/>
  <c r="Q156" i="5" s="1"/>
  <c r="L237" i="5"/>
  <c r="Q237" i="5" s="1"/>
  <c r="L162" i="5"/>
  <c r="Q162" i="5" s="1"/>
  <c r="L275" i="5"/>
  <c r="Q275" i="5" s="1"/>
  <c r="L185" i="5"/>
  <c r="Q185" i="5" s="1"/>
  <c r="L111" i="5"/>
  <c r="Q111" i="5" s="1"/>
  <c r="L69" i="5"/>
  <c r="Q69" i="5" s="1"/>
  <c r="L187" i="5"/>
  <c r="Q187" i="5" s="1"/>
  <c r="L54" i="5"/>
  <c r="Q54" i="5" s="1"/>
  <c r="L18" i="5"/>
  <c r="Q18" i="5" s="1"/>
  <c r="L227" i="5"/>
  <c r="Q227" i="5" s="1"/>
  <c r="L140" i="5"/>
  <c r="Q140" i="5" s="1"/>
  <c r="L166" i="5"/>
  <c r="Q166" i="5" s="1"/>
  <c r="L43" i="5"/>
  <c r="Q43" i="5" s="1"/>
  <c r="L65" i="5"/>
  <c r="Q65" i="5" s="1"/>
  <c r="L143" i="5"/>
  <c r="Q143" i="5" s="1"/>
  <c r="L46" i="5"/>
  <c r="Q46" i="5" s="1"/>
  <c r="L17" i="5"/>
  <c r="Q17" i="5" s="1"/>
  <c r="L223" i="5"/>
  <c r="Q223" i="5" s="1"/>
  <c r="L199" i="5"/>
  <c r="Q199" i="5" s="1"/>
  <c r="L120" i="5"/>
  <c r="Q120" i="5" s="1"/>
  <c r="L138" i="5"/>
  <c r="Q138" i="5" s="1"/>
  <c r="L87" i="5"/>
  <c r="Q87" i="5" s="1"/>
  <c r="L86" i="5"/>
  <c r="Q86" i="5" s="1"/>
  <c r="L183" i="5"/>
  <c r="Q183" i="5" s="1"/>
  <c r="L161" i="5"/>
  <c r="Q161" i="5" s="1"/>
  <c r="L113" i="5"/>
  <c r="Q113" i="5" s="1"/>
  <c r="L265" i="5"/>
  <c r="Q265" i="5" s="1"/>
  <c r="L20" i="5"/>
  <c r="Q20" i="5" s="1"/>
  <c r="L33" i="5"/>
  <c r="Q33" i="5" s="1"/>
  <c r="L21" i="5"/>
  <c r="Q21" i="5" s="1"/>
  <c r="L277" i="5"/>
  <c r="Q277" i="5" s="1"/>
  <c r="L149" i="5"/>
  <c r="Q149" i="5" s="1"/>
  <c r="L271" i="5"/>
  <c r="Q271" i="5" s="1"/>
  <c r="L68" i="5"/>
  <c r="Q68" i="5" s="1"/>
  <c r="L50" i="5"/>
  <c r="Q50" i="5" s="1"/>
  <c r="L92" i="5"/>
  <c r="Q92" i="5" s="1"/>
  <c r="L25" i="5"/>
  <c r="Q25" i="5" s="1"/>
  <c r="L121" i="5"/>
  <c r="Q121" i="5" s="1"/>
  <c r="L22" i="5"/>
  <c r="Q22" i="5" s="1"/>
  <c r="L3" i="5"/>
  <c r="Q3" i="5" s="1"/>
  <c r="P260" i="5" l="1"/>
  <c r="P257" i="5"/>
  <c r="P216" i="5"/>
  <c r="P246" i="5"/>
  <c r="P247" i="5"/>
  <c r="P221" i="5"/>
  <c r="P268" i="5"/>
  <c r="P243" i="5"/>
  <c r="V3" i="5"/>
  <c r="U3" i="5"/>
  <c r="U246" i="5"/>
  <c r="V246" i="5"/>
  <c r="U243" i="5"/>
  <c r="V243" i="5"/>
  <c r="U239" i="5"/>
  <c r="V239" i="5"/>
  <c r="U251" i="5"/>
  <c r="V251" i="5"/>
  <c r="U250" i="5"/>
  <c r="V250" i="5"/>
  <c r="U221" i="5"/>
  <c r="V221" i="5"/>
  <c r="U216" i="5"/>
  <c r="V216" i="5"/>
  <c r="U219" i="5"/>
  <c r="V219" i="5"/>
  <c r="U242" i="5"/>
  <c r="V242" i="5"/>
  <c r="U260" i="5"/>
  <c r="V260" i="5"/>
  <c r="U208" i="5"/>
  <c r="V208" i="5"/>
  <c r="U176" i="5"/>
  <c r="V176" i="5"/>
  <c r="U276" i="5"/>
  <c r="V276" i="5"/>
  <c r="U257" i="5"/>
  <c r="V257" i="5"/>
  <c r="U155" i="5"/>
  <c r="V155" i="5"/>
  <c r="U268" i="5"/>
  <c r="V268" i="5"/>
  <c r="U240" i="5"/>
  <c r="V240" i="5"/>
  <c r="U247" i="5"/>
  <c r="V247" i="5"/>
  <c r="U249" i="5"/>
  <c r="V249" i="5"/>
  <c r="U126" i="5"/>
  <c r="V126" i="5"/>
  <c r="P197" i="5"/>
  <c r="P131" i="5"/>
  <c r="P138" i="5"/>
  <c r="P18" i="5"/>
  <c r="P141" i="5"/>
  <c r="P61" i="5"/>
  <c r="P28" i="5"/>
  <c r="P188" i="5"/>
  <c r="P149" i="5"/>
  <c r="P120" i="5"/>
  <c r="P54" i="5"/>
  <c r="P117" i="5"/>
  <c r="P115" i="5"/>
  <c r="P89" i="5"/>
  <c r="P53" i="5"/>
  <c r="P71" i="5"/>
  <c r="P44" i="5"/>
  <c r="P12" i="5"/>
  <c r="P79" i="5"/>
  <c r="P277" i="5"/>
  <c r="P199" i="5"/>
  <c r="P48" i="5"/>
  <c r="P100" i="5"/>
  <c r="P167" i="5"/>
  <c r="P95" i="5"/>
  <c r="P47" i="5"/>
  <c r="P158" i="5"/>
  <c r="P164" i="5"/>
  <c r="P38" i="5"/>
  <c r="P101" i="5"/>
  <c r="P76" i="5"/>
  <c r="P21" i="5"/>
  <c r="P179" i="5"/>
  <c r="P62" i="5"/>
  <c r="P181" i="5"/>
  <c r="P175" i="5"/>
  <c r="P190" i="5"/>
  <c r="P72" i="5"/>
  <c r="P75" i="5"/>
  <c r="P33" i="5"/>
  <c r="P17" i="5"/>
  <c r="P111" i="5"/>
  <c r="P174" i="5"/>
  <c r="P80" i="5"/>
  <c r="P23" i="5"/>
  <c r="P3" i="5"/>
  <c r="P15" i="5"/>
  <c r="P22" i="5"/>
  <c r="P20" i="5"/>
  <c r="P46" i="5"/>
  <c r="P37" i="5"/>
  <c r="P180" i="5"/>
  <c r="P29" i="5"/>
  <c r="P152" i="5"/>
  <c r="P129" i="5"/>
  <c r="P106" i="5"/>
  <c r="P121" i="5"/>
  <c r="P143" i="5"/>
  <c r="P132" i="5"/>
  <c r="P30" i="5"/>
  <c r="P202" i="5"/>
  <c r="P81" i="5"/>
  <c r="P10" i="5"/>
  <c r="P102" i="5"/>
  <c r="P204" i="5"/>
  <c r="P25" i="5"/>
  <c r="P113" i="5"/>
  <c r="P65" i="5"/>
  <c r="P162" i="5"/>
  <c r="P105" i="5"/>
  <c r="P205" i="5"/>
  <c r="P94" i="5"/>
  <c r="P119" i="5"/>
  <c r="P160" i="5"/>
  <c r="P83" i="5"/>
  <c r="P159" i="5"/>
  <c r="P78" i="5"/>
  <c r="P161" i="5"/>
  <c r="P43" i="5"/>
  <c r="P112" i="5"/>
  <c r="P11" i="5"/>
  <c r="P24" i="5"/>
  <c r="P82" i="5"/>
  <c r="P139" i="5"/>
  <c r="P182" i="5"/>
  <c r="P31" i="5"/>
  <c r="P92" i="5"/>
  <c r="P183" i="5"/>
  <c r="P166" i="5"/>
  <c r="P156" i="5"/>
  <c r="P186" i="5"/>
  <c r="P39" i="5"/>
  <c r="P16" i="5"/>
  <c r="P66" i="5"/>
  <c r="P193" i="5"/>
  <c r="P60" i="5"/>
  <c r="P134" i="5"/>
  <c r="P116" i="5"/>
  <c r="P163" i="5"/>
  <c r="P122" i="5"/>
  <c r="P198" i="5"/>
  <c r="P50" i="5"/>
  <c r="P86" i="5"/>
  <c r="P7" i="5"/>
  <c r="P203" i="5"/>
  <c r="P151" i="5"/>
  <c r="P104" i="5"/>
  <c r="P133" i="5"/>
  <c r="P57" i="5"/>
  <c r="P68" i="5"/>
  <c r="P87" i="5"/>
  <c r="P194" i="5"/>
  <c r="P103" i="5"/>
  <c r="P191" i="5"/>
  <c r="P169" i="5"/>
  <c r="P275" i="5"/>
  <c r="P273" i="5"/>
  <c r="P108" i="5"/>
  <c r="P215" i="5"/>
  <c r="P237" i="5"/>
  <c r="P212" i="5"/>
  <c r="P140" i="5"/>
  <c r="P267" i="5"/>
  <c r="P255" i="5"/>
  <c r="P238" i="5"/>
  <c r="P227" i="5"/>
  <c r="P171" i="5"/>
  <c r="P271" i="5"/>
  <c r="P40" i="5"/>
  <c r="P248" i="5"/>
  <c r="P262" i="5"/>
  <c r="P230" i="5"/>
  <c r="P220" i="5"/>
  <c r="P269" i="5"/>
  <c r="P187" i="5"/>
  <c r="P146" i="5"/>
  <c r="P223" i="5"/>
  <c r="P69" i="5"/>
  <c r="P177" i="5"/>
  <c r="P244" i="5"/>
  <c r="P254" i="5"/>
  <c r="P265" i="5"/>
  <c r="P233" i="5"/>
  <c r="P185" i="5"/>
  <c r="P173" i="5"/>
  <c r="U146" i="5" l="1"/>
  <c r="V146" i="5"/>
  <c r="U248" i="5"/>
  <c r="V248" i="5"/>
  <c r="V255" i="5"/>
  <c r="U255" i="5"/>
  <c r="U108" i="5"/>
  <c r="V108" i="5"/>
  <c r="U194" i="5"/>
  <c r="V194" i="5"/>
  <c r="U151" i="5"/>
  <c r="V151" i="5"/>
  <c r="U198" i="5"/>
  <c r="V198" i="5"/>
  <c r="U193" i="5"/>
  <c r="V193" i="5"/>
  <c r="U166" i="5"/>
  <c r="V166" i="5"/>
  <c r="U82" i="5"/>
  <c r="V82" i="5"/>
  <c r="U78" i="5"/>
  <c r="V78" i="5"/>
  <c r="U205" i="5"/>
  <c r="V205" i="5"/>
  <c r="U204" i="5"/>
  <c r="V204" i="5"/>
  <c r="U132" i="5"/>
  <c r="V132" i="5"/>
  <c r="U29" i="5"/>
  <c r="V29" i="5"/>
  <c r="U15" i="5"/>
  <c r="V15" i="5"/>
  <c r="U62" i="5"/>
  <c r="V62" i="5"/>
  <c r="U71" i="5"/>
  <c r="V71" i="5"/>
  <c r="U253" i="5"/>
  <c r="V253" i="5"/>
  <c r="U40" i="5"/>
  <c r="V40" i="5"/>
  <c r="U273" i="5"/>
  <c r="V273" i="5"/>
  <c r="U203" i="5"/>
  <c r="V203" i="5"/>
  <c r="U122" i="5"/>
  <c r="V122" i="5"/>
  <c r="U66" i="5"/>
  <c r="V66" i="5"/>
  <c r="U183" i="5"/>
  <c r="V183" i="5"/>
  <c r="U24" i="5"/>
  <c r="V24" i="5"/>
  <c r="U159" i="5"/>
  <c r="V159" i="5"/>
  <c r="U105" i="5"/>
  <c r="V105" i="5"/>
  <c r="U102" i="5"/>
  <c r="V102" i="5"/>
  <c r="U143" i="5"/>
  <c r="V143" i="5"/>
  <c r="U180" i="5"/>
  <c r="V180" i="5"/>
  <c r="U254" i="5"/>
  <c r="V254" i="5"/>
  <c r="U267" i="5"/>
  <c r="V267" i="5"/>
  <c r="U87" i="5"/>
  <c r="V87" i="5"/>
  <c r="U252" i="5"/>
  <c r="V252" i="5"/>
  <c r="U23" i="5"/>
  <c r="V23" i="5"/>
  <c r="U75" i="5"/>
  <c r="V75" i="5"/>
  <c r="U179" i="5"/>
  <c r="V179" i="5"/>
  <c r="U158" i="5"/>
  <c r="V158" i="5"/>
  <c r="U199" i="5"/>
  <c r="V199" i="5"/>
  <c r="U53" i="5"/>
  <c r="V53" i="5"/>
  <c r="U149" i="5"/>
  <c r="V149" i="5"/>
  <c r="U138" i="5"/>
  <c r="V138" i="5"/>
  <c r="U269" i="5"/>
  <c r="V269" i="5"/>
  <c r="U140" i="5"/>
  <c r="V140" i="5"/>
  <c r="U68" i="5"/>
  <c r="V68" i="5"/>
  <c r="U163" i="5"/>
  <c r="V163" i="5"/>
  <c r="U16" i="5"/>
  <c r="V16" i="5"/>
  <c r="U92" i="5"/>
  <c r="V92" i="5"/>
  <c r="U11" i="5"/>
  <c r="V11" i="5"/>
  <c r="U83" i="5"/>
  <c r="V83" i="5"/>
  <c r="U162" i="5"/>
  <c r="V162" i="5"/>
  <c r="U10" i="5"/>
  <c r="V10" i="5"/>
  <c r="U121" i="5"/>
  <c r="V121" i="5"/>
  <c r="U37" i="5"/>
  <c r="V37" i="5"/>
  <c r="U234" i="5"/>
  <c r="V234" i="5"/>
  <c r="U120" i="5"/>
  <c r="V120" i="5"/>
  <c r="U244" i="5"/>
  <c r="V244" i="5"/>
  <c r="U271" i="5"/>
  <c r="V271" i="5"/>
  <c r="U275" i="5"/>
  <c r="V275" i="5"/>
  <c r="U7" i="5"/>
  <c r="V7" i="5"/>
  <c r="U80" i="5"/>
  <c r="V80" i="5"/>
  <c r="U72" i="5"/>
  <c r="V72" i="5"/>
  <c r="U21" i="5"/>
  <c r="V21" i="5"/>
  <c r="U47" i="5"/>
  <c r="V47" i="5"/>
  <c r="U277" i="5"/>
  <c r="V277" i="5"/>
  <c r="U89" i="5"/>
  <c r="V89" i="5"/>
  <c r="U188" i="5"/>
  <c r="V188" i="5"/>
  <c r="U131" i="5"/>
  <c r="V131" i="5"/>
  <c r="U258" i="5"/>
  <c r="V258" i="5"/>
  <c r="U177" i="5"/>
  <c r="V177" i="5"/>
  <c r="U171" i="5"/>
  <c r="V171" i="5"/>
  <c r="U169" i="5"/>
  <c r="V169" i="5"/>
  <c r="U116" i="5"/>
  <c r="V116" i="5"/>
  <c r="U39" i="5"/>
  <c r="V39" i="5"/>
  <c r="U31" i="5"/>
  <c r="V31" i="5"/>
  <c r="U112" i="5"/>
  <c r="V112" i="5"/>
  <c r="U160" i="5"/>
  <c r="V160" i="5"/>
  <c r="U65" i="5"/>
  <c r="V65" i="5"/>
  <c r="U81" i="5"/>
  <c r="V81" i="5"/>
  <c r="U106" i="5"/>
  <c r="V106" i="5"/>
  <c r="U46" i="5"/>
  <c r="V46" i="5"/>
  <c r="U222" i="5"/>
  <c r="V222" i="5"/>
  <c r="U18" i="5"/>
  <c r="V18" i="5"/>
  <c r="U187" i="5"/>
  <c r="V187" i="5"/>
  <c r="U173" i="5"/>
  <c r="V173" i="5"/>
  <c r="U220" i="5"/>
  <c r="V220" i="5"/>
  <c r="U212" i="5"/>
  <c r="V212" i="5"/>
  <c r="U57" i="5"/>
  <c r="V57" i="5"/>
  <c r="U174" i="5"/>
  <c r="V174" i="5"/>
  <c r="U190" i="5"/>
  <c r="V190" i="5"/>
  <c r="U76" i="5"/>
  <c r="V76" i="5"/>
  <c r="U95" i="5"/>
  <c r="V95" i="5"/>
  <c r="U79" i="5"/>
  <c r="V79" i="5"/>
  <c r="U115" i="5"/>
  <c r="V115" i="5"/>
  <c r="U28" i="5"/>
  <c r="V28" i="5"/>
  <c r="U197" i="5"/>
  <c r="V197" i="5"/>
  <c r="U265" i="5"/>
  <c r="V265" i="5"/>
  <c r="U191" i="5"/>
  <c r="V191" i="5"/>
  <c r="U202" i="5"/>
  <c r="V202" i="5"/>
  <c r="U164" i="5"/>
  <c r="V164" i="5"/>
  <c r="U69" i="5"/>
  <c r="V69" i="5"/>
  <c r="U237" i="5"/>
  <c r="V237" i="5"/>
  <c r="U134" i="5"/>
  <c r="V134" i="5"/>
  <c r="U182" i="5"/>
  <c r="V182" i="5"/>
  <c r="U43" i="5"/>
  <c r="V43" i="5"/>
  <c r="U113" i="5"/>
  <c r="V113" i="5"/>
  <c r="U20" i="5"/>
  <c r="V20" i="5"/>
  <c r="U111" i="5"/>
  <c r="V111" i="5"/>
  <c r="U175" i="5"/>
  <c r="V175" i="5"/>
  <c r="U101" i="5"/>
  <c r="V101" i="5"/>
  <c r="U167" i="5"/>
  <c r="V167" i="5"/>
  <c r="U12" i="5"/>
  <c r="V12" i="5"/>
  <c r="U117" i="5"/>
  <c r="V117" i="5"/>
  <c r="U61" i="5"/>
  <c r="V61" i="5"/>
  <c r="U33" i="5"/>
  <c r="V33" i="5"/>
  <c r="U185" i="5"/>
  <c r="V185" i="5"/>
  <c r="U227" i="5"/>
  <c r="V227" i="5"/>
  <c r="U133" i="5"/>
  <c r="V133" i="5"/>
  <c r="U186" i="5"/>
  <c r="V186" i="5"/>
  <c r="U119" i="5"/>
  <c r="V119" i="5"/>
  <c r="U233" i="5"/>
  <c r="V233" i="5"/>
  <c r="U223" i="5"/>
  <c r="V223" i="5"/>
  <c r="U262" i="5"/>
  <c r="V262" i="5"/>
  <c r="U238" i="5"/>
  <c r="V238" i="5"/>
  <c r="U215" i="5"/>
  <c r="V215" i="5"/>
  <c r="U103" i="5"/>
  <c r="V103" i="5"/>
  <c r="U104" i="5"/>
  <c r="V104" i="5"/>
  <c r="U50" i="5"/>
  <c r="V50" i="5"/>
  <c r="U60" i="5"/>
  <c r="V60" i="5"/>
  <c r="U156" i="5"/>
  <c r="V156" i="5"/>
  <c r="U139" i="5"/>
  <c r="V139" i="5"/>
  <c r="U161" i="5"/>
  <c r="V161" i="5"/>
  <c r="U94" i="5"/>
  <c r="V94" i="5"/>
  <c r="U25" i="5"/>
  <c r="V25" i="5"/>
  <c r="U30" i="5"/>
  <c r="V30" i="5"/>
  <c r="U152" i="5"/>
  <c r="V152" i="5"/>
  <c r="U22" i="5"/>
  <c r="V22" i="5"/>
  <c r="U48" i="5"/>
  <c r="V48" i="5"/>
  <c r="U230" i="5"/>
  <c r="V230" i="5"/>
  <c r="U86" i="5"/>
  <c r="V86" i="5"/>
  <c r="U129" i="5"/>
  <c r="V129" i="5"/>
  <c r="U241" i="5"/>
  <c r="V241" i="5"/>
  <c r="U17" i="5"/>
  <c r="V17" i="5"/>
  <c r="U181" i="5"/>
  <c r="V181" i="5"/>
  <c r="U38" i="5"/>
  <c r="V38" i="5"/>
  <c r="U100" i="5"/>
  <c r="V100" i="5"/>
  <c r="U44" i="5"/>
  <c r="V44" i="5"/>
  <c r="U54" i="5"/>
  <c r="V54" i="5"/>
  <c r="U141" i="5"/>
  <c r="V141" i="5"/>
  <c r="P36" i="5"/>
  <c r="P74" i="5"/>
  <c r="P200" i="5"/>
  <c r="P6" i="5"/>
  <c r="P153" i="5"/>
  <c r="P77" i="5"/>
  <c r="P14" i="5"/>
  <c r="P144" i="5"/>
  <c r="P45" i="5"/>
  <c r="P127" i="5"/>
  <c r="P4" i="5"/>
  <c r="P93" i="5"/>
  <c r="P49" i="5"/>
  <c r="P170" i="5"/>
  <c r="P8" i="5"/>
  <c r="P130" i="5"/>
  <c r="P35" i="5"/>
  <c r="P128" i="5"/>
  <c r="P114" i="5"/>
  <c r="P55" i="5"/>
  <c r="P51" i="5"/>
  <c r="P58" i="5"/>
  <c r="P201" i="5"/>
  <c r="P90" i="5"/>
  <c r="P178" i="5"/>
  <c r="P88" i="5"/>
  <c r="P118" i="5"/>
  <c r="P70" i="5"/>
  <c r="P42" i="5"/>
  <c r="P63" i="5"/>
  <c r="P27" i="5"/>
  <c r="P32" i="5"/>
  <c r="P73" i="5"/>
  <c r="P142" i="5"/>
  <c r="P99" i="5"/>
  <c r="P154" i="5"/>
  <c r="P85" i="5"/>
  <c r="P84" i="5"/>
  <c r="P107" i="5"/>
  <c r="P67" i="5"/>
  <c r="P123" i="5"/>
  <c r="P165" i="5"/>
  <c r="P125" i="5"/>
  <c r="P97" i="5"/>
  <c r="P109" i="5"/>
  <c r="P124" i="5"/>
  <c r="P64" i="5"/>
  <c r="P96" i="5"/>
  <c r="P135" i="5"/>
  <c r="P136" i="5"/>
  <c r="P13" i="5"/>
  <c r="P157" i="5"/>
  <c r="P59" i="5"/>
  <c r="P5" i="5"/>
  <c r="P172" i="5"/>
  <c r="P148" i="5"/>
  <c r="P56" i="5"/>
  <c r="P34" i="5"/>
  <c r="P150" i="5"/>
  <c r="P91" i="5"/>
  <c r="P195" i="5"/>
  <c r="P19" i="5"/>
  <c r="P26" i="5"/>
  <c r="P168" i="5"/>
  <c r="P9" i="5"/>
  <c r="P52" i="5"/>
  <c r="P137" i="5"/>
  <c r="P98" i="5"/>
  <c r="P147" i="5"/>
  <c r="P145" i="5"/>
  <c r="P231" i="5"/>
  <c r="P266" i="5"/>
  <c r="P209" i="5"/>
  <c r="P184" i="5"/>
  <c r="P263" i="5"/>
  <c r="P110" i="5"/>
  <c r="P245" i="5"/>
  <c r="P259" i="5"/>
  <c r="P229" i="5"/>
  <c r="P261" i="5"/>
  <c r="P213" i="5"/>
  <c r="P210" i="5"/>
  <c r="P235" i="5"/>
  <c r="P256" i="5"/>
  <c r="P206" i="5"/>
  <c r="P226" i="5"/>
  <c r="P272" i="5"/>
  <c r="P225" i="5"/>
  <c r="P192" i="5"/>
  <c r="P214" i="5"/>
  <c r="P207" i="5"/>
  <c r="P217" i="5"/>
  <c r="P218" i="5"/>
  <c r="P196" i="5"/>
  <c r="P189" i="5"/>
  <c r="P232" i="5"/>
  <c r="P270" i="5"/>
  <c r="P41" i="5"/>
  <c r="P224" i="5"/>
  <c r="P211" i="5"/>
  <c r="P236" i="5"/>
  <c r="P228" i="5"/>
  <c r="P274" i="5"/>
  <c r="P264" i="5"/>
  <c r="U245" i="5" l="1"/>
  <c r="V245" i="5"/>
  <c r="U41" i="5"/>
  <c r="V41" i="5"/>
  <c r="U274" i="5"/>
  <c r="V274" i="5"/>
  <c r="U229" i="5"/>
  <c r="V229" i="5"/>
  <c r="U195" i="5"/>
  <c r="V195" i="5"/>
  <c r="U59" i="5"/>
  <c r="V59" i="5"/>
  <c r="U236" i="5"/>
  <c r="V236" i="5"/>
  <c r="U123" i="5"/>
  <c r="V123" i="5"/>
  <c r="U110" i="5"/>
  <c r="V110" i="5"/>
  <c r="U145" i="5"/>
  <c r="V145" i="5"/>
  <c r="U168" i="5"/>
  <c r="V168" i="5"/>
  <c r="U34" i="5"/>
  <c r="V34" i="5"/>
  <c r="U157" i="5"/>
  <c r="V157" i="5"/>
  <c r="U124" i="5"/>
  <c r="V124" i="5"/>
  <c r="U67" i="5"/>
  <c r="V67" i="5"/>
  <c r="U142" i="5"/>
  <c r="V142" i="5"/>
  <c r="U70" i="5"/>
  <c r="V70" i="5"/>
  <c r="U58" i="5"/>
  <c r="V58" i="5"/>
  <c r="U130" i="5"/>
  <c r="V130" i="5"/>
  <c r="U127" i="5"/>
  <c r="V127" i="5"/>
  <c r="U6" i="5"/>
  <c r="V6" i="5"/>
  <c r="U64" i="5"/>
  <c r="V64" i="5"/>
  <c r="U150" i="5"/>
  <c r="V150" i="5"/>
  <c r="U35" i="5"/>
  <c r="V35" i="5"/>
  <c r="U210" i="5"/>
  <c r="V210" i="5"/>
  <c r="U147" i="5"/>
  <c r="V147" i="5"/>
  <c r="U26" i="5"/>
  <c r="V26" i="5"/>
  <c r="U13" i="5"/>
  <c r="V13" i="5"/>
  <c r="U109" i="5"/>
  <c r="V109" i="5"/>
  <c r="U107" i="5"/>
  <c r="V107" i="5"/>
  <c r="U73" i="5"/>
  <c r="V73" i="5"/>
  <c r="U118" i="5"/>
  <c r="V118" i="5"/>
  <c r="U51" i="5"/>
  <c r="V51" i="5"/>
  <c r="U8" i="5"/>
  <c r="V8" i="5"/>
  <c r="U45" i="5"/>
  <c r="V45" i="5"/>
  <c r="U200" i="5"/>
  <c r="V200" i="5"/>
  <c r="U189" i="5"/>
  <c r="V189" i="5"/>
  <c r="U99" i="5"/>
  <c r="V99" i="5"/>
  <c r="U225" i="5"/>
  <c r="V225" i="5"/>
  <c r="U213" i="5"/>
  <c r="V213" i="5"/>
  <c r="U56" i="5"/>
  <c r="V56" i="5"/>
  <c r="U235" i="5"/>
  <c r="V235" i="5"/>
  <c r="U264" i="5"/>
  <c r="V264" i="5"/>
  <c r="U261" i="5"/>
  <c r="V261" i="5"/>
  <c r="U19" i="5"/>
  <c r="V19" i="5"/>
  <c r="U148" i="5"/>
  <c r="V148" i="5"/>
  <c r="U97" i="5"/>
  <c r="V97" i="5"/>
  <c r="U84" i="5"/>
  <c r="V84" i="5"/>
  <c r="U32" i="5"/>
  <c r="V32" i="5"/>
  <c r="U88" i="5"/>
  <c r="V88" i="5"/>
  <c r="U55" i="5"/>
  <c r="V55" i="5"/>
  <c r="U170" i="5"/>
  <c r="V170" i="5"/>
  <c r="U144" i="5"/>
  <c r="V144" i="5"/>
  <c r="U74" i="5"/>
  <c r="V74" i="5"/>
  <c r="U42" i="5"/>
  <c r="V42" i="5"/>
  <c r="U224" i="5"/>
  <c r="V224" i="5"/>
  <c r="U226" i="5"/>
  <c r="V226" i="5"/>
  <c r="U98" i="5"/>
  <c r="V98" i="5"/>
  <c r="U136" i="5"/>
  <c r="V136" i="5"/>
  <c r="U192" i="5"/>
  <c r="V192" i="5"/>
  <c r="U153" i="5"/>
  <c r="V153" i="5"/>
  <c r="U263" i="5"/>
  <c r="V263" i="5"/>
  <c r="U206" i="5"/>
  <c r="V206" i="5"/>
  <c r="U137" i="5"/>
  <c r="V137" i="5"/>
  <c r="U135" i="5"/>
  <c r="V135" i="5"/>
  <c r="U125" i="5"/>
  <c r="V125" i="5"/>
  <c r="U85" i="5"/>
  <c r="V85" i="5"/>
  <c r="U27" i="5"/>
  <c r="V27" i="5"/>
  <c r="U178" i="5"/>
  <c r="V178" i="5"/>
  <c r="U114" i="5"/>
  <c r="V114" i="5"/>
  <c r="U49" i="5"/>
  <c r="V49" i="5"/>
  <c r="U14" i="5"/>
  <c r="V14" i="5"/>
  <c r="U36" i="5"/>
  <c r="V36" i="5"/>
  <c r="U231" i="5"/>
  <c r="V231" i="5"/>
  <c r="U4" i="5"/>
  <c r="V4" i="5"/>
  <c r="U211" i="5"/>
  <c r="V211" i="5"/>
  <c r="U218" i="5"/>
  <c r="V218" i="5"/>
  <c r="U217" i="5"/>
  <c r="V217" i="5"/>
  <c r="U270" i="5"/>
  <c r="V270" i="5"/>
  <c r="U9" i="5"/>
  <c r="V9" i="5"/>
  <c r="U201" i="5"/>
  <c r="V201" i="5"/>
  <c r="U196" i="5"/>
  <c r="V196" i="5"/>
  <c r="U272" i="5"/>
  <c r="V272" i="5"/>
  <c r="U184" i="5"/>
  <c r="V184" i="5"/>
  <c r="U207" i="5"/>
  <c r="V207" i="5"/>
  <c r="U209" i="5"/>
  <c r="V209" i="5"/>
  <c r="U172" i="5"/>
  <c r="V172" i="5"/>
  <c r="U228" i="5"/>
  <c r="V228" i="5"/>
  <c r="U232" i="5"/>
  <c r="V232" i="5"/>
  <c r="U214" i="5"/>
  <c r="V214" i="5"/>
  <c r="U256" i="5"/>
  <c r="V256" i="5"/>
  <c r="U259" i="5"/>
  <c r="V259" i="5"/>
  <c r="U266" i="5"/>
  <c r="V266" i="5"/>
  <c r="U52" i="5"/>
  <c r="V52" i="5"/>
  <c r="U91" i="5"/>
  <c r="V91" i="5"/>
  <c r="U5" i="5"/>
  <c r="V5" i="5"/>
  <c r="U96" i="5"/>
  <c r="V96" i="5"/>
  <c r="U165" i="5"/>
  <c r="V165" i="5"/>
  <c r="U154" i="5"/>
  <c r="V154" i="5"/>
  <c r="U63" i="5"/>
  <c r="V63" i="5"/>
  <c r="U90" i="5"/>
  <c r="V90" i="5"/>
  <c r="U128" i="5"/>
  <c r="V128" i="5"/>
  <c r="U93" i="5"/>
  <c r="V93" i="5"/>
  <c r="U77" i="5"/>
  <c r="V77" i="5"/>
  <c r="Q19" i="9"/>
  <c r="Q8" i="9"/>
  <c r="Q14" i="9"/>
  <c r="Q11" i="9"/>
  <c r="Q13" i="9"/>
  <c r="Q20" i="9"/>
  <c r="Q17" i="9"/>
  <c r="Q23" i="9"/>
  <c r="Q5" i="9"/>
  <c r="Q7" i="9"/>
  <c r="Q2" i="9"/>
  <c r="Q3" i="9"/>
  <c r="Q4" i="9"/>
  <c r="Q18" i="9"/>
  <c r="Q9" i="9"/>
  <c r="Q10" i="9"/>
  <c r="Q15" i="9"/>
  <c r="Q22" i="9"/>
  <c r="Q6" i="9"/>
  <c r="Q21" i="9"/>
  <c r="Q12" i="9"/>
  <c r="Q16" i="9"/>
  <c r="E3" i="10"/>
  <c r="F3" i="10"/>
  <c r="G3" i="10"/>
  <c r="O3" i="10"/>
  <c r="Q3" i="10" s="1"/>
  <c r="D3" i="10"/>
  <c r="P3" i="10"/>
  <c r="R3" i="10" s="1"/>
  <c r="V1" i="5" l="1"/>
  <c r="U1" i="5"/>
  <c r="R13" i="10" l="1"/>
  <c r="W1" i="10"/>
  <c r="I5" i="6" l="1"/>
  <c r="I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C526B9-ED86-429F-99F3-227F69015749}" keepAlive="1" name="Запрос — штат" description="Соединение с запросом &quot;штат&quot; в книге." type="5" refreshedVersion="7" background="1" saveData="1">
    <dbPr connection="Provider=Microsoft.Mashup.OleDb.1;Data Source=$Workbook$;Location=штат;Extended Properties=&quot;&quot;" command="SELECT * FROM [штат]"/>
  </connection>
</connections>
</file>

<file path=xl/sharedStrings.xml><?xml version="1.0" encoding="utf-8"?>
<sst xmlns="http://schemas.openxmlformats.org/spreadsheetml/2006/main" count="4240" uniqueCount="1026">
  <si>
    <t>№ п.п.</t>
  </si>
  <si>
    <t>Цена</t>
  </si>
  <si>
    <t>Примечания</t>
  </si>
  <si>
    <t>введите кол-во заказа</t>
  </si>
  <si>
    <t>диагностика авто</t>
  </si>
  <si>
    <t>смотреть</t>
  </si>
  <si>
    <r>
      <t>"</t>
    </r>
    <r>
      <rPr>
        <b/>
        <sz val="10"/>
        <rFont val="Arial"/>
        <family val="2"/>
        <charset val="204"/>
      </rPr>
      <t>АЗ-1</t>
    </r>
    <r>
      <rPr>
        <sz val="10"/>
        <rFont val="Arial"/>
        <family val="2"/>
        <charset val="204"/>
      </rPr>
      <t xml:space="preserve">"  Аварйное зажигание              </t>
    </r>
  </si>
  <si>
    <r>
      <t>"</t>
    </r>
    <r>
      <rPr>
        <b/>
        <sz val="10"/>
        <rFont val="Arial"/>
        <family val="2"/>
        <charset val="204"/>
      </rPr>
      <t>АЗ-2</t>
    </r>
    <r>
      <rPr>
        <sz val="10"/>
        <rFont val="Arial"/>
        <family val="2"/>
        <charset val="204"/>
      </rPr>
      <t xml:space="preserve">"  Аварйное зажигание              </t>
    </r>
  </si>
  <si>
    <t>см. АЗ-1</t>
  </si>
  <si>
    <t xml:space="preserve">=Антенна Орион А-25                     </t>
  </si>
  <si>
    <t>=Антенный усилитель Орион А-10</t>
  </si>
  <si>
    <t xml:space="preserve">=Датчики парковки РU4-ТС 4 датч. для компьютеров Мультитроникс Сереб., Чёрн              </t>
  </si>
  <si>
    <t xml:space="preserve">=Разъем с кабелем OBD-II + ВАЗ GM                          </t>
  </si>
  <si>
    <t xml:space="preserve">=Разъем-переходник с OBD-II на ВАЗ GM (старая прямоугольная колодка)                         </t>
  </si>
  <si>
    <t xml:space="preserve">=Штат ДСТ-2 диагностич.сканер тестер ВАЗ, ГАЗ </t>
  </si>
  <si>
    <t>=Штат ДСТ-мини диагностич.сканер тестер ВАЗ</t>
  </si>
  <si>
    <t>=Штат 600M на Ваз, иномарки на торпедо или стекло</t>
  </si>
  <si>
    <t>=Штат 219 Х6 Гранта, Калина-2 ЖК дисплей  USB разьём</t>
  </si>
  <si>
    <t xml:space="preserve">=Штат 404ML ДЭУ                               </t>
  </si>
  <si>
    <t xml:space="preserve">=Штат Классик_07 Х1 в виде кнопки             </t>
  </si>
  <si>
    <t xml:space="preserve">=ШТАТ Магнум 110 Х6 РЖБ                 </t>
  </si>
  <si>
    <t xml:space="preserve">=Штат ПРИОРА-Матрикс вместо часов OLED дисплей </t>
  </si>
  <si>
    <t>=Штат текстовый  Шеви-MATRIX-М + модели 2011г выпуска</t>
  </si>
  <si>
    <t xml:space="preserve">=Штат Х1М UN в виде кнопки  на 2115, Калину, Шеви,2110 Европанель                    </t>
  </si>
  <si>
    <t xml:space="preserve">=Штат Х1Р Приора в виде кнопки                     </t>
  </si>
  <si>
    <t xml:space="preserve">=Штат Х4 110 син.                       </t>
  </si>
  <si>
    <t xml:space="preserve">=Штат Х-33 в виде кнопки 2110 Старая панель                   </t>
  </si>
  <si>
    <t xml:space="preserve">=ШТАТ__115_Х42 РЖБ   многоцвет.подсветка    Голос               </t>
  </si>
  <si>
    <t xml:space="preserve">=Штат_110_Х5_РЖБ  многоцвет.подсветка  Голос                   </t>
  </si>
  <si>
    <t xml:space="preserve">=Штат_115_Х23_Син.                      </t>
  </si>
  <si>
    <t xml:space="preserve">=Штат_115_Х24_РЖБ. многоцвет.подсветка    Голос                 </t>
  </si>
  <si>
    <t>=Штат проводка на 213/214 Ниву. Для установки любого 115 компьютера Штат</t>
  </si>
  <si>
    <t>=Штат сенсорный выключатель TS-T с фиксацией</t>
  </si>
  <si>
    <t>=Штат сенсорный выключатель TS  без фиксации</t>
  </si>
  <si>
    <t>=Штат USB K-Line для обновления ПО компьютеров Штат. Прошивка ЭБУ</t>
  </si>
  <si>
    <t xml:space="preserve">БК-03 тахометр электронный +часы,V,УЗСК </t>
  </si>
  <si>
    <t>БК-06 тахометр электронный +часы,V,УЗСК, термометр наружн. Воздуха</t>
  </si>
  <si>
    <t xml:space="preserve">БК-08 тахометр на дизель +часы ,V       </t>
  </si>
  <si>
    <t>Вилка нагрузочная НВ-02 стрелочная</t>
  </si>
  <si>
    <t xml:space="preserve">Вилка прикуривателя с предохранителем  и светодиодом </t>
  </si>
  <si>
    <r>
      <rPr>
        <b/>
        <sz val="10"/>
        <rFont val="Arial"/>
        <family val="2"/>
        <charset val="204"/>
      </rPr>
      <t>Гнездо-вставка</t>
    </r>
    <r>
      <rPr>
        <sz val="10"/>
        <rFont val="Arial"/>
        <family val="2"/>
        <charset val="204"/>
      </rPr>
      <t xml:space="preserve"> в туннель пола Гранта и др.</t>
    </r>
  </si>
  <si>
    <t>Зарядное устройство Вымпел-27 7 Ампер ЖК индикатор</t>
  </si>
  <si>
    <t>Датчик дождя ДДА-25 на2108 нов блок предох, 2115, Калина, Приора</t>
  </si>
  <si>
    <t>Датчик дождя ДДА-35 на разные авто, через клеммы</t>
  </si>
  <si>
    <t>Датчик дождя ДДА-45  Гранта-люкс и подобное</t>
  </si>
  <si>
    <t>Датчик дождя ДДА-55 универсальный</t>
  </si>
  <si>
    <r>
      <t xml:space="preserve">Имитатор датчика скорости </t>
    </r>
    <r>
      <rPr>
        <b/>
        <sz val="10"/>
        <rFont val="Arial"/>
        <family val="2"/>
        <charset val="204"/>
      </rPr>
      <t>"ИДС"</t>
    </r>
    <r>
      <rPr>
        <sz val="10"/>
        <rFont val="Arial"/>
        <family val="2"/>
        <charset val="204"/>
      </rPr>
      <t xml:space="preserve"> (намотка показаний одометра)</t>
    </r>
  </si>
  <si>
    <r>
      <t xml:space="preserve">Индикатор толщины краски/шпатлёвки </t>
    </r>
    <r>
      <rPr>
        <b/>
        <sz val="10"/>
        <rFont val="Arial"/>
        <family val="2"/>
        <charset val="204"/>
      </rPr>
      <t>"ИТ-01"</t>
    </r>
    <r>
      <rPr>
        <sz val="10"/>
        <rFont val="Arial"/>
        <family val="2"/>
        <charset val="204"/>
      </rPr>
      <t xml:space="preserve">  Цифровой, точность 1 микрон</t>
    </r>
  </si>
  <si>
    <r>
      <t xml:space="preserve">Индикатор лакокрасочного покрытия </t>
    </r>
    <r>
      <rPr>
        <b/>
        <sz val="10"/>
        <rFont val="Arial"/>
        <family val="2"/>
        <charset val="204"/>
      </rPr>
      <t xml:space="preserve">АвтоЛакТест  </t>
    </r>
    <r>
      <rPr>
        <sz val="10"/>
        <rFont val="Arial"/>
        <family val="2"/>
        <charset val="204"/>
      </rPr>
      <t xml:space="preserve"> </t>
    </r>
    <r>
      <rPr>
        <b/>
        <sz val="10"/>
        <color indexed="10"/>
        <rFont val="Arial"/>
        <family val="2"/>
        <charset val="204"/>
      </rPr>
      <t>На смартфоне</t>
    </r>
  </si>
  <si>
    <t>Индикатор t* двигателя (в виде кнопки) Гранта, Приора, Калина-2 с CAN-шиной</t>
  </si>
  <si>
    <t>Индикатор t* двигателя на VW Polo</t>
  </si>
  <si>
    <t>Индикатор t* двигателя+диагностика универсальный на липучке для CAN (на отечеств. и некоторые иномарки)</t>
  </si>
  <si>
    <t>Индикатор напряжения борсети на VW Polo</t>
  </si>
  <si>
    <t>"ИНА-3" Светодиодный индикатор напряжения в прикуриватель</t>
  </si>
  <si>
    <r>
      <rPr>
        <b/>
        <sz val="10"/>
        <rFont val="Arial"/>
        <family val="2"/>
        <charset val="204"/>
      </rPr>
      <t>"ИН" Малый</t>
    </r>
    <r>
      <rPr>
        <sz val="10"/>
        <rFont val="Arial"/>
        <family val="2"/>
        <charset val="204"/>
      </rPr>
      <t>, 1см. Цифровой индикатор борт сети в прикур. 3-30V</t>
    </r>
  </si>
  <si>
    <r>
      <rPr>
        <b/>
        <sz val="10"/>
        <rFont val="Arial"/>
        <family val="2"/>
        <charset val="204"/>
      </rPr>
      <t>"ИН" Большой</t>
    </r>
    <r>
      <rPr>
        <sz val="10"/>
        <rFont val="Arial"/>
        <family val="2"/>
        <charset val="204"/>
      </rPr>
      <t>, 1,5см. Цифровой индикатор борт сети в прикур. 3-30V</t>
    </r>
  </si>
  <si>
    <t>новинка</t>
  </si>
  <si>
    <t>Индикатор Амперметр+Вольтметр</t>
  </si>
  <si>
    <t xml:space="preserve">Коммутатор "Remix" упаковнан.           </t>
  </si>
  <si>
    <t xml:space="preserve">Коммутатор "плазма" ВАЗ (36М) New       </t>
  </si>
  <si>
    <t xml:space="preserve">Коммутатор 76й не упакован. "под Москву"            </t>
  </si>
  <si>
    <t xml:space="preserve">Коммутатор ОКА                          </t>
  </si>
  <si>
    <t>Компьютер UX-7 Мультитроникс ввиде кнопки Гранта, 15, 10, Калина, Шеви</t>
  </si>
  <si>
    <t xml:space="preserve">Компьютер RI-500 на иномарки DIN-место Мультитроникс </t>
  </si>
  <si>
    <t xml:space="preserve">Компьютер C-900 Мультитроникс </t>
  </si>
  <si>
    <r>
      <t xml:space="preserve">Компьютер RC-700 </t>
    </r>
    <r>
      <rPr>
        <b/>
        <sz val="10"/>
        <rFont val="Arial"/>
        <family val="2"/>
        <charset val="204"/>
      </rPr>
      <t>TFT дисплей Мультитроникс</t>
    </r>
  </si>
  <si>
    <t xml:space="preserve">Компьютер SL-50 V  1-Din Мультитроникс    </t>
  </si>
  <si>
    <t>Компьютер ТС-50 UPL Мультитроникс универ</t>
  </si>
  <si>
    <t xml:space="preserve">Компьютер. Комфорт Х115  Мультитроникс            </t>
  </si>
  <si>
    <r>
      <t xml:space="preserve">Контроллер открытия дверей </t>
    </r>
    <r>
      <rPr>
        <b/>
        <sz val="10"/>
        <rFont val="Arial"/>
        <family val="2"/>
        <charset val="204"/>
      </rPr>
      <t>"КОД"</t>
    </r>
    <r>
      <rPr>
        <sz val="10"/>
        <rFont val="Arial"/>
        <family val="2"/>
        <charset val="204"/>
      </rPr>
      <t xml:space="preserve"> для установки сигнализац на Гранту, Калину-2, Приору-2</t>
    </r>
  </si>
  <si>
    <t xml:space="preserve">"МД-1" Мгновенная диагностика           </t>
  </si>
  <si>
    <r>
      <t>Микросхема для восстановления комбинации "Автоприбор"</t>
    </r>
    <r>
      <rPr>
        <b/>
        <sz val="10"/>
        <rFont val="Arial"/>
        <family val="2"/>
        <charset val="204"/>
      </rPr>
      <t xml:space="preserve"> МС-1</t>
    </r>
  </si>
  <si>
    <t xml:space="preserve">Мультитестер МАS 830 Резин.чехол        </t>
  </si>
  <si>
    <r>
      <t xml:space="preserve">Панель приборов стрелочная+электронная </t>
    </r>
    <r>
      <rPr>
        <b/>
        <sz val="10"/>
        <color indexed="10"/>
        <rFont val="Arial"/>
        <family val="2"/>
        <charset val="204"/>
      </rPr>
      <t>"Flash-Х3"</t>
    </r>
    <r>
      <rPr>
        <sz val="10"/>
        <rFont val="Arial"/>
        <family val="2"/>
        <charset val="204"/>
      </rPr>
      <t xml:space="preserve"> 2110, 21115, Шеви RGB подсветка шкал</t>
    </r>
  </si>
  <si>
    <r>
      <t xml:space="preserve">Панель приборов стрелочная+электронная </t>
    </r>
    <r>
      <rPr>
        <b/>
        <sz val="10"/>
        <color indexed="10"/>
        <rFont val="Arial"/>
        <family val="2"/>
        <charset val="204"/>
      </rPr>
      <t>"Flash-Х4"</t>
    </r>
    <r>
      <rPr>
        <sz val="10"/>
        <rFont val="Arial"/>
        <family val="2"/>
        <charset val="204"/>
      </rPr>
      <t xml:space="preserve"> Калина, Приора,2110 европанель RGB подсветка шкал</t>
    </r>
  </si>
  <si>
    <r>
      <t xml:space="preserve">Преобразователь напряж.инверторный 24/12 вольт </t>
    </r>
    <r>
      <rPr>
        <b/>
        <sz val="10"/>
        <rFont val="Arial"/>
        <family val="2"/>
        <charset val="204"/>
      </rPr>
      <t>25 А</t>
    </r>
    <r>
      <rPr>
        <sz val="10"/>
        <rFont val="Arial"/>
        <family val="2"/>
        <charset val="204"/>
      </rPr>
      <t xml:space="preserve"> макс.</t>
    </r>
  </si>
  <si>
    <r>
      <t xml:space="preserve">Преобразователь напряж.инверторный 24/12 вольт </t>
    </r>
    <r>
      <rPr>
        <b/>
        <sz val="10"/>
        <rFont val="Arial"/>
        <family val="2"/>
        <charset val="204"/>
      </rPr>
      <t>35 А</t>
    </r>
    <r>
      <rPr>
        <sz val="10"/>
        <rFont val="Arial"/>
        <family val="2"/>
        <charset val="204"/>
      </rPr>
      <t xml:space="preserve"> макс.</t>
    </r>
  </si>
  <si>
    <r>
      <t xml:space="preserve">Преобразователь напряж. </t>
    </r>
    <r>
      <rPr>
        <b/>
        <sz val="10"/>
        <color indexed="10"/>
        <rFont val="Arial"/>
        <family val="2"/>
        <charset val="204"/>
      </rPr>
      <t>повышающий 12/24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Орион ПН-50</t>
    </r>
    <r>
      <rPr>
        <sz val="10"/>
        <rFont val="Arial"/>
        <family val="2"/>
        <charset val="204"/>
      </rPr>
      <t xml:space="preserve"> 10 А макс.</t>
    </r>
  </si>
  <si>
    <t>Предохранитель стекло 20мм 2А , 5А, 10А, 15А</t>
  </si>
  <si>
    <t xml:space="preserve">Предохранитель стекло 30мм 2А, 5А, 10А, 15А </t>
  </si>
  <si>
    <t>Проводка противотуманных фар "Калина" 21118    (в коробке)</t>
  </si>
  <si>
    <t xml:space="preserve">Проводка противотуманных фар  "Приора" 2170  (в коробке)  </t>
  </si>
  <si>
    <t xml:space="preserve">Проводка противотуманных фар  "Гранта" 2190     (в коробке)   </t>
  </si>
  <si>
    <t>Проводка противотуманных фар 2105 - 07      (в коробке)</t>
  </si>
  <si>
    <t>Проводка противотуманных фар 2106, Нива       (в коробке)</t>
  </si>
  <si>
    <t xml:space="preserve">Проводка противотуманных фар 2108         (в коробке)    </t>
  </si>
  <si>
    <t xml:space="preserve">Проводка противотуманных фар 2110       (в коробке)      </t>
  </si>
  <si>
    <t>Проводка противотуманных фар 2110 Евро панель      (в коробке)</t>
  </si>
  <si>
    <t xml:space="preserve">Проводка противотуманных фар 2115       (в коробке)      </t>
  </si>
  <si>
    <t xml:space="preserve">Проводка противотуманных фар Шеви-Нива       (в коробке)   </t>
  </si>
  <si>
    <r>
      <t xml:space="preserve">Программатор одометров </t>
    </r>
    <r>
      <rPr>
        <b/>
        <sz val="10"/>
        <rFont val="Arial"/>
        <family val="2"/>
        <charset val="204"/>
      </rPr>
      <t>ПО4</t>
    </r>
    <r>
      <rPr>
        <sz val="10"/>
        <rFont val="Arial"/>
        <family val="2"/>
        <charset val="204"/>
      </rPr>
      <t xml:space="preserve"> (для изменени показаний одометра)</t>
    </r>
  </si>
  <si>
    <r>
      <t xml:space="preserve">Программатор одометров </t>
    </r>
    <r>
      <rPr>
        <b/>
        <sz val="10"/>
        <rFont val="Arial"/>
        <family val="2"/>
        <charset val="204"/>
      </rPr>
      <t>ПО5</t>
    </r>
    <r>
      <rPr>
        <sz val="10"/>
        <rFont val="Arial"/>
        <family val="2"/>
        <charset val="204"/>
      </rPr>
      <t xml:space="preserve"> (для изменени показаний одометра)</t>
    </r>
  </si>
  <si>
    <t>EEPROM-ПО5 Адаптер для программатора ПО5</t>
  </si>
  <si>
    <t>CAN-подмотчик для намотки показан.одометра Гранта,Калина-2,Приора</t>
  </si>
  <si>
    <r>
      <t xml:space="preserve">Регулятор обогрева зад стекла с автоматич. Откл </t>
    </r>
    <r>
      <rPr>
        <b/>
        <sz val="10"/>
        <rFont val="Arial"/>
        <family val="2"/>
        <charset val="204"/>
      </rPr>
      <t>"РОСТ "</t>
    </r>
    <r>
      <rPr>
        <sz val="10"/>
        <rFont val="Arial"/>
        <family val="2"/>
        <charset val="204"/>
      </rPr>
      <t xml:space="preserve"> </t>
    </r>
  </si>
  <si>
    <r>
      <t xml:space="preserve">Регулятор обогрева сидений автоматич. Откл </t>
    </r>
    <r>
      <rPr>
        <b/>
        <sz val="10"/>
        <rFont val="Arial"/>
        <family val="2"/>
        <charset val="204"/>
      </rPr>
      <t>"РОС" (50Вт)</t>
    </r>
  </si>
  <si>
    <r>
      <t xml:space="preserve">Регулятор обогрева сидений автоматич. Откл </t>
    </r>
    <r>
      <rPr>
        <b/>
        <sz val="10"/>
        <rFont val="Arial"/>
        <family val="2"/>
        <charset val="204"/>
      </rPr>
      <t>"РОС-2"  (100вт)</t>
    </r>
  </si>
  <si>
    <r>
      <t xml:space="preserve">Реле моргания LED(светодиодных) </t>
    </r>
    <r>
      <rPr>
        <b/>
        <sz val="10"/>
        <rFont val="Arial"/>
        <family val="2"/>
        <charset val="204"/>
      </rPr>
      <t>СТОП-сигналов</t>
    </r>
    <r>
      <rPr>
        <sz val="10"/>
        <rFont val="Arial"/>
        <family val="2"/>
        <charset val="204"/>
      </rPr>
      <t xml:space="preserve">.      </t>
    </r>
    <r>
      <rPr>
        <b/>
        <sz val="10"/>
        <color indexed="10"/>
        <rFont val="Arial"/>
        <family val="2"/>
        <charset val="204"/>
      </rPr>
      <t>5 режимов!!!</t>
    </r>
  </si>
  <si>
    <r>
      <rPr>
        <sz val="10"/>
        <rFont val="Arial"/>
        <family val="2"/>
        <charset val="204"/>
      </rPr>
      <t>Реле</t>
    </r>
    <r>
      <rPr>
        <b/>
        <sz val="10"/>
        <rFont val="Arial"/>
        <family val="2"/>
        <charset val="204"/>
      </rPr>
      <t xml:space="preserve"> Модуль защиты ламп Н7 </t>
    </r>
    <r>
      <rPr>
        <sz val="10"/>
        <rFont val="Arial"/>
        <family val="2"/>
        <charset val="204"/>
      </rPr>
      <t>(Калина, Приора)</t>
    </r>
    <r>
      <rPr>
        <b/>
        <sz val="10"/>
        <rFont val="Arial"/>
        <family val="2"/>
        <charset val="204"/>
      </rPr>
      <t xml:space="preserve"> </t>
    </r>
    <r>
      <rPr>
        <b/>
        <sz val="10"/>
        <color indexed="10"/>
        <rFont val="Arial"/>
        <family val="2"/>
        <charset val="204"/>
      </rPr>
      <t>не будут перегорать лампы</t>
    </r>
  </si>
  <si>
    <r>
      <t xml:space="preserve">Реле защиты ламп     </t>
    </r>
    <r>
      <rPr>
        <sz val="10"/>
        <rFont val="Arial"/>
        <family val="2"/>
        <charset val="204"/>
      </rPr>
      <t>для разных автомобилей</t>
    </r>
  </si>
  <si>
    <r>
      <rPr>
        <sz val="10"/>
        <rFont val="Arial"/>
        <family val="2"/>
        <charset val="204"/>
      </rPr>
      <t>Реле</t>
    </r>
    <r>
      <rPr>
        <b/>
        <sz val="10"/>
        <rFont val="Arial"/>
        <family val="2"/>
        <charset val="204"/>
      </rPr>
      <t xml:space="preserve"> ДХО-30</t>
    </r>
    <r>
      <rPr>
        <sz val="10"/>
        <rFont val="Arial"/>
        <family val="2"/>
        <charset val="204"/>
      </rPr>
      <t xml:space="preserve"> для включения дальнего света на 30%, как ходовые огни Калина, Приора, Ларгус</t>
    </r>
  </si>
  <si>
    <r>
      <rPr>
        <sz val="10"/>
        <rFont val="Arial"/>
        <family val="2"/>
        <charset val="204"/>
      </rPr>
      <t xml:space="preserve">Реле </t>
    </r>
    <r>
      <rPr>
        <b/>
        <sz val="10"/>
        <rFont val="Arial"/>
        <family val="2"/>
        <charset val="204"/>
      </rPr>
      <t xml:space="preserve">ДХО-30Б </t>
    </r>
    <r>
      <rPr>
        <sz val="10"/>
        <rFont val="Arial"/>
        <family val="2"/>
        <charset val="204"/>
      </rPr>
      <t>для включения дальнего света на 30%, как ходовые огни ВАЗ 2107, 2109, 2115, 2110 и др.</t>
    </r>
  </si>
  <si>
    <r>
      <t xml:space="preserve">Реле </t>
    </r>
    <r>
      <rPr>
        <b/>
        <sz val="10"/>
        <rFont val="Arial"/>
        <family val="2"/>
        <charset val="204"/>
      </rPr>
      <t>DRL</t>
    </r>
    <r>
      <rPr>
        <sz val="10"/>
        <rFont val="Arial"/>
        <family val="2"/>
        <charset val="204"/>
      </rPr>
      <t xml:space="preserve"> универсальное реле с встроенным акселерометром. Вкл. Ближ. свет на 75% по движению </t>
    </r>
  </si>
  <si>
    <t xml:space="preserve">Реле регулятор паузы дворников 08,15,Приора, </t>
  </si>
  <si>
    <t>Реле регулятор паузы дворников 2110 и 08 в старый блок предох</t>
  </si>
  <si>
    <r>
      <t xml:space="preserve">Реле плавного запуска вентилятора радиатора </t>
    </r>
    <r>
      <rPr>
        <b/>
        <sz val="10"/>
        <rFont val="Arial"/>
        <family val="2"/>
        <charset val="204"/>
      </rPr>
      <t>РПВ</t>
    </r>
    <r>
      <rPr>
        <sz val="10"/>
        <rFont val="Arial"/>
        <family val="2"/>
        <charset val="204"/>
      </rPr>
      <t xml:space="preserve"> (150Вт)на ВАЗ 2110-2115</t>
    </r>
  </si>
  <si>
    <r>
      <t xml:space="preserve">Реле плавного запуска вентилятора радиатора </t>
    </r>
    <r>
      <rPr>
        <b/>
        <sz val="10"/>
        <rFont val="Arial"/>
        <family val="2"/>
        <charset val="204"/>
      </rPr>
      <t>РПВ-2</t>
    </r>
    <r>
      <rPr>
        <sz val="10"/>
        <rFont val="Arial"/>
        <family val="2"/>
        <charset val="204"/>
      </rPr>
      <t xml:space="preserve"> (300Вт) </t>
    </r>
  </si>
  <si>
    <t>Ремкомплект форсунок</t>
  </si>
  <si>
    <t>Сканер -тестер С7000 для диагностики ВАЗ, ГАЗ</t>
  </si>
  <si>
    <r>
      <t>СПМЗ-3</t>
    </r>
    <r>
      <rPr>
        <sz val="10"/>
        <rFont val="Arial"/>
        <family val="2"/>
        <charset val="204"/>
      </rPr>
      <t xml:space="preserve"> Прибор для проверки модулей зажигания и индивид. катушек</t>
    </r>
  </si>
  <si>
    <t xml:space="preserve">Стробоскоп С1 мультитроникс             </t>
  </si>
  <si>
    <t>Стробоскоп Орион СТ-01</t>
  </si>
  <si>
    <t>Стробоскоп Орион СТ-02 Тахометр, Вольтметр</t>
  </si>
  <si>
    <r>
      <t xml:space="preserve">Таксометр </t>
    </r>
    <r>
      <rPr>
        <b/>
        <sz val="10"/>
        <rFont val="Arial"/>
        <family val="2"/>
        <charset val="204"/>
      </rPr>
      <t>ТА-2</t>
    </r>
  </si>
  <si>
    <r>
      <t xml:space="preserve">Тахометр </t>
    </r>
    <r>
      <rPr>
        <b/>
        <sz val="10"/>
        <rFont val="Arial"/>
        <family val="2"/>
        <charset val="204"/>
      </rPr>
      <t>DM10</t>
    </r>
    <r>
      <rPr>
        <sz val="10"/>
        <rFont val="Arial"/>
        <family val="2"/>
        <charset val="204"/>
      </rPr>
      <t xml:space="preserve"> тахометр электронный бензин</t>
    </r>
  </si>
  <si>
    <t>Термометр забортной температуры на батарейках</t>
  </si>
  <si>
    <r>
      <t>Тестер</t>
    </r>
    <r>
      <rPr>
        <b/>
        <sz val="10"/>
        <rFont val="Arial"/>
        <family val="2"/>
        <charset val="204"/>
      </rPr>
      <t xml:space="preserve"> РХХ</t>
    </r>
    <r>
      <rPr>
        <sz val="10"/>
        <rFont val="Arial"/>
        <family val="2"/>
        <charset val="204"/>
      </rPr>
      <t xml:space="preserve"> </t>
    </r>
  </si>
  <si>
    <t>Тестер-прозвонка в виде щупа с диодами</t>
  </si>
  <si>
    <r>
      <t xml:space="preserve">Тестер форсунок </t>
    </r>
    <r>
      <rPr>
        <b/>
        <sz val="10"/>
        <rFont val="Arial"/>
        <family val="2"/>
        <charset val="204"/>
      </rPr>
      <t>ТФ-1</t>
    </r>
  </si>
  <si>
    <t>Усы гибкие Орион на антенны Bocsh \ Орион</t>
  </si>
  <si>
    <r>
      <t xml:space="preserve">Jetter  </t>
    </r>
    <r>
      <rPr>
        <sz val="10"/>
        <rFont val="Arial"/>
        <family val="2"/>
        <charset val="204"/>
      </rPr>
      <t>на иномарки, под заказ</t>
    </r>
  </si>
  <si>
    <r>
      <t>Jetter - Круиз DL</t>
    </r>
    <r>
      <rPr>
        <sz val="10"/>
        <rFont val="Arial"/>
        <family val="2"/>
        <charset val="204"/>
      </rPr>
      <t xml:space="preserve"> ( + круиз контроль )Гранта, Калина, Приора, Нива, Datsun</t>
    </r>
  </si>
  <si>
    <r>
      <rPr>
        <b/>
        <sz val="10"/>
        <rFont val="Arial"/>
        <family val="2"/>
        <charset val="204"/>
      </rPr>
      <t>ЭКОТОП</t>
    </r>
    <r>
      <rPr>
        <sz val="10"/>
        <rFont val="Arial"/>
        <family val="2"/>
        <charset val="204"/>
      </rPr>
      <t xml:space="preserve">  вихревое устройство для карбюратора экон.бенз.до 30%</t>
    </r>
  </si>
  <si>
    <t>Проводка противотуманных фар "Vestа"   (в пакете)</t>
  </si>
  <si>
    <r>
      <t xml:space="preserve">Программатор одометров </t>
    </r>
    <r>
      <rPr>
        <b/>
        <sz val="10"/>
        <rFont val="Arial"/>
        <family val="2"/>
        <charset val="204"/>
      </rPr>
      <t>ПО5 PRO</t>
    </r>
    <r>
      <rPr>
        <sz val="10"/>
        <rFont val="Arial"/>
        <family val="2"/>
        <charset val="204"/>
      </rPr>
      <t xml:space="preserve"> (для изменени показаний одометра)</t>
    </r>
  </si>
  <si>
    <r>
      <rPr>
        <b/>
        <sz val="10"/>
        <rFont val="Arial"/>
        <family val="2"/>
        <charset val="204"/>
      </rPr>
      <t xml:space="preserve">Зуммер заднего хода </t>
    </r>
    <r>
      <rPr>
        <sz val="10"/>
        <rFont val="Arial"/>
        <family val="2"/>
        <charset val="204"/>
      </rPr>
      <t>12/24V прерывистый сигнал</t>
    </r>
  </si>
  <si>
    <t>Корпус ключа-брелока пустой, без лезвия и платы</t>
  </si>
  <si>
    <t>Ключа-брелока ЛЕЗВИЕ</t>
  </si>
  <si>
    <r>
      <t xml:space="preserve">Зарядное устройство USB на </t>
    </r>
    <r>
      <rPr>
        <b/>
        <sz val="10"/>
        <rFont val="Arial"/>
        <family val="2"/>
        <charset val="204"/>
      </rPr>
      <t>1 разъём</t>
    </r>
    <r>
      <rPr>
        <sz val="10"/>
        <rFont val="Arial"/>
        <family val="2"/>
        <charset val="204"/>
      </rPr>
      <t>, ввиде кнопки Гранта, Приора 3А</t>
    </r>
  </si>
  <si>
    <r>
      <t xml:space="preserve">Зарядное устройство USB на </t>
    </r>
    <r>
      <rPr>
        <b/>
        <sz val="10"/>
        <rFont val="Arial"/>
        <family val="2"/>
        <charset val="204"/>
      </rPr>
      <t>1 разъём</t>
    </r>
    <r>
      <rPr>
        <sz val="10"/>
        <rFont val="Arial"/>
        <family val="2"/>
        <charset val="204"/>
      </rPr>
      <t>, ввиде кнопки 15, Шеви, Калина 3А</t>
    </r>
  </si>
  <si>
    <r>
      <t xml:space="preserve">Дублер Звуковой (пищалка/зуммер) </t>
    </r>
    <r>
      <rPr>
        <sz val="9"/>
        <rFont val="Arial"/>
        <family val="2"/>
        <charset val="204"/>
      </rPr>
      <t>на поворотники, давлен.масла, ручник и прочее</t>
    </r>
    <r>
      <rPr>
        <sz val="10"/>
        <rFont val="Arial"/>
        <family val="2"/>
        <charset val="204"/>
      </rPr>
      <t xml:space="preserve">           </t>
    </r>
  </si>
  <si>
    <t xml:space="preserve">смотреть </t>
  </si>
  <si>
    <r>
      <t xml:space="preserve">Зарядное устройство USB на </t>
    </r>
    <r>
      <rPr>
        <b/>
        <sz val="10"/>
        <rFont val="Arial"/>
        <family val="2"/>
        <charset val="204"/>
      </rPr>
      <t>2 разъёма</t>
    </r>
    <r>
      <rPr>
        <sz val="10"/>
        <rFont val="Arial"/>
        <family val="2"/>
        <charset val="204"/>
      </rPr>
      <t xml:space="preserve">, ввиде кнопки 15, Шеви, Калина 3А </t>
    </r>
  </si>
  <si>
    <r>
      <t xml:space="preserve">Зарядное устройство USB на </t>
    </r>
    <r>
      <rPr>
        <b/>
        <sz val="10"/>
        <rFont val="Arial"/>
        <family val="2"/>
        <charset val="204"/>
      </rPr>
      <t>2 разъёма</t>
    </r>
    <r>
      <rPr>
        <sz val="10"/>
        <rFont val="Arial"/>
        <family val="2"/>
        <charset val="204"/>
      </rPr>
      <t>, ввиде кнопки Гранта, Приора 3А</t>
    </r>
  </si>
  <si>
    <r>
      <t xml:space="preserve">Зарядное устройство USB на </t>
    </r>
    <r>
      <rPr>
        <b/>
        <sz val="10"/>
        <rFont val="Arial"/>
        <family val="2"/>
        <charset val="204"/>
      </rPr>
      <t>2 разъёма</t>
    </r>
    <r>
      <rPr>
        <sz val="10"/>
        <rFont val="Arial"/>
        <family val="2"/>
        <charset val="204"/>
      </rPr>
      <t xml:space="preserve">, для LADA 2106 и 2107  3А </t>
    </r>
  </si>
  <si>
    <r>
      <t xml:space="preserve">Зарядное устройство USB на </t>
    </r>
    <r>
      <rPr>
        <b/>
        <sz val="10"/>
        <rFont val="Arial"/>
        <family val="2"/>
        <charset val="204"/>
      </rPr>
      <t>2 разъёма</t>
    </r>
    <r>
      <rPr>
        <sz val="10"/>
        <rFont val="Arial"/>
        <family val="2"/>
        <charset val="204"/>
      </rPr>
      <t xml:space="preserve">, для LADA 21083 и 21093  3А </t>
    </r>
  </si>
  <si>
    <r>
      <t xml:space="preserve">Зарядное устройство USB на </t>
    </r>
    <r>
      <rPr>
        <b/>
        <sz val="10"/>
        <rFont val="Arial"/>
        <family val="2"/>
        <charset val="204"/>
      </rPr>
      <t>2 разъёма</t>
    </r>
    <r>
      <rPr>
        <sz val="10"/>
        <rFont val="Arial"/>
        <family val="2"/>
        <charset val="204"/>
      </rPr>
      <t xml:space="preserve">, для LADA 2110, 2111, 2112  3А </t>
    </r>
  </si>
  <si>
    <r>
      <t xml:space="preserve">Зарядное устройство USB на </t>
    </r>
    <r>
      <rPr>
        <b/>
        <sz val="10"/>
        <rFont val="Arial"/>
        <family val="2"/>
        <charset val="204"/>
      </rPr>
      <t>2 разъёма</t>
    </r>
    <r>
      <rPr>
        <sz val="10"/>
        <rFont val="Arial"/>
        <family val="2"/>
        <charset val="204"/>
      </rPr>
      <t xml:space="preserve">, для ГАЗель NEXT 3А </t>
    </r>
  </si>
  <si>
    <r>
      <t xml:space="preserve">Зарядное устройство USB на </t>
    </r>
    <r>
      <rPr>
        <b/>
        <sz val="10"/>
        <rFont val="Arial"/>
        <family val="2"/>
        <charset val="204"/>
      </rPr>
      <t>2 разъёма</t>
    </r>
    <r>
      <rPr>
        <sz val="10"/>
        <rFont val="Arial"/>
        <family val="2"/>
        <charset val="204"/>
      </rPr>
      <t xml:space="preserve">, </t>
    </r>
    <r>
      <rPr>
        <sz val="10"/>
        <color indexed="10"/>
        <rFont val="Arial"/>
        <family val="2"/>
        <charset val="204"/>
      </rPr>
      <t>в прикуриватель</t>
    </r>
    <r>
      <rPr>
        <sz val="10"/>
        <rFont val="Arial"/>
        <family val="2"/>
        <charset val="204"/>
      </rPr>
      <t xml:space="preserve"> 3А </t>
    </r>
  </si>
  <si>
    <t>Насос для перекачки жидкости Вымпел НС-12/24 В  52мм</t>
  </si>
  <si>
    <t>=Штат 410ML Lux на Рено Ларгус, Vesta, X-Ray  на торпедо или стекло</t>
  </si>
  <si>
    <t>Проводка противотуманных фар "Vestа"  Lux  (в коробке)</t>
  </si>
  <si>
    <t>Отпугиватель грызунов Гризли-1 на аккумуляторе Li-on</t>
  </si>
  <si>
    <r>
      <t xml:space="preserve">БК-07 тахометр электронный 12/24Вольта  </t>
    </r>
    <r>
      <rPr>
        <sz val="9"/>
        <rFont val="Arial"/>
        <family val="2"/>
        <charset val="204"/>
      </rPr>
      <t>+часы,V,УЗСК, термометр наружн. воздуха</t>
    </r>
  </si>
  <si>
    <t>Манометр колесный цифровой МН-04 (10 атм.)</t>
  </si>
  <si>
    <t xml:space="preserve">BDM-ПО5  Адаптер для программатора ПО5 </t>
  </si>
  <si>
    <t xml:space="preserve">=Штат_КАЛИНА МК                     </t>
  </si>
  <si>
    <t>Зарядных USB устройств ДЕМО-стенд</t>
  </si>
  <si>
    <t xml:space="preserve">Стробоскоп Орион СТ-04 дизель/бензин  </t>
  </si>
  <si>
    <t>Наименование товара</t>
  </si>
  <si>
    <t>Тестер аккумуляторных батарей Вымпел BA101</t>
  </si>
  <si>
    <r>
      <t>Корпус ключа</t>
    </r>
    <r>
      <rPr>
        <sz val="10"/>
        <rFont val="Arial"/>
        <family val="2"/>
        <charset val="204"/>
      </rPr>
      <t xml:space="preserve">, стиль </t>
    </r>
    <r>
      <rPr>
        <b/>
        <sz val="10"/>
        <rFont val="Arial"/>
        <family val="2"/>
        <charset val="204"/>
      </rPr>
      <t>"Audi"</t>
    </r>
    <r>
      <rPr>
        <sz val="10"/>
        <rFont val="Arial"/>
        <family val="2"/>
        <charset val="204"/>
      </rPr>
      <t xml:space="preserve"> выкидной</t>
    </r>
  </si>
  <si>
    <r>
      <t xml:space="preserve">Контроллер стеклопод-ов </t>
    </r>
    <r>
      <rPr>
        <b/>
        <sz val="10"/>
        <rFont val="Arial"/>
        <family val="2"/>
        <charset val="204"/>
      </rPr>
      <t>МАКС-2</t>
    </r>
    <r>
      <rPr>
        <sz val="10"/>
        <rFont val="Arial"/>
        <family val="2"/>
        <charset val="204"/>
      </rPr>
      <t xml:space="preserve">  (доводчик, память2часа, закр/откр одним касанием)  </t>
    </r>
  </si>
  <si>
    <t>Доводчик стеклоподъёмников 4 стекла Вымпел R01-4W</t>
  </si>
  <si>
    <t>Доводчик стеклоподъёмников 2 стекла Вымпел R01-2W</t>
  </si>
  <si>
    <t>Ссылка на сайт производителя или интернет страничку</t>
  </si>
  <si>
    <t>Ключ-брелок для Калины, Приоры, Гранты Шеви с лезвием</t>
  </si>
  <si>
    <r>
      <t xml:space="preserve">Ключ-брелок стиль </t>
    </r>
    <r>
      <rPr>
        <b/>
        <sz val="10"/>
        <rFont val="Arial"/>
        <family val="2"/>
        <charset val="204"/>
      </rPr>
      <t xml:space="preserve">"Audi" </t>
    </r>
    <r>
      <rPr>
        <sz val="10"/>
        <rFont val="Arial"/>
        <family val="2"/>
        <charset val="204"/>
      </rPr>
      <t>переделан для Калины, Приоры, Гранты, Шеви</t>
    </r>
  </si>
  <si>
    <t>Датчик дождя ДДА-65 + датчик света, универсальный</t>
  </si>
  <si>
    <t>Ключ-брелок выкидной ЭКОНОМ для ВАЗ 2108-2110</t>
  </si>
  <si>
    <t>Ключ-брелок выкидной ЭКОНОМ для ВАЗ классика</t>
  </si>
  <si>
    <t xml:space="preserve">пока нет </t>
  </si>
  <si>
    <r>
      <t xml:space="preserve">Реле автосвета </t>
    </r>
    <r>
      <rPr>
        <b/>
        <sz val="10"/>
        <rFont val="Arial"/>
        <family val="2"/>
        <charset val="204"/>
      </rPr>
      <t>Незабудка-2М</t>
    </r>
  </si>
  <si>
    <r>
      <t xml:space="preserve">Ключ-брелок стиль </t>
    </r>
    <r>
      <rPr>
        <b/>
        <sz val="10"/>
        <rFont val="Arial"/>
        <family val="2"/>
        <charset val="204"/>
      </rPr>
      <t xml:space="preserve">"BMW" </t>
    </r>
    <r>
      <rPr>
        <sz val="10"/>
        <rFont val="Arial"/>
        <family val="2"/>
        <charset val="204"/>
      </rPr>
      <t>переделан для Калины, Приоры, Гранты, Шеви</t>
    </r>
  </si>
  <si>
    <r>
      <t xml:space="preserve">Реле </t>
    </r>
    <r>
      <rPr>
        <b/>
        <sz val="10"/>
        <rFont val="Arial"/>
        <family val="2"/>
        <charset val="204"/>
      </rPr>
      <t xml:space="preserve">Строб-контроллер </t>
    </r>
    <r>
      <rPr>
        <sz val="10"/>
        <rFont val="Arial"/>
        <family val="2"/>
        <charset val="204"/>
      </rPr>
      <t xml:space="preserve">одноканальный </t>
    </r>
  </si>
  <si>
    <r>
      <t xml:space="preserve">Реле </t>
    </r>
    <r>
      <rPr>
        <b/>
        <sz val="10"/>
        <rFont val="Arial"/>
        <family val="2"/>
        <charset val="204"/>
      </rPr>
      <t>Строб-контроллер  2-</t>
    </r>
    <r>
      <rPr>
        <sz val="10"/>
        <rFont val="Arial"/>
        <family val="2"/>
        <charset val="204"/>
      </rPr>
      <t>х канальный</t>
    </r>
    <r>
      <rPr>
        <b/>
        <sz val="10"/>
        <rFont val="Arial"/>
        <family val="2"/>
        <charset val="204"/>
      </rPr>
      <t xml:space="preserve"> 5 режимов</t>
    </r>
  </si>
  <si>
    <t>=Штат МК-2 сенсорный OBD-2 CAN универсальный</t>
  </si>
  <si>
    <r>
      <rPr>
        <b/>
        <sz val="10"/>
        <rFont val="Arial"/>
        <family val="2"/>
        <charset val="204"/>
      </rPr>
      <t>Индикатор 4в1 + ЗУ на 2 USB</t>
    </r>
    <r>
      <rPr>
        <sz val="10"/>
        <rFont val="Arial"/>
        <family val="2"/>
        <charset val="204"/>
      </rPr>
      <t xml:space="preserve"> (Вольты, Амперы, Термометр) индикатор красный, синий</t>
    </r>
  </si>
  <si>
    <t xml:space="preserve">Индикатор напряжения, плата на проводке от 3 до 30V цветные, Бел, Желт, Красн, Син, Зелен. Диагональ 1см. </t>
  </si>
  <si>
    <t>Индикатор напряжения, в корпусе от 3 до 30V цветные, Бел, Желт, Красн, Син, Зелен. Диагональ 1,5см</t>
  </si>
  <si>
    <r>
      <rPr>
        <sz val="10"/>
        <rFont val="Arial"/>
        <family val="2"/>
        <charset val="204"/>
      </rPr>
      <t>Реле</t>
    </r>
    <r>
      <rPr>
        <b/>
        <sz val="10"/>
        <rFont val="Arial"/>
        <family val="2"/>
        <charset val="204"/>
      </rPr>
      <t xml:space="preserve"> Удлинитель Поворотников</t>
    </r>
    <r>
      <rPr>
        <sz val="9"/>
        <rFont val="Arial"/>
        <family val="2"/>
        <charset val="204"/>
      </rPr>
      <t xml:space="preserve"> (при нажатии на ручку поворотников без фиксации один раз, поворотник моргает 4раза, так же и аварийка)</t>
    </r>
  </si>
  <si>
    <r>
      <t xml:space="preserve">Контроллер стеклопод-ов </t>
    </r>
    <r>
      <rPr>
        <b/>
        <sz val="10"/>
        <rFont val="Arial"/>
        <family val="2"/>
        <charset val="204"/>
      </rPr>
      <t>МАКС-2 Ларгус</t>
    </r>
    <r>
      <rPr>
        <sz val="10"/>
        <rFont val="Arial"/>
        <family val="2"/>
        <charset val="204"/>
      </rPr>
      <t xml:space="preserve">  (доводчик, память2часа, закр/откр одним касанием)  </t>
    </r>
  </si>
  <si>
    <r>
      <rPr>
        <b/>
        <sz val="10"/>
        <rFont val="Arial"/>
        <family val="2"/>
        <charset val="204"/>
      </rPr>
      <t>Реле поворотников LED</t>
    </r>
    <r>
      <rPr>
        <sz val="10"/>
        <rFont val="Arial"/>
        <family val="2"/>
        <charset val="204"/>
      </rPr>
      <t xml:space="preserve">   для поворотников с диодными лампами</t>
    </r>
  </si>
  <si>
    <r>
      <t xml:space="preserve">Датчик дождя </t>
    </r>
    <r>
      <rPr>
        <b/>
        <sz val="10"/>
        <rFont val="Arial"/>
        <family val="2"/>
        <charset val="204"/>
      </rPr>
      <t xml:space="preserve">ДДА-25.02  </t>
    </r>
    <r>
      <rPr>
        <sz val="10"/>
        <rFont val="Arial"/>
        <family val="2"/>
        <charset val="204"/>
      </rPr>
      <t>на2108 нов блок предох, 2115, Калина, Приора</t>
    </r>
  </si>
  <si>
    <r>
      <t xml:space="preserve">Датчик дождя </t>
    </r>
    <r>
      <rPr>
        <b/>
        <sz val="10"/>
        <rFont val="Arial"/>
        <family val="2"/>
        <charset val="204"/>
      </rPr>
      <t>ДДА-15.02</t>
    </r>
    <r>
      <rPr>
        <sz val="10"/>
        <rFont val="Arial"/>
        <family val="2"/>
        <charset val="204"/>
      </rPr>
      <t xml:space="preserve">   на 2110, 2108 старый блок предохр.</t>
    </r>
  </si>
  <si>
    <t>=Штат МК-12 сенсорный OBD-2 универсальный</t>
  </si>
  <si>
    <r>
      <t xml:space="preserve">Корпус ключа </t>
    </r>
    <r>
      <rPr>
        <b/>
        <sz val="10"/>
        <rFont val="Arial"/>
        <family val="2"/>
        <charset val="204"/>
      </rPr>
      <t>KD-600</t>
    </r>
    <r>
      <rPr>
        <sz val="10"/>
        <rFont val="Arial"/>
        <family val="2"/>
        <charset val="204"/>
      </rPr>
      <t xml:space="preserve"> выкидной для ВАЗ 2108-2110</t>
    </r>
  </si>
  <si>
    <t xml:space="preserve">Адаптер ELM 327 Bluetooth    КИТАЙ  v2.1    </t>
  </si>
  <si>
    <t>Насос для перекачки жидкости Вымпел НМ-12/24 В  40мм</t>
  </si>
  <si>
    <t>Фильтр питания Вымпел-301</t>
  </si>
  <si>
    <r>
      <t xml:space="preserve">Реле времени </t>
    </r>
    <r>
      <rPr>
        <b/>
        <sz val="10"/>
        <rFont val="Arial"/>
        <family val="2"/>
        <charset val="204"/>
      </rPr>
      <t>РВ</t>
    </r>
  </si>
  <si>
    <t>Антенна ГЛОНАСС/GPS</t>
  </si>
  <si>
    <t>=Штат DST-EXPRESS UNIVERSAL</t>
  </si>
  <si>
    <t>Адаптер 409.1 VAG  (для диагностики а/м VW/AUDI)</t>
  </si>
  <si>
    <t>см. "ИН" большой</t>
  </si>
  <si>
    <t>=Штат Обходчик иммобилайзера безключевой Гранта, Калина-2, Приора-2</t>
  </si>
  <si>
    <r>
      <t>Зарядное устройство USB 3х канальное на</t>
    </r>
    <r>
      <rPr>
        <b/>
        <sz val="10"/>
        <rFont val="Arial"/>
        <family val="2"/>
        <charset val="204"/>
      </rPr>
      <t xml:space="preserve"> 6 разъёмов</t>
    </r>
    <r>
      <rPr>
        <sz val="10"/>
        <rFont val="Arial"/>
        <family val="2"/>
        <charset val="204"/>
      </rPr>
      <t xml:space="preserve">, </t>
    </r>
    <r>
      <rPr>
        <sz val="10"/>
        <color indexed="10"/>
        <rFont val="Arial"/>
        <family val="2"/>
        <charset val="204"/>
      </rPr>
      <t>в прикуриватель</t>
    </r>
    <r>
      <rPr>
        <sz val="10"/>
        <rFont val="Arial"/>
        <family val="2"/>
        <charset val="204"/>
      </rPr>
      <t xml:space="preserve"> на проводе (3 х 2 Ампера) </t>
    </r>
  </si>
  <si>
    <t xml:space="preserve">Компьютер  Мультитроникс Х150 на 2115  </t>
  </si>
  <si>
    <t>Компьютер  Мультитроникс Х140 на 2115  Голос</t>
  </si>
  <si>
    <t>=Штат МК-1+ сенсорный Vesta, X-ray некоторые иномарки</t>
  </si>
  <si>
    <t>Вилка нагрузочная НВ-05 цифровая</t>
  </si>
  <si>
    <t>Вилка нагрузочная НВ-03 цифровая ЖК дисплей, доп.функции</t>
  </si>
  <si>
    <t xml:space="preserve">Зарядное устройство Вымпел-265 7 Ампер стрелочн. индик                                                         </t>
  </si>
  <si>
    <t xml:space="preserve">Зарядное устройство Вымпел-325 20 Ампер стрелочн. индик.                                           </t>
  </si>
  <si>
    <t xml:space="preserve">Зарядное устройство Вымпел 700 Пускозарядное                                                  </t>
  </si>
  <si>
    <r>
      <t xml:space="preserve">Стекло </t>
    </r>
    <r>
      <rPr>
        <sz val="10"/>
        <rFont val="Arial"/>
        <family val="2"/>
        <charset val="204"/>
      </rPr>
      <t>комбинации приборов на ВАЗ 2110, 2115, Нива с 09г., Шеви-нива</t>
    </r>
  </si>
  <si>
    <r>
      <t xml:space="preserve">Ключ-брелок выкидной на LADA </t>
    </r>
    <r>
      <rPr>
        <b/>
        <sz val="10"/>
        <rFont val="Arial"/>
        <family val="2"/>
        <charset val="204"/>
      </rPr>
      <t>Vesta, X-Ray,Ларгус с 21г.</t>
    </r>
    <r>
      <rPr>
        <sz val="10"/>
        <rFont val="Arial"/>
        <family val="2"/>
        <charset val="204"/>
      </rPr>
      <t xml:space="preserve"> стиль "Оригинал"</t>
    </r>
  </si>
  <si>
    <r>
      <t xml:space="preserve">Ключ-брелок стиль </t>
    </r>
    <r>
      <rPr>
        <b/>
        <sz val="10"/>
        <rFont val="Arial"/>
        <family val="2"/>
        <charset val="204"/>
      </rPr>
      <t xml:space="preserve">"Bentley" </t>
    </r>
    <r>
      <rPr>
        <sz val="10"/>
        <rFont val="Arial"/>
        <family val="2"/>
        <charset val="204"/>
      </rPr>
      <t>переделан для Калины, Приоры, Гранты, Шеви</t>
    </r>
  </si>
  <si>
    <r>
      <t xml:space="preserve">Корпус ключа, стиль </t>
    </r>
    <r>
      <rPr>
        <b/>
        <sz val="10"/>
        <rFont val="Arial"/>
        <family val="2"/>
        <charset val="204"/>
      </rPr>
      <t>"Volkswagen"</t>
    </r>
    <r>
      <rPr>
        <sz val="10"/>
        <rFont val="Arial"/>
        <family val="2"/>
        <charset val="204"/>
      </rPr>
      <t xml:space="preserve"> выкидной</t>
    </r>
  </si>
  <si>
    <r>
      <t xml:space="preserve">Корпус ключа, стиль </t>
    </r>
    <r>
      <rPr>
        <b/>
        <sz val="10"/>
        <rFont val="Arial"/>
        <family val="2"/>
        <charset val="204"/>
      </rPr>
      <t>"Vesta"</t>
    </r>
    <r>
      <rPr>
        <sz val="10"/>
        <rFont val="Arial"/>
        <family val="2"/>
        <charset val="204"/>
      </rPr>
      <t xml:space="preserve"> под оригинальную плату, выкидной</t>
    </r>
  </si>
  <si>
    <t xml:space="preserve">Адаптер ELM 327 Bluetooth  Орион    </t>
  </si>
  <si>
    <t>Адаптер ELM 327 USB   Орион</t>
  </si>
  <si>
    <t>Мгновенная диагностика "ОРИОН" МД-1 для ВАЗ (2108, 2109, 2110), Лада Ока, ЗАЗ Таврия</t>
  </si>
  <si>
    <t>Реле диодных указателей поворота "АСТРО" (26.3777-03) для ВАЗ 2108-21099, 2110-2112, 2113-2115</t>
  </si>
  <si>
    <t>Фильтр питания для автомагнитолы "ОРИОН" Вымпел 301</t>
  </si>
  <si>
    <t>Стробоскоп-тахометр Multitronics C2 на карбюраторный двигатель</t>
  </si>
  <si>
    <t>Модуль автоматического управления светом «МАУС-2» на ВАЗ</t>
  </si>
  <si>
    <t>Тахометр Multitronics DM10 для карбюраторных двигателей</t>
  </si>
  <si>
    <t>Светодиодный индикатор напряжения "ИНА-3" в прикуриватель</t>
  </si>
  <si>
    <t>USB-зарядное устройство на 2 слота в комбинацию приборов ВАЗ 2110-2112</t>
  </si>
  <si>
    <t>Индикатор звуковой (повторитель) на автомобили Lada</t>
  </si>
  <si>
    <t>Бортовой компьютер Орион БК 06 для карбюраторных двигателей</t>
  </si>
  <si>
    <t>Контроллер (реле) ближнего света DRL</t>
  </si>
  <si>
    <t>Имитатор датчика скорости</t>
  </si>
  <si>
    <t>Термометр забортной температуры (на батарейках)</t>
  </si>
  <si>
    <t>Реле времени "АПЭЛ" РВ</t>
  </si>
  <si>
    <t>Безключевой обходчик иммобилайзера Штат на Lada Priora 2, Granta, Kalina 2, Datsun</t>
  </si>
  <si>
    <t>Тахометр-вольтметр Multitronics DM-20 для карбюраторных двигателей</t>
  </si>
  <si>
    <t>Набор для управления стеклоподъёмниками "ОРИОН" Вымпел R01-4W (4 окна)</t>
  </si>
  <si>
    <t>Цифровой вольтметр врезаемый</t>
  </si>
  <si>
    <t>USB-зарядное устройство "АПЭЛ" (2 слота) для ГАЗ Валдай</t>
  </si>
  <si>
    <t>Модуль защиты ламп (H7) ближнего света на автомобили Lada</t>
  </si>
  <si>
    <t>Регулятор обогрева сидений с автоматом «РОС» на Lada</t>
  </si>
  <si>
    <t>ID</t>
  </si>
  <si>
    <t>Автомобильный диагностический сканер-тестер ДСТ-14Т/НК</t>
  </si>
  <si>
    <t>Программа для диагностики Сканматик-2 Bluetooth</t>
  </si>
  <si>
    <t>1</t>
  </si>
  <si>
    <t>Электронная комбинация приборов "I-TEC" Flash X5 для ВАЗ 2110-2112 (евро панель), Лада (Калина, Приора)</t>
  </si>
  <si>
    <t>Бортовой компьютер Multitronics RC-700 на Lada и иномарки</t>
  </si>
  <si>
    <t>Бортовой компьютер Multitronics TC750 на Lada и иномарки</t>
  </si>
  <si>
    <t>Бортовой компьютер Multitronics VC731 на Lada и иномарки</t>
  </si>
  <si>
    <t>Бортовой компьютер Multitronics RI-500 на Lada и иномарки</t>
  </si>
  <si>
    <t>Бортовой компьютер Multitronics TC740 на Lada и иномарки</t>
  </si>
  <si>
    <t>Бортовой компьютер Multitronics TC 50UPL на Lada и иномарки</t>
  </si>
  <si>
    <t>Бортовой компьютер Multitronics C-570 на Niva Chevrolet</t>
  </si>
  <si>
    <t>Преобразователь напряжения (розетка автомобильная) 12/220 Орион ПН-90 1500W</t>
  </si>
  <si>
    <t>Бортовой компьютер Multitronics C-580 на UAZ Patriot</t>
  </si>
  <si>
    <t>Бортовой компьютер Multitronics VC730 на Lada и иномарки</t>
  </si>
  <si>
    <t>Бортовой компьютер Multitronics C340 на Lada 2108-15</t>
  </si>
  <si>
    <t>Бортовой компьютер Multitronics CL-580 на UAZ Patriot</t>
  </si>
  <si>
    <t>Диагностический сканер тестер Штат ДСТ-2 для автомобилей Lada</t>
  </si>
  <si>
    <t>Бортовой компьютер Multitronics CL-570 на Niva Chevrolet</t>
  </si>
  <si>
    <t>Бортовой компьютер Multitronics CL-550 на Lada и иномарки</t>
  </si>
  <si>
    <t>Бортовой компьютер Multitronics MPC-800 автономный на Lada и иномарки</t>
  </si>
  <si>
    <t>Прибор для проверки модулей зажигания СПМЗ-3</t>
  </si>
  <si>
    <t>Бортовой компьютер Штат Шеви MATRIX-М на Niva Chevrolet</t>
  </si>
  <si>
    <t>Бортовой компьютер Multitronics C350 на Lada 2108-15</t>
  </si>
  <si>
    <t>Тестер аккумуляторных батарей "ОРИОН" Вымпел BA101</t>
  </si>
  <si>
    <t>Бортовой компьютер Штат UniComp-600 на Lada и иномарки</t>
  </si>
  <si>
    <t>Преобразователь напряжения (розетка автомобильная) 12/220 Орион ПН-70 900W</t>
  </si>
  <si>
    <t>Парктроник Multitronics APT-4C</t>
  </si>
  <si>
    <t>Бортовой компьютер Штат 110 Х6-M RGB на Lada 2110-12</t>
  </si>
  <si>
    <t>Бортовой компьютер Штат Kalina XD на Lada Kalina</t>
  </si>
  <si>
    <t>Бортовой компьютер Штат 110x5М на Lada 2110-2112 со старой панелью</t>
  </si>
  <si>
    <t>Программатор одометров ПО-5</t>
  </si>
  <si>
    <t>Бортовой компьютер Штат Priora Матрикс на Lada Priora</t>
  </si>
  <si>
    <t>Адаптер BDM-ПО5 для программатора ПО-5</t>
  </si>
  <si>
    <t>Бортовой компьютер Штат 110x5 RGB-M на Lada 2110-12</t>
  </si>
  <si>
    <t>Преобразователь напряжения (розетка автомобильная) 12/220 Орион ПН-60 450W</t>
  </si>
  <si>
    <t>Тестер форсунок ТФ-01</t>
  </si>
  <si>
    <t>Радар-детектор Орион 575</t>
  </si>
  <si>
    <t>Бортовой компьютер Штат UniComp-410M на Lada и иномарки</t>
  </si>
  <si>
    <t>Бортовой компьютер Штат 219x6 RGB на Lada Kalina 2, Granta</t>
  </si>
  <si>
    <t>Парктроник Multitronics PU-4TC</t>
  </si>
  <si>
    <t>Парктроник Multitronics PT-4TC</t>
  </si>
  <si>
    <t>Бортовой компьютер "Штат" UniComp X-RAY XD для Лада XRAY</t>
  </si>
  <si>
    <t>Бортовой компьютер "Штат" 110x4M-Zoom для ВАЗ 2110-2112</t>
  </si>
  <si>
    <t>Стробоскоп Multitronics Astro M5 на карбюраторный и инжекторный двигатель</t>
  </si>
  <si>
    <t>Радар-детектор Орион 525</t>
  </si>
  <si>
    <t>Программатор одометров ПО-4</t>
  </si>
  <si>
    <t>Бортовой компьютер "Штат" UniComp VESTA XD для Лада Веста</t>
  </si>
  <si>
    <t>Бортовой компьютер Штат Unicomp-404ML на Daewoo</t>
  </si>
  <si>
    <t>Бортовой компьютер Штат Unicomp-400 на Lada и иномарки</t>
  </si>
  <si>
    <t>Бортовой компьютер Штат Unicomp-402ML на Hyundai</t>
  </si>
  <si>
    <t>Бортовой компьютер Multitronics X150 на Lada 2108-15</t>
  </si>
  <si>
    <t>Цифровая нагрузочная вилка НВ-03</t>
  </si>
  <si>
    <t>Бортовой компьютер Multitronics Comfort X115 на Lada 2108-15</t>
  </si>
  <si>
    <t>Бортовой компьютер Штат UniComp 401L на Renault</t>
  </si>
  <si>
    <t>Модуль автоматического контроллера стеклоподъёмников "МАКС-2" для Лада Веста</t>
  </si>
  <si>
    <t>Датчик дождя автомобильный ДДА-55</t>
  </si>
  <si>
    <t>Бортовой Штат UniComp-400L на Lada</t>
  </si>
  <si>
    <t>CAN-подмотчик (имитатор сигнала скорости) на Lada Granta, Kalina 2, Priora 2</t>
  </si>
  <si>
    <t>Датчик дождя ДДА15 для ВАЗ 2108-15, 2110-12, Шеви Нива</t>
  </si>
  <si>
    <t>Бортовой компьютер Multitronics Comfort X15 на Lada 2108-15</t>
  </si>
  <si>
    <t>Диагностический сканер тестер Штат ДСТ-Мини для автомобилей Lada</t>
  </si>
  <si>
    <t>Преобразователь напряжения повышающий 12/24 Орион ПН-50 10А</t>
  </si>
  <si>
    <t>Адаптер ELM 327 Wi-Fi</t>
  </si>
  <si>
    <t>Адаптер EEPROM-ПО5 для программатора ПО-5</t>
  </si>
  <si>
    <t>Бортовой компьютер Multitronics ux-7 на Lada и Niva Chevrolet</t>
  </si>
  <si>
    <t>Датчик дождя ДДА 35 для автомобилей со встроенным, электронным реле стеклоочистителя</t>
  </si>
  <si>
    <t>Преобразователь напряжения инверторный 24/12 35А</t>
  </si>
  <si>
    <t>Стробоскоп Multitronics Astro L5 на карбюраторный двигатель</t>
  </si>
  <si>
    <t>Бортовой компьютер Штат 33 X1 на Lada 2110-12</t>
  </si>
  <si>
    <t>Бортовой компьютер "Штат" МК-1 PLUS (сенсорный) для Лада Веста, XRAY</t>
  </si>
  <si>
    <t>Бортовой компьютер Штат Х1-P на Lada Priora</t>
  </si>
  <si>
    <t>Бортовой компьютер Штат Х-1М универсал на Lada Kalina, 2113-2115, 2110-2112, Niva Chevrolet</t>
  </si>
  <si>
    <t>Бортовой компьютер Штат Х1-G (зеленый индикатор) на Lada Kalina 2, Granta</t>
  </si>
  <si>
    <t>Бортовой компьютер Штат 07X-1М на Lada 2105-07</t>
  </si>
  <si>
    <t>Преобразователь напряжения инверторный 24/12 25А</t>
  </si>
  <si>
    <t>Таксометр ТА-2 на автомобили Lada</t>
  </si>
  <si>
    <t>Бортовой компьютер Штат Х1-G (белый индикатор) для LADA Granta, Priora 2, Kalina 2</t>
  </si>
  <si>
    <t>Бортовой компьютер "Штат" МК-12 (сенсорный, OBD-2)</t>
  </si>
  <si>
    <t>Стробоскоп Орион СТ-2</t>
  </si>
  <si>
    <t>Подогрев тосола 220В Магнум №29 1.5кВт для Лада Гранта, Калина 2 8V</t>
  </si>
  <si>
    <t>Бортовой компьютер "Штат" МК-2 (сенсорный, OBD-2 CAN)</t>
  </si>
  <si>
    <t>Стрелочная нагрузочная вилка НВ-02</t>
  </si>
  <si>
    <t>Бортовой компьютер Орион БК-07</t>
  </si>
  <si>
    <t>Модуль автоматического контроллера стеклоподъемников «МАКС-2»</t>
  </si>
  <si>
    <t>Адаптер ELM 327 Bluetooth</t>
  </si>
  <si>
    <t>Бортовой компьютер Орион БК-08</t>
  </si>
  <si>
    <t>Цифровой индикатор температуры двигателя с функцией диагностики, под CAN шину</t>
  </si>
  <si>
    <t>Адаптер ELM 327 mini Bluetooth</t>
  </si>
  <si>
    <t>Адаптер ELM 327 USB</t>
  </si>
  <si>
    <t>Стробоскоп Орион СТ-1</t>
  </si>
  <si>
    <t>Штат Адаптер USB-K-line</t>
  </si>
  <si>
    <t>Насос для перекачки жидкости "ОРИОН" Вымпел НM-12/24 В</t>
  </si>
  <si>
    <t>Стробоскоп Multitronics Astro L1 на карбюраторный и инжекторный двигатель</t>
  </si>
  <si>
    <t>Бортовой компютер Орион БК 03 для карбюраторных двигателей</t>
  </si>
  <si>
    <t>Тахометр Multitronics DM11 для бензиновых и дизельных двигателей</t>
  </si>
  <si>
    <t>Индикатор температуры двигателя на Volkswagen Polo</t>
  </si>
  <si>
    <t>Октан-корректор "Пульсар" М для ВАЗ 2108-21099, 2110-2112</t>
  </si>
  <si>
    <t>Реле ДХО-30 для включения дальнего света как ходовые огни на Lada Priora, Granta, Kalina, Kalina 2</t>
  </si>
  <si>
    <t>Индикатор температуры двигателя цифровой на Lada Granta, Kalina 2, Priora, Datsun</t>
  </si>
  <si>
    <t>Реле ДХО-30Б для включения дальнего света как ходовые огни на Lada 2107, 2108-2115, 2110-2112</t>
  </si>
  <si>
    <t>Модуль (удлинитель) управления сигнала поворотов на автомобили Lada</t>
  </si>
  <si>
    <t>Бесконтактное электронное зажигание «Сонар-ИК» на Lada 2101-2107</t>
  </si>
  <si>
    <t>Индикатор напряжения "ЭЛАНГ" для Volkswagen Polo</t>
  </si>
  <si>
    <t>Универсальное реле защиты ламп на автомобили Lada</t>
  </si>
  <si>
    <t>Стробоскоп Multitronics C1 на дизельный двигатель</t>
  </si>
  <si>
    <t>Антенна "АПЭЛ" ГЛОНАСС/GPS</t>
  </si>
  <si>
    <t>Регулятор обогрева стекла с автоматом «РОСТ» на Lada</t>
  </si>
  <si>
    <t>Регулятор обогрева сидений РОС-2</t>
  </si>
  <si>
    <t>Вольтметр в прикуриватель 4 в 1 (с функцией зарядного устройства USB)</t>
  </si>
  <si>
    <t>USB-зарядное устройство на 2 слота для ВАЗ 2113-2115, Лада Калина, Шевроле Нива</t>
  </si>
  <si>
    <t>USB-зарядное устройство на 2 слота для ВАЗ 2110-2112</t>
  </si>
  <si>
    <t>USB-зарядное устройство на 2 слота для ВАЗ 2108-21099, Нива 4х4 (21213, 21214, 2131)</t>
  </si>
  <si>
    <t>USB-зарядное устройство на 2 слота для ВАЗ 2106-2107</t>
  </si>
  <si>
    <t>Контроллер открытия дверей "КОД" на автомобили Lada</t>
  </si>
  <si>
    <t>Система управления светом Автосвет-3</t>
  </si>
  <si>
    <t>Сенсорный выключатель Штат TS-T с фиксацией</t>
  </si>
  <si>
    <t>Сенсорный выключатель Штат TS без фиксации</t>
  </si>
  <si>
    <t>USB адаптер на 2 гнезда от прикуривателя автомобиля</t>
  </si>
  <si>
    <t>Индикатор напряжения "АПЭЛ" ИН-12 для Лада Калина 2, Гранта, Приора</t>
  </si>
  <si>
    <t>Реле мигания дополнительного стоп-сигнала</t>
  </si>
  <si>
    <t>Реле автосвета "Незабудка 2" на автомобили Lada</t>
  </si>
  <si>
    <t>Цифровой вольтметр в гнездо прикуривателя</t>
  </si>
  <si>
    <t>Автомобильный цифровой вольтметр (в корпусе, диагональ 1,5 см)</t>
  </si>
  <si>
    <t>Установочный комплект "Штат" 115 для Лада Нива 4х4</t>
  </si>
  <si>
    <t>Аварийное зажигание «АЗ-1» на Lada 2110-2112, 2108-2115, Таврия, Ока</t>
  </si>
  <si>
    <t>Микросхема для восстановления комбинаций приборов МС-1</t>
  </si>
  <si>
    <t>Переходник для подключения БК на высокой панели Lada 2108-099</t>
  </si>
  <si>
    <t>Стробоскоп Multitronics Astro D5 на дизельный двигатель</t>
  </si>
  <si>
    <t>Стробоскоп Multitronics SC 10 на карбюраторный двигатель</t>
  </si>
  <si>
    <t>Стробоскоп Multitronics M1 на карбюраторный двигатель</t>
  </si>
  <si>
    <t>Стробоскоп-тахометр Multitronics M2 на карбюраторный двигатель</t>
  </si>
  <si>
    <t>Стробоскоп Multitronics Focus F1 на карбюраторный двигатель</t>
  </si>
  <si>
    <t>Стробоскоп мотор-тестер Multitronics Focus F10 на бензиновый и дизельный двигатель</t>
  </si>
  <si>
    <t>Бортовой компьютер Multitronics SE-50V на Lada и иномарки</t>
  </si>
  <si>
    <t>Бортовой компьютер Престиж V55-01 на Lada</t>
  </si>
  <si>
    <t>Бортовой компьютер Штат Priora ХD RGB на Lada Priora</t>
  </si>
  <si>
    <t>Бортовой компьютер Штат 219x4 на Lada Kalina, Kalina 2, Granta</t>
  </si>
  <si>
    <t>Бортовой компьютер Штат 219x5 на Lada Kalina 2, Granta</t>
  </si>
  <si>
    <t>Бортовой компьютер Multitronics X140 на Lada 2108-15</t>
  </si>
  <si>
    <t>Бортовой компьютер Multitronics Comfort X10 на Lada 2110-12</t>
  </si>
  <si>
    <t>Бортовой компьютер Престиж Patriot Plus на UAZ Patriot</t>
  </si>
  <si>
    <t>Бортовой компьютер Престиж V55-CAN Plus</t>
  </si>
  <si>
    <t>Бортовой компьютер Штат Unicomp-403L на Chevrolet</t>
  </si>
  <si>
    <t>Опциональный кабель Multitronics ШП-1</t>
  </si>
  <si>
    <t>Опциональный кабель Multitronics ШП-2</t>
  </si>
  <si>
    <t>Опциональный кабель Multitronics ШП-3</t>
  </si>
  <si>
    <t>Опциональный кабель Multitronics ШП-4</t>
  </si>
  <si>
    <t>Парктроник Multitronics PT-3TC</t>
  </si>
  <si>
    <t>Парктроник Multitronics PT-2TC</t>
  </si>
  <si>
    <t>Парктроник Престиж SP-4</t>
  </si>
  <si>
    <t>Тахометр-вольметр Multitronics DM-20D для дизельных двигателей</t>
  </si>
  <si>
    <t>Процессор автомобильный Multitronics DD5 для карбюраторных двигателей</t>
  </si>
  <si>
    <t>Имитатор сигнализации от прикуривателя на Lada</t>
  </si>
  <si>
    <t>Адаптер ELM 327 mini Wi-Fi</t>
  </si>
  <si>
    <t>Адаптер К-линии S7000-I</t>
  </si>
  <si>
    <t>Адаптер PIC-ПО5 для программатора ПО-5 для Daewoo Nexia</t>
  </si>
  <si>
    <t>Контролер плавного автоматического включения света универсальный</t>
  </si>
  <si>
    <t>Переходник mini ISO 6 pin зеленого цвета с CAN шиной на штатные ММС для Лада Гранта, Веста, Калина 2, Приора 2, Datsun</t>
  </si>
  <si>
    <t>Реле ДХО-30 для включения дальнего света на 30%, как ходовые огни Калина, Приора, Ларгус</t>
  </si>
  <si>
    <t xml:space="preserve">Зарядное устройство USB на 2 разъёма, ввиде кнопки 15, Шеви, Калина 3А </t>
  </si>
  <si>
    <t xml:space="preserve">Зарядное устройство USB на 2 разъёма, для LADA 2106 и 2107  3А </t>
  </si>
  <si>
    <t>Реле плавного запуска вентилятора радиатора РПВ (150Вт)на ВАЗ 2110-2115</t>
  </si>
  <si>
    <t xml:space="preserve">Зарядное устройство USB на 2 разъёма, для LADA 21083 и 21093  3А </t>
  </si>
  <si>
    <t>Реле ДХО-30Б для включения дальнего света на 30%, как ходовые огни ВАЗ 2107, 2109, 2115, 2110 и др.</t>
  </si>
  <si>
    <t>Зарядное устройство USB на 1 разъём, ввиде кнопки 15, Шеви, Калина 3А</t>
  </si>
  <si>
    <t xml:space="preserve">Реле плавного запуска вентилятора радиатора РПВ-2 (300Вт) </t>
  </si>
  <si>
    <t>Реле Удлинитель Поворотников (при нажатии на ручку поворотников без фиксации один раз, поворотник моргает 4раза, так же и аварийка)</t>
  </si>
  <si>
    <t>Зарядное устройство USB на 1 разъём, ввиде кнопки Гранта, Приора 3А</t>
  </si>
  <si>
    <t>Наименование поставщика</t>
  </si>
  <si>
    <t>=Штат текстовый  Шеви-Вектор-P  без голоса теперь</t>
  </si>
  <si>
    <t xml:space="preserve">=Штат Х1G Granta, Калина-2 в виде кнопки Зелёный индикатор                    </t>
  </si>
  <si>
    <t xml:space="preserve">=Штат Х1G Granta, Калина-2 в виде кнопки Белый индикатор                    </t>
  </si>
  <si>
    <t xml:space="preserve">=Штат Х1NG Niva с 2020г. Зелёный индикатор                  </t>
  </si>
  <si>
    <t xml:space="preserve">=Штат Х1NG Niva с 2020г. Белый индикатор                  </t>
  </si>
  <si>
    <t>Зеркало на солнцезащитный  козырёк</t>
  </si>
  <si>
    <t>ИК Сонар эл.зажигание вместо контактов</t>
  </si>
  <si>
    <r>
      <t xml:space="preserve">Контроллер стеклопод-ов </t>
    </r>
    <r>
      <rPr>
        <b/>
        <sz val="10"/>
        <rFont val="Arial"/>
        <family val="2"/>
        <charset val="204"/>
      </rPr>
      <t>МАКС-2 Vesta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 xml:space="preserve">на 2 двери </t>
    </r>
    <r>
      <rPr>
        <sz val="10"/>
        <rFont val="Arial"/>
        <family val="2"/>
        <charset val="204"/>
      </rPr>
      <t xml:space="preserve">(доводчик, память2часа, закр/откр одним касанием)  </t>
    </r>
  </si>
  <si>
    <r>
      <t xml:space="preserve">Контроллер стеклопод-ов </t>
    </r>
    <r>
      <rPr>
        <b/>
        <sz val="10"/>
        <rFont val="Arial"/>
        <family val="2"/>
        <charset val="204"/>
      </rPr>
      <t>МАКС-2 Vesta на 4 двери</t>
    </r>
    <r>
      <rPr>
        <sz val="10"/>
        <rFont val="Arial"/>
        <family val="2"/>
        <charset val="204"/>
      </rPr>
      <t xml:space="preserve"> (доводчик, память2часа, закр/откр одним касанием)  </t>
    </r>
  </si>
  <si>
    <r>
      <t xml:space="preserve">Корпус ключа, стиль </t>
    </r>
    <r>
      <rPr>
        <b/>
        <sz val="10"/>
        <rFont val="Arial"/>
        <family val="2"/>
        <charset val="204"/>
      </rPr>
      <t>BMW</t>
    </r>
    <r>
      <rPr>
        <sz val="10"/>
        <rFont val="Arial"/>
        <family val="2"/>
        <charset val="204"/>
      </rPr>
      <t xml:space="preserve"> выкидной</t>
    </r>
  </si>
  <si>
    <r>
      <t xml:space="preserve">Корпус ключа, стиль </t>
    </r>
    <r>
      <rPr>
        <b/>
        <sz val="10"/>
        <rFont val="Arial"/>
        <family val="2"/>
        <charset val="204"/>
      </rPr>
      <t>Bentley</t>
    </r>
    <r>
      <rPr>
        <sz val="10"/>
        <rFont val="Arial"/>
        <family val="2"/>
        <charset val="204"/>
      </rPr>
      <t xml:space="preserve"> выкидной</t>
    </r>
  </si>
  <si>
    <r>
      <t xml:space="preserve">Панель приборов стрелочная+электронная </t>
    </r>
    <r>
      <rPr>
        <b/>
        <sz val="10"/>
        <color indexed="10"/>
        <rFont val="Arial"/>
        <family val="2"/>
        <charset val="204"/>
      </rPr>
      <t xml:space="preserve">"Flash-Х5"  3,5"TFT  </t>
    </r>
    <r>
      <rPr>
        <sz val="10"/>
        <rFont val="Arial"/>
        <family val="2"/>
        <charset val="204"/>
      </rPr>
      <t>Калина, Приора,2110 европанель RGB подсветка шкал</t>
    </r>
  </si>
  <si>
    <r>
      <t xml:space="preserve">Проводка противотуманных фар  "Гранта" FL </t>
    </r>
    <r>
      <rPr>
        <b/>
        <sz val="10"/>
        <rFont val="Arial"/>
        <family val="2"/>
        <charset val="204"/>
      </rPr>
      <t>белая подсветка</t>
    </r>
    <r>
      <rPr>
        <sz val="10"/>
        <rFont val="Arial"/>
        <family val="2"/>
        <charset val="204"/>
      </rPr>
      <t xml:space="preserve">   (в коробке) </t>
    </r>
  </si>
  <si>
    <t xml:space="preserve">Реле автоВКЛючения света "МАУС-15А" по движению  </t>
  </si>
  <si>
    <r>
      <t xml:space="preserve">Сканер -тестер </t>
    </r>
    <r>
      <rPr>
        <b/>
        <sz val="10"/>
        <color indexed="8"/>
        <rFont val="Arial"/>
        <family val="2"/>
        <charset val="204"/>
      </rPr>
      <t>С7000</t>
    </r>
    <r>
      <rPr>
        <b/>
        <sz val="10"/>
        <color indexed="10"/>
        <rFont val="Arial"/>
        <family val="2"/>
        <charset val="204"/>
      </rPr>
      <t xml:space="preserve"> + USB</t>
    </r>
    <r>
      <rPr>
        <b/>
        <sz val="10"/>
        <rFont val="Arial"/>
        <family val="2"/>
        <charset val="204"/>
      </rPr>
      <t xml:space="preserve">  для диагностики ВАЗ, ГАЗ</t>
    </r>
  </si>
  <si>
    <t>примечание</t>
  </si>
  <si>
    <t>Модуль стробоскопа (строб-контроллер) двухканальный</t>
  </si>
  <si>
    <t>Модуль стробоскопа (строб-контроллер) одноканальный</t>
  </si>
  <si>
    <t>Насос для перекачки жидкости "ОРИОН" Вымпел НС-12/24 В</t>
  </si>
  <si>
    <t>Программатор одометров "АПЭЛ" ПО-5 PRO</t>
  </si>
  <si>
    <t>Реле защиты стартера для ВАЗ 2110</t>
  </si>
  <si>
    <t>Стробоскоп "ОРИОН" Вымпел СТ-04</t>
  </si>
  <si>
    <t>Тепловентилятор "ОРИОН" Вымпел ТВ-381</t>
  </si>
  <si>
    <t>GSM розетка "ЭЛАНГ" PowerControl</t>
  </si>
  <si>
    <t>Автомобильная сигнализация ШТАТ Х-31</t>
  </si>
  <si>
    <t>Антенна Вымпел А-25</t>
  </si>
  <si>
    <t>Антенный усилитель "ОРИОН" Вымпел A-10</t>
  </si>
  <si>
    <t>Автомобильный диагностический сканер-тестер "ШТАТ" ДСТ—EXPRESS</t>
  </si>
  <si>
    <t>Штекер "ОРИОН" REXANT в прикуриватель (с предохранителем и светодиодом)</t>
  </si>
  <si>
    <t>USB-зарядное устройство "АПЭЛ" (3-х канальное)</t>
  </si>
  <si>
    <t>Набор для управления стеклоподъёмниками "ОРИОН" Вымпел R01-2W (2 окна)</t>
  </si>
  <si>
    <t>Цифровой индикатор бортовой сети "ИН" Большой (1,5 см) в прикуриватель</t>
  </si>
  <si>
    <t>Цифровой индикатор бортовой сети "ИН" Малый (1 см) в прикуриватель</t>
  </si>
  <si>
    <t>Цифровой вольтметр амперметр (DC 0-100V, 10A)</t>
  </si>
  <si>
    <t>Бортовой компьютер "Multitronics" C-900</t>
  </si>
  <si>
    <t>Модуль автоматического контроллера стеклоподъемников "АПЭЛ" МАКС-2 для Лада Ларгус</t>
  </si>
  <si>
    <t>Цифровой манометр "ОРИОН" Вымпел МН-04</t>
  </si>
  <si>
    <t>Цифровой мультиметр "Mastech" MAS830L</t>
  </si>
  <si>
    <t>Автосигнализация "Штат" Х21ВТ для Лада (Калина, Веста, XRAY), MB C250, Nissan Qashqai (2012 г. в.), Mazda CX5 (2014 г. в.)</t>
  </si>
  <si>
    <t>снят</t>
  </si>
  <si>
    <r>
      <t>Зарядное устройство USB на 2</t>
    </r>
    <r>
      <rPr>
        <b/>
        <sz val="10"/>
        <rFont val="Arial"/>
        <family val="2"/>
        <charset val="204"/>
      </rPr>
      <t xml:space="preserve"> разъёма Vesta, X-Ray, Ларгус FL</t>
    </r>
    <r>
      <rPr>
        <sz val="10"/>
        <rFont val="Arial"/>
        <family val="2"/>
        <charset val="204"/>
      </rPr>
      <t xml:space="preserve"> в подлокотник</t>
    </r>
  </si>
  <si>
    <r>
      <t xml:space="preserve">Зарядное устройство USB на 2 разъёма </t>
    </r>
    <r>
      <rPr>
        <b/>
        <sz val="10"/>
        <rFont val="Arial"/>
        <family val="2"/>
        <charset val="204"/>
      </rPr>
      <t>X-Ray, Ларгус FL</t>
    </r>
    <r>
      <rPr>
        <sz val="10"/>
        <rFont val="Arial"/>
        <family val="2"/>
        <charset val="204"/>
      </rPr>
      <t xml:space="preserve"> перед</t>
    </r>
  </si>
  <si>
    <r>
      <t xml:space="preserve">Ключ-брелок выкидной для </t>
    </r>
    <r>
      <rPr>
        <b/>
        <sz val="10"/>
        <rFont val="Arial"/>
        <family val="2"/>
        <charset val="204"/>
      </rPr>
      <t>Гранты  с 19г.</t>
    </r>
    <r>
      <rPr>
        <sz val="10"/>
        <rFont val="Arial"/>
        <family val="2"/>
        <charset val="204"/>
      </rPr>
      <t xml:space="preserve">  Стиль </t>
    </r>
    <r>
      <rPr>
        <b/>
        <sz val="10"/>
        <rFont val="Arial"/>
        <family val="2"/>
        <charset val="204"/>
      </rPr>
      <t>"Volkswagen"</t>
    </r>
  </si>
  <si>
    <r>
      <t xml:space="preserve">Стекло </t>
    </r>
    <r>
      <rPr>
        <sz val="10"/>
        <rFont val="Arial"/>
        <family val="2"/>
        <charset val="204"/>
      </rPr>
      <t xml:space="preserve">комбинации приборов на ВАЗ 2110, 2115, Шеви-нива </t>
    </r>
    <r>
      <rPr>
        <b/>
        <sz val="10"/>
        <rFont val="Arial"/>
        <family val="2"/>
        <charset val="204"/>
      </rPr>
      <t>индив.упаковка</t>
    </r>
  </si>
  <si>
    <r>
      <t xml:space="preserve">Стекло </t>
    </r>
    <r>
      <rPr>
        <sz val="10"/>
        <rFont val="Arial"/>
        <family val="2"/>
        <charset val="204"/>
      </rPr>
      <t>комбинации проиборов на ВАЗ  21118, 2170</t>
    </r>
  </si>
  <si>
    <r>
      <t>Стекло</t>
    </r>
    <r>
      <rPr>
        <sz val="10"/>
        <rFont val="Arial"/>
        <family val="2"/>
        <charset val="204"/>
      </rPr>
      <t xml:space="preserve"> комбинации проиборов на ВАЗ 21118, 2170 </t>
    </r>
    <r>
      <rPr>
        <b/>
        <sz val="10"/>
        <rFont val="Arial"/>
        <family val="2"/>
        <charset val="204"/>
      </rPr>
      <t>индив. упаковка</t>
    </r>
  </si>
  <si>
    <t>Зарядно-предпусковое устройство "TOPAUTO" для 12/24 В АКБ, 15 А (цифровой ампер/вольт-метр, с регуляторами тока и напряжения)</t>
  </si>
  <si>
    <t>Адаптер ELM 327 Bluetooth, аналог (v2.1)</t>
  </si>
  <si>
    <t>Адаптер ELM 327 Bluetooth, аналог (v1.5)</t>
  </si>
  <si>
    <t>Адаптер 409.1 VAG</t>
  </si>
  <si>
    <t>Бортовой компьютер "Штат" БК-3 для Лада Ларгус</t>
  </si>
  <si>
    <t>Бортовой компьютер "Штат" БК-7 для Лада Ларгус (с двигателем ВАЗ 11189, 21129)</t>
  </si>
  <si>
    <t>Нагрузочная вилка "ОРИОН" НВ-05</t>
  </si>
  <si>
    <t>Комплект модулей МАКС-2 на 4 двери для Лада Веста</t>
  </si>
  <si>
    <t>Блок управления вентилятором отопителя (исключает запах омывайки)</t>
  </si>
  <si>
    <r>
      <t xml:space="preserve">Ключ-брелок стиль </t>
    </r>
    <r>
      <rPr>
        <b/>
        <sz val="10"/>
        <rFont val="Arial"/>
        <family val="2"/>
        <charset val="204"/>
      </rPr>
      <t>"Volkswagen Lux"</t>
    </r>
    <r>
      <rPr>
        <sz val="10"/>
        <rFont val="Arial"/>
        <family val="2"/>
        <charset val="204"/>
      </rPr>
      <t xml:space="preserve"> переделан для Калины, Приоры, Шеви</t>
    </r>
  </si>
  <si>
    <r>
      <t xml:space="preserve">Контроллер стеклопод-ов </t>
    </r>
    <r>
      <rPr>
        <b/>
        <sz val="10"/>
        <rFont val="Arial"/>
        <family val="2"/>
        <charset val="204"/>
      </rPr>
      <t>МАКС-2 X-Ray на 2 двери</t>
    </r>
    <r>
      <rPr>
        <sz val="10"/>
        <rFont val="Arial"/>
        <family val="2"/>
        <charset val="204"/>
      </rPr>
      <t xml:space="preserve"> (доводчик, память2часа, закр/откр одним касанием)  </t>
    </r>
  </si>
  <si>
    <r>
      <t xml:space="preserve">Контроллер стеклопод-ов </t>
    </r>
    <r>
      <rPr>
        <b/>
        <sz val="10"/>
        <rFont val="Arial"/>
        <family val="2"/>
        <charset val="204"/>
      </rPr>
      <t>МАКС-2 X-Ray на 4 двери</t>
    </r>
    <r>
      <rPr>
        <sz val="10"/>
        <rFont val="Arial"/>
        <family val="2"/>
        <charset val="204"/>
      </rPr>
      <t xml:space="preserve"> (доводчик, память2часа, закр/откр одним касанием)  </t>
    </r>
  </si>
  <si>
    <t>Ключа-брелока выкидного ЛЕЗВИЕ под штифт</t>
  </si>
  <si>
    <t>Автоматическое импульсное зарядно-предпусковое устройство "TOPAUTO" АЗУ-115</t>
  </si>
  <si>
    <t>Панель приборов ЖК на Lada Vesta  GPS навигатор + антирадар</t>
  </si>
  <si>
    <t>Преобразователь напряж. 12/220 Орион ПН-72  900W синус</t>
  </si>
  <si>
    <r>
      <rPr>
        <b/>
        <sz val="10"/>
        <rFont val="Arial"/>
        <family val="2"/>
        <charset val="204"/>
      </rPr>
      <t>Реле поворотников LED Нива Урбан</t>
    </r>
    <r>
      <rPr>
        <sz val="10"/>
        <rFont val="Arial"/>
        <family val="2"/>
        <charset val="204"/>
      </rPr>
      <t xml:space="preserve">   для поворотников с диодными лампами</t>
    </r>
  </si>
  <si>
    <t>Зарядное устройство Орион PW-265</t>
  </si>
  <si>
    <t>Пуско-зарядное устройство Орион PW-700</t>
  </si>
  <si>
    <t>Устройство зарядно - предпусковое ОРИОН Вымпел-30</t>
  </si>
  <si>
    <t>Устройство зарядно - предпусковое ОРИОН PW325</t>
  </si>
  <si>
    <t>Устройство зарядное ОРИОН PW150</t>
  </si>
  <si>
    <t>Зарядное устройство "ОРИОН" Вымпел-20 (7А) для мотоциклетных и автомобильных аккумуляторов</t>
  </si>
  <si>
    <t>Устройство "Незабудка 2М" для автоматического включения/выключения ближнего света фар (универсальное)</t>
  </si>
  <si>
    <t>Совместимость БК Штат с автомобилями</t>
  </si>
  <si>
    <t>ТАБЛИЦА</t>
  </si>
  <si>
    <t>смотреть таблицу</t>
  </si>
  <si>
    <t>=Штат МК-3 сенсорный OBD-2 CAN универсальный</t>
  </si>
  <si>
    <t>Оригинальный</t>
  </si>
  <si>
    <t>Измененный</t>
  </si>
  <si>
    <t>ЭКОТОП  вихревое устройство для карбюратора экон.бенз.до 30%</t>
  </si>
  <si>
    <t>Датчик дождя ДДА-25.02  на2108 нов блок предох, 2115, Калина, Приора</t>
  </si>
  <si>
    <t>Зарядное устройство USB на 2 разъёма, ввиде кнопки Гранта, Приора 3А</t>
  </si>
  <si>
    <t>Компьютер RC-700 TFT дисплей Мультитроникс</t>
  </si>
  <si>
    <t xml:space="preserve">Компьютер CL-550  TFT дисплей  Мультитроникс  </t>
  </si>
  <si>
    <t xml:space="preserve">Компьютер С340 Голос на 2115 TFT дисплей Мультитроникс                                                   </t>
  </si>
  <si>
    <t xml:space="preserve">Компьютер С350 на 2115 TFT дисплей Мультитроникс                                                         </t>
  </si>
  <si>
    <t>Тахометр DM11 тахометр электронный бензин/дизель</t>
  </si>
  <si>
    <t>Тахометр DM10 тахометр электронный бензин</t>
  </si>
  <si>
    <t>Реле автосвета Незабудка-2М</t>
  </si>
  <si>
    <t>Контроллер открытия дверей "КОД" для установки сигнализац на Гранту, Калину-2, Приору-2</t>
  </si>
  <si>
    <t>Регулятор обогрева сидений автоматич. Откл "РОС" (50Вт)</t>
  </si>
  <si>
    <t xml:space="preserve">Регулятор обогрева зад стекла с автоматич. Откл "РОСТ " </t>
  </si>
  <si>
    <t xml:space="preserve">"АЗ-1"  Аварйное зажигание              </t>
  </si>
  <si>
    <t xml:space="preserve">Контроллер стеклопод-ов МАКС-2  (доводчик, память2часа, закр/откр одним касанием)  </t>
  </si>
  <si>
    <t>Микросхема для восстановления комбинации "Автоприбор" МС-1</t>
  </si>
  <si>
    <t>Преобразователь напряж.инверторный 24/12 вольт 25 А макс.</t>
  </si>
  <si>
    <t>Преобразователь напряж.инверторный 24/12 вольт 35 А макс.</t>
  </si>
  <si>
    <t>Регулятор обогрева сидений автоматич. Откл "РОС-2"  (100вт)</t>
  </si>
  <si>
    <t>Реле защиты ламп     для разных автомобилей</t>
  </si>
  <si>
    <t xml:space="preserve">Реле DRL универсальное реле с встроенным акселерометром. Вкл. Ближ. свет на 75% по движению </t>
  </si>
  <si>
    <t>Таксометр ТА-2</t>
  </si>
  <si>
    <t>Имитатор датчика скорости "ИДС" (намотка показаний одометра)</t>
  </si>
  <si>
    <t>Программатор одометров ПО4 (для изменени показаний одометра)</t>
  </si>
  <si>
    <t>Программатор одометров ПО5 (для изменени показаний одометра)</t>
  </si>
  <si>
    <t>СПМЗ-3 Прибор для проверки модулей зажигания и индивид. катушек</t>
  </si>
  <si>
    <t xml:space="preserve">Тестер РХХ </t>
  </si>
  <si>
    <t>Тестер форсунок ТФ-1</t>
  </si>
  <si>
    <t xml:space="preserve">Зарядное устройство USB на 2 разъёма, для LADA 2110, 2111, 2112  3А </t>
  </si>
  <si>
    <t xml:space="preserve">Контроллер стеклопод-ов МАКС-2 Vesta на 2 двери (доводчик, память2часа, закр/откр одним касанием)  </t>
  </si>
  <si>
    <t xml:space="preserve">Зарядное устройство USB на 2 разъёма, для ГАЗель NEXT 3А </t>
  </si>
  <si>
    <t>"ИН" Большой, 1,5см. Цифровой индикатор борт сети в прикур. 3-30V</t>
  </si>
  <si>
    <t>"ИН" Малый, 1см. Цифровой индикатор борт сети в прикур. 3-30V</t>
  </si>
  <si>
    <t>Индикатор 4в1 + ЗУ на 2 USB (Вольты, Амперы, Термометр) индикатор красный, синий</t>
  </si>
  <si>
    <t xml:space="preserve">Контроллер стеклопод-ов МАКС-2 Ларгус  (доводчик, память2часа, закр/откр одним касанием)  </t>
  </si>
  <si>
    <t>Корпус ключа KD-600 выкидной для ВАЗ 2108-2110</t>
  </si>
  <si>
    <t>Программатор одометров ПО5 PRO (для изменени показаний одометра)</t>
  </si>
  <si>
    <t>Реле поворотников LED   для поворотников с диодными лампами</t>
  </si>
  <si>
    <t xml:space="preserve">Реле Строб-контроллер одноканальный </t>
  </si>
  <si>
    <t>Реле Строб-контроллер  2-х канальный 5 режимов</t>
  </si>
  <si>
    <t>Реле времени РВ</t>
  </si>
  <si>
    <t>GSM розетка предназна для управления электроприборами до 3,5КВт и для контроля окружающей температуры через сотовую сеть GSM.</t>
  </si>
  <si>
    <t xml:space="preserve">Контроллер стеклопод-ов МАКС-2 Vesta на 4 двери (доводчик, память2часа, закр/откр одним касанием)  </t>
  </si>
  <si>
    <t xml:space="preserve">Проводка противотуманных фар  "Гранта" FL белая подсветка   (в коробке) </t>
  </si>
  <si>
    <t>Реле БУВ  Блок управления вентилятором отопителя (исключает запах омывайки)</t>
  </si>
  <si>
    <t>Панель приборов стрелочная+электронная "Flash-Х4" Калина, Приора,2110 европанель RGB подсветка шкал</t>
  </si>
  <si>
    <t>Панель приборов стрелочная+электронная "Flash-Х3" 2110, 21115, Шеви RGB подсветка шкал</t>
  </si>
  <si>
    <t>Сканер -тестер С7000 + USB  для диагностики ВАЗ, ГАЗ</t>
  </si>
  <si>
    <t>Реле Модуль защиты ламп Н7 (Калина, Приора) не будут перегорать лампы</t>
  </si>
  <si>
    <t>Преобразователь напряж. повышающий 12/24 Орион ПН-50 10 А макс.</t>
  </si>
  <si>
    <t xml:space="preserve">Тосола подогрев 220В "Магнум"№5     Шеви-нива              1,5КВт                            </t>
  </si>
  <si>
    <t xml:space="preserve">Тосола подогрев 220В "Магнум"№29 Гранта         1,5КВт                           </t>
  </si>
  <si>
    <t xml:space="preserve">Зарядное устройство USB на 2 разъёма, в прикуриватель 3А </t>
  </si>
  <si>
    <t xml:space="preserve">Зарядное устройство USB 3х канальное на 6 разъёмов, в прикуриватель на проводе (3 х 2 Ампера) </t>
  </si>
  <si>
    <t>Панель приборов стрелочная+электронная "Flash-Х5"  3,5"TFT  Калина, Приора,2110 европанель RGB подсветка шкал</t>
  </si>
  <si>
    <t>Реле моргания LED(светодиодных) СТОП-сигналов.      5 режимов!!!</t>
  </si>
  <si>
    <t>БК-07 тахометр электронный 12/24Вольта  +часы,V,УЗСК, термометр наружн. воздуха</t>
  </si>
  <si>
    <t xml:space="preserve">Дублер Звуковой (пищалка/зуммер) на поворотники, давлен.масла, ручник и прочее           </t>
  </si>
  <si>
    <t>штат</t>
  </si>
  <si>
    <t>Бесконтактный сенсор "ШТАТ" BS</t>
  </si>
  <si>
    <t>Комплект гибких усов (запасных) для автомобильных антенн</t>
  </si>
  <si>
    <t>Выкидной ключ "KD600" (без чипа и платы) для ВАЗ (2108-21099, 2110-2112, 2113-2115), Лада (Калина, Калина 2, Приора, Гранта, Нива 4х4), Шевроле Нива, Датсун (mi-DO, on-DO)</t>
  </si>
  <si>
    <t>Тестер "АПЭЛ" регулятора холостого хода РХХ</t>
  </si>
  <si>
    <t>Бортовой компьютер ШТАТ Шеви Вектор (без голоса) на Niva Chevrolet</t>
  </si>
  <si>
    <t>Бортовой компьютер "Штат" X-5 МК для Лада Калина</t>
  </si>
  <si>
    <t>Бортовой компьютер "Multitronics" SL-50V</t>
  </si>
  <si>
    <t>USB-зарядное устройство "ШТАТ" (1 слот, 2.2А) для Лада Приора, Калина 2, Гранта, Гранта FL</t>
  </si>
  <si>
    <t>USB-зарядник Штат 2.0 Универсал для ВАЗ 2110-2112, 2113-2115, Лада Калина, Шевроле Нива</t>
  </si>
  <si>
    <t>Регулятор плавного запуска вентилятора радиатора "АПЭЛ" (РПВ-2) 300Вт</t>
  </si>
  <si>
    <t>Регулятор плавного запуска вентилятора радиатора "АПЭЛ" (РПВ-1) 150Вт</t>
  </si>
  <si>
    <t>Под заказ</t>
  </si>
  <si>
    <t>Поставщик</t>
  </si>
  <si>
    <t>нет</t>
  </si>
  <si>
    <t>"ИН-12П" Цифровой индикатор борт сети в прикуриватель 5-20V  АПЕЛ</t>
  </si>
  <si>
    <t>Руль анатомический стиль AMG разные цвета швов. На ВАЗы</t>
  </si>
  <si>
    <t>под заказ</t>
  </si>
  <si>
    <t xml:space="preserve">Компьютер C-570+CAN Шеви голос TFT дисплей  плюс Шеви Тревел 22г.                                                      </t>
  </si>
  <si>
    <t xml:space="preserve">Компьютер CL-570+CAN Шеви TFT дисплей плюс Шеви Тревел 22г.                                                         </t>
  </si>
  <si>
    <t>Проводка противотуманных фар (ПТФ) для ВАЗ 2110-2112 (с европанелью)</t>
  </si>
  <si>
    <t>Проводка противотуманных фар (ПТФ) для ВАЗ 2110-2112</t>
  </si>
  <si>
    <t>Проводка противотуманных фар (ПТФ) для Лада Калина 2, Гранта</t>
  </si>
  <si>
    <t>Проводка противотуманных фар (ПТФ) для ВАЗ 2108-21099</t>
  </si>
  <si>
    <t>Электронная комбинация приборов "Flash" X103V для ВАЗ (2110-2112, 2113-2115), Лада Нива 4х4, Шевроле Нива</t>
  </si>
  <si>
    <t>Проводка противотуманных фар (ПТФ) для ВАЗ 2113-2115</t>
  </si>
  <si>
    <t>Проводка противотуманных фар (ПТФ) с белой подсветкой для Лада Гранта FL</t>
  </si>
  <si>
    <t xml:space="preserve">Адаптер ELM 327 Bluetooth    КИТАЙ  v1.5  мини  </t>
  </si>
  <si>
    <t xml:space="preserve">Адаптер ELM 327 Bluetooth  Орион ARM   </t>
  </si>
  <si>
    <r>
      <t xml:space="preserve">Адаптер ELM 327 Bluetooth </t>
    </r>
    <r>
      <rPr>
        <b/>
        <sz val="10"/>
        <color indexed="10"/>
        <rFont val="Arial"/>
        <family val="2"/>
        <charset val="204"/>
      </rPr>
      <t xml:space="preserve">Mini </t>
    </r>
    <r>
      <rPr>
        <b/>
        <sz val="10"/>
        <color indexed="8"/>
        <rFont val="Arial"/>
        <family val="2"/>
        <charset val="204"/>
      </rPr>
      <t xml:space="preserve"> Орион ARM  </t>
    </r>
    <r>
      <rPr>
        <sz val="10"/>
        <color indexed="8"/>
        <rFont val="Arial"/>
        <family val="2"/>
        <charset val="204"/>
      </rPr>
      <t xml:space="preserve"> (маленький размер)</t>
    </r>
    <r>
      <rPr>
        <sz val="10"/>
        <rFont val="Arial"/>
        <family val="2"/>
        <charset val="204"/>
      </rPr>
      <t xml:space="preserve">  </t>
    </r>
  </si>
  <si>
    <t xml:space="preserve">Адаптер ELM 327 Wi-Fi  Орион ARM  (Android, iOS)          </t>
  </si>
  <si>
    <t>=Штат сенсорный выключатель ВS  универсальный настраеваемый</t>
  </si>
  <si>
    <r>
      <t>Зарядное устройство Вымпел-</t>
    </r>
    <r>
      <rPr>
        <b/>
        <sz val="10"/>
        <color indexed="10"/>
        <rFont val="Arial"/>
        <family val="2"/>
        <charset val="204"/>
      </rPr>
      <t>15</t>
    </r>
    <r>
      <rPr>
        <sz val="10"/>
        <rFont val="Arial"/>
        <family val="2"/>
        <charset val="204"/>
      </rPr>
      <t xml:space="preserve"> 6 Ампер  автомат                                                           </t>
    </r>
  </si>
  <si>
    <r>
      <t xml:space="preserve">Панель приборов стрелочная+электронная </t>
    </r>
    <r>
      <rPr>
        <b/>
        <sz val="10"/>
        <color indexed="10"/>
        <rFont val="Arial"/>
        <family val="2"/>
        <charset val="204"/>
      </rPr>
      <t>"Flash-103V"   3,5"TFT экран,</t>
    </r>
    <r>
      <rPr>
        <sz val="10"/>
        <rFont val="Arial"/>
        <family val="2"/>
        <charset val="204"/>
      </rPr>
      <t xml:space="preserve"> 2110, 2115, Шеви RGB подсветка шкал</t>
    </r>
  </si>
  <si>
    <t>Тестер АКБ Konnwei KW600 (для авто, 12в АКБ, цв. экран, рус.яз.)</t>
  </si>
  <si>
    <t>https://stparts.ru/search/TOP%20AUTO/29259</t>
  </si>
  <si>
    <t>Бортовой компьютер Штат 115x23-М для ВАЗ (2109-21099, 2113-2115), Лада Нива 4х4</t>
  </si>
  <si>
    <t>Проводка противотуманных фар (ПТФ) для Лада Калина</t>
  </si>
  <si>
    <t>Проводка противотуманных фар (ПТФ) для ВАЗ 2104, 2105, 2107</t>
  </si>
  <si>
    <t>Проводка противотуманных фар (ПТФ) для Лада Веста</t>
  </si>
  <si>
    <t>Проводка противотуманных фар (ПТФ) для ВАЗ (2103, 2106), Лада Нива 4х4</t>
  </si>
  <si>
    <t>Центральный замок "ОРИОН" Вымпел A-Y16</t>
  </si>
  <si>
    <t>Зарядное устройство Вымпел-20 7 Ампер стрелочн. индикатор</t>
  </si>
  <si>
    <t>Зарядное устройство Вымпел-30 20 Ампер стрелочн. индикатор</t>
  </si>
  <si>
    <t xml:space="preserve">Проводка противотуманных фар Нива Тревел       (в коробке)   </t>
  </si>
  <si>
    <t>!</t>
  </si>
  <si>
    <r>
      <t xml:space="preserve">Условия обмена бракованной продукции: сложная электроника меняется на новую при условии 100% вида, меняется только прибор и паспорт, проводка и упаковка остаётся у покупателя. </t>
    </r>
    <r>
      <rPr>
        <b/>
        <sz val="10"/>
        <color indexed="10"/>
        <rFont val="Arial"/>
        <family val="2"/>
        <charset val="204"/>
      </rPr>
      <t>Обязательно указывать причину неисправности ( со слов вернувшего клиента).</t>
    </r>
  </si>
  <si>
    <t xml:space="preserve">Менее сложная электроника, меняется сразу.    В остальных случаях, товар берётся на ремонт. </t>
  </si>
  <si>
    <t>Наименование</t>
  </si>
  <si>
    <t>Закуп</t>
  </si>
  <si>
    <t>Розница</t>
  </si>
  <si>
    <t>5</t>
  </si>
  <si>
    <t>6</t>
  </si>
  <si>
    <t>Проводка противотуманных фар (ПТФ) для Лада Приора, Приора 2</t>
  </si>
  <si>
    <t>Проводка противотуманных фар (ПТФ) для Шевроле Нива (с 2009 г. в.)</t>
  </si>
  <si>
    <t>Бортовой компьютер "Штат" 115 X-24 RGB экран для ВАЗ 2108-21099, 2113-2115</t>
  </si>
  <si>
    <t>Реле дворников "Русский партнер" с регулируемой паузой для ВАЗ (2108-21099, 2110-2112, 2113-2115), Лада (Калина, Калина 2, Приора, Гранта)</t>
  </si>
  <si>
    <t>54.3777</t>
  </si>
  <si>
    <t>Реле дворников "Русский партнер" с регулируемой паузой для ВАЗ (2108-21099 (со старым блоком), 2110-2112), Шевроле Нива</t>
  </si>
  <si>
    <t>39.3777-03</t>
  </si>
  <si>
    <t>2108-3734910</t>
  </si>
  <si>
    <t>4017</t>
  </si>
  <si>
    <t>Реле дворников "ЭНЕРГОМАШ" с регулируемой паузой для ВАЗ 2108-21099, 2113-2115, Лада (Приора, Калина, Гранта)</t>
  </si>
  <si>
    <t>723.3777-01</t>
  </si>
  <si>
    <t>Бортовой компьютер "Штат" Х1-N-G (белый индикатор) для Лада Калина 2, Приора 2, Гранта, Нива 4х4 (с 2020 г. в.)</t>
  </si>
  <si>
    <t>МД-1.</t>
  </si>
  <si>
    <t>АЗУ-315</t>
  </si>
  <si>
    <t>2110</t>
  </si>
  <si>
    <t>29259</t>
  </si>
  <si>
    <t>A-Y16</t>
  </si>
  <si>
    <t>Реле дворников "Энергомаш" с регулировкой паузы (под старый блок) для ВАЗ (2108-21099, 2110-2112), Шевроле Нива</t>
  </si>
  <si>
    <t>724.3777-01</t>
  </si>
  <si>
    <t>Активатор замка двери "Вымпел" BCS-5P (5-ти контактный)</t>
  </si>
  <si>
    <t xml:space="preserve">=Датчики парковки РТ4-ТС 4 датч. для компьютеров Мультитроникс  Чёрн              </t>
  </si>
  <si>
    <t>=Штат МК-4 сенсорный OBD-2, CAN все ВАЗ</t>
  </si>
  <si>
    <t xml:space="preserve">Зарядное устройство Вымпел-15 6 Ампер  автомат                                                           </t>
  </si>
  <si>
    <t>"ИН-12" Цифровой для LADA Granta, Kalina-2, Priora  5-20V  АПЕЛ красный и синий</t>
  </si>
  <si>
    <t>"ИН-12К" Цифровой для ВАЗ 2115, Калина, Шеви  5-20V  АПЕЛ красн и синий</t>
  </si>
  <si>
    <t>"ИН-12" Цифровой для ВАЗ 2110  5-20V  АПЕЛ красный и синий</t>
  </si>
  <si>
    <t>Кнопки на ВАЗ 2115 перецвеченые БЕЛЫЕ   к-т 5шт.</t>
  </si>
  <si>
    <t>Кнопки на ВАЗ 2115 перецвеченые КРАСНЫЕ  к-т 5шт.</t>
  </si>
  <si>
    <t>Кнопки на ВАЗ 2115 перецвеченые СИНИЕ   к-т 5шт.</t>
  </si>
  <si>
    <t>Кнопка на ВАЗ 2115 ПЕРЕЦВЕТ обогреб сидений шт.БЕЛЫЕ, КРАСН, СИНИЕ</t>
  </si>
  <si>
    <t>Кнопка на ВАЗ 2115 ПЕРЕЦВЕТ стекло-ков шт. БЕЛЫЕ, КРАСН, СИНИЕ</t>
  </si>
  <si>
    <r>
      <t xml:space="preserve">КОМПЬЮТЕР </t>
    </r>
    <r>
      <rPr>
        <b/>
        <sz val="10"/>
        <rFont val="Arial"/>
        <family val="2"/>
        <charset val="204"/>
      </rPr>
      <t>АМК-211001</t>
    </r>
    <r>
      <rPr>
        <sz val="10"/>
        <rFont val="Arial"/>
        <family val="2"/>
        <charset val="204"/>
      </rPr>
      <t xml:space="preserve"> с кодами ошибок ВАЗ, ГАЗ</t>
    </r>
  </si>
  <si>
    <t>Компьютер "ДИ-15G/ 17G" на Волгу,Газель кнопка Мультитроникс</t>
  </si>
  <si>
    <r>
      <t>Компьютер VС-731/</t>
    </r>
    <r>
      <rPr>
        <b/>
        <sz val="10"/>
        <color indexed="10"/>
        <rFont val="Arial"/>
        <family val="2"/>
        <charset val="204"/>
      </rPr>
      <t xml:space="preserve">VC-755 </t>
    </r>
    <r>
      <rPr>
        <b/>
        <sz val="10"/>
        <rFont val="Arial"/>
        <family val="2"/>
        <charset val="204"/>
      </rPr>
      <t>TFT дисплей</t>
    </r>
    <r>
      <rPr>
        <sz val="10"/>
        <rFont val="Arial"/>
        <family val="2"/>
        <charset val="204"/>
      </rPr>
      <t xml:space="preserve">  голос Мультитроникс</t>
    </r>
  </si>
  <si>
    <r>
      <t xml:space="preserve">Компьютер </t>
    </r>
    <r>
      <rPr>
        <b/>
        <sz val="10"/>
        <rFont val="Arial"/>
        <family val="2"/>
        <charset val="204"/>
      </rPr>
      <t>C-575+CAN</t>
    </r>
    <r>
      <rPr>
        <sz val="10"/>
        <rFont val="Arial"/>
        <family val="2"/>
        <charset val="204"/>
      </rPr>
      <t xml:space="preserve"> Шеви голос TFT дисплей  плюс </t>
    </r>
    <r>
      <rPr>
        <b/>
        <sz val="10"/>
        <rFont val="Arial"/>
        <family val="2"/>
        <charset val="204"/>
      </rPr>
      <t xml:space="preserve">Шеви Тревел 22г. </t>
    </r>
    <r>
      <rPr>
        <sz val="10"/>
        <rFont val="Arial"/>
        <family val="2"/>
        <charset val="204"/>
      </rPr>
      <t xml:space="preserve">                                                     </t>
    </r>
  </si>
  <si>
    <r>
      <t>Компьютер</t>
    </r>
    <r>
      <rPr>
        <b/>
        <sz val="10"/>
        <rFont val="Arial"/>
        <family val="2"/>
        <charset val="204"/>
      </rPr>
      <t xml:space="preserve"> CL-575+CAN</t>
    </r>
    <r>
      <rPr>
        <sz val="10"/>
        <rFont val="Arial"/>
        <family val="2"/>
        <charset val="204"/>
      </rPr>
      <t xml:space="preserve"> Шеви TFT дисплей плюс</t>
    </r>
    <r>
      <rPr>
        <b/>
        <sz val="10"/>
        <rFont val="Arial"/>
        <family val="2"/>
        <charset val="204"/>
      </rPr>
      <t xml:space="preserve"> Шеви Тревел 22г.</t>
    </r>
    <r>
      <rPr>
        <sz val="10"/>
        <rFont val="Arial"/>
        <family val="2"/>
        <charset val="204"/>
      </rPr>
      <t xml:space="preserve">                                                         </t>
    </r>
  </si>
  <si>
    <r>
      <t xml:space="preserve">Контроллер стеклопод-ов </t>
    </r>
    <r>
      <rPr>
        <b/>
        <sz val="10"/>
        <rFont val="Arial"/>
        <family val="2"/>
        <charset val="204"/>
      </rPr>
      <t>МАКС-2 Kalina-1</t>
    </r>
    <r>
      <rPr>
        <sz val="10"/>
        <rFont val="Arial"/>
        <family val="2"/>
        <charset val="204"/>
      </rPr>
      <t xml:space="preserve"> (доводчик, память2часа, закр/откр одним касанием)</t>
    </r>
  </si>
  <si>
    <t>Преобразователь напряж. 12/220 Орион ПН-62  450W синус</t>
  </si>
  <si>
    <t>Преобразователь напряж. 12/220 Орион ПН-92  1800W синус</t>
  </si>
  <si>
    <t xml:space="preserve">Привод двери Активатор ВЫМПЕЛ BCS-2P 2-х проводный </t>
  </si>
  <si>
    <t xml:space="preserve">Привод двери Активатор ВЫМПЕЛ BCS-5P 5-и проводный </t>
  </si>
  <si>
    <t xml:space="preserve">Радар-детектор Орион-525СТ   Х,К, ,Лазер                                </t>
  </si>
  <si>
    <t xml:space="preserve">Радар-детектор Орион-575СТ Голос, 12 сюжетов,+ НЕНОРМАТИВН. лексика  Х,К, ,Лазер                                </t>
  </si>
  <si>
    <t>Компьютер VС-731/VC-755 TFT дисплей  голос Мультитроникс</t>
  </si>
  <si>
    <t>USB-зарядное устройство "ШТАТ" на 2 слота для Лада Калина 2, Приора, Гранта</t>
  </si>
  <si>
    <t>Гнездо-вставка в тоннель пола под дополнительные кнопки для Лада Калина 2, Гранта</t>
  </si>
  <si>
    <t>Бортовой компьютер Multitronics C-590 на Lada Granta, Largus, Nissan, ГАЗ</t>
  </si>
  <si>
    <t>Бортовой компьютер Multitronics CL-590 на Lada Granta, Largus, Nissan, ГАЗ</t>
  </si>
  <si>
    <t>Бортовой компьютер Multitronics Di15g на автомобили ГАЗ и UAZ</t>
  </si>
  <si>
    <t>Сканер-тестер S7000HL4 для диагностики Лада, ГАЗ</t>
  </si>
  <si>
    <t>USB-зарядное устройство "АПЭЛ" (2 слота) для автомобилей ГАЗ</t>
  </si>
  <si>
    <t>Центральный замок "ОРИОН" Вымпел W-Y216</t>
  </si>
  <si>
    <t>W-Y216</t>
  </si>
  <si>
    <t>6070</t>
  </si>
  <si>
    <t>Розетка USB "ШТАТ" в подлокотник для Лада Ларгус FL, Веста, XRAY</t>
  </si>
  <si>
    <t>Зарядное устройство USB на 2 разъёма Vesta, X-Ray, Ларгус FL в подлокотник</t>
  </si>
  <si>
    <t xml:space="preserve">=Штат Х1-Т Нива Тревел выпуск  с сентября 2022г. Белый индикатор                  </t>
  </si>
  <si>
    <r>
      <t xml:space="preserve">Ключ-брелок выкидной на LADA </t>
    </r>
    <r>
      <rPr>
        <b/>
        <sz val="10"/>
        <rFont val="Arial"/>
        <family val="2"/>
        <charset val="204"/>
      </rPr>
      <t xml:space="preserve">Гранта FL </t>
    </r>
    <r>
      <rPr>
        <sz val="10"/>
        <rFont val="Arial"/>
        <family val="2"/>
        <charset val="204"/>
      </rPr>
      <t>стиль "Vesta" Рено</t>
    </r>
  </si>
  <si>
    <r>
      <t xml:space="preserve">Ключ-брелок выкидной на LADA Приора, Калина, </t>
    </r>
    <r>
      <rPr>
        <b/>
        <sz val="10"/>
        <rFont val="Arial"/>
        <family val="2"/>
        <charset val="204"/>
      </rPr>
      <t xml:space="preserve">Гранта </t>
    </r>
    <r>
      <rPr>
        <sz val="10"/>
        <rFont val="Arial"/>
        <family val="2"/>
        <charset val="204"/>
      </rPr>
      <t>стиль "Vesta" Рено</t>
    </r>
  </si>
  <si>
    <t>Центральный замок Вымпел A-Y16  (+4 активатора,+2 выкидных ключа) иномарки+ВАЗ</t>
  </si>
  <si>
    <t>Центральный замок Вымпел A-Y56  (+4 активатора,+2 брелка)</t>
  </si>
  <si>
    <t>Центральный замок Вымпел A-Y216 канал управления багажником  (+4 активатора, + 2 брелка)</t>
  </si>
  <si>
    <t>Рек</t>
  </si>
  <si>
    <t>Мин</t>
  </si>
  <si>
    <t>Макс</t>
  </si>
  <si>
    <t>%</t>
  </si>
  <si>
    <r>
      <t xml:space="preserve">Панель приборов стрелочная+электронная </t>
    </r>
    <r>
      <rPr>
        <b/>
        <sz val="10"/>
        <color indexed="10"/>
        <rFont val="Arial"/>
        <family val="2"/>
        <charset val="204"/>
      </rPr>
      <t>"Flash-103S"</t>
    </r>
  </si>
  <si>
    <t>Стекло комбинации Granta 2190 на фиксаторах не завод</t>
  </si>
  <si>
    <t>Стекло комбинации Granta 2190 ТОНИРОВКА на фиксаторах не завод</t>
  </si>
  <si>
    <t>Стекло комбинации Vesta  на фиксаторах не завод</t>
  </si>
  <si>
    <t>Стекло комбинации Vesta  ТОНИРОВКА на фиксаторах не завод</t>
  </si>
  <si>
    <t>https://motorring.ru/product/40332-bortovoy-kompyyuter-shtat-h1-t-beloy-podsvetkoy-nva-travel</t>
  </si>
  <si>
    <t>https://motorring.ru/product/31965-indikator-napryagheniya-int-12-siniy-volytometrom-kalina</t>
  </si>
  <si>
    <t>https://motorring.ru/product/31966-indikator-napryagheniya-int-12-krasniy-volytometrom-kalina</t>
  </si>
  <si>
    <t>https://motorring.ru/product/32327-indikator-napryagheniya-int-12-siniy-volytometrom-granta</t>
  </si>
  <si>
    <t>https://motorring.ru/product/31610-indikator-napryagheniya-int-12-krasniy-volytometrom-granta</t>
  </si>
  <si>
    <t>https://motorring.ru/product/28751-indikator-tempretury-vozduha-int-12-siniy-vaz-2110</t>
  </si>
  <si>
    <t>https://motorring.ru/product/29038-indikator-tempretury-vozduha-int-12-krasniy-vaz-2110</t>
  </si>
  <si>
    <t>https://motorring.ru/product/39806-indikator-napryagheniya-in-12-krasniy-dlya-vaz-2110</t>
  </si>
  <si>
    <t>https://motorring.ru/product/39805-indikator-napryagheniya-in-12-siniy-dlya-vaz-2110</t>
  </si>
  <si>
    <t>https://motorring.ru/product/39804-moduly-avtomaticheskogo-kontrollera-steklopodyemnikov-kalina</t>
  </si>
  <si>
    <t>https://motorring.ru/product/13527-montaghnyy-nabor-podklyucheniya-protivotumannyh-far-lada</t>
  </si>
  <si>
    <t>https://motorring.ru/product/33974-indikator-napryagheniya-in-12-siniy-dlya-vaz-2110-12</t>
  </si>
  <si>
    <t>https://motorring.ru/product/33975-indikator-napryagheniya-in-12-krasniy-dlya-vaz-2110-12</t>
  </si>
  <si>
    <t>https://motorring.ru/product/33976-moduly-avtomaticheskogo-kontrollera-steklopodyemnikov-xray</t>
  </si>
  <si>
    <t>https://motorring.ru/product/33977-moduly-komplect-4-dvery-max-2-xray</t>
  </si>
  <si>
    <t>Код</t>
  </si>
  <si>
    <t>Кат. Номер</t>
  </si>
  <si>
    <t>Ст З</t>
  </si>
  <si>
    <t>Ст Р</t>
  </si>
  <si>
    <t>Разн</t>
  </si>
  <si>
    <t>Наименование элемента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</si>
  <si>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</si>
  <si>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</si>
  <si>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</si>
  <si>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</si>
  <si>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</si>
  <si>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Склад</t>
  </si>
  <si>
    <t>Y</t>
  </si>
  <si>
    <t>0</t>
  </si>
  <si>
    <t>N</t>
  </si>
  <si>
    <t>https://motorring.ru/product/39808-usb-zaryadnoe-2slota-vaz-2110-2112</t>
  </si>
  <si>
    <t>Бортовой компьютер "Multitronics" C-575 для Лада Нива Travel, Шевроле Нива</t>
  </si>
  <si>
    <t>https://motorring.ru/product/1320-bortovoy-kompyyuter-mulytitroniks-570-golos-vmesto-bloka</t>
  </si>
  <si>
    <t>Бортовой компьютер "Multitronics" UX-8 для ВАЗ (2110-2112, 2113-2115), Лада (Калина, Калина 2, Гранта, Приора, Приора 2, Нива Travel), Шевроле Нива, Datsun (mi-DO, on-DO)</t>
  </si>
  <si>
    <t>Бортовой компьютер "ШТАТ" X-1Т для Лада Нива Travel</t>
  </si>
  <si>
    <t>Бортовой компьютер Multitronics SL-50</t>
  </si>
  <si>
    <t>Датчик дождя ДДА 25 для ВАЗ (2113, 2114, 2115), Лада (Калина, Приора, Гранта лифтбек (в комплектации норма, норма+))</t>
  </si>
  <si>
    <t>Датчик дождя ДДА 45 для Лада (Калина 2, Гранта, Ларгус), Датсун (mi-DO, on-DO)</t>
  </si>
  <si>
    <t>Датчик дождя ДДА-25.02 для ВАЗ (2108-21099, 2113-2115), Лада (Калина, Приора)</t>
  </si>
  <si>
    <t>Датчик дождя и света ДДА-65 для Лада Ларгус</t>
  </si>
  <si>
    <t>Коммутатор "ШТАТ" для ВАЗ 2108-21099, 2110-2112</t>
  </si>
  <si>
    <t>Коммутатор "ШТАТ" электронный (плазменный запуск) для ВАЗ 2108, 2109, 2110</t>
  </si>
  <si>
    <t>36.3734</t>
  </si>
  <si>
    <t>Коммутатор "ШТАТ" электронный для ВАЗ 2108, 2109, 2110</t>
  </si>
  <si>
    <t>76.3734</t>
  </si>
  <si>
    <t>Коммутатор "ШТАТ" электронный для Лада Ока</t>
  </si>
  <si>
    <t>1111.3734</t>
  </si>
  <si>
    <t>Комплект модулей на 4 двери "АПЭЛ" МАКС-2 для Лада (Ларгус FL, XRAY), Renault (Clio, Duster, Logan, Sandero)</t>
  </si>
  <si>
    <t>2110-3801010-04</t>
  </si>
  <si>
    <t>Модель автоматической тонировки "АПЭЛ" МАКС-2Т 20А</t>
  </si>
  <si>
    <t>Модель автоматической тонировки "АПЭЛ" МАКС-2Т 30А</t>
  </si>
  <si>
    <t>Модуль автоматического контроллера стеклоподъёмников "АПЭЛ" МАКС-2 для Лада (Ларгус FL, XRAY), Renault (Clio, Duster, Logan, Sandero)</t>
  </si>
  <si>
    <t>Модуль автоматического контроллера стеклоподъемников "АПЭЛ" МАКС-2 для Лада Калина</t>
  </si>
  <si>
    <t>Модуль плавного включения подсветки комбинации приборов "АПЭЛ"</t>
  </si>
  <si>
    <t>4276 NEV AUTO</t>
  </si>
  <si>
    <t>https://motorring.ru/product/9792-podogrev-tosola-220v-magnum-5kvt-dlya-lada-granta-kalina</t>
  </si>
  <si>
    <t>3432 NEV auto</t>
  </si>
  <si>
    <t>https://motorring.ru/product/9790-podogrev-tosola-220v-magnum-5kvt-dlya-shevrole-niva-honda</t>
  </si>
  <si>
    <t>Предпусковой подогреватель двигателя "Магнум" мощность 1,5кВт для Лада Веста</t>
  </si>
  <si>
    <t>Г0000889</t>
  </si>
  <si>
    <t>Предпусковой подогреватель двигателя "Магнум" мощность 1,5кВт для УАЗ Патриот, Iveco Daily 35-8, Ford Transit</t>
  </si>
  <si>
    <t>Д0000003</t>
  </si>
  <si>
    <t>Проводка противотуманных фар (ПТФ) для Шевроле Нива (до 2009 г. в.)</t>
  </si>
  <si>
    <t>Реле диодных указателей поворота (3-х контактное) для ВАЗ (2108-21099, 2110-2112, 2113-2115), Лада Нива Legend</t>
  </si>
  <si>
    <t>644.3777-02</t>
  </si>
  <si>
    <t>https://motorring.ru/product/9784-tester-regulyatora-holostogo-hoda-rhh</t>
  </si>
  <si>
    <t>Электронная комбинация приборов "FLASH" 1 для ВАЗ (2108-21099, 2110-2112 (панель с/о), 2113-2115), Лада Нива 4х4, Шевроле Нива</t>
  </si>
  <si>
    <t>Электронная комбинация приборов "FLASH" Light для ВАЗ (2108-21099, 2110-2112 (панель с/о), 2113-2115), Лада Нива 4х4, Шевроле Нива</t>
  </si>
  <si>
    <t>Электронная комбинация приборов "FLASH" X-101 для ВАЗ (2110-2112, 2113-2115), Шевроле Нива (инжекторный двигатель)</t>
  </si>
  <si>
    <t>https://motorring.ru/product/35291-elektronnaya-kombinaciya-priborov-flash-x-103v-vaz-2108-2115</t>
  </si>
  <si>
    <t>Электронная комбинация приборов "FLASH" Х3 для ВАЗ (2108-21099, 2110-2112 (панель с/о), 2113-2115), Лада Нива 4х4, Шевроле Нива</t>
  </si>
  <si>
    <t>https://motorring.ru/product/1748-elektronnaya-kombinaciya-priborov-flash-vaz-2108-21099</t>
  </si>
  <si>
    <t>https://motorring.ru/product/1747-elektronnaya-kombinaciya-priborov-flash-light-lada-priora</t>
  </si>
  <si>
    <t>Электронная комбинация приборов "ШТАТ" КП-001-21 для ВАЗ (2108-21099, 2110-2112 (панель с/о), 2113-2115), Лада Нива 4х4, Шевроле Нива</t>
  </si>
  <si>
    <t>Электронная комбинация приборов "ШТАТ" КП-001-22 для ВАЗ (2108-21099, 2110-2112 (панель с/о), 2113-2115), Лада Нива 4х4, Шевроле Нива</t>
  </si>
  <si>
    <t>Электронная комбинация приборов Flash 2 light для ВАЗ 2110-2112 (европанель), Лада (Калина, Приора)</t>
  </si>
  <si>
    <t>Электронная комбинация приборов Flash 2 для ВАЗ 2110-2112 (европанель), Лада (Калина, Приора)</t>
  </si>
  <si>
    <t>Электронная комбинация приборов FLASH X-104 для ВАЗ 2110-2112 (европанель), Лада (Калина, Приора)</t>
  </si>
  <si>
    <t>Электронная комбинация приборов Flash х4 для ВАЗ 2110-2112 (европанель), Лада (Калина, Приора)</t>
  </si>
  <si>
    <t>https://motorring.ru/product/1745-elektronnaya-kombinaciya-priborov-flash-lada-priora-kalina</t>
  </si>
  <si>
    <t>Элемент каталога</t>
  </si>
  <si>
    <t>Код товара</t>
  </si>
  <si>
    <t>Ссылка</t>
  </si>
  <si>
    <t>Ряд</t>
  </si>
  <si>
    <t>Индикатор напряжения "АПЭЛ" ИН-12 для ВАЗ (2110-2112, 2113-2115), Лада Калина, Шевроле Нива</t>
  </si>
  <si>
    <t>Индикатор напряжения "АПЭЛ" ИН-12 для ВАЗ (2110-2112, 2113-2115), Лада Калина, Шевроле Нива (Красный)</t>
  </si>
  <si>
    <t>Индикатор напряжения "АПЭЛ" ИН-12 для ВАЗ (2110-2112, 2113-2115), Лада Калина, Шевроле Нива (Синий)</t>
  </si>
  <si>
    <t>Индикатор напряжения "АПЭЛ" ИНТ-12 для ВАЗ 2110-2112</t>
  </si>
  <si>
    <t>Индикатор напряжения "АПЭЛ" ИНТ-12 для ВАЗ 2110-2112 (Красный)</t>
  </si>
  <si>
    <t>Индикатор напряжения "АПЭЛ" ИНТ-12 для ВАЗ 2110-2112 (Синий)</t>
  </si>
  <si>
    <t>Индикатор напряжения и температуры "АПЭЛ" ИНТ-12 для ВАЗ (2110-2112, 2113-2115), Лада Калина, Шевроле Нива</t>
  </si>
  <si>
    <t>Индикатор напряжения и температуры "АПЭЛ" ИНТ-12 для ВАЗ (2110-2112, 2113-2115), Лада Калина, Шевроле Нива (Красный)</t>
  </si>
  <si>
    <t>Индикатор напряжения и температуры "АПЭЛ" ИНТ-12 для ВАЗ (2110-2112, 2113-2115), Лада Калина, Шевроле Нива (Синий)</t>
  </si>
  <si>
    <t>Индикатор напряжения и температуры "АПЭЛ" ИНТ-12 для ВАЗ 2110-2112</t>
  </si>
  <si>
    <t>Индикатор напряжения и температуры "АПЭЛ" ИНТ-12 для ВАЗ 2110-2112 (Красный)</t>
  </si>
  <si>
    <t>Индикатор напряжения и температуры "АПЭЛ" ИНТ-12 для ВАЗ 2110-2112 (Синий)</t>
  </si>
  <si>
    <t>Индикатор напряжения и температуры "АПЭЛ" ИНТ-12 для Лада (Калина 2, Гранта, Приора), Датсун (on-Do, mi-Do)</t>
  </si>
  <si>
    <t>Индикатор напряжения и температуры "АПЭЛ" ИНТ-12 для Лада (Калина 2, Гранта, Приора), Датсун (on-Do, mi-Do) (Красный)</t>
  </si>
  <si>
    <t>Индикатор напряжения и температуры "АПЭЛ" ИНТ-12 для Лада (Калина 2, Гранта, Приора), Датсун (on-Do, mi-Do) (Синий)</t>
  </si>
  <si>
    <t>Д0000007</t>
  </si>
  <si>
    <t>3431</t>
  </si>
  <si>
    <t>Подогрев тосола 220В Магнум №21 для автомобилей ГАЗ</t>
  </si>
  <si>
    <t>Подогрев тосола 220В Магнум №21 для автомобилей ГАЗ с 406 двигателем (1 кВт)</t>
  </si>
  <si>
    <t>Г0000451</t>
  </si>
  <si>
    <t>Подогрев тосола 220В Магнум №21 для автомобилей ГАЗ с 406 двигателем (1.5 кВт)</t>
  </si>
  <si>
    <t>3435</t>
  </si>
  <si>
    <t>Подогрев тосола 220В Магнум №22 для Волга, ГАЗ, ПАЗ, УАЗ</t>
  </si>
  <si>
    <t>Подогрев тосола 220В Магнум №22 для 402 двигателя (0.6 кВт)</t>
  </si>
  <si>
    <t>Д0000009</t>
  </si>
  <si>
    <t>Подогрев тосола 220В Магнум №22 для 402 двигателя (1 кВт)</t>
  </si>
  <si>
    <t>Г0000500</t>
  </si>
  <si>
    <t>Подогрев тосола 220В Магнум №22 для 402 двигателя (1.5 кВт)</t>
  </si>
  <si>
    <t>3433</t>
  </si>
  <si>
    <t>Д0000012</t>
  </si>
  <si>
    <t>Д0000002</t>
  </si>
  <si>
    <t>3430</t>
  </si>
  <si>
    <t>Г0000182</t>
  </si>
  <si>
    <t>3429</t>
  </si>
  <si>
    <t>https://motorring.ru/product/9734-bortovoy-kompyyuter-orion-bk-07</t>
  </si>
  <si>
    <t>https://motorring.ru/product/9742-datchik-doghdya-dda-25-regulirovkoy-pauzy-dlya-vaz</t>
  </si>
  <si>
    <t>https://motorring.ru/product/5902</t>
  </si>
  <si>
    <t>https://motorring.ru/product/1333-parktronik-multitronics-apt-4c</t>
  </si>
  <si>
    <t>https://motorring.ru/product/8468-rele-dvornikov-reguliruemoy-pauzoy-dlya-vaz-2108-21099</t>
  </si>
  <si>
    <t>https://motorring.ru/product/5900</t>
  </si>
  <si>
    <t>https://motorring.ru/product/9724</t>
  </si>
  <si>
    <t>https://motorring.ru/product/9760</t>
  </si>
  <si>
    <t>https://motorring.ru/product/9768</t>
  </si>
  <si>
    <t>https://motorring.ru/product/1335</t>
  </si>
  <si>
    <t>https://motorring.ru/product/5918-bortovoy-kompyyuter-shtat-1118-kalina-x5mk-lada-kalina</t>
  </si>
  <si>
    <t>https://motorring.ru/product/9780-pribor-dlya-proverki-moduley-zaghiganiya-spmz-3</t>
  </si>
  <si>
    <t>https://motorring.ru/product/9815-pusko-zaryadnoe-ustroystvo-orion-700</t>
  </si>
  <si>
    <t>https://motorring.ru/product/1321-bortovoy-kompyyuter-mulytitroniks-570-vmesto-bloka-bsk</t>
  </si>
  <si>
    <t>https://motorring.ru/product/7044-zaryadnoe-ustroystvo-usb-2slota-lada-priora-granta-kalina2</t>
  </si>
  <si>
    <t>https://motorring.ru/product/5927</t>
  </si>
  <si>
    <t>https://motorring.ru/product/1318-bortovoy-kompyyuter-multitronics-c-580-uaz-patriot-biznes</t>
  </si>
  <si>
    <t>https://motorring.ru/product/1200</t>
  </si>
  <si>
    <t>https://motorring.ru/product/25418-programmator-odometrov-po-5-pro</t>
  </si>
  <si>
    <t>https://motorring.ru/product/1201</t>
  </si>
  <si>
    <t>https://motorring.ru/product/1203-bortovoy-kompyyuter-mulytitroniks-700-vaz-inomarki</t>
  </si>
  <si>
    <t>https://motorring.ru/product/9776-regulyator-plavnogo-zapuska-ventilyatora-radiatora-150vt</t>
  </si>
  <si>
    <t>https://motorring.ru/product/3494-moduly-avtomaticheskogo-upravleniya-svetom-maus-2-dlya-vaz</t>
  </si>
  <si>
    <t>https://motorring.ru/product/1169-bortovoy-kompyyuter-mulytitroniks-750-vaz-inomarki</t>
  </si>
  <si>
    <t>https://motorring.ru/product/9814-sensornyy-vyklyuchately-shtat-bez-fiksacii</t>
  </si>
  <si>
    <t>https://motorring.ru/product/15224-bortovoy-kompyyuter-mulytitroniks-vmesto-zaglushki-knopki</t>
  </si>
  <si>
    <t>https://motorring.ru/product/9782-stroboskop-orion-st-02-dlya-karbyuratornyh-inghektornyh</t>
  </si>
  <si>
    <t>https://motorring.ru/product/5901-bortovoy-kompyyuter-shtat-x-33-vmesto-zaglushki-knopki-vaz</t>
  </si>
  <si>
    <t>https://motorring.ru/product/16378-bortovoy-kompyuter-orion-dlya-karbyuratornyh-dvigateley</t>
  </si>
  <si>
    <t>https://motorring.ru/product/4422-komplekt-podklyucheniya-protivotumannyh-far-vaz-2110-2111-2112</t>
  </si>
  <si>
    <t>https://motorring.ru/product/24877-provodka-dlya-podklyucheniya-ptf-granta-fl</t>
  </si>
  <si>
    <t>https://motorring.ru/product/9813-sensornyy-vyklyuchately-shtat-ts-t-fiksaciey</t>
  </si>
  <si>
    <t>https://motorring.ru/product/13430-provodka-dlya-podklyucheniya-ptf-chevrolet-niva-restayling</t>
  </si>
  <si>
    <t>https://motorring.ru/product/9771-rele-dho-30b-vklyucheniya-dalynego-sveta-kak-hodovye</t>
  </si>
  <si>
    <t>https://motorring.ru/product/8479-rele-dho-30-dalyniy-svet-kak-dho</t>
  </si>
  <si>
    <t>https://motorring.ru/product/7208-usb-zaryadnoe-slota-vmesto-zaglushki-paneli-priborov-vaz</t>
  </si>
  <si>
    <t>https://motorring.ru/product/30629-komplekt-podklyucheniya-ptf-vaz-evropanel-2110-2111-2112</t>
  </si>
  <si>
    <t>https://motorring.ru/product/8477-regulyator-obogreva-stekla-avtomatom-rost-dlya-vaz</t>
  </si>
  <si>
    <t>https://motorring.ru/product/18487-indikator-napryagheniya-in-12-lada-priora-kalina-kalina</t>
  </si>
  <si>
    <t>https://motorring.ru/product/22615-avariynoe-zaghiganie-az-1-vaz-2104-2107-2108-21099</t>
  </si>
  <si>
    <t>https://motorring.ru/product/13347-ustanovochnyy-komplekt-shtat-115-lada-niva-4h4-inghektor</t>
  </si>
  <si>
    <t>https://motorring.ru/product/6678-usb-zaryadnik-shtat-vmesto-zaglushki-knopki-vaz-2110-2112</t>
  </si>
  <si>
    <t>https://motorring.ru/product/6679-usb-zaryadnik-shtat-vmesto-zaglushki-knopki-lada-priora</t>
  </si>
  <si>
    <t>https://motorring.ru/product/12227-kommutator-shtat-dlya-vaz-2108-21099-2110</t>
  </si>
  <si>
    <t>https://motorring.ru/product/37797</t>
  </si>
  <si>
    <t>https://motorring.ru/product/37798-kommutator-elektronnyy-shtat-plazma-dlya-vaz-2108-21099</t>
  </si>
  <si>
    <t>https://motorring.ru/product/37799-kommutator-elektronnyy-dlya-lada-oka</t>
  </si>
  <si>
    <t>https://motorring.ru/product/5903-shtat-adapter-usb-k-line</t>
  </si>
  <si>
    <t>https://motorring.ru/product/9731-bezklyuchevoy-obhodchik-immobilayzera-shtat-dlya-lada</t>
  </si>
  <si>
    <t>https://motorring.ru/product/5928-bortovoy-kompyyuter-shtat-h-1-universal-vmesto-zaglushki</t>
  </si>
  <si>
    <t>https://motorring.ru/product/5899-bortovoy-kompyyuter-shtat-x1-lada-granta-kalina-2</t>
  </si>
  <si>
    <t>https://motorring.ru/product/31840-usb-zaryadnoe-ustroystvo-15vt-slota-dlya-lada-vesta-iks-rey</t>
  </si>
  <si>
    <t>https://motorring.ru/product/5926-bortovoy-kompyyuter-shtat-shevi-matrix-3-vmesto-bloka-bsk</t>
  </si>
  <si>
    <t>https://motorring.ru/product/10418-diagnosticheskiy-skaner-tester-shtat-dst-ekspress-dlya</t>
  </si>
  <si>
    <t>https://motorring.ru/product/37761-diagnosticheskiy-skaner-tester-shtat-dst-mini-dlya-lada</t>
  </si>
  <si>
    <t>https://motorring.ru/product/5911-bortovoy-kompyyuter-shtat-unicomp-410l-dlya-daewoo-peugeot</t>
  </si>
  <si>
    <t>https://motorring.ru/product/15790-bortovoy-kompyyuter-shtat-115x23m-dlya-vaz-2108-21099</t>
  </si>
  <si>
    <t>https://motorring.ru/product/37762-bortovoy-kompyyuter-shtat-bk-3-dlya-lada-largus-largus</t>
  </si>
  <si>
    <t>https://motorring.ru/product/37763-bortovoy-kompyyuter-shtat-bk-7-dlya-lada-largus-largus-fl</t>
  </si>
  <si>
    <t>https://motorring.ru/product/5923-bortovoy-kompyyuter-shtat-07x-1m-vmesto-zaglushki-knopki</t>
  </si>
  <si>
    <t>https://motorring.ru/product/37767-bortovoy-kompyyuter-shtat-mk-2-sensornyy-obd-2-can</t>
  </si>
  <si>
    <t>https://motorring.ru/product/20933-bortovoy-kompyyuter-shtat-h1-g-vmesto-zaglushki-knopki-lada</t>
  </si>
  <si>
    <t>https://motorring.ru/product/37900-centralynyy-zamok-vympel-a-y16</t>
  </si>
  <si>
    <t>https://motorring.ru/product/8490-gnezdo-vstavka-tonnely-pola-pod-dopolnitelynye-knopki-lada</t>
  </si>
  <si>
    <t>https://motorring.ru/product/37801-bortovoy-kompyyuter-multitronics-c-900</t>
  </si>
  <si>
    <t>https://motorring.ru/product/9752-mikroshema-dlya-vosstanovleniya-kombinaciy-priborov-ms-1</t>
  </si>
  <si>
    <t>https://motorring.ru/product/8472-indikator-zvukovoy-povtoritely-dlya-avtomobiley-vaz</t>
  </si>
  <si>
    <t>https://motorring.ru/product/37782-indikator-napryagheniya-3-dioda</t>
  </si>
  <si>
    <t>https://motorring.ru/product/37894-termometr-zabortnoy-temperatury-batareykah</t>
  </si>
  <si>
    <t>https://motorring.ru/product/9743-imitator-datchika-skorosti</t>
  </si>
  <si>
    <t>https://motorring.ru/product/37783-cifrovoy-indikator-bort-seti-prikurivately-malyy-3-30v</t>
  </si>
  <si>
    <t>https://motorring.ru/product/8480-cifrovoy-volytmetr-vrezaemyy</t>
  </si>
  <si>
    <t>https://motorring.ru/product/37876-mgnovennaya-diagnostika-md-1-dlya-vaz-2108-2109-21099-2110</t>
  </si>
  <si>
    <t>https://motorring.ru/product/37883-rele-povorotnikov-dlya-svetodiodnyh-lamp-emi-dlya-vaz</t>
  </si>
  <si>
    <t>https://motorring.ru/product/15247-datchik-doghdya-dda-dlya-vaz-vstroennym-elektronnym-rele</t>
  </si>
  <si>
    <t>https://motorring.ru/product/15248-datchik-doghdya-dda-lada-granta-lyuks-lada-largus-reno</t>
  </si>
  <si>
    <t>https://motorring.ru/product/37774-zaryadnoe-ustroystvo-dlya-akkumulyatora-vympel20</t>
  </si>
  <si>
    <t>https://motorring.ru/product/9761</t>
  </si>
  <si>
    <t>https://motorring.ru/product/22749</t>
  </si>
  <si>
    <t>https://motorring.ru/product/9779</t>
  </si>
  <si>
    <t>https://motorring.ru/product/8466</t>
  </si>
  <si>
    <t>https://motorring.ru/product/33977</t>
  </si>
  <si>
    <t>https://motorring.ru/product/9785</t>
  </si>
  <si>
    <t>https://motorring.ru/product/37778</t>
  </si>
  <si>
    <t>https://motorring.ru/product/9763</t>
  </si>
  <si>
    <t>https://motorring.ru/product/28523</t>
  </si>
  <si>
    <t>https://motorring.ru/product/37776-datchik-doghdya-dda15-02-vaz-2108-21099-2113-2115-2110-2112</t>
  </si>
  <si>
    <t>=Штат БК-3 на Ларгус с двиг. Рено и ВАЗ мало функций</t>
  </si>
  <si>
    <t>=Штат БК-7 на Ларгус с двиг. ВАЗ доп опции</t>
  </si>
  <si>
    <t>Зарядное устройство Вымпел-28 десульфатация 7А стрелочный</t>
  </si>
  <si>
    <t>скоро снимется с производста</t>
  </si>
  <si>
    <t>Индикатор темпратуры воздуха + вольтметр в кнопку ВАЗ 2110</t>
  </si>
  <si>
    <t>Индикатор темпратуры воздуха + вольтметр в кнопку ВАЗ 2115, Шеви, Калина, 2110 Европанель Син и Красн индик.</t>
  </si>
  <si>
    <t>Индикатор темпратуры воздуха + вольтметр в кнопку Гранта, Приора</t>
  </si>
  <si>
    <t>Индикатор темпратуры воздуха + вольтметр ВАЗ 2110 в кожух щитка приборов</t>
  </si>
  <si>
    <t>Компьютер UX-8 Мультитроникс ввиде кнопки Гранта, 15, 10, Калина, Шеви</t>
  </si>
  <si>
    <r>
      <t>Компьютер MPC-800/</t>
    </r>
    <r>
      <rPr>
        <b/>
        <sz val="10"/>
        <color indexed="10"/>
        <rFont val="Arial"/>
        <family val="2"/>
        <charset val="204"/>
      </rPr>
      <t>801</t>
    </r>
    <r>
      <rPr>
        <sz val="10"/>
        <rFont val="Arial"/>
        <family val="2"/>
        <charset val="204"/>
      </rPr>
      <t xml:space="preserve"> на Андроид Мультитроникс </t>
    </r>
  </si>
  <si>
    <r>
      <t>Компьютер VC730/</t>
    </r>
    <r>
      <rPr>
        <b/>
        <sz val="10"/>
        <color indexed="10"/>
        <rFont val="Arial"/>
        <family val="2"/>
        <charset val="204"/>
      </rPr>
      <t>VC735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 xml:space="preserve">TFT дисплей </t>
    </r>
    <r>
      <rPr>
        <sz val="10"/>
        <rFont val="Arial"/>
        <family val="2"/>
        <charset val="204"/>
      </rPr>
      <t xml:space="preserve">на стекло Мультитроникс                                             </t>
    </r>
  </si>
  <si>
    <r>
      <t>Компьютер ТС-740/</t>
    </r>
    <r>
      <rPr>
        <b/>
        <sz val="10"/>
        <color indexed="10"/>
        <rFont val="Arial"/>
        <family val="2"/>
        <charset val="204"/>
      </rPr>
      <t>TC735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TFT дисплей без голоса Мультитроникс</t>
    </r>
  </si>
  <si>
    <r>
      <t>Компьютер ТС-750/</t>
    </r>
    <r>
      <rPr>
        <b/>
        <sz val="10"/>
        <color indexed="10"/>
        <rFont val="Arial"/>
        <family val="2"/>
        <charset val="204"/>
      </rPr>
      <t>TC755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TFT дисплей голос Мультитроникс</t>
    </r>
  </si>
  <si>
    <r>
      <t>Компьютер C-580/</t>
    </r>
    <r>
      <rPr>
        <b/>
        <sz val="10"/>
        <color indexed="10"/>
        <rFont val="Arial"/>
        <family val="2"/>
        <charset val="204"/>
      </rPr>
      <t>C585</t>
    </r>
    <r>
      <rPr>
        <sz val="10"/>
        <rFont val="Arial"/>
        <family val="2"/>
        <charset val="204"/>
      </rPr>
      <t xml:space="preserve"> УАЗ партиот, ГАЗель бизнес </t>
    </r>
    <r>
      <rPr>
        <b/>
        <sz val="10"/>
        <rFont val="Arial"/>
        <family val="2"/>
        <charset val="204"/>
      </rPr>
      <t>TFT дисплей Голос</t>
    </r>
    <r>
      <rPr>
        <sz val="10"/>
        <rFont val="Arial"/>
        <family val="2"/>
        <charset val="204"/>
      </rPr>
      <t xml:space="preserve"> Мультитроникс                                                            </t>
    </r>
  </si>
  <si>
    <r>
      <t>Компьютер CL-580/</t>
    </r>
    <r>
      <rPr>
        <b/>
        <sz val="10"/>
        <color indexed="10"/>
        <rFont val="Arial"/>
        <family val="2"/>
        <charset val="204"/>
      </rPr>
      <t>CL585</t>
    </r>
    <r>
      <rPr>
        <sz val="10"/>
        <rFont val="Arial"/>
        <family val="2"/>
        <charset val="204"/>
      </rPr>
      <t xml:space="preserve"> УАЗ партиот, ГАЗель бизнес </t>
    </r>
    <r>
      <rPr>
        <b/>
        <sz val="10"/>
        <rFont val="Arial"/>
        <family val="2"/>
        <charset val="204"/>
      </rPr>
      <t>TFT дисплей Мультитроникс</t>
    </r>
    <r>
      <rPr>
        <sz val="10"/>
        <rFont val="Arial"/>
        <family val="2"/>
        <charset val="204"/>
      </rPr>
      <t xml:space="preserve"> </t>
    </r>
  </si>
  <si>
    <r>
      <t>Компьютер C-590/</t>
    </r>
    <r>
      <rPr>
        <b/>
        <sz val="10"/>
        <color indexed="10"/>
        <rFont val="Arial"/>
        <family val="2"/>
        <charset val="204"/>
      </rPr>
      <t>C-595</t>
    </r>
    <r>
      <rPr>
        <sz val="10"/>
        <rFont val="Arial"/>
        <family val="2"/>
        <charset val="204"/>
      </rPr>
      <t xml:space="preserve"> Гранта / Largus, Renault Logan/Газель Next </t>
    </r>
    <r>
      <rPr>
        <b/>
        <sz val="10"/>
        <rFont val="Arial"/>
        <family val="2"/>
        <charset val="204"/>
      </rPr>
      <t>Голос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TFT дисплей Мультитроникс</t>
    </r>
    <r>
      <rPr>
        <sz val="10"/>
        <rFont val="Arial"/>
        <family val="2"/>
        <charset val="204"/>
      </rPr>
      <t xml:space="preserve"> </t>
    </r>
  </si>
  <si>
    <r>
      <t>Компьютер CL-590/</t>
    </r>
    <r>
      <rPr>
        <b/>
        <sz val="10"/>
        <color indexed="10"/>
        <rFont val="Arial"/>
        <family val="2"/>
        <charset val="204"/>
      </rPr>
      <t>CL595</t>
    </r>
    <r>
      <rPr>
        <sz val="10"/>
        <rFont val="Arial"/>
        <family val="2"/>
        <charset val="204"/>
      </rPr>
      <t xml:space="preserve"> Гранта / Largus, Renault Logan/Газель Next   </t>
    </r>
    <r>
      <rPr>
        <b/>
        <sz val="10"/>
        <rFont val="Arial"/>
        <family val="2"/>
        <charset val="204"/>
      </rPr>
      <t>TFT дисплей Мультитроникс</t>
    </r>
    <r>
      <rPr>
        <sz val="10"/>
        <rFont val="Arial"/>
        <family val="2"/>
        <charset val="204"/>
      </rPr>
      <t xml:space="preserve"> </t>
    </r>
  </si>
  <si>
    <t>Мотор шаговый для работы стрелок тахометра и спедометра панелей приборов</t>
  </si>
  <si>
    <t>на заказ,  7 дней</t>
  </si>
  <si>
    <t>см.Granta</t>
  </si>
  <si>
    <r>
      <t xml:space="preserve">Jetter </t>
    </r>
    <r>
      <rPr>
        <sz val="10"/>
        <rFont val="Arial"/>
        <family val="2"/>
        <charset val="204"/>
      </rPr>
      <t xml:space="preserve">(старое название Шпора) </t>
    </r>
    <r>
      <rPr>
        <b/>
        <sz val="10"/>
        <rFont val="Arial"/>
        <family val="2"/>
        <charset val="204"/>
      </rPr>
      <t>"КА F"</t>
    </r>
    <r>
      <rPr>
        <sz val="10"/>
        <rFont val="Arial"/>
        <family val="2"/>
        <charset val="204"/>
      </rPr>
      <t xml:space="preserve"> + брелок 3 программы ВАЗ, УАЗ Патриот</t>
    </r>
  </si>
  <si>
    <t>от 7000 до 8500р.</t>
  </si>
  <si>
    <t xml:space="preserve">Компьютер MPC-800/801 на Андроид Мультитроникс </t>
  </si>
  <si>
    <t xml:space="preserve">Компьютер C-590/C-595 Гранта / Largus, Renault Logan/Газель Next Голос TFT дисплей Мультитроникс </t>
  </si>
  <si>
    <t xml:space="preserve">Компьютер CL-580/CL585 УАЗ партиот, ГАЗель бизнес TFT дисплей Мультитроникс </t>
  </si>
  <si>
    <t xml:space="preserve">Компьютер VC730/VC735 TFT дисплей на стекло Мультитроникс                                             </t>
  </si>
  <si>
    <t xml:space="preserve">Компьютер C-580/C585 УАЗ партиот, ГАЗель бизнес TFT дисплей Голос Мультитроникс                                                            </t>
  </si>
  <si>
    <t>Компьютер ТС-740/TC735 TFT дисплей без голоса Мультитроникс</t>
  </si>
  <si>
    <t>Компьютер ТС-750/TC755 TFT дисплей голос Мультитроникс</t>
  </si>
  <si>
    <t xml:space="preserve">Компьютер C-575+CAN Шеви голос TFT дисплей  плюс Шеви Тревел 22г.                                                      </t>
  </si>
  <si>
    <t xml:space="preserve">Контроллер стеклопод-ов МАКС-2 X-Ray на 4 двери (доводчик, память2часа, закр/откр одним касанием)  </t>
  </si>
  <si>
    <t xml:space="preserve">Контроллер стеклопод-ов МАКС-2 X-Ray на 2 двери (доводчик, память2часа, закр/откр одним касанием)  </t>
  </si>
  <si>
    <t>Контроллер стеклопод-ов МАКС-2 Kalina-1 (доводчик, память2часа, закр/откр одним касанием)</t>
  </si>
  <si>
    <t>Из ГУГЛа</t>
  </si>
  <si>
    <t>Коэф.</t>
  </si>
  <si>
    <t>Доп.</t>
  </si>
  <si>
    <t>Факт</t>
  </si>
  <si>
    <t>Элемент</t>
  </si>
  <si>
    <t>https://motorring.ru/product/9788-podogrev-tosola-220v-magnum-5kvt-vaz-2101-2107-niva-21213</t>
  </si>
  <si>
    <t>https://motorring.ru/product/9789-podogrev-tosola-220v-magnum-5kvt-dlya-vaz-2108-15-2110-12</t>
  </si>
  <si>
    <t>https://motorring.ru/product/9791-podogrev-tosola-220v-magnum-5kvt-dlya-406-dvigatelem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</si>
  <si>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</si>
  <si>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</si>
  <si>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</si>
  <si>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</si>
  <si>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</si>
  <si>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</si>
  <si>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</si>
  <si>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</si>
  <si>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</si>
  <si>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</si>
  <si>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</si>
  <si>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</si>
  <si>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</si>
  <si>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</si>
  <si>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</si>
  <si>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</si>
  <si>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</si>
  <si>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</si>
  <si>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</si>
  <si>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#N/A</t>
  </si>
  <si>
    <t>//*[@id="e-curr-price"]/text()</t>
  </si>
  <si>
    <t>//*[@class="p_club_price pb5"]/text()</t>
  </si>
  <si>
    <t>https://docs.google.com/spreadsheets/d/1f8_y-lcqVEuKpceVw_F97NEKzue5YmQtx8GIXUS_2B8/export?format=xlsx</t>
  </si>
  <si>
    <t/>
  </si>
  <si>
    <t>#VALUE!</t>
  </si>
  <si>
    <t>Стекло комбинации Приора, Калина, 2112 европанель  на стяжках не завод</t>
  </si>
  <si>
    <t>Бортовой компьютер "Штат" МК-3 Универсальный</t>
  </si>
  <si>
    <t>Бортовой компьютер Multitronics RC-701</t>
  </si>
  <si>
    <t>RC-701</t>
  </si>
  <si>
    <t>Датчик дождя ДДА-15.02   на 2110, 2108 старый блок предохр.</t>
  </si>
  <si>
    <t>https://motorring.ru/product/37768-bortovoy-kompyyuter-shtat-mk-3-sensornyy-universalynyy</t>
  </si>
  <si>
    <t>не такие</t>
  </si>
  <si>
    <t>не нашел</t>
  </si>
  <si>
    <t>https://motorring.ru/product/25433-moduly-plavnogo-vklyucheniya-podsvetki-kombinacii-priborov</t>
  </si>
  <si>
    <t>https://motorring.ru/product/25430-moduli-avtomaticheskoy-tonirovki-maks-2t-30a</t>
  </si>
  <si>
    <t>https://motorring.ru/product/25429-moduli-avtomaticheskoy-tonirovki-maks-2t-20a</t>
  </si>
  <si>
    <t>https://motorring.ru/product/37856-universalynyy-centralynyy-zamok-vympel-a-y216-kanalom</t>
  </si>
  <si>
    <t>https://motorring.ru/product/32326-aktivator-zamka-dveri-vympel-bcs-5p-5-provodnoy-vaz</t>
  </si>
  <si>
    <t>https://motorring.ru/product/9775-rele-dvornikov-reguliruemoy-pauzoy-vaz-2108-21099-starym</t>
  </si>
  <si>
    <t>https://motorring.ru/product/1202-bortovoy-kompyyuter-mulytitroniks-730-vaz-inomarki</t>
  </si>
  <si>
    <t>https://motorring.ru/product/15234-bortovoy-kompyyuter-mulytitroniks-590-vmesto-vozduhovoda</t>
  </si>
  <si>
    <t>https://motorring.ru/product/1319-bortovoy-kompyyuter-multitronics-cl-580-dlya-avtomobiley</t>
  </si>
  <si>
    <t>https://motorring.ru/product/15235-bortovoy-kompyyuter-mulytitroniks-cl-590-vmesto-vozduhovoda</t>
  </si>
  <si>
    <t>https://motorring.ru/product/37804-bortovoy-kompyyuter-mulytitroniks-sl-50v-dlya-inghektornyh</t>
  </si>
  <si>
    <t>https://motorring.ru/product/30635-stroboskop-orion-st-04-dlya-karbyuratornyh-inghektornyh</t>
  </si>
  <si>
    <t>https://motorring.ru/product/9762-programmator-odometrov-po-5</t>
  </si>
  <si>
    <t>https://motorring.ru/product/1329-parktronik-multitronics-pu-4tc</t>
  </si>
  <si>
    <t>https://motorring.ru/product/9767-radar-detektor-orion-525</t>
  </si>
  <si>
    <t>https://motorring.ru/product/30633-strelochnaya-nagruzochnaya-vilka-nv-03</t>
  </si>
  <si>
    <t>https://motorring.ru/product/37777-datchik-doghdya-dda-dlya-lada-inomarok</t>
  </si>
  <si>
    <t>https://motorring.ru/product/9741-zaryadnoe-ustroystvo-orion-325</t>
  </si>
  <si>
    <t>https://motorring.ru/product/9766-imitator-signala-skorosti-can-lada-priora-kalina-granta</t>
  </si>
  <si>
    <t>https://motorring.ru/product/9759-preobrazovately-napryagheniya-invertornyy-35a</t>
  </si>
  <si>
    <t>https://motorring.ru/product/25427-moduly-kontrollera-steklopodyemnikov-largus</t>
  </si>
  <si>
    <t>https://motorring.ru/product/5950-bortovoy-kompyyuter-multitronics-di17g-dlya-avtomobiley-gaz</t>
  </si>
  <si>
    <t>https://motorring.ru/product/9740-zaryadnoe-ustroystvo-orion-265</t>
  </si>
  <si>
    <t>https://motorring.ru/product/9764-adapter-eeprom-po5-dlya-programmatora-po-5</t>
  </si>
  <si>
    <t>2190 снят</t>
  </si>
  <si>
    <t>https://motorring.ru/product/9736-strelochnaya-nagruzochnaya-vilka-nv-02</t>
  </si>
  <si>
    <t>2129 снят</t>
  </si>
  <si>
    <t>https://motorring.ru/product/9783-taksometr-ta-2-dlya-avtomobiley-vaz</t>
  </si>
  <si>
    <t>https://motorring.ru/product/26474-cifrovoy-indikator-temperatury-dvigatelya-siniy-funkciey</t>
  </si>
  <si>
    <t>https://motorring.ru/product/25421-3-h-kanalynoe-usb-zaryadnoe-ustroystvo-komplekt</t>
  </si>
  <si>
    <t>https://motorring.ru/product/8524-indikator-temperatury-dvigatelya-cifrovoy-lada-granta</t>
  </si>
  <si>
    <t>https://motorring.ru/product/37888-nasos-dlya-perekachki-ghidkosti-vympel-nm-12-52-mm</t>
  </si>
  <si>
    <t>https://motorring.ru/product/24175-zaryadnoe-ustroystvo-impulysnoe-orion-pw150m</t>
  </si>
  <si>
    <t>https://motorring.ru/product/9735-bortovoy-kompyyuter-orion-bk-08</t>
  </si>
  <si>
    <t>https://motorring.ru/product/9781-stroboskop-orion-st-01-dlya-karbyuratornyh-inghektornyh</t>
  </si>
  <si>
    <t>https://motorring.ru/product/9723-adapter-elm-327-usb-dlya-diagnostiki-avtomobilya</t>
  </si>
  <si>
    <t>https://motorring.ru/product/9722-adapter-elm-327-bluetooth-mini-dlya-diagnostiki-avtomobilya</t>
  </si>
  <si>
    <t>https://motorring.ru/product/9721-adapter-elm-327-bluetooth-dlya-diagnostiki-avtomobilya</t>
  </si>
  <si>
    <t>https://motorring.ru/product/16379-bortovoy-kompyyuter-orion-dlya-karbyuratornyh-dvigateley</t>
  </si>
  <si>
    <t>https://motorring.ru/product/9745-indikator-temperatury-dvigatelya-dlya-folyksvagen-polo</t>
  </si>
  <si>
    <t>https://motorring.ru/product/9777-rele-plavnogo-zapuska-ventilyatora-radiatora-300vt-rpv-2</t>
  </si>
  <si>
    <t>https://motorring.ru/product/37756-adapter-elm-327-bluetooth-15-mini-dlya-diagnostiki-avtomobilya</t>
  </si>
  <si>
    <t>https://motorring.ru/product/24137-indikator-napryagheniya-bortovoy-seti-dlya-folyksvagen-polo</t>
  </si>
  <si>
    <t>https://motorring.ru/product/2547-provodka-dlya-podklyucheniya-ptf-kalina2-granta-datsun</t>
  </si>
  <si>
    <t>https://motorring.ru/product/4420-komplekt-podklyucheniya-protivotumannyh-far-lada-kalina</t>
  </si>
  <si>
    <t>https://motorring.ru/product/4248-provodka-dlya-podklyucheniya-ptf-lada-priora</t>
  </si>
  <si>
    <t>https://motorring.ru/product/15776-tahometr-multitronics-dm10-dlya-karbyuratornyh-dvigateley</t>
  </si>
  <si>
    <t>https://motorring.ru/product/8469-rele-avtosveta-nezabudka2-avtomobili-vaz</t>
  </si>
  <si>
    <t>https://motorring.ru/product/37791-cifrovoy-indikator-bortovoy-seti-bolyshoy-3-30v</t>
  </si>
  <si>
    <t>https://motorring.ru/product/30351-antennyy-usilitely-orion-vympel-a-10</t>
  </si>
  <si>
    <t>https://motorring.ru/product/34917-filytr-pitaniya-orion-dlya-avtomagnitoly-vympel-301</t>
  </si>
  <si>
    <t>https://motorring.ru/product/8476-regulyator-obogreva-sideniy-avtomatom-ros-dlya-vaz</t>
  </si>
  <si>
    <t>https://motorring.ru/product/18510-rele-miganiya-dopolnitelynogo-stop-signala</t>
  </si>
  <si>
    <t>https://motorring.ru/product/37889-rele-strob-kontroller-odnokanalynyy</t>
  </si>
  <si>
    <t>https://motorring.ru/product/25437-rele-vremeni-avtomobilynyh-signalizaciy</t>
  </si>
  <si>
    <t>https://motorring.ru/product/9728-antenna-orion-a-25</t>
  </si>
  <si>
    <t>https://motorring.ru/product/25422-usb-zaryadnoe-ustroystvo-slota-prikurivatelya-avtomobilya</t>
  </si>
  <si>
    <t>https://motorring.ru/product/37794-cifrovoy-volytmetr-korpuse-vrezaemyy-diagonalyyu</t>
  </si>
  <si>
    <t>https://motorring.ru/product/37795-cifrovoy-volytmetr-ampermetr</t>
  </si>
  <si>
    <t>https://motorring.ru/product/8470-kontroller-otkrytiya-dverey-kod-dlya-avtomobiley-vaz</t>
  </si>
  <si>
    <t>https://motorring.ru/product/7103-usb-zaryadnoe-2slota-vaz-2108-21099-2113-2115-kalina-niva</t>
  </si>
  <si>
    <t>https://motorring.ru/product/13881-usb-zaryadnoe-slota-vmesto-zaglushki-paneli-priborov-vaz</t>
  </si>
  <si>
    <t>https://motorring.ru/product/176-usb-zaryadnoe-slota-vmesto-zaglushki-paneli-priborov-gazely</t>
  </si>
  <si>
    <t>https://motorring.ru/product/37871-kolesnyy-cifrovoy-manometr-mn-04</t>
  </si>
  <si>
    <t>https://motorring.ru/product/9769-regulyator-obogreva-sideniy-ros-2</t>
  </si>
  <si>
    <t>https://motorring.ru/product/34607-volytmetr-siney-podsvetkoy-prikurivately-funkciey</t>
  </si>
  <si>
    <t>https://motorring.ru/product/9720-adapter-elm-327-bluetooth-dlya-diagnostiki-avtomobilya</t>
  </si>
  <si>
    <t>https://motorring.ru/product/10968-komplekt-podklyucheniya-protivotumannyh-far-vaz-2108-2109-21099</t>
  </si>
  <si>
    <t>https://motorring.ru/product/3482-komplekt-podklyucheniya-protivotumannyh-far-vaz-2105-2107</t>
  </si>
  <si>
    <t>https://motorring.ru/product/37860-provodka-dlya-podklyucheniya-ptf-2106-lada-niva-4x4</t>
  </si>
  <si>
    <t>https://motorring.ru/product/4607-komplekt-podklyucheniya-protivotumannyh-far-vaz-2113-2114-2115</t>
  </si>
  <si>
    <t>https://motorring.ru/product/25461-antenna-glonass-gps</t>
  </si>
  <si>
    <t>https://motorring.ru/product/37890-rele-strob-kontroller-2-h-kanalynyy-reghimov</t>
  </si>
  <si>
    <t>https://motorring.ru/product/8471-moduly-udlinitely-upravleniya-signalami-povorotov-dlya-vaz</t>
  </si>
  <si>
    <t>https://motorring.ru/product/9793-vihrevoe-ustroystvo-optimizacii-sgoraniya-topliva-ekotop</t>
  </si>
  <si>
    <t>https://motorring.ru/product/8473-moduly-zaschity-lamp-blighnego-sveta-dlya-avtomobiley-vaz</t>
  </si>
  <si>
    <t>https://motorring.ru/product/9770-universalynoe-rele-zaschity-lamp-dlya-avtomobiley-vaz</t>
  </si>
  <si>
    <t>https://motorring.ru/product/10904-provodka-dlya-podklyucheniya-ptf-lada-vesta-xray</t>
  </si>
  <si>
    <t>https://motorring.ru/product/30634-strelochnaya-nagruzochnaya-vilka-nv-05</t>
  </si>
  <si>
    <t>https://motorring.ru/product/34925-rele-buv-dlya-isklyucheniya-zapaha-omyvayki</t>
  </si>
  <si>
    <t>РЦ</t>
  </si>
  <si>
    <t>СВОД</t>
  </si>
  <si>
    <t>Данные</t>
  </si>
  <si>
    <t>Переменные</t>
  </si>
  <si>
    <t>Вихревое устройство оптимизации сгорания топлива "ЭКОТОП"</t>
  </si>
  <si>
    <t>Подогрев тосола 220В Магнум №5 1,5кВт для Шевроле Нива, Honda CRV</t>
  </si>
  <si>
    <t>Подогрев тосола 220В Магнум №16 для ВАЗ (2108-21099, 2113-2115, 2110-2112), Лада Ларгус, Renault (Logan, Sandero)</t>
  </si>
  <si>
    <t>Подогрев тосола 220В Магнум №16 для ВАЗ (2108-21099, 2113-2115, 2110-2112), Лада Ларгус, Renault (0.6 кВт)</t>
  </si>
  <si>
    <t>Подогрев тосола 220В Магнум №16 для ВАЗ (2108-21099, 2113-2115, 2110-2112), Лада Ларгус, Renault (1.5 кВт)</t>
  </si>
  <si>
    <t>Подогрев тосола 220В Магнум №3 для ВАЗ 2101-2107, Лада (Приора, Калина), ИЖ, Ока, Fiat, Suzuki</t>
  </si>
  <si>
    <t>Подогрев тосола 220В Магнум №3 для ВАЗ 2101-2107, Лада (Приора, Калина), ИЖ, Ока, Fiat, Suzuki (0.6 кВт)</t>
  </si>
  <si>
    <t>Подогрев тосола 220В Магнум №3 для ВАЗ 2101-2107, Лада (Приора, Калина), ИЖ, Ока, Fiat, Suzuki (1 кВт)</t>
  </si>
  <si>
    <t>Подогрев тосола 220В Магнум №3 для ВАЗ 2101-2107, Лада (Приора, Калина), ИЖ, Ока, Fiat, Suzuki (1.5 кВт)</t>
  </si>
  <si>
    <t>Предпусковой подогреватель двигателя "Магнум" для Лада Ларгус, Renault (Logan, Sandero), Fiat Doblo</t>
  </si>
  <si>
    <t>Предпусковой подогреватель двигателя "Магнум Т32/32/20" для Лада Ларгус, Renault (Logan, Sandero), Fiat Doblo (1 кВт)</t>
  </si>
  <si>
    <t>Предпусковой подогреватель двигателя "Магнум Т32/32/20" для Лада Ларгус, Renault (Logan, Sandero), Fiat Doblo (1.5 кВт)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</si>
</sst>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_р_._-;\-* #,##0.00_р_._-;_-* &quot;-&quot;??_р_._-;_-@_-"/>
    <numFmt numFmtId="165" formatCode="_-* #,##0.00&quot;р.&quot;_-;\-* #,##0.00&quot;р.&quot;_-;_-* &quot;-&quot;??&quot;р.&quot;_-;_-@_-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sz val="10"/>
      <name val="Arial Cyr"/>
      <charset val="204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sz val="10"/>
      <color indexed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u/>
      <sz val="10"/>
      <color indexed="8"/>
      <name val="Arial Cyr"/>
      <charset val="204"/>
    </font>
    <font>
      <b/>
      <sz val="8"/>
      <name val="Arial"/>
      <family val="2"/>
      <charset val="204"/>
    </font>
    <font>
      <b/>
      <sz val="8"/>
      <color indexed="12"/>
      <name val="Arial"/>
      <family val="2"/>
      <charset val="204"/>
    </font>
    <font>
      <b/>
      <sz val="8"/>
      <color indexed="10"/>
      <name val="Arial"/>
      <family val="2"/>
      <charset val="204"/>
    </font>
    <font>
      <b/>
      <sz val="8"/>
      <name val="Arial Cyr"/>
      <charset val="204"/>
    </font>
    <font>
      <b/>
      <u/>
      <sz val="10"/>
      <color indexed="12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0" tint="-0.1499984740745262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8"/>
      <color theme="1"/>
      <name val="Arial"/>
      <family val="2"/>
      <charset val="204"/>
    </font>
    <font>
      <sz val="10"/>
      <color theme="0" tint="-0.249977111117893"/>
      <name val="Arial"/>
      <family val="2"/>
      <charset val="204"/>
    </font>
    <font>
      <sz val="10"/>
      <name val="Calibri"/>
      <family val="2"/>
      <charset val="204"/>
      <scheme val="minor"/>
    </font>
    <font>
      <sz val="18"/>
      <color theme="3"/>
      <name val="Cambria"/>
      <family val="2"/>
      <charset val="204"/>
      <scheme val="major"/>
    </font>
    <font>
      <sz val="7"/>
      <name val="Arial"/>
      <family val="2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u/>
      <sz val="10"/>
      <color rgb="FFFF0000"/>
      <name val="Arial Cyr"/>
      <charset val="204"/>
    </font>
    <font>
      <sz val="48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0"/>
      <color theme="0" tint="-0.249977111117893"/>
      <name val="Arial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1"/>
      <name val="Calibri"/>
      <family val="2"/>
      <scheme val="minor"/>
    </font>
    <font>
      <sz val="11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  <font>
      <u/>
      <sz val="10"/>
      <color indexed="12"/>
      <name val="Arial Cyr"/>
      <charset val="204"/>
    </font>
  </fonts>
  <fills count="4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54">
    <xf numFmtId="0" fontId="0" fillId="0" borderId="0"/>
    <xf numFmtId="0" fontId="49" fillId="0" borderId="0" applyNumberFormat="0" applyFill="0" applyBorder="0" applyAlignment="0" applyProtection="0"/>
    <xf numFmtId="44" fontId="42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52" fillId="40" borderId="11" applyNumberFormat="0" applyBorder="0" applyAlignment="0" applyProtection="0"/>
    <xf numFmtId="0" fontId="52" fillId="8" borderId="12" applyNumberFormat="0" applyBorder="0" applyAlignment="0" applyProtection="0"/>
    <xf numFmtId="0" fontId="52" fillId="41" borderId="13" applyNumberFormat="0" applyBorder="0" applyAlignment="0" applyProtection="0"/>
    <xf numFmtId="0" fontId="52" fillId="6" borderId="2" applyNumberFormat="0" applyBorder="0" applyAlignment="0" applyProtection="0"/>
    <xf numFmtId="0" fontId="28" fillId="12" borderId="0" applyNumberFormat="0" applyBorder="0" applyAlignment="0" applyProtection="0"/>
    <xf numFmtId="0" fontId="29" fillId="13" borderId="0" applyNumberFormat="0" applyBorder="0" applyAlignment="0" applyProtection="0"/>
    <xf numFmtId="0" fontId="30" fillId="14" borderId="0" applyNumberFormat="0" applyBorder="0" applyAlignment="0" applyProtection="0"/>
    <xf numFmtId="0" fontId="31" fillId="15" borderId="14" applyNumberFormat="0" applyAlignment="0" applyProtection="0"/>
    <xf numFmtId="0" fontId="32" fillId="16" borderId="15" applyNumberFormat="0" applyAlignment="0" applyProtection="0"/>
    <xf numFmtId="0" fontId="33" fillId="16" borderId="14" applyNumberFormat="0" applyAlignment="0" applyProtection="0"/>
    <xf numFmtId="0" fontId="34" fillId="0" borderId="16" applyNumberFormat="0" applyFill="0" applyAlignment="0" applyProtection="0"/>
    <xf numFmtId="0" fontId="35" fillId="17" borderId="17" applyNumberFormat="0" applyAlignment="0" applyProtection="0"/>
    <xf numFmtId="0" fontId="36" fillId="0" borderId="0" applyNumberFormat="0" applyFill="0" applyBorder="0" applyAlignment="0" applyProtection="0"/>
    <xf numFmtId="0" fontId="19" fillId="18" borderId="18" applyNumberFormat="0" applyFont="0" applyAlignment="0" applyProtection="0"/>
    <xf numFmtId="0" fontId="37" fillId="0" borderId="0" applyNumberFormat="0" applyFill="0" applyBorder="0" applyAlignment="0" applyProtection="0"/>
    <xf numFmtId="0" fontId="38" fillId="0" borderId="19" applyNumberFormat="0" applyFill="0" applyAlignment="0" applyProtection="0"/>
    <xf numFmtId="0" fontId="45" fillId="0" borderId="26" applyNumberFormat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46" fillId="0" borderId="27" applyNumberFormat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47" fillId="0" borderId="28" applyNumberFormat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5" fillId="38" borderId="29" applyNumberFormat="0" applyProtection="0">
      <alignment horizontal="center" vertical="center"/>
    </xf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9" fillId="39" borderId="30" applyNumberFormat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48" fillId="9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51" fillId="0" borderId="0" applyNumberFormat="0" applyFill="0" applyBorder="0" applyAlignment="0" applyProtection="0"/>
    <xf numFmtId="0" fontId="2" fillId="0" borderId="0"/>
    <xf numFmtId="0" fontId="54" fillId="0" borderId="0" applyNumberFormat="0" applyFill="0" applyBorder="0" applyAlignment="0" applyProtection="0">
      <alignment vertical="top"/>
      <protection locked="0"/>
    </xf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8">
    <xf numFmtId="0" fontId="0" fillId="0" borderId="0" xfId="0"/>
    <xf numFmtId="1" fontId="43" fillId="10" borderId="2" xfId="3" applyNumberFormat="1" applyFont="1" applyFill="1" applyBorder="1" applyAlignment="1">
      <alignment horizontal="left" vertical="top" wrapText="1"/>
    </xf>
    <xf numFmtId="1" fontId="29" fillId="13" borderId="25" xfId="11" applyNumberFormat="1" applyBorder="1" applyAlignment="1">
      <alignment horizontal="left" wrapText="1"/>
    </xf>
    <xf numFmtId="9" fontId="50" fillId="10" borderId="2" xfId="0" applyNumberFormat="1" applyFont="1" applyFill="1" applyBorder="1" applyAlignment="1">
      <alignment horizontal="left" vertical="center"/>
    </xf>
    <xf numFmtId="0" fontId="50" fillId="10" borderId="2" xfId="0" applyFont="1" applyFill="1" applyBorder="1" applyAlignment="1">
      <alignment horizontal="left" vertical="center"/>
    </xf>
    <xf numFmtId="1" fontId="50" fillId="10" borderId="2" xfId="0" applyNumberFormat="1" applyFont="1" applyFill="1" applyBorder="1" applyAlignment="1">
      <alignment horizontal="left" vertical="center" wrapText="1"/>
    </xf>
    <xf numFmtId="1" fontId="50" fillId="10" borderId="2" xfId="0" applyNumberFormat="1" applyFont="1" applyFill="1" applyBorder="1" applyAlignment="1">
      <alignment horizontal="left" vertical="center"/>
    </xf>
    <xf numFmtId="9" fontId="43" fillId="10" borderId="2" xfId="3" applyFont="1" applyFill="1" applyBorder="1" applyAlignment="1">
      <alignment horizontal="left" vertical="top" wrapText="1"/>
    </xf>
    <xf numFmtId="0" fontId="43" fillId="0" borderId="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43" fontId="19" fillId="0" borderId="0" xfId="4" applyFont="1" applyFill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11" borderId="2" xfId="0" applyFill="1" applyBorder="1"/>
    <xf numFmtId="2" fontId="0" fillId="0" borderId="0" xfId="0" applyNumberFormat="1"/>
    <xf numFmtId="0" fontId="0" fillId="0" borderId="0" xfId="0" applyAlignment="1">
      <alignment horizontal="left" vertical="top" wrapText="1"/>
    </xf>
    <xf numFmtId="0" fontId="43" fillId="0" borderId="0" xfId="0" applyFont="1" applyAlignment="1">
      <alignment horizontal="left" vertical="top" wrapText="1"/>
    </xf>
    <xf numFmtId="9" fontId="0" fillId="0" borderId="0" xfId="3" applyFont="1"/>
    <xf numFmtId="1" fontId="0" fillId="0" borderId="0" xfId="0" applyNumberFormat="1" applyBorder="1" applyAlignment="1" applyProtection="1">
      <alignment horizontal="left" vertical="top" wrapText="1"/>
    </xf>
    <xf numFmtId="0" fontId="0" fillId="8" borderId="8" xfId="0" applyFill="1" applyBorder="1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49" fillId="0" borderId="0" xfId="1"/>
    <xf numFmtId="0" fontId="43" fillId="42" borderId="2" xfId="0" applyFont="1" applyFill="1" applyBorder="1" applyAlignment="1">
      <alignment horizontal="left" vertical="top" wrapText="1"/>
    </xf>
    <xf numFmtId="1" fontId="43" fillId="43" borderId="2" xfId="0" applyNumberFormat="1" applyFont="1" applyFill="1" applyBorder="1" applyAlignment="1">
      <alignment horizontal="left" vertical="top" wrapText="1"/>
    </xf>
    <xf numFmtId="1" fontId="25" fillId="8" borderId="25" xfId="0" applyNumberFormat="1" applyFont="1" applyFill="1" applyBorder="1" applyAlignment="1">
      <alignment horizontal="left" wrapText="1"/>
    </xf>
    <xf numFmtId="0" fontId="0" fillId="0" borderId="0" xfId="0"/>
    <xf numFmtId="0" fontId="0" fillId="0" borderId="0" xfId="0" applyFill="1" applyBorder="1" applyAlignment="1">
      <alignment horizontal="center"/>
    </xf>
    <xf numFmtId="164" fontId="19" fillId="0" borderId="0" xfId="0" applyNumberFormat="1" applyFont="1" applyFill="1" applyBorder="1"/>
    <xf numFmtId="0" fontId="0" fillId="0" borderId="0" xfId="0" applyBorder="1"/>
    <xf numFmtId="49" fontId="12" fillId="0" borderId="20" xfId="0" applyNumberFormat="1" applyFont="1" applyBorder="1" applyAlignment="1">
      <alignment horizontal="center"/>
    </xf>
    <xf numFmtId="49" fontId="12" fillId="0" borderId="20" xfId="0" applyNumberFormat="1" applyFont="1" applyBorder="1" applyAlignment="1" applyProtection="1">
      <alignment horizontal="left" vertical="center" wrapText="1"/>
      <protection hidden="1"/>
    </xf>
    <xf numFmtId="164" fontId="12" fillId="0" borderId="20" xfId="0" applyNumberFormat="1" applyFont="1" applyFill="1" applyBorder="1" applyAlignment="1" applyProtection="1">
      <alignment horizontal="right" vertical="center"/>
      <protection hidden="1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164" fontId="41" fillId="37" borderId="0" xfId="0" applyNumberFormat="1" applyFont="1" applyFill="1" applyBorder="1" applyAlignment="1" applyProtection="1">
      <alignment horizontal="center" vertical="center"/>
      <protection hidden="1"/>
    </xf>
    <xf numFmtId="49" fontId="6" fillId="0" borderId="21" xfId="0" applyNumberFormat="1" applyFont="1" applyBorder="1" applyAlignment="1" applyProtection="1">
      <alignment horizontal="center" vertical="center" wrapText="1"/>
      <protection hidden="1"/>
    </xf>
    <xf numFmtId="49" fontId="12" fillId="37" borderId="0" xfId="0" applyNumberFormat="1" applyFont="1" applyFill="1" applyBorder="1" applyAlignment="1">
      <alignment horizontal="center"/>
    </xf>
    <xf numFmtId="49" fontId="6" fillId="0" borderId="22" xfId="0" applyNumberFormat="1" applyFont="1" applyBorder="1" applyAlignment="1" applyProtection="1">
      <alignment horizontal="center" vertical="center" wrapText="1"/>
      <protection hidden="1"/>
    </xf>
    <xf numFmtId="164" fontId="12" fillId="37" borderId="0" xfId="0" applyNumberFormat="1" applyFont="1" applyFill="1" applyBorder="1" applyAlignment="1" applyProtection="1">
      <alignment horizontal="right" vertical="center"/>
      <protection hidden="1"/>
    </xf>
    <xf numFmtId="49" fontId="12" fillId="0" borderId="0" xfId="0" applyNumberFormat="1" applyFont="1" applyBorder="1" applyAlignment="1">
      <alignment horizontal="center"/>
    </xf>
    <xf numFmtId="49" fontId="12" fillId="0" borderId="0" xfId="0" applyNumberFormat="1" applyFont="1" applyBorder="1" applyAlignment="1" applyProtection="1">
      <alignment horizontal="left" vertical="center"/>
      <protection hidden="1"/>
    </xf>
    <xf numFmtId="164" fontId="12" fillId="0" borderId="0" xfId="0" applyNumberFormat="1" applyFont="1" applyFill="1" applyBorder="1" applyAlignment="1" applyProtection="1">
      <alignment horizontal="right" vertical="center"/>
      <protection hidden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9" fontId="0" fillId="0" borderId="0" xfId="3" applyFont="1" applyAlignment="1">
      <alignment horizontal="left"/>
    </xf>
    <xf numFmtId="1" fontId="29" fillId="13" borderId="2" xfId="11" applyNumberFormat="1" applyBorder="1" applyAlignment="1">
      <alignment horizontal="left" wrapText="1"/>
    </xf>
    <xf numFmtId="1" fontId="0" fillId="0" borderId="0" xfId="0" applyNumberFormat="1" applyAlignment="1">
      <alignment horizontal="left"/>
    </xf>
    <xf numFmtId="9" fontId="0" fillId="8" borderId="2" xfId="0" applyNumberFormat="1" applyFill="1" applyBorder="1" applyAlignment="1">
      <alignment horizontal="left"/>
    </xf>
    <xf numFmtId="49" fontId="25" fillId="0" borderId="2" xfId="0" applyNumberFormat="1" applyFont="1" applyBorder="1" applyAlignment="1">
      <alignment horizontal="left" wrapText="1"/>
    </xf>
    <xf numFmtId="0" fontId="0" fillId="0" borderId="2" xfId="0" applyBorder="1" applyAlignment="1">
      <alignment horizontal="left"/>
    </xf>
    <xf numFmtId="1" fontId="25" fillId="8" borderId="2" xfId="0" applyNumberFormat="1" applyFont="1" applyFill="1" applyBorder="1" applyAlignment="1">
      <alignment horizontal="left" wrapText="1"/>
    </xf>
    <xf numFmtId="1" fontId="25" fillId="0" borderId="2" xfId="0" applyNumberFormat="1" applyFont="1" applyBorder="1" applyAlignment="1">
      <alignment horizontal="left" wrapText="1"/>
    </xf>
    <xf numFmtId="0" fontId="53" fillId="0" borderId="2" xfId="0" applyFont="1" applyBorder="1" applyAlignment="1">
      <alignment horizontal="left" vertical="center" wrapText="1"/>
    </xf>
    <xf numFmtId="0" fontId="2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wrapText="1"/>
    </xf>
    <xf numFmtId="1" fontId="0" fillId="0" borderId="2" xfId="0" applyNumberFormat="1" applyBorder="1" applyAlignment="1">
      <alignment horizontal="left"/>
    </xf>
    <xf numFmtId="9" fontId="19" fillId="0" borderId="2" xfId="3" applyFont="1" applyBorder="1" applyAlignment="1">
      <alignment horizontal="left" wrapText="1"/>
    </xf>
    <xf numFmtId="0" fontId="0" fillId="0" borderId="0" xfId="0" applyFill="1" applyAlignment="1">
      <alignment horizontal="left"/>
    </xf>
    <xf numFmtId="1" fontId="25" fillId="0" borderId="2" xfId="0" applyNumberFormat="1" applyFont="1" applyBorder="1" applyAlignment="1">
      <alignment horizontal="left" vertical="center"/>
    </xf>
    <xf numFmtId="1" fontId="0" fillId="10" borderId="2" xfId="0" applyNumberFormat="1" applyFill="1" applyBorder="1" applyAlignment="1">
      <alignment horizontal="left"/>
    </xf>
    <xf numFmtId="1" fontId="0" fillId="44" borderId="2" xfId="0" applyNumberFormat="1" applyFill="1" applyBorder="1" applyAlignment="1">
      <alignment horizontal="left"/>
    </xf>
    <xf numFmtId="1" fontId="0" fillId="45" borderId="2" xfId="0" applyNumberFormat="1" applyFill="1" applyBorder="1" applyAlignment="1">
      <alignment horizontal="left"/>
    </xf>
    <xf numFmtId="1" fontId="0" fillId="46" borderId="2" xfId="0" applyNumberFormat="1" applyFill="1" applyBorder="1" applyAlignment="1">
      <alignment horizontal="left"/>
    </xf>
    <xf numFmtId="1" fontId="0" fillId="47" borderId="2" xfId="0" applyNumberFormat="1" applyFill="1" applyBorder="1" applyAlignment="1">
      <alignment horizontal="left"/>
    </xf>
    <xf numFmtId="1" fontId="20" fillId="41" borderId="2" xfId="0" applyNumberFormat="1" applyFont="1" applyFill="1" applyBorder="1" applyAlignment="1">
      <alignment horizontal="left" vertical="center"/>
    </xf>
    <xf numFmtId="1" fontId="20" fillId="48" borderId="2" xfId="0" applyNumberFormat="1" applyFont="1" applyFill="1" applyBorder="1" applyAlignment="1">
      <alignment horizontal="left" vertical="center"/>
    </xf>
    <xf numFmtId="2" fontId="0" fillId="0" borderId="0" xfId="0" applyNumberFormat="1" applyAlignment="1">
      <alignment horizontal="left"/>
    </xf>
    <xf numFmtId="3" fontId="29" fillId="13" borderId="5" xfId="11" applyNumberFormat="1" applyBorder="1" applyAlignment="1">
      <alignment horizontal="left"/>
    </xf>
    <xf numFmtId="1" fontId="0" fillId="0" borderId="0" xfId="0" applyNumberFormat="1" applyAlignment="1">
      <alignment horizontal="left" wrapText="1"/>
    </xf>
    <xf numFmtId="49" fontId="25" fillId="0" borderId="8" xfId="0" applyNumberFormat="1" applyFont="1" applyBorder="1" applyAlignment="1">
      <alignment horizontal="left" wrapText="1"/>
    </xf>
    <xf numFmtId="0" fontId="0" fillId="0" borderId="23" xfId="0" applyBorder="1" applyAlignment="1">
      <alignment horizontal="left"/>
    </xf>
    <xf numFmtId="1" fontId="25" fillId="8" borderId="24" xfId="0" applyNumberFormat="1" applyFont="1" applyFill="1" applyBorder="1" applyAlignment="1">
      <alignment horizontal="left" wrapText="1"/>
    </xf>
    <xf numFmtId="2" fontId="25" fillId="0" borderId="4" xfId="0" applyNumberFormat="1" applyFont="1" applyBorder="1" applyAlignment="1">
      <alignment horizontal="left" wrapText="1"/>
    </xf>
    <xf numFmtId="3" fontId="25" fillId="0" borderId="4" xfId="0" applyNumberFormat="1" applyFont="1" applyBorder="1" applyAlignment="1">
      <alignment horizontal="left" wrapText="1"/>
    </xf>
    <xf numFmtId="3" fontId="25" fillId="8" borderId="6" xfId="0" applyNumberFormat="1" applyFont="1" applyFill="1" applyBorder="1" applyAlignment="1">
      <alignment horizontal="left" wrapText="1"/>
    </xf>
    <xf numFmtId="0" fontId="0" fillId="0" borderId="25" xfId="0" applyBorder="1" applyAlignment="1">
      <alignment horizontal="left"/>
    </xf>
    <xf numFmtId="2" fontId="25" fillId="0" borderId="2" xfId="0" applyNumberFormat="1" applyFont="1" applyBorder="1" applyAlignment="1">
      <alignment horizontal="left"/>
    </xf>
    <xf numFmtId="3" fontId="25" fillId="0" borderId="2" xfId="0" applyNumberFormat="1" applyFont="1" applyBorder="1" applyAlignment="1">
      <alignment horizontal="left"/>
    </xf>
    <xf numFmtId="3" fontId="25" fillId="8" borderId="5" xfId="0" applyNumberFormat="1" applyFont="1" applyFill="1" applyBorder="1" applyAlignment="1">
      <alignment horizontal="left"/>
    </xf>
    <xf numFmtId="0" fontId="49" fillId="0" borderId="2" xfId="1" applyBorder="1" applyAlignment="1" applyProtection="1">
      <alignment horizontal="left"/>
      <protection locked="0"/>
    </xf>
    <xf numFmtId="2" fontId="25" fillId="0" borderId="7" xfId="0" applyNumberFormat="1" applyFont="1" applyBorder="1" applyAlignment="1">
      <alignment horizontal="left"/>
    </xf>
    <xf numFmtId="0" fontId="40" fillId="0" borderId="2" xfId="1" applyFont="1" applyBorder="1" applyAlignment="1" applyProtection="1">
      <alignment horizontal="left"/>
      <protection locked="0"/>
    </xf>
    <xf numFmtId="3" fontId="0" fillId="0" borderId="0" xfId="0" applyNumberFormat="1" applyAlignment="1">
      <alignment horizontal="left"/>
    </xf>
    <xf numFmtId="3" fontId="25" fillId="0" borderId="2" xfId="0" applyNumberFormat="1" applyFont="1" applyBorder="1" applyAlignment="1">
      <alignment horizontal="left" vertical="center"/>
    </xf>
    <xf numFmtId="3" fontId="20" fillId="41" borderId="2" xfId="0" applyNumberFormat="1" applyFont="1" applyFill="1" applyBorder="1" applyAlignment="1">
      <alignment horizontal="left" vertical="center"/>
    </xf>
    <xf numFmtId="3" fontId="20" fillId="48" borderId="2" xfId="0" applyNumberFormat="1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/>
    </xf>
    <xf numFmtId="0" fontId="0" fillId="0" borderId="10" xfId="0" applyBorder="1" applyAlignment="1">
      <alignment horizontal="center"/>
    </xf>
    <xf numFmtId="0" fontId="1" fillId="0" borderId="0" xfId="51" applyAlignment="1">
      <alignment horizontal="center"/>
    </xf>
    <xf numFmtId="49" fontId="6" fillId="2" borderId="3" xfId="51" applyNumberFormat="1" applyFont="1" applyFill="1" applyBorder="1" applyAlignment="1" applyProtection="1">
      <alignment horizontal="center" vertical="center" wrapText="1"/>
      <protection hidden="1"/>
    </xf>
    <xf numFmtId="164" fontId="6" fillId="2" borderId="1" xfId="53" applyNumberFormat="1" applyFont="1" applyFill="1" applyBorder="1" applyAlignment="1" applyProtection="1">
      <alignment horizontal="center" vertical="center" wrapText="1"/>
      <protection hidden="1"/>
    </xf>
    <xf numFmtId="49" fontId="6" fillId="2" borderId="1" xfId="51" applyNumberFormat="1" applyFont="1" applyFill="1" applyBorder="1" applyAlignment="1">
      <alignment horizontal="center" vertical="center" wrapText="1"/>
    </xf>
    <xf numFmtId="0" fontId="1" fillId="0" borderId="2" xfId="51" applyFill="1" applyBorder="1" applyAlignment="1">
      <alignment horizontal="center"/>
    </xf>
    <xf numFmtId="49" fontId="6" fillId="0" borderId="2" xfId="51" applyNumberFormat="1" applyFont="1" applyFill="1" applyBorder="1" applyAlignment="1" applyProtection="1">
      <alignment horizontal="left" vertical="center" wrapText="1"/>
      <protection hidden="1"/>
    </xf>
    <xf numFmtId="49" fontId="54" fillId="3" borderId="2" xfId="48" applyNumberFormat="1" applyFill="1" applyBorder="1" applyAlignment="1" applyProtection="1">
      <alignment horizontal="center" vertical="center" wrapText="1"/>
    </xf>
    <xf numFmtId="49" fontId="12" fillId="0" borderId="2" xfId="51" applyNumberFormat="1" applyFont="1" applyBorder="1" applyAlignment="1" applyProtection="1">
      <alignment horizontal="left" vertical="center" wrapText="1"/>
      <protection hidden="1"/>
    </xf>
    <xf numFmtId="1" fontId="9" fillId="0" borderId="2" xfId="52" applyNumberFormat="1" applyFont="1" applyBorder="1" applyAlignment="1" applyProtection="1">
      <alignment horizontal="center" vertical="center"/>
      <protection hidden="1"/>
    </xf>
    <xf numFmtId="1" fontId="54" fillId="3" borderId="2" xfId="48" applyNumberFormat="1" applyFill="1" applyBorder="1" applyAlignment="1" applyProtection="1">
      <alignment horizontal="center" vertical="center"/>
      <protection hidden="1"/>
    </xf>
    <xf numFmtId="1" fontId="13" fillId="3" borderId="2" xfId="48" applyNumberFormat="1" applyFont="1" applyFill="1" applyBorder="1" applyAlignment="1" applyProtection="1">
      <alignment horizontal="center" vertical="center"/>
      <protection hidden="1"/>
    </xf>
    <xf numFmtId="1" fontId="9" fillId="0" borderId="2" xfId="51" applyNumberFormat="1" applyFont="1" applyBorder="1" applyAlignment="1" applyProtection="1">
      <alignment horizontal="center" vertical="center"/>
      <protection hidden="1"/>
    </xf>
    <xf numFmtId="1" fontId="14" fillId="0" borderId="2" xfId="51" applyNumberFormat="1" applyFont="1" applyFill="1" applyBorder="1" applyAlignment="1" applyProtection="1">
      <alignment horizontal="center" vertical="center"/>
      <protection hidden="1"/>
    </xf>
    <xf numFmtId="1" fontId="12" fillId="3" borderId="2" xfId="51" applyNumberFormat="1" applyFont="1" applyFill="1" applyBorder="1" applyAlignment="1" applyProtection="1">
      <alignment horizontal="center" vertical="center"/>
      <protection hidden="1"/>
    </xf>
    <xf numFmtId="1" fontId="14" fillId="5" borderId="2" xfId="51" applyNumberFormat="1" applyFont="1" applyFill="1" applyBorder="1" applyAlignment="1" applyProtection="1">
      <alignment horizontal="center" vertical="center"/>
      <protection hidden="1"/>
    </xf>
    <xf numFmtId="49" fontId="18" fillId="4" borderId="2" xfId="48" applyNumberFormat="1" applyFont="1" applyFill="1" applyBorder="1" applyAlignment="1" applyProtection="1">
      <alignment horizontal="center" vertical="center" wrapText="1"/>
      <protection hidden="1"/>
    </xf>
    <xf numFmtId="1" fontId="14" fillId="4" borderId="2" xfId="51" applyNumberFormat="1" applyFont="1" applyFill="1" applyBorder="1" applyAlignment="1" applyProtection="1">
      <alignment horizontal="center" vertical="center"/>
      <protection hidden="1"/>
    </xf>
    <xf numFmtId="49" fontId="12" fillId="0" borderId="2" xfId="51" applyNumberFormat="1" applyFont="1" applyFill="1" applyBorder="1" applyAlignment="1" applyProtection="1">
      <alignment horizontal="left" vertical="center" wrapText="1"/>
      <protection hidden="1"/>
    </xf>
    <xf numFmtId="1" fontId="9" fillId="0" borderId="2" xfId="51" applyNumberFormat="1" applyFont="1" applyFill="1" applyBorder="1" applyAlignment="1" applyProtection="1">
      <alignment horizontal="center" vertical="center"/>
      <protection hidden="1"/>
    </xf>
    <xf numFmtId="1" fontId="15" fillId="0" borderId="2" xfId="51" applyNumberFormat="1" applyFont="1" applyFill="1" applyBorder="1" applyAlignment="1" applyProtection="1">
      <alignment horizontal="center" vertical="center"/>
      <protection hidden="1"/>
    </xf>
    <xf numFmtId="49" fontId="6" fillId="0" borderId="2" xfId="51" applyNumberFormat="1" applyFont="1" applyBorder="1" applyAlignment="1" applyProtection="1">
      <alignment horizontal="left" vertical="center" wrapText="1"/>
      <protection hidden="1"/>
    </xf>
    <xf numFmtId="1" fontId="14" fillId="0" borderId="2" xfId="51" applyNumberFormat="1" applyFont="1" applyBorder="1" applyAlignment="1" applyProtection="1">
      <alignment horizontal="center" vertical="center"/>
      <protection hidden="1"/>
    </xf>
    <xf numFmtId="1" fontId="16" fillId="0" borderId="2" xfId="51" applyNumberFormat="1" applyFont="1" applyBorder="1" applyAlignment="1" applyProtection="1">
      <alignment horizontal="center" vertical="center"/>
      <protection hidden="1"/>
    </xf>
    <xf numFmtId="49" fontId="5" fillId="0" borderId="2" xfId="51" applyNumberFormat="1" applyFont="1" applyFill="1" applyBorder="1" applyAlignment="1" applyProtection="1">
      <alignment horizontal="left" vertical="center" wrapText="1"/>
      <protection hidden="1"/>
    </xf>
    <xf numFmtId="0" fontId="1" fillId="0" borderId="2" xfId="51" applyBorder="1" applyAlignment="1">
      <alignment horizontal="center"/>
    </xf>
    <xf numFmtId="1" fontId="14" fillId="6" borderId="2" xfId="51" applyNumberFormat="1" applyFont="1" applyFill="1" applyBorder="1" applyAlignment="1" applyProtection="1">
      <alignment horizontal="center" vertical="center"/>
      <protection hidden="1"/>
    </xf>
    <xf numFmtId="1" fontId="22" fillId="0" borderId="2" xfId="51" applyNumberFormat="1" applyFont="1" applyFill="1" applyBorder="1" applyAlignment="1">
      <alignment horizontal="center" vertical="center" wrapText="1"/>
    </xf>
    <xf numFmtId="0" fontId="54" fillId="7" borderId="0" xfId="48" applyFill="1" applyAlignment="1" applyProtection="1">
      <alignment horizontal="center" vertical="center"/>
    </xf>
    <xf numFmtId="1" fontId="23" fillId="0" borderId="2" xfId="51" applyNumberFormat="1" applyFont="1" applyFill="1" applyBorder="1" applyAlignment="1" applyProtection="1">
      <alignment horizontal="center" vertical="center"/>
      <protection hidden="1"/>
    </xf>
    <xf numFmtId="0" fontId="54" fillId="7" borderId="2" xfId="48" applyFill="1" applyBorder="1" applyAlignment="1" applyProtection="1">
      <alignment horizontal="center"/>
    </xf>
    <xf numFmtId="0" fontId="17" fillId="2" borderId="3" xfId="51" applyFont="1" applyFill="1" applyBorder="1" applyAlignment="1">
      <alignment horizontal="center" vertical="center" wrapText="1"/>
    </xf>
    <xf numFmtId="49" fontId="15" fillId="2" borderId="1" xfId="51" applyNumberFormat="1" applyFont="1" applyFill="1" applyBorder="1" applyAlignment="1">
      <alignment horizontal="center" vertical="center" wrapText="1"/>
    </xf>
    <xf numFmtId="164" fontId="21" fillId="0" borderId="2" xfId="53" applyNumberFormat="1" applyFont="1" applyFill="1" applyBorder="1" applyAlignment="1" applyProtection="1">
      <alignment horizontal="right" vertical="center"/>
      <protection hidden="1"/>
    </xf>
    <xf numFmtId="49" fontId="14" fillId="0" borderId="2" xfId="51" applyNumberFormat="1" applyFont="1" applyFill="1" applyBorder="1" applyAlignment="1">
      <alignment horizontal="center" vertical="center" wrapText="1"/>
    </xf>
    <xf numFmtId="1" fontId="14" fillId="0" borderId="2" xfId="52" applyNumberFormat="1" applyFont="1" applyFill="1" applyBorder="1" applyAlignment="1" applyProtection="1">
      <alignment horizontal="center" vertical="center"/>
      <protection hidden="1"/>
    </xf>
    <xf numFmtId="1" fontId="14" fillId="0" borderId="2" xfId="51" applyNumberFormat="1" applyFont="1" applyFill="1" applyBorder="1" applyAlignment="1" applyProtection="1">
      <alignment horizontal="center" vertical="center" wrapText="1"/>
      <protection hidden="1"/>
    </xf>
    <xf numFmtId="164" fontId="21" fillId="0" borderId="2" xfId="53" applyNumberFormat="1" applyFont="1" applyFill="1" applyBorder="1" applyAlignment="1" applyProtection="1">
      <alignment horizontal="center" vertical="center"/>
      <protection hidden="1"/>
    </xf>
    <xf numFmtId="164" fontId="21" fillId="6" borderId="2" xfId="53" applyNumberFormat="1" applyFont="1" applyFill="1" applyBorder="1" applyAlignment="1" applyProtection="1">
      <alignment horizontal="right" vertical="center"/>
      <protection hidden="1"/>
    </xf>
    <xf numFmtId="164" fontId="12" fillId="0" borderId="2" xfId="53" applyNumberFormat="1" applyFont="1" applyFill="1" applyBorder="1" applyAlignment="1" applyProtection="1">
      <alignment horizontal="right" vertical="center"/>
      <protection hidden="1"/>
    </xf>
    <xf numFmtId="164" fontId="12" fillId="0" borderId="2" xfId="53" applyNumberFormat="1" applyFont="1" applyFill="1" applyBorder="1" applyAlignment="1" applyProtection="1">
      <alignment horizontal="center" vertical="center"/>
      <protection hidden="1"/>
    </xf>
    <xf numFmtId="164" fontId="12" fillId="0" borderId="2" xfId="52" applyNumberFormat="1" applyFont="1" applyFill="1" applyBorder="1" applyAlignment="1" applyProtection="1">
      <alignment horizontal="center" vertical="center"/>
      <protection hidden="1"/>
    </xf>
    <xf numFmtId="49" fontId="6" fillId="2" borderId="3" xfId="51" applyNumberFormat="1" applyFont="1" applyFill="1" applyBorder="1" applyAlignment="1">
      <alignment horizontal="center" vertical="center" wrapText="1"/>
    </xf>
    <xf numFmtId="164" fontId="12" fillId="0" borderId="2" xfId="53" applyNumberFormat="1" applyFont="1" applyFill="1" applyBorder="1" applyAlignment="1" applyProtection="1">
      <alignment horizontal="center" vertical="center" wrapText="1"/>
      <protection hidden="1"/>
    </xf>
    <xf numFmtId="164" fontId="12" fillId="8" borderId="2" xfId="53" applyNumberFormat="1" applyFont="1" applyFill="1" applyBorder="1" applyAlignment="1" applyProtection="1">
      <alignment horizontal="right" vertical="center"/>
      <protection hidden="1"/>
    </xf>
    <xf numFmtId="164" fontId="24" fillId="0" borderId="2" xfId="52" applyNumberFormat="1" applyFont="1" applyFill="1" applyBorder="1" applyAlignment="1" applyProtection="1">
      <alignment horizontal="center" vertical="center"/>
      <protection hidden="1"/>
    </xf>
    <xf numFmtId="164" fontId="12" fillId="0" borderId="0" xfId="53" applyNumberFormat="1" applyFont="1" applyFill="1" applyBorder="1" applyAlignment="1" applyProtection="1">
      <alignment horizontal="center" vertical="center" wrapText="1"/>
      <protection hidden="1"/>
    </xf>
    <xf numFmtId="164" fontId="24" fillId="0" borderId="2" xfId="53" applyNumberFormat="1" applyFont="1" applyFill="1" applyBorder="1" applyAlignment="1" applyProtection="1">
      <alignment horizontal="right" vertical="center"/>
      <protection hidden="1"/>
    </xf>
    <xf numFmtId="1" fontId="9" fillId="6" borderId="2" xfId="51" applyNumberFormat="1" applyFont="1" applyFill="1" applyBorder="1" applyAlignment="1" applyProtection="1">
      <alignment horizontal="center" vertical="center"/>
      <protection hidden="1"/>
    </xf>
    <xf numFmtId="1" fontId="14" fillId="0" borderId="2" xfId="52" applyNumberFormat="1" applyFont="1" applyBorder="1" applyAlignment="1" applyProtection="1">
      <alignment horizontal="center" vertical="center"/>
      <protection hidden="1"/>
    </xf>
    <xf numFmtId="164" fontId="44" fillId="0" borderId="2" xfId="53" applyNumberFormat="1" applyFont="1" applyFill="1" applyBorder="1" applyAlignment="1" applyProtection="1">
      <alignment horizontal="right" vertical="center"/>
      <protection hidden="1"/>
    </xf>
    <xf numFmtId="1" fontId="27" fillId="0" borderId="2" xfId="51" applyNumberFormat="1" applyFont="1" applyFill="1" applyBorder="1" applyAlignment="1" applyProtection="1">
      <alignment horizontal="center" vertical="center"/>
      <protection hidden="1"/>
    </xf>
    <xf numFmtId="164" fontId="21" fillId="0" borderId="2" xfId="52" applyNumberFormat="1" applyFont="1" applyFill="1" applyBorder="1" applyAlignment="1" applyProtection="1">
      <alignment horizontal="center" vertical="center"/>
      <protection hidden="1"/>
    </xf>
    <xf numFmtId="164" fontId="4" fillId="0" borderId="2" xfId="53" applyNumberFormat="1" applyFont="1" applyFill="1" applyBorder="1"/>
    <xf numFmtId="1" fontId="40" fillId="3" borderId="2" xfId="48" applyNumberFormat="1" applyFont="1" applyFill="1" applyBorder="1" applyAlignment="1" applyProtection="1">
      <alignment horizontal="center" vertical="center"/>
      <protection hidden="1"/>
    </xf>
    <xf numFmtId="1" fontId="54" fillId="7" borderId="2" xfId="48" applyNumberFormat="1" applyFill="1" applyBorder="1" applyAlignment="1" applyProtection="1">
      <alignment horizontal="center" vertical="center"/>
      <protection hidden="1"/>
    </xf>
    <xf numFmtId="164" fontId="12" fillId="8" borderId="2" xfId="52" applyNumberFormat="1" applyFont="1" applyFill="1" applyBorder="1" applyAlignment="1" applyProtection="1">
      <alignment horizontal="center" vertical="center"/>
      <protection hidden="1"/>
    </xf>
    <xf numFmtId="0" fontId="43" fillId="0" borderId="2" xfId="0" applyFont="1" applyBorder="1" applyAlignment="1" applyProtection="1">
      <alignment horizontal="left" vertical="top" wrapText="1"/>
    </xf>
    <xf numFmtId="1" fontId="0" fillId="0" borderId="2" xfId="0" applyNumberFormat="1" applyBorder="1" applyAlignment="1" applyProtection="1">
      <alignment horizontal="left" vertical="top" wrapText="1"/>
    </xf>
    <xf numFmtId="0" fontId="0" fillId="0" borderId="2" xfId="0" applyBorder="1" applyAlignment="1" applyProtection="1">
      <alignment horizontal="left" vertical="top" wrapText="1"/>
    </xf>
    <xf numFmtId="1" fontId="43" fillId="8" borderId="2" xfId="0" applyNumberFormat="1" applyFont="1" applyFill="1" applyBorder="1" applyAlignment="1" applyProtection="1">
      <alignment horizontal="left" vertical="top" wrapText="1"/>
    </xf>
    <xf numFmtId="0" fontId="43" fillId="0" borderId="2" xfId="0" applyFont="1" applyBorder="1" applyAlignment="1" applyProtection="1">
      <alignment horizontal="left" vertical="top" wrapText="1"/>
    </xf>
    <xf numFmtId="1" fontId="0" fillId="0" borderId="2" xfId="0" applyNumberFormat="1" applyBorder="1" applyAlignment="1" applyProtection="1">
      <alignment horizontal="left" vertical="top" wrapText="1"/>
    </xf>
    <xf numFmtId="0" fontId="0" fillId="0" borderId="2" xfId="0" applyBorder="1" applyAlignment="1" applyProtection="1">
      <alignment horizontal="left" vertical="top" wrapText="1"/>
    </xf>
    <xf numFmtId="1" fontId="43" fillId="8" borderId="2" xfId="0" applyNumberFormat="1" applyFont="1" applyFill="1" applyBorder="1" applyAlignment="1" applyProtection="1">
      <alignment horizontal="left" vertical="top" wrapText="1"/>
    </xf>
    <xf numFmtId="1" fontId="0" fillId="0" borderId="2" xfId="0" applyNumberFormat="1" applyBorder="1"/>
    <xf numFmtId="0" fontId="20" fillId="0" borderId="2" xfId="0" applyFont="1" applyBorder="1" applyAlignment="1">
      <alignment horizontal="left" vertical="center" wrapText="1"/>
    </xf>
    <xf numFmtId="1" fontId="45" fillId="0" borderId="26" xfId="22" applyNumberFormat="1" applyAlignment="1">
      <alignment wrapText="1"/>
    </xf>
    <xf numFmtId="0" fontId="45" fillId="0" borderId="26" xfId="22" applyAlignment="1">
      <alignment horizontal="left" wrapText="1"/>
    </xf>
  </cellXfs>
  <cellStyles count="54">
    <cellStyle name="20% — акцент1" xfId="23" builtinId="30" customBuiltin="1"/>
    <cellStyle name="20% — акцент2" xfId="27" builtinId="34" customBuiltin="1"/>
    <cellStyle name="20% — акцент3" xfId="31" builtinId="38" customBuiltin="1"/>
    <cellStyle name="20% — акцент4" xfId="35" builtinId="42" customBuiltin="1"/>
    <cellStyle name="20% — акцент5" xfId="39" builtinId="46" customBuiltin="1"/>
    <cellStyle name="20% — акцент6" xfId="43" builtinId="50" customBuiltin="1"/>
    <cellStyle name="40% — акцент1" xfId="24" builtinId="31" customBuiltin="1"/>
    <cellStyle name="40% — акцент2" xfId="28" builtinId="35" customBuiltin="1"/>
    <cellStyle name="40% — акцент3" xfId="32" builtinId="39" customBuiltin="1"/>
    <cellStyle name="40% — акцент4" xfId="36" builtinId="43" customBuiltin="1"/>
    <cellStyle name="40% — акцент5" xfId="40" builtinId="47" customBuiltin="1"/>
    <cellStyle name="40% — акцент6" xfId="44" builtinId="51" customBuiltin="1"/>
    <cellStyle name="60% — акцент1" xfId="25" builtinId="32" customBuiltin="1"/>
    <cellStyle name="60% — акцент2" xfId="29" builtinId="36" customBuiltin="1"/>
    <cellStyle name="60% — акцент3" xfId="33" builtinId="40" customBuiltin="1"/>
    <cellStyle name="60% — акцент4" xfId="37" builtinId="44" customBuiltin="1"/>
    <cellStyle name="60% — акцент5" xfId="41" builtinId="48" customBuiltin="1"/>
    <cellStyle name="60% — акцент6" xfId="45" builtinId="52" customBuiltin="1"/>
    <cellStyle name="Акцент1" xfId="22" builtinId="29" customBuiltin="1"/>
    <cellStyle name="Акцент2" xfId="26" builtinId="33" customBuiltin="1"/>
    <cellStyle name="Акцент3" xfId="30" builtinId="37" customBuiltin="1"/>
    <cellStyle name="Акцент4" xfId="34" builtinId="41" customBuiltin="1"/>
    <cellStyle name="Акцент5" xfId="38" builtinId="45" customBuiltin="1"/>
    <cellStyle name="Акцент6" xfId="42" builtinId="49" customBuiltin="1"/>
    <cellStyle name="Ввод " xfId="13" builtinId="20" customBuiltin="1"/>
    <cellStyle name="Вывод" xfId="14" builtinId="21" customBuiltin="1"/>
    <cellStyle name="Вычисление" xfId="15" builtinId="22" customBuiltin="1"/>
    <cellStyle name="Гиперссылка" xfId="1" builtinId="8" customBuiltin="1"/>
    <cellStyle name="Гиперссылка 2" xfId="48" xr:uid="{B1CFBB7C-E9C2-49C5-81A2-E23FF4A1191D}"/>
    <cellStyle name="Денежный" xfId="2" builtinId="4" customBuiltin="1"/>
    <cellStyle name="Денежный 2" xfId="49" xr:uid="{7369A72C-36E1-4B31-93DF-F831C80FFB0F}"/>
    <cellStyle name="Денежный 3" xfId="52" xr:uid="{2C3E8BD4-BB4E-4DF2-A5AD-7F6C22C2095C}"/>
    <cellStyle name="Заголовок 1" xfId="6" builtinId="16" customBuiltin="1"/>
    <cellStyle name="Заголовок 2" xfId="7" builtinId="17" customBuiltin="1"/>
    <cellStyle name="Заголовок 3" xfId="8" builtinId="18" customBuiltin="1"/>
    <cellStyle name="Заголовок 4" xfId="9" builtinId="19" customBuiltin="1"/>
    <cellStyle name="Итог" xfId="21" builtinId="25" customBuiltin="1"/>
    <cellStyle name="Контрольная ячейка" xfId="17" builtinId="23" customBuiltin="1"/>
    <cellStyle name="Название" xfId="5" builtinId="15" customBuiltin="1"/>
    <cellStyle name="Нейтральный" xfId="12" builtinId="28" customBuiltin="1"/>
    <cellStyle name="Обычный" xfId="0" builtinId="0" customBuiltin="1"/>
    <cellStyle name="Обычный 2" xfId="47" xr:uid="{03F1AFA3-B014-4095-B209-E587951947FF}"/>
    <cellStyle name="Обычный 3" xfId="51" xr:uid="{CF9147E8-BEA3-48E6-8FC5-45584FC69ACE}"/>
    <cellStyle name="Открывавшаяся гиперссылка" xfId="46" builtinId="9" customBuiltin="1"/>
    <cellStyle name="Плохой" xfId="11" builtinId="27" customBuiltin="1"/>
    <cellStyle name="Пояснение" xfId="20" builtinId="53" customBuiltin="1"/>
    <cellStyle name="Примечание" xfId="19" builtinId="10" customBuiltin="1"/>
    <cellStyle name="Процентный" xfId="3" builtinId="5"/>
    <cellStyle name="Связанная ячейка" xfId="16" builtinId="24" customBuiltin="1"/>
    <cellStyle name="Текст предупреждения" xfId="18" builtinId="11" customBuiltin="1"/>
    <cellStyle name="Финансовый" xfId="4" builtinId="3" customBuiltin="1"/>
    <cellStyle name="Финансовый 2" xfId="50" xr:uid="{29E3CF8A-128C-4BE7-A5E6-49571EDDAE20}"/>
    <cellStyle name="Финансовый 3" xfId="53" xr:uid="{A3D65981-ACD7-4ADB-855E-7CE8259D0BF5}"/>
    <cellStyle name="Хороший" xfId="10" builtinId="26" customBuiltin="1"/>
  </cellStyles>
  <dxfs count="15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  <bgColor rgb="FFFFFFFF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</xdr:row>
          <xdr:rowOff>142875</xdr:rowOff>
        </xdr:from>
        <xdr:to>
          <xdr:col>10</xdr:col>
          <xdr:colOff>419100</xdr:colOff>
          <xdr:row>4</xdr:row>
          <xdr:rowOff>133350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8C6674E-5CB2-44BF-82D8-5EE938EAB974}" autoFormatId="16" applyNumberFormats="0" applyBorderFormats="0" applyFontFormats="0" applyPatternFormats="0" applyAlignmentFormats="0" applyWidthHeightFormats="0">
  <queryTableRefresh nextId="20">
    <queryTableFields count="1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5683C3-DEF4-4446-BF82-9CE2E8CDE5DA}" name="штат" displayName="штат" ref="A1:S1126" tableType="queryTable" totalsRowShown="0">
  <autoFilter ref="A1:S1126" xr:uid="{015683C3-DEF4-4446-BF82-9CE2E8CDE5DA}"/>
  <tableColumns count="19">
    <tableColumn id="1" xr3:uid="{95CD1FF9-35D7-40F0-ACED-558E553C9E7E}" uniqueName="1" name="Column1" queryTableFieldId="1"/>
    <tableColumn id="2" xr3:uid="{B1C56923-4045-4D0C-A4D2-7DDED34D0C23}" uniqueName="2" name="Column2" queryTableFieldId="2"/>
    <tableColumn id="3" xr3:uid="{0152BD92-0A66-459A-9408-4E0A0DC57787}" uniqueName="3" name="Column3" queryTableFieldId="3"/>
    <tableColumn id="4" xr3:uid="{A44A1F6F-9AF1-41F4-A64C-12500932D97D}" uniqueName="4" name="Column4" queryTableFieldId="4"/>
    <tableColumn id="5" xr3:uid="{3A72CBBD-B833-4A06-A6E7-A93724D568BE}" uniqueName="5" name="Column5" queryTableFieldId="5"/>
    <tableColumn id="6" xr3:uid="{632F563B-165D-447B-A53A-0C6B7452837A}" uniqueName="6" name="Column6" queryTableFieldId="6"/>
    <tableColumn id="7" xr3:uid="{0255128D-39F2-4955-8348-D66C58506F9A}" uniqueName="7" name="Column7" queryTableFieldId="7"/>
    <tableColumn id="8" xr3:uid="{2ECEC29C-88B9-4206-B624-7A8562A48D49}" uniqueName="8" name="Column8" queryTableFieldId="8"/>
    <tableColumn id="9" xr3:uid="{C2F6D105-BAAA-4A71-83A5-B92297B26DC8}" uniqueName="9" name="Column9" queryTableFieldId="9"/>
    <tableColumn id="10" xr3:uid="{E5E086D1-893C-4F24-ADF3-AD0A00968BF2}" uniqueName="10" name="Column10" queryTableFieldId="10"/>
    <tableColumn id="11" xr3:uid="{8D2A0698-6C6E-4D61-9843-20948707D5AC}" uniqueName="11" name="Column11" queryTableFieldId="11"/>
    <tableColumn id="12" xr3:uid="{2315E20C-06F1-40B5-98B8-EFB9310249A2}" uniqueName="12" name="Column12" queryTableFieldId="12"/>
    <tableColumn id="13" xr3:uid="{F0E82A8A-7254-4B47-93C0-4718251F0BAA}" uniqueName="13" name="Column13" queryTableFieldId="13"/>
    <tableColumn id="14" xr3:uid="{87AC3202-4D8E-41BE-912C-1BCD7D4165FC}" uniqueName="14" name="Column14" queryTableFieldId="14"/>
    <tableColumn id="15" xr3:uid="{F28C827F-ACE5-45F4-AF8A-88EC183D7A18}" uniqueName="15" name="Column15" queryTableFieldId="15"/>
    <tableColumn id="16" xr3:uid="{C2C25D9F-D36E-4AE9-847A-CCA5E653150F}" uniqueName="16" name="Column16" queryTableFieldId="16"/>
    <tableColumn id="17" xr3:uid="{AD6D117D-8F15-44E9-9EC7-D43322E61BC8}" uniqueName="17" name="Column17" queryTableFieldId="17"/>
    <tableColumn id="18" xr3:uid="{62FF76D7-9628-46ED-A68E-C191875E6663}" uniqueName="18" name="Column18" queryTableFieldId="18"/>
    <tableColumn id="19" xr3:uid="{5EFF753E-4C26-4881-9386-71EA027BFA9A}" uniqueName="19" name="Column19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parts.ru/search/TOP%20AUTO/2925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elangltd.ru/katalog/avtomobilnaya-elektronika/rele-zashchity-lamp-universalnoe/" TargetMode="External"/><Relationship Id="rId21" Type="http://schemas.openxmlformats.org/officeDocument/2006/relationships/hyperlink" Target="http://www.shtat.ru/shop/product-category/shtat-shevi-vektor-m" TargetMode="External"/><Relationship Id="rId42" Type="http://schemas.openxmlformats.org/officeDocument/2006/relationships/hyperlink" Target="http://www.orionspb.ru/vilki/842/" TargetMode="External"/><Relationship Id="rId63" Type="http://schemas.openxmlformats.org/officeDocument/2006/relationships/hyperlink" Target="http://www.shtat.ru/shop/product-category/kommutator-elektronnyj-36-3734" TargetMode="External"/><Relationship Id="rId84" Type="http://schemas.openxmlformats.org/officeDocument/2006/relationships/hyperlink" Target="http://www.elekomm.ru/node/25" TargetMode="External"/><Relationship Id="rId138" Type="http://schemas.openxmlformats.org/officeDocument/2006/relationships/hyperlink" Target="http://straus-com.ru/catalog/page84.html" TargetMode="External"/><Relationship Id="rId159" Type="http://schemas.openxmlformats.org/officeDocument/2006/relationships/hyperlink" Target="http://www.shtat.ru/shop/product-category/shtat-usb-zaryadnik-1-2-universal" TargetMode="External"/><Relationship Id="rId170" Type="http://schemas.openxmlformats.org/officeDocument/2006/relationships/hyperlink" Target="http://orionspb.ru/comp/1747/" TargetMode="External"/><Relationship Id="rId191" Type="http://schemas.openxmlformats.org/officeDocument/2006/relationships/hyperlink" Target="http://www.elekomm.ru/node/89" TargetMode="External"/><Relationship Id="rId205" Type="http://schemas.openxmlformats.org/officeDocument/2006/relationships/hyperlink" Target="http://www.shtat.ru/shop/product-category/avtomobilnyj-diagnosticheskij-skaner-tester-shtat-dst-express-universal" TargetMode="External"/><Relationship Id="rId226" Type="http://schemas.openxmlformats.org/officeDocument/2006/relationships/hyperlink" Target="https://orionspb.ru/antennas/1320/" TargetMode="External"/><Relationship Id="rId247" Type="http://schemas.openxmlformats.org/officeDocument/2006/relationships/hyperlink" Target="https://www.multitronics.ru/catalog/bortovye_kompyutery/ux_8/" TargetMode="External"/><Relationship Id="rId107" Type="http://schemas.openxmlformats.org/officeDocument/2006/relationships/hyperlink" Target="https://www.apel.ru/katalog/autodevices/rpv-2" TargetMode="External"/><Relationship Id="rId11" Type="http://schemas.openxmlformats.org/officeDocument/2006/relationships/hyperlink" Target="https://motorring.ru/product/13527-montaghnyy-nabor-podklyucheniya-protivotumannyh-far-lada" TargetMode="External"/><Relationship Id="rId32" Type="http://schemas.openxmlformats.org/officeDocument/2006/relationships/hyperlink" Target="http://www.shtat.ru/shop/product-category/ustanovochnyj-komplekt-shtat-115-na-a-m-niva" TargetMode="External"/><Relationship Id="rId53" Type="http://schemas.openxmlformats.org/officeDocument/2006/relationships/hyperlink" Target="http://dda-viko.ru/dda_35.html" TargetMode="External"/><Relationship Id="rId74" Type="http://schemas.openxmlformats.org/officeDocument/2006/relationships/hyperlink" Target="https://www.multitronics.ru/catalog/bortovye_kompyutery/tc_750/" TargetMode="External"/><Relationship Id="rId128" Type="http://schemas.openxmlformats.org/officeDocument/2006/relationships/hyperlink" Target="http://www.avto163.hop.ru/GM-OBD2.html" TargetMode="External"/><Relationship Id="rId149" Type="http://schemas.openxmlformats.org/officeDocument/2006/relationships/hyperlink" Target="http://www.avto163.hop.ru/usb4in1.html" TargetMode="External"/><Relationship Id="rId5" Type="http://schemas.openxmlformats.org/officeDocument/2006/relationships/hyperlink" Target="https://motorring.ru/product/31610-indikator-napryagheniya-int-12-krasniy-volytometrom-granta" TargetMode="External"/><Relationship Id="rId95" Type="http://schemas.openxmlformats.org/officeDocument/2006/relationships/hyperlink" Target="http://straus-com.ru/catalog/page84.html" TargetMode="External"/><Relationship Id="rId160" Type="http://schemas.openxmlformats.org/officeDocument/2006/relationships/hyperlink" Target="http://www.shtat.ru/shop/product-category/shtat-usb-zaryadnik-granta-priora" TargetMode="External"/><Relationship Id="rId181" Type="http://schemas.openxmlformats.org/officeDocument/2006/relationships/hyperlink" Target="https://orionspb.ru/lock/windows/5737/" TargetMode="External"/><Relationship Id="rId216" Type="http://schemas.openxmlformats.org/officeDocument/2006/relationships/hyperlink" Target="http://www.shtat.ru/shop/product-category/zaryadnik-usb-2-0-2h2-largus-fl-x-ray-duster-sandero-arkana-5v-3a-v-konsol" TargetMode="External"/><Relationship Id="rId237" Type="http://schemas.openxmlformats.org/officeDocument/2006/relationships/hyperlink" Target="https://www.apel.ru/katalog/autodevices/indikator-naprjazhenija-temperatury-int-12-110-red" TargetMode="External"/><Relationship Id="rId22" Type="http://schemas.openxmlformats.org/officeDocument/2006/relationships/hyperlink" Target="http://www.shtat.ru/shop/product-category/shtat-shevi-matriks-m" TargetMode="External"/><Relationship Id="rId43" Type="http://schemas.openxmlformats.org/officeDocument/2006/relationships/hyperlink" Target="http://www.orionspb.ru/vilki/841/" TargetMode="External"/><Relationship Id="rId64" Type="http://schemas.openxmlformats.org/officeDocument/2006/relationships/hyperlink" Target="http://www.shtat.ru/shop/product-category/kommutator-elektronnyj-76-3734" TargetMode="External"/><Relationship Id="rId118" Type="http://schemas.openxmlformats.org/officeDocument/2006/relationships/hyperlink" Target="http://www.elangltd.ru/katalog/avtomobilnaya-elektronika/rele-elektronnoe-dho-30b/" TargetMode="External"/><Relationship Id="rId139" Type="http://schemas.openxmlformats.org/officeDocument/2006/relationships/hyperlink" Target="http://www.orionspb.ru/charger/5114/" TargetMode="External"/><Relationship Id="rId85" Type="http://schemas.openxmlformats.org/officeDocument/2006/relationships/hyperlink" Target="https://orionspb.ru/voltage/6964/" TargetMode="External"/><Relationship Id="rId150" Type="http://schemas.openxmlformats.org/officeDocument/2006/relationships/hyperlink" Target="https://orionspb.ru/accessories/water_pump/5854/" TargetMode="External"/><Relationship Id="rId171" Type="http://schemas.openxmlformats.org/officeDocument/2006/relationships/hyperlink" Target="https://orionspb.ru/compress/manometers/5952/" TargetMode="External"/><Relationship Id="rId192" Type="http://schemas.openxmlformats.org/officeDocument/2006/relationships/hyperlink" Target="http://www.avto163.hop.ru/Voltmet2.html" TargetMode="External"/><Relationship Id="rId206" Type="http://schemas.openxmlformats.org/officeDocument/2006/relationships/hyperlink" Target="https://www.shtat.ru/shop/product-category/mk-1plus" TargetMode="External"/><Relationship Id="rId227" Type="http://schemas.openxmlformats.org/officeDocument/2006/relationships/hyperlink" Target="http://www.avto163.hop.ru/Ecotop.html" TargetMode="External"/><Relationship Id="rId248" Type="http://schemas.openxmlformats.org/officeDocument/2006/relationships/hyperlink" Target="https://orionspb.ru/charger/7647/" TargetMode="External"/><Relationship Id="rId12" Type="http://schemas.openxmlformats.org/officeDocument/2006/relationships/hyperlink" Target="https://motorring.ru/product/33974-indikator-napryagheniya-in-12-siniy-dlya-vaz-2110-12" TargetMode="External"/><Relationship Id="rId33" Type="http://schemas.openxmlformats.org/officeDocument/2006/relationships/hyperlink" Target="http://www.shtat.ru/shop/product-category/beskontaktnye-sensory-shtat-ts" TargetMode="External"/><Relationship Id="rId108" Type="http://schemas.openxmlformats.org/officeDocument/2006/relationships/hyperlink" Target="http://www.elangltd.ru/katalog/avtomobilnaya-elektronika/udlinitel-povorotnikov/" TargetMode="External"/><Relationship Id="rId129" Type="http://schemas.openxmlformats.org/officeDocument/2006/relationships/hyperlink" Target="http://www.avto163.hop.ru/Perehod.html" TargetMode="External"/><Relationship Id="rId54" Type="http://schemas.openxmlformats.org/officeDocument/2006/relationships/hyperlink" Target="http://dda-viko.ru/dda_45.html" TargetMode="External"/><Relationship Id="rId75" Type="http://schemas.openxmlformats.org/officeDocument/2006/relationships/hyperlink" Target="https://www.multitronics.ru/catalog/bortovye_kompyutery/c_570/" TargetMode="External"/><Relationship Id="rId96" Type="http://schemas.openxmlformats.org/officeDocument/2006/relationships/hyperlink" Target="https://orionspb.ru/radar/1405/" TargetMode="External"/><Relationship Id="rId140" Type="http://schemas.openxmlformats.org/officeDocument/2006/relationships/hyperlink" Target="http://www.elangltd.ru/katalog/avtomobilnaya-elektronika/indikator-napryazheniya-vw-polo/" TargetMode="External"/><Relationship Id="rId161" Type="http://schemas.openxmlformats.org/officeDocument/2006/relationships/hyperlink" Target="http://orionspb.ru/charger/1047/" TargetMode="External"/><Relationship Id="rId182" Type="http://schemas.openxmlformats.org/officeDocument/2006/relationships/hyperlink" Target="https://orionspb.ru/lock/windows/5738/" TargetMode="External"/><Relationship Id="rId217" Type="http://schemas.openxmlformats.org/officeDocument/2006/relationships/hyperlink" Target="http://www.avto163.hop.ru/ReleNiva.html" TargetMode="External"/><Relationship Id="rId6" Type="http://schemas.openxmlformats.org/officeDocument/2006/relationships/hyperlink" Target="https://motorring.ru/product/28751-indikator-tempretury-vozduha-int-12-siniy-vaz-2110" TargetMode="External"/><Relationship Id="rId238" Type="http://schemas.openxmlformats.org/officeDocument/2006/relationships/hyperlink" Target="https://www.apel.ru/katalog/autodevices/indikator-naprjazhenija-i-temperatury-int12-kalina-blue" TargetMode="External"/><Relationship Id="rId23" Type="http://schemas.openxmlformats.org/officeDocument/2006/relationships/hyperlink" Target="http://www.shtat.ru/shop/product-category/shtat-h1m-universal" TargetMode="External"/><Relationship Id="rId119" Type="http://schemas.openxmlformats.org/officeDocument/2006/relationships/hyperlink" Target="http://www.orionspb.ru/antennas/175/" TargetMode="External"/><Relationship Id="rId44" Type="http://schemas.openxmlformats.org/officeDocument/2006/relationships/hyperlink" Target="https://www.apel.ru/katalog/autodevices/usb-zarjadnoe-ustrojstvo-dlja-lada" TargetMode="External"/><Relationship Id="rId65" Type="http://schemas.openxmlformats.org/officeDocument/2006/relationships/hyperlink" Target="http://www.shtat.ru/shop/product-category/kommutator-elektronnyj-1111-3734-oka" TargetMode="External"/><Relationship Id="rId86" Type="http://schemas.openxmlformats.org/officeDocument/2006/relationships/hyperlink" Target="https://orionspb.ru/voltage/6966/" TargetMode="External"/><Relationship Id="rId130" Type="http://schemas.openxmlformats.org/officeDocument/2006/relationships/hyperlink" Target="http://www.avto163.hop.ru/StopRele.html" TargetMode="External"/><Relationship Id="rId151" Type="http://schemas.openxmlformats.org/officeDocument/2006/relationships/hyperlink" Target="http://www.shtat.ru/shop/product-category/shtat-priora-matriks" TargetMode="External"/><Relationship Id="rId172" Type="http://schemas.openxmlformats.org/officeDocument/2006/relationships/hyperlink" Target="http://www.avto163.hop.ru/KLuch-W.html" TargetMode="External"/><Relationship Id="rId193" Type="http://schemas.openxmlformats.org/officeDocument/2006/relationships/hyperlink" Target="http://www.avto163.hop.ru/KD-600.html" TargetMode="External"/><Relationship Id="rId207" Type="http://schemas.openxmlformats.org/officeDocument/2006/relationships/hyperlink" Target="https://orionspb.ru/vilki/6946/" TargetMode="External"/><Relationship Id="rId228" Type="http://schemas.openxmlformats.org/officeDocument/2006/relationships/hyperlink" Target="http://jetterauto.ru/magazin-jetter.html" TargetMode="External"/><Relationship Id="rId249" Type="http://schemas.openxmlformats.org/officeDocument/2006/relationships/hyperlink" Target="https://www.shtat.ru/shop/product-category/mk-4" TargetMode="External"/><Relationship Id="rId13" Type="http://schemas.openxmlformats.org/officeDocument/2006/relationships/hyperlink" Target="https://motorring.ru/product/33975-indikator-napryagheniya-in-12-krasniy-dlya-vaz-2110-12" TargetMode="External"/><Relationship Id="rId109" Type="http://schemas.openxmlformats.org/officeDocument/2006/relationships/hyperlink" Target="https://www.apel.ru/katalog/taxi/ta2" TargetMode="External"/><Relationship Id="rId34" Type="http://schemas.openxmlformats.org/officeDocument/2006/relationships/hyperlink" Target="http://www.shtat.ru/shop/product-category/modul-besklyuchevogo-obhoda-s-blokirovkoj-dvizheniya" TargetMode="External"/><Relationship Id="rId55" Type="http://schemas.openxmlformats.org/officeDocument/2006/relationships/hyperlink" Target="https://www.apel.ru/katalog/diagnostics/idsLADA" TargetMode="External"/><Relationship Id="rId76" Type="http://schemas.openxmlformats.org/officeDocument/2006/relationships/hyperlink" Target="https://www.multitronics.ru/catalog/bortovye_kompyutery/cl_570/" TargetMode="External"/><Relationship Id="rId97" Type="http://schemas.openxmlformats.org/officeDocument/2006/relationships/hyperlink" Target="https://orionspb.ru/radar/1406/" TargetMode="External"/><Relationship Id="rId120" Type="http://schemas.openxmlformats.org/officeDocument/2006/relationships/hyperlink" Target="http://www.avto163.hop.ru/ELM327Ch.html" TargetMode="External"/><Relationship Id="rId141" Type="http://schemas.openxmlformats.org/officeDocument/2006/relationships/hyperlink" Target="http://www.avto163.hop.ru/iN.html" TargetMode="External"/><Relationship Id="rId7" Type="http://schemas.openxmlformats.org/officeDocument/2006/relationships/hyperlink" Target="https://motorring.ru/product/29038-indikator-tempretury-vozduha-int-12-krasniy-vaz-2110" TargetMode="External"/><Relationship Id="rId162" Type="http://schemas.openxmlformats.org/officeDocument/2006/relationships/hyperlink" Target="https://www.apel.ru/katalog/autodevices/indikator-naprjazhenija-in-12-lada" TargetMode="External"/><Relationship Id="rId183" Type="http://schemas.openxmlformats.org/officeDocument/2006/relationships/hyperlink" Target="http://dda-viko.ru/dda_65.html" TargetMode="External"/><Relationship Id="rId218" Type="http://schemas.openxmlformats.org/officeDocument/2006/relationships/hyperlink" Target="https://www.shtat.ru/shop/product-category/mk-3" TargetMode="External"/><Relationship Id="rId239" Type="http://schemas.openxmlformats.org/officeDocument/2006/relationships/hyperlink" Target="https://www.apel.ru/katalog/autodevices/indikator-naprjazhenija-i-temperatury-int12-granta-red" TargetMode="External"/><Relationship Id="rId250" Type="http://schemas.openxmlformats.org/officeDocument/2006/relationships/hyperlink" Target="https://shtat-deluxe.nethouse.ru/products/30306197" TargetMode="External"/><Relationship Id="rId24" Type="http://schemas.openxmlformats.org/officeDocument/2006/relationships/hyperlink" Target="http://www.shtat.ru/shop/product-category/shtat-h1-priora" TargetMode="External"/><Relationship Id="rId45" Type="http://schemas.openxmlformats.org/officeDocument/2006/relationships/hyperlink" Target="https://www.apel.ru/katalog/autodevices/usb-zarjadnoe-ustrojstvo-lada-4x4-kalina-samara" TargetMode="External"/><Relationship Id="rId66" Type="http://schemas.openxmlformats.org/officeDocument/2006/relationships/hyperlink" Target="https://www.multitronics.ru/catalog/bortovye_kompyutery/ux_7/" TargetMode="External"/><Relationship Id="rId87" Type="http://schemas.openxmlformats.org/officeDocument/2006/relationships/hyperlink" Target="https://orionspb.ru/voltage/7031/" TargetMode="External"/><Relationship Id="rId110" Type="http://schemas.openxmlformats.org/officeDocument/2006/relationships/hyperlink" Target="https://www.multitronics.ru/catalog/takhometry/dm10/" TargetMode="External"/><Relationship Id="rId131" Type="http://schemas.openxmlformats.org/officeDocument/2006/relationships/hyperlink" Target="http://www.avto163.hop.ru/mas830.html" TargetMode="External"/><Relationship Id="rId152" Type="http://schemas.openxmlformats.org/officeDocument/2006/relationships/hyperlink" Target="http://orionspb.ru/charger/1048/" TargetMode="External"/><Relationship Id="rId173" Type="http://schemas.openxmlformats.org/officeDocument/2006/relationships/hyperlink" Target="http://www.avto163.hop.ru/K-VesOrg.html" TargetMode="External"/><Relationship Id="rId194" Type="http://schemas.openxmlformats.org/officeDocument/2006/relationships/hyperlink" Target="https://www.apel.ru/katalog/autodevices/modul-kontrollera-steklopodemnikov-maks-largus" TargetMode="External"/><Relationship Id="rId208" Type="http://schemas.openxmlformats.org/officeDocument/2006/relationships/hyperlink" Target="http://www.avto163.hop.ru/Steklo15.html" TargetMode="External"/><Relationship Id="rId229" Type="http://schemas.openxmlformats.org/officeDocument/2006/relationships/hyperlink" Target="http://jetterauto.ru/magazin-jetter/prodazha/140/lada.html" TargetMode="External"/><Relationship Id="rId240" Type="http://schemas.openxmlformats.org/officeDocument/2006/relationships/hyperlink" Target="http://www.avto163.hop.ru/Vest-Gra.html" TargetMode="External"/><Relationship Id="rId14" Type="http://schemas.openxmlformats.org/officeDocument/2006/relationships/hyperlink" Target="https://motorring.ru/product/33976-moduly-avtomaticheskogo-kontrollera-steklopodyemnikov-xray" TargetMode="External"/><Relationship Id="rId35" Type="http://schemas.openxmlformats.org/officeDocument/2006/relationships/hyperlink" Target="http://www.straus-auto.ru/goods/view/s4005" TargetMode="External"/><Relationship Id="rId56" Type="http://schemas.openxmlformats.org/officeDocument/2006/relationships/hyperlink" Target="https://www.apel.ru/katalog/diagnostics/it01" TargetMode="External"/><Relationship Id="rId77" Type="http://schemas.openxmlformats.org/officeDocument/2006/relationships/hyperlink" Target="https://www.multitronics.ru/catalog/bortovye_kompyutery/c_580/" TargetMode="External"/><Relationship Id="rId100" Type="http://schemas.openxmlformats.org/officeDocument/2006/relationships/hyperlink" Target="https://www.apel.ru/katalog/autodevices/reguljator-obogreva-sidenij-ros-2" TargetMode="External"/><Relationship Id="rId8" Type="http://schemas.openxmlformats.org/officeDocument/2006/relationships/hyperlink" Target="https://motorring.ru/product/39806-indikator-napryagheniya-in-12-krasniy-dlya-vaz-2110" TargetMode="External"/><Relationship Id="rId98" Type="http://schemas.openxmlformats.org/officeDocument/2006/relationships/hyperlink" Target="https://www.apel.ru/katalog/autodevices/rost" TargetMode="External"/><Relationship Id="rId121" Type="http://schemas.openxmlformats.org/officeDocument/2006/relationships/hyperlink" Target="http://www.avto163.hop.ru/PTF21118.html" TargetMode="External"/><Relationship Id="rId142" Type="http://schemas.openxmlformats.org/officeDocument/2006/relationships/hyperlink" Target="http://www.avto163.hop.ru/Amp-Volt.html" TargetMode="External"/><Relationship Id="rId163" Type="http://schemas.openxmlformats.org/officeDocument/2006/relationships/hyperlink" Target="http://www.avto163.hop.ru/PFTvesLu.html" TargetMode="External"/><Relationship Id="rId184" Type="http://schemas.openxmlformats.org/officeDocument/2006/relationships/hyperlink" Target="http://www.avto163.hop.ru/Kluch_08.html" TargetMode="External"/><Relationship Id="rId219" Type="http://schemas.openxmlformats.org/officeDocument/2006/relationships/hyperlink" Target="http://www.avto163.hop.ru/Rul.html" TargetMode="External"/><Relationship Id="rId230" Type="http://schemas.openxmlformats.org/officeDocument/2006/relationships/hyperlink" Target="http://jetterauto.ru/magazin-jet-cruise/cena/2486/jet-cruise-komplekt-kruiz-kontrolya-dl.html?category_id=355" TargetMode="External"/><Relationship Id="rId251" Type="http://schemas.openxmlformats.org/officeDocument/2006/relationships/printerSettings" Target="../printerSettings/printerSettings3.bin"/><Relationship Id="rId25" Type="http://schemas.openxmlformats.org/officeDocument/2006/relationships/hyperlink" Target="http://www.shtat.ru/shop/product-category/shtat-h1-g" TargetMode="External"/><Relationship Id="rId46" Type="http://schemas.openxmlformats.org/officeDocument/2006/relationships/hyperlink" Target="https://www.apel.ru/katalog/autodevices/usb-zarjadnoe-ustrojstvo-dlja-prikurivatelja" TargetMode="External"/><Relationship Id="rId67" Type="http://schemas.openxmlformats.org/officeDocument/2006/relationships/hyperlink" Target="https://www.multitronics.ru/catalog/bortovye_kompyutery/di15g/" TargetMode="External"/><Relationship Id="rId88" Type="http://schemas.openxmlformats.org/officeDocument/2006/relationships/hyperlink" Target="http://www.orionspb.ru/voltage/261/" TargetMode="External"/><Relationship Id="rId111" Type="http://schemas.openxmlformats.org/officeDocument/2006/relationships/hyperlink" Target="http://www.tornado-rf.ru/catalog/avtoservis/kontrollery_blizhnego_sveta/" TargetMode="External"/><Relationship Id="rId132" Type="http://schemas.openxmlformats.org/officeDocument/2006/relationships/hyperlink" Target="http://www.avto163.hop.ru/Tester.html" TargetMode="External"/><Relationship Id="rId153" Type="http://schemas.openxmlformats.org/officeDocument/2006/relationships/hyperlink" Target="http://www.avto163.hop.ru/PFTvesta.html" TargetMode="External"/><Relationship Id="rId174" Type="http://schemas.openxmlformats.org/officeDocument/2006/relationships/hyperlink" Target="http://www.shtat.ru/shop/product-category/shtat-115-x-23-m" TargetMode="External"/><Relationship Id="rId195" Type="http://schemas.openxmlformats.org/officeDocument/2006/relationships/hyperlink" Target="http://www.shtat.ru/shop/product-category/shtat-h1-n-g-belyj-indikator" TargetMode="External"/><Relationship Id="rId209" Type="http://schemas.openxmlformats.org/officeDocument/2006/relationships/hyperlink" Target="http://www.avto163.hop.ru/Steklo18.html" TargetMode="External"/><Relationship Id="rId220" Type="http://schemas.openxmlformats.org/officeDocument/2006/relationships/hyperlink" Target="http://www.avto163.hop.ru/KnopBel.html" TargetMode="External"/><Relationship Id="rId241" Type="http://schemas.openxmlformats.org/officeDocument/2006/relationships/hyperlink" Target="https://orionspb.ru/lock/tsentralniy_zamok/5788/" TargetMode="External"/><Relationship Id="rId15" Type="http://schemas.openxmlformats.org/officeDocument/2006/relationships/hyperlink" Target="https://motorring.ru/product/33977-moduly-komplect-4-dvery-max-2-xray" TargetMode="External"/><Relationship Id="rId36" Type="http://schemas.openxmlformats.org/officeDocument/2006/relationships/hyperlink" Target="http://www.straus-auto.ru/goods/view/s4055" TargetMode="External"/><Relationship Id="rId57" Type="http://schemas.openxmlformats.org/officeDocument/2006/relationships/hyperlink" Target="https://www.apel.ru/katalog/autodevices/can-indikator-temperatury-dvigatelja-lada" TargetMode="External"/><Relationship Id="rId78" Type="http://schemas.openxmlformats.org/officeDocument/2006/relationships/hyperlink" Target="https://www.multitronics.ru/catalog/bortovye_kompyutery/cl_580/" TargetMode="External"/><Relationship Id="rId99" Type="http://schemas.openxmlformats.org/officeDocument/2006/relationships/hyperlink" Target="https://www.apel.ru/katalog/autodevices/rost" TargetMode="External"/><Relationship Id="rId101" Type="http://schemas.openxmlformats.org/officeDocument/2006/relationships/hyperlink" Target="https://www.apel.ru/katalog/autodevices/modul-avtomaticheskogo-upravlenija-svetom-maus-15" TargetMode="External"/><Relationship Id="rId122" Type="http://schemas.openxmlformats.org/officeDocument/2006/relationships/hyperlink" Target="http://www.avto163.hop.ru/PTF2170.html" TargetMode="External"/><Relationship Id="rId143" Type="http://schemas.openxmlformats.org/officeDocument/2006/relationships/hyperlink" Target="http://www.shtat.ru/sovmestimost-bk-shtat-s-avtomobilyami" TargetMode="External"/><Relationship Id="rId164" Type="http://schemas.openxmlformats.org/officeDocument/2006/relationships/hyperlink" Target="https://www.apel.ru/katalog/autodevices/usb-zarjadnoe-ustrojstvo-dlja-lada-21083" TargetMode="External"/><Relationship Id="rId185" Type="http://schemas.openxmlformats.org/officeDocument/2006/relationships/hyperlink" Target="http://www.avto163.hop.ru/Kluch_07.html" TargetMode="External"/><Relationship Id="rId4" Type="http://schemas.openxmlformats.org/officeDocument/2006/relationships/hyperlink" Target="https://motorring.ru/product/32327-indikator-napryagheniya-int-12-siniy-volytometrom-granta" TargetMode="External"/><Relationship Id="rId9" Type="http://schemas.openxmlformats.org/officeDocument/2006/relationships/hyperlink" Target="https://motorring.ru/product/39805-indikator-napryagheniya-in-12-siniy-dlya-vaz-2110" TargetMode="External"/><Relationship Id="rId180" Type="http://schemas.openxmlformats.org/officeDocument/2006/relationships/hyperlink" Target="https://www.apel.ru/katalog/autodevices/modul-avtomat-kontrollera-steklopodemnikov-maks2-vesta" TargetMode="External"/><Relationship Id="rId210" Type="http://schemas.openxmlformats.org/officeDocument/2006/relationships/hyperlink" Target="http://www.avto163.hop.ru/K-Bentle.html" TargetMode="External"/><Relationship Id="rId215" Type="http://schemas.openxmlformats.org/officeDocument/2006/relationships/hyperlink" Target="https://shtat-deluxe.nethouse.ru/products/bk7" TargetMode="External"/><Relationship Id="rId236" Type="http://schemas.openxmlformats.org/officeDocument/2006/relationships/hyperlink" Target="https://www.shtat.ru/shop/product-category/shtat-h1-t" TargetMode="External"/><Relationship Id="rId26" Type="http://schemas.openxmlformats.org/officeDocument/2006/relationships/hyperlink" Target="http://www.shtat.ru/shop/product-category/shtat-110x4-m" TargetMode="External"/><Relationship Id="rId231" Type="http://schemas.openxmlformats.org/officeDocument/2006/relationships/hyperlink" Target="http://www.orionspb.ru/antennas/172/" TargetMode="External"/><Relationship Id="rId47" Type="http://schemas.openxmlformats.org/officeDocument/2006/relationships/hyperlink" Target="https://www.apel.ru/katalog/autodevices/usb-zarjadnik-3-h-kanalnyj" TargetMode="External"/><Relationship Id="rId68" Type="http://schemas.openxmlformats.org/officeDocument/2006/relationships/hyperlink" Target="https://www.multitronics.ru/catalog/bortovye_kompyutery/mpc_800/" TargetMode="External"/><Relationship Id="rId89" Type="http://schemas.openxmlformats.org/officeDocument/2006/relationships/hyperlink" Target="https://www.apel.ru/katalog/diagnostics/po4" TargetMode="External"/><Relationship Id="rId112" Type="http://schemas.openxmlformats.org/officeDocument/2006/relationships/hyperlink" Target="https://www.apel.ru/katalog/diagnostics/ms1" TargetMode="External"/><Relationship Id="rId133" Type="http://schemas.openxmlformats.org/officeDocument/2006/relationships/hyperlink" Target="http://www.avto163.hop.ru/RemFors.html" TargetMode="External"/><Relationship Id="rId154" Type="http://schemas.openxmlformats.org/officeDocument/2006/relationships/hyperlink" Target="https://www.apel.ru/katalog/diagnostics/po5-pro" TargetMode="External"/><Relationship Id="rId175" Type="http://schemas.openxmlformats.org/officeDocument/2006/relationships/hyperlink" Target="https://www.apel.ru/katalog/autodevices/stand-usb-zarjadnoe-ustrojstvo" TargetMode="External"/><Relationship Id="rId196" Type="http://schemas.openxmlformats.org/officeDocument/2006/relationships/hyperlink" Target="http://www.shtat.ru/shop/product-category/mk-12" TargetMode="External"/><Relationship Id="rId200" Type="http://schemas.openxmlformats.org/officeDocument/2006/relationships/hyperlink" Target="https://orionspb.ru/diagnostic/OBD_adaptors/6979/" TargetMode="External"/><Relationship Id="rId16" Type="http://schemas.openxmlformats.org/officeDocument/2006/relationships/hyperlink" Target="http://www.orionspb.ru/antennas/172/" TargetMode="External"/><Relationship Id="rId221" Type="http://schemas.openxmlformats.org/officeDocument/2006/relationships/hyperlink" Target="http://www.avto163.hop.ru/KnopKras.html" TargetMode="External"/><Relationship Id="rId242" Type="http://schemas.openxmlformats.org/officeDocument/2006/relationships/hyperlink" Target="https://orionspb.ru/lock/tsentralniy_zamok/6866/" TargetMode="External"/><Relationship Id="rId37" Type="http://schemas.openxmlformats.org/officeDocument/2006/relationships/hyperlink" Target="http://orionspb.ru/comp/162/" TargetMode="External"/><Relationship Id="rId58" Type="http://schemas.openxmlformats.org/officeDocument/2006/relationships/hyperlink" Target="http://www.elangltd.ru/katalog/avtomobilnaya-elektronika/indikator-temperatury-vw-polo/" TargetMode="External"/><Relationship Id="rId79" Type="http://schemas.openxmlformats.org/officeDocument/2006/relationships/hyperlink" Target="https://www.multitronics.ru/catalog/bortovye_kompyutery/c_590/" TargetMode="External"/><Relationship Id="rId102" Type="http://schemas.openxmlformats.org/officeDocument/2006/relationships/hyperlink" Target="http://www.elangltd.ru/katalog/avtomobilnaya-elektronika/modul-zashchity-lamp-blizhnego-sveta-n7/" TargetMode="External"/><Relationship Id="rId123" Type="http://schemas.openxmlformats.org/officeDocument/2006/relationships/hyperlink" Target="http://www.avto163.hop.ru/Audi.html" TargetMode="External"/><Relationship Id="rId144" Type="http://schemas.openxmlformats.org/officeDocument/2006/relationships/hyperlink" Target="http://www.shtat.ru/sovmestimost-bk-shtat-s-avtomobilyami" TargetMode="External"/><Relationship Id="rId90" Type="http://schemas.openxmlformats.org/officeDocument/2006/relationships/hyperlink" Target="https://www.apel.ru/katalog/diagnostics/po5" TargetMode="External"/><Relationship Id="rId165" Type="http://schemas.openxmlformats.org/officeDocument/2006/relationships/hyperlink" Target="https://www.apel.ru/katalog/autodevices/usb-zarjadnoe-ustrojstvo-lada-110" TargetMode="External"/><Relationship Id="rId186" Type="http://schemas.openxmlformats.org/officeDocument/2006/relationships/hyperlink" Target="http://www.avto163.hop.ru/BMW.html" TargetMode="External"/><Relationship Id="rId211" Type="http://schemas.openxmlformats.org/officeDocument/2006/relationships/hyperlink" Target="http://www.avto163.hop.ru/KLuch-W.html" TargetMode="External"/><Relationship Id="rId232" Type="http://schemas.openxmlformats.org/officeDocument/2006/relationships/hyperlink" Target="https://www.apel.ru/katalog/autodevices/kontroller-steklopodemnikov-maks-kalina" TargetMode="External"/><Relationship Id="rId27" Type="http://schemas.openxmlformats.org/officeDocument/2006/relationships/hyperlink" Target="http://www.shtat.ru/shop/product-category/shtat-h1-universa" TargetMode="External"/><Relationship Id="rId48" Type="http://schemas.openxmlformats.org/officeDocument/2006/relationships/hyperlink" Target="http://www.orionspb.ru/charger/135/" TargetMode="External"/><Relationship Id="rId69" Type="http://schemas.openxmlformats.org/officeDocument/2006/relationships/hyperlink" Target="https://www.multitronics.ru/catalog/bortovye_kompyutery/rc_700/" TargetMode="External"/><Relationship Id="rId113" Type="http://schemas.openxmlformats.org/officeDocument/2006/relationships/hyperlink" Target="http://dda-viko.ru/dda_25.2.html" TargetMode="External"/><Relationship Id="rId134" Type="http://schemas.openxmlformats.org/officeDocument/2006/relationships/hyperlink" Target="http://www.avto163.hop.ru/INA-3.html" TargetMode="External"/><Relationship Id="rId80" Type="http://schemas.openxmlformats.org/officeDocument/2006/relationships/hyperlink" Target="https://www.multitronics.ru/catalog/bortovye_kompyutery/cl_590/" TargetMode="External"/><Relationship Id="rId155" Type="http://schemas.openxmlformats.org/officeDocument/2006/relationships/hyperlink" Target="http://www.avto163.hop.ru/KLuch-W.html" TargetMode="External"/><Relationship Id="rId176" Type="http://schemas.openxmlformats.org/officeDocument/2006/relationships/hyperlink" Target="http://www.shtat.ru/shop/product-category/dvuhgnyozdnoe-zaryadnoe-ustrojstvo-shtat-usb-2-0-2h2-3a-5v-15w-largus" TargetMode="External"/><Relationship Id="rId197" Type="http://schemas.openxmlformats.org/officeDocument/2006/relationships/hyperlink" Target="https://www.apel.ru/katalog/autodevices/rele-vremeni-rv" TargetMode="External"/><Relationship Id="rId201" Type="http://schemas.openxmlformats.org/officeDocument/2006/relationships/hyperlink" Target="https://orionspb.ru/diagnostic/OBD_adaptors/6978/" TargetMode="External"/><Relationship Id="rId222" Type="http://schemas.openxmlformats.org/officeDocument/2006/relationships/hyperlink" Target="http://www.avto163.hop.ru/KnopSin.html" TargetMode="External"/><Relationship Id="rId243" Type="http://schemas.openxmlformats.org/officeDocument/2006/relationships/hyperlink" Target="http://www.elekomm.ru/node/3" TargetMode="External"/><Relationship Id="rId17" Type="http://schemas.openxmlformats.org/officeDocument/2006/relationships/hyperlink" Target="https://www.multitronics.ru/catalog/parktroniki/pu_4tc/" TargetMode="External"/><Relationship Id="rId38" Type="http://schemas.openxmlformats.org/officeDocument/2006/relationships/hyperlink" Target="http://orionspb.ru/comp/161/" TargetMode="External"/><Relationship Id="rId59" Type="http://schemas.openxmlformats.org/officeDocument/2006/relationships/hyperlink" Target="http://www.elangltd.ru/katalog/avtomobilnaya-elektronika/indikator-temperatury-dvigatelya-s-funkciey-diagnostiki-krasnyy/" TargetMode="External"/><Relationship Id="rId103" Type="http://schemas.openxmlformats.org/officeDocument/2006/relationships/hyperlink" Target="http://www.elangltd.ru/katalog/avtomobilnaya-elektronika/rele-elektronnoe-dho-30/" TargetMode="External"/><Relationship Id="rId124" Type="http://schemas.openxmlformats.org/officeDocument/2006/relationships/hyperlink" Target="http://www.avto163.hop.ru/KluchCip.html" TargetMode="External"/><Relationship Id="rId70" Type="http://schemas.openxmlformats.org/officeDocument/2006/relationships/hyperlink" Target="https://www.multitronics.ru/catalog/bortovye_kompyutery/sl_50v/" TargetMode="External"/><Relationship Id="rId91" Type="http://schemas.openxmlformats.org/officeDocument/2006/relationships/hyperlink" Target="https://www.apel.ru/katalog/diagnostics/adapter-bdm-po5" TargetMode="External"/><Relationship Id="rId145" Type="http://schemas.openxmlformats.org/officeDocument/2006/relationships/hyperlink" Target="http://dda-viko.ru/dda_15.html" TargetMode="External"/><Relationship Id="rId166" Type="http://schemas.openxmlformats.org/officeDocument/2006/relationships/hyperlink" Target="https://www.apel.ru/katalog/autodevices/usb-zarjadnoe-ustrojstvo-dlja-lada-2106-2107" TargetMode="External"/><Relationship Id="rId187" Type="http://schemas.openxmlformats.org/officeDocument/2006/relationships/hyperlink" Target="http://www.avto163.hop.ru/Strob-2k.html" TargetMode="External"/><Relationship Id="rId1" Type="http://schemas.openxmlformats.org/officeDocument/2006/relationships/hyperlink" Target="https://motorring.ru/product/40332-bortovoy-kompyyuter-shtat-h1-t-beloy-podsvetkoy-nva-travel" TargetMode="External"/><Relationship Id="rId212" Type="http://schemas.openxmlformats.org/officeDocument/2006/relationships/hyperlink" Target="http://www.avto163.hop.ru/KorpVest.html" TargetMode="External"/><Relationship Id="rId233" Type="http://schemas.openxmlformats.org/officeDocument/2006/relationships/hyperlink" Target="https://www.apel.ru/katalog/autodevices/indikator-naprjazhenija-in-12-lada-kalina-red" TargetMode="External"/><Relationship Id="rId28" Type="http://schemas.openxmlformats.org/officeDocument/2006/relationships/hyperlink" Target="http://www.shtat.ru/shop/product-category/shtat-115-x-42-rgb-m" TargetMode="External"/><Relationship Id="rId49" Type="http://schemas.openxmlformats.org/officeDocument/2006/relationships/hyperlink" Target="http://www.orionspb.ru/charger/138/" TargetMode="External"/><Relationship Id="rId114" Type="http://schemas.openxmlformats.org/officeDocument/2006/relationships/hyperlink" Target="https://www.apel.ru/katalog/diagnostics/test-rhh" TargetMode="External"/><Relationship Id="rId60" Type="http://schemas.openxmlformats.org/officeDocument/2006/relationships/hyperlink" Target="https://shop.orionspb.ru/aksessuari/razyemy-dlya-pritsepa-rele-i-vyklyuchateli/ik-bez" TargetMode="External"/><Relationship Id="rId81" Type="http://schemas.openxmlformats.org/officeDocument/2006/relationships/hyperlink" Target="https://www.apel.ru/katalog/autodevices/maks" TargetMode="External"/><Relationship Id="rId135" Type="http://schemas.openxmlformats.org/officeDocument/2006/relationships/hyperlink" Target="http://www.avto163.hop.ru/Termomet.html" TargetMode="External"/><Relationship Id="rId156" Type="http://schemas.openxmlformats.org/officeDocument/2006/relationships/hyperlink" Target="http://www.avto163.hop.ru/Lezvie.html" TargetMode="External"/><Relationship Id="rId177" Type="http://schemas.openxmlformats.org/officeDocument/2006/relationships/hyperlink" Target="https://orionspb.ru/strobo/1624/" TargetMode="External"/><Relationship Id="rId198" Type="http://schemas.openxmlformats.org/officeDocument/2006/relationships/hyperlink" Target="http://www.avto163.hop.ru/FX-5.html" TargetMode="External"/><Relationship Id="rId202" Type="http://schemas.openxmlformats.org/officeDocument/2006/relationships/hyperlink" Target="http://www.orionspb.ru/diagnostic/592/252/" TargetMode="External"/><Relationship Id="rId223" Type="http://schemas.openxmlformats.org/officeDocument/2006/relationships/hyperlink" Target="https://orionspb.ru/vilki/test_akb/7021/" TargetMode="External"/><Relationship Id="rId244" Type="http://schemas.openxmlformats.org/officeDocument/2006/relationships/hyperlink" Target="http://www.avto163.hop.ru/SteGrTon.html" TargetMode="External"/><Relationship Id="rId18" Type="http://schemas.openxmlformats.org/officeDocument/2006/relationships/hyperlink" Target="https://www.multitronics.ru/catalog/parktroniki/pt_4tc/" TargetMode="External"/><Relationship Id="rId39" Type="http://schemas.openxmlformats.org/officeDocument/2006/relationships/hyperlink" Target="http://orionspb.ru/comp/160/" TargetMode="External"/><Relationship Id="rId50" Type="http://schemas.openxmlformats.org/officeDocument/2006/relationships/hyperlink" Target="http://www.orionspb.ru/charger/141/" TargetMode="External"/><Relationship Id="rId104" Type="http://schemas.openxmlformats.org/officeDocument/2006/relationships/hyperlink" Target="http://www.partner.ryazan.ru/54.htm" TargetMode="External"/><Relationship Id="rId125" Type="http://schemas.openxmlformats.org/officeDocument/2006/relationships/hyperlink" Target="http://www.avto163.hop.ru/Voltmetr.html" TargetMode="External"/><Relationship Id="rId146" Type="http://schemas.openxmlformats.org/officeDocument/2006/relationships/hyperlink" Target="https://www.multitronics.ru/catalog/bortovye_kompyutery/c_900/" TargetMode="External"/><Relationship Id="rId167" Type="http://schemas.openxmlformats.org/officeDocument/2006/relationships/hyperlink" Target="https://www.apel.ru/katalog/autodevices/usb-zarjadnoe-ustrojstvo-gazelnext" TargetMode="External"/><Relationship Id="rId188" Type="http://schemas.openxmlformats.org/officeDocument/2006/relationships/hyperlink" Target="http://www.avto163.hop.ru/Strob.html" TargetMode="External"/><Relationship Id="rId71" Type="http://schemas.openxmlformats.org/officeDocument/2006/relationships/hyperlink" Target="https://www.multitronics.ru/catalog/bortovye_kompyutery/vc730/" TargetMode="External"/><Relationship Id="rId92" Type="http://schemas.openxmlformats.org/officeDocument/2006/relationships/hyperlink" Target="https://www.apel.ru/katalog/diagnostics/adapter-po5-eeprom" TargetMode="External"/><Relationship Id="rId213" Type="http://schemas.openxmlformats.org/officeDocument/2006/relationships/hyperlink" Target="http://www.avto163.hop.ru/Vision.html" TargetMode="External"/><Relationship Id="rId234" Type="http://schemas.openxmlformats.org/officeDocument/2006/relationships/hyperlink" Target="https://www.apel.ru/katalog/autodevices/indikator-naprjazhenija-in-12-2110-red" TargetMode="External"/><Relationship Id="rId2" Type="http://schemas.openxmlformats.org/officeDocument/2006/relationships/hyperlink" Target="https://motorring.ru/product/31965-indikator-napryagheniya-int-12-siniy-volytometrom-kalina" TargetMode="External"/><Relationship Id="rId29" Type="http://schemas.openxmlformats.org/officeDocument/2006/relationships/hyperlink" Target="http://www.shtat.ru/shop/product-category/shtat-110x5-m" TargetMode="External"/><Relationship Id="rId40" Type="http://schemas.openxmlformats.org/officeDocument/2006/relationships/hyperlink" Target="http://www.orionspb.ru/strobo/839/" TargetMode="External"/><Relationship Id="rId115" Type="http://schemas.openxmlformats.org/officeDocument/2006/relationships/hyperlink" Target="https://www.apel.ru/katalog/diagnostics/tf1" TargetMode="External"/><Relationship Id="rId136" Type="http://schemas.openxmlformats.org/officeDocument/2006/relationships/hyperlink" Target="http://dda-viko.ru/dda_55.html" TargetMode="External"/><Relationship Id="rId157" Type="http://schemas.openxmlformats.org/officeDocument/2006/relationships/hyperlink" Target="http://www.avto163.hop.ru/KorpusBr.html" TargetMode="External"/><Relationship Id="rId178" Type="http://schemas.openxmlformats.org/officeDocument/2006/relationships/hyperlink" Target="http://www.avto163.hop.ru/Nezab-2M.html" TargetMode="External"/><Relationship Id="rId61" Type="http://schemas.openxmlformats.org/officeDocument/2006/relationships/hyperlink" Target="https://www.apel.ru/katalog/autodevices/indikator-naprjazhenija-in-12p-black" TargetMode="External"/><Relationship Id="rId82" Type="http://schemas.openxmlformats.org/officeDocument/2006/relationships/hyperlink" Target="https://www.apel.ru/katalog/autodevices/kontroller-otkrytija-dverej-kod" TargetMode="External"/><Relationship Id="rId199" Type="http://schemas.openxmlformats.org/officeDocument/2006/relationships/hyperlink" Target="http://www.avto163.hop.ru/AZ-1.html" TargetMode="External"/><Relationship Id="rId203" Type="http://schemas.openxmlformats.org/officeDocument/2006/relationships/hyperlink" Target="http://www.orionspb.ru/diagnostic/592/251/" TargetMode="External"/><Relationship Id="rId19" Type="http://schemas.openxmlformats.org/officeDocument/2006/relationships/hyperlink" Target="http://www.shtat.ru/shop/product-category/shtat-unicomp-410ml" TargetMode="External"/><Relationship Id="rId224" Type="http://schemas.openxmlformats.org/officeDocument/2006/relationships/hyperlink" Target="https://orionspb.ru/diagnostic/OBD_adaptors/7025/" TargetMode="External"/><Relationship Id="rId245" Type="http://schemas.openxmlformats.org/officeDocument/2006/relationships/hyperlink" Target="http://www.avto163.hop.ru/StekGran.html" TargetMode="External"/><Relationship Id="rId30" Type="http://schemas.openxmlformats.org/officeDocument/2006/relationships/hyperlink" Target="http://www.shtat.ru/shop/product-category/shtat-115-x-24-rgb-m" TargetMode="External"/><Relationship Id="rId105" Type="http://schemas.openxmlformats.org/officeDocument/2006/relationships/hyperlink" Target="http://www.partner.ryazan.ru/39-03.htm" TargetMode="External"/><Relationship Id="rId126" Type="http://schemas.openxmlformats.org/officeDocument/2006/relationships/hyperlink" Target="http://www.avto163.hop.ru/Zummer.html" TargetMode="External"/><Relationship Id="rId147" Type="http://schemas.openxmlformats.org/officeDocument/2006/relationships/hyperlink" Target="http://www.shtat.ru/shop/product-category/shtat-adapter-usb-k-line" TargetMode="External"/><Relationship Id="rId168" Type="http://schemas.openxmlformats.org/officeDocument/2006/relationships/hyperlink" Target="https://orionspb.ru/accessories/water_pump/6397/" TargetMode="External"/><Relationship Id="rId51" Type="http://schemas.openxmlformats.org/officeDocument/2006/relationships/hyperlink" Target="http://www.orionspb.ru/charger/3780/" TargetMode="External"/><Relationship Id="rId72" Type="http://schemas.openxmlformats.org/officeDocument/2006/relationships/hyperlink" Target="https://www.multitronics.ru/catalog/bortovye_kompyutery/vc731/" TargetMode="External"/><Relationship Id="rId93" Type="http://schemas.openxmlformats.org/officeDocument/2006/relationships/hyperlink" Target="http://www.elangltd.ru/katalog/diagnostika-avtomobilya/imitator-signala-skorosti-dlya-avtomobiley-lada/" TargetMode="External"/><Relationship Id="rId189" Type="http://schemas.openxmlformats.org/officeDocument/2006/relationships/hyperlink" Target="http://www.shtat.ru/shop/product-category/mk-2" TargetMode="External"/><Relationship Id="rId3" Type="http://schemas.openxmlformats.org/officeDocument/2006/relationships/hyperlink" Target="https://motorring.ru/product/31966-indikator-napryagheniya-int-12-krasniy-volytometrom-kalina" TargetMode="External"/><Relationship Id="rId214" Type="http://schemas.openxmlformats.org/officeDocument/2006/relationships/hyperlink" Target="http://www.avto163.hop.ru/Zerkalo.html" TargetMode="External"/><Relationship Id="rId235" Type="http://schemas.openxmlformats.org/officeDocument/2006/relationships/hyperlink" Target="http://www.avto163.hop.ru/AMK2110.html" TargetMode="External"/><Relationship Id="rId116" Type="http://schemas.openxmlformats.org/officeDocument/2006/relationships/hyperlink" Target="http://&#1072;&#1074;&#1090;&#1086;&#1083;&#1072;&#1082;&#1090;&#1077;&#1089;&#1090;.&#1088;&#1092;/" TargetMode="External"/><Relationship Id="rId137" Type="http://schemas.openxmlformats.org/officeDocument/2006/relationships/hyperlink" Target="http://www.shtat.ru/shop/product-category/avtomobilnyj-diagnosticheskij-skaner-shtat-dst-mini-d" TargetMode="External"/><Relationship Id="rId158" Type="http://schemas.openxmlformats.org/officeDocument/2006/relationships/hyperlink" Target="http://www.avto163.hop.ru/Zum.Zad.html" TargetMode="External"/><Relationship Id="rId20" Type="http://schemas.openxmlformats.org/officeDocument/2006/relationships/hyperlink" Target="http://www.shtat.ru/shop/product-category/shtat-07x1-m" TargetMode="External"/><Relationship Id="rId41" Type="http://schemas.openxmlformats.org/officeDocument/2006/relationships/hyperlink" Target="http://www.orionspb.ru/strobo/838/" TargetMode="External"/><Relationship Id="rId62" Type="http://schemas.openxmlformats.org/officeDocument/2006/relationships/hyperlink" Target="http://www.shtat.ru/shop/product-category/kommutator-elektronnyj-86-3734" TargetMode="External"/><Relationship Id="rId83" Type="http://schemas.openxmlformats.org/officeDocument/2006/relationships/hyperlink" Target="http://www.elekomm.ru/node/24" TargetMode="External"/><Relationship Id="rId179" Type="http://schemas.openxmlformats.org/officeDocument/2006/relationships/hyperlink" Target="http://www.avto163.hop.ru/Audi.html" TargetMode="External"/><Relationship Id="rId190" Type="http://schemas.openxmlformats.org/officeDocument/2006/relationships/hyperlink" Target="http://www.avto163.hop.ru/ReleLED.html" TargetMode="External"/><Relationship Id="rId204" Type="http://schemas.openxmlformats.org/officeDocument/2006/relationships/hyperlink" Target="http://www.avto163.hop.ru/Ant.GPS.html" TargetMode="External"/><Relationship Id="rId225" Type="http://schemas.openxmlformats.org/officeDocument/2006/relationships/hyperlink" Target="https://orionspb.ru/lock/tsentralniy_zamok/5720/" TargetMode="External"/><Relationship Id="rId246" Type="http://schemas.openxmlformats.org/officeDocument/2006/relationships/hyperlink" Target="http://www.avto163.hop.ru/MotorTah.html" TargetMode="External"/><Relationship Id="rId106" Type="http://schemas.openxmlformats.org/officeDocument/2006/relationships/hyperlink" Target="https://www.apel.ru/katalog/autodevices/rpv" TargetMode="External"/><Relationship Id="rId127" Type="http://schemas.openxmlformats.org/officeDocument/2006/relationships/hyperlink" Target="http://www.avto163.hop.ru/MD-1.html" TargetMode="External"/><Relationship Id="rId10" Type="http://schemas.openxmlformats.org/officeDocument/2006/relationships/hyperlink" Target="https://motorring.ru/product/39804-moduly-avtomaticheskogo-kontrollera-steklopodyemnikov-kalina" TargetMode="External"/><Relationship Id="rId31" Type="http://schemas.openxmlformats.org/officeDocument/2006/relationships/hyperlink" Target="http://www.shtat.ru/shop/product-category/shtat-kalina-x-5-mk" TargetMode="External"/><Relationship Id="rId52" Type="http://schemas.openxmlformats.org/officeDocument/2006/relationships/hyperlink" Target="http://dda-viko.ru/dda_25.1.html" TargetMode="External"/><Relationship Id="rId73" Type="http://schemas.openxmlformats.org/officeDocument/2006/relationships/hyperlink" Target="https://www.multitronics.ru/catalog/bortovye_kompyutery/tc_740/" TargetMode="External"/><Relationship Id="rId94" Type="http://schemas.openxmlformats.org/officeDocument/2006/relationships/hyperlink" Target="https://&#1090;&#1086;&#1088;&#1085;&#1072;&#1076;&#1086;.&#1088;&#1092;/product/tsnt-spmz-3/" TargetMode="External"/><Relationship Id="rId148" Type="http://schemas.openxmlformats.org/officeDocument/2006/relationships/hyperlink" Target="http://www.avto163.hop.ru/Gnezdo.html" TargetMode="External"/><Relationship Id="rId169" Type="http://schemas.openxmlformats.org/officeDocument/2006/relationships/hyperlink" Target="https://www.apel.ru/katalog/wireless/otpugivatel-gryzunov-grizli-1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Y309"/>
  <sheetViews>
    <sheetView zoomScaleNormal="100" workbookViewId="0">
      <pane ySplit="2" topLeftCell="A3" activePane="bottomLeft" state="frozen"/>
      <selection pane="bottomLeft" activeCell="G6" sqref="G6"/>
    </sheetView>
  </sheetViews>
  <sheetFormatPr defaultRowHeight="15" x14ac:dyDescent="0.25"/>
  <cols>
    <col min="1" max="2" width="7" style="44" bestFit="1" customWidth="1"/>
    <col min="3" max="3" width="40.85546875" style="44" customWidth="1"/>
    <col min="4" max="4" width="2.42578125" style="44" bestFit="1" customWidth="1"/>
    <col min="5" max="5" width="4.85546875" style="44" bestFit="1" customWidth="1"/>
    <col min="6" max="6" width="13.42578125" style="44" customWidth="1"/>
    <col min="7" max="7" width="32.85546875" style="44" customWidth="1"/>
    <col min="8" max="8" width="5.28515625" style="44" bestFit="1" customWidth="1"/>
    <col min="9" max="9" width="7.85546875" style="48" bestFit="1" customWidth="1"/>
    <col min="10" max="10" width="4.85546875" style="68" bestFit="1" customWidth="1"/>
    <col min="11" max="12" width="7.42578125" style="84" bestFit="1" customWidth="1"/>
    <col min="13" max="13" width="6.7109375" style="44" bestFit="1" customWidth="1"/>
    <col min="14" max="14" width="7" style="44" bestFit="1" customWidth="1"/>
    <col min="15" max="16" width="7.42578125" style="44" bestFit="1" customWidth="1"/>
    <col min="17" max="17" width="7.5703125" style="44" bestFit="1" customWidth="1"/>
    <col min="18" max="18" width="8.42578125" style="70" bestFit="1" customWidth="1"/>
    <col min="19" max="20" width="6" style="44" customWidth="1"/>
    <col min="21" max="23" width="9.140625" style="44"/>
    <col min="24" max="24" width="6.140625" style="45" bestFit="1" customWidth="1"/>
    <col min="25" max="16384" width="9.140625" style="44"/>
  </cols>
  <sheetData>
    <row r="1" spans="1:25" ht="15.75" thickBot="1" x14ac:dyDescent="0.3">
      <c r="B1" s="44">
        <v>2</v>
      </c>
      <c r="C1" s="45">
        <v>3</v>
      </c>
      <c r="D1" s="44">
        <v>4</v>
      </c>
      <c r="E1" s="44">
        <v>14</v>
      </c>
      <c r="F1" s="44">
        <v>5</v>
      </c>
      <c r="H1" s="46">
        <f>COUNT(Кат!$X:$X,Торг!$Z:$Z)/COUNT(Кат!$A:$A,Торг!$B:$B)</f>
        <v>0.62382445141065834</v>
      </c>
      <c r="I1" s="2">
        <f>M1</f>
        <v>8</v>
      </c>
      <c r="K1" s="2">
        <f>N1</f>
        <v>9</v>
      </c>
      <c r="L1" s="69">
        <f>N1</f>
        <v>9</v>
      </c>
      <c r="M1" s="44">
        <v>8</v>
      </c>
      <c r="N1" s="44">
        <v>9</v>
      </c>
      <c r="O1" s="48"/>
      <c r="P1" s="48"/>
      <c r="U1" s="49" t="str">
        <f>_xlfn.CONCAT(ROUND(MIN(U3:U9001)*100,0),"-",ROUND(MAX(U3:U9001)*100,0),"%")</f>
        <v>18-322%</v>
      </c>
      <c r="V1" s="49" t="str">
        <f>_xlfn.CONCAT(ROUND(SUBTOTAL(5,V3:V9001)*100,0)," - ",ROUND(SUBTOTAL(4,V3:V9001)*100,0),"%")</f>
        <v>-16 - 7%</v>
      </c>
      <c r="W1" s="49" t="str">
        <f>_xlfn.CONCAT(ROUND(SUBTOTAL(5,W3:W90001)*100,0)," - ",ROUND(SUBTOTAL(4,W3:W90001)*100,0),"%")</f>
        <v>4 - 326%</v>
      </c>
    </row>
    <row r="2" spans="1:25" ht="30" x14ac:dyDescent="0.25">
      <c r="A2" s="71" t="s">
        <v>223</v>
      </c>
      <c r="B2" s="24" t="s">
        <v>666</v>
      </c>
      <c r="C2" s="24" t="s">
        <v>575</v>
      </c>
      <c r="D2" s="24"/>
      <c r="E2" s="24"/>
      <c r="F2" s="24" t="s">
        <v>667</v>
      </c>
      <c r="G2" s="51" t="s">
        <v>392</v>
      </c>
      <c r="H2" s="72"/>
      <c r="I2" s="73" t="s">
        <v>576</v>
      </c>
      <c r="J2" s="74"/>
      <c r="K2" s="75"/>
      <c r="L2" s="76" t="s">
        <v>1010</v>
      </c>
      <c r="M2" s="24" t="s">
        <v>668</v>
      </c>
      <c r="N2" s="24" t="s">
        <v>669</v>
      </c>
      <c r="O2" s="25" t="s">
        <v>670</v>
      </c>
      <c r="P2" s="25" t="s">
        <v>670</v>
      </c>
      <c r="Q2" s="7">
        <v>7.0000000000000007E-2</v>
      </c>
      <c r="R2" s="5" t="s">
        <v>889</v>
      </c>
      <c r="S2" s="3" t="s">
        <v>890</v>
      </c>
      <c r="T2" s="3" t="s">
        <v>891</v>
      </c>
      <c r="U2" s="54" t="s">
        <v>892</v>
      </c>
      <c r="V2" s="54" t="s">
        <v>645</v>
      </c>
      <c r="W2" s="54" t="s">
        <v>642</v>
      </c>
      <c r="X2" s="155">
        <v>1</v>
      </c>
    </row>
    <row r="3" spans="1:25" ht="30.75" thickBot="1" x14ac:dyDescent="0.3">
      <c r="A3" s="51">
        <v>153079</v>
      </c>
      <c r="B3" s="51">
        <f>VLOOKUP($A3,'Выгр Кат'!$A:$R,B$1,0)</f>
        <v>7207</v>
      </c>
      <c r="C3" s="56" t="str">
        <f>VLOOKUP($A3,'Выгр Кат'!$A:$R,C$1,0)</f>
        <v>Индикатор звуковой (повторитель) на автомобили Lada</v>
      </c>
      <c r="D3" s="51" t="str">
        <f>VLOOKUP($A3,'Выгр Кат'!$A:$R,D$1,0)</f>
        <v>Y</v>
      </c>
      <c r="E3" s="51" t="str">
        <f>VLOOKUP($A3,'Выгр Кат'!$A:$R,E$1,0)</f>
        <v>1</v>
      </c>
      <c r="F3" s="51">
        <f>VLOOKUP($A3,'Выгр Кат'!$A:$R,F$1,0)</f>
        <v>0</v>
      </c>
      <c r="G3" s="51" t="s">
        <v>526</v>
      </c>
      <c r="H3" s="77" t="s">
        <v>527</v>
      </c>
      <c r="I3" s="26">
        <f>VLOOKUP(G3,ПРАЙС!B:C,2,0)</f>
        <v>35</v>
      </c>
      <c r="J3" s="78">
        <f>VLOOKUP(I3,Наценка!$A$2:$B$9,2,1)</f>
        <v>2</v>
      </c>
      <c r="K3" s="65">
        <f>X3*1.07</f>
        <v>159.43</v>
      </c>
      <c r="L3" s="80">
        <f t="shared" ref="L3:L66" si="0">IF(K3&lt;=1000,(ROUNDUP(K3,-1)-1),(ROUNDUP(K3,-2)-10))</f>
        <v>159</v>
      </c>
      <c r="M3" s="51">
        <f>VLOOKUP($A3,'Выгр Кат'!$A:$R,M$1,0)</f>
        <v>35</v>
      </c>
      <c r="N3" s="51">
        <f>VLOOKUP($A3,'Выгр Кат'!$A:$R,N$1,0)</f>
        <v>159</v>
      </c>
      <c r="O3" s="25">
        <f>M3-I3</f>
        <v>0</v>
      </c>
      <c r="P3" s="25">
        <f>N3-L3</f>
        <v>0</v>
      </c>
      <c r="Q3" s="1">
        <f>IFERROR(L3*(1-$Q$2),"")</f>
        <v>147.86999999999998</v>
      </c>
      <c r="R3" s="5">
        <f>IFERROR((VLOOKUP($A3,'Из ГУГЛа'!$B:$G,6,0)+T3)*S3,VLOOKUP($A3,'Из ГУГЛа'!$B:$G,6,0))</f>
        <v>149</v>
      </c>
      <c r="S3" s="4">
        <v>1</v>
      </c>
      <c r="T3" s="4">
        <v>0</v>
      </c>
      <c r="U3" s="58">
        <f>IFERROR(Q3/I3-1,"")</f>
        <v>3.2248571428571422</v>
      </c>
      <c r="V3" s="58">
        <f>IFERROR((X3-Q3)/X3,"")</f>
        <v>7.5838926174498248E-3</v>
      </c>
      <c r="W3" s="58">
        <f>IFERROR(IF(X3="","",X3/I3-1),"")</f>
        <v>3.2571428571428571</v>
      </c>
      <c r="X3" s="156">
        <v>149</v>
      </c>
      <c r="Y3" s="44" t="s">
        <v>835</v>
      </c>
    </row>
    <row r="4" spans="1:25" ht="46.5" thickTop="1" thickBot="1" x14ac:dyDescent="0.3">
      <c r="A4" s="51">
        <v>226514</v>
      </c>
      <c r="B4" s="51">
        <f>VLOOKUP($A4,'Выгр Кат'!$A:$R,B$1,0)</f>
        <v>24500</v>
      </c>
      <c r="C4" s="56" t="str">
        <f>VLOOKUP($A4,'Выгр Кат'!$A:$R,C$1,0)</f>
        <v>Штекер "ОРИОН" REXANT в прикуриватель (с предохранителем и светодиодом)</v>
      </c>
      <c r="D4" s="51" t="str">
        <f>VLOOKUP($A4,'Выгр Кат'!$A:$R,D$1,0)</f>
        <v>Y</v>
      </c>
      <c r="E4" s="51" t="str">
        <f>VLOOKUP($A4,'Выгр Кат'!$A:$R,E$1,0)</f>
        <v>1</v>
      </c>
      <c r="F4" s="51">
        <f>VLOOKUP($A4,'Выгр Кат'!$A:$R,F$1,0)</f>
        <v>0</v>
      </c>
      <c r="G4" s="51" t="s">
        <v>39</v>
      </c>
      <c r="H4" s="77" t="s">
        <v>527</v>
      </c>
      <c r="I4" s="26">
        <f>VLOOKUP(G4,ПРАЙС!B:C,2,0)</f>
        <v>35</v>
      </c>
      <c r="J4" s="78">
        <f>VLOOKUP(I4,Наценка!$A$2:$B$9,2,1)</f>
        <v>2</v>
      </c>
      <c r="K4" s="79">
        <f t="shared" ref="K4:K49" si="1">I4*J4</f>
        <v>70</v>
      </c>
      <c r="L4" s="80">
        <f t="shared" si="0"/>
        <v>69</v>
      </c>
      <c r="M4" s="51">
        <f>VLOOKUP($A4,'Выгр Кат'!$A:$R,M$1,0)</f>
        <v>35</v>
      </c>
      <c r="N4" s="51">
        <f>VLOOKUP($A4,'Выгр Кат'!$A:$R,N$1,0)</f>
        <v>69</v>
      </c>
      <c r="O4" s="25">
        <f t="shared" ref="O4:O64" si="2">M4-I4</f>
        <v>0</v>
      </c>
      <c r="P4" s="25">
        <f t="shared" ref="P4:P64" si="3">N4-L4</f>
        <v>0</v>
      </c>
      <c r="Q4" s="1">
        <f t="shared" ref="Q4:Q67" si="4">IFERROR(L4*(1-$Q$2),"")</f>
        <v>64.17</v>
      </c>
      <c r="R4" s="5" t="str">
        <f>IFERROR((VLOOKUP($A4,'Из ГУГЛа'!$B:$G,6,0)+T4)*S4,VLOOKUP($A4,'Из ГУГЛа'!$B:$G,6,0))</f>
        <v/>
      </c>
      <c r="S4" s="4">
        <v>1</v>
      </c>
      <c r="T4" s="4">
        <v>0</v>
      </c>
      <c r="U4" s="58">
        <f t="shared" ref="U4:U67" si="5">IFERROR(Q4/I4-1,"")</f>
        <v>0.83342857142857141</v>
      </c>
      <c r="V4" s="58" t="str">
        <f t="shared" ref="V4:V67" si="6">IFERROR((X4-Q4)/X4,"")</f>
        <v/>
      </c>
      <c r="W4" s="58" t="str">
        <f t="shared" ref="W4:W67" si="7">IFERROR(IF(X4="","",X4/I4-1),"")</f>
        <v/>
      </c>
      <c r="X4" s="156" t="s">
        <v>929</v>
      </c>
    </row>
    <row r="5" spans="1:25" ht="31.5" thickTop="1" thickBot="1" x14ac:dyDescent="0.3">
      <c r="A5" s="51">
        <v>213732</v>
      </c>
      <c r="B5" s="51">
        <f>VLOOKUP($A5,'Выгр Кат'!$A:$R,B$1,0)</f>
        <v>24513</v>
      </c>
      <c r="C5" s="56" t="str">
        <f>VLOOKUP($A5,'Выгр Кат'!$A:$R,C$1,0)</f>
        <v>Светодиодный индикатор напряжения "ИНА-3" в прикуриватель</v>
      </c>
      <c r="D5" s="51" t="str">
        <f>VLOOKUP($A5,'Выгр Кат'!$A:$R,D$1,0)</f>
        <v>Y</v>
      </c>
      <c r="E5" s="51" t="str">
        <f>VLOOKUP($A5,'Выгр Кат'!$A:$R,E$1,0)</f>
        <v>1</v>
      </c>
      <c r="F5" s="51">
        <f>VLOOKUP($A5,'Выгр Кат'!$A:$R,F$1,0)</f>
        <v>0</v>
      </c>
      <c r="G5" s="51" t="s">
        <v>53</v>
      </c>
      <c r="H5" s="77" t="s">
        <v>527</v>
      </c>
      <c r="I5" s="26">
        <f>VLOOKUP(G5,ПРАЙС!B:C,2,0)</f>
        <v>50</v>
      </c>
      <c r="J5" s="78">
        <f>VLOOKUP(I5,Наценка!$A$2:$B$9,2,1)</f>
        <v>2</v>
      </c>
      <c r="K5" s="65">
        <f t="shared" ref="K5" si="8">X5*1.07</f>
        <v>159.43</v>
      </c>
      <c r="L5" s="80">
        <f t="shared" si="0"/>
        <v>159</v>
      </c>
      <c r="M5" s="51">
        <f>VLOOKUP($A5,'Выгр Кат'!$A:$R,M$1,0)</f>
        <v>50</v>
      </c>
      <c r="N5" s="51">
        <f>VLOOKUP($A5,'Выгр Кат'!$A:$R,N$1,0)</f>
        <v>159</v>
      </c>
      <c r="O5" s="25">
        <f t="shared" si="2"/>
        <v>0</v>
      </c>
      <c r="P5" s="25">
        <f t="shared" si="3"/>
        <v>0</v>
      </c>
      <c r="Q5" s="1">
        <f t="shared" si="4"/>
        <v>147.86999999999998</v>
      </c>
      <c r="R5" s="5">
        <f>IFERROR((VLOOKUP($A5,'Из ГУГЛа'!$B:$G,6,0)+T5)*S5,VLOOKUP($A5,'Из ГУГЛа'!$B:$G,6,0))</f>
        <v>149</v>
      </c>
      <c r="S5" s="4">
        <v>1</v>
      </c>
      <c r="T5" s="4">
        <v>0</v>
      </c>
      <c r="U5" s="58">
        <f t="shared" si="5"/>
        <v>1.9573999999999994</v>
      </c>
      <c r="V5" s="58">
        <f t="shared" si="6"/>
        <v>7.5838926174498248E-3</v>
      </c>
      <c r="W5" s="58">
        <f t="shared" si="7"/>
        <v>1.98</v>
      </c>
      <c r="X5" s="156">
        <v>149</v>
      </c>
      <c r="Y5" s="44" t="s">
        <v>836</v>
      </c>
    </row>
    <row r="6" spans="1:25" ht="31.5" thickTop="1" thickBot="1" x14ac:dyDescent="0.3">
      <c r="A6" s="51">
        <v>163973</v>
      </c>
      <c r="B6" s="51">
        <f>VLOOKUP($A6,'Выгр Кат'!$A:$R,B$1,0)</f>
        <v>7221</v>
      </c>
      <c r="C6" s="56" t="str">
        <f>VLOOKUP($A6,'Выгр Кат'!$A:$R,C$1,0)</f>
        <v>Микросхема для восстановления комбинаций приборов МС-1</v>
      </c>
      <c r="D6" s="51" t="str">
        <f>VLOOKUP($A6,'Выгр Кат'!$A:$R,D$1,0)</f>
        <v>Y</v>
      </c>
      <c r="E6" s="51" t="str">
        <f>VLOOKUP($A6,'Выгр Кат'!$A:$R,E$1,0)</f>
        <v>1</v>
      </c>
      <c r="F6" s="51" t="str">
        <f>VLOOKUP($A6,'Выгр Кат'!$A:$R,F$1,0)</f>
        <v>2110-3801010-04</v>
      </c>
      <c r="G6" s="51" t="s">
        <v>484</v>
      </c>
      <c r="H6" s="77" t="s">
        <v>527</v>
      </c>
      <c r="I6" s="26">
        <f>VLOOKUP(G6,ПРАЙС!B:C,2,0)</f>
        <v>240</v>
      </c>
      <c r="J6" s="78">
        <f>VLOOKUP(I6,Наценка!$A$2:$B$9,2,1)</f>
        <v>2</v>
      </c>
      <c r="K6" s="64">
        <f>X6*1.06</f>
        <v>519.4</v>
      </c>
      <c r="L6" s="80">
        <f t="shared" si="0"/>
        <v>519</v>
      </c>
      <c r="M6" s="51">
        <f>VLOOKUP($A6,'Выгр Кат'!$A:$R,M$1,0)</f>
        <v>240</v>
      </c>
      <c r="N6" s="51">
        <f>VLOOKUP($A6,'Выгр Кат'!$A:$R,N$1,0)</f>
        <v>519</v>
      </c>
      <c r="O6" s="25">
        <f t="shared" si="2"/>
        <v>0</v>
      </c>
      <c r="P6" s="25">
        <f t="shared" si="3"/>
        <v>0</v>
      </c>
      <c r="Q6" s="1">
        <f t="shared" si="4"/>
        <v>482.66999999999996</v>
      </c>
      <c r="R6" s="5">
        <f>IFERROR((VLOOKUP($A6,'Из ГУГЛа'!$B:$G,6,0)+T6)*S6,VLOOKUP($A6,'Из ГУГЛа'!$B:$G,6,0))</f>
        <v>490</v>
      </c>
      <c r="S6" s="4">
        <v>1</v>
      </c>
      <c r="T6" s="4">
        <v>0</v>
      </c>
      <c r="U6" s="58">
        <f t="shared" si="5"/>
        <v>1.0111249999999998</v>
      </c>
      <c r="V6" s="58">
        <f t="shared" si="6"/>
        <v>1.4959183673469472E-2</v>
      </c>
      <c r="W6" s="58">
        <f t="shared" si="7"/>
        <v>1.0416666666666665</v>
      </c>
      <c r="X6" s="156">
        <v>490</v>
      </c>
      <c r="Y6" s="44" t="s">
        <v>834</v>
      </c>
    </row>
    <row r="7" spans="1:25" ht="31.5" thickTop="1" thickBot="1" x14ac:dyDescent="0.3">
      <c r="A7" s="51">
        <v>158403</v>
      </c>
      <c r="B7" s="51">
        <f>VLOOKUP($A7,'Выгр Кат'!$A:$R,B$1,0)</f>
        <v>16478</v>
      </c>
      <c r="C7" s="56" t="str">
        <f>VLOOKUP($A7,'Выгр Кат'!$A:$R,C$1,0)</f>
        <v>Комплект гибких усов (запасных) для автомобильных антенн</v>
      </c>
      <c r="D7" s="51" t="str">
        <f>VLOOKUP($A7,'Выгр Кат'!$A:$R,D$1,0)</f>
        <v>Y</v>
      </c>
      <c r="E7" s="51" t="str">
        <f>VLOOKUP($A7,'Выгр Кат'!$A:$R,E$1,0)</f>
        <v>1</v>
      </c>
      <c r="F7" s="51" t="str">
        <f>VLOOKUP($A7,'Выгр Кат'!$A:$R,F$1,0)</f>
        <v>4017</v>
      </c>
      <c r="G7" s="51" t="s">
        <v>119</v>
      </c>
      <c r="H7" s="77" t="s">
        <v>527</v>
      </c>
      <c r="I7" s="26">
        <f>VLOOKUP(G7,ПРАЙС!B:C,2,0)</f>
        <v>135</v>
      </c>
      <c r="J7" s="78">
        <f>VLOOKUP(I7,Наценка!$A$2:$B$9,2,1)</f>
        <v>2</v>
      </c>
      <c r="K7" s="79">
        <f t="shared" si="1"/>
        <v>270</v>
      </c>
      <c r="L7" s="80">
        <f t="shared" si="0"/>
        <v>269</v>
      </c>
      <c r="M7" s="51">
        <f>VLOOKUP($A7,'Выгр Кат'!$A:$R,M$1,0)</f>
        <v>135</v>
      </c>
      <c r="N7" s="51">
        <f>VLOOKUP($A7,'Выгр Кат'!$A:$R,N$1,0)</f>
        <v>269</v>
      </c>
      <c r="O7" s="25">
        <f t="shared" si="2"/>
        <v>0</v>
      </c>
      <c r="P7" s="25">
        <f t="shared" si="3"/>
        <v>0</v>
      </c>
      <c r="Q7" s="1">
        <f t="shared" si="4"/>
        <v>250.17</v>
      </c>
      <c r="R7" s="5" t="str">
        <f>IFERROR((VLOOKUP($A7,'Из ГУГЛа'!$B:$G,6,0)+T7)*S7,VLOOKUP($A7,'Из ГУГЛа'!$B:$G,6,0))</f>
        <v/>
      </c>
      <c r="S7" s="4">
        <v>1</v>
      </c>
      <c r="T7" s="4">
        <v>0</v>
      </c>
      <c r="U7" s="58">
        <f t="shared" si="5"/>
        <v>0.85311111111111093</v>
      </c>
      <c r="V7" s="58" t="str">
        <f t="shared" si="6"/>
        <v/>
      </c>
      <c r="W7" s="58" t="str">
        <f t="shared" si="7"/>
        <v/>
      </c>
      <c r="X7" s="156" t="s">
        <v>929</v>
      </c>
    </row>
    <row r="8" spans="1:25" ht="31.5" thickTop="1" thickBot="1" x14ac:dyDescent="0.3">
      <c r="A8" s="51">
        <v>117337</v>
      </c>
      <c r="B8" s="51">
        <f>VLOOKUP($A8,'Выгр Кат'!$A:$R,B$1,0)</f>
        <v>7216</v>
      </c>
      <c r="C8" s="56" t="str">
        <f>VLOOKUP($A8,'Выгр Кат'!$A:$R,C$1,0)</f>
        <v>Аварийное зажигание «АЗ-1» на Lada 2110-2112, 2108-2115, Таврия, Ока</v>
      </c>
      <c r="D8" s="51" t="str">
        <f>VLOOKUP($A8,'Выгр Кат'!$A:$R,D$1,0)</f>
        <v>Y</v>
      </c>
      <c r="E8" s="51" t="str">
        <f>VLOOKUP($A8,'Выгр Кат'!$A:$R,E$1,0)</f>
        <v>0</v>
      </c>
      <c r="F8" s="51">
        <f>VLOOKUP($A8,'Выгр Кат'!$A:$R,F$1,0)</f>
        <v>0</v>
      </c>
      <c r="G8" s="51" t="s">
        <v>482</v>
      </c>
      <c r="H8" s="77" t="s">
        <v>527</v>
      </c>
      <c r="I8" s="26">
        <f>VLOOKUP(G8,ПРАЙС!B:C,2,0)</f>
        <v>120</v>
      </c>
      <c r="J8" s="78">
        <f>VLOOKUP(I8,Наценка!$A$2:$B$9,2,1)</f>
        <v>2</v>
      </c>
      <c r="K8" s="63">
        <f>X8*1.04</f>
        <v>258.96000000000004</v>
      </c>
      <c r="L8" s="80">
        <f t="shared" si="0"/>
        <v>259</v>
      </c>
      <c r="M8" s="51">
        <f>VLOOKUP($A8,'Выгр Кат'!$A:$R,M$1,0)</f>
        <v>120</v>
      </c>
      <c r="N8" s="51">
        <f>VLOOKUP($A8,'Выгр Кат'!$A:$R,N$1,0)</f>
        <v>259</v>
      </c>
      <c r="O8" s="25">
        <f t="shared" si="2"/>
        <v>0</v>
      </c>
      <c r="P8" s="25">
        <f t="shared" si="3"/>
        <v>0</v>
      </c>
      <c r="Q8" s="1">
        <f t="shared" si="4"/>
        <v>240.86999999999998</v>
      </c>
      <c r="R8" s="5">
        <f>IFERROR((VLOOKUP($A8,'Из ГУГЛа'!$B:$G,6,0)+T8)*S8,VLOOKUP($A8,'Из ГУГЛа'!$B:$G,6,0))</f>
        <v>249</v>
      </c>
      <c r="S8" s="4">
        <v>1</v>
      </c>
      <c r="T8" s="4">
        <v>0</v>
      </c>
      <c r="U8" s="58">
        <f t="shared" si="5"/>
        <v>1.00725</v>
      </c>
      <c r="V8" s="58">
        <f t="shared" si="6"/>
        <v>3.265060240963865E-2</v>
      </c>
      <c r="W8" s="58">
        <f t="shared" si="7"/>
        <v>1.0750000000000002</v>
      </c>
      <c r="X8" s="156">
        <v>249</v>
      </c>
      <c r="Y8" s="44" t="s">
        <v>808</v>
      </c>
    </row>
    <row r="9" spans="1:25" ht="46.5" thickTop="1" thickBot="1" x14ac:dyDescent="0.3">
      <c r="A9" s="51">
        <v>163903</v>
      </c>
      <c r="B9" s="51">
        <f>VLOOKUP($A9,'Выгр Кат'!$A:$R,B$1,0)</f>
        <v>24532</v>
      </c>
      <c r="C9" s="56" t="str">
        <f>VLOOKUP($A9,'Выгр Кат'!$A:$R,C$1,0)</f>
        <v>Мгновенная диагностика "ОРИОН" МД-1 для ВАЗ (2108, 2109, 2110), Лада Ока, ЗАЗ Таврия</v>
      </c>
      <c r="D9" s="51" t="str">
        <f>VLOOKUP($A9,'Выгр Кат'!$A:$R,D$1,0)</f>
        <v>Y</v>
      </c>
      <c r="E9" s="51" t="str">
        <f>VLOOKUP($A9,'Выгр Кат'!$A:$R,E$1,0)</f>
        <v>1</v>
      </c>
      <c r="F9" s="51" t="str">
        <f>VLOOKUP($A9,'Выгр Кат'!$A:$R,F$1,0)</f>
        <v>МД-1.</v>
      </c>
      <c r="G9" s="51" t="s">
        <v>70</v>
      </c>
      <c r="H9" s="77" t="s">
        <v>527</v>
      </c>
      <c r="I9" s="26">
        <f>VLOOKUP(G9,ПРАЙС!B:C,2,0)</f>
        <v>120</v>
      </c>
      <c r="J9" s="78">
        <f>VLOOKUP(I9,Наценка!$A$2:$B$9,2,1)</f>
        <v>2</v>
      </c>
      <c r="K9" s="64">
        <f t="shared" ref="K9:K16" si="9">X9*1.06</f>
        <v>307.40000000000003</v>
      </c>
      <c r="L9" s="80">
        <f t="shared" si="0"/>
        <v>309</v>
      </c>
      <c r="M9" s="51">
        <f>VLOOKUP($A9,'Выгр Кат'!$A:$R,M$1,0)</f>
        <v>120</v>
      </c>
      <c r="N9" s="51">
        <f>VLOOKUP($A9,'Выгр Кат'!$A:$R,N$1,0)</f>
        <v>309</v>
      </c>
      <c r="O9" s="25">
        <f t="shared" si="2"/>
        <v>0</v>
      </c>
      <c r="P9" s="25">
        <f t="shared" si="3"/>
        <v>0</v>
      </c>
      <c r="Q9" s="1">
        <f t="shared" si="4"/>
        <v>287.37</v>
      </c>
      <c r="R9" s="5" t="str">
        <f>IFERROR((VLOOKUP($A9,'Из ГУГЛа'!$B:$G,6,0)+T9)*S9,VLOOKUP($A9,'Из ГУГЛа'!$B:$G,6,0))</f>
        <v/>
      </c>
      <c r="S9" s="4">
        <v>1</v>
      </c>
      <c r="T9" s="4">
        <v>0</v>
      </c>
      <c r="U9" s="58">
        <f t="shared" si="5"/>
        <v>1.3947500000000002</v>
      </c>
      <c r="V9" s="58">
        <f t="shared" si="6"/>
        <v>9.0689655172413643E-3</v>
      </c>
      <c r="W9" s="58">
        <f t="shared" si="7"/>
        <v>1.4166666666666665</v>
      </c>
      <c r="X9" s="156">
        <v>290</v>
      </c>
      <c r="Y9" s="44" t="s">
        <v>841</v>
      </c>
    </row>
    <row r="10" spans="1:25" ht="16.5" thickTop="1" thickBot="1" x14ac:dyDescent="0.3">
      <c r="A10" s="51">
        <v>224676</v>
      </c>
      <c r="B10" s="51">
        <f>VLOOKUP($A10,'Выгр Кат'!$A:$R,B$1,0)</f>
        <v>7195</v>
      </c>
      <c r="C10" s="56" t="str">
        <f>VLOOKUP($A10,'Выгр Кат'!$A:$R,C$1,0)</f>
        <v>Цифровой вольтметр врезаемый</v>
      </c>
      <c r="D10" s="51" t="str">
        <f>VLOOKUP($A10,'Выгр Кат'!$A:$R,D$1,0)</f>
        <v>Y</v>
      </c>
      <c r="E10" s="51" t="str">
        <f>VLOOKUP($A10,'Выгр Кат'!$A:$R,E$1,0)</f>
        <v>1</v>
      </c>
      <c r="F10" s="51">
        <f>VLOOKUP($A10,'Выгр Кат'!$A:$R,F$1,0)</f>
        <v>0</v>
      </c>
      <c r="G10" s="51" t="s">
        <v>168</v>
      </c>
      <c r="H10" s="77" t="s">
        <v>527</v>
      </c>
      <c r="I10" s="26">
        <f>VLOOKUP(G10,ПРАЙС!B:C,2,0)</f>
        <v>130</v>
      </c>
      <c r="J10" s="78">
        <f>VLOOKUP(I10,Наценка!$A$2:$B$9,2,1)</f>
        <v>2</v>
      </c>
      <c r="K10" s="63">
        <f t="shared" ref="K10:K11" si="10">X10*1.04</f>
        <v>279.76</v>
      </c>
      <c r="L10" s="80">
        <f t="shared" si="0"/>
        <v>279</v>
      </c>
      <c r="M10" s="51">
        <f>VLOOKUP($A10,'Выгр Кат'!$A:$R,M$1,0)</f>
        <v>130</v>
      </c>
      <c r="N10" s="51">
        <f>VLOOKUP($A10,'Выгр Кат'!$A:$R,N$1,0)</f>
        <v>279</v>
      </c>
      <c r="O10" s="25">
        <f t="shared" si="2"/>
        <v>0</v>
      </c>
      <c r="P10" s="25">
        <f t="shared" si="3"/>
        <v>0</v>
      </c>
      <c r="Q10" s="1">
        <f t="shared" si="4"/>
        <v>259.46999999999997</v>
      </c>
      <c r="R10" s="5">
        <f>IFERROR((VLOOKUP($A10,'Из ГУГЛа'!$B:$G,6,0)+T10)*S10,VLOOKUP($A10,'Из ГУГЛа'!$B:$G,6,0))</f>
        <v>269</v>
      </c>
      <c r="S10" s="4">
        <v>1</v>
      </c>
      <c r="T10" s="4">
        <v>0</v>
      </c>
      <c r="U10" s="58">
        <f t="shared" si="5"/>
        <v>0.99592307692307669</v>
      </c>
      <c r="V10" s="58">
        <f t="shared" si="6"/>
        <v>3.5427509293680409E-2</v>
      </c>
      <c r="W10" s="58">
        <f t="shared" si="7"/>
        <v>1.0692307692307694</v>
      </c>
      <c r="X10" s="156">
        <v>269</v>
      </c>
      <c r="Y10" s="44" t="s">
        <v>840</v>
      </c>
    </row>
    <row r="11" spans="1:25" ht="46.5" thickTop="1" thickBot="1" x14ac:dyDescent="0.3">
      <c r="A11" s="51">
        <v>203954</v>
      </c>
      <c r="B11" s="51">
        <f>VLOOKUP($A11,'Выгр Кат'!$A:$R,B$1,0)</f>
        <v>24541</v>
      </c>
      <c r="C11" s="56" t="str">
        <f>VLOOKUP($A11,'Выгр Кат'!$A:$R,C$1,0)</f>
        <v>Реле диодных указателей поворота (3-х контактное) для ВАЗ (2108-21099, 2110-2112, 2113-2115), Лада Нива Legend</v>
      </c>
      <c r="D11" s="51" t="str">
        <f>VLOOKUP($A11,'Выгр Кат'!$A:$R,D$1,0)</f>
        <v>Y</v>
      </c>
      <c r="E11" s="51" t="str">
        <f>VLOOKUP($A11,'Выгр Кат'!$A:$R,E$1,0)</f>
        <v>1</v>
      </c>
      <c r="F11" s="51" t="str">
        <f>VLOOKUP($A11,'Выгр Кат'!$A:$R,F$1,0)</f>
        <v>644.3777-02</v>
      </c>
      <c r="G11" s="51" t="s">
        <v>506</v>
      </c>
      <c r="H11" s="77" t="s">
        <v>527</v>
      </c>
      <c r="I11" s="26">
        <f>VLOOKUP(G11,ПРАЙС!B:C,2,0)</f>
        <v>145</v>
      </c>
      <c r="J11" s="78">
        <f>VLOOKUP(I11,Наценка!$A$2:$B$9,2,1)</f>
        <v>2</v>
      </c>
      <c r="K11" s="63">
        <f t="shared" si="10"/>
        <v>279.76</v>
      </c>
      <c r="L11" s="80">
        <f t="shared" si="0"/>
        <v>279</v>
      </c>
      <c r="M11" s="51">
        <f>VLOOKUP($A11,'Выгр Кат'!$A:$R,M$1,0)</f>
        <v>145</v>
      </c>
      <c r="N11" s="51">
        <f>VLOOKUP($A11,'Выгр Кат'!$A:$R,N$1,0)</f>
        <v>279</v>
      </c>
      <c r="O11" s="25">
        <f t="shared" si="2"/>
        <v>0</v>
      </c>
      <c r="P11" s="25">
        <f t="shared" si="3"/>
        <v>0</v>
      </c>
      <c r="Q11" s="1">
        <f t="shared" si="4"/>
        <v>259.46999999999997</v>
      </c>
      <c r="R11" s="5">
        <f>IFERROR((VLOOKUP($A11,'Из ГУГЛа'!$B:$G,6,0)+T11)*S11,VLOOKUP($A11,'Из ГУГЛа'!$B:$G,6,0))</f>
        <v>269</v>
      </c>
      <c r="S11" s="4">
        <v>1</v>
      </c>
      <c r="T11" s="4">
        <v>0</v>
      </c>
      <c r="U11" s="58">
        <f t="shared" si="5"/>
        <v>0.78944827586206867</v>
      </c>
      <c r="V11" s="58">
        <f t="shared" si="6"/>
        <v>3.5427509293680409E-2</v>
      </c>
      <c r="W11" s="58">
        <f t="shared" si="7"/>
        <v>0.85517241379310338</v>
      </c>
      <c r="X11" s="156">
        <v>269</v>
      </c>
      <c r="Y11" s="44" t="s">
        <v>842</v>
      </c>
    </row>
    <row r="12" spans="1:25" ht="31.5" thickTop="1" thickBot="1" x14ac:dyDescent="0.3">
      <c r="A12" s="51">
        <v>223717</v>
      </c>
      <c r="B12" s="51">
        <f>VLOOKUP($A12,'Выгр Кат'!$A:$R,B$1,0)</f>
        <v>24499</v>
      </c>
      <c r="C12" s="56" t="str">
        <f>VLOOKUP($A12,'Выгр Кат'!$A:$R,C$1,0)</f>
        <v>Установочный комплект "Штат" 115 для Лада Нива 4х4</v>
      </c>
      <c r="D12" s="51" t="str">
        <f>VLOOKUP($A12,'Выгр Кат'!$A:$R,D$1,0)</f>
        <v>Y</v>
      </c>
      <c r="E12" s="51" t="str">
        <f>VLOOKUP($A12,'Выгр Кат'!$A:$R,E$1,0)</f>
        <v>1</v>
      </c>
      <c r="F12" s="51">
        <f>VLOOKUP($A12,'Выгр Кат'!$A:$R,F$1,0)</f>
        <v>0</v>
      </c>
      <c r="G12" s="51" t="s">
        <v>31</v>
      </c>
      <c r="H12" s="77" t="s">
        <v>527</v>
      </c>
      <c r="I12" s="26">
        <f>VLOOKUP(G12,ПРАЙС!B:C,2,0)</f>
        <v>250</v>
      </c>
      <c r="J12" s="78">
        <f>VLOOKUP(I12,Наценка!$A$2:$B$9,2,1)</f>
        <v>2</v>
      </c>
      <c r="K12" s="64">
        <f t="shared" si="9"/>
        <v>519.4</v>
      </c>
      <c r="L12" s="80">
        <f t="shared" si="0"/>
        <v>519</v>
      </c>
      <c r="M12" s="51">
        <f>VLOOKUP($A12,'Выгр Кат'!$A:$R,M$1,0)</f>
        <v>250</v>
      </c>
      <c r="N12" s="51">
        <f>VLOOKUP($A12,'Выгр Кат'!$A:$R,N$1,0)</f>
        <v>519</v>
      </c>
      <c r="O12" s="25">
        <f t="shared" si="2"/>
        <v>0</v>
      </c>
      <c r="P12" s="25">
        <f t="shared" si="3"/>
        <v>0</v>
      </c>
      <c r="Q12" s="1">
        <f t="shared" si="4"/>
        <v>482.66999999999996</v>
      </c>
      <c r="R12" s="5">
        <f>IFERROR((VLOOKUP($A12,'Из ГУГЛа'!$B:$G,6,0)+T12)*S12,VLOOKUP($A12,'Из ГУГЛа'!$B:$G,6,0))</f>
        <v>490</v>
      </c>
      <c r="S12" s="4">
        <v>1</v>
      </c>
      <c r="T12" s="4">
        <v>0</v>
      </c>
      <c r="U12" s="58">
        <f t="shared" si="5"/>
        <v>0.93067999999999973</v>
      </c>
      <c r="V12" s="58">
        <f t="shared" si="6"/>
        <v>1.4959183673469472E-2</v>
      </c>
      <c r="W12" s="58">
        <f t="shared" si="7"/>
        <v>0.96</v>
      </c>
      <c r="X12" s="156">
        <v>490</v>
      </c>
      <c r="Y12" s="44" t="s">
        <v>809</v>
      </c>
    </row>
    <row r="13" spans="1:25" ht="31.5" thickTop="1" thickBot="1" x14ac:dyDescent="0.3">
      <c r="A13" s="51">
        <v>224678</v>
      </c>
      <c r="B13" s="51">
        <f>VLOOKUP($A13,'Выгр Кат'!$A:$R,B$1,0)</f>
        <v>24515</v>
      </c>
      <c r="C13" s="56" t="str">
        <f>VLOOKUP($A13,'Выгр Кат'!$A:$R,C$1,0)</f>
        <v>Цифровой индикатор бортовой сети "ИН" Малый (1 см) в прикуриватель</v>
      </c>
      <c r="D13" s="51" t="str">
        <f>VLOOKUP($A13,'Выгр Кат'!$A:$R,D$1,0)</f>
        <v>Y</v>
      </c>
      <c r="E13" s="51" t="str">
        <f>VLOOKUP($A13,'Выгр Кат'!$A:$R,E$1,0)</f>
        <v>1</v>
      </c>
      <c r="F13" s="51">
        <f>VLOOKUP($A13,'Выгр Кат'!$A:$R,F$1,0)</f>
        <v>0</v>
      </c>
      <c r="G13" s="51" t="s">
        <v>501</v>
      </c>
      <c r="H13" s="77" t="s">
        <v>527</v>
      </c>
      <c r="I13" s="26">
        <f>VLOOKUP(G13,ПРАЙС!B:C,2,0)</f>
        <v>250</v>
      </c>
      <c r="J13" s="78">
        <f>VLOOKUP(I13,Наценка!$A$2:$B$9,2,1)</f>
        <v>2</v>
      </c>
      <c r="K13" s="64">
        <f t="shared" si="9"/>
        <v>519.4</v>
      </c>
      <c r="L13" s="80">
        <f t="shared" si="0"/>
        <v>519</v>
      </c>
      <c r="M13" s="51">
        <f>VLOOKUP($A13,'Выгр Кат'!$A:$R,M$1,0)</f>
        <v>250</v>
      </c>
      <c r="N13" s="51">
        <f>VLOOKUP($A13,'Выгр Кат'!$A:$R,N$1,0)</f>
        <v>519</v>
      </c>
      <c r="O13" s="25">
        <f t="shared" si="2"/>
        <v>0</v>
      </c>
      <c r="P13" s="25">
        <f t="shared" si="3"/>
        <v>0</v>
      </c>
      <c r="Q13" s="1">
        <f t="shared" si="4"/>
        <v>482.66999999999996</v>
      </c>
      <c r="R13" s="5">
        <f>IFERROR((VLOOKUP($A13,'Из ГУГЛа'!$B:$G,6,0)+T13)*S13,VLOOKUP($A13,'Из ГУГЛа'!$B:$G,6,0))</f>
        <v>490</v>
      </c>
      <c r="S13" s="4">
        <v>1</v>
      </c>
      <c r="T13" s="4">
        <v>0</v>
      </c>
      <c r="U13" s="58">
        <f t="shared" si="5"/>
        <v>0.93067999999999973</v>
      </c>
      <c r="V13" s="58">
        <f t="shared" si="6"/>
        <v>1.4959183673469472E-2</v>
      </c>
      <c r="W13" s="58">
        <f t="shared" si="7"/>
        <v>0.96</v>
      </c>
      <c r="X13" s="156">
        <v>490</v>
      </c>
      <c r="Y13" s="44" t="s">
        <v>839</v>
      </c>
    </row>
    <row r="14" spans="1:25" ht="31.5" thickTop="1" thickBot="1" x14ac:dyDescent="0.3">
      <c r="A14" s="51">
        <v>219137</v>
      </c>
      <c r="B14" s="51">
        <f>VLOOKUP($A14,'Выгр Кат'!$A:$R,B$1,0)</f>
        <v>24550</v>
      </c>
      <c r="C14" s="56" t="str">
        <f>VLOOKUP($A14,'Выгр Кат'!$A:$R,C$1,0)</f>
        <v>Термометр забортной температуры (на батарейках)</v>
      </c>
      <c r="D14" s="51" t="str">
        <f>VLOOKUP($A14,'Выгр Кат'!$A:$R,D$1,0)</f>
        <v>Y</v>
      </c>
      <c r="E14" s="51" t="str">
        <f>VLOOKUP($A14,'Выгр Кат'!$A:$R,E$1,0)</f>
        <v>1</v>
      </c>
      <c r="F14" s="51">
        <f>VLOOKUP($A14,'Выгр Кат'!$A:$R,F$1,0)</f>
        <v>0</v>
      </c>
      <c r="G14" s="51" t="s">
        <v>115</v>
      </c>
      <c r="H14" s="77" t="s">
        <v>527</v>
      </c>
      <c r="I14" s="26">
        <f>VLOOKUP(G14,ПРАЙС!B:C,2,0)</f>
        <v>220</v>
      </c>
      <c r="J14" s="78">
        <f>VLOOKUP(I14,Наценка!$A$2:$B$9,2,1)</f>
        <v>2</v>
      </c>
      <c r="K14" s="64">
        <f t="shared" si="9"/>
        <v>475.94</v>
      </c>
      <c r="L14" s="80">
        <f t="shared" si="0"/>
        <v>479</v>
      </c>
      <c r="M14" s="51">
        <f>VLOOKUP($A14,'Выгр Кат'!$A:$R,M$1,0)</f>
        <v>220</v>
      </c>
      <c r="N14" s="51">
        <f>VLOOKUP($A14,'Выгр Кат'!$A:$R,N$1,0)</f>
        <v>479</v>
      </c>
      <c r="O14" s="25">
        <f t="shared" si="2"/>
        <v>0</v>
      </c>
      <c r="P14" s="25">
        <f t="shared" si="3"/>
        <v>0</v>
      </c>
      <c r="Q14" s="1">
        <f t="shared" si="4"/>
        <v>445.46999999999997</v>
      </c>
      <c r="R14" s="5">
        <f>IFERROR((VLOOKUP($A14,'Из ГУГЛа'!$B:$G,6,0)+T14)*S14,VLOOKUP($A14,'Из ГУГЛа'!$B:$G,6,0))</f>
        <v>449</v>
      </c>
      <c r="S14" s="4">
        <v>1</v>
      </c>
      <c r="T14" s="4">
        <v>0</v>
      </c>
      <c r="U14" s="58">
        <f t="shared" si="5"/>
        <v>1.0248636363636363</v>
      </c>
      <c r="V14" s="58">
        <f t="shared" si="6"/>
        <v>7.861915367483362E-3</v>
      </c>
      <c r="W14" s="58">
        <f t="shared" si="7"/>
        <v>1.040909090909091</v>
      </c>
      <c r="X14" s="156">
        <v>449</v>
      </c>
      <c r="Y14" s="44" t="s">
        <v>837</v>
      </c>
    </row>
    <row r="15" spans="1:25" ht="16.5" thickTop="1" thickBot="1" x14ac:dyDescent="0.3">
      <c r="A15" s="51">
        <v>153073</v>
      </c>
      <c r="B15" s="51">
        <f>VLOOKUP($A15,'Выгр Кат'!$A:$R,B$1,0)</f>
        <v>7255</v>
      </c>
      <c r="C15" s="56" t="str">
        <f>VLOOKUP($A15,'Выгр Кат'!$A:$R,C$1,0)</f>
        <v>Имитатор датчика скорости</v>
      </c>
      <c r="D15" s="51" t="str">
        <f>VLOOKUP($A15,'Выгр Кат'!$A:$R,D$1,0)</f>
        <v>Y</v>
      </c>
      <c r="E15" s="51" t="str">
        <f>VLOOKUP($A15,'Выгр Кат'!$A:$R,E$1,0)</f>
        <v>1</v>
      </c>
      <c r="F15" s="51">
        <f>VLOOKUP($A15,'Выгр Кат'!$A:$R,F$1,0)</f>
        <v>0</v>
      </c>
      <c r="G15" s="51" t="s">
        <v>491</v>
      </c>
      <c r="H15" s="77" t="s">
        <v>527</v>
      </c>
      <c r="I15" s="26">
        <f>VLOOKUP(G15,ПРАЙС!B:C,2,0)</f>
        <v>300</v>
      </c>
      <c r="J15" s="78">
        <f>VLOOKUP(I15,Наценка!$A$2:$B$9,2,1)</f>
        <v>1.6</v>
      </c>
      <c r="K15" s="64">
        <f t="shared" si="9"/>
        <v>625.4</v>
      </c>
      <c r="L15" s="80">
        <f t="shared" si="0"/>
        <v>629</v>
      </c>
      <c r="M15" s="51">
        <f>VLOOKUP($A15,'Выгр Кат'!$A:$R,M$1,0)</f>
        <v>290</v>
      </c>
      <c r="N15" s="51">
        <f>VLOOKUP($A15,'Выгр Кат'!$A:$R,N$1,0)</f>
        <v>629</v>
      </c>
      <c r="O15" s="25">
        <f t="shared" si="2"/>
        <v>-10</v>
      </c>
      <c r="P15" s="25">
        <f t="shared" si="3"/>
        <v>0</v>
      </c>
      <c r="Q15" s="1">
        <f t="shared" si="4"/>
        <v>584.96999999999991</v>
      </c>
      <c r="R15" s="5">
        <f>IFERROR((VLOOKUP($A15,'Из ГУГЛа'!$B:$G,6,0)+T15)*S15,VLOOKUP($A15,'Из ГУГЛа'!$B:$G,6,0))</f>
        <v>590</v>
      </c>
      <c r="S15" s="4">
        <v>1</v>
      </c>
      <c r="T15" s="4">
        <v>0</v>
      </c>
      <c r="U15" s="58">
        <f t="shared" si="5"/>
        <v>0.94989999999999974</v>
      </c>
      <c r="V15" s="58">
        <f t="shared" si="6"/>
        <v>8.5254237288137063E-3</v>
      </c>
      <c r="W15" s="58">
        <f t="shared" si="7"/>
        <v>0.96666666666666656</v>
      </c>
      <c r="X15" s="156">
        <v>590</v>
      </c>
      <c r="Y15" s="44" t="s">
        <v>838</v>
      </c>
    </row>
    <row r="16" spans="1:25" ht="31.5" thickTop="1" thickBot="1" x14ac:dyDescent="0.3">
      <c r="A16" s="51">
        <v>224677</v>
      </c>
      <c r="B16" s="51">
        <f>VLOOKUP($A16,'Выгр Кат'!$A:$R,B$1,0)</f>
        <v>24514</v>
      </c>
      <c r="C16" s="56" t="str">
        <f>VLOOKUP($A16,'Выгр Кат'!$A:$R,C$1,0)</f>
        <v>Цифровой индикатор бортовой сети "ИН" Большой (1,5 см) в прикуриватель</v>
      </c>
      <c r="D16" s="51" t="str">
        <f>VLOOKUP($A16,'Выгр Кат'!$A:$R,D$1,0)</f>
        <v>Y</v>
      </c>
      <c r="E16" s="51" t="str">
        <f>VLOOKUP($A16,'Выгр Кат'!$A:$R,E$1,0)</f>
        <v>1</v>
      </c>
      <c r="F16" s="51">
        <f>VLOOKUP($A16,'Выгр Кат'!$A:$R,F$1,0)</f>
        <v>0</v>
      </c>
      <c r="G16" s="51" t="s">
        <v>500</v>
      </c>
      <c r="H16" s="77" t="s">
        <v>527</v>
      </c>
      <c r="I16" s="26">
        <f>VLOOKUP(G16,ПРАЙС!B:C,2,0)</f>
        <v>300</v>
      </c>
      <c r="J16" s="78">
        <f>VLOOKUP(I16,Наценка!$A$2:$B$9,2,1)</f>
        <v>1.6</v>
      </c>
      <c r="K16" s="64">
        <f t="shared" si="9"/>
        <v>625.4</v>
      </c>
      <c r="L16" s="80">
        <f t="shared" si="0"/>
        <v>629</v>
      </c>
      <c r="M16" s="51">
        <f>VLOOKUP($A16,'Выгр Кат'!$A:$R,M$1,0)</f>
        <v>300</v>
      </c>
      <c r="N16" s="51">
        <f>VLOOKUP($A16,'Выгр Кат'!$A:$R,N$1,0)</f>
        <v>629</v>
      </c>
      <c r="O16" s="25">
        <f t="shared" si="2"/>
        <v>0</v>
      </c>
      <c r="P16" s="25">
        <f t="shared" si="3"/>
        <v>0</v>
      </c>
      <c r="Q16" s="1">
        <f t="shared" si="4"/>
        <v>584.96999999999991</v>
      </c>
      <c r="R16" s="5">
        <f>IFERROR((VLOOKUP($A16,'Из ГУГЛа'!$B:$G,6,0)+T16)*S16,VLOOKUP($A16,'Из ГУГЛа'!$B:$G,6,0))</f>
        <v>590</v>
      </c>
      <c r="S16" s="4">
        <v>1</v>
      </c>
      <c r="T16" s="4">
        <v>0</v>
      </c>
      <c r="U16" s="58">
        <f t="shared" si="5"/>
        <v>0.94989999999999974</v>
      </c>
      <c r="V16" s="58">
        <f t="shared" si="6"/>
        <v>8.5254237288137063E-3</v>
      </c>
      <c r="W16" s="58">
        <f t="shared" si="7"/>
        <v>0.96666666666666656</v>
      </c>
      <c r="X16" s="156">
        <v>590</v>
      </c>
      <c r="Y16" s="44" t="s">
        <v>978</v>
      </c>
    </row>
    <row r="17" spans="1:25" ht="60.75" thickTop="1" x14ac:dyDescent="0.25">
      <c r="A17" s="51">
        <v>117034</v>
      </c>
      <c r="B17" s="51">
        <f>VLOOKUP($A17,'Выгр Кат'!$A:$R,B$1,0)</f>
        <v>7202</v>
      </c>
      <c r="C17" s="56" t="str">
        <f>VLOOKUP($A17,'Выгр Кат'!$A:$R,C$1,0)</f>
        <v>Реле дворников "Русский партнер" с регулируемой паузой для ВАЗ (2108-21099, 2110-2112, 2113-2115), Лада (Калина, Калина 2, Приора, Гранта)</v>
      </c>
      <c r="D17" s="51" t="str">
        <f>VLOOKUP($A17,'Выгр Кат'!$A:$R,D$1,0)</f>
        <v>Y</v>
      </c>
      <c r="E17" s="51" t="str">
        <f>VLOOKUP($A17,'Выгр Кат'!$A:$R,E$1,0)</f>
        <v>0</v>
      </c>
      <c r="F17" s="51" t="str">
        <f>VLOOKUP($A17,'Выгр Кат'!$A:$R,F$1,0)</f>
        <v>54.3777</v>
      </c>
      <c r="G17" s="51" t="s">
        <v>104</v>
      </c>
      <c r="H17" s="77" t="s">
        <v>527</v>
      </c>
      <c r="I17" s="26">
        <f>VLOOKUP(G17,ПРАЙС!B:C,2,0)</f>
        <v>400</v>
      </c>
      <c r="J17" s="78">
        <f>VLOOKUP(I17,Наценка!$A$2:$B$9,2,1)</f>
        <v>1.6</v>
      </c>
      <c r="K17" s="79">
        <f t="shared" si="1"/>
        <v>640</v>
      </c>
      <c r="L17" s="80">
        <f t="shared" si="0"/>
        <v>639</v>
      </c>
      <c r="M17" s="51">
        <f>VLOOKUP($A17,'Выгр Кат'!$A:$R,M$1,0)</f>
        <v>400</v>
      </c>
      <c r="N17" s="51">
        <f>VLOOKUP($A17,'Выгр Кат'!$A:$R,N$1,0)</f>
        <v>639</v>
      </c>
      <c r="O17" s="25">
        <f t="shared" si="2"/>
        <v>0</v>
      </c>
      <c r="P17" s="25">
        <f t="shared" si="3"/>
        <v>0</v>
      </c>
      <c r="Q17" s="1">
        <f t="shared" si="4"/>
        <v>594.27</v>
      </c>
      <c r="R17" s="5" t="str">
        <f>IFERROR((VLOOKUP($A17,'Из ГУГЛа'!$B:$G,6,0)+T17)*S17,VLOOKUP($A17,'Из ГУГЛа'!$B:$G,6,0))</f>
        <v/>
      </c>
      <c r="S17" s="4">
        <v>1</v>
      </c>
      <c r="T17" s="4">
        <v>0</v>
      </c>
      <c r="U17" s="58">
        <f t="shared" si="5"/>
        <v>0.48567499999999986</v>
      </c>
      <c r="V17" s="58" t="str">
        <f t="shared" si="6"/>
        <v/>
      </c>
      <c r="W17" s="58" t="str">
        <f t="shared" si="7"/>
        <v/>
      </c>
      <c r="X17" s="154"/>
    </row>
    <row r="18" spans="1:25" ht="60.75" thickBot="1" x14ac:dyDescent="0.3">
      <c r="A18" s="51">
        <v>203950</v>
      </c>
      <c r="B18" s="51">
        <f>VLOOKUP($A18,'Выгр Кат'!$A:$R,B$1,0)</f>
        <v>7234</v>
      </c>
      <c r="C18" s="56" t="str">
        <f>VLOOKUP($A18,'Выгр Кат'!$A:$R,C$1,0)</f>
        <v>Реле дворников "Русский партнер" с регулируемой паузой для ВАЗ (2108-21099 (со старым блоком), 2110-2112), Шевроле Нива</v>
      </c>
      <c r="D18" s="51" t="str">
        <f>VLOOKUP($A18,'Выгр Кат'!$A:$R,D$1,0)</f>
        <v>Y</v>
      </c>
      <c r="E18" s="51" t="str">
        <f>VLOOKUP($A18,'Выгр Кат'!$A:$R,E$1,0)</f>
        <v>0</v>
      </c>
      <c r="F18" s="51" t="str">
        <f>VLOOKUP($A18,'Выгр Кат'!$A:$R,F$1,0)</f>
        <v>39.3777-03</v>
      </c>
      <c r="G18" s="51" t="s">
        <v>104</v>
      </c>
      <c r="H18" s="77" t="s">
        <v>527</v>
      </c>
      <c r="I18" s="26">
        <f>VLOOKUP(G18,ПРАЙС!B:C,2,0)</f>
        <v>400</v>
      </c>
      <c r="J18" s="78">
        <f>VLOOKUP(I18,Наценка!$A$2:$B$9,2,1)</f>
        <v>1.6</v>
      </c>
      <c r="K18" s="79">
        <f t="shared" si="1"/>
        <v>640</v>
      </c>
      <c r="L18" s="80">
        <f t="shared" si="0"/>
        <v>639</v>
      </c>
      <c r="M18" s="51">
        <f>VLOOKUP($A18,'Выгр Кат'!$A:$R,M$1,0)</f>
        <v>400</v>
      </c>
      <c r="N18" s="51">
        <f>VLOOKUP($A18,'Выгр Кат'!$A:$R,N$1,0)</f>
        <v>639</v>
      </c>
      <c r="O18" s="25">
        <f t="shared" si="2"/>
        <v>0</v>
      </c>
      <c r="P18" s="25">
        <f t="shared" si="3"/>
        <v>0</v>
      </c>
      <c r="Q18" s="1">
        <f t="shared" si="4"/>
        <v>594.27</v>
      </c>
      <c r="R18" s="5" t="str">
        <f>IFERROR((VLOOKUP($A18,'Из ГУГЛа'!$B:$G,6,0)+T18)*S18,VLOOKUP($A18,'Из ГУГЛа'!$B:$G,6,0))</f>
        <v/>
      </c>
      <c r="S18" s="4">
        <v>1</v>
      </c>
      <c r="T18" s="4">
        <v>0</v>
      </c>
      <c r="U18" s="58">
        <f t="shared" si="5"/>
        <v>0.48567499999999986</v>
      </c>
      <c r="V18" s="58" t="str">
        <f t="shared" si="6"/>
        <v/>
      </c>
      <c r="W18" s="58" t="str">
        <f t="shared" si="7"/>
        <v/>
      </c>
      <c r="X18" s="156" t="s">
        <v>929</v>
      </c>
    </row>
    <row r="19" spans="1:25" ht="46.5" thickTop="1" thickBot="1" x14ac:dyDescent="0.3">
      <c r="A19" s="51">
        <v>203952</v>
      </c>
      <c r="B19" s="51">
        <f>VLOOKUP($A19,'Выгр Кат'!$A:$R,B$1,0)</f>
        <v>16839</v>
      </c>
      <c r="C19" s="56" t="str">
        <f>VLOOKUP($A19,'Выгр Кат'!$A:$R,C$1,0)</f>
        <v>Реле дворников "ЭНЕРГОМАШ" с регулируемой паузой для ВАЗ 2108-21099, 2113-2115, Лада (Приора, Калина, Гранта)</v>
      </c>
      <c r="D19" s="51" t="str">
        <f>VLOOKUP($A19,'Выгр Кат'!$A:$R,D$1,0)</f>
        <v>Y</v>
      </c>
      <c r="E19" s="51" t="str">
        <f>VLOOKUP($A19,'Выгр Кат'!$A:$R,E$1,0)</f>
        <v>1</v>
      </c>
      <c r="F19" s="51" t="str">
        <f>VLOOKUP($A19,'Выгр Кат'!$A:$R,F$1,0)</f>
        <v>723.3777-01</v>
      </c>
      <c r="G19" s="51" t="s">
        <v>103</v>
      </c>
      <c r="H19" s="77" t="s">
        <v>527</v>
      </c>
      <c r="I19" s="26">
        <f>VLOOKUP(G19,ПРАЙС!B:C,2,0)</f>
        <v>400</v>
      </c>
      <c r="J19" s="78">
        <f>VLOOKUP(I19,Наценка!$A$2:$B$9,2,1)</f>
        <v>1.6</v>
      </c>
      <c r="K19" s="64">
        <f t="shared" ref="K19:K20" si="11">X19*1.06</f>
        <v>666.74</v>
      </c>
      <c r="L19" s="80">
        <f t="shared" si="0"/>
        <v>669</v>
      </c>
      <c r="M19" s="51">
        <f>VLOOKUP($A19,'Выгр Кат'!$A:$R,M$1,0)</f>
        <v>400</v>
      </c>
      <c r="N19" s="51">
        <f>VLOOKUP($A19,'Выгр Кат'!$A:$R,N$1,0)</f>
        <v>669</v>
      </c>
      <c r="O19" s="25">
        <f t="shared" si="2"/>
        <v>0</v>
      </c>
      <c r="P19" s="25">
        <f t="shared" si="3"/>
        <v>0</v>
      </c>
      <c r="Q19" s="1">
        <f t="shared" si="4"/>
        <v>622.16999999999996</v>
      </c>
      <c r="R19" s="5">
        <f>IFERROR((VLOOKUP($A19,'Из ГУГЛа'!$B:$G,6,0)+T19)*S19,VLOOKUP($A19,'Из ГУГЛа'!$B:$G,6,0))</f>
        <v>629</v>
      </c>
      <c r="S19" s="4">
        <v>1</v>
      </c>
      <c r="T19" s="4">
        <v>0</v>
      </c>
      <c r="U19" s="58">
        <f t="shared" si="5"/>
        <v>0.55542499999999984</v>
      </c>
      <c r="V19" s="58">
        <f t="shared" si="6"/>
        <v>1.0858505564387982E-2</v>
      </c>
      <c r="W19" s="58">
        <f t="shared" si="7"/>
        <v>0.57250000000000001</v>
      </c>
      <c r="X19" s="156">
        <v>629</v>
      </c>
      <c r="Y19" s="44" t="s">
        <v>773</v>
      </c>
    </row>
    <row r="20" spans="1:25" ht="31.5" thickTop="1" thickBot="1" x14ac:dyDescent="0.3">
      <c r="A20" s="51">
        <v>132865</v>
      </c>
      <c r="B20" s="51">
        <f>VLOOKUP($A20,'Выгр Кат'!$A:$R,B$1,0)</f>
        <v>24481</v>
      </c>
      <c r="C20" s="56" t="str">
        <f>VLOOKUP($A20,'Выгр Кат'!$A:$R,C$1,0)</f>
        <v>Антенный усилитель "ОРИОН" Вымпел A-10</v>
      </c>
      <c r="D20" s="51" t="str">
        <f>VLOOKUP($A20,'Выгр Кат'!$A:$R,D$1,0)</f>
        <v>Y</v>
      </c>
      <c r="E20" s="51" t="str">
        <f>VLOOKUP($A20,'Выгр Кат'!$A:$R,E$1,0)</f>
        <v>1</v>
      </c>
      <c r="F20" s="51">
        <f>VLOOKUP($A20,'Выгр Кат'!$A:$R,F$1,0)</f>
        <v>0</v>
      </c>
      <c r="G20" s="51" t="s">
        <v>10</v>
      </c>
      <c r="H20" s="77" t="s">
        <v>527</v>
      </c>
      <c r="I20" s="26">
        <f>VLOOKUP(G20,ПРАЙС!B:C,2,0)</f>
        <v>350</v>
      </c>
      <c r="J20" s="78">
        <f>VLOOKUP(I20,Наценка!$A$2:$B$9,2,1)</f>
        <v>1.6</v>
      </c>
      <c r="K20" s="64">
        <f t="shared" si="11"/>
        <v>625.4</v>
      </c>
      <c r="L20" s="80">
        <f t="shared" si="0"/>
        <v>629</v>
      </c>
      <c r="M20" s="51">
        <f>VLOOKUP($A20,'Выгр Кат'!$A:$R,M$1,0)</f>
        <v>350</v>
      </c>
      <c r="N20" s="51">
        <f>VLOOKUP($A20,'Выгр Кат'!$A:$R,N$1,0)</f>
        <v>629</v>
      </c>
      <c r="O20" s="25">
        <f t="shared" si="2"/>
        <v>0</v>
      </c>
      <c r="P20" s="25">
        <f t="shared" si="3"/>
        <v>0</v>
      </c>
      <c r="Q20" s="1">
        <f t="shared" si="4"/>
        <v>584.96999999999991</v>
      </c>
      <c r="R20" s="5">
        <f>IFERROR((VLOOKUP($A20,'Из ГУГЛа'!$B:$G,6,0)+T20)*S20,VLOOKUP($A20,'Из ГУГЛа'!$B:$G,6,0))</f>
        <v>590</v>
      </c>
      <c r="S20" s="4">
        <v>1</v>
      </c>
      <c r="T20" s="4">
        <v>0</v>
      </c>
      <c r="U20" s="58">
        <f t="shared" si="5"/>
        <v>0.6713428571428568</v>
      </c>
      <c r="V20" s="58">
        <f t="shared" si="6"/>
        <v>8.5254237288137063E-3</v>
      </c>
      <c r="W20" s="58">
        <f t="shared" si="7"/>
        <v>0.68571428571428572</v>
      </c>
      <c r="X20" s="156">
        <v>590</v>
      </c>
      <c r="Y20" s="44" t="s">
        <v>979</v>
      </c>
    </row>
    <row r="21" spans="1:25" ht="31.5" thickTop="1" thickBot="1" x14ac:dyDescent="0.3">
      <c r="A21" s="51">
        <v>203945</v>
      </c>
      <c r="B21" s="51">
        <f>VLOOKUP($A21,'Выгр Кат'!$A:$R,B$1,0)</f>
        <v>7203</v>
      </c>
      <c r="C21" s="56" t="str">
        <f>VLOOKUP($A21,'Выгр Кат'!$A:$R,C$1,0)</f>
        <v>Реле автосвета "Незабудка 2" на автомобили Lada</v>
      </c>
      <c r="D21" s="51" t="str">
        <f>VLOOKUP($A21,'Выгр Кат'!$A:$R,D$1,0)</f>
        <v>Y</v>
      </c>
      <c r="E21" s="51" t="str">
        <f>VLOOKUP($A21,'Выгр Кат'!$A:$R,E$1,0)</f>
        <v>1</v>
      </c>
      <c r="F21" s="51">
        <f>VLOOKUP($A21,'Выгр Кат'!$A:$R,F$1,0)</f>
        <v>0</v>
      </c>
      <c r="G21" s="51" t="s">
        <v>478</v>
      </c>
      <c r="H21" s="77" t="s">
        <v>527</v>
      </c>
      <c r="I21" s="26">
        <f>VLOOKUP(G21,ПРАЙС!B:C,2,0)</f>
        <v>320</v>
      </c>
      <c r="J21" s="78">
        <f>VLOOKUP(I21,Наценка!$A$2:$B$9,2,1)</f>
        <v>1.6</v>
      </c>
      <c r="K21" s="79">
        <f t="shared" si="1"/>
        <v>512</v>
      </c>
      <c r="L21" s="80">
        <f t="shared" si="0"/>
        <v>519</v>
      </c>
      <c r="M21" s="51">
        <f>VLOOKUP($A21,'Выгр Кат'!$A:$R,M$1,0)</f>
        <v>320</v>
      </c>
      <c r="N21" s="51">
        <f>VLOOKUP($A21,'Выгр Кат'!$A:$R,N$1,0)</f>
        <v>519</v>
      </c>
      <c r="O21" s="25">
        <f t="shared" si="2"/>
        <v>0</v>
      </c>
      <c r="P21" s="25">
        <f t="shared" si="3"/>
        <v>0</v>
      </c>
      <c r="Q21" s="1">
        <f t="shared" si="4"/>
        <v>482.66999999999996</v>
      </c>
      <c r="R21" s="5" t="str">
        <f>IFERROR((VLOOKUP($A21,'Из ГУГЛа'!$B:$G,6,0)+T21)*S21,VLOOKUP($A21,'Из ГУГЛа'!$B:$G,6,0))</f>
        <v/>
      </c>
      <c r="S21" s="4">
        <v>1</v>
      </c>
      <c r="T21" s="4">
        <v>0</v>
      </c>
      <c r="U21" s="58">
        <f t="shared" si="5"/>
        <v>0.50834374999999987</v>
      </c>
      <c r="V21" s="58" t="str">
        <f t="shared" si="6"/>
        <v/>
      </c>
      <c r="W21" s="58" t="str">
        <f t="shared" si="7"/>
        <v/>
      </c>
      <c r="X21" s="156" t="s">
        <v>929</v>
      </c>
    </row>
    <row r="22" spans="1:25" ht="46.5" thickTop="1" thickBot="1" x14ac:dyDescent="0.3">
      <c r="A22" s="51">
        <v>223730</v>
      </c>
      <c r="B22" s="51">
        <f>VLOOKUP($A22,'Выгр Кат'!$A:$R,B$1,0)</f>
        <v>33328</v>
      </c>
      <c r="C22" s="56" t="str">
        <f>VLOOKUP($A22,'Выгр Кат'!$A:$R,C$1,0)</f>
        <v>Устройство "Незабудка 2М" для автоматического включения/выключения ближнего света фар (универсальное)</v>
      </c>
      <c r="D22" s="51" t="str">
        <f>VLOOKUP($A22,'Выгр Кат'!$A:$R,D$1,0)</f>
        <v>Y</v>
      </c>
      <c r="E22" s="51" t="str">
        <f>VLOOKUP($A22,'Выгр Кат'!$A:$R,E$1,0)</f>
        <v>1</v>
      </c>
      <c r="F22" s="51">
        <f>VLOOKUP($A22,'Выгр Кат'!$A:$R,F$1,0)</f>
        <v>0</v>
      </c>
      <c r="G22" s="51" t="s">
        <v>478</v>
      </c>
      <c r="H22" s="77" t="s">
        <v>527</v>
      </c>
      <c r="I22" s="26">
        <f>VLOOKUP(G22,ПРАЙС!B:C,2,0)</f>
        <v>320</v>
      </c>
      <c r="J22" s="78">
        <f>VLOOKUP(I22,Наценка!$A$2:$B$9,2,1)</f>
        <v>1.6</v>
      </c>
      <c r="K22" s="64">
        <f>X22*1.06</f>
        <v>625.4</v>
      </c>
      <c r="L22" s="80">
        <f t="shared" si="0"/>
        <v>629</v>
      </c>
      <c r="M22" s="51">
        <f>VLOOKUP($A22,'Выгр Кат'!$A:$R,M$1,0)</f>
        <v>320</v>
      </c>
      <c r="N22" s="51">
        <f>VLOOKUP($A22,'Выгр Кат'!$A:$R,N$1,0)</f>
        <v>629</v>
      </c>
      <c r="O22" s="25">
        <f t="shared" si="2"/>
        <v>0</v>
      </c>
      <c r="P22" s="25">
        <f t="shared" si="3"/>
        <v>0</v>
      </c>
      <c r="Q22" s="1">
        <f t="shared" si="4"/>
        <v>584.96999999999991</v>
      </c>
      <c r="R22" s="5">
        <f>IFERROR((VLOOKUP($A22,'Из ГУГЛа'!$B:$G,6,0)+T22)*S22,VLOOKUP($A22,'Из ГУГЛа'!$B:$G,6,0))</f>
        <v>590</v>
      </c>
      <c r="S22" s="4">
        <v>1</v>
      </c>
      <c r="T22" s="4">
        <v>0</v>
      </c>
      <c r="U22" s="58">
        <f t="shared" si="5"/>
        <v>0.82803124999999977</v>
      </c>
      <c r="V22" s="58">
        <f t="shared" si="6"/>
        <v>8.5254237288137063E-3</v>
      </c>
      <c r="W22" s="58">
        <f t="shared" si="7"/>
        <v>0.84375</v>
      </c>
      <c r="X22" s="156">
        <v>590</v>
      </c>
      <c r="Y22" s="44" t="s">
        <v>977</v>
      </c>
    </row>
    <row r="23" spans="1:25" ht="31.5" thickTop="1" thickBot="1" x14ac:dyDescent="0.3">
      <c r="A23" s="51">
        <v>224675</v>
      </c>
      <c r="B23" s="51">
        <f>VLOOKUP($A23,'Выгр Кат'!$A:$R,B$1,0)</f>
        <v>7196</v>
      </c>
      <c r="C23" s="56" t="str">
        <f>VLOOKUP($A23,'Выгр Кат'!$A:$R,C$1,0)</f>
        <v>Цифровой вольтметр в гнездо прикуривателя</v>
      </c>
      <c r="D23" s="51" t="str">
        <f>VLOOKUP($A23,'Выгр Кат'!$A:$R,D$1,0)</f>
        <v>Y</v>
      </c>
      <c r="E23" s="51" t="str">
        <f>VLOOKUP($A23,'Выгр Кат'!$A:$R,E$1,0)</f>
        <v>1</v>
      </c>
      <c r="F23" s="51">
        <f>VLOOKUP($A23,'Выгр Кат'!$A:$R,F$1,0)</f>
        <v>0</v>
      </c>
      <c r="G23" s="51" t="s">
        <v>542</v>
      </c>
      <c r="H23" s="77" t="s">
        <v>527</v>
      </c>
      <c r="I23" s="26">
        <f>VLOOKUP(G23,ПРАЙС!B:C,2,0)</f>
        <v>350</v>
      </c>
      <c r="J23" s="78">
        <f>VLOOKUP(I23,Наценка!$A$2:$B$9,2,1)</f>
        <v>1.6</v>
      </c>
      <c r="K23" s="79">
        <f t="shared" si="1"/>
        <v>560</v>
      </c>
      <c r="L23" s="80">
        <f t="shared" si="0"/>
        <v>559</v>
      </c>
      <c r="M23" s="51">
        <f>VLOOKUP($A23,'Выгр Кат'!$A:$R,M$1,0)</f>
        <v>330</v>
      </c>
      <c r="N23" s="51">
        <f>VLOOKUP($A23,'Выгр Кат'!$A:$R,N$1,0)</f>
        <v>529</v>
      </c>
      <c r="O23" s="25">
        <f t="shared" si="2"/>
        <v>-20</v>
      </c>
      <c r="P23" s="25">
        <f t="shared" si="3"/>
        <v>-30</v>
      </c>
      <c r="Q23" s="1">
        <f t="shared" si="4"/>
        <v>519.87</v>
      </c>
      <c r="R23" s="5" t="str">
        <f>IFERROR((VLOOKUP($A23,'Из ГУГЛа'!$B:$G,6,0)+T23)*S23,VLOOKUP($A23,'Из ГУГЛа'!$B:$G,6,0))</f>
        <v/>
      </c>
      <c r="S23" s="4">
        <v>1</v>
      </c>
      <c r="T23" s="4">
        <v>0</v>
      </c>
      <c r="U23" s="58">
        <f t="shared" si="5"/>
        <v>0.48534285714285708</v>
      </c>
      <c r="V23" s="58" t="str">
        <f t="shared" si="6"/>
        <v/>
      </c>
      <c r="W23" s="58" t="str">
        <f t="shared" si="7"/>
        <v/>
      </c>
      <c r="X23" s="156" t="s">
        <v>929</v>
      </c>
    </row>
    <row r="24" spans="1:25" ht="31.5" thickTop="1" thickBot="1" x14ac:dyDescent="0.3">
      <c r="A24" s="51">
        <v>224053</v>
      </c>
      <c r="B24" s="51">
        <f>VLOOKUP($A24,'Выгр Кат'!$A:$R,B$1,0)</f>
        <v>24553</v>
      </c>
      <c r="C24" s="56" t="str">
        <f>VLOOKUP($A24,'Выгр Кат'!$A:$R,C$1,0)</f>
        <v>Фильтр питания для автомагнитолы "ОРИОН" Вымпел 301</v>
      </c>
      <c r="D24" s="51" t="str">
        <f>VLOOKUP($A24,'Выгр Кат'!$A:$R,D$1,0)</f>
        <v>Y</v>
      </c>
      <c r="E24" s="51" t="str">
        <f>VLOOKUP($A24,'Выгр Кат'!$A:$R,E$1,0)</f>
        <v>1</v>
      </c>
      <c r="F24" s="51">
        <f>VLOOKUP($A24,'Выгр Кат'!$A:$R,F$1,0)</f>
        <v>0</v>
      </c>
      <c r="G24" s="51" t="s">
        <v>179</v>
      </c>
      <c r="H24" s="77" t="s">
        <v>527</v>
      </c>
      <c r="I24" s="26">
        <f>VLOOKUP(G24,ПРАЙС!B:C,2,0)</f>
        <v>370</v>
      </c>
      <c r="J24" s="78">
        <f>VLOOKUP(I24,Наценка!$A$2:$B$9,2,1)</f>
        <v>1.6</v>
      </c>
      <c r="K24" s="64">
        <f t="shared" ref="K24:K40" si="12">X24*1.06</f>
        <v>625.4</v>
      </c>
      <c r="L24" s="80">
        <f t="shared" si="0"/>
        <v>629</v>
      </c>
      <c r="M24" s="51">
        <f>VLOOKUP($A24,'Выгр Кат'!$A:$R,M$1,0)</f>
        <v>370</v>
      </c>
      <c r="N24" s="51">
        <f>VLOOKUP($A24,'Выгр Кат'!$A:$R,N$1,0)</f>
        <v>629</v>
      </c>
      <c r="O24" s="25">
        <f t="shared" si="2"/>
        <v>0</v>
      </c>
      <c r="P24" s="25">
        <f t="shared" si="3"/>
        <v>0</v>
      </c>
      <c r="Q24" s="1">
        <f t="shared" si="4"/>
        <v>584.96999999999991</v>
      </c>
      <c r="R24" s="5">
        <f>IFERROR((VLOOKUP($A24,'Из ГУГЛа'!$B:$G,6,0)+T24)*S24,VLOOKUP($A24,'Из ГУГЛа'!$B:$G,6,0))</f>
        <v>590</v>
      </c>
      <c r="S24" s="4">
        <v>1</v>
      </c>
      <c r="T24" s="4">
        <v>0</v>
      </c>
      <c r="U24" s="58">
        <f t="shared" si="5"/>
        <v>0.58099999999999974</v>
      </c>
      <c r="V24" s="58">
        <f t="shared" si="6"/>
        <v>8.5254237288137063E-3</v>
      </c>
      <c r="W24" s="58">
        <f t="shared" si="7"/>
        <v>0.59459459459459452</v>
      </c>
      <c r="X24" s="156">
        <v>590</v>
      </c>
      <c r="Y24" s="44" t="s">
        <v>980</v>
      </c>
    </row>
    <row r="25" spans="1:25" ht="31.5" thickTop="1" thickBot="1" x14ac:dyDescent="0.3">
      <c r="A25" s="51">
        <v>203205</v>
      </c>
      <c r="B25" s="51">
        <f>VLOOKUP($A25,'Выгр Кат'!$A:$R,B$1,0)</f>
        <v>7211</v>
      </c>
      <c r="C25" s="56" t="str">
        <f>VLOOKUP($A25,'Выгр Кат'!$A:$R,C$1,0)</f>
        <v>Регулятор обогрева сидений с автоматом «РОС» на Lada</v>
      </c>
      <c r="D25" s="51" t="str">
        <f>VLOOKUP($A25,'Выгр Кат'!$A:$R,D$1,0)</f>
        <v>Y</v>
      </c>
      <c r="E25" s="51" t="str">
        <f>VLOOKUP($A25,'Выгр Кат'!$A:$R,E$1,0)</f>
        <v>1</v>
      </c>
      <c r="F25" s="51">
        <f>VLOOKUP($A25,'Выгр Кат'!$A:$R,F$1,0)</f>
        <v>0</v>
      </c>
      <c r="G25" s="51" t="s">
        <v>480</v>
      </c>
      <c r="H25" s="77" t="s">
        <v>527</v>
      </c>
      <c r="I25" s="26">
        <f>VLOOKUP(G25,ПРАЙС!B:C,2,0)</f>
        <v>340</v>
      </c>
      <c r="J25" s="78">
        <f>VLOOKUP(I25,Наценка!$A$2:$B$9,2,1)</f>
        <v>1.6</v>
      </c>
      <c r="K25" s="64">
        <f t="shared" si="12"/>
        <v>625.4</v>
      </c>
      <c r="L25" s="80">
        <f t="shared" si="0"/>
        <v>629</v>
      </c>
      <c r="M25" s="51">
        <f>VLOOKUP($A25,'Выгр Кат'!$A:$R,M$1,0)</f>
        <v>320</v>
      </c>
      <c r="N25" s="51">
        <f>VLOOKUP($A25,'Выгр Кат'!$A:$R,N$1,0)</f>
        <v>629</v>
      </c>
      <c r="O25" s="25">
        <f t="shared" si="2"/>
        <v>-20</v>
      </c>
      <c r="P25" s="25">
        <f t="shared" si="3"/>
        <v>0</v>
      </c>
      <c r="Q25" s="1">
        <f t="shared" si="4"/>
        <v>584.96999999999991</v>
      </c>
      <c r="R25" s="5">
        <f>IFERROR((VLOOKUP($A25,'Из ГУГЛа'!$B:$G,6,0)+T25)*S25,VLOOKUP($A25,'Из ГУГЛа'!$B:$G,6,0))</f>
        <v>590</v>
      </c>
      <c r="S25" s="4">
        <v>1</v>
      </c>
      <c r="T25" s="4">
        <v>0</v>
      </c>
      <c r="U25" s="58">
        <f t="shared" si="5"/>
        <v>0.7204999999999997</v>
      </c>
      <c r="V25" s="58">
        <f t="shared" si="6"/>
        <v>8.5254237288137063E-3</v>
      </c>
      <c r="W25" s="58">
        <f t="shared" si="7"/>
        <v>0.73529411764705888</v>
      </c>
      <c r="X25" s="156">
        <v>590</v>
      </c>
      <c r="Y25" s="44" t="s">
        <v>981</v>
      </c>
    </row>
    <row r="26" spans="1:25" ht="31.5" thickTop="1" thickBot="1" x14ac:dyDescent="0.3">
      <c r="A26" s="51">
        <v>203958</v>
      </c>
      <c r="B26" s="51">
        <f>VLOOKUP($A26,'Выгр Кат'!$A:$R,B$1,0)</f>
        <v>24540</v>
      </c>
      <c r="C26" s="56" t="str">
        <f>VLOOKUP($A26,'Выгр Кат'!$A:$R,C$1,0)</f>
        <v>Реле мигания дополнительного стоп-сигнала</v>
      </c>
      <c r="D26" s="51" t="str">
        <f>VLOOKUP($A26,'Выгр Кат'!$A:$R,D$1,0)</f>
        <v>Y</v>
      </c>
      <c r="E26" s="51" t="str">
        <f>VLOOKUP($A26,'Выгр Кат'!$A:$R,E$1,0)</f>
        <v>1</v>
      </c>
      <c r="F26" s="51">
        <f>VLOOKUP($A26,'Выгр Кат'!$A:$R,F$1,0)</f>
        <v>0</v>
      </c>
      <c r="G26" s="51" t="s">
        <v>524</v>
      </c>
      <c r="H26" s="77" t="s">
        <v>527</v>
      </c>
      <c r="I26" s="26">
        <f>VLOOKUP(G26,ПРАЙС!B:C,2,0)</f>
        <v>350</v>
      </c>
      <c r="J26" s="78">
        <f>VLOOKUP(I26,Наценка!$A$2:$B$9,2,1)</f>
        <v>1.6</v>
      </c>
      <c r="K26" s="64">
        <f t="shared" si="12"/>
        <v>625.4</v>
      </c>
      <c r="L26" s="80">
        <f t="shared" si="0"/>
        <v>629</v>
      </c>
      <c r="M26" s="51">
        <f>VLOOKUP($A26,'Выгр Кат'!$A:$R,M$1,0)</f>
        <v>350</v>
      </c>
      <c r="N26" s="51">
        <f>VLOOKUP($A26,'Выгр Кат'!$A:$R,N$1,0)</f>
        <v>629</v>
      </c>
      <c r="O26" s="25">
        <f t="shared" si="2"/>
        <v>0</v>
      </c>
      <c r="P26" s="25">
        <f t="shared" si="3"/>
        <v>0</v>
      </c>
      <c r="Q26" s="1">
        <f t="shared" si="4"/>
        <v>584.96999999999991</v>
      </c>
      <c r="R26" s="5">
        <f>IFERROR((VLOOKUP($A26,'Из ГУГЛа'!$B:$G,6,0)+T26)*S26,VLOOKUP($A26,'Из ГУГЛа'!$B:$G,6,0))</f>
        <v>590</v>
      </c>
      <c r="S26" s="4">
        <v>1</v>
      </c>
      <c r="T26" s="4">
        <v>0</v>
      </c>
      <c r="U26" s="58">
        <f t="shared" si="5"/>
        <v>0.6713428571428568</v>
      </c>
      <c r="V26" s="58">
        <f t="shared" si="6"/>
        <v>8.5254237288137063E-3</v>
      </c>
      <c r="W26" s="58">
        <f t="shared" si="7"/>
        <v>0.68571428571428572</v>
      </c>
      <c r="X26" s="156">
        <v>590</v>
      </c>
      <c r="Y26" s="44" t="s">
        <v>982</v>
      </c>
    </row>
    <row r="27" spans="1:25" ht="31.5" thickTop="1" thickBot="1" x14ac:dyDescent="0.3">
      <c r="A27" s="51">
        <v>164036</v>
      </c>
      <c r="B27" s="51">
        <f>VLOOKUP($A27,'Выгр Кат'!$A:$R,B$1,0)</f>
        <v>24544</v>
      </c>
      <c r="C27" s="56" t="str">
        <f>VLOOKUP($A27,'Выгр Кат'!$A:$R,C$1,0)</f>
        <v>Модуль стробоскопа (строб-контроллер) одноканальный</v>
      </c>
      <c r="D27" s="51" t="str">
        <f>VLOOKUP($A27,'Выгр Кат'!$A:$R,D$1,0)</f>
        <v>Y</v>
      </c>
      <c r="E27" s="51" t="str">
        <f>VLOOKUP($A27,'Выгр Кат'!$A:$R,E$1,0)</f>
        <v>1</v>
      </c>
      <c r="F27" s="51">
        <f>VLOOKUP($A27,'Выгр Кат'!$A:$R,F$1,0)</f>
        <v>0</v>
      </c>
      <c r="G27" s="51" t="s">
        <v>507</v>
      </c>
      <c r="H27" s="77" t="s">
        <v>527</v>
      </c>
      <c r="I27" s="26">
        <f>VLOOKUP(G27,ПРАЙС!B:C,2,0)</f>
        <v>340</v>
      </c>
      <c r="J27" s="78">
        <f>VLOOKUP(I27,Наценка!$A$2:$B$9,2,1)</f>
        <v>1.6</v>
      </c>
      <c r="K27" s="64">
        <f t="shared" si="12"/>
        <v>625.4</v>
      </c>
      <c r="L27" s="80">
        <f t="shared" si="0"/>
        <v>629</v>
      </c>
      <c r="M27" s="51">
        <f>VLOOKUP($A27,'Выгр Кат'!$A:$R,M$1,0)</f>
        <v>340</v>
      </c>
      <c r="N27" s="51">
        <f>VLOOKUP($A27,'Выгр Кат'!$A:$R,N$1,0)</f>
        <v>629</v>
      </c>
      <c r="O27" s="25">
        <f t="shared" si="2"/>
        <v>0</v>
      </c>
      <c r="P27" s="25">
        <f t="shared" si="3"/>
        <v>0</v>
      </c>
      <c r="Q27" s="1">
        <f t="shared" si="4"/>
        <v>584.96999999999991</v>
      </c>
      <c r="R27" s="5">
        <f>IFERROR((VLOOKUP($A27,'Из ГУГЛа'!$B:$G,6,0)+T27)*S27,VLOOKUP($A27,'Из ГУГЛа'!$B:$G,6,0))</f>
        <v>590</v>
      </c>
      <c r="S27" s="4">
        <v>1</v>
      </c>
      <c r="T27" s="4">
        <v>0</v>
      </c>
      <c r="U27" s="58">
        <f t="shared" si="5"/>
        <v>0.7204999999999997</v>
      </c>
      <c r="V27" s="58">
        <f t="shared" si="6"/>
        <v>8.5254237288137063E-3</v>
      </c>
      <c r="W27" s="58">
        <f t="shared" si="7"/>
        <v>0.73529411764705888</v>
      </c>
      <c r="X27" s="156">
        <v>590</v>
      </c>
      <c r="Y27" s="44" t="s">
        <v>983</v>
      </c>
    </row>
    <row r="28" spans="1:25" ht="16.5" thickTop="1" thickBot="1" x14ac:dyDescent="0.3">
      <c r="A28" s="51">
        <v>203946</v>
      </c>
      <c r="B28" s="51">
        <f>VLOOKUP($A28,'Выгр Кат'!$A:$R,B$1,0)</f>
        <v>24546</v>
      </c>
      <c r="C28" s="56" t="str">
        <f>VLOOKUP($A28,'Выгр Кат'!$A:$R,C$1,0)</f>
        <v>Реле времени "АПЭЛ" РВ</v>
      </c>
      <c r="D28" s="51" t="str">
        <f>VLOOKUP($A28,'Выгр Кат'!$A:$R,D$1,0)</f>
        <v>Y</v>
      </c>
      <c r="E28" s="51" t="str">
        <f>VLOOKUP($A28,'Выгр Кат'!$A:$R,E$1,0)</f>
        <v>1</v>
      </c>
      <c r="F28" s="51">
        <f>VLOOKUP($A28,'Выгр Кат'!$A:$R,F$1,0)</f>
        <v>0</v>
      </c>
      <c r="G28" s="51" t="s">
        <v>509</v>
      </c>
      <c r="H28" s="77" t="s">
        <v>527</v>
      </c>
      <c r="I28" s="26">
        <f>VLOOKUP(G28,ПРАЙС!B:C,2,0)</f>
        <v>330</v>
      </c>
      <c r="J28" s="78">
        <f>VLOOKUP(I28,Наценка!$A$2:$B$9,2,1)</f>
        <v>1.6</v>
      </c>
      <c r="K28" s="64">
        <f t="shared" si="12"/>
        <v>625.4</v>
      </c>
      <c r="L28" s="80">
        <f t="shared" si="0"/>
        <v>629</v>
      </c>
      <c r="M28" s="51">
        <f>VLOOKUP($A28,'Выгр Кат'!$A:$R,M$1,0)</f>
        <v>330</v>
      </c>
      <c r="N28" s="51">
        <f>VLOOKUP($A28,'Выгр Кат'!$A:$R,N$1,0)</f>
        <v>629</v>
      </c>
      <c r="O28" s="25">
        <f t="shared" si="2"/>
        <v>0</v>
      </c>
      <c r="P28" s="25">
        <f t="shared" si="3"/>
        <v>0</v>
      </c>
      <c r="Q28" s="1">
        <f t="shared" si="4"/>
        <v>584.96999999999991</v>
      </c>
      <c r="R28" s="5">
        <f>IFERROR((VLOOKUP($A28,'Из ГУГЛа'!$B:$G,6,0)+T28)*S28,VLOOKUP($A28,'Из ГУГЛа'!$B:$G,6,0))</f>
        <v>590</v>
      </c>
      <c r="S28" s="4">
        <v>1</v>
      </c>
      <c r="T28" s="4">
        <v>0</v>
      </c>
      <c r="U28" s="58">
        <f t="shared" si="5"/>
        <v>0.77263636363636334</v>
      </c>
      <c r="V28" s="58">
        <f t="shared" si="6"/>
        <v>8.5254237288137063E-3</v>
      </c>
      <c r="W28" s="58">
        <f t="shared" si="7"/>
        <v>0.78787878787878785</v>
      </c>
      <c r="X28" s="156">
        <v>590</v>
      </c>
      <c r="Y28" s="44" t="s">
        <v>984</v>
      </c>
    </row>
    <row r="29" spans="1:25" ht="16.5" thickTop="1" thickBot="1" x14ac:dyDescent="0.3">
      <c r="A29" s="51">
        <v>132860</v>
      </c>
      <c r="B29" s="51">
        <f>VLOOKUP($A29,'Выгр Кат'!$A:$R,B$1,0)</f>
        <v>20251</v>
      </c>
      <c r="C29" s="56" t="str">
        <f>VLOOKUP($A29,'Выгр Кат'!$A:$R,C$1,0)</f>
        <v>Антенна Вымпел А-25</v>
      </c>
      <c r="D29" s="51" t="str">
        <f>VLOOKUP($A29,'Выгр Кат'!$A:$R,D$1,0)</f>
        <v>Y</v>
      </c>
      <c r="E29" s="51" t="str">
        <f>VLOOKUP($A29,'Выгр Кат'!$A:$R,E$1,0)</f>
        <v>1</v>
      </c>
      <c r="F29" s="51">
        <f>VLOOKUP($A29,'Выгр Кат'!$A:$R,F$1,0)</f>
        <v>0</v>
      </c>
      <c r="G29" s="51" t="s">
        <v>9</v>
      </c>
      <c r="H29" s="77" t="s">
        <v>527</v>
      </c>
      <c r="I29" s="26">
        <f>VLOOKUP(G29,ПРАЙС!B:C,2,0)</f>
        <v>420</v>
      </c>
      <c r="J29" s="78">
        <f>VLOOKUP(I29,Наценка!$A$2:$B$9,2,1)</f>
        <v>1.6</v>
      </c>
      <c r="K29" s="64">
        <f>X29*1.05</f>
        <v>724.5</v>
      </c>
      <c r="L29" s="80">
        <f t="shared" si="0"/>
        <v>729</v>
      </c>
      <c r="M29" s="51">
        <f>VLOOKUP($A29,'Выгр Кат'!$A:$R,M$1,0)</f>
        <v>420</v>
      </c>
      <c r="N29" s="51">
        <f>VLOOKUP($A29,'Выгр Кат'!$A:$R,N$1,0)</f>
        <v>729</v>
      </c>
      <c r="O29" s="25">
        <f t="shared" si="2"/>
        <v>0</v>
      </c>
      <c r="P29" s="25">
        <f t="shared" si="3"/>
        <v>0</v>
      </c>
      <c r="Q29" s="1">
        <f t="shared" si="4"/>
        <v>677.96999999999991</v>
      </c>
      <c r="R29" s="5">
        <f>IFERROR((VLOOKUP($A29,'Из ГУГЛа'!$B:$G,6,0)+T29)*S29,VLOOKUP($A29,'Из ГУГЛа'!$B:$G,6,0))</f>
        <v>690</v>
      </c>
      <c r="S29" s="4">
        <v>1</v>
      </c>
      <c r="T29" s="4">
        <v>0</v>
      </c>
      <c r="U29" s="58">
        <f t="shared" si="5"/>
        <v>0.6142142857142856</v>
      </c>
      <c r="V29" s="58">
        <f t="shared" si="6"/>
        <v>1.7434782608695777E-2</v>
      </c>
      <c r="W29" s="58">
        <f t="shared" si="7"/>
        <v>0.64285714285714279</v>
      </c>
      <c r="X29" s="156">
        <v>690</v>
      </c>
      <c r="Y29" s="44" t="s">
        <v>985</v>
      </c>
    </row>
    <row r="30" spans="1:25" ht="31.5" thickTop="1" thickBot="1" x14ac:dyDescent="0.3">
      <c r="A30" s="51">
        <v>153080</v>
      </c>
      <c r="B30" s="51">
        <f>VLOOKUP($A30,'Выгр Кат'!$A:$R,B$1,0)</f>
        <v>24516</v>
      </c>
      <c r="C30" s="56" t="str">
        <f>VLOOKUP($A30,'Выгр Кат'!$A:$R,C$1,0)</f>
        <v>Индикатор напряжения "АПЭЛ" ИН-12 для Лада Калина 2, Гранта, Приора</v>
      </c>
      <c r="D30" s="51" t="str">
        <f>VLOOKUP($A30,'Выгр Кат'!$A:$R,D$1,0)</f>
        <v>Y</v>
      </c>
      <c r="E30" s="51" t="str">
        <f>VLOOKUP($A30,'Выгр Кат'!$A:$R,E$1,0)</f>
        <v>1</v>
      </c>
      <c r="F30" s="51">
        <f>VLOOKUP($A30,'Выгр Кат'!$A:$R,F$1,0)</f>
        <v>0</v>
      </c>
      <c r="G30" s="51" t="s">
        <v>603</v>
      </c>
      <c r="H30" s="77" t="s">
        <v>527</v>
      </c>
      <c r="I30" s="26">
        <f>VLOOKUP(G30,ПРАЙС!B:C,2,0)</f>
        <v>390</v>
      </c>
      <c r="J30" s="78">
        <f>VLOOKUP(I30,Наценка!$A$2:$B$9,2,1)</f>
        <v>1.6</v>
      </c>
      <c r="K30" s="64">
        <f t="shared" si="12"/>
        <v>666.74</v>
      </c>
      <c r="L30" s="80">
        <f t="shared" si="0"/>
        <v>669</v>
      </c>
      <c r="M30" s="51">
        <f>VLOOKUP($A30,'Выгр Кат'!$A:$R,M$1,0)</f>
        <v>370</v>
      </c>
      <c r="N30" s="51">
        <f>VLOOKUP($A30,'Выгр Кат'!$A:$R,N$1,0)</f>
        <v>669</v>
      </c>
      <c r="O30" s="25">
        <f t="shared" si="2"/>
        <v>-20</v>
      </c>
      <c r="P30" s="25">
        <f t="shared" si="3"/>
        <v>0</v>
      </c>
      <c r="Q30" s="1">
        <f t="shared" si="4"/>
        <v>622.16999999999996</v>
      </c>
      <c r="R30" s="5">
        <f>IFERROR((VLOOKUP($A30,'Из ГУГЛа'!$B:$G,6,0)+T30)*S30,VLOOKUP($A30,'Из ГУГЛа'!$B:$G,6,0))</f>
        <v>629</v>
      </c>
      <c r="S30" s="4">
        <v>1</v>
      </c>
      <c r="T30" s="4">
        <v>0</v>
      </c>
      <c r="U30" s="58">
        <f t="shared" si="5"/>
        <v>0.59530769230769209</v>
      </c>
      <c r="V30" s="58">
        <f t="shared" si="6"/>
        <v>1.0858505564387982E-2</v>
      </c>
      <c r="W30" s="58">
        <f t="shared" si="7"/>
        <v>0.61282051282051286</v>
      </c>
      <c r="X30" s="156">
        <v>629</v>
      </c>
      <c r="Y30" s="44" t="s">
        <v>807</v>
      </c>
    </row>
    <row r="31" spans="1:25" ht="46.5" thickTop="1" thickBot="1" x14ac:dyDescent="0.3">
      <c r="A31" s="51">
        <v>117308</v>
      </c>
      <c r="B31" s="51">
        <f>VLOOKUP($A31,'Выгр Кат'!$A:$R,B$1,0)</f>
        <v>5545</v>
      </c>
      <c r="C31" s="56" t="str">
        <f>VLOOKUP($A31,'Выгр Кат'!$A:$R,C$1,0)</f>
        <v>USB-зарядник Штат 2.0 Универсал для ВАЗ 2110-2112, 2113-2115, Лада Калина, Шевроле Нива</v>
      </c>
      <c r="D31" s="51" t="str">
        <f>VLOOKUP($A31,'Выгр Кат'!$A:$R,D$1,0)</f>
        <v>Y</v>
      </c>
      <c r="E31" s="51" t="str">
        <f>VLOOKUP($A31,'Выгр Кат'!$A:$R,E$1,0)</f>
        <v>1</v>
      </c>
      <c r="F31" s="51">
        <f>VLOOKUP($A31,'Выгр Кат'!$A:$R,F$1,0)</f>
        <v>0</v>
      </c>
      <c r="G31" s="51" t="s">
        <v>388</v>
      </c>
      <c r="H31" s="77" t="s">
        <v>527</v>
      </c>
      <c r="I31" s="26">
        <f>VLOOKUP(G31,ПРАЙС!B:C,2,0)</f>
        <v>370</v>
      </c>
      <c r="J31" s="78">
        <f>VLOOKUP(I31,Наценка!$A$2:$B$9,2,1)</f>
        <v>1.6</v>
      </c>
      <c r="K31" s="64">
        <f t="shared" si="12"/>
        <v>625.4</v>
      </c>
      <c r="L31" s="80">
        <f t="shared" si="0"/>
        <v>629</v>
      </c>
      <c r="M31" s="51">
        <f>VLOOKUP($A31,'Выгр Кат'!$A:$R,M$1,0)</f>
        <v>370</v>
      </c>
      <c r="N31" s="51">
        <f>VLOOKUP($A31,'Выгр Кат'!$A:$R,N$1,0)</f>
        <v>629</v>
      </c>
      <c r="O31" s="25">
        <f t="shared" si="2"/>
        <v>0</v>
      </c>
      <c r="P31" s="25">
        <f t="shared" si="3"/>
        <v>0</v>
      </c>
      <c r="Q31" s="1">
        <f t="shared" si="4"/>
        <v>584.96999999999991</v>
      </c>
      <c r="R31" s="5">
        <f>IFERROR((VLOOKUP($A31,'Из ГУГЛа'!$B:$G,6,0)+T31)*S31,VLOOKUP($A31,'Из ГУГЛа'!$B:$G,6,0))</f>
        <v>590</v>
      </c>
      <c r="S31" s="4">
        <v>1</v>
      </c>
      <c r="T31" s="4">
        <v>0</v>
      </c>
      <c r="U31" s="58">
        <f t="shared" si="5"/>
        <v>0.58099999999999974</v>
      </c>
      <c r="V31" s="58">
        <f t="shared" si="6"/>
        <v>8.5254237288137063E-3</v>
      </c>
      <c r="W31" s="58">
        <f t="shared" si="7"/>
        <v>0.59459459459459452</v>
      </c>
      <c r="X31" s="156">
        <v>590</v>
      </c>
      <c r="Y31" s="44" t="s">
        <v>810</v>
      </c>
    </row>
    <row r="32" spans="1:25" ht="46.5" thickTop="1" thickBot="1" x14ac:dyDescent="0.3">
      <c r="A32" s="51">
        <v>117313</v>
      </c>
      <c r="B32" s="51">
        <f>VLOOKUP($A32,'Выгр Кат'!$A:$R,B$1,0)</f>
        <v>5546</v>
      </c>
      <c r="C32" s="56" t="str">
        <f>VLOOKUP($A32,'Выгр Кат'!$A:$R,C$1,0)</f>
        <v>USB-зарядное устройство "ШТАТ" (1 слот, 2.2А) для Лада Приора, Калина 2, Гранта, Гранта FL</v>
      </c>
      <c r="D32" s="51" t="str">
        <f>VLOOKUP($A32,'Выгр Кат'!$A:$R,D$1,0)</f>
        <v>Y</v>
      </c>
      <c r="E32" s="51" t="str">
        <f>VLOOKUP($A32,'Выгр Кат'!$A:$R,E$1,0)</f>
        <v>1</v>
      </c>
      <c r="F32" s="51">
        <f>VLOOKUP($A32,'Выгр Кат'!$A:$R,F$1,0)</f>
        <v>0</v>
      </c>
      <c r="G32" s="51" t="s">
        <v>391</v>
      </c>
      <c r="H32" s="77" t="s">
        <v>527</v>
      </c>
      <c r="I32" s="26">
        <f>VLOOKUP(G32,ПРАЙС!B:C,2,0)</f>
        <v>370</v>
      </c>
      <c r="J32" s="78">
        <f>VLOOKUP(I32,Наценка!$A$2:$B$9,2,1)</f>
        <v>1.6</v>
      </c>
      <c r="K32" s="64">
        <f t="shared" si="12"/>
        <v>625.4</v>
      </c>
      <c r="L32" s="80">
        <f t="shared" si="0"/>
        <v>629</v>
      </c>
      <c r="M32" s="51">
        <f>VLOOKUP($A32,'Выгр Кат'!$A:$R,M$1,0)</f>
        <v>370</v>
      </c>
      <c r="N32" s="51">
        <f>VLOOKUP($A32,'Выгр Кат'!$A:$R,N$1,0)</f>
        <v>629</v>
      </c>
      <c r="O32" s="25">
        <f t="shared" si="2"/>
        <v>0</v>
      </c>
      <c r="P32" s="25">
        <f t="shared" si="3"/>
        <v>0</v>
      </c>
      <c r="Q32" s="1">
        <f t="shared" si="4"/>
        <v>584.96999999999991</v>
      </c>
      <c r="R32" s="5">
        <f>IFERROR((VLOOKUP($A32,'Из ГУГЛа'!$B:$G,6,0)+T32)*S32,VLOOKUP($A32,'Из ГУГЛа'!$B:$G,6,0))</f>
        <v>590</v>
      </c>
      <c r="S32" s="4">
        <v>1</v>
      </c>
      <c r="T32" s="4">
        <v>0</v>
      </c>
      <c r="U32" s="58">
        <f t="shared" si="5"/>
        <v>0.58099999999999974</v>
      </c>
      <c r="V32" s="58">
        <f t="shared" si="6"/>
        <v>8.5254237288137063E-3</v>
      </c>
      <c r="W32" s="58">
        <f t="shared" si="7"/>
        <v>0.59459459459459452</v>
      </c>
      <c r="X32" s="156">
        <v>590</v>
      </c>
      <c r="Y32" s="44" t="s">
        <v>811</v>
      </c>
    </row>
    <row r="33" spans="1:25" ht="31.5" thickTop="1" thickBot="1" x14ac:dyDescent="0.3">
      <c r="A33" s="51">
        <v>117307</v>
      </c>
      <c r="B33" s="51">
        <f>VLOOKUP($A33,'Выгр Кат'!$A:$R,B$1,0)</f>
        <v>13767</v>
      </c>
      <c r="C33" s="56" t="str">
        <f>VLOOKUP($A33,'Выгр Кат'!$A:$R,C$1,0)</f>
        <v>USB адаптер на 2 гнезда от прикуривателя автомобиля</v>
      </c>
      <c r="D33" s="51" t="str">
        <f>VLOOKUP($A33,'Выгр Кат'!$A:$R,D$1,0)</f>
        <v>Y</v>
      </c>
      <c r="E33" s="51" t="str">
        <f>VLOOKUP($A33,'Выгр Кат'!$A:$R,E$1,0)</f>
        <v>1</v>
      </c>
      <c r="F33" s="51">
        <f>VLOOKUP($A33,'Выгр Кат'!$A:$R,F$1,0)</f>
        <v>0</v>
      </c>
      <c r="G33" s="51" t="s">
        <v>521</v>
      </c>
      <c r="H33" s="77" t="s">
        <v>527</v>
      </c>
      <c r="I33" s="26">
        <f>VLOOKUP(G33,ПРАЙС!B:C,2,0)</f>
        <v>400</v>
      </c>
      <c r="J33" s="78">
        <f>VLOOKUP(I33,Наценка!$A$2:$B$9,2,1)</f>
        <v>1.6</v>
      </c>
      <c r="K33" s="64">
        <f t="shared" si="12"/>
        <v>815.14</v>
      </c>
      <c r="L33" s="80">
        <f t="shared" si="0"/>
        <v>819</v>
      </c>
      <c r="M33" s="51">
        <f>VLOOKUP($A33,'Выгр Кат'!$A:$R,M$1,0)</f>
        <v>400</v>
      </c>
      <c r="N33" s="51">
        <f>VLOOKUP($A33,'Выгр Кат'!$A:$R,N$1,0)</f>
        <v>819</v>
      </c>
      <c r="O33" s="25">
        <f t="shared" si="2"/>
        <v>0</v>
      </c>
      <c r="P33" s="25">
        <f t="shared" si="3"/>
        <v>0</v>
      </c>
      <c r="Q33" s="1">
        <f t="shared" si="4"/>
        <v>761.67</v>
      </c>
      <c r="R33" s="5">
        <f>IFERROR((VLOOKUP($A33,'Из ГУГЛа'!$B:$G,6,0)+T33)*S33,VLOOKUP($A33,'Из ГУГЛа'!$B:$G,6,0))</f>
        <v>769</v>
      </c>
      <c r="S33" s="4">
        <v>1</v>
      </c>
      <c r="T33" s="4">
        <v>0</v>
      </c>
      <c r="U33" s="58">
        <f t="shared" si="5"/>
        <v>0.90417499999999995</v>
      </c>
      <c r="V33" s="58">
        <f t="shared" si="6"/>
        <v>9.5318595578674139E-3</v>
      </c>
      <c r="W33" s="58">
        <f t="shared" si="7"/>
        <v>0.9225000000000001</v>
      </c>
      <c r="X33" s="156">
        <v>769</v>
      </c>
      <c r="Y33" s="44" t="s">
        <v>986</v>
      </c>
    </row>
    <row r="34" spans="1:25" ht="31.5" thickTop="1" thickBot="1" x14ac:dyDescent="0.3">
      <c r="A34" s="51">
        <v>131502</v>
      </c>
      <c r="B34" s="51">
        <f>VLOOKUP($A34,'Выгр Кат'!$A:$R,B$1,0)</f>
        <v>24517</v>
      </c>
      <c r="C34" s="56" t="str">
        <f>VLOOKUP($A34,'Выгр Кат'!$A:$R,C$1,0)</f>
        <v>Автомобильный цифровой вольтметр (в корпусе, диагональ 1,5 см)</v>
      </c>
      <c r="D34" s="51" t="str">
        <f>VLOOKUP($A34,'Выгр Кат'!$A:$R,D$1,0)</f>
        <v>Y</v>
      </c>
      <c r="E34" s="51" t="str">
        <f>VLOOKUP($A34,'Выгр Кат'!$A:$R,E$1,0)</f>
        <v>1</v>
      </c>
      <c r="F34" s="51">
        <f>VLOOKUP($A34,'Выгр Кат'!$A:$R,F$1,0)</f>
        <v>0</v>
      </c>
      <c r="G34" s="51" t="s">
        <v>57</v>
      </c>
      <c r="H34" s="77" t="s">
        <v>527</v>
      </c>
      <c r="I34" s="26">
        <f>VLOOKUP(G34,ПРАЙС!B:C,2,0)</f>
        <v>330</v>
      </c>
      <c r="J34" s="78">
        <f>VLOOKUP(I34,Наценка!$A$2:$B$9,2,1)</f>
        <v>1.6</v>
      </c>
      <c r="K34" s="87">
        <f>I34*1.15*100/91</f>
        <v>417.03296703296695</v>
      </c>
      <c r="L34" s="80">
        <f t="shared" si="0"/>
        <v>419</v>
      </c>
      <c r="M34" s="51">
        <f>VLOOKUP($A34,'Выгр Кат'!$A:$R,M$1,0)</f>
        <v>330</v>
      </c>
      <c r="N34" s="51">
        <f>VLOOKUP($A34,'Выгр Кат'!$A:$R,N$1,0)</f>
        <v>429</v>
      </c>
      <c r="O34" s="25">
        <f t="shared" si="2"/>
        <v>0</v>
      </c>
      <c r="P34" s="25">
        <f t="shared" si="3"/>
        <v>10</v>
      </c>
      <c r="Q34" s="1">
        <f t="shared" si="4"/>
        <v>389.66999999999996</v>
      </c>
      <c r="R34" s="5">
        <f>IFERROR((VLOOKUP($A34,'Из ГУГЛа'!$B:$G,6,0)+T34)*S34,VLOOKUP($A34,'Из ГУГЛа'!$B:$G,6,0))</f>
        <v>390</v>
      </c>
      <c r="S34" s="4">
        <v>1</v>
      </c>
      <c r="T34" s="4">
        <v>0</v>
      </c>
      <c r="U34" s="58">
        <f t="shared" si="5"/>
        <v>0.18081818181818177</v>
      </c>
      <c r="V34" s="58">
        <f t="shared" si="6"/>
        <v>8.4615384615395115E-4</v>
      </c>
      <c r="W34" s="58">
        <f t="shared" si="7"/>
        <v>0.18181818181818188</v>
      </c>
      <c r="X34" s="156">
        <v>390</v>
      </c>
      <c r="Y34" s="44" t="s">
        <v>987</v>
      </c>
    </row>
    <row r="35" spans="1:25" ht="31.5" thickTop="1" thickBot="1" x14ac:dyDescent="0.3">
      <c r="A35" s="51">
        <v>224674</v>
      </c>
      <c r="B35" s="51">
        <f>VLOOKUP($A35,'Выгр Кат'!$A:$R,B$1,0)</f>
        <v>24519</v>
      </c>
      <c r="C35" s="56" t="str">
        <f>VLOOKUP($A35,'Выгр Кат'!$A:$R,C$1,0)</f>
        <v>Цифровой вольтметр амперметр (DC 0-100V, 10A)</v>
      </c>
      <c r="D35" s="51" t="str">
        <f>VLOOKUP($A35,'Выгр Кат'!$A:$R,D$1,0)</f>
        <v>Y</v>
      </c>
      <c r="E35" s="51" t="str">
        <f>VLOOKUP($A35,'Выгр Кат'!$A:$R,E$1,0)</f>
        <v>1</v>
      </c>
      <c r="F35" s="51">
        <f>VLOOKUP($A35,'Выгр Кат'!$A:$R,F$1,0)</f>
        <v>0</v>
      </c>
      <c r="G35" s="51" t="s">
        <v>57</v>
      </c>
      <c r="H35" s="77" t="s">
        <v>527</v>
      </c>
      <c r="I35" s="26">
        <f>VLOOKUP(G35,ПРАЙС!B:C,2,0)</f>
        <v>330</v>
      </c>
      <c r="J35" s="78">
        <f>VLOOKUP(I35,Наценка!$A$2:$B$9,2,1)</f>
        <v>1.6</v>
      </c>
      <c r="K35" s="64">
        <f t="shared" si="12"/>
        <v>625.4</v>
      </c>
      <c r="L35" s="80">
        <f t="shared" si="0"/>
        <v>629</v>
      </c>
      <c r="M35" s="51">
        <f>VLOOKUP($A35,'Выгр Кат'!$A:$R,M$1,0)</f>
        <v>330</v>
      </c>
      <c r="N35" s="51">
        <f>VLOOKUP($A35,'Выгр Кат'!$A:$R,N$1,0)</f>
        <v>629</v>
      </c>
      <c r="O35" s="25">
        <f t="shared" si="2"/>
        <v>0</v>
      </c>
      <c r="P35" s="25">
        <f t="shared" si="3"/>
        <v>0</v>
      </c>
      <c r="Q35" s="1">
        <f t="shared" si="4"/>
        <v>584.96999999999991</v>
      </c>
      <c r="R35" s="5">
        <f>IFERROR((VLOOKUP($A35,'Из ГУГЛа'!$B:$G,6,0)+T35)*S35,VLOOKUP($A35,'Из ГУГЛа'!$B:$G,6,0))</f>
        <v>590</v>
      </c>
      <c r="S35" s="4">
        <v>1</v>
      </c>
      <c r="T35" s="4">
        <v>0</v>
      </c>
      <c r="U35" s="58">
        <f t="shared" si="5"/>
        <v>0.77263636363636334</v>
      </c>
      <c r="V35" s="58">
        <f t="shared" si="6"/>
        <v>8.5254237288137063E-3</v>
      </c>
      <c r="W35" s="58">
        <f t="shared" si="7"/>
        <v>0.78787878787878785</v>
      </c>
      <c r="X35" s="156">
        <v>590</v>
      </c>
      <c r="Y35" s="44" t="s">
        <v>988</v>
      </c>
    </row>
    <row r="36" spans="1:25" ht="31.5" thickTop="1" thickBot="1" x14ac:dyDescent="0.3">
      <c r="A36" s="51">
        <v>158251</v>
      </c>
      <c r="B36" s="51">
        <f>VLOOKUP($A36,'Выгр Кат'!$A:$R,B$1,0)</f>
        <v>24521</v>
      </c>
      <c r="C36" s="56" t="str">
        <f>VLOOKUP($A36,'Выгр Кат'!$A:$R,C$1,0)</f>
        <v>Коммутатор "ШТАТ" электронный для ВАЗ 2108, 2109, 2110</v>
      </c>
      <c r="D36" s="51" t="str">
        <f>VLOOKUP($A36,'Выгр Кат'!$A:$R,D$1,0)</f>
        <v>Y</v>
      </c>
      <c r="E36" s="51" t="str">
        <f>VLOOKUP($A36,'Выгр Кат'!$A:$R,E$1,0)</f>
        <v>1</v>
      </c>
      <c r="F36" s="51" t="str">
        <f>VLOOKUP($A36,'Выгр Кат'!$A:$R,F$1,0)</f>
        <v>76.3734</v>
      </c>
      <c r="G36" s="51" t="s">
        <v>60</v>
      </c>
      <c r="H36" s="77" t="s">
        <v>527</v>
      </c>
      <c r="I36" s="26">
        <f>VLOOKUP(G36,ПРАЙС!B:C,2,0)</f>
        <v>370</v>
      </c>
      <c r="J36" s="78">
        <f>VLOOKUP(I36,Наценка!$A$2:$B$9,2,1)</f>
        <v>1.6</v>
      </c>
      <c r="K36" s="64">
        <f t="shared" si="12"/>
        <v>625.4</v>
      </c>
      <c r="L36" s="80">
        <f t="shared" si="0"/>
        <v>629</v>
      </c>
      <c r="M36" s="51">
        <f>VLOOKUP($A36,'Выгр Кат'!$A:$R,M$1,0)</f>
        <v>370</v>
      </c>
      <c r="N36" s="51">
        <f>VLOOKUP($A36,'Выгр Кат'!$A:$R,N$1,0)</f>
        <v>629</v>
      </c>
      <c r="O36" s="25">
        <f t="shared" si="2"/>
        <v>0</v>
      </c>
      <c r="P36" s="25">
        <f t="shared" si="3"/>
        <v>0</v>
      </c>
      <c r="Q36" s="1">
        <f t="shared" si="4"/>
        <v>584.96999999999991</v>
      </c>
      <c r="R36" s="5">
        <f>IFERROR((VLOOKUP($A36,'Из ГУГЛа'!$B:$G,6,0)+T36)*S36,VLOOKUP($A36,'Из ГУГЛа'!$B:$G,6,0))</f>
        <v>590</v>
      </c>
      <c r="S36" s="4">
        <v>1</v>
      </c>
      <c r="T36" s="4">
        <v>0</v>
      </c>
      <c r="U36" s="58">
        <f t="shared" si="5"/>
        <v>0.58099999999999974</v>
      </c>
      <c r="V36" s="58">
        <f t="shared" si="6"/>
        <v>8.5254237288137063E-3</v>
      </c>
      <c r="W36" s="58">
        <f t="shared" si="7"/>
        <v>0.59459459459459452</v>
      </c>
      <c r="X36" s="156">
        <v>590</v>
      </c>
      <c r="Y36" s="44" t="s">
        <v>812</v>
      </c>
    </row>
    <row r="37" spans="1:25" ht="31.5" thickTop="1" thickBot="1" x14ac:dyDescent="0.3">
      <c r="A37" s="51">
        <v>160143</v>
      </c>
      <c r="B37" s="51">
        <f>VLOOKUP($A37,'Выгр Кат'!$A:$R,B$1,0)</f>
        <v>7204</v>
      </c>
      <c r="C37" s="56" t="str">
        <f>VLOOKUP($A37,'Выгр Кат'!$A:$R,C$1,0)</f>
        <v>Контроллер открытия дверей "КОД" на автомобили Lada</v>
      </c>
      <c r="D37" s="51" t="str">
        <f>VLOOKUP($A37,'Выгр Кат'!$A:$R,D$1,0)</f>
        <v>Y</v>
      </c>
      <c r="E37" s="51" t="str">
        <f>VLOOKUP($A37,'Выгр Кат'!$A:$R,E$1,0)</f>
        <v>1</v>
      </c>
      <c r="F37" s="51">
        <f>VLOOKUP($A37,'Выгр Кат'!$A:$R,F$1,0)</f>
        <v>0</v>
      </c>
      <c r="G37" s="51" t="s">
        <v>479</v>
      </c>
      <c r="H37" s="77" t="s">
        <v>527</v>
      </c>
      <c r="I37" s="26">
        <f>VLOOKUP(G37,ПРАЙС!B:C,2,0)</f>
        <v>380</v>
      </c>
      <c r="J37" s="78">
        <f>VLOOKUP(I37,Наценка!$A$2:$B$9,2,1)</f>
        <v>1.6</v>
      </c>
      <c r="K37" s="64">
        <f t="shared" si="12"/>
        <v>687.94</v>
      </c>
      <c r="L37" s="80">
        <f t="shared" si="0"/>
        <v>689</v>
      </c>
      <c r="M37" s="51">
        <f>VLOOKUP($A37,'Выгр Кат'!$A:$R,M$1,0)</f>
        <v>380</v>
      </c>
      <c r="N37" s="51">
        <f>VLOOKUP($A37,'Выгр Кат'!$A:$R,N$1,0)</f>
        <v>689</v>
      </c>
      <c r="O37" s="25">
        <f t="shared" si="2"/>
        <v>0</v>
      </c>
      <c r="P37" s="25">
        <f t="shared" si="3"/>
        <v>0</v>
      </c>
      <c r="Q37" s="1">
        <f t="shared" si="4"/>
        <v>640.77</v>
      </c>
      <c r="R37" s="5">
        <f>IFERROR((VLOOKUP($A37,'Из ГУГЛа'!$B:$G,6,0)+T37)*S37,VLOOKUP($A37,'Из ГУГЛа'!$B:$G,6,0))</f>
        <v>649</v>
      </c>
      <c r="S37" s="4">
        <v>1</v>
      </c>
      <c r="T37" s="4">
        <v>0</v>
      </c>
      <c r="U37" s="58">
        <f t="shared" si="5"/>
        <v>0.68623684210526315</v>
      </c>
      <c r="V37" s="58">
        <f t="shared" si="6"/>
        <v>1.2681047765793556E-2</v>
      </c>
      <c r="W37" s="58">
        <f t="shared" si="7"/>
        <v>0.70789473684210535</v>
      </c>
      <c r="X37" s="156">
        <v>649</v>
      </c>
      <c r="Y37" s="44" t="s">
        <v>989</v>
      </c>
    </row>
    <row r="38" spans="1:25" ht="31.5" thickTop="1" thickBot="1" x14ac:dyDescent="0.3">
      <c r="A38" s="51">
        <v>117314</v>
      </c>
      <c r="B38" s="51">
        <f>VLOOKUP($A38,'Выгр Кат'!$A:$R,B$1,0)</f>
        <v>5547</v>
      </c>
      <c r="C38" s="56" t="str">
        <f>VLOOKUP($A38,'Выгр Кат'!$A:$R,C$1,0)</f>
        <v>USB-зарядное устройство "ШТАТ" на 2 слота для Лада Калина 2, Приора, Гранта</v>
      </c>
      <c r="D38" s="51" t="str">
        <f>VLOOKUP($A38,'Выгр Кат'!$A:$R,D$1,0)</f>
        <v>Y</v>
      </c>
      <c r="E38" s="51" t="str">
        <f>VLOOKUP($A38,'Выгр Кат'!$A:$R,E$1,0)</f>
        <v>1</v>
      </c>
      <c r="F38" s="51">
        <f>VLOOKUP($A38,'Выгр Кат'!$A:$R,F$1,0)</f>
        <v>0</v>
      </c>
      <c r="G38" s="51" t="s">
        <v>471</v>
      </c>
      <c r="H38" s="77" t="s">
        <v>527</v>
      </c>
      <c r="I38" s="26">
        <f>VLOOKUP(G38,ПРАЙС!B:C,2,0)</f>
        <v>430</v>
      </c>
      <c r="J38" s="78">
        <f>VLOOKUP(I38,Наценка!$A$2:$B$9,2,1)</f>
        <v>1.6</v>
      </c>
      <c r="K38" s="64">
        <f t="shared" si="12"/>
        <v>815.14</v>
      </c>
      <c r="L38" s="80">
        <f t="shared" si="0"/>
        <v>819</v>
      </c>
      <c r="M38" s="51">
        <f>VLOOKUP($A38,'Выгр Кат'!$A:$R,M$1,0)</f>
        <v>420</v>
      </c>
      <c r="N38" s="51">
        <f>VLOOKUP($A38,'Выгр Кат'!$A:$R,N$1,0)</f>
        <v>819</v>
      </c>
      <c r="O38" s="25">
        <f t="shared" si="2"/>
        <v>-10</v>
      </c>
      <c r="P38" s="25">
        <f t="shared" si="3"/>
        <v>0</v>
      </c>
      <c r="Q38" s="1">
        <f t="shared" si="4"/>
        <v>761.67</v>
      </c>
      <c r="R38" s="5">
        <f>IFERROR((VLOOKUP($A38,'Из ГУГЛа'!$B:$G,6,0)+T38)*S38,VLOOKUP($A38,'Из ГУГЛа'!$B:$G,6,0))</f>
        <v>769</v>
      </c>
      <c r="S38" s="4">
        <v>1</v>
      </c>
      <c r="T38" s="4">
        <v>0</v>
      </c>
      <c r="U38" s="58">
        <f t="shared" si="5"/>
        <v>0.77132558139534879</v>
      </c>
      <c r="V38" s="58">
        <f t="shared" si="6"/>
        <v>9.5318595578674139E-3</v>
      </c>
      <c r="W38" s="58">
        <f t="shared" si="7"/>
        <v>0.78837209302325584</v>
      </c>
      <c r="X38" s="156">
        <v>769</v>
      </c>
      <c r="Y38" s="44" t="s">
        <v>783</v>
      </c>
    </row>
    <row r="39" spans="1:25" ht="46.5" thickTop="1" thickBot="1" x14ac:dyDescent="0.3">
      <c r="A39" s="51">
        <v>117319</v>
      </c>
      <c r="B39" s="51">
        <f>VLOOKUP($A39,'Выгр Кат'!$A:$R,B$1,0)</f>
        <v>5548</v>
      </c>
      <c r="C39" s="56" t="str">
        <f>VLOOKUP($A39,'Выгр Кат'!$A:$R,C$1,0)</f>
        <v>USB-зарядное устройство на 2 слота для ВАЗ 2113-2115, Лада Калина, Шевроле Нива</v>
      </c>
      <c r="D39" s="51" t="str">
        <f>VLOOKUP($A39,'Выгр Кат'!$A:$R,D$1,0)</f>
        <v>Y</v>
      </c>
      <c r="E39" s="51" t="str">
        <f>VLOOKUP($A39,'Выгр Кат'!$A:$R,E$1,0)</f>
        <v>1</v>
      </c>
      <c r="F39" s="51">
        <f>VLOOKUP($A39,'Выгр Кат'!$A:$R,F$1,0)</f>
        <v>0</v>
      </c>
      <c r="G39" s="51" t="s">
        <v>383</v>
      </c>
      <c r="H39" s="77" t="s">
        <v>527</v>
      </c>
      <c r="I39" s="26">
        <f>VLOOKUP(G39,ПРАЙС!B:C,2,0)</f>
        <v>430</v>
      </c>
      <c r="J39" s="78">
        <f>VLOOKUP(I39,Наценка!$A$2:$B$9,2,1)</f>
        <v>1.6</v>
      </c>
      <c r="K39" s="64">
        <f t="shared" si="12"/>
        <v>815.14</v>
      </c>
      <c r="L39" s="80">
        <f t="shared" si="0"/>
        <v>819</v>
      </c>
      <c r="M39" s="51">
        <f>VLOOKUP($A39,'Выгр Кат'!$A:$R,M$1,0)</f>
        <v>420</v>
      </c>
      <c r="N39" s="51">
        <f>VLOOKUP($A39,'Выгр Кат'!$A:$R,N$1,0)</f>
        <v>819</v>
      </c>
      <c r="O39" s="25">
        <f t="shared" si="2"/>
        <v>-10</v>
      </c>
      <c r="P39" s="25">
        <f t="shared" si="3"/>
        <v>0</v>
      </c>
      <c r="Q39" s="1">
        <f t="shared" si="4"/>
        <v>761.67</v>
      </c>
      <c r="R39" s="5">
        <f>IFERROR((VLOOKUP($A39,'Из ГУГЛа'!$B:$G,6,0)+T39)*S39,VLOOKUP($A39,'Из ГУГЛа'!$B:$G,6,0))</f>
        <v>769</v>
      </c>
      <c r="S39" s="4">
        <v>1</v>
      </c>
      <c r="T39" s="4">
        <v>0</v>
      </c>
      <c r="U39" s="58">
        <f t="shared" si="5"/>
        <v>0.77132558139534879</v>
      </c>
      <c r="V39" s="58">
        <f t="shared" si="6"/>
        <v>9.5318595578674139E-3</v>
      </c>
      <c r="W39" s="58">
        <f t="shared" si="7"/>
        <v>0.78837209302325584</v>
      </c>
      <c r="X39" s="156">
        <v>769</v>
      </c>
      <c r="Y39" s="44" t="s">
        <v>990</v>
      </c>
    </row>
    <row r="40" spans="1:25" ht="31.5" thickTop="1" thickBot="1" x14ac:dyDescent="0.3">
      <c r="A40" s="51">
        <v>213843</v>
      </c>
      <c r="B40" s="51">
        <f>VLOOKUP($A40,'Выгр Кат'!$A:$R,B$1,0)</f>
        <v>7238</v>
      </c>
      <c r="C40" s="56" t="str">
        <f>VLOOKUP($A40,'Выгр Кат'!$A:$R,C$1,0)</f>
        <v>Сенсорный выключатель Штат TS-T с фиксацией</v>
      </c>
      <c r="D40" s="51" t="str">
        <f>VLOOKUP($A40,'Выгр Кат'!$A:$R,D$1,0)</f>
        <v>Y</v>
      </c>
      <c r="E40" s="51" t="str">
        <f>VLOOKUP($A40,'Выгр Кат'!$A:$R,E$1,0)</f>
        <v>1</v>
      </c>
      <c r="F40" s="51">
        <f>VLOOKUP($A40,'Выгр Кат'!$A:$R,F$1,0)</f>
        <v>0</v>
      </c>
      <c r="G40" s="51" t="s">
        <v>32</v>
      </c>
      <c r="H40" s="77" t="s">
        <v>527</v>
      </c>
      <c r="I40" s="26" t="e">
        <f>VLOOKUP(G40,ПРАЙС!B:C,2,0)</f>
        <v>#N/A</v>
      </c>
      <c r="J40" s="78" t="e">
        <f>VLOOKUP(I40,Наценка!$A$2:$B$9,2,1)</f>
        <v>#N/A</v>
      </c>
      <c r="K40" s="64">
        <f t="shared" si="12"/>
        <v>734.58</v>
      </c>
      <c r="L40" s="80">
        <f t="shared" si="0"/>
        <v>739</v>
      </c>
      <c r="M40" s="51">
        <f>VLOOKUP($A40,'Выгр Кат'!$A:$R,M$1,0)</f>
        <v>400</v>
      </c>
      <c r="N40" s="51">
        <f>VLOOKUP($A40,'Выгр Кат'!$A:$R,N$1,0)</f>
        <v>739</v>
      </c>
      <c r="O40" s="25" t="e">
        <f t="shared" si="2"/>
        <v>#N/A</v>
      </c>
      <c r="P40" s="25">
        <f t="shared" si="3"/>
        <v>0</v>
      </c>
      <c r="Q40" s="1">
        <f t="shared" si="4"/>
        <v>687.27</v>
      </c>
      <c r="R40" s="5" t="str">
        <f>IFERROR((VLOOKUP($A40,'Из ГУГЛа'!$B:$G,6,0)+T40)*S40,VLOOKUP($A40,'Из ГУГЛа'!$B:$G,6,0))</f>
        <v/>
      </c>
      <c r="S40" s="4">
        <v>1</v>
      </c>
      <c r="T40" s="4">
        <v>0</v>
      </c>
      <c r="U40" s="58" t="str">
        <f t="shared" si="5"/>
        <v/>
      </c>
      <c r="V40" s="58">
        <f t="shared" si="6"/>
        <v>8.2683982683982946E-3</v>
      </c>
      <c r="W40" s="58" t="str">
        <f t="shared" si="7"/>
        <v/>
      </c>
      <c r="X40" s="156">
        <v>693</v>
      </c>
      <c r="Y40" s="44" t="s">
        <v>800</v>
      </c>
    </row>
    <row r="41" spans="1:25" ht="30.75" thickTop="1" x14ac:dyDescent="0.25">
      <c r="A41" s="51">
        <v>213842</v>
      </c>
      <c r="B41" s="51">
        <f>VLOOKUP($A41,'Выгр Кат'!$A:$R,B$1,0)</f>
        <v>7239</v>
      </c>
      <c r="C41" s="56" t="str">
        <f>VLOOKUP($A41,'Выгр Кат'!$A:$R,C$1,0)</f>
        <v>Сенсорный выключатель Штат TS без фиксации</v>
      </c>
      <c r="D41" s="51" t="str">
        <f>VLOOKUP($A41,'Выгр Кат'!$A:$R,D$1,0)</f>
        <v>Y</v>
      </c>
      <c r="E41" s="51" t="str">
        <f>VLOOKUP($A41,'Выгр Кат'!$A:$R,E$1,0)</f>
        <v>0</v>
      </c>
      <c r="F41" s="51">
        <f>VLOOKUP($A41,'Выгр Кат'!$A:$R,F$1,0)</f>
        <v>0</v>
      </c>
      <c r="G41" s="51" t="s">
        <v>33</v>
      </c>
      <c r="H41" s="77" t="s">
        <v>527</v>
      </c>
      <c r="I41" s="2">
        <f>M41</f>
        <v>400</v>
      </c>
      <c r="J41" s="78">
        <f>VLOOKUP(I41,Наценка!$A$2:$B$9,2,1)</f>
        <v>1.6</v>
      </c>
      <c r="K41" s="79">
        <f t="shared" si="1"/>
        <v>640</v>
      </c>
      <c r="L41" s="80">
        <f t="shared" si="0"/>
        <v>639</v>
      </c>
      <c r="M41" s="51">
        <f>VLOOKUP($A41,'Выгр Кат'!$A:$R,M$1,0)</f>
        <v>400</v>
      </c>
      <c r="N41" s="51">
        <f>VLOOKUP($A41,'Выгр Кат'!$A:$R,N$1,0)</f>
        <v>639</v>
      </c>
      <c r="O41" s="25">
        <f t="shared" si="2"/>
        <v>0</v>
      </c>
      <c r="P41" s="25">
        <f t="shared" si="3"/>
        <v>0</v>
      </c>
      <c r="Q41" s="1">
        <f t="shared" si="4"/>
        <v>594.27</v>
      </c>
      <c r="R41" s="5" t="str">
        <f>IFERROR((VLOOKUP($A41,'Из ГУГЛа'!$B:$G,6,0)+T41)*S41,VLOOKUP($A41,'Из ГУГЛа'!$B:$G,6,0))</f>
        <v/>
      </c>
      <c r="S41" s="4">
        <v>1</v>
      </c>
      <c r="T41" s="4">
        <v>0</v>
      </c>
      <c r="U41" s="58">
        <f t="shared" si="5"/>
        <v>0.48567499999999986</v>
      </c>
      <c r="V41" s="58" t="str">
        <f t="shared" si="6"/>
        <v/>
      </c>
      <c r="W41" s="58" t="str">
        <f t="shared" si="7"/>
        <v/>
      </c>
      <c r="X41" s="154"/>
    </row>
    <row r="42" spans="1:25" ht="30.75" thickBot="1" x14ac:dyDescent="0.3">
      <c r="A42" s="51">
        <v>158253</v>
      </c>
      <c r="B42" s="51">
        <f>VLOOKUP($A42,'Выгр Кат'!$A:$R,B$1,0)</f>
        <v>12758</v>
      </c>
      <c r="C42" s="56" t="str">
        <f>VLOOKUP($A42,'Выгр Кат'!$A:$R,C$1,0)</f>
        <v>Коммутатор "ШТАТ" для ВАЗ 2108-21099, 2110-2112</v>
      </c>
      <c r="D42" s="51" t="str">
        <f>VLOOKUP($A42,'Выгр Кат'!$A:$R,D$1,0)</f>
        <v>Y</v>
      </c>
      <c r="E42" s="51" t="str">
        <f>VLOOKUP($A42,'Выгр Кат'!$A:$R,E$1,0)</f>
        <v>1</v>
      </c>
      <c r="F42" s="51" t="str">
        <f>VLOOKUP($A42,'Выгр Кат'!$A:$R,F$1,0)</f>
        <v>2108-3734910</v>
      </c>
      <c r="G42" s="51" t="s">
        <v>58</v>
      </c>
      <c r="H42" s="77" t="s">
        <v>527</v>
      </c>
      <c r="I42" s="26">
        <f>VLOOKUP(G42,ПРАЙС!B:C,2,0)</f>
        <v>460</v>
      </c>
      <c r="J42" s="78">
        <f>VLOOKUP(I42,Наценка!$A$2:$B$9,2,1)</f>
        <v>1.6</v>
      </c>
      <c r="K42" s="64">
        <f>X42*1.05</f>
        <v>724.5</v>
      </c>
      <c r="L42" s="80">
        <f t="shared" si="0"/>
        <v>729</v>
      </c>
      <c r="M42" s="51">
        <f>VLOOKUP($A42,'Выгр Кат'!$A:$R,M$1,0)</f>
        <v>460</v>
      </c>
      <c r="N42" s="51">
        <f>VLOOKUP($A42,'Выгр Кат'!$A:$R,N$1,0)</f>
        <v>729</v>
      </c>
      <c r="O42" s="25">
        <f t="shared" si="2"/>
        <v>0</v>
      </c>
      <c r="P42" s="25">
        <f t="shared" si="3"/>
        <v>0</v>
      </c>
      <c r="Q42" s="1">
        <f t="shared" si="4"/>
        <v>677.96999999999991</v>
      </c>
      <c r="R42" s="5">
        <f>IFERROR((VLOOKUP($A42,'Из ГУГЛа'!$B:$G,6,0)+T42)*S42,VLOOKUP($A42,'Из ГУГЛа'!$B:$G,6,0))</f>
        <v>690</v>
      </c>
      <c r="S42" s="4">
        <v>1</v>
      </c>
      <c r="T42" s="4">
        <v>0</v>
      </c>
      <c r="U42" s="58">
        <f t="shared" si="5"/>
        <v>0.4738478260869563</v>
      </c>
      <c r="V42" s="58">
        <f t="shared" si="6"/>
        <v>1.7434782608695777E-2</v>
      </c>
      <c r="W42" s="58">
        <f t="shared" si="7"/>
        <v>0.5</v>
      </c>
      <c r="X42" s="156">
        <v>690</v>
      </c>
      <c r="Y42" s="44" t="s">
        <v>813</v>
      </c>
    </row>
    <row r="43" spans="1:25" ht="31.5" thickTop="1" thickBot="1" x14ac:dyDescent="0.3">
      <c r="A43" s="51">
        <v>117318</v>
      </c>
      <c r="B43" s="51">
        <f>VLOOKUP($A43,'Выгр Кат'!$A:$R,B$1,0)</f>
        <v>13763</v>
      </c>
      <c r="C43" s="56" t="str">
        <f>VLOOKUP($A43,'Выгр Кат'!$A:$R,C$1,0)</f>
        <v>USB-зарядное устройство на 2 слота для ВАЗ 2110-2112</v>
      </c>
      <c r="D43" s="51" t="str">
        <f>VLOOKUP($A43,'Выгр Кат'!$A:$R,D$1,0)</f>
        <v>Y</v>
      </c>
      <c r="E43" s="51" t="str">
        <f>VLOOKUP($A43,'Выгр Кат'!$A:$R,E$1,0)</f>
        <v>1</v>
      </c>
      <c r="F43" s="51">
        <f>VLOOKUP($A43,'Выгр Кат'!$A:$R,F$1,0)</f>
        <v>0</v>
      </c>
      <c r="G43" s="51" t="s">
        <v>497</v>
      </c>
      <c r="H43" s="77" t="s">
        <v>527</v>
      </c>
      <c r="I43" s="26">
        <f>VLOOKUP(G43,ПРАЙС!B:C,2,0)</f>
        <v>430</v>
      </c>
      <c r="J43" s="78">
        <f>VLOOKUP(I43,Наценка!$A$2:$B$9,2,1)</f>
        <v>1.6</v>
      </c>
      <c r="K43" s="64">
        <f t="shared" ref="K43:K46" si="13">X43*1.06</f>
        <v>815.14</v>
      </c>
      <c r="L43" s="80">
        <f t="shared" si="0"/>
        <v>819</v>
      </c>
      <c r="M43" s="51">
        <f>VLOOKUP($A43,'Выгр Кат'!$A:$R,M$1,0)</f>
        <v>420</v>
      </c>
      <c r="N43" s="51">
        <f>VLOOKUP($A43,'Выгр Кат'!$A:$R,N$1,0)</f>
        <v>819</v>
      </c>
      <c r="O43" s="25">
        <f t="shared" si="2"/>
        <v>-10</v>
      </c>
      <c r="P43" s="25">
        <f t="shared" si="3"/>
        <v>0</v>
      </c>
      <c r="Q43" s="1">
        <f t="shared" si="4"/>
        <v>761.67</v>
      </c>
      <c r="R43" s="5">
        <f>IFERROR((VLOOKUP($A43,'Из ГУГЛа'!$B:$G,6,0)+T43)*S43,VLOOKUP($A43,'Из ГУГЛа'!$B:$G,6,0))</f>
        <v>769</v>
      </c>
      <c r="S43" s="4">
        <v>1</v>
      </c>
      <c r="T43" s="4">
        <v>0</v>
      </c>
      <c r="U43" s="58">
        <f t="shared" si="5"/>
        <v>0.77132558139534879</v>
      </c>
      <c r="V43" s="58">
        <f t="shared" si="6"/>
        <v>9.5318595578674139E-3</v>
      </c>
      <c r="W43" s="58">
        <f t="shared" si="7"/>
        <v>0.78837209302325584</v>
      </c>
      <c r="X43" s="156">
        <v>769</v>
      </c>
      <c r="Y43" s="44" t="s">
        <v>681</v>
      </c>
    </row>
    <row r="44" spans="1:25" ht="46.5" thickTop="1" thickBot="1" x14ac:dyDescent="0.3">
      <c r="A44" s="51">
        <v>117317</v>
      </c>
      <c r="B44" s="51">
        <f>VLOOKUP($A44,'Выгр Кат'!$A:$R,B$1,0)</f>
        <v>13764</v>
      </c>
      <c r="C44" s="56" t="str">
        <f>VLOOKUP($A44,'Выгр Кат'!$A:$R,C$1,0)</f>
        <v>USB-зарядное устройство на 2 слота для ВАЗ 2108-21099, Нива 4х4 (21213, 21214, 2131)</v>
      </c>
      <c r="D44" s="51" t="str">
        <f>VLOOKUP($A44,'Выгр Кат'!$A:$R,D$1,0)</f>
        <v>Y</v>
      </c>
      <c r="E44" s="51" t="str">
        <f>VLOOKUP($A44,'Выгр Кат'!$A:$R,E$1,0)</f>
        <v>1</v>
      </c>
      <c r="F44" s="51">
        <f>VLOOKUP($A44,'Выгр Кат'!$A:$R,F$1,0)</f>
        <v>0</v>
      </c>
      <c r="G44" s="51" t="s">
        <v>386</v>
      </c>
      <c r="H44" s="77" t="s">
        <v>527</v>
      </c>
      <c r="I44" s="26">
        <f>VLOOKUP(G44,ПРАЙС!B:C,2,0)</f>
        <v>430</v>
      </c>
      <c r="J44" s="78">
        <f>VLOOKUP(I44,Наценка!$A$2:$B$9,2,1)</f>
        <v>1.6</v>
      </c>
      <c r="K44" s="64">
        <f t="shared" si="13"/>
        <v>815.14</v>
      </c>
      <c r="L44" s="80">
        <f t="shared" si="0"/>
        <v>819</v>
      </c>
      <c r="M44" s="51">
        <f>VLOOKUP($A44,'Выгр Кат'!$A:$R,M$1,0)</f>
        <v>420</v>
      </c>
      <c r="N44" s="51">
        <f>VLOOKUP($A44,'Выгр Кат'!$A:$R,N$1,0)</f>
        <v>819</v>
      </c>
      <c r="O44" s="25">
        <f t="shared" si="2"/>
        <v>-10</v>
      </c>
      <c r="P44" s="25">
        <f t="shared" si="3"/>
        <v>0</v>
      </c>
      <c r="Q44" s="1">
        <f t="shared" si="4"/>
        <v>761.67</v>
      </c>
      <c r="R44" s="5">
        <f>IFERROR((VLOOKUP($A44,'Из ГУГЛа'!$B:$G,6,0)+T44)*S44,VLOOKUP($A44,'Из ГУГЛа'!$B:$G,6,0))</f>
        <v>769</v>
      </c>
      <c r="S44" s="4">
        <v>1</v>
      </c>
      <c r="T44" s="4">
        <v>0</v>
      </c>
      <c r="U44" s="58">
        <f t="shared" si="5"/>
        <v>0.77132558139534879</v>
      </c>
      <c r="V44" s="58">
        <f t="shared" si="6"/>
        <v>9.5318595578674139E-3</v>
      </c>
      <c r="W44" s="58">
        <f t="shared" si="7"/>
        <v>0.78837209302325584</v>
      </c>
      <c r="X44" s="156">
        <v>769</v>
      </c>
      <c r="Y44" s="44" t="s">
        <v>991</v>
      </c>
    </row>
    <row r="45" spans="1:25" ht="31.5" thickTop="1" thickBot="1" x14ac:dyDescent="0.3">
      <c r="A45" s="51">
        <v>117316</v>
      </c>
      <c r="B45" s="51">
        <f>VLOOKUP($A45,'Выгр Кат'!$A:$R,B$1,0)</f>
        <v>13765</v>
      </c>
      <c r="C45" s="56" t="str">
        <f>VLOOKUP($A45,'Выгр Кат'!$A:$R,C$1,0)</f>
        <v>USB-зарядное устройство на 2 слота для ВАЗ 2106-2107</v>
      </c>
      <c r="D45" s="51" t="str">
        <f>VLOOKUP($A45,'Выгр Кат'!$A:$R,D$1,0)</f>
        <v>Y</v>
      </c>
      <c r="E45" s="51" t="str">
        <f>VLOOKUP($A45,'Выгр Кат'!$A:$R,E$1,0)</f>
        <v>1</v>
      </c>
      <c r="F45" s="51">
        <f>VLOOKUP($A45,'Выгр Кат'!$A:$R,F$1,0)</f>
        <v>0</v>
      </c>
      <c r="G45" s="51" t="s">
        <v>384</v>
      </c>
      <c r="H45" s="77" t="s">
        <v>527</v>
      </c>
      <c r="I45" s="26">
        <f>VLOOKUP(G45,ПРАЙС!B:C,2,0)</f>
        <v>430</v>
      </c>
      <c r="J45" s="78">
        <f>VLOOKUP(I45,Наценка!$A$2:$B$9,2,1)</f>
        <v>1.6</v>
      </c>
      <c r="K45" s="64">
        <f t="shared" si="13"/>
        <v>815.14</v>
      </c>
      <c r="L45" s="80">
        <f t="shared" si="0"/>
        <v>819</v>
      </c>
      <c r="M45" s="51">
        <f>VLOOKUP($A45,'Выгр Кат'!$A:$R,M$1,0)</f>
        <v>420</v>
      </c>
      <c r="N45" s="51">
        <f>VLOOKUP($A45,'Выгр Кат'!$A:$R,N$1,0)</f>
        <v>819</v>
      </c>
      <c r="O45" s="25">
        <f t="shared" si="2"/>
        <v>-10</v>
      </c>
      <c r="P45" s="25">
        <f t="shared" si="3"/>
        <v>0</v>
      </c>
      <c r="Q45" s="1">
        <f t="shared" si="4"/>
        <v>761.67</v>
      </c>
      <c r="R45" s="5">
        <f>IFERROR((VLOOKUP($A45,'Из ГУГЛа'!$B:$G,6,0)+T45)*S45,VLOOKUP($A45,'Из ГУГЛа'!$B:$G,6,0))</f>
        <v>769</v>
      </c>
      <c r="S45" s="4">
        <v>1</v>
      </c>
      <c r="T45" s="4">
        <v>0</v>
      </c>
      <c r="U45" s="58">
        <f t="shared" si="5"/>
        <v>0.77132558139534879</v>
      </c>
      <c r="V45" s="58">
        <f t="shared" si="6"/>
        <v>9.5318595578674139E-3</v>
      </c>
      <c r="W45" s="58">
        <f t="shared" si="7"/>
        <v>0.78837209302325584</v>
      </c>
      <c r="X45" s="156">
        <v>769</v>
      </c>
      <c r="Y45" s="44" t="s">
        <v>804</v>
      </c>
    </row>
    <row r="46" spans="1:25" ht="31.5" thickTop="1" thickBot="1" x14ac:dyDescent="0.3">
      <c r="A46" s="51">
        <v>117309</v>
      </c>
      <c r="B46" s="51">
        <f>VLOOKUP($A46,'Выгр Кат'!$A:$R,B$1,0)</f>
        <v>24501</v>
      </c>
      <c r="C46" s="56" t="str">
        <f>VLOOKUP($A46,'Выгр Кат'!$A:$R,C$1,0)</f>
        <v>USB-зарядное устройство "АПЭЛ" (2 слота) для автомобилей ГАЗ</v>
      </c>
      <c r="D46" s="51" t="str">
        <f>VLOOKUP($A46,'Выгр Кат'!$A:$R,D$1,0)</f>
        <v>Y</v>
      </c>
      <c r="E46" s="51" t="str">
        <f>VLOOKUP($A46,'Выгр Кат'!$A:$R,E$1,0)</f>
        <v>1</v>
      </c>
      <c r="F46" s="51">
        <f>VLOOKUP($A46,'Выгр Кат'!$A:$R,F$1,0)</f>
        <v>0</v>
      </c>
      <c r="G46" s="51" t="s">
        <v>499</v>
      </c>
      <c r="H46" s="77" t="s">
        <v>527</v>
      </c>
      <c r="I46" s="26">
        <f>VLOOKUP(G46,ПРАЙС!B:C,2,0)</f>
        <v>430</v>
      </c>
      <c r="J46" s="78">
        <f>VLOOKUP(I46,Наценка!$A$2:$B$9,2,1)</f>
        <v>1.6</v>
      </c>
      <c r="K46" s="64">
        <f t="shared" si="13"/>
        <v>815.14</v>
      </c>
      <c r="L46" s="80">
        <f t="shared" si="0"/>
        <v>819</v>
      </c>
      <c r="M46" s="51">
        <f>VLOOKUP($A46,'Выгр Кат'!$A:$R,M$1,0)</f>
        <v>420</v>
      </c>
      <c r="N46" s="51">
        <f>VLOOKUP($A46,'Выгр Кат'!$A:$R,N$1,0)</f>
        <v>819</v>
      </c>
      <c r="O46" s="25">
        <f t="shared" si="2"/>
        <v>-10</v>
      </c>
      <c r="P46" s="25">
        <f t="shared" si="3"/>
        <v>0</v>
      </c>
      <c r="Q46" s="1">
        <f t="shared" si="4"/>
        <v>761.67</v>
      </c>
      <c r="R46" s="5">
        <f>IFERROR((VLOOKUP($A46,'Из ГУГЛа'!$B:$G,6,0)+T46)*S46,VLOOKUP($A46,'Из ГУГЛа'!$B:$G,6,0))</f>
        <v>769</v>
      </c>
      <c r="S46" s="4">
        <v>1</v>
      </c>
      <c r="T46" s="4">
        <v>0</v>
      </c>
      <c r="U46" s="58">
        <f t="shared" si="5"/>
        <v>0.77132558139534879</v>
      </c>
      <c r="V46" s="58">
        <f t="shared" si="6"/>
        <v>9.5318595578674139E-3</v>
      </c>
      <c r="W46" s="58">
        <f t="shared" si="7"/>
        <v>0.78837209302325584</v>
      </c>
      <c r="X46" s="156">
        <v>769</v>
      </c>
      <c r="Y46" s="44" t="s">
        <v>992</v>
      </c>
    </row>
    <row r="47" spans="1:25" ht="46.5" thickTop="1" thickBot="1" x14ac:dyDescent="0.3">
      <c r="A47" s="51">
        <v>158250</v>
      </c>
      <c r="B47" s="51">
        <f>VLOOKUP($A47,'Выгр Кат'!$A:$R,B$1,0)</f>
        <v>24520</v>
      </c>
      <c r="C47" s="56" t="str">
        <f>VLOOKUP($A47,'Выгр Кат'!$A:$R,C$1,0)</f>
        <v>Коммутатор "ШТАТ" электронный (плазменный запуск) для ВАЗ 2108, 2109, 2110</v>
      </c>
      <c r="D47" s="51" t="str">
        <f>VLOOKUP($A47,'Выгр Кат'!$A:$R,D$1,0)</f>
        <v>Y</v>
      </c>
      <c r="E47" s="51" t="str">
        <f>VLOOKUP($A47,'Выгр Кат'!$A:$R,E$1,0)</f>
        <v>1</v>
      </c>
      <c r="F47" s="51" t="str">
        <f>VLOOKUP($A47,'Выгр Кат'!$A:$R,F$1,0)</f>
        <v>36.3734</v>
      </c>
      <c r="G47" s="51" t="s">
        <v>59</v>
      </c>
      <c r="H47" s="77" t="s">
        <v>527</v>
      </c>
      <c r="I47" s="26">
        <f>VLOOKUP(G47,ПРАЙС!B:C,2,0)</f>
        <v>460</v>
      </c>
      <c r="J47" s="78">
        <f>VLOOKUP(I47,Наценка!$A$2:$B$9,2,1)</f>
        <v>1.6</v>
      </c>
      <c r="K47" s="64">
        <f t="shared" ref="K47:K48" si="14">X47*1.05</f>
        <v>724.5</v>
      </c>
      <c r="L47" s="80">
        <f t="shared" si="0"/>
        <v>729</v>
      </c>
      <c r="M47" s="51">
        <f>VLOOKUP($A47,'Выгр Кат'!$A:$R,M$1,0)</f>
        <v>460</v>
      </c>
      <c r="N47" s="51">
        <f>VLOOKUP($A47,'Выгр Кат'!$A:$R,N$1,0)</f>
        <v>729</v>
      </c>
      <c r="O47" s="25">
        <f t="shared" si="2"/>
        <v>0</v>
      </c>
      <c r="P47" s="25">
        <f t="shared" si="3"/>
        <v>0</v>
      </c>
      <c r="Q47" s="1">
        <f t="shared" si="4"/>
        <v>677.96999999999991</v>
      </c>
      <c r="R47" s="5">
        <f>IFERROR((VLOOKUP($A47,'Из ГУГЛа'!$B:$G,6,0)+T47)*S47,VLOOKUP($A47,'Из ГУГЛа'!$B:$G,6,0))</f>
        <v>690</v>
      </c>
      <c r="S47" s="4">
        <v>1</v>
      </c>
      <c r="T47" s="4">
        <v>0</v>
      </c>
      <c r="U47" s="58">
        <f t="shared" si="5"/>
        <v>0.4738478260869563</v>
      </c>
      <c r="V47" s="58">
        <f t="shared" si="6"/>
        <v>1.7434782608695777E-2</v>
      </c>
      <c r="W47" s="58">
        <f t="shared" si="7"/>
        <v>0.5</v>
      </c>
      <c r="X47" s="156">
        <v>690</v>
      </c>
      <c r="Y47" s="44" t="s">
        <v>814</v>
      </c>
    </row>
    <row r="48" spans="1:25" ht="31.5" thickTop="1" thickBot="1" x14ac:dyDescent="0.3">
      <c r="A48" s="51">
        <v>158249</v>
      </c>
      <c r="B48" s="51">
        <f>VLOOKUP($A48,'Выгр Кат'!$A:$R,B$1,0)</f>
        <v>24522</v>
      </c>
      <c r="C48" s="56" t="str">
        <f>VLOOKUP($A48,'Выгр Кат'!$A:$R,C$1,0)</f>
        <v>Коммутатор "ШТАТ" электронный для Лада Ока</v>
      </c>
      <c r="D48" s="51" t="str">
        <f>VLOOKUP($A48,'Выгр Кат'!$A:$R,D$1,0)</f>
        <v>Y</v>
      </c>
      <c r="E48" s="51" t="str">
        <f>VLOOKUP($A48,'Выгр Кат'!$A:$R,E$1,0)</f>
        <v>1</v>
      </c>
      <c r="F48" s="51" t="str">
        <f>VLOOKUP($A48,'Выгр Кат'!$A:$R,F$1,0)</f>
        <v>1111.3734</v>
      </c>
      <c r="G48" s="51" t="s">
        <v>61</v>
      </c>
      <c r="H48" s="77" t="s">
        <v>527</v>
      </c>
      <c r="I48" s="26">
        <f>VLOOKUP(G48,ПРАЙС!B:C,2,0)</f>
        <v>460</v>
      </c>
      <c r="J48" s="78">
        <f>VLOOKUP(I48,Наценка!$A$2:$B$9,2,1)</f>
        <v>1.6</v>
      </c>
      <c r="K48" s="64">
        <f t="shared" si="14"/>
        <v>724.5</v>
      </c>
      <c r="L48" s="80">
        <f t="shared" si="0"/>
        <v>729</v>
      </c>
      <c r="M48" s="51">
        <f>VLOOKUP($A48,'Выгр Кат'!$A:$R,M$1,0)</f>
        <v>460</v>
      </c>
      <c r="N48" s="51">
        <f>VLOOKUP($A48,'Выгр Кат'!$A:$R,N$1,0)</f>
        <v>729</v>
      </c>
      <c r="O48" s="25">
        <f t="shared" si="2"/>
        <v>0</v>
      </c>
      <c r="P48" s="25">
        <f t="shared" si="3"/>
        <v>0</v>
      </c>
      <c r="Q48" s="1">
        <f t="shared" si="4"/>
        <v>677.96999999999991</v>
      </c>
      <c r="R48" s="5">
        <f>IFERROR((VLOOKUP($A48,'Из ГУГЛа'!$B:$G,6,0)+T48)*S48,VLOOKUP($A48,'Из ГУГЛа'!$B:$G,6,0))</f>
        <v>690</v>
      </c>
      <c r="S48" s="4">
        <v>1</v>
      </c>
      <c r="T48" s="4">
        <v>0</v>
      </c>
      <c r="U48" s="58">
        <f t="shared" si="5"/>
        <v>0.4738478260869563</v>
      </c>
      <c r="V48" s="58">
        <f t="shared" si="6"/>
        <v>1.7434782608695777E-2</v>
      </c>
      <c r="W48" s="58">
        <f t="shared" si="7"/>
        <v>0.5</v>
      </c>
      <c r="X48" s="156">
        <v>690</v>
      </c>
      <c r="Y48" s="44" t="s">
        <v>815</v>
      </c>
    </row>
    <row r="49" spans="1:25" ht="76.5" thickTop="1" thickBot="1" x14ac:dyDescent="0.3">
      <c r="A49" s="51">
        <v>140006</v>
      </c>
      <c r="B49" s="51">
        <f>VLOOKUP($A49,'Выгр Кат'!$A:$R,B$1,0)</f>
        <v>24530</v>
      </c>
      <c r="C49" s="56" t="str">
        <f>VLOOKUP($A49,'Выгр Кат'!$A:$R,C$1,0)</f>
        <v>Выкидной ключ "KD600" (без чипа и платы) для ВАЗ (2108-21099, 2110-2112, 2113-2115), Лада (Калина, Калина 2, Приора, Гранта, Нива 4х4), Шевроле Нива, Датсун (mi-DO, on-DO)</v>
      </c>
      <c r="D49" s="51" t="str">
        <f>VLOOKUP($A49,'Выгр Кат'!$A:$R,D$1,0)</f>
        <v>Y</v>
      </c>
      <c r="E49" s="51" t="str">
        <f>VLOOKUP($A49,'Выгр Кат'!$A:$R,E$1,0)</f>
        <v>1</v>
      </c>
      <c r="F49" s="51">
        <f>VLOOKUP($A49,'Выгр Кат'!$A:$R,F$1,0)</f>
        <v>0</v>
      </c>
      <c r="G49" s="51" t="s">
        <v>504</v>
      </c>
      <c r="H49" s="77" t="s">
        <v>527</v>
      </c>
      <c r="I49" s="26">
        <f>VLOOKUP(G49,ПРАЙС!B:C,2,0)</f>
        <v>380</v>
      </c>
      <c r="J49" s="78">
        <f>VLOOKUP(I49,Наценка!$A$2:$B$9,2,1)</f>
        <v>1.6</v>
      </c>
      <c r="K49" s="79">
        <f t="shared" si="1"/>
        <v>608</v>
      </c>
      <c r="L49" s="80">
        <f t="shared" si="0"/>
        <v>609</v>
      </c>
      <c r="M49" s="51">
        <f>VLOOKUP($A49,'Выгр Кат'!$A:$R,M$1,0)</f>
        <v>380</v>
      </c>
      <c r="N49" s="51">
        <f>VLOOKUP($A49,'Выгр Кат'!$A:$R,N$1,0)</f>
        <v>609</v>
      </c>
      <c r="O49" s="25">
        <f t="shared" si="2"/>
        <v>0</v>
      </c>
      <c r="P49" s="25">
        <f t="shared" si="3"/>
        <v>0</v>
      </c>
      <c r="Q49" s="1">
        <f t="shared" si="4"/>
        <v>566.37</v>
      </c>
      <c r="R49" s="5" t="str">
        <f>IFERROR((VLOOKUP($A49,'Из ГУГЛа'!$B:$G,6,0)+T49)*S49,VLOOKUP($A49,'Из ГУГЛа'!$B:$G,6,0))</f>
        <v/>
      </c>
      <c r="S49" s="4">
        <v>1</v>
      </c>
      <c r="T49" s="4">
        <v>0</v>
      </c>
      <c r="U49" s="58">
        <f t="shared" si="5"/>
        <v>0.49044736842105263</v>
      </c>
      <c r="V49" s="58" t="str">
        <f t="shared" si="6"/>
        <v/>
      </c>
      <c r="W49" s="58" t="str">
        <f t="shared" si="7"/>
        <v/>
      </c>
      <c r="X49" s="156" t="s">
        <v>929</v>
      </c>
    </row>
    <row r="50" spans="1:25" ht="31.5" thickTop="1" thickBot="1" x14ac:dyDescent="0.3">
      <c r="A50" s="51">
        <v>224680</v>
      </c>
      <c r="B50" s="51">
        <f>VLOOKUP($A50,'Выгр Кат'!$A:$R,B$1,0)</f>
        <v>24531</v>
      </c>
      <c r="C50" s="56" t="str">
        <f>VLOOKUP($A50,'Выгр Кат'!$A:$R,C$1,0)</f>
        <v>Цифровой манометр "ОРИОН" Вымпел МН-04</v>
      </c>
      <c r="D50" s="51" t="str">
        <f>VLOOKUP($A50,'Выгр Кат'!$A:$R,D$1,0)</f>
        <v>Y</v>
      </c>
      <c r="E50" s="51" t="str">
        <f>VLOOKUP($A50,'Выгр Кат'!$A:$R,E$1,0)</f>
        <v>1</v>
      </c>
      <c r="F50" s="51">
        <f>VLOOKUP($A50,'Выгр Кат'!$A:$R,F$1,0)</f>
        <v>0</v>
      </c>
      <c r="G50" s="51" t="s">
        <v>144</v>
      </c>
      <c r="H50" s="77" t="s">
        <v>527</v>
      </c>
      <c r="I50" s="26">
        <f>VLOOKUP(G50,ПРАЙС!B:C,2,0)</f>
        <v>490</v>
      </c>
      <c r="J50" s="78">
        <f>VLOOKUP(I50,Наценка!$A$2:$B$9,2,1)</f>
        <v>1.6</v>
      </c>
      <c r="K50" s="64">
        <f t="shared" ref="K50:K75" si="15">X50*1.06</f>
        <v>837.40000000000009</v>
      </c>
      <c r="L50" s="80">
        <f t="shared" si="0"/>
        <v>839</v>
      </c>
      <c r="M50" s="51">
        <f>VLOOKUP($A50,'Выгр Кат'!$A:$R,M$1,0)</f>
        <v>490</v>
      </c>
      <c r="N50" s="51">
        <f>VLOOKUP($A50,'Выгр Кат'!$A:$R,N$1,0)</f>
        <v>839</v>
      </c>
      <c r="O50" s="25">
        <f t="shared" si="2"/>
        <v>0</v>
      </c>
      <c r="P50" s="25">
        <f t="shared" si="3"/>
        <v>0</v>
      </c>
      <c r="Q50" s="1">
        <f t="shared" si="4"/>
        <v>780.27</v>
      </c>
      <c r="R50" s="5">
        <f>IFERROR((VLOOKUP($A50,'Из ГУГЛа'!$B:$G,6,0)+T50)*S50,VLOOKUP($A50,'Из ГУГЛа'!$B:$G,6,0))</f>
        <v>790</v>
      </c>
      <c r="S50" s="4">
        <v>1</v>
      </c>
      <c r="T50" s="4">
        <v>0</v>
      </c>
      <c r="U50" s="58">
        <f t="shared" si="5"/>
        <v>0.59238775510204067</v>
      </c>
      <c r="V50" s="58">
        <f t="shared" si="6"/>
        <v>1.2316455696202554E-2</v>
      </c>
      <c r="W50" s="58">
        <f t="shared" si="7"/>
        <v>0.61224489795918369</v>
      </c>
      <c r="X50" s="156">
        <v>790</v>
      </c>
      <c r="Y50" s="44" t="s">
        <v>993</v>
      </c>
    </row>
    <row r="51" spans="1:25" ht="31.5" thickTop="1" thickBot="1" x14ac:dyDescent="0.3">
      <c r="A51" s="51">
        <v>203206</v>
      </c>
      <c r="B51" s="51">
        <f>VLOOKUP($A51,'Выгр Кат'!$A:$R,B$1,0)</f>
        <v>7212</v>
      </c>
      <c r="C51" s="56" t="str">
        <f>VLOOKUP($A51,'Выгр Кат'!$A:$R,C$1,0)</f>
        <v>Регулятор обогрева стекла с автоматом «РОСТ» на Lada</v>
      </c>
      <c r="D51" s="51" t="str">
        <f>VLOOKUP($A51,'Выгр Кат'!$A:$R,D$1,0)</f>
        <v>Y</v>
      </c>
      <c r="E51" s="51" t="str">
        <f>VLOOKUP($A51,'Выгр Кат'!$A:$R,E$1,0)</f>
        <v>1</v>
      </c>
      <c r="F51" s="51">
        <f>VLOOKUP($A51,'Выгр Кат'!$A:$R,F$1,0)</f>
        <v>0</v>
      </c>
      <c r="G51" s="51" t="s">
        <v>481</v>
      </c>
      <c r="H51" s="77" t="s">
        <v>527</v>
      </c>
      <c r="I51" s="26">
        <f>VLOOKUP(G51,ПРАЙС!B:C,2,0)</f>
        <v>440</v>
      </c>
      <c r="J51" s="78">
        <f>VLOOKUP(I51,Наценка!$A$2:$B$9,2,1)</f>
        <v>1.6</v>
      </c>
      <c r="K51" s="64">
        <f t="shared" si="15"/>
        <v>772.74</v>
      </c>
      <c r="L51" s="80">
        <f t="shared" si="0"/>
        <v>779</v>
      </c>
      <c r="M51" s="51">
        <f>VLOOKUP($A51,'Выгр Кат'!$A:$R,M$1,0)</f>
        <v>420</v>
      </c>
      <c r="N51" s="51">
        <f>VLOOKUP($A51,'Выгр Кат'!$A:$R,N$1,0)</f>
        <v>779</v>
      </c>
      <c r="O51" s="25">
        <f t="shared" si="2"/>
        <v>-20</v>
      </c>
      <c r="P51" s="25">
        <f t="shared" si="3"/>
        <v>0</v>
      </c>
      <c r="Q51" s="1">
        <f t="shared" si="4"/>
        <v>724.46999999999991</v>
      </c>
      <c r="R51" s="5">
        <f>IFERROR((VLOOKUP($A51,'Из ГУГЛа'!$B:$G,6,0)+T51)*S51,VLOOKUP($A51,'Из ГУГЛа'!$B:$G,6,0))</f>
        <v>729</v>
      </c>
      <c r="S51" s="4">
        <v>1</v>
      </c>
      <c r="T51" s="4">
        <v>0</v>
      </c>
      <c r="U51" s="58">
        <f t="shared" si="5"/>
        <v>0.64652272727272697</v>
      </c>
      <c r="V51" s="58">
        <f t="shared" si="6"/>
        <v>6.2139917695474434E-3</v>
      </c>
      <c r="W51" s="58">
        <f t="shared" si="7"/>
        <v>0.65681818181818175</v>
      </c>
      <c r="X51" s="156">
        <v>729</v>
      </c>
      <c r="Y51" s="44" t="s">
        <v>806</v>
      </c>
    </row>
    <row r="52" spans="1:25" ht="16.5" thickTop="1" thickBot="1" x14ac:dyDescent="0.3">
      <c r="A52" s="51">
        <v>203204</v>
      </c>
      <c r="B52" s="51">
        <f>VLOOKUP($A52,'Выгр Кат'!$A:$R,B$1,0)</f>
        <v>7227</v>
      </c>
      <c r="C52" s="56" t="str">
        <f>VLOOKUP($A52,'Выгр Кат'!$A:$R,C$1,0)</f>
        <v>Регулятор обогрева сидений РОС-2</v>
      </c>
      <c r="D52" s="51" t="str">
        <f>VLOOKUP($A52,'Выгр Кат'!$A:$R,D$1,0)</f>
        <v>Y</v>
      </c>
      <c r="E52" s="51" t="str">
        <f>VLOOKUP($A52,'Выгр Кат'!$A:$R,E$1,0)</f>
        <v>1</v>
      </c>
      <c r="F52" s="51">
        <f>VLOOKUP($A52,'Выгр Кат'!$A:$R,F$1,0)</f>
        <v>0</v>
      </c>
      <c r="G52" s="51" t="s">
        <v>487</v>
      </c>
      <c r="H52" s="77" t="s">
        <v>527</v>
      </c>
      <c r="I52" s="26">
        <f>VLOOKUP(G52,ПРАЙС!B:C,2,0)</f>
        <v>440</v>
      </c>
      <c r="J52" s="78">
        <f>VLOOKUP(I52,Наценка!$A$2:$B$9,2,1)</f>
        <v>1.6</v>
      </c>
      <c r="K52" s="64">
        <f t="shared" si="15"/>
        <v>772.74</v>
      </c>
      <c r="L52" s="80">
        <f t="shared" si="0"/>
        <v>779</v>
      </c>
      <c r="M52" s="51">
        <f>VLOOKUP($A52,'Выгр Кат'!$A:$R,M$1,0)</f>
        <v>420</v>
      </c>
      <c r="N52" s="51">
        <f>VLOOKUP($A52,'Выгр Кат'!$A:$R,N$1,0)</f>
        <v>779</v>
      </c>
      <c r="O52" s="25">
        <f t="shared" si="2"/>
        <v>-20</v>
      </c>
      <c r="P52" s="25">
        <f t="shared" si="3"/>
        <v>0</v>
      </c>
      <c r="Q52" s="1">
        <f t="shared" si="4"/>
        <v>724.46999999999991</v>
      </c>
      <c r="R52" s="5">
        <f>IFERROR((VLOOKUP($A52,'Из ГУГЛа'!$B:$G,6,0)+T52)*S52,VLOOKUP($A52,'Из ГУГЛа'!$B:$G,6,0))</f>
        <v>729</v>
      </c>
      <c r="S52" s="4">
        <v>1</v>
      </c>
      <c r="T52" s="4">
        <v>0</v>
      </c>
      <c r="U52" s="58">
        <f t="shared" si="5"/>
        <v>0.64652272727272697</v>
      </c>
      <c r="V52" s="58">
        <f t="shared" si="6"/>
        <v>6.2139917695474434E-3</v>
      </c>
      <c r="W52" s="58">
        <f t="shared" si="7"/>
        <v>0.65681818181818175</v>
      </c>
      <c r="X52" s="156">
        <v>729</v>
      </c>
      <c r="Y52" s="44" t="s">
        <v>994</v>
      </c>
    </row>
    <row r="53" spans="1:25" ht="31.5" thickTop="1" thickBot="1" x14ac:dyDescent="0.3">
      <c r="A53" s="51">
        <v>139489</v>
      </c>
      <c r="B53" s="51">
        <f>VLOOKUP($A53,'Выгр Кат'!$A:$R,B$1,0)</f>
        <v>24518</v>
      </c>
      <c r="C53" s="56" t="str">
        <f>VLOOKUP($A53,'Выгр Кат'!$A:$R,C$1,0)</f>
        <v>Вольтметр в прикуриватель 4 в 1 (с функцией зарядного устройства USB)</v>
      </c>
      <c r="D53" s="51" t="str">
        <f>VLOOKUP($A53,'Выгр Кат'!$A:$R,D$1,0)</f>
        <v>Y</v>
      </c>
      <c r="E53" s="51" t="str">
        <f>VLOOKUP($A53,'Выгр Кат'!$A:$R,E$1,0)</f>
        <v>1</v>
      </c>
      <c r="F53" s="51">
        <f>VLOOKUP($A53,'Выгр Кат'!$A:$R,F$1,0)</f>
        <v>0</v>
      </c>
      <c r="G53" s="51" t="s">
        <v>502</v>
      </c>
      <c r="H53" s="77" t="s">
        <v>527</v>
      </c>
      <c r="I53" s="26">
        <f>VLOOKUP(G53,ПРАЙС!B:C,2,0)</f>
        <v>380</v>
      </c>
      <c r="J53" s="78">
        <f>VLOOKUP(I53,Наценка!$A$2:$B$9,2,1)</f>
        <v>1.6</v>
      </c>
      <c r="K53" s="64">
        <f t="shared" si="15"/>
        <v>666.74</v>
      </c>
      <c r="L53" s="80">
        <f t="shared" si="0"/>
        <v>669</v>
      </c>
      <c r="M53" s="51">
        <f>VLOOKUP($A53,'Выгр Кат'!$A:$R,M$1,0)</f>
        <v>380</v>
      </c>
      <c r="N53" s="51">
        <f>VLOOKUP($A53,'Выгр Кат'!$A:$R,N$1,0)</f>
        <v>669</v>
      </c>
      <c r="O53" s="25">
        <f t="shared" si="2"/>
        <v>0</v>
      </c>
      <c r="P53" s="25">
        <f t="shared" si="3"/>
        <v>0</v>
      </c>
      <c r="Q53" s="1">
        <f t="shared" si="4"/>
        <v>622.16999999999996</v>
      </c>
      <c r="R53" s="5">
        <f>IFERROR((VLOOKUP($A53,'Из ГУГЛа'!$B:$G,6,0)+T53)*S53,VLOOKUP($A53,'Из ГУГЛа'!$B:$G,6,0))</f>
        <v>629</v>
      </c>
      <c r="S53" s="4">
        <v>1</v>
      </c>
      <c r="T53" s="4">
        <v>0</v>
      </c>
      <c r="U53" s="58">
        <f t="shared" si="5"/>
        <v>0.63728947368421052</v>
      </c>
      <c r="V53" s="58">
        <f t="shared" si="6"/>
        <v>1.0858505564387982E-2</v>
      </c>
      <c r="W53" s="58">
        <f t="shared" si="7"/>
        <v>0.65526315789473677</v>
      </c>
      <c r="X53" s="156">
        <v>629</v>
      </c>
      <c r="Y53" s="44" t="s">
        <v>995</v>
      </c>
    </row>
    <row r="54" spans="1:25" ht="16.5" thickTop="1" thickBot="1" x14ac:dyDescent="0.3">
      <c r="A54" s="51">
        <v>131563</v>
      </c>
      <c r="B54" s="51">
        <f>VLOOKUP($A54,'Выгр Кат'!$A:$R,B$1,0)</f>
        <v>31504</v>
      </c>
      <c r="C54" s="56" t="str">
        <f>VLOOKUP($A54,'Выгр Кат'!$A:$R,C$1,0)</f>
        <v>Адаптер ELM 327 Bluetooth, аналог (v2.1)</v>
      </c>
      <c r="D54" s="51" t="str">
        <f>VLOOKUP($A54,'Выгр Кат'!$A:$R,D$1,0)</f>
        <v>Y</v>
      </c>
      <c r="E54" s="51" t="str">
        <f>VLOOKUP($A54,'Выгр Кат'!$A:$R,E$1,0)</f>
        <v>1</v>
      </c>
      <c r="F54" s="51">
        <f>VLOOKUP($A54,'Выгр Кат'!$A:$R,F$1,0)</f>
        <v>0</v>
      </c>
      <c r="G54" s="51" t="s">
        <v>177</v>
      </c>
      <c r="H54" s="77" t="s">
        <v>527</v>
      </c>
      <c r="I54" s="26">
        <f>VLOOKUP(G54,ПРАЙС!B:C,2,0)</f>
        <v>430</v>
      </c>
      <c r="J54" s="78">
        <f>VLOOKUP(I54,Наценка!$A$2:$B$9,2,1)</f>
        <v>1.6</v>
      </c>
      <c r="K54" s="64">
        <f>X54*1.05</f>
        <v>724.5</v>
      </c>
      <c r="L54" s="80">
        <f t="shared" si="0"/>
        <v>729</v>
      </c>
      <c r="M54" s="51">
        <f>VLOOKUP($A54,'Выгр Кат'!$A:$R,M$1,0)</f>
        <v>430</v>
      </c>
      <c r="N54" s="51">
        <f>VLOOKUP($A54,'Выгр Кат'!$A:$R,N$1,0)</f>
        <v>729</v>
      </c>
      <c r="O54" s="25">
        <f t="shared" si="2"/>
        <v>0</v>
      </c>
      <c r="P54" s="25">
        <f t="shared" si="3"/>
        <v>0</v>
      </c>
      <c r="Q54" s="1">
        <f t="shared" si="4"/>
        <v>677.96999999999991</v>
      </c>
      <c r="R54" s="5">
        <f>IFERROR((VLOOKUP($A54,'Из ГУГЛа'!$B:$G,6,0)+T54)*S54,VLOOKUP($A54,'Из ГУГЛа'!$B:$G,6,0))</f>
        <v>690</v>
      </c>
      <c r="S54" s="4">
        <v>1</v>
      </c>
      <c r="T54" s="4">
        <v>0</v>
      </c>
      <c r="U54" s="58">
        <f t="shared" si="5"/>
        <v>0.57667441860465085</v>
      </c>
      <c r="V54" s="58">
        <f t="shared" si="6"/>
        <v>1.7434782608695777E-2</v>
      </c>
      <c r="W54" s="58">
        <f t="shared" si="7"/>
        <v>0.60465116279069764</v>
      </c>
      <c r="X54" s="156">
        <v>690</v>
      </c>
      <c r="Y54" s="44" t="s">
        <v>996</v>
      </c>
    </row>
    <row r="55" spans="1:25" ht="31.5" thickTop="1" thickBot="1" x14ac:dyDescent="0.3">
      <c r="A55" s="51">
        <v>201289</v>
      </c>
      <c r="B55" s="51">
        <f>VLOOKUP($A55,'Выгр Кат'!$A:$R,B$1,0)</f>
        <v>4184</v>
      </c>
      <c r="C55" s="56" t="str">
        <f>VLOOKUP($A55,'Выгр Кат'!$A:$R,C$1,0)</f>
        <v>Проводка противотуманных фар (ПТФ) для ВАЗ 2108-21099</v>
      </c>
      <c r="D55" s="51" t="str">
        <f>VLOOKUP($A55,'Выгр Кат'!$A:$R,D$1,0)</f>
        <v>Y</v>
      </c>
      <c r="E55" s="51" t="str">
        <f>VLOOKUP($A55,'Выгр Кат'!$A:$R,E$1,0)</f>
        <v>1</v>
      </c>
      <c r="F55" s="51">
        <f>VLOOKUP($A55,'Выгр Кат'!$A:$R,F$1,0)</f>
        <v>0</v>
      </c>
      <c r="G55" s="51" t="s">
        <v>85</v>
      </c>
      <c r="H55" s="77" t="s">
        <v>527</v>
      </c>
      <c r="I55" s="26">
        <f>VLOOKUP(G55,ПРАЙС!B:C,2,0)</f>
        <v>500</v>
      </c>
      <c r="J55" s="78">
        <f>VLOOKUP(I55,Наценка!$A$2:$B$9,2,1)</f>
        <v>1.6</v>
      </c>
      <c r="K55" s="64">
        <f t="shared" si="15"/>
        <v>837.40000000000009</v>
      </c>
      <c r="L55" s="80">
        <f t="shared" si="0"/>
        <v>839</v>
      </c>
      <c r="M55" s="51">
        <f>VLOOKUP($A55,'Выгр Кат'!$A:$R,M$1,0)</f>
        <v>500</v>
      </c>
      <c r="N55" s="51">
        <f>VLOOKUP($A55,'Выгр Кат'!$A:$R,N$1,0)</f>
        <v>839</v>
      </c>
      <c r="O55" s="25">
        <f t="shared" si="2"/>
        <v>0</v>
      </c>
      <c r="P55" s="25">
        <f t="shared" si="3"/>
        <v>0</v>
      </c>
      <c r="Q55" s="1">
        <f t="shared" si="4"/>
        <v>780.27</v>
      </c>
      <c r="R55" s="5">
        <f>IFERROR((VLOOKUP($A55,'Из ГУГЛа'!$B:$G,6,0)+T55)*S55,VLOOKUP($A55,'Из ГУГЛа'!$B:$G,6,0))</f>
        <v>790</v>
      </c>
      <c r="S55" s="4">
        <v>1</v>
      </c>
      <c r="T55" s="4">
        <v>0</v>
      </c>
      <c r="U55" s="58">
        <f t="shared" si="5"/>
        <v>0.56054000000000004</v>
      </c>
      <c r="V55" s="58">
        <f t="shared" si="6"/>
        <v>1.2316455696202554E-2</v>
      </c>
      <c r="W55" s="58">
        <f t="shared" si="7"/>
        <v>0.58000000000000007</v>
      </c>
      <c r="X55" s="156">
        <v>790</v>
      </c>
      <c r="Y55" s="44" t="s">
        <v>997</v>
      </c>
    </row>
    <row r="56" spans="1:25" ht="31.5" thickTop="1" thickBot="1" x14ac:dyDescent="0.3">
      <c r="A56" s="51">
        <v>201288</v>
      </c>
      <c r="B56" s="51">
        <f>VLOOKUP($A56,'Выгр Кат'!$A:$R,B$1,0)</f>
        <v>4192</v>
      </c>
      <c r="C56" s="56" t="str">
        <f>VLOOKUP($A56,'Выгр Кат'!$A:$R,C$1,0)</f>
        <v>Проводка противотуманных фар (ПТФ) для ВАЗ 2104, 2105, 2107</v>
      </c>
      <c r="D56" s="51" t="str">
        <f>VLOOKUP($A56,'Выгр Кат'!$A:$R,D$1,0)</f>
        <v>Y</v>
      </c>
      <c r="E56" s="51" t="str">
        <f>VLOOKUP($A56,'Выгр Кат'!$A:$R,E$1,0)</f>
        <v>1ск6</v>
      </c>
      <c r="F56" s="51">
        <f>VLOOKUP($A56,'Выгр Кат'!$A:$R,F$1,0)</f>
        <v>0</v>
      </c>
      <c r="G56" s="51" t="s">
        <v>83</v>
      </c>
      <c r="H56" s="77" t="s">
        <v>527</v>
      </c>
      <c r="I56" s="26">
        <f>VLOOKUP(G56,ПРАЙС!B:C,2,0)</f>
        <v>500</v>
      </c>
      <c r="J56" s="78">
        <f>VLOOKUP(I56,Наценка!$A$2:$B$9,2,1)</f>
        <v>1.6</v>
      </c>
      <c r="K56" s="64">
        <f t="shared" si="15"/>
        <v>837.40000000000009</v>
      </c>
      <c r="L56" s="80">
        <f t="shared" si="0"/>
        <v>839</v>
      </c>
      <c r="M56" s="51">
        <f>VLOOKUP($A56,'Выгр Кат'!$A:$R,M$1,0)</f>
        <v>500</v>
      </c>
      <c r="N56" s="51">
        <f>VLOOKUP($A56,'Выгр Кат'!$A:$R,N$1,0)</f>
        <v>839</v>
      </c>
      <c r="O56" s="25">
        <f t="shared" si="2"/>
        <v>0</v>
      </c>
      <c r="P56" s="25">
        <f t="shared" si="3"/>
        <v>0</v>
      </c>
      <c r="Q56" s="1">
        <f t="shared" si="4"/>
        <v>780.27</v>
      </c>
      <c r="R56" s="5">
        <f>IFERROR((VLOOKUP($A56,'Из ГУГЛа'!$B:$G,6,0)+T56)*S56,VLOOKUP($A56,'Из ГУГЛа'!$B:$G,6,0))</f>
        <v>790</v>
      </c>
      <c r="S56" s="4">
        <v>1</v>
      </c>
      <c r="T56" s="4">
        <v>0</v>
      </c>
      <c r="U56" s="58">
        <f t="shared" si="5"/>
        <v>0.56054000000000004</v>
      </c>
      <c r="V56" s="58">
        <f t="shared" si="6"/>
        <v>1.2316455696202554E-2</v>
      </c>
      <c r="W56" s="58">
        <f t="shared" si="7"/>
        <v>0.58000000000000007</v>
      </c>
      <c r="X56" s="156">
        <v>790</v>
      </c>
      <c r="Y56" s="44" t="s">
        <v>998</v>
      </c>
    </row>
    <row r="57" spans="1:25" ht="31.5" thickTop="1" thickBot="1" x14ac:dyDescent="0.3">
      <c r="A57" s="51">
        <v>201287</v>
      </c>
      <c r="B57" s="51">
        <f>VLOOKUP($A57,'Выгр Кат'!$A:$R,B$1,0)</f>
        <v>12131</v>
      </c>
      <c r="C57" s="56" t="str">
        <f>VLOOKUP($A57,'Выгр Кат'!$A:$R,C$1,0)</f>
        <v>Проводка противотуманных фар (ПТФ) для ВАЗ (2103, 2106), Лада Нива 4х4</v>
      </c>
      <c r="D57" s="51" t="str">
        <f>VLOOKUP($A57,'Выгр Кат'!$A:$R,D$1,0)</f>
        <v>Y</v>
      </c>
      <c r="E57" s="51" t="str">
        <f>VLOOKUP($A57,'Выгр Кат'!$A:$R,E$1,0)</f>
        <v>1</v>
      </c>
      <c r="F57" s="51">
        <f>VLOOKUP($A57,'Выгр Кат'!$A:$R,F$1,0)</f>
        <v>0</v>
      </c>
      <c r="G57" s="51" t="s">
        <v>84</v>
      </c>
      <c r="H57" s="77" t="s">
        <v>527</v>
      </c>
      <c r="I57" s="26">
        <f>VLOOKUP(G57,ПРАЙС!B:C,2,0)</f>
        <v>500</v>
      </c>
      <c r="J57" s="78">
        <f>VLOOKUP(I57,Наценка!$A$2:$B$9,2,1)</f>
        <v>1.6</v>
      </c>
      <c r="K57" s="64">
        <f t="shared" si="15"/>
        <v>815.14</v>
      </c>
      <c r="L57" s="80">
        <f t="shared" si="0"/>
        <v>819</v>
      </c>
      <c r="M57" s="51">
        <f>VLOOKUP($A57,'Выгр Кат'!$A:$R,M$1,0)</f>
        <v>500</v>
      </c>
      <c r="N57" s="51">
        <f>VLOOKUP($A57,'Выгр Кат'!$A:$R,N$1,0)</f>
        <v>819</v>
      </c>
      <c r="O57" s="25">
        <f t="shared" si="2"/>
        <v>0</v>
      </c>
      <c r="P57" s="25">
        <f t="shared" si="3"/>
        <v>0</v>
      </c>
      <c r="Q57" s="1">
        <f t="shared" si="4"/>
        <v>761.67</v>
      </c>
      <c r="R57" s="5">
        <f>IFERROR((VLOOKUP($A57,'Из ГУГЛа'!$B:$G,6,0)+T57)*S57,VLOOKUP($A57,'Из ГУГЛа'!$B:$G,6,0))</f>
        <v>769</v>
      </c>
      <c r="S57" s="4">
        <v>1</v>
      </c>
      <c r="T57" s="4">
        <v>0</v>
      </c>
      <c r="U57" s="58">
        <f t="shared" si="5"/>
        <v>0.52333999999999992</v>
      </c>
      <c r="V57" s="58">
        <f t="shared" si="6"/>
        <v>9.5318595578674139E-3</v>
      </c>
      <c r="W57" s="58">
        <f t="shared" si="7"/>
        <v>0.53800000000000003</v>
      </c>
      <c r="X57" s="156">
        <v>769</v>
      </c>
      <c r="Y57" s="44" t="s">
        <v>999</v>
      </c>
    </row>
    <row r="58" spans="1:25" ht="31.5" thickTop="1" thickBot="1" x14ac:dyDescent="0.3">
      <c r="A58" s="51">
        <v>201292</v>
      </c>
      <c r="B58" s="51">
        <f>VLOOKUP($A58,'Выгр Кат'!$A:$R,B$1,0)</f>
        <v>16062</v>
      </c>
      <c r="C58" s="56" t="str">
        <f>VLOOKUP($A58,'Выгр Кат'!$A:$R,C$1,0)</f>
        <v>Проводка противотуманных фар (ПТФ) для ВАЗ 2113-2115</v>
      </c>
      <c r="D58" s="51" t="str">
        <f>VLOOKUP($A58,'Выгр Кат'!$A:$R,D$1,0)</f>
        <v>Y</v>
      </c>
      <c r="E58" s="51" t="str">
        <f>VLOOKUP($A58,'Выгр Кат'!$A:$R,E$1,0)</f>
        <v>1ск6</v>
      </c>
      <c r="F58" s="51">
        <f>VLOOKUP($A58,'Выгр Кат'!$A:$R,F$1,0)</f>
        <v>0</v>
      </c>
      <c r="G58" s="51" t="s">
        <v>88</v>
      </c>
      <c r="H58" s="77" t="s">
        <v>527</v>
      </c>
      <c r="I58" s="26">
        <f>VLOOKUP(G58,ПРАЙС!B:C,2,0)</f>
        <v>500</v>
      </c>
      <c r="J58" s="78">
        <f>VLOOKUP(I58,Наценка!$A$2:$B$9,2,1)</f>
        <v>1.6</v>
      </c>
      <c r="K58" s="64">
        <f t="shared" si="15"/>
        <v>878.74</v>
      </c>
      <c r="L58" s="80">
        <f t="shared" si="0"/>
        <v>879</v>
      </c>
      <c r="M58" s="51">
        <f>VLOOKUP($A58,'Выгр Кат'!$A:$R,M$1,0)</f>
        <v>500</v>
      </c>
      <c r="N58" s="51">
        <f>VLOOKUP($A58,'Выгр Кат'!$A:$R,N$1,0)</f>
        <v>879</v>
      </c>
      <c r="O58" s="25">
        <f t="shared" si="2"/>
        <v>0</v>
      </c>
      <c r="P58" s="25">
        <f t="shared" si="3"/>
        <v>0</v>
      </c>
      <c r="Q58" s="1">
        <f t="shared" si="4"/>
        <v>817.46999999999991</v>
      </c>
      <c r="R58" s="5">
        <f>IFERROR((VLOOKUP($A58,'Из ГУГЛа'!$B:$G,6,0)+T58)*S58,VLOOKUP($A58,'Из ГУГЛа'!$B:$G,6,0))</f>
        <v>829</v>
      </c>
      <c r="S58" s="4">
        <v>1</v>
      </c>
      <c r="T58" s="4">
        <v>0</v>
      </c>
      <c r="U58" s="58">
        <f t="shared" si="5"/>
        <v>0.63493999999999984</v>
      </c>
      <c r="V58" s="58">
        <f t="shared" si="6"/>
        <v>1.3908323281061624E-2</v>
      </c>
      <c r="W58" s="58">
        <f t="shared" si="7"/>
        <v>0.65799999999999992</v>
      </c>
      <c r="X58" s="156">
        <v>829</v>
      </c>
      <c r="Y58" s="44" t="s">
        <v>1000</v>
      </c>
    </row>
    <row r="59" spans="1:25" ht="16.5" thickTop="1" thickBot="1" x14ac:dyDescent="0.3">
      <c r="A59" s="51">
        <v>132857</v>
      </c>
      <c r="B59" s="51">
        <f>VLOOKUP($A59,'Выгр Кат'!$A:$R,B$1,0)</f>
        <v>24480</v>
      </c>
      <c r="C59" s="56" t="str">
        <f>VLOOKUP($A59,'Выгр Кат'!$A:$R,C$1,0)</f>
        <v>Антенна "АПЭЛ" ГЛОНАСС/GPS</v>
      </c>
      <c r="D59" s="51" t="str">
        <f>VLOOKUP($A59,'Выгр Кат'!$A:$R,D$1,0)</f>
        <v>Y</v>
      </c>
      <c r="E59" s="51" t="str">
        <f>VLOOKUP($A59,'Выгр Кат'!$A:$R,E$1,0)</f>
        <v>1</v>
      </c>
      <c r="F59" s="51">
        <f>VLOOKUP($A59,'Выгр Кат'!$A:$R,F$1,0)</f>
        <v>0</v>
      </c>
      <c r="G59" s="51" t="s">
        <v>181</v>
      </c>
      <c r="H59" s="77" t="s">
        <v>527</v>
      </c>
      <c r="I59" s="26">
        <f>VLOOKUP(G59,ПРАЙС!B:C,2,0)</f>
        <v>500</v>
      </c>
      <c r="J59" s="78">
        <f>VLOOKUP(I59,Наценка!$A$2:$B$9,2,1)</f>
        <v>1.6</v>
      </c>
      <c r="K59" s="64">
        <f t="shared" si="15"/>
        <v>878.74</v>
      </c>
      <c r="L59" s="80">
        <f t="shared" si="0"/>
        <v>879</v>
      </c>
      <c r="M59" s="51">
        <f>VLOOKUP($A59,'Выгр Кат'!$A:$R,M$1,0)</f>
        <v>500</v>
      </c>
      <c r="N59" s="51">
        <f>VLOOKUP($A59,'Выгр Кат'!$A:$R,N$1,0)</f>
        <v>879</v>
      </c>
      <c r="O59" s="25">
        <f t="shared" si="2"/>
        <v>0</v>
      </c>
      <c r="P59" s="25">
        <f t="shared" si="3"/>
        <v>0</v>
      </c>
      <c r="Q59" s="1">
        <f t="shared" si="4"/>
        <v>817.46999999999991</v>
      </c>
      <c r="R59" s="5">
        <f>IFERROR((VLOOKUP($A59,'Из ГУГЛа'!$B:$G,6,0)+T59)*S59,VLOOKUP($A59,'Из ГУГЛа'!$B:$G,6,0))</f>
        <v>829</v>
      </c>
      <c r="S59" s="4">
        <v>1</v>
      </c>
      <c r="T59" s="4">
        <v>0</v>
      </c>
      <c r="U59" s="58">
        <f t="shared" si="5"/>
        <v>0.63493999999999984</v>
      </c>
      <c r="V59" s="58">
        <f t="shared" si="6"/>
        <v>1.3908323281061624E-2</v>
      </c>
      <c r="W59" s="58">
        <f t="shared" si="7"/>
        <v>0.65799999999999992</v>
      </c>
      <c r="X59" s="156">
        <v>829</v>
      </c>
      <c r="Y59" s="44" t="s">
        <v>1001</v>
      </c>
    </row>
    <row r="60" spans="1:25" ht="31.5" thickTop="1" thickBot="1" x14ac:dyDescent="0.3">
      <c r="A60" s="51">
        <v>201291</v>
      </c>
      <c r="B60" s="51">
        <f>VLOOKUP($A60,'Выгр Кат'!$A:$R,B$1,0)</f>
        <v>4179</v>
      </c>
      <c r="C60" s="56" t="str">
        <f>VLOOKUP($A60,'Выгр Кат'!$A:$R,C$1,0)</f>
        <v>Проводка противотуманных фар (ПТФ) для ВАЗ 2110-2112 (с европанелью)</v>
      </c>
      <c r="D60" s="51" t="str">
        <f>VLOOKUP($A60,'Выгр Кат'!$A:$R,D$1,0)</f>
        <v>Y</v>
      </c>
      <c r="E60" s="51" t="str">
        <f>VLOOKUP($A60,'Выгр Кат'!$A:$R,E$1,0)</f>
        <v>1</v>
      </c>
      <c r="F60" s="51">
        <f>VLOOKUP($A60,'Выгр Кат'!$A:$R,F$1,0)</f>
        <v>0</v>
      </c>
      <c r="G60" s="51" t="s">
        <v>87</v>
      </c>
      <c r="H60" s="77" t="s">
        <v>527</v>
      </c>
      <c r="I60" s="26">
        <f>VLOOKUP(G60,ПРАЙС!B:C,2,0)</f>
        <v>600</v>
      </c>
      <c r="J60" s="78">
        <f>VLOOKUP(I60,Наценка!$A$2:$B$9,2,1)</f>
        <v>1.6</v>
      </c>
      <c r="K60" s="64">
        <f t="shared" si="15"/>
        <v>943.40000000000009</v>
      </c>
      <c r="L60" s="80">
        <f t="shared" si="0"/>
        <v>949</v>
      </c>
      <c r="M60" s="51">
        <f>VLOOKUP($A60,'Выгр Кат'!$A:$R,M$1,0)</f>
        <v>600</v>
      </c>
      <c r="N60" s="51">
        <f>VLOOKUP($A60,'Выгр Кат'!$A:$R,N$1,0)</f>
        <v>949</v>
      </c>
      <c r="O60" s="25">
        <f t="shared" si="2"/>
        <v>0</v>
      </c>
      <c r="P60" s="25">
        <f t="shared" si="3"/>
        <v>0</v>
      </c>
      <c r="Q60" s="1">
        <f t="shared" si="4"/>
        <v>882.56999999999994</v>
      </c>
      <c r="R60" s="5">
        <f>IFERROR((VLOOKUP($A60,'Из ГУГЛа'!$B:$G,6,0)+T60)*S60,VLOOKUP($A60,'Из ГУГЛа'!$B:$G,6,0))</f>
        <v>890</v>
      </c>
      <c r="S60" s="4">
        <v>1</v>
      </c>
      <c r="T60" s="4">
        <v>0</v>
      </c>
      <c r="U60" s="58">
        <f t="shared" si="5"/>
        <v>0.47094999999999998</v>
      </c>
      <c r="V60" s="58">
        <f t="shared" si="6"/>
        <v>8.3483146067416438E-3</v>
      </c>
      <c r="W60" s="58">
        <f t="shared" si="7"/>
        <v>0.48333333333333339</v>
      </c>
      <c r="X60" s="156">
        <v>890</v>
      </c>
      <c r="Y60" s="44" t="s">
        <v>805</v>
      </c>
    </row>
    <row r="61" spans="1:25" ht="31.5" thickTop="1" thickBot="1" x14ac:dyDescent="0.3">
      <c r="A61" s="51">
        <v>164035</v>
      </c>
      <c r="B61" s="51">
        <f>VLOOKUP($A61,'Выгр Кат'!$A:$R,B$1,0)</f>
        <v>24545</v>
      </c>
      <c r="C61" s="56" t="str">
        <f>VLOOKUP($A61,'Выгр Кат'!$A:$R,C$1,0)</f>
        <v>Модуль стробоскопа (строб-контроллер) двухканальный</v>
      </c>
      <c r="D61" s="51" t="str">
        <f>VLOOKUP($A61,'Выгр Кат'!$A:$R,D$1,0)</f>
        <v>Y</v>
      </c>
      <c r="E61" s="51" t="str">
        <f>VLOOKUP($A61,'Выгр Кат'!$A:$R,E$1,0)</f>
        <v>1</v>
      </c>
      <c r="F61" s="51">
        <f>VLOOKUP($A61,'Выгр Кат'!$A:$R,F$1,0)</f>
        <v>0</v>
      </c>
      <c r="G61" s="51" t="s">
        <v>508</v>
      </c>
      <c r="H61" s="77" t="s">
        <v>527</v>
      </c>
      <c r="I61" s="26">
        <f>VLOOKUP(G61,ПРАЙС!B:C,2,0)</f>
        <v>580</v>
      </c>
      <c r="J61" s="78">
        <f>VLOOKUP(I61,Наценка!$A$2:$B$9,2,1)</f>
        <v>1.6</v>
      </c>
      <c r="K61" s="64">
        <f t="shared" si="15"/>
        <v>984.74</v>
      </c>
      <c r="L61" s="80">
        <f t="shared" si="0"/>
        <v>989</v>
      </c>
      <c r="M61" s="51">
        <f>VLOOKUP($A61,'Выгр Кат'!$A:$R,M$1,0)</f>
        <v>580</v>
      </c>
      <c r="N61" s="51">
        <f>VLOOKUP($A61,'Выгр Кат'!$A:$R,N$1,0)</f>
        <v>989</v>
      </c>
      <c r="O61" s="25">
        <f t="shared" si="2"/>
        <v>0</v>
      </c>
      <c r="P61" s="25">
        <f t="shared" si="3"/>
        <v>0</v>
      </c>
      <c r="Q61" s="1">
        <f t="shared" si="4"/>
        <v>919.77</v>
      </c>
      <c r="R61" s="5">
        <f>IFERROR((VLOOKUP($A61,'Из ГУГЛа'!$B:$G,6,0)+T61)*S61,VLOOKUP($A61,'Из ГУГЛа'!$B:$G,6,0))</f>
        <v>929</v>
      </c>
      <c r="S61" s="4">
        <v>1</v>
      </c>
      <c r="T61" s="4">
        <v>0</v>
      </c>
      <c r="U61" s="58">
        <f t="shared" si="5"/>
        <v>0.5858103448275862</v>
      </c>
      <c r="V61" s="58">
        <f t="shared" si="6"/>
        <v>9.9354144241119678E-3</v>
      </c>
      <c r="W61" s="58">
        <f t="shared" si="7"/>
        <v>0.60172413793103452</v>
      </c>
      <c r="X61" s="156">
        <v>929</v>
      </c>
      <c r="Y61" s="44" t="s">
        <v>1002</v>
      </c>
    </row>
    <row r="62" spans="1:25" ht="31.5" thickTop="1" thickBot="1" x14ac:dyDescent="0.3">
      <c r="A62" s="51">
        <v>164005</v>
      </c>
      <c r="B62" s="51">
        <f>VLOOKUP($A62,'Выгр Кат'!$A:$R,B$1,0)</f>
        <v>7205</v>
      </c>
      <c r="C62" s="56" t="str">
        <f>VLOOKUP($A62,'Выгр Кат'!$A:$R,C$1,0)</f>
        <v>Модуль (удлинитель) управления сигнала поворотов на автомобили Lada</v>
      </c>
      <c r="D62" s="51" t="str">
        <f>VLOOKUP($A62,'Выгр Кат'!$A:$R,D$1,0)</f>
        <v>Y</v>
      </c>
      <c r="E62" s="51" t="str">
        <f>VLOOKUP($A62,'Выгр Кат'!$A:$R,E$1,0)</f>
        <v>1</v>
      </c>
      <c r="F62" s="51">
        <f>VLOOKUP($A62,'Выгр Кат'!$A:$R,F$1,0)</f>
        <v>0</v>
      </c>
      <c r="G62" s="51" t="s">
        <v>390</v>
      </c>
      <c r="H62" s="77" t="s">
        <v>527</v>
      </c>
      <c r="I62" s="26">
        <f>VLOOKUP(G62,ПРАЙС!B:C,2,0)</f>
        <v>640</v>
      </c>
      <c r="J62" s="78">
        <f>VLOOKUP(I62,Наценка!$A$2:$B$9,2,1)</f>
        <v>1.6</v>
      </c>
      <c r="K62" s="62">
        <f t="shared" ref="K62:K65" si="16">X62*1.02</f>
        <v>988.38</v>
      </c>
      <c r="L62" s="80">
        <f t="shared" si="0"/>
        <v>989</v>
      </c>
      <c r="M62" s="51">
        <f>VLOOKUP($A62,'Выгр Кат'!$A:$R,M$1,0)</f>
        <v>640</v>
      </c>
      <c r="N62" s="51">
        <f>VLOOKUP($A62,'Выгр Кат'!$A:$R,N$1,0)</f>
        <v>989</v>
      </c>
      <c r="O62" s="25">
        <f t="shared" si="2"/>
        <v>0</v>
      </c>
      <c r="P62" s="25">
        <f t="shared" si="3"/>
        <v>0</v>
      </c>
      <c r="Q62" s="1">
        <f t="shared" si="4"/>
        <v>919.77</v>
      </c>
      <c r="R62" s="5">
        <f>IFERROR((VLOOKUP($A62,'Из ГУГЛа'!$B:$G,6,0)+T62)*S62,VLOOKUP($A62,'Из ГУГЛа'!$B:$G,6,0))</f>
        <v>969</v>
      </c>
      <c r="S62" s="4">
        <v>1</v>
      </c>
      <c r="T62" s="4">
        <v>0</v>
      </c>
      <c r="U62" s="58">
        <f t="shared" si="5"/>
        <v>0.43714062500000006</v>
      </c>
      <c r="V62" s="58">
        <f t="shared" si="6"/>
        <v>5.0804953560371534E-2</v>
      </c>
      <c r="W62" s="58">
        <f t="shared" si="7"/>
        <v>0.51406250000000009</v>
      </c>
      <c r="X62" s="156">
        <v>969</v>
      </c>
      <c r="Y62" s="44" t="s">
        <v>1003</v>
      </c>
    </row>
    <row r="63" spans="1:25" ht="31.5" thickTop="1" thickBot="1" x14ac:dyDescent="0.3">
      <c r="A63" s="51">
        <v>139231</v>
      </c>
      <c r="B63" s="51">
        <f>VLOOKUP($A63,'Выгр Кат'!$A:$R,B$1,0)</f>
        <v>662</v>
      </c>
      <c r="C63" s="56" t="str">
        <f>VLOOKUP($A63,'Выгр Кат'!$A:$R,C$1,0)</f>
        <v>Вихревое устройство оптимизации сгорания топлива "ЭКОТОП"</v>
      </c>
      <c r="D63" s="51" t="str">
        <f>VLOOKUP($A63,'Выгр Кат'!$A:$R,D$1,0)</f>
        <v>Y</v>
      </c>
      <c r="E63" s="51" t="str">
        <f>VLOOKUP($A63,'Выгр Кат'!$A:$R,E$1,0)</f>
        <v>1</v>
      </c>
      <c r="F63" s="51">
        <f>VLOOKUP($A63,'Выгр Кат'!$A:$R,F$1,0)</f>
        <v>0</v>
      </c>
      <c r="G63" s="51" t="s">
        <v>469</v>
      </c>
      <c r="H63" s="77" t="s">
        <v>527</v>
      </c>
      <c r="I63" s="26">
        <f>VLOOKUP(G63,ПРАЙС!B:C,2,0)</f>
        <v>600</v>
      </c>
      <c r="J63" s="78">
        <f>VLOOKUP(I63,Наценка!$A$2:$B$9,2,1)</f>
        <v>1.6</v>
      </c>
      <c r="K63" s="61">
        <f t="shared" ref="K63:K64" si="17">X63*1</f>
        <v>990</v>
      </c>
      <c r="L63" s="80">
        <f t="shared" si="0"/>
        <v>989</v>
      </c>
      <c r="M63" s="51">
        <f>VLOOKUP($A63,'Выгр Кат'!$A:$R,M$1,0)</f>
        <v>600</v>
      </c>
      <c r="N63" s="51">
        <f>VLOOKUP($A63,'Выгр Кат'!$A:$R,N$1,0)</f>
        <v>989</v>
      </c>
      <c r="O63" s="25">
        <f t="shared" si="2"/>
        <v>0</v>
      </c>
      <c r="P63" s="25">
        <f t="shared" si="3"/>
        <v>0</v>
      </c>
      <c r="Q63" s="1">
        <f t="shared" si="4"/>
        <v>919.77</v>
      </c>
      <c r="R63" s="5">
        <f>IFERROR((VLOOKUP($A63,'Из ГУГЛа'!$B:$G,6,0)+T63)*S63,VLOOKUP($A63,'Из ГУГЛа'!$B:$G,6,0))</f>
        <v>990</v>
      </c>
      <c r="S63" s="4">
        <v>1</v>
      </c>
      <c r="T63" s="4">
        <v>0</v>
      </c>
      <c r="U63" s="58">
        <f t="shared" si="5"/>
        <v>0.53295000000000003</v>
      </c>
      <c r="V63" s="58">
        <f t="shared" si="6"/>
        <v>7.0939393939393955E-2</v>
      </c>
      <c r="W63" s="58">
        <f t="shared" si="7"/>
        <v>0.64999999999999991</v>
      </c>
      <c r="X63" s="156">
        <v>990</v>
      </c>
      <c r="Y63" s="44" t="s">
        <v>1004</v>
      </c>
    </row>
    <row r="64" spans="1:25" ht="31.5" thickTop="1" thickBot="1" x14ac:dyDescent="0.3">
      <c r="A64" s="51">
        <v>164032</v>
      </c>
      <c r="B64" s="51">
        <f>VLOOKUP($A64,'Выгр Кат'!$A:$R,B$1,0)</f>
        <v>7208</v>
      </c>
      <c r="C64" s="56" t="str">
        <f>VLOOKUP($A64,'Выгр Кат'!$A:$R,C$1,0)</f>
        <v>Модуль защиты ламп (H7) ближнего света на автомобили Lada</v>
      </c>
      <c r="D64" s="51" t="str">
        <f>VLOOKUP($A64,'Выгр Кат'!$A:$R,D$1,0)</f>
        <v>Y</v>
      </c>
      <c r="E64" s="51" t="str">
        <f>VLOOKUP($A64,'Выгр Кат'!$A:$R,E$1,0)</f>
        <v>1</v>
      </c>
      <c r="F64" s="51">
        <f>VLOOKUP($A64,'Выгр Кат'!$A:$R,F$1,0)</f>
        <v>0</v>
      </c>
      <c r="G64" s="51" t="s">
        <v>517</v>
      </c>
      <c r="H64" s="77" t="s">
        <v>527</v>
      </c>
      <c r="I64" s="26">
        <f>VLOOKUP(G64,ПРАЙС!B:C,2,0)</f>
        <v>660</v>
      </c>
      <c r="J64" s="78">
        <f>VLOOKUP(I64,Наценка!$A$2:$B$9,2,1)</f>
        <v>1.6</v>
      </c>
      <c r="K64" s="61">
        <f t="shared" si="17"/>
        <v>990</v>
      </c>
      <c r="L64" s="80">
        <f t="shared" si="0"/>
        <v>989</v>
      </c>
      <c r="M64" s="51">
        <f>VLOOKUP($A64,'Выгр Кат'!$A:$R,M$1,0)</f>
        <v>660</v>
      </c>
      <c r="N64" s="51">
        <f>VLOOKUP($A64,'Выгр Кат'!$A:$R,N$1,0)</f>
        <v>989</v>
      </c>
      <c r="O64" s="25">
        <f t="shared" si="2"/>
        <v>0</v>
      </c>
      <c r="P64" s="25">
        <f t="shared" si="3"/>
        <v>0</v>
      </c>
      <c r="Q64" s="1">
        <f t="shared" si="4"/>
        <v>919.77</v>
      </c>
      <c r="R64" s="5">
        <f>IFERROR((VLOOKUP($A64,'Из ГУГЛа'!$B:$G,6,0)+T64)*S64,VLOOKUP($A64,'Из ГУГЛа'!$B:$G,6,0))</f>
        <v>990</v>
      </c>
      <c r="S64" s="4">
        <v>1</v>
      </c>
      <c r="T64" s="4">
        <v>0</v>
      </c>
      <c r="U64" s="58">
        <f t="shared" si="5"/>
        <v>0.3935909090909091</v>
      </c>
      <c r="V64" s="58">
        <f t="shared" si="6"/>
        <v>7.0939393939393955E-2</v>
      </c>
      <c r="W64" s="58">
        <f t="shared" si="7"/>
        <v>0.5</v>
      </c>
      <c r="X64" s="156">
        <v>990</v>
      </c>
      <c r="Y64" s="44" t="s">
        <v>1005</v>
      </c>
    </row>
    <row r="65" spans="1:25" ht="46.5" thickTop="1" thickBot="1" x14ac:dyDescent="0.3">
      <c r="A65" s="51">
        <v>136661</v>
      </c>
      <c r="B65" s="51">
        <f>VLOOKUP($A65,'Выгр Кат'!$A:$R,B$1,0)</f>
        <v>7217</v>
      </c>
      <c r="C65" s="56" t="str">
        <f>VLOOKUP($A65,'Выгр Кат'!$A:$R,C$1,0)</f>
        <v>Безключевой обходчик иммобилайзера Штат на Lada Priora 2, Granta, Kalina 2, Datsun</v>
      </c>
      <c r="D65" s="51" t="str">
        <f>VLOOKUP($A65,'Выгр Кат'!$A:$R,D$1,0)</f>
        <v>Y</v>
      </c>
      <c r="E65" s="51" t="str">
        <f>VLOOKUP($A65,'Выгр Кат'!$A:$R,E$1,0)</f>
        <v>1</v>
      </c>
      <c r="F65" s="51">
        <f>VLOOKUP($A65,'Выгр Кат'!$A:$R,F$1,0)</f>
        <v>0</v>
      </c>
      <c r="G65" s="51" t="s">
        <v>185</v>
      </c>
      <c r="H65" s="77" t="s">
        <v>527</v>
      </c>
      <c r="I65" s="26">
        <f>VLOOKUP(G65,ПРАЙС!B:C,2,0)</f>
        <v>600</v>
      </c>
      <c r="J65" s="78">
        <f>VLOOKUP(I65,Наценка!$A$2:$B$9,2,1)</f>
        <v>1.6</v>
      </c>
      <c r="K65" s="62">
        <f t="shared" si="16"/>
        <v>988.38</v>
      </c>
      <c r="L65" s="80">
        <f t="shared" si="0"/>
        <v>989</v>
      </c>
      <c r="M65" s="51">
        <f>VLOOKUP($A65,'Выгр Кат'!$A:$R,M$1,0)</f>
        <v>600</v>
      </c>
      <c r="N65" s="51">
        <f>VLOOKUP($A65,'Выгр Кат'!$A:$R,N$1,0)</f>
        <v>989</v>
      </c>
      <c r="O65" s="25">
        <f t="shared" ref="O65:O123" si="18">M65-I65</f>
        <v>0</v>
      </c>
      <c r="P65" s="25">
        <f t="shared" ref="P65:P123" si="19">N65-L65</f>
        <v>0</v>
      </c>
      <c r="Q65" s="1">
        <f t="shared" si="4"/>
        <v>919.77</v>
      </c>
      <c r="R65" s="5">
        <f>IFERROR((VLOOKUP($A65,'Из ГУГЛа'!$B:$G,6,0)+T65)*S65,VLOOKUP($A65,'Из ГУГЛа'!$B:$G,6,0))</f>
        <v>969</v>
      </c>
      <c r="S65" s="4">
        <v>1</v>
      </c>
      <c r="T65" s="4">
        <v>0</v>
      </c>
      <c r="U65" s="58">
        <f t="shared" si="5"/>
        <v>0.53295000000000003</v>
      </c>
      <c r="V65" s="58">
        <f t="shared" si="6"/>
        <v>5.0804953560371534E-2</v>
      </c>
      <c r="W65" s="58">
        <f t="shared" si="7"/>
        <v>0.61499999999999999</v>
      </c>
      <c r="X65" s="156">
        <v>969</v>
      </c>
      <c r="Y65" s="44" t="s">
        <v>817</v>
      </c>
    </row>
    <row r="66" spans="1:25" ht="31.5" thickTop="1" thickBot="1" x14ac:dyDescent="0.3">
      <c r="A66" s="51">
        <v>223070</v>
      </c>
      <c r="B66" s="51">
        <f>VLOOKUP($A66,'Выгр Кат'!$A:$R,B$1,0)</f>
        <v>7229</v>
      </c>
      <c r="C66" s="56" t="str">
        <f>VLOOKUP($A66,'Выгр Кат'!$A:$R,C$1,0)</f>
        <v>Универсальное реле защиты ламп на автомобили Lada</v>
      </c>
      <c r="D66" s="51" t="str">
        <f>VLOOKUP($A66,'Выгр Кат'!$A:$R,D$1,0)</f>
        <v>Y</v>
      </c>
      <c r="E66" s="51" t="str">
        <f>VLOOKUP($A66,'Выгр Кат'!$A:$R,E$1,0)</f>
        <v>1</v>
      </c>
      <c r="F66" s="51">
        <f>VLOOKUP($A66,'Выгр Кат'!$A:$R,F$1,0)</f>
        <v>0</v>
      </c>
      <c r="G66" s="51" t="s">
        <v>488</v>
      </c>
      <c r="H66" s="77" t="s">
        <v>527</v>
      </c>
      <c r="I66" s="26">
        <f>VLOOKUP(G66,ПРАЙС!B:C,2,0)</f>
        <v>660</v>
      </c>
      <c r="J66" s="78">
        <f>VLOOKUP(I66,Наценка!$A$2:$B$9,2,1)</f>
        <v>1.6</v>
      </c>
      <c r="K66" s="64">
        <f t="shared" ref="K66" si="20">X66*1.05</f>
        <v>996.45</v>
      </c>
      <c r="L66" s="80">
        <f t="shared" si="0"/>
        <v>999</v>
      </c>
      <c r="M66" s="51">
        <f>VLOOKUP($A66,'Выгр Кат'!$A:$R,M$1,0)</f>
        <v>660</v>
      </c>
      <c r="N66" s="51">
        <f>VLOOKUP($A66,'Выгр Кат'!$A:$R,N$1,0)</f>
        <v>999</v>
      </c>
      <c r="O66" s="25">
        <f t="shared" si="18"/>
        <v>0</v>
      </c>
      <c r="P66" s="25">
        <f t="shared" si="19"/>
        <v>0</v>
      </c>
      <c r="Q66" s="1">
        <f t="shared" si="4"/>
        <v>929.06999999999994</v>
      </c>
      <c r="R66" s="5">
        <f>IFERROR((VLOOKUP($A66,'Из ГУГЛа'!$B:$G,6,0)+T66)*S66,VLOOKUP($A66,'Из ГУГЛа'!$B:$G,6,0))</f>
        <v>949</v>
      </c>
      <c r="S66" s="4">
        <v>1</v>
      </c>
      <c r="T66" s="4">
        <v>0</v>
      </c>
      <c r="U66" s="58">
        <f t="shared" si="5"/>
        <v>0.40768181818181803</v>
      </c>
      <c r="V66" s="58">
        <f t="shared" si="6"/>
        <v>2.1001053740779835E-2</v>
      </c>
      <c r="W66" s="58">
        <f t="shared" si="7"/>
        <v>0.43787878787878798</v>
      </c>
      <c r="X66" s="156">
        <v>949</v>
      </c>
      <c r="Y66" s="44" t="s">
        <v>1006</v>
      </c>
    </row>
    <row r="67" spans="1:25" ht="31.5" thickTop="1" thickBot="1" x14ac:dyDescent="0.3">
      <c r="A67" s="51">
        <v>201293</v>
      </c>
      <c r="B67" s="51">
        <f>VLOOKUP($A67,'Выгр Кат'!$A:$R,B$1,0)</f>
        <v>8009</v>
      </c>
      <c r="C67" s="56" t="str">
        <f>VLOOKUP($A67,'Выгр Кат'!$A:$R,C$1,0)</f>
        <v>Проводка противотуманных фар (ПТФ) для Лада Веста</v>
      </c>
      <c r="D67" s="51" t="str">
        <f>VLOOKUP($A67,'Выгр Кат'!$A:$R,D$1,0)</f>
        <v>Y</v>
      </c>
      <c r="E67" s="51" t="str">
        <f>VLOOKUP($A67,'Выгр Кат'!$A:$R,E$1,0)</f>
        <v>1</v>
      </c>
      <c r="F67" s="51">
        <f>VLOOKUP($A67,'Выгр Кат'!$A:$R,F$1,0)</f>
        <v>0</v>
      </c>
      <c r="G67" s="51" t="s">
        <v>123</v>
      </c>
      <c r="H67" s="77" t="s">
        <v>527</v>
      </c>
      <c r="I67" s="26">
        <f>VLOOKUP(G67,ПРАЙС!B:C,2,0)</f>
        <v>650</v>
      </c>
      <c r="J67" s="78">
        <f>VLOOKUP(I67,Наценка!$A$2:$B$9,2,1)</f>
        <v>1.6</v>
      </c>
      <c r="K67" s="61">
        <f t="shared" ref="K67:K68" si="21">X67*1</f>
        <v>1090</v>
      </c>
      <c r="L67" s="80">
        <f t="shared" ref="L67:L129" si="22">IF(K67&lt;=1000,(ROUNDUP(K67,-1)-1),(ROUNDUP(K67,-2)-10))</f>
        <v>1090</v>
      </c>
      <c r="M67" s="51">
        <f>VLOOKUP($A67,'Выгр Кат'!$A:$R,M$1,0)</f>
        <v>650</v>
      </c>
      <c r="N67" s="51">
        <f>VLOOKUP($A67,'Выгр Кат'!$A:$R,N$1,0)</f>
        <v>1090</v>
      </c>
      <c r="O67" s="25">
        <f t="shared" si="18"/>
        <v>0</v>
      </c>
      <c r="P67" s="25">
        <f t="shared" si="19"/>
        <v>0</v>
      </c>
      <c r="Q67" s="1">
        <f t="shared" si="4"/>
        <v>1013.6999999999999</v>
      </c>
      <c r="R67" s="5">
        <f>IFERROR((VLOOKUP($A67,'Из ГУГЛа'!$B:$G,6,0)+T67)*S67,VLOOKUP($A67,'Из ГУГЛа'!$B:$G,6,0))</f>
        <v>1090</v>
      </c>
      <c r="S67" s="4">
        <v>1</v>
      </c>
      <c r="T67" s="4">
        <v>0</v>
      </c>
      <c r="U67" s="58">
        <f t="shared" si="5"/>
        <v>0.55953846153846154</v>
      </c>
      <c r="V67" s="58">
        <f t="shared" si="6"/>
        <v>7.0000000000000062E-2</v>
      </c>
      <c r="W67" s="58">
        <f t="shared" si="7"/>
        <v>0.67692307692307696</v>
      </c>
      <c r="X67" s="156">
        <v>1090</v>
      </c>
      <c r="Y67" s="44" t="s">
        <v>1007</v>
      </c>
    </row>
    <row r="68" spans="1:25" ht="16.5" thickTop="1" thickBot="1" x14ac:dyDescent="0.3">
      <c r="A68" s="51">
        <v>165355</v>
      </c>
      <c r="B68" s="51">
        <f>VLOOKUP($A68,'Выгр Кат'!$A:$R,B$1,0)</f>
        <v>31511</v>
      </c>
      <c r="C68" s="56" t="str">
        <f>VLOOKUP($A68,'Выгр Кат'!$A:$R,C$1,0)</f>
        <v>Нагрузочная вилка "ОРИОН" НВ-05</v>
      </c>
      <c r="D68" s="51" t="str">
        <f>VLOOKUP($A68,'Выгр Кат'!$A:$R,D$1,0)</f>
        <v>Y</v>
      </c>
      <c r="E68" s="51" t="str">
        <f>VLOOKUP($A68,'Выгр Кат'!$A:$R,E$1,0)</f>
        <v>1</v>
      </c>
      <c r="F68" s="51" t="str">
        <f>VLOOKUP($A68,'Выгр Кат'!$A:$R,F$1,0)</f>
        <v>2110</v>
      </c>
      <c r="G68" s="51" t="s">
        <v>190</v>
      </c>
      <c r="H68" s="77" t="s">
        <v>527</v>
      </c>
      <c r="I68" s="26">
        <f>VLOOKUP(G68,ПРАЙС!B:C,2,0)</f>
        <v>870</v>
      </c>
      <c r="J68" s="78">
        <f>VLOOKUP(I68,Наценка!$A$2:$B$9,2,1)</f>
        <v>1.6</v>
      </c>
      <c r="K68" s="61">
        <f t="shared" si="21"/>
        <v>1290</v>
      </c>
      <c r="L68" s="80">
        <f t="shared" si="22"/>
        <v>1290</v>
      </c>
      <c r="M68" s="51">
        <f>VLOOKUP($A68,'Выгр Кат'!$A:$R,M$1,0)</f>
        <v>870</v>
      </c>
      <c r="N68" s="51">
        <f>VLOOKUP($A68,'Выгр Кат'!$A:$R,N$1,0)</f>
        <v>1290</v>
      </c>
      <c r="O68" s="25">
        <f t="shared" si="18"/>
        <v>0</v>
      </c>
      <c r="P68" s="25">
        <f t="shared" si="19"/>
        <v>0</v>
      </c>
      <c r="Q68" s="1">
        <f t="shared" ref="Q68:Q130" si="23">IFERROR(L68*(1-$Q$2),"")</f>
        <v>1199.6999999999998</v>
      </c>
      <c r="R68" s="5">
        <f>IFERROR((VLOOKUP($A68,'Из ГУГЛа'!$B:$G,6,0)+T68)*S68,VLOOKUP($A68,'Из ГУГЛа'!$B:$G,6,0))</f>
        <v>1290</v>
      </c>
      <c r="S68" s="4">
        <v>1</v>
      </c>
      <c r="T68" s="4">
        <v>0</v>
      </c>
      <c r="U68" s="58">
        <f t="shared" ref="U68:U130" si="24">IFERROR(Q68/I68-1,"")</f>
        <v>0.37896551724137906</v>
      </c>
      <c r="V68" s="58">
        <f t="shared" ref="V68:V130" si="25">IFERROR((X68-Q68)/X68,"")</f>
        <v>7.0000000000000145E-2</v>
      </c>
      <c r="W68" s="58">
        <f t="shared" ref="W68:W130" si="26">IFERROR(IF(X68="","",X68/I68-1),"")</f>
        <v>0.48275862068965525</v>
      </c>
      <c r="X68" s="156">
        <v>1290</v>
      </c>
      <c r="Y68" s="44" t="s">
        <v>1008</v>
      </c>
    </row>
    <row r="69" spans="1:25" ht="31.5" thickTop="1" thickBot="1" x14ac:dyDescent="0.3">
      <c r="A69" s="51">
        <v>136896</v>
      </c>
      <c r="B69" s="51">
        <f>VLOOKUP($A69,'Выгр Кат'!$A:$R,B$1,0)</f>
        <v>31514</v>
      </c>
      <c r="C69" s="56" t="str">
        <f>VLOOKUP($A69,'Выгр Кат'!$A:$R,C$1,0)</f>
        <v>Блок управления вентилятором отопителя (исключает запах омывайки)</v>
      </c>
      <c r="D69" s="51" t="str">
        <f>VLOOKUP($A69,'Выгр Кат'!$A:$R,D$1,0)</f>
        <v>Y</v>
      </c>
      <c r="E69" s="51" t="str">
        <f>VLOOKUP($A69,'Выгр Кат'!$A:$R,E$1,0)</f>
        <v>1</v>
      </c>
      <c r="F69" s="51">
        <f>VLOOKUP($A69,'Выгр Кат'!$A:$R,F$1,0)</f>
        <v>0</v>
      </c>
      <c r="G69" s="51" t="s">
        <v>513</v>
      </c>
      <c r="H69" s="77" t="s">
        <v>527</v>
      </c>
      <c r="I69" s="26" t="e">
        <f>VLOOKUP(G69,ПРАЙС!B:C,2,0)</f>
        <v>#N/A</v>
      </c>
      <c r="J69" s="78" t="e">
        <f>VLOOKUP(I69,Наценка!$A$2:$B$9,2,1)</f>
        <v>#N/A</v>
      </c>
      <c r="K69" s="62">
        <f t="shared" ref="K69" si="27">X69*1.02</f>
        <v>988.38</v>
      </c>
      <c r="L69" s="80">
        <f t="shared" si="22"/>
        <v>989</v>
      </c>
      <c r="M69" s="51">
        <f>VLOOKUP($A69,'Выгр Кат'!$A:$R,M$1,0)</f>
        <v>640</v>
      </c>
      <c r="N69" s="51">
        <f>VLOOKUP($A69,'Выгр Кат'!$A:$R,N$1,0)</f>
        <v>989</v>
      </c>
      <c r="O69" s="25" t="e">
        <f t="shared" si="18"/>
        <v>#N/A</v>
      </c>
      <c r="P69" s="25">
        <f t="shared" si="19"/>
        <v>0</v>
      </c>
      <c r="Q69" s="1">
        <f t="shared" si="23"/>
        <v>919.77</v>
      </c>
      <c r="R69" s="5">
        <f>IFERROR((VLOOKUP($A69,'Из ГУГЛа'!$B:$G,6,0)+T69)*S69,VLOOKUP($A69,'Из ГУГЛа'!$B:$G,6,0))</f>
        <v>969</v>
      </c>
      <c r="S69" s="4">
        <v>1</v>
      </c>
      <c r="T69" s="4">
        <v>0</v>
      </c>
      <c r="U69" s="58" t="str">
        <f t="shared" si="24"/>
        <v/>
      </c>
      <c r="V69" s="58">
        <f t="shared" si="25"/>
        <v>5.0804953560371534E-2</v>
      </c>
      <c r="W69" s="58" t="str">
        <f t="shared" si="26"/>
        <v/>
      </c>
      <c r="X69" s="156">
        <v>969</v>
      </c>
      <c r="Y69" s="44" t="s">
        <v>1009</v>
      </c>
    </row>
    <row r="70" spans="1:25" ht="31.5" thickTop="1" thickBot="1" x14ac:dyDescent="0.3">
      <c r="A70" s="51">
        <v>219100</v>
      </c>
      <c r="B70" s="51">
        <f>VLOOKUP($A70,'Выгр Кат'!$A:$R,B$1,0)</f>
        <v>7193</v>
      </c>
      <c r="C70" s="56" t="str">
        <f>VLOOKUP($A70,'Выгр Кат'!$A:$R,C$1,0)</f>
        <v>Тахометр Multitronics DM10 для карбюраторных двигателей</v>
      </c>
      <c r="D70" s="51" t="str">
        <f>VLOOKUP($A70,'Выгр Кат'!$A:$R,D$1,0)</f>
        <v>Y</v>
      </c>
      <c r="E70" s="51" t="str">
        <f>VLOOKUP($A70,'Выгр Кат'!$A:$R,E$1,0)</f>
        <v>1</v>
      </c>
      <c r="F70" s="51">
        <f>VLOOKUP($A70,'Выгр Кат'!$A:$R,F$1,0)</f>
        <v>0</v>
      </c>
      <c r="G70" s="51" t="s">
        <v>477</v>
      </c>
      <c r="H70" s="77" t="s">
        <v>527</v>
      </c>
      <c r="I70" s="26">
        <f>VLOOKUP(G70,ПРАЙС!B:C,2,0)</f>
        <v>700</v>
      </c>
      <c r="J70" s="78">
        <f>VLOOKUP(I70,Наценка!$A$2:$B$9,2,1)</f>
        <v>1.6</v>
      </c>
      <c r="K70" s="61">
        <f t="shared" ref="K70:K74" si="28">X70*1</f>
        <v>1190</v>
      </c>
      <c r="L70" s="80">
        <f t="shared" si="22"/>
        <v>1190</v>
      </c>
      <c r="M70" s="51">
        <f>VLOOKUP($A70,'Выгр Кат'!$A:$R,M$1,0)</f>
        <v>700</v>
      </c>
      <c r="N70" s="51">
        <f>VLOOKUP($A70,'Выгр Кат'!$A:$R,N$1,0)</f>
        <v>1190</v>
      </c>
      <c r="O70" s="25">
        <f t="shared" si="18"/>
        <v>0</v>
      </c>
      <c r="P70" s="25">
        <f t="shared" si="19"/>
        <v>0</v>
      </c>
      <c r="Q70" s="1">
        <f t="shared" si="23"/>
        <v>1106.6999999999998</v>
      </c>
      <c r="R70" s="5">
        <f>IFERROR((VLOOKUP($A70,'Из ГУГЛа'!$B:$G,6,0)+T70)*S70,VLOOKUP($A70,'Из ГУГЛа'!$B:$G,6,0))</f>
        <v>1190</v>
      </c>
      <c r="S70" s="4">
        <v>1</v>
      </c>
      <c r="T70" s="4">
        <v>0</v>
      </c>
      <c r="U70" s="58">
        <f t="shared" si="24"/>
        <v>0.58099999999999974</v>
      </c>
      <c r="V70" s="58">
        <f t="shared" si="25"/>
        <v>7.0000000000000159E-2</v>
      </c>
      <c r="W70" s="58">
        <f t="shared" si="26"/>
        <v>0.7</v>
      </c>
      <c r="X70" s="156">
        <v>1190</v>
      </c>
      <c r="Y70" s="44" t="s">
        <v>976</v>
      </c>
    </row>
    <row r="71" spans="1:25" ht="31.5" thickTop="1" thickBot="1" x14ac:dyDescent="0.3">
      <c r="A71" s="51">
        <v>164010</v>
      </c>
      <c r="B71" s="51">
        <f>VLOOKUP($A71,'Выгр Кат'!$A:$R,B$1,0)</f>
        <v>12747</v>
      </c>
      <c r="C71" s="56" t="str">
        <f>VLOOKUP($A71,'Выгр Кат'!$A:$R,C$1,0)</f>
        <v>Модуль автоматического управления светом «МАУС-2» на ВАЗ</v>
      </c>
      <c r="D71" s="51" t="str">
        <f>VLOOKUP($A71,'Выгр Кат'!$A:$R,D$1,0)</f>
        <v>Y</v>
      </c>
      <c r="E71" s="51" t="str">
        <f>VLOOKUP($A71,'Выгр Кат'!$A:$R,E$1,0)</f>
        <v>1</v>
      </c>
      <c r="F71" s="51">
        <f>VLOOKUP($A71,'Выгр Кат'!$A:$R,F$1,0)</f>
        <v>0</v>
      </c>
      <c r="G71" s="51" t="s">
        <v>406</v>
      </c>
      <c r="H71" s="77" t="s">
        <v>527</v>
      </c>
      <c r="I71" s="26">
        <f>VLOOKUP(G71,ПРАЙС!B:C,2,0)</f>
        <v>650</v>
      </c>
      <c r="J71" s="78">
        <f>VLOOKUP(I71,Наценка!$A$2:$B$9,2,1)</f>
        <v>1.6</v>
      </c>
      <c r="K71" s="61">
        <f t="shared" si="28"/>
        <v>990</v>
      </c>
      <c r="L71" s="80">
        <f t="shared" si="22"/>
        <v>989</v>
      </c>
      <c r="M71" s="51">
        <f>VLOOKUP($A71,'Выгр Кат'!$A:$R,M$1,0)</f>
        <v>650</v>
      </c>
      <c r="N71" s="51">
        <f>VLOOKUP($A71,'Выгр Кат'!$A:$R,N$1,0)</f>
        <v>989</v>
      </c>
      <c r="O71" s="25">
        <f t="shared" si="18"/>
        <v>0</v>
      </c>
      <c r="P71" s="25">
        <f t="shared" si="19"/>
        <v>0</v>
      </c>
      <c r="Q71" s="1">
        <f t="shared" si="23"/>
        <v>919.77</v>
      </c>
      <c r="R71" s="5">
        <f>IFERROR((VLOOKUP($A71,'Из ГУГЛа'!$B:$G,6,0)+T71)*S71,VLOOKUP($A71,'Из ГУГЛа'!$B:$G,6,0))</f>
        <v>990</v>
      </c>
      <c r="S71" s="4">
        <v>1</v>
      </c>
      <c r="T71" s="4">
        <v>0</v>
      </c>
      <c r="U71" s="58">
        <f t="shared" si="24"/>
        <v>0.41503076923076909</v>
      </c>
      <c r="V71" s="58">
        <f t="shared" si="25"/>
        <v>7.0939393939393955E-2</v>
      </c>
      <c r="W71" s="58">
        <f t="shared" si="26"/>
        <v>0.52307692307692299</v>
      </c>
      <c r="X71" s="156">
        <v>990</v>
      </c>
      <c r="Y71" s="44" t="s">
        <v>791</v>
      </c>
    </row>
    <row r="72" spans="1:25" ht="46.5" thickTop="1" thickBot="1" x14ac:dyDescent="0.3">
      <c r="A72" s="51">
        <v>203955</v>
      </c>
      <c r="B72" s="51">
        <f>VLOOKUP($A72,'Выгр Кат'!$A:$R,B$1,0)</f>
        <v>7214</v>
      </c>
      <c r="C72" s="56" t="str">
        <f>VLOOKUP($A72,'Выгр Кат'!$A:$R,C$1,0)</f>
        <v>Реле ДХО-30 для включения дальнего света как ходовые огни на Lada Priora, Granta, Kalina, Kalina 2</v>
      </c>
      <c r="D72" s="51" t="str">
        <f>VLOOKUP($A72,'Выгр Кат'!$A:$R,D$1,0)</f>
        <v>Y</v>
      </c>
      <c r="E72" s="51" t="str">
        <f>VLOOKUP($A72,'Выгр Кат'!$A:$R,E$1,0)</f>
        <v>1</v>
      </c>
      <c r="F72" s="51">
        <f>VLOOKUP($A72,'Выгр Кат'!$A:$R,F$1,0)</f>
        <v>0</v>
      </c>
      <c r="G72" s="51" t="s">
        <v>382</v>
      </c>
      <c r="H72" s="77" t="s">
        <v>527</v>
      </c>
      <c r="I72" s="26">
        <f>VLOOKUP(G72,ПРАЙС!B:C,2,0)</f>
        <v>730</v>
      </c>
      <c r="J72" s="78">
        <f>VLOOKUP(I72,Наценка!$A$2:$B$9,2,1)</f>
        <v>1.6</v>
      </c>
      <c r="K72" s="61">
        <f t="shared" si="28"/>
        <v>1190</v>
      </c>
      <c r="L72" s="80">
        <f t="shared" si="22"/>
        <v>1190</v>
      </c>
      <c r="M72" s="51">
        <f>VLOOKUP($A72,'Выгр Кат'!$A:$R,M$1,0)</f>
        <v>730</v>
      </c>
      <c r="N72" s="51">
        <f>VLOOKUP($A72,'Выгр Кат'!$A:$R,N$1,0)</f>
        <v>1190</v>
      </c>
      <c r="O72" s="25">
        <f t="shared" si="18"/>
        <v>0</v>
      </c>
      <c r="P72" s="25">
        <f t="shared" si="19"/>
        <v>0</v>
      </c>
      <c r="Q72" s="1">
        <f t="shared" si="23"/>
        <v>1106.6999999999998</v>
      </c>
      <c r="R72" s="5">
        <f>IFERROR((VLOOKUP($A72,'Из ГУГЛа'!$B:$G,6,0)+T72)*S72,VLOOKUP($A72,'Из ГУГЛа'!$B:$G,6,0))</f>
        <v>1190</v>
      </c>
      <c r="S72" s="4">
        <v>1</v>
      </c>
      <c r="T72" s="4">
        <v>0</v>
      </c>
      <c r="U72" s="58">
        <f t="shared" si="24"/>
        <v>0.5160273972602738</v>
      </c>
      <c r="V72" s="58">
        <f t="shared" si="25"/>
        <v>7.0000000000000159E-2</v>
      </c>
      <c r="W72" s="58">
        <f t="shared" si="26"/>
        <v>0.63013698630136994</v>
      </c>
      <c r="X72" s="156">
        <v>1190</v>
      </c>
      <c r="Y72" s="44" t="s">
        <v>803</v>
      </c>
    </row>
    <row r="73" spans="1:25" ht="46.5" thickTop="1" thickBot="1" x14ac:dyDescent="0.3">
      <c r="A73" s="51">
        <v>203956</v>
      </c>
      <c r="B73" s="51">
        <f>VLOOKUP($A73,'Выгр Кат'!$A:$R,B$1,0)</f>
        <v>7231</v>
      </c>
      <c r="C73" s="56" t="str">
        <f>VLOOKUP($A73,'Выгр Кат'!$A:$R,C$1,0)</f>
        <v>Реле ДХО-30Б для включения дальнего света как ходовые огни на Lada 2107, 2108-2115, 2110-2112</v>
      </c>
      <c r="D73" s="51" t="str">
        <f>VLOOKUP($A73,'Выгр Кат'!$A:$R,D$1,0)</f>
        <v>Y</v>
      </c>
      <c r="E73" s="51" t="str">
        <f>VLOOKUP($A73,'Выгр Кат'!$A:$R,E$1,0)</f>
        <v>1</v>
      </c>
      <c r="F73" s="51">
        <f>VLOOKUP($A73,'Выгр Кат'!$A:$R,F$1,0)</f>
        <v>0</v>
      </c>
      <c r="G73" s="51" t="s">
        <v>387</v>
      </c>
      <c r="H73" s="77" t="s">
        <v>527</v>
      </c>
      <c r="I73" s="26">
        <f>VLOOKUP(G73,ПРАЙС!B:C,2,0)</f>
        <v>730</v>
      </c>
      <c r="J73" s="78">
        <f>VLOOKUP(I73,Наценка!$A$2:$B$9,2,1)</f>
        <v>1.6</v>
      </c>
      <c r="K73" s="61">
        <f t="shared" si="28"/>
        <v>1190</v>
      </c>
      <c r="L73" s="80">
        <f t="shared" si="22"/>
        <v>1190</v>
      </c>
      <c r="M73" s="51">
        <f>VLOOKUP($A73,'Выгр Кат'!$A:$R,M$1,0)</f>
        <v>730</v>
      </c>
      <c r="N73" s="51">
        <f>VLOOKUP($A73,'Выгр Кат'!$A:$R,N$1,0)</f>
        <v>1190</v>
      </c>
      <c r="O73" s="25">
        <f t="shared" si="18"/>
        <v>0</v>
      </c>
      <c r="P73" s="25">
        <f t="shared" si="19"/>
        <v>0</v>
      </c>
      <c r="Q73" s="1">
        <f t="shared" si="23"/>
        <v>1106.6999999999998</v>
      </c>
      <c r="R73" s="5">
        <f>IFERROR((VLOOKUP($A73,'Из ГУГЛа'!$B:$G,6,0)+T73)*S73,VLOOKUP($A73,'Из ГУГЛа'!$B:$G,6,0))</f>
        <v>1190</v>
      </c>
      <c r="S73" s="4">
        <v>1</v>
      </c>
      <c r="T73" s="4">
        <v>0</v>
      </c>
      <c r="U73" s="58">
        <f t="shared" si="24"/>
        <v>0.5160273972602738</v>
      </c>
      <c r="V73" s="58">
        <f t="shared" si="25"/>
        <v>7.0000000000000159E-2</v>
      </c>
      <c r="W73" s="58">
        <f t="shared" si="26"/>
        <v>0.63013698630136994</v>
      </c>
      <c r="X73" s="156">
        <v>1190</v>
      </c>
      <c r="Y73" s="44" t="s">
        <v>802</v>
      </c>
    </row>
    <row r="74" spans="1:25" ht="31.5" thickTop="1" thickBot="1" x14ac:dyDescent="0.3">
      <c r="A74" s="51">
        <v>201297</v>
      </c>
      <c r="B74" s="51">
        <f>VLOOKUP($A74,'Выгр Кат'!$A:$R,B$1,0)</f>
        <v>4178</v>
      </c>
      <c r="C74" s="56" t="str">
        <f>VLOOKUP($A74,'Выгр Кат'!$A:$R,C$1,0)</f>
        <v>Проводка противотуманных фар (ПТФ) для Лада Приора, Приора 2</v>
      </c>
      <c r="D74" s="51" t="str">
        <f>VLOOKUP($A74,'Выгр Кат'!$A:$R,D$1,0)</f>
        <v>Y</v>
      </c>
      <c r="E74" s="51" t="str">
        <f>VLOOKUP($A74,'Выгр Кат'!$A:$R,E$1,0)</f>
        <v>1ск6</v>
      </c>
      <c r="F74" s="51">
        <f>VLOOKUP($A74,'Выгр Кат'!$A:$R,F$1,0)</f>
        <v>0</v>
      </c>
      <c r="G74" s="51" t="s">
        <v>81</v>
      </c>
      <c r="H74" s="77" t="s">
        <v>527</v>
      </c>
      <c r="I74" s="26">
        <f>VLOOKUP(G74,ПРАЙС!B:C,2,0)</f>
        <v>700</v>
      </c>
      <c r="J74" s="78">
        <f>VLOOKUP(I74,Наценка!$A$2:$B$9,2,1)</f>
        <v>1.6</v>
      </c>
      <c r="K74" s="61">
        <f t="shared" si="28"/>
        <v>990</v>
      </c>
      <c r="L74" s="80">
        <f t="shared" si="22"/>
        <v>989</v>
      </c>
      <c r="M74" s="51">
        <f>VLOOKUP($A74,'Выгр Кат'!$A:$R,M$1,0)</f>
        <v>700</v>
      </c>
      <c r="N74" s="51">
        <f>VLOOKUP($A74,'Выгр Кат'!$A:$R,N$1,0)</f>
        <v>989</v>
      </c>
      <c r="O74" s="25">
        <f t="shared" si="18"/>
        <v>0</v>
      </c>
      <c r="P74" s="25">
        <f t="shared" si="19"/>
        <v>0</v>
      </c>
      <c r="Q74" s="1">
        <f t="shared" si="23"/>
        <v>919.77</v>
      </c>
      <c r="R74" s="5">
        <f>IFERROR((VLOOKUP($A74,'Из ГУГЛа'!$B:$G,6,0)+T74)*S74,VLOOKUP($A74,'Из ГУГЛа'!$B:$G,6,0))</f>
        <v>990</v>
      </c>
      <c r="S74" s="4">
        <v>1</v>
      </c>
      <c r="T74" s="4">
        <v>0</v>
      </c>
      <c r="U74" s="58">
        <f t="shared" si="24"/>
        <v>0.31395714285714282</v>
      </c>
      <c r="V74" s="58">
        <f t="shared" si="25"/>
        <v>7.0939393939393955E-2</v>
      </c>
      <c r="W74" s="58">
        <f t="shared" si="26"/>
        <v>0.41428571428571437</v>
      </c>
      <c r="X74" s="156">
        <v>990</v>
      </c>
      <c r="Y74" s="44" t="s">
        <v>975</v>
      </c>
    </row>
    <row r="75" spans="1:25" ht="31.5" thickTop="1" thickBot="1" x14ac:dyDescent="0.3">
      <c r="A75" s="51">
        <v>201290</v>
      </c>
      <c r="B75" s="51">
        <f>VLOOKUP($A75,'Выгр Кат'!$A:$R,B$1,0)</f>
        <v>4180</v>
      </c>
      <c r="C75" s="56" t="str">
        <f>VLOOKUP($A75,'Выгр Кат'!$A:$R,C$1,0)</f>
        <v>Проводка противотуманных фар (ПТФ) для ВАЗ 2110-2112</v>
      </c>
      <c r="D75" s="51" t="str">
        <f>VLOOKUP($A75,'Выгр Кат'!$A:$R,D$1,0)</f>
        <v>Y</v>
      </c>
      <c r="E75" s="51" t="str">
        <f>VLOOKUP($A75,'Выгр Кат'!$A:$R,E$1,0)</f>
        <v>1ск6</v>
      </c>
      <c r="F75" s="51">
        <f>VLOOKUP($A75,'Выгр Кат'!$A:$R,F$1,0)</f>
        <v>0</v>
      </c>
      <c r="G75" s="51" t="s">
        <v>86</v>
      </c>
      <c r="H75" s="77" t="s">
        <v>527</v>
      </c>
      <c r="I75" s="26">
        <f>VLOOKUP(G75,ПРАЙС!B:C,2,0)</f>
        <v>700</v>
      </c>
      <c r="J75" s="78">
        <f>VLOOKUP(I75,Наценка!$A$2:$B$9,2,1)</f>
        <v>1.6</v>
      </c>
      <c r="K75" s="64">
        <f t="shared" si="15"/>
        <v>943.40000000000009</v>
      </c>
      <c r="L75" s="80">
        <f t="shared" si="22"/>
        <v>949</v>
      </c>
      <c r="M75" s="51">
        <f>VLOOKUP($A75,'Выгр Кат'!$A:$R,M$1,0)</f>
        <v>700</v>
      </c>
      <c r="N75" s="51">
        <f>VLOOKUP($A75,'Выгр Кат'!$A:$R,N$1,0)</f>
        <v>949</v>
      </c>
      <c r="O75" s="25">
        <f t="shared" si="18"/>
        <v>0</v>
      </c>
      <c r="P75" s="25">
        <f t="shared" si="19"/>
        <v>0</v>
      </c>
      <c r="Q75" s="1">
        <f t="shared" si="23"/>
        <v>882.56999999999994</v>
      </c>
      <c r="R75" s="5">
        <f>IFERROR((VLOOKUP($A75,'Из ГУГЛа'!$B:$G,6,0)+T75)*S75,VLOOKUP($A75,'Из ГУГЛа'!$B:$G,6,0))</f>
        <v>890</v>
      </c>
      <c r="S75" s="4">
        <v>1</v>
      </c>
      <c r="T75" s="4">
        <v>0</v>
      </c>
      <c r="U75" s="58">
        <f t="shared" si="24"/>
        <v>0.26081428571428567</v>
      </c>
      <c r="V75" s="58">
        <f t="shared" si="25"/>
        <v>8.3483146067416438E-3</v>
      </c>
      <c r="W75" s="58">
        <f t="shared" si="26"/>
        <v>0.27142857142857135</v>
      </c>
      <c r="X75" s="156">
        <v>890</v>
      </c>
      <c r="Y75" s="44" t="s">
        <v>798</v>
      </c>
    </row>
    <row r="76" spans="1:25" ht="31.5" thickTop="1" thickBot="1" x14ac:dyDescent="0.3">
      <c r="A76" s="51">
        <v>201295</v>
      </c>
      <c r="B76" s="51">
        <f>VLOOKUP($A76,'Выгр Кат'!$A:$R,B$1,0)</f>
        <v>4181</v>
      </c>
      <c r="C76" s="56" t="str">
        <f>VLOOKUP($A76,'Выгр Кат'!$A:$R,C$1,0)</f>
        <v>Проводка противотуманных фар (ПТФ) для Лада Калина</v>
      </c>
      <c r="D76" s="51" t="str">
        <f>VLOOKUP($A76,'Выгр Кат'!$A:$R,D$1,0)</f>
        <v>Y</v>
      </c>
      <c r="E76" s="51" t="str">
        <f>VLOOKUP($A76,'Выгр Кат'!$A:$R,E$1,0)</f>
        <v>1ск6</v>
      </c>
      <c r="F76" s="51">
        <f>VLOOKUP($A76,'Выгр Кат'!$A:$R,F$1,0)</f>
        <v>0</v>
      </c>
      <c r="G76" s="51" t="s">
        <v>80</v>
      </c>
      <c r="H76" s="77" t="s">
        <v>527</v>
      </c>
      <c r="I76" s="26">
        <f>VLOOKUP(G76,ПРАЙС!B:C,2,0)</f>
        <v>700</v>
      </c>
      <c r="J76" s="78">
        <f>VLOOKUP(I76,Наценка!$A$2:$B$9,2,1)</f>
        <v>1.6</v>
      </c>
      <c r="K76" s="62">
        <f t="shared" ref="K76" si="29">X76*1.02</f>
        <v>988.38</v>
      </c>
      <c r="L76" s="80">
        <f t="shared" si="22"/>
        <v>989</v>
      </c>
      <c r="M76" s="51">
        <f>VLOOKUP($A76,'Выгр Кат'!$A:$R,M$1,0)</f>
        <v>700</v>
      </c>
      <c r="N76" s="51">
        <f>VLOOKUP($A76,'Выгр Кат'!$A:$R,N$1,0)</f>
        <v>989</v>
      </c>
      <c r="O76" s="25">
        <f t="shared" si="18"/>
        <v>0</v>
      </c>
      <c r="P76" s="25">
        <f t="shared" si="19"/>
        <v>0</v>
      </c>
      <c r="Q76" s="1">
        <f t="shared" si="23"/>
        <v>919.77</v>
      </c>
      <c r="R76" s="5">
        <f>IFERROR((VLOOKUP($A76,'Из ГУГЛа'!$B:$G,6,0)+T76)*S76,VLOOKUP($A76,'Из ГУГЛа'!$B:$G,6,0))</f>
        <v>969</v>
      </c>
      <c r="S76" s="4">
        <v>1</v>
      </c>
      <c r="T76" s="4">
        <v>0</v>
      </c>
      <c r="U76" s="58">
        <f t="shared" si="24"/>
        <v>0.31395714285714282</v>
      </c>
      <c r="V76" s="58">
        <f t="shared" si="25"/>
        <v>5.0804953560371534E-2</v>
      </c>
      <c r="W76" s="58">
        <f t="shared" si="26"/>
        <v>0.38428571428571434</v>
      </c>
      <c r="X76" s="156">
        <v>969</v>
      </c>
      <c r="Y76" s="44" t="s">
        <v>974</v>
      </c>
    </row>
    <row r="77" spans="1:25" ht="31.5" thickTop="1" thickBot="1" x14ac:dyDescent="0.3">
      <c r="A77" s="51">
        <v>201296</v>
      </c>
      <c r="B77" s="51">
        <f>VLOOKUP($A77,'Выгр Кат'!$A:$R,B$1,0)</f>
        <v>4182</v>
      </c>
      <c r="C77" s="56" t="str">
        <f>VLOOKUP($A77,'Выгр Кат'!$A:$R,C$1,0)</f>
        <v>Проводка противотуманных фар (ПТФ) для Лада Калина 2, Гранта</v>
      </c>
      <c r="D77" s="51" t="str">
        <f>VLOOKUP($A77,'Выгр Кат'!$A:$R,D$1,0)</f>
        <v>Y</v>
      </c>
      <c r="E77" s="51" t="str">
        <f>VLOOKUP($A77,'Выгр Кат'!$A:$R,E$1,0)</f>
        <v>1</v>
      </c>
      <c r="F77" s="51">
        <f>VLOOKUP($A77,'Выгр Кат'!$A:$R,F$1,0)</f>
        <v>0</v>
      </c>
      <c r="G77" s="51" t="s">
        <v>82</v>
      </c>
      <c r="H77" s="77" t="s">
        <v>527</v>
      </c>
      <c r="I77" s="26">
        <f>VLOOKUP(G77,ПРАЙС!B:C,2,0)</f>
        <v>700</v>
      </c>
      <c r="J77" s="78">
        <f>VLOOKUP(I77,Наценка!$A$2:$B$9,2,1)</f>
        <v>1.6</v>
      </c>
      <c r="K77" s="61">
        <f>X77*1</f>
        <v>990</v>
      </c>
      <c r="L77" s="80">
        <f t="shared" si="22"/>
        <v>989</v>
      </c>
      <c r="M77" s="51">
        <f>VLOOKUP($A77,'Выгр Кат'!$A:$R,M$1,0)</f>
        <v>700</v>
      </c>
      <c r="N77" s="51">
        <f>VLOOKUP($A77,'Выгр Кат'!$A:$R,N$1,0)</f>
        <v>989</v>
      </c>
      <c r="O77" s="25">
        <f t="shared" si="18"/>
        <v>0</v>
      </c>
      <c r="P77" s="25">
        <f t="shared" si="19"/>
        <v>0</v>
      </c>
      <c r="Q77" s="1">
        <f t="shared" si="23"/>
        <v>919.77</v>
      </c>
      <c r="R77" s="5">
        <f>IFERROR((VLOOKUP($A77,'Из ГУГЛа'!$B:$G,6,0)+T77)*S77,VLOOKUP($A77,'Из ГУГЛа'!$B:$G,6,0))</f>
        <v>990</v>
      </c>
      <c r="S77" s="4">
        <v>1</v>
      </c>
      <c r="T77" s="4">
        <v>0</v>
      </c>
      <c r="U77" s="58">
        <f t="shared" si="24"/>
        <v>0.31395714285714282</v>
      </c>
      <c r="V77" s="58">
        <f t="shared" si="25"/>
        <v>7.0939393939393955E-2</v>
      </c>
      <c r="W77" s="58">
        <f t="shared" si="26"/>
        <v>0.41428571428571437</v>
      </c>
      <c r="X77" s="156">
        <v>990</v>
      </c>
      <c r="Y77" s="44" t="s">
        <v>973</v>
      </c>
    </row>
    <row r="78" spans="1:25" ht="31.5" thickTop="1" thickBot="1" x14ac:dyDescent="0.3">
      <c r="A78" s="51">
        <v>201298</v>
      </c>
      <c r="B78" s="51">
        <f>VLOOKUP($A78,'Выгр Кат'!$A:$R,B$1,0)</f>
        <v>4187</v>
      </c>
      <c r="C78" s="56" t="str">
        <f>VLOOKUP($A78,'Выгр Кат'!$A:$R,C$1,0)</f>
        <v>Проводка противотуманных фар (ПТФ) для Шевроле Нива (с 2009 г. в.)</v>
      </c>
      <c r="D78" s="51" t="str">
        <f>VLOOKUP($A78,'Выгр Кат'!$A:$R,D$1,0)</f>
        <v>Y</v>
      </c>
      <c r="E78" s="51" t="str">
        <f>VLOOKUP($A78,'Выгр Кат'!$A:$R,E$1,0)</f>
        <v>1</v>
      </c>
      <c r="F78" s="51">
        <f>VLOOKUP($A78,'Выгр Кат'!$A:$R,F$1,0)</f>
        <v>0</v>
      </c>
      <c r="G78" s="51" t="s">
        <v>89</v>
      </c>
      <c r="H78" s="77" t="s">
        <v>527</v>
      </c>
      <c r="I78" s="26">
        <f>VLOOKUP(G78,ПРАЙС!B:C,2,0)</f>
        <v>700</v>
      </c>
      <c r="J78" s="78">
        <f>VLOOKUP(I78,Наценка!$A$2:$B$9,2,1)</f>
        <v>1.6</v>
      </c>
      <c r="K78" s="87">
        <f>I78*1.15*100/91</f>
        <v>884.61538461538441</v>
      </c>
      <c r="L78" s="80">
        <f t="shared" si="22"/>
        <v>889</v>
      </c>
      <c r="M78" s="51">
        <f>VLOOKUP($A78,'Выгр Кат'!$A:$R,M$1,0)</f>
        <v>700</v>
      </c>
      <c r="N78" s="51">
        <f>VLOOKUP($A78,'Выгр Кат'!$A:$R,N$1,0)</f>
        <v>909</v>
      </c>
      <c r="O78" s="25">
        <f t="shared" si="18"/>
        <v>0</v>
      </c>
      <c r="P78" s="25">
        <f t="shared" si="19"/>
        <v>20</v>
      </c>
      <c r="Q78" s="1">
        <f t="shared" si="23"/>
        <v>826.77</v>
      </c>
      <c r="R78" s="5">
        <f>IFERROR((VLOOKUP($A78,'Из ГУГЛа'!$B:$G,6,0)+T78)*S78,VLOOKUP($A78,'Из ГУГЛа'!$B:$G,6,0))</f>
        <v>829</v>
      </c>
      <c r="S78" s="4">
        <v>1</v>
      </c>
      <c r="T78" s="4">
        <v>0</v>
      </c>
      <c r="U78" s="58">
        <f t="shared" si="24"/>
        <v>0.18110000000000004</v>
      </c>
      <c r="V78" s="58">
        <f t="shared" si="25"/>
        <v>2.6899879372738458E-3</v>
      </c>
      <c r="W78" s="58">
        <f t="shared" si="26"/>
        <v>0.18428571428571439</v>
      </c>
      <c r="X78" s="156">
        <v>829</v>
      </c>
      <c r="Y78" s="44" t="s">
        <v>801</v>
      </c>
    </row>
    <row r="79" spans="1:25" ht="31.5" thickTop="1" thickBot="1" x14ac:dyDescent="0.3">
      <c r="A79" s="51">
        <v>201299</v>
      </c>
      <c r="B79" s="51">
        <f>VLOOKUP($A79,'Выгр Кат'!$A:$R,B$1,0)</f>
        <v>31513</v>
      </c>
      <c r="C79" s="56" t="str">
        <f>VLOOKUP($A79,'Выгр Кат'!$A:$R,C$1,0)</f>
        <v>Проводка противотуманных фар (ПТФ) с белой подсветкой для Лада Гранта FL</v>
      </c>
      <c r="D79" s="51" t="str">
        <f>VLOOKUP($A79,'Выгр Кат'!$A:$R,D$1,0)</f>
        <v>Y</v>
      </c>
      <c r="E79" s="51" t="str">
        <f>VLOOKUP($A79,'Выгр Кат'!$A:$R,E$1,0)</f>
        <v>1</v>
      </c>
      <c r="F79" s="51">
        <f>VLOOKUP($A79,'Выгр Кат'!$A:$R,F$1,0)</f>
        <v>0</v>
      </c>
      <c r="G79" s="51" t="s">
        <v>512</v>
      </c>
      <c r="H79" s="77" t="s">
        <v>527</v>
      </c>
      <c r="I79" s="26">
        <f>VLOOKUP(G79,ПРАЙС!B:C,2,0)</f>
        <v>700</v>
      </c>
      <c r="J79" s="78">
        <f>VLOOKUP(I79,Наценка!$A$2:$B$9,2,1)</f>
        <v>1.6</v>
      </c>
      <c r="K79" s="61">
        <f>X79*1</f>
        <v>1190</v>
      </c>
      <c r="L79" s="80">
        <f t="shared" si="22"/>
        <v>1190</v>
      </c>
      <c r="M79" s="51">
        <f>VLOOKUP($A79,'Выгр Кат'!$A:$R,M$1,0)</f>
        <v>700</v>
      </c>
      <c r="N79" s="51">
        <f>VLOOKUP($A79,'Выгр Кат'!$A:$R,N$1,0)</f>
        <v>1190</v>
      </c>
      <c r="O79" s="25">
        <f t="shared" si="18"/>
        <v>0</v>
      </c>
      <c r="P79" s="25">
        <f t="shared" si="19"/>
        <v>0</v>
      </c>
      <c r="Q79" s="1">
        <f t="shared" si="23"/>
        <v>1106.6999999999998</v>
      </c>
      <c r="R79" s="5">
        <f>IFERROR((VLOOKUP($A79,'Из ГУГЛа'!$B:$G,6,0)+T79)*S79,VLOOKUP($A79,'Из ГУГЛа'!$B:$G,6,0))</f>
        <v>1190</v>
      </c>
      <c r="S79" s="4">
        <v>1</v>
      </c>
      <c r="T79" s="4">
        <v>0</v>
      </c>
      <c r="U79" s="58">
        <f t="shared" si="24"/>
        <v>0.58099999999999974</v>
      </c>
      <c r="V79" s="58">
        <f t="shared" si="25"/>
        <v>7.0000000000000159E-2</v>
      </c>
      <c r="W79" s="58">
        <f t="shared" si="26"/>
        <v>0.7</v>
      </c>
      <c r="X79" s="156">
        <v>1190</v>
      </c>
      <c r="Y79" s="44" t="s">
        <v>799</v>
      </c>
    </row>
    <row r="80" spans="1:25" ht="31.5" thickTop="1" thickBot="1" x14ac:dyDescent="0.3">
      <c r="A80" s="51">
        <v>136693</v>
      </c>
      <c r="B80" s="51">
        <f>VLOOKUP($A80,'Выгр Кат'!$A:$R,B$1,0)</f>
        <v>7219</v>
      </c>
      <c r="C80" s="56" t="str">
        <f>VLOOKUP($A80,'Выгр Кат'!$A:$R,C$1,0)</f>
        <v>Бесконтактное электронное зажигание «Сонар-ИК» на Lada 2101-2107</v>
      </c>
      <c r="D80" s="51" t="str">
        <f>VLOOKUP($A80,'Выгр Кат'!$A:$R,D$1,0)</f>
        <v>Y</v>
      </c>
      <c r="E80" s="51" t="str">
        <f>VLOOKUP($A80,'Выгр Кат'!$A:$R,E$1,0)</f>
        <v>1</v>
      </c>
      <c r="F80" s="51">
        <f>VLOOKUP($A80,'Выгр Кат'!$A:$R,F$1,0)</f>
        <v>0</v>
      </c>
      <c r="G80" s="51" t="s">
        <v>399</v>
      </c>
      <c r="H80" s="77" t="s">
        <v>527</v>
      </c>
      <c r="I80" s="26">
        <f>VLOOKUP(G80,ПРАЙС!B:C,2,0)</f>
        <v>750</v>
      </c>
      <c r="J80" s="78">
        <f>VLOOKUP(I80,Наценка!$A$2:$B$9,2,1)</f>
        <v>1.6</v>
      </c>
      <c r="K80" s="79">
        <f t="shared" ref="K80:K122" si="30">I80*J80</f>
        <v>1200</v>
      </c>
      <c r="L80" s="80">
        <f t="shared" si="22"/>
        <v>1190</v>
      </c>
      <c r="M80" s="51">
        <f>VLOOKUP($A80,'Выгр Кат'!$A:$R,M$1,0)</f>
        <v>750</v>
      </c>
      <c r="N80" s="51">
        <f>VLOOKUP($A80,'Выгр Кат'!$A:$R,N$1,0)</f>
        <v>1190</v>
      </c>
      <c r="O80" s="25">
        <f t="shared" si="18"/>
        <v>0</v>
      </c>
      <c r="P80" s="25">
        <f t="shared" si="19"/>
        <v>0</v>
      </c>
      <c r="Q80" s="1">
        <f t="shared" si="23"/>
        <v>1106.6999999999998</v>
      </c>
      <c r="R80" s="5" t="str">
        <f>IFERROR((VLOOKUP($A80,'Из ГУГЛа'!$B:$G,6,0)+T80)*S80,VLOOKUP($A80,'Из ГУГЛа'!$B:$G,6,0))</f>
        <v/>
      </c>
      <c r="S80" s="4">
        <v>1</v>
      </c>
      <c r="T80" s="4">
        <v>0</v>
      </c>
      <c r="U80" s="58">
        <f t="shared" si="24"/>
        <v>0.4755999999999998</v>
      </c>
      <c r="V80" s="58" t="str">
        <f t="shared" si="25"/>
        <v/>
      </c>
      <c r="W80" s="58" t="str">
        <f t="shared" si="26"/>
        <v/>
      </c>
      <c r="X80" s="156" t="s">
        <v>929</v>
      </c>
    </row>
    <row r="81" spans="1:25" ht="27.75" thickTop="1" thickBot="1" x14ac:dyDescent="0.3">
      <c r="A81" s="51">
        <v>160135</v>
      </c>
      <c r="B81" s="51">
        <f>VLOOKUP($A81,'Выгр Кат'!$A:$R,B$1,0)</f>
        <v>7233</v>
      </c>
      <c r="C81" s="56" t="str">
        <f>VLOOKUP($A81,'Выгр Кат'!$A:$R,C$1,0)</f>
        <v>Контроллер (реле) ближнего света DRL</v>
      </c>
      <c r="D81" s="51" t="str">
        <f>VLOOKUP($A81,'Выгр Кат'!$A:$R,D$1,0)</f>
        <v>Y</v>
      </c>
      <c r="E81" s="51" t="str">
        <f>VLOOKUP($A81,'Выгр Кат'!$A:$R,E$1,0)</f>
        <v>1</v>
      </c>
      <c r="F81" s="51">
        <f>VLOOKUP($A81,'Выгр Кат'!$A:$R,F$1,0)</f>
        <v>0</v>
      </c>
      <c r="G81" s="51" t="s">
        <v>489</v>
      </c>
      <c r="H81" s="77" t="s">
        <v>527</v>
      </c>
      <c r="I81" s="26">
        <f>VLOOKUP(G81,ПРАЙС!B:C,2,0)</f>
        <v>800</v>
      </c>
      <c r="J81" s="78">
        <f>VLOOKUP(I81,Наценка!$A$2:$B$9,2,1)</f>
        <v>1.6</v>
      </c>
      <c r="K81" s="79">
        <f t="shared" si="30"/>
        <v>1280</v>
      </c>
      <c r="L81" s="80">
        <f t="shared" si="22"/>
        <v>1290</v>
      </c>
      <c r="M81" s="51">
        <f>VLOOKUP($A81,'Выгр Кат'!$A:$R,M$1,0)</f>
        <v>800</v>
      </c>
      <c r="N81" s="51">
        <f>VLOOKUP($A81,'Выгр Кат'!$A:$R,N$1,0)</f>
        <v>1290</v>
      </c>
      <c r="O81" s="25">
        <f t="shared" si="18"/>
        <v>0</v>
      </c>
      <c r="P81" s="25">
        <f t="shared" si="19"/>
        <v>0</v>
      </c>
      <c r="Q81" s="1">
        <f t="shared" si="23"/>
        <v>1199.6999999999998</v>
      </c>
      <c r="R81" s="5" t="str">
        <f>IFERROR((VLOOKUP($A81,'Из ГУГЛа'!$B:$G,6,0)+T81)*S81,VLOOKUP($A81,'Из ГУГЛа'!$B:$G,6,0))</f>
        <v/>
      </c>
      <c r="S81" s="4">
        <v>1</v>
      </c>
      <c r="T81" s="4">
        <v>0</v>
      </c>
      <c r="U81" s="58">
        <f t="shared" si="24"/>
        <v>0.49962499999999976</v>
      </c>
      <c r="V81" s="58" t="str">
        <f t="shared" si="25"/>
        <v/>
      </c>
      <c r="W81" s="58" t="str">
        <f t="shared" si="26"/>
        <v/>
      </c>
      <c r="X81" s="156" t="s">
        <v>929</v>
      </c>
    </row>
    <row r="82" spans="1:25" ht="31.5" thickTop="1" thickBot="1" x14ac:dyDescent="0.3">
      <c r="A82" s="51">
        <v>153081</v>
      </c>
      <c r="B82" s="51">
        <f>VLOOKUP($A82,'Выгр Кат'!$A:$R,B$1,0)</f>
        <v>24512</v>
      </c>
      <c r="C82" s="56" t="str">
        <f>VLOOKUP($A82,'Выгр Кат'!$A:$R,C$1,0)</f>
        <v>Индикатор напряжения "ЭЛАНГ" для Volkswagen Polo</v>
      </c>
      <c r="D82" s="51" t="str">
        <f>VLOOKUP($A82,'Выгр Кат'!$A:$R,D$1,0)</f>
        <v>Y</v>
      </c>
      <c r="E82" s="51" t="str">
        <f>VLOOKUP($A82,'Выгр Кат'!$A:$R,E$1,0)</f>
        <v>1</v>
      </c>
      <c r="F82" s="51">
        <f>VLOOKUP($A82,'Выгр Кат'!$A:$R,F$1,0)</f>
        <v>0</v>
      </c>
      <c r="G82" s="51" t="s">
        <v>52</v>
      </c>
      <c r="H82" s="77" t="s">
        <v>527</v>
      </c>
      <c r="I82" s="26">
        <f>VLOOKUP(G82,ПРАЙС!B:C,2,0)</f>
        <v>770</v>
      </c>
      <c r="J82" s="78">
        <f>VLOOKUP(I82,Наценка!$A$2:$B$9,2,1)</f>
        <v>1.6</v>
      </c>
      <c r="K82" s="61">
        <f t="shared" ref="K82:K83" si="31">X82*1</f>
        <v>1190</v>
      </c>
      <c r="L82" s="80">
        <f t="shared" si="22"/>
        <v>1190</v>
      </c>
      <c r="M82" s="51">
        <f>VLOOKUP($A82,'Выгр Кат'!$A:$R,M$1,0)</f>
        <v>770</v>
      </c>
      <c r="N82" s="51">
        <f>VLOOKUP($A82,'Выгр Кат'!$A:$R,N$1,0)</f>
        <v>1190</v>
      </c>
      <c r="O82" s="25">
        <f t="shared" si="18"/>
        <v>0</v>
      </c>
      <c r="P82" s="25">
        <f t="shared" si="19"/>
        <v>0</v>
      </c>
      <c r="Q82" s="1">
        <f t="shared" si="23"/>
        <v>1106.6999999999998</v>
      </c>
      <c r="R82" s="5">
        <f>IFERROR((VLOOKUP($A82,'Из ГУГЛа'!$B:$G,6,0)+T82)*S82,VLOOKUP($A82,'Из ГУГЛа'!$B:$G,6,0))</f>
        <v>1190</v>
      </c>
      <c r="S82" s="4">
        <v>1</v>
      </c>
      <c r="T82" s="4">
        <v>0</v>
      </c>
      <c r="U82" s="58">
        <f t="shared" si="24"/>
        <v>0.43727272727272704</v>
      </c>
      <c r="V82" s="58">
        <f t="shared" si="25"/>
        <v>7.0000000000000159E-2</v>
      </c>
      <c r="W82" s="58">
        <f t="shared" si="26"/>
        <v>0.54545454545454541</v>
      </c>
      <c r="X82" s="156">
        <v>1190</v>
      </c>
      <c r="Y82" s="44" t="s">
        <v>972</v>
      </c>
    </row>
    <row r="83" spans="1:25" ht="31.5" thickTop="1" thickBot="1" x14ac:dyDescent="0.3">
      <c r="A83" s="51">
        <v>203207</v>
      </c>
      <c r="B83" s="51">
        <f>VLOOKUP($A83,'Выгр Кат'!$A:$R,B$1,0)</f>
        <v>3836</v>
      </c>
      <c r="C83" s="56" t="str">
        <f>VLOOKUP($A83,'Выгр Кат'!$A:$R,C$1,0)</f>
        <v>Регулятор плавного запуска вентилятора радиатора "АПЭЛ" (РПВ-1) 150Вт</v>
      </c>
      <c r="D83" s="51" t="str">
        <f>VLOOKUP($A83,'Выгр Кат'!$A:$R,D$1,0)</f>
        <v>Y</v>
      </c>
      <c r="E83" s="51" t="str">
        <f>VLOOKUP($A83,'Выгр Кат'!$A:$R,E$1,0)</f>
        <v>1</v>
      </c>
      <c r="F83" s="51">
        <f>VLOOKUP($A83,'Выгр Кат'!$A:$R,F$1,0)</f>
        <v>0</v>
      </c>
      <c r="G83" s="51" t="s">
        <v>385</v>
      </c>
      <c r="H83" s="77" t="s">
        <v>527</v>
      </c>
      <c r="I83" s="26">
        <f>VLOOKUP(G83,ПРАЙС!B:C,2,0)</f>
        <v>750</v>
      </c>
      <c r="J83" s="78">
        <f>VLOOKUP(I83,Наценка!$A$2:$B$9,2,1)</f>
        <v>1.6</v>
      </c>
      <c r="K83" s="61">
        <f t="shared" si="31"/>
        <v>1190</v>
      </c>
      <c r="L83" s="80">
        <f t="shared" si="22"/>
        <v>1190</v>
      </c>
      <c r="M83" s="51">
        <f>VLOOKUP($A83,'Выгр Кат'!$A:$R,M$1,0)</f>
        <v>750</v>
      </c>
      <c r="N83" s="51">
        <f>VLOOKUP($A83,'Выгр Кат'!$A:$R,N$1,0)</f>
        <v>1190</v>
      </c>
      <c r="O83" s="25">
        <f t="shared" si="18"/>
        <v>0</v>
      </c>
      <c r="P83" s="25">
        <f t="shared" si="19"/>
        <v>0</v>
      </c>
      <c r="Q83" s="1">
        <f t="shared" si="23"/>
        <v>1106.6999999999998</v>
      </c>
      <c r="R83" s="5">
        <f>IFERROR((VLOOKUP($A83,'Из ГУГЛа'!$B:$G,6,0)+T83)*S83,VLOOKUP($A83,'Из ГУГЛа'!$B:$G,6,0))</f>
        <v>1190</v>
      </c>
      <c r="S83" s="4">
        <v>1</v>
      </c>
      <c r="T83" s="4">
        <v>0</v>
      </c>
      <c r="U83" s="58">
        <f t="shared" si="24"/>
        <v>0.4755999999999998</v>
      </c>
      <c r="V83" s="58">
        <f t="shared" si="25"/>
        <v>7.0000000000000159E-2</v>
      </c>
      <c r="W83" s="58">
        <f t="shared" si="26"/>
        <v>0.58666666666666667</v>
      </c>
      <c r="X83" s="156">
        <v>1190</v>
      </c>
      <c r="Y83" s="44" t="s">
        <v>790</v>
      </c>
    </row>
    <row r="84" spans="1:25" ht="16.5" thickTop="1" thickBot="1" x14ac:dyDescent="0.3">
      <c r="A84" s="51">
        <v>131562</v>
      </c>
      <c r="B84" s="51">
        <f>VLOOKUP($A84,'Выгр Кат'!$A:$R,B$1,0)</f>
        <v>31505</v>
      </c>
      <c r="C84" s="56" t="str">
        <f>VLOOKUP($A84,'Выгр Кат'!$A:$R,C$1,0)</f>
        <v>Адаптер ELM 327 Bluetooth, аналог (v1.5)</v>
      </c>
      <c r="D84" s="51" t="str">
        <f>VLOOKUP($A84,'Выгр Кат'!$A:$R,D$1,0)</f>
        <v>Y</v>
      </c>
      <c r="E84" s="51" t="str">
        <f>VLOOKUP($A84,'Выгр Кат'!$A:$R,E$1,0)</f>
        <v>1</v>
      </c>
      <c r="F84" s="51">
        <f>VLOOKUP($A84,'Выгр Кат'!$A:$R,F$1,0)</f>
        <v>0</v>
      </c>
      <c r="G84" s="51" t="s">
        <v>554</v>
      </c>
      <c r="H84" s="77" t="s">
        <v>527</v>
      </c>
      <c r="I84" s="26">
        <f>VLOOKUP(G84,ПРАЙС!B:C,2,0)</f>
        <v>500</v>
      </c>
      <c r="J84" s="78">
        <f>VLOOKUP(I84,Наценка!$A$2:$B$9,2,1)</f>
        <v>1.6</v>
      </c>
      <c r="K84" s="64">
        <f t="shared" ref="K84" si="32">X84*1.06</f>
        <v>837.40000000000009</v>
      </c>
      <c r="L84" s="80">
        <f t="shared" si="22"/>
        <v>839</v>
      </c>
      <c r="M84" s="51">
        <f>VLOOKUP($A84,'Выгр Кат'!$A:$R,M$1,0)</f>
        <v>500</v>
      </c>
      <c r="N84" s="51">
        <f>VLOOKUP($A84,'Выгр Кат'!$A:$R,N$1,0)</f>
        <v>839</v>
      </c>
      <c r="O84" s="25">
        <f t="shared" si="18"/>
        <v>0</v>
      </c>
      <c r="P84" s="25">
        <f t="shared" si="19"/>
        <v>0</v>
      </c>
      <c r="Q84" s="1">
        <f t="shared" si="23"/>
        <v>780.27</v>
      </c>
      <c r="R84" s="5">
        <f>IFERROR((VLOOKUP($A84,'Из ГУГЛа'!$B:$G,6,0)+T84)*S84,VLOOKUP($A84,'Из ГУГЛа'!$B:$G,6,0))</f>
        <v>790</v>
      </c>
      <c r="S84" s="4">
        <v>1</v>
      </c>
      <c r="T84" s="4">
        <v>0</v>
      </c>
      <c r="U84" s="58">
        <f t="shared" si="24"/>
        <v>0.56054000000000004</v>
      </c>
      <c r="V84" s="58">
        <f t="shared" si="25"/>
        <v>1.2316455696202554E-2</v>
      </c>
      <c r="W84" s="58">
        <f t="shared" si="26"/>
        <v>0.58000000000000007</v>
      </c>
      <c r="X84" s="156">
        <v>790</v>
      </c>
      <c r="Y84" s="44" t="s">
        <v>971</v>
      </c>
    </row>
    <row r="85" spans="1:25" ht="27.75" thickTop="1" thickBot="1" x14ac:dyDescent="0.3">
      <c r="A85" s="51">
        <v>131555</v>
      </c>
      <c r="B85" s="51">
        <f>VLOOKUP($A85,'Выгр Кат'!$A:$R,B$1,0)</f>
        <v>31506</v>
      </c>
      <c r="C85" s="56" t="str">
        <f>VLOOKUP($A85,'Выгр Кат'!$A:$R,C$1,0)</f>
        <v>Адаптер 409.1 VAG</v>
      </c>
      <c r="D85" s="51" t="str">
        <f>VLOOKUP($A85,'Выгр Кат'!$A:$R,D$1,0)</f>
        <v>Y</v>
      </c>
      <c r="E85" s="51" t="str">
        <f>VLOOKUP($A85,'Выгр Кат'!$A:$R,E$1,0)</f>
        <v>1</v>
      </c>
      <c r="F85" s="51">
        <f>VLOOKUP($A85,'Выгр Кат'!$A:$R,F$1,0)</f>
        <v>0</v>
      </c>
      <c r="G85" s="51" t="s">
        <v>183</v>
      </c>
      <c r="H85" s="77" t="s">
        <v>527</v>
      </c>
      <c r="I85" s="26">
        <f>VLOOKUP(G85,ПРАЙС!B:C,2,0)</f>
        <v>600</v>
      </c>
      <c r="J85" s="78">
        <f>VLOOKUP(I85,Наценка!$A$2:$B$9,2,1)</f>
        <v>1.6</v>
      </c>
      <c r="K85" s="79">
        <f t="shared" si="30"/>
        <v>960</v>
      </c>
      <c r="L85" s="80">
        <f t="shared" si="22"/>
        <v>959</v>
      </c>
      <c r="M85" s="51">
        <f>VLOOKUP($A85,'Выгр Кат'!$A:$R,M$1,0)</f>
        <v>600</v>
      </c>
      <c r="N85" s="51">
        <f>VLOOKUP($A85,'Выгр Кат'!$A:$R,N$1,0)</f>
        <v>959</v>
      </c>
      <c r="O85" s="25">
        <f t="shared" si="18"/>
        <v>0</v>
      </c>
      <c r="P85" s="25">
        <f t="shared" si="19"/>
        <v>0</v>
      </c>
      <c r="Q85" s="1">
        <f t="shared" si="23"/>
        <v>891.86999999999989</v>
      </c>
      <c r="R85" s="5" t="str">
        <f>IFERROR((VLOOKUP($A85,'Из ГУГЛа'!$B:$G,6,0)+T85)*S85,VLOOKUP($A85,'Из ГУГЛа'!$B:$G,6,0))</f>
        <v/>
      </c>
      <c r="S85" s="4">
        <v>1</v>
      </c>
      <c r="T85" s="4">
        <v>0</v>
      </c>
      <c r="U85" s="58">
        <f t="shared" si="24"/>
        <v>0.48644999999999983</v>
      </c>
      <c r="V85" s="58" t="str">
        <f t="shared" si="25"/>
        <v/>
      </c>
      <c r="W85" s="58" t="str">
        <f t="shared" si="26"/>
        <v/>
      </c>
      <c r="X85" s="156" t="s">
        <v>929</v>
      </c>
    </row>
    <row r="86" spans="1:25" ht="46.5" thickTop="1" thickBot="1" x14ac:dyDescent="0.3">
      <c r="A86" s="51">
        <v>164999</v>
      </c>
      <c r="B86" s="51">
        <f>VLOOKUP($A86,'Выгр Кат'!$A:$R,B$1,0)</f>
        <v>24506</v>
      </c>
      <c r="C86" s="56" t="str">
        <f>VLOOKUP($A86,'Выгр Кат'!$A:$R,C$1,0)</f>
        <v>Набор для управления стеклоподъёмниками "ОРИОН" Вымпел R01-2W (2 окна)</v>
      </c>
      <c r="D86" s="51" t="str">
        <f>VLOOKUP($A86,'Выгр Кат'!$A:$R,D$1,0)</f>
        <v>Y</v>
      </c>
      <c r="E86" s="51" t="str">
        <f>VLOOKUP($A86,'Выгр Кат'!$A:$R,E$1,0)</f>
        <v>1</v>
      </c>
      <c r="F86" s="51">
        <f>VLOOKUP($A86,'Выгр Кат'!$A:$R,F$1,0)</f>
        <v>0</v>
      </c>
      <c r="G86" s="51" t="s">
        <v>154</v>
      </c>
      <c r="H86" s="77" t="s">
        <v>527</v>
      </c>
      <c r="I86" s="26">
        <f>VLOOKUP(G86,ПРАЙС!B:C,2,0)</f>
        <v>820</v>
      </c>
      <c r="J86" s="78">
        <f>VLOOKUP(I86,Наценка!$A$2:$B$9,2,1)</f>
        <v>1.6</v>
      </c>
      <c r="K86" s="79">
        <f t="shared" si="30"/>
        <v>1312</v>
      </c>
      <c r="L86" s="80">
        <f t="shared" si="22"/>
        <v>1390</v>
      </c>
      <c r="M86" s="51">
        <f>VLOOKUP($A86,'Выгр Кат'!$A:$R,M$1,0)</f>
        <v>820</v>
      </c>
      <c r="N86" s="51">
        <f>VLOOKUP($A86,'Выгр Кат'!$A:$R,N$1,0)</f>
        <v>1390</v>
      </c>
      <c r="O86" s="25">
        <f t="shared" si="18"/>
        <v>0</v>
      </c>
      <c r="P86" s="25">
        <f t="shared" si="19"/>
        <v>0</v>
      </c>
      <c r="Q86" s="1">
        <f t="shared" si="23"/>
        <v>1292.6999999999998</v>
      </c>
      <c r="R86" s="5" t="str">
        <f>IFERROR((VLOOKUP($A86,'Из ГУГЛа'!$B:$G,6,0)+T86)*S86,VLOOKUP($A86,'Из ГУГЛа'!$B:$G,6,0))</f>
        <v/>
      </c>
      <c r="S86" s="4">
        <v>1</v>
      </c>
      <c r="T86" s="4">
        <v>0</v>
      </c>
      <c r="U86" s="58">
        <f t="shared" si="24"/>
        <v>0.57646341463414608</v>
      </c>
      <c r="V86" s="58" t="str">
        <f t="shared" si="25"/>
        <v/>
      </c>
      <c r="W86" s="58" t="str">
        <f t="shared" si="26"/>
        <v/>
      </c>
      <c r="X86" s="156" t="s">
        <v>929</v>
      </c>
    </row>
    <row r="87" spans="1:25" ht="31.5" thickTop="1" thickBot="1" x14ac:dyDescent="0.3">
      <c r="A87" s="51">
        <v>138717</v>
      </c>
      <c r="B87" s="51">
        <f>VLOOKUP($A87,'Выгр Кат'!$A:$R,B$1,0)</f>
        <v>7199</v>
      </c>
      <c r="C87" s="56" t="str">
        <f>VLOOKUP($A87,'Выгр Кат'!$A:$R,C$1,0)</f>
        <v>Бортовой компютер Орион БК 03 для карбюраторных двигателей</v>
      </c>
      <c r="D87" s="51" t="str">
        <f>VLOOKUP($A87,'Выгр Кат'!$A:$R,D$1,0)</f>
        <v>Y</v>
      </c>
      <c r="E87" s="51" t="str">
        <f>VLOOKUP($A87,'Выгр Кат'!$A:$R,E$1,0)</f>
        <v>1</v>
      </c>
      <c r="F87" s="51">
        <f>VLOOKUP($A87,'Выгр Кат'!$A:$R,F$1,0)</f>
        <v>0</v>
      </c>
      <c r="G87" s="51" t="s">
        <v>35</v>
      </c>
      <c r="H87" s="77" t="s">
        <v>527</v>
      </c>
      <c r="I87" s="26">
        <f>VLOOKUP(G87,ПРАЙС!B:C,2,0)</f>
        <v>1160</v>
      </c>
      <c r="J87" s="78">
        <f>VLOOKUP(I87,Наценка!$A$2:$B$9,2,1)</f>
        <v>1.4</v>
      </c>
      <c r="K87" s="64">
        <f t="shared" ref="K87" si="33">X87*1.06</f>
        <v>1791.4</v>
      </c>
      <c r="L87" s="80">
        <f t="shared" si="22"/>
        <v>1790</v>
      </c>
      <c r="M87" s="51">
        <f>VLOOKUP($A87,'Выгр Кат'!$A:$R,M$1,0)</f>
        <v>1160</v>
      </c>
      <c r="N87" s="51">
        <f>VLOOKUP($A87,'Выгр Кат'!$A:$R,N$1,0)</f>
        <v>1790</v>
      </c>
      <c r="O87" s="25">
        <f t="shared" si="18"/>
        <v>0</v>
      </c>
      <c r="P87" s="25">
        <f t="shared" si="19"/>
        <v>0</v>
      </c>
      <c r="Q87" s="1">
        <f t="shared" si="23"/>
        <v>1664.6999999999998</v>
      </c>
      <c r="R87" s="5">
        <f>IFERROR((VLOOKUP($A87,'Из ГУГЛа'!$B:$G,6,0)+T87)*S87,VLOOKUP($A87,'Из ГУГЛа'!$B:$G,6,0))</f>
        <v>1690</v>
      </c>
      <c r="S87" s="4">
        <v>1</v>
      </c>
      <c r="T87" s="4">
        <v>0</v>
      </c>
      <c r="U87" s="58">
        <f t="shared" si="24"/>
        <v>0.43508620689655153</v>
      </c>
      <c r="V87" s="58">
        <f t="shared" si="25"/>
        <v>1.497041420118354E-2</v>
      </c>
      <c r="W87" s="58">
        <f t="shared" si="26"/>
        <v>0.4568965517241379</v>
      </c>
      <c r="X87" s="156">
        <v>1690</v>
      </c>
      <c r="Y87" s="44" t="s">
        <v>797</v>
      </c>
    </row>
    <row r="88" spans="1:25" ht="31.5" thickTop="1" thickBot="1" x14ac:dyDescent="0.3">
      <c r="A88" s="51">
        <v>203208</v>
      </c>
      <c r="B88" s="51">
        <f>VLOOKUP($A88,'Выгр Кат'!$A:$R,B$1,0)</f>
        <v>3837</v>
      </c>
      <c r="C88" s="56" t="str">
        <f>VLOOKUP($A88,'Выгр Кат'!$A:$R,C$1,0)</f>
        <v>Регулятор плавного запуска вентилятора радиатора "АПЭЛ" (РПВ-2) 300Вт</v>
      </c>
      <c r="D88" s="51" t="str">
        <f>VLOOKUP($A88,'Выгр Кат'!$A:$R,D$1,0)</f>
        <v>Y</v>
      </c>
      <c r="E88" s="51" t="str">
        <f>VLOOKUP($A88,'Выгр Кат'!$A:$R,E$1,0)</f>
        <v>1</v>
      </c>
      <c r="F88" s="51">
        <f>VLOOKUP($A88,'Выгр Кат'!$A:$R,F$1,0)</f>
        <v>0</v>
      </c>
      <c r="G88" s="51" t="s">
        <v>389</v>
      </c>
      <c r="H88" s="77" t="s">
        <v>527</v>
      </c>
      <c r="I88" s="26">
        <f>VLOOKUP(G88,ПРАЙС!B:C,2,0)</f>
        <v>930</v>
      </c>
      <c r="J88" s="78">
        <f>VLOOKUP(I88,Наценка!$A$2:$B$9,2,1)</f>
        <v>1.6</v>
      </c>
      <c r="K88" s="61">
        <f t="shared" ref="K88:K89" si="34">X88*1</f>
        <v>1290</v>
      </c>
      <c r="L88" s="80">
        <f t="shared" si="22"/>
        <v>1290</v>
      </c>
      <c r="M88" s="51">
        <f>VLOOKUP($A88,'Выгр Кат'!$A:$R,M$1,0)</f>
        <v>920</v>
      </c>
      <c r="N88" s="51">
        <f>VLOOKUP($A88,'Выгр Кат'!$A:$R,N$1,0)</f>
        <v>1290</v>
      </c>
      <c r="O88" s="25">
        <f t="shared" si="18"/>
        <v>-10</v>
      </c>
      <c r="P88" s="25">
        <f t="shared" si="19"/>
        <v>0</v>
      </c>
      <c r="Q88" s="1">
        <f t="shared" si="23"/>
        <v>1199.6999999999998</v>
      </c>
      <c r="R88" s="5">
        <f>IFERROR((VLOOKUP($A88,'Из ГУГЛа'!$B:$G,6,0)+T88)*S88,VLOOKUP($A88,'Из ГУГЛа'!$B:$G,6,0))</f>
        <v>1290</v>
      </c>
      <c r="S88" s="4">
        <v>1</v>
      </c>
      <c r="T88" s="4">
        <v>0</v>
      </c>
      <c r="U88" s="58">
        <f t="shared" si="24"/>
        <v>0.28999999999999981</v>
      </c>
      <c r="V88" s="58">
        <f t="shared" si="25"/>
        <v>7.0000000000000145E-2</v>
      </c>
      <c r="W88" s="58">
        <f t="shared" si="26"/>
        <v>0.38709677419354849</v>
      </c>
      <c r="X88" s="156">
        <v>1290</v>
      </c>
      <c r="Y88" s="44" t="s">
        <v>970</v>
      </c>
    </row>
    <row r="89" spans="1:25" ht="31.5" thickTop="1" thickBot="1" x14ac:dyDescent="0.3">
      <c r="A89" s="51">
        <v>153082</v>
      </c>
      <c r="B89" s="51">
        <f>VLOOKUP($A89,'Выгр Кат'!$A:$R,B$1,0)</f>
        <v>7218</v>
      </c>
      <c r="C89" s="56" t="str">
        <f>VLOOKUP($A89,'Выгр Кат'!$A:$R,C$1,0)</f>
        <v>Индикатор температуры двигателя на Volkswagen Polo</v>
      </c>
      <c r="D89" s="51" t="str">
        <f>VLOOKUP($A89,'Выгр Кат'!$A:$R,D$1,0)</f>
        <v>Y</v>
      </c>
      <c r="E89" s="51" t="str">
        <f>VLOOKUP($A89,'Выгр Кат'!$A:$R,E$1,0)</f>
        <v>1</v>
      </c>
      <c r="F89" s="51">
        <f>VLOOKUP($A89,'Выгр Кат'!$A:$R,F$1,0)</f>
        <v>0</v>
      </c>
      <c r="G89" s="51" t="s">
        <v>50</v>
      </c>
      <c r="H89" s="77" t="s">
        <v>527</v>
      </c>
      <c r="I89" s="26">
        <f>VLOOKUP(G89,ПРАЙС!B:C,2,0)</f>
        <v>970</v>
      </c>
      <c r="J89" s="78">
        <f>VLOOKUP(I89,Наценка!$A$2:$B$9,2,1)</f>
        <v>1.6</v>
      </c>
      <c r="K89" s="61">
        <f t="shared" si="34"/>
        <v>1390</v>
      </c>
      <c r="L89" s="80">
        <f t="shared" si="22"/>
        <v>1390</v>
      </c>
      <c r="M89" s="51">
        <f>VLOOKUP($A89,'Выгр Кат'!$A:$R,M$1,0)</f>
        <v>970</v>
      </c>
      <c r="N89" s="51">
        <f>VLOOKUP($A89,'Выгр Кат'!$A:$R,N$1,0)</f>
        <v>1390</v>
      </c>
      <c r="O89" s="25">
        <f t="shared" si="18"/>
        <v>0</v>
      </c>
      <c r="P89" s="25">
        <f t="shared" si="19"/>
        <v>0</v>
      </c>
      <c r="Q89" s="1">
        <f t="shared" si="23"/>
        <v>1292.6999999999998</v>
      </c>
      <c r="R89" s="5">
        <f>IFERROR((VLOOKUP($A89,'Из ГУГЛа'!$B:$G,6,0)+T89)*S89,VLOOKUP($A89,'Из ГУГЛа'!$B:$G,6,0))</f>
        <v>1390</v>
      </c>
      <c r="S89" s="4">
        <v>1</v>
      </c>
      <c r="T89" s="4">
        <v>0</v>
      </c>
      <c r="U89" s="58">
        <f t="shared" si="24"/>
        <v>0.33268041237113377</v>
      </c>
      <c r="V89" s="58">
        <f t="shared" si="25"/>
        <v>7.0000000000000132E-2</v>
      </c>
      <c r="W89" s="58">
        <f t="shared" si="26"/>
        <v>0.4329896907216495</v>
      </c>
      <c r="X89" s="156">
        <v>1390</v>
      </c>
      <c r="Y89" s="44" t="s">
        <v>969</v>
      </c>
    </row>
    <row r="90" spans="1:25" ht="16.5" thickTop="1" thickBot="1" x14ac:dyDescent="0.3">
      <c r="A90" s="51">
        <v>226388</v>
      </c>
      <c r="B90" s="51">
        <f>VLOOKUP($A90,'Выгр Кат'!$A:$R,B$1,0)</f>
        <v>7102</v>
      </c>
      <c r="C90" s="56" t="str">
        <f>VLOOKUP($A90,'Выгр Кат'!$A:$R,C$1,0)</f>
        <v>Штат Адаптер USB-K-line</v>
      </c>
      <c r="D90" s="51" t="str">
        <f>VLOOKUP($A90,'Выгр Кат'!$A:$R,D$1,0)</f>
        <v>Y</v>
      </c>
      <c r="E90" s="51" t="str">
        <f>VLOOKUP($A90,'Выгр Кат'!$A:$R,E$1,0)</f>
        <v>1</v>
      </c>
      <c r="F90" s="51">
        <f>VLOOKUP($A90,'Выгр Кат'!$A:$R,F$1,0)</f>
        <v>0</v>
      </c>
      <c r="G90" s="51" t="s">
        <v>34</v>
      </c>
      <c r="H90" s="77" t="s">
        <v>527</v>
      </c>
      <c r="I90" s="26">
        <f>VLOOKUP(G90,ПРАЙС!B:C,2,0)</f>
        <v>1050</v>
      </c>
      <c r="J90" s="78">
        <f>VLOOKUP(I90,Наценка!$A$2:$B$9,2,1)</f>
        <v>1.4</v>
      </c>
      <c r="K90" s="65">
        <f t="shared" ref="K90" si="35">X90*1.07</f>
        <v>1594.3000000000002</v>
      </c>
      <c r="L90" s="80">
        <f t="shared" si="22"/>
        <v>1590</v>
      </c>
      <c r="M90" s="51">
        <f>VLOOKUP($A90,'Выгр Кат'!$A:$R,M$1,0)</f>
        <v>1050</v>
      </c>
      <c r="N90" s="51">
        <f>VLOOKUP($A90,'Выгр Кат'!$A:$R,N$1,0)</f>
        <v>1590</v>
      </c>
      <c r="O90" s="25">
        <f t="shared" si="18"/>
        <v>0</v>
      </c>
      <c r="P90" s="25">
        <f t="shared" si="19"/>
        <v>0</v>
      </c>
      <c r="Q90" s="1">
        <f t="shared" si="23"/>
        <v>1478.6999999999998</v>
      </c>
      <c r="R90" s="5">
        <f>IFERROR((VLOOKUP($A90,'Из ГУГЛа'!$B:$G,6,0)+T90)*S90,VLOOKUP($A90,'Из ГУГЛа'!$B:$G,6,0))</f>
        <v>1490</v>
      </c>
      <c r="S90" s="4">
        <v>1</v>
      </c>
      <c r="T90" s="4">
        <v>0</v>
      </c>
      <c r="U90" s="58">
        <f t="shared" si="24"/>
        <v>0.40828571428571414</v>
      </c>
      <c r="V90" s="58">
        <f t="shared" si="25"/>
        <v>7.5838926174497867E-3</v>
      </c>
      <c r="W90" s="58">
        <f t="shared" si="26"/>
        <v>0.41904761904761911</v>
      </c>
      <c r="X90" s="156">
        <v>1490</v>
      </c>
      <c r="Y90" s="44" t="s">
        <v>816</v>
      </c>
    </row>
    <row r="91" spans="1:25" ht="31.5" thickTop="1" thickBot="1" x14ac:dyDescent="0.3">
      <c r="A91" s="51">
        <v>138682</v>
      </c>
      <c r="B91" s="51">
        <f>VLOOKUP($A91,'Выгр Кат'!$A:$R,B$1,0)</f>
        <v>7200</v>
      </c>
      <c r="C91" s="56" t="str">
        <f>VLOOKUP($A91,'Выгр Кат'!$A:$R,C$1,0)</f>
        <v>Бортовой компьютер Орион БК 06 для карбюраторных двигателей</v>
      </c>
      <c r="D91" s="51" t="str">
        <f>VLOOKUP($A91,'Выгр Кат'!$A:$R,D$1,0)</f>
        <v>Y</v>
      </c>
      <c r="E91" s="51" t="str">
        <f>VLOOKUP($A91,'Выгр Кат'!$A:$R,E$1,0)</f>
        <v>1</v>
      </c>
      <c r="F91" s="51">
        <f>VLOOKUP($A91,'Выгр Кат'!$A:$R,F$1,0)</f>
        <v>0</v>
      </c>
      <c r="G91" s="51" t="s">
        <v>36</v>
      </c>
      <c r="H91" s="77" t="s">
        <v>527</v>
      </c>
      <c r="I91" s="26">
        <f>VLOOKUP(G91,ПРАЙС!B:C,2,0)</f>
        <v>1300</v>
      </c>
      <c r="J91" s="78">
        <f>VLOOKUP(I91,Наценка!$A$2:$B$9,2,1)</f>
        <v>1.4</v>
      </c>
      <c r="K91" s="64">
        <f>X91*1.06</f>
        <v>1897.4</v>
      </c>
      <c r="L91" s="80">
        <f t="shared" si="22"/>
        <v>1890</v>
      </c>
      <c r="M91" s="51">
        <f>VLOOKUP($A91,'Выгр Кат'!$A:$R,M$1,0)</f>
        <v>1300</v>
      </c>
      <c r="N91" s="51">
        <f>VLOOKUP($A91,'Выгр Кат'!$A:$R,N$1,0)</f>
        <v>1890</v>
      </c>
      <c r="O91" s="25">
        <f t="shared" si="18"/>
        <v>0</v>
      </c>
      <c r="P91" s="25">
        <f t="shared" si="19"/>
        <v>0</v>
      </c>
      <c r="Q91" s="1">
        <f t="shared" si="23"/>
        <v>1757.6999999999998</v>
      </c>
      <c r="R91" s="5">
        <f>IFERROR((VLOOKUP($A91,'Из ГУГЛа'!$B:$G,6,0)+T91)*S91,VLOOKUP($A91,'Из ГУГЛа'!$B:$G,6,0))</f>
        <v>1790</v>
      </c>
      <c r="S91" s="4">
        <v>1</v>
      </c>
      <c r="T91" s="4">
        <v>0</v>
      </c>
      <c r="U91" s="58">
        <f t="shared" si="24"/>
        <v>0.35207692307692295</v>
      </c>
      <c r="V91" s="58">
        <f t="shared" si="25"/>
        <v>1.8044692737430271E-2</v>
      </c>
      <c r="W91" s="58">
        <f t="shared" si="26"/>
        <v>0.37692307692307692</v>
      </c>
      <c r="X91" s="156">
        <v>1790</v>
      </c>
      <c r="Y91" s="44" t="s">
        <v>968</v>
      </c>
    </row>
    <row r="92" spans="1:25" ht="46.5" thickTop="1" thickBot="1" x14ac:dyDescent="0.3">
      <c r="A92" s="51">
        <v>165000</v>
      </c>
      <c r="B92" s="51">
        <f>VLOOKUP($A92,'Выгр Кат'!$A:$R,B$1,0)</f>
        <v>24507</v>
      </c>
      <c r="C92" s="56" t="str">
        <f>VLOOKUP($A92,'Выгр Кат'!$A:$R,C$1,0)</f>
        <v>Набор для управления стеклоподъёмниками "ОРИОН" Вымпел R01-4W (4 окна)</v>
      </c>
      <c r="D92" s="51" t="str">
        <f>VLOOKUP($A92,'Выгр Кат'!$A:$R,D$1,0)</f>
        <v>Y</v>
      </c>
      <c r="E92" s="51" t="str">
        <f>VLOOKUP($A92,'Выгр Кат'!$A:$R,E$1,0)</f>
        <v>1</v>
      </c>
      <c r="F92" s="51">
        <f>VLOOKUP($A92,'Выгр Кат'!$A:$R,F$1,0)</f>
        <v>0</v>
      </c>
      <c r="G92" s="51" t="s">
        <v>153</v>
      </c>
      <c r="H92" s="77" t="s">
        <v>527</v>
      </c>
      <c r="I92" s="26">
        <f>VLOOKUP(G92,ПРАЙС!B:C,2,0)</f>
        <v>880</v>
      </c>
      <c r="J92" s="78">
        <f>VLOOKUP(I92,Наценка!$A$2:$B$9,2,1)</f>
        <v>1.6</v>
      </c>
      <c r="K92" s="79">
        <f t="shared" si="30"/>
        <v>1408</v>
      </c>
      <c r="L92" s="80">
        <f t="shared" si="22"/>
        <v>1490</v>
      </c>
      <c r="M92" s="51">
        <f>VLOOKUP($A92,'Выгр Кат'!$A:$R,M$1,0)</f>
        <v>880</v>
      </c>
      <c r="N92" s="51">
        <f>VLOOKUP($A92,'Выгр Кат'!$A:$R,N$1,0)</f>
        <v>1490</v>
      </c>
      <c r="O92" s="25">
        <f t="shared" si="18"/>
        <v>0</v>
      </c>
      <c r="P92" s="25">
        <f t="shared" si="19"/>
        <v>0</v>
      </c>
      <c r="Q92" s="1">
        <f t="shared" si="23"/>
        <v>1385.6999999999998</v>
      </c>
      <c r="R92" s="5" t="str">
        <f>IFERROR((VLOOKUP($A92,'Из ГУГЛа'!$B:$G,6,0)+T92)*S92,VLOOKUP($A92,'Из ГУГЛа'!$B:$G,6,0))</f>
        <v/>
      </c>
      <c r="S92" s="4">
        <v>1</v>
      </c>
      <c r="T92" s="4">
        <v>0</v>
      </c>
      <c r="U92" s="58">
        <f t="shared" si="24"/>
        <v>0.57465909090909073</v>
      </c>
      <c r="V92" s="58" t="str">
        <f t="shared" si="25"/>
        <v/>
      </c>
      <c r="W92" s="58" t="str">
        <f t="shared" si="26"/>
        <v/>
      </c>
      <c r="X92" s="156" t="s">
        <v>929</v>
      </c>
    </row>
    <row r="93" spans="1:25" ht="31.5" thickTop="1" thickBot="1" x14ac:dyDescent="0.3">
      <c r="A93" s="51">
        <v>171719</v>
      </c>
      <c r="B93" s="51">
        <f>VLOOKUP($A93,'Выгр Кат'!$A:$R,B$1,0)</f>
        <v>24534</v>
      </c>
      <c r="C93" s="56" t="str">
        <f>VLOOKUP($A93,'Выгр Кат'!$A:$R,C$1,0)</f>
        <v>Насос для перекачки жидкости "ОРИОН" Вымпел НM-12/24 В</v>
      </c>
      <c r="D93" s="51" t="str">
        <f>VLOOKUP($A93,'Выгр Кат'!$A:$R,D$1,0)</f>
        <v>Y</v>
      </c>
      <c r="E93" s="51" t="str">
        <f>VLOOKUP($A93,'Выгр Кат'!$A:$R,E$1,0)</f>
        <v>1</v>
      </c>
      <c r="F93" s="51">
        <f>VLOOKUP($A93,'Выгр Кат'!$A:$R,F$1,0)</f>
        <v>0</v>
      </c>
      <c r="G93" s="51" t="s">
        <v>178</v>
      </c>
      <c r="H93" s="77" t="s">
        <v>527</v>
      </c>
      <c r="I93" s="26">
        <f>VLOOKUP(G93,ПРАЙС!B:C,2,0)</f>
        <v>1200</v>
      </c>
      <c r="J93" s="78">
        <f>VLOOKUP(I93,Наценка!$A$2:$B$9,2,1)</f>
        <v>1.4</v>
      </c>
      <c r="K93" s="64">
        <f t="shared" ref="K93:K104" si="36">X93*1.06</f>
        <v>1897.4</v>
      </c>
      <c r="L93" s="80">
        <f t="shared" si="22"/>
        <v>1890</v>
      </c>
      <c r="M93" s="51">
        <f>VLOOKUP($A93,'Выгр Кат'!$A:$R,M$1,0)</f>
        <v>1200</v>
      </c>
      <c r="N93" s="51">
        <f>VLOOKUP($A93,'Выгр Кат'!$A:$R,N$1,0)</f>
        <v>1890</v>
      </c>
      <c r="O93" s="25">
        <f t="shared" si="18"/>
        <v>0</v>
      </c>
      <c r="P93" s="25">
        <f t="shared" si="19"/>
        <v>0</v>
      </c>
      <c r="Q93" s="1">
        <f t="shared" si="23"/>
        <v>1757.6999999999998</v>
      </c>
      <c r="R93" s="5">
        <f>IFERROR((VLOOKUP($A93,'Из ГУГЛа'!$B:$G,6,0)+T93)*S93,VLOOKUP($A93,'Из ГУГЛа'!$B:$G,6,0))</f>
        <v>1790</v>
      </c>
      <c r="S93" s="4">
        <v>1</v>
      </c>
      <c r="T93" s="4">
        <v>0</v>
      </c>
      <c r="U93" s="58">
        <f t="shared" si="24"/>
        <v>0.46474999999999977</v>
      </c>
      <c r="V93" s="58">
        <f t="shared" si="25"/>
        <v>1.8044692737430271E-2</v>
      </c>
      <c r="W93" s="58">
        <f t="shared" si="26"/>
        <v>0.4916666666666667</v>
      </c>
      <c r="X93" s="156">
        <v>1790</v>
      </c>
      <c r="Y93" s="44" t="s">
        <v>961</v>
      </c>
    </row>
    <row r="94" spans="1:25" ht="16.5" thickTop="1" thickBot="1" x14ac:dyDescent="0.3">
      <c r="A94" s="51">
        <v>131561</v>
      </c>
      <c r="B94" s="51">
        <f>VLOOKUP($A94,'Выгр Кат'!$A:$R,B$1,0)</f>
        <v>7245</v>
      </c>
      <c r="C94" s="56" t="str">
        <f>VLOOKUP($A94,'Выгр Кат'!$A:$R,C$1,0)</f>
        <v>Адаптер ELM 327 Bluetooth</v>
      </c>
      <c r="D94" s="51" t="str">
        <f>VLOOKUP($A94,'Выгр Кат'!$A:$R,D$1,0)</f>
        <v>Y</v>
      </c>
      <c r="E94" s="51" t="str">
        <f>VLOOKUP($A94,'Выгр Кат'!$A:$R,E$1,0)</f>
        <v>1</v>
      </c>
      <c r="F94" s="51">
        <f>VLOOKUP($A94,'Выгр Кат'!$A:$R,F$1,0)</f>
        <v>0</v>
      </c>
      <c r="G94" s="51" t="s">
        <v>200</v>
      </c>
      <c r="H94" s="77" t="s">
        <v>527</v>
      </c>
      <c r="I94" s="26">
        <f>VLOOKUP(G94,ПРАЙС!B:C,2,0)</f>
        <v>770</v>
      </c>
      <c r="J94" s="78">
        <f>VLOOKUP(I94,Наценка!$A$2:$B$9,2,1)</f>
        <v>1.6</v>
      </c>
      <c r="K94" s="61">
        <f>X94*1</f>
        <v>1190</v>
      </c>
      <c r="L94" s="80">
        <f t="shared" si="22"/>
        <v>1190</v>
      </c>
      <c r="M94" s="51">
        <f>VLOOKUP($A94,'Выгр Кат'!$A:$R,M$1,0)</f>
        <v>770</v>
      </c>
      <c r="N94" s="51">
        <f>VLOOKUP($A94,'Выгр Кат'!$A:$R,N$1,0)</f>
        <v>1190</v>
      </c>
      <c r="O94" s="25">
        <f t="shared" si="18"/>
        <v>0</v>
      </c>
      <c r="P94" s="25">
        <f t="shared" si="19"/>
        <v>0</v>
      </c>
      <c r="Q94" s="1">
        <f t="shared" si="23"/>
        <v>1106.6999999999998</v>
      </c>
      <c r="R94" s="5">
        <f>IFERROR((VLOOKUP($A94,'Из ГУГЛа'!$B:$G,6,0)+T94)*S94,VLOOKUP($A94,'Из ГУГЛа'!$B:$G,6,0))</f>
        <v>1190</v>
      </c>
      <c r="S94" s="4">
        <v>1</v>
      </c>
      <c r="T94" s="4">
        <v>0</v>
      </c>
      <c r="U94" s="58">
        <f t="shared" si="24"/>
        <v>0.43727272727272704</v>
      </c>
      <c r="V94" s="58">
        <f t="shared" si="25"/>
        <v>7.0000000000000159E-2</v>
      </c>
      <c r="W94" s="58">
        <f t="shared" si="26"/>
        <v>0.54545454545454541</v>
      </c>
      <c r="X94" s="156">
        <v>1190</v>
      </c>
      <c r="Y94" s="44" t="s">
        <v>967</v>
      </c>
    </row>
    <row r="95" spans="1:25" ht="16.5" thickTop="1" thickBot="1" x14ac:dyDescent="0.3">
      <c r="A95" s="51">
        <v>131564</v>
      </c>
      <c r="B95" s="51">
        <f>VLOOKUP($A95,'Выгр Кат'!$A:$R,B$1,0)</f>
        <v>7246</v>
      </c>
      <c r="C95" s="56" t="str">
        <f>VLOOKUP($A95,'Выгр Кат'!$A:$R,C$1,0)</f>
        <v>Адаптер ELM 327 mini Bluetooth</v>
      </c>
      <c r="D95" s="51" t="str">
        <f>VLOOKUP($A95,'Выгр Кат'!$A:$R,D$1,0)</f>
        <v>Y</v>
      </c>
      <c r="E95" s="51" t="str">
        <f>VLOOKUP($A95,'Выгр Кат'!$A:$R,E$1,0)</f>
        <v>1</v>
      </c>
      <c r="F95" s="51">
        <f>VLOOKUP($A95,'Выгр Кат'!$A:$R,F$1,0)</f>
        <v>0</v>
      </c>
      <c r="G95" s="51" t="s">
        <v>556</v>
      </c>
      <c r="H95" s="77" t="s">
        <v>527</v>
      </c>
      <c r="I95" s="26">
        <f>VLOOKUP(G95,ПРАЙС!B:C,2,0)</f>
        <v>550</v>
      </c>
      <c r="J95" s="78">
        <f>VLOOKUP(I95,Наценка!$A$2:$B$9,2,1)</f>
        <v>1.6</v>
      </c>
      <c r="K95" s="64">
        <f t="shared" si="36"/>
        <v>943.40000000000009</v>
      </c>
      <c r="L95" s="80">
        <f t="shared" si="22"/>
        <v>949</v>
      </c>
      <c r="M95" s="51">
        <f>VLOOKUP($A95,'Выгр Кат'!$A:$R,M$1,0)</f>
        <v>550</v>
      </c>
      <c r="N95" s="51">
        <f>VLOOKUP($A95,'Выгр Кат'!$A:$R,N$1,0)</f>
        <v>949</v>
      </c>
      <c r="O95" s="25">
        <f t="shared" si="18"/>
        <v>0</v>
      </c>
      <c r="P95" s="25">
        <f t="shared" si="19"/>
        <v>0</v>
      </c>
      <c r="Q95" s="1">
        <f t="shared" si="23"/>
        <v>882.56999999999994</v>
      </c>
      <c r="R95" s="5">
        <f>IFERROR((VLOOKUP($A95,'Из ГУГЛа'!$B:$G,6,0)+T95)*S95,VLOOKUP($A95,'Из ГУГЛа'!$B:$G,6,0))</f>
        <v>890</v>
      </c>
      <c r="S95" s="4">
        <v>1</v>
      </c>
      <c r="T95" s="4">
        <v>0</v>
      </c>
      <c r="U95" s="58">
        <f t="shared" si="24"/>
        <v>0.60467272727272725</v>
      </c>
      <c r="V95" s="58">
        <f t="shared" si="25"/>
        <v>8.3483146067416438E-3</v>
      </c>
      <c r="W95" s="58">
        <f t="shared" si="26"/>
        <v>0.61818181818181817</v>
      </c>
      <c r="X95" s="156">
        <v>890</v>
      </c>
      <c r="Y95" s="44" t="s">
        <v>966</v>
      </c>
    </row>
    <row r="96" spans="1:25" ht="16.5" thickTop="1" thickBot="1" x14ac:dyDescent="0.3">
      <c r="A96" s="51">
        <v>131566</v>
      </c>
      <c r="B96" s="51">
        <f>VLOOKUP($A96,'Выгр Кат'!$A:$R,B$1,0)</f>
        <v>7247</v>
      </c>
      <c r="C96" s="56" t="str">
        <f>VLOOKUP($A96,'Выгр Кат'!$A:$R,C$1,0)</f>
        <v>Адаптер ELM 327 USB</v>
      </c>
      <c r="D96" s="51" t="str">
        <f>VLOOKUP($A96,'Выгр Кат'!$A:$R,D$1,0)</f>
        <v>Y</v>
      </c>
      <c r="E96" s="51" t="str">
        <f>VLOOKUP($A96,'Выгр Кат'!$A:$R,E$1,0)</f>
        <v>1</v>
      </c>
      <c r="F96" s="51">
        <f>VLOOKUP($A96,'Выгр Кат'!$A:$R,F$1,0)</f>
        <v>0</v>
      </c>
      <c r="G96" s="51" t="s">
        <v>201</v>
      </c>
      <c r="H96" s="77" t="s">
        <v>527</v>
      </c>
      <c r="I96" s="26">
        <f>VLOOKUP(G96,ПРАЙС!B:C,2,0)</f>
        <v>800</v>
      </c>
      <c r="J96" s="78">
        <f>VLOOKUP(I96,Наценка!$A$2:$B$9,2,1)</f>
        <v>1.6</v>
      </c>
      <c r="K96" s="61">
        <f>X96*1</f>
        <v>1190</v>
      </c>
      <c r="L96" s="80">
        <f t="shared" si="22"/>
        <v>1190</v>
      </c>
      <c r="M96" s="51">
        <f>VLOOKUP($A96,'Выгр Кат'!$A:$R,M$1,0)</f>
        <v>800</v>
      </c>
      <c r="N96" s="51">
        <f>VLOOKUP($A96,'Выгр Кат'!$A:$R,N$1,0)</f>
        <v>1190</v>
      </c>
      <c r="O96" s="25">
        <f t="shared" si="18"/>
        <v>0</v>
      </c>
      <c r="P96" s="25">
        <f t="shared" si="19"/>
        <v>0</v>
      </c>
      <c r="Q96" s="1">
        <f t="shared" si="23"/>
        <v>1106.6999999999998</v>
      </c>
      <c r="R96" s="5">
        <f>IFERROR((VLOOKUP($A96,'Из ГУГЛа'!$B:$G,6,0)+T96)*S96,VLOOKUP($A96,'Из ГУГЛа'!$B:$G,6,0))</f>
        <v>1190</v>
      </c>
      <c r="S96" s="4">
        <v>1</v>
      </c>
      <c r="T96" s="4">
        <v>0</v>
      </c>
      <c r="U96" s="58">
        <f t="shared" si="24"/>
        <v>0.3833749999999998</v>
      </c>
      <c r="V96" s="58">
        <f t="shared" si="25"/>
        <v>7.0000000000000159E-2</v>
      </c>
      <c r="W96" s="58">
        <f t="shared" si="26"/>
        <v>0.48750000000000004</v>
      </c>
      <c r="X96" s="156">
        <v>1190</v>
      </c>
      <c r="Y96" s="44" t="s">
        <v>965</v>
      </c>
    </row>
    <row r="97" spans="1:25" ht="16.5" thickTop="1" thickBot="1" x14ac:dyDescent="0.3">
      <c r="A97" s="51">
        <v>218498</v>
      </c>
      <c r="B97" s="51">
        <f>VLOOKUP($A97,'Выгр Кат'!$A:$R,B$1,0)</f>
        <v>7000</v>
      </c>
      <c r="C97" s="56" t="str">
        <f>VLOOKUP($A97,'Выгр Кат'!$A:$R,C$1,0)</f>
        <v>Стробоскоп Орион СТ-1</v>
      </c>
      <c r="D97" s="51" t="str">
        <f>VLOOKUP($A97,'Выгр Кат'!$A:$R,D$1,0)</f>
        <v>Y</v>
      </c>
      <c r="E97" s="51" t="str">
        <f>VLOOKUP($A97,'Выгр Кат'!$A:$R,E$1,0)</f>
        <v>1</v>
      </c>
      <c r="F97" s="51">
        <f>VLOOKUP($A97,'Выгр Кат'!$A:$R,F$1,0)</f>
        <v>0</v>
      </c>
      <c r="G97" s="51" t="s">
        <v>111</v>
      </c>
      <c r="H97" s="77" t="s">
        <v>527</v>
      </c>
      <c r="I97" s="26">
        <f>VLOOKUP(G97,ПРАЙС!B:C,2,0)</f>
        <v>1250</v>
      </c>
      <c r="J97" s="78">
        <f>VLOOKUP(I97,Наценка!$A$2:$B$9,2,1)</f>
        <v>1.4</v>
      </c>
      <c r="K97" s="64">
        <f t="shared" si="36"/>
        <v>1791.4</v>
      </c>
      <c r="L97" s="80">
        <f t="shared" si="22"/>
        <v>1790</v>
      </c>
      <c r="M97" s="51">
        <f>VLOOKUP($A97,'Выгр Кат'!$A:$R,M$1,0)</f>
        <v>1250</v>
      </c>
      <c r="N97" s="51">
        <f>VLOOKUP($A97,'Выгр Кат'!$A:$R,N$1,0)</f>
        <v>1790</v>
      </c>
      <c r="O97" s="25">
        <f t="shared" si="18"/>
        <v>0</v>
      </c>
      <c r="P97" s="25">
        <f t="shared" si="19"/>
        <v>0</v>
      </c>
      <c r="Q97" s="1">
        <f t="shared" si="23"/>
        <v>1664.6999999999998</v>
      </c>
      <c r="R97" s="5">
        <f>IFERROR((VLOOKUP($A97,'Из ГУГЛа'!$B:$G,6,0)+T97)*S97,VLOOKUP($A97,'Из ГУГЛа'!$B:$G,6,0))</f>
        <v>1690</v>
      </c>
      <c r="S97" s="4">
        <v>1</v>
      </c>
      <c r="T97" s="4">
        <v>0</v>
      </c>
      <c r="U97" s="58">
        <f t="shared" si="24"/>
        <v>0.33175999999999983</v>
      </c>
      <c r="V97" s="58">
        <f t="shared" si="25"/>
        <v>1.497041420118354E-2</v>
      </c>
      <c r="W97" s="58">
        <f t="shared" si="26"/>
        <v>0.35200000000000009</v>
      </c>
      <c r="X97" s="156">
        <v>1690</v>
      </c>
      <c r="Y97" s="44" t="s">
        <v>964</v>
      </c>
    </row>
    <row r="98" spans="1:25" ht="16.5" thickTop="1" thickBot="1" x14ac:dyDescent="0.3">
      <c r="A98" s="51">
        <v>138684</v>
      </c>
      <c r="B98" s="51">
        <f>VLOOKUP($A98,'Выгр Кат'!$A:$R,B$1,0)</f>
        <v>7198</v>
      </c>
      <c r="C98" s="56" t="str">
        <f>VLOOKUP($A98,'Выгр Кат'!$A:$R,C$1,0)</f>
        <v>Бортовой компьютер Орион БК-08</v>
      </c>
      <c r="D98" s="51" t="str">
        <f>VLOOKUP($A98,'Выгр Кат'!$A:$R,D$1,0)</f>
        <v>Y</v>
      </c>
      <c r="E98" s="51" t="str">
        <f>VLOOKUP($A98,'Выгр Кат'!$A:$R,E$1,0)</f>
        <v>1</v>
      </c>
      <c r="F98" s="51">
        <f>VLOOKUP($A98,'Выгр Кат'!$A:$R,F$1,0)</f>
        <v>0</v>
      </c>
      <c r="G98" s="51" t="s">
        <v>37</v>
      </c>
      <c r="H98" s="77" t="s">
        <v>527</v>
      </c>
      <c r="I98" s="26">
        <f>VLOOKUP(G98,ПРАЙС!B:C,2,0)</f>
        <v>1360</v>
      </c>
      <c r="J98" s="78">
        <f>VLOOKUP(I98,Наценка!$A$2:$B$9,2,1)</f>
        <v>1.4</v>
      </c>
      <c r="K98" s="64">
        <f t="shared" si="36"/>
        <v>1897.4</v>
      </c>
      <c r="L98" s="80">
        <f t="shared" si="22"/>
        <v>1890</v>
      </c>
      <c r="M98" s="51">
        <f>VLOOKUP($A98,'Выгр Кат'!$A:$R,M$1,0)</f>
        <v>1360</v>
      </c>
      <c r="N98" s="51">
        <f>VLOOKUP($A98,'Выгр Кат'!$A:$R,N$1,0)</f>
        <v>1890</v>
      </c>
      <c r="O98" s="25">
        <f t="shared" si="18"/>
        <v>0</v>
      </c>
      <c r="P98" s="25">
        <f t="shared" si="19"/>
        <v>0</v>
      </c>
      <c r="Q98" s="1">
        <f t="shared" si="23"/>
        <v>1757.6999999999998</v>
      </c>
      <c r="R98" s="5">
        <f>IFERROR((VLOOKUP($A98,'Из ГУГЛа'!$B:$G,6,0)+T98)*S98,VLOOKUP($A98,'Из ГУГЛа'!$B:$G,6,0))</f>
        <v>1790</v>
      </c>
      <c r="S98" s="4">
        <v>1</v>
      </c>
      <c r="T98" s="4">
        <v>0</v>
      </c>
      <c r="U98" s="58">
        <f t="shared" si="24"/>
        <v>0.29242647058823512</v>
      </c>
      <c r="V98" s="58">
        <f t="shared" si="25"/>
        <v>1.8044692737430271E-2</v>
      </c>
      <c r="W98" s="58">
        <f t="shared" si="26"/>
        <v>0.31617647058823528</v>
      </c>
      <c r="X98" s="156">
        <v>1790</v>
      </c>
      <c r="Y98" s="44" t="s">
        <v>963</v>
      </c>
    </row>
    <row r="99" spans="1:25" ht="16.5" thickTop="1" thickBot="1" x14ac:dyDescent="0.3">
      <c r="A99" s="51">
        <v>223736</v>
      </c>
      <c r="B99" s="51">
        <f>VLOOKUP($A99,'Выгр Кат'!$A:$R,B$1,0)</f>
        <v>8908</v>
      </c>
      <c r="C99" s="56" t="str">
        <f>VLOOKUP($A99,'Выгр Кат'!$A:$R,C$1,0)</f>
        <v>Устройство зарядное ОРИОН PW150</v>
      </c>
      <c r="D99" s="51" t="str">
        <f>VLOOKUP($A99,'Выгр Кат'!$A:$R,D$1,0)</f>
        <v>Y</v>
      </c>
      <c r="E99" s="51" t="str">
        <f>VLOOKUP($A99,'Выгр Кат'!$A:$R,E$1,0)</f>
        <v>1</v>
      </c>
      <c r="F99" s="51">
        <f>VLOOKUP($A99,'Выгр Кат'!$A:$R,F$1,0)</f>
        <v>0</v>
      </c>
      <c r="G99" s="51" t="s">
        <v>559</v>
      </c>
      <c r="H99" s="77" t="s">
        <v>527</v>
      </c>
      <c r="I99" s="26">
        <f>VLOOKUP(G99,ПРАЙС!B:C,2,0)</f>
        <v>1250</v>
      </c>
      <c r="J99" s="78">
        <f>VLOOKUP(I99,Наценка!$A$2:$B$9,2,1)</f>
        <v>1.4</v>
      </c>
      <c r="K99" s="64">
        <f t="shared" si="36"/>
        <v>1791.4</v>
      </c>
      <c r="L99" s="80">
        <f t="shared" si="22"/>
        <v>1790</v>
      </c>
      <c r="M99" s="51">
        <f>VLOOKUP($A99,'Выгр Кат'!$A:$R,M$1,0)</f>
        <v>1250</v>
      </c>
      <c r="N99" s="51">
        <f>VLOOKUP($A99,'Выгр Кат'!$A:$R,N$1,0)</f>
        <v>1790</v>
      </c>
      <c r="O99" s="25">
        <f t="shared" si="18"/>
        <v>0</v>
      </c>
      <c r="P99" s="25">
        <f t="shared" si="19"/>
        <v>0</v>
      </c>
      <c r="Q99" s="1">
        <f t="shared" si="23"/>
        <v>1664.6999999999998</v>
      </c>
      <c r="R99" s="5">
        <f>IFERROR((VLOOKUP($A99,'Из ГУГЛа'!$B:$G,6,0)+T99)*S99,VLOOKUP($A99,'Из ГУГЛа'!$B:$G,6,0))</f>
        <v>1690</v>
      </c>
      <c r="S99" s="4">
        <v>1</v>
      </c>
      <c r="T99" s="4">
        <v>0</v>
      </c>
      <c r="U99" s="58">
        <f t="shared" si="24"/>
        <v>0.33175999999999983</v>
      </c>
      <c r="V99" s="58">
        <f t="shared" si="25"/>
        <v>1.497041420118354E-2</v>
      </c>
      <c r="W99" s="58">
        <f t="shared" si="26"/>
        <v>0.35200000000000009</v>
      </c>
      <c r="X99" s="156">
        <v>1690</v>
      </c>
      <c r="Y99" s="44" t="s">
        <v>962</v>
      </c>
    </row>
    <row r="100" spans="1:25" ht="31.5" thickTop="1" thickBot="1" x14ac:dyDescent="0.3">
      <c r="A100" s="51">
        <v>171720</v>
      </c>
      <c r="B100" s="51">
        <f>VLOOKUP($A100,'Выгр Кат'!$A:$R,B$1,0)</f>
        <v>24535</v>
      </c>
      <c r="C100" s="56" t="str">
        <f>VLOOKUP($A100,'Выгр Кат'!$A:$R,C$1,0)</f>
        <v>Насос для перекачки жидкости "ОРИОН" Вымпел НС-12/24 В</v>
      </c>
      <c r="D100" s="51" t="str">
        <f>VLOOKUP($A100,'Выгр Кат'!$A:$R,D$1,0)</f>
        <v>Y</v>
      </c>
      <c r="E100" s="51" t="str">
        <f>VLOOKUP($A100,'Выгр Кат'!$A:$R,E$1,0)</f>
        <v>1</v>
      </c>
      <c r="F100" s="51">
        <f>VLOOKUP($A100,'Выгр Кат'!$A:$R,F$1,0)</f>
        <v>0</v>
      </c>
      <c r="G100" s="51" t="s">
        <v>139</v>
      </c>
      <c r="H100" s="77" t="s">
        <v>527</v>
      </c>
      <c r="I100" s="26">
        <f>VLOOKUP(G100,ПРАЙС!B:C,2,0)</f>
        <v>1300</v>
      </c>
      <c r="J100" s="78">
        <f>VLOOKUP(I100,Наценка!$A$2:$B$9,2,1)</f>
        <v>1.4</v>
      </c>
      <c r="K100" s="64">
        <f t="shared" si="36"/>
        <v>1897.4</v>
      </c>
      <c r="L100" s="80">
        <f t="shared" si="22"/>
        <v>1890</v>
      </c>
      <c r="M100" s="51">
        <f>VLOOKUP($A100,'Выгр Кат'!$A:$R,M$1,0)</f>
        <v>1300</v>
      </c>
      <c r="N100" s="51">
        <f>VLOOKUP($A100,'Выгр Кат'!$A:$R,N$1,0)</f>
        <v>1890</v>
      </c>
      <c r="O100" s="25">
        <f t="shared" si="18"/>
        <v>0</v>
      </c>
      <c r="P100" s="25">
        <f t="shared" si="19"/>
        <v>0</v>
      </c>
      <c r="Q100" s="1">
        <f t="shared" si="23"/>
        <v>1757.6999999999998</v>
      </c>
      <c r="R100" s="5">
        <f>IFERROR((VLOOKUP($A100,'Из ГУГЛа'!$B:$G,6,0)+T100)*S100,VLOOKUP($A100,'Из ГУГЛа'!$B:$G,6,0))</f>
        <v>1790</v>
      </c>
      <c r="S100" s="4">
        <v>1</v>
      </c>
      <c r="T100" s="4">
        <v>0</v>
      </c>
      <c r="U100" s="58">
        <f t="shared" si="24"/>
        <v>0.35207692307692295</v>
      </c>
      <c r="V100" s="58">
        <f t="shared" si="25"/>
        <v>1.8044692737430271E-2</v>
      </c>
      <c r="W100" s="58">
        <f t="shared" si="26"/>
        <v>0.37692307692307692</v>
      </c>
      <c r="X100" s="156">
        <v>1790</v>
      </c>
      <c r="Y100" s="44" t="s">
        <v>961</v>
      </c>
    </row>
    <row r="101" spans="1:25" ht="46.5" thickTop="1" thickBot="1" x14ac:dyDescent="0.3">
      <c r="A101" s="51">
        <v>153083</v>
      </c>
      <c r="B101" s="51">
        <f>VLOOKUP($A101,'Выгр Кат'!$A:$R,B$1,0)</f>
        <v>7215</v>
      </c>
      <c r="C101" s="56" t="str">
        <f>VLOOKUP($A101,'Выгр Кат'!$A:$R,C$1,0)</f>
        <v>Индикатор температуры двигателя цифровой на Lada Granta, Kalina 2, Priora, Datsun</v>
      </c>
      <c r="D101" s="51" t="str">
        <f>VLOOKUP($A101,'Выгр Кат'!$A:$R,D$1,0)</f>
        <v>Y</v>
      </c>
      <c r="E101" s="51" t="str">
        <f>VLOOKUP($A101,'Выгр Кат'!$A:$R,E$1,0)</f>
        <v>1</v>
      </c>
      <c r="F101" s="51">
        <f>VLOOKUP($A101,'Выгр Кат'!$A:$R,F$1,0)</f>
        <v>0</v>
      </c>
      <c r="G101" s="51" t="s">
        <v>49</v>
      </c>
      <c r="H101" s="77" t="s">
        <v>527</v>
      </c>
      <c r="I101" s="26">
        <f>VLOOKUP(G101,ПРАЙС!B:C,2,0)</f>
        <v>1130</v>
      </c>
      <c r="J101" s="78">
        <f>VLOOKUP(I101,Наценка!$A$2:$B$9,2,1)</f>
        <v>1.4</v>
      </c>
      <c r="K101" s="64">
        <f t="shared" si="36"/>
        <v>1685.4</v>
      </c>
      <c r="L101" s="80">
        <f t="shared" si="22"/>
        <v>1690</v>
      </c>
      <c r="M101" s="51">
        <f>VLOOKUP($A101,'Выгр Кат'!$A:$R,M$1,0)</f>
        <v>1100</v>
      </c>
      <c r="N101" s="51">
        <f>VLOOKUP($A101,'Выгр Кат'!$A:$R,N$1,0)</f>
        <v>1690</v>
      </c>
      <c r="O101" s="25">
        <f t="shared" si="18"/>
        <v>-30</v>
      </c>
      <c r="P101" s="25">
        <f t="shared" si="19"/>
        <v>0</v>
      </c>
      <c r="Q101" s="1">
        <f t="shared" si="23"/>
        <v>1571.6999999999998</v>
      </c>
      <c r="R101" s="5">
        <f>IFERROR((VLOOKUP($A101,'Из ГУГЛа'!$B:$G,6,0)+T101)*S101,VLOOKUP($A101,'Из ГУГЛа'!$B:$G,6,0))</f>
        <v>1590</v>
      </c>
      <c r="S101" s="4">
        <v>1</v>
      </c>
      <c r="T101" s="4">
        <v>0</v>
      </c>
      <c r="U101" s="58">
        <f t="shared" si="24"/>
        <v>0.39088495575221227</v>
      </c>
      <c r="V101" s="58">
        <f t="shared" si="25"/>
        <v>1.1509433962264266E-2</v>
      </c>
      <c r="W101" s="58">
        <f t="shared" si="26"/>
        <v>0.40707964601769908</v>
      </c>
      <c r="X101" s="156">
        <v>1590</v>
      </c>
      <c r="Y101" s="44" t="s">
        <v>960</v>
      </c>
    </row>
    <row r="102" spans="1:25" ht="31.5" thickTop="1" thickBot="1" x14ac:dyDescent="0.3">
      <c r="A102" s="51">
        <v>117311</v>
      </c>
      <c r="B102" s="51">
        <f>VLOOKUP($A102,'Выгр Кат'!$A:$R,B$1,0)</f>
        <v>24503</v>
      </c>
      <c r="C102" s="56" t="str">
        <f>VLOOKUP($A102,'Выгр Кат'!$A:$R,C$1,0)</f>
        <v>USB-зарядное устройство "АПЭЛ" (3-х канальное)</v>
      </c>
      <c r="D102" s="51" t="str">
        <f>VLOOKUP($A102,'Выгр Кат'!$A:$R,D$1,0)</f>
        <v>Y</v>
      </c>
      <c r="E102" s="51" t="str">
        <f>VLOOKUP($A102,'Выгр Кат'!$A:$R,E$1,0)</f>
        <v>1</v>
      </c>
      <c r="F102" s="51">
        <f>VLOOKUP($A102,'Выгр Кат'!$A:$R,F$1,0)</f>
        <v>0</v>
      </c>
      <c r="G102" s="51" t="s">
        <v>522</v>
      </c>
      <c r="H102" s="77" t="s">
        <v>527</v>
      </c>
      <c r="I102" s="26">
        <f>VLOOKUP(G102,ПРАЙС!B:C,2,0)</f>
        <v>1200</v>
      </c>
      <c r="J102" s="78">
        <f>VLOOKUP(I102,Наценка!$A$2:$B$9,2,1)</f>
        <v>1.4</v>
      </c>
      <c r="K102" s="64">
        <f t="shared" si="36"/>
        <v>1791.4</v>
      </c>
      <c r="L102" s="80">
        <f t="shared" si="22"/>
        <v>1790</v>
      </c>
      <c r="M102" s="51">
        <f>VLOOKUP($A102,'Выгр Кат'!$A:$R,M$1,0)</f>
        <v>1100</v>
      </c>
      <c r="N102" s="51">
        <f>VLOOKUP($A102,'Выгр Кат'!$A:$R,N$1,0)</f>
        <v>1790</v>
      </c>
      <c r="O102" s="25">
        <f t="shared" si="18"/>
        <v>-100</v>
      </c>
      <c r="P102" s="25">
        <f t="shared" si="19"/>
        <v>0</v>
      </c>
      <c r="Q102" s="1">
        <f t="shared" si="23"/>
        <v>1664.6999999999998</v>
      </c>
      <c r="R102" s="5">
        <f>IFERROR((VLOOKUP($A102,'Из ГУГЛа'!$B:$G,6,0)+T102)*S102,VLOOKUP($A102,'Из ГУГЛа'!$B:$G,6,0))</f>
        <v>1690</v>
      </c>
      <c r="S102" s="4">
        <v>1</v>
      </c>
      <c r="T102" s="4">
        <v>0</v>
      </c>
      <c r="U102" s="58">
        <f t="shared" si="24"/>
        <v>0.38724999999999987</v>
      </c>
      <c r="V102" s="58">
        <f t="shared" si="25"/>
        <v>1.497041420118354E-2</v>
      </c>
      <c r="W102" s="58">
        <f t="shared" si="26"/>
        <v>0.40833333333333344</v>
      </c>
      <c r="X102" s="156">
        <v>1690</v>
      </c>
      <c r="Y102" s="44" t="s">
        <v>959</v>
      </c>
    </row>
    <row r="103" spans="1:25" ht="46.5" thickTop="1" thickBot="1" x14ac:dyDescent="0.3">
      <c r="A103" s="51">
        <v>224679</v>
      </c>
      <c r="B103" s="51">
        <f>VLOOKUP($A103,'Выгр Кат'!$A:$R,B$1,0)</f>
        <v>7210</v>
      </c>
      <c r="C103" s="56" t="str">
        <f>VLOOKUP($A103,'Выгр Кат'!$A:$R,C$1,0)</f>
        <v>Цифровой индикатор температуры двигателя с функцией диагностики, под CAN шину</v>
      </c>
      <c r="D103" s="51" t="str">
        <f>VLOOKUP($A103,'Выгр Кат'!$A:$R,D$1,0)</f>
        <v>Y</v>
      </c>
      <c r="E103" s="51" t="str">
        <f>VLOOKUP($A103,'Выгр Кат'!$A:$R,E$1,0)</f>
        <v>1</v>
      </c>
      <c r="F103" s="51">
        <f>VLOOKUP($A103,'Выгр Кат'!$A:$R,F$1,0)</f>
        <v>0</v>
      </c>
      <c r="G103" s="51" t="s">
        <v>51</v>
      </c>
      <c r="H103" s="77" t="s">
        <v>527</v>
      </c>
      <c r="I103" s="26">
        <f>VLOOKUP(G103,ПРАЙС!B:C,2,0)</f>
        <v>1300</v>
      </c>
      <c r="J103" s="78">
        <f>VLOOKUP(I103,Наценка!$A$2:$B$9,2,1)</f>
        <v>1.4</v>
      </c>
      <c r="K103" s="64">
        <f t="shared" si="36"/>
        <v>1897.4</v>
      </c>
      <c r="L103" s="80">
        <f t="shared" si="22"/>
        <v>1890</v>
      </c>
      <c r="M103" s="51">
        <f>VLOOKUP($A103,'Выгр Кат'!$A:$R,M$1,0)</f>
        <v>1300</v>
      </c>
      <c r="N103" s="51">
        <f>VLOOKUP($A103,'Выгр Кат'!$A:$R,N$1,0)</f>
        <v>1890</v>
      </c>
      <c r="O103" s="25">
        <f t="shared" si="18"/>
        <v>0</v>
      </c>
      <c r="P103" s="25">
        <f t="shared" si="19"/>
        <v>0</v>
      </c>
      <c r="Q103" s="1">
        <f t="shared" si="23"/>
        <v>1757.6999999999998</v>
      </c>
      <c r="R103" s="5">
        <f>IFERROR((VLOOKUP($A103,'Из ГУГЛа'!$B:$G,6,0)+T103)*S103,VLOOKUP($A103,'Из ГУГЛа'!$B:$G,6,0))</f>
        <v>1790</v>
      </c>
      <c r="S103" s="4">
        <v>1</v>
      </c>
      <c r="T103" s="4">
        <v>0</v>
      </c>
      <c r="U103" s="58">
        <f t="shared" si="24"/>
        <v>0.35207692307692295</v>
      </c>
      <c r="V103" s="58">
        <f t="shared" si="25"/>
        <v>1.8044692737430271E-2</v>
      </c>
      <c r="W103" s="58">
        <f t="shared" si="26"/>
        <v>0.37692307692307692</v>
      </c>
      <c r="X103" s="156">
        <v>1790</v>
      </c>
      <c r="Y103" s="44" t="s">
        <v>958</v>
      </c>
    </row>
    <row r="104" spans="1:25" ht="16.5" thickTop="1" thickBot="1" x14ac:dyDescent="0.3">
      <c r="A104" s="51">
        <v>219058</v>
      </c>
      <c r="B104" s="51">
        <f>VLOOKUP($A104,'Выгр Кат'!$A:$R,B$1,0)</f>
        <v>7237</v>
      </c>
      <c r="C104" s="56" t="str">
        <f>VLOOKUP($A104,'Выгр Кат'!$A:$R,C$1,0)</f>
        <v>Таксометр ТА-2 на автомобили Lada</v>
      </c>
      <c r="D104" s="51" t="str">
        <f>VLOOKUP($A104,'Выгр Кат'!$A:$R,D$1,0)</f>
        <v>Y</v>
      </c>
      <c r="E104" s="51" t="str">
        <f>VLOOKUP($A104,'Выгр Кат'!$A:$R,E$1,0)</f>
        <v>1</v>
      </c>
      <c r="F104" s="51">
        <f>VLOOKUP($A104,'Выгр Кат'!$A:$R,F$1,0)</f>
        <v>0</v>
      </c>
      <c r="G104" s="51" t="s">
        <v>490</v>
      </c>
      <c r="H104" s="77" t="s">
        <v>527</v>
      </c>
      <c r="I104" s="26">
        <f>VLOOKUP(G104,ПРАЙС!B:C,2,0)</f>
        <v>1200</v>
      </c>
      <c r="J104" s="78">
        <f>VLOOKUP(I104,Наценка!$A$2:$B$9,2,1)</f>
        <v>1.4</v>
      </c>
      <c r="K104" s="64">
        <f t="shared" si="36"/>
        <v>1685.4</v>
      </c>
      <c r="L104" s="80">
        <f t="shared" si="22"/>
        <v>1690</v>
      </c>
      <c r="M104" s="51">
        <f>VLOOKUP($A104,'Выгр Кат'!$A:$R,M$1,0)</f>
        <v>1200</v>
      </c>
      <c r="N104" s="51">
        <f>VLOOKUP($A104,'Выгр Кат'!$A:$R,N$1,0)</f>
        <v>1690</v>
      </c>
      <c r="O104" s="25">
        <f t="shared" si="18"/>
        <v>0</v>
      </c>
      <c r="P104" s="25">
        <f t="shared" si="19"/>
        <v>0</v>
      </c>
      <c r="Q104" s="1">
        <f t="shared" si="23"/>
        <v>1571.6999999999998</v>
      </c>
      <c r="R104" s="5">
        <f>IFERROR((VLOOKUP($A104,'Из ГУГЛа'!$B:$G,6,0)+T104)*S104,VLOOKUP($A104,'Из ГУГЛа'!$B:$G,6,0))</f>
        <v>1590</v>
      </c>
      <c r="S104" s="4">
        <v>1</v>
      </c>
      <c r="T104" s="4">
        <v>0</v>
      </c>
      <c r="U104" s="58">
        <f t="shared" si="24"/>
        <v>0.30974999999999975</v>
      </c>
      <c r="V104" s="58">
        <f t="shared" si="25"/>
        <v>1.1509433962264266E-2</v>
      </c>
      <c r="W104" s="58">
        <f t="shared" si="26"/>
        <v>0.32499999999999996</v>
      </c>
      <c r="X104" s="156">
        <v>1590</v>
      </c>
      <c r="Y104" s="44" t="s">
        <v>957</v>
      </c>
    </row>
    <row r="105" spans="1:25" ht="16.5" thickTop="1" thickBot="1" x14ac:dyDescent="0.3">
      <c r="A105" s="51">
        <v>138683</v>
      </c>
      <c r="B105" s="51">
        <f>VLOOKUP($A105,'Выгр Кат'!$A:$R,B$1,0)</f>
        <v>7197</v>
      </c>
      <c r="C105" s="56" t="str">
        <f>VLOOKUP($A105,'Выгр Кат'!$A:$R,C$1,0)</f>
        <v>Бортовой компьютер Орион БК-07</v>
      </c>
      <c r="D105" s="51" t="str">
        <f>VLOOKUP($A105,'Выгр Кат'!$A:$R,D$1,0)</f>
        <v>Y</v>
      </c>
      <c r="E105" s="51" t="str">
        <f>VLOOKUP($A105,'Выгр Кат'!$A:$R,E$1,0)</f>
        <v>1</v>
      </c>
      <c r="F105" s="51">
        <f>VLOOKUP($A105,'Выгр Кат'!$A:$R,F$1,0)</f>
        <v>0</v>
      </c>
      <c r="G105" s="51" t="s">
        <v>525</v>
      </c>
      <c r="H105" s="77" t="s">
        <v>527</v>
      </c>
      <c r="I105" s="26">
        <f>VLOOKUP(G105,ПРАЙС!B:C,2,0)</f>
        <v>1700</v>
      </c>
      <c r="J105" s="78">
        <f>VLOOKUP(I105,Наценка!$A$2:$B$9,2,1)</f>
        <v>1.4</v>
      </c>
      <c r="K105" s="63">
        <f>X105*1.04</f>
        <v>2381.6</v>
      </c>
      <c r="L105" s="80">
        <f t="shared" si="22"/>
        <v>2390</v>
      </c>
      <c r="M105" s="51">
        <f>VLOOKUP($A105,'Выгр Кат'!$A:$R,M$1,0)</f>
        <v>1700</v>
      </c>
      <c r="N105" s="51">
        <f>VLOOKUP($A105,'Выгр Кат'!$A:$R,N$1,0)</f>
        <v>2390</v>
      </c>
      <c r="O105" s="25">
        <f t="shared" si="18"/>
        <v>0</v>
      </c>
      <c r="P105" s="25">
        <f t="shared" si="19"/>
        <v>0</v>
      </c>
      <c r="Q105" s="1">
        <f t="shared" si="23"/>
        <v>2222.6999999999998</v>
      </c>
      <c r="R105" s="5">
        <f>IFERROR((VLOOKUP($A105,'Из ГУГЛа'!$B:$G,6,0)+T105)*S105,VLOOKUP($A105,'Из ГУГЛа'!$B:$G,6,0))</f>
        <v>2290</v>
      </c>
      <c r="S105" s="4">
        <v>1</v>
      </c>
      <c r="T105" s="4">
        <v>0</v>
      </c>
      <c r="U105" s="58">
        <f t="shared" si="24"/>
        <v>0.30747058823529394</v>
      </c>
      <c r="V105" s="58">
        <f t="shared" si="25"/>
        <v>2.9388646288209686E-2</v>
      </c>
      <c r="W105" s="58">
        <f t="shared" si="26"/>
        <v>0.34705882352941186</v>
      </c>
      <c r="X105" s="156">
        <v>2290</v>
      </c>
      <c r="Y105" s="44" t="s">
        <v>769</v>
      </c>
    </row>
    <row r="106" spans="1:25" ht="31.5" thickTop="1" thickBot="1" x14ac:dyDescent="0.3">
      <c r="A106" s="51">
        <v>164009</v>
      </c>
      <c r="B106" s="51">
        <f>VLOOKUP($A106,'Выгр Кат'!$A:$R,B$1,0)</f>
        <v>7220</v>
      </c>
      <c r="C106" s="56" t="str">
        <f>VLOOKUP($A106,'Выгр Кат'!$A:$R,C$1,0)</f>
        <v>Модуль автоматического контроллера стеклоподъемников «МАКС-2»</v>
      </c>
      <c r="D106" s="51" t="str">
        <f>VLOOKUP($A106,'Выгр Кат'!$A:$R,D$1,0)</f>
        <v>Y</v>
      </c>
      <c r="E106" s="51" t="str">
        <f>VLOOKUP($A106,'Выгр Кат'!$A:$R,E$1,0)</f>
        <v>1</v>
      </c>
      <c r="F106" s="51">
        <f>VLOOKUP($A106,'Выгр Кат'!$A:$R,F$1,0)</f>
        <v>0</v>
      </c>
      <c r="G106" s="51" t="s">
        <v>483</v>
      </c>
      <c r="H106" s="77" t="s">
        <v>527</v>
      </c>
      <c r="I106" s="26">
        <f>VLOOKUP(G106,ПРАЙС!B:C,2,0)</f>
        <v>1380</v>
      </c>
      <c r="J106" s="78">
        <f>VLOOKUP(I106,Наценка!$A$2:$B$9,2,1)</f>
        <v>1.4</v>
      </c>
      <c r="K106" s="79">
        <f t="shared" si="30"/>
        <v>1931.9999999999998</v>
      </c>
      <c r="L106" s="80">
        <f t="shared" si="22"/>
        <v>1990</v>
      </c>
      <c r="M106" s="51">
        <f>VLOOKUP($A106,'Выгр Кат'!$A:$R,M$1,0)</f>
        <v>1350</v>
      </c>
      <c r="N106" s="51">
        <f>VLOOKUP($A106,'Выгр Кат'!$A:$R,N$1,0)</f>
        <v>1890</v>
      </c>
      <c r="O106" s="25">
        <f t="shared" si="18"/>
        <v>-30</v>
      </c>
      <c r="P106" s="25">
        <f t="shared" si="19"/>
        <v>-100</v>
      </c>
      <c r="Q106" s="1">
        <f t="shared" si="23"/>
        <v>1850.6999999999998</v>
      </c>
      <c r="R106" s="5" t="str">
        <f>IFERROR((VLOOKUP($A106,'Из ГУГЛа'!$B:$G,6,0)+T106)*S106,VLOOKUP($A106,'Из ГУГЛа'!$B:$G,6,0))</f>
        <v/>
      </c>
      <c r="S106" s="4">
        <v>1</v>
      </c>
      <c r="T106" s="4">
        <v>0</v>
      </c>
      <c r="U106" s="58">
        <f t="shared" si="24"/>
        <v>0.34108695652173893</v>
      </c>
      <c r="V106" s="58" t="str">
        <f t="shared" si="25"/>
        <v/>
      </c>
      <c r="W106" s="58" t="str">
        <f t="shared" si="26"/>
        <v/>
      </c>
      <c r="X106" s="156" t="s">
        <v>928</v>
      </c>
    </row>
    <row r="107" spans="1:25" ht="27.75" thickTop="1" thickBot="1" x14ac:dyDescent="0.3">
      <c r="A107" s="51">
        <v>224681</v>
      </c>
      <c r="B107" s="51">
        <f>VLOOKUP($A107,'Выгр Кат'!$A:$R,B$1,0)</f>
        <v>24533</v>
      </c>
      <c r="C107" s="56" t="str">
        <f>VLOOKUP($A107,'Выгр Кат'!$A:$R,C$1,0)</f>
        <v>Цифровой мультиметр "Mastech" MAS830L</v>
      </c>
      <c r="D107" s="51" t="str">
        <f>VLOOKUP($A107,'Выгр Кат'!$A:$R,D$1,0)</f>
        <v>Y</v>
      </c>
      <c r="E107" s="51" t="str">
        <f>VLOOKUP($A107,'Выгр Кат'!$A:$R,E$1,0)</f>
        <v>1</v>
      </c>
      <c r="F107" s="51">
        <f>VLOOKUP($A107,'Выгр Кат'!$A:$R,F$1,0)</f>
        <v>0</v>
      </c>
      <c r="G107" s="51" t="s">
        <v>72</v>
      </c>
      <c r="H107" s="77" t="s">
        <v>527</v>
      </c>
      <c r="I107" s="26">
        <f>VLOOKUP(G107,ПРАЙС!B:C,2,0)</f>
        <v>1200</v>
      </c>
      <c r="J107" s="78">
        <f>VLOOKUP(I107,Наценка!$A$2:$B$9,2,1)</f>
        <v>1.4</v>
      </c>
      <c r="K107" s="79">
        <f t="shared" si="30"/>
        <v>1680</v>
      </c>
      <c r="L107" s="80">
        <f t="shared" si="22"/>
        <v>1690</v>
      </c>
      <c r="M107" s="51">
        <f>VLOOKUP($A107,'Выгр Кат'!$A:$R,M$1,0)</f>
        <v>1200</v>
      </c>
      <c r="N107" s="51">
        <f>VLOOKUP($A107,'Выгр Кат'!$A:$R,N$1,0)</f>
        <v>1690</v>
      </c>
      <c r="O107" s="25">
        <f t="shared" si="18"/>
        <v>0</v>
      </c>
      <c r="P107" s="25">
        <f t="shared" si="19"/>
        <v>0</v>
      </c>
      <c r="Q107" s="1">
        <f t="shared" si="23"/>
        <v>1571.6999999999998</v>
      </c>
      <c r="R107" s="5" t="str">
        <f>IFERROR((VLOOKUP($A107,'Из ГУГЛа'!$B:$G,6,0)+T107)*S107,VLOOKUP($A107,'Из ГУГЛа'!$B:$G,6,0))</f>
        <v/>
      </c>
      <c r="S107" s="4">
        <v>1</v>
      </c>
      <c r="T107" s="4">
        <v>0</v>
      </c>
      <c r="U107" s="58">
        <f t="shared" si="24"/>
        <v>0.30974999999999975</v>
      </c>
      <c r="V107" s="58" t="str">
        <f t="shared" si="25"/>
        <v/>
      </c>
      <c r="W107" s="58" t="str">
        <f t="shared" si="26"/>
        <v/>
      </c>
      <c r="X107" s="156" t="s">
        <v>929</v>
      </c>
    </row>
    <row r="108" spans="1:25" ht="31.5" thickTop="1" thickBot="1" x14ac:dyDescent="0.3">
      <c r="A108" s="51">
        <v>194468</v>
      </c>
      <c r="B108" s="51">
        <f>VLOOKUP($A108,'Выгр Кат'!$A:$R,B$1,0)</f>
        <v>10934</v>
      </c>
      <c r="C108" s="56" t="str">
        <f>VLOOKUP($A108,'Выгр Кат'!$A:$R,C$1,0)</f>
        <v>Подогрев тосола 220В Магнум №5 1,5кВт для Шевроле Нива, Honda CRV</v>
      </c>
      <c r="D108" s="51" t="str">
        <f>VLOOKUP($A108,'Выгр Кат'!$A:$R,D$1,0)</f>
        <v>Y</v>
      </c>
      <c r="E108" s="51" t="str">
        <f>VLOOKUP($A108,'Выгр Кат'!$A:$R,E$1,0)</f>
        <v>1</v>
      </c>
      <c r="F108" s="51">
        <f>VLOOKUP($A108,'Выгр Кат'!$A:$R,F$1,0)</f>
        <v>0</v>
      </c>
      <c r="G108" s="51" t="s">
        <v>519</v>
      </c>
      <c r="H108" s="77" t="s">
        <v>527</v>
      </c>
      <c r="I108" s="2">
        <f>M108</f>
        <v>1750</v>
      </c>
      <c r="J108" s="78">
        <f>VLOOKUP(I108,Наценка!$A$2:$B$9,2,1)</f>
        <v>1.4</v>
      </c>
      <c r="K108" s="79">
        <f t="shared" si="30"/>
        <v>2450</v>
      </c>
      <c r="L108" s="80">
        <f t="shared" si="22"/>
        <v>2490</v>
      </c>
      <c r="M108" s="51">
        <f>VLOOKUP($A108,'Выгр Кат'!$A:$R,M$1,0)</f>
        <v>1750</v>
      </c>
      <c r="N108" s="51">
        <f>VLOOKUP($A108,'Выгр Кат'!$A:$R,N$1,0)</f>
        <v>2490</v>
      </c>
      <c r="O108" s="25">
        <f t="shared" si="18"/>
        <v>0</v>
      </c>
      <c r="P108" s="25">
        <f t="shared" si="19"/>
        <v>0</v>
      </c>
      <c r="Q108" s="1">
        <f t="shared" si="23"/>
        <v>2315.6999999999998</v>
      </c>
      <c r="R108" s="5">
        <f>IFERROR((VLOOKUP($A108,'Из ГУГЛа'!$B:$G,6,0)+T108)*S108,VLOOKUP($A108,'Из ГУГЛа'!$B:$G,6,0))</f>
        <v>2129</v>
      </c>
      <c r="S108" s="4">
        <v>1</v>
      </c>
      <c r="T108" s="4">
        <v>0</v>
      </c>
      <c r="U108" s="58">
        <f t="shared" si="24"/>
        <v>0.32325714285714269</v>
      </c>
      <c r="V108" s="58" t="str">
        <f t="shared" si="25"/>
        <v/>
      </c>
      <c r="W108" s="58" t="str">
        <f t="shared" si="26"/>
        <v/>
      </c>
      <c r="X108" s="156" t="s">
        <v>956</v>
      </c>
      <c r="Y108" s="44" t="s">
        <v>708</v>
      </c>
    </row>
    <row r="109" spans="1:25" ht="16.5" thickTop="1" thickBot="1" x14ac:dyDescent="0.3">
      <c r="A109" s="51">
        <v>218482</v>
      </c>
      <c r="B109" s="51">
        <f>VLOOKUP($A109,'Выгр Кат'!$A:$R,B$1,0)</f>
        <v>7252</v>
      </c>
      <c r="C109" s="56" t="str">
        <f>VLOOKUP($A109,'Выгр Кат'!$A:$R,C$1,0)</f>
        <v>Стрелочная нагрузочная вилка НВ-02</v>
      </c>
      <c r="D109" s="51" t="str">
        <f>VLOOKUP($A109,'Выгр Кат'!$A:$R,D$1,0)</f>
        <v>Y</v>
      </c>
      <c r="E109" s="51" t="str">
        <f>VLOOKUP($A109,'Выгр Кат'!$A:$R,E$1,0)</f>
        <v>1</v>
      </c>
      <c r="F109" s="51">
        <f>VLOOKUP($A109,'Выгр Кат'!$A:$R,F$1,0)</f>
        <v>0</v>
      </c>
      <c r="G109" s="51" t="s">
        <v>38</v>
      </c>
      <c r="H109" s="77" t="s">
        <v>527</v>
      </c>
      <c r="I109" s="26">
        <f>VLOOKUP(G109,ПРАЙС!B:C,2,0)</f>
        <v>1650</v>
      </c>
      <c r="J109" s="78">
        <f>VLOOKUP(I109,Наценка!$A$2:$B$9,2,1)</f>
        <v>1.4</v>
      </c>
      <c r="K109" s="64">
        <f>X109*1.05</f>
        <v>2299.5</v>
      </c>
      <c r="L109" s="80">
        <f t="shared" si="22"/>
        <v>2290</v>
      </c>
      <c r="M109" s="51">
        <f>VLOOKUP($A109,'Выгр Кат'!$A:$R,M$1,0)</f>
        <v>1650</v>
      </c>
      <c r="N109" s="51">
        <f>VLOOKUP($A109,'Выгр Кат'!$A:$R,N$1,0)</f>
        <v>2290</v>
      </c>
      <c r="O109" s="25">
        <f t="shared" si="18"/>
        <v>0</v>
      </c>
      <c r="P109" s="25">
        <f t="shared" si="19"/>
        <v>0</v>
      </c>
      <c r="Q109" s="1">
        <f t="shared" si="23"/>
        <v>2129.6999999999998</v>
      </c>
      <c r="R109" s="5">
        <f>IFERROR((VLOOKUP($A109,'Из ГУГЛа'!$B:$G,6,0)+T109)*S109,VLOOKUP($A109,'Из ГУГЛа'!$B:$G,6,0))</f>
        <v>2190</v>
      </c>
      <c r="S109" s="4">
        <v>1</v>
      </c>
      <c r="T109" s="4">
        <v>0</v>
      </c>
      <c r="U109" s="58">
        <f t="shared" si="24"/>
        <v>0.29072727272727272</v>
      </c>
      <c r="V109" s="58">
        <f t="shared" si="25"/>
        <v>2.753424657534255E-2</v>
      </c>
      <c r="W109" s="58">
        <f t="shared" si="26"/>
        <v>0.32727272727272738</v>
      </c>
      <c r="X109" s="156">
        <v>2190</v>
      </c>
      <c r="Y109" s="44" t="s">
        <v>955</v>
      </c>
    </row>
    <row r="110" spans="1:25" ht="31.5" thickTop="1" thickBot="1" x14ac:dyDescent="0.3">
      <c r="A110" s="51">
        <v>194466</v>
      </c>
      <c r="B110" s="51">
        <f>VLOOKUP($A110,'Выгр Кат'!$A:$R,B$1,0)</f>
        <v>10936</v>
      </c>
      <c r="C110" s="56" t="str">
        <f>VLOOKUP($A110,'Выгр Кат'!$A:$R,C$1,0)</f>
        <v>Подогрев тосола 220В Магнум №29 1.5кВт для Лада Гранта, Калина 2 8V</v>
      </c>
      <c r="D110" s="51" t="str">
        <f>VLOOKUP($A110,'Выгр Кат'!$A:$R,D$1,0)</f>
        <v>Y</v>
      </c>
      <c r="E110" s="51" t="str">
        <f>VLOOKUP($A110,'Выгр Кат'!$A:$R,E$1,0)</f>
        <v>1</v>
      </c>
      <c r="F110" s="51">
        <f>VLOOKUP($A110,'Выгр Кат'!$A:$R,F$1,0)</f>
        <v>0</v>
      </c>
      <c r="G110" s="51" t="s">
        <v>520</v>
      </c>
      <c r="H110" s="77" t="s">
        <v>527</v>
      </c>
      <c r="I110" s="2">
        <f>M110</f>
        <v>1860</v>
      </c>
      <c r="J110" s="78">
        <f>VLOOKUP(I110,Наценка!$A$2:$B$9,2,1)</f>
        <v>1.4</v>
      </c>
      <c r="K110" s="79">
        <f t="shared" si="30"/>
        <v>2604</v>
      </c>
      <c r="L110" s="80">
        <f t="shared" si="22"/>
        <v>2690</v>
      </c>
      <c r="M110" s="51">
        <f>VLOOKUP($A110,'Выгр Кат'!$A:$R,M$1,0)</f>
        <v>1860</v>
      </c>
      <c r="N110" s="51">
        <f>VLOOKUP($A110,'Выгр Кат'!$A:$R,N$1,0)</f>
        <v>2690</v>
      </c>
      <c r="O110" s="25">
        <f t="shared" si="18"/>
        <v>0</v>
      </c>
      <c r="P110" s="25">
        <f t="shared" si="19"/>
        <v>0</v>
      </c>
      <c r="Q110" s="1">
        <f t="shared" si="23"/>
        <v>2501.6999999999998</v>
      </c>
      <c r="R110" s="5">
        <f>IFERROR((VLOOKUP($A110,'Из ГУГЛа'!$B:$G,6,0)+T110)*S110,VLOOKUP($A110,'Из ГУГЛа'!$B:$G,6,0))</f>
        <v>2190</v>
      </c>
      <c r="S110" s="4">
        <v>1</v>
      </c>
      <c r="T110" s="4">
        <v>0</v>
      </c>
      <c r="U110" s="58">
        <f t="shared" si="24"/>
        <v>0.34499999999999997</v>
      </c>
      <c r="V110" s="58" t="str">
        <f t="shared" si="25"/>
        <v/>
      </c>
      <c r="W110" s="58" t="str">
        <f t="shared" si="26"/>
        <v/>
      </c>
      <c r="X110" s="156" t="s">
        <v>954</v>
      </c>
      <c r="Y110" s="44" t="s">
        <v>706</v>
      </c>
    </row>
    <row r="111" spans="1:25" ht="31.5" thickTop="1" thickBot="1" x14ac:dyDescent="0.3">
      <c r="A111" s="51">
        <v>201030</v>
      </c>
      <c r="B111" s="51">
        <f>VLOOKUP($A111,'Выгр Кат'!$A:$R,B$1,0)</f>
        <v>7224</v>
      </c>
      <c r="C111" s="56" t="str">
        <f>VLOOKUP($A111,'Выгр Кат'!$A:$R,C$1,0)</f>
        <v>Преобразователь напряжения инверторный 24/12 25А</v>
      </c>
      <c r="D111" s="51" t="str">
        <f>VLOOKUP($A111,'Выгр Кат'!$A:$R,D$1,0)</f>
        <v>Y</v>
      </c>
      <c r="E111" s="51" t="str">
        <f>VLOOKUP($A111,'Выгр Кат'!$A:$R,E$1,0)</f>
        <v>1</v>
      </c>
      <c r="F111" s="51">
        <f>VLOOKUP($A111,'Выгр Кат'!$A:$R,F$1,0)</f>
        <v>0</v>
      </c>
      <c r="G111" s="51" t="s">
        <v>485</v>
      </c>
      <c r="H111" s="77" t="s">
        <v>527</v>
      </c>
      <c r="I111" s="26">
        <f>VLOOKUP(G111,ПРАЙС!B:C,2,0)</f>
        <v>1500</v>
      </c>
      <c r="J111" s="78">
        <f>VLOOKUP(I111,Наценка!$A$2:$B$9,2,1)</f>
        <v>1.4</v>
      </c>
      <c r="K111" s="63">
        <f>X111*1.04</f>
        <v>2381.6</v>
      </c>
      <c r="L111" s="80">
        <f t="shared" si="22"/>
        <v>2390</v>
      </c>
      <c r="M111" s="51">
        <f>VLOOKUP($A111,'Выгр Кат'!$A:$R,M$1,0)</f>
        <v>1500</v>
      </c>
      <c r="N111" s="51">
        <f>VLOOKUP($A111,'Выгр Кат'!$A:$R,N$1,0)</f>
        <v>2390</v>
      </c>
      <c r="O111" s="25">
        <f t="shared" si="18"/>
        <v>0</v>
      </c>
      <c r="P111" s="25">
        <f t="shared" si="19"/>
        <v>0</v>
      </c>
      <c r="Q111" s="1">
        <f t="shared" si="23"/>
        <v>2222.6999999999998</v>
      </c>
      <c r="R111" s="5">
        <f>IFERROR((VLOOKUP($A111,'Из ГУГЛа'!$B:$G,6,0)+T111)*S111,VLOOKUP($A111,'Из ГУГЛа'!$B:$G,6,0))</f>
        <v>2290</v>
      </c>
      <c r="S111" s="4">
        <v>1</v>
      </c>
      <c r="T111" s="4">
        <v>0</v>
      </c>
      <c r="U111" s="58">
        <f t="shared" si="24"/>
        <v>0.48179999999999978</v>
      </c>
      <c r="V111" s="58">
        <f t="shared" si="25"/>
        <v>2.9388646288209686E-2</v>
      </c>
      <c r="W111" s="58">
        <f t="shared" si="26"/>
        <v>0.52666666666666662</v>
      </c>
      <c r="X111" s="156">
        <v>2290</v>
      </c>
      <c r="Y111" s="44" t="s">
        <v>949</v>
      </c>
    </row>
    <row r="112" spans="1:25" ht="31.5" thickTop="1" thickBot="1" x14ac:dyDescent="0.3">
      <c r="A112" s="51">
        <v>131560</v>
      </c>
      <c r="B112" s="51">
        <f>VLOOKUP($A112,'Выгр Кат'!$A:$R,B$1,0)</f>
        <v>7260</v>
      </c>
      <c r="C112" s="56" t="str">
        <f>VLOOKUP($A112,'Выгр Кат'!$A:$R,C$1,0)</f>
        <v>Адаптер EEPROM-ПО5 для программатора ПО-5</v>
      </c>
      <c r="D112" s="51" t="str">
        <f>VLOOKUP($A112,'Выгр Кат'!$A:$R,D$1,0)</f>
        <v>Y</v>
      </c>
      <c r="E112" s="51" t="str">
        <f>VLOOKUP($A112,'Выгр Кат'!$A:$R,E$1,0)</f>
        <v>1</v>
      </c>
      <c r="F112" s="51">
        <f>VLOOKUP($A112,'Выгр Кат'!$A:$R,F$1,0)</f>
        <v>0</v>
      </c>
      <c r="G112" s="51" t="s">
        <v>92</v>
      </c>
      <c r="H112" s="77" t="s">
        <v>527</v>
      </c>
      <c r="I112" s="26">
        <f>VLOOKUP(G112,ПРАЙС!B:C,2,0)</f>
        <v>1500</v>
      </c>
      <c r="J112" s="78">
        <f>VLOOKUP(I112,Наценка!$A$2:$B$9,2,1)</f>
        <v>1.4</v>
      </c>
      <c r="K112" s="64">
        <f t="shared" ref="K112:K119" si="37">X112*1.05</f>
        <v>2089.5</v>
      </c>
      <c r="L112" s="80">
        <f t="shared" si="22"/>
        <v>2090</v>
      </c>
      <c r="M112" s="51">
        <f>VLOOKUP($A112,'Выгр Кат'!$A:$R,M$1,0)</f>
        <v>1500</v>
      </c>
      <c r="N112" s="51">
        <f>VLOOKUP($A112,'Выгр Кат'!$A:$R,N$1,0)</f>
        <v>2090</v>
      </c>
      <c r="O112" s="25">
        <f t="shared" si="18"/>
        <v>0</v>
      </c>
      <c r="P112" s="25">
        <f t="shared" si="19"/>
        <v>0</v>
      </c>
      <c r="Q112" s="1">
        <f t="shared" si="23"/>
        <v>1943.6999999999998</v>
      </c>
      <c r="R112" s="5">
        <f>IFERROR((VLOOKUP($A112,'Из ГУГЛа'!$B:$G,6,0)+T112)*S112,VLOOKUP($A112,'Из ГУГЛа'!$B:$G,6,0))</f>
        <v>1990</v>
      </c>
      <c r="S112" s="4">
        <v>1</v>
      </c>
      <c r="T112" s="4">
        <v>0</v>
      </c>
      <c r="U112" s="58">
        <f t="shared" si="24"/>
        <v>0.29579999999999984</v>
      </c>
      <c r="V112" s="58">
        <f t="shared" si="25"/>
        <v>2.3266331658291547E-2</v>
      </c>
      <c r="W112" s="58">
        <f t="shared" si="26"/>
        <v>0.32666666666666666</v>
      </c>
      <c r="X112" s="156">
        <v>1990</v>
      </c>
      <c r="Y112" s="44" t="s">
        <v>953</v>
      </c>
    </row>
    <row r="113" spans="1:25" ht="16.5" thickTop="1" thickBot="1" x14ac:dyDescent="0.3">
      <c r="A113" s="51">
        <v>151264</v>
      </c>
      <c r="B113" s="51">
        <f>VLOOKUP($A113,'Выгр Кат'!$A:$R,B$1,0)</f>
        <v>7293</v>
      </c>
      <c r="C113" s="56" t="str">
        <f>VLOOKUP($A113,'Выгр Кат'!$A:$R,C$1,0)</f>
        <v>Зарядное устройство Орион PW-265</v>
      </c>
      <c r="D113" s="51" t="str">
        <f>VLOOKUP($A113,'Выгр Кат'!$A:$R,D$1,0)</f>
        <v>Y</v>
      </c>
      <c r="E113" s="51" t="str">
        <f>VLOOKUP($A113,'Выгр Кат'!$A:$R,E$1,0)</f>
        <v>1</v>
      </c>
      <c r="F113" s="51">
        <f>VLOOKUP($A113,'Выгр Кат'!$A:$R,F$1,0)</f>
        <v>0</v>
      </c>
      <c r="G113" s="51" t="s">
        <v>192</v>
      </c>
      <c r="H113" s="77" t="s">
        <v>527</v>
      </c>
      <c r="I113" s="26">
        <f>VLOOKUP(G113,ПРАЙС!B:C,2,0)</f>
        <v>1800</v>
      </c>
      <c r="J113" s="78">
        <f>VLOOKUP(I113,Наценка!$A$2:$B$9,2,1)</f>
        <v>1.4</v>
      </c>
      <c r="K113" s="63">
        <f>X113*1.04</f>
        <v>2485.6</v>
      </c>
      <c r="L113" s="80">
        <f t="shared" si="22"/>
        <v>2490</v>
      </c>
      <c r="M113" s="51">
        <f>VLOOKUP($A113,'Выгр Кат'!$A:$R,M$1,0)</f>
        <v>1800</v>
      </c>
      <c r="N113" s="51">
        <f>VLOOKUP($A113,'Выгр Кат'!$A:$R,N$1,0)</f>
        <v>2490</v>
      </c>
      <c r="O113" s="25">
        <f t="shared" si="18"/>
        <v>0</v>
      </c>
      <c r="P113" s="25">
        <f t="shared" si="19"/>
        <v>0</v>
      </c>
      <c r="Q113" s="1">
        <f t="shared" si="23"/>
        <v>2315.6999999999998</v>
      </c>
      <c r="R113" s="5">
        <f>IFERROR((VLOOKUP($A113,'Из ГУГЛа'!$B:$G,6,0)+T113)*S113,VLOOKUP($A113,'Из ГУГЛа'!$B:$G,6,0))</f>
        <v>2390</v>
      </c>
      <c r="S113" s="4">
        <v>1</v>
      </c>
      <c r="T113" s="4">
        <v>0</v>
      </c>
      <c r="U113" s="58">
        <f t="shared" si="24"/>
        <v>0.28649999999999998</v>
      </c>
      <c r="V113" s="58">
        <f t="shared" si="25"/>
        <v>3.1087866108786687E-2</v>
      </c>
      <c r="W113" s="58">
        <f t="shared" si="26"/>
        <v>0.32777777777777772</v>
      </c>
      <c r="X113" s="156">
        <v>2390</v>
      </c>
      <c r="Y113" s="44" t="s">
        <v>952</v>
      </c>
    </row>
    <row r="114" spans="1:25" ht="31.5" thickTop="1" thickBot="1" x14ac:dyDescent="0.3">
      <c r="A114" s="51">
        <v>138714</v>
      </c>
      <c r="B114" s="51">
        <f>VLOOKUP($A114,'Выгр Кат'!$A:$R,B$1,0)</f>
        <v>7025</v>
      </c>
      <c r="C114" s="56" t="str">
        <f>VLOOKUP($A114,'Выгр Кат'!$A:$R,C$1,0)</f>
        <v>Бортовой компьютер Штат Х1-P на Lada Priora</v>
      </c>
      <c r="D114" s="51" t="str">
        <f>VLOOKUP($A114,'Выгр Кат'!$A:$R,D$1,0)</f>
        <v>Y</v>
      </c>
      <c r="E114" s="51" t="str">
        <f>VLOOKUP($A114,'Выгр Кат'!$A:$R,E$1,0)</f>
        <v>1</v>
      </c>
      <c r="F114" s="51">
        <f>VLOOKUP($A114,'Выгр Кат'!$A:$R,F$1,0)</f>
        <v>0</v>
      </c>
      <c r="G114" s="51" t="s">
        <v>24</v>
      </c>
      <c r="H114" s="77" t="s">
        <v>527</v>
      </c>
      <c r="I114" s="26">
        <f>VLOOKUP(G114,ПРАЙС!B:C,2,0)</f>
        <v>1650</v>
      </c>
      <c r="J114" s="78">
        <f>VLOOKUP(I114,Наценка!$A$2:$B$9,2,1)</f>
        <v>1.4</v>
      </c>
      <c r="K114" s="64">
        <f t="shared" si="37"/>
        <v>2299.5</v>
      </c>
      <c r="L114" s="80">
        <f t="shared" si="22"/>
        <v>2290</v>
      </c>
      <c r="M114" s="51">
        <f>VLOOKUP($A114,'Выгр Кат'!$A:$R,M$1,0)</f>
        <v>1650</v>
      </c>
      <c r="N114" s="51">
        <f>VLOOKUP($A114,'Выгр Кат'!$A:$R,N$1,0)</f>
        <v>2290</v>
      </c>
      <c r="O114" s="25">
        <f t="shared" si="18"/>
        <v>0</v>
      </c>
      <c r="P114" s="25">
        <f t="shared" si="19"/>
        <v>0</v>
      </c>
      <c r="Q114" s="1">
        <f t="shared" si="23"/>
        <v>2129.6999999999998</v>
      </c>
      <c r="R114" s="5">
        <f>IFERROR((VLOOKUP($A114,'Из ГУГЛа'!$B:$G,6,0)+T114)*S114,VLOOKUP($A114,'Из ГУГЛа'!$B:$G,6,0))</f>
        <v>2190</v>
      </c>
      <c r="S114" s="4">
        <v>1</v>
      </c>
      <c r="T114" s="4">
        <v>0</v>
      </c>
      <c r="U114" s="58">
        <f t="shared" si="24"/>
        <v>0.29072727272727272</v>
      </c>
      <c r="V114" s="58">
        <f t="shared" si="25"/>
        <v>2.753424657534255E-2</v>
      </c>
      <c r="W114" s="58">
        <f t="shared" si="26"/>
        <v>0.32727272727272738</v>
      </c>
      <c r="X114" s="156">
        <v>2190</v>
      </c>
      <c r="Y114" s="44" t="s">
        <v>774</v>
      </c>
    </row>
    <row r="115" spans="1:25" ht="46.5" thickTop="1" thickBot="1" x14ac:dyDescent="0.3">
      <c r="A115" s="51">
        <v>138711</v>
      </c>
      <c r="B115" s="51">
        <f>VLOOKUP($A115,'Выгр Кат'!$A:$R,B$1,0)</f>
        <v>7039</v>
      </c>
      <c r="C115" s="56" t="str">
        <f>VLOOKUP($A115,'Выгр Кат'!$A:$R,C$1,0)</f>
        <v>Бортовой компьютер Штат Х-1М универсал на Lada Kalina, 2113-2115, 2110-2112, Niva Chevrolet</v>
      </c>
      <c r="D115" s="51" t="str">
        <f>VLOOKUP($A115,'Выгр Кат'!$A:$R,D$1,0)</f>
        <v>Y</v>
      </c>
      <c r="E115" s="51" t="str">
        <f>VLOOKUP($A115,'Выгр Кат'!$A:$R,E$1,0)</f>
        <v>1ск6</v>
      </c>
      <c r="F115" s="51">
        <f>VLOOKUP($A115,'Выгр Кат'!$A:$R,F$1,0)</f>
        <v>0</v>
      </c>
      <c r="G115" s="51" t="s">
        <v>23</v>
      </c>
      <c r="H115" s="77" t="s">
        <v>527</v>
      </c>
      <c r="I115" s="26">
        <f>VLOOKUP(G115,ПРАЙС!B:C,2,0)</f>
        <v>1650</v>
      </c>
      <c r="J115" s="78">
        <f>VLOOKUP(I115,Наценка!$A$2:$B$9,2,1)</f>
        <v>1.4</v>
      </c>
      <c r="K115" s="63">
        <f>X115*1.04</f>
        <v>2381.6</v>
      </c>
      <c r="L115" s="80">
        <f t="shared" si="22"/>
        <v>2390</v>
      </c>
      <c r="M115" s="51">
        <f>VLOOKUP($A115,'Выгр Кат'!$A:$R,M$1,0)</f>
        <v>1650</v>
      </c>
      <c r="N115" s="51">
        <f>VLOOKUP($A115,'Выгр Кат'!$A:$R,N$1,0)</f>
        <v>2390</v>
      </c>
      <c r="O115" s="25">
        <f t="shared" si="18"/>
        <v>0</v>
      </c>
      <c r="P115" s="25">
        <f t="shared" si="19"/>
        <v>0</v>
      </c>
      <c r="Q115" s="1">
        <f t="shared" si="23"/>
        <v>2222.6999999999998</v>
      </c>
      <c r="R115" s="5">
        <f>IFERROR((VLOOKUP($A115,'Из ГУГЛа'!$B:$G,6,0)+T115)*S115,VLOOKUP($A115,'Из ГУГЛа'!$B:$G,6,0))</f>
        <v>2290</v>
      </c>
      <c r="S115" s="4">
        <v>1</v>
      </c>
      <c r="T115" s="4">
        <v>0</v>
      </c>
      <c r="U115" s="58">
        <f t="shared" si="24"/>
        <v>0.34709090909090889</v>
      </c>
      <c r="V115" s="58">
        <f t="shared" si="25"/>
        <v>2.9388646288209686E-2</v>
      </c>
      <c r="W115" s="58">
        <f t="shared" si="26"/>
        <v>0.38787878787878793</v>
      </c>
      <c r="X115" s="156">
        <v>2290</v>
      </c>
      <c r="Y115" s="44" t="s">
        <v>818</v>
      </c>
    </row>
    <row r="116" spans="1:25" ht="31.5" thickTop="1" thickBot="1" x14ac:dyDescent="0.3">
      <c r="A116" s="51">
        <v>138713</v>
      </c>
      <c r="B116" s="51">
        <f>VLOOKUP($A116,'Выгр Кат'!$A:$R,B$1,0)</f>
        <v>7042</v>
      </c>
      <c r="C116" s="56" t="str">
        <f>VLOOKUP($A116,'Выгр Кат'!$A:$R,C$1,0)</f>
        <v>Бортовой компьютер Штат Х1-G (зеленый индикатор) на Lada Kalina 2, Granta</v>
      </c>
      <c r="D116" s="51" t="str">
        <f>VLOOKUP($A116,'Выгр Кат'!$A:$R,D$1,0)</f>
        <v>Y</v>
      </c>
      <c r="E116" s="51" t="str">
        <f>VLOOKUP($A116,'Выгр Кат'!$A:$R,E$1,0)</f>
        <v>1</v>
      </c>
      <c r="F116" s="51">
        <f>VLOOKUP($A116,'Выгр Кат'!$A:$R,F$1,0)</f>
        <v>0</v>
      </c>
      <c r="G116" s="51" t="s">
        <v>394</v>
      </c>
      <c r="H116" s="77" t="s">
        <v>527</v>
      </c>
      <c r="I116" s="26">
        <f>VLOOKUP(G116,ПРАЙС!B:C,2,0)</f>
        <v>1650</v>
      </c>
      <c r="J116" s="78">
        <f>VLOOKUP(I116,Наценка!$A$2:$B$9,2,1)</f>
        <v>1.4</v>
      </c>
      <c r="K116" s="64">
        <f t="shared" si="37"/>
        <v>2299.5</v>
      </c>
      <c r="L116" s="80">
        <f t="shared" si="22"/>
        <v>2290</v>
      </c>
      <c r="M116" s="51">
        <f>VLOOKUP($A116,'Выгр Кат'!$A:$R,M$1,0)</f>
        <v>1650</v>
      </c>
      <c r="N116" s="51">
        <f>VLOOKUP($A116,'Выгр Кат'!$A:$R,N$1,0)</f>
        <v>2290</v>
      </c>
      <c r="O116" s="25">
        <f t="shared" si="18"/>
        <v>0</v>
      </c>
      <c r="P116" s="25">
        <f t="shared" si="19"/>
        <v>0</v>
      </c>
      <c r="Q116" s="1">
        <f t="shared" si="23"/>
        <v>2129.6999999999998</v>
      </c>
      <c r="R116" s="5">
        <f>IFERROR((VLOOKUP($A116,'Из ГУГЛа'!$B:$G,6,0)+T116)*S116,VLOOKUP($A116,'Из ГУГЛа'!$B:$G,6,0))</f>
        <v>2190</v>
      </c>
      <c r="S116" s="4">
        <v>1</v>
      </c>
      <c r="T116" s="4">
        <v>0</v>
      </c>
      <c r="U116" s="58">
        <f t="shared" si="24"/>
        <v>0.29072727272727272</v>
      </c>
      <c r="V116" s="58">
        <f t="shared" si="25"/>
        <v>2.753424657534255E-2</v>
      </c>
      <c r="W116" s="58">
        <f t="shared" si="26"/>
        <v>0.32727272727272738</v>
      </c>
      <c r="X116" s="156">
        <v>2190</v>
      </c>
      <c r="Y116" s="44" t="s">
        <v>819</v>
      </c>
    </row>
    <row r="117" spans="1:25" ht="31.5" thickTop="1" thickBot="1" x14ac:dyDescent="0.3">
      <c r="A117" s="51">
        <v>138700</v>
      </c>
      <c r="B117" s="51">
        <f>VLOOKUP($A117,'Выгр Кат'!$A:$R,B$1,0)</f>
        <v>7068</v>
      </c>
      <c r="C117" s="56" t="str">
        <f>VLOOKUP($A117,'Выгр Кат'!$A:$R,C$1,0)</f>
        <v>Бортовой компьютер Штат 33 X1 на Lada 2110-12</v>
      </c>
      <c r="D117" s="51" t="str">
        <f>VLOOKUP($A117,'Выгр Кат'!$A:$R,D$1,0)</f>
        <v>Y</v>
      </c>
      <c r="E117" s="51" t="str">
        <f>VLOOKUP($A117,'Выгр Кат'!$A:$R,E$1,0)</f>
        <v>1</v>
      </c>
      <c r="F117" s="51">
        <f>VLOOKUP($A117,'Выгр Кат'!$A:$R,F$1,0)</f>
        <v>0</v>
      </c>
      <c r="G117" s="51" t="s">
        <v>26</v>
      </c>
      <c r="H117" s="77" t="s">
        <v>527</v>
      </c>
      <c r="I117" s="26">
        <f>VLOOKUP(G117,ПРАЙС!B:C,2,0)</f>
        <v>1650</v>
      </c>
      <c r="J117" s="78">
        <f>VLOOKUP(I117,Наценка!$A$2:$B$9,2,1)</f>
        <v>1.4</v>
      </c>
      <c r="K117" s="64">
        <f t="shared" si="37"/>
        <v>2299.5</v>
      </c>
      <c r="L117" s="80">
        <f t="shared" si="22"/>
        <v>2290</v>
      </c>
      <c r="M117" s="51">
        <f>VLOOKUP($A117,'Выгр Кат'!$A:$R,M$1,0)</f>
        <v>1650</v>
      </c>
      <c r="N117" s="51">
        <f>VLOOKUP($A117,'Выгр Кат'!$A:$R,N$1,0)</f>
        <v>2290</v>
      </c>
      <c r="O117" s="25">
        <f t="shared" si="18"/>
        <v>0</v>
      </c>
      <c r="P117" s="25">
        <f t="shared" si="19"/>
        <v>0</v>
      </c>
      <c r="Q117" s="1">
        <f t="shared" si="23"/>
        <v>2129.6999999999998</v>
      </c>
      <c r="R117" s="5">
        <f>IFERROR((VLOOKUP($A117,'Из ГУГЛа'!$B:$G,6,0)+T117)*S117,VLOOKUP($A117,'Из ГУГЛа'!$B:$G,6,0))</f>
        <v>2190</v>
      </c>
      <c r="S117" s="4">
        <v>1</v>
      </c>
      <c r="T117" s="4">
        <v>0</v>
      </c>
      <c r="U117" s="58">
        <f t="shared" si="24"/>
        <v>0.29072727272727272</v>
      </c>
      <c r="V117" s="58">
        <f t="shared" si="25"/>
        <v>2.753424657534255E-2</v>
      </c>
      <c r="W117" s="58">
        <f t="shared" si="26"/>
        <v>0.32727272727272738</v>
      </c>
      <c r="X117" s="156">
        <v>2190</v>
      </c>
      <c r="Y117" s="44" t="s">
        <v>796</v>
      </c>
    </row>
    <row r="118" spans="1:25" ht="46.5" thickTop="1" thickBot="1" x14ac:dyDescent="0.3">
      <c r="A118" s="51">
        <v>138712</v>
      </c>
      <c r="B118" s="51">
        <f>VLOOKUP($A118,'Выгр Кат'!$A:$R,B$1,0)</f>
        <v>19446</v>
      </c>
      <c r="C118" s="56" t="str">
        <f>VLOOKUP($A118,'Выгр Кат'!$A:$R,C$1,0)</f>
        <v>Бортовой компьютер Штат Х1-G (белый индикатор) для LADA Granta, Priora 2, Kalina 2</v>
      </c>
      <c r="D118" s="51" t="str">
        <f>VLOOKUP($A118,'Выгр Кат'!$A:$R,D$1,0)</f>
        <v>Y</v>
      </c>
      <c r="E118" s="51" t="str">
        <f>VLOOKUP($A118,'Выгр Кат'!$A:$R,E$1,0)</f>
        <v>1</v>
      </c>
      <c r="F118" s="51">
        <f>VLOOKUP($A118,'Выгр Кат'!$A:$R,F$1,0)</f>
        <v>0</v>
      </c>
      <c r="G118" s="51" t="s">
        <v>395</v>
      </c>
      <c r="H118" s="77" t="s">
        <v>527</v>
      </c>
      <c r="I118" s="26">
        <f>VLOOKUP(G118,ПРАЙС!B:C,2,0)</f>
        <v>1650</v>
      </c>
      <c r="J118" s="78">
        <f>VLOOKUP(I118,Наценка!$A$2:$B$9,2,1)</f>
        <v>1.4</v>
      </c>
      <c r="K118" s="64">
        <f t="shared" si="37"/>
        <v>2299.5</v>
      </c>
      <c r="L118" s="80">
        <f t="shared" si="22"/>
        <v>2290</v>
      </c>
      <c r="M118" s="51">
        <f>VLOOKUP($A118,'Выгр Кат'!$A:$R,M$1,0)</f>
        <v>1650</v>
      </c>
      <c r="N118" s="51">
        <f>VLOOKUP($A118,'Выгр Кат'!$A:$R,N$1,0)</f>
        <v>2290</v>
      </c>
      <c r="O118" s="25">
        <f t="shared" si="18"/>
        <v>0</v>
      </c>
      <c r="P118" s="25">
        <f t="shared" si="19"/>
        <v>0</v>
      </c>
      <c r="Q118" s="1">
        <f t="shared" si="23"/>
        <v>2129.6999999999998</v>
      </c>
      <c r="R118" s="5">
        <f>IFERROR((VLOOKUP($A118,'Из ГУГЛа'!$B:$G,6,0)+T118)*S118,VLOOKUP($A118,'Из ГУГЛа'!$B:$G,6,0))</f>
        <v>2190</v>
      </c>
      <c r="S118" s="4">
        <v>1</v>
      </c>
      <c r="T118" s="4">
        <v>0</v>
      </c>
      <c r="U118" s="58">
        <f t="shared" si="24"/>
        <v>0.29072727272727272</v>
      </c>
      <c r="V118" s="58">
        <f t="shared" si="25"/>
        <v>2.753424657534255E-2</v>
      </c>
      <c r="W118" s="58">
        <f t="shared" si="26"/>
        <v>0.32727272727272738</v>
      </c>
      <c r="X118" s="156">
        <v>2190</v>
      </c>
      <c r="Y118" s="44" t="s">
        <v>830</v>
      </c>
    </row>
    <row r="119" spans="1:25" ht="46.5" thickTop="1" thickBot="1" x14ac:dyDescent="0.3">
      <c r="A119" s="51">
        <v>138644</v>
      </c>
      <c r="B119" s="51">
        <f>VLOOKUP($A119,'Выгр Кат'!$A:$R,B$1,0)</f>
        <v>24483</v>
      </c>
      <c r="C119" s="56" t="str">
        <f>VLOOKUP($A119,'Выгр Кат'!$A:$R,C$1,0)</f>
        <v>Бортовой компьютер "Штат" Х1-N-G (белый индикатор) для Лада Калина 2, Приора 2, Гранта, Нива 4х4 (с 2020 г. в.)</v>
      </c>
      <c r="D119" s="51" t="str">
        <f>VLOOKUP($A119,'Выгр Кат'!$A:$R,D$1,0)</f>
        <v>Y</v>
      </c>
      <c r="E119" s="51" t="str">
        <f>VLOOKUP($A119,'Выгр Кат'!$A:$R,E$1,0)</f>
        <v>1</v>
      </c>
      <c r="F119" s="51">
        <f>VLOOKUP($A119,'Выгр Кат'!$A:$R,F$1,0)</f>
        <v>0</v>
      </c>
      <c r="G119" s="51" t="s">
        <v>396</v>
      </c>
      <c r="H119" s="77" t="s">
        <v>527</v>
      </c>
      <c r="I119" s="26">
        <f>VLOOKUP(G119,ПРАЙС!B:C,2,0)</f>
        <v>1750</v>
      </c>
      <c r="J119" s="78">
        <f>VLOOKUP(I119,Наценка!$A$2:$B$9,2,1)</f>
        <v>1.4</v>
      </c>
      <c r="K119" s="64">
        <f t="shared" si="37"/>
        <v>2299.5</v>
      </c>
      <c r="L119" s="80">
        <f t="shared" si="22"/>
        <v>2290</v>
      </c>
      <c r="M119" s="51">
        <f>VLOOKUP($A119,'Выгр Кат'!$A:$R,M$1,0)</f>
        <v>1750</v>
      </c>
      <c r="N119" s="51">
        <f>VLOOKUP($A119,'Выгр Кат'!$A:$R,N$1,0)</f>
        <v>2290</v>
      </c>
      <c r="O119" s="25">
        <f t="shared" si="18"/>
        <v>0</v>
      </c>
      <c r="P119" s="25">
        <f t="shared" si="19"/>
        <v>0</v>
      </c>
      <c r="Q119" s="1">
        <f t="shared" si="23"/>
        <v>2129.6999999999998</v>
      </c>
      <c r="R119" s="5">
        <f>IFERROR((VLOOKUP($A119,'Из ГУГЛа'!$B:$G,6,0)+T119)*S119,VLOOKUP($A119,'Из ГУГЛа'!$B:$G,6,0))</f>
        <v>2190</v>
      </c>
      <c r="S119" s="4">
        <v>1</v>
      </c>
      <c r="T119" s="4">
        <v>0</v>
      </c>
      <c r="U119" s="58">
        <f t="shared" si="24"/>
        <v>0.21697142857142837</v>
      </c>
      <c r="V119" s="58">
        <f t="shared" si="25"/>
        <v>2.753424657534255E-2</v>
      </c>
      <c r="W119" s="58">
        <f t="shared" si="26"/>
        <v>0.25142857142857133</v>
      </c>
      <c r="X119" s="156">
        <v>2190</v>
      </c>
      <c r="Y119" s="44" t="s">
        <v>830</v>
      </c>
    </row>
    <row r="120" spans="1:25" ht="30.75" thickTop="1" x14ac:dyDescent="0.25">
      <c r="A120" s="51">
        <v>138641</v>
      </c>
      <c r="B120" s="51">
        <f>VLOOKUP($A120,'Выгр Кат'!$A:$R,B$1,0)</f>
        <v>24492</v>
      </c>
      <c r="C120" s="56" t="str">
        <f>VLOOKUP($A120,'Выгр Кат'!$A:$R,C$1,0)</f>
        <v>Бортовой компьютер "Штат" МК-1 PLUS (сенсорный) для Лада Веста, XRAY</v>
      </c>
      <c r="D120" s="51" t="str">
        <f>VLOOKUP($A120,'Выгр Кат'!$A:$R,D$1,0)</f>
        <v>Y</v>
      </c>
      <c r="E120" s="51" t="str">
        <f>VLOOKUP($A120,'Выгр Кат'!$A:$R,E$1,0)</f>
        <v>0</v>
      </c>
      <c r="F120" s="51">
        <f>VLOOKUP($A120,'Выгр Кат'!$A:$R,F$1,0)</f>
        <v>0</v>
      </c>
      <c r="G120" s="51" t="s">
        <v>189</v>
      </c>
      <c r="H120" s="77" t="s">
        <v>527</v>
      </c>
      <c r="I120" s="26">
        <f>VLOOKUP(G120,ПРАЙС!B:C,2,0)</f>
        <v>1650</v>
      </c>
      <c r="J120" s="78">
        <f>VLOOKUP(I120,Наценка!$A$2:$B$9,2,1)</f>
        <v>1.4</v>
      </c>
      <c r="K120" s="79">
        <f t="shared" si="30"/>
        <v>2310</v>
      </c>
      <c r="L120" s="80">
        <f t="shared" si="22"/>
        <v>2390</v>
      </c>
      <c r="M120" s="51">
        <f>VLOOKUP($A120,'Выгр Кат'!$A:$R,M$1,0)</f>
        <v>1650</v>
      </c>
      <c r="N120" s="51">
        <f>VLOOKUP($A120,'Выгр Кат'!$A:$R,N$1,0)</f>
        <v>2390</v>
      </c>
      <c r="O120" s="25">
        <f t="shared" si="18"/>
        <v>0</v>
      </c>
      <c r="P120" s="25">
        <f t="shared" si="19"/>
        <v>0</v>
      </c>
      <c r="Q120" s="1">
        <f t="shared" si="23"/>
        <v>2222.6999999999998</v>
      </c>
      <c r="R120" s="5" t="str">
        <f>IFERROR((VLOOKUP($A120,'Из ГУГЛа'!$B:$G,6,0)+T120)*S120,VLOOKUP($A120,'Из ГУГЛа'!$B:$G,6,0))</f>
        <v/>
      </c>
      <c r="S120" s="4">
        <v>1</v>
      </c>
      <c r="T120" s="4">
        <v>0</v>
      </c>
      <c r="U120" s="58">
        <f t="shared" si="24"/>
        <v>0.34709090909090889</v>
      </c>
      <c r="V120" s="58" t="str">
        <f t="shared" si="25"/>
        <v/>
      </c>
      <c r="W120" s="58" t="str">
        <f t="shared" si="26"/>
        <v/>
      </c>
      <c r="X120" s="154"/>
    </row>
    <row r="121" spans="1:25" ht="30.75" thickBot="1" x14ac:dyDescent="0.3">
      <c r="A121" s="51">
        <v>138643</v>
      </c>
      <c r="B121" s="51">
        <f>VLOOKUP($A121,'Выгр Кат'!$A:$R,B$1,0)</f>
        <v>24493</v>
      </c>
      <c r="C121" s="56" t="str">
        <f>VLOOKUP($A121,'Выгр Кат'!$A:$R,C$1,0)</f>
        <v>Бортовой компьютер "Штат" МК-2 (сенсорный, OBD-2 CAN)</v>
      </c>
      <c r="D121" s="51" t="str">
        <f>VLOOKUP($A121,'Выгр Кат'!$A:$R,D$1,0)</f>
        <v>Y</v>
      </c>
      <c r="E121" s="51" t="str">
        <f>VLOOKUP($A121,'Выгр Кат'!$A:$R,E$1,0)</f>
        <v>0</v>
      </c>
      <c r="F121" s="51">
        <f>VLOOKUP($A121,'Выгр Кат'!$A:$R,F$1,0)</f>
        <v>0</v>
      </c>
      <c r="G121" s="51" t="s">
        <v>166</v>
      </c>
      <c r="H121" s="77" t="s">
        <v>527</v>
      </c>
      <c r="I121" s="26">
        <f>VLOOKUP(G121,ПРАЙС!B:C,2,0)</f>
        <v>1650</v>
      </c>
      <c r="J121" s="78">
        <f>VLOOKUP(I121,Наценка!$A$2:$B$9,2,1)</f>
        <v>1.4</v>
      </c>
      <c r="K121" s="64">
        <f>X121*1.05</f>
        <v>2299.5</v>
      </c>
      <c r="L121" s="80">
        <f t="shared" si="22"/>
        <v>2290</v>
      </c>
      <c r="M121" s="51">
        <f>VLOOKUP($A121,'Выгр Кат'!$A:$R,M$1,0)</f>
        <v>1650</v>
      </c>
      <c r="N121" s="51">
        <f>VLOOKUP($A121,'Выгр Кат'!$A:$R,N$1,0)</f>
        <v>2290</v>
      </c>
      <c r="O121" s="25">
        <f t="shared" si="18"/>
        <v>0</v>
      </c>
      <c r="P121" s="25">
        <f t="shared" si="19"/>
        <v>0</v>
      </c>
      <c r="Q121" s="1">
        <f t="shared" si="23"/>
        <v>2129.6999999999998</v>
      </c>
      <c r="R121" s="5">
        <f>IFERROR((VLOOKUP($A121,'Из ГУГЛа'!$B:$G,6,0)+T121)*S121,VLOOKUP($A121,'Из ГУГЛа'!$B:$G,6,0))</f>
        <v>2190</v>
      </c>
      <c r="S121" s="4">
        <v>1</v>
      </c>
      <c r="T121" s="4">
        <v>0</v>
      </c>
      <c r="U121" s="58">
        <f t="shared" si="24"/>
        <v>0.29072727272727272</v>
      </c>
      <c r="V121" s="58">
        <f t="shared" si="25"/>
        <v>2.753424657534255E-2</v>
      </c>
      <c r="W121" s="58">
        <f t="shared" si="26"/>
        <v>0.32727272727272738</v>
      </c>
      <c r="X121" s="156">
        <v>2190</v>
      </c>
      <c r="Y121" s="44" t="s">
        <v>829</v>
      </c>
    </row>
    <row r="122" spans="1:25" ht="30.75" thickTop="1" x14ac:dyDescent="0.25">
      <c r="A122" s="51">
        <v>138642</v>
      </c>
      <c r="B122" s="51">
        <f>VLOOKUP($A122,'Выгр Кат'!$A:$R,B$1,0)</f>
        <v>24494</v>
      </c>
      <c r="C122" s="56" t="str">
        <f>VLOOKUP($A122,'Выгр Кат'!$A:$R,C$1,0)</f>
        <v>Бортовой компьютер "Штат" МК-12 (сенсорный, OBD-2)</v>
      </c>
      <c r="D122" s="51" t="str">
        <f>VLOOKUP($A122,'Выгр Кат'!$A:$R,D$1,0)</f>
        <v>Y</v>
      </c>
      <c r="E122" s="51" t="str">
        <f>VLOOKUP($A122,'Выгр Кат'!$A:$R,E$1,0)</f>
        <v>0</v>
      </c>
      <c r="F122" s="51">
        <f>VLOOKUP($A122,'Выгр Кат'!$A:$R,F$1,0)</f>
        <v>0</v>
      </c>
      <c r="G122" s="51" t="s">
        <v>175</v>
      </c>
      <c r="H122" s="77" t="s">
        <v>527</v>
      </c>
      <c r="I122" s="26">
        <f>VLOOKUP(G122,ПРАЙС!B:C,2,0)</f>
        <v>1650</v>
      </c>
      <c r="J122" s="78">
        <f>VLOOKUP(I122,Наценка!$A$2:$B$9,2,1)</f>
        <v>1.4</v>
      </c>
      <c r="K122" s="79">
        <f t="shared" si="30"/>
        <v>2310</v>
      </c>
      <c r="L122" s="80">
        <f t="shared" si="22"/>
        <v>2390</v>
      </c>
      <c r="M122" s="51">
        <f>VLOOKUP($A122,'Выгр Кат'!$A:$R,M$1,0)</f>
        <v>1650</v>
      </c>
      <c r="N122" s="51">
        <f>VLOOKUP($A122,'Выгр Кат'!$A:$R,N$1,0)</f>
        <v>2390</v>
      </c>
      <c r="O122" s="25">
        <f t="shared" si="18"/>
        <v>0</v>
      </c>
      <c r="P122" s="25">
        <f t="shared" si="19"/>
        <v>0</v>
      </c>
      <c r="Q122" s="1">
        <f t="shared" si="23"/>
        <v>2222.6999999999998</v>
      </c>
      <c r="R122" s="5" t="str">
        <f>IFERROR((VLOOKUP($A122,'Из ГУГЛа'!$B:$G,6,0)+T122)*S122,VLOOKUP($A122,'Из ГУГЛа'!$B:$G,6,0))</f>
        <v/>
      </c>
      <c r="S122" s="4">
        <v>1</v>
      </c>
      <c r="T122" s="4">
        <v>0</v>
      </c>
      <c r="U122" s="58">
        <f t="shared" si="24"/>
        <v>0.34709090909090889</v>
      </c>
      <c r="V122" s="58" t="str">
        <f t="shared" si="25"/>
        <v/>
      </c>
      <c r="W122" s="58" t="str">
        <f t="shared" si="26"/>
        <v/>
      </c>
      <c r="X122" s="154"/>
    </row>
    <row r="123" spans="1:25" ht="30.75" thickBot="1" x14ac:dyDescent="0.3">
      <c r="A123" s="51">
        <v>138692</v>
      </c>
      <c r="B123" s="51">
        <f>VLOOKUP($A123,'Выгр Кат'!$A:$R,B$1,0)</f>
        <v>7079</v>
      </c>
      <c r="C123" s="56" t="str">
        <f>VLOOKUP($A123,'Выгр Кат'!$A:$R,C$1,0)</f>
        <v>Бортовой компьютер Штат 07X-1М на Lada 2105-07</v>
      </c>
      <c r="D123" s="51" t="str">
        <f>VLOOKUP($A123,'Выгр Кат'!$A:$R,D$1,0)</f>
        <v>Y</v>
      </c>
      <c r="E123" s="51" t="str">
        <f>VLOOKUP($A123,'Выгр Кат'!$A:$R,E$1,0)</f>
        <v>1</v>
      </c>
      <c r="F123" s="51">
        <f>VLOOKUP($A123,'Выгр Кат'!$A:$R,F$1,0)</f>
        <v>0</v>
      </c>
      <c r="G123" s="51" t="s">
        <v>19</v>
      </c>
      <c r="H123" s="77" t="s">
        <v>527</v>
      </c>
      <c r="I123" s="26">
        <f>VLOOKUP(G123,ПРАЙС!B:C,2,0)</f>
        <v>1650</v>
      </c>
      <c r="J123" s="78">
        <f>VLOOKUP(I123,Наценка!$A$2:$B$9,2,1)</f>
        <v>1.4</v>
      </c>
      <c r="K123" s="64">
        <f t="shared" ref="K123" si="38">X123*1.05</f>
        <v>2299.5</v>
      </c>
      <c r="L123" s="80">
        <f t="shared" si="22"/>
        <v>2290</v>
      </c>
      <c r="M123" s="51">
        <f>VLOOKUP($A123,'Выгр Кат'!$A:$R,M$1,0)</f>
        <v>1650</v>
      </c>
      <c r="N123" s="51">
        <f>VLOOKUP($A123,'Выгр Кат'!$A:$R,N$1,0)</f>
        <v>2290</v>
      </c>
      <c r="O123" s="25">
        <f t="shared" si="18"/>
        <v>0</v>
      </c>
      <c r="P123" s="25">
        <f t="shared" si="19"/>
        <v>0</v>
      </c>
      <c r="Q123" s="1">
        <f t="shared" si="23"/>
        <v>2129.6999999999998</v>
      </c>
      <c r="R123" s="5">
        <f>IFERROR((VLOOKUP($A123,'Из ГУГЛа'!$B:$G,6,0)+T123)*S123,VLOOKUP($A123,'Из ГУГЛа'!$B:$G,6,0))</f>
        <v>2190</v>
      </c>
      <c r="S123" s="4">
        <v>1</v>
      </c>
      <c r="T123" s="4">
        <v>0</v>
      </c>
      <c r="U123" s="58">
        <f t="shared" si="24"/>
        <v>0.29072727272727272</v>
      </c>
      <c r="V123" s="58">
        <f t="shared" si="25"/>
        <v>2.753424657534255E-2</v>
      </c>
      <c r="W123" s="58">
        <f t="shared" si="26"/>
        <v>0.32727272727272738</v>
      </c>
      <c r="X123" s="156">
        <v>2190</v>
      </c>
      <c r="Y123" s="44" t="s">
        <v>828</v>
      </c>
    </row>
    <row r="124" spans="1:25" ht="31.5" thickTop="1" thickBot="1" x14ac:dyDescent="0.3">
      <c r="A124" s="51">
        <v>138664</v>
      </c>
      <c r="B124" s="51">
        <f>VLOOKUP($A124,'Выгр Кат'!$A:$R,B$1,0)</f>
        <v>7083</v>
      </c>
      <c r="C124" s="56" t="str">
        <f>VLOOKUP($A124,'Выгр Кат'!$A:$R,C$1,0)</f>
        <v>Бортовой компьютер Multitronics Di15g на автомобили ГАЗ и UAZ</v>
      </c>
      <c r="D124" s="51" t="str">
        <f>VLOOKUP($A124,'Выгр Кат'!$A:$R,D$1,0)</f>
        <v>Y</v>
      </c>
      <c r="E124" s="51" t="str">
        <f>VLOOKUP($A124,'Выгр Кат'!$A:$R,E$1,0)</f>
        <v>1</v>
      </c>
      <c r="F124" s="51">
        <f>VLOOKUP($A124,'Выгр Кат'!$A:$R,F$1,0)</f>
        <v>0</v>
      </c>
      <c r="G124" s="51" t="s">
        <v>612</v>
      </c>
      <c r="H124" s="77" t="s">
        <v>527</v>
      </c>
      <c r="I124" s="26">
        <f>VLOOKUP(G124,ПРАЙС!B:C,2,0)</f>
        <v>1700</v>
      </c>
      <c r="J124" s="78">
        <f>VLOOKUP(I124,Наценка!$A$2:$B$9,2,1)</f>
        <v>1.4</v>
      </c>
      <c r="K124" s="63">
        <f t="shared" ref="K124:K131" si="39">X124*1.04</f>
        <v>2381.6</v>
      </c>
      <c r="L124" s="80">
        <f t="shared" si="22"/>
        <v>2390</v>
      </c>
      <c r="M124" s="51">
        <f>VLOOKUP($A124,'Выгр Кат'!$A:$R,M$1,0)</f>
        <v>1700</v>
      </c>
      <c r="N124" s="51">
        <f>VLOOKUP($A124,'Выгр Кат'!$A:$R,N$1,0)</f>
        <v>2390</v>
      </c>
      <c r="O124" s="25">
        <f t="shared" ref="O124:O184" si="40">M124-I124</f>
        <v>0</v>
      </c>
      <c r="P124" s="25">
        <f t="shared" ref="P124:P184" si="41">N124-L124</f>
        <v>0</v>
      </c>
      <c r="Q124" s="1">
        <f t="shared" si="23"/>
        <v>2222.6999999999998</v>
      </c>
      <c r="R124" s="5">
        <f>IFERROR((VLOOKUP($A124,'Из ГУГЛа'!$B:$G,6,0)+T124)*S124,VLOOKUP($A124,'Из ГУГЛа'!$B:$G,6,0))</f>
        <v>2290</v>
      </c>
      <c r="S124" s="4">
        <v>1</v>
      </c>
      <c r="T124" s="4">
        <v>0</v>
      </c>
      <c r="U124" s="58">
        <f t="shared" si="24"/>
        <v>0.30747058823529394</v>
      </c>
      <c r="V124" s="58">
        <f t="shared" si="25"/>
        <v>2.9388646288209686E-2</v>
      </c>
      <c r="W124" s="58">
        <f t="shared" si="26"/>
        <v>0.34705882352941186</v>
      </c>
      <c r="X124" s="156">
        <v>2290</v>
      </c>
      <c r="Y124" s="44" t="s">
        <v>951</v>
      </c>
    </row>
    <row r="125" spans="1:25" ht="46.5" thickTop="1" thickBot="1" x14ac:dyDescent="0.3">
      <c r="A125" s="51">
        <v>164007</v>
      </c>
      <c r="B125" s="51">
        <f>VLOOKUP($A125,'Выгр Кат'!$A:$R,B$1,0)</f>
        <v>24526</v>
      </c>
      <c r="C125" s="56" t="str">
        <f>VLOOKUP($A125,'Выгр Кат'!$A:$R,C$1,0)</f>
        <v>Модуль автоматического контроллера стеклоподъемников "АПЭЛ" МАКС-2 для Лада Ларгус</v>
      </c>
      <c r="D125" s="51" t="str">
        <f>VLOOKUP($A125,'Выгр Кат'!$A:$R,D$1,0)</f>
        <v>Y</v>
      </c>
      <c r="E125" s="51" t="str">
        <f>VLOOKUP($A125,'Выгр Кат'!$A:$R,E$1,0)</f>
        <v>1</v>
      </c>
      <c r="F125" s="51">
        <f>VLOOKUP($A125,'Выгр Кат'!$A:$R,F$1,0)</f>
        <v>0</v>
      </c>
      <c r="G125" s="51" t="s">
        <v>503</v>
      </c>
      <c r="H125" s="77" t="s">
        <v>527</v>
      </c>
      <c r="I125" s="26">
        <f>VLOOKUP(G125,ПРАЙС!B:C,2,0)</f>
        <v>1700</v>
      </c>
      <c r="J125" s="78">
        <f>VLOOKUP(I125,Наценка!$A$2:$B$9,2,1)</f>
        <v>1.4</v>
      </c>
      <c r="K125" s="63">
        <f t="shared" si="39"/>
        <v>2485.6</v>
      </c>
      <c r="L125" s="80">
        <f t="shared" si="22"/>
        <v>2490</v>
      </c>
      <c r="M125" s="51">
        <f>VLOOKUP($A125,'Выгр Кат'!$A:$R,M$1,0)</f>
        <v>1650</v>
      </c>
      <c r="N125" s="51">
        <f>VLOOKUP($A125,'Выгр Кат'!$A:$R,N$1,0)</f>
        <v>2490</v>
      </c>
      <c r="O125" s="25">
        <f t="shared" si="40"/>
        <v>-50</v>
      </c>
      <c r="P125" s="25">
        <f t="shared" si="41"/>
        <v>0</v>
      </c>
      <c r="Q125" s="1">
        <f t="shared" si="23"/>
        <v>2315.6999999999998</v>
      </c>
      <c r="R125" s="5">
        <f>IFERROR((VLOOKUP($A125,'Из ГУГЛа'!$B:$G,6,0)+T125)*S125,VLOOKUP($A125,'Из ГУГЛа'!$B:$G,6,0))</f>
        <v>2390</v>
      </c>
      <c r="S125" s="4">
        <v>1</v>
      </c>
      <c r="T125" s="4">
        <v>0</v>
      </c>
      <c r="U125" s="58">
        <f t="shared" si="24"/>
        <v>0.3621764705882351</v>
      </c>
      <c r="V125" s="58">
        <f t="shared" si="25"/>
        <v>3.1087866108786687E-2</v>
      </c>
      <c r="W125" s="58">
        <f t="shared" si="26"/>
        <v>0.40588235294117636</v>
      </c>
      <c r="X125" s="156">
        <v>2390</v>
      </c>
      <c r="Y125" s="44" t="s">
        <v>950</v>
      </c>
    </row>
    <row r="126" spans="1:25" ht="16.5" thickTop="1" thickBot="1" x14ac:dyDescent="0.3">
      <c r="A126" s="51">
        <v>218499</v>
      </c>
      <c r="B126" s="51">
        <f>VLOOKUP($A126,'Выгр Кат'!$A:$R,B$1,0)</f>
        <v>7001</v>
      </c>
      <c r="C126" s="56" t="str">
        <f>VLOOKUP($A126,'Выгр Кат'!$A:$R,C$1,0)</f>
        <v>Стробоскоп Орион СТ-2</v>
      </c>
      <c r="D126" s="51" t="str">
        <f>VLOOKUP($A126,'Выгр Кат'!$A:$R,D$1,0)</f>
        <v>Y</v>
      </c>
      <c r="E126" s="51" t="str">
        <f>VLOOKUP($A126,'Выгр Кат'!$A:$R,E$1,0)</f>
        <v>1</v>
      </c>
      <c r="F126" s="51">
        <f>VLOOKUP($A126,'Выгр Кат'!$A:$R,F$1,0)</f>
        <v>0</v>
      </c>
      <c r="G126" s="51" t="s">
        <v>112</v>
      </c>
      <c r="H126" s="77" t="s">
        <v>527</v>
      </c>
      <c r="I126" s="26">
        <f>VLOOKUP(G126,ПРАЙС!B:C,2,0)</f>
        <v>1970</v>
      </c>
      <c r="J126" s="78">
        <f>VLOOKUP(I126,Наценка!$A$2:$B$9,2,1)</f>
        <v>1.4</v>
      </c>
      <c r="K126" s="63">
        <f t="shared" si="39"/>
        <v>2797.6</v>
      </c>
      <c r="L126" s="80">
        <f t="shared" si="22"/>
        <v>2790</v>
      </c>
      <c r="M126" s="51">
        <f>VLOOKUP($A126,'Выгр Кат'!$A:$R,M$1,0)</f>
        <v>1970</v>
      </c>
      <c r="N126" s="51">
        <f>VLOOKUP($A126,'Выгр Кат'!$A:$R,N$1,0)</f>
        <v>2790</v>
      </c>
      <c r="O126" s="25">
        <f t="shared" si="40"/>
        <v>0</v>
      </c>
      <c r="P126" s="25">
        <f t="shared" si="41"/>
        <v>0</v>
      </c>
      <c r="Q126" s="1">
        <f t="shared" si="23"/>
        <v>2594.6999999999998</v>
      </c>
      <c r="R126" s="5">
        <f>IFERROR((VLOOKUP($A126,'Из ГУГЛа'!$B:$G,6,0)+T126)*S126,VLOOKUP($A126,'Из ГУГЛа'!$B:$G,6,0))</f>
        <v>2690</v>
      </c>
      <c r="S126" s="4">
        <v>1</v>
      </c>
      <c r="T126" s="4">
        <v>0</v>
      </c>
      <c r="U126" s="58">
        <f t="shared" si="24"/>
        <v>0.31710659898477145</v>
      </c>
      <c r="V126" s="58">
        <f t="shared" si="25"/>
        <v>3.5427509293680368E-2</v>
      </c>
      <c r="W126" s="58">
        <f t="shared" si="26"/>
        <v>0.36548223350253806</v>
      </c>
      <c r="X126" s="156">
        <v>2690</v>
      </c>
      <c r="Y126" s="44" t="s">
        <v>795</v>
      </c>
    </row>
    <row r="127" spans="1:25" ht="31.5" thickTop="1" thickBot="1" x14ac:dyDescent="0.3">
      <c r="A127" s="51">
        <v>201031</v>
      </c>
      <c r="B127" s="51">
        <f>VLOOKUP($A127,'Выгр Кат'!$A:$R,B$1,0)</f>
        <v>7225</v>
      </c>
      <c r="C127" s="56" t="str">
        <f>VLOOKUP($A127,'Выгр Кат'!$A:$R,C$1,0)</f>
        <v>Преобразователь напряжения инверторный 24/12 35А</v>
      </c>
      <c r="D127" s="51" t="str">
        <f>VLOOKUP($A127,'Выгр Кат'!$A:$R,D$1,0)</f>
        <v>Y</v>
      </c>
      <c r="E127" s="51" t="str">
        <f>VLOOKUP($A127,'Выгр Кат'!$A:$R,E$1,0)</f>
        <v>1</v>
      </c>
      <c r="F127" s="51">
        <f>VLOOKUP($A127,'Выгр Кат'!$A:$R,F$1,0)</f>
        <v>0</v>
      </c>
      <c r="G127" s="51" t="s">
        <v>486</v>
      </c>
      <c r="H127" s="77" t="s">
        <v>527</v>
      </c>
      <c r="I127" s="26">
        <f>VLOOKUP(G127,ПРАЙС!B:C,2,0)</f>
        <v>1700</v>
      </c>
      <c r="J127" s="78">
        <f>VLOOKUP(I127,Наценка!$A$2:$B$9,2,1)</f>
        <v>1.4</v>
      </c>
      <c r="K127" s="63">
        <f t="shared" si="39"/>
        <v>2381.6</v>
      </c>
      <c r="L127" s="80">
        <f t="shared" si="22"/>
        <v>2390</v>
      </c>
      <c r="M127" s="51">
        <f>VLOOKUP($A127,'Выгр Кат'!$A:$R,M$1,0)</f>
        <v>1700</v>
      </c>
      <c r="N127" s="51">
        <f>VLOOKUP($A127,'Выгр Кат'!$A:$R,N$1,0)</f>
        <v>2390</v>
      </c>
      <c r="O127" s="25">
        <f t="shared" si="40"/>
        <v>0</v>
      </c>
      <c r="P127" s="25">
        <f t="shared" si="41"/>
        <v>0</v>
      </c>
      <c r="Q127" s="1">
        <f t="shared" si="23"/>
        <v>2222.6999999999998</v>
      </c>
      <c r="R127" s="5">
        <f>IFERROR((VLOOKUP($A127,'Из ГУГЛа'!$B:$G,6,0)+T127)*S127,VLOOKUP($A127,'Из ГУГЛа'!$B:$G,6,0))</f>
        <v>2290</v>
      </c>
      <c r="S127" s="4">
        <v>1</v>
      </c>
      <c r="T127" s="4">
        <v>0</v>
      </c>
      <c r="U127" s="58">
        <f t="shared" si="24"/>
        <v>0.30747058823529394</v>
      </c>
      <c r="V127" s="58">
        <f t="shared" si="25"/>
        <v>2.9388646288209686E-2</v>
      </c>
      <c r="W127" s="58">
        <f t="shared" si="26"/>
        <v>0.34705882352941186</v>
      </c>
      <c r="X127" s="156">
        <v>2290</v>
      </c>
      <c r="Y127" s="44" t="s">
        <v>949</v>
      </c>
    </row>
    <row r="128" spans="1:25" ht="31.5" thickTop="1" thickBot="1" x14ac:dyDescent="0.3">
      <c r="A128" s="51">
        <v>138639</v>
      </c>
      <c r="B128" s="51">
        <f>VLOOKUP($A128,'Выгр Кат'!$A:$R,B$1,0)</f>
        <v>31507</v>
      </c>
      <c r="C128" s="56" t="str">
        <f>VLOOKUP($A128,'Выгр Кат'!$A:$R,C$1,0)</f>
        <v>Бортовой компьютер "Штат" БК-3 для Лада Ларгус</v>
      </c>
      <c r="D128" s="51" t="str">
        <f>VLOOKUP($A128,'Выгр Кат'!$A:$R,D$1,0)</f>
        <v>Y</v>
      </c>
      <c r="E128" s="51" t="str">
        <f>VLOOKUP($A128,'Выгр Кат'!$A:$R,E$1,0)</f>
        <v>1</v>
      </c>
      <c r="F128" s="51">
        <f>VLOOKUP($A128,'Выгр Кат'!$A:$R,F$1,0)</f>
        <v>0</v>
      </c>
      <c r="G128" s="51" t="s">
        <v>856</v>
      </c>
      <c r="H128" s="77" t="s">
        <v>527</v>
      </c>
      <c r="I128" s="26">
        <f>VLOOKUP(G128,ПРАЙС!B:C,2,0)</f>
        <v>1450</v>
      </c>
      <c r="J128" s="78">
        <f>VLOOKUP(I128,Наценка!$A$2:$B$9,2,1)</f>
        <v>1.4</v>
      </c>
      <c r="K128" s="63">
        <f t="shared" si="39"/>
        <v>2381.6</v>
      </c>
      <c r="L128" s="80">
        <f t="shared" si="22"/>
        <v>2390</v>
      </c>
      <c r="M128" s="51">
        <f>VLOOKUP($A128,'Выгр Кат'!$A:$R,M$1,0)</f>
        <v>1450</v>
      </c>
      <c r="N128" s="51">
        <f>VLOOKUP($A128,'Выгр Кат'!$A:$R,N$1,0)</f>
        <v>2390</v>
      </c>
      <c r="O128" s="25">
        <f t="shared" si="40"/>
        <v>0</v>
      </c>
      <c r="P128" s="25">
        <f t="shared" si="41"/>
        <v>0</v>
      </c>
      <c r="Q128" s="1">
        <f t="shared" si="23"/>
        <v>2222.6999999999998</v>
      </c>
      <c r="R128" s="5">
        <f>IFERROR((VLOOKUP($A128,'Из ГУГЛа'!$B:$G,6,0)+T128)*S128,VLOOKUP($A128,'Из ГУГЛа'!$B:$G,6,0))</f>
        <v>2290</v>
      </c>
      <c r="S128" s="4">
        <v>1</v>
      </c>
      <c r="T128" s="4">
        <v>0</v>
      </c>
      <c r="U128" s="58">
        <f t="shared" si="24"/>
        <v>0.53289655172413775</v>
      </c>
      <c r="V128" s="58">
        <f t="shared" si="25"/>
        <v>2.9388646288209686E-2</v>
      </c>
      <c r="W128" s="58">
        <f t="shared" si="26"/>
        <v>0.57931034482758625</v>
      </c>
      <c r="X128" s="156">
        <v>2290</v>
      </c>
      <c r="Y128" s="44" t="s">
        <v>826</v>
      </c>
    </row>
    <row r="129" spans="1:25" ht="46.5" thickTop="1" thickBot="1" x14ac:dyDescent="0.3">
      <c r="A129" s="51">
        <v>138640</v>
      </c>
      <c r="B129" s="51">
        <f>VLOOKUP($A129,'Выгр Кат'!$A:$R,B$1,0)</f>
        <v>31508</v>
      </c>
      <c r="C129" s="56" t="str">
        <f>VLOOKUP($A129,'Выгр Кат'!$A:$R,C$1,0)</f>
        <v>Бортовой компьютер "Штат" БК-7 для Лада Ларгус (с двигателем ВАЗ 11189, 21129)</v>
      </c>
      <c r="D129" s="51" t="str">
        <f>VLOOKUP($A129,'Выгр Кат'!$A:$R,D$1,0)</f>
        <v>Y</v>
      </c>
      <c r="E129" s="51" t="str">
        <f>VLOOKUP($A129,'Выгр Кат'!$A:$R,E$1,0)</f>
        <v>1</v>
      </c>
      <c r="F129" s="51">
        <f>VLOOKUP($A129,'Выгр Кат'!$A:$R,F$1,0)</f>
        <v>0</v>
      </c>
      <c r="G129" s="51" t="s">
        <v>857</v>
      </c>
      <c r="H129" s="77" t="s">
        <v>527</v>
      </c>
      <c r="I129" s="26">
        <f>VLOOKUP(G129,ПРАЙС!B:C,2,0)</f>
        <v>1450</v>
      </c>
      <c r="J129" s="78">
        <f>VLOOKUP(I129,Наценка!$A$2:$B$9,2,1)</f>
        <v>1.4</v>
      </c>
      <c r="K129" s="63">
        <f t="shared" si="39"/>
        <v>2381.6</v>
      </c>
      <c r="L129" s="80">
        <f t="shared" si="22"/>
        <v>2390</v>
      </c>
      <c r="M129" s="51">
        <f>VLOOKUP($A129,'Выгр Кат'!$A:$R,M$1,0)</f>
        <v>1450</v>
      </c>
      <c r="N129" s="51">
        <f>VLOOKUP($A129,'Выгр Кат'!$A:$R,N$1,0)</f>
        <v>2390</v>
      </c>
      <c r="O129" s="25">
        <f t="shared" si="40"/>
        <v>0</v>
      </c>
      <c r="P129" s="25">
        <f t="shared" si="41"/>
        <v>0</v>
      </c>
      <c r="Q129" s="1">
        <f t="shared" si="23"/>
        <v>2222.6999999999998</v>
      </c>
      <c r="R129" s="5">
        <f>IFERROR((VLOOKUP($A129,'Из ГУГЛа'!$B:$G,6,0)+T129)*S129,VLOOKUP($A129,'Из ГУГЛа'!$B:$G,6,0))</f>
        <v>2290</v>
      </c>
      <c r="S129" s="4">
        <v>1</v>
      </c>
      <c r="T129" s="4">
        <v>0</v>
      </c>
      <c r="U129" s="58">
        <f t="shared" si="24"/>
        <v>0.53289655172413775</v>
      </c>
      <c r="V129" s="58">
        <f t="shared" si="25"/>
        <v>2.9388646288209686E-2</v>
      </c>
      <c r="W129" s="58">
        <f t="shared" si="26"/>
        <v>0.57931034482758625</v>
      </c>
      <c r="X129" s="156">
        <v>2290</v>
      </c>
      <c r="Y129" s="44" t="s">
        <v>827</v>
      </c>
    </row>
    <row r="130" spans="1:25" ht="31.5" thickTop="1" thickBot="1" x14ac:dyDescent="0.3">
      <c r="A130" s="51">
        <v>138673</v>
      </c>
      <c r="B130" s="51">
        <f>VLOOKUP($A130,'Выгр Кат'!$A:$R,B$1,0)</f>
        <v>7030</v>
      </c>
      <c r="C130" s="56" t="str">
        <f>VLOOKUP($A130,'Выгр Кат'!$A:$R,C$1,0)</f>
        <v>Бортовой компьютер Multitronics ux-7 на Lada и Niva Chevrolet</v>
      </c>
      <c r="D130" s="51" t="str">
        <f>VLOOKUP($A130,'Выгр Кат'!$A:$R,D$1,0)</f>
        <v>Y</v>
      </c>
      <c r="E130" s="51" t="str">
        <f>VLOOKUP($A130,'Выгр Кат'!$A:$R,E$1,0)</f>
        <v>0</v>
      </c>
      <c r="F130" s="51">
        <f>VLOOKUP($A130,'Выгр Кат'!$A:$R,F$1,0)</f>
        <v>0</v>
      </c>
      <c r="G130" s="51" t="s">
        <v>62</v>
      </c>
      <c r="H130" s="77" t="s">
        <v>527</v>
      </c>
      <c r="I130" s="26">
        <f>VLOOKUP(G130,ПРАЙС!B:C,2,0)</f>
        <v>1850</v>
      </c>
      <c r="J130" s="78">
        <f>VLOOKUP(I130,Наценка!$A$2:$B$9,2,1)</f>
        <v>1.4</v>
      </c>
      <c r="K130" s="63">
        <f t="shared" si="39"/>
        <v>2381.6</v>
      </c>
      <c r="L130" s="80">
        <f t="shared" ref="L130:L193" si="42">IF(K130&lt;=1000,(ROUNDUP(K130,-1)-1),(ROUNDUP(K130,-2)-10))</f>
        <v>2390</v>
      </c>
      <c r="M130" s="51">
        <f>VLOOKUP($A130,'Выгр Кат'!$A:$R,M$1,0)</f>
        <v>1850</v>
      </c>
      <c r="N130" s="51">
        <f>VLOOKUP($A130,'Выгр Кат'!$A:$R,N$1,0)</f>
        <v>2390</v>
      </c>
      <c r="O130" s="25">
        <f t="shared" si="40"/>
        <v>0</v>
      </c>
      <c r="P130" s="25">
        <f t="shared" si="41"/>
        <v>0</v>
      </c>
      <c r="Q130" s="1">
        <f t="shared" si="23"/>
        <v>2222.6999999999998</v>
      </c>
      <c r="R130" s="5">
        <f>IFERROR((VLOOKUP($A130,'Из ГУГЛа'!$B:$G,6,0)+T130)*S130,VLOOKUP($A130,'Из ГУГЛа'!$B:$G,6,0))</f>
        <v>2290</v>
      </c>
      <c r="S130" s="4">
        <v>1</v>
      </c>
      <c r="T130" s="4">
        <v>0</v>
      </c>
      <c r="U130" s="58">
        <f t="shared" si="24"/>
        <v>0.20145945945945942</v>
      </c>
      <c r="V130" s="58">
        <f t="shared" si="25"/>
        <v>2.9388646288209686E-2</v>
      </c>
      <c r="W130" s="58">
        <f t="shared" si="26"/>
        <v>0.23783783783783785</v>
      </c>
      <c r="X130" s="156">
        <v>2290</v>
      </c>
      <c r="Y130" s="44" t="s">
        <v>794</v>
      </c>
    </row>
    <row r="131" spans="1:25" ht="31.5" thickTop="1" thickBot="1" x14ac:dyDescent="0.3">
      <c r="A131" s="51">
        <v>117065</v>
      </c>
      <c r="B131" s="51">
        <f>VLOOKUP($A131,'Выгр Кат'!$A:$R,B$1,0)</f>
        <v>7262</v>
      </c>
      <c r="C131" s="56" t="str">
        <f>VLOOKUP($A131,'Выгр Кат'!$A:$R,C$1,0)</f>
        <v>CAN-подмотчик (имитатор сигнала скорости) на Lada Granta, Kalina 2, Priora 2</v>
      </c>
      <c r="D131" s="51" t="str">
        <f>VLOOKUP($A131,'Выгр Кат'!$A:$R,D$1,0)</f>
        <v>Y</v>
      </c>
      <c r="E131" s="51" t="str">
        <f>VLOOKUP($A131,'Выгр Кат'!$A:$R,E$1,0)</f>
        <v>1</v>
      </c>
      <c r="F131" s="51">
        <f>VLOOKUP($A131,'Выгр Кат'!$A:$R,F$1,0)</f>
        <v>0</v>
      </c>
      <c r="G131" s="51" t="s">
        <v>93</v>
      </c>
      <c r="H131" s="77" t="s">
        <v>527</v>
      </c>
      <c r="I131" s="26">
        <f>VLOOKUP(G131,ПРАЙС!B:C,2,0)</f>
        <v>1900</v>
      </c>
      <c r="J131" s="78">
        <f>VLOOKUP(I131,Наценка!$A$2:$B$9,2,1)</f>
        <v>1.4</v>
      </c>
      <c r="K131" s="63">
        <f t="shared" si="39"/>
        <v>2589.6</v>
      </c>
      <c r="L131" s="80">
        <f t="shared" si="42"/>
        <v>2590</v>
      </c>
      <c r="M131" s="51">
        <f>VLOOKUP($A131,'Выгр Кат'!$A:$R,M$1,0)</f>
        <v>1900</v>
      </c>
      <c r="N131" s="51">
        <f>VLOOKUP($A131,'Выгр Кат'!$A:$R,N$1,0)</f>
        <v>2590</v>
      </c>
      <c r="O131" s="25">
        <f t="shared" si="40"/>
        <v>0</v>
      </c>
      <c r="P131" s="25">
        <f t="shared" si="41"/>
        <v>0</v>
      </c>
      <c r="Q131" s="1">
        <f t="shared" ref="Q131:Q194" si="43">IFERROR(L131*(1-$Q$2),"")</f>
        <v>2408.6999999999998</v>
      </c>
      <c r="R131" s="5">
        <f>IFERROR((VLOOKUP($A131,'Из ГУГЛа'!$B:$G,6,0)+T131)*S131,VLOOKUP($A131,'Из ГУГЛа'!$B:$G,6,0))</f>
        <v>2490</v>
      </c>
      <c r="S131" s="4">
        <v>1</v>
      </c>
      <c r="T131" s="4">
        <v>0</v>
      </c>
      <c r="U131" s="58">
        <f t="shared" ref="U131:U194" si="44">IFERROR(Q131/I131-1,"")</f>
        <v>0.26773684210526305</v>
      </c>
      <c r="V131" s="58">
        <f t="shared" ref="V131:V194" si="45">IFERROR((X131-Q131)/X131,"")</f>
        <v>3.2650602409638629E-2</v>
      </c>
      <c r="W131" s="58">
        <f t="shared" ref="W131:W194" si="46">IFERROR(IF(X131="","",X131/I131-1),"")</f>
        <v>0.31052631578947376</v>
      </c>
      <c r="X131" s="156">
        <v>2490</v>
      </c>
      <c r="Y131" s="44" t="s">
        <v>948</v>
      </c>
    </row>
    <row r="132" spans="1:25" ht="46.5" thickTop="1" thickBot="1" x14ac:dyDescent="0.3">
      <c r="A132" s="51">
        <v>151261</v>
      </c>
      <c r="B132" s="51">
        <f>VLOOKUP($A132,'Выгр Кат'!$A:$R,B$1,0)</f>
        <v>24504</v>
      </c>
      <c r="C132" s="56" t="str">
        <f>VLOOKUP($A132,'Выгр Кат'!$A:$R,C$1,0)</f>
        <v>Зарядное устройство "ОРИОН" Вымпел-20 (7А) для мотоциклетных и автомобильных аккумуляторов</v>
      </c>
      <c r="D132" s="51" t="str">
        <f>VLOOKUP($A132,'Выгр Кат'!$A:$R,D$1,0)</f>
        <v>Y</v>
      </c>
      <c r="E132" s="51" t="str">
        <f>VLOOKUP($A132,'Выгр Кат'!$A:$R,E$1,0)</f>
        <v>1</v>
      </c>
      <c r="F132" s="51">
        <f>VLOOKUP($A132,'Выгр Кат'!$A:$R,F$1,0)</f>
        <v>0</v>
      </c>
      <c r="G132" s="51" t="s">
        <v>569</v>
      </c>
      <c r="H132" s="77" t="s">
        <v>527</v>
      </c>
      <c r="I132" s="26">
        <f>VLOOKUP(G132,ПРАЙС!B:C,2,0)</f>
        <v>2200</v>
      </c>
      <c r="J132" s="78">
        <f>VLOOKUP(I132,Наценка!$A$2:$B$9,2,1)</f>
        <v>1.29</v>
      </c>
      <c r="K132" s="65">
        <f t="shared" ref="K132:K135" si="47">X132*1.07</f>
        <v>3092.3</v>
      </c>
      <c r="L132" s="80">
        <f t="shared" si="42"/>
        <v>3090</v>
      </c>
      <c r="M132" s="51">
        <f>VLOOKUP($A132,'Выгр Кат'!$A:$R,M$1,0)</f>
        <v>2200</v>
      </c>
      <c r="N132" s="51">
        <f>VLOOKUP($A132,'Выгр Кат'!$A:$R,N$1,0)</f>
        <v>3090</v>
      </c>
      <c r="O132" s="25">
        <f t="shared" si="40"/>
        <v>0</v>
      </c>
      <c r="P132" s="25">
        <f t="shared" si="41"/>
        <v>0</v>
      </c>
      <c r="Q132" s="1">
        <f t="shared" si="43"/>
        <v>2873.7</v>
      </c>
      <c r="R132" s="5">
        <f>IFERROR((VLOOKUP($A132,'Из ГУГЛа'!$B:$G,6,0)+T132)*S132,VLOOKUP($A132,'Из ГУГЛа'!$B:$G,6,0))</f>
        <v>2890</v>
      </c>
      <c r="S132" s="4">
        <v>1</v>
      </c>
      <c r="T132" s="4">
        <v>0</v>
      </c>
      <c r="U132" s="58">
        <f t="shared" si="44"/>
        <v>0.30622727272727257</v>
      </c>
      <c r="V132" s="58">
        <f t="shared" si="45"/>
        <v>5.6401384083045614E-3</v>
      </c>
      <c r="W132" s="58">
        <f t="shared" si="46"/>
        <v>0.31363636363636371</v>
      </c>
      <c r="X132" s="156">
        <v>2890</v>
      </c>
      <c r="Y132" s="44" t="s">
        <v>845</v>
      </c>
    </row>
    <row r="133" spans="1:25" ht="46.5" thickTop="1" thickBot="1" x14ac:dyDescent="0.3">
      <c r="A133" s="51">
        <v>141972</v>
      </c>
      <c r="B133" s="51">
        <f>VLOOKUP($A133,'Выгр Кат'!$A:$R,B$1,0)</f>
        <v>4382</v>
      </c>
      <c r="C133" s="56" t="str">
        <f>VLOOKUP($A133,'Выгр Кат'!$A:$R,C$1,0)</f>
        <v>Датчик дождя ДДА 35 для автомобилей со встроенным, электронным реле стеклоочистителя</v>
      </c>
      <c r="D133" s="51" t="str">
        <f>VLOOKUP($A133,'Выгр Кат'!$A:$R,D$1,0)</f>
        <v>Y</v>
      </c>
      <c r="E133" s="51" t="str">
        <f>VLOOKUP($A133,'Выгр Кат'!$A:$R,E$1,0)</f>
        <v>1</v>
      </c>
      <c r="F133" s="51">
        <f>VLOOKUP($A133,'Выгр Кат'!$A:$R,F$1,0)</f>
        <v>0</v>
      </c>
      <c r="G133" s="51" t="s">
        <v>43</v>
      </c>
      <c r="H133" s="77" t="s">
        <v>527</v>
      </c>
      <c r="I133" s="26">
        <f>VLOOKUP(G133,ПРАЙС!B:C,2,0)</f>
        <v>2050</v>
      </c>
      <c r="J133" s="78">
        <f>VLOOKUP(I133,Наценка!$A$2:$B$9,2,1)</f>
        <v>1.29</v>
      </c>
      <c r="K133" s="63">
        <f t="shared" ref="K133" si="48">X133*1.04</f>
        <v>2797.6</v>
      </c>
      <c r="L133" s="80">
        <f t="shared" si="42"/>
        <v>2790</v>
      </c>
      <c r="M133" s="51">
        <f>VLOOKUP($A133,'Выгр Кат'!$A:$R,M$1,0)</f>
        <v>2050</v>
      </c>
      <c r="N133" s="51">
        <f>VLOOKUP($A133,'Выгр Кат'!$A:$R,N$1,0)</f>
        <v>2790</v>
      </c>
      <c r="O133" s="25">
        <f t="shared" si="40"/>
        <v>0</v>
      </c>
      <c r="P133" s="25">
        <f t="shared" si="41"/>
        <v>0</v>
      </c>
      <c r="Q133" s="1">
        <f t="shared" si="43"/>
        <v>2594.6999999999998</v>
      </c>
      <c r="R133" s="5">
        <f>IFERROR((VLOOKUP($A133,'Из ГУГЛа'!$B:$G,6,0)+T133)*S133,VLOOKUP($A133,'Из ГУГЛа'!$B:$G,6,0))</f>
        <v>2690</v>
      </c>
      <c r="S133" s="4">
        <v>1</v>
      </c>
      <c r="T133" s="4">
        <v>0</v>
      </c>
      <c r="U133" s="58">
        <f t="shared" si="44"/>
        <v>0.26570731707317075</v>
      </c>
      <c r="V133" s="58">
        <f t="shared" si="45"/>
        <v>3.5427509293680368E-2</v>
      </c>
      <c r="W133" s="58">
        <f t="shared" si="46"/>
        <v>0.31219512195121957</v>
      </c>
      <c r="X133" s="156">
        <v>2690</v>
      </c>
      <c r="Y133" s="44" t="s">
        <v>843</v>
      </c>
    </row>
    <row r="134" spans="1:25" ht="16.5" thickTop="1" thickBot="1" x14ac:dyDescent="0.3">
      <c r="A134" s="51">
        <v>131567</v>
      </c>
      <c r="B134" s="51">
        <f>VLOOKUP($A134,'Выгр Кат'!$A:$R,B$1,0)</f>
        <v>7248</v>
      </c>
      <c r="C134" s="56" t="str">
        <f>VLOOKUP($A134,'Выгр Кат'!$A:$R,C$1,0)</f>
        <v>Адаптер ELM 327 Wi-Fi</v>
      </c>
      <c r="D134" s="51" t="str">
        <f>VLOOKUP($A134,'Выгр Кат'!$A:$R,D$1,0)</f>
        <v>Y</v>
      </c>
      <c r="E134" s="51" t="str">
        <f>VLOOKUP($A134,'Выгр Кат'!$A:$R,E$1,0)</f>
        <v>1</v>
      </c>
      <c r="F134" s="51">
        <f>VLOOKUP($A134,'Выгр Кат'!$A:$R,F$1,0)</f>
        <v>0</v>
      </c>
      <c r="G134" s="51" t="s">
        <v>557</v>
      </c>
      <c r="H134" s="77" t="s">
        <v>527</v>
      </c>
      <c r="I134" s="26">
        <f>VLOOKUP(G134,ПРАЙС!B:C,2,0)</f>
        <v>850</v>
      </c>
      <c r="J134" s="78">
        <f>VLOOKUP(I134,Наценка!$A$2:$B$9,2,1)</f>
        <v>1.6</v>
      </c>
      <c r="K134" s="61">
        <f>X134*1</f>
        <v>1290</v>
      </c>
      <c r="L134" s="80">
        <f t="shared" si="42"/>
        <v>1290</v>
      </c>
      <c r="M134" s="51">
        <f>VLOOKUP($A134,'Выгр Кат'!$A:$R,M$1,0)</f>
        <v>850</v>
      </c>
      <c r="N134" s="51">
        <f>VLOOKUP($A134,'Выгр Кат'!$A:$R,N$1,0)</f>
        <v>1290</v>
      </c>
      <c r="O134" s="25">
        <f t="shared" si="40"/>
        <v>0</v>
      </c>
      <c r="P134" s="25">
        <f t="shared" si="41"/>
        <v>0</v>
      </c>
      <c r="Q134" s="1">
        <f t="shared" si="43"/>
        <v>1199.6999999999998</v>
      </c>
      <c r="R134" s="5">
        <f>IFERROR((VLOOKUP($A134,'Из ГУГЛа'!$B:$G,6,0)+T134)*S134,VLOOKUP($A134,'Из ГУГЛа'!$B:$G,6,0))</f>
        <v>1290</v>
      </c>
      <c r="S134" s="4">
        <v>1</v>
      </c>
      <c r="T134" s="4">
        <v>0</v>
      </c>
      <c r="U134" s="58">
        <f t="shared" si="44"/>
        <v>0.41141176470588214</v>
      </c>
      <c r="V134" s="58">
        <f t="shared" si="45"/>
        <v>7.0000000000000145E-2</v>
      </c>
      <c r="W134" s="58">
        <f t="shared" si="46"/>
        <v>0.51764705882352935</v>
      </c>
      <c r="X134" s="156">
        <v>1290</v>
      </c>
      <c r="Y134" s="44" t="s">
        <v>775</v>
      </c>
    </row>
    <row r="135" spans="1:25" ht="31.5" thickTop="1" thickBot="1" x14ac:dyDescent="0.3">
      <c r="A135" s="51">
        <v>141973</v>
      </c>
      <c r="B135" s="51">
        <f>VLOOKUP($A135,'Выгр Кат'!$A:$R,B$1,0)</f>
        <v>4383</v>
      </c>
      <c r="C135" s="56" t="str">
        <f>VLOOKUP($A135,'Выгр Кат'!$A:$R,C$1,0)</f>
        <v>Датчик дождя ДДА 45 для Лада (Калина 2, Гранта, Ларгус), Датсун (mi-DO, on-DO)</v>
      </c>
      <c r="D135" s="51" t="str">
        <f>VLOOKUP($A135,'Выгр Кат'!$A:$R,D$1,0)</f>
        <v>Y</v>
      </c>
      <c r="E135" s="51" t="str">
        <f>VLOOKUP($A135,'Выгр Кат'!$A:$R,E$1,0)</f>
        <v>1</v>
      </c>
      <c r="F135" s="51">
        <f>VLOOKUP($A135,'Выгр Кат'!$A:$R,F$1,0)</f>
        <v>0</v>
      </c>
      <c r="G135" s="51" t="s">
        <v>44</v>
      </c>
      <c r="H135" s="77" t="s">
        <v>527</v>
      </c>
      <c r="I135" s="26">
        <f>VLOOKUP(G135,ПРАЙС!B:C,2,0)</f>
        <v>2200</v>
      </c>
      <c r="J135" s="78">
        <f>VLOOKUP(I135,Наценка!$A$2:$B$9,2,1)</f>
        <v>1.29</v>
      </c>
      <c r="K135" s="65">
        <f t="shared" si="47"/>
        <v>3092.3</v>
      </c>
      <c r="L135" s="80">
        <f t="shared" si="42"/>
        <v>3090</v>
      </c>
      <c r="M135" s="51">
        <f>VLOOKUP($A135,'Выгр Кат'!$A:$R,M$1,0)</f>
        <v>2200</v>
      </c>
      <c r="N135" s="51">
        <f>VLOOKUP($A135,'Выгр Кат'!$A:$R,N$1,0)</f>
        <v>3090</v>
      </c>
      <c r="O135" s="25">
        <f t="shared" si="40"/>
        <v>0</v>
      </c>
      <c r="P135" s="25">
        <f t="shared" si="41"/>
        <v>0</v>
      </c>
      <c r="Q135" s="1">
        <f t="shared" si="43"/>
        <v>2873.7</v>
      </c>
      <c r="R135" s="5">
        <f>IFERROR((VLOOKUP($A135,'Из ГУГЛа'!$B:$G,6,0)+T135)*S135,VLOOKUP($A135,'Из ГУГЛа'!$B:$G,6,0))</f>
        <v>2890</v>
      </c>
      <c r="S135" s="4">
        <v>1</v>
      </c>
      <c r="T135" s="4">
        <v>0</v>
      </c>
      <c r="U135" s="58">
        <f t="shared" si="44"/>
        <v>0.30622727272727257</v>
      </c>
      <c r="V135" s="58">
        <f t="shared" si="45"/>
        <v>5.6401384083045614E-3</v>
      </c>
      <c r="W135" s="58">
        <f t="shared" si="46"/>
        <v>0.31363636363636371</v>
      </c>
      <c r="X135" s="156">
        <v>2890</v>
      </c>
      <c r="Y135" s="44" t="s">
        <v>844</v>
      </c>
    </row>
    <row r="136" spans="1:25" ht="31.5" thickTop="1" thickBot="1" x14ac:dyDescent="0.3">
      <c r="A136" s="51">
        <v>219241</v>
      </c>
      <c r="B136" s="51">
        <f>VLOOKUP($A136,'Выгр Кат'!$A:$R,B$1,0)</f>
        <v>7265</v>
      </c>
      <c r="C136" s="56" t="str">
        <f>VLOOKUP($A136,'Выгр Кат'!$A:$R,C$1,0)</f>
        <v>Тестер "АПЭЛ" регулятора холостого хода РХХ</v>
      </c>
      <c r="D136" s="51" t="str">
        <f>VLOOKUP($A136,'Выгр Кат'!$A:$R,D$1,0)</f>
        <v>Y</v>
      </c>
      <c r="E136" s="51" t="str">
        <f>VLOOKUP($A136,'Выгр Кат'!$A:$R,E$1,0)</f>
        <v>1</v>
      </c>
      <c r="F136" s="51">
        <f>VLOOKUP($A136,'Выгр Кат'!$A:$R,F$1,0)</f>
        <v>0</v>
      </c>
      <c r="G136" s="51" t="s">
        <v>495</v>
      </c>
      <c r="H136" s="77" t="s">
        <v>527</v>
      </c>
      <c r="I136" s="26">
        <f>VLOOKUP(G136,ПРАЙС!B:C,2,0)</f>
        <v>2000</v>
      </c>
      <c r="J136" s="78">
        <f>VLOOKUP(I136,Наценка!$A$2:$B$9,2,1)</f>
        <v>1.29</v>
      </c>
      <c r="K136" s="63">
        <f>X136*1.04</f>
        <v>2589.6</v>
      </c>
      <c r="L136" s="80">
        <f t="shared" si="42"/>
        <v>2590</v>
      </c>
      <c r="M136" s="51">
        <f>VLOOKUP($A136,'Выгр Кат'!$A:$R,M$1,0)</f>
        <v>2000</v>
      </c>
      <c r="N136" s="51">
        <f>VLOOKUP($A136,'Выгр Кат'!$A:$R,N$1,0)</f>
        <v>2590</v>
      </c>
      <c r="O136" s="25">
        <f t="shared" si="40"/>
        <v>0</v>
      </c>
      <c r="P136" s="25">
        <f t="shared" si="41"/>
        <v>0</v>
      </c>
      <c r="Q136" s="1">
        <f t="shared" si="43"/>
        <v>2408.6999999999998</v>
      </c>
      <c r="R136" s="5">
        <f>IFERROR((VLOOKUP($A136,'Из ГУГЛа'!$B:$G,6,0)+T136)*S136,VLOOKUP($A136,'Из ГУГЛа'!$B:$G,6,0))</f>
        <v>2490</v>
      </c>
      <c r="S136" s="4">
        <v>1</v>
      </c>
      <c r="T136" s="4">
        <v>0</v>
      </c>
      <c r="U136" s="58">
        <f t="shared" si="44"/>
        <v>0.20434999999999981</v>
      </c>
      <c r="V136" s="58">
        <f t="shared" si="45"/>
        <v>3.2650602409638629E-2</v>
      </c>
      <c r="W136" s="58">
        <f t="shared" si="46"/>
        <v>0.24500000000000011</v>
      </c>
      <c r="X136" s="156">
        <v>2490</v>
      </c>
      <c r="Y136" s="44" t="s">
        <v>716</v>
      </c>
    </row>
    <row r="137" spans="1:25" ht="31.5" thickTop="1" thickBot="1" x14ac:dyDescent="0.3">
      <c r="A137" s="51">
        <v>223733</v>
      </c>
      <c r="B137" s="51">
        <f>VLOOKUP($A137,'Выгр Кат'!$A:$R,B$1,0)</f>
        <v>8903</v>
      </c>
      <c r="C137" s="56" t="str">
        <f>VLOOKUP($A137,'Выгр Кат'!$A:$R,C$1,0)</f>
        <v>Устройство зарядно - предпусковое ОРИОН PW325</v>
      </c>
      <c r="D137" s="51" t="str">
        <f>VLOOKUP($A137,'Выгр Кат'!$A:$R,D$1,0)</f>
        <v>Y</v>
      </c>
      <c r="E137" s="51" t="str">
        <f>VLOOKUP($A137,'Выгр Кат'!$A:$R,E$1,0)</f>
        <v>1</v>
      </c>
      <c r="F137" s="51">
        <f>VLOOKUP($A137,'Выгр Кат'!$A:$R,F$1,0)</f>
        <v>0</v>
      </c>
      <c r="G137" s="51" t="s">
        <v>193</v>
      </c>
      <c r="H137" s="77" t="s">
        <v>527</v>
      </c>
      <c r="I137" s="26">
        <f>VLOOKUP(G137,ПРАЙС!B:C,2,0)</f>
        <v>2400</v>
      </c>
      <c r="J137" s="78">
        <f>VLOOKUP(I137,Наценка!$A$2:$B$9,2,1)</f>
        <v>1.29</v>
      </c>
      <c r="K137" s="64">
        <f t="shared" ref="K137:K138" si="49">X137*1.06</f>
        <v>3381.4</v>
      </c>
      <c r="L137" s="80">
        <f t="shared" si="42"/>
        <v>3390</v>
      </c>
      <c r="M137" s="51">
        <f>VLOOKUP($A137,'Выгр Кат'!$A:$R,M$1,0)</f>
        <v>2400</v>
      </c>
      <c r="N137" s="51">
        <f>VLOOKUP($A137,'Выгр Кат'!$A:$R,N$1,0)</f>
        <v>3390</v>
      </c>
      <c r="O137" s="25">
        <f t="shared" si="40"/>
        <v>0</v>
      </c>
      <c r="P137" s="25">
        <f t="shared" si="41"/>
        <v>0</v>
      </c>
      <c r="Q137" s="1">
        <f t="shared" si="43"/>
        <v>3152.7</v>
      </c>
      <c r="R137" s="5">
        <f>IFERROR((VLOOKUP($A137,'Из ГУГЛа'!$B:$G,6,0)+T137)*S137,VLOOKUP($A137,'Из ГУГЛа'!$B:$G,6,0))</f>
        <v>3190</v>
      </c>
      <c r="S137" s="4">
        <v>1</v>
      </c>
      <c r="T137" s="4">
        <v>0</v>
      </c>
      <c r="U137" s="58">
        <f t="shared" si="44"/>
        <v>0.31362499999999982</v>
      </c>
      <c r="V137" s="58">
        <f t="shared" si="45"/>
        <v>1.1692789968652095E-2</v>
      </c>
      <c r="W137" s="58">
        <f t="shared" si="46"/>
        <v>0.32916666666666661</v>
      </c>
      <c r="X137" s="156">
        <v>3190</v>
      </c>
      <c r="Y137" s="44" t="s">
        <v>947</v>
      </c>
    </row>
    <row r="138" spans="1:25" ht="31.5" thickTop="1" thickBot="1" x14ac:dyDescent="0.3">
      <c r="A138" s="51">
        <v>223734</v>
      </c>
      <c r="B138" s="51">
        <f>VLOOKUP($A138,'Выгр Кат'!$A:$R,B$1,0)</f>
        <v>8883</v>
      </c>
      <c r="C138" s="56" t="str">
        <f>VLOOKUP($A138,'Выгр Кат'!$A:$R,C$1,0)</f>
        <v>Устройство зарядно - предпусковое ОРИОН Вымпел-30</v>
      </c>
      <c r="D138" s="51" t="str">
        <f>VLOOKUP($A138,'Выгр Кат'!$A:$R,D$1,0)</f>
        <v>Y</v>
      </c>
      <c r="E138" s="51" t="str">
        <f>VLOOKUP($A138,'Выгр Кат'!$A:$R,E$1,0)</f>
        <v>1</v>
      </c>
      <c r="F138" s="51">
        <f>VLOOKUP($A138,'Выгр Кат'!$A:$R,F$1,0)</f>
        <v>0</v>
      </c>
      <c r="G138" s="51" t="s">
        <v>570</v>
      </c>
      <c r="H138" s="77" t="s">
        <v>527</v>
      </c>
      <c r="I138" s="26">
        <f>VLOOKUP(G138,ПРАЙС!B:C,2,0)</f>
        <v>2550</v>
      </c>
      <c r="J138" s="78">
        <f>VLOOKUP(I138,Наценка!$A$2:$B$9,2,1)</f>
        <v>1.29</v>
      </c>
      <c r="K138" s="64">
        <f t="shared" si="49"/>
        <v>3487.4</v>
      </c>
      <c r="L138" s="80">
        <f t="shared" si="42"/>
        <v>3490</v>
      </c>
      <c r="M138" s="51">
        <f>VLOOKUP($A138,'Выгр Кат'!$A:$R,M$1,0)</f>
        <v>2550</v>
      </c>
      <c r="N138" s="51">
        <f>VLOOKUP($A138,'Выгр Кат'!$A:$R,N$1,0)</f>
        <v>3490</v>
      </c>
      <c r="O138" s="25">
        <f t="shared" si="40"/>
        <v>0</v>
      </c>
      <c r="P138" s="25">
        <f t="shared" si="41"/>
        <v>0</v>
      </c>
      <c r="Q138" s="1">
        <f t="shared" si="43"/>
        <v>3245.7</v>
      </c>
      <c r="R138" s="5">
        <f>IFERROR((VLOOKUP($A138,'Из ГУГЛа'!$B:$G,6,0)+T138)*S138,VLOOKUP($A138,'Из ГУГЛа'!$B:$G,6,0))</f>
        <v>3290</v>
      </c>
      <c r="S138" s="4">
        <v>1</v>
      </c>
      <c r="T138" s="4">
        <v>0</v>
      </c>
      <c r="U138" s="58">
        <f t="shared" si="44"/>
        <v>0.27282352941176469</v>
      </c>
      <c r="V138" s="58">
        <f t="shared" si="45"/>
        <v>1.3465045592705222E-2</v>
      </c>
      <c r="W138" s="58">
        <f t="shared" si="46"/>
        <v>0.29019607843137263</v>
      </c>
      <c r="X138" s="156">
        <v>3290</v>
      </c>
      <c r="Y138" s="44" t="s">
        <v>854</v>
      </c>
    </row>
    <row r="139" spans="1:25" ht="61.5" thickTop="1" thickBot="1" x14ac:dyDescent="0.3">
      <c r="A139" s="51">
        <v>141971</v>
      </c>
      <c r="B139" s="51">
        <f>VLOOKUP($A139,'Выгр Кат'!$A:$R,B$1,0)</f>
        <v>4377</v>
      </c>
      <c r="C139" s="56" t="str">
        <f>VLOOKUP($A139,'Выгр Кат'!$A:$R,C$1,0)</f>
        <v>Датчик дождя ДДА 25 для ВАЗ (2113, 2114, 2115), Лада (Калина, Приора, Гранта лифтбек (в комплектации норма, норма+))</v>
      </c>
      <c r="D139" s="51" t="str">
        <f>VLOOKUP($A139,'Выгр Кат'!$A:$R,D$1,0)</f>
        <v>Y</v>
      </c>
      <c r="E139" s="51" t="str">
        <f>VLOOKUP($A139,'Выгр Кат'!$A:$R,E$1,0)</f>
        <v>1</v>
      </c>
      <c r="F139" s="51">
        <f>VLOOKUP($A139,'Выгр Кат'!$A:$R,F$1,0)</f>
        <v>0</v>
      </c>
      <c r="G139" s="51" t="s">
        <v>42</v>
      </c>
      <c r="H139" s="77" t="s">
        <v>527</v>
      </c>
      <c r="I139" s="26">
        <f>VLOOKUP(G139,ПРАЙС!B:C,2,0)</f>
        <v>2550</v>
      </c>
      <c r="J139" s="78">
        <f>VLOOKUP(I139,Наценка!$A$2:$B$9,2,1)</f>
        <v>1.29</v>
      </c>
      <c r="K139" s="64">
        <f>X139*1.05</f>
        <v>3979.5</v>
      </c>
      <c r="L139" s="80">
        <f t="shared" si="42"/>
        <v>3990</v>
      </c>
      <c r="M139" s="51">
        <f>VLOOKUP($A139,'Выгр Кат'!$A:$R,M$1,0)</f>
        <v>2550</v>
      </c>
      <c r="N139" s="51">
        <f>VLOOKUP($A139,'Выгр Кат'!$A:$R,N$1,0)</f>
        <v>3990</v>
      </c>
      <c r="O139" s="25">
        <f t="shared" si="40"/>
        <v>0</v>
      </c>
      <c r="P139" s="25">
        <f t="shared" si="41"/>
        <v>0</v>
      </c>
      <c r="Q139" s="1">
        <f t="shared" si="43"/>
        <v>3710.7</v>
      </c>
      <c r="R139" s="5">
        <f>IFERROR((VLOOKUP($A139,'Из ГУГЛа'!$B:$G,6,0)+T139)*S139,VLOOKUP($A139,'Из ГУГЛа'!$B:$G,6,0))</f>
        <v>3790</v>
      </c>
      <c r="S139" s="4">
        <v>1</v>
      </c>
      <c r="T139" s="4">
        <v>0</v>
      </c>
      <c r="U139" s="58">
        <f t="shared" si="44"/>
        <v>0.45517647058823529</v>
      </c>
      <c r="V139" s="58">
        <f t="shared" si="45"/>
        <v>2.0923482849604269E-2</v>
      </c>
      <c r="W139" s="58">
        <f t="shared" si="46"/>
        <v>0.48627450980392162</v>
      </c>
      <c r="X139" s="156">
        <v>3790</v>
      </c>
      <c r="Y139" s="44" t="s">
        <v>770</v>
      </c>
    </row>
    <row r="140" spans="1:25" ht="30.75" thickTop="1" x14ac:dyDescent="0.25">
      <c r="A140" s="51">
        <v>138708</v>
      </c>
      <c r="B140" s="51">
        <f>VLOOKUP($A140,'Выгр Кат'!$A:$R,B$1,0)</f>
        <v>7094</v>
      </c>
      <c r="C140" s="56" t="str">
        <f>VLOOKUP($A140,'Выгр Кат'!$A:$R,C$1,0)</f>
        <v>Бортовой компьютер Штат Unicomp-404ML на Daewoo</v>
      </c>
      <c r="D140" s="51" t="str">
        <f>VLOOKUP($A140,'Выгр Кат'!$A:$R,D$1,0)</f>
        <v>Y</v>
      </c>
      <c r="E140" s="51" t="str">
        <f>VLOOKUP($A140,'Выгр Кат'!$A:$R,E$1,0)</f>
        <v>0</v>
      </c>
      <c r="F140" s="51">
        <f>VLOOKUP($A140,'Выгр Кат'!$A:$R,F$1,0)</f>
        <v>0</v>
      </c>
      <c r="G140" s="51" t="s">
        <v>18</v>
      </c>
      <c r="H140" s="77" t="s">
        <v>527</v>
      </c>
      <c r="I140" s="2">
        <f>M140</f>
        <v>2300</v>
      </c>
      <c r="J140" s="78">
        <f>VLOOKUP(I140,Наценка!$A$2:$B$9,2,1)</f>
        <v>1.29</v>
      </c>
      <c r="K140" s="79">
        <f t="shared" ref="K140:K189" si="50">I140*J140</f>
        <v>2967</v>
      </c>
      <c r="L140" s="80">
        <f t="shared" si="42"/>
        <v>2990</v>
      </c>
      <c r="M140" s="51">
        <f>VLOOKUP($A140,'Выгр Кат'!$A:$R,M$1,0)</f>
        <v>2300</v>
      </c>
      <c r="N140" s="51">
        <f>VLOOKUP($A140,'Выгр Кат'!$A:$R,N$1,0)</f>
        <v>2990</v>
      </c>
      <c r="O140" s="25">
        <f t="shared" si="40"/>
        <v>0</v>
      </c>
      <c r="P140" s="25">
        <f t="shared" si="41"/>
        <v>0</v>
      </c>
      <c r="Q140" s="1">
        <f t="shared" si="43"/>
        <v>2780.7</v>
      </c>
      <c r="R140" s="5" t="str">
        <f>IFERROR((VLOOKUP($A140,'Из ГУГЛа'!$B:$G,6,0)+T140)*S140,VLOOKUP($A140,'Из ГУГЛа'!$B:$G,6,0))</f>
        <v/>
      </c>
      <c r="S140" s="4">
        <v>1</v>
      </c>
      <c r="T140" s="4">
        <v>0</v>
      </c>
      <c r="U140" s="58">
        <f t="shared" si="44"/>
        <v>0.20899999999999985</v>
      </c>
      <c r="V140" s="58" t="str">
        <f t="shared" si="45"/>
        <v/>
      </c>
      <c r="W140" s="58" t="str">
        <f t="shared" si="46"/>
        <v/>
      </c>
      <c r="X140" s="154"/>
    </row>
    <row r="141" spans="1:25" ht="15.75" thickBot="1" x14ac:dyDescent="0.3">
      <c r="A141" s="51">
        <v>201307</v>
      </c>
      <c r="B141" s="51">
        <f>VLOOKUP($A141,'Выгр Кат'!$A:$R,B$1,0)</f>
        <v>7257</v>
      </c>
      <c r="C141" s="56" t="str">
        <f>VLOOKUP($A141,'Выгр Кат'!$A:$R,C$1,0)</f>
        <v>Программатор одометров ПО-4</v>
      </c>
      <c r="D141" s="51" t="str">
        <f>VLOOKUP($A141,'Выгр Кат'!$A:$R,D$1,0)</f>
        <v>Y</v>
      </c>
      <c r="E141" s="51" t="str">
        <f>VLOOKUP($A141,'Выгр Кат'!$A:$R,E$1,0)</f>
        <v>1</v>
      </c>
      <c r="F141" s="51">
        <f>VLOOKUP($A141,'Выгр Кат'!$A:$R,F$1,0)</f>
        <v>0</v>
      </c>
      <c r="G141" s="51" t="s">
        <v>492</v>
      </c>
      <c r="H141" s="77" t="s">
        <v>527</v>
      </c>
      <c r="I141" s="26">
        <f>VLOOKUP(G141,ПРАЙС!B:C,2,0)</f>
        <v>2500</v>
      </c>
      <c r="J141" s="78">
        <f>VLOOKUP(I141,Наценка!$A$2:$B$9,2,1)</f>
        <v>1.29</v>
      </c>
      <c r="K141" s="64">
        <f t="shared" ref="K141:K144" si="51">X141*1.06</f>
        <v>3487.4</v>
      </c>
      <c r="L141" s="80">
        <f t="shared" si="42"/>
        <v>3490</v>
      </c>
      <c r="M141" s="51">
        <f>VLOOKUP($A141,'Выгр Кат'!$A:$R,M$1,0)</f>
        <v>2400</v>
      </c>
      <c r="N141" s="51">
        <f>VLOOKUP($A141,'Выгр Кат'!$A:$R,N$1,0)</f>
        <v>3490</v>
      </c>
      <c r="O141" s="25">
        <f t="shared" si="40"/>
        <v>-100</v>
      </c>
      <c r="P141" s="25">
        <f t="shared" si="41"/>
        <v>0</v>
      </c>
      <c r="Q141" s="1">
        <f t="shared" si="43"/>
        <v>3245.7</v>
      </c>
      <c r="R141" s="5">
        <f>IFERROR((VLOOKUP($A141,'Из ГУГЛа'!$B:$G,6,0)+T141)*S141,VLOOKUP($A141,'Из ГУГЛа'!$B:$G,6,0))</f>
        <v>3290</v>
      </c>
      <c r="S141" s="4">
        <v>1</v>
      </c>
      <c r="T141" s="4">
        <v>0</v>
      </c>
      <c r="U141" s="58">
        <f t="shared" si="44"/>
        <v>0.29827999999999988</v>
      </c>
      <c r="V141" s="58">
        <f t="shared" si="45"/>
        <v>1.3465045592705222E-2</v>
      </c>
      <c r="W141" s="58">
        <f t="shared" si="46"/>
        <v>0.31600000000000006</v>
      </c>
      <c r="X141" s="156">
        <v>3290</v>
      </c>
      <c r="Y141" s="44" t="s">
        <v>846</v>
      </c>
    </row>
    <row r="142" spans="1:25" ht="31.5" thickTop="1" thickBot="1" x14ac:dyDescent="0.3">
      <c r="A142" s="51">
        <v>141975</v>
      </c>
      <c r="B142" s="51">
        <f>VLOOKUP($A142,'Выгр Кат'!$A:$R,B$1,0)</f>
        <v>4381</v>
      </c>
      <c r="C142" s="56" t="str">
        <f>VLOOKUP($A142,'Выгр Кат'!$A:$R,C$1,0)</f>
        <v>Датчик дождя ДДА15 для ВАЗ 2108-15, 2110-12, Шеви Нива</v>
      </c>
      <c r="D142" s="51" t="str">
        <f>VLOOKUP($A142,'Выгр Кат'!$A:$R,D$1,0)</f>
        <v>Y</v>
      </c>
      <c r="E142" s="51" t="str">
        <f>VLOOKUP($A142,'Выгр Кат'!$A:$R,E$1,0)</f>
        <v>1</v>
      </c>
      <c r="F142" s="51">
        <f>VLOOKUP($A142,'Выгр Кат'!$A:$R,F$1,0)</f>
        <v>0</v>
      </c>
      <c r="G142" s="51" t="s">
        <v>926</v>
      </c>
      <c r="H142" s="77" t="s">
        <v>527</v>
      </c>
      <c r="I142" s="26">
        <f>VLOOKUP(G142,ПРАЙС!B:C,2,0)</f>
        <v>2780</v>
      </c>
      <c r="J142" s="78">
        <f>VLOOKUP(I142,Наценка!$A$2:$B$9,2,1)</f>
        <v>1.29</v>
      </c>
      <c r="K142" s="64">
        <f t="shared" ref="K142:K143" si="52">X142*1.05</f>
        <v>3769.5</v>
      </c>
      <c r="L142" s="80">
        <f t="shared" si="42"/>
        <v>3790</v>
      </c>
      <c r="M142" s="51">
        <f>VLOOKUP($A142,'Выгр Кат'!$A:$R,M$1,0)</f>
        <v>2780</v>
      </c>
      <c r="N142" s="51">
        <f>VLOOKUP($A142,'Выгр Кат'!$A:$R,N$1,0)</f>
        <v>3790</v>
      </c>
      <c r="O142" s="25">
        <f t="shared" si="40"/>
        <v>0</v>
      </c>
      <c r="P142" s="25">
        <f t="shared" si="41"/>
        <v>0</v>
      </c>
      <c r="Q142" s="1">
        <f t="shared" si="43"/>
        <v>3524.7</v>
      </c>
      <c r="R142" s="5">
        <f>IFERROR((VLOOKUP($A142,'Из ГУГЛа'!$B:$G,6,0)+T142)*S142,VLOOKUP($A142,'Из ГУГЛа'!$B:$G,6,0))</f>
        <v>3590</v>
      </c>
      <c r="S142" s="4">
        <v>1</v>
      </c>
      <c r="T142" s="4">
        <v>0</v>
      </c>
      <c r="U142" s="58">
        <f t="shared" si="44"/>
        <v>0.26787769784172655</v>
      </c>
      <c r="V142" s="58">
        <f t="shared" si="45"/>
        <v>1.8189415041782779E-2</v>
      </c>
      <c r="W142" s="58">
        <f t="shared" si="46"/>
        <v>0.29136690647482011</v>
      </c>
      <c r="X142" s="156">
        <v>3590</v>
      </c>
      <c r="Y142" s="44" t="s">
        <v>855</v>
      </c>
    </row>
    <row r="143" spans="1:25" ht="31.5" thickTop="1" thickBot="1" x14ac:dyDescent="0.3">
      <c r="A143" s="51">
        <v>201032</v>
      </c>
      <c r="B143" s="51">
        <f>VLOOKUP($A143,'Выгр Кат'!$A:$R,B$1,0)</f>
        <v>7226</v>
      </c>
      <c r="C143" s="56" t="str">
        <f>VLOOKUP($A143,'Выгр Кат'!$A:$R,C$1,0)</f>
        <v>Преобразователь напряжения повышающий 12/24 Орион ПН-50 10А</v>
      </c>
      <c r="D143" s="51" t="str">
        <f>VLOOKUP($A143,'Выгр Кат'!$A:$R,D$1,0)</f>
        <v>Y</v>
      </c>
      <c r="E143" s="51" t="str">
        <f>VLOOKUP($A143,'Выгр Кат'!$A:$R,E$1,0)</f>
        <v>1</v>
      </c>
      <c r="F143" s="51">
        <f>VLOOKUP($A143,'Выгр Кат'!$A:$R,F$1,0)</f>
        <v>0</v>
      </c>
      <c r="G143" s="51" t="s">
        <v>518</v>
      </c>
      <c r="H143" s="77" t="s">
        <v>527</v>
      </c>
      <c r="I143" s="26">
        <f>VLOOKUP(G143,ПРАЙС!B:C,2,0)</f>
        <v>2850</v>
      </c>
      <c r="J143" s="78">
        <f>VLOOKUP(I143,Наценка!$A$2:$B$9,2,1)</f>
        <v>1.29</v>
      </c>
      <c r="K143" s="64">
        <f t="shared" si="52"/>
        <v>3874.5</v>
      </c>
      <c r="L143" s="80">
        <f t="shared" si="42"/>
        <v>3890</v>
      </c>
      <c r="M143" s="51">
        <f>VLOOKUP($A143,'Выгр Кат'!$A:$R,M$1,0)</f>
        <v>2850</v>
      </c>
      <c r="N143" s="51">
        <f>VLOOKUP($A143,'Выгр Кат'!$A:$R,N$1,0)</f>
        <v>3890</v>
      </c>
      <c r="O143" s="25">
        <f t="shared" si="40"/>
        <v>0</v>
      </c>
      <c r="P143" s="25">
        <f t="shared" si="41"/>
        <v>0</v>
      </c>
      <c r="Q143" s="1">
        <f t="shared" si="43"/>
        <v>3617.7</v>
      </c>
      <c r="R143" s="5">
        <f>IFERROR((VLOOKUP($A143,'Из ГУГЛа'!$B:$G,6,0)+T143)*S143,VLOOKUP($A143,'Из ГУГЛа'!$B:$G,6,0))</f>
        <v>3690</v>
      </c>
      <c r="S143" s="4">
        <v>1</v>
      </c>
      <c r="T143" s="4">
        <v>0</v>
      </c>
      <c r="U143" s="58">
        <f t="shared" si="44"/>
        <v>0.26936842105263148</v>
      </c>
      <c r="V143" s="58">
        <f t="shared" si="45"/>
        <v>1.9593495934959401E-2</v>
      </c>
      <c r="W143" s="58">
        <f t="shared" si="46"/>
        <v>0.29473684210526319</v>
      </c>
      <c r="X143" s="156">
        <v>3690</v>
      </c>
      <c r="Y143" s="44" t="s">
        <v>776</v>
      </c>
    </row>
    <row r="144" spans="1:25" ht="46.5" thickTop="1" thickBot="1" x14ac:dyDescent="0.3">
      <c r="A144" s="51">
        <v>164008</v>
      </c>
      <c r="B144" s="51">
        <f>VLOOKUP($A144,'Выгр Кат'!$A:$R,B$1,0)</f>
        <v>20283</v>
      </c>
      <c r="C144" s="56" t="str">
        <f>VLOOKUP($A144,'Выгр Кат'!$A:$R,C$1,0)</f>
        <v>Модуль автоматического контроллера стеклоподъёмников "МАКС-2" для Лада Веста</v>
      </c>
      <c r="D144" s="51" t="str">
        <f>VLOOKUP($A144,'Выгр Кат'!$A:$R,D$1,0)</f>
        <v>Y</v>
      </c>
      <c r="E144" s="51" t="str">
        <f>VLOOKUP($A144,'Выгр Кат'!$A:$R,E$1,0)</f>
        <v>1</v>
      </c>
      <c r="F144" s="51">
        <f>VLOOKUP($A144,'Выгр Кат'!$A:$R,F$1,0)</f>
        <v>0</v>
      </c>
      <c r="G144" s="51" t="s">
        <v>498</v>
      </c>
      <c r="H144" s="77" t="s">
        <v>527</v>
      </c>
      <c r="I144" s="26">
        <f>VLOOKUP(G144,ПРАЙС!B:C,2,0)</f>
        <v>2550</v>
      </c>
      <c r="J144" s="78">
        <f>VLOOKUP(I144,Наценка!$A$2:$B$9,2,1)</f>
        <v>1.29</v>
      </c>
      <c r="K144" s="64">
        <f t="shared" si="51"/>
        <v>3593.4</v>
      </c>
      <c r="L144" s="80">
        <f t="shared" si="42"/>
        <v>3590</v>
      </c>
      <c r="M144" s="51">
        <f>VLOOKUP($A144,'Выгр Кат'!$A:$R,M$1,0)</f>
        <v>2500</v>
      </c>
      <c r="N144" s="51">
        <f>VLOOKUP($A144,'Выгр Кат'!$A:$R,N$1,0)</f>
        <v>3590</v>
      </c>
      <c r="O144" s="25">
        <f t="shared" si="40"/>
        <v>-50</v>
      </c>
      <c r="P144" s="25">
        <f t="shared" si="41"/>
        <v>0</v>
      </c>
      <c r="Q144" s="1">
        <f t="shared" si="43"/>
        <v>3338.7</v>
      </c>
      <c r="R144" s="5">
        <f>IFERROR((VLOOKUP($A144,'Из ГУГЛа'!$B:$G,6,0)+T144)*S144,VLOOKUP($A144,'Из ГУГЛа'!$B:$G,6,0))</f>
        <v>3390</v>
      </c>
      <c r="S144" s="4">
        <v>1</v>
      </c>
      <c r="T144" s="4">
        <v>0</v>
      </c>
      <c r="U144" s="58">
        <f t="shared" si="44"/>
        <v>0.30929411764705872</v>
      </c>
      <c r="V144" s="58">
        <f t="shared" si="45"/>
        <v>1.5132743362831913E-2</v>
      </c>
      <c r="W144" s="58">
        <f t="shared" si="46"/>
        <v>0.32941176470588229</v>
      </c>
      <c r="X144" s="156">
        <v>3390</v>
      </c>
      <c r="Y144" s="44" t="s">
        <v>847</v>
      </c>
    </row>
    <row r="145" spans="1:25" ht="16.5" thickTop="1" thickBot="1" x14ac:dyDescent="0.3">
      <c r="A145" s="51">
        <v>141970</v>
      </c>
      <c r="B145" s="51">
        <f>VLOOKUP($A145,'Выгр Кат'!$A:$R,B$1,0)</f>
        <v>13094</v>
      </c>
      <c r="C145" s="56" t="str">
        <f>VLOOKUP($A145,'Выгр Кат'!$A:$R,C$1,0)</f>
        <v>Датчик дождя автомобильный ДДА-55</v>
      </c>
      <c r="D145" s="51" t="str">
        <f>VLOOKUP($A145,'Выгр Кат'!$A:$R,D$1,0)</f>
        <v>Y</v>
      </c>
      <c r="E145" s="51" t="str">
        <f>VLOOKUP($A145,'Выгр Кат'!$A:$R,E$1,0)</f>
        <v>1</v>
      </c>
      <c r="F145" s="51">
        <f>VLOOKUP($A145,'Выгр Кат'!$A:$R,F$1,0)</f>
        <v>0</v>
      </c>
      <c r="G145" s="51" t="s">
        <v>45</v>
      </c>
      <c r="H145" s="77" t="s">
        <v>527</v>
      </c>
      <c r="I145" s="26">
        <f>VLOOKUP(G145,ПРАЙС!B:C,2,0)</f>
        <v>2880</v>
      </c>
      <c r="J145" s="78">
        <f>VLOOKUP(I145,Наценка!$A$2:$B$9,2,1)</f>
        <v>1.29</v>
      </c>
      <c r="K145" s="64">
        <f>X145*1.05</f>
        <v>3874.5</v>
      </c>
      <c r="L145" s="80">
        <f t="shared" si="42"/>
        <v>3890</v>
      </c>
      <c r="M145" s="51">
        <f>VLOOKUP($A145,'Выгр Кат'!$A:$R,M$1,0)</f>
        <v>2880</v>
      </c>
      <c r="N145" s="51">
        <f>VLOOKUP($A145,'Выгр Кат'!$A:$R,N$1,0)</f>
        <v>3890</v>
      </c>
      <c r="O145" s="25">
        <f t="shared" si="40"/>
        <v>0</v>
      </c>
      <c r="P145" s="25">
        <f t="shared" si="41"/>
        <v>0</v>
      </c>
      <c r="Q145" s="1">
        <f t="shared" si="43"/>
        <v>3617.7</v>
      </c>
      <c r="R145" s="5">
        <f>IFERROR((VLOOKUP($A145,'Из ГУГЛа'!$B:$G,6,0)+T145)*S145,VLOOKUP($A145,'Из ГУГЛа'!$B:$G,6,0))</f>
        <v>3690</v>
      </c>
      <c r="S145" s="4">
        <v>1</v>
      </c>
      <c r="T145" s="4">
        <v>0</v>
      </c>
      <c r="U145" s="58">
        <f t="shared" si="44"/>
        <v>0.25614583333333329</v>
      </c>
      <c r="V145" s="58">
        <f t="shared" si="45"/>
        <v>1.9593495934959401E-2</v>
      </c>
      <c r="W145" s="58">
        <f t="shared" si="46"/>
        <v>0.28125</v>
      </c>
      <c r="X145" s="156">
        <v>3690</v>
      </c>
      <c r="Y145" s="44" t="s">
        <v>946</v>
      </c>
    </row>
    <row r="146" spans="1:25" ht="30.75" thickTop="1" x14ac:dyDescent="0.25">
      <c r="A146" s="51">
        <v>138662</v>
      </c>
      <c r="B146" s="51">
        <f>VLOOKUP($A146,'Выгр Кат'!$A:$R,B$1,0)</f>
        <v>7059</v>
      </c>
      <c r="C146" s="56" t="str">
        <f>VLOOKUP($A146,'Выгр Кат'!$A:$R,C$1,0)</f>
        <v>Бортовой компьютер Multitronics Comfort X115 на Lada 2108-15</v>
      </c>
      <c r="D146" s="51" t="str">
        <f>VLOOKUP($A146,'Выгр Кат'!$A:$R,D$1,0)</f>
        <v>Y</v>
      </c>
      <c r="E146" s="51" t="str">
        <f>VLOOKUP($A146,'Выгр Кат'!$A:$R,E$1,0)</f>
        <v>0</v>
      </c>
      <c r="F146" s="51">
        <f>VLOOKUP($A146,'Выгр Кат'!$A:$R,F$1,0)</f>
        <v>0</v>
      </c>
      <c r="G146" s="51" t="s">
        <v>68</v>
      </c>
      <c r="H146" s="77" t="s">
        <v>527</v>
      </c>
      <c r="I146" s="2">
        <f>M146</f>
        <v>2600</v>
      </c>
      <c r="J146" s="78">
        <f>VLOOKUP(I146,Наценка!$A$2:$B$9,2,1)</f>
        <v>1.29</v>
      </c>
      <c r="K146" s="79">
        <f t="shared" si="50"/>
        <v>3354</v>
      </c>
      <c r="L146" s="80">
        <f t="shared" si="42"/>
        <v>3390</v>
      </c>
      <c r="M146" s="51">
        <f>VLOOKUP($A146,'Выгр Кат'!$A:$R,M$1,0)</f>
        <v>2600</v>
      </c>
      <c r="N146" s="51">
        <f>VLOOKUP($A146,'Выгр Кат'!$A:$R,N$1,0)</f>
        <v>3390</v>
      </c>
      <c r="O146" s="25">
        <f t="shared" si="40"/>
        <v>0</v>
      </c>
      <c r="P146" s="25">
        <f t="shared" si="41"/>
        <v>0</v>
      </c>
      <c r="Q146" s="1">
        <f t="shared" si="43"/>
        <v>3152.7</v>
      </c>
      <c r="R146" s="5" t="str">
        <f>IFERROR((VLOOKUP($A146,'Из ГУГЛа'!$B:$G,6,0)+T146)*S146,VLOOKUP($A146,'Из ГУГЛа'!$B:$G,6,0))</f>
        <v/>
      </c>
      <c r="S146" s="4">
        <v>1</v>
      </c>
      <c r="T146" s="4">
        <v>0</v>
      </c>
      <c r="U146" s="58">
        <f t="shared" si="44"/>
        <v>0.212576923076923</v>
      </c>
      <c r="V146" s="58" t="str">
        <f t="shared" si="45"/>
        <v/>
      </c>
      <c r="W146" s="58" t="str">
        <f t="shared" si="46"/>
        <v/>
      </c>
      <c r="X146" s="154"/>
    </row>
    <row r="147" spans="1:25" ht="30.75" thickBot="1" x14ac:dyDescent="0.3">
      <c r="A147" s="51">
        <v>143690</v>
      </c>
      <c r="B147" s="51">
        <f>VLOOKUP($A147,'Выгр Кат'!$A:$R,B$1,0)</f>
        <v>7177</v>
      </c>
      <c r="C147" s="56" t="str">
        <f>VLOOKUP($A147,'Выгр Кат'!$A:$R,C$1,0)</f>
        <v>Диагностический сканер тестер Штат ДСТ-Мини для автомобилей Lada</v>
      </c>
      <c r="D147" s="51" t="str">
        <f>VLOOKUP($A147,'Выгр Кат'!$A:$R,D$1,0)</f>
        <v>Y</v>
      </c>
      <c r="E147" s="51" t="str">
        <f>VLOOKUP($A147,'Выгр Кат'!$A:$R,E$1,0)</f>
        <v>1</v>
      </c>
      <c r="F147" s="51">
        <f>VLOOKUP($A147,'Выгр Кат'!$A:$R,F$1,0)</f>
        <v>0</v>
      </c>
      <c r="G147" s="51" t="s">
        <v>15</v>
      </c>
      <c r="H147" s="77" t="s">
        <v>527</v>
      </c>
      <c r="I147" s="26">
        <f>VLOOKUP(G147,ПРАЙС!B:C,2,0)</f>
        <v>1900</v>
      </c>
      <c r="J147" s="78">
        <f>VLOOKUP(I147,Наценка!$A$2:$B$9,2,1)</f>
        <v>1.4</v>
      </c>
      <c r="K147" s="65">
        <f t="shared" ref="K147" si="53">X147*1.07</f>
        <v>3199.3</v>
      </c>
      <c r="L147" s="80">
        <f t="shared" si="42"/>
        <v>3190</v>
      </c>
      <c r="M147" s="51">
        <f>VLOOKUP($A147,'Выгр Кат'!$A:$R,M$1,0)</f>
        <v>1900</v>
      </c>
      <c r="N147" s="51">
        <f>VLOOKUP($A147,'Выгр Кат'!$A:$R,N$1,0)</f>
        <v>3190</v>
      </c>
      <c r="O147" s="25">
        <f t="shared" si="40"/>
        <v>0</v>
      </c>
      <c r="P147" s="25">
        <f t="shared" si="41"/>
        <v>0</v>
      </c>
      <c r="Q147" s="1">
        <f t="shared" si="43"/>
        <v>2966.7</v>
      </c>
      <c r="R147" s="5">
        <f>IFERROR((VLOOKUP($A147,'Из ГУГЛа'!$B:$G,6,0)+T147)*S147,VLOOKUP($A147,'Из ГУГЛа'!$B:$G,6,0))</f>
        <v>2990</v>
      </c>
      <c r="S147" s="4">
        <v>1</v>
      </c>
      <c r="T147" s="4">
        <v>0</v>
      </c>
      <c r="U147" s="58">
        <f t="shared" si="44"/>
        <v>0.56142105263157882</v>
      </c>
      <c r="V147" s="58">
        <f t="shared" si="45"/>
        <v>7.7926421404682878E-3</v>
      </c>
      <c r="W147" s="58">
        <f t="shared" si="46"/>
        <v>0.5736842105263158</v>
      </c>
      <c r="X147" s="156">
        <v>2990</v>
      </c>
      <c r="Y147" s="44" t="s">
        <v>823</v>
      </c>
    </row>
    <row r="148" spans="1:25" ht="16.5" thickTop="1" thickBot="1" x14ac:dyDescent="0.3">
      <c r="A148" s="51">
        <v>224671</v>
      </c>
      <c r="B148" s="51">
        <f>VLOOKUP($A148,'Выгр Кат'!$A:$R,B$1,0)</f>
        <v>7254</v>
      </c>
      <c r="C148" s="56" t="str">
        <f>VLOOKUP($A148,'Выгр Кат'!$A:$R,C$1,0)</f>
        <v>Цифровая нагрузочная вилка НВ-03</v>
      </c>
      <c r="D148" s="51" t="str">
        <f>VLOOKUP($A148,'Выгр Кат'!$A:$R,D$1,0)</f>
        <v>Y</v>
      </c>
      <c r="E148" s="51" t="str">
        <f>VLOOKUP($A148,'Выгр Кат'!$A:$R,E$1,0)</f>
        <v>1</v>
      </c>
      <c r="F148" s="51">
        <f>VLOOKUP($A148,'Выгр Кат'!$A:$R,F$1,0)</f>
        <v>0</v>
      </c>
      <c r="G148" s="51" t="s">
        <v>191</v>
      </c>
      <c r="H148" s="77" t="s">
        <v>527</v>
      </c>
      <c r="I148" s="26">
        <f>VLOOKUP(G148,ПРАЙС!B:C,2,0)</f>
        <v>3050</v>
      </c>
      <c r="J148" s="78">
        <f>VLOOKUP(I148,Наценка!$A$2:$B$9,2,1)</f>
        <v>1.29</v>
      </c>
      <c r="K148" s="64">
        <f t="shared" ref="K148:K153" si="54">X148*1.05</f>
        <v>4189.5</v>
      </c>
      <c r="L148" s="80">
        <f t="shared" si="42"/>
        <v>4190</v>
      </c>
      <c r="M148" s="51">
        <f>VLOOKUP($A148,'Выгр Кат'!$A:$R,M$1,0)</f>
        <v>3050</v>
      </c>
      <c r="N148" s="51">
        <f>VLOOKUP($A148,'Выгр Кат'!$A:$R,N$1,0)</f>
        <v>4190</v>
      </c>
      <c r="O148" s="25">
        <f t="shared" si="40"/>
        <v>0</v>
      </c>
      <c r="P148" s="25">
        <f t="shared" si="41"/>
        <v>0</v>
      </c>
      <c r="Q148" s="1">
        <f t="shared" si="43"/>
        <v>3896.7</v>
      </c>
      <c r="R148" s="5">
        <f>IFERROR((VLOOKUP($A148,'Из ГУГЛа'!$B:$G,6,0)+T148)*S148,VLOOKUP($A148,'Из ГУГЛа'!$B:$G,6,0))</f>
        <v>3990</v>
      </c>
      <c r="S148" s="4">
        <v>1</v>
      </c>
      <c r="T148" s="4">
        <v>0</v>
      </c>
      <c r="U148" s="58">
        <f t="shared" si="44"/>
        <v>0.2776065573770492</v>
      </c>
      <c r="V148" s="58">
        <f t="shared" si="45"/>
        <v>2.3383458646616586E-2</v>
      </c>
      <c r="W148" s="58">
        <f t="shared" si="46"/>
        <v>0.30819672131147535</v>
      </c>
      <c r="X148" s="156">
        <v>3990</v>
      </c>
      <c r="Y148" s="44" t="s">
        <v>945</v>
      </c>
    </row>
    <row r="149" spans="1:25" ht="31.5" thickTop="1" thickBot="1" x14ac:dyDescent="0.3">
      <c r="A149" s="51">
        <v>141974</v>
      </c>
      <c r="B149" s="51">
        <f>VLOOKUP($A149,'Выгр Кат'!$A:$R,B$1,0)</f>
        <v>4380</v>
      </c>
      <c r="C149" s="56" t="str">
        <f>VLOOKUP($A149,'Выгр Кат'!$A:$R,C$1,0)</f>
        <v>Датчик дождя ДДА-25.02 для ВАЗ (2108-21099, 2113-2115), Лада (Калина, Приора)</v>
      </c>
      <c r="D149" s="51" t="str">
        <f>VLOOKUP($A149,'Выгр Кат'!$A:$R,D$1,0)</f>
        <v>Y</v>
      </c>
      <c r="E149" s="51" t="str">
        <f>VLOOKUP($A149,'Выгр Кат'!$A:$R,E$1,0)</f>
        <v>1</v>
      </c>
      <c r="F149" s="51">
        <f>VLOOKUP($A149,'Выгр Кат'!$A:$R,F$1,0)</f>
        <v>0</v>
      </c>
      <c r="G149" s="51" t="s">
        <v>470</v>
      </c>
      <c r="H149" s="77" t="s">
        <v>527</v>
      </c>
      <c r="I149" s="26">
        <f>VLOOKUP(G149,ПРАЙС!B:C,2,0)</f>
        <v>2950</v>
      </c>
      <c r="J149" s="78">
        <f>VLOOKUP(I149,Наценка!$A$2:$B$9,2,1)</f>
        <v>1.29</v>
      </c>
      <c r="K149" s="64">
        <f t="shared" si="54"/>
        <v>3979.5</v>
      </c>
      <c r="L149" s="80">
        <f t="shared" si="42"/>
        <v>3990</v>
      </c>
      <c r="M149" s="51">
        <f>VLOOKUP($A149,'Выгр Кат'!$A:$R,M$1,0)</f>
        <v>2950</v>
      </c>
      <c r="N149" s="51">
        <f>VLOOKUP($A149,'Выгр Кат'!$A:$R,N$1,0)</f>
        <v>3990</v>
      </c>
      <c r="O149" s="25">
        <f t="shared" si="40"/>
        <v>0</v>
      </c>
      <c r="P149" s="25">
        <f t="shared" si="41"/>
        <v>0</v>
      </c>
      <c r="Q149" s="1">
        <f t="shared" si="43"/>
        <v>3710.7</v>
      </c>
      <c r="R149" s="5">
        <f>IFERROR((VLOOKUP($A149,'Из ГУГЛа'!$B:$G,6,0)+T149)*S149,VLOOKUP($A149,'Из ГУГЛа'!$B:$G,6,0))</f>
        <v>3790</v>
      </c>
      <c r="S149" s="4">
        <v>1</v>
      </c>
      <c r="T149" s="4">
        <v>0</v>
      </c>
      <c r="U149" s="58">
        <f t="shared" si="44"/>
        <v>0.25786440677966094</v>
      </c>
      <c r="V149" s="58">
        <f t="shared" si="45"/>
        <v>2.0923482849604269E-2</v>
      </c>
      <c r="W149" s="58">
        <f t="shared" si="46"/>
        <v>0.28474576271186436</v>
      </c>
      <c r="X149" s="156">
        <v>3790</v>
      </c>
      <c r="Y149" s="44" t="s">
        <v>770</v>
      </c>
    </row>
    <row r="150" spans="1:25" ht="16.5" thickTop="1" thickBot="1" x14ac:dyDescent="0.3">
      <c r="A150" s="51">
        <v>202283</v>
      </c>
      <c r="B150" s="51">
        <f>VLOOKUP($A150,'Выгр Кат'!$A:$R,B$1,0)</f>
        <v>10044</v>
      </c>
      <c r="C150" s="56" t="str">
        <f>VLOOKUP($A150,'Выгр Кат'!$A:$R,C$1,0)</f>
        <v>Радар-детектор Орион 525</v>
      </c>
      <c r="D150" s="51" t="str">
        <f>VLOOKUP($A150,'Выгр Кат'!$A:$R,D$1,0)</f>
        <v>Y</v>
      </c>
      <c r="E150" s="51" t="str">
        <f>VLOOKUP($A150,'Выгр Кат'!$A:$R,E$1,0)</f>
        <v>1</v>
      </c>
      <c r="F150" s="51">
        <f>VLOOKUP($A150,'Выгр Кат'!$A:$R,F$1,0)</f>
        <v>0</v>
      </c>
      <c r="G150" s="51" t="s">
        <v>621</v>
      </c>
      <c r="H150" s="77" t="s">
        <v>527</v>
      </c>
      <c r="I150" s="26">
        <f>VLOOKUP(G150,ПРАЙС!B:C,2,0)</f>
        <v>3100</v>
      </c>
      <c r="J150" s="78">
        <f>VLOOKUP(I150,Наценка!$A$2:$B$9,2,1)</f>
        <v>1.29</v>
      </c>
      <c r="K150" s="64">
        <f t="shared" si="54"/>
        <v>4189.5</v>
      </c>
      <c r="L150" s="80">
        <f t="shared" si="42"/>
        <v>4190</v>
      </c>
      <c r="M150" s="51">
        <f>VLOOKUP($A150,'Выгр Кат'!$A:$R,M$1,0)</f>
        <v>3100</v>
      </c>
      <c r="N150" s="51">
        <f>VLOOKUP($A150,'Выгр Кат'!$A:$R,N$1,0)</f>
        <v>4190</v>
      </c>
      <c r="O150" s="25">
        <f t="shared" si="40"/>
        <v>0</v>
      </c>
      <c r="P150" s="25">
        <f t="shared" si="41"/>
        <v>0</v>
      </c>
      <c r="Q150" s="1">
        <f t="shared" si="43"/>
        <v>3896.7</v>
      </c>
      <c r="R150" s="5">
        <f>IFERROR((VLOOKUP($A150,'Из ГУГЛа'!$B:$G,6,0)+T150)*S150,VLOOKUP($A150,'Из ГУГЛа'!$B:$G,6,0))</f>
        <v>3990</v>
      </c>
      <c r="S150" s="4">
        <v>1</v>
      </c>
      <c r="T150" s="4">
        <v>0</v>
      </c>
      <c r="U150" s="58">
        <f t="shared" si="44"/>
        <v>0.2569999999999999</v>
      </c>
      <c r="V150" s="58">
        <f t="shared" si="45"/>
        <v>2.3383458646616586E-2</v>
      </c>
      <c r="W150" s="58">
        <f t="shared" si="46"/>
        <v>0.2870967741935484</v>
      </c>
      <c r="X150" s="156">
        <v>3990</v>
      </c>
      <c r="Y150" s="44" t="s">
        <v>944</v>
      </c>
    </row>
    <row r="151" spans="1:25" ht="16.5" thickTop="1" thickBot="1" x14ac:dyDescent="0.3">
      <c r="A151" s="51">
        <v>219243</v>
      </c>
      <c r="B151" s="51">
        <f>VLOOKUP($A151,'Выгр Кат'!$A:$R,B$1,0)</f>
        <v>7266</v>
      </c>
      <c r="C151" s="56" t="str">
        <f>VLOOKUP($A151,'Выгр Кат'!$A:$R,C$1,0)</f>
        <v>Тестер форсунок ТФ-01</v>
      </c>
      <c r="D151" s="51" t="str">
        <f>VLOOKUP($A151,'Выгр Кат'!$A:$R,D$1,0)</f>
        <v>Y</v>
      </c>
      <c r="E151" s="51" t="str">
        <f>VLOOKUP($A151,'Выгр Кат'!$A:$R,E$1,0)</f>
        <v>1</v>
      </c>
      <c r="F151" s="51">
        <f>VLOOKUP($A151,'Выгр Кат'!$A:$R,F$1,0)</f>
        <v>0</v>
      </c>
      <c r="G151" s="51" t="s">
        <v>496</v>
      </c>
      <c r="H151" s="77" t="s">
        <v>527</v>
      </c>
      <c r="I151" s="26">
        <f>VLOOKUP(G151,ПРАЙС!B:C,2,0)</f>
        <v>2900</v>
      </c>
      <c r="J151" s="78">
        <f>VLOOKUP(I151,Наценка!$A$2:$B$9,2,1)</f>
        <v>1.29</v>
      </c>
      <c r="K151" s="64">
        <f t="shared" si="54"/>
        <v>3874.5</v>
      </c>
      <c r="L151" s="80">
        <f t="shared" si="42"/>
        <v>3890</v>
      </c>
      <c r="M151" s="51">
        <f>VLOOKUP($A151,'Выгр Кат'!$A:$R,M$1,0)</f>
        <v>2900</v>
      </c>
      <c r="N151" s="51">
        <f>VLOOKUP($A151,'Выгр Кат'!$A:$R,N$1,0)</f>
        <v>3890</v>
      </c>
      <c r="O151" s="25">
        <f t="shared" si="40"/>
        <v>0</v>
      </c>
      <c r="P151" s="25">
        <f t="shared" si="41"/>
        <v>0</v>
      </c>
      <c r="Q151" s="1">
        <f t="shared" si="43"/>
        <v>3617.7</v>
      </c>
      <c r="R151" s="5">
        <f>IFERROR((VLOOKUP($A151,'Из ГУГЛа'!$B:$G,6,0)+T151)*S151,VLOOKUP($A151,'Из ГУГЛа'!$B:$G,6,0))</f>
        <v>3690</v>
      </c>
      <c r="S151" s="4">
        <v>1</v>
      </c>
      <c r="T151" s="4">
        <v>0</v>
      </c>
      <c r="U151" s="58">
        <f t="shared" si="44"/>
        <v>0.24748275862068958</v>
      </c>
      <c r="V151" s="58">
        <f t="shared" si="45"/>
        <v>1.9593495934959401E-2</v>
      </c>
      <c r="W151" s="58">
        <f t="shared" si="46"/>
        <v>0.27241379310344827</v>
      </c>
      <c r="X151" s="156">
        <v>3690</v>
      </c>
      <c r="Y151" s="44" t="s">
        <v>851</v>
      </c>
    </row>
    <row r="152" spans="1:25" ht="31.5" thickTop="1" thickBot="1" x14ac:dyDescent="0.3">
      <c r="A152" s="51">
        <v>141976</v>
      </c>
      <c r="B152" s="51">
        <f>VLOOKUP($A152,'Выгр Кат'!$A:$R,B$1,0)</f>
        <v>17931</v>
      </c>
      <c r="C152" s="56" t="str">
        <f>VLOOKUP($A152,'Выгр Кат'!$A:$R,C$1,0)</f>
        <v>Датчик дождя и света ДДА-65 для Лада Ларгус</v>
      </c>
      <c r="D152" s="51" t="str">
        <f>VLOOKUP($A152,'Выгр Кат'!$A:$R,D$1,0)</f>
        <v>Y</v>
      </c>
      <c r="E152" s="51" t="str">
        <f>VLOOKUP($A152,'Выгр Кат'!$A:$R,E$1,0)</f>
        <v>1</v>
      </c>
      <c r="F152" s="51">
        <f>VLOOKUP($A152,'Выгр Кат'!$A:$R,F$1,0)</f>
        <v>0</v>
      </c>
      <c r="G152" s="51" t="s">
        <v>158</v>
      </c>
      <c r="H152" s="77" t="s">
        <v>527</v>
      </c>
      <c r="I152" s="26">
        <f>VLOOKUP(G152,ПРАЙС!B:C,2,0)</f>
        <v>3200</v>
      </c>
      <c r="J152" s="78">
        <f>VLOOKUP(I152,Наценка!$A$2:$B$9,2,1)</f>
        <v>1.29</v>
      </c>
      <c r="K152" s="64">
        <f t="shared" si="54"/>
        <v>4399.5</v>
      </c>
      <c r="L152" s="80">
        <f t="shared" si="42"/>
        <v>4390</v>
      </c>
      <c r="M152" s="51">
        <f>VLOOKUP($A152,'Выгр Кат'!$A:$R,M$1,0)</f>
        <v>3200</v>
      </c>
      <c r="N152" s="51">
        <f>VLOOKUP($A152,'Выгр Кат'!$A:$R,N$1,0)</f>
        <v>4390</v>
      </c>
      <c r="O152" s="25">
        <f t="shared" si="40"/>
        <v>0</v>
      </c>
      <c r="P152" s="25">
        <f t="shared" si="41"/>
        <v>0</v>
      </c>
      <c r="Q152" s="1">
        <f t="shared" si="43"/>
        <v>4082.7</v>
      </c>
      <c r="R152" s="5">
        <f>IFERROR((VLOOKUP($A152,'Из ГУГЛа'!$B:$G,6,0)+T152)*S152,VLOOKUP($A152,'Из ГУГЛа'!$B:$G,6,0))</f>
        <v>4190</v>
      </c>
      <c r="S152" s="4">
        <v>1</v>
      </c>
      <c r="T152" s="4">
        <v>0</v>
      </c>
      <c r="U152" s="58">
        <f t="shared" si="44"/>
        <v>0.27584374999999994</v>
      </c>
      <c r="V152" s="58">
        <f t="shared" si="45"/>
        <v>2.5608591885441571E-2</v>
      </c>
      <c r="W152" s="58">
        <f t="shared" si="46"/>
        <v>0.30937499999999996</v>
      </c>
      <c r="X152" s="156">
        <v>4190</v>
      </c>
      <c r="Y152" s="44" t="s">
        <v>852</v>
      </c>
    </row>
    <row r="153" spans="1:25" ht="31.5" thickTop="1" thickBot="1" x14ac:dyDescent="0.3">
      <c r="A153" s="51">
        <v>131559</v>
      </c>
      <c r="B153" s="51">
        <f>VLOOKUP($A153,'Выгр Кат'!$A:$R,B$1,0)</f>
        <v>7259</v>
      </c>
      <c r="C153" s="56" t="str">
        <f>VLOOKUP($A153,'Выгр Кат'!$A:$R,C$1,0)</f>
        <v>Адаптер BDM-ПО5 для программатора ПО-5</v>
      </c>
      <c r="D153" s="51" t="str">
        <f>VLOOKUP($A153,'Выгр Кат'!$A:$R,D$1,0)</f>
        <v>Y</v>
      </c>
      <c r="E153" s="51" t="str">
        <f>VLOOKUP($A153,'Выгр Кат'!$A:$R,E$1,0)</f>
        <v>1</v>
      </c>
      <c r="F153" s="51">
        <f>VLOOKUP($A153,'Выгр Кат'!$A:$R,F$1,0)</f>
        <v>0</v>
      </c>
      <c r="G153" s="51" t="s">
        <v>145</v>
      </c>
      <c r="H153" s="77" t="s">
        <v>527</v>
      </c>
      <c r="I153" s="26">
        <f>VLOOKUP(G153,ПРАЙС!B:C,2,0)</f>
        <v>3100</v>
      </c>
      <c r="J153" s="78">
        <f>VLOOKUP(I153,Наценка!$A$2:$B$9,2,1)</f>
        <v>1.29</v>
      </c>
      <c r="K153" s="64">
        <f t="shared" si="54"/>
        <v>4399.5</v>
      </c>
      <c r="L153" s="80">
        <f t="shared" si="42"/>
        <v>4390</v>
      </c>
      <c r="M153" s="51">
        <f>VLOOKUP($A153,'Выгр Кат'!$A:$R,M$1,0)</f>
        <v>3100</v>
      </c>
      <c r="N153" s="51">
        <f>VLOOKUP($A153,'Выгр Кат'!$A:$R,N$1,0)</f>
        <v>4390</v>
      </c>
      <c r="O153" s="25">
        <f t="shared" si="40"/>
        <v>0</v>
      </c>
      <c r="P153" s="25">
        <f t="shared" si="41"/>
        <v>0</v>
      </c>
      <c r="Q153" s="1">
        <f t="shared" si="43"/>
        <v>4082.7</v>
      </c>
      <c r="R153" s="5">
        <f>IFERROR((VLOOKUP($A153,'Из ГУГЛа'!$B:$G,6,0)+T153)*S153,VLOOKUP($A153,'Из ГУГЛа'!$B:$G,6,0))</f>
        <v>4190</v>
      </c>
      <c r="S153" s="4">
        <v>1</v>
      </c>
      <c r="T153" s="4">
        <v>0</v>
      </c>
      <c r="U153" s="58">
        <f t="shared" si="44"/>
        <v>0.31699999999999995</v>
      </c>
      <c r="V153" s="58">
        <f t="shared" si="45"/>
        <v>2.5608591885441571E-2</v>
      </c>
      <c r="W153" s="58">
        <f t="shared" si="46"/>
        <v>0.35161290322580641</v>
      </c>
      <c r="X153" s="156">
        <v>4190</v>
      </c>
      <c r="Y153" s="44" t="s">
        <v>853</v>
      </c>
    </row>
    <row r="154" spans="1:25" ht="16.5" thickTop="1" thickBot="1" x14ac:dyDescent="0.3">
      <c r="A154" s="51">
        <v>202284</v>
      </c>
      <c r="B154" s="51">
        <f>VLOOKUP($A154,'Выгр Кат'!$A:$R,B$1,0)</f>
        <v>10045</v>
      </c>
      <c r="C154" s="56" t="str">
        <f>VLOOKUP($A154,'Выгр Кат'!$A:$R,C$1,0)</f>
        <v>Радар-детектор Орион 575</v>
      </c>
      <c r="D154" s="51" t="str">
        <f>VLOOKUP($A154,'Выгр Кат'!$A:$R,D$1,0)</f>
        <v>Y</v>
      </c>
      <c r="E154" s="51" t="str">
        <f>VLOOKUP($A154,'Выгр Кат'!$A:$R,E$1,0)</f>
        <v>1</v>
      </c>
      <c r="F154" s="51">
        <f>VLOOKUP($A154,'Выгр Кат'!$A:$R,F$1,0)</f>
        <v>0</v>
      </c>
      <c r="G154" s="51" t="s">
        <v>622</v>
      </c>
      <c r="H154" s="77" t="s">
        <v>527</v>
      </c>
      <c r="I154" s="26">
        <f>VLOOKUP(G154,ПРАЙС!B:C,2,0)</f>
        <v>3700</v>
      </c>
      <c r="J154" s="78">
        <f>VLOOKUP(I154,Наценка!$A$2:$B$9,2,1)</f>
        <v>1.29</v>
      </c>
      <c r="K154" s="64">
        <f t="shared" ref="K154:K155" si="55">X154*1.06</f>
        <v>5077.4000000000005</v>
      </c>
      <c r="L154" s="80">
        <f t="shared" si="42"/>
        <v>5090</v>
      </c>
      <c r="M154" s="51">
        <f>VLOOKUP($A154,'Выгр Кат'!$A:$R,M$1,0)</f>
        <v>3700</v>
      </c>
      <c r="N154" s="51">
        <f>VLOOKUP($A154,'Выгр Кат'!$A:$R,N$1,0)</f>
        <v>5090</v>
      </c>
      <c r="O154" s="25">
        <f t="shared" si="40"/>
        <v>0</v>
      </c>
      <c r="P154" s="25">
        <f t="shared" si="41"/>
        <v>0</v>
      </c>
      <c r="Q154" s="1">
        <f t="shared" si="43"/>
        <v>4733.7</v>
      </c>
      <c r="R154" s="5">
        <f>IFERROR((VLOOKUP($A154,'Из ГУГЛа'!$B:$G,6,0)+T154)*S154,VLOOKUP($A154,'Из ГУГЛа'!$B:$G,6,0))</f>
        <v>4790</v>
      </c>
      <c r="S154" s="4">
        <v>1</v>
      </c>
      <c r="T154" s="4">
        <v>0</v>
      </c>
      <c r="U154" s="58">
        <f t="shared" si="44"/>
        <v>0.27937837837837831</v>
      </c>
      <c r="V154" s="58">
        <f t="shared" si="45"/>
        <v>1.1753653444676448E-2</v>
      </c>
      <c r="W154" s="58">
        <f t="shared" si="46"/>
        <v>0.29459459459459469</v>
      </c>
      <c r="X154" s="156">
        <v>4790</v>
      </c>
      <c r="Y154" s="44" t="s">
        <v>777</v>
      </c>
    </row>
    <row r="155" spans="1:25" ht="31.5" thickTop="1" thickBot="1" x14ac:dyDescent="0.3">
      <c r="A155" s="51">
        <v>138709</v>
      </c>
      <c r="B155" s="51">
        <f>VLOOKUP($A155,'Выгр Кат'!$A:$R,B$1,0)</f>
        <v>7028</v>
      </c>
      <c r="C155" s="56" t="str">
        <f>VLOOKUP($A155,'Выгр Кат'!$A:$R,C$1,0)</f>
        <v>Бортовой компьютер Штат UniComp-410M на Lada и иномарки</v>
      </c>
      <c r="D155" s="51" t="str">
        <f>VLOOKUP($A155,'Выгр Кат'!$A:$R,D$1,0)</f>
        <v>Y</v>
      </c>
      <c r="E155" s="51" t="str">
        <f>VLOOKUP($A155,'Выгр Кат'!$A:$R,E$1,0)</f>
        <v>1</v>
      </c>
      <c r="F155" s="51">
        <f>VLOOKUP($A155,'Выгр Кат'!$A:$R,F$1,0)</f>
        <v>0</v>
      </c>
      <c r="G155" s="51" t="s">
        <v>140</v>
      </c>
      <c r="H155" s="77" t="s">
        <v>527</v>
      </c>
      <c r="I155" s="26">
        <f>VLOOKUP(G155,ПРАЙС!B:C,2,0)</f>
        <v>3500</v>
      </c>
      <c r="J155" s="78">
        <f>VLOOKUP(I155,Наценка!$A$2:$B$9,2,1)</f>
        <v>1.29</v>
      </c>
      <c r="K155" s="64">
        <f t="shared" si="55"/>
        <v>4865.4000000000005</v>
      </c>
      <c r="L155" s="80">
        <f t="shared" si="42"/>
        <v>4890</v>
      </c>
      <c r="M155" s="51">
        <f>VLOOKUP($A155,'Выгр Кат'!$A:$R,M$1,0)</f>
        <v>3500</v>
      </c>
      <c r="N155" s="51">
        <f>VLOOKUP($A155,'Выгр Кат'!$A:$R,N$1,0)</f>
        <v>4890</v>
      </c>
      <c r="O155" s="25">
        <f t="shared" si="40"/>
        <v>0</v>
      </c>
      <c r="P155" s="25">
        <f t="shared" si="41"/>
        <v>0</v>
      </c>
      <c r="Q155" s="1">
        <f t="shared" si="43"/>
        <v>4547.7</v>
      </c>
      <c r="R155" s="5">
        <f>IFERROR((VLOOKUP($A155,'Из ГУГЛа'!$B:$G,6,0)+T155)*S155,VLOOKUP($A155,'Из ГУГЛа'!$B:$G,6,0))</f>
        <v>4590</v>
      </c>
      <c r="S155" s="4">
        <v>1</v>
      </c>
      <c r="T155" s="4">
        <v>0</v>
      </c>
      <c r="U155" s="58">
        <f t="shared" si="44"/>
        <v>0.29934285714285713</v>
      </c>
      <c r="V155" s="58">
        <f t="shared" si="45"/>
        <v>9.2156862745098444E-3</v>
      </c>
      <c r="W155" s="58">
        <f t="shared" si="46"/>
        <v>0.31142857142857139</v>
      </c>
      <c r="X155" s="156">
        <v>4590</v>
      </c>
      <c r="Y155" s="44" t="s">
        <v>824</v>
      </c>
    </row>
    <row r="156" spans="1:25" ht="31.5" thickTop="1" thickBot="1" x14ac:dyDescent="0.3">
      <c r="A156" s="51">
        <v>138696</v>
      </c>
      <c r="B156" s="51">
        <f>VLOOKUP($A156,'Выгр Кат'!$A:$R,B$1,0)</f>
        <v>7045</v>
      </c>
      <c r="C156" s="56" t="str">
        <f>VLOOKUP($A156,'Выгр Кат'!$A:$R,C$1,0)</f>
        <v>Бортовой компьютер Штат 115x23-М для ВАЗ (2109-21099, 2113-2115), Лада Нива 4х4</v>
      </c>
      <c r="D156" s="51" t="str">
        <f>VLOOKUP($A156,'Выгр Кат'!$A:$R,D$1,0)</f>
        <v>Y</v>
      </c>
      <c r="E156" s="51" t="str">
        <f>VLOOKUP($A156,'Выгр Кат'!$A:$R,E$1,0)</f>
        <v>1ск6</v>
      </c>
      <c r="F156" s="51">
        <f>VLOOKUP($A156,'Выгр Кат'!$A:$R,F$1,0)</f>
        <v>0</v>
      </c>
      <c r="G156" s="51" t="s">
        <v>29</v>
      </c>
      <c r="H156" s="77" t="s">
        <v>527</v>
      </c>
      <c r="I156" s="26">
        <f>VLOOKUP(G156,ПРАЙС!B:C,2,0)</f>
        <v>4400</v>
      </c>
      <c r="J156" s="78">
        <f>VLOOKUP(I156,Наценка!$A$2:$B$9,2,1)</f>
        <v>1.29</v>
      </c>
      <c r="K156" s="64">
        <f>X156*1.05</f>
        <v>5974.5</v>
      </c>
      <c r="L156" s="80">
        <f t="shared" si="42"/>
        <v>5990</v>
      </c>
      <c r="M156" s="51">
        <f>VLOOKUP($A156,'Выгр Кат'!$A:$R,M$1,0)</f>
        <v>4400</v>
      </c>
      <c r="N156" s="51">
        <f>VLOOKUP($A156,'Выгр Кат'!$A:$R,N$1,0)</f>
        <v>5990</v>
      </c>
      <c r="O156" s="25">
        <f t="shared" si="40"/>
        <v>0</v>
      </c>
      <c r="P156" s="25">
        <f t="shared" si="41"/>
        <v>0</v>
      </c>
      <c r="Q156" s="1">
        <f t="shared" si="43"/>
        <v>5570.7</v>
      </c>
      <c r="R156" s="5">
        <f>IFERROR((VLOOKUP($A156,'Из ГУГЛа'!$B:$G,6,0)+T156)*S156,VLOOKUP($A156,'Из ГУГЛа'!$B:$G,6,0))</f>
        <v>5690</v>
      </c>
      <c r="S156" s="4">
        <v>1</v>
      </c>
      <c r="T156" s="4">
        <v>0</v>
      </c>
      <c r="U156" s="58">
        <f t="shared" si="44"/>
        <v>0.26606818181818181</v>
      </c>
      <c r="V156" s="58">
        <f t="shared" si="45"/>
        <v>2.0966608084358556E-2</v>
      </c>
      <c r="W156" s="58">
        <f t="shared" si="46"/>
        <v>0.29318181818181821</v>
      </c>
      <c r="X156" s="156">
        <v>5690</v>
      </c>
      <c r="Y156" s="44" t="s">
        <v>825</v>
      </c>
    </row>
    <row r="157" spans="1:25" ht="30.75" thickTop="1" x14ac:dyDescent="0.25">
      <c r="A157" s="51">
        <v>138634</v>
      </c>
      <c r="B157" s="51">
        <f>VLOOKUP($A157,'Выгр Кат'!$A:$R,B$1,0)</f>
        <v>24484</v>
      </c>
      <c r="C157" s="56" t="str">
        <f>VLOOKUP($A157,'Выгр Кат'!$A:$R,C$1,0)</f>
        <v>Бортовой компьютер "Штат" 110x4M-Zoom для ВАЗ 2110-2112</v>
      </c>
      <c r="D157" s="51" t="str">
        <f>VLOOKUP($A157,'Выгр Кат'!$A:$R,D$1,0)</f>
        <v>Y</v>
      </c>
      <c r="E157" s="51" t="str">
        <f>VLOOKUP($A157,'Выгр Кат'!$A:$R,E$1,0)</f>
        <v>0</v>
      </c>
      <c r="F157" s="51">
        <f>VLOOKUP($A157,'Выгр Кат'!$A:$R,F$1,0)</f>
        <v>0</v>
      </c>
      <c r="G157" s="51" t="s">
        <v>25</v>
      </c>
      <c r="H157" s="77" t="s">
        <v>527</v>
      </c>
      <c r="I157" s="26">
        <f>VLOOKUP(G157,ПРАЙС!B:C,2,0)</f>
        <v>3200</v>
      </c>
      <c r="J157" s="78">
        <f>VLOOKUP(I157,Наценка!$A$2:$B$9,2,1)</f>
        <v>1.29</v>
      </c>
      <c r="K157" s="79">
        <f t="shared" si="50"/>
        <v>4128</v>
      </c>
      <c r="L157" s="80">
        <f t="shared" si="42"/>
        <v>4190</v>
      </c>
      <c r="M157" s="51">
        <f>VLOOKUP($A157,'Выгр Кат'!$A:$R,M$1,0)</f>
        <v>3200</v>
      </c>
      <c r="N157" s="51">
        <f>VLOOKUP($A157,'Выгр Кат'!$A:$R,N$1,0)</f>
        <v>4190</v>
      </c>
      <c r="O157" s="25">
        <f t="shared" si="40"/>
        <v>0</v>
      </c>
      <c r="P157" s="25">
        <f t="shared" si="41"/>
        <v>0</v>
      </c>
      <c r="Q157" s="1">
        <f t="shared" si="43"/>
        <v>3896.7</v>
      </c>
      <c r="R157" s="5" t="str">
        <f>IFERROR((VLOOKUP($A157,'Из ГУГЛа'!$B:$G,6,0)+T157)*S157,VLOOKUP($A157,'Из ГУГЛа'!$B:$G,6,0))</f>
        <v/>
      </c>
      <c r="S157" s="4">
        <v>1</v>
      </c>
      <c r="T157" s="4">
        <v>0</v>
      </c>
      <c r="U157" s="58">
        <f t="shared" si="44"/>
        <v>0.21771874999999996</v>
      </c>
      <c r="V157" s="58" t="str">
        <f t="shared" si="45"/>
        <v/>
      </c>
      <c r="W157" s="58" t="str">
        <f t="shared" si="46"/>
        <v/>
      </c>
      <c r="X157" s="154"/>
    </row>
    <row r="158" spans="1:25" ht="30" x14ac:dyDescent="0.25">
      <c r="A158" s="51">
        <v>138636</v>
      </c>
      <c r="B158" s="51">
        <f>VLOOKUP($A158,'Выгр Кат'!$A:$R,B$1,0)</f>
        <v>24496</v>
      </c>
      <c r="C158" s="56" t="str">
        <f>VLOOKUP($A158,'Выгр Кат'!$A:$R,C$1,0)</f>
        <v>Бортовой компьютер "Штат" UniComp VESTA XD для Лада Веста</v>
      </c>
      <c r="D158" s="51" t="str">
        <f>VLOOKUP($A158,'Выгр Кат'!$A:$R,D$1,0)</f>
        <v>Y</v>
      </c>
      <c r="E158" s="51" t="str">
        <f>VLOOKUP($A158,'Выгр Кат'!$A:$R,E$1,0)</f>
        <v>0</v>
      </c>
      <c r="F158" s="51">
        <f>VLOOKUP($A158,'Выгр Кат'!$A:$R,F$1,0)</f>
        <v>0</v>
      </c>
      <c r="G158" s="51" t="s">
        <v>140</v>
      </c>
      <c r="H158" s="77" t="s">
        <v>527</v>
      </c>
      <c r="I158" s="26">
        <f>VLOOKUP(G158,ПРАЙС!B:C,2,0)</f>
        <v>3500</v>
      </c>
      <c r="J158" s="78">
        <f>VLOOKUP(I158,Наценка!$A$2:$B$9,2,1)</f>
        <v>1.29</v>
      </c>
      <c r="K158" s="79">
        <f t="shared" si="50"/>
        <v>4515</v>
      </c>
      <c r="L158" s="80">
        <f t="shared" si="42"/>
        <v>4590</v>
      </c>
      <c r="M158" s="51">
        <f>VLOOKUP($A158,'Выгр Кат'!$A:$R,M$1,0)</f>
        <v>3500</v>
      </c>
      <c r="N158" s="51">
        <f>VLOOKUP($A158,'Выгр Кат'!$A:$R,N$1,0)</f>
        <v>4590</v>
      </c>
      <c r="O158" s="25">
        <f t="shared" si="40"/>
        <v>0</v>
      </c>
      <c r="P158" s="25">
        <f t="shared" si="41"/>
        <v>0</v>
      </c>
      <c r="Q158" s="1">
        <f t="shared" si="43"/>
        <v>4268.7</v>
      </c>
      <c r="R158" s="5" t="str">
        <f>IFERROR((VLOOKUP($A158,'Из ГУГЛа'!$B:$G,6,0)+T158)*S158,VLOOKUP($A158,'Из ГУГЛа'!$B:$G,6,0))</f>
        <v/>
      </c>
      <c r="S158" s="4">
        <v>1</v>
      </c>
      <c r="T158" s="4">
        <v>0</v>
      </c>
      <c r="U158" s="58">
        <f t="shared" si="44"/>
        <v>0.21962857142857128</v>
      </c>
      <c r="V158" s="58" t="str">
        <f t="shared" si="45"/>
        <v/>
      </c>
      <c r="W158" s="58" t="str">
        <f t="shared" si="46"/>
        <v/>
      </c>
      <c r="X158" s="154"/>
    </row>
    <row r="159" spans="1:25" ht="30" x14ac:dyDescent="0.25">
      <c r="A159" s="51">
        <v>138637</v>
      </c>
      <c r="B159" s="51">
        <f>VLOOKUP($A159,'Выгр Кат'!$A:$R,B$1,0)</f>
        <v>24497</v>
      </c>
      <c r="C159" s="56" t="str">
        <f>VLOOKUP($A159,'Выгр Кат'!$A:$R,C$1,0)</f>
        <v>Бортовой компьютер "Штат" UniComp X-RAY XD для Лада XRAY</v>
      </c>
      <c r="D159" s="51" t="str">
        <f>VLOOKUP($A159,'Выгр Кат'!$A:$R,D$1,0)</f>
        <v>Y</v>
      </c>
      <c r="E159" s="51" t="str">
        <f>VLOOKUP($A159,'Выгр Кат'!$A:$R,E$1,0)</f>
        <v>0</v>
      </c>
      <c r="F159" s="51">
        <f>VLOOKUP($A159,'Выгр Кат'!$A:$R,F$1,0)</f>
        <v>0</v>
      </c>
      <c r="G159" s="51" t="s">
        <v>140</v>
      </c>
      <c r="H159" s="77" t="s">
        <v>527</v>
      </c>
      <c r="I159" s="26">
        <f>VLOOKUP(G159,ПРАЙС!B:C,2,0)</f>
        <v>3500</v>
      </c>
      <c r="J159" s="78">
        <f>VLOOKUP(I159,Наценка!$A$2:$B$9,2,1)</f>
        <v>1.29</v>
      </c>
      <c r="K159" s="79">
        <f t="shared" si="50"/>
        <v>4515</v>
      </c>
      <c r="L159" s="80">
        <f t="shared" si="42"/>
        <v>4590</v>
      </c>
      <c r="M159" s="51">
        <f>VLOOKUP($A159,'Выгр Кат'!$A:$R,M$1,0)</f>
        <v>3500</v>
      </c>
      <c r="N159" s="51">
        <f>VLOOKUP($A159,'Выгр Кат'!$A:$R,N$1,0)</f>
        <v>4590</v>
      </c>
      <c r="O159" s="25">
        <f t="shared" si="40"/>
        <v>0</v>
      </c>
      <c r="P159" s="25">
        <f t="shared" si="41"/>
        <v>0</v>
      </c>
      <c r="Q159" s="1">
        <f t="shared" si="43"/>
        <v>4268.7</v>
      </c>
      <c r="R159" s="5" t="str">
        <f>IFERROR((VLOOKUP($A159,'Из ГУГЛа'!$B:$G,6,0)+T159)*S159,VLOOKUP($A159,'Из ГУГЛа'!$B:$G,6,0))</f>
        <v/>
      </c>
      <c r="S159" s="4">
        <v>1</v>
      </c>
      <c r="T159" s="4">
        <v>0</v>
      </c>
      <c r="U159" s="58">
        <f t="shared" si="44"/>
        <v>0.21962857142857128</v>
      </c>
      <c r="V159" s="58" t="str">
        <f t="shared" si="45"/>
        <v/>
      </c>
      <c r="W159" s="58" t="str">
        <f t="shared" si="46"/>
        <v/>
      </c>
      <c r="X159" s="154"/>
    </row>
    <row r="160" spans="1:25" ht="15.75" thickBot="1" x14ac:dyDescent="0.3">
      <c r="A160" s="51">
        <v>186321</v>
      </c>
      <c r="B160" s="51">
        <f>VLOOKUP($A160,'Выгр Кат'!$A:$R,B$1,0)</f>
        <v>7163</v>
      </c>
      <c r="C160" s="56" t="str">
        <f>VLOOKUP($A160,'Выгр Кат'!$A:$R,C$1,0)</f>
        <v>Парктроник Multitronics PU-4TC</v>
      </c>
      <c r="D160" s="51" t="str">
        <f>VLOOKUP($A160,'Выгр Кат'!$A:$R,D$1,0)</f>
        <v>Y</v>
      </c>
      <c r="E160" s="51" t="str">
        <f>VLOOKUP($A160,'Выгр Кат'!$A:$R,E$1,0)</f>
        <v>1</v>
      </c>
      <c r="F160" s="51">
        <f>VLOOKUP($A160,'Выгр Кат'!$A:$R,F$1,0)</f>
        <v>0</v>
      </c>
      <c r="G160" s="51" t="s">
        <v>11</v>
      </c>
      <c r="H160" s="77" t="s">
        <v>527</v>
      </c>
      <c r="I160" s="26">
        <f>VLOOKUP(G160,ПРАЙС!B:C,2,0)</f>
        <v>3450</v>
      </c>
      <c r="J160" s="78">
        <f>VLOOKUP(I160,Наценка!$A$2:$B$9,2,1)</f>
        <v>1.29</v>
      </c>
      <c r="K160" s="64">
        <f t="shared" ref="K160:K162" si="56">X160*1.06</f>
        <v>4759.4000000000005</v>
      </c>
      <c r="L160" s="80">
        <f t="shared" si="42"/>
        <v>4790</v>
      </c>
      <c r="M160" s="51">
        <f>VLOOKUP($A160,'Выгр Кат'!$A:$R,M$1,0)</f>
        <v>3450</v>
      </c>
      <c r="N160" s="51">
        <f>VLOOKUP($A160,'Выгр Кат'!$A:$R,N$1,0)</f>
        <v>4790</v>
      </c>
      <c r="O160" s="25">
        <f t="shared" si="40"/>
        <v>0</v>
      </c>
      <c r="P160" s="25">
        <f t="shared" si="41"/>
        <v>0</v>
      </c>
      <c r="Q160" s="1">
        <f t="shared" si="43"/>
        <v>4454.7</v>
      </c>
      <c r="R160" s="5">
        <f>IFERROR((VLOOKUP($A160,'Из ГУГЛа'!$B:$G,6,0)+T160)*S160,VLOOKUP($A160,'Из ГУГЛа'!$B:$G,6,0))</f>
        <v>4490</v>
      </c>
      <c r="S160" s="4">
        <v>1</v>
      </c>
      <c r="T160" s="4">
        <v>0</v>
      </c>
      <c r="U160" s="58">
        <f t="shared" si="44"/>
        <v>0.29121739130434787</v>
      </c>
      <c r="V160" s="58">
        <f t="shared" si="45"/>
        <v>7.861915367483336E-3</v>
      </c>
      <c r="W160" s="58">
        <f t="shared" si="46"/>
        <v>0.3014492753623188</v>
      </c>
      <c r="X160" s="156">
        <v>4490</v>
      </c>
      <c r="Y160" s="44" t="s">
        <v>943</v>
      </c>
    </row>
    <row r="161" spans="1:25" ht="16.5" thickTop="1" thickBot="1" x14ac:dyDescent="0.3">
      <c r="A161" s="51">
        <v>186320</v>
      </c>
      <c r="B161" s="51">
        <f>VLOOKUP($A161,'Выгр Кат'!$A:$R,B$1,0)</f>
        <v>7165</v>
      </c>
      <c r="C161" s="56" t="str">
        <f>VLOOKUP($A161,'Выгр Кат'!$A:$R,C$1,0)</f>
        <v>Парктроник Multitronics PT-4TC</v>
      </c>
      <c r="D161" s="51" t="str">
        <f>VLOOKUP($A161,'Выгр Кат'!$A:$R,D$1,0)</f>
        <v>Y</v>
      </c>
      <c r="E161" s="51" t="str">
        <f>VLOOKUP($A161,'Выгр Кат'!$A:$R,E$1,0)</f>
        <v>1</v>
      </c>
      <c r="F161" s="51">
        <f>VLOOKUP($A161,'Выгр Кат'!$A:$R,F$1,0)</f>
        <v>0</v>
      </c>
      <c r="G161" s="51" t="s">
        <v>600</v>
      </c>
      <c r="H161" s="77" t="s">
        <v>527</v>
      </c>
      <c r="I161" s="26">
        <f>VLOOKUP(G161,ПРАЙС!B:C,2,0)</f>
        <v>3450</v>
      </c>
      <c r="J161" s="78">
        <f>VLOOKUP(I161,Наценка!$A$2:$B$9,2,1)</f>
        <v>1.29</v>
      </c>
      <c r="K161" s="64">
        <f t="shared" si="56"/>
        <v>4759.4000000000005</v>
      </c>
      <c r="L161" s="80">
        <f t="shared" si="42"/>
        <v>4790</v>
      </c>
      <c r="M161" s="51">
        <f>VLOOKUP($A161,'Выгр Кат'!$A:$R,M$1,0)</f>
        <v>3450</v>
      </c>
      <c r="N161" s="51">
        <f>VLOOKUP($A161,'Выгр Кат'!$A:$R,N$1,0)</f>
        <v>4790</v>
      </c>
      <c r="O161" s="25">
        <f t="shared" si="40"/>
        <v>0</v>
      </c>
      <c r="P161" s="25">
        <f t="shared" si="41"/>
        <v>0</v>
      </c>
      <c r="Q161" s="1">
        <f t="shared" si="43"/>
        <v>4454.7</v>
      </c>
      <c r="R161" s="5">
        <f>IFERROR((VLOOKUP($A161,'Из ГУГЛа'!$B:$G,6,0)+T161)*S161,VLOOKUP($A161,'Из ГУГЛа'!$B:$G,6,0))</f>
        <v>4490</v>
      </c>
      <c r="S161" s="4">
        <v>1</v>
      </c>
      <c r="T161" s="4">
        <v>0</v>
      </c>
      <c r="U161" s="58">
        <f t="shared" si="44"/>
        <v>0.29121739130434787</v>
      </c>
      <c r="V161" s="58">
        <f t="shared" si="45"/>
        <v>7.861915367483336E-3</v>
      </c>
      <c r="W161" s="58">
        <f t="shared" si="46"/>
        <v>0.3014492753623188</v>
      </c>
      <c r="X161" s="156">
        <v>4490</v>
      </c>
      <c r="Y161" s="44" t="s">
        <v>778</v>
      </c>
    </row>
    <row r="162" spans="1:25" ht="16.5" thickTop="1" thickBot="1" x14ac:dyDescent="0.3">
      <c r="A162" s="51">
        <v>201308</v>
      </c>
      <c r="B162" s="51">
        <f>VLOOKUP($A162,'Выгр Кат'!$A:$R,B$1,0)</f>
        <v>7258</v>
      </c>
      <c r="C162" s="56" t="str">
        <f>VLOOKUP($A162,'Выгр Кат'!$A:$R,C$1,0)</f>
        <v>Программатор одометров ПО-5</v>
      </c>
      <c r="D162" s="51" t="str">
        <f>VLOOKUP($A162,'Выгр Кат'!$A:$R,D$1,0)</f>
        <v>Y</v>
      </c>
      <c r="E162" s="51" t="str">
        <f>VLOOKUP($A162,'Выгр Кат'!$A:$R,E$1,0)</f>
        <v>1</v>
      </c>
      <c r="F162" s="51">
        <f>VLOOKUP($A162,'Выгр Кат'!$A:$R,F$1,0)</f>
        <v>0</v>
      </c>
      <c r="G162" s="51" t="s">
        <v>493</v>
      </c>
      <c r="H162" s="77" t="s">
        <v>527</v>
      </c>
      <c r="I162" s="26">
        <f>VLOOKUP(G162,ПРАЙС!B:C,2,0)</f>
        <v>3450</v>
      </c>
      <c r="J162" s="78">
        <f>VLOOKUP(I162,Наценка!$A$2:$B$9,2,1)</f>
        <v>1.29</v>
      </c>
      <c r="K162" s="64">
        <f t="shared" si="56"/>
        <v>4865.4000000000005</v>
      </c>
      <c r="L162" s="80">
        <f t="shared" si="42"/>
        <v>4890</v>
      </c>
      <c r="M162" s="51">
        <f>VLOOKUP($A162,'Выгр Кат'!$A:$R,M$1,0)</f>
        <v>3400</v>
      </c>
      <c r="N162" s="51">
        <f>VLOOKUP($A162,'Выгр Кат'!$A:$R,N$1,0)</f>
        <v>4890</v>
      </c>
      <c r="O162" s="25">
        <f t="shared" si="40"/>
        <v>-50</v>
      </c>
      <c r="P162" s="25">
        <f t="shared" si="41"/>
        <v>0</v>
      </c>
      <c r="Q162" s="1">
        <f t="shared" si="43"/>
        <v>4547.7</v>
      </c>
      <c r="R162" s="5">
        <f>IFERROR((VLOOKUP($A162,'Из ГУГЛа'!$B:$G,6,0)+T162)*S162,VLOOKUP($A162,'Из ГУГЛа'!$B:$G,6,0))</f>
        <v>4590</v>
      </c>
      <c r="S162" s="4">
        <v>1</v>
      </c>
      <c r="T162" s="4">
        <v>0</v>
      </c>
      <c r="U162" s="58">
        <f t="shared" si="44"/>
        <v>0.3181739130434782</v>
      </c>
      <c r="V162" s="58">
        <f t="shared" si="45"/>
        <v>9.2156862745098444E-3</v>
      </c>
      <c r="W162" s="58">
        <f t="shared" si="46"/>
        <v>0.33043478260869574</v>
      </c>
      <c r="X162" s="156">
        <v>4590</v>
      </c>
      <c r="Y162" s="44" t="s">
        <v>942</v>
      </c>
    </row>
    <row r="163" spans="1:25" ht="30.75" thickTop="1" x14ac:dyDescent="0.25">
      <c r="A163" s="51">
        <v>138695</v>
      </c>
      <c r="B163" s="51">
        <f>VLOOKUP($A163,'Выгр Кат'!$A:$R,B$1,0)</f>
        <v>7069</v>
      </c>
      <c r="C163" s="56" t="str">
        <f>VLOOKUP($A163,'Выгр Кат'!$A:$R,C$1,0)</f>
        <v>Бортовой компьютер Штат 110x5М на Lada 2110-2112 со старой панелью</v>
      </c>
      <c r="D163" s="51" t="str">
        <f>VLOOKUP($A163,'Выгр Кат'!$A:$R,D$1,0)</f>
        <v>Y</v>
      </c>
      <c r="E163" s="51" t="str">
        <f>VLOOKUP($A163,'Выгр Кат'!$A:$R,E$1,0)</f>
        <v>0</v>
      </c>
      <c r="F163" s="51">
        <f>VLOOKUP($A163,'Выгр Кат'!$A:$R,F$1,0)</f>
        <v>0</v>
      </c>
      <c r="G163" s="51" t="s">
        <v>28</v>
      </c>
      <c r="H163" s="77" t="s">
        <v>527</v>
      </c>
      <c r="I163" s="26">
        <f>VLOOKUP(G163,ПРАЙС!B:C,2,0)</f>
        <v>3350</v>
      </c>
      <c r="J163" s="78">
        <f>VLOOKUP(I163,Наценка!$A$2:$B$9,2,1)</f>
        <v>1.29</v>
      </c>
      <c r="K163" s="79">
        <f t="shared" si="50"/>
        <v>4321.5</v>
      </c>
      <c r="L163" s="80">
        <f t="shared" si="42"/>
        <v>4390</v>
      </c>
      <c r="M163" s="51">
        <f>VLOOKUP($A163,'Выгр Кат'!$A:$R,M$1,0)</f>
        <v>3350</v>
      </c>
      <c r="N163" s="51">
        <f>VLOOKUP($A163,'Выгр Кат'!$A:$R,N$1,0)</f>
        <v>4390</v>
      </c>
      <c r="O163" s="25">
        <f t="shared" si="40"/>
        <v>0</v>
      </c>
      <c r="P163" s="25">
        <f t="shared" si="41"/>
        <v>0</v>
      </c>
      <c r="Q163" s="1">
        <f t="shared" si="43"/>
        <v>4082.7</v>
      </c>
      <c r="R163" s="5" t="str">
        <f>IFERROR((VLOOKUP($A163,'Из ГУГЛа'!$B:$G,6,0)+T163)*S163,VLOOKUP($A163,'Из ГУГЛа'!$B:$G,6,0))</f>
        <v/>
      </c>
      <c r="S163" s="4">
        <v>1</v>
      </c>
      <c r="T163" s="4">
        <v>0</v>
      </c>
      <c r="U163" s="58">
        <f t="shared" si="44"/>
        <v>0.21871641791044771</v>
      </c>
      <c r="V163" s="58" t="str">
        <f t="shared" si="45"/>
        <v/>
      </c>
      <c r="W163" s="58" t="str">
        <f t="shared" si="46"/>
        <v/>
      </c>
      <c r="X163" s="154"/>
    </row>
    <row r="164" spans="1:25" ht="30" x14ac:dyDescent="0.25">
      <c r="A164" s="51">
        <v>138694</v>
      </c>
      <c r="B164" s="51">
        <f>VLOOKUP($A164,'Выгр Кат'!$A:$R,B$1,0)</f>
        <v>7070</v>
      </c>
      <c r="C164" s="56" t="str">
        <f>VLOOKUP($A164,'Выгр Кат'!$A:$R,C$1,0)</f>
        <v>Бортовой компьютер Штат 110x5 RGB-M на Lada 2110-12</v>
      </c>
      <c r="D164" s="51" t="str">
        <f>VLOOKUP($A164,'Выгр Кат'!$A:$R,D$1,0)</f>
        <v>Y</v>
      </c>
      <c r="E164" s="51" t="str">
        <f>VLOOKUP($A164,'Выгр Кат'!$A:$R,E$1,0)</f>
        <v>0</v>
      </c>
      <c r="F164" s="51">
        <f>VLOOKUP($A164,'Выгр Кат'!$A:$R,F$1,0)</f>
        <v>0</v>
      </c>
      <c r="G164" s="51" t="s">
        <v>28</v>
      </c>
      <c r="H164" s="77" t="s">
        <v>527</v>
      </c>
      <c r="I164" s="26">
        <f>VLOOKUP(G164,ПРАЙС!B:C,2,0)</f>
        <v>3350</v>
      </c>
      <c r="J164" s="78">
        <f>VLOOKUP(I164,Наценка!$A$2:$B$9,2,1)</f>
        <v>1.29</v>
      </c>
      <c r="K164" s="79">
        <f t="shared" si="50"/>
        <v>4321.5</v>
      </c>
      <c r="L164" s="80">
        <f t="shared" si="42"/>
        <v>4390</v>
      </c>
      <c r="M164" s="51">
        <f>VLOOKUP($A164,'Выгр Кат'!$A:$R,M$1,0)</f>
        <v>3350</v>
      </c>
      <c r="N164" s="51">
        <f>VLOOKUP($A164,'Выгр Кат'!$A:$R,N$1,0)</f>
        <v>4390</v>
      </c>
      <c r="O164" s="25">
        <f t="shared" si="40"/>
        <v>0</v>
      </c>
      <c r="P164" s="25">
        <f t="shared" si="41"/>
        <v>0</v>
      </c>
      <c r="Q164" s="1">
        <f t="shared" si="43"/>
        <v>4082.7</v>
      </c>
      <c r="R164" s="5" t="str">
        <f>IFERROR((VLOOKUP($A164,'Из ГУГЛа'!$B:$G,6,0)+T164)*S164,VLOOKUP($A164,'Из ГУГЛа'!$B:$G,6,0))</f>
        <v/>
      </c>
      <c r="S164" s="4">
        <v>1</v>
      </c>
      <c r="T164" s="4">
        <v>0</v>
      </c>
      <c r="U164" s="58">
        <f t="shared" si="44"/>
        <v>0.21871641791044771</v>
      </c>
      <c r="V164" s="58" t="str">
        <f t="shared" si="45"/>
        <v/>
      </c>
      <c r="W164" s="58" t="str">
        <f t="shared" si="46"/>
        <v/>
      </c>
      <c r="X164" s="154"/>
    </row>
    <row r="165" spans="1:25" ht="30.75" thickBot="1" x14ac:dyDescent="0.3">
      <c r="A165" s="51">
        <v>158690</v>
      </c>
      <c r="B165" s="51">
        <f>VLOOKUP($A165,'Выгр Кат'!$A:$R,B$1,0)</f>
        <v>31512</v>
      </c>
      <c r="C165" s="56" t="str">
        <f>VLOOKUP($A165,'Выгр Кат'!$A:$R,C$1,0)</f>
        <v>Комплект модулей МАКС-2 на 4 двери для Лада Веста</v>
      </c>
      <c r="D165" s="51" t="str">
        <f>VLOOKUP($A165,'Выгр Кат'!$A:$R,D$1,0)</f>
        <v>Y</v>
      </c>
      <c r="E165" s="51" t="str">
        <f>VLOOKUP($A165,'Выгр Кат'!$A:$R,E$1,0)</f>
        <v>1</v>
      </c>
      <c r="F165" s="51">
        <f>VLOOKUP($A165,'Выгр Кат'!$A:$R,F$1,0)</f>
        <v>0</v>
      </c>
      <c r="G165" s="51" t="s">
        <v>511</v>
      </c>
      <c r="H165" s="77" t="s">
        <v>527</v>
      </c>
      <c r="I165" s="26">
        <f>VLOOKUP(G165,ПРАЙС!B:C,2,0)</f>
        <v>3600</v>
      </c>
      <c r="J165" s="78">
        <f>VLOOKUP(I165,Наценка!$A$2:$B$9,2,1)</f>
        <v>1.29</v>
      </c>
      <c r="K165" s="87">
        <f>I165*1.15*100/91</f>
        <v>4549.4505494505493</v>
      </c>
      <c r="L165" s="80">
        <f t="shared" si="42"/>
        <v>4590</v>
      </c>
      <c r="M165" s="51">
        <f>VLOOKUP($A165,'Выгр Кат'!$A:$R,M$1,0)</f>
        <v>3600</v>
      </c>
      <c r="N165" s="51">
        <f>VLOOKUP($A165,'Выгр Кат'!$A:$R,N$1,0)</f>
        <v>4690</v>
      </c>
      <c r="O165" s="25">
        <f t="shared" si="40"/>
        <v>0</v>
      </c>
      <c r="P165" s="25">
        <f t="shared" si="41"/>
        <v>100</v>
      </c>
      <c r="Q165" s="1">
        <f t="shared" si="43"/>
        <v>4268.7</v>
      </c>
      <c r="R165" s="5">
        <f>IFERROR((VLOOKUP($A165,'Из ГУГЛа'!$B:$G,6,0)+T165)*S165,VLOOKUP($A165,'Из ГУГЛа'!$B:$G,6,0))</f>
        <v>4190</v>
      </c>
      <c r="S165" s="4">
        <v>1</v>
      </c>
      <c r="T165" s="4">
        <v>0</v>
      </c>
      <c r="U165" s="58">
        <f t="shared" si="44"/>
        <v>0.18574999999999986</v>
      </c>
      <c r="V165" s="58">
        <f t="shared" si="45"/>
        <v>-1.8782816229116903E-2</v>
      </c>
      <c r="W165" s="58">
        <f t="shared" si="46"/>
        <v>0.16388888888888897</v>
      </c>
      <c r="X165" s="156">
        <v>4190</v>
      </c>
      <c r="Y165" s="44" t="s">
        <v>850</v>
      </c>
    </row>
    <row r="166" spans="1:25" ht="31.5" thickTop="1" thickBot="1" x14ac:dyDescent="0.3">
      <c r="A166" s="51">
        <v>138638</v>
      </c>
      <c r="B166" s="51">
        <f>VLOOKUP($A166,'Выгр Кат'!$A:$R,B$1,0)</f>
        <v>7037</v>
      </c>
      <c r="C166" s="56" t="str">
        <f>VLOOKUP($A166,'Выгр Кат'!$A:$R,C$1,0)</f>
        <v>Бортовой компьютер "Штат" X-5 МК для Лада Калина</v>
      </c>
      <c r="D166" s="51" t="str">
        <f>VLOOKUP($A166,'Выгр Кат'!$A:$R,D$1,0)</f>
        <v>Y</v>
      </c>
      <c r="E166" s="51" t="str">
        <f>VLOOKUP($A166,'Выгр Кат'!$A:$R,E$1,0)</f>
        <v>1</v>
      </c>
      <c r="F166" s="51">
        <f>VLOOKUP($A166,'Выгр Кат'!$A:$R,F$1,0)</f>
        <v>0</v>
      </c>
      <c r="G166" s="51" t="s">
        <v>146</v>
      </c>
      <c r="H166" s="77" t="s">
        <v>527</v>
      </c>
      <c r="I166" s="26">
        <f>VLOOKUP(G166,ПРАЙС!B:C,2,0)</f>
        <v>4000</v>
      </c>
      <c r="J166" s="78">
        <f>VLOOKUP(I166,Наценка!$A$2:$B$9,2,1)</f>
        <v>1.29</v>
      </c>
      <c r="K166" s="64">
        <f t="shared" ref="K166" si="57">X166*1.05</f>
        <v>5449.5</v>
      </c>
      <c r="L166" s="80">
        <f t="shared" si="42"/>
        <v>5490</v>
      </c>
      <c r="M166" s="51">
        <f>VLOOKUP($A166,'Выгр Кат'!$A:$R,M$1,0)</f>
        <v>4000</v>
      </c>
      <c r="N166" s="51">
        <f>VLOOKUP($A166,'Выгр Кат'!$A:$R,N$1,0)</f>
        <v>5490</v>
      </c>
      <c r="O166" s="25">
        <f t="shared" si="40"/>
        <v>0</v>
      </c>
      <c r="P166" s="25">
        <f t="shared" si="41"/>
        <v>0</v>
      </c>
      <c r="Q166" s="1">
        <f t="shared" si="43"/>
        <v>5105.7</v>
      </c>
      <c r="R166" s="5">
        <f>IFERROR((VLOOKUP($A166,'Из ГУГЛа'!$B:$G,6,0)+T166)*S166,VLOOKUP($A166,'Из ГУГЛа'!$B:$G,6,0))</f>
        <v>5190</v>
      </c>
      <c r="S166" s="4">
        <v>1</v>
      </c>
      <c r="T166" s="4">
        <v>0</v>
      </c>
      <c r="U166" s="58">
        <f t="shared" si="44"/>
        <v>0.27642499999999992</v>
      </c>
      <c r="V166" s="58">
        <f t="shared" si="45"/>
        <v>1.6242774566474022E-2</v>
      </c>
      <c r="W166" s="58">
        <f t="shared" si="46"/>
        <v>0.2975000000000001</v>
      </c>
      <c r="X166" s="156">
        <v>5190</v>
      </c>
      <c r="Y166" s="44" t="s">
        <v>779</v>
      </c>
    </row>
    <row r="167" spans="1:25" ht="31.5" thickTop="1" thickBot="1" x14ac:dyDescent="0.3">
      <c r="A167" s="51">
        <v>201027</v>
      </c>
      <c r="B167" s="51">
        <f>VLOOKUP($A167,'Выгр Кат'!$A:$R,B$1,0)</f>
        <v>7201</v>
      </c>
      <c r="C167" s="56" t="str">
        <f>VLOOKUP($A167,'Выгр Кат'!$A:$R,C$1,0)</f>
        <v>Преобразователь напряжения (розетка автомобильная) 12/220 Орион ПН-60 450W</v>
      </c>
      <c r="D167" s="51" t="str">
        <f>VLOOKUP($A167,'Выгр Кат'!$A:$R,D$1,0)</f>
        <v>Y</v>
      </c>
      <c r="E167" s="51" t="str">
        <f>VLOOKUP($A167,'Выгр Кат'!$A:$R,E$1,0)</f>
        <v>1</v>
      </c>
      <c r="F167" s="51">
        <f>VLOOKUP($A167,'Выгр Кат'!$A:$R,F$1,0)</f>
        <v>0</v>
      </c>
      <c r="G167" s="51" t="s">
        <v>617</v>
      </c>
      <c r="H167" s="77" t="s">
        <v>527</v>
      </c>
      <c r="I167" s="26">
        <f>VLOOKUP(G167,ПРАЙС!B:C,2,0)</f>
        <v>4700</v>
      </c>
      <c r="J167" s="78">
        <f>VLOOKUP(I167,Наценка!$A$2:$B$9,2,1)</f>
        <v>1.29</v>
      </c>
      <c r="K167" s="79">
        <f t="shared" si="50"/>
        <v>6063</v>
      </c>
      <c r="L167" s="80">
        <f t="shared" si="42"/>
        <v>6090</v>
      </c>
      <c r="M167" s="51">
        <f>VLOOKUP($A167,'Выгр Кат'!$A:$R,M$1,0)</f>
        <v>4700</v>
      </c>
      <c r="N167" s="51">
        <f>VLOOKUP($A167,'Выгр Кат'!$A:$R,N$1,0)</f>
        <v>6090</v>
      </c>
      <c r="O167" s="25">
        <f t="shared" si="40"/>
        <v>0</v>
      </c>
      <c r="P167" s="25">
        <f t="shared" si="41"/>
        <v>0</v>
      </c>
      <c r="Q167" s="1">
        <f t="shared" si="43"/>
        <v>5663.7</v>
      </c>
      <c r="R167" s="5" t="str">
        <f>IFERROR((VLOOKUP($A167,'Из ГУГЛа'!$B:$G,6,0)+T167)*S167,VLOOKUP($A167,'Из ГУГЛа'!$B:$G,6,0))</f>
        <v/>
      </c>
      <c r="S167" s="4">
        <v>1</v>
      </c>
      <c r="T167" s="4">
        <v>0</v>
      </c>
      <c r="U167" s="58">
        <f t="shared" si="44"/>
        <v>0.20504255319148923</v>
      </c>
      <c r="V167" s="58">
        <f t="shared" si="45"/>
        <v>-0.15822085889570547</v>
      </c>
      <c r="W167" s="58">
        <f t="shared" si="46"/>
        <v>4.042553191489362E-2</v>
      </c>
      <c r="X167" s="156">
        <v>4890</v>
      </c>
      <c r="Y167" s="44" t="s">
        <v>849</v>
      </c>
    </row>
    <row r="168" spans="1:25" ht="31.5" thickTop="1" thickBot="1" x14ac:dyDescent="0.3">
      <c r="A168" s="51">
        <v>138702</v>
      </c>
      <c r="B168" s="51">
        <f>VLOOKUP($A168,'Выгр Кат'!$A:$R,B$1,0)</f>
        <v>7026</v>
      </c>
      <c r="C168" s="56" t="str">
        <f>VLOOKUP($A168,'Выгр Кат'!$A:$R,C$1,0)</f>
        <v>Бортовой компьютер Штат Priora Матрикс на Lada Priora</v>
      </c>
      <c r="D168" s="51" t="str">
        <f>VLOOKUP($A168,'Выгр Кат'!$A:$R,D$1,0)</f>
        <v>Y</v>
      </c>
      <c r="E168" s="51" t="str">
        <f>VLOOKUP($A168,'Выгр Кат'!$A:$R,E$1,0)</f>
        <v>1</v>
      </c>
      <c r="F168" s="51">
        <f>VLOOKUP($A168,'Выгр Кат'!$A:$R,F$1,0)</f>
        <v>0</v>
      </c>
      <c r="G168" s="51" t="s">
        <v>21</v>
      </c>
      <c r="H168" s="77" t="s">
        <v>527</v>
      </c>
      <c r="I168" s="26">
        <f>VLOOKUP(G168,ПРАЙС!B:C,2,0)</f>
        <v>4200</v>
      </c>
      <c r="J168" s="78">
        <f>VLOOKUP(I168,Наценка!$A$2:$B$9,2,1)</f>
        <v>1.29</v>
      </c>
      <c r="K168" s="64">
        <f t="shared" ref="K168" si="58">X168*1.05</f>
        <v>5764.5</v>
      </c>
      <c r="L168" s="80">
        <f t="shared" si="42"/>
        <v>5790</v>
      </c>
      <c r="M168" s="51">
        <f>VLOOKUP($A168,'Выгр Кат'!$A:$R,M$1,0)</f>
        <v>4200</v>
      </c>
      <c r="N168" s="51">
        <f>VLOOKUP($A168,'Выгр Кат'!$A:$R,N$1,0)</f>
        <v>5790</v>
      </c>
      <c r="O168" s="25">
        <f t="shared" si="40"/>
        <v>0</v>
      </c>
      <c r="P168" s="25">
        <f t="shared" si="41"/>
        <v>0</v>
      </c>
      <c r="Q168" s="1">
        <f t="shared" si="43"/>
        <v>5384.7</v>
      </c>
      <c r="R168" s="5">
        <f>IFERROR((VLOOKUP($A168,'Из ГУГЛа'!$B:$G,6,0)+T168)*S168,VLOOKUP($A168,'Из ГУГЛа'!$B:$G,6,0))</f>
        <v>5490</v>
      </c>
      <c r="S168" s="4">
        <v>1</v>
      </c>
      <c r="T168" s="4">
        <v>0</v>
      </c>
      <c r="U168" s="58">
        <f t="shared" si="44"/>
        <v>0.28207142857142853</v>
      </c>
      <c r="V168" s="58">
        <f t="shared" si="45"/>
        <v>1.918032786885249E-2</v>
      </c>
      <c r="W168" s="58">
        <f t="shared" si="46"/>
        <v>0.30714285714285716</v>
      </c>
      <c r="X168" s="156">
        <v>5490</v>
      </c>
      <c r="Y168" s="44" t="s">
        <v>771</v>
      </c>
    </row>
    <row r="169" spans="1:25" ht="31.5" thickTop="1" thickBot="1" x14ac:dyDescent="0.3">
      <c r="A169" s="51">
        <v>131499</v>
      </c>
      <c r="B169" s="51">
        <f>VLOOKUP($A169,'Выгр Кат'!$A:$R,B$1,0)</f>
        <v>24482</v>
      </c>
      <c r="C169" s="56" t="str">
        <f>VLOOKUP($A169,'Выгр Кат'!$A:$R,C$1,0)</f>
        <v>Автомобильный диагностический сканер-тестер "ШТАТ" ДСТ—EXPRESS</v>
      </c>
      <c r="D169" s="51" t="str">
        <f>VLOOKUP($A169,'Выгр Кат'!$A:$R,D$1,0)</f>
        <v>Y</v>
      </c>
      <c r="E169" s="51" t="str">
        <f>VLOOKUP($A169,'Выгр Кат'!$A:$R,E$1,0)</f>
        <v>1</v>
      </c>
      <c r="F169" s="51">
        <f>VLOOKUP($A169,'Выгр Кат'!$A:$R,F$1,0)</f>
        <v>0</v>
      </c>
      <c r="G169" s="51" t="s">
        <v>182</v>
      </c>
      <c r="H169" s="77" t="s">
        <v>527</v>
      </c>
      <c r="I169" s="26">
        <f>VLOOKUP(G169,ПРАЙС!B:C,2,0)</f>
        <v>3300</v>
      </c>
      <c r="J169" s="78">
        <f>VLOOKUP(I169,Наценка!$A$2:$B$9,2,1)</f>
        <v>1.29</v>
      </c>
      <c r="K169" s="63">
        <f>X169*1.04</f>
        <v>4461.6000000000004</v>
      </c>
      <c r="L169" s="80">
        <f t="shared" si="42"/>
        <v>4490</v>
      </c>
      <c r="M169" s="51">
        <f>VLOOKUP($A169,'Выгр Кат'!$A:$R,M$1,0)</f>
        <v>3300</v>
      </c>
      <c r="N169" s="51">
        <f>VLOOKUP($A169,'Выгр Кат'!$A:$R,N$1,0)</f>
        <v>4490</v>
      </c>
      <c r="O169" s="25">
        <f t="shared" si="40"/>
        <v>0</v>
      </c>
      <c r="P169" s="25">
        <f t="shared" si="41"/>
        <v>0</v>
      </c>
      <c r="Q169" s="1">
        <f t="shared" si="43"/>
        <v>4175.7</v>
      </c>
      <c r="R169" s="5">
        <f>IFERROR((VLOOKUP($A169,'Из ГУГЛа'!$B:$G,6,0)+T169)*S169,VLOOKUP($A169,'Из ГУГЛа'!$B:$G,6,0))</f>
        <v>4290</v>
      </c>
      <c r="S169" s="4">
        <v>1</v>
      </c>
      <c r="T169" s="4">
        <v>0</v>
      </c>
      <c r="U169" s="58">
        <f t="shared" si="44"/>
        <v>0.26536363636363625</v>
      </c>
      <c r="V169" s="58">
        <f t="shared" si="45"/>
        <v>2.6643356643356687E-2</v>
      </c>
      <c r="W169" s="58">
        <f t="shared" si="46"/>
        <v>0.30000000000000004</v>
      </c>
      <c r="X169" s="156">
        <v>4290</v>
      </c>
      <c r="Y169" s="44" t="s">
        <v>822</v>
      </c>
    </row>
    <row r="170" spans="1:25" ht="30.75" thickTop="1" x14ac:dyDescent="0.25">
      <c r="A170" s="51">
        <v>138635</v>
      </c>
      <c r="B170" s="51">
        <f>VLOOKUP($A170,'Выгр Кат'!$A:$R,B$1,0)</f>
        <v>7057</v>
      </c>
      <c r="C170" s="56" t="str">
        <f>VLOOKUP($A170,'Выгр Кат'!$A:$R,C$1,0)</f>
        <v>Бортовой компьютер "Штат" 115 X-24 RGB экран для ВАЗ 2108-21099, 2113-2115</v>
      </c>
      <c r="D170" s="51" t="str">
        <f>VLOOKUP($A170,'Выгр Кат'!$A:$R,D$1,0)</f>
        <v>Y</v>
      </c>
      <c r="E170" s="51" t="str">
        <f>VLOOKUP($A170,'Выгр Кат'!$A:$R,E$1,0)</f>
        <v>0</v>
      </c>
      <c r="F170" s="51">
        <f>VLOOKUP($A170,'Выгр Кат'!$A:$R,F$1,0)</f>
        <v>0</v>
      </c>
      <c r="G170" s="51" t="s">
        <v>30</v>
      </c>
      <c r="H170" s="77" t="s">
        <v>527</v>
      </c>
      <c r="I170" s="26">
        <f>VLOOKUP(G170,ПРАЙС!B:C,2,0)</f>
        <v>3900</v>
      </c>
      <c r="J170" s="78">
        <f>VLOOKUP(I170,Наценка!$A$2:$B$9,2,1)</f>
        <v>1.29</v>
      </c>
      <c r="K170" s="79">
        <f t="shared" si="50"/>
        <v>5031</v>
      </c>
      <c r="L170" s="80">
        <f t="shared" si="42"/>
        <v>5090</v>
      </c>
      <c r="M170" s="51">
        <f>VLOOKUP($A170,'Выгр Кат'!$A:$R,M$1,0)</f>
        <v>3900</v>
      </c>
      <c r="N170" s="51">
        <f>VLOOKUP($A170,'Выгр Кат'!$A:$R,N$1,0)</f>
        <v>5090</v>
      </c>
      <c r="O170" s="25">
        <f t="shared" si="40"/>
        <v>0</v>
      </c>
      <c r="P170" s="25">
        <f t="shared" si="41"/>
        <v>0</v>
      </c>
      <c r="Q170" s="1">
        <f t="shared" si="43"/>
        <v>4733.7</v>
      </c>
      <c r="R170" s="5" t="str">
        <f>IFERROR((VLOOKUP($A170,'Из ГУГЛа'!$B:$G,6,0)+T170)*S170,VLOOKUP($A170,'Из ГУГЛа'!$B:$G,6,0))</f>
        <v/>
      </c>
      <c r="S170" s="4">
        <v>1</v>
      </c>
      <c r="T170" s="4">
        <v>0</v>
      </c>
      <c r="U170" s="58">
        <f t="shared" si="44"/>
        <v>0.21376923076923071</v>
      </c>
      <c r="V170" s="58" t="str">
        <f t="shared" si="45"/>
        <v/>
      </c>
      <c r="W170" s="58" t="str">
        <f t="shared" si="46"/>
        <v/>
      </c>
      <c r="X170" s="154"/>
    </row>
    <row r="171" spans="1:25" ht="15.75" thickBot="1" x14ac:dyDescent="0.3">
      <c r="A171" s="51">
        <v>186317</v>
      </c>
      <c r="B171" s="51">
        <f>VLOOKUP($A171,'Выгр Кат'!$A:$R,B$1,0)</f>
        <v>7164</v>
      </c>
      <c r="C171" s="56" t="str">
        <f>VLOOKUP($A171,'Выгр Кат'!$A:$R,C$1,0)</f>
        <v>Парктроник Multitronics APT-4C</v>
      </c>
      <c r="D171" s="51" t="str">
        <f>VLOOKUP($A171,'Выгр Кат'!$A:$R,D$1,0)</f>
        <v>Y</v>
      </c>
      <c r="E171" s="51" t="str">
        <f>VLOOKUP($A171,'Выгр Кат'!$A:$R,E$1,0)</f>
        <v>0</v>
      </c>
      <c r="F171" s="51">
        <f>VLOOKUP($A171,'Выгр Кат'!$A:$R,F$1,0)</f>
        <v>0</v>
      </c>
      <c r="G171" s="51" t="s">
        <v>600</v>
      </c>
      <c r="H171" s="77" t="s">
        <v>527</v>
      </c>
      <c r="I171" s="26">
        <f>VLOOKUP(G171,ПРАЙС!B:C,2,0)</f>
        <v>3450</v>
      </c>
      <c r="J171" s="78">
        <f>VLOOKUP(I171,Наценка!$A$2:$B$9,2,1)</f>
        <v>1.29</v>
      </c>
      <c r="K171" s="64">
        <f>X171*1.05</f>
        <v>5449.5</v>
      </c>
      <c r="L171" s="80">
        <f t="shared" si="42"/>
        <v>5490</v>
      </c>
      <c r="M171" s="51">
        <f>VLOOKUP($A171,'Выгр Кат'!$A:$R,M$1,0)</f>
        <v>3450</v>
      </c>
      <c r="N171" s="51">
        <f>VLOOKUP($A171,'Выгр Кат'!$A:$R,N$1,0)</f>
        <v>5490</v>
      </c>
      <c r="O171" s="25">
        <f t="shared" si="40"/>
        <v>0</v>
      </c>
      <c r="P171" s="25">
        <f t="shared" si="41"/>
        <v>0</v>
      </c>
      <c r="Q171" s="1">
        <f t="shared" si="43"/>
        <v>5105.7</v>
      </c>
      <c r="R171" s="5" t="str">
        <f>IFERROR((VLOOKUP($A171,'Из ГУГЛа'!$B:$G,6,0)+T171)*S171,VLOOKUP($A171,'Из ГУГЛа'!$B:$G,6,0))</f>
        <v/>
      </c>
      <c r="S171" s="4">
        <v>1</v>
      </c>
      <c r="T171" s="4">
        <v>0</v>
      </c>
      <c r="U171" s="58">
        <f t="shared" si="44"/>
        <v>0.4799130434782608</v>
      </c>
      <c r="V171" s="58">
        <f t="shared" si="45"/>
        <v>1.6242774566474022E-2</v>
      </c>
      <c r="W171" s="58">
        <f t="shared" si="46"/>
        <v>0.5043478260869565</v>
      </c>
      <c r="X171" s="156">
        <v>5190</v>
      </c>
      <c r="Y171" s="44" t="s">
        <v>772</v>
      </c>
    </row>
    <row r="172" spans="1:25" ht="16.5" thickTop="1" thickBot="1" x14ac:dyDescent="0.3">
      <c r="A172" s="51">
        <v>218487</v>
      </c>
      <c r="B172" s="51">
        <f>VLOOKUP($A172,'Выгр Кат'!$A:$R,B$1,0)</f>
        <v>24548</v>
      </c>
      <c r="C172" s="56" t="str">
        <f>VLOOKUP($A172,'Выгр Кат'!$A:$R,C$1,0)</f>
        <v>Стробоскоп "ОРИОН" Вымпел СТ-04</v>
      </c>
      <c r="D172" s="51" t="str">
        <f>VLOOKUP($A172,'Выгр Кат'!$A:$R,D$1,0)</f>
        <v>Y</v>
      </c>
      <c r="E172" s="51" t="str">
        <f>VLOOKUP($A172,'Выгр Кат'!$A:$R,E$1,0)</f>
        <v>1</v>
      </c>
      <c r="F172" s="51">
        <f>VLOOKUP($A172,'Выгр Кат'!$A:$R,F$1,0)</f>
        <v>0</v>
      </c>
      <c r="G172" s="51" t="s">
        <v>148</v>
      </c>
      <c r="H172" s="77" t="s">
        <v>527</v>
      </c>
      <c r="I172" s="26">
        <f>VLOOKUP(G172,ПРАЙС!B:C,2,0)</f>
        <v>5000</v>
      </c>
      <c r="J172" s="78">
        <f>VLOOKUP(I172,Наценка!$A$2:$B$9,2,1)</f>
        <v>1.32</v>
      </c>
      <c r="K172" s="64">
        <f t="shared" ref="K172" si="59">X172*1.06</f>
        <v>6879.4000000000005</v>
      </c>
      <c r="L172" s="80">
        <f t="shared" si="42"/>
        <v>6890</v>
      </c>
      <c r="M172" s="51">
        <f>VLOOKUP($A172,'Выгр Кат'!$A:$R,M$1,0)</f>
        <v>5000</v>
      </c>
      <c r="N172" s="51">
        <f>VLOOKUP($A172,'Выгр Кат'!$A:$R,N$1,0)</f>
        <v>6890</v>
      </c>
      <c r="O172" s="25">
        <f t="shared" si="40"/>
        <v>0</v>
      </c>
      <c r="P172" s="25">
        <f t="shared" si="41"/>
        <v>0</v>
      </c>
      <c r="Q172" s="1">
        <f t="shared" si="43"/>
        <v>6407.7</v>
      </c>
      <c r="R172" s="5">
        <f>IFERROR((VLOOKUP($A172,'Из ГУГЛа'!$B:$G,6,0)+T172)*S172,VLOOKUP($A172,'Из ГУГЛа'!$B:$G,6,0))</f>
        <v>6490</v>
      </c>
      <c r="S172" s="4">
        <v>1</v>
      </c>
      <c r="T172" s="4">
        <v>0</v>
      </c>
      <c r="U172" s="58">
        <f t="shared" si="44"/>
        <v>0.2815399999999999</v>
      </c>
      <c r="V172" s="58">
        <f t="shared" si="45"/>
        <v>1.2681047765793556E-2</v>
      </c>
      <c r="W172" s="58">
        <f t="shared" si="46"/>
        <v>0.29800000000000004</v>
      </c>
      <c r="X172" s="156">
        <v>6490</v>
      </c>
      <c r="Y172" s="44" t="s">
        <v>941</v>
      </c>
    </row>
    <row r="173" spans="1:25" ht="30.75" thickTop="1" x14ac:dyDescent="0.25">
      <c r="A173" s="51">
        <v>143689</v>
      </c>
      <c r="B173" s="51">
        <f>VLOOKUP($A173,'Выгр Кат'!$A:$R,B$1,0)</f>
        <v>7175</v>
      </c>
      <c r="C173" s="56" t="str">
        <f>VLOOKUP($A173,'Выгр Кат'!$A:$R,C$1,0)</f>
        <v>Диагностический сканер тестер Штат ДСТ-2 для автомобилей Lada</v>
      </c>
      <c r="D173" s="51" t="str">
        <f>VLOOKUP($A173,'Выгр Кат'!$A:$R,D$1,0)</f>
        <v>Y</v>
      </c>
      <c r="E173" s="51" t="str">
        <f>VLOOKUP($A173,'Выгр Кат'!$A:$R,E$1,0)</f>
        <v>0</v>
      </c>
      <c r="F173" s="51">
        <f>VLOOKUP($A173,'Выгр Кат'!$A:$R,F$1,0)</f>
        <v>0</v>
      </c>
      <c r="G173" s="51" t="s">
        <v>14</v>
      </c>
      <c r="H173" s="77" t="s">
        <v>527</v>
      </c>
      <c r="I173" s="2">
        <f>M173</f>
        <v>4500</v>
      </c>
      <c r="J173" s="78">
        <f>VLOOKUP(I173,Наценка!$A$2:$B$9,2,1)</f>
        <v>1.29</v>
      </c>
      <c r="K173" s="79">
        <f t="shared" si="50"/>
        <v>5805</v>
      </c>
      <c r="L173" s="80">
        <f t="shared" si="42"/>
        <v>5890</v>
      </c>
      <c r="M173" s="51">
        <f>VLOOKUP($A173,'Выгр Кат'!$A:$R,M$1,0)</f>
        <v>4500</v>
      </c>
      <c r="N173" s="51">
        <f>VLOOKUP($A173,'Выгр Кат'!$A:$R,N$1,0)</f>
        <v>5890</v>
      </c>
      <c r="O173" s="25">
        <f t="shared" si="40"/>
        <v>0</v>
      </c>
      <c r="P173" s="25">
        <f t="shared" si="41"/>
        <v>0</v>
      </c>
      <c r="Q173" s="1">
        <f t="shared" si="43"/>
        <v>5477.7</v>
      </c>
      <c r="R173" s="5" t="str">
        <f>IFERROR((VLOOKUP($A173,'Из ГУГЛа'!$B:$G,6,0)+T173)*S173,VLOOKUP($A173,'Из ГУГЛа'!$B:$G,6,0))</f>
        <v/>
      </c>
      <c r="S173" s="4">
        <v>1</v>
      </c>
      <c r="T173" s="4">
        <v>0</v>
      </c>
      <c r="U173" s="58">
        <f t="shared" si="44"/>
        <v>0.21726666666666672</v>
      </c>
      <c r="V173" s="58" t="str">
        <f t="shared" si="45"/>
        <v/>
      </c>
      <c r="W173" s="58" t="str">
        <f t="shared" si="46"/>
        <v/>
      </c>
      <c r="X173" s="154"/>
    </row>
    <row r="174" spans="1:25" ht="30.75" thickBot="1" x14ac:dyDescent="0.3">
      <c r="A174" s="51">
        <v>214015</v>
      </c>
      <c r="B174" s="51">
        <f>VLOOKUP($A174,'Выгр Кат'!$A:$R,B$1,0)</f>
        <v>7176</v>
      </c>
      <c r="C174" s="56" t="str">
        <f>VLOOKUP($A174,'Выгр Кат'!$A:$R,C$1,0)</f>
        <v>Сканер-тестер S7000HL4 для диагностики Лада, ГАЗ</v>
      </c>
      <c r="D174" s="51" t="str">
        <f>VLOOKUP($A174,'Выгр Кат'!$A:$R,D$1,0)</f>
        <v>Y</v>
      </c>
      <c r="E174" s="51" t="str">
        <f>VLOOKUP($A174,'Выгр Кат'!$A:$R,E$1,0)</f>
        <v>1</v>
      </c>
      <c r="F174" s="51">
        <f>VLOOKUP($A174,'Выгр Кат'!$A:$R,F$1,0)</f>
        <v>0</v>
      </c>
      <c r="G174" s="51" t="s">
        <v>516</v>
      </c>
      <c r="H174" s="77" t="s">
        <v>527</v>
      </c>
      <c r="I174" s="26">
        <f>VLOOKUP(G174,ПРАЙС!B:C,2,0)</f>
        <v>4500</v>
      </c>
      <c r="J174" s="78">
        <f>VLOOKUP(I174,Наценка!$A$2:$B$9,2,1)</f>
        <v>1.29</v>
      </c>
      <c r="K174" s="64">
        <f>X174*1.06</f>
        <v>6243.4000000000005</v>
      </c>
      <c r="L174" s="80">
        <f t="shared" si="42"/>
        <v>6290</v>
      </c>
      <c r="M174" s="51">
        <f>VLOOKUP($A174,'Выгр Кат'!$A:$R,M$1,0)</f>
        <v>4500</v>
      </c>
      <c r="N174" s="51">
        <f>VLOOKUP($A174,'Выгр Кат'!$A:$R,N$1,0)</f>
        <v>6290</v>
      </c>
      <c r="O174" s="25">
        <f t="shared" si="40"/>
        <v>0</v>
      </c>
      <c r="P174" s="25">
        <f t="shared" si="41"/>
        <v>0</v>
      </c>
      <c r="Q174" s="1">
        <f t="shared" si="43"/>
        <v>5849.7</v>
      </c>
      <c r="R174" s="5">
        <f>IFERROR((VLOOKUP($A174,'Из ГУГЛа'!$B:$G,6,0)+T174)*S174,VLOOKUP($A174,'Из ГУГЛа'!$B:$G,6,0))</f>
        <v>5890</v>
      </c>
      <c r="S174" s="4">
        <v>1</v>
      </c>
      <c r="T174" s="4">
        <v>0</v>
      </c>
      <c r="U174" s="58">
        <f t="shared" si="44"/>
        <v>0.29993333333333339</v>
      </c>
      <c r="V174" s="58">
        <f t="shared" si="45"/>
        <v>6.8421052631579254E-3</v>
      </c>
      <c r="W174" s="58">
        <f t="shared" si="46"/>
        <v>0.30888888888888899</v>
      </c>
      <c r="X174" s="156">
        <v>5890</v>
      </c>
      <c r="Y174" s="44" t="s">
        <v>848</v>
      </c>
    </row>
    <row r="175" spans="1:25" ht="31.5" thickTop="1" thickBot="1" x14ac:dyDescent="0.3">
      <c r="A175" s="51">
        <v>201038</v>
      </c>
      <c r="B175" s="51">
        <f>VLOOKUP($A175,'Выгр Кат'!$A:$R,B$1,0)</f>
        <v>7264</v>
      </c>
      <c r="C175" s="56" t="str">
        <f>VLOOKUP($A175,'Выгр Кат'!$A:$R,C$1,0)</f>
        <v>Прибор для проверки модулей зажигания СПМЗ-3</v>
      </c>
      <c r="D175" s="51" t="str">
        <f>VLOOKUP($A175,'Выгр Кат'!$A:$R,D$1,0)</f>
        <v>Y</v>
      </c>
      <c r="E175" s="51" t="str">
        <f>VLOOKUP($A175,'Выгр Кат'!$A:$R,E$1,0)</f>
        <v>1</v>
      </c>
      <c r="F175" s="51">
        <f>VLOOKUP($A175,'Выгр Кат'!$A:$R,F$1,0)</f>
        <v>0</v>
      </c>
      <c r="G175" s="51" t="s">
        <v>494</v>
      </c>
      <c r="H175" s="77" t="s">
        <v>527</v>
      </c>
      <c r="I175" s="26">
        <f>VLOOKUP(G175,ПРАЙС!B:C,2,0)</f>
        <v>5950</v>
      </c>
      <c r="J175" s="78">
        <f>VLOOKUP(I175,Наценка!$A$2:$B$9,2,1)</f>
        <v>1.32</v>
      </c>
      <c r="K175" s="65">
        <f t="shared" ref="K175" si="60">X175*1.07</f>
        <v>7693.3</v>
      </c>
      <c r="L175" s="80">
        <f t="shared" si="42"/>
        <v>7690</v>
      </c>
      <c r="M175" s="51">
        <f>VLOOKUP($A175,'Выгр Кат'!$A:$R,M$1,0)</f>
        <v>5950</v>
      </c>
      <c r="N175" s="51">
        <f>VLOOKUP($A175,'Выгр Кат'!$A:$R,N$1,0)</f>
        <v>7690</v>
      </c>
      <c r="O175" s="25">
        <f t="shared" si="40"/>
        <v>0</v>
      </c>
      <c r="P175" s="25">
        <f t="shared" si="41"/>
        <v>0</v>
      </c>
      <c r="Q175" s="1">
        <f t="shared" si="43"/>
        <v>7151.7</v>
      </c>
      <c r="R175" s="5">
        <f>IFERROR((VLOOKUP($A175,'Из ГУГЛа'!$B:$G,6,0)+T175)*S175,VLOOKUP($A175,'Из ГУГЛа'!$B:$G,6,0))</f>
        <v>7190</v>
      </c>
      <c r="S175" s="4">
        <v>1</v>
      </c>
      <c r="T175" s="4">
        <v>0</v>
      </c>
      <c r="U175" s="58">
        <f t="shared" si="44"/>
        <v>0.20196638655462174</v>
      </c>
      <c r="V175" s="58">
        <f t="shared" si="45"/>
        <v>5.3268428372740166E-3</v>
      </c>
      <c r="W175" s="58">
        <f t="shared" si="46"/>
        <v>0.20840336134453774</v>
      </c>
      <c r="X175" s="156">
        <v>7190</v>
      </c>
      <c r="Y175" s="44" t="s">
        <v>780</v>
      </c>
    </row>
    <row r="176" spans="1:25" ht="16.5" thickTop="1" thickBot="1" x14ac:dyDescent="0.3">
      <c r="A176" s="51">
        <v>138633</v>
      </c>
      <c r="B176" s="51">
        <f>VLOOKUP($A176,'Выгр Кат'!$A:$R,B$1,0)</f>
        <v>7018</v>
      </c>
      <c r="C176" s="56" t="str">
        <f>VLOOKUP($A176,'Выгр Кат'!$A:$R,C$1,0)</f>
        <v>Бортовой компьютер "Multitronics" SL-50V</v>
      </c>
      <c r="D176" s="51" t="str">
        <f>VLOOKUP($A176,'Выгр Кат'!$A:$R,D$1,0)</f>
        <v>Y</v>
      </c>
      <c r="E176" s="51" t="str">
        <f>VLOOKUP($A176,'Выгр Кат'!$A:$R,E$1,0)</f>
        <v>1</v>
      </c>
      <c r="F176" s="51">
        <f>VLOOKUP($A176,'Выгр Кат'!$A:$R,F$1,0)</f>
        <v>0</v>
      </c>
      <c r="G176" s="51" t="s">
        <v>66</v>
      </c>
      <c r="H176" s="77" t="s">
        <v>527</v>
      </c>
      <c r="I176" s="26">
        <f>VLOOKUP(G176,ПРАЙС!B:C,2,0)</f>
        <v>5700</v>
      </c>
      <c r="J176" s="78">
        <f>VLOOKUP(I176,Наценка!$A$2:$B$9,2,1)</f>
        <v>1.32</v>
      </c>
      <c r="K176" s="87">
        <f>I176*1.15*100/91</f>
        <v>7203.2967032967017</v>
      </c>
      <c r="L176" s="80">
        <f t="shared" si="42"/>
        <v>7290</v>
      </c>
      <c r="M176" s="51">
        <f>VLOOKUP($A176,'Выгр Кат'!$A:$R,M$1,0)</f>
        <v>5700</v>
      </c>
      <c r="N176" s="51">
        <f>VLOOKUP($A176,'Выгр Кат'!$A:$R,N$1,0)</f>
        <v>7390</v>
      </c>
      <c r="O176" s="25">
        <f t="shared" si="40"/>
        <v>0</v>
      </c>
      <c r="P176" s="25">
        <f t="shared" si="41"/>
        <v>100</v>
      </c>
      <c r="Q176" s="1">
        <f t="shared" si="43"/>
        <v>6779.7</v>
      </c>
      <c r="R176" s="5">
        <f>IFERROR((VLOOKUP($A176,'Из ГУГЛа'!$B:$G,6,0)+T176)*S176,VLOOKUP($A176,'Из ГУГЛа'!$B:$G,6,0))</f>
        <v>6790</v>
      </c>
      <c r="S176" s="4">
        <v>1</v>
      </c>
      <c r="T176" s="4">
        <v>0</v>
      </c>
      <c r="U176" s="58">
        <f t="shared" si="44"/>
        <v>0.18942105263157893</v>
      </c>
      <c r="V176" s="58">
        <f t="shared" si="45"/>
        <v>1.5169366715758737E-3</v>
      </c>
      <c r="W176" s="58">
        <f t="shared" si="46"/>
        <v>0.19122807017543852</v>
      </c>
      <c r="X176" s="156">
        <v>6790</v>
      </c>
      <c r="Y176" s="44" t="s">
        <v>940</v>
      </c>
    </row>
    <row r="177" spans="1:25" ht="31.5" thickTop="1" thickBot="1" x14ac:dyDescent="0.3">
      <c r="A177" s="51">
        <v>138710</v>
      </c>
      <c r="B177" s="51">
        <f>VLOOKUP($A177,'Выгр Кат'!$A:$R,B$1,0)</f>
        <v>7029</v>
      </c>
      <c r="C177" s="56" t="str">
        <f>VLOOKUP($A177,'Выгр Кат'!$A:$R,C$1,0)</f>
        <v>Бортовой компьютер Штат UniComp-600 на Lada и иномарки</v>
      </c>
      <c r="D177" s="51" t="str">
        <f>VLOOKUP($A177,'Выгр Кат'!$A:$R,D$1,0)</f>
        <v>Y</v>
      </c>
      <c r="E177" s="51" t="str">
        <f>VLOOKUP($A177,'Выгр Кат'!$A:$R,E$1,0)</f>
        <v>0</v>
      </c>
      <c r="F177" s="51">
        <f>VLOOKUP($A177,'Выгр Кат'!$A:$R,F$1,0)</f>
        <v>0</v>
      </c>
      <c r="G177" s="51" t="s">
        <v>16</v>
      </c>
      <c r="H177" s="77" t="s">
        <v>527</v>
      </c>
      <c r="I177" s="2">
        <f>M177</f>
        <v>4700</v>
      </c>
      <c r="J177" s="78">
        <f>VLOOKUP(I177,Наценка!$A$2:$B$9,2,1)</f>
        <v>1.29</v>
      </c>
      <c r="K177" s="79">
        <f t="shared" si="50"/>
        <v>6063</v>
      </c>
      <c r="L177" s="80">
        <f t="shared" si="42"/>
        <v>6090</v>
      </c>
      <c r="M177" s="51">
        <f>VLOOKUP($A177,'Выгр Кат'!$A:$R,M$1,0)</f>
        <v>4700</v>
      </c>
      <c r="N177" s="51">
        <f>VLOOKUP($A177,'Выгр Кат'!$A:$R,N$1,0)</f>
        <v>6090</v>
      </c>
      <c r="O177" s="25">
        <f t="shared" si="40"/>
        <v>0</v>
      </c>
      <c r="P177" s="25">
        <f t="shared" si="41"/>
        <v>0</v>
      </c>
      <c r="Q177" s="1">
        <f t="shared" si="43"/>
        <v>5663.7</v>
      </c>
      <c r="R177" s="5" t="str">
        <f>IFERROR((VLOOKUP($A177,'Из ГУГЛа'!$B:$G,6,0)+T177)*S177,VLOOKUP($A177,'Из ГУГЛа'!$B:$G,6,0))</f>
        <v/>
      </c>
      <c r="S177" s="4">
        <v>1</v>
      </c>
      <c r="T177" s="4">
        <v>0</v>
      </c>
      <c r="U177" s="58">
        <f t="shared" si="44"/>
        <v>0.20504255319148923</v>
      </c>
      <c r="V177" s="58" t="str">
        <f t="shared" si="45"/>
        <v/>
      </c>
      <c r="W177" s="58" t="str">
        <f t="shared" si="46"/>
        <v/>
      </c>
      <c r="X177" s="156" t="s">
        <v>929</v>
      </c>
    </row>
    <row r="178" spans="1:25" ht="31.5" thickTop="1" thickBot="1" x14ac:dyDescent="0.3">
      <c r="A178" s="51">
        <v>138716</v>
      </c>
      <c r="B178" s="51">
        <f>VLOOKUP($A178,'Выгр Кат'!$A:$R,B$1,0)</f>
        <v>7077</v>
      </c>
      <c r="C178" s="56" t="str">
        <f>VLOOKUP($A178,'Выгр Кат'!$A:$R,C$1,0)</f>
        <v>Бортовой компьютер ШТАТ Шеви Вектор (без голоса) на Niva Chevrolet</v>
      </c>
      <c r="D178" s="51" t="str">
        <f>VLOOKUP($A178,'Выгр Кат'!$A:$R,D$1,0)</f>
        <v>Y</v>
      </c>
      <c r="E178" s="51" t="str">
        <f>VLOOKUP($A178,'Выгр Кат'!$A:$R,E$1,0)</f>
        <v>1</v>
      </c>
      <c r="F178" s="51">
        <f>VLOOKUP($A178,'Выгр Кат'!$A:$R,F$1,0)</f>
        <v>0</v>
      </c>
      <c r="G178" s="51" t="s">
        <v>393</v>
      </c>
      <c r="H178" s="77" t="s">
        <v>527</v>
      </c>
      <c r="I178" s="26">
        <f>VLOOKUP(G178,ПРАЙС!B:C,2,0)</f>
        <v>4800</v>
      </c>
      <c r="J178" s="78">
        <f>VLOOKUP(I178,Наценка!$A$2:$B$9,2,1)</f>
        <v>1.29</v>
      </c>
      <c r="K178" s="64">
        <f>X178*1.06</f>
        <v>6561.4000000000005</v>
      </c>
      <c r="L178" s="80">
        <f t="shared" si="42"/>
        <v>6590</v>
      </c>
      <c r="M178" s="51">
        <f>VLOOKUP($A178,'Выгр Кат'!$A:$R,M$1,0)</f>
        <v>4800</v>
      </c>
      <c r="N178" s="51">
        <f>VLOOKUP($A178,'Выгр Кат'!$A:$R,N$1,0)</f>
        <v>6590</v>
      </c>
      <c r="O178" s="25">
        <f t="shared" si="40"/>
        <v>0</v>
      </c>
      <c r="P178" s="25">
        <f t="shared" si="41"/>
        <v>0</v>
      </c>
      <c r="Q178" s="1">
        <f t="shared" si="43"/>
        <v>6128.7</v>
      </c>
      <c r="R178" s="5">
        <f>IFERROR((VLOOKUP($A178,'Из ГУГЛа'!$B:$G,6,0)+T178)*S178,VLOOKUP($A178,'Из ГУГЛа'!$B:$G,6,0))</f>
        <v>6190</v>
      </c>
      <c r="S178" s="4">
        <v>1</v>
      </c>
      <c r="T178" s="4">
        <v>0</v>
      </c>
      <c r="U178" s="58">
        <f t="shared" si="44"/>
        <v>0.27681249999999991</v>
      </c>
      <c r="V178" s="58">
        <f t="shared" si="45"/>
        <v>9.9030694668820977E-3</v>
      </c>
      <c r="W178" s="58">
        <f t="shared" si="46"/>
        <v>0.2895833333333333</v>
      </c>
      <c r="X178" s="156">
        <v>6190</v>
      </c>
      <c r="Y178" s="44" t="s">
        <v>784</v>
      </c>
    </row>
    <row r="179" spans="1:25" ht="27.75" thickTop="1" thickBot="1" x14ac:dyDescent="0.3">
      <c r="A179" s="51">
        <v>138669</v>
      </c>
      <c r="B179" s="51">
        <f>VLOOKUP($A179,'Выгр Кат'!$A:$R,B$1,0)</f>
        <v>7084</v>
      </c>
      <c r="C179" s="56" t="str">
        <f>VLOOKUP($A179,'Выгр Кат'!$A:$R,C$1,0)</f>
        <v>Бортовой компьютер Multitronics SL-50</v>
      </c>
      <c r="D179" s="51" t="str">
        <f>VLOOKUP($A179,'Выгр Кат'!$A:$R,D$1,0)</f>
        <v>Y</v>
      </c>
      <c r="E179" s="51" t="str">
        <f>VLOOKUP($A179,'Выгр Кат'!$A:$R,E$1,0)</f>
        <v>1</v>
      </c>
      <c r="F179" s="51">
        <f>VLOOKUP($A179,'Выгр Кат'!$A:$R,F$1,0)</f>
        <v>0</v>
      </c>
      <c r="G179" s="51"/>
      <c r="H179" s="77" t="s">
        <v>527</v>
      </c>
      <c r="I179" s="26" t="e">
        <f>VLOOKUP(G179,ПРАЙС!B:C,2,0)</f>
        <v>#N/A</v>
      </c>
      <c r="J179" s="78" t="e">
        <f>VLOOKUP(I179,Наценка!$A$2:$B$9,2,1)</f>
        <v>#N/A</v>
      </c>
      <c r="K179" s="79" t="e">
        <f t="shared" si="50"/>
        <v>#N/A</v>
      </c>
      <c r="L179" s="80" t="e">
        <f t="shared" si="42"/>
        <v>#N/A</v>
      </c>
      <c r="M179" s="51">
        <f>VLOOKUP($A179,'Выгр Кат'!$A:$R,M$1,0)</f>
        <v>5700</v>
      </c>
      <c r="N179" s="51">
        <f>VLOOKUP($A179,'Выгр Кат'!$A:$R,N$1,0)</f>
        <v>7590</v>
      </c>
      <c r="O179" s="25" t="e">
        <f t="shared" si="40"/>
        <v>#N/A</v>
      </c>
      <c r="P179" s="25" t="e">
        <f t="shared" si="41"/>
        <v>#N/A</v>
      </c>
      <c r="Q179" s="1" t="str">
        <f t="shared" si="43"/>
        <v/>
      </c>
      <c r="R179" s="5" t="str">
        <f>IFERROR((VLOOKUP($A179,'Из ГУГЛа'!$B:$G,6,0)+T179)*S179,VLOOKUP($A179,'Из ГУГЛа'!$B:$G,6,0))</f>
        <v/>
      </c>
      <c r="S179" s="4">
        <v>1</v>
      </c>
      <c r="T179" s="4">
        <v>0</v>
      </c>
      <c r="U179" s="58" t="str">
        <f t="shared" si="44"/>
        <v/>
      </c>
      <c r="V179" s="58" t="str">
        <f t="shared" si="45"/>
        <v/>
      </c>
      <c r="W179" s="58" t="str">
        <f t="shared" si="46"/>
        <v/>
      </c>
      <c r="X179" s="156" t="s">
        <v>928</v>
      </c>
    </row>
    <row r="180" spans="1:25" ht="31.5" thickTop="1" thickBot="1" x14ac:dyDescent="0.3">
      <c r="A180" s="51">
        <v>201028</v>
      </c>
      <c r="B180" s="51">
        <f>VLOOKUP($A180,'Выгр Кат'!$A:$R,B$1,0)</f>
        <v>7222</v>
      </c>
      <c r="C180" s="56" t="str">
        <f>VLOOKUP($A180,'Выгр Кат'!$A:$R,C$1,0)</f>
        <v>Преобразователь напряжения (розетка автомобильная) 12/220 Орион ПН-70 900W</v>
      </c>
      <c r="D180" s="51" t="str">
        <f>VLOOKUP($A180,'Выгр Кат'!$A:$R,D$1,0)</f>
        <v>Y</v>
      </c>
      <c r="E180" s="51" t="str">
        <f>VLOOKUP($A180,'Выгр Кат'!$A:$R,E$1,0)</f>
        <v>1</v>
      </c>
      <c r="F180" s="51">
        <f>VLOOKUP($A180,'Выгр Кат'!$A:$R,F$1,0)</f>
        <v>0</v>
      </c>
      <c r="G180" s="51" t="s">
        <v>454</v>
      </c>
      <c r="H180" s="77" t="s">
        <v>527</v>
      </c>
      <c r="I180" s="26">
        <f>VLOOKUP(G180,ПРАЙС!B:C,2,0)</f>
        <v>6150</v>
      </c>
      <c r="J180" s="78">
        <f>VLOOKUP(I180,Наценка!$A$2:$B$9,2,1)</f>
        <v>1.32</v>
      </c>
      <c r="K180" s="79">
        <f t="shared" si="50"/>
        <v>8118</v>
      </c>
      <c r="L180" s="80">
        <f t="shared" si="42"/>
        <v>8190</v>
      </c>
      <c r="M180" s="51">
        <f>VLOOKUP($A180,'Выгр Кат'!$A:$R,M$1,0)</f>
        <v>6150</v>
      </c>
      <c r="N180" s="51">
        <f>VLOOKUP($A180,'Выгр Кат'!$A:$R,N$1,0)</f>
        <v>8190</v>
      </c>
      <c r="O180" s="25">
        <f t="shared" si="40"/>
        <v>0</v>
      </c>
      <c r="P180" s="25">
        <f t="shared" si="41"/>
        <v>0</v>
      </c>
      <c r="Q180" s="1">
        <f t="shared" si="43"/>
        <v>7616.7</v>
      </c>
      <c r="R180" s="5" t="str">
        <f>IFERROR((VLOOKUP($A180,'Из ГУГЛа'!$B:$G,6,0)+T180)*S180,VLOOKUP($A180,'Из ГУГЛа'!$B:$G,6,0))</f>
        <v/>
      </c>
      <c r="S180" s="4">
        <v>1</v>
      </c>
      <c r="T180" s="4">
        <v>0</v>
      </c>
      <c r="U180" s="58">
        <f t="shared" si="44"/>
        <v>0.23848780487804877</v>
      </c>
      <c r="V180" s="58" t="str">
        <f t="shared" si="45"/>
        <v/>
      </c>
      <c r="W180" s="58" t="str">
        <f t="shared" si="46"/>
        <v/>
      </c>
      <c r="X180" s="156" t="s">
        <v>928</v>
      </c>
    </row>
    <row r="181" spans="1:25" ht="16.5" thickTop="1" thickBot="1" x14ac:dyDescent="0.3">
      <c r="A181" s="51">
        <v>202081</v>
      </c>
      <c r="B181" s="51">
        <f>VLOOKUP($A181,'Выгр Кат'!$A:$R,B$1,0)</f>
        <v>7299</v>
      </c>
      <c r="C181" s="56" t="str">
        <f>VLOOKUP($A181,'Выгр Кат'!$A:$R,C$1,0)</f>
        <v>Пуско-зарядное устройство Орион PW-700</v>
      </c>
      <c r="D181" s="51" t="str">
        <f>VLOOKUP($A181,'Выгр Кат'!$A:$R,D$1,0)</f>
        <v>Y</v>
      </c>
      <c r="E181" s="51" t="str">
        <f>VLOOKUP($A181,'Выгр Кат'!$A:$R,E$1,0)</f>
        <v>1</v>
      </c>
      <c r="F181" s="51">
        <f>VLOOKUP($A181,'Выгр Кат'!$A:$R,F$1,0)</f>
        <v>0</v>
      </c>
      <c r="G181" s="51" t="s">
        <v>194</v>
      </c>
      <c r="H181" s="77" t="s">
        <v>527</v>
      </c>
      <c r="I181" s="26">
        <f>VLOOKUP(G181,ПРАЙС!B:C,2,0)</f>
        <v>6400</v>
      </c>
      <c r="J181" s="78">
        <f>VLOOKUP(I181,Наценка!$A$2:$B$9,2,1)</f>
        <v>1.32</v>
      </c>
      <c r="K181" s="64">
        <f>X181*1.06</f>
        <v>8787.4</v>
      </c>
      <c r="L181" s="80">
        <f t="shared" si="42"/>
        <v>8790</v>
      </c>
      <c r="M181" s="51">
        <f>VLOOKUP($A181,'Выгр Кат'!$A:$R,M$1,0)</f>
        <v>6400</v>
      </c>
      <c r="N181" s="51">
        <f>VLOOKUP($A181,'Выгр Кат'!$A:$R,N$1,0)</f>
        <v>8790</v>
      </c>
      <c r="O181" s="25">
        <f t="shared" si="40"/>
        <v>0</v>
      </c>
      <c r="P181" s="25">
        <f t="shared" si="41"/>
        <v>0</v>
      </c>
      <c r="Q181" s="1">
        <f t="shared" si="43"/>
        <v>8174.7</v>
      </c>
      <c r="R181" s="5">
        <f>IFERROR((VLOOKUP($A181,'Из ГУГЛа'!$B:$G,6,0)+T181)*S181,VLOOKUP($A181,'Из ГУГЛа'!$B:$G,6,0))</f>
        <v>8290</v>
      </c>
      <c r="S181" s="4">
        <v>1</v>
      </c>
      <c r="T181" s="4">
        <v>0</v>
      </c>
      <c r="U181" s="58">
        <f t="shared" si="44"/>
        <v>0.277296875</v>
      </c>
      <c r="V181" s="58">
        <f t="shared" si="45"/>
        <v>1.3908323281061542E-2</v>
      </c>
      <c r="W181" s="58">
        <f t="shared" si="46"/>
        <v>0.29531250000000009</v>
      </c>
      <c r="X181" s="156">
        <v>8290</v>
      </c>
      <c r="Y181" s="44" t="s">
        <v>781</v>
      </c>
    </row>
    <row r="182" spans="1:25" ht="31.5" thickTop="1" thickBot="1" x14ac:dyDescent="0.3">
      <c r="A182" s="51">
        <v>138715</v>
      </c>
      <c r="B182" s="51">
        <f>VLOOKUP($A182,'Выгр Кат'!$A:$R,B$1,0)</f>
        <v>7076</v>
      </c>
      <c r="C182" s="56" t="str">
        <f>VLOOKUP($A182,'Выгр Кат'!$A:$R,C$1,0)</f>
        <v>Бортовой компьютер Штат Шеви MATRIX-М на Niva Chevrolet</v>
      </c>
      <c r="D182" s="51" t="str">
        <f>VLOOKUP($A182,'Выгр Кат'!$A:$R,D$1,0)</f>
        <v>Y</v>
      </c>
      <c r="E182" s="51" t="str">
        <f>VLOOKUP($A182,'Выгр Кат'!$A:$R,E$1,0)</f>
        <v>1</v>
      </c>
      <c r="F182" s="51">
        <f>VLOOKUP($A182,'Выгр Кат'!$A:$R,F$1,0)</f>
        <v>0</v>
      </c>
      <c r="G182" s="51" t="s">
        <v>22</v>
      </c>
      <c r="H182" s="77" t="s">
        <v>527</v>
      </c>
      <c r="I182" s="26">
        <f>VLOOKUP(G182,ПРАЙС!B:C,2,0)</f>
        <v>5500</v>
      </c>
      <c r="J182" s="78">
        <f>VLOOKUP(I182,Наценка!$A$2:$B$9,2,1)</f>
        <v>1.32</v>
      </c>
      <c r="K182" s="65">
        <f t="shared" ref="K182" si="61">X182*1.07</f>
        <v>7693.3</v>
      </c>
      <c r="L182" s="80">
        <f t="shared" si="42"/>
        <v>7690</v>
      </c>
      <c r="M182" s="51">
        <f>VLOOKUP($A182,'Выгр Кат'!$A:$R,M$1,0)</f>
        <v>5500</v>
      </c>
      <c r="N182" s="51">
        <f>VLOOKUP($A182,'Выгр Кат'!$A:$R,N$1,0)</f>
        <v>7690</v>
      </c>
      <c r="O182" s="25">
        <f t="shared" si="40"/>
        <v>0</v>
      </c>
      <c r="P182" s="25">
        <f t="shared" si="41"/>
        <v>0</v>
      </c>
      <c r="Q182" s="1">
        <f t="shared" si="43"/>
        <v>7151.7</v>
      </c>
      <c r="R182" s="5">
        <f>IFERROR((VLOOKUP($A182,'Из ГУГЛа'!$B:$G,6,0)+T182)*S182,VLOOKUP($A182,'Из ГУГЛа'!$B:$G,6,0))</f>
        <v>7190</v>
      </c>
      <c r="S182" s="4">
        <v>1</v>
      </c>
      <c r="T182" s="4">
        <v>0</v>
      </c>
      <c r="U182" s="58">
        <f t="shared" si="44"/>
        <v>0.30030909090909086</v>
      </c>
      <c r="V182" s="58">
        <f t="shared" si="45"/>
        <v>5.3268428372740166E-3</v>
      </c>
      <c r="W182" s="58">
        <f t="shared" si="46"/>
        <v>0.30727272727272736</v>
      </c>
      <c r="X182" s="156">
        <v>7190</v>
      </c>
      <c r="Y182" s="44" t="s">
        <v>821</v>
      </c>
    </row>
    <row r="183" spans="1:25" ht="30.75" thickTop="1" x14ac:dyDescent="0.25">
      <c r="A183" s="51">
        <v>138665</v>
      </c>
      <c r="B183" s="51">
        <f>VLOOKUP($A183,'Выгр Кат'!$A:$R,B$1,0)</f>
        <v>7019</v>
      </c>
      <c r="C183" s="56" t="str">
        <f>VLOOKUP($A183,'Выгр Кат'!$A:$R,C$1,0)</f>
        <v>Бортовой компьютер Multitronics MPC-800 автономный на Lada и иномарки</v>
      </c>
      <c r="D183" s="51" t="str">
        <f>VLOOKUP($A183,'Выгр Кат'!$A:$R,D$1,0)</f>
        <v>Y</v>
      </c>
      <c r="E183" s="51" t="str">
        <f>VLOOKUP($A183,'Выгр Кат'!$A:$R,E$1,0)</f>
        <v>0</v>
      </c>
      <c r="F183" s="51">
        <f>VLOOKUP($A183,'Выгр Кат'!$A:$R,F$1,0)</f>
        <v>0</v>
      </c>
      <c r="G183" s="51" t="s">
        <v>878</v>
      </c>
      <c r="H183" s="77" t="s">
        <v>527</v>
      </c>
      <c r="I183" s="26">
        <f>VLOOKUP(G183,ПРАЙС!B:C,2,0)</f>
        <v>6300</v>
      </c>
      <c r="J183" s="78">
        <f>VLOOKUP(I183,Наценка!$A$2:$B$9,2,1)</f>
        <v>1.32</v>
      </c>
      <c r="K183" s="79">
        <f t="shared" si="50"/>
        <v>8316</v>
      </c>
      <c r="L183" s="80">
        <f t="shared" si="42"/>
        <v>8390</v>
      </c>
      <c r="M183" s="51">
        <f>VLOOKUP($A183,'Выгр Кат'!$A:$R,M$1,0)</f>
        <v>6300</v>
      </c>
      <c r="N183" s="51">
        <f>VLOOKUP($A183,'Выгр Кат'!$A:$R,N$1,0)</f>
        <v>8390</v>
      </c>
      <c r="O183" s="25">
        <f t="shared" si="40"/>
        <v>0</v>
      </c>
      <c r="P183" s="25">
        <f t="shared" si="41"/>
        <v>0</v>
      </c>
      <c r="Q183" s="1">
        <f t="shared" si="43"/>
        <v>7802.7</v>
      </c>
      <c r="R183" s="5" t="str">
        <f>IFERROR((VLOOKUP($A183,'Из ГУГЛа'!$B:$G,6,0)+T183)*S183,VLOOKUP($A183,'Из ГУГЛа'!$B:$G,6,0))</f>
        <v/>
      </c>
      <c r="S183" s="4">
        <v>1</v>
      </c>
      <c r="T183" s="4">
        <v>0</v>
      </c>
      <c r="U183" s="58">
        <f t="shared" si="44"/>
        <v>0.23852380952380958</v>
      </c>
      <c r="V183" s="58" t="str">
        <f t="shared" si="45"/>
        <v/>
      </c>
      <c r="W183" s="58" t="str">
        <f t="shared" si="46"/>
        <v/>
      </c>
      <c r="X183" s="154"/>
    </row>
    <row r="184" spans="1:25" ht="30" x14ac:dyDescent="0.25">
      <c r="A184" s="51">
        <v>138657</v>
      </c>
      <c r="B184" s="51">
        <f>VLOOKUP($A184,'Выгр Кат'!$A:$R,B$1,0)</f>
        <v>7013</v>
      </c>
      <c r="C184" s="56" t="str">
        <f>VLOOKUP($A184,'Выгр Кат'!$A:$R,C$1,0)</f>
        <v>Бортовой компьютер Multitronics CL-550 на Lada и иномарки</v>
      </c>
      <c r="D184" s="51" t="str">
        <f>VLOOKUP($A184,'Выгр Кат'!$A:$R,D$1,0)</f>
        <v>Y</v>
      </c>
      <c r="E184" s="51" t="str">
        <f>VLOOKUP($A184,'Выгр Кат'!$A:$R,E$1,0)</f>
        <v>0</v>
      </c>
      <c r="F184" s="51">
        <f>VLOOKUP($A184,'Выгр Кат'!$A:$R,F$1,0)</f>
        <v>0</v>
      </c>
      <c r="G184" s="51" t="s">
        <v>473</v>
      </c>
      <c r="H184" s="77" t="s">
        <v>527</v>
      </c>
      <c r="I184" s="2">
        <f t="shared" ref="I184:I185" si="62">M184</f>
        <v>5560</v>
      </c>
      <c r="J184" s="78">
        <f>VLOOKUP(I184,Наценка!$A$2:$B$9,2,1)</f>
        <v>1.32</v>
      </c>
      <c r="K184" s="79">
        <f t="shared" si="50"/>
        <v>7339.2000000000007</v>
      </c>
      <c r="L184" s="80">
        <f t="shared" si="42"/>
        <v>7390</v>
      </c>
      <c r="M184" s="51">
        <f>VLOOKUP($A184,'Выгр Кат'!$A:$R,M$1,0)</f>
        <v>5560</v>
      </c>
      <c r="N184" s="51">
        <f>VLOOKUP($A184,'Выгр Кат'!$A:$R,N$1,0)</f>
        <v>7390</v>
      </c>
      <c r="O184" s="25">
        <f t="shared" si="40"/>
        <v>0</v>
      </c>
      <c r="P184" s="25">
        <f t="shared" si="41"/>
        <v>0</v>
      </c>
      <c r="Q184" s="1">
        <f t="shared" si="43"/>
        <v>6872.7</v>
      </c>
      <c r="R184" s="5" t="str">
        <f>IFERROR((VLOOKUP($A184,'Из ГУГЛа'!$B:$G,6,0)+T184)*S184,VLOOKUP($A184,'Из ГУГЛа'!$B:$G,6,0))</f>
        <v/>
      </c>
      <c r="S184" s="4">
        <v>1</v>
      </c>
      <c r="T184" s="4">
        <v>0</v>
      </c>
      <c r="U184" s="58">
        <f t="shared" si="44"/>
        <v>0.23609712230215818</v>
      </c>
      <c r="V184" s="58" t="str">
        <f t="shared" si="45"/>
        <v/>
      </c>
      <c r="W184" s="58" t="str">
        <f t="shared" si="46"/>
        <v/>
      </c>
      <c r="X184" s="154"/>
    </row>
    <row r="185" spans="1:25" ht="30" x14ac:dyDescent="0.25">
      <c r="A185" s="51">
        <v>138670</v>
      </c>
      <c r="B185" s="51">
        <f>VLOOKUP($A185,'Выгр Кат'!$A:$R,B$1,0)</f>
        <v>7020</v>
      </c>
      <c r="C185" s="56" t="str">
        <f>VLOOKUP($A185,'Выгр Кат'!$A:$R,C$1,0)</f>
        <v>Бортовой компьютер Multitronics TC 50UPL на Lada и иномарки</v>
      </c>
      <c r="D185" s="51" t="str">
        <f>VLOOKUP($A185,'Выгр Кат'!$A:$R,D$1,0)</f>
        <v>Y</v>
      </c>
      <c r="E185" s="51" t="str">
        <f>VLOOKUP($A185,'Выгр Кат'!$A:$R,E$1,0)</f>
        <v>0</v>
      </c>
      <c r="F185" s="51">
        <f>VLOOKUP($A185,'Выгр Кат'!$A:$R,F$1,0)</f>
        <v>0</v>
      </c>
      <c r="G185" s="51" t="s">
        <v>67</v>
      </c>
      <c r="H185" s="77" t="s">
        <v>527</v>
      </c>
      <c r="I185" s="2">
        <f t="shared" si="62"/>
        <v>5600</v>
      </c>
      <c r="J185" s="78">
        <f>VLOOKUP(I185,Наценка!$A$2:$B$9,2,1)</f>
        <v>1.32</v>
      </c>
      <c r="K185" s="79">
        <f t="shared" si="50"/>
        <v>7392</v>
      </c>
      <c r="L185" s="80">
        <f t="shared" si="42"/>
        <v>7390</v>
      </c>
      <c r="M185" s="51">
        <f>VLOOKUP($A185,'Выгр Кат'!$A:$R,M$1,0)</f>
        <v>5600</v>
      </c>
      <c r="N185" s="51">
        <f>VLOOKUP($A185,'Выгр Кат'!$A:$R,N$1,0)</f>
        <v>7390</v>
      </c>
      <c r="O185" s="25">
        <f t="shared" ref="O185:O246" si="63">M185-I185</f>
        <v>0</v>
      </c>
      <c r="P185" s="25">
        <f t="shared" ref="P185:P246" si="64">N185-L185</f>
        <v>0</v>
      </c>
      <c r="Q185" s="1">
        <f t="shared" si="43"/>
        <v>6872.7</v>
      </c>
      <c r="R185" s="5" t="str">
        <f>IFERROR((VLOOKUP($A185,'Из ГУГЛа'!$B:$G,6,0)+T185)*S185,VLOOKUP($A185,'Из ГУГЛа'!$B:$G,6,0))</f>
        <v/>
      </c>
      <c r="S185" s="4">
        <v>1</v>
      </c>
      <c r="T185" s="4">
        <v>0</v>
      </c>
      <c r="U185" s="58">
        <f t="shared" si="44"/>
        <v>0.22726785714285702</v>
      </c>
      <c r="V185" s="58" t="str">
        <f t="shared" si="45"/>
        <v/>
      </c>
      <c r="W185" s="58" t="str">
        <f t="shared" si="46"/>
        <v/>
      </c>
      <c r="X185" s="154"/>
    </row>
    <row r="186" spans="1:25" ht="30.75" thickBot="1" x14ac:dyDescent="0.3">
      <c r="A186" s="51">
        <v>138660</v>
      </c>
      <c r="B186" s="51">
        <f>VLOOKUP($A186,'Выгр Кат'!$A:$R,B$1,0)</f>
        <v>7044</v>
      </c>
      <c r="C186" s="56" t="str">
        <f>VLOOKUP($A186,'Выгр Кат'!$A:$R,C$1,0)</f>
        <v>Бортовой компьютер Multitronics CL-590 на Lada Granta, Largus, Nissan, ГАЗ</v>
      </c>
      <c r="D186" s="51" t="str">
        <f>VLOOKUP($A186,'Выгр Кат'!$A:$R,D$1,0)</f>
        <v>Y</v>
      </c>
      <c r="E186" s="51" t="str">
        <f>VLOOKUP($A186,'Выгр Кат'!$A:$R,E$1,0)</f>
        <v>1</v>
      </c>
      <c r="F186" s="51">
        <f>VLOOKUP($A186,'Выгр Кат'!$A:$R,F$1,0)</f>
        <v>0</v>
      </c>
      <c r="G186" s="51" t="s">
        <v>879</v>
      </c>
      <c r="H186" s="77" t="s">
        <v>527</v>
      </c>
      <c r="I186" s="26">
        <f>VLOOKUP(G186,ПРАЙС!B:C,2,0)</f>
        <v>6800</v>
      </c>
      <c r="J186" s="78">
        <f>VLOOKUP(I186,Наценка!$A$2:$B$9,2,1)</f>
        <v>1.32</v>
      </c>
      <c r="K186" s="79">
        <f t="shared" si="50"/>
        <v>8976</v>
      </c>
      <c r="L186" s="80">
        <f t="shared" si="42"/>
        <v>8990</v>
      </c>
      <c r="M186" s="51">
        <f>VLOOKUP($A186,'Выгр Кат'!$A:$R,M$1,0)</f>
        <v>6800</v>
      </c>
      <c r="N186" s="51">
        <f>VLOOKUP($A186,'Выгр Кат'!$A:$R,N$1,0)</f>
        <v>8990</v>
      </c>
      <c r="O186" s="25">
        <f t="shared" si="63"/>
        <v>0</v>
      </c>
      <c r="P186" s="25">
        <f t="shared" si="64"/>
        <v>0</v>
      </c>
      <c r="Q186" s="1">
        <f t="shared" si="43"/>
        <v>8360.6999999999989</v>
      </c>
      <c r="R186" s="5">
        <f>IFERROR((VLOOKUP($A186,'Из ГУГЛа'!$B:$G,6,0)+T186)*S186,VLOOKUP($A186,'Из ГУГЛа'!$B:$G,6,0))</f>
        <v>7790</v>
      </c>
      <c r="S186" s="4">
        <v>1</v>
      </c>
      <c r="T186" s="4">
        <v>0</v>
      </c>
      <c r="U186" s="58">
        <f t="shared" si="44"/>
        <v>0.22951470588235279</v>
      </c>
      <c r="V186" s="58">
        <f t="shared" si="45"/>
        <v>-7.3260590500641709E-2</v>
      </c>
      <c r="W186" s="58">
        <f t="shared" si="46"/>
        <v>0.14558823529411757</v>
      </c>
      <c r="X186" s="156">
        <v>7790</v>
      </c>
      <c r="Y186" s="44" t="s">
        <v>939</v>
      </c>
    </row>
    <row r="187" spans="1:25" ht="31.5" thickTop="1" thickBot="1" x14ac:dyDescent="0.3">
      <c r="A187" s="51">
        <v>138658</v>
      </c>
      <c r="B187" s="51">
        <f>VLOOKUP($A187,'Выгр Кат'!$A:$R,B$1,0)</f>
        <v>7074</v>
      </c>
      <c r="C187" s="56" t="str">
        <f>VLOOKUP($A187,'Выгр Кат'!$A:$R,C$1,0)</f>
        <v>Бортовой компьютер Multitronics CL-570 на Niva Chevrolet</v>
      </c>
      <c r="D187" s="51" t="str">
        <f>VLOOKUP($A187,'Выгр Кат'!$A:$R,D$1,0)</f>
        <v>Y</v>
      </c>
      <c r="E187" s="51" t="str">
        <f>VLOOKUP($A187,'Выгр Кат'!$A:$R,E$1,0)</f>
        <v>0</v>
      </c>
      <c r="F187" s="51">
        <f>VLOOKUP($A187,'Выгр Кат'!$A:$R,F$1,0)</f>
        <v>0</v>
      </c>
      <c r="G187" s="51" t="s">
        <v>546</v>
      </c>
      <c r="H187" s="77" t="s">
        <v>527</v>
      </c>
      <c r="I187" s="2">
        <f>M187</f>
        <v>5950</v>
      </c>
      <c r="J187" s="78">
        <f>VLOOKUP(I187,Наценка!$A$2:$B$9,2,1)</f>
        <v>1.32</v>
      </c>
      <c r="K187" s="64">
        <f t="shared" ref="K187:K188" si="65">X187*1.06</f>
        <v>8257.4</v>
      </c>
      <c r="L187" s="80">
        <f t="shared" si="42"/>
        <v>8290</v>
      </c>
      <c r="M187" s="51">
        <f>VLOOKUP($A187,'Выгр Кат'!$A:$R,M$1,0)</f>
        <v>5950</v>
      </c>
      <c r="N187" s="51">
        <f>VLOOKUP($A187,'Выгр Кат'!$A:$R,N$1,0)</f>
        <v>8290</v>
      </c>
      <c r="O187" s="25">
        <f t="shared" si="63"/>
        <v>0</v>
      </c>
      <c r="P187" s="25">
        <f t="shared" si="64"/>
        <v>0</v>
      </c>
      <c r="Q187" s="1">
        <f t="shared" si="43"/>
        <v>7709.7</v>
      </c>
      <c r="R187" s="5">
        <f>IFERROR((VLOOKUP($A187,'Из ГУГЛа'!$B:$G,6,0)+T187)*S187,VLOOKUP($A187,'Из ГУГЛа'!$B:$G,6,0))</f>
        <v>7790</v>
      </c>
      <c r="S187" s="4">
        <v>1</v>
      </c>
      <c r="T187" s="4">
        <v>0</v>
      </c>
      <c r="U187" s="58">
        <f t="shared" si="44"/>
        <v>0.29574789915966382</v>
      </c>
      <c r="V187" s="58">
        <f t="shared" si="45"/>
        <v>1.0308087291399252E-2</v>
      </c>
      <c r="W187" s="58">
        <f t="shared" si="46"/>
        <v>0.30924369747899161</v>
      </c>
      <c r="X187" s="156">
        <v>7790</v>
      </c>
      <c r="Y187" s="44" t="s">
        <v>782</v>
      </c>
    </row>
    <row r="188" spans="1:25" ht="31.5" thickTop="1" thickBot="1" x14ac:dyDescent="0.3">
      <c r="A188" s="51">
        <v>138659</v>
      </c>
      <c r="B188" s="51">
        <f>VLOOKUP($A188,'Выгр Кат'!$A:$R,B$1,0)</f>
        <v>7081</v>
      </c>
      <c r="C188" s="56" t="str">
        <f>VLOOKUP($A188,'Выгр Кат'!$A:$R,C$1,0)</f>
        <v>Бортовой компьютер Multitronics CL-580 на UAZ Patriot</v>
      </c>
      <c r="D188" s="51" t="str">
        <f>VLOOKUP($A188,'Выгр Кат'!$A:$R,D$1,0)</f>
        <v>Y</v>
      </c>
      <c r="E188" s="51" t="str">
        <f>VLOOKUP($A188,'Выгр Кат'!$A:$R,E$1,0)</f>
        <v>1</v>
      </c>
      <c r="F188" s="51">
        <f>VLOOKUP($A188,'Выгр Кат'!$A:$R,F$1,0)</f>
        <v>0</v>
      </c>
      <c r="G188" s="51" t="s">
        <v>880</v>
      </c>
      <c r="H188" s="77" t="s">
        <v>527</v>
      </c>
      <c r="I188" s="26">
        <f>VLOOKUP(G188,ПРАЙС!B:C,2,0)</f>
        <v>6600</v>
      </c>
      <c r="J188" s="78">
        <f>VLOOKUP(I188,Наценка!$A$2:$B$9,2,1)</f>
        <v>1.32</v>
      </c>
      <c r="K188" s="64">
        <f t="shared" si="65"/>
        <v>8999.4</v>
      </c>
      <c r="L188" s="80">
        <f t="shared" si="42"/>
        <v>8990</v>
      </c>
      <c r="M188" s="51">
        <f>VLOOKUP($A188,'Выгр Кат'!$A:$R,M$1,0)</f>
        <v>6600</v>
      </c>
      <c r="N188" s="51">
        <f>VLOOKUP($A188,'Выгр Кат'!$A:$R,N$1,0)</f>
        <v>8990</v>
      </c>
      <c r="O188" s="25">
        <f t="shared" si="63"/>
        <v>0</v>
      </c>
      <c r="P188" s="25">
        <f t="shared" si="64"/>
        <v>0</v>
      </c>
      <c r="Q188" s="1">
        <f t="shared" si="43"/>
        <v>8360.6999999999989</v>
      </c>
      <c r="R188" s="5">
        <f>IFERROR((VLOOKUP($A188,'Из ГУГЛа'!$B:$G,6,0)+T188)*S188,VLOOKUP($A188,'Из ГУГЛа'!$B:$G,6,0))</f>
        <v>8490</v>
      </c>
      <c r="S188" s="4">
        <v>1</v>
      </c>
      <c r="T188" s="4">
        <v>0</v>
      </c>
      <c r="U188" s="58">
        <f t="shared" si="44"/>
        <v>0.26677272727272716</v>
      </c>
      <c r="V188" s="58">
        <f t="shared" si="45"/>
        <v>1.5229681978798716E-2</v>
      </c>
      <c r="W188" s="58">
        <f t="shared" si="46"/>
        <v>0.28636363636363638</v>
      </c>
      <c r="X188" s="156">
        <v>8490</v>
      </c>
      <c r="Y188" s="44" t="s">
        <v>938</v>
      </c>
    </row>
    <row r="189" spans="1:25" ht="31.5" thickTop="1" thickBot="1" x14ac:dyDescent="0.3">
      <c r="A189" s="51">
        <v>219242</v>
      </c>
      <c r="B189" s="51">
        <f>VLOOKUP($A189,'Выгр Кат'!$A:$R,B$1,0)</f>
        <v>24551</v>
      </c>
      <c r="C189" s="56" t="str">
        <f>VLOOKUP($A189,'Выгр Кат'!$A:$R,C$1,0)</f>
        <v>Тестер аккумуляторных батарей "ОРИОН" Вымпел BA101</v>
      </c>
      <c r="D189" s="51" t="str">
        <f>VLOOKUP($A189,'Выгр Кат'!$A:$R,D$1,0)</f>
        <v>Y</v>
      </c>
      <c r="E189" s="51" t="str">
        <f>VLOOKUP($A189,'Выгр Кат'!$A:$R,E$1,0)</f>
        <v>1</v>
      </c>
      <c r="F189" s="51">
        <f>VLOOKUP($A189,'Выгр Кат'!$A:$R,F$1,0)</f>
        <v>0</v>
      </c>
      <c r="G189" s="51" t="s">
        <v>150</v>
      </c>
      <c r="H189" s="77" t="s">
        <v>527</v>
      </c>
      <c r="I189" s="26" t="e">
        <f>VLOOKUP(G189,ПРАЙС!B:C,2,0)</f>
        <v>#N/A</v>
      </c>
      <c r="J189" s="78" t="e">
        <f>VLOOKUP(I189,Наценка!$A$2:$B$9,2,1)</f>
        <v>#N/A</v>
      </c>
      <c r="K189" s="79" t="e">
        <f t="shared" si="50"/>
        <v>#N/A</v>
      </c>
      <c r="L189" s="80" t="e">
        <f t="shared" si="42"/>
        <v>#N/A</v>
      </c>
      <c r="M189" s="51">
        <f>VLOOKUP($A189,'Выгр Кат'!$A:$R,M$1,0)</f>
        <v>5300</v>
      </c>
      <c r="N189" s="51">
        <f>VLOOKUP($A189,'Выгр Кат'!$A:$R,N$1,0)</f>
        <v>6990</v>
      </c>
      <c r="O189" s="25" t="e">
        <f t="shared" si="63"/>
        <v>#N/A</v>
      </c>
      <c r="P189" s="25" t="e">
        <f t="shared" si="64"/>
        <v>#N/A</v>
      </c>
      <c r="Q189" s="1" t="str">
        <f t="shared" si="43"/>
        <v/>
      </c>
      <c r="R189" s="5" t="str">
        <f>IFERROR((VLOOKUP($A189,'Из ГУГЛа'!$B:$G,6,0)+T189)*S189,VLOOKUP($A189,'Из ГУГЛа'!$B:$G,6,0))</f>
        <v/>
      </c>
      <c r="S189" s="4">
        <v>1</v>
      </c>
      <c r="T189" s="4">
        <v>0</v>
      </c>
      <c r="U189" s="58" t="str">
        <f t="shared" si="44"/>
        <v/>
      </c>
      <c r="V189" s="58" t="str">
        <f t="shared" si="45"/>
        <v/>
      </c>
      <c r="W189" s="58" t="str">
        <f t="shared" si="46"/>
        <v/>
      </c>
      <c r="X189" s="156" t="s">
        <v>929</v>
      </c>
    </row>
    <row r="190" spans="1:25" ht="31.5" thickTop="1" thickBot="1" x14ac:dyDescent="0.3">
      <c r="A190" s="51">
        <v>138654</v>
      </c>
      <c r="B190" s="51">
        <f>VLOOKUP($A190,'Выгр Кат'!$A:$R,B$1,0)</f>
        <v>7043</v>
      </c>
      <c r="C190" s="56" t="str">
        <f>VLOOKUP($A190,'Выгр Кат'!$A:$R,C$1,0)</f>
        <v>Бортовой компьютер Multitronics C-590 на Lada Granta, Largus, Nissan, ГАЗ</v>
      </c>
      <c r="D190" s="51" t="str">
        <f>VLOOKUP($A190,'Выгр Кат'!$A:$R,D$1,0)</f>
        <v>Y</v>
      </c>
      <c r="E190" s="51" t="str">
        <f>VLOOKUP($A190,'Выгр Кат'!$A:$R,E$1,0)</f>
        <v>1</v>
      </c>
      <c r="F190" s="51">
        <f>VLOOKUP($A190,'Выгр Кат'!$A:$R,F$1,0)</f>
        <v>0</v>
      </c>
      <c r="G190" s="51" t="s">
        <v>879</v>
      </c>
      <c r="H190" s="77" t="s">
        <v>527</v>
      </c>
      <c r="I190" s="26">
        <f>VLOOKUP(G190,ПРАЙС!B:C,2,0)</f>
        <v>6800</v>
      </c>
      <c r="J190" s="78">
        <f>VLOOKUP(I190,Наценка!$A$2:$B$9,2,1)</f>
        <v>1.32</v>
      </c>
      <c r="K190" s="65">
        <f t="shared" ref="K190:K191" si="66">X190*1.07</f>
        <v>9298.3000000000011</v>
      </c>
      <c r="L190" s="80">
        <f t="shared" si="42"/>
        <v>9290</v>
      </c>
      <c r="M190" s="51">
        <f>VLOOKUP($A190,'Выгр Кат'!$A:$R,M$1,0)</f>
        <v>6800</v>
      </c>
      <c r="N190" s="51">
        <f>VLOOKUP($A190,'Выгр Кат'!$A:$R,N$1,0)</f>
        <v>9290</v>
      </c>
      <c r="O190" s="25">
        <f t="shared" si="63"/>
        <v>0</v>
      </c>
      <c r="P190" s="25">
        <f t="shared" si="64"/>
        <v>0</v>
      </c>
      <c r="Q190" s="1">
        <f t="shared" si="43"/>
        <v>8639.6999999999989</v>
      </c>
      <c r="R190" s="5">
        <f>IFERROR((VLOOKUP($A190,'Из ГУГЛа'!$B:$G,6,0)+T190)*S190,VLOOKUP($A190,'Из ГУГЛа'!$B:$G,6,0))</f>
        <v>8690</v>
      </c>
      <c r="S190" s="4">
        <v>1</v>
      </c>
      <c r="T190" s="4">
        <v>0</v>
      </c>
      <c r="U190" s="58">
        <f t="shared" si="44"/>
        <v>0.27054411764705866</v>
      </c>
      <c r="V190" s="58">
        <f t="shared" si="45"/>
        <v>5.788262370540977E-3</v>
      </c>
      <c r="W190" s="58">
        <f t="shared" si="46"/>
        <v>0.27794117647058814</v>
      </c>
      <c r="X190" s="156">
        <v>8690</v>
      </c>
      <c r="Y190" s="44" t="s">
        <v>937</v>
      </c>
    </row>
    <row r="191" spans="1:25" ht="31.5" thickTop="1" thickBot="1" x14ac:dyDescent="0.3">
      <c r="A191" s="51">
        <v>138674</v>
      </c>
      <c r="B191" s="51">
        <f>VLOOKUP($A191,'Выгр Кат'!$A:$R,B$1,0)</f>
        <v>7011</v>
      </c>
      <c r="C191" s="56" t="str">
        <f>VLOOKUP($A191,'Выгр Кат'!$A:$R,C$1,0)</f>
        <v>Бортовой компьютер Multitronics VC730 на Lada и иномарки</v>
      </c>
      <c r="D191" s="51" t="str">
        <f>VLOOKUP($A191,'Выгр Кат'!$A:$R,D$1,0)</f>
        <v>Y</v>
      </c>
      <c r="E191" s="51" t="str">
        <f>VLOOKUP($A191,'Выгр Кат'!$A:$R,E$1,0)</f>
        <v>1</v>
      </c>
      <c r="F191" s="51">
        <f>VLOOKUP($A191,'Выгр Кат'!$A:$R,F$1,0)</f>
        <v>0</v>
      </c>
      <c r="G191" s="51" t="s">
        <v>881</v>
      </c>
      <c r="H191" s="77" t="s">
        <v>527</v>
      </c>
      <c r="I191" s="26">
        <f>VLOOKUP(G191,ПРАЙС!B:C,2,0)</f>
        <v>7200</v>
      </c>
      <c r="J191" s="78">
        <f>VLOOKUP(I191,Наценка!$A$2:$B$9,2,1)</f>
        <v>1.32</v>
      </c>
      <c r="K191" s="65">
        <f t="shared" si="66"/>
        <v>9298.3000000000011</v>
      </c>
      <c r="L191" s="80">
        <f t="shared" si="42"/>
        <v>9290</v>
      </c>
      <c r="M191" s="51">
        <f>VLOOKUP($A191,'Выгр Кат'!$A:$R,M$1,0)</f>
        <v>7200</v>
      </c>
      <c r="N191" s="51">
        <f>VLOOKUP($A191,'Выгр Кат'!$A:$R,N$1,0)</f>
        <v>9290</v>
      </c>
      <c r="O191" s="25">
        <f t="shared" si="63"/>
        <v>0</v>
      </c>
      <c r="P191" s="25">
        <f t="shared" si="64"/>
        <v>0</v>
      </c>
      <c r="Q191" s="1">
        <f t="shared" si="43"/>
        <v>8639.6999999999989</v>
      </c>
      <c r="R191" s="5">
        <f>IFERROR((VLOOKUP($A191,'Из ГУГЛа'!$B:$G,6,0)+T191)*S191,VLOOKUP($A191,'Из ГУГЛа'!$B:$G,6,0))</f>
        <v>8690</v>
      </c>
      <c r="S191" s="4">
        <v>1</v>
      </c>
      <c r="T191" s="4">
        <v>0</v>
      </c>
      <c r="U191" s="58">
        <f t="shared" si="44"/>
        <v>0.19995833333333324</v>
      </c>
      <c r="V191" s="58">
        <f t="shared" si="45"/>
        <v>5.788262370540977E-3</v>
      </c>
      <c r="W191" s="58">
        <f t="shared" si="46"/>
        <v>0.20694444444444438</v>
      </c>
      <c r="X191" s="156">
        <v>8690</v>
      </c>
      <c r="Y191" s="44" t="s">
        <v>936</v>
      </c>
    </row>
    <row r="192" spans="1:25" ht="31.5" thickTop="1" thickBot="1" x14ac:dyDescent="0.3">
      <c r="A192" s="51">
        <v>138652</v>
      </c>
      <c r="B192" s="51">
        <f>VLOOKUP($A192,'Выгр Кат'!$A:$R,B$1,0)</f>
        <v>7073</v>
      </c>
      <c r="C192" s="56" t="str">
        <f>VLOOKUP($A192,'Выгр Кат'!$A:$R,C$1,0)</f>
        <v>Бортовой компьютер Multitronics C-570 на Niva Chevrolet</v>
      </c>
      <c r="D192" s="51" t="str">
        <f>VLOOKUP($A192,'Выгр Кат'!$A:$R,D$1,0)</f>
        <v>Y</v>
      </c>
      <c r="E192" s="51" t="str">
        <f>VLOOKUP($A192,'Выгр Кат'!$A:$R,E$1,0)</f>
        <v>0</v>
      </c>
      <c r="F192" s="51">
        <f>VLOOKUP($A192,'Выгр Кат'!$A:$R,F$1,0)</f>
        <v>0</v>
      </c>
      <c r="G192" s="51" t="s">
        <v>545</v>
      </c>
      <c r="H192" s="77" t="s">
        <v>527</v>
      </c>
      <c r="I192" s="2">
        <f>M192</f>
        <v>6750</v>
      </c>
      <c r="J192" s="78">
        <f>VLOOKUP(I192,Наценка!$A$2:$B$9,2,1)</f>
        <v>1.32</v>
      </c>
      <c r="K192" s="64">
        <f t="shared" ref="K192:K193" si="67">X192*1.06</f>
        <v>9317.4</v>
      </c>
      <c r="L192" s="80">
        <f t="shared" si="42"/>
        <v>9390</v>
      </c>
      <c r="M192" s="51">
        <f>VLOOKUP($A192,'Выгр Кат'!$A:$R,M$1,0)</f>
        <v>6750</v>
      </c>
      <c r="N192" s="51">
        <f>VLOOKUP($A192,'Выгр Кат'!$A:$R,N$1,0)</f>
        <v>9390</v>
      </c>
      <c r="O192" s="25">
        <f t="shared" si="63"/>
        <v>0</v>
      </c>
      <c r="P192" s="25">
        <f t="shared" si="64"/>
        <v>0</v>
      </c>
      <c r="Q192" s="1">
        <f t="shared" si="43"/>
        <v>8732.6999999999989</v>
      </c>
      <c r="R192" s="5">
        <f>IFERROR((VLOOKUP($A192,'Из ГУГЛа'!$B:$G,6,0)+T192)*S192,VLOOKUP($A192,'Из ГУГЛа'!$B:$G,6,0))</f>
        <v>8790</v>
      </c>
      <c r="S192" s="4">
        <v>1</v>
      </c>
      <c r="T192" s="4">
        <v>0</v>
      </c>
      <c r="U192" s="58">
        <f t="shared" si="44"/>
        <v>0.29373333333333318</v>
      </c>
      <c r="V192" s="58">
        <f t="shared" si="45"/>
        <v>6.5187713310581449E-3</v>
      </c>
      <c r="W192" s="58">
        <f t="shared" si="46"/>
        <v>0.30222222222222217</v>
      </c>
      <c r="X192" s="156">
        <v>8790</v>
      </c>
      <c r="Y192" s="44" t="s">
        <v>683</v>
      </c>
    </row>
    <row r="193" spans="1:25" ht="31.5" thickTop="1" thickBot="1" x14ac:dyDescent="0.3">
      <c r="A193" s="51">
        <v>138653</v>
      </c>
      <c r="B193" s="51">
        <f>VLOOKUP($A193,'Выгр Кат'!$A:$R,B$1,0)</f>
        <v>7080</v>
      </c>
      <c r="C193" s="56" t="str">
        <f>VLOOKUP($A193,'Выгр Кат'!$A:$R,C$1,0)</f>
        <v>Бортовой компьютер Multitronics C-580 на UAZ Patriot</v>
      </c>
      <c r="D193" s="51" t="str">
        <f>VLOOKUP($A193,'Выгр Кат'!$A:$R,D$1,0)</f>
        <v>Y</v>
      </c>
      <c r="E193" s="51" t="str">
        <f>VLOOKUP($A193,'Выгр Кат'!$A:$R,E$1,0)</f>
        <v>1</v>
      </c>
      <c r="F193" s="51">
        <f>VLOOKUP($A193,'Выгр Кат'!$A:$R,F$1,0)</f>
        <v>0</v>
      </c>
      <c r="G193" s="51" t="s">
        <v>882</v>
      </c>
      <c r="H193" s="77" t="s">
        <v>527</v>
      </c>
      <c r="I193" s="26">
        <f>VLOOKUP(G193,ПРАЙС!B:C,2,0)</f>
        <v>7200</v>
      </c>
      <c r="J193" s="78">
        <f>VLOOKUP(I193,Наценка!$A$2:$B$9,2,1)</f>
        <v>1.32</v>
      </c>
      <c r="K193" s="64">
        <f t="shared" si="67"/>
        <v>9741.4</v>
      </c>
      <c r="L193" s="80">
        <f t="shared" si="42"/>
        <v>9790</v>
      </c>
      <c r="M193" s="51">
        <f>VLOOKUP($A193,'Выгр Кат'!$A:$R,M$1,0)</f>
        <v>7200</v>
      </c>
      <c r="N193" s="51">
        <f>VLOOKUP($A193,'Выгр Кат'!$A:$R,N$1,0)</f>
        <v>9790</v>
      </c>
      <c r="O193" s="25">
        <f t="shared" si="63"/>
        <v>0</v>
      </c>
      <c r="P193" s="25">
        <f t="shared" si="64"/>
        <v>0</v>
      </c>
      <c r="Q193" s="1">
        <f t="shared" si="43"/>
        <v>9104.6999999999989</v>
      </c>
      <c r="R193" s="5">
        <f>IFERROR((VLOOKUP($A193,'Из ГУГЛа'!$B:$G,6,0)+T193)*S193,VLOOKUP($A193,'Из ГУГЛа'!$B:$G,6,0))</f>
        <v>9190</v>
      </c>
      <c r="S193" s="4">
        <v>1</v>
      </c>
      <c r="T193" s="4">
        <v>0</v>
      </c>
      <c r="U193" s="58">
        <f t="shared" si="44"/>
        <v>0.26454166666666645</v>
      </c>
      <c r="V193" s="58">
        <f t="shared" si="45"/>
        <v>9.2818280739935897E-3</v>
      </c>
      <c r="W193" s="58">
        <f t="shared" si="46"/>
        <v>0.2763888888888888</v>
      </c>
      <c r="X193" s="156">
        <v>9190</v>
      </c>
      <c r="Y193" s="44" t="s">
        <v>785</v>
      </c>
    </row>
    <row r="194" spans="1:25" ht="31.5" thickTop="1" thickBot="1" x14ac:dyDescent="0.3">
      <c r="A194" s="51">
        <v>138671</v>
      </c>
      <c r="B194" s="51">
        <f>VLOOKUP($A194,'Выгр Кат'!$A:$R,B$1,0)</f>
        <v>7008</v>
      </c>
      <c r="C194" s="56" t="str">
        <f>VLOOKUP($A194,'Выгр Кат'!$A:$R,C$1,0)</f>
        <v>Бортовой компьютер Multitronics TC740 на Lada и иномарки</v>
      </c>
      <c r="D194" s="51" t="str">
        <f>VLOOKUP($A194,'Выгр Кат'!$A:$R,D$1,0)</f>
        <v>Y</v>
      </c>
      <c r="E194" s="51" t="str">
        <f>VLOOKUP($A194,'Выгр Кат'!$A:$R,E$1,0)</f>
        <v>1</v>
      </c>
      <c r="F194" s="51">
        <f>VLOOKUP($A194,'Выгр Кат'!$A:$R,F$1,0)</f>
        <v>0</v>
      </c>
      <c r="G194" s="51" t="s">
        <v>883</v>
      </c>
      <c r="H194" s="77" t="s">
        <v>527</v>
      </c>
      <c r="I194" s="26">
        <f>VLOOKUP(G194,ПРАЙС!B:C,2,0)</f>
        <v>7800</v>
      </c>
      <c r="J194" s="78">
        <f>VLOOKUP(I194,Наценка!$A$2:$B$9,2,1)</f>
        <v>1.32</v>
      </c>
      <c r="K194" s="87">
        <f>I194*1.15*100/91</f>
        <v>9857.1428571428569</v>
      </c>
      <c r="L194" s="80">
        <f t="shared" ref="L194:L257" si="68">IF(K194&lt;=1000,(ROUNDUP(K194,-1)-1),(ROUNDUP(K194,-2)-10))</f>
        <v>9890</v>
      </c>
      <c r="M194" s="51">
        <f>VLOOKUP($A194,'Выгр Кат'!$A:$R,M$1,0)</f>
        <v>7800</v>
      </c>
      <c r="N194" s="51">
        <f>VLOOKUP($A194,'Выгр Кат'!$A:$R,N$1,0)</f>
        <v>10190</v>
      </c>
      <c r="O194" s="25">
        <f t="shared" si="63"/>
        <v>0</v>
      </c>
      <c r="P194" s="25">
        <f t="shared" si="64"/>
        <v>300</v>
      </c>
      <c r="Q194" s="1">
        <f t="shared" si="43"/>
        <v>9197.6999999999989</v>
      </c>
      <c r="R194" s="5">
        <f>IFERROR((VLOOKUP($A194,'Из ГУГЛа'!$B:$G,6,0)+T194)*S194,VLOOKUP($A194,'Из ГУГЛа'!$B:$G,6,0))</f>
        <v>8990</v>
      </c>
      <c r="S194" s="4">
        <v>1</v>
      </c>
      <c r="T194" s="4">
        <v>0</v>
      </c>
      <c r="U194" s="58">
        <f t="shared" si="44"/>
        <v>0.17919230769230765</v>
      </c>
      <c r="V194" s="58">
        <f t="shared" si="45"/>
        <v>-2.3103448275861947E-2</v>
      </c>
      <c r="W194" s="58">
        <f t="shared" si="46"/>
        <v>0.15256410256410247</v>
      </c>
      <c r="X194" s="156">
        <v>8990</v>
      </c>
      <c r="Y194" s="44" t="s">
        <v>786</v>
      </c>
    </row>
    <row r="195" spans="1:25" ht="46.5" thickTop="1" thickBot="1" x14ac:dyDescent="0.3">
      <c r="A195" s="51">
        <v>201029</v>
      </c>
      <c r="B195" s="51">
        <f>VLOOKUP($A195,'Выгр Кат'!$A:$R,B$1,0)</f>
        <v>7223</v>
      </c>
      <c r="C195" s="56" t="str">
        <f>VLOOKUP($A195,'Выгр Кат'!$A:$R,C$1,0)</f>
        <v>Преобразователь напряжения (розетка автомобильная) 12/220 Орион ПН-90 1500W</v>
      </c>
      <c r="D195" s="51" t="str">
        <f>VLOOKUP($A195,'Выгр Кат'!$A:$R,D$1,0)</f>
        <v>Y</v>
      </c>
      <c r="E195" s="51" t="str">
        <f>VLOOKUP($A195,'Выгр Кат'!$A:$R,E$1,0)</f>
        <v>1</v>
      </c>
      <c r="F195" s="51">
        <f>VLOOKUP($A195,'Выгр Кат'!$A:$R,F$1,0)</f>
        <v>0</v>
      </c>
      <c r="G195" s="51" t="s">
        <v>618</v>
      </c>
      <c r="H195" s="77" t="s">
        <v>527</v>
      </c>
      <c r="I195" s="26">
        <f>VLOOKUP(G195,ПРАЙС!B:C,2,0)</f>
        <v>8550</v>
      </c>
      <c r="J195" s="78">
        <f>VLOOKUP(I195,Наценка!$A$2:$B$9,2,1)</f>
        <v>1.32</v>
      </c>
      <c r="K195" s="79">
        <f t="shared" ref="K195:K256" si="69">I195*J195</f>
        <v>11286</v>
      </c>
      <c r="L195" s="80">
        <f t="shared" si="68"/>
        <v>11290</v>
      </c>
      <c r="M195" s="51">
        <f>VLOOKUP($A195,'Выгр Кат'!$A:$R,M$1,0)</f>
        <v>8550</v>
      </c>
      <c r="N195" s="51">
        <f>VLOOKUP($A195,'Выгр Кат'!$A:$R,N$1,0)</f>
        <v>11290</v>
      </c>
      <c r="O195" s="25">
        <f t="shared" si="63"/>
        <v>0</v>
      </c>
      <c r="P195" s="25">
        <f t="shared" si="64"/>
        <v>0</v>
      </c>
      <c r="Q195" s="1">
        <f t="shared" ref="Q195:Q258" si="70">IFERROR(L195*(1-$Q$2),"")</f>
        <v>10499.699999999999</v>
      </c>
      <c r="R195" s="5" t="str">
        <f>IFERROR((VLOOKUP($A195,'Из ГУГЛа'!$B:$G,6,0)+T195)*S195,VLOOKUP($A195,'Из ГУГЛа'!$B:$G,6,0))</f>
        <v/>
      </c>
      <c r="S195" s="4">
        <v>1</v>
      </c>
      <c r="T195" s="4">
        <v>0</v>
      </c>
      <c r="U195" s="58">
        <f t="shared" ref="U195:U258" si="71">IFERROR(Q195/I195-1,"")</f>
        <v>0.22803508771929804</v>
      </c>
      <c r="V195" s="58" t="str">
        <f t="shared" ref="V195:V258" si="72">IFERROR((X195-Q195)/X195,"")</f>
        <v/>
      </c>
      <c r="W195" s="58" t="str">
        <f t="shared" ref="W195:W258" si="73">IFERROR(IF(X195="","",X195/I195-1),"")</f>
        <v/>
      </c>
      <c r="X195" s="156" t="s">
        <v>928</v>
      </c>
    </row>
    <row r="196" spans="1:25" ht="30.75" thickTop="1" x14ac:dyDescent="0.25">
      <c r="A196" s="51">
        <v>138667</v>
      </c>
      <c r="B196" s="51">
        <f>VLOOKUP($A196,'Выгр Кат'!$A:$R,B$1,0)</f>
        <v>7014</v>
      </c>
      <c r="C196" s="56" t="str">
        <f>VLOOKUP($A196,'Выгр Кат'!$A:$R,C$1,0)</f>
        <v>Бортовой компьютер Multitronics RI-500 на Lada и иномарки</v>
      </c>
      <c r="D196" s="51" t="str">
        <f>VLOOKUP($A196,'Выгр Кат'!$A:$R,D$1,0)</f>
        <v>Y</v>
      </c>
      <c r="E196" s="51" t="str">
        <f>VLOOKUP($A196,'Выгр Кат'!$A:$R,E$1,0)</f>
        <v>0</v>
      </c>
      <c r="F196" s="51">
        <f>VLOOKUP($A196,'Выгр Кат'!$A:$R,F$1,0)</f>
        <v>0</v>
      </c>
      <c r="G196" s="51" t="s">
        <v>63</v>
      </c>
      <c r="H196" s="77" t="s">
        <v>527</v>
      </c>
      <c r="I196" s="2">
        <f>M196</f>
        <v>7100</v>
      </c>
      <c r="J196" s="78">
        <f>VLOOKUP(I196,Наценка!$A$2:$B$9,2,1)</f>
        <v>1.32</v>
      </c>
      <c r="K196" s="79">
        <f t="shared" si="69"/>
        <v>9372</v>
      </c>
      <c r="L196" s="80">
        <f t="shared" si="68"/>
        <v>9390</v>
      </c>
      <c r="M196" s="51">
        <f>VLOOKUP($A196,'Выгр Кат'!$A:$R,M$1,0)</f>
        <v>7100</v>
      </c>
      <c r="N196" s="51">
        <f>VLOOKUP($A196,'Выгр Кат'!$A:$R,N$1,0)</f>
        <v>9390</v>
      </c>
      <c r="O196" s="25">
        <f t="shared" si="63"/>
        <v>0</v>
      </c>
      <c r="P196" s="25">
        <f t="shared" si="64"/>
        <v>0</v>
      </c>
      <c r="Q196" s="1">
        <f t="shared" si="70"/>
        <v>8732.6999999999989</v>
      </c>
      <c r="R196" s="5" t="str">
        <f>IFERROR((VLOOKUP($A196,'Из ГУГЛа'!$B:$G,6,0)+T196)*S196,VLOOKUP($A196,'Из ГУГЛа'!$B:$G,6,0))</f>
        <v/>
      </c>
      <c r="S196" s="4">
        <v>1</v>
      </c>
      <c r="T196" s="4">
        <v>0</v>
      </c>
      <c r="U196" s="58">
        <f t="shared" si="71"/>
        <v>0.22995774647887313</v>
      </c>
      <c r="V196" s="58" t="str">
        <f t="shared" si="72"/>
        <v/>
      </c>
      <c r="W196" s="58" t="str">
        <f t="shared" si="73"/>
        <v/>
      </c>
      <c r="X196" s="154"/>
    </row>
    <row r="197" spans="1:25" ht="30.75" thickBot="1" x14ac:dyDescent="0.3">
      <c r="A197" s="51">
        <v>201306</v>
      </c>
      <c r="B197" s="51">
        <f>VLOOKUP($A197,'Выгр Кат'!$A:$R,B$1,0)</f>
        <v>24538</v>
      </c>
      <c r="C197" s="56" t="str">
        <f>VLOOKUP($A197,'Выгр Кат'!$A:$R,C$1,0)</f>
        <v>Программатор одометров "АПЭЛ" ПО-5 PRO</v>
      </c>
      <c r="D197" s="51" t="str">
        <f>VLOOKUP($A197,'Выгр Кат'!$A:$R,D$1,0)</f>
        <v>Y</v>
      </c>
      <c r="E197" s="51" t="str">
        <f>VLOOKUP($A197,'Выгр Кат'!$A:$R,E$1,0)</f>
        <v>1</v>
      </c>
      <c r="F197" s="51">
        <f>VLOOKUP($A197,'Выгр Кат'!$A:$R,F$1,0)</f>
        <v>0</v>
      </c>
      <c r="G197" s="51" t="s">
        <v>505</v>
      </c>
      <c r="H197" s="77" t="s">
        <v>527</v>
      </c>
      <c r="I197" s="26">
        <f>VLOOKUP(G197,ПРАЙС!B:C,2,0)</f>
        <v>8000</v>
      </c>
      <c r="J197" s="78">
        <f>VLOOKUP(I197,Наценка!$A$2:$B$9,2,1)</f>
        <v>1.32</v>
      </c>
      <c r="K197" s="64">
        <f t="shared" ref="K197:K202" si="74">X197*1.06</f>
        <v>11225.400000000001</v>
      </c>
      <c r="L197" s="80">
        <f t="shared" si="68"/>
        <v>11290</v>
      </c>
      <c r="M197" s="51">
        <f>VLOOKUP($A197,'Выгр Кат'!$A:$R,M$1,0)</f>
        <v>7800</v>
      </c>
      <c r="N197" s="51">
        <f>VLOOKUP($A197,'Выгр Кат'!$A:$R,N$1,0)</f>
        <v>11290</v>
      </c>
      <c r="O197" s="25">
        <f t="shared" si="63"/>
        <v>-200</v>
      </c>
      <c r="P197" s="25">
        <f t="shared" si="64"/>
        <v>0</v>
      </c>
      <c r="Q197" s="1">
        <f t="shared" si="70"/>
        <v>10499.699999999999</v>
      </c>
      <c r="R197" s="5">
        <f>IFERROR((VLOOKUP($A197,'Из ГУГЛа'!$B:$G,6,0)+T197)*S197,VLOOKUP($A197,'Из ГУГЛа'!$B:$G,6,0))</f>
        <v>10590</v>
      </c>
      <c r="S197" s="4">
        <v>1</v>
      </c>
      <c r="T197" s="4">
        <v>0</v>
      </c>
      <c r="U197" s="58">
        <f t="shared" si="71"/>
        <v>0.31246249999999987</v>
      </c>
      <c r="V197" s="58">
        <f t="shared" si="72"/>
        <v>8.52691218130322E-3</v>
      </c>
      <c r="W197" s="58">
        <f t="shared" si="73"/>
        <v>0.32374999999999998</v>
      </c>
      <c r="X197" s="156">
        <v>10590</v>
      </c>
      <c r="Y197" s="44" t="s">
        <v>787</v>
      </c>
    </row>
    <row r="198" spans="1:25" ht="31.5" thickTop="1" thickBot="1" x14ac:dyDescent="0.3">
      <c r="A198" s="51">
        <v>138675</v>
      </c>
      <c r="B198" s="51">
        <f>VLOOKUP($A198,'Выгр Кат'!$A:$R,B$1,0)</f>
        <v>7010</v>
      </c>
      <c r="C198" s="56" t="str">
        <f>VLOOKUP($A198,'Выгр Кат'!$A:$R,C$1,0)</f>
        <v>Бортовой компьютер Multitronics VC731 на Lada и иномарки</v>
      </c>
      <c r="D198" s="51" t="str">
        <f>VLOOKUP($A198,'Выгр Кат'!$A:$R,D$1,0)</f>
        <v>Y</v>
      </c>
      <c r="E198" s="51" t="str">
        <f>VLOOKUP($A198,'Выгр Кат'!$A:$R,E$1,0)</f>
        <v>1</v>
      </c>
      <c r="F198" s="51">
        <f>VLOOKUP($A198,'Выгр Кат'!$A:$R,F$1,0)</f>
        <v>0</v>
      </c>
      <c r="G198" s="51" t="s">
        <v>623</v>
      </c>
      <c r="H198" s="77" t="s">
        <v>527</v>
      </c>
      <c r="I198" s="26">
        <f>VLOOKUP(G198,ПРАЙС!B:C,2,0)</f>
        <v>8400</v>
      </c>
      <c r="J198" s="78">
        <f>VLOOKUP(I198,Наценка!$A$2:$B$9,2,1)</f>
        <v>1.32</v>
      </c>
      <c r="K198" s="64">
        <f t="shared" si="74"/>
        <v>11119.400000000001</v>
      </c>
      <c r="L198" s="80">
        <f t="shared" si="68"/>
        <v>11190</v>
      </c>
      <c r="M198" s="51">
        <f>VLOOKUP($A198,'Выгр Кат'!$A:$R,M$1,0)</f>
        <v>8400</v>
      </c>
      <c r="N198" s="51">
        <f>VLOOKUP($A198,'Выгр Кат'!$A:$R,N$1,0)</f>
        <v>11190</v>
      </c>
      <c r="O198" s="25">
        <f t="shared" si="63"/>
        <v>0</v>
      </c>
      <c r="P198" s="25">
        <f t="shared" si="64"/>
        <v>0</v>
      </c>
      <c r="Q198" s="1">
        <f t="shared" si="70"/>
        <v>10406.699999999999</v>
      </c>
      <c r="R198" s="5">
        <f>IFERROR((VLOOKUP($A198,'Из ГУГЛа'!$B:$G,6,0)+T198)*S198,VLOOKUP($A198,'Из ГУГЛа'!$B:$G,6,0))</f>
        <v>10490</v>
      </c>
      <c r="S198" s="4">
        <v>1</v>
      </c>
      <c r="T198" s="4">
        <v>0</v>
      </c>
      <c r="U198" s="58">
        <f t="shared" si="71"/>
        <v>0.23889285714285702</v>
      </c>
      <c r="V198" s="58">
        <f t="shared" si="72"/>
        <v>7.9408960915158325E-3</v>
      </c>
      <c r="W198" s="58">
        <f t="shared" si="73"/>
        <v>0.24880952380952381</v>
      </c>
      <c r="X198" s="156">
        <v>10490</v>
      </c>
      <c r="Y198" s="44" t="s">
        <v>788</v>
      </c>
    </row>
    <row r="199" spans="1:25" ht="31.5" thickTop="1" thickBot="1" x14ac:dyDescent="0.3">
      <c r="A199" s="51">
        <v>138672</v>
      </c>
      <c r="B199" s="51">
        <f>VLOOKUP($A199,'Выгр Кат'!$A:$R,B$1,0)</f>
        <v>7007</v>
      </c>
      <c r="C199" s="56" t="str">
        <f>VLOOKUP($A199,'Выгр Кат'!$A:$R,C$1,0)</f>
        <v>Бортовой компьютер Multitronics TC750 на Lada и иномарки</v>
      </c>
      <c r="D199" s="51" t="str">
        <f>VLOOKUP($A199,'Выгр Кат'!$A:$R,D$1,0)</f>
        <v>Y</v>
      </c>
      <c r="E199" s="51" t="str">
        <f>VLOOKUP($A199,'Выгр Кат'!$A:$R,E$1,0)</f>
        <v>1</v>
      </c>
      <c r="F199" s="51">
        <f>VLOOKUP($A199,'Выгр Кат'!$A:$R,F$1,0)</f>
        <v>0</v>
      </c>
      <c r="G199" s="51" t="s">
        <v>884</v>
      </c>
      <c r="H199" s="77" t="s">
        <v>527</v>
      </c>
      <c r="I199" s="26">
        <f>VLOOKUP(G199,ПРАЙС!B:C,2,0)</f>
        <v>8900</v>
      </c>
      <c r="J199" s="78">
        <f>VLOOKUP(I199,Наценка!$A$2:$B$9,2,1)</f>
        <v>1.32</v>
      </c>
      <c r="K199" s="64">
        <f t="shared" si="74"/>
        <v>11649.400000000001</v>
      </c>
      <c r="L199" s="80">
        <f t="shared" si="68"/>
        <v>11690</v>
      </c>
      <c r="M199" s="51">
        <f>VLOOKUP($A199,'Выгр Кат'!$A:$R,M$1,0)</f>
        <v>8900</v>
      </c>
      <c r="N199" s="51">
        <f>VLOOKUP($A199,'Выгр Кат'!$A:$R,N$1,0)</f>
        <v>11690</v>
      </c>
      <c r="O199" s="25">
        <f t="shared" si="63"/>
        <v>0</v>
      </c>
      <c r="P199" s="25">
        <f t="shared" si="64"/>
        <v>0</v>
      </c>
      <c r="Q199" s="1">
        <f t="shared" si="70"/>
        <v>10871.699999999999</v>
      </c>
      <c r="R199" s="5">
        <f>IFERROR((VLOOKUP($A199,'Из ГУГЛа'!$B:$G,6,0)+T199)*S199,VLOOKUP($A199,'Из ГУГЛа'!$B:$G,6,0))</f>
        <v>10990</v>
      </c>
      <c r="S199" s="4">
        <v>1</v>
      </c>
      <c r="T199" s="4">
        <v>0</v>
      </c>
      <c r="U199" s="58">
        <f t="shared" si="71"/>
        <v>0.22153932584269653</v>
      </c>
      <c r="V199" s="58">
        <f t="shared" si="72"/>
        <v>1.0764331210191182E-2</v>
      </c>
      <c r="W199" s="58">
        <f t="shared" si="73"/>
        <v>0.23483146067415728</v>
      </c>
      <c r="X199" s="156">
        <v>10990</v>
      </c>
      <c r="Y199" s="44" t="s">
        <v>792</v>
      </c>
    </row>
    <row r="200" spans="1:25" ht="46.5" thickTop="1" thickBot="1" x14ac:dyDescent="0.3">
      <c r="A200" s="51">
        <v>226982</v>
      </c>
      <c r="B200" s="51">
        <f>VLOOKUP($A200,'Выгр Кат'!$A:$R,B$1,0)</f>
        <v>7114</v>
      </c>
      <c r="C200" s="56" t="str">
        <f>VLOOKUP($A200,'Выгр Кат'!$A:$R,C$1,0)</f>
        <v>Электронная комбинация приборов Flash х4 для ВАЗ 2110-2112 (европанель), Лада (Калина, Приора)</v>
      </c>
      <c r="D200" s="51" t="str">
        <f>VLOOKUP($A200,'Выгр Кат'!$A:$R,D$1,0)</f>
        <v>Y</v>
      </c>
      <c r="E200" s="51" t="str">
        <f>VLOOKUP($A200,'Выгр Кат'!$A:$R,E$1,0)</f>
        <v>1</v>
      </c>
      <c r="F200" s="51">
        <f>VLOOKUP($A200,'Выгр Кат'!$A:$R,F$1,0)</f>
        <v>0</v>
      </c>
      <c r="G200" s="51" t="s">
        <v>514</v>
      </c>
      <c r="H200" s="77" t="s">
        <v>527</v>
      </c>
      <c r="I200" s="26">
        <f>VLOOKUP(G200,ПРАЙС!B:C,2,0)</f>
        <v>11000</v>
      </c>
      <c r="J200" s="78">
        <f>VLOOKUP(I200,Наценка!$A$2:$B$9,2,1)</f>
        <v>1.3</v>
      </c>
      <c r="K200" s="64">
        <f t="shared" si="74"/>
        <v>15147.400000000001</v>
      </c>
      <c r="L200" s="80">
        <f t="shared" si="68"/>
        <v>15190</v>
      </c>
      <c r="M200" s="51">
        <f>VLOOKUP($A200,'Выгр Кат'!$A:$R,M$1,0)</f>
        <v>11000</v>
      </c>
      <c r="N200" s="51">
        <f>VLOOKUP($A200,'Выгр Кат'!$A:$R,N$1,0)</f>
        <v>15490</v>
      </c>
      <c r="O200" s="25">
        <f t="shared" si="63"/>
        <v>0</v>
      </c>
      <c r="P200" s="25">
        <f t="shared" si="64"/>
        <v>300</v>
      </c>
      <c r="Q200" s="1">
        <f t="shared" si="70"/>
        <v>14126.699999999999</v>
      </c>
      <c r="R200" s="5">
        <f>IFERROR((VLOOKUP($A200,'Из ГУГЛа'!$B:$G,6,0)+T200)*S200,VLOOKUP($A200,'Из ГУГЛа'!$B:$G,6,0))</f>
        <v>14290</v>
      </c>
      <c r="S200" s="4">
        <v>1</v>
      </c>
      <c r="T200" s="4">
        <v>0</v>
      </c>
      <c r="U200" s="58">
        <f t="shared" si="71"/>
        <v>0.28424545454545447</v>
      </c>
      <c r="V200" s="58">
        <f t="shared" si="72"/>
        <v>1.1427571728481531E-2</v>
      </c>
      <c r="W200" s="58">
        <f t="shared" si="73"/>
        <v>0.29909090909090907</v>
      </c>
      <c r="X200" s="156">
        <v>14290</v>
      </c>
      <c r="Y200" s="44" t="s">
        <v>730</v>
      </c>
    </row>
    <row r="201" spans="1:25" ht="61.5" thickTop="1" thickBot="1" x14ac:dyDescent="0.3">
      <c r="A201" s="51">
        <v>226981</v>
      </c>
      <c r="B201" s="51">
        <f>VLOOKUP($A201,'Выгр Кат'!$A:$R,B$1,0)</f>
        <v>7132</v>
      </c>
      <c r="C201" s="56" t="str">
        <f>VLOOKUP($A201,'Выгр Кат'!$A:$R,C$1,0)</f>
        <v>Электронная комбинация приборов "FLASH" Х3 для ВАЗ (2108-21099, 2110-2112 (панель с/о), 2113-2115), Лада Нива 4х4, Шевроле Нива</v>
      </c>
      <c r="D201" s="51" t="str">
        <f>VLOOKUP($A201,'Выгр Кат'!$A:$R,D$1,0)</f>
        <v>Y</v>
      </c>
      <c r="E201" s="51" t="str">
        <f>VLOOKUP($A201,'Выгр Кат'!$A:$R,E$1,0)</f>
        <v>1</v>
      </c>
      <c r="F201" s="51">
        <f>VLOOKUP($A201,'Выгр Кат'!$A:$R,F$1,0)</f>
        <v>0</v>
      </c>
      <c r="G201" s="51" t="s">
        <v>515</v>
      </c>
      <c r="H201" s="77" t="s">
        <v>527</v>
      </c>
      <c r="I201" s="26">
        <f>VLOOKUP(G201,ПРАЙС!B:C,2,0)</f>
        <v>11000</v>
      </c>
      <c r="J201" s="78">
        <f>VLOOKUP(I201,Наценка!$A$2:$B$9,2,1)</f>
        <v>1.3</v>
      </c>
      <c r="K201" s="64">
        <f t="shared" si="74"/>
        <v>14511.400000000001</v>
      </c>
      <c r="L201" s="80">
        <f t="shared" si="68"/>
        <v>14590</v>
      </c>
      <c r="M201" s="51">
        <f>VLOOKUP($A201,'Выгр Кат'!$A:$R,M$1,0)</f>
        <v>11000</v>
      </c>
      <c r="N201" s="51">
        <f>VLOOKUP($A201,'Выгр Кат'!$A:$R,N$1,0)</f>
        <v>14590</v>
      </c>
      <c r="O201" s="25">
        <f t="shared" si="63"/>
        <v>0</v>
      </c>
      <c r="P201" s="25">
        <f t="shared" si="64"/>
        <v>0</v>
      </c>
      <c r="Q201" s="1">
        <f t="shared" si="70"/>
        <v>13568.699999999999</v>
      </c>
      <c r="R201" s="5">
        <f>IFERROR((VLOOKUP($A201,'Из ГУГЛа'!$B:$G,6,0)+T201)*S201,VLOOKUP($A201,'Из ГУГЛа'!$B:$G,6,0))</f>
        <v>13690</v>
      </c>
      <c r="S201" s="4">
        <v>1</v>
      </c>
      <c r="T201" s="4">
        <v>0</v>
      </c>
      <c r="U201" s="58">
        <f t="shared" si="71"/>
        <v>0.23351818181818174</v>
      </c>
      <c r="V201" s="58">
        <f t="shared" si="72"/>
        <v>8.8604821037254269E-3</v>
      </c>
      <c r="W201" s="58">
        <f t="shared" si="73"/>
        <v>0.24454545454545462</v>
      </c>
      <c r="X201" s="156">
        <v>13690</v>
      </c>
      <c r="Y201" s="44" t="s">
        <v>722</v>
      </c>
    </row>
    <row r="202" spans="1:25" ht="31.5" thickTop="1" thickBot="1" x14ac:dyDescent="0.3">
      <c r="A202" s="51">
        <v>138666</v>
      </c>
      <c r="B202" s="51">
        <f>VLOOKUP($A202,'Выгр Кат'!$A:$R,B$1,0)</f>
        <v>7012</v>
      </c>
      <c r="C202" s="56" t="str">
        <f>VLOOKUP($A202,'Выгр Кат'!$A:$R,C$1,0)</f>
        <v>Бортовой компьютер Multitronics RC-700 на Lada и иномарки</v>
      </c>
      <c r="D202" s="51" t="str">
        <f>VLOOKUP($A202,'Выгр Кат'!$A:$R,D$1,0)</f>
        <v>Y</v>
      </c>
      <c r="E202" s="51" t="str">
        <f>VLOOKUP($A202,'Выгр Кат'!$A:$R,E$1,0)</f>
        <v>1ск6</v>
      </c>
      <c r="F202" s="51">
        <f>VLOOKUP($A202,'Выгр Кат'!$A:$R,F$1,0)</f>
        <v>0</v>
      </c>
      <c r="G202" s="51" t="s">
        <v>472</v>
      </c>
      <c r="H202" s="77" t="s">
        <v>527</v>
      </c>
      <c r="I202" s="26">
        <f>VLOOKUP(G202,ПРАЙС!B:C,2,0)</f>
        <v>10800</v>
      </c>
      <c r="J202" s="78">
        <f>VLOOKUP(I202,Наценка!$A$2:$B$9,2,1)</f>
        <v>1.3</v>
      </c>
      <c r="K202" s="64">
        <f t="shared" si="74"/>
        <v>14299.400000000001</v>
      </c>
      <c r="L202" s="80">
        <f t="shared" si="68"/>
        <v>14290</v>
      </c>
      <c r="M202" s="51">
        <f>VLOOKUP($A202,'Выгр Кат'!$A:$R,M$1,0)</f>
        <v>10800</v>
      </c>
      <c r="N202" s="51">
        <f>VLOOKUP($A202,'Выгр Кат'!$A:$R,N$1,0)</f>
        <v>14290</v>
      </c>
      <c r="O202" s="25">
        <f t="shared" si="63"/>
        <v>0</v>
      </c>
      <c r="P202" s="25">
        <f t="shared" si="64"/>
        <v>0</v>
      </c>
      <c r="Q202" s="1">
        <f t="shared" si="70"/>
        <v>13289.699999999999</v>
      </c>
      <c r="R202" s="5">
        <f>IFERROR((VLOOKUP($A202,'Из ГУГЛа'!$B:$G,6,0)+T202)*S202,VLOOKUP($A202,'Из ГУГЛа'!$B:$G,6,0))</f>
        <v>13490</v>
      </c>
      <c r="S202" s="4">
        <v>1</v>
      </c>
      <c r="T202" s="4">
        <v>0</v>
      </c>
      <c r="U202" s="58">
        <f t="shared" si="71"/>
        <v>0.23052777777777766</v>
      </c>
      <c r="V202" s="58">
        <f t="shared" si="72"/>
        <v>1.4848035581912609E-2</v>
      </c>
      <c r="W202" s="58">
        <f t="shared" si="73"/>
        <v>0.249074074074074</v>
      </c>
      <c r="X202" s="156">
        <v>13490</v>
      </c>
      <c r="Y202" s="44" t="s">
        <v>789</v>
      </c>
    </row>
    <row r="203" spans="1:25" ht="16.5" thickTop="1" thickBot="1" x14ac:dyDescent="0.3">
      <c r="A203" s="51">
        <v>138632</v>
      </c>
      <c r="B203" s="51">
        <f>VLOOKUP($A203,'Выгр Кат'!$A:$R,B$1,0)</f>
        <v>24523</v>
      </c>
      <c r="C203" s="56" t="str">
        <f>VLOOKUP($A203,'Выгр Кат'!$A:$R,C$1,0)</f>
        <v>Бортовой компьютер "Multitronics" C-900</v>
      </c>
      <c r="D203" s="51" t="str">
        <f>VLOOKUP($A203,'Выгр Кат'!$A:$R,D$1,0)</f>
        <v>Y</v>
      </c>
      <c r="E203" s="51" t="str">
        <f>VLOOKUP($A203,'Выгр Кат'!$A:$R,E$1,0)</f>
        <v>1</v>
      </c>
      <c r="F203" s="51">
        <f>VLOOKUP($A203,'Выгр Кат'!$A:$R,F$1,0)</f>
        <v>0</v>
      </c>
      <c r="G203" s="51" t="s">
        <v>64</v>
      </c>
      <c r="H203" s="77" t="s">
        <v>527</v>
      </c>
      <c r="I203" s="26">
        <f>VLOOKUP(G203,ПРАЙС!B:C,2,0)</f>
        <v>12000</v>
      </c>
      <c r="J203" s="78">
        <f>VLOOKUP(I203,Наценка!$A$2:$B$9,2,1)</f>
        <v>1.3</v>
      </c>
      <c r="K203" s="65">
        <f t="shared" ref="K203" si="75">X203*1.07</f>
        <v>15397.300000000001</v>
      </c>
      <c r="L203" s="80">
        <f t="shared" si="68"/>
        <v>15390</v>
      </c>
      <c r="M203" s="51">
        <f>VLOOKUP($A203,'Выгр Кат'!$A:$R,M$1,0)</f>
        <v>12000</v>
      </c>
      <c r="N203" s="51">
        <f>VLOOKUP($A203,'Выгр Кат'!$A:$R,N$1,0)</f>
        <v>15590</v>
      </c>
      <c r="O203" s="25">
        <f t="shared" si="63"/>
        <v>0</v>
      </c>
      <c r="P203" s="25">
        <f t="shared" si="64"/>
        <v>200</v>
      </c>
      <c r="Q203" s="1">
        <f t="shared" si="70"/>
        <v>14312.699999999999</v>
      </c>
      <c r="R203" s="5">
        <f>IFERROR((VLOOKUP($A203,'Из ГУГЛа'!$B:$G,6,0)+T203)*S203,VLOOKUP($A203,'Из ГУГЛа'!$B:$G,6,0))</f>
        <v>14390</v>
      </c>
      <c r="S203" s="4">
        <v>1</v>
      </c>
      <c r="T203" s="4">
        <v>0</v>
      </c>
      <c r="U203" s="58">
        <f t="shared" si="71"/>
        <v>0.19272499999999981</v>
      </c>
      <c r="V203" s="58">
        <f t="shared" si="72"/>
        <v>5.3717859624740159E-3</v>
      </c>
      <c r="W203" s="58">
        <f t="shared" si="73"/>
        <v>0.19916666666666671</v>
      </c>
      <c r="X203" s="156">
        <v>14390</v>
      </c>
      <c r="Y203" s="44" t="s">
        <v>833</v>
      </c>
    </row>
    <row r="204" spans="1:25" ht="46.5" thickTop="1" thickBot="1" x14ac:dyDescent="0.3">
      <c r="A204" s="51">
        <v>226972</v>
      </c>
      <c r="B204" s="51">
        <f>VLOOKUP($A204,'Выгр Кат'!$A:$R,B$1,0)</f>
        <v>7137</v>
      </c>
      <c r="C204" s="56" t="str">
        <f>VLOOKUP($A204,'Выгр Кат'!$A:$R,C$1,0)</f>
        <v>Электронная комбинация приборов "Flash" X103V для ВАЗ (2110-2112, 2113-2115), Лада Нива 4х4, Шевроле Нива</v>
      </c>
      <c r="D204" s="51" t="str">
        <f>VLOOKUP($A204,'Выгр Кат'!$A:$R,D$1,0)</f>
        <v>Y</v>
      </c>
      <c r="E204" s="51" t="str">
        <f>VLOOKUP($A204,'Выгр Кат'!$A:$R,E$1,0)</f>
        <v>1</v>
      </c>
      <c r="F204" s="51">
        <f>VLOOKUP($A204,'Выгр Кат'!$A:$R,F$1,0)</f>
        <v>0</v>
      </c>
      <c r="G204" s="51" t="s">
        <v>560</v>
      </c>
      <c r="H204" s="77" t="s">
        <v>527</v>
      </c>
      <c r="I204" s="26">
        <f>VLOOKUP(G204,ПРАЙС!B:C,2,0)</f>
        <v>13400</v>
      </c>
      <c r="J204" s="78">
        <f>VLOOKUP(I204,Наценка!$A$2:$B$9,2,1)</f>
        <v>1.3</v>
      </c>
      <c r="K204" s="64">
        <f t="shared" ref="K204:K205" si="76">X204*1.06</f>
        <v>21189.4</v>
      </c>
      <c r="L204" s="80">
        <f t="shared" si="68"/>
        <v>21190</v>
      </c>
      <c r="M204" s="51">
        <f>VLOOKUP($A204,'Выгр Кат'!$A:$R,M$1,0)</f>
        <v>13200</v>
      </c>
      <c r="N204" s="51">
        <f>VLOOKUP($A204,'Выгр Кат'!$A:$R,N$1,0)</f>
        <v>21190</v>
      </c>
      <c r="O204" s="25">
        <f t="shared" si="63"/>
        <v>-200</v>
      </c>
      <c r="P204" s="25">
        <f t="shared" si="64"/>
        <v>0</v>
      </c>
      <c r="Q204" s="1">
        <f t="shared" si="70"/>
        <v>19706.699999999997</v>
      </c>
      <c r="R204" s="5">
        <f>IFERROR((VLOOKUP($A204,'Из ГУГЛа'!$B:$G,6,0)+T204)*S204,VLOOKUP($A204,'Из ГУГЛа'!$B:$G,6,0))</f>
        <v>19990</v>
      </c>
      <c r="S204" s="4">
        <v>1</v>
      </c>
      <c r="T204" s="4">
        <v>0</v>
      </c>
      <c r="U204" s="58">
        <f t="shared" si="71"/>
        <v>0.47064925373134314</v>
      </c>
      <c r="V204" s="58">
        <f t="shared" si="72"/>
        <v>1.4172086043021656E-2</v>
      </c>
      <c r="W204" s="58">
        <f t="shared" si="73"/>
        <v>0.49179104477611935</v>
      </c>
      <c r="X204" s="156">
        <v>19990</v>
      </c>
      <c r="Y204" s="44" t="s">
        <v>720</v>
      </c>
    </row>
    <row r="205" spans="1:25" ht="46.5" thickTop="1" thickBot="1" x14ac:dyDescent="0.3">
      <c r="A205" s="51">
        <v>226973</v>
      </c>
      <c r="B205" s="51">
        <f>VLOOKUP($A205,'Выгр Кат'!$A:$R,B$1,0)</f>
        <v>24537</v>
      </c>
      <c r="C205" s="56" t="str">
        <f>VLOOKUP($A205,'Выгр Кат'!$A:$R,C$1,0)</f>
        <v>Электронная комбинация приборов "I-TEC" Flash X5 для ВАЗ 2110-2112 (евро панель), Лада (Калина, Приора)</v>
      </c>
      <c r="D205" s="51" t="str">
        <f>VLOOKUP($A205,'Выгр Кат'!$A:$R,D$1,0)</f>
        <v>Y</v>
      </c>
      <c r="E205" s="51" t="str">
        <f>VLOOKUP($A205,'Выгр Кат'!$A:$R,E$1,0)</f>
        <v>1</v>
      </c>
      <c r="F205" s="51">
        <f>VLOOKUP($A205,'Выгр Кат'!$A:$R,F$1,0)</f>
        <v>0</v>
      </c>
      <c r="G205" s="51" t="s">
        <v>523</v>
      </c>
      <c r="H205" s="77" t="s">
        <v>527</v>
      </c>
      <c r="I205" s="26">
        <f>VLOOKUP(G205,ПРАЙС!B:C,2,0)</f>
        <v>13400</v>
      </c>
      <c r="J205" s="78">
        <f>VLOOKUP(I205,Наценка!$A$2:$B$9,2,1)</f>
        <v>1.3</v>
      </c>
      <c r="K205" s="64">
        <f t="shared" si="76"/>
        <v>18433.400000000001</v>
      </c>
      <c r="L205" s="80">
        <f t="shared" si="68"/>
        <v>18490</v>
      </c>
      <c r="M205" s="51">
        <f>VLOOKUP($A205,'Выгр Кат'!$A:$R,M$1,0)</f>
        <v>13200</v>
      </c>
      <c r="N205" s="51">
        <f>VLOOKUP($A205,'Выгр Кат'!$A:$R,N$1,0)</f>
        <v>18490</v>
      </c>
      <c r="O205" s="25">
        <f t="shared" si="63"/>
        <v>-200</v>
      </c>
      <c r="P205" s="25">
        <f t="shared" si="64"/>
        <v>0</v>
      </c>
      <c r="Q205" s="1">
        <f t="shared" si="70"/>
        <v>17195.699999999997</v>
      </c>
      <c r="R205" s="5">
        <f>IFERROR((VLOOKUP($A205,'Из ГУГЛа'!$B:$G,6,0)+T205)*S205,VLOOKUP($A205,'Из ГУГЛа'!$B:$G,6,0))</f>
        <v>17390</v>
      </c>
      <c r="S205" s="4">
        <v>1</v>
      </c>
      <c r="T205" s="4">
        <v>0</v>
      </c>
      <c r="U205" s="58">
        <f t="shared" si="71"/>
        <v>0.28326119402985062</v>
      </c>
      <c r="V205" s="58">
        <f t="shared" si="72"/>
        <v>1.1173087981598787E-2</v>
      </c>
      <c r="W205" s="58">
        <f t="shared" si="73"/>
        <v>0.2977611940298508</v>
      </c>
      <c r="X205" s="156">
        <v>17390</v>
      </c>
      <c r="Y205" s="44" t="s">
        <v>723</v>
      </c>
    </row>
    <row r="206" spans="1:25" ht="30.75" thickTop="1" x14ac:dyDescent="0.25">
      <c r="A206" s="51">
        <v>218488</v>
      </c>
      <c r="B206" s="51">
        <f>VLOOKUP($A206,'Выгр Кат'!$A:$R,B$1,0)</f>
        <v>6989</v>
      </c>
      <c r="C206" s="56" t="str">
        <f>VLOOKUP($A206,'Выгр Кат'!$A:$R,C$1,0)</f>
        <v>Стробоскоп Multitronics Astro D5 на дизельный двигатель</v>
      </c>
      <c r="D206" s="51" t="str">
        <f>VLOOKUP($A206,'Выгр Кат'!$A:$R,D$1,0)</f>
        <v>Y</v>
      </c>
      <c r="E206" s="51" t="str">
        <f>VLOOKUP($A206,'Выгр Кат'!$A:$R,E$1,0)</f>
        <v>0</v>
      </c>
      <c r="F206" s="51">
        <f>VLOOKUP($A206,'Выгр Кат'!$A:$R,F$1,0)</f>
        <v>0</v>
      </c>
      <c r="G206" s="51"/>
      <c r="H206" s="77" t="s">
        <v>527</v>
      </c>
      <c r="I206" s="2">
        <f>M206</f>
        <v>0</v>
      </c>
      <c r="J206" s="78" t="e">
        <f>VLOOKUP(I206,Наценка!$A$2:$B$9,2,1)</f>
        <v>#N/A</v>
      </c>
      <c r="K206" s="2">
        <f>N206</f>
        <v>3890</v>
      </c>
      <c r="L206" s="80">
        <f t="shared" si="68"/>
        <v>3890</v>
      </c>
      <c r="M206" s="51">
        <f>VLOOKUP($A206,'Выгр Кат'!$A:$R,M$1,0)</f>
        <v>0</v>
      </c>
      <c r="N206" s="51">
        <f>VLOOKUP($A206,'Выгр Кат'!$A:$R,N$1,0)</f>
        <v>3890</v>
      </c>
      <c r="O206" s="25">
        <f t="shared" si="63"/>
        <v>0</v>
      </c>
      <c r="P206" s="25">
        <f t="shared" si="64"/>
        <v>0</v>
      </c>
      <c r="Q206" s="1">
        <f t="shared" si="70"/>
        <v>3617.7</v>
      </c>
      <c r="R206" s="5" t="str">
        <f>IFERROR((VLOOKUP($A206,'Из ГУГЛа'!$B:$G,6,0)+T206)*S206,VLOOKUP($A206,'Из ГУГЛа'!$B:$G,6,0))</f>
        <v/>
      </c>
      <c r="S206" s="4">
        <v>1</v>
      </c>
      <c r="T206" s="4">
        <v>0</v>
      </c>
      <c r="U206" s="58" t="str">
        <f t="shared" si="71"/>
        <v/>
      </c>
      <c r="V206" s="58" t="str">
        <f t="shared" si="72"/>
        <v/>
      </c>
      <c r="W206" s="58" t="str">
        <f t="shared" si="73"/>
        <v/>
      </c>
      <c r="X206" s="154"/>
    </row>
    <row r="207" spans="1:25" ht="45.75" thickBot="1" x14ac:dyDescent="0.3">
      <c r="A207" s="51">
        <v>218491</v>
      </c>
      <c r="B207" s="51">
        <f>VLOOKUP($A207,'Выгр Кат'!$A:$R,B$1,0)</f>
        <v>6990</v>
      </c>
      <c r="C207" s="56" t="str">
        <f>VLOOKUP($A207,'Выгр Кат'!$A:$R,C$1,0)</f>
        <v>Стробоскоп Multitronics Astro M5 на карбюраторный и инжекторный двигатель</v>
      </c>
      <c r="D207" s="51" t="str">
        <f>VLOOKUP($A207,'Выгр Кат'!$A:$R,D$1,0)</f>
        <v>Y</v>
      </c>
      <c r="E207" s="51" t="str">
        <f>VLOOKUP($A207,'Выгр Кат'!$A:$R,E$1,0)</f>
        <v>1</v>
      </c>
      <c r="F207" s="51">
        <f>VLOOKUP($A207,'Выгр Кат'!$A:$R,F$1,0)</f>
        <v>0</v>
      </c>
      <c r="G207" s="51"/>
      <c r="H207" s="77" t="s">
        <v>527</v>
      </c>
      <c r="I207" s="26" t="e">
        <f>VLOOKUP(G207,ПРАЙС!B:C,2,0)</f>
        <v>#N/A</v>
      </c>
      <c r="J207" s="78" t="e">
        <f>VLOOKUP(I207,Наценка!$A$2:$B$9,2,1)</f>
        <v>#N/A</v>
      </c>
      <c r="K207" s="79" t="e">
        <f t="shared" si="69"/>
        <v>#N/A</v>
      </c>
      <c r="L207" s="80" t="e">
        <f t="shared" si="68"/>
        <v>#N/A</v>
      </c>
      <c r="M207" s="51">
        <f>VLOOKUP($A207,'Выгр Кат'!$A:$R,M$1,0)</f>
        <v>2450</v>
      </c>
      <c r="N207" s="51">
        <f>VLOOKUP($A207,'Выгр Кат'!$A:$R,N$1,0)</f>
        <v>3190</v>
      </c>
      <c r="O207" s="25" t="e">
        <f t="shared" si="63"/>
        <v>#N/A</v>
      </c>
      <c r="P207" s="25" t="e">
        <f t="shared" si="64"/>
        <v>#N/A</v>
      </c>
      <c r="Q207" s="1" t="str">
        <f t="shared" si="70"/>
        <v/>
      </c>
      <c r="R207" s="5" t="str">
        <f>IFERROR((VLOOKUP($A207,'Из ГУГЛа'!$B:$G,6,0)+T207)*S207,VLOOKUP($A207,'Из ГУГЛа'!$B:$G,6,0))</f>
        <v/>
      </c>
      <c r="S207" s="4">
        <v>1</v>
      </c>
      <c r="T207" s="4">
        <v>0</v>
      </c>
      <c r="U207" s="58" t="str">
        <f t="shared" si="71"/>
        <v/>
      </c>
      <c r="V207" s="58" t="str">
        <f t="shared" si="72"/>
        <v/>
      </c>
      <c r="W207" s="58" t="str">
        <f t="shared" si="73"/>
        <v/>
      </c>
      <c r="X207" s="156" t="s">
        <v>929</v>
      </c>
    </row>
    <row r="208" spans="1:25" ht="30.75" thickTop="1" x14ac:dyDescent="0.25">
      <c r="A208" s="51">
        <v>218495</v>
      </c>
      <c r="B208" s="51">
        <f>VLOOKUP($A208,'Выгр Кат'!$A:$R,B$1,0)</f>
        <v>6991</v>
      </c>
      <c r="C208" s="56" t="str">
        <f>VLOOKUP($A208,'Выгр Кат'!$A:$R,C$1,0)</f>
        <v>Стробоскоп Multitronics SC 10 на карбюраторный двигатель</v>
      </c>
      <c r="D208" s="51" t="str">
        <f>VLOOKUP($A208,'Выгр Кат'!$A:$R,D$1,0)</f>
        <v>Y</v>
      </c>
      <c r="E208" s="51" t="str">
        <f>VLOOKUP($A208,'Выгр Кат'!$A:$R,E$1,0)</f>
        <v>0</v>
      </c>
      <c r="F208" s="51">
        <f>VLOOKUP($A208,'Выгр Кат'!$A:$R,F$1,0)</f>
        <v>0</v>
      </c>
      <c r="G208" s="51"/>
      <c r="H208" s="77" t="s">
        <v>527</v>
      </c>
      <c r="I208" s="2">
        <f t="shared" ref="I208:I271" si="77">M208</f>
        <v>0</v>
      </c>
      <c r="J208" s="78" t="e">
        <f>VLOOKUP(I208,Наценка!$A$2:$B$9,2,1)</f>
        <v>#N/A</v>
      </c>
      <c r="K208" s="2">
        <f>N208</f>
        <v>0</v>
      </c>
      <c r="L208" s="69">
        <f>N208</f>
        <v>0</v>
      </c>
      <c r="M208" s="51">
        <f>VLOOKUP($A208,'Выгр Кат'!$A:$R,M$1,0)</f>
        <v>0</v>
      </c>
      <c r="N208" s="51">
        <f>VLOOKUP($A208,'Выгр Кат'!$A:$R,N$1,0)</f>
        <v>0</v>
      </c>
      <c r="O208" s="25">
        <f t="shared" si="63"/>
        <v>0</v>
      </c>
      <c r="P208" s="25">
        <f t="shared" si="64"/>
        <v>0</v>
      </c>
      <c r="Q208" s="1">
        <f t="shared" si="70"/>
        <v>0</v>
      </c>
      <c r="R208" s="5" t="str">
        <f>IFERROR((VLOOKUP($A208,'Из ГУГЛа'!$B:$G,6,0)+T208)*S208,VLOOKUP($A208,'Из ГУГЛа'!$B:$G,6,0))</f>
        <v/>
      </c>
      <c r="S208" s="4">
        <v>1</v>
      </c>
      <c r="T208" s="4">
        <v>0</v>
      </c>
      <c r="U208" s="58" t="str">
        <f t="shared" si="71"/>
        <v/>
      </c>
      <c r="V208" s="58" t="str">
        <f t="shared" si="72"/>
        <v/>
      </c>
      <c r="W208" s="58" t="str">
        <f t="shared" si="73"/>
        <v/>
      </c>
      <c r="X208" s="154"/>
    </row>
    <row r="209" spans="1:24" ht="30" x14ac:dyDescent="0.25">
      <c r="A209" s="51">
        <v>218492</v>
      </c>
      <c r="B209" s="51">
        <f>VLOOKUP($A209,'Выгр Кат'!$A:$R,B$1,0)</f>
        <v>6992</v>
      </c>
      <c r="C209" s="56" t="str">
        <f>VLOOKUP($A209,'Выгр Кат'!$A:$R,C$1,0)</f>
        <v>Стробоскоп Multitronics C1 на дизельный двигатель</v>
      </c>
      <c r="D209" s="51" t="str">
        <f>VLOOKUP($A209,'Выгр Кат'!$A:$R,D$1,0)</f>
        <v>Y</v>
      </c>
      <c r="E209" s="51" t="str">
        <f>VLOOKUP($A209,'Выгр Кат'!$A:$R,E$1,0)</f>
        <v>0</v>
      </c>
      <c r="F209" s="51">
        <f>VLOOKUP($A209,'Выгр Кат'!$A:$R,F$1,0)</f>
        <v>0</v>
      </c>
      <c r="G209" s="51" t="s">
        <v>110</v>
      </c>
      <c r="H209" s="77" t="s">
        <v>527</v>
      </c>
      <c r="I209" s="2">
        <f t="shared" si="77"/>
        <v>500</v>
      </c>
      <c r="J209" s="78">
        <f>VLOOKUP(I209,Наценка!$A$2:$B$9,2,1)</f>
        <v>1.6</v>
      </c>
      <c r="K209" s="79">
        <f t="shared" si="69"/>
        <v>800</v>
      </c>
      <c r="L209" s="80">
        <f t="shared" si="68"/>
        <v>799</v>
      </c>
      <c r="M209" s="51">
        <f>VLOOKUP($A209,'Выгр Кат'!$A:$R,M$1,0)</f>
        <v>500</v>
      </c>
      <c r="N209" s="51">
        <f>VLOOKUP($A209,'Выгр Кат'!$A:$R,N$1,0)</f>
        <v>799</v>
      </c>
      <c r="O209" s="25">
        <f t="shared" si="63"/>
        <v>0</v>
      </c>
      <c r="P209" s="25">
        <f t="shared" si="64"/>
        <v>0</v>
      </c>
      <c r="Q209" s="1">
        <f t="shared" si="70"/>
        <v>743.06999999999994</v>
      </c>
      <c r="R209" s="5" t="str">
        <f>IFERROR((VLOOKUP($A209,'Из ГУГЛа'!$B:$G,6,0)+T209)*S209,VLOOKUP($A209,'Из ГУГЛа'!$B:$G,6,0))</f>
        <v/>
      </c>
      <c r="S209" s="4">
        <v>1</v>
      </c>
      <c r="T209" s="4">
        <v>0</v>
      </c>
      <c r="U209" s="58">
        <f t="shared" si="71"/>
        <v>0.48613999999999979</v>
      </c>
      <c r="V209" s="58" t="str">
        <f t="shared" si="72"/>
        <v/>
      </c>
      <c r="W209" s="58" t="str">
        <f t="shared" si="73"/>
        <v/>
      </c>
      <c r="X209" s="154"/>
    </row>
    <row r="210" spans="1:24" ht="30" x14ac:dyDescent="0.25">
      <c r="A210" s="51">
        <v>218500</v>
      </c>
      <c r="B210" s="51">
        <f>VLOOKUP($A210,'Выгр Кат'!$A:$R,B$1,0)</f>
        <v>6993</v>
      </c>
      <c r="C210" s="56" t="str">
        <f>VLOOKUP($A210,'Выгр Кат'!$A:$R,C$1,0)</f>
        <v>Стробоскоп-тахометр Multitronics C2 на карбюраторный двигатель</v>
      </c>
      <c r="D210" s="51" t="str">
        <f>VLOOKUP($A210,'Выгр Кат'!$A:$R,D$1,0)</f>
        <v>Y</v>
      </c>
      <c r="E210" s="51" t="str">
        <f>VLOOKUP($A210,'Выгр Кат'!$A:$R,E$1,0)</f>
        <v>0</v>
      </c>
      <c r="F210" s="51">
        <f>VLOOKUP($A210,'Выгр Кат'!$A:$R,F$1,0)</f>
        <v>0</v>
      </c>
      <c r="G210" s="51"/>
      <c r="H210" s="77" t="s">
        <v>527</v>
      </c>
      <c r="I210" s="2">
        <f t="shared" si="77"/>
        <v>950</v>
      </c>
      <c r="J210" s="78">
        <f>VLOOKUP(I210,Наценка!$A$2:$B$9,2,1)</f>
        <v>1.6</v>
      </c>
      <c r="K210" s="79">
        <f t="shared" si="69"/>
        <v>1520</v>
      </c>
      <c r="L210" s="80">
        <f t="shared" si="68"/>
        <v>1590</v>
      </c>
      <c r="M210" s="51">
        <f>VLOOKUP($A210,'Выгр Кат'!$A:$R,M$1,0)</f>
        <v>950</v>
      </c>
      <c r="N210" s="51">
        <f>VLOOKUP($A210,'Выгр Кат'!$A:$R,N$1,0)</f>
        <v>1590</v>
      </c>
      <c r="O210" s="25">
        <f t="shared" si="63"/>
        <v>0</v>
      </c>
      <c r="P210" s="25">
        <f t="shared" si="64"/>
        <v>0</v>
      </c>
      <c r="Q210" s="1">
        <f t="shared" si="70"/>
        <v>1478.6999999999998</v>
      </c>
      <c r="R210" s="5" t="str">
        <f>IFERROR((VLOOKUP($A210,'Из ГУГЛа'!$B:$G,6,0)+T210)*S210,VLOOKUP($A210,'Из ГУГЛа'!$B:$G,6,0))</f>
        <v/>
      </c>
      <c r="S210" s="4">
        <v>1</v>
      </c>
      <c r="T210" s="4">
        <v>0</v>
      </c>
      <c r="U210" s="58">
        <f t="shared" si="71"/>
        <v>0.55652631578947354</v>
      </c>
      <c r="V210" s="58" t="str">
        <f t="shared" si="72"/>
        <v/>
      </c>
      <c r="W210" s="58" t="str">
        <f t="shared" si="73"/>
        <v/>
      </c>
      <c r="X210" s="154"/>
    </row>
    <row r="211" spans="1:24" ht="30" x14ac:dyDescent="0.25">
      <c r="A211" s="51">
        <v>218494</v>
      </c>
      <c r="B211" s="51">
        <f>VLOOKUP($A211,'Выгр Кат'!$A:$R,B$1,0)</f>
        <v>6994</v>
      </c>
      <c r="C211" s="56" t="str">
        <f>VLOOKUP($A211,'Выгр Кат'!$A:$R,C$1,0)</f>
        <v>Стробоскоп Multitronics M1 на карбюраторный двигатель</v>
      </c>
      <c r="D211" s="51" t="str">
        <f>VLOOKUP($A211,'Выгр Кат'!$A:$R,D$1,0)</f>
        <v>Y</v>
      </c>
      <c r="E211" s="51" t="str">
        <f>VLOOKUP($A211,'Выгр Кат'!$A:$R,E$1,0)</f>
        <v>0</v>
      </c>
      <c r="F211" s="51">
        <f>VLOOKUP($A211,'Выгр Кат'!$A:$R,F$1,0)</f>
        <v>0</v>
      </c>
      <c r="G211" s="51"/>
      <c r="H211" s="77" t="s">
        <v>527</v>
      </c>
      <c r="I211" s="2">
        <f t="shared" si="77"/>
        <v>0</v>
      </c>
      <c r="J211" s="78" t="e">
        <f>VLOOKUP(I211,Наценка!$A$2:$B$9,2,1)</f>
        <v>#N/A</v>
      </c>
      <c r="K211" s="2">
        <f t="shared" ref="K211:K212" si="78">N211</f>
        <v>1190</v>
      </c>
      <c r="L211" s="80">
        <f t="shared" si="68"/>
        <v>1190</v>
      </c>
      <c r="M211" s="51">
        <f>VLOOKUP($A211,'Выгр Кат'!$A:$R,M$1,0)</f>
        <v>0</v>
      </c>
      <c r="N211" s="51">
        <f>VLOOKUP($A211,'Выгр Кат'!$A:$R,N$1,0)</f>
        <v>1190</v>
      </c>
      <c r="O211" s="25">
        <f t="shared" si="63"/>
        <v>0</v>
      </c>
      <c r="P211" s="25">
        <f t="shared" si="64"/>
        <v>0</v>
      </c>
      <c r="Q211" s="1">
        <f t="shared" si="70"/>
        <v>1106.6999999999998</v>
      </c>
      <c r="R211" s="5" t="str">
        <f>IFERROR((VLOOKUP($A211,'Из ГУГЛа'!$B:$G,6,0)+T211)*S211,VLOOKUP($A211,'Из ГУГЛа'!$B:$G,6,0))</f>
        <v/>
      </c>
      <c r="S211" s="4">
        <v>1</v>
      </c>
      <c r="T211" s="4">
        <v>0</v>
      </c>
      <c r="U211" s="58" t="str">
        <f t="shared" si="71"/>
        <v/>
      </c>
      <c r="V211" s="58" t="str">
        <f t="shared" si="72"/>
        <v/>
      </c>
      <c r="W211" s="58" t="str">
        <f t="shared" si="73"/>
        <v/>
      </c>
      <c r="X211" s="154"/>
    </row>
    <row r="212" spans="1:24" ht="30" x14ac:dyDescent="0.25">
      <c r="A212" s="51">
        <v>218501</v>
      </c>
      <c r="B212" s="51">
        <f>VLOOKUP($A212,'Выгр Кат'!$A:$R,B$1,0)</f>
        <v>6995</v>
      </c>
      <c r="C212" s="56" t="str">
        <f>VLOOKUP($A212,'Выгр Кат'!$A:$R,C$1,0)</f>
        <v>Стробоскоп-тахометр Multitronics M2 на карбюраторный двигатель</v>
      </c>
      <c r="D212" s="51" t="str">
        <f>VLOOKUP($A212,'Выгр Кат'!$A:$R,D$1,0)</f>
        <v>Y</v>
      </c>
      <c r="E212" s="51" t="str">
        <f>VLOOKUP($A212,'Выгр Кат'!$A:$R,E$1,0)</f>
        <v>0</v>
      </c>
      <c r="F212" s="51">
        <f>VLOOKUP($A212,'Выгр Кат'!$A:$R,F$1,0)</f>
        <v>0</v>
      </c>
      <c r="G212" s="51"/>
      <c r="H212" s="77" t="s">
        <v>527</v>
      </c>
      <c r="I212" s="2">
        <f t="shared" si="77"/>
        <v>0</v>
      </c>
      <c r="J212" s="78" t="e">
        <f>VLOOKUP(I212,Наценка!$A$2:$B$9,2,1)</f>
        <v>#N/A</v>
      </c>
      <c r="K212" s="2">
        <f t="shared" si="78"/>
        <v>1590</v>
      </c>
      <c r="L212" s="80">
        <f t="shared" si="68"/>
        <v>1590</v>
      </c>
      <c r="M212" s="51">
        <f>VLOOKUP($A212,'Выгр Кат'!$A:$R,M$1,0)</f>
        <v>0</v>
      </c>
      <c r="N212" s="51">
        <f>VLOOKUP($A212,'Выгр Кат'!$A:$R,N$1,0)</f>
        <v>1590</v>
      </c>
      <c r="O212" s="25">
        <f t="shared" si="63"/>
        <v>0</v>
      </c>
      <c r="P212" s="25">
        <f t="shared" si="64"/>
        <v>0</v>
      </c>
      <c r="Q212" s="1">
        <f t="shared" si="70"/>
        <v>1478.6999999999998</v>
      </c>
      <c r="R212" s="5" t="str">
        <f>IFERROR((VLOOKUP($A212,'Из ГУГЛа'!$B:$G,6,0)+T212)*S212,VLOOKUP($A212,'Из ГУГЛа'!$B:$G,6,0))</f>
        <v/>
      </c>
      <c r="S212" s="4">
        <v>1</v>
      </c>
      <c r="T212" s="4">
        <v>0</v>
      </c>
      <c r="U212" s="58" t="str">
        <f t="shared" si="71"/>
        <v/>
      </c>
      <c r="V212" s="58" t="str">
        <f t="shared" si="72"/>
        <v/>
      </c>
      <c r="W212" s="58" t="str">
        <f t="shared" si="73"/>
        <v/>
      </c>
      <c r="X212" s="154"/>
    </row>
    <row r="213" spans="1:24" ht="45" x14ac:dyDescent="0.25">
      <c r="A213" s="51">
        <v>218489</v>
      </c>
      <c r="B213" s="51">
        <f>VLOOKUP($A213,'Выгр Кат'!$A:$R,B$1,0)</f>
        <v>6996</v>
      </c>
      <c r="C213" s="56" t="str">
        <f>VLOOKUP($A213,'Выгр Кат'!$A:$R,C$1,0)</f>
        <v>Стробоскоп Multitronics Astro L1 на карбюраторный и инжекторный двигатель</v>
      </c>
      <c r="D213" s="51" t="str">
        <f>VLOOKUP($A213,'Выгр Кат'!$A:$R,D$1,0)</f>
        <v>Y</v>
      </c>
      <c r="E213" s="51" t="str">
        <f>VLOOKUP($A213,'Выгр Кат'!$A:$R,E$1,0)</f>
        <v>0</v>
      </c>
      <c r="F213" s="51">
        <f>VLOOKUP($A213,'Выгр Кат'!$A:$R,F$1,0)</f>
        <v>0</v>
      </c>
      <c r="G213" s="51"/>
      <c r="H213" s="77" t="s">
        <v>527</v>
      </c>
      <c r="I213" s="2">
        <f t="shared" si="77"/>
        <v>720</v>
      </c>
      <c r="J213" s="78">
        <f>VLOOKUP(I213,Наценка!$A$2:$B$9,2,1)</f>
        <v>1.6</v>
      </c>
      <c r="K213" s="79">
        <f t="shared" si="69"/>
        <v>1152</v>
      </c>
      <c r="L213" s="80">
        <f t="shared" si="68"/>
        <v>1190</v>
      </c>
      <c r="M213" s="51">
        <f>VLOOKUP($A213,'Выгр Кат'!$A:$R,M$1,0)</f>
        <v>720</v>
      </c>
      <c r="N213" s="51">
        <f>VLOOKUP($A213,'Выгр Кат'!$A:$R,N$1,0)</f>
        <v>1190</v>
      </c>
      <c r="O213" s="25">
        <f t="shared" si="63"/>
        <v>0</v>
      </c>
      <c r="P213" s="25">
        <f t="shared" si="64"/>
        <v>0</v>
      </c>
      <c r="Q213" s="1">
        <f t="shared" si="70"/>
        <v>1106.6999999999998</v>
      </c>
      <c r="R213" s="5" t="str">
        <f>IFERROR((VLOOKUP($A213,'Из ГУГЛа'!$B:$G,6,0)+T213)*S213,VLOOKUP($A213,'Из ГУГЛа'!$B:$G,6,0))</f>
        <v/>
      </c>
      <c r="S213" s="4">
        <v>1</v>
      </c>
      <c r="T213" s="4">
        <v>0</v>
      </c>
      <c r="U213" s="58">
        <f t="shared" si="71"/>
        <v>0.53708333333333313</v>
      </c>
      <c r="V213" s="58" t="str">
        <f t="shared" si="72"/>
        <v/>
      </c>
      <c r="W213" s="58" t="str">
        <f t="shared" si="73"/>
        <v/>
      </c>
      <c r="X213" s="154"/>
    </row>
    <row r="214" spans="1:24" ht="30" x14ac:dyDescent="0.25">
      <c r="A214" s="51">
        <v>218490</v>
      </c>
      <c r="B214" s="51">
        <f>VLOOKUP($A214,'Выгр Кат'!$A:$R,B$1,0)</f>
        <v>6997</v>
      </c>
      <c r="C214" s="56" t="str">
        <f>VLOOKUP($A214,'Выгр Кат'!$A:$R,C$1,0)</f>
        <v>Стробоскоп Multitronics Astro L5 на карбюраторный двигатель</v>
      </c>
      <c r="D214" s="51" t="str">
        <f>VLOOKUP($A214,'Выгр Кат'!$A:$R,D$1,0)</f>
        <v>Y</v>
      </c>
      <c r="E214" s="51" t="str">
        <f>VLOOKUP($A214,'Выгр Кат'!$A:$R,E$1,0)</f>
        <v>0</v>
      </c>
      <c r="F214" s="51">
        <f>VLOOKUP($A214,'Выгр Кат'!$A:$R,F$1,0)</f>
        <v>0</v>
      </c>
      <c r="G214" s="51"/>
      <c r="H214" s="77" t="s">
        <v>527</v>
      </c>
      <c r="I214" s="2">
        <f t="shared" si="77"/>
        <v>1300</v>
      </c>
      <c r="J214" s="78">
        <f>VLOOKUP(I214,Наценка!$A$2:$B$9,2,1)</f>
        <v>1.4</v>
      </c>
      <c r="K214" s="79">
        <f t="shared" si="69"/>
        <v>1819.9999999999998</v>
      </c>
      <c r="L214" s="80">
        <f t="shared" si="68"/>
        <v>1890</v>
      </c>
      <c r="M214" s="51">
        <f>VLOOKUP($A214,'Выгр Кат'!$A:$R,M$1,0)</f>
        <v>1300</v>
      </c>
      <c r="N214" s="51">
        <f>VLOOKUP($A214,'Выгр Кат'!$A:$R,N$1,0)</f>
        <v>1890</v>
      </c>
      <c r="O214" s="25">
        <f t="shared" si="63"/>
        <v>0</v>
      </c>
      <c r="P214" s="25">
        <f t="shared" si="64"/>
        <v>0</v>
      </c>
      <c r="Q214" s="1">
        <f t="shared" si="70"/>
        <v>1757.6999999999998</v>
      </c>
      <c r="R214" s="5" t="str">
        <f>IFERROR((VLOOKUP($A214,'Из ГУГЛа'!$B:$G,6,0)+T214)*S214,VLOOKUP($A214,'Из ГУГЛа'!$B:$G,6,0))</f>
        <v/>
      </c>
      <c r="S214" s="4">
        <v>1</v>
      </c>
      <c r="T214" s="4">
        <v>0</v>
      </c>
      <c r="U214" s="58">
        <f t="shared" si="71"/>
        <v>0.35207692307692295</v>
      </c>
      <c r="V214" s="58" t="str">
        <f t="shared" si="72"/>
        <v/>
      </c>
      <c r="W214" s="58" t="str">
        <f t="shared" si="73"/>
        <v/>
      </c>
      <c r="X214" s="154"/>
    </row>
    <row r="215" spans="1:24" ht="30" x14ac:dyDescent="0.25">
      <c r="A215" s="51">
        <v>218493</v>
      </c>
      <c r="B215" s="51">
        <f>VLOOKUP($A215,'Выгр Кат'!$A:$R,B$1,0)</f>
        <v>6998</v>
      </c>
      <c r="C215" s="56" t="str">
        <f>VLOOKUP($A215,'Выгр Кат'!$A:$R,C$1,0)</f>
        <v>Стробоскоп Multitronics Focus F1 на карбюраторный двигатель</v>
      </c>
      <c r="D215" s="51" t="str">
        <f>VLOOKUP($A215,'Выгр Кат'!$A:$R,D$1,0)</f>
        <v>Y</v>
      </c>
      <c r="E215" s="51" t="str">
        <f>VLOOKUP($A215,'Выгр Кат'!$A:$R,E$1,0)</f>
        <v>0</v>
      </c>
      <c r="F215" s="51">
        <f>VLOOKUP($A215,'Выгр Кат'!$A:$R,F$1,0)</f>
        <v>0</v>
      </c>
      <c r="G215" s="51"/>
      <c r="H215" s="77" t="s">
        <v>527</v>
      </c>
      <c r="I215" s="2">
        <f t="shared" si="77"/>
        <v>0</v>
      </c>
      <c r="J215" s="78" t="e">
        <f>VLOOKUP(I215,Наценка!$A$2:$B$9,2,1)</f>
        <v>#N/A</v>
      </c>
      <c r="K215" s="2">
        <f t="shared" ref="K215:K216" si="79">N215</f>
        <v>2090</v>
      </c>
      <c r="L215" s="80">
        <f t="shared" si="68"/>
        <v>2090</v>
      </c>
      <c r="M215" s="51">
        <f>VLOOKUP($A215,'Выгр Кат'!$A:$R,M$1,0)</f>
        <v>0</v>
      </c>
      <c r="N215" s="51">
        <f>VLOOKUP($A215,'Выгр Кат'!$A:$R,N$1,0)</f>
        <v>2090</v>
      </c>
      <c r="O215" s="25">
        <f t="shared" si="63"/>
        <v>0</v>
      </c>
      <c r="P215" s="25">
        <f t="shared" si="64"/>
        <v>0</v>
      </c>
      <c r="Q215" s="1">
        <f t="shared" si="70"/>
        <v>1943.6999999999998</v>
      </c>
      <c r="R215" s="5" t="str">
        <f>IFERROR((VLOOKUP($A215,'Из ГУГЛа'!$B:$G,6,0)+T215)*S215,VLOOKUP($A215,'Из ГУГЛа'!$B:$G,6,0))</f>
        <v/>
      </c>
      <c r="S215" s="4">
        <v>1</v>
      </c>
      <c r="T215" s="4">
        <v>0</v>
      </c>
      <c r="U215" s="58" t="str">
        <f t="shared" si="71"/>
        <v/>
      </c>
      <c r="V215" s="58" t="str">
        <f t="shared" si="72"/>
        <v/>
      </c>
      <c r="W215" s="58" t="str">
        <f t="shared" si="73"/>
        <v/>
      </c>
      <c r="X215" s="154"/>
    </row>
    <row r="216" spans="1:24" ht="45" x14ac:dyDescent="0.25">
      <c r="A216" s="51">
        <v>218497</v>
      </c>
      <c r="B216" s="51">
        <f>VLOOKUP($A216,'Выгр Кат'!$A:$R,B$1,0)</f>
        <v>6999</v>
      </c>
      <c r="C216" s="56" t="str">
        <f>VLOOKUP($A216,'Выгр Кат'!$A:$R,C$1,0)</f>
        <v>Стробоскоп мотор-тестер Multitronics Focus F10 на бензиновый и дизельный двигатель</v>
      </c>
      <c r="D216" s="51" t="str">
        <f>VLOOKUP($A216,'Выгр Кат'!$A:$R,D$1,0)</f>
        <v>Y</v>
      </c>
      <c r="E216" s="51" t="str">
        <f>VLOOKUP($A216,'Выгр Кат'!$A:$R,E$1,0)</f>
        <v>0</v>
      </c>
      <c r="F216" s="51">
        <f>VLOOKUP($A216,'Выгр Кат'!$A:$R,F$1,0)</f>
        <v>0</v>
      </c>
      <c r="G216" s="51"/>
      <c r="H216" s="77" t="s">
        <v>527</v>
      </c>
      <c r="I216" s="2">
        <f t="shared" si="77"/>
        <v>0</v>
      </c>
      <c r="J216" s="78" t="e">
        <f>VLOOKUP(I216,Наценка!$A$2:$B$9,2,1)</f>
        <v>#N/A</v>
      </c>
      <c r="K216" s="2">
        <f t="shared" si="79"/>
        <v>6490</v>
      </c>
      <c r="L216" s="80">
        <f t="shared" si="68"/>
        <v>6490</v>
      </c>
      <c r="M216" s="51">
        <f>VLOOKUP($A216,'Выгр Кат'!$A:$R,M$1,0)</f>
        <v>0</v>
      </c>
      <c r="N216" s="51">
        <f>VLOOKUP($A216,'Выгр Кат'!$A:$R,N$1,0)</f>
        <v>6490</v>
      </c>
      <c r="O216" s="25">
        <f t="shared" si="63"/>
        <v>0</v>
      </c>
      <c r="P216" s="25">
        <f t="shared" si="64"/>
        <v>0</v>
      </c>
      <c r="Q216" s="1">
        <f t="shared" si="70"/>
        <v>6035.7</v>
      </c>
      <c r="R216" s="5" t="str">
        <f>IFERROR((VLOOKUP($A216,'Из ГУГЛа'!$B:$G,6,0)+T216)*S216,VLOOKUP($A216,'Из ГУГЛа'!$B:$G,6,0))</f>
        <v/>
      </c>
      <c r="S216" s="4">
        <v>1</v>
      </c>
      <c r="T216" s="4">
        <v>0</v>
      </c>
      <c r="U216" s="58" t="str">
        <f t="shared" si="71"/>
        <v/>
      </c>
      <c r="V216" s="58" t="str">
        <f t="shared" si="72"/>
        <v/>
      </c>
      <c r="W216" s="58" t="str">
        <f t="shared" si="73"/>
        <v/>
      </c>
      <c r="X216" s="154"/>
    </row>
    <row r="217" spans="1:24" ht="30" x14ac:dyDescent="0.25">
      <c r="A217" s="51">
        <v>138705</v>
      </c>
      <c r="B217" s="51">
        <f>VLOOKUP($A217,'Выгр Кат'!$A:$R,B$1,0)</f>
        <v>7009</v>
      </c>
      <c r="C217" s="56" t="str">
        <f>VLOOKUP($A217,'Выгр Кат'!$A:$R,C$1,0)</f>
        <v>Бортовой компьютер Штат Unicomp-400 на Lada и иномарки</v>
      </c>
      <c r="D217" s="51" t="str">
        <f>VLOOKUP($A217,'Выгр Кат'!$A:$R,D$1,0)</f>
        <v>Y</v>
      </c>
      <c r="E217" s="51" t="str">
        <f>VLOOKUP($A217,'Выгр Кат'!$A:$R,E$1,0)</f>
        <v>0</v>
      </c>
      <c r="F217" s="51">
        <f>VLOOKUP($A217,'Выгр Кат'!$A:$R,F$1,0)</f>
        <v>0</v>
      </c>
      <c r="G217" s="51"/>
      <c r="H217" s="77" t="s">
        <v>527</v>
      </c>
      <c r="I217" s="2">
        <f t="shared" si="77"/>
        <v>2200</v>
      </c>
      <c r="J217" s="78">
        <f>VLOOKUP(I217,Наценка!$A$2:$B$9,2,1)</f>
        <v>1.29</v>
      </c>
      <c r="K217" s="79">
        <f t="shared" si="69"/>
        <v>2838</v>
      </c>
      <c r="L217" s="80">
        <f t="shared" si="68"/>
        <v>2890</v>
      </c>
      <c r="M217" s="51">
        <f>VLOOKUP($A217,'Выгр Кат'!$A:$R,M$1,0)</f>
        <v>2200</v>
      </c>
      <c r="N217" s="51">
        <f>VLOOKUP($A217,'Выгр Кат'!$A:$R,N$1,0)</f>
        <v>2890</v>
      </c>
      <c r="O217" s="25">
        <f t="shared" si="63"/>
        <v>0</v>
      </c>
      <c r="P217" s="25">
        <f t="shared" si="64"/>
        <v>0</v>
      </c>
      <c r="Q217" s="1">
        <f t="shared" si="70"/>
        <v>2687.7</v>
      </c>
      <c r="R217" s="5" t="str">
        <f>IFERROR((VLOOKUP($A217,'Из ГУГЛа'!$B:$G,6,0)+T217)*S217,VLOOKUP($A217,'Из ГУГЛа'!$B:$G,6,0))</f>
        <v/>
      </c>
      <c r="S217" s="4">
        <v>1</v>
      </c>
      <c r="T217" s="4">
        <v>0</v>
      </c>
      <c r="U217" s="58">
        <f t="shared" si="71"/>
        <v>0.22168181818181809</v>
      </c>
      <c r="V217" s="58" t="str">
        <f t="shared" si="72"/>
        <v/>
      </c>
      <c r="W217" s="58" t="str">
        <f t="shared" si="73"/>
        <v/>
      </c>
      <c r="X217" s="154"/>
    </row>
    <row r="218" spans="1:24" ht="30" x14ac:dyDescent="0.25">
      <c r="A218" s="51">
        <v>138668</v>
      </c>
      <c r="B218" s="51">
        <f>VLOOKUP($A218,'Выгр Кат'!$A:$R,B$1,0)</f>
        <v>7017</v>
      </c>
      <c r="C218" s="56" t="str">
        <f>VLOOKUP($A218,'Выгр Кат'!$A:$R,C$1,0)</f>
        <v>Бортовой компьютер Multitronics SE-50V на Lada и иномарки</v>
      </c>
      <c r="D218" s="51" t="str">
        <f>VLOOKUP($A218,'Выгр Кат'!$A:$R,D$1,0)</f>
        <v>Y</v>
      </c>
      <c r="E218" s="51" t="str">
        <f>VLOOKUP($A218,'Выгр Кат'!$A:$R,E$1,0)</f>
        <v>0</v>
      </c>
      <c r="F218" s="51">
        <f>VLOOKUP($A218,'Выгр Кат'!$A:$R,F$1,0)</f>
        <v>0</v>
      </c>
      <c r="G218" s="51"/>
      <c r="H218" s="77" t="s">
        <v>527</v>
      </c>
      <c r="I218" s="2">
        <f t="shared" si="77"/>
        <v>0</v>
      </c>
      <c r="J218" s="78" t="e">
        <f>VLOOKUP(I218,Наценка!$A$2:$B$9,2,1)</f>
        <v>#N/A</v>
      </c>
      <c r="K218" s="2">
        <f t="shared" ref="K218:K219" si="80">N218</f>
        <v>4890</v>
      </c>
      <c r="L218" s="80">
        <f t="shared" si="68"/>
        <v>4890</v>
      </c>
      <c r="M218" s="51">
        <f>VLOOKUP($A218,'Выгр Кат'!$A:$R,M$1,0)</f>
        <v>0</v>
      </c>
      <c r="N218" s="51">
        <f>VLOOKUP($A218,'Выгр Кат'!$A:$R,N$1,0)</f>
        <v>4890</v>
      </c>
      <c r="O218" s="25">
        <f t="shared" si="63"/>
        <v>0</v>
      </c>
      <c r="P218" s="25">
        <f t="shared" si="64"/>
        <v>0</v>
      </c>
      <c r="Q218" s="1">
        <f t="shared" si="70"/>
        <v>4547.7</v>
      </c>
      <c r="R218" s="5" t="str">
        <f>IFERROR((VLOOKUP($A218,'Из ГУГЛа'!$B:$G,6,0)+T218)*S218,VLOOKUP($A218,'Из ГУГЛа'!$B:$G,6,0))</f>
        <v/>
      </c>
      <c r="S218" s="4">
        <v>1</v>
      </c>
      <c r="T218" s="4">
        <v>0</v>
      </c>
      <c r="U218" s="58" t="str">
        <f t="shared" si="71"/>
        <v/>
      </c>
      <c r="V218" s="58" t="str">
        <f t="shared" si="72"/>
        <v/>
      </c>
      <c r="W218" s="58" t="str">
        <f t="shared" si="73"/>
        <v/>
      </c>
      <c r="X218" s="154"/>
    </row>
    <row r="219" spans="1:24" ht="30" x14ac:dyDescent="0.25">
      <c r="A219" s="51">
        <v>138686</v>
      </c>
      <c r="B219" s="51">
        <f>VLOOKUP($A219,'Выгр Кат'!$A:$R,B$1,0)</f>
        <v>7024</v>
      </c>
      <c r="C219" s="56" t="str">
        <f>VLOOKUP($A219,'Выгр Кат'!$A:$R,C$1,0)</f>
        <v>Бортовой компьютер Престиж V55-01 на Lada</v>
      </c>
      <c r="D219" s="51" t="str">
        <f>VLOOKUP($A219,'Выгр Кат'!$A:$R,D$1,0)</f>
        <v>Y</v>
      </c>
      <c r="E219" s="51" t="str">
        <f>VLOOKUP($A219,'Выгр Кат'!$A:$R,E$1,0)</f>
        <v>0</v>
      </c>
      <c r="F219" s="51">
        <f>VLOOKUP($A219,'Выгр Кат'!$A:$R,F$1,0)</f>
        <v>0</v>
      </c>
      <c r="G219" s="51"/>
      <c r="H219" s="77" t="s">
        <v>527</v>
      </c>
      <c r="I219" s="2">
        <f t="shared" si="77"/>
        <v>0</v>
      </c>
      <c r="J219" s="78" t="e">
        <f>VLOOKUP(I219,Наценка!$A$2:$B$9,2,1)</f>
        <v>#N/A</v>
      </c>
      <c r="K219" s="2">
        <f t="shared" si="80"/>
        <v>0</v>
      </c>
      <c r="L219" s="69">
        <f>N219</f>
        <v>0</v>
      </c>
      <c r="M219" s="51">
        <f>VLOOKUP($A219,'Выгр Кат'!$A:$R,M$1,0)</f>
        <v>0</v>
      </c>
      <c r="N219" s="51">
        <f>VLOOKUP($A219,'Выгр Кат'!$A:$R,N$1,0)</f>
        <v>0</v>
      </c>
      <c r="O219" s="25">
        <f t="shared" si="63"/>
        <v>0</v>
      </c>
      <c r="P219" s="25">
        <f t="shared" si="64"/>
        <v>0</v>
      </c>
      <c r="Q219" s="1">
        <f t="shared" si="70"/>
        <v>0</v>
      </c>
      <c r="R219" s="5" t="str">
        <f>IFERROR((VLOOKUP($A219,'Из ГУГЛа'!$B:$G,6,0)+T219)*S219,VLOOKUP($A219,'Из ГУГЛа'!$B:$G,6,0))</f>
        <v/>
      </c>
      <c r="S219" s="4">
        <v>1</v>
      </c>
      <c r="T219" s="4">
        <v>0</v>
      </c>
      <c r="U219" s="58" t="str">
        <f t="shared" si="71"/>
        <v/>
      </c>
      <c r="V219" s="58" t="str">
        <f t="shared" si="72"/>
        <v/>
      </c>
      <c r="W219" s="58" t="str">
        <f t="shared" si="73"/>
        <v/>
      </c>
      <c r="X219" s="154"/>
    </row>
    <row r="220" spans="1:24" x14ac:dyDescent="0.25">
      <c r="A220" s="51">
        <v>138718</v>
      </c>
      <c r="B220" s="51">
        <f>VLOOKUP($A220,'Выгр Кат'!$A:$R,B$1,0)</f>
        <v>7027</v>
      </c>
      <c r="C220" s="56" t="str">
        <f>VLOOKUP($A220,'Выгр Кат'!$A:$R,C$1,0)</f>
        <v>Бортовой Штат UniComp-400L на Lada</v>
      </c>
      <c r="D220" s="51" t="str">
        <f>VLOOKUP($A220,'Выгр Кат'!$A:$R,D$1,0)</f>
        <v>Y</v>
      </c>
      <c r="E220" s="51" t="str">
        <f>VLOOKUP($A220,'Выгр Кат'!$A:$R,E$1,0)</f>
        <v>0</v>
      </c>
      <c r="F220" s="51">
        <f>VLOOKUP($A220,'Выгр Кат'!$A:$R,F$1,0)</f>
        <v>0</v>
      </c>
      <c r="G220" s="51"/>
      <c r="H220" s="77" t="s">
        <v>527</v>
      </c>
      <c r="I220" s="2">
        <f t="shared" si="77"/>
        <v>1850</v>
      </c>
      <c r="J220" s="78">
        <f>VLOOKUP(I220,Наценка!$A$2:$B$9,2,1)</f>
        <v>1.4</v>
      </c>
      <c r="K220" s="79">
        <f t="shared" si="69"/>
        <v>2590</v>
      </c>
      <c r="L220" s="80">
        <f t="shared" si="68"/>
        <v>2590</v>
      </c>
      <c r="M220" s="51">
        <f>VLOOKUP($A220,'Выгр Кат'!$A:$R,M$1,0)</f>
        <v>1850</v>
      </c>
      <c r="N220" s="51">
        <f>VLOOKUP($A220,'Выгр Кат'!$A:$R,N$1,0)</f>
        <v>2590</v>
      </c>
      <c r="O220" s="25">
        <f t="shared" si="63"/>
        <v>0</v>
      </c>
      <c r="P220" s="25">
        <f t="shared" si="64"/>
        <v>0</v>
      </c>
      <c r="Q220" s="1">
        <f t="shared" si="70"/>
        <v>2408.6999999999998</v>
      </c>
      <c r="R220" s="5" t="str">
        <f>IFERROR((VLOOKUP($A220,'Из ГУГЛа'!$B:$G,6,0)+T220)*S220,VLOOKUP($A220,'Из ГУГЛа'!$B:$G,6,0))</f>
        <v/>
      </c>
      <c r="S220" s="4">
        <v>1</v>
      </c>
      <c r="T220" s="4">
        <v>0</v>
      </c>
      <c r="U220" s="58">
        <f t="shared" si="71"/>
        <v>0.30199999999999982</v>
      </c>
      <c r="V220" s="58" t="str">
        <f t="shared" si="72"/>
        <v/>
      </c>
      <c r="W220" s="58" t="str">
        <f t="shared" si="73"/>
        <v/>
      </c>
      <c r="X220" s="154"/>
    </row>
    <row r="221" spans="1:24" ht="30" x14ac:dyDescent="0.25">
      <c r="A221" s="51">
        <v>138703</v>
      </c>
      <c r="B221" s="51">
        <f>VLOOKUP($A221,'Выгр Кат'!$A:$R,B$1,0)</f>
        <v>7031</v>
      </c>
      <c r="C221" s="56" t="str">
        <f>VLOOKUP($A221,'Выгр Кат'!$A:$R,C$1,0)</f>
        <v>Бортовой компьютер Штат Priora ХD RGB на Lada Priora</v>
      </c>
      <c r="D221" s="51" t="str">
        <f>VLOOKUP($A221,'Выгр Кат'!$A:$R,D$1,0)</f>
        <v>Y</v>
      </c>
      <c r="E221" s="51" t="str">
        <f>VLOOKUP($A221,'Выгр Кат'!$A:$R,E$1,0)</f>
        <v>0</v>
      </c>
      <c r="F221" s="51">
        <f>VLOOKUP($A221,'Выгр Кат'!$A:$R,F$1,0)</f>
        <v>0</v>
      </c>
      <c r="G221" s="51"/>
      <c r="H221" s="77" t="s">
        <v>527</v>
      </c>
      <c r="I221" s="2">
        <f t="shared" si="77"/>
        <v>0</v>
      </c>
      <c r="J221" s="78" t="e">
        <f>VLOOKUP(I221,Наценка!$A$2:$B$9,2,1)</f>
        <v>#N/A</v>
      </c>
      <c r="K221" s="2">
        <f t="shared" ref="K221:K222" si="81">N221</f>
        <v>3290</v>
      </c>
      <c r="L221" s="80">
        <f t="shared" si="68"/>
        <v>3290</v>
      </c>
      <c r="M221" s="51">
        <f>VLOOKUP($A221,'Выгр Кат'!$A:$R,M$1,0)</f>
        <v>0</v>
      </c>
      <c r="N221" s="51">
        <f>VLOOKUP($A221,'Выгр Кат'!$A:$R,N$1,0)</f>
        <v>3290</v>
      </c>
      <c r="O221" s="25">
        <f t="shared" si="63"/>
        <v>0</v>
      </c>
      <c r="P221" s="25">
        <f t="shared" si="64"/>
        <v>0</v>
      </c>
      <c r="Q221" s="1">
        <f t="shared" si="70"/>
        <v>3059.7</v>
      </c>
      <c r="R221" s="5" t="str">
        <f>IFERROR((VLOOKUP($A221,'Из ГУГЛа'!$B:$G,6,0)+T221)*S221,VLOOKUP($A221,'Из ГУГЛа'!$B:$G,6,0))</f>
        <v/>
      </c>
      <c r="S221" s="4">
        <v>1</v>
      </c>
      <c r="T221" s="4">
        <v>0</v>
      </c>
      <c r="U221" s="58" t="str">
        <f t="shared" si="71"/>
        <v/>
      </c>
      <c r="V221" s="58" t="str">
        <f t="shared" si="72"/>
        <v/>
      </c>
      <c r="W221" s="58" t="str">
        <f t="shared" si="73"/>
        <v/>
      </c>
      <c r="X221" s="154"/>
    </row>
    <row r="222" spans="1:24" ht="30" x14ac:dyDescent="0.25">
      <c r="A222" s="51">
        <v>138697</v>
      </c>
      <c r="B222" s="51">
        <f>VLOOKUP($A222,'Выгр Кат'!$A:$R,B$1,0)</f>
        <v>7034</v>
      </c>
      <c r="C222" s="56" t="str">
        <f>VLOOKUP($A222,'Выгр Кат'!$A:$R,C$1,0)</f>
        <v>Бортовой компьютер Штат 219x4 на Lada Kalina, Kalina 2, Granta</v>
      </c>
      <c r="D222" s="51" t="str">
        <f>VLOOKUP($A222,'Выгр Кат'!$A:$R,D$1,0)</f>
        <v>Y</v>
      </c>
      <c r="E222" s="51" t="str">
        <f>VLOOKUP($A222,'Выгр Кат'!$A:$R,E$1,0)</f>
        <v>0</v>
      </c>
      <c r="F222" s="51">
        <f>VLOOKUP($A222,'Выгр Кат'!$A:$R,F$1,0)</f>
        <v>0</v>
      </c>
      <c r="G222" s="51"/>
      <c r="H222" s="77" t="s">
        <v>527</v>
      </c>
      <c r="I222" s="2">
        <f t="shared" si="77"/>
        <v>0</v>
      </c>
      <c r="J222" s="78" t="e">
        <f>VLOOKUP(I222,Наценка!$A$2:$B$9,2,1)</f>
        <v>#N/A</v>
      </c>
      <c r="K222" s="2">
        <f t="shared" si="81"/>
        <v>0</v>
      </c>
      <c r="L222" s="69">
        <f>N222</f>
        <v>0</v>
      </c>
      <c r="M222" s="51">
        <f>VLOOKUP($A222,'Выгр Кат'!$A:$R,M$1,0)</f>
        <v>0</v>
      </c>
      <c r="N222" s="51">
        <f>VLOOKUP($A222,'Выгр Кат'!$A:$R,N$1,0)</f>
        <v>0</v>
      </c>
      <c r="O222" s="25">
        <f t="shared" si="63"/>
        <v>0</v>
      </c>
      <c r="P222" s="25">
        <f t="shared" si="64"/>
        <v>0</v>
      </c>
      <c r="Q222" s="1">
        <f t="shared" si="70"/>
        <v>0</v>
      </c>
      <c r="R222" s="5" t="str">
        <f>IFERROR((VLOOKUP($A222,'Из ГУГЛа'!$B:$G,6,0)+T222)*S222,VLOOKUP($A222,'Из ГУГЛа'!$B:$G,6,0))</f>
        <v/>
      </c>
      <c r="S222" s="4">
        <v>1</v>
      </c>
      <c r="T222" s="4">
        <v>0</v>
      </c>
      <c r="U222" s="58" t="str">
        <f t="shared" si="71"/>
        <v/>
      </c>
      <c r="V222" s="58" t="str">
        <f t="shared" si="72"/>
        <v/>
      </c>
      <c r="W222" s="58" t="str">
        <f t="shared" si="73"/>
        <v/>
      </c>
      <c r="X222" s="154"/>
    </row>
    <row r="223" spans="1:24" ht="30" x14ac:dyDescent="0.25">
      <c r="A223" s="51">
        <v>138701</v>
      </c>
      <c r="B223" s="51">
        <f>VLOOKUP($A223,'Выгр Кат'!$A:$R,B$1,0)</f>
        <v>7038</v>
      </c>
      <c r="C223" s="56" t="str">
        <f>VLOOKUP($A223,'Выгр Кат'!$A:$R,C$1,0)</f>
        <v>Бортовой компьютер Штат Kalina XD на Lada Kalina</v>
      </c>
      <c r="D223" s="51" t="str">
        <f>VLOOKUP($A223,'Выгр Кат'!$A:$R,D$1,0)</f>
        <v>Y</v>
      </c>
      <c r="E223" s="51" t="str">
        <f>VLOOKUP($A223,'Выгр Кат'!$A:$R,E$1,0)</f>
        <v>0</v>
      </c>
      <c r="F223" s="51">
        <f>VLOOKUP($A223,'Выгр Кат'!$A:$R,F$1,0)</f>
        <v>0</v>
      </c>
      <c r="G223" s="51"/>
      <c r="H223" s="77" t="s">
        <v>527</v>
      </c>
      <c r="I223" s="2">
        <f t="shared" si="77"/>
        <v>4000</v>
      </c>
      <c r="J223" s="78">
        <f>VLOOKUP(I223,Наценка!$A$2:$B$9,2,1)</f>
        <v>1.29</v>
      </c>
      <c r="K223" s="79">
        <f t="shared" si="69"/>
        <v>5160</v>
      </c>
      <c r="L223" s="80">
        <f t="shared" si="68"/>
        <v>5190</v>
      </c>
      <c r="M223" s="51">
        <f>VLOOKUP($A223,'Выгр Кат'!$A:$R,M$1,0)</f>
        <v>4000</v>
      </c>
      <c r="N223" s="51">
        <f>VLOOKUP($A223,'Выгр Кат'!$A:$R,N$1,0)</f>
        <v>5190</v>
      </c>
      <c r="O223" s="25">
        <f t="shared" si="63"/>
        <v>0</v>
      </c>
      <c r="P223" s="25">
        <f t="shared" si="64"/>
        <v>0</v>
      </c>
      <c r="Q223" s="1">
        <f t="shared" si="70"/>
        <v>4826.7</v>
      </c>
      <c r="R223" s="5" t="str">
        <f>IFERROR((VLOOKUP($A223,'Из ГУГЛа'!$B:$G,6,0)+T223)*S223,VLOOKUP($A223,'Из ГУГЛа'!$B:$G,6,0))</f>
        <v/>
      </c>
      <c r="S223" s="4">
        <v>1</v>
      </c>
      <c r="T223" s="4">
        <v>0</v>
      </c>
      <c r="U223" s="58">
        <f t="shared" si="71"/>
        <v>0.20667499999999994</v>
      </c>
      <c r="V223" s="58" t="str">
        <f t="shared" si="72"/>
        <v/>
      </c>
      <c r="W223" s="58" t="str">
        <f t="shared" si="73"/>
        <v/>
      </c>
      <c r="X223" s="154"/>
    </row>
    <row r="224" spans="1:24" ht="30" x14ac:dyDescent="0.25">
      <c r="A224" s="51">
        <v>138698</v>
      </c>
      <c r="B224" s="51">
        <f>VLOOKUP($A224,'Выгр Кат'!$A:$R,B$1,0)</f>
        <v>7040</v>
      </c>
      <c r="C224" s="56" t="str">
        <f>VLOOKUP($A224,'Выгр Кат'!$A:$R,C$1,0)</f>
        <v>Бортовой компьютер Штат 219x5 на Lada Kalina 2, Granta</v>
      </c>
      <c r="D224" s="51" t="str">
        <f>VLOOKUP($A224,'Выгр Кат'!$A:$R,D$1,0)</f>
        <v>Y</v>
      </c>
      <c r="E224" s="51" t="str">
        <f>VLOOKUP($A224,'Выгр Кат'!$A:$R,E$1,0)</f>
        <v>0</v>
      </c>
      <c r="F224" s="51">
        <f>VLOOKUP($A224,'Выгр Кат'!$A:$R,F$1,0)</f>
        <v>0</v>
      </c>
      <c r="G224" s="51"/>
      <c r="H224" s="77" t="s">
        <v>527</v>
      </c>
      <c r="I224" s="2">
        <f t="shared" si="77"/>
        <v>0</v>
      </c>
      <c r="J224" s="78" t="e">
        <f>VLOOKUP(I224,Наценка!$A$2:$B$9,2,1)</f>
        <v>#N/A</v>
      </c>
      <c r="K224" s="2">
        <f>N224</f>
        <v>2690</v>
      </c>
      <c r="L224" s="80">
        <f t="shared" si="68"/>
        <v>2690</v>
      </c>
      <c r="M224" s="51">
        <f>VLOOKUP($A224,'Выгр Кат'!$A:$R,M$1,0)</f>
        <v>0</v>
      </c>
      <c r="N224" s="51">
        <f>VLOOKUP($A224,'Выгр Кат'!$A:$R,N$1,0)</f>
        <v>2690</v>
      </c>
      <c r="O224" s="25">
        <f t="shared" si="63"/>
        <v>0</v>
      </c>
      <c r="P224" s="25">
        <f t="shared" si="64"/>
        <v>0</v>
      </c>
      <c r="Q224" s="1">
        <f t="shared" si="70"/>
        <v>2501.6999999999998</v>
      </c>
      <c r="R224" s="5" t="str">
        <f>IFERROR((VLOOKUP($A224,'Из ГУГЛа'!$B:$G,6,0)+T224)*S224,VLOOKUP($A224,'Из ГУГЛа'!$B:$G,6,0))</f>
        <v/>
      </c>
      <c r="S224" s="4">
        <v>1</v>
      </c>
      <c r="T224" s="4">
        <v>0</v>
      </c>
      <c r="U224" s="58" t="str">
        <f t="shared" si="71"/>
        <v/>
      </c>
      <c r="V224" s="58" t="str">
        <f t="shared" si="72"/>
        <v/>
      </c>
      <c r="W224" s="58" t="str">
        <f t="shared" si="73"/>
        <v/>
      </c>
      <c r="X224" s="154"/>
    </row>
    <row r="225" spans="1:24" ht="30" x14ac:dyDescent="0.25">
      <c r="A225" s="51">
        <v>138699</v>
      </c>
      <c r="B225" s="51">
        <f>VLOOKUP($A225,'Выгр Кат'!$A:$R,B$1,0)</f>
        <v>7041</v>
      </c>
      <c r="C225" s="56" t="str">
        <f>VLOOKUP($A225,'Выгр Кат'!$A:$R,C$1,0)</f>
        <v>Бортовой компьютер Штат 219x6 RGB на Lada Kalina 2, Granta</v>
      </c>
      <c r="D225" s="51" t="str">
        <f>VLOOKUP($A225,'Выгр Кат'!$A:$R,D$1,0)</f>
        <v>Y</v>
      </c>
      <c r="E225" s="51" t="str">
        <f>VLOOKUP($A225,'Выгр Кат'!$A:$R,E$1,0)</f>
        <v>0</v>
      </c>
      <c r="F225" s="51">
        <f>VLOOKUP($A225,'Выгр Кат'!$A:$R,F$1,0)</f>
        <v>0</v>
      </c>
      <c r="G225" s="51" t="s">
        <v>17</v>
      </c>
      <c r="H225" s="77" t="s">
        <v>527</v>
      </c>
      <c r="I225" s="2">
        <f t="shared" si="77"/>
        <v>4200</v>
      </c>
      <c r="J225" s="78">
        <f>VLOOKUP(I225,Наценка!$A$2:$B$9,2,1)</f>
        <v>1.29</v>
      </c>
      <c r="K225" s="79">
        <f t="shared" si="69"/>
        <v>5418</v>
      </c>
      <c r="L225" s="80">
        <f t="shared" si="68"/>
        <v>5490</v>
      </c>
      <c r="M225" s="51">
        <f>VLOOKUP($A225,'Выгр Кат'!$A:$R,M$1,0)</f>
        <v>4200</v>
      </c>
      <c r="N225" s="51">
        <f>VLOOKUP($A225,'Выгр Кат'!$A:$R,N$1,0)</f>
        <v>5490</v>
      </c>
      <c r="O225" s="25">
        <f t="shared" si="63"/>
        <v>0</v>
      </c>
      <c r="P225" s="25">
        <f t="shared" si="64"/>
        <v>0</v>
      </c>
      <c r="Q225" s="1">
        <f t="shared" si="70"/>
        <v>5105.7</v>
      </c>
      <c r="R225" s="5" t="str">
        <f>IFERROR((VLOOKUP($A225,'Из ГУГЛа'!$B:$G,6,0)+T225)*S225,VLOOKUP($A225,'Из ГУГЛа'!$B:$G,6,0))</f>
        <v/>
      </c>
      <c r="S225" s="4">
        <v>1</v>
      </c>
      <c r="T225" s="4">
        <v>0</v>
      </c>
      <c r="U225" s="58">
        <f t="shared" si="71"/>
        <v>0.21564285714285703</v>
      </c>
      <c r="V225" s="58" t="str">
        <f t="shared" si="72"/>
        <v/>
      </c>
      <c r="W225" s="58" t="str">
        <f t="shared" si="73"/>
        <v/>
      </c>
      <c r="X225" s="154"/>
    </row>
    <row r="226" spans="1:24" ht="30" x14ac:dyDescent="0.25">
      <c r="A226" s="51">
        <v>138655</v>
      </c>
      <c r="B226" s="51">
        <f>VLOOKUP($A226,'Выгр Кат'!$A:$R,B$1,0)</f>
        <v>7048</v>
      </c>
      <c r="C226" s="56" t="str">
        <f>VLOOKUP($A226,'Выгр Кат'!$A:$R,C$1,0)</f>
        <v>Бортовой компьютер Multitronics C340 на Lada 2108-15</v>
      </c>
      <c r="D226" s="51" t="str">
        <f>VLOOKUP($A226,'Выгр Кат'!$A:$R,D$1,0)</f>
        <v>Y</v>
      </c>
      <c r="E226" s="51" t="str">
        <f>VLOOKUP($A226,'Выгр Кат'!$A:$R,E$1,0)</f>
        <v>0</v>
      </c>
      <c r="F226" s="51">
        <f>VLOOKUP($A226,'Выгр Кат'!$A:$R,F$1,0)</f>
        <v>0</v>
      </c>
      <c r="G226" s="51" t="s">
        <v>474</v>
      </c>
      <c r="H226" s="77" t="s">
        <v>527</v>
      </c>
      <c r="I226" s="2">
        <f t="shared" si="77"/>
        <v>4950</v>
      </c>
      <c r="J226" s="78">
        <f>VLOOKUP(I226,Наценка!$A$2:$B$9,2,1)</f>
        <v>1.29</v>
      </c>
      <c r="K226" s="79">
        <f t="shared" si="69"/>
        <v>6385.5</v>
      </c>
      <c r="L226" s="80">
        <f t="shared" si="68"/>
        <v>6390</v>
      </c>
      <c r="M226" s="51">
        <f>VLOOKUP($A226,'Выгр Кат'!$A:$R,M$1,0)</f>
        <v>4950</v>
      </c>
      <c r="N226" s="51">
        <f>VLOOKUP($A226,'Выгр Кат'!$A:$R,N$1,0)</f>
        <v>6390</v>
      </c>
      <c r="O226" s="25">
        <f t="shared" si="63"/>
        <v>0</v>
      </c>
      <c r="P226" s="25">
        <f t="shared" si="64"/>
        <v>0</v>
      </c>
      <c r="Q226" s="1">
        <f t="shared" si="70"/>
        <v>5942.7</v>
      </c>
      <c r="R226" s="5" t="str">
        <f>IFERROR((VLOOKUP($A226,'Из ГУГЛа'!$B:$G,6,0)+T226)*S226,VLOOKUP($A226,'Из ГУГЛа'!$B:$G,6,0))</f>
        <v/>
      </c>
      <c r="S226" s="4">
        <v>1</v>
      </c>
      <c r="T226" s="4">
        <v>0</v>
      </c>
      <c r="U226" s="58">
        <f t="shared" si="71"/>
        <v>0.20054545454545458</v>
      </c>
      <c r="V226" s="58" t="str">
        <f t="shared" si="72"/>
        <v/>
      </c>
      <c r="W226" s="58" t="str">
        <f t="shared" si="73"/>
        <v/>
      </c>
      <c r="X226" s="154"/>
    </row>
    <row r="227" spans="1:24" ht="30" x14ac:dyDescent="0.25">
      <c r="A227" s="51">
        <v>138656</v>
      </c>
      <c r="B227" s="51">
        <f>VLOOKUP($A227,'Выгр Кат'!$A:$R,B$1,0)</f>
        <v>7049</v>
      </c>
      <c r="C227" s="56" t="str">
        <f>VLOOKUP($A227,'Выгр Кат'!$A:$R,C$1,0)</f>
        <v>Бортовой компьютер Multitronics C350 на Lada 2108-15</v>
      </c>
      <c r="D227" s="51" t="str">
        <f>VLOOKUP($A227,'Выгр Кат'!$A:$R,D$1,0)</f>
        <v>Y</v>
      </c>
      <c r="E227" s="51" t="str">
        <f>VLOOKUP($A227,'Выгр Кат'!$A:$R,E$1,0)</f>
        <v>0</v>
      </c>
      <c r="F227" s="51">
        <f>VLOOKUP($A227,'Выгр Кат'!$A:$R,F$1,0)</f>
        <v>0</v>
      </c>
      <c r="G227" s="51" t="s">
        <v>475</v>
      </c>
      <c r="H227" s="77" t="s">
        <v>527</v>
      </c>
      <c r="I227" s="2">
        <f t="shared" si="77"/>
        <v>4500</v>
      </c>
      <c r="J227" s="78">
        <f>VLOOKUP(I227,Наценка!$A$2:$B$9,2,1)</f>
        <v>1.29</v>
      </c>
      <c r="K227" s="79">
        <f t="shared" si="69"/>
        <v>5805</v>
      </c>
      <c r="L227" s="80">
        <f t="shared" si="68"/>
        <v>5890</v>
      </c>
      <c r="M227" s="51">
        <f>VLOOKUP($A227,'Выгр Кат'!$A:$R,M$1,0)</f>
        <v>4500</v>
      </c>
      <c r="N227" s="51">
        <f>VLOOKUP($A227,'Выгр Кат'!$A:$R,N$1,0)</f>
        <v>5890</v>
      </c>
      <c r="O227" s="25">
        <f t="shared" si="63"/>
        <v>0</v>
      </c>
      <c r="P227" s="25">
        <f t="shared" si="64"/>
        <v>0</v>
      </c>
      <c r="Q227" s="1">
        <f t="shared" si="70"/>
        <v>5477.7</v>
      </c>
      <c r="R227" s="5" t="str">
        <f>IFERROR((VLOOKUP($A227,'Из ГУГЛа'!$B:$G,6,0)+T227)*S227,VLOOKUP($A227,'Из ГУГЛа'!$B:$G,6,0))</f>
        <v/>
      </c>
      <c r="S227" s="4">
        <v>1</v>
      </c>
      <c r="T227" s="4">
        <v>0</v>
      </c>
      <c r="U227" s="58">
        <f t="shared" si="71"/>
        <v>0.21726666666666672</v>
      </c>
      <c r="V227" s="58" t="str">
        <f t="shared" si="72"/>
        <v/>
      </c>
      <c r="W227" s="58" t="str">
        <f t="shared" si="73"/>
        <v/>
      </c>
      <c r="X227" s="154"/>
    </row>
    <row r="228" spans="1:24" ht="30" x14ac:dyDescent="0.25">
      <c r="A228" s="51">
        <v>138676</v>
      </c>
      <c r="B228" s="51">
        <f>VLOOKUP($A228,'Выгр Кат'!$A:$R,B$1,0)</f>
        <v>7050</v>
      </c>
      <c r="C228" s="56" t="str">
        <f>VLOOKUP($A228,'Выгр Кат'!$A:$R,C$1,0)</f>
        <v>Бортовой компьютер Multitronics X140 на Lada 2108-15</v>
      </c>
      <c r="D228" s="51" t="str">
        <f>VLOOKUP($A228,'Выгр Кат'!$A:$R,D$1,0)</f>
        <v>Y</v>
      </c>
      <c r="E228" s="51" t="str">
        <f>VLOOKUP($A228,'Выгр Кат'!$A:$R,E$1,0)</f>
        <v>0</v>
      </c>
      <c r="F228" s="51">
        <f>VLOOKUP($A228,'Выгр Кат'!$A:$R,F$1,0)</f>
        <v>0</v>
      </c>
      <c r="G228" s="51" t="s">
        <v>188</v>
      </c>
      <c r="H228" s="77" t="s">
        <v>527</v>
      </c>
      <c r="I228" s="2">
        <f t="shared" si="77"/>
        <v>3500</v>
      </c>
      <c r="J228" s="78">
        <f>VLOOKUP(I228,Наценка!$A$2:$B$9,2,1)</f>
        <v>1.29</v>
      </c>
      <c r="K228" s="79">
        <f t="shared" si="69"/>
        <v>4515</v>
      </c>
      <c r="L228" s="80">
        <f t="shared" si="68"/>
        <v>4590</v>
      </c>
      <c r="M228" s="51">
        <f>VLOOKUP($A228,'Выгр Кат'!$A:$R,M$1,0)</f>
        <v>3500</v>
      </c>
      <c r="N228" s="51">
        <f>VLOOKUP($A228,'Выгр Кат'!$A:$R,N$1,0)</f>
        <v>4590</v>
      </c>
      <c r="O228" s="25">
        <f t="shared" si="63"/>
        <v>0</v>
      </c>
      <c r="P228" s="25">
        <f t="shared" si="64"/>
        <v>0</v>
      </c>
      <c r="Q228" s="1">
        <f t="shared" si="70"/>
        <v>4268.7</v>
      </c>
      <c r="R228" s="5" t="str">
        <f>IFERROR((VLOOKUP($A228,'Из ГУГЛа'!$B:$G,6,0)+T228)*S228,VLOOKUP($A228,'Из ГУГЛа'!$B:$G,6,0))</f>
        <v/>
      </c>
      <c r="S228" s="4">
        <v>1</v>
      </c>
      <c r="T228" s="4">
        <v>0</v>
      </c>
      <c r="U228" s="58">
        <f t="shared" si="71"/>
        <v>0.21962857142857128</v>
      </c>
      <c r="V228" s="58" t="str">
        <f t="shared" si="72"/>
        <v/>
      </c>
      <c r="W228" s="58" t="str">
        <f t="shared" si="73"/>
        <v/>
      </c>
      <c r="X228" s="154"/>
    </row>
    <row r="229" spans="1:24" ht="30" x14ac:dyDescent="0.25">
      <c r="A229" s="51">
        <v>138677</v>
      </c>
      <c r="B229" s="51">
        <f>VLOOKUP($A229,'Выгр Кат'!$A:$R,B$1,0)</f>
        <v>7051</v>
      </c>
      <c r="C229" s="56" t="str">
        <f>VLOOKUP($A229,'Выгр Кат'!$A:$R,C$1,0)</f>
        <v>Бортовой компьютер Multitronics X150 на Lada 2108-15</v>
      </c>
      <c r="D229" s="51" t="str">
        <f>VLOOKUP($A229,'Выгр Кат'!$A:$R,D$1,0)</f>
        <v>Y</v>
      </c>
      <c r="E229" s="51" t="str">
        <f>VLOOKUP($A229,'Выгр Кат'!$A:$R,E$1,0)</f>
        <v>0</v>
      </c>
      <c r="F229" s="51">
        <f>VLOOKUP($A229,'Выгр Кат'!$A:$R,F$1,0)</f>
        <v>0</v>
      </c>
      <c r="G229" s="51" t="s">
        <v>187</v>
      </c>
      <c r="H229" s="77" t="s">
        <v>527</v>
      </c>
      <c r="I229" s="2">
        <f t="shared" si="77"/>
        <v>2600</v>
      </c>
      <c r="J229" s="78">
        <f>VLOOKUP(I229,Наценка!$A$2:$B$9,2,1)</f>
        <v>1.29</v>
      </c>
      <c r="K229" s="79">
        <f t="shared" si="69"/>
        <v>3354</v>
      </c>
      <c r="L229" s="80">
        <f t="shared" si="68"/>
        <v>3390</v>
      </c>
      <c r="M229" s="51">
        <f>VLOOKUP($A229,'Выгр Кат'!$A:$R,M$1,0)</f>
        <v>2600</v>
      </c>
      <c r="N229" s="51">
        <f>VLOOKUP($A229,'Выгр Кат'!$A:$R,N$1,0)</f>
        <v>3390</v>
      </c>
      <c r="O229" s="25">
        <f t="shared" si="63"/>
        <v>0</v>
      </c>
      <c r="P229" s="25">
        <f t="shared" si="64"/>
        <v>0</v>
      </c>
      <c r="Q229" s="1">
        <f t="shared" si="70"/>
        <v>3152.7</v>
      </c>
      <c r="R229" s="5" t="str">
        <f>IFERROR((VLOOKUP($A229,'Из ГУГЛа'!$B:$G,6,0)+T229)*S229,VLOOKUP($A229,'Из ГУГЛа'!$B:$G,6,0))</f>
        <v/>
      </c>
      <c r="S229" s="4">
        <v>1</v>
      </c>
      <c r="T229" s="4">
        <v>0</v>
      </c>
      <c r="U229" s="58">
        <f t="shared" si="71"/>
        <v>0.212576923076923</v>
      </c>
      <c r="V229" s="58" t="str">
        <f t="shared" si="72"/>
        <v/>
      </c>
      <c r="W229" s="58" t="str">
        <f t="shared" si="73"/>
        <v/>
      </c>
      <c r="X229" s="154"/>
    </row>
    <row r="230" spans="1:24" ht="30" x14ac:dyDescent="0.25">
      <c r="A230" s="51">
        <v>138663</v>
      </c>
      <c r="B230" s="51">
        <f>VLOOKUP($A230,'Выгр Кат'!$A:$R,B$1,0)</f>
        <v>7058</v>
      </c>
      <c r="C230" s="56" t="str">
        <f>VLOOKUP($A230,'Выгр Кат'!$A:$R,C$1,0)</f>
        <v>Бортовой компьютер Multitronics Comfort X15 на Lada 2108-15</v>
      </c>
      <c r="D230" s="51" t="str">
        <f>VLOOKUP($A230,'Выгр Кат'!$A:$R,D$1,0)</f>
        <v>Y</v>
      </c>
      <c r="E230" s="51" t="str">
        <f>VLOOKUP($A230,'Выгр Кат'!$A:$R,E$1,0)</f>
        <v>0</v>
      </c>
      <c r="F230" s="51">
        <f>VLOOKUP($A230,'Выгр Кат'!$A:$R,F$1,0)</f>
        <v>0</v>
      </c>
      <c r="G230" s="51"/>
      <c r="H230" s="77" t="s">
        <v>527</v>
      </c>
      <c r="I230" s="2">
        <f t="shared" si="77"/>
        <v>1700</v>
      </c>
      <c r="J230" s="78">
        <f>VLOOKUP(I230,Наценка!$A$2:$B$9,2,1)</f>
        <v>1.4</v>
      </c>
      <c r="K230" s="79">
        <f t="shared" si="69"/>
        <v>2380</v>
      </c>
      <c r="L230" s="80">
        <f t="shared" si="68"/>
        <v>2390</v>
      </c>
      <c r="M230" s="51">
        <f>VLOOKUP($A230,'Выгр Кат'!$A:$R,M$1,0)</f>
        <v>1700</v>
      </c>
      <c r="N230" s="51">
        <f>VLOOKUP($A230,'Выгр Кат'!$A:$R,N$1,0)</f>
        <v>2390</v>
      </c>
      <c r="O230" s="25">
        <f t="shared" si="63"/>
        <v>0</v>
      </c>
      <c r="P230" s="25">
        <f t="shared" si="64"/>
        <v>0</v>
      </c>
      <c r="Q230" s="1">
        <f t="shared" si="70"/>
        <v>2222.6999999999998</v>
      </c>
      <c r="R230" s="5" t="str">
        <f>IFERROR((VLOOKUP($A230,'Из ГУГЛа'!$B:$G,6,0)+T230)*S230,VLOOKUP($A230,'Из ГУГЛа'!$B:$G,6,0))</f>
        <v/>
      </c>
      <c r="S230" s="4">
        <v>1</v>
      </c>
      <c r="T230" s="4">
        <v>0</v>
      </c>
      <c r="U230" s="58">
        <f t="shared" si="71"/>
        <v>0.30747058823529394</v>
      </c>
      <c r="V230" s="58" t="str">
        <f t="shared" si="72"/>
        <v/>
      </c>
      <c r="W230" s="58" t="str">
        <f t="shared" si="73"/>
        <v/>
      </c>
      <c r="X230" s="154"/>
    </row>
    <row r="231" spans="1:24" ht="30" x14ac:dyDescent="0.25">
      <c r="A231" s="51">
        <v>193601</v>
      </c>
      <c r="B231" s="51">
        <f>VLOOKUP($A231,'Выгр Кат'!$A:$R,B$1,0)</f>
        <v>7061</v>
      </c>
      <c r="C231" s="56" t="str">
        <f>VLOOKUP($A231,'Выгр Кат'!$A:$R,C$1,0)</f>
        <v>Переходник для подключения БК на высокой панели Lada 2108-099</v>
      </c>
      <c r="D231" s="51" t="str">
        <f>VLOOKUP($A231,'Выгр Кат'!$A:$R,D$1,0)</f>
        <v>Y</v>
      </c>
      <c r="E231" s="51" t="str">
        <f>VLOOKUP($A231,'Выгр Кат'!$A:$R,E$1,0)</f>
        <v>0</v>
      </c>
      <c r="F231" s="51">
        <f>VLOOKUP($A231,'Выгр Кат'!$A:$R,F$1,0)</f>
        <v>0</v>
      </c>
      <c r="G231" s="51"/>
      <c r="H231" s="77" t="s">
        <v>527</v>
      </c>
      <c r="I231" s="2">
        <f t="shared" si="77"/>
        <v>30</v>
      </c>
      <c r="J231" s="78">
        <f>VLOOKUP(I231,Наценка!$A$2:$B$9,2,1)</f>
        <v>2</v>
      </c>
      <c r="K231" s="79">
        <f t="shared" si="69"/>
        <v>60</v>
      </c>
      <c r="L231" s="80">
        <f t="shared" si="68"/>
        <v>59</v>
      </c>
      <c r="M231" s="51">
        <f>VLOOKUP($A231,'Выгр Кат'!$A:$R,M$1,0)</f>
        <v>30</v>
      </c>
      <c r="N231" s="51">
        <f>VLOOKUP($A231,'Выгр Кат'!$A:$R,N$1,0)</f>
        <v>59</v>
      </c>
      <c r="O231" s="25">
        <f t="shared" si="63"/>
        <v>0</v>
      </c>
      <c r="P231" s="25">
        <f t="shared" si="64"/>
        <v>0</v>
      </c>
      <c r="Q231" s="1">
        <f t="shared" si="70"/>
        <v>54.87</v>
      </c>
      <c r="R231" s="5" t="str">
        <f>IFERROR((VLOOKUP($A231,'Из ГУГЛа'!$B:$G,6,0)+T231)*S231,VLOOKUP($A231,'Из ГУГЛа'!$B:$G,6,0))</f>
        <v/>
      </c>
      <c r="S231" s="4">
        <v>1</v>
      </c>
      <c r="T231" s="4">
        <v>0</v>
      </c>
      <c r="U231" s="58">
        <f t="shared" si="71"/>
        <v>0.82899999999999996</v>
      </c>
      <c r="V231" s="58" t="str">
        <f t="shared" si="72"/>
        <v/>
      </c>
      <c r="W231" s="58" t="str">
        <f t="shared" si="73"/>
        <v/>
      </c>
      <c r="X231" s="154"/>
    </row>
    <row r="232" spans="1:24" ht="30" x14ac:dyDescent="0.25">
      <c r="A232" s="51">
        <v>138693</v>
      </c>
      <c r="B232" s="51">
        <f>VLOOKUP($A232,'Выгр Кат'!$A:$R,B$1,0)</f>
        <v>7071</v>
      </c>
      <c r="C232" s="56" t="str">
        <f>VLOOKUP($A232,'Выгр Кат'!$A:$R,C$1,0)</f>
        <v>Бортовой компьютер Штат 110 Х6-M RGB на Lada 2110-12</v>
      </c>
      <c r="D232" s="51" t="str">
        <f>VLOOKUP($A232,'Выгр Кат'!$A:$R,D$1,0)</f>
        <v>Y</v>
      </c>
      <c r="E232" s="51" t="str">
        <f>VLOOKUP($A232,'Выгр Кат'!$A:$R,E$1,0)</f>
        <v>0</v>
      </c>
      <c r="F232" s="51">
        <f>VLOOKUP($A232,'Выгр Кат'!$A:$R,F$1,0)</f>
        <v>0</v>
      </c>
      <c r="G232" s="51" t="s">
        <v>20</v>
      </c>
      <c r="H232" s="77" t="s">
        <v>527</v>
      </c>
      <c r="I232" s="2">
        <f t="shared" si="77"/>
        <v>3550</v>
      </c>
      <c r="J232" s="78">
        <f>VLOOKUP(I232,Наценка!$A$2:$B$9,2,1)</f>
        <v>1.29</v>
      </c>
      <c r="K232" s="79">
        <f t="shared" si="69"/>
        <v>4579.5</v>
      </c>
      <c r="L232" s="80">
        <f t="shared" si="68"/>
        <v>4590</v>
      </c>
      <c r="M232" s="51">
        <f>VLOOKUP($A232,'Выгр Кат'!$A:$R,M$1,0)</f>
        <v>3550</v>
      </c>
      <c r="N232" s="51">
        <f>VLOOKUP($A232,'Выгр Кат'!$A:$R,N$1,0)</f>
        <v>4590</v>
      </c>
      <c r="O232" s="25">
        <f t="shared" si="63"/>
        <v>0</v>
      </c>
      <c r="P232" s="25">
        <f t="shared" si="64"/>
        <v>0</v>
      </c>
      <c r="Q232" s="1">
        <f t="shared" si="70"/>
        <v>4268.7</v>
      </c>
      <c r="R232" s="5" t="str">
        <f>IFERROR((VLOOKUP($A232,'Из ГУГЛа'!$B:$G,6,0)+T232)*S232,VLOOKUP($A232,'Из ГУГЛа'!$B:$G,6,0))</f>
        <v/>
      </c>
      <c r="S232" s="4">
        <v>1</v>
      </c>
      <c r="T232" s="4">
        <v>0</v>
      </c>
      <c r="U232" s="58">
        <f t="shared" si="71"/>
        <v>0.20245070422535205</v>
      </c>
      <c r="V232" s="58" t="str">
        <f t="shared" si="72"/>
        <v/>
      </c>
      <c r="W232" s="58" t="str">
        <f t="shared" si="73"/>
        <v/>
      </c>
      <c r="X232" s="154"/>
    </row>
    <row r="233" spans="1:24" ht="30" x14ac:dyDescent="0.25">
      <c r="A233" s="51">
        <v>138661</v>
      </c>
      <c r="B233" s="51">
        <f>VLOOKUP($A233,'Выгр Кат'!$A:$R,B$1,0)</f>
        <v>7072</v>
      </c>
      <c r="C233" s="56" t="str">
        <f>VLOOKUP($A233,'Выгр Кат'!$A:$R,C$1,0)</f>
        <v>Бортовой компьютер Multitronics Comfort X10 на Lada 2110-12</v>
      </c>
      <c r="D233" s="51" t="str">
        <f>VLOOKUP($A233,'Выгр Кат'!$A:$R,D$1,0)</f>
        <v>Y</v>
      </c>
      <c r="E233" s="51" t="str">
        <f>VLOOKUP($A233,'Выгр Кат'!$A:$R,E$1,0)</f>
        <v>0</v>
      </c>
      <c r="F233" s="51">
        <f>VLOOKUP($A233,'Выгр Кат'!$A:$R,F$1,0)</f>
        <v>0</v>
      </c>
      <c r="G233" s="51"/>
      <c r="H233" s="77" t="s">
        <v>527</v>
      </c>
      <c r="I233" s="2">
        <f t="shared" si="77"/>
        <v>0</v>
      </c>
      <c r="J233" s="78" t="e">
        <f>VLOOKUP(I233,Наценка!$A$2:$B$9,2,1)</f>
        <v>#N/A</v>
      </c>
      <c r="K233" s="2">
        <f t="shared" ref="K233:K235" si="82">N233</f>
        <v>3290</v>
      </c>
      <c r="L233" s="80">
        <f t="shared" si="68"/>
        <v>3290</v>
      </c>
      <c r="M233" s="51">
        <f>VLOOKUP($A233,'Выгр Кат'!$A:$R,M$1,0)</f>
        <v>0</v>
      </c>
      <c r="N233" s="51">
        <f>VLOOKUP($A233,'Выгр Кат'!$A:$R,N$1,0)</f>
        <v>3290</v>
      </c>
      <c r="O233" s="25">
        <f t="shared" si="63"/>
        <v>0</v>
      </c>
      <c r="P233" s="25">
        <f t="shared" si="64"/>
        <v>0</v>
      </c>
      <c r="Q233" s="1">
        <f t="shared" si="70"/>
        <v>3059.7</v>
      </c>
      <c r="R233" s="5" t="str">
        <f>IFERROR((VLOOKUP($A233,'Из ГУГЛа'!$B:$G,6,0)+T233)*S233,VLOOKUP($A233,'Из ГУГЛа'!$B:$G,6,0))</f>
        <v/>
      </c>
      <c r="S233" s="4">
        <v>1</v>
      </c>
      <c r="T233" s="4">
        <v>0</v>
      </c>
      <c r="U233" s="58" t="str">
        <f t="shared" si="71"/>
        <v/>
      </c>
      <c r="V233" s="58" t="str">
        <f t="shared" si="72"/>
        <v/>
      </c>
      <c r="W233" s="58" t="str">
        <f t="shared" si="73"/>
        <v/>
      </c>
      <c r="X233" s="154"/>
    </row>
    <row r="234" spans="1:24" ht="30" x14ac:dyDescent="0.25">
      <c r="A234" s="51">
        <v>138685</v>
      </c>
      <c r="B234" s="51">
        <f>VLOOKUP($A234,'Выгр Кат'!$A:$R,B$1,0)</f>
        <v>7082</v>
      </c>
      <c r="C234" s="56" t="str">
        <f>VLOOKUP($A234,'Выгр Кат'!$A:$R,C$1,0)</f>
        <v>Бортовой компьютер Престиж Patriot Plus на UAZ Patriot</v>
      </c>
      <c r="D234" s="51" t="str">
        <f>VLOOKUP($A234,'Выгр Кат'!$A:$R,D$1,0)</f>
        <v>Y</v>
      </c>
      <c r="E234" s="51" t="str">
        <f>VLOOKUP($A234,'Выгр Кат'!$A:$R,E$1,0)</f>
        <v>0</v>
      </c>
      <c r="F234" s="51">
        <f>VLOOKUP($A234,'Выгр Кат'!$A:$R,F$1,0)</f>
        <v>0</v>
      </c>
      <c r="G234" s="51"/>
      <c r="H234" s="77" t="s">
        <v>527</v>
      </c>
      <c r="I234" s="2">
        <f t="shared" si="77"/>
        <v>0</v>
      </c>
      <c r="J234" s="78" t="e">
        <f>VLOOKUP(I234,Наценка!$A$2:$B$9,2,1)</f>
        <v>#N/A</v>
      </c>
      <c r="K234" s="2">
        <f t="shared" si="82"/>
        <v>0</v>
      </c>
      <c r="L234" s="69">
        <f>N234</f>
        <v>0</v>
      </c>
      <c r="M234" s="51">
        <f>VLOOKUP($A234,'Выгр Кат'!$A:$R,M$1,0)</f>
        <v>0</v>
      </c>
      <c r="N234" s="51">
        <f>VLOOKUP($A234,'Выгр Кат'!$A:$R,N$1,0)</f>
        <v>0</v>
      </c>
      <c r="O234" s="25">
        <f t="shared" si="63"/>
        <v>0</v>
      </c>
      <c r="P234" s="25">
        <f t="shared" si="64"/>
        <v>0</v>
      </c>
      <c r="Q234" s="1">
        <f t="shared" si="70"/>
        <v>0</v>
      </c>
      <c r="R234" s="5" t="str">
        <f>IFERROR((VLOOKUP($A234,'Из ГУГЛа'!$B:$G,6,0)+T234)*S234,VLOOKUP($A234,'Из ГУГЛа'!$B:$G,6,0))</f>
        <v/>
      </c>
      <c r="S234" s="4">
        <v>1</v>
      </c>
      <c r="T234" s="4">
        <v>0</v>
      </c>
      <c r="U234" s="58" t="str">
        <f t="shared" si="71"/>
        <v/>
      </c>
      <c r="V234" s="58" t="str">
        <f t="shared" si="72"/>
        <v/>
      </c>
      <c r="W234" s="58" t="str">
        <f t="shared" si="73"/>
        <v/>
      </c>
      <c r="X234" s="154"/>
    </row>
    <row r="235" spans="1:24" ht="30" x14ac:dyDescent="0.25">
      <c r="A235" s="51">
        <v>138687</v>
      </c>
      <c r="B235" s="51">
        <f>VLOOKUP($A235,'Выгр Кат'!$A:$R,B$1,0)</f>
        <v>7090</v>
      </c>
      <c r="C235" s="56" t="str">
        <f>VLOOKUP($A235,'Выгр Кат'!$A:$R,C$1,0)</f>
        <v>Бортовой компьютер Престиж V55-CAN Plus</v>
      </c>
      <c r="D235" s="51" t="str">
        <f>VLOOKUP($A235,'Выгр Кат'!$A:$R,D$1,0)</f>
        <v>Y</v>
      </c>
      <c r="E235" s="51" t="str">
        <f>VLOOKUP($A235,'Выгр Кат'!$A:$R,E$1,0)</f>
        <v>0</v>
      </c>
      <c r="F235" s="51">
        <f>VLOOKUP($A235,'Выгр Кат'!$A:$R,F$1,0)</f>
        <v>0</v>
      </c>
      <c r="G235" s="51"/>
      <c r="H235" s="77" t="s">
        <v>527</v>
      </c>
      <c r="I235" s="2">
        <f t="shared" si="77"/>
        <v>0</v>
      </c>
      <c r="J235" s="78" t="e">
        <f>VLOOKUP(I235,Наценка!$A$2:$B$9,2,1)</f>
        <v>#N/A</v>
      </c>
      <c r="K235" s="2">
        <f t="shared" si="82"/>
        <v>6190</v>
      </c>
      <c r="L235" s="80">
        <f t="shared" si="68"/>
        <v>6190</v>
      </c>
      <c r="M235" s="51">
        <f>VLOOKUP($A235,'Выгр Кат'!$A:$R,M$1,0)</f>
        <v>0</v>
      </c>
      <c r="N235" s="51">
        <f>VLOOKUP($A235,'Выгр Кат'!$A:$R,N$1,0)</f>
        <v>6190</v>
      </c>
      <c r="O235" s="25">
        <f t="shared" si="63"/>
        <v>0</v>
      </c>
      <c r="P235" s="25">
        <f t="shared" si="64"/>
        <v>0</v>
      </c>
      <c r="Q235" s="1">
        <f t="shared" si="70"/>
        <v>5756.7</v>
      </c>
      <c r="R235" s="5" t="str">
        <f>IFERROR((VLOOKUP($A235,'Из ГУГЛа'!$B:$G,6,0)+T235)*S235,VLOOKUP($A235,'Из ГУГЛа'!$B:$G,6,0))</f>
        <v/>
      </c>
      <c r="S235" s="4">
        <v>1</v>
      </c>
      <c r="T235" s="4">
        <v>0</v>
      </c>
      <c r="U235" s="58" t="str">
        <f t="shared" si="71"/>
        <v/>
      </c>
      <c r="V235" s="58" t="str">
        <f t="shared" si="72"/>
        <v/>
      </c>
      <c r="W235" s="58" t="str">
        <f t="shared" si="73"/>
        <v/>
      </c>
      <c r="X235" s="154"/>
    </row>
    <row r="236" spans="1:24" ht="30" x14ac:dyDescent="0.25">
      <c r="A236" s="51">
        <v>138704</v>
      </c>
      <c r="B236" s="51">
        <f>VLOOKUP($A236,'Выгр Кат'!$A:$R,B$1,0)</f>
        <v>7091</v>
      </c>
      <c r="C236" s="56" t="str">
        <f>VLOOKUP($A236,'Выгр Кат'!$A:$R,C$1,0)</f>
        <v>Бортовой компьютер Штат UniComp 401L на Renault</v>
      </c>
      <c r="D236" s="51" t="str">
        <f>VLOOKUP($A236,'Выгр Кат'!$A:$R,D$1,0)</f>
        <v>Y</v>
      </c>
      <c r="E236" s="51" t="str">
        <f>VLOOKUP($A236,'Выгр Кат'!$A:$R,E$1,0)</f>
        <v>0</v>
      </c>
      <c r="F236" s="51">
        <f>VLOOKUP($A236,'Выгр Кат'!$A:$R,F$1,0)</f>
        <v>0</v>
      </c>
      <c r="G236" s="51"/>
      <c r="H236" s="77" t="s">
        <v>527</v>
      </c>
      <c r="I236" s="2">
        <f t="shared" si="77"/>
        <v>2000</v>
      </c>
      <c r="J236" s="78">
        <f>VLOOKUP(I236,Наценка!$A$2:$B$9,2,1)</f>
        <v>1.29</v>
      </c>
      <c r="K236" s="79">
        <f t="shared" si="69"/>
        <v>2580</v>
      </c>
      <c r="L236" s="80">
        <f t="shared" si="68"/>
        <v>2590</v>
      </c>
      <c r="M236" s="51">
        <f>VLOOKUP($A236,'Выгр Кат'!$A:$R,M$1,0)</f>
        <v>2000</v>
      </c>
      <c r="N236" s="51">
        <f>VLOOKUP($A236,'Выгр Кат'!$A:$R,N$1,0)</f>
        <v>2590</v>
      </c>
      <c r="O236" s="25">
        <f t="shared" si="63"/>
        <v>0</v>
      </c>
      <c r="P236" s="25">
        <f t="shared" si="64"/>
        <v>0</v>
      </c>
      <c r="Q236" s="1">
        <f t="shared" si="70"/>
        <v>2408.6999999999998</v>
      </c>
      <c r="R236" s="5" t="str">
        <f>IFERROR((VLOOKUP($A236,'Из ГУГЛа'!$B:$G,6,0)+T236)*S236,VLOOKUP($A236,'Из ГУГЛа'!$B:$G,6,0))</f>
        <v/>
      </c>
      <c r="S236" s="4">
        <v>1</v>
      </c>
      <c r="T236" s="4">
        <v>0</v>
      </c>
      <c r="U236" s="58">
        <f t="shared" si="71"/>
        <v>0.20434999999999981</v>
      </c>
      <c r="V236" s="58" t="str">
        <f t="shared" si="72"/>
        <v/>
      </c>
      <c r="W236" s="58" t="str">
        <f t="shared" si="73"/>
        <v/>
      </c>
      <c r="X236" s="154"/>
    </row>
    <row r="237" spans="1:24" ht="30" x14ac:dyDescent="0.25">
      <c r="A237" s="51">
        <v>138706</v>
      </c>
      <c r="B237" s="51">
        <f>VLOOKUP($A237,'Выгр Кат'!$A:$R,B$1,0)</f>
        <v>7092</v>
      </c>
      <c r="C237" s="56" t="str">
        <f>VLOOKUP($A237,'Выгр Кат'!$A:$R,C$1,0)</f>
        <v>Бортовой компьютер Штат Unicomp-402ML на Hyundai</v>
      </c>
      <c r="D237" s="51" t="str">
        <f>VLOOKUP($A237,'Выгр Кат'!$A:$R,D$1,0)</f>
        <v>Y</v>
      </c>
      <c r="E237" s="51" t="str">
        <f>VLOOKUP($A237,'Выгр Кат'!$A:$R,E$1,0)</f>
        <v>0</v>
      </c>
      <c r="F237" s="51">
        <f>VLOOKUP($A237,'Выгр Кат'!$A:$R,F$1,0)</f>
        <v>0</v>
      </c>
      <c r="G237" s="51"/>
      <c r="H237" s="77" t="s">
        <v>527</v>
      </c>
      <c r="I237" s="2">
        <f t="shared" si="77"/>
        <v>2200</v>
      </c>
      <c r="J237" s="78">
        <f>VLOOKUP(I237,Наценка!$A$2:$B$9,2,1)</f>
        <v>1.29</v>
      </c>
      <c r="K237" s="79">
        <f t="shared" si="69"/>
        <v>2838</v>
      </c>
      <c r="L237" s="80">
        <f t="shared" si="68"/>
        <v>2890</v>
      </c>
      <c r="M237" s="51">
        <f>VLOOKUP($A237,'Выгр Кат'!$A:$R,M$1,0)</f>
        <v>2200</v>
      </c>
      <c r="N237" s="51">
        <f>VLOOKUP($A237,'Выгр Кат'!$A:$R,N$1,0)</f>
        <v>2890</v>
      </c>
      <c r="O237" s="25">
        <f t="shared" si="63"/>
        <v>0</v>
      </c>
      <c r="P237" s="25">
        <f t="shared" si="64"/>
        <v>0</v>
      </c>
      <c r="Q237" s="1">
        <f t="shared" si="70"/>
        <v>2687.7</v>
      </c>
      <c r="R237" s="5" t="str">
        <f>IFERROR((VLOOKUP($A237,'Из ГУГЛа'!$B:$G,6,0)+T237)*S237,VLOOKUP($A237,'Из ГУГЛа'!$B:$G,6,0))</f>
        <v/>
      </c>
      <c r="S237" s="4">
        <v>1</v>
      </c>
      <c r="T237" s="4">
        <v>0</v>
      </c>
      <c r="U237" s="58">
        <f t="shared" si="71"/>
        <v>0.22168181818181809</v>
      </c>
      <c r="V237" s="58" t="str">
        <f t="shared" si="72"/>
        <v/>
      </c>
      <c r="W237" s="58" t="str">
        <f t="shared" si="73"/>
        <v/>
      </c>
      <c r="X237" s="154"/>
    </row>
    <row r="238" spans="1:24" ht="30" x14ac:dyDescent="0.25">
      <c r="A238" s="51">
        <v>138707</v>
      </c>
      <c r="B238" s="51">
        <f>VLOOKUP($A238,'Выгр Кат'!$A:$R,B$1,0)</f>
        <v>7093</v>
      </c>
      <c r="C238" s="56" t="str">
        <f>VLOOKUP($A238,'Выгр Кат'!$A:$R,C$1,0)</f>
        <v>Бортовой компьютер Штат Unicomp-403L на Chevrolet</v>
      </c>
      <c r="D238" s="51" t="str">
        <f>VLOOKUP($A238,'Выгр Кат'!$A:$R,D$1,0)</f>
        <v>Y</v>
      </c>
      <c r="E238" s="51" t="str">
        <f>VLOOKUP($A238,'Выгр Кат'!$A:$R,E$1,0)</f>
        <v>0</v>
      </c>
      <c r="F238" s="51">
        <f>VLOOKUP($A238,'Выгр Кат'!$A:$R,F$1,0)</f>
        <v>0</v>
      </c>
      <c r="G238" s="51"/>
      <c r="H238" s="77" t="s">
        <v>527</v>
      </c>
      <c r="I238" s="2">
        <f t="shared" si="77"/>
        <v>0</v>
      </c>
      <c r="J238" s="78" t="e">
        <f>VLOOKUP(I238,Наценка!$A$2:$B$9,2,1)</f>
        <v>#N/A</v>
      </c>
      <c r="K238" s="2">
        <f t="shared" ref="K238:K244" si="83">N238</f>
        <v>2690</v>
      </c>
      <c r="L238" s="80">
        <f t="shared" si="68"/>
        <v>2690</v>
      </c>
      <c r="M238" s="51">
        <f>VLOOKUP($A238,'Выгр Кат'!$A:$R,M$1,0)</f>
        <v>0</v>
      </c>
      <c r="N238" s="51">
        <f>VLOOKUP($A238,'Выгр Кат'!$A:$R,N$1,0)</f>
        <v>2690</v>
      </c>
      <c r="O238" s="25">
        <f t="shared" si="63"/>
        <v>0</v>
      </c>
      <c r="P238" s="25">
        <f t="shared" si="64"/>
        <v>0</v>
      </c>
      <c r="Q238" s="1">
        <f t="shared" si="70"/>
        <v>2501.6999999999998</v>
      </c>
      <c r="R238" s="5" t="str">
        <f>IFERROR((VLOOKUP($A238,'Из ГУГЛа'!$B:$G,6,0)+T238)*S238,VLOOKUP($A238,'Из ГУГЛа'!$B:$G,6,0))</f>
        <v/>
      </c>
      <c r="S238" s="4">
        <v>1</v>
      </c>
      <c r="T238" s="4">
        <v>0</v>
      </c>
      <c r="U238" s="58" t="str">
        <f t="shared" si="71"/>
        <v/>
      </c>
      <c r="V238" s="58" t="str">
        <f t="shared" si="72"/>
        <v/>
      </c>
      <c r="W238" s="58" t="str">
        <f t="shared" si="73"/>
        <v/>
      </c>
      <c r="X238" s="154"/>
    </row>
    <row r="239" spans="1:24" x14ac:dyDescent="0.25">
      <c r="A239" s="51">
        <v>181914</v>
      </c>
      <c r="B239" s="51">
        <f>VLOOKUP($A239,'Выгр Кат'!$A:$R,B$1,0)</f>
        <v>7095</v>
      </c>
      <c r="C239" s="56" t="str">
        <f>VLOOKUP($A239,'Выгр Кат'!$A:$R,C$1,0)</f>
        <v>Опциональный кабель Multitronics ШП-1</v>
      </c>
      <c r="D239" s="51" t="str">
        <f>VLOOKUP($A239,'Выгр Кат'!$A:$R,D$1,0)</f>
        <v>Y</v>
      </c>
      <c r="E239" s="51" t="str">
        <f>VLOOKUP($A239,'Выгр Кат'!$A:$R,E$1,0)</f>
        <v>0</v>
      </c>
      <c r="F239" s="51">
        <f>VLOOKUP($A239,'Выгр Кат'!$A:$R,F$1,0)</f>
        <v>0</v>
      </c>
      <c r="G239" s="51"/>
      <c r="H239" s="77" t="s">
        <v>527</v>
      </c>
      <c r="I239" s="2">
        <f t="shared" si="77"/>
        <v>0</v>
      </c>
      <c r="J239" s="78" t="e">
        <f>VLOOKUP(I239,Наценка!$A$2:$B$9,2,1)</f>
        <v>#N/A</v>
      </c>
      <c r="K239" s="2">
        <f t="shared" si="83"/>
        <v>0</v>
      </c>
      <c r="L239" s="69">
        <f t="shared" ref="L239:L242" si="84">N239</f>
        <v>0</v>
      </c>
      <c r="M239" s="51">
        <f>VLOOKUP($A239,'Выгр Кат'!$A:$R,M$1,0)</f>
        <v>0</v>
      </c>
      <c r="N239" s="51">
        <f>VLOOKUP($A239,'Выгр Кат'!$A:$R,N$1,0)</f>
        <v>0</v>
      </c>
      <c r="O239" s="25">
        <f t="shared" si="63"/>
        <v>0</v>
      </c>
      <c r="P239" s="25">
        <f t="shared" si="64"/>
        <v>0</v>
      </c>
      <c r="Q239" s="1">
        <f t="shared" si="70"/>
        <v>0</v>
      </c>
      <c r="R239" s="5" t="str">
        <f>IFERROR((VLOOKUP($A239,'Из ГУГЛа'!$B:$G,6,0)+T239)*S239,VLOOKUP($A239,'Из ГУГЛа'!$B:$G,6,0))</f>
        <v/>
      </c>
      <c r="S239" s="4">
        <v>1</v>
      </c>
      <c r="T239" s="4">
        <v>0</v>
      </c>
      <c r="U239" s="58" t="str">
        <f t="shared" si="71"/>
        <v/>
      </c>
      <c r="V239" s="58" t="str">
        <f t="shared" si="72"/>
        <v/>
      </c>
      <c r="W239" s="58" t="str">
        <f t="shared" si="73"/>
        <v/>
      </c>
      <c r="X239" s="154"/>
    </row>
    <row r="240" spans="1:24" x14ac:dyDescent="0.25">
      <c r="A240" s="51">
        <v>181915</v>
      </c>
      <c r="B240" s="51">
        <f>VLOOKUP($A240,'Выгр Кат'!$A:$R,B$1,0)</f>
        <v>7096</v>
      </c>
      <c r="C240" s="56" t="str">
        <f>VLOOKUP($A240,'Выгр Кат'!$A:$R,C$1,0)</f>
        <v>Опциональный кабель Multitronics ШП-2</v>
      </c>
      <c r="D240" s="51" t="str">
        <f>VLOOKUP($A240,'Выгр Кат'!$A:$R,D$1,0)</f>
        <v>Y</v>
      </c>
      <c r="E240" s="51" t="str">
        <f>VLOOKUP($A240,'Выгр Кат'!$A:$R,E$1,0)</f>
        <v>0</v>
      </c>
      <c r="F240" s="51">
        <f>VLOOKUP($A240,'Выгр Кат'!$A:$R,F$1,0)</f>
        <v>0</v>
      </c>
      <c r="G240" s="51"/>
      <c r="H240" s="77" t="s">
        <v>527</v>
      </c>
      <c r="I240" s="2">
        <f t="shared" si="77"/>
        <v>0</v>
      </c>
      <c r="J240" s="78" t="e">
        <f>VLOOKUP(I240,Наценка!$A$2:$B$9,2,1)</f>
        <v>#N/A</v>
      </c>
      <c r="K240" s="2">
        <f t="shared" si="83"/>
        <v>0</v>
      </c>
      <c r="L240" s="69">
        <f t="shared" si="84"/>
        <v>0</v>
      </c>
      <c r="M240" s="51">
        <f>VLOOKUP($A240,'Выгр Кат'!$A:$R,M$1,0)</f>
        <v>0</v>
      </c>
      <c r="N240" s="51">
        <f>VLOOKUP($A240,'Выгр Кат'!$A:$R,N$1,0)</f>
        <v>0</v>
      </c>
      <c r="O240" s="25">
        <f t="shared" si="63"/>
        <v>0</v>
      </c>
      <c r="P240" s="25">
        <f t="shared" si="64"/>
        <v>0</v>
      </c>
      <c r="Q240" s="1">
        <f t="shared" si="70"/>
        <v>0</v>
      </c>
      <c r="R240" s="5" t="str">
        <f>IFERROR((VLOOKUP($A240,'Из ГУГЛа'!$B:$G,6,0)+T240)*S240,VLOOKUP($A240,'Из ГУГЛа'!$B:$G,6,0))</f>
        <v/>
      </c>
      <c r="S240" s="4">
        <v>1</v>
      </c>
      <c r="T240" s="4">
        <v>0</v>
      </c>
      <c r="U240" s="58" t="str">
        <f t="shared" si="71"/>
        <v/>
      </c>
      <c r="V240" s="58" t="str">
        <f t="shared" si="72"/>
        <v/>
      </c>
      <c r="W240" s="58" t="str">
        <f t="shared" si="73"/>
        <v/>
      </c>
      <c r="X240" s="154"/>
    </row>
    <row r="241" spans="1:24" x14ac:dyDescent="0.25">
      <c r="A241" s="51">
        <v>181916</v>
      </c>
      <c r="B241" s="51">
        <f>VLOOKUP($A241,'Выгр Кат'!$A:$R,B$1,0)</f>
        <v>7097</v>
      </c>
      <c r="C241" s="56" t="str">
        <f>VLOOKUP($A241,'Выгр Кат'!$A:$R,C$1,0)</f>
        <v>Опциональный кабель Multitronics ШП-3</v>
      </c>
      <c r="D241" s="51" t="str">
        <f>VLOOKUP($A241,'Выгр Кат'!$A:$R,D$1,0)</f>
        <v>Y</v>
      </c>
      <c r="E241" s="51" t="str">
        <f>VLOOKUP($A241,'Выгр Кат'!$A:$R,E$1,0)</f>
        <v>0</v>
      </c>
      <c r="F241" s="51">
        <f>VLOOKUP($A241,'Выгр Кат'!$A:$R,F$1,0)</f>
        <v>0</v>
      </c>
      <c r="G241" s="51"/>
      <c r="H241" s="77" t="s">
        <v>527</v>
      </c>
      <c r="I241" s="2">
        <f t="shared" si="77"/>
        <v>0</v>
      </c>
      <c r="J241" s="78" t="e">
        <f>VLOOKUP(I241,Наценка!$A$2:$B$9,2,1)</f>
        <v>#N/A</v>
      </c>
      <c r="K241" s="2">
        <f t="shared" si="83"/>
        <v>0</v>
      </c>
      <c r="L241" s="69">
        <f t="shared" si="84"/>
        <v>0</v>
      </c>
      <c r="M241" s="51">
        <f>VLOOKUP($A241,'Выгр Кат'!$A:$R,M$1,0)</f>
        <v>0</v>
      </c>
      <c r="N241" s="51">
        <f>VLOOKUP($A241,'Выгр Кат'!$A:$R,N$1,0)</f>
        <v>0</v>
      </c>
      <c r="O241" s="25">
        <f t="shared" si="63"/>
        <v>0</v>
      </c>
      <c r="P241" s="25">
        <f t="shared" si="64"/>
        <v>0</v>
      </c>
      <c r="Q241" s="1">
        <f t="shared" si="70"/>
        <v>0</v>
      </c>
      <c r="R241" s="5" t="str">
        <f>IFERROR((VLOOKUP($A241,'Из ГУГЛа'!$B:$G,6,0)+T241)*S241,VLOOKUP($A241,'Из ГУГЛа'!$B:$G,6,0))</f>
        <v/>
      </c>
      <c r="S241" s="4">
        <v>1</v>
      </c>
      <c r="T241" s="4">
        <v>0</v>
      </c>
      <c r="U241" s="58" t="str">
        <f t="shared" si="71"/>
        <v/>
      </c>
      <c r="V241" s="58" t="str">
        <f t="shared" si="72"/>
        <v/>
      </c>
      <c r="W241" s="58" t="str">
        <f t="shared" si="73"/>
        <v/>
      </c>
      <c r="X241" s="154"/>
    </row>
    <row r="242" spans="1:24" x14ac:dyDescent="0.25">
      <c r="A242" s="51">
        <v>181917</v>
      </c>
      <c r="B242" s="51">
        <f>VLOOKUP($A242,'Выгр Кат'!$A:$R,B$1,0)</f>
        <v>7098</v>
      </c>
      <c r="C242" s="56" t="str">
        <f>VLOOKUP($A242,'Выгр Кат'!$A:$R,C$1,0)</f>
        <v>Опциональный кабель Multitronics ШП-4</v>
      </c>
      <c r="D242" s="51" t="str">
        <f>VLOOKUP($A242,'Выгр Кат'!$A:$R,D$1,0)</f>
        <v>Y</v>
      </c>
      <c r="E242" s="51" t="str">
        <f>VLOOKUP($A242,'Выгр Кат'!$A:$R,E$1,0)</f>
        <v>0</v>
      </c>
      <c r="F242" s="51">
        <f>VLOOKUP($A242,'Выгр Кат'!$A:$R,F$1,0)</f>
        <v>0</v>
      </c>
      <c r="G242" s="51"/>
      <c r="H242" s="77" t="s">
        <v>527</v>
      </c>
      <c r="I242" s="2">
        <f t="shared" si="77"/>
        <v>0</v>
      </c>
      <c r="J242" s="78" t="e">
        <f>VLOOKUP(I242,Наценка!$A$2:$B$9,2,1)</f>
        <v>#N/A</v>
      </c>
      <c r="K242" s="2">
        <f t="shared" si="83"/>
        <v>0</v>
      </c>
      <c r="L242" s="69">
        <f t="shared" si="84"/>
        <v>0</v>
      </c>
      <c r="M242" s="51">
        <f>VLOOKUP($A242,'Выгр Кат'!$A:$R,M$1,0)</f>
        <v>0</v>
      </c>
      <c r="N242" s="51">
        <f>VLOOKUP($A242,'Выгр Кат'!$A:$R,N$1,0)</f>
        <v>0</v>
      </c>
      <c r="O242" s="25">
        <f t="shared" si="63"/>
        <v>0</v>
      </c>
      <c r="P242" s="25">
        <f t="shared" si="64"/>
        <v>0</v>
      </c>
      <c r="Q242" s="1">
        <f t="shared" si="70"/>
        <v>0</v>
      </c>
      <c r="R242" s="5" t="str">
        <f>IFERROR((VLOOKUP($A242,'Из ГУГЛа'!$B:$G,6,0)+T242)*S242,VLOOKUP($A242,'Из ГУГЛа'!$B:$G,6,0))</f>
        <v/>
      </c>
      <c r="S242" s="4">
        <v>1</v>
      </c>
      <c r="T242" s="4">
        <v>0</v>
      </c>
      <c r="U242" s="58" t="str">
        <f t="shared" si="71"/>
        <v/>
      </c>
      <c r="V242" s="58" t="str">
        <f t="shared" si="72"/>
        <v/>
      </c>
      <c r="W242" s="58" t="str">
        <f t="shared" si="73"/>
        <v/>
      </c>
      <c r="X242" s="154"/>
    </row>
    <row r="243" spans="1:24" ht="45" x14ac:dyDescent="0.25">
      <c r="A243" s="51">
        <v>226977</v>
      </c>
      <c r="B243" s="51">
        <f>VLOOKUP($A243,'Выгр Кат'!$A:$R,B$1,0)</f>
        <v>7115</v>
      </c>
      <c r="C243" s="56" t="str">
        <f>VLOOKUP($A243,'Выгр Кат'!$A:$R,C$1,0)</f>
        <v>Электронная комбинация приборов Flash 2 для ВАЗ 2110-2112 (европанель), Лада (Калина, Приора)</v>
      </c>
      <c r="D243" s="51" t="str">
        <f>VLOOKUP($A243,'Выгр Кат'!$A:$R,D$1,0)</f>
        <v>Y</v>
      </c>
      <c r="E243" s="51" t="str">
        <f>VLOOKUP($A243,'Выгр Кат'!$A:$R,E$1,0)</f>
        <v>0</v>
      </c>
      <c r="F243" s="51">
        <f>VLOOKUP($A243,'Выгр Кат'!$A:$R,F$1,0)</f>
        <v>0</v>
      </c>
      <c r="G243" s="51"/>
      <c r="H243" s="77" t="s">
        <v>527</v>
      </c>
      <c r="I243" s="2">
        <f t="shared" si="77"/>
        <v>0</v>
      </c>
      <c r="J243" s="78" t="e">
        <f>VLOOKUP(I243,Наценка!$A$2:$B$9,2,1)</f>
        <v>#N/A</v>
      </c>
      <c r="K243" s="2">
        <f t="shared" si="83"/>
        <v>9390</v>
      </c>
      <c r="L243" s="80">
        <f t="shared" si="68"/>
        <v>9390</v>
      </c>
      <c r="M243" s="51">
        <f>VLOOKUP($A243,'Выгр Кат'!$A:$R,M$1,0)</f>
        <v>0</v>
      </c>
      <c r="N243" s="51">
        <f>VLOOKUP($A243,'Выгр Кат'!$A:$R,N$1,0)</f>
        <v>9390</v>
      </c>
      <c r="O243" s="25">
        <f t="shared" si="63"/>
        <v>0</v>
      </c>
      <c r="P243" s="25">
        <f t="shared" si="64"/>
        <v>0</v>
      </c>
      <c r="Q243" s="1">
        <f t="shared" si="70"/>
        <v>8732.6999999999989</v>
      </c>
      <c r="R243" s="5" t="str">
        <f>IFERROR((VLOOKUP($A243,'Из ГУГЛа'!$B:$G,6,0)+T243)*S243,VLOOKUP($A243,'Из ГУГЛа'!$B:$G,6,0))</f>
        <v/>
      </c>
      <c r="S243" s="4">
        <v>1</v>
      </c>
      <c r="T243" s="4">
        <v>0</v>
      </c>
      <c r="U243" s="58" t="str">
        <f t="shared" si="71"/>
        <v/>
      </c>
      <c r="V243" s="58" t="str">
        <f t="shared" si="72"/>
        <v/>
      </c>
      <c r="W243" s="58" t="str">
        <f t="shared" si="73"/>
        <v/>
      </c>
      <c r="X243" s="154"/>
    </row>
    <row r="244" spans="1:24" ht="45" x14ac:dyDescent="0.25">
      <c r="A244" s="51">
        <v>226976</v>
      </c>
      <c r="B244" s="51">
        <f>VLOOKUP($A244,'Выгр Кат'!$A:$R,B$1,0)</f>
        <v>7116</v>
      </c>
      <c r="C244" s="56" t="str">
        <f>VLOOKUP($A244,'Выгр Кат'!$A:$R,C$1,0)</f>
        <v>Электронная комбинация приборов Flash 2 light для ВАЗ 2110-2112 (европанель), Лада (Калина, Приора)</v>
      </c>
      <c r="D244" s="51" t="str">
        <f>VLOOKUP($A244,'Выгр Кат'!$A:$R,D$1,0)</f>
        <v>Y</v>
      </c>
      <c r="E244" s="51" t="str">
        <f>VLOOKUP($A244,'Выгр Кат'!$A:$R,E$1,0)</f>
        <v>0</v>
      </c>
      <c r="F244" s="51">
        <f>VLOOKUP($A244,'Выгр Кат'!$A:$R,F$1,0)</f>
        <v>0</v>
      </c>
      <c r="G244" s="51"/>
      <c r="H244" s="77" t="s">
        <v>527</v>
      </c>
      <c r="I244" s="2">
        <f t="shared" si="77"/>
        <v>0</v>
      </c>
      <c r="J244" s="78" t="e">
        <f>VLOOKUP(I244,Наценка!$A$2:$B$9,2,1)</f>
        <v>#N/A</v>
      </c>
      <c r="K244" s="2">
        <f t="shared" si="83"/>
        <v>9390</v>
      </c>
      <c r="L244" s="80">
        <f t="shared" si="68"/>
        <v>9390</v>
      </c>
      <c r="M244" s="51">
        <f>VLOOKUP($A244,'Выгр Кат'!$A:$R,M$1,0)</f>
        <v>0</v>
      </c>
      <c r="N244" s="51">
        <f>VLOOKUP($A244,'Выгр Кат'!$A:$R,N$1,0)</f>
        <v>9390</v>
      </c>
      <c r="O244" s="25">
        <f t="shared" si="63"/>
        <v>0</v>
      </c>
      <c r="P244" s="25">
        <f t="shared" si="64"/>
        <v>0</v>
      </c>
      <c r="Q244" s="1">
        <f t="shared" si="70"/>
        <v>8732.6999999999989</v>
      </c>
      <c r="R244" s="5" t="str">
        <f>IFERROR((VLOOKUP($A244,'Из ГУГЛа'!$B:$G,6,0)+T244)*S244,VLOOKUP($A244,'Из ГУГЛа'!$B:$G,6,0))</f>
        <v/>
      </c>
      <c r="S244" s="4">
        <v>1</v>
      </c>
      <c r="T244" s="4">
        <v>0</v>
      </c>
      <c r="U244" s="58" t="str">
        <f t="shared" si="71"/>
        <v/>
      </c>
      <c r="V244" s="58" t="str">
        <f t="shared" si="72"/>
        <v/>
      </c>
      <c r="W244" s="58" t="str">
        <f t="shared" si="73"/>
        <v/>
      </c>
      <c r="X244" s="154"/>
    </row>
    <row r="245" spans="1:24" ht="45" x14ac:dyDescent="0.25">
      <c r="A245" s="51">
        <v>226980</v>
      </c>
      <c r="B245" s="51">
        <f>VLOOKUP($A245,'Выгр Кат'!$A:$R,B$1,0)</f>
        <v>7117</v>
      </c>
      <c r="C245" s="56" t="str">
        <f>VLOOKUP($A245,'Выгр Кат'!$A:$R,C$1,0)</f>
        <v>Электронная комбинация приборов FLASH X-104 для ВАЗ 2110-2112 (европанель), Лада (Калина, Приора)</v>
      </c>
      <c r="D245" s="51" t="str">
        <f>VLOOKUP($A245,'Выгр Кат'!$A:$R,D$1,0)</f>
        <v>Y</v>
      </c>
      <c r="E245" s="51" t="str">
        <f>VLOOKUP($A245,'Выгр Кат'!$A:$R,E$1,0)</f>
        <v>0</v>
      </c>
      <c r="F245" s="51">
        <f>VLOOKUP($A245,'Выгр Кат'!$A:$R,F$1,0)</f>
        <v>0</v>
      </c>
      <c r="G245" s="51"/>
      <c r="H245" s="77" t="s">
        <v>527</v>
      </c>
      <c r="I245" s="2">
        <f t="shared" si="77"/>
        <v>9300</v>
      </c>
      <c r="J245" s="78">
        <f>VLOOKUP(I245,Наценка!$A$2:$B$9,2,1)</f>
        <v>1.32</v>
      </c>
      <c r="K245" s="79">
        <f t="shared" si="69"/>
        <v>12276</v>
      </c>
      <c r="L245" s="80">
        <f t="shared" si="68"/>
        <v>12290</v>
      </c>
      <c r="M245" s="51">
        <f>VLOOKUP($A245,'Выгр Кат'!$A:$R,M$1,0)</f>
        <v>9300</v>
      </c>
      <c r="N245" s="51">
        <f>VLOOKUP($A245,'Выгр Кат'!$A:$R,N$1,0)</f>
        <v>12290</v>
      </c>
      <c r="O245" s="25">
        <f t="shared" si="63"/>
        <v>0</v>
      </c>
      <c r="P245" s="25">
        <f t="shared" si="64"/>
        <v>0</v>
      </c>
      <c r="Q245" s="1">
        <f t="shared" si="70"/>
        <v>11429.699999999999</v>
      </c>
      <c r="R245" s="5" t="str">
        <f>IFERROR((VLOOKUP($A245,'Из ГУГЛа'!$B:$G,6,0)+T245)*S245,VLOOKUP($A245,'Из ГУГЛа'!$B:$G,6,0))</f>
        <v/>
      </c>
      <c r="S245" s="4">
        <v>1</v>
      </c>
      <c r="T245" s="4">
        <v>0</v>
      </c>
      <c r="U245" s="58">
        <f t="shared" si="71"/>
        <v>0.22899999999999987</v>
      </c>
      <c r="V245" s="58" t="str">
        <f t="shared" si="72"/>
        <v/>
      </c>
      <c r="W245" s="58" t="str">
        <f t="shared" si="73"/>
        <v/>
      </c>
      <c r="X245" s="154"/>
    </row>
    <row r="246" spans="1:24" ht="60" x14ac:dyDescent="0.25">
      <c r="A246" s="51">
        <v>226975</v>
      </c>
      <c r="B246" s="51">
        <f>VLOOKUP($A246,'Выгр Кат'!$A:$R,B$1,0)</f>
        <v>7133</v>
      </c>
      <c r="C246" s="56" t="str">
        <f>VLOOKUP($A246,'Выгр Кат'!$A:$R,C$1,0)</f>
        <v>Электронная комбинация приборов "FLASH" 1 для ВАЗ (2108-21099, 2110-2112 (панель с/о), 2113-2115), Лада Нива 4х4, Шевроле Нива</v>
      </c>
      <c r="D246" s="51" t="str">
        <f>VLOOKUP($A246,'Выгр Кат'!$A:$R,D$1,0)</f>
        <v>Y</v>
      </c>
      <c r="E246" s="51" t="str">
        <f>VLOOKUP($A246,'Выгр Кат'!$A:$R,E$1,0)</f>
        <v>0</v>
      </c>
      <c r="F246" s="51">
        <f>VLOOKUP($A246,'Выгр Кат'!$A:$R,F$1,0)</f>
        <v>0</v>
      </c>
      <c r="G246" s="51"/>
      <c r="H246" s="77" t="s">
        <v>527</v>
      </c>
      <c r="I246" s="2">
        <f t="shared" si="77"/>
        <v>0</v>
      </c>
      <c r="J246" s="78" t="e">
        <f>VLOOKUP(I246,Наценка!$A$2:$B$9,2,1)</f>
        <v>#N/A</v>
      </c>
      <c r="K246" s="2">
        <f t="shared" ref="K246:K247" si="85">N246</f>
        <v>9390</v>
      </c>
      <c r="L246" s="80">
        <f t="shared" si="68"/>
        <v>9390</v>
      </c>
      <c r="M246" s="51">
        <f>VLOOKUP($A246,'Выгр Кат'!$A:$R,M$1,0)</f>
        <v>0</v>
      </c>
      <c r="N246" s="51">
        <f>VLOOKUP($A246,'Выгр Кат'!$A:$R,N$1,0)</f>
        <v>9390</v>
      </c>
      <c r="O246" s="25">
        <f t="shared" si="63"/>
        <v>0</v>
      </c>
      <c r="P246" s="25">
        <f t="shared" si="64"/>
        <v>0</v>
      </c>
      <c r="Q246" s="1">
        <f t="shared" si="70"/>
        <v>8732.6999999999989</v>
      </c>
      <c r="R246" s="5" t="str">
        <f>IFERROR((VLOOKUP($A246,'Из ГУГЛа'!$B:$G,6,0)+T246)*S246,VLOOKUP($A246,'Из ГУГЛа'!$B:$G,6,0))</f>
        <v/>
      </c>
      <c r="S246" s="4">
        <v>1</v>
      </c>
      <c r="T246" s="4">
        <v>0</v>
      </c>
      <c r="U246" s="58" t="str">
        <f t="shared" si="71"/>
        <v/>
      </c>
      <c r="V246" s="58" t="str">
        <f t="shared" si="72"/>
        <v/>
      </c>
      <c r="W246" s="58" t="str">
        <f t="shared" si="73"/>
        <v/>
      </c>
      <c r="X246" s="154"/>
    </row>
    <row r="247" spans="1:24" ht="60" x14ac:dyDescent="0.25">
      <c r="A247" s="51">
        <v>226978</v>
      </c>
      <c r="B247" s="51">
        <f>VLOOKUP($A247,'Выгр Кат'!$A:$R,B$1,0)</f>
        <v>7134</v>
      </c>
      <c r="C247" s="56" t="str">
        <f>VLOOKUP($A247,'Выгр Кат'!$A:$R,C$1,0)</f>
        <v>Электронная комбинация приборов "FLASH" Light для ВАЗ (2108-21099, 2110-2112 (панель с/о), 2113-2115), Лада Нива 4х4, Шевроле Нива</v>
      </c>
      <c r="D247" s="51" t="str">
        <f>VLOOKUP($A247,'Выгр Кат'!$A:$R,D$1,0)</f>
        <v>Y</v>
      </c>
      <c r="E247" s="51" t="str">
        <f>VLOOKUP($A247,'Выгр Кат'!$A:$R,E$1,0)</f>
        <v>0</v>
      </c>
      <c r="F247" s="51">
        <f>VLOOKUP($A247,'Выгр Кат'!$A:$R,F$1,0)</f>
        <v>0</v>
      </c>
      <c r="G247" s="51"/>
      <c r="H247" s="77" t="s">
        <v>527</v>
      </c>
      <c r="I247" s="2">
        <f t="shared" si="77"/>
        <v>0</v>
      </c>
      <c r="J247" s="78" t="e">
        <f>VLOOKUP(I247,Наценка!$A$2:$B$9,2,1)</f>
        <v>#N/A</v>
      </c>
      <c r="K247" s="2">
        <f t="shared" si="85"/>
        <v>8890</v>
      </c>
      <c r="L247" s="80">
        <f t="shared" si="68"/>
        <v>8890</v>
      </c>
      <c r="M247" s="51">
        <f>VLOOKUP($A247,'Выгр Кат'!$A:$R,M$1,0)</f>
        <v>0</v>
      </c>
      <c r="N247" s="51">
        <f>VLOOKUP($A247,'Выгр Кат'!$A:$R,N$1,0)</f>
        <v>8890</v>
      </c>
      <c r="O247" s="25">
        <f t="shared" ref="O247:O284" si="86">M247-I247</f>
        <v>0</v>
      </c>
      <c r="P247" s="25">
        <f t="shared" ref="P247:P284" si="87">N247-L247</f>
        <v>0</v>
      </c>
      <c r="Q247" s="1">
        <f t="shared" si="70"/>
        <v>8267.6999999999989</v>
      </c>
      <c r="R247" s="5" t="str">
        <f>IFERROR((VLOOKUP($A247,'Из ГУГЛа'!$B:$G,6,0)+T247)*S247,VLOOKUP($A247,'Из ГУГЛа'!$B:$G,6,0))</f>
        <v/>
      </c>
      <c r="S247" s="4">
        <v>1</v>
      </c>
      <c r="T247" s="4">
        <v>0</v>
      </c>
      <c r="U247" s="58" t="str">
        <f t="shared" si="71"/>
        <v/>
      </c>
      <c r="V247" s="58" t="str">
        <f t="shared" si="72"/>
        <v/>
      </c>
      <c r="W247" s="58" t="str">
        <f t="shared" si="73"/>
        <v/>
      </c>
      <c r="X247" s="154"/>
    </row>
    <row r="248" spans="1:24" ht="60" x14ac:dyDescent="0.25">
      <c r="A248" s="51">
        <v>226979</v>
      </c>
      <c r="B248" s="51">
        <f>VLOOKUP($A248,'Выгр Кат'!$A:$R,B$1,0)</f>
        <v>7138</v>
      </c>
      <c r="C248" s="56" t="str">
        <f>VLOOKUP($A248,'Выгр Кат'!$A:$R,C$1,0)</f>
        <v>Электронная комбинация приборов "FLASH" X-101 для ВАЗ (2110-2112, 2113-2115), Шевроле Нива (инжекторный двигатель)</v>
      </c>
      <c r="D248" s="51" t="str">
        <f>VLOOKUP($A248,'Выгр Кат'!$A:$R,D$1,0)</f>
        <v>Y</v>
      </c>
      <c r="E248" s="51" t="str">
        <f>VLOOKUP($A248,'Выгр Кат'!$A:$R,E$1,0)</f>
        <v>0</v>
      </c>
      <c r="F248" s="51">
        <f>VLOOKUP($A248,'Выгр Кат'!$A:$R,F$1,0)</f>
        <v>0</v>
      </c>
      <c r="G248" s="51"/>
      <c r="H248" s="77" t="s">
        <v>527</v>
      </c>
      <c r="I248" s="2">
        <f t="shared" si="77"/>
        <v>9300</v>
      </c>
      <c r="J248" s="78">
        <f>VLOOKUP(I248,Наценка!$A$2:$B$9,2,1)</f>
        <v>1.32</v>
      </c>
      <c r="K248" s="79">
        <f t="shared" si="69"/>
        <v>12276</v>
      </c>
      <c r="L248" s="80">
        <f t="shared" si="68"/>
        <v>12290</v>
      </c>
      <c r="M248" s="51">
        <f>VLOOKUP($A248,'Выгр Кат'!$A:$R,M$1,0)</f>
        <v>9300</v>
      </c>
      <c r="N248" s="51">
        <f>VLOOKUP($A248,'Выгр Кат'!$A:$R,N$1,0)</f>
        <v>12290</v>
      </c>
      <c r="O248" s="25">
        <f t="shared" si="86"/>
        <v>0</v>
      </c>
      <c r="P248" s="25">
        <f t="shared" si="87"/>
        <v>0</v>
      </c>
      <c r="Q248" s="1">
        <f t="shared" si="70"/>
        <v>11429.699999999999</v>
      </c>
      <c r="R248" s="5" t="str">
        <f>IFERROR((VLOOKUP($A248,'Из ГУГЛа'!$B:$G,6,0)+T248)*S248,VLOOKUP($A248,'Из ГУГЛа'!$B:$G,6,0))</f>
        <v/>
      </c>
      <c r="S248" s="4">
        <v>1</v>
      </c>
      <c r="T248" s="4">
        <v>0</v>
      </c>
      <c r="U248" s="58">
        <f t="shared" si="71"/>
        <v>0.22899999999999987</v>
      </c>
      <c r="V248" s="58" t="str">
        <f t="shared" si="72"/>
        <v/>
      </c>
      <c r="W248" s="58" t="str">
        <f t="shared" si="73"/>
        <v/>
      </c>
      <c r="X248" s="154"/>
    </row>
    <row r="249" spans="1:24" ht="60" x14ac:dyDescent="0.25">
      <c r="A249" s="51">
        <v>227000</v>
      </c>
      <c r="B249" s="51">
        <f>VLOOKUP($A249,'Выгр Кат'!$A:$R,B$1,0)</f>
        <v>7139</v>
      </c>
      <c r="C249" s="56" t="str">
        <f>VLOOKUP($A249,'Выгр Кат'!$A:$R,C$1,0)</f>
        <v>Электронная комбинация приборов "ШТАТ" КП-001-21 для ВАЗ (2108-21099, 2110-2112 (панель с/о), 2113-2115), Лада Нива 4х4, Шевроле Нива</v>
      </c>
      <c r="D249" s="51" t="str">
        <f>VLOOKUP($A249,'Выгр Кат'!$A:$R,D$1,0)</f>
        <v>Y</v>
      </c>
      <c r="E249" s="51" t="str">
        <f>VLOOKUP($A249,'Выгр Кат'!$A:$R,E$1,0)</f>
        <v>0</v>
      </c>
      <c r="F249" s="51">
        <f>VLOOKUP($A249,'Выгр Кат'!$A:$R,F$1,0)</f>
        <v>0</v>
      </c>
      <c r="G249" s="51"/>
      <c r="H249" s="77" t="s">
        <v>527</v>
      </c>
      <c r="I249" s="2">
        <f t="shared" si="77"/>
        <v>0</v>
      </c>
      <c r="J249" s="78" t="e">
        <f>VLOOKUP(I249,Наценка!$A$2:$B$9,2,1)</f>
        <v>#N/A</v>
      </c>
      <c r="K249" s="2">
        <f t="shared" ref="K249:K253" si="88">N249</f>
        <v>0</v>
      </c>
      <c r="L249" s="69">
        <f t="shared" ref="L249:L253" si="89">N249</f>
        <v>0</v>
      </c>
      <c r="M249" s="51">
        <f>VLOOKUP($A249,'Выгр Кат'!$A:$R,M$1,0)</f>
        <v>0</v>
      </c>
      <c r="N249" s="51">
        <f>VLOOKUP($A249,'Выгр Кат'!$A:$R,N$1,0)</f>
        <v>0</v>
      </c>
      <c r="O249" s="25">
        <f t="shared" si="86"/>
        <v>0</v>
      </c>
      <c r="P249" s="25">
        <f t="shared" si="87"/>
        <v>0</v>
      </c>
      <c r="Q249" s="1">
        <f t="shared" si="70"/>
        <v>0</v>
      </c>
      <c r="R249" s="5" t="str">
        <f>IFERROR((VLOOKUP($A249,'Из ГУГЛа'!$B:$G,6,0)+T249)*S249,VLOOKUP($A249,'Из ГУГЛа'!$B:$G,6,0))</f>
        <v/>
      </c>
      <c r="S249" s="4">
        <v>1</v>
      </c>
      <c r="T249" s="4">
        <v>0</v>
      </c>
      <c r="U249" s="58" t="str">
        <f t="shared" si="71"/>
        <v/>
      </c>
      <c r="V249" s="58" t="str">
        <f t="shared" si="72"/>
        <v/>
      </c>
      <c r="W249" s="58" t="str">
        <f t="shared" si="73"/>
        <v/>
      </c>
      <c r="X249" s="154"/>
    </row>
    <row r="250" spans="1:24" ht="60" x14ac:dyDescent="0.25">
      <c r="A250" s="51">
        <v>227001</v>
      </c>
      <c r="B250" s="51">
        <f>VLOOKUP($A250,'Выгр Кат'!$A:$R,B$1,0)</f>
        <v>7140</v>
      </c>
      <c r="C250" s="56" t="str">
        <f>VLOOKUP($A250,'Выгр Кат'!$A:$R,C$1,0)</f>
        <v>Электронная комбинация приборов "ШТАТ" КП-001-22 для ВАЗ (2108-21099, 2110-2112 (панель с/о), 2113-2115), Лада Нива 4х4, Шевроле Нива</v>
      </c>
      <c r="D250" s="51" t="str">
        <f>VLOOKUP($A250,'Выгр Кат'!$A:$R,D$1,0)</f>
        <v>Y</v>
      </c>
      <c r="E250" s="51" t="str">
        <f>VLOOKUP($A250,'Выгр Кат'!$A:$R,E$1,0)</f>
        <v>0</v>
      </c>
      <c r="F250" s="51">
        <f>VLOOKUP($A250,'Выгр Кат'!$A:$R,F$1,0)</f>
        <v>0</v>
      </c>
      <c r="G250" s="51"/>
      <c r="H250" s="77" t="s">
        <v>527</v>
      </c>
      <c r="I250" s="2">
        <f t="shared" si="77"/>
        <v>0</v>
      </c>
      <c r="J250" s="78" t="e">
        <f>VLOOKUP(I250,Наценка!$A$2:$B$9,2,1)</f>
        <v>#N/A</v>
      </c>
      <c r="K250" s="2">
        <f t="shared" si="88"/>
        <v>0</v>
      </c>
      <c r="L250" s="69">
        <f t="shared" si="89"/>
        <v>0</v>
      </c>
      <c r="M250" s="51">
        <f>VLOOKUP($A250,'Выгр Кат'!$A:$R,M$1,0)</f>
        <v>0</v>
      </c>
      <c r="N250" s="51">
        <f>VLOOKUP($A250,'Выгр Кат'!$A:$R,N$1,0)</f>
        <v>0</v>
      </c>
      <c r="O250" s="25">
        <f t="shared" si="86"/>
        <v>0</v>
      </c>
      <c r="P250" s="25">
        <f t="shared" si="87"/>
        <v>0</v>
      </c>
      <c r="Q250" s="1">
        <f t="shared" si="70"/>
        <v>0</v>
      </c>
      <c r="R250" s="5" t="str">
        <f>IFERROR((VLOOKUP($A250,'Из ГУГЛа'!$B:$G,6,0)+T250)*S250,VLOOKUP($A250,'Из ГУГЛа'!$B:$G,6,0))</f>
        <v/>
      </c>
      <c r="S250" s="4">
        <v>1</v>
      </c>
      <c r="T250" s="4">
        <v>0</v>
      </c>
      <c r="U250" s="58" t="str">
        <f t="shared" si="71"/>
        <v/>
      </c>
      <c r="V250" s="58" t="str">
        <f t="shared" si="72"/>
        <v/>
      </c>
      <c r="W250" s="58" t="str">
        <f t="shared" si="73"/>
        <v/>
      </c>
      <c r="X250" s="154"/>
    </row>
    <row r="251" spans="1:24" x14ac:dyDescent="0.25">
      <c r="A251" s="51">
        <v>186319</v>
      </c>
      <c r="B251" s="51">
        <f>VLOOKUP($A251,'Выгр Кат'!$A:$R,B$1,0)</f>
        <v>7166</v>
      </c>
      <c r="C251" s="56" t="str">
        <f>VLOOKUP($A251,'Выгр Кат'!$A:$R,C$1,0)</f>
        <v>Парктроник Multitronics PT-3TC</v>
      </c>
      <c r="D251" s="51" t="str">
        <f>VLOOKUP($A251,'Выгр Кат'!$A:$R,D$1,0)</f>
        <v>Y</v>
      </c>
      <c r="E251" s="51" t="str">
        <f>VLOOKUP($A251,'Выгр Кат'!$A:$R,E$1,0)</f>
        <v>0</v>
      </c>
      <c r="F251" s="51">
        <f>VLOOKUP($A251,'Выгр Кат'!$A:$R,F$1,0)</f>
        <v>0</v>
      </c>
      <c r="G251" s="51"/>
      <c r="H251" s="77" t="s">
        <v>527</v>
      </c>
      <c r="I251" s="2">
        <f t="shared" si="77"/>
        <v>0</v>
      </c>
      <c r="J251" s="78" t="e">
        <f>VLOOKUP(I251,Наценка!$A$2:$B$9,2,1)</f>
        <v>#N/A</v>
      </c>
      <c r="K251" s="2">
        <f t="shared" si="88"/>
        <v>0</v>
      </c>
      <c r="L251" s="69">
        <f t="shared" si="89"/>
        <v>0</v>
      </c>
      <c r="M251" s="51">
        <f>VLOOKUP($A251,'Выгр Кат'!$A:$R,M$1,0)</f>
        <v>0</v>
      </c>
      <c r="N251" s="51">
        <f>VLOOKUP($A251,'Выгр Кат'!$A:$R,N$1,0)</f>
        <v>0</v>
      </c>
      <c r="O251" s="25">
        <f t="shared" si="86"/>
        <v>0</v>
      </c>
      <c r="P251" s="25">
        <f t="shared" si="87"/>
        <v>0</v>
      </c>
      <c r="Q251" s="1">
        <f t="shared" si="70"/>
        <v>0</v>
      </c>
      <c r="R251" s="5" t="str">
        <f>IFERROR((VLOOKUP($A251,'Из ГУГЛа'!$B:$G,6,0)+T251)*S251,VLOOKUP($A251,'Из ГУГЛа'!$B:$G,6,0))</f>
        <v/>
      </c>
      <c r="S251" s="4">
        <v>1</v>
      </c>
      <c r="T251" s="4">
        <v>0</v>
      </c>
      <c r="U251" s="58" t="str">
        <f t="shared" si="71"/>
        <v/>
      </c>
      <c r="V251" s="58" t="str">
        <f t="shared" si="72"/>
        <v/>
      </c>
      <c r="W251" s="58" t="str">
        <f t="shared" si="73"/>
        <v/>
      </c>
      <c r="X251" s="154"/>
    </row>
    <row r="252" spans="1:24" x14ac:dyDescent="0.25">
      <c r="A252" s="51">
        <v>186318</v>
      </c>
      <c r="B252" s="51">
        <f>VLOOKUP($A252,'Выгр Кат'!$A:$R,B$1,0)</f>
        <v>7167</v>
      </c>
      <c r="C252" s="56" t="str">
        <f>VLOOKUP($A252,'Выгр Кат'!$A:$R,C$1,0)</f>
        <v>Парктроник Multitronics PT-2TC</v>
      </c>
      <c r="D252" s="51" t="str">
        <f>VLOOKUP($A252,'Выгр Кат'!$A:$R,D$1,0)</f>
        <v>Y</v>
      </c>
      <c r="E252" s="51" t="str">
        <f>VLOOKUP($A252,'Выгр Кат'!$A:$R,E$1,0)</f>
        <v>0</v>
      </c>
      <c r="F252" s="51">
        <f>VLOOKUP($A252,'Выгр Кат'!$A:$R,F$1,0)</f>
        <v>0</v>
      </c>
      <c r="G252" s="51"/>
      <c r="H252" s="77" t="s">
        <v>527</v>
      </c>
      <c r="I252" s="2">
        <f t="shared" si="77"/>
        <v>0</v>
      </c>
      <c r="J252" s="78" t="e">
        <f>VLOOKUP(I252,Наценка!$A$2:$B$9,2,1)</f>
        <v>#N/A</v>
      </c>
      <c r="K252" s="2">
        <f t="shared" si="88"/>
        <v>0</v>
      </c>
      <c r="L252" s="69">
        <f t="shared" si="89"/>
        <v>0</v>
      </c>
      <c r="M252" s="51">
        <f>VLOOKUP($A252,'Выгр Кат'!$A:$R,M$1,0)</f>
        <v>0</v>
      </c>
      <c r="N252" s="51">
        <f>VLOOKUP($A252,'Выгр Кат'!$A:$R,N$1,0)</f>
        <v>0</v>
      </c>
      <c r="O252" s="25">
        <f t="shared" si="86"/>
        <v>0</v>
      </c>
      <c r="P252" s="25">
        <f t="shared" si="87"/>
        <v>0</v>
      </c>
      <c r="Q252" s="1">
        <f t="shared" si="70"/>
        <v>0</v>
      </c>
      <c r="R252" s="5" t="str">
        <f>IFERROR((VLOOKUP($A252,'Из ГУГЛа'!$B:$G,6,0)+T252)*S252,VLOOKUP($A252,'Из ГУГЛа'!$B:$G,6,0))</f>
        <v/>
      </c>
      <c r="S252" s="4">
        <v>1</v>
      </c>
      <c r="T252" s="4">
        <v>0</v>
      </c>
      <c r="U252" s="58" t="str">
        <f t="shared" si="71"/>
        <v/>
      </c>
      <c r="V252" s="58" t="str">
        <f t="shared" si="72"/>
        <v/>
      </c>
      <c r="W252" s="58" t="str">
        <f t="shared" si="73"/>
        <v/>
      </c>
      <c r="X252" s="154"/>
    </row>
    <row r="253" spans="1:24" x14ac:dyDescent="0.25">
      <c r="A253" s="51">
        <v>186322</v>
      </c>
      <c r="B253" s="51">
        <f>VLOOKUP($A253,'Выгр Кат'!$A:$R,B$1,0)</f>
        <v>7169</v>
      </c>
      <c r="C253" s="56" t="str">
        <f>VLOOKUP($A253,'Выгр Кат'!$A:$R,C$1,0)</f>
        <v>Парктроник Престиж SP-4</v>
      </c>
      <c r="D253" s="51" t="str">
        <f>VLOOKUP($A253,'Выгр Кат'!$A:$R,D$1,0)</f>
        <v>Y</v>
      </c>
      <c r="E253" s="51" t="str">
        <f>VLOOKUP($A253,'Выгр Кат'!$A:$R,E$1,0)</f>
        <v>0</v>
      </c>
      <c r="F253" s="51">
        <f>VLOOKUP($A253,'Выгр Кат'!$A:$R,F$1,0)</f>
        <v>0</v>
      </c>
      <c r="G253" s="51"/>
      <c r="H253" s="77" t="s">
        <v>527</v>
      </c>
      <c r="I253" s="2">
        <f t="shared" si="77"/>
        <v>0</v>
      </c>
      <c r="J253" s="78" t="e">
        <f>VLOOKUP(I253,Наценка!$A$2:$B$9,2,1)</f>
        <v>#N/A</v>
      </c>
      <c r="K253" s="2">
        <f t="shared" si="88"/>
        <v>0</v>
      </c>
      <c r="L253" s="69">
        <f t="shared" si="89"/>
        <v>0</v>
      </c>
      <c r="M253" s="51">
        <f>VLOOKUP($A253,'Выгр Кат'!$A:$R,M$1,0)</f>
        <v>0</v>
      </c>
      <c r="N253" s="51">
        <f>VLOOKUP($A253,'Выгр Кат'!$A:$R,N$1,0)</f>
        <v>0</v>
      </c>
      <c r="O253" s="25">
        <f t="shared" si="86"/>
        <v>0</v>
      </c>
      <c r="P253" s="25">
        <f t="shared" si="87"/>
        <v>0</v>
      </c>
      <c r="Q253" s="1">
        <f t="shared" si="70"/>
        <v>0</v>
      </c>
      <c r="R253" s="5" t="str">
        <f>IFERROR((VLOOKUP($A253,'Из ГУГЛа'!$B:$G,6,0)+T253)*S253,VLOOKUP($A253,'Из ГУГЛа'!$B:$G,6,0))</f>
        <v/>
      </c>
      <c r="S253" s="4">
        <v>1</v>
      </c>
      <c r="T253" s="4">
        <v>0</v>
      </c>
      <c r="U253" s="58" t="str">
        <f t="shared" si="71"/>
        <v/>
      </c>
      <c r="V253" s="58" t="str">
        <f t="shared" si="72"/>
        <v/>
      </c>
      <c r="W253" s="58" t="str">
        <f t="shared" si="73"/>
        <v/>
      </c>
      <c r="X253" s="154"/>
    </row>
    <row r="254" spans="1:24" ht="30" x14ac:dyDescent="0.25">
      <c r="A254" s="51">
        <v>219103</v>
      </c>
      <c r="B254" s="51">
        <f>VLOOKUP($A254,'Выгр Кат'!$A:$R,B$1,0)</f>
        <v>7189</v>
      </c>
      <c r="C254" s="56" t="str">
        <f>VLOOKUP($A254,'Выгр Кат'!$A:$R,C$1,0)</f>
        <v>Тахометр-вольтметр Multitronics DM-20 для карбюраторных двигателей</v>
      </c>
      <c r="D254" s="51" t="str">
        <f>VLOOKUP($A254,'Выгр Кат'!$A:$R,D$1,0)</f>
        <v>Y</v>
      </c>
      <c r="E254" s="51" t="str">
        <f>VLOOKUP($A254,'Выгр Кат'!$A:$R,E$1,0)</f>
        <v>0</v>
      </c>
      <c r="F254" s="51">
        <f>VLOOKUP($A254,'Выгр Кат'!$A:$R,F$1,0)</f>
        <v>0</v>
      </c>
      <c r="G254" s="51"/>
      <c r="H254" s="77" t="s">
        <v>527</v>
      </c>
      <c r="I254" s="2">
        <f t="shared" si="77"/>
        <v>650</v>
      </c>
      <c r="J254" s="78">
        <f>VLOOKUP(I254,Наценка!$A$2:$B$9,2,1)</f>
        <v>1.6</v>
      </c>
      <c r="K254" s="79">
        <f t="shared" si="69"/>
        <v>1040</v>
      </c>
      <c r="L254" s="80">
        <f t="shared" si="68"/>
        <v>1090</v>
      </c>
      <c r="M254" s="51">
        <f>VLOOKUP($A254,'Выгр Кат'!$A:$R,M$1,0)</f>
        <v>650</v>
      </c>
      <c r="N254" s="51">
        <f>VLOOKUP($A254,'Выгр Кат'!$A:$R,N$1,0)</f>
        <v>1090</v>
      </c>
      <c r="O254" s="25">
        <f t="shared" si="86"/>
        <v>0</v>
      </c>
      <c r="P254" s="25">
        <f t="shared" si="87"/>
        <v>0</v>
      </c>
      <c r="Q254" s="1">
        <f t="shared" si="70"/>
        <v>1013.6999999999999</v>
      </c>
      <c r="R254" s="5" t="str">
        <f>IFERROR((VLOOKUP($A254,'Из ГУГЛа'!$B:$G,6,0)+T254)*S254,VLOOKUP($A254,'Из ГУГЛа'!$B:$G,6,0))</f>
        <v/>
      </c>
      <c r="S254" s="4">
        <v>1</v>
      </c>
      <c r="T254" s="4">
        <v>0</v>
      </c>
      <c r="U254" s="58">
        <f t="shared" si="71"/>
        <v>0.55953846153846154</v>
      </c>
      <c r="V254" s="58" t="str">
        <f t="shared" si="72"/>
        <v/>
      </c>
      <c r="W254" s="58" t="str">
        <f t="shared" si="73"/>
        <v/>
      </c>
      <c r="X254" s="154"/>
    </row>
    <row r="255" spans="1:24" ht="30" x14ac:dyDescent="0.25">
      <c r="A255" s="51">
        <v>219102</v>
      </c>
      <c r="B255" s="51">
        <f>VLOOKUP($A255,'Выгр Кат'!$A:$R,B$1,0)</f>
        <v>7190</v>
      </c>
      <c r="C255" s="56" t="str">
        <f>VLOOKUP($A255,'Выгр Кат'!$A:$R,C$1,0)</f>
        <v>Тахометр-вольметр Multitronics DM-20D для дизельных двигателей</v>
      </c>
      <c r="D255" s="51" t="str">
        <f>VLOOKUP($A255,'Выгр Кат'!$A:$R,D$1,0)</f>
        <v>Y</v>
      </c>
      <c r="E255" s="51" t="str">
        <f>VLOOKUP($A255,'Выгр Кат'!$A:$R,E$1,0)</f>
        <v>0</v>
      </c>
      <c r="F255" s="51">
        <f>VLOOKUP($A255,'Выгр Кат'!$A:$R,F$1,0)</f>
        <v>0</v>
      </c>
      <c r="G255" s="51"/>
      <c r="H255" s="77" t="s">
        <v>527</v>
      </c>
      <c r="I255" s="2">
        <f t="shared" si="77"/>
        <v>0</v>
      </c>
      <c r="J255" s="78" t="e">
        <f>VLOOKUP(I255,Наценка!$A$2:$B$9,2,1)</f>
        <v>#N/A</v>
      </c>
      <c r="K255" s="2">
        <f>N255</f>
        <v>719</v>
      </c>
      <c r="L255" s="80">
        <f t="shared" si="68"/>
        <v>719</v>
      </c>
      <c r="M255" s="51">
        <f>VLOOKUP($A255,'Выгр Кат'!$A:$R,M$1,0)</f>
        <v>0</v>
      </c>
      <c r="N255" s="51">
        <f>VLOOKUP($A255,'Выгр Кат'!$A:$R,N$1,0)</f>
        <v>719</v>
      </c>
      <c r="O255" s="25">
        <f t="shared" si="86"/>
        <v>0</v>
      </c>
      <c r="P255" s="25">
        <f t="shared" si="87"/>
        <v>0</v>
      </c>
      <c r="Q255" s="1">
        <f t="shared" si="70"/>
        <v>668.67</v>
      </c>
      <c r="R255" s="5" t="str">
        <f>IFERROR((VLOOKUP($A255,'Из ГУГЛа'!$B:$G,6,0)+T255)*S255,VLOOKUP($A255,'Из ГУГЛа'!$B:$G,6,0))</f>
        <v/>
      </c>
      <c r="S255" s="4">
        <v>1</v>
      </c>
      <c r="T255" s="4">
        <v>0</v>
      </c>
      <c r="U255" s="58" t="str">
        <f t="shared" si="71"/>
        <v/>
      </c>
      <c r="V255" s="58" t="str">
        <f t="shared" si="72"/>
        <v/>
      </c>
      <c r="W255" s="58" t="str">
        <f t="shared" si="73"/>
        <v/>
      </c>
      <c r="X255" s="154"/>
    </row>
    <row r="256" spans="1:24" ht="30" x14ac:dyDescent="0.25">
      <c r="A256" s="51">
        <v>219101</v>
      </c>
      <c r="B256" s="51">
        <f>VLOOKUP($A256,'Выгр Кат'!$A:$R,B$1,0)</f>
        <v>7191</v>
      </c>
      <c r="C256" s="56" t="str">
        <f>VLOOKUP($A256,'Выгр Кат'!$A:$R,C$1,0)</f>
        <v>Тахометр Multitronics DM11 для бензиновых и дизельных двигателей</v>
      </c>
      <c r="D256" s="51" t="str">
        <f>VLOOKUP($A256,'Выгр Кат'!$A:$R,D$1,0)</f>
        <v>Y</v>
      </c>
      <c r="E256" s="51" t="str">
        <f>VLOOKUP($A256,'Выгр Кат'!$A:$R,E$1,0)</f>
        <v>0</v>
      </c>
      <c r="F256" s="51">
        <f>VLOOKUP($A256,'Выгр Кат'!$A:$R,F$1,0)</f>
        <v>0</v>
      </c>
      <c r="G256" s="51" t="s">
        <v>476</v>
      </c>
      <c r="H256" s="77" t="s">
        <v>527</v>
      </c>
      <c r="I256" s="2">
        <f t="shared" si="77"/>
        <v>700</v>
      </c>
      <c r="J256" s="78">
        <f>VLOOKUP(I256,Наценка!$A$2:$B$9,2,1)</f>
        <v>1.6</v>
      </c>
      <c r="K256" s="79">
        <f t="shared" si="69"/>
        <v>1120</v>
      </c>
      <c r="L256" s="80">
        <f t="shared" si="68"/>
        <v>1190</v>
      </c>
      <c r="M256" s="51">
        <f>VLOOKUP($A256,'Выгр Кат'!$A:$R,M$1,0)</f>
        <v>700</v>
      </c>
      <c r="N256" s="51">
        <f>VLOOKUP($A256,'Выгр Кат'!$A:$R,N$1,0)</f>
        <v>1190</v>
      </c>
      <c r="O256" s="25">
        <f t="shared" si="86"/>
        <v>0</v>
      </c>
      <c r="P256" s="25">
        <f t="shared" si="87"/>
        <v>0</v>
      </c>
      <c r="Q256" s="1">
        <f t="shared" si="70"/>
        <v>1106.6999999999998</v>
      </c>
      <c r="R256" s="5" t="str">
        <f>IFERROR((VLOOKUP($A256,'Из ГУГЛа'!$B:$G,6,0)+T256)*S256,VLOOKUP($A256,'Из ГУГЛа'!$B:$G,6,0))</f>
        <v/>
      </c>
      <c r="S256" s="4">
        <v>1</v>
      </c>
      <c r="T256" s="4">
        <v>0</v>
      </c>
      <c r="U256" s="58">
        <f t="shared" si="71"/>
        <v>0.58099999999999974</v>
      </c>
      <c r="V256" s="58" t="str">
        <f t="shared" si="72"/>
        <v/>
      </c>
      <c r="W256" s="58" t="str">
        <f t="shared" si="73"/>
        <v/>
      </c>
      <c r="X256" s="154"/>
    </row>
    <row r="257" spans="1:24" ht="30" x14ac:dyDescent="0.25">
      <c r="A257" s="51">
        <v>201821</v>
      </c>
      <c r="B257" s="51">
        <f>VLOOKUP($A257,'Выгр Кат'!$A:$R,B$1,0)</f>
        <v>7194</v>
      </c>
      <c r="C257" s="56" t="str">
        <f>VLOOKUP($A257,'Выгр Кат'!$A:$R,C$1,0)</f>
        <v>Процессор автомобильный Multitronics DD5 для карбюраторных двигателей</v>
      </c>
      <c r="D257" s="51" t="str">
        <f>VLOOKUP($A257,'Выгр Кат'!$A:$R,D$1,0)</f>
        <v>Y</v>
      </c>
      <c r="E257" s="51" t="str">
        <f>VLOOKUP($A257,'Выгр Кат'!$A:$R,E$1,0)</f>
        <v>0</v>
      </c>
      <c r="F257" s="51">
        <f>VLOOKUP($A257,'Выгр Кат'!$A:$R,F$1,0)</f>
        <v>0</v>
      </c>
      <c r="G257" s="51"/>
      <c r="H257" s="77" t="s">
        <v>527</v>
      </c>
      <c r="I257" s="2">
        <f t="shared" si="77"/>
        <v>0</v>
      </c>
      <c r="J257" s="78" t="e">
        <f>VLOOKUP(I257,Наценка!$A$2:$B$9,2,1)</f>
        <v>#N/A</v>
      </c>
      <c r="K257" s="2">
        <f t="shared" ref="K257:K258" si="90">N257</f>
        <v>869</v>
      </c>
      <c r="L257" s="80">
        <f t="shared" si="68"/>
        <v>869</v>
      </c>
      <c r="M257" s="51">
        <f>VLOOKUP($A257,'Выгр Кат'!$A:$R,M$1,0)</f>
        <v>0</v>
      </c>
      <c r="N257" s="51">
        <f>VLOOKUP($A257,'Выгр Кат'!$A:$R,N$1,0)</f>
        <v>869</v>
      </c>
      <c r="O257" s="25">
        <f t="shared" si="86"/>
        <v>0</v>
      </c>
      <c r="P257" s="25">
        <f t="shared" si="87"/>
        <v>0</v>
      </c>
      <c r="Q257" s="1">
        <f t="shared" si="70"/>
        <v>808.17</v>
      </c>
      <c r="R257" s="5" t="str">
        <f>IFERROR((VLOOKUP($A257,'Из ГУГЛа'!$B:$G,6,0)+T257)*S257,VLOOKUP($A257,'Из ГУГЛа'!$B:$G,6,0))</f>
        <v/>
      </c>
      <c r="S257" s="4">
        <v>1</v>
      </c>
      <c r="T257" s="4">
        <v>0</v>
      </c>
      <c r="U257" s="58" t="str">
        <f t="shared" si="71"/>
        <v/>
      </c>
      <c r="V257" s="58" t="str">
        <f t="shared" si="72"/>
        <v/>
      </c>
      <c r="W257" s="58" t="str">
        <f t="shared" si="73"/>
        <v/>
      </c>
      <c r="X257" s="154"/>
    </row>
    <row r="258" spans="1:24" ht="30" x14ac:dyDescent="0.25">
      <c r="A258" s="51">
        <v>153074</v>
      </c>
      <c r="B258" s="51">
        <f>VLOOKUP($A258,'Выгр Кат'!$A:$R,B$1,0)</f>
        <v>7213</v>
      </c>
      <c r="C258" s="56" t="str">
        <f>VLOOKUP($A258,'Выгр Кат'!$A:$R,C$1,0)</f>
        <v>Имитатор сигнализации от прикуривателя на Lada</v>
      </c>
      <c r="D258" s="51" t="str">
        <f>VLOOKUP($A258,'Выгр Кат'!$A:$R,D$1,0)</f>
        <v>Y</v>
      </c>
      <c r="E258" s="51" t="str">
        <f>VLOOKUP($A258,'Выгр Кат'!$A:$R,E$1,0)</f>
        <v>0</v>
      </c>
      <c r="F258" s="51">
        <f>VLOOKUP($A258,'Выгр Кат'!$A:$R,F$1,0)</f>
        <v>0</v>
      </c>
      <c r="G258" s="51"/>
      <c r="H258" s="77" t="s">
        <v>527</v>
      </c>
      <c r="I258" s="2">
        <f t="shared" si="77"/>
        <v>0</v>
      </c>
      <c r="J258" s="78" t="e">
        <f>VLOOKUP(I258,Наценка!$A$2:$B$9,2,1)</f>
        <v>#N/A</v>
      </c>
      <c r="K258" s="2">
        <f t="shared" si="90"/>
        <v>0</v>
      </c>
      <c r="L258" s="69">
        <f>N258</f>
        <v>0</v>
      </c>
      <c r="M258" s="51">
        <f>VLOOKUP($A258,'Выгр Кат'!$A:$R,M$1,0)</f>
        <v>0</v>
      </c>
      <c r="N258" s="51">
        <f>VLOOKUP($A258,'Выгр Кат'!$A:$R,N$1,0)</f>
        <v>0</v>
      </c>
      <c r="O258" s="25">
        <f t="shared" si="86"/>
        <v>0</v>
      </c>
      <c r="P258" s="25">
        <f t="shared" si="87"/>
        <v>0</v>
      </c>
      <c r="Q258" s="1">
        <f t="shared" si="70"/>
        <v>0</v>
      </c>
      <c r="R258" s="5" t="str">
        <f>IFERROR((VLOOKUP($A258,'Из ГУГЛа'!$B:$G,6,0)+T258)*S258,VLOOKUP($A258,'Из ГУГЛа'!$B:$G,6,0))</f>
        <v/>
      </c>
      <c r="S258" s="4">
        <v>1</v>
      </c>
      <c r="T258" s="4">
        <v>0</v>
      </c>
      <c r="U258" s="58" t="str">
        <f t="shared" si="71"/>
        <v/>
      </c>
      <c r="V258" s="58" t="str">
        <f t="shared" si="72"/>
        <v/>
      </c>
      <c r="W258" s="58" t="str">
        <f t="shared" si="73"/>
        <v/>
      </c>
      <c r="X258" s="154"/>
    </row>
    <row r="259" spans="1:24" x14ac:dyDescent="0.25">
      <c r="A259" s="51">
        <v>131565</v>
      </c>
      <c r="B259" s="51">
        <f>VLOOKUP($A259,'Выгр Кат'!$A:$R,B$1,0)</f>
        <v>7249</v>
      </c>
      <c r="C259" s="56" t="str">
        <f>VLOOKUP($A259,'Выгр Кат'!$A:$R,C$1,0)</f>
        <v>Адаптер ELM 327 mini Wi-Fi</v>
      </c>
      <c r="D259" s="51" t="str">
        <f>VLOOKUP($A259,'Выгр Кат'!$A:$R,D$1,0)</f>
        <v>Y</v>
      </c>
      <c r="E259" s="51" t="str">
        <f>VLOOKUP($A259,'Выгр Кат'!$A:$R,E$1,0)</f>
        <v>0</v>
      </c>
      <c r="F259" s="51">
        <f>VLOOKUP($A259,'Выгр Кат'!$A:$R,F$1,0)</f>
        <v>0</v>
      </c>
      <c r="G259" s="51"/>
      <c r="H259" s="77" t="s">
        <v>527</v>
      </c>
      <c r="I259" s="2">
        <f t="shared" si="77"/>
        <v>1580</v>
      </c>
      <c r="J259" s="78">
        <f>VLOOKUP(I259,Наценка!$A$2:$B$9,2,1)</f>
        <v>1.4</v>
      </c>
      <c r="K259" s="79">
        <f t="shared" ref="K259:K297" si="91">I259*J259</f>
        <v>2212</v>
      </c>
      <c r="L259" s="80">
        <f t="shared" ref="L259:L299" si="92">IF(K259&lt;=1000,(ROUNDUP(K259,-1)-1),(ROUNDUP(K259,-2)-10))</f>
        <v>2290</v>
      </c>
      <c r="M259" s="51">
        <f>VLOOKUP($A259,'Выгр Кат'!$A:$R,M$1,0)</f>
        <v>1580</v>
      </c>
      <c r="N259" s="51">
        <f>VLOOKUP($A259,'Выгр Кат'!$A:$R,N$1,0)</f>
        <v>2290</v>
      </c>
      <c r="O259" s="25">
        <f t="shared" si="86"/>
        <v>0</v>
      </c>
      <c r="P259" s="25">
        <f t="shared" si="87"/>
        <v>0</v>
      </c>
      <c r="Q259" s="1">
        <f t="shared" ref="Q259:Q299" si="93">IFERROR(L259*(1-$Q$2),"")</f>
        <v>2129.6999999999998</v>
      </c>
      <c r="R259" s="5" t="str">
        <f>IFERROR((VLOOKUP($A259,'Из ГУГЛа'!$B:$G,6,0)+T259)*S259,VLOOKUP($A259,'Из ГУГЛа'!$B:$G,6,0))</f>
        <v/>
      </c>
      <c r="S259" s="4">
        <v>1</v>
      </c>
      <c r="T259" s="4">
        <v>0</v>
      </c>
      <c r="U259" s="58">
        <f t="shared" ref="U259:U299" si="94">IFERROR(Q259/I259-1,"")</f>
        <v>0.34791139240506319</v>
      </c>
      <c r="V259" s="58" t="str">
        <f t="shared" ref="V259:V299" si="95">IFERROR((X259-Q259)/X259,"")</f>
        <v/>
      </c>
      <c r="W259" s="58" t="str">
        <f t="shared" ref="W259:W299" si="96">IFERROR(IF(X259="","",X259/I259-1),"")</f>
        <v/>
      </c>
      <c r="X259" s="154"/>
    </row>
    <row r="260" spans="1:24" x14ac:dyDescent="0.25">
      <c r="A260" s="51">
        <v>131586</v>
      </c>
      <c r="B260" s="51">
        <f>VLOOKUP($A260,'Выгр Кат'!$A:$R,B$1,0)</f>
        <v>7250</v>
      </c>
      <c r="C260" s="56" t="str">
        <f>VLOOKUP($A260,'Выгр Кат'!$A:$R,C$1,0)</f>
        <v>Адаптер К-линии S7000-I</v>
      </c>
      <c r="D260" s="51" t="str">
        <f>VLOOKUP($A260,'Выгр Кат'!$A:$R,D$1,0)</f>
        <v>Y</v>
      </c>
      <c r="E260" s="51" t="str">
        <f>VLOOKUP($A260,'Выгр Кат'!$A:$R,E$1,0)</f>
        <v>0</v>
      </c>
      <c r="F260" s="51">
        <f>VLOOKUP($A260,'Выгр Кат'!$A:$R,F$1,0)</f>
        <v>0</v>
      </c>
      <c r="G260" s="51"/>
      <c r="H260" s="77" t="s">
        <v>527</v>
      </c>
      <c r="I260" s="2">
        <f t="shared" si="77"/>
        <v>0</v>
      </c>
      <c r="J260" s="78" t="e">
        <f>VLOOKUP(I260,Наценка!$A$2:$B$9,2,1)</f>
        <v>#N/A</v>
      </c>
      <c r="K260" s="2">
        <f t="shared" ref="K260:K261" si="97">N260</f>
        <v>2390</v>
      </c>
      <c r="L260" s="80">
        <f t="shared" si="92"/>
        <v>2390</v>
      </c>
      <c r="M260" s="51">
        <f>VLOOKUP($A260,'Выгр Кат'!$A:$R,M$1,0)</f>
        <v>0</v>
      </c>
      <c r="N260" s="51">
        <f>VLOOKUP($A260,'Выгр Кат'!$A:$R,N$1,0)</f>
        <v>2390</v>
      </c>
      <c r="O260" s="25">
        <f t="shared" si="86"/>
        <v>0</v>
      </c>
      <c r="P260" s="25">
        <f t="shared" si="87"/>
        <v>0</v>
      </c>
      <c r="Q260" s="1">
        <f t="shared" si="93"/>
        <v>2222.6999999999998</v>
      </c>
      <c r="R260" s="5" t="str">
        <f>IFERROR((VLOOKUP($A260,'Из ГУГЛа'!$B:$G,6,0)+T260)*S260,VLOOKUP($A260,'Из ГУГЛа'!$B:$G,6,0))</f>
        <v/>
      </c>
      <c r="S260" s="4">
        <v>1</v>
      </c>
      <c r="T260" s="4">
        <v>0</v>
      </c>
      <c r="U260" s="58" t="str">
        <f t="shared" si="94"/>
        <v/>
      </c>
      <c r="V260" s="58" t="str">
        <f t="shared" si="95"/>
        <v/>
      </c>
      <c r="W260" s="58" t="str">
        <f t="shared" si="96"/>
        <v/>
      </c>
      <c r="X260" s="154"/>
    </row>
    <row r="261" spans="1:24" ht="30" x14ac:dyDescent="0.25">
      <c r="A261" s="51">
        <v>131568</v>
      </c>
      <c r="B261" s="51">
        <f>VLOOKUP($A261,'Выгр Кат'!$A:$R,B$1,0)</f>
        <v>7261</v>
      </c>
      <c r="C261" s="56" t="str">
        <f>VLOOKUP($A261,'Выгр Кат'!$A:$R,C$1,0)</f>
        <v>Адаптер PIC-ПО5 для программатора ПО-5 для Daewoo Nexia</v>
      </c>
      <c r="D261" s="51" t="str">
        <f>VLOOKUP($A261,'Выгр Кат'!$A:$R,D$1,0)</f>
        <v>Y</v>
      </c>
      <c r="E261" s="51" t="str">
        <f>VLOOKUP($A261,'Выгр Кат'!$A:$R,E$1,0)</f>
        <v>0</v>
      </c>
      <c r="F261" s="51">
        <f>VLOOKUP($A261,'Выгр Кат'!$A:$R,F$1,0)</f>
        <v>0</v>
      </c>
      <c r="G261" s="51"/>
      <c r="H261" s="77" t="s">
        <v>527</v>
      </c>
      <c r="I261" s="2">
        <f t="shared" si="77"/>
        <v>0</v>
      </c>
      <c r="J261" s="78" t="e">
        <f>VLOOKUP(I261,Наценка!$A$2:$B$9,2,1)</f>
        <v>#N/A</v>
      </c>
      <c r="K261" s="2">
        <f t="shared" si="97"/>
        <v>2290</v>
      </c>
      <c r="L261" s="80">
        <f t="shared" si="92"/>
        <v>2290</v>
      </c>
      <c r="M261" s="51">
        <f>VLOOKUP($A261,'Выгр Кат'!$A:$R,M$1,0)</f>
        <v>0</v>
      </c>
      <c r="N261" s="51">
        <f>VLOOKUP($A261,'Выгр Кат'!$A:$R,N$1,0)</f>
        <v>2290</v>
      </c>
      <c r="O261" s="25">
        <f t="shared" si="86"/>
        <v>0</v>
      </c>
      <c r="P261" s="25">
        <f t="shared" si="87"/>
        <v>0</v>
      </c>
      <c r="Q261" s="1">
        <f t="shared" si="93"/>
        <v>2129.6999999999998</v>
      </c>
      <c r="R261" s="5" t="str">
        <f>IFERROR((VLOOKUP($A261,'Из ГУГЛа'!$B:$G,6,0)+T261)*S261,VLOOKUP($A261,'Из ГУГЛа'!$B:$G,6,0))</f>
        <v/>
      </c>
      <c r="S261" s="4">
        <v>1</v>
      </c>
      <c r="T261" s="4">
        <v>0</v>
      </c>
      <c r="U261" s="58" t="str">
        <f t="shared" si="94"/>
        <v/>
      </c>
      <c r="V261" s="58" t="str">
        <f t="shared" si="95"/>
        <v/>
      </c>
      <c r="W261" s="58" t="str">
        <f t="shared" si="96"/>
        <v/>
      </c>
      <c r="X261" s="154"/>
    </row>
    <row r="262" spans="1:24" ht="30" x14ac:dyDescent="0.25">
      <c r="A262" s="51">
        <v>201300</v>
      </c>
      <c r="B262" s="51">
        <f>VLOOKUP($A262,'Выгр Кат'!$A:$R,B$1,0)</f>
        <v>7263</v>
      </c>
      <c r="C262" s="56" t="str">
        <f>VLOOKUP($A262,'Выгр Кат'!$A:$R,C$1,0)</f>
        <v>Программа для диагностики Сканматик-2 Bluetooth</v>
      </c>
      <c r="D262" s="51" t="str">
        <f>VLOOKUP($A262,'Выгр Кат'!$A:$R,D$1,0)</f>
        <v>Y</v>
      </c>
      <c r="E262" s="51" t="str">
        <f>VLOOKUP($A262,'Выгр Кат'!$A:$R,E$1,0)</f>
        <v>0</v>
      </c>
      <c r="F262" s="51">
        <f>VLOOKUP($A262,'Выгр Кат'!$A:$R,F$1,0)</f>
        <v>0</v>
      </c>
      <c r="G262" s="51"/>
      <c r="H262" s="77" t="s">
        <v>527</v>
      </c>
      <c r="I262" s="2">
        <f t="shared" si="77"/>
        <v>21349</v>
      </c>
      <c r="J262" s="78">
        <f>VLOOKUP(I262,Наценка!$A$2:$B$9,2,1)</f>
        <v>1.3</v>
      </c>
      <c r="K262" s="79">
        <f t="shared" si="91"/>
        <v>27753.7</v>
      </c>
      <c r="L262" s="80">
        <f t="shared" si="92"/>
        <v>27790</v>
      </c>
      <c r="M262" s="51">
        <f>VLOOKUP($A262,'Выгр Кат'!$A:$R,M$1,0)</f>
        <v>21349</v>
      </c>
      <c r="N262" s="51">
        <f>VLOOKUP($A262,'Выгр Кат'!$A:$R,N$1,0)</f>
        <v>27790</v>
      </c>
      <c r="O262" s="25">
        <f t="shared" si="86"/>
        <v>0</v>
      </c>
      <c r="P262" s="25">
        <f t="shared" si="87"/>
        <v>0</v>
      </c>
      <c r="Q262" s="1">
        <f t="shared" si="93"/>
        <v>25844.699999999997</v>
      </c>
      <c r="R262" s="5" t="str">
        <f>IFERROR((VLOOKUP($A262,'Из ГУГЛа'!$B:$G,6,0)+T262)*S262,VLOOKUP($A262,'Из ГУГЛа'!$B:$G,6,0))</f>
        <v/>
      </c>
      <c r="S262" s="4">
        <v>1</v>
      </c>
      <c r="T262" s="4">
        <v>0</v>
      </c>
      <c r="U262" s="58">
        <f t="shared" si="94"/>
        <v>0.21058129186378749</v>
      </c>
      <c r="V262" s="58" t="str">
        <f t="shared" si="95"/>
        <v/>
      </c>
      <c r="W262" s="58" t="str">
        <f t="shared" si="96"/>
        <v/>
      </c>
      <c r="X262" s="154"/>
    </row>
    <row r="263" spans="1:24" ht="30" x14ac:dyDescent="0.25">
      <c r="A263" s="51">
        <v>131500</v>
      </c>
      <c r="B263" s="51">
        <f>VLOOKUP($A263,'Выгр Кат'!$A:$R,B$1,0)</f>
        <v>7267</v>
      </c>
      <c r="C263" s="56" t="str">
        <f>VLOOKUP($A263,'Выгр Кат'!$A:$R,C$1,0)</f>
        <v>Автомобильный диагностический сканер-тестер ДСТ-14Т/НК</v>
      </c>
      <c r="D263" s="51" t="str">
        <f>VLOOKUP($A263,'Выгр Кат'!$A:$R,D$1,0)</f>
        <v>Y</v>
      </c>
      <c r="E263" s="51" t="str">
        <f>VLOOKUP($A263,'Выгр Кат'!$A:$R,E$1,0)</f>
        <v>0</v>
      </c>
      <c r="F263" s="51">
        <f>VLOOKUP($A263,'Выгр Кат'!$A:$R,F$1,0)</f>
        <v>0</v>
      </c>
      <c r="G263" s="51"/>
      <c r="H263" s="77" t="s">
        <v>527</v>
      </c>
      <c r="I263" s="2">
        <f t="shared" si="77"/>
        <v>79090</v>
      </c>
      <c r="J263" s="78">
        <f>VLOOKUP(I263,Наценка!$A$2:$B$9,2,1)</f>
        <v>1.3</v>
      </c>
      <c r="K263" s="79">
        <f t="shared" si="91"/>
        <v>102817</v>
      </c>
      <c r="L263" s="80">
        <f t="shared" si="92"/>
        <v>102890</v>
      </c>
      <c r="M263" s="51">
        <f>VLOOKUP($A263,'Выгр Кат'!$A:$R,M$1,0)</f>
        <v>79090</v>
      </c>
      <c r="N263" s="51">
        <f>VLOOKUP($A263,'Выгр Кат'!$A:$R,N$1,0)</f>
        <v>102890</v>
      </c>
      <c r="O263" s="25">
        <f t="shared" si="86"/>
        <v>0</v>
      </c>
      <c r="P263" s="25">
        <f t="shared" si="87"/>
        <v>0</v>
      </c>
      <c r="Q263" s="1">
        <f t="shared" si="93"/>
        <v>95687.7</v>
      </c>
      <c r="R263" s="5" t="str">
        <f>IFERROR((VLOOKUP($A263,'Из ГУГЛа'!$B:$G,6,0)+T263)*S263,VLOOKUP($A263,'Из ГУГЛа'!$B:$G,6,0))</f>
        <v/>
      </c>
      <c r="S263" s="4">
        <v>1</v>
      </c>
      <c r="T263" s="4">
        <v>0</v>
      </c>
      <c r="U263" s="58">
        <f t="shared" si="94"/>
        <v>0.20985838917688704</v>
      </c>
      <c r="V263" s="58" t="str">
        <f t="shared" si="95"/>
        <v/>
      </c>
      <c r="W263" s="58" t="str">
        <f t="shared" si="96"/>
        <v/>
      </c>
      <c r="X263" s="154"/>
    </row>
    <row r="264" spans="1:24" x14ac:dyDescent="0.25">
      <c r="A264" s="51">
        <v>131457</v>
      </c>
      <c r="B264" s="51">
        <f>VLOOKUP($A264,'Выгр Кат'!$A:$R,B$1,0)</f>
        <v>11071</v>
      </c>
      <c r="C264" s="56" t="str">
        <f>VLOOKUP($A264,'Выгр Кат'!$A:$R,C$1,0)</f>
        <v>Автомобильная сигнализация ШТАТ Х-31</v>
      </c>
      <c r="D264" s="51" t="str">
        <f>VLOOKUP($A264,'Выгр Кат'!$A:$R,D$1,0)</f>
        <v>Y</v>
      </c>
      <c r="E264" s="51" t="str">
        <f>VLOOKUP($A264,'Выгр Кат'!$A:$R,E$1,0)</f>
        <v>0</v>
      </c>
      <c r="F264" s="51">
        <f>VLOOKUP($A264,'Выгр Кат'!$A:$R,F$1,0)</f>
        <v>0</v>
      </c>
      <c r="G264" s="51"/>
      <c r="H264" s="77" t="s">
        <v>527</v>
      </c>
      <c r="I264" s="2">
        <f t="shared" si="77"/>
        <v>5250</v>
      </c>
      <c r="J264" s="78">
        <f>VLOOKUP(I264,Наценка!$A$2:$B$9,2,1)</f>
        <v>1.32</v>
      </c>
      <c r="K264" s="79">
        <f t="shared" si="91"/>
        <v>6930</v>
      </c>
      <c r="L264" s="80">
        <f t="shared" si="92"/>
        <v>6990</v>
      </c>
      <c r="M264" s="51">
        <f>VLOOKUP($A264,'Выгр Кат'!$A:$R,M$1,0)</f>
        <v>5250</v>
      </c>
      <c r="N264" s="51">
        <f>VLOOKUP($A264,'Выгр Кат'!$A:$R,N$1,0)</f>
        <v>6990</v>
      </c>
      <c r="O264" s="25">
        <f t="shared" si="86"/>
        <v>0</v>
      </c>
      <c r="P264" s="25">
        <f t="shared" si="87"/>
        <v>0</v>
      </c>
      <c r="Q264" s="1">
        <f t="shared" si="93"/>
        <v>6500.7</v>
      </c>
      <c r="R264" s="5" t="str">
        <f>IFERROR((VLOOKUP($A264,'Из ГУГЛа'!$B:$G,6,0)+T264)*S264,VLOOKUP($A264,'Из ГУГЛа'!$B:$G,6,0))</f>
        <v/>
      </c>
      <c r="S264" s="4">
        <v>1</v>
      </c>
      <c r="T264" s="4">
        <v>0</v>
      </c>
      <c r="U264" s="58">
        <f t="shared" si="94"/>
        <v>0.23822857142857146</v>
      </c>
      <c r="V264" s="58" t="str">
        <f t="shared" si="95"/>
        <v/>
      </c>
      <c r="W264" s="58" t="str">
        <f t="shared" si="96"/>
        <v/>
      </c>
      <c r="X264" s="154"/>
    </row>
    <row r="265" spans="1:24" x14ac:dyDescent="0.25">
      <c r="A265" s="51">
        <v>214013</v>
      </c>
      <c r="B265" s="51">
        <f>VLOOKUP($A265,'Выгр Кат'!$A:$R,B$1,0)</f>
        <v>13096</v>
      </c>
      <c r="C265" s="56" t="str">
        <f>VLOOKUP($A265,'Выгр Кат'!$A:$R,C$1,0)</f>
        <v>Система управления светом Автосвет-3</v>
      </c>
      <c r="D265" s="51" t="str">
        <f>VLOOKUP($A265,'Выгр Кат'!$A:$R,D$1,0)</f>
        <v>Y</v>
      </c>
      <c r="E265" s="51" t="str">
        <f>VLOOKUP($A265,'Выгр Кат'!$A:$R,E$1,0)</f>
        <v>0</v>
      </c>
      <c r="F265" s="51">
        <f>VLOOKUP($A265,'Выгр Кат'!$A:$R,F$1,0)</f>
        <v>0</v>
      </c>
      <c r="G265" s="51"/>
      <c r="H265" s="77" t="s">
        <v>527</v>
      </c>
      <c r="I265" s="2">
        <f t="shared" si="77"/>
        <v>330</v>
      </c>
      <c r="J265" s="78">
        <f>VLOOKUP(I265,Наценка!$A$2:$B$9,2,1)</f>
        <v>1.6</v>
      </c>
      <c r="K265" s="79">
        <f t="shared" si="91"/>
        <v>528</v>
      </c>
      <c r="L265" s="80">
        <f t="shared" si="92"/>
        <v>529</v>
      </c>
      <c r="M265" s="51">
        <f>VLOOKUP($A265,'Выгр Кат'!$A:$R,M$1,0)</f>
        <v>330</v>
      </c>
      <c r="N265" s="51">
        <f>VLOOKUP($A265,'Выгр Кат'!$A:$R,N$1,0)</f>
        <v>529</v>
      </c>
      <c r="O265" s="25">
        <f t="shared" si="86"/>
        <v>0</v>
      </c>
      <c r="P265" s="25">
        <f t="shared" si="87"/>
        <v>0</v>
      </c>
      <c r="Q265" s="1">
        <f t="shared" si="93"/>
        <v>491.96999999999997</v>
      </c>
      <c r="R265" s="5" t="str">
        <f>IFERROR((VLOOKUP($A265,'Из ГУГЛа'!$B:$G,6,0)+T265)*S265,VLOOKUP($A265,'Из ГУГЛа'!$B:$G,6,0))</f>
        <v/>
      </c>
      <c r="S265" s="4">
        <v>1</v>
      </c>
      <c r="T265" s="4">
        <v>0</v>
      </c>
      <c r="U265" s="58">
        <f t="shared" si="94"/>
        <v>0.49081818181818182</v>
      </c>
      <c r="V265" s="58" t="str">
        <f t="shared" si="95"/>
        <v/>
      </c>
      <c r="W265" s="58" t="str">
        <f t="shared" si="96"/>
        <v/>
      </c>
      <c r="X265" s="154"/>
    </row>
    <row r="266" spans="1:24" ht="30" x14ac:dyDescent="0.25">
      <c r="A266" s="51">
        <v>160133</v>
      </c>
      <c r="B266" s="51">
        <f>VLOOKUP($A266,'Выгр Кат'!$A:$R,B$1,0)</f>
        <v>13097</v>
      </c>
      <c r="C266" s="56" t="str">
        <f>VLOOKUP($A266,'Выгр Кат'!$A:$R,C$1,0)</f>
        <v>Контролер плавного автоматического включения света универсальный</v>
      </c>
      <c r="D266" s="51" t="str">
        <f>VLOOKUP($A266,'Выгр Кат'!$A:$R,D$1,0)</f>
        <v>Y</v>
      </c>
      <c r="E266" s="51" t="str">
        <f>VLOOKUP($A266,'Выгр Кат'!$A:$R,E$1,0)</f>
        <v>0</v>
      </c>
      <c r="F266" s="51">
        <f>VLOOKUP($A266,'Выгр Кат'!$A:$R,F$1,0)</f>
        <v>0</v>
      </c>
      <c r="G266" s="51"/>
      <c r="H266" s="77" t="s">
        <v>527</v>
      </c>
      <c r="I266" s="2">
        <f t="shared" si="77"/>
        <v>0</v>
      </c>
      <c r="J266" s="78" t="e">
        <f>VLOOKUP(I266,Наценка!$A$2:$B$9,2,1)</f>
        <v>#N/A</v>
      </c>
      <c r="K266" s="2">
        <f>N266</f>
        <v>1290</v>
      </c>
      <c r="L266" s="80">
        <f t="shared" si="92"/>
        <v>1290</v>
      </c>
      <c r="M266" s="51">
        <f>VLOOKUP($A266,'Выгр Кат'!$A:$R,M$1,0)</f>
        <v>0</v>
      </c>
      <c r="N266" s="51">
        <f>VLOOKUP($A266,'Выгр Кат'!$A:$R,N$1,0)</f>
        <v>1290</v>
      </c>
      <c r="O266" s="25">
        <f t="shared" si="86"/>
        <v>0</v>
      </c>
      <c r="P266" s="25">
        <f t="shared" si="87"/>
        <v>0</v>
      </c>
      <c r="Q266" s="1">
        <f t="shared" si="93"/>
        <v>1199.6999999999998</v>
      </c>
      <c r="R266" s="5" t="str">
        <f>IFERROR((VLOOKUP($A266,'Из ГУГЛа'!$B:$G,6,0)+T266)*S266,VLOOKUP($A266,'Из ГУГЛа'!$B:$G,6,0))</f>
        <v/>
      </c>
      <c r="S266" s="4">
        <v>1</v>
      </c>
      <c r="T266" s="4">
        <v>0</v>
      </c>
      <c r="U266" s="58" t="str">
        <f t="shared" si="94"/>
        <v/>
      </c>
      <c r="V266" s="58" t="str">
        <f t="shared" si="95"/>
        <v/>
      </c>
      <c r="W266" s="58" t="str">
        <f t="shared" si="96"/>
        <v/>
      </c>
      <c r="X266" s="154"/>
    </row>
    <row r="267" spans="1:24" ht="30" x14ac:dyDescent="0.25">
      <c r="A267" s="51">
        <v>117315</v>
      </c>
      <c r="B267" s="51">
        <f>VLOOKUP($A267,'Выгр Кат'!$A:$R,B$1,0)</f>
        <v>14092</v>
      </c>
      <c r="C267" s="56" t="str">
        <f>VLOOKUP($A267,'Выгр Кат'!$A:$R,C$1,0)</f>
        <v>USB-зарядное устройство на 2 слота в комбинацию приборов ВАЗ 2110-2112</v>
      </c>
      <c r="D267" s="51" t="str">
        <f>VLOOKUP($A267,'Выгр Кат'!$A:$R,D$1,0)</f>
        <v>Y</v>
      </c>
      <c r="E267" s="51" t="str">
        <f>VLOOKUP($A267,'Выгр Кат'!$A:$R,E$1,0)</f>
        <v>0</v>
      </c>
      <c r="F267" s="51">
        <f>VLOOKUP($A267,'Выгр Кат'!$A:$R,F$1,0)</f>
        <v>0</v>
      </c>
      <c r="G267" s="51"/>
      <c r="H267" s="77" t="s">
        <v>527</v>
      </c>
      <c r="I267" s="2">
        <f t="shared" si="77"/>
        <v>370</v>
      </c>
      <c r="J267" s="78">
        <f>VLOOKUP(I267,Наценка!$A$2:$B$9,2,1)</f>
        <v>1.6</v>
      </c>
      <c r="K267" s="79">
        <f t="shared" si="91"/>
        <v>592</v>
      </c>
      <c r="L267" s="80">
        <f t="shared" si="92"/>
        <v>599</v>
      </c>
      <c r="M267" s="51">
        <f>VLOOKUP($A267,'Выгр Кат'!$A:$R,M$1,0)</f>
        <v>370</v>
      </c>
      <c r="N267" s="51">
        <f>VLOOKUP($A267,'Выгр Кат'!$A:$R,N$1,0)</f>
        <v>599</v>
      </c>
      <c r="O267" s="25">
        <f t="shared" si="86"/>
        <v>0</v>
      </c>
      <c r="P267" s="25">
        <f t="shared" si="87"/>
        <v>0</v>
      </c>
      <c r="Q267" s="1">
        <f t="shared" si="93"/>
        <v>557.06999999999994</v>
      </c>
      <c r="R267" s="5" t="str">
        <f>IFERROR((VLOOKUP($A267,'Из ГУГЛа'!$B:$G,6,0)+T267)*S267,VLOOKUP($A267,'Из ГУГЛа'!$B:$G,6,0))</f>
        <v/>
      </c>
      <c r="S267" s="4">
        <v>1</v>
      </c>
      <c r="T267" s="4">
        <v>0</v>
      </c>
      <c r="U267" s="58">
        <f t="shared" si="94"/>
        <v>0.50559459459459433</v>
      </c>
      <c r="V267" s="58" t="str">
        <f t="shared" si="95"/>
        <v/>
      </c>
      <c r="W267" s="58" t="str">
        <f t="shared" si="96"/>
        <v/>
      </c>
      <c r="X267" s="154"/>
    </row>
    <row r="268" spans="1:24" ht="45" x14ac:dyDescent="0.25">
      <c r="A268" s="51">
        <v>193599</v>
      </c>
      <c r="B268" s="51">
        <f>VLOOKUP($A268,'Выгр Кат'!$A:$R,B$1,0)</f>
        <v>16827</v>
      </c>
      <c r="C268" s="56" t="str">
        <f>VLOOKUP($A268,'Выгр Кат'!$A:$R,C$1,0)</f>
        <v>Переходник mini ISO 6 pin зеленого цвета с CAN шиной на штатные ММС для Лада Гранта, Веста, Калина 2, Приора 2, Datsun</v>
      </c>
      <c r="D268" s="51" t="str">
        <f>VLOOKUP($A268,'Выгр Кат'!$A:$R,D$1,0)</f>
        <v>Y</v>
      </c>
      <c r="E268" s="51" t="str">
        <f>VLOOKUP($A268,'Выгр Кат'!$A:$R,E$1,0)</f>
        <v>0</v>
      </c>
      <c r="F268" s="51">
        <f>VLOOKUP($A268,'Выгр Кат'!$A:$R,F$1,0)</f>
        <v>0</v>
      </c>
      <c r="G268" s="51"/>
      <c r="H268" s="77" t="s">
        <v>527</v>
      </c>
      <c r="I268" s="2">
        <f t="shared" si="77"/>
        <v>0</v>
      </c>
      <c r="J268" s="78" t="e">
        <f>VLOOKUP(I268,Наценка!$A$2:$B$9,2,1)</f>
        <v>#N/A</v>
      </c>
      <c r="K268" s="2">
        <f>N268</f>
        <v>939</v>
      </c>
      <c r="L268" s="80">
        <f t="shared" si="92"/>
        <v>939</v>
      </c>
      <c r="M268" s="51">
        <f>VLOOKUP($A268,'Выгр Кат'!$A:$R,M$1,0)</f>
        <v>0</v>
      </c>
      <c r="N268" s="51">
        <f>VLOOKUP($A268,'Выгр Кат'!$A:$R,N$1,0)</f>
        <v>939</v>
      </c>
      <c r="O268" s="25">
        <f t="shared" si="86"/>
        <v>0</v>
      </c>
      <c r="P268" s="25">
        <f t="shared" si="87"/>
        <v>0</v>
      </c>
      <c r="Q268" s="1">
        <f t="shared" si="93"/>
        <v>873.27</v>
      </c>
      <c r="R268" s="5" t="str">
        <f>IFERROR((VLOOKUP($A268,'Из ГУГЛа'!$B:$G,6,0)+T268)*S268,VLOOKUP($A268,'Из ГУГЛа'!$B:$G,6,0))</f>
        <v/>
      </c>
      <c r="S268" s="4">
        <v>1</v>
      </c>
      <c r="T268" s="4">
        <v>0</v>
      </c>
      <c r="U268" s="58" t="str">
        <f t="shared" si="94"/>
        <v/>
      </c>
      <c r="V268" s="58" t="str">
        <f t="shared" si="95"/>
        <v/>
      </c>
      <c r="W268" s="58" t="str">
        <f t="shared" si="96"/>
        <v/>
      </c>
      <c r="X268" s="154"/>
    </row>
    <row r="269" spans="1:24" ht="45" x14ac:dyDescent="0.25">
      <c r="A269" s="51">
        <v>131526</v>
      </c>
      <c r="B269" s="51">
        <f>VLOOKUP($A269,'Выгр Кат'!$A:$R,B$1,0)</f>
        <v>24498</v>
      </c>
      <c r="C269" s="56" t="str">
        <f>VLOOKUP($A269,'Выгр Кат'!$A:$R,C$1,0)</f>
        <v>Автосигнализация "Штат" Х21ВТ для Лада (Калина, Веста, XRAY), MB C250, Nissan Qashqai (2012 г. в.), Mazda CX5 (2014 г. в.)</v>
      </c>
      <c r="D269" s="51" t="str">
        <f>VLOOKUP($A269,'Выгр Кат'!$A:$R,D$1,0)</f>
        <v>Y</v>
      </c>
      <c r="E269" s="51" t="str">
        <f>VLOOKUP($A269,'Выгр Кат'!$A:$R,E$1,0)</f>
        <v>0</v>
      </c>
      <c r="F269" s="51">
        <f>VLOOKUP($A269,'Выгр Кат'!$A:$R,F$1,0)</f>
        <v>0</v>
      </c>
      <c r="G269" s="51"/>
      <c r="H269" s="77" t="s">
        <v>527</v>
      </c>
      <c r="I269" s="2">
        <f t="shared" si="77"/>
        <v>2700</v>
      </c>
      <c r="J269" s="82">
        <f>VLOOKUP(I269,Наценка!$A$2:$B$9,2,1)</f>
        <v>1.29</v>
      </c>
      <c r="K269" s="79">
        <f t="shared" si="91"/>
        <v>3483</v>
      </c>
      <c r="L269" s="80">
        <f t="shared" si="92"/>
        <v>3490</v>
      </c>
      <c r="M269" s="51">
        <f>VLOOKUP($A269,'Выгр Кат'!$A:$R,M$1,0)</f>
        <v>2700</v>
      </c>
      <c r="N269" s="51">
        <f>VLOOKUP($A269,'Выгр Кат'!$A:$R,N$1,0)</f>
        <v>3490</v>
      </c>
      <c r="O269" s="25">
        <f t="shared" si="86"/>
        <v>0</v>
      </c>
      <c r="P269" s="25">
        <f t="shared" si="87"/>
        <v>0</v>
      </c>
      <c r="Q269" s="1">
        <f t="shared" si="93"/>
        <v>3245.7</v>
      </c>
      <c r="R269" s="5" t="str">
        <f>IFERROR((VLOOKUP($A269,'Из ГУГЛа'!$B:$G,6,0)+T269)*S269,VLOOKUP($A269,'Из ГУГЛа'!$B:$G,6,0))</f>
        <v/>
      </c>
      <c r="S269" s="4">
        <v>1</v>
      </c>
      <c r="T269" s="4">
        <v>0</v>
      </c>
      <c r="U269" s="58">
        <f t="shared" si="94"/>
        <v>0.20211111111111113</v>
      </c>
      <c r="V269" s="58" t="str">
        <f t="shared" si="95"/>
        <v/>
      </c>
      <c r="W269" s="58" t="str">
        <f t="shared" si="96"/>
        <v/>
      </c>
      <c r="X269" s="154"/>
    </row>
    <row r="270" spans="1:24" ht="30" x14ac:dyDescent="0.25">
      <c r="A270" s="51">
        <v>117310</v>
      </c>
      <c r="B270" s="51">
        <f>VLOOKUP($A270,'Выгр Кат'!$A:$R,B$1,0)</f>
        <v>24502</v>
      </c>
      <c r="C270" s="56" t="str">
        <f>VLOOKUP($A270,'Выгр Кат'!$A:$R,C$1,0)</f>
        <v>USB-зарядное устройство "АПЭЛ" (2 слота) для ГАЗ Валдай</v>
      </c>
      <c r="D270" s="51" t="str">
        <f>VLOOKUP($A270,'Выгр Кат'!$A:$R,D$1,0)</f>
        <v>N</v>
      </c>
      <c r="E270" s="51" t="str">
        <f>VLOOKUP($A270,'Выгр Кат'!$A:$R,E$1,0)</f>
        <v>0</v>
      </c>
      <c r="F270" s="51">
        <f>VLOOKUP($A270,'Выгр Кат'!$A:$R,F$1,0)</f>
        <v>0</v>
      </c>
      <c r="G270" s="51"/>
      <c r="H270" s="77" t="s">
        <v>527</v>
      </c>
      <c r="I270" s="2">
        <f t="shared" si="77"/>
        <v>370</v>
      </c>
      <c r="J270" s="78">
        <f>VLOOKUP(I270,Наценка!$A$2:$B$9,2,1)</f>
        <v>1.6</v>
      </c>
      <c r="K270" s="79">
        <f t="shared" si="91"/>
        <v>592</v>
      </c>
      <c r="L270" s="80">
        <f t="shared" si="92"/>
        <v>599</v>
      </c>
      <c r="M270" s="51">
        <f>VLOOKUP($A270,'Выгр Кат'!$A:$R,M$1,0)</f>
        <v>370</v>
      </c>
      <c r="N270" s="51">
        <f>VLOOKUP($A270,'Выгр Кат'!$A:$R,N$1,0)</f>
        <v>599</v>
      </c>
      <c r="O270" s="25">
        <f t="shared" si="86"/>
        <v>0</v>
      </c>
      <c r="P270" s="25">
        <f t="shared" si="87"/>
        <v>0</v>
      </c>
      <c r="Q270" s="1">
        <f t="shared" si="93"/>
        <v>557.06999999999994</v>
      </c>
      <c r="R270" s="5" t="str">
        <f>IFERROR((VLOOKUP($A270,'Из ГУГЛа'!$B:$G,6,0)+T270)*S270,VLOOKUP($A270,'Из ГУГЛа'!$B:$G,6,0))</f>
        <v/>
      </c>
      <c r="S270" s="4">
        <v>1</v>
      </c>
      <c r="T270" s="4">
        <v>0</v>
      </c>
      <c r="U270" s="58">
        <f t="shared" si="94"/>
        <v>0.50559459459459433</v>
      </c>
      <c r="V270" s="58" t="str">
        <f t="shared" si="95"/>
        <v/>
      </c>
      <c r="W270" s="58" t="str">
        <f t="shared" si="96"/>
        <v/>
      </c>
      <c r="X270" s="154"/>
    </row>
    <row r="271" spans="1:24" ht="30" x14ac:dyDescent="0.25">
      <c r="A271" s="51">
        <v>181334</v>
      </c>
      <c r="B271" s="51">
        <f>VLOOKUP($A271,'Выгр Кат'!$A:$R,B$1,0)</f>
        <v>24539</v>
      </c>
      <c r="C271" s="56" t="str">
        <f>VLOOKUP($A271,'Выгр Кат'!$A:$R,C$1,0)</f>
        <v>Октан-корректор "Пульсар" М для ВАЗ 2108-21099, 2110-2112</v>
      </c>
      <c r="D271" s="51" t="str">
        <f>VLOOKUP($A271,'Выгр Кат'!$A:$R,D$1,0)</f>
        <v>Y</v>
      </c>
      <c r="E271" s="51" t="str">
        <f>VLOOKUP($A271,'Выгр Кат'!$A:$R,E$1,0)</f>
        <v>0</v>
      </c>
      <c r="F271" s="51">
        <f>VLOOKUP($A271,'Выгр Кат'!$A:$R,F$1,0)</f>
        <v>0</v>
      </c>
      <c r="G271" s="51"/>
      <c r="H271" s="77" t="s">
        <v>527</v>
      </c>
      <c r="I271" s="2">
        <f t="shared" si="77"/>
        <v>650</v>
      </c>
      <c r="J271" s="78">
        <f>VLOOKUP(I271,Наценка!$A$2:$B$9,2,1)</f>
        <v>1.6</v>
      </c>
      <c r="K271" s="79">
        <f t="shared" si="91"/>
        <v>1040</v>
      </c>
      <c r="L271" s="80">
        <f t="shared" si="92"/>
        <v>1090</v>
      </c>
      <c r="M271" s="51">
        <f>VLOOKUP($A271,'Выгр Кат'!$A:$R,M$1,0)</f>
        <v>650</v>
      </c>
      <c r="N271" s="51">
        <f>VLOOKUP($A271,'Выгр Кат'!$A:$R,N$1,0)</f>
        <v>1090</v>
      </c>
      <c r="O271" s="25">
        <f t="shared" si="86"/>
        <v>0</v>
      </c>
      <c r="P271" s="25">
        <f t="shared" si="87"/>
        <v>0</v>
      </c>
      <c r="Q271" s="1">
        <f t="shared" si="93"/>
        <v>1013.6999999999999</v>
      </c>
      <c r="R271" s="5" t="str">
        <f>IFERROR((VLOOKUP($A271,'Из ГУГЛа'!$B:$G,6,0)+T271)*S271,VLOOKUP($A271,'Из ГУГЛа'!$B:$G,6,0))</f>
        <v/>
      </c>
      <c r="S271" s="4">
        <v>1</v>
      </c>
      <c r="T271" s="4">
        <v>0</v>
      </c>
      <c r="U271" s="58">
        <f t="shared" si="94"/>
        <v>0.55953846153846154</v>
      </c>
      <c r="V271" s="58" t="str">
        <f t="shared" si="95"/>
        <v/>
      </c>
      <c r="W271" s="58" t="str">
        <f t="shared" si="96"/>
        <v/>
      </c>
      <c r="X271" s="154"/>
    </row>
    <row r="272" spans="1:24" ht="45" x14ac:dyDescent="0.25">
      <c r="A272" s="51">
        <v>203953</v>
      </c>
      <c r="B272" s="51">
        <f>VLOOKUP($A272,'Выгр Кат'!$A:$R,B$1,0)</f>
        <v>24542</v>
      </c>
      <c r="C272" s="56" t="str">
        <f>VLOOKUP($A272,'Выгр Кат'!$A:$R,C$1,0)</f>
        <v>Реле диодных указателей поворота "АСТРО" (26.3777-03) для ВАЗ 2108-21099, 2110-2112, 2113-2115</v>
      </c>
      <c r="D272" s="51" t="str">
        <f>VLOOKUP($A272,'Выгр Кат'!$A:$R,D$1,0)</f>
        <v>Y</v>
      </c>
      <c r="E272" s="51" t="str">
        <f>VLOOKUP($A272,'Выгр Кат'!$A:$R,E$1,0)</f>
        <v>0</v>
      </c>
      <c r="F272" s="51">
        <f>VLOOKUP($A272,'Выгр Кат'!$A:$R,F$1,0)</f>
        <v>0</v>
      </c>
      <c r="G272" s="51"/>
      <c r="H272" s="77" t="s">
        <v>527</v>
      </c>
      <c r="I272" s="2">
        <f t="shared" ref="I272" si="98">M272</f>
        <v>110</v>
      </c>
      <c r="J272" s="78">
        <f>VLOOKUP(I272,Наценка!$A$2:$B$9,2,1)</f>
        <v>2</v>
      </c>
      <c r="K272" s="79">
        <f t="shared" si="91"/>
        <v>220</v>
      </c>
      <c r="L272" s="80">
        <f t="shared" si="92"/>
        <v>219</v>
      </c>
      <c r="M272" s="51">
        <f>VLOOKUP($A272,'Выгр Кат'!$A:$R,M$1,0)</f>
        <v>110</v>
      </c>
      <c r="N272" s="51">
        <f>VLOOKUP($A272,'Выгр Кат'!$A:$R,N$1,0)</f>
        <v>219</v>
      </c>
      <c r="O272" s="25">
        <f t="shared" si="86"/>
        <v>0</v>
      </c>
      <c r="P272" s="25">
        <f t="shared" si="87"/>
        <v>0</v>
      </c>
      <c r="Q272" s="1">
        <f t="shared" si="93"/>
        <v>203.67</v>
      </c>
      <c r="R272" s="5" t="str">
        <f>IFERROR((VLOOKUP($A272,'Из ГУГЛа'!$B:$G,6,0)+T272)*S272,VLOOKUP($A272,'Из ГУГЛа'!$B:$G,6,0))</f>
        <v/>
      </c>
      <c r="S272" s="4">
        <v>1</v>
      </c>
      <c r="T272" s="4">
        <v>0</v>
      </c>
      <c r="U272" s="58">
        <f t="shared" si="94"/>
        <v>0.85154545454545438</v>
      </c>
      <c r="V272" s="58" t="str">
        <f t="shared" si="95"/>
        <v/>
      </c>
      <c r="W272" s="58" t="str">
        <f t="shared" si="96"/>
        <v/>
      </c>
      <c r="X272" s="154"/>
    </row>
    <row r="273" spans="1:25" ht="27" thickBot="1" x14ac:dyDescent="0.3">
      <c r="A273" s="51">
        <v>203957</v>
      </c>
      <c r="B273" s="51">
        <f>VLOOKUP($A273,'Выгр Кат'!$A:$R,B$1,0)</f>
        <v>24543</v>
      </c>
      <c r="C273" s="56" t="str">
        <f>VLOOKUP($A273,'Выгр Кат'!$A:$R,C$1,0)</f>
        <v>Реле защиты стартера для ВАЗ 2110</v>
      </c>
      <c r="D273" s="51" t="str">
        <f>VLOOKUP($A273,'Выгр Кат'!$A:$R,D$1,0)</f>
        <v>Y</v>
      </c>
      <c r="E273" s="51" t="str">
        <f>VLOOKUP($A273,'Выгр Кат'!$A:$R,E$1,0)</f>
        <v>1</v>
      </c>
      <c r="F273" s="51">
        <f>VLOOKUP($A273,'Выгр Кат'!$A:$R,F$1,0)</f>
        <v>0</v>
      </c>
      <c r="G273" s="51"/>
      <c r="H273" s="77" t="s">
        <v>527</v>
      </c>
      <c r="I273" s="26" t="e">
        <f>VLOOKUP(G273,ПРАЙС!B:C,2,0)</f>
        <v>#N/A</v>
      </c>
      <c r="J273" s="78" t="e">
        <f>VLOOKUP(I273,Наценка!$A$2:$B$9,2,1)</f>
        <v>#N/A</v>
      </c>
      <c r="K273" s="79" t="e">
        <f t="shared" si="91"/>
        <v>#N/A</v>
      </c>
      <c r="L273" s="80" t="e">
        <f t="shared" si="92"/>
        <v>#N/A</v>
      </c>
      <c r="M273" s="51">
        <f>VLOOKUP($A273,'Выгр Кат'!$A:$R,M$1,0)</f>
        <v>424</v>
      </c>
      <c r="N273" s="51">
        <f>VLOOKUP($A273,'Выгр Кат'!$A:$R,N$1,0)</f>
        <v>679</v>
      </c>
      <c r="O273" s="25" t="e">
        <f t="shared" si="86"/>
        <v>#N/A</v>
      </c>
      <c r="P273" s="25" t="e">
        <f t="shared" si="87"/>
        <v>#N/A</v>
      </c>
      <c r="Q273" s="1" t="str">
        <f t="shared" si="93"/>
        <v/>
      </c>
      <c r="R273" s="5" t="str">
        <f>IFERROR((VLOOKUP($A273,'Из ГУГЛа'!$B:$G,6,0)+T273)*S273,VLOOKUP($A273,'Из ГУГЛа'!$B:$G,6,0))</f>
        <v/>
      </c>
      <c r="S273" s="4">
        <v>1</v>
      </c>
      <c r="T273" s="4">
        <v>0</v>
      </c>
      <c r="U273" s="58" t="str">
        <f t="shared" si="94"/>
        <v/>
      </c>
      <c r="V273" s="58" t="str">
        <f t="shared" si="95"/>
        <v/>
      </c>
      <c r="W273" s="58" t="str">
        <f t="shared" si="96"/>
        <v/>
      </c>
      <c r="X273" s="156" t="s">
        <v>929</v>
      </c>
    </row>
    <row r="274" spans="1:25" ht="30.75" thickTop="1" x14ac:dyDescent="0.25">
      <c r="A274" s="51">
        <v>219130</v>
      </c>
      <c r="B274" s="51">
        <f>VLOOKUP($A274,'Выгр Кат'!$A:$R,B$1,0)</f>
        <v>24549</v>
      </c>
      <c r="C274" s="56" t="str">
        <f>VLOOKUP($A274,'Выгр Кат'!$A:$R,C$1,0)</f>
        <v>Тепловентилятор "ОРИОН" Вымпел ТВ-381</v>
      </c>
      <c r="D274" s="51" t="str">
        <f>VLOOKUP($A274,'Выгр Кат'!$A:$R,D$1,0)</f>
        <v>Y</v>
      </c>
      <c r="E274" s="51" t="str">
        <f>VLOOKUP($A274,'Выгр Кат'!$A:$R,E$1,0)</f>
        <v>0</v>
      </c>
      <c r="F274" s="51">
        <f>VLOOKUP($A274,'Выгр Кат'!$A:$R,F$1,0)</f>
        <v>0</v>
      </c>
      <c r="G274" s="51"/>
      <c r="H274" s="77" t="s">
        <v>527</v>
      </c>
      <c r="I274" s="2">
        <f t="shared" ref="I274:I276" si="99">M274</f>
        <v>800</v>
      </c>
      <c r="J274" s="78">
        <f>VLOOKUP(I274,Наценка!$A$2:$B$9,2,1)</f>
        <v>1.6</v>
      </c>
      <c r="K274" s="79">
        <f t="shared" si="91"/>
        <v>1280</v>
      </c>
      <c r="L274" s="80">
        <f t="shared" si="92"/>
        <v>1290</v>
      </c>
      <c r="M274" s="51">
        <f>VLOOKUP($A274,'Выгр Кат'!$A:$R,M$1,0)</f>
        <v>800</v>
      </c>
      <c r="N274" s="51">
        <f>VLOOKUP($A274,'Выгр Кат'!$A:$R,N$1,0)</f>
        <v>1290</v>
      </c>
      <c r="O274" s="25">
        <f t="shared" si="86"/>
        <v>0</v>
      </c>
      <c r="P274" s="25">
        <f t="shared" si="87"/>
        <v>0</v>
      </c>
      <c r="Q274" s="1">
        <f t="shared" si="93"/>
        <v>1199.6999999999998</v>
      </c>
      <c r="R274" s="5" t="str">
        <f>IFERROR((VLOOKUP($A274,'Из ГУГЛа'!$B:$G,6,0)+T274)*S274,VLOOKUP($A274,'Из ГУГЛа'!$B:$G,6,0))</f>
        <v/>
      </c>
      <c r="S274" s="4">
        <v>1</v>
      </c>
      <c r="T274" s="4">
        <v>0</v>
      </c>
      <c r="U274" s="58">
        <f t="shared" si="94"/>
        <v>0.49962499999999976</v>
      </c>
      <c r="V274" s="58" t="str">
        <f t="shared" si="95"/>
        <v/>
      </c>
      <c r="W274" s="58" t="str">
        <f t="shared" si="96"/>
        <v/>
      </c>
      <c r="X274" s="154"/>
    </row>
    <row r="275" spans="1:25" x14ac:dyDescent="0.25">
      <c r="A275" s="51">
        <v>117111</v>
      </c>
      <c r="B275" s="51">
        <f>VLOOKUP($A275,'Выгр Кат'!$A:$R,B$1,0)</f>
        <v>24554</v>
      </c>
      <c r="C275" s="56" t="str">
        <f>VLOOKUP($A275,'Выгр Кат'!$A:$R,C$1,0)</f>
        <v>GSM розетка "ЭЛАНГ" PowerControl</v>
      </c>
      <c r="D275" s="51" t="str">
        <f>VLOOKUP($A275,'Выгр Кат'!$A:$R,D$1,0)</f>
        <v>Y</v>
      </c>
      <c r="E275" s="51" t="str">
        <f>VLOOKUP($A275,'Выгр Кат'!$A:$R,E$1,0)</f>
        <v>0</v>
      </c>
      <c r="F275" s="51">
        <f>VLOOKUP($A275,'Выгр Кат'!$A:$R,F$1,0)</f>
        <v>0</v>
      </c>
      <c r="G275" s="51" t="s">
        <v>510</v>
      </c>
      <c r="H275" s="77" t="s">
        <v>527</v>
      </c>
      <c r="I275" s="2">
        <f t="shared" si="99"/>
        <v>3000</v>
      </c>
      <c r="J275" s="78">
        <f>VLOOKUP(I275,Наценка!$A$2:$B$9,2,1)</f>
        <v>1.29</v>
      </c>
      <c r="K275" s="79">
        <f t="shared" si="91"/>
        <v>3870</v>
      </c>
      <c r="L275" s="80">
        <f t="shared" si="92"/>
        <v>3890</v>
      </c>
      <c r="M275" s="51">
        <f>VLOOKUP($A275,'Выгр Кат'!$A:$R,M$1,0)</f>
        <v>3000</v>
      </c>
      <c r="N275" s="51">
        <f>VLOOKUP($A275,'Выгр Кат'!$A:$R,N$1,0)</f>
        <v>3890</v>
      </c>
      <c r="O275" s="25">
        <f t="shared" si="86"/>
        <v>0</v>
      </c>
      <c r="P275" s="25">
        <f t="shared" si="87"/>
        <v>0</v>
      </c>
      <c r="Q275" s="1">
        <f t="shared" si="93"/>
        <v>3617.7</v>
      </c>
      <c r="R275" s="5" t="str">
        <f>IFERROR((VLOOKUP($A275,'Из ГУГЛа'!$B:$G,6,0)+T275)*S275,VLOOKUP($A275,'Из ГУГЛа'!$B:$G,6,0))</f>
        <v/>
      </c>
      <c r="S275" s="4">
        <v>1</v>
      </c>
      <c r="T275" s="4">
        <v>0</v>
      </c>
      <c r="U275" s="58">
        <f t="shared" si="94"/>
        <v>0.20589999999999997</v>
      </c>
      <c r="V275" s="58" t="str">
        <f t="shared" si="95"/>
        <v/>
      </c>
      <c r="W275" s="58" t="str">
        <f t="shared" si="96"/>
        <v/>
      </c>
      <c r="X275" s="154"/>
    </row>
    <row r="276" spans="1:25" ht="60" x14ac:dyDescent="0.25">
      <c r="A276" s="51">
        <v>151259</v>
      </c>
      <c r="B276" s="51">
        <f>VLOOKUP($A276,'Выгр Кат'!$A:$R,B$1,0)</f>
        <v>30880</v>
      </c>
      <c r="C276" s="56" t="str">
        <f>VLOOKUP($A276,'Выгр Кат'!$A:$R,C$1,0)</f>
        <v>Зарядно-предпусковое устройство "TOPAUTO" для 12/24 В АКБ, 15 А (цифровой ампер/вольт-метр, с регуляторами тока и напряжения)</v>
      </c>
      <c r="D276" s="51" t="str">
        <f>VLOOKUP($A276,'Выгр Кат'!$A:$R,D$1,0)</f>
        <v>Y</v>
      </c>
      <c r="E276" s="51" t="str">
        <f>VLOOKUP($A276,'Выгр Кат'!$A:$R,E$1,0)</f>
        <v>0</v>
      </c>
      <c r="F276" s="51" t="str">
        <f>VLOOKUP($A276,'Выгр Кат'!$A:$R,F$1,0)</f>
        <v>АЗУ-315</v>
      </c>
      <c r="G276" s="51"/>
      <c r="H276" s="77" t="s">
        <v>527</v>
      </c>
      <c r="I276" s="2">
        <f t="shared" si="99"/>
        <v>0</v>
      </c>
      <c r="J276" s="78" t="e">
        <f>VLOOKUP(I276,Наценка!$A$2:$B$9,2,1)</f>
        <v>#N/A</v>
      </c>
      <c r="K276" s="2">
        <f>N276</f>
        <v>0</v>
      </c>
      <c r="L276" s="69">
        <f>N276</f>
        <v>0</v>
      </c>
      <c r="M276" s="51">
        <f>VLOOKUP($A276,'Выгр Кат'!$A:$R,M$1,0)</f>
        <v>0</v>
      </c>
      <c r="N276" s="51">
        <f>VLOOKUP($A276,'Выгр Кат'!$A:$R,N$1,0)</f>
        <v>0</v>
      </c>
      <c r="O276" s="25">
        <f t="shared" si="86"/>
        <v>0</v>
      </c>
      <c r="P276" s="25">
        <f t="shared" si="87"/>
        <v>0</v>
      </c>
      <c r="Q276" s="1">
        <f t="shared" si="93"/>
        <v>0</v>
      </c>
      <c r="R276" s="5" t="str">
        <f>IFERROR((VLOOKUP($A276,'Из ГУГЛа'!$B:$G,6,0)+T276)*S276,VLOOKUP($A276,'Из ГУГЛа'!$B:$G,6,0))</f>
        <v/>
      </c>
      <c r="S276" s="4">
        <v>1</v>
      </c>
      <c r="T276" s="4">
        <v>0</v>
      </c>
      <c r="U276" s="58" t="str">
        <f t="shared" si="94"/>
        <v/>
      </c>
      <c r="V276" s="58" t="str">
        <f t="shared" si="95"/>
        <v/>
      </c>
      <c r="W276" s="58" t="str">
        <f t="shared" si="96"/>
        <v/>
      </c>
      <c r="X276" s="154"/>
    </row>
    <row r="277" spans="1:25" ht="45.75" thickBot="1" x14ac:dyDescent="0.3">
      <c r="A277" s="51">
        <v>131455</v>
      </c>
      <c r="B277" s="51">
        <f>VLOOKUP($A277,'Выгр Кат'!$A:$R,B$1,0)</f>
        <v>31702</v>
      </c>
      <c r="C277" s="56" t="str">
        <f>VLOOKUP($A277,'Выгр Кат'!$A:$R,C$1,0)</f>
        <v>Автоматическое импульсное зарядно-предпусковое устройство "TOPAUTO" АЗУ-115</v>
      </c>
      <c r="D277" s="51" t="str">
        <f>VLOOKUP($A277,'Выгр Кат'!$A:$R,D$1,0)</f>
        <v>Y</v>
      </c>
      <c r="E277" s="51" t="str">
        <f>VLOOKUP($A277,'Выгр Кат'!$A:$R,E$1,0)</f>
        <v>1</v>
      </c>
      <c r="F277" s="51" t="str">
        <f>VLOOKUP($A277,'Выгр Кат'!$A:$R,F$1,0)</f>
        <v>29259</v>
      </c>
      <c r="G277" s="51" t="s">
        <v>562</v>
      </c>
      <c r="H277" s="77" t="s">
        <v>527</v>
      </c>
      <c r="I277" s="26" t="e">
        <f>VLOOKUP(G277,ПРАЙС!B:C,2,0)</f>
        <v>#N/A</v>
      </c>
      <c r="J277" s="78" t="e">
        <f>VLOOKUP(I277,Наценка!$A$2:$B$9,2,1)</f>
        <v>#N/A</v>
      </c>
      <c r="K277" s="79" t="e">
        <f t="shared" si="91"/>
        <v>#N/A</v>
      </c>
      <c r="L277" s="80" t="e">
        <f t="shared" si="92"/>
        <v>#N/A</v>
      </c>
      <c r="M277" s="51">
        <f>VLOOKUP($A277,'Выгр Кат'!$A:$R,M$1,0)</f>
        <v>4575</v>
      </c>
      <c r="N277" s="51">
        <f>VLOOKUP($A277,'Выгр Кат'!$A:$R,N$1,0)</f>
        <v>5990</v>
      </c>
      <c r="O277" s="25" t="e">
        <f t="shared" si="86"/>
        <v>#N/A</v>
      </c>
      <c r="P277" s="25" t="e">
        <f t="shared" si="87"/>
        <v>#N/A</v>
      </c>
      <c r="Q277" s="1" t="str">
        <f t="shared" si="93"/>
        <v/>
      </c>
      <c r="R277" s="5" t="str">
        <f>IFERROR((VLOOKUP($A277,'Из ГУГЛа'!$B:$G,6,0)+T277)*S277,VLOOKUP($A277,'Из ГУГЛа'!$B:$G,6,0))</f>
        <v/>
      </c>
      <c r="S277" s="4">
        <v>1</v>
      </c>
      <c r="T277" s="4">
        <v>0</v>
      </c>
      <c r="U277" s="58" t="str">
        <f t="shared" si="94"/>
        <v/>
      </c>
      <c r="V277" s="58" t="str">
        <f t="shared" si="95"/>
        <v/>
      </c>
      <c r="W277" s="58" t="str">
        <f t="shared" si="96"/>
        <v/>
      </c>
      <c r="X277" s="156" t="s">
        <v>929</v>
      </c>
    </row>
    <row r="278" spans="1:25" ht="16.5" thickTop="1" thickBot="1" x14ac:dyDescent="0.3">
      <c r="A278" s="51">
        <v>136694</v>
      </c>
      <c r="B278" s="51">
        <f>VLOOKUP($A278,'Выгр Кат'!$A:$R,B$1,0)</f>
        <v>35508</v>
      </c>
      <c r="C278" s="56" t="str">
        <f>VLOOKUP($A278,'Выгр Кат'!$A:$R,C$1,0)</f>
        <v>Бесконтактный сенсор "ШТАТ" BS</v>
      </c>
      <c r="D278" s="51" t="str">
        <f>VLOOKUP($A278,'Выгр Кат'!$A:$R,D$1,0)</f>
        <v>Y</v>
      </c>
      <c r="E278" s="51" t="str">
        <f>VLOOKUP($A278,'Выгр Кат'!$A:$R,E$1,0)</f>
        <v>1</v>
      </c>
      <c r="F278" s="51">
        <f>VLOOKUP($A278,'Выгр Кат'!$A:$R,F$1,0)</f>
        <v>0</v>
      </c>
      <c r="G278" s="51" t="s">
        <v>558</v>
      </c>
      <c r="H278" s="77" t="s">
        <v>527</v>
      </c>
      <c r="I278" s="26">
        <f>VLOOKUP(G278,ПРАЙС!B:C,2,0)</f>
        <v>400</v>
      </c>
      <c r="J278" s="78">
        <f>VLOOKUP(I278,Наценка!$A$2:$B$9,2,1)</f>
        <v>1.6</v>
      </c>
      <c r="K278" s="64">
        <f>X278*1.06</f>
        <v>625.4</v>
      </c>
      <c r="L278" s="80">
        <f t="shared" si="92"/>
        <v>629</v>
      </c>
      <c r="M278" s="51">
        <f>VLOOKUP($A278,'Выгр Кат'!$A:$R,M$1,0)</f>
        <v>400</v>
      </c>
      <c r="N278" s="51">
        <f>VLOOKUP($A278,'Выгр Кат'!$A:$R,N$1,0)</f>
        <v>629</v>
      </c>
      <c r="O278" s="25">
        <f t="shared" si="86"/>
        <v>0</v>
      </c>
      <c r="P278" s="25">
        <f t="shared" si="87"/>
        <v>0</v>
      </c>
      <c r="Q278" s="1">
        <f t="shared" si="93"/>
        <v>584.96999999999991</v>
      </c>
      <c r="R278" s="5">
        <f>IFERROR((VLOOKUP($A278,'Из ГУГЛа'!$B:$G,6,0)+T278)*S278,VLOOKUP($A278,'Из ГУГЛа'!$B:$G,6,0))</f>
        <v>590</v>
      </c>
      <c r="S278" s="4">
        <v>1</v>
      </c>
      <c r="T278" s="4">
        <v>0</v>
      </c>
      <c r="U278" s="58">
        <f t="shared" si="94"/>
        <v>0.46242499999999986</v>
      </c>
      <c r="V278" s="58">
        <f t="shared" si="95"/>
        <v>8.5254237288137063E-3</v>
      </c>
      <c r="W278" s="58">
        <f t="shared" si="96"/>
        <v>0.47500000000000009</v>
      </c>
      <c r="X278" s="156">
        <v>590</v>
      </c>
      <c r="Y278" s="44" t="s">
        <v>793</v>
      </c>
    </row>
    <row r="279" spans="1:25" ht="31.5" thickTop="1" thickBot="1" x14ac:dyDescent="0.3">
      <c r="A279" s="51">
        <v>224563</v>
      </c>
      <c r="B279" s="51">
        <f>VLOOKUP($A279,'Выгр Кат'!$A:$R,B$1,0)</f>
        <v>39213</v>
      </c>
      <c r="C279" s="56" t="str">
        <f>VLOOKUP($A279,'Выгр Кат'!$A:$R,C$1,0)</f>
        <v>Центральный замок "ОРИОН" Вымпел A-Y16</v>
      </c>
      <c r="D279" s="51" t="str">
        <f>VLOOKUP($A279,'Выгр Кат'!$A:$R,D$1,0)</f>
        <v>Y</v>
      </c>
      <c r="E279" s="51" t="str">
        <f>VLOOKUP($A279,'Выгр Кат'!$A:$R,E$1,0)</f>
        <v>0</v>
      </c>
      <c r="F279" s="51" t="str">
        <f>VLOOKUP($A279,'Выгр Кат'!$A:$R,F$1,0)</f>
        <v>A-Y16</v>
      </c>
      <c r="G279" s="51" t="s">
        <v>639</v>
      </c>
      <c r="H279" s="77" t="s">
        <v>527</v>
      </c>
      <c r="I279" s="26">
        <f>VLOOKUP(G279,ПРАЙС!B:C,2,0)</f>
        <v>2050</v>
      </c>
      <c r="J279" s="78">
        <f>VLOOKUP(I279,Наценка!$A$2:$B$9,2,1)</f>
        <v>1.29</v>
      </c>
      <c r="K279" s="79">
        <f t="shared" si="91"/>
        <v>2644.5</v>
      </c>
      <c r="L279" s="80">
        <f t="shared" si="92"/>
        <v>2690</v>
      </c>
      <c r="M279" s="51">
        <f>VLOOKUP($A279,'Выгр Кат'!$A:$R,M$1,0)</f>
        <v>2050</v>
      </c>
      <c r="N279" s="51">
        <f>VLOOKUP($A279,'Выгр Кат'!$A:$R,N$1,0)</f>
        <v>2690</v>
      </c>
      <c r="O279" s="25">
        <f t="shared" si="86"/>
        <v>0</v>
      </c>
      <c r="P279" s="25">
        <f t="shared" si="87"/>
        <v>0</v>
      </c>
      <c r="Q279" s="1">
        <f t="shared" si="93"/>
        <v>2501.6999999999998</v>
      </c>
      <c r="R279" s="5">
        <f>IFERROR((VLOOKUP($A279,'Из ГУГЛа'!$B:$G,6,0)+T279)*S279,VLOOKUP($A279,'Из ГУГЛа'!$B:$G,6,0))</f>
        <v>2290</v>
      </c>
      <c r="S279" s="4">
        <v>1</v>
      </c>
      <c r="T279" s="4">
        <v>0</v>
      </c>
      <c r="U279" s="58">
        <f t="shared" si="94"/>
        <v>0.22034146341463412</v>
      </c>
      <c r="V279" s="58">
        <f t="shared" si="95"/>
        <v>-9.2445414847161497E-2</v>
      </c>
      <c r="W279" s="58">
        <f t="shared" si="96"/>
        <v>0.11707317073170742</v>
      </c>
      <c r="X279" s="156">
        <v>2290</v>
      </c>
      <c r="Y279" s="44" t="s">
        <v>831</v>
      </c>
    </row>
    <row r="280" spans="1:25" ht="61.5" thickTop="1" thickBot="1" x14ac:dyDescent="0.3">
      <c r="A280" s="51">
        <v>203951</v>
      </c>
      <c r="B280" s="51">
        <f>VLOOKUP($A280,'Выгр Кат'!$A:$R,B$1,0)</f>
        <v>54201</v>
      </c>
      <c r="C280" s="56" t="str">
        <f>VLOOKUP($A280,'Выгр Кат'!$A:$R,C$1,0)</f>
        <v>Реле дворников "Энергомаш" с регулировкой паузы (под старый блок) для ВАЗ (2108-21099, 2110-2112), Шевроле Нива</v>
      </c>
      <c r="D280" s="51" t="str">
        <f>VLOOKUP($A280,'Выгр Кат'!$A:$R,D$1,0)</f>
        <v>Y</v>
      </c>
      <c r="E280" s="51" t="str">
        <f>VLOOKUP($A280,'Выгр Кат'!$A:$R,E$1,0)</f>
        <v>1ск6</v>
      </c>
      <c r="F280" s="51" t="str">
        <f>VLOOKUP($A280,'Выгр Кат'!$A:$R,F$1,0)</f>
        <v>724.3777-01</v>
      </c>
      <c r="G280" s="51" t="s">
        <v>104</v>
      </c>
      <c r="H280" s="77" t="s">
        <v>527</v>
      </c>
      <c r="I280" s="26">
        <f>VLOOKUP(G280,ПРАЙС!B:C,2,0)</f>
        <v>400</v>
      </c>
      <c r="J280" s="78">
        <f>VLOOKUP(I280,Наценка!$A$2:$B$9,2,1)</f>
        <v>1.6</v>
      </c>
      <c r="K280" s="64">
        <f t="shared" ref="K280:K293" si="100">X280*1.06</f>
        <v>666.74</v>
      </c>
      <c r="L280" s="80">
        <f t="shared" si="92"/>
        <v>669</v>
      </c>
      <c r="M280" s="51">
        <f>VLOOKUP($A280,'Выгр Кат'!$A:$R,M$1,0)</f>
        <v>400</v>
      </c>
      <c r="N280" s="51">
        <f>VLOOKUP($A280,'Выгр Кат'!$A:$R,N$1,0)</f>
        <v>669</v>
      </c>
      <c r="O280" s="25">
        <f t="shared" si="86"/>
        <v>0</v>
      </c>
      <c r="P280" s="25">
        <f t="shared" si="87"/>
        <v>0</v>
      </c>
      <c r="Q280" s="1">
        <f t="shared" si="93"/>
        <v>622.16999999999996</v>
      </c>
      <c r="R280" s="5">
        <f>IFERROR((VLOOKUP($A280,'Из ГУГЛа'!$B:$G,6,0)+T280)*S280,VLOOKUP($A280,'Из ГУГЛа'!$B:$G,6,0))</f>
        <v>629</v>
      </c>
      <c r="S280" s="4">
        <v>1</v>
      </c>
      <c r="T280" s="4">
        <v>0</v>
      </c>
      <c r="U280" s="58">
        <f t="shared" si="94"/>
        <v>0.55542499999999984</v>
      </c>
      <c r="V280" s="58">
        <f t="shared" si="95"/>
        <v>1.0858505564387982E-2</v>
      </c>
      <c r="W280" s="58">
        <f t="shared" si="96"/>
        <v>0.57250000000000001</v>
      </c>
      <c r="X280" s="156">
        <v>629</v>
      </c>
      <c r="Y280" s="44" t="s">
        <v>935</v>
      </c>
    </row>
    <row r="281" spans="1:25" ht="31.5" thickTop="1" thickBot="1" x14ac:dyDescent="0.3">
      <c r="A281" s="51">
        <v>131693</v>
      </c>
      <c r="B281" s="51">
        <f>VLOOKUP($A281,'Выгр Кат'!$A:$R,B$1,0)</f>
        <v>88672</v>
      </c>
      <c r="C281" s="56" t="str">
        <f>VLOOKUP($A281,'Выгр Кат'!$A:$R,C$1,0)</f>
        <v>Активатор замка двери "Вымпел" BCS-5P (5-ти контактный)</v>
      </c>
      <c r="D281" s="51" t="str">
        <f>VLOOKUP($A281,'Выгр Кат'!$A:$R,D$1,0)</f>
        <v>Y</v>
      </c>
      <c r="E281" s="51" t="str">
        <f>VLOOKUP($A281,'Выгр Кат'!$A:$R,E$1,0)</f>
        <v>1</v>
      </c>
      <c r="F281" s="51">
        <f>VLOOKUP($A281,'Выгр Кат'!$A:$R,F$1,0)</f>
        <v>0</v>
      </c>
      <c r="G281" s="51" t="s">
        <v>620</v>
      </c>
      <c r="H281" s="77" t="s">
        <v>527</v>
      </c>
      <c r="I281" s="26">
        <f>VLOOKUP(G281,ПРАЙС!B:C,2,0)</f>
        <v>200</v>
      </c>
      <c r="J281" s="78">
        <f>VLOOKUP(I281,Наценка!$A$2:$B$9,2,1)</f>
        <v>2</v>
      </c>
      <c r="K281" s="64">
        <f>X281*1.05</f>
        <v>409.5</v>
      </c>
      <c r="L281" s="80">
        <f t="shared" si="92"/>
        <v>409</v>
      </c>
      <c r="M281" s="51">
        <f>VLOOKUP($A281,'Выгр Кат'!$A:$R,M$1,0)</f>
        <v>200</v>
      </c>
      <c r="N281" s="51">
        <f>VLOOKUP($A281,'Выгр Кат'!$A:$R,N$1,0)</f>
        <v>409</v>
      </c>
      <c r="O281" s="25">
        <f t="shared" si="86"/>
        <v>0</v>
      </c>
      <c r="P281" s="25">
        <f t="shared" si="87"/>
        <v>0</v>
      </c>
      <c r="Q281" s="1">
        <f t="shared" si="93"/>
        <v>380.36999999999995</v>
      </c>
      <c r="R281" s="5">
        <f>IFERROR((VLOOKUP($A281,'Из ГУГЛа'!$B:$G,6,0)+T281)*S281,VLOOKUP($A281,'Из ГУГЛа'!$B:$G,6,0))</f>
        <v>390</v>
      </c>
      <c r="S281" s="4">
        <v>1</v>
      </c>
      <c r="T281" s="4">
        <v>0</v>
      </c>
      <c r="U281" s="58">
        <f t="shared" si="94"/>
        <v>0.90184999999999982</v>
      </c>
      <c r="V281" s="58">
        <f t="shared" si="95"/>
        <v>2.4692307692307826E-2</v>
      </c>
      <c r="W281" s="58">
        <f t="shared" si="96"/>
        <v>0.95</v>
      </c>
      <c r="X281" s="156">
        <v>390</v>
      </c>
      <c r="Y281" s="44" t="s">
        <v>934</v>
      </c>
    </row>
    <row r="282" spans="1:25" ht="46.5" thickTop="1" thickBot="1" x14ac:dyDescent="0.3">
      <c r="A282" s="51">
        <v>141292</v>
      </c>
      <c r="B282" s="51">
        <f>VLOOKUP($A282,'Выгр Кат'!$A:$R,B$1,0)</f>
        <v>6367</v>
      </c>
      <c r="C282" s="56" t="str">
        <f>VLOOKUP($A282,'Выгр Кат'!$A:$R,C$1,0)</f>
        <v>Гнездо-вставка в тоннель пола под дополнительные кнопки для Лада Калина 2, Гранта</v>
      </c>
      <c r="D282" s="51" t="str">
        <f>VLOOKUP($A282,'Выгр Кат'!$A:$R,D$1,0)</f>
        <v>Y</v>
      </c>
      <c r="E282" s="51" t="str">
        <f>VLOOKUP($A282,'Выгр Кат'!$A:$R,E$1,0)</f>
        <v>1ск5</v>
      </c>
      <c r="F282" s="51">
        <f>VLOOKUP($A282,'Выгр Кат'!$A:$R,F$1,0)</f>
        <v>0</v>
      </c>
      <c r="G282" s="51" t="s">
        <v>40</v>
      </c>
      <c r="H282" s="77" t="s">
        <v>527</v>
      </c>
      <c r="I282" s="26">
        <f>VLOOKUP(G282,ПРАЙС!B:C,2,0)</f>
        <v>430</v>
      </c>
      <c r="J282" s="78">
        <f>VLOOKUP(I282,Наценка!$A$2:$B$9,2,1)</f>
        <v>1.6</v>
      </c>
      <c r="K282" s="64">
        <f t="shared" si="100"/>
        <v>772.74</v>
      </c>
      <c r="L282" s="80">
        <f t="shared" si="92"/>
        <v>779</v>
      </c>
      <c r="M282" s="51">
        <f>VLOOKUP($A282,'Выгр Кат'!$A:$R,M$1,0)</f>
        <v>430</v>
      </c>
      <c r="N282" s="51">
        <f>VLOOKUP($A282,'Выгр Кат'!$A:$R,N$1,0)</f>
        <v>779</v>
      </c>
      <c r="O282" s="25">
        <f t="shared" si="86"/>
        <v>0</v>
      </c>
      <c r="P282" s="25">
        <f t="shared" si="87"/>
        <v>0</v>
      </c>
      <c r="Q282" s="1">
        <f t="shared" si="93"/>
        <v>724.46999999999991</v>
      </c>
      <c r="R282" s="5">
        <f>IFERROR((VLOOKUP($A282,'Из ГУГЛа'!$B:$G,6,0)+T282)*S282,VLOOKUP($A282,'Из ГУГЛа'!$B:$G,6,0))</f>
        <v>729</v>
      </c>
      <c r="S282" s="4">
        <v>1</v>
      </c>
      <c r="T282" s="4">
        <v>0</v>
      </c>
      <c r="U282" s="58">
        <f t="shared" si="94"/>
        <v>0.68481395348837193</v>
      </c>
      <c r="V282" s="58">
        <f t="shared" si="95"/>
        <v>6.2139917695474434E-3</v>
      </c>
      <c r="W282" s="58">
        <f t="shared" si="96"/>
        <v>0.69534883720930241</v>
      </c>
      <c r="X282" s="156">
        <v>729</v>
      </c>
      <c r="Y282" s="44" t="s">
        <v>832</v>
      </c>
    </row>
    <row r="283" spans="1:25" ht="31.5" thickTop="1" thickBot="1" x14ac:dyDescent="0.3">
      <c r="A283" s="51">
        <v>224564</v>
      </c>
      <c r="B283" s="51">
        <f>VLOOKUP($A283,'Выгр Кат'!$A:$R,B$1,0)</f>
        <v>166859</v>
      </c>
      <c r="C283" s="56" t="str">
        <f>VLOOKUP($A283,'Выгр Кат'!$A:$R,C$1,0)</f>
        <v>Центральный замок "ОРИОН" Вымпел W-Y216</v>
      </c>
      <c r="D283" s="51" t="str">
        <f>VLOOKUP($A283,'Выгр Кат'!$A:$R,D$1,0)</f>
        <v>Y</v>
      </c>
      <c r="E283" s="51" t="str">
        <f>VLOOKUP($A283,'Выгр Кат'!$A:$R,E$1,0)</f>
        <v>1</v>
      </c>
      <c r="F283" s="51" t="str">
        <f>VLOOKUP($A283,'Выгр Кат'!$A:$R,F$1,0)</f>
        <v>W-Y216</v>
      </c>
      <c r="G283" s="51" t="s">
        <v>641</v>
      </c>
      <c r="H283" s="77" t="s">
        <v>527</v>
      </c>
      <c r="I283" s="26">
        <f>VLOOKUP(G283,ПРАЙС!B:C,2,0)</f>
        <v>2180</v>
      </c>
      <c r="J283" s="78">
        <f>VLOOKUP(I283,Наценка!$A$2:$B$9,2,1)</f>
        <v>1.29</v>
      </c>
      <c r="K283" s="62">
        <f>X283*1.02</f>
        <v>2845.8</v>
      </c>
      <c r="L283" s="80">
        <f t="shared" si="92"/>
        <v>2890</v>
      </c>
      <c r="M283" s="51">
        <f>VLOOKUP($A283,'Выгр Кат'!$A:$R,M$1,0)</f>
        <v>2180</v>
      </c>
      <c r="N283" s="51">
        <f>VLOOKUP($A283,'Выгр Кат'!$A:$R,N$1,0)</f>
        <v>2890</v>
      </c>
      <c r="O283" s="25">
        <f t="shared" si="86"/>
        <v>0</v>
      </c>
      <c r="P283" s="25">
        <f t="shared" si="87"/>
        <v>0</v>
      </c>
      <c r="Q283" s="1">
        <f t="shared" si="93"/>
        <v>2687.7</v>
      </c>
      <c r="R283" s="5">
        <f>IFERROR((VLOOKUP($A283,'Из ГУГЛа'!$B:$G,6,0)+T283)*S283,VLOOKUP($A283,'Из ГУГЛа'!$B:$G,6,0))</f>
        <v>2790</v>
      </c>
      <c r="S283" s="4">
        <v>1</v>
      </c>
      <c r="T283" s="4">
        <v>0</v>
      </c>
      <c r="U283" s="58">
        <f t="shared" si="94"/>
        <v>0.23288990825688072</v>
      </c>
      <c r="V283" s="58">
        <f t="shared" si="95"/>
        <v>3.6666666666666729E-2</v>
      </c>
      <c r="W283" s="58">
        <f t="shared" si="96"/>
        <v>0.27981651376146788</v>
      </c>
      <c r="X283" s="156">
        <v>2790</v>
      </c>
      <c r="Y283" s="44" t="s">
        <v>933</v>
      </c>
    </row>
    <row r="284" spans="1:25" ht="31.5" thickTop="1" thickBot="1" x14ac:dyDescent="0.3">
      <c r="A284" s="51">
        <v>251961</v>
      </c>
      <c r="B284" s="51">
        <f>VLOOKUP($A284,'Выгр Кат'!$A:$R,B$1,0)</f>
        <v>169959</v>
      </c>
      <c r="C284" s="56" t="str">
        <f>VLOOKUP($A284,'Выгр Кат'!$A:$R,C$1,0)</f>
        <v>Розетка USB "ШТАТ" в подлокотник для Лада Ларгус FL, Веста, XRAY</v>
      </c>
      <c r="D284" s="51" t="str">
        <f>VLOOKUP($A284,'Выгр Кат'!$A:$R,D$1,0)</f>
        <v>Y</v>
      </c>
      <c r="E284" s="51" t="str">
        <f>VLOOKUP($A284,'Выгр Кат'!$A:$R,E$1,0)</f>
        <v>1</v>
      </c>
      <c r="F284" s="51">
        <f>VLOOKUP($A284,'Выгр Кат'!$A:$R,F$1,0)</f>
        <v>0</v>
      </c>
      <c r="G284" s="51" t="s">
        <v>433</v>
      </c>
      <c r="H284" s="77" t="s">
        <v>527</v>
      </c>
      <c r="I284" s="26">
        <f>VLOOKUP(G284,ПРАЙС!B:C,2,0)</f>
        <v>500</v>
      </c>
      <c r="J284" s="78">
        <f>VLOOKUP(I284,Наценка!$A$2:$B$9,2,1)</f>
        <v>1.6</v>
      </c>
      <c r="K284" s="64">
        <f t="shared" si="100"/>
        <v>837.40000000000009</v>
      </c>
      <c r="L284" s="80">
        <f t="shared" si="92"/>
        <v>839</v>
      </c>
      <c r="M284" s="51">
        <f>VLOOKUP($A284,'Выгр Кат'!$A:$R,M$1,0)</f>
        <v>500</v>
      </c>
      <c r="N284" s="51">
        <f>VLOOKUP($A284,'Выгр Кат'!$A:$R,N$1,0)</f>
        <v>839</v>
      </c>
      <c r="O284" s="25">
        <f t="shared" si="86"/>
        <v>0</v>
      </c>
      <c r="P284" s="25">
        <f t="shared" si="87"/>
        <v>0</v>
      </c>
      <c r="Q284" s="1">
        <f t="shared" si="93"/>
        <v>780.27</v>
      </c>
      <c r="R284" s="5">
        <f>IFERROR((VLOOKUP($A284,'Из ГУГЛа'!$B:$G,6,0)+T284)*S284,VLOOKUP($A284,'Из ГУГЛа'!$B:$G,6,0))</f>
        <v>790</v>
      </c>
      <c r="S284" s="4">
        <v>1</v>
      </c>
      <c r="T284" s="4">
        <v>0</v>
      </c>
      <c r="U284" s="58">
        <f t="shared" si="94"/>
        <v>0.56054000000000004</v>
      </c>
      <c r="V284" s="58">
        <f t="shared" si="95"/>
        <v>1.2316455696202554E-2</v>
      </c>
      <c r="W284" s="58">
        <f t="shared" si="96"/>
        <v>0.58000000000000007</v>
      </c>
      <c r="X284" s="156">
        <v>790</v>
      </c>
      <c r="Y284" s="44" t="s">
        <v>820</v>
      </c>
    </row>
    <row r="285" spans="1:25" ht="31.5" thickTop="1" thickBot="1" x14ac:dyDescent="0.3">
      <c r="A285" s="51">
        <v>319528</v>
      </c>
      <c r="B285" s="51">
        <f>VLOOKUP($A285,'Выгр Кат'!$A:$R,B$1,0)</f>
        <v>319528</v>
      </c>
      <c r="C285" s="56" t="str">
        <f>VLOOKUP($A285,'Выгр Кат'!$A:$R,C$1,0)</f>
        <v>Бортовой компьютер "Multitronics" C-575 для Лада Нива Travel, Шевроле Нива</v>
      </c>
      <c r="D285" s="51" t="str">
        <f>VLOOKUP($A285,'Выгр Кат'!$A:$R,D$1,0)</f>
        <v>Y</v>
      </c>
      <c r="E285" s="51" t="str">
        <f>VLOOKUP($A285,'Выгр Кат'!$A:$R,E$1,0)</f>
        <v>1</v>
      </c>
      <c r="F285" s="51">
        <f>VLOOKUP($A285,'Выгр Кат'!$A:$R,F$1,0)</f>
        <v>0</v>
      </c>
      <c r="G285" s="51" t="s">
        <v>885</v>
      </c>
      <c r="H285" s="77" t="s">
        <v>527</v>
      </c>
      <c r="I285" s="26">
        <f>VLOOKUP(G285,ПРАЙС!B:C,2,0)</f>
        <v>7500</v>
      </c>
      <c r="J285" s="78">
        <f>VLOOKUP(I285,Наценка!$A$2:$B$9,2,1)</f>
        <v>1.32</v>
      </c>
      <c r="K285" s="87">
        <f>I285*1.15*100/91</f>
        <v>9478.0219780219777</v>
      </c>
      <c r="L285" s="80">
        <f t="shared" si="92"/>
        <v>9490</v>
      </c>
      <c r="M285" s="51">
        <f>VLOOKUP($A285,'Выгр Кат'!$A:$R,M$1,0)</f>
        <v>7500</v>
      </c>
      <c r="N285" s="51">
        <f>VLOOKUP($A285,'Выгр Кат'!$A:$R,N$1,0)</f>
        <v>9790</v>
      </c>
      <c r="O285" s="25">
        <f t="shared" ref="O285" si="101">M285-I285</f>
        <v>0</v>
      </c>
      <c r="P285" s="25">
        <f t="shared" ref="P285" si="102">N285-L285</f>
        <v>300</v>
      </c>
      <c r="Q285" s="1">
        <f t="shared" si="93"/>
        <v>8825.6999999999989</v>
      </c>
      <c r="R285" s="5">
        <f>IFERROR((VLOOKUP($A285,'Из ГУГЛа'!$B:$G,6,0)+T285)*S285,VLOOKUP($A285,'Из ГУГЛа'!$B:$G,6,0))</f>
        <v>8790</v>
      </c>
      <c r="S285" s="4">
        <v>1</v>
      </c>
      <c r="T285" s="4">
        <v>0</v>
      </c>
      <c r="U285" s="58">
        <f t="shared" si="94"/>
        <v>0.17675999999999981</v>
      </c>
      <c r="V285" s="58">
        <f t="shared" si="95"/>
        <v>-4.0614334470988516E-3</v>
      </c>
      <c r="W285" s="58">
        <f t="shared" si="96"/>
        <v>0.17199999999999993</v>
      </c>
      <c r="X285" s="156">
        <v>8790</v>
      </c>
      <c r="Y285" s="44" t="s">
        <v>683</v>
      </c>
    </row>
    <row r="286" spans="1:25" ht="76.5" thickTop="1" thickBot="1" x14ac:dyDescent="0.3">
      <c r="A286" s="51">
        <v>323314</v>
      </c>
      <c r="B286" s="51">
        <f>VLOOKUP($A286,'Выгр Кат'!$A:$R,B$1,0)</f>
        <v>323314</v>
      </c>
      <c r="C286" s="56" t="str">
        <f>VLOOKUP($A286,'Выгр Кат'!$A:$R,C$1,0)</f>
        <v>Бортовой компьютер "Multitronics" UX-8 для ВАЗ (2110-2112, 2113-2115), Лада (Калина, Калина 2, Гранта, Приора, Приора 2, Нива Travel), Шевроле Нива, Datsun (mi-DO, on-DO)</v>
      </c>
      <c r="D286" s="51" t="str">
        <f>VLOOKUP($A286,'Выгр Кат'!$A:$R,D$1,0)</f>
        <v>Y</v>
      </c>
      <c r="E286" s="51" t="str">
        <f>VLOOKUP($A286,'Выгр Кат'!$A:$R,E$1,0)</f>
        <v>1ск6</v>
      </c>
      <c r="F286" s="51">
        <f>VLOOKUP($A286,'Выгр Кат'!$A:$R,F$1,0)</f>
        <v>0</v>
      </c>
      <c r="G286" s="51" t="s">
        <v>864</v>
      </c>
      <c r="H286" s="77" t="s">
        <v>527</v>
      </c>
      <c r="I286" s="26">
        <f>VLOOKUP(G286,ПРАЙС!B:C,2,0)</f>
        <v>1700</v>
      </c>
      <c r="J286" s="78">
        <f>VLOOKUP(I286,Наценка!$A$2:$B$9,2,1)</f>
        <v>1.4</v>
      </c>
      <c r="K286" s="63">
        <f>X286*1.04</f>
        <v>2381.6</v>
      </c>
      <c r="L286" s="80">
        <f t="shared" si="92"/>
        <v>2390</v>
      </c>
      <c r="M286" s="51">
        <f>VLOOKUP($A286,'Выгр Кат'!$A:$R,M$1,0)</f>
        <v>1700</v>
      </c>
      <c r="N286" s="51">
        <f>VLOOKUP($A286,'Выгр Кат'!$A:$R,N$1,0)</f>
        <v>2390</v>
      </c>
      <c r="O286" s="25">
        <f t="shared" ref="O286:O299" si="103">M286-I286</f>
        <v>0</v>
      </c>
      <c r="P286" s="25">
        <f t="shared" ref="P286:P299" si="104">N286-L286</f>
        <v>0</v>
      </c>
      <c r="Q286" s="1">
        <f t="shared" si="93"/>
        <v>2222.6999999999998</v>
      </c>
      <c r="R286" s="5">
        <f>IFERROR((VLOOKUP($A286,'Из ГУГЛа'!$B:$G,6,0)+T286)*S286,VLOOKUP($A286,'Из ГУГЛа'!$B:$G,6,0))</f>
        <v>2290</v>
      </c>
      <c r="S286" s="4">
        <v>1</v>
      </c>
      <c r="T286" s="4">
        <v>0</v>
      </c>
      <c r="U286" s="58">
        <f t="shared" si="94"/>
        <v>0.30747058823529394</v>
      </c>
      <c r="V286" s="58">
        <f t="shared" si="95"/>
        <v>2.9388646288209686E-2</v>
      </c>
      <c r="W286" s="58">
        <f t="shared" si="96"/>
        <v>0.34705882352941186</v>
      </c>
      <c r="X286" s="156">
        <v>2290</v>
      </c>
      <c r="Y286" s="44" t="s">
        <v>794</v>
      </c>
    </row>
    <row r="287" spans="1:25" ht="31.5" thickTop="1" thickBot="1" x14ac:dyDescent="0.3">
      <c r="A287" s="51">
        <v>257936</v>
      </c>
      <c r="B287" s="51">
        <f>VLOOKUP($A287,'Выгр Кат'!$A:$R,B$1,0)</f>
        <v>208187</v>
      </c>
      <c r="C287" s="56" t="str">
        <f>VLOOKUP($A287,'Выгр Кат'!$A:$R,C$1,0)</f>
        <v>Бортовой компьютер "ШТАТ" X-1Т для Лада Нива Travel</v>
      </c>
      <c r="D287" s="51" t="str">
        <f>VLOOKUP($A287,'Выгр Кат'!$A:$R,D$1,0)</f>
        <v>Y</v>
      </c>
      <c r="E287" s="51" t="str">
        <f>VLOOKUP($A287,'Выгр Кат'!$A:$R,E$1,0)</f>
        <v>1</v>
      </c>
      <c r="F287" s="51">
        <f>VLOOKUP($A287,'Выгр Кат'!$A:$R,F$1,0)</f>
        <v>0</v>
      </c>
      <c r="G287" s="51" t="s">
        <v>636</v>
      </c>
      <c r="H287" s="77" t="s">
        <v>527</v>
      </c>
      <c r="I287" s="26">
        <f>VLOOKUP(G287,ПРАЙС!B:C,2,0)</f>
        <v>1750</v>
      </c>
      <c r="J287" s="78">
        <f>VLOOKUP(I287,Наценка!$A$2:$B$9,2,1)</f>
        <v>1.4</v>
      </c>
      <c r="K287" s="64">
        <f t="shared" ref="K287:K288" si="105">X287*1.05</f>
        <v>2299.5</v>
      </c>
      <c r="L287" s="80">
        <f t="shared" si="92"/>
        <v>2290</v>
      </c>
      <c r="M287" s="51">
        <f>VLOOKUP($A287,'Выгр Кат'!$A:$R,M$1,0)</f>
        <v>1750</v>
      </c>
      <c r="N287" s="51">
        <f>VLOOKUP($A287,'Выгр Кат'!$A:$R,N$1,0)</f>
        <v>2290</v>
      </c>
      <c r="O287" s="25">
        <f t="shared" si="103"/>
        <v>0</v>
      </c>
      <c r="P287" s="25">
        <f t="shared" si="104"/>
        <v>0</v>
      </c>
      <c r="Q287" s="1">
        <f t="shared" si="93"/>
        <v>2129.6999999999998</v>
      </c>
      <c r="R287" s="5">
        <f>IFERROR((VLOOKUP($A287,'Из ГУГЛа'!$B:$G,6,0)+T287)*S287,VLOOKUP($A287,'Из ГУГЛа'!$B:$G,6,0))</f>
        <v>2190</v>
      </c>
      <c r="S287" s="4">
        <v>1</v>
      </c>
      <c r="T287" s="4">
        <v>0</v>
      </c>
      <c r="U287" s="58">
        <f t="shared" si="94"/>
        <v>0.21697142857142837</v>
      </c>
      <c r="V287" s="58">
        <f t="shared" si="95"/>
        <v>2.753424657534255E-2</v>
      </c>
      <c r="W287" s="58">
        <f t="shared" si="96"/>
        <v>0.25142857142857133</v>
      </c>
      <c r="X287" s="156">
        <v>2190</v>
      </c>
      <c r="Y287" s="44" t="s">
        <v>651</v>
      </c>
    </row>
    <row r="288" spans="1:25" ht="46.5" thickTop="1" thickBot="1" x14ac:dyDescent="0.3">
      <c r="A288" s="51">
        <v>258809</v>
      </c>
      <c r="B288" s="51">
        <f>VLOOKUP($A288,'Выгр Кат'!$A:$R,B$1,0)</f>
        <v>208680</v>
      </c>
      <c r="C288" s="56" t="str">
        <f>VLOOKUP($A288,'Выгр Кат'!$A:$R,C$1,0)</f>
        <v>Комплект модулей на 4 двери "АПЭЛ" МАКС-2 для Лада (Ларгус FL, XRAY), Renault (Clio, Duster, Logan, Sandero)</v>
      </c>
      <c r="D288" s="51" t="str">
        <f>VLOOKUP($A288,'Выгр Кат'!$A:$R,D$1,0)</f>
        <v>Y</v>
      </c>
      <c r="E288" s="51" t="str">
        <f>VLOOKUP($A288,'Выгр Кат'!$A:$R,E$1,0)</f>
        <v>1</v>
      </c>
      <c r="F288" s="51">
        <f>VLOOKUP($A288,'Выгр Кат'!$A:$R,F$1,0)</f>
        <v>0</v>
      </c>
      <c r="G288" s="51" t="s">
        <v>886</v>
      </c>
      <c r="H288" s="77" t="s">
        <v>527</v>
      </c>
      <c r="I288" s="26">
        <f>VLOOKUP(G288,ПРАЙС!B:C,2,0)</f>
        <v>3250</v>
      </c>
      <c r="J288" s="78">
        <f>VLOOKUP(I288,Наценка!$A$2:$B$9,2,1)</f>
        <v>1.29</v>
      </c>
      <c r="K288" s="64">
        <f t="shared" si="105"/>
        <v>4399.5</v>
      </c>
      <c r="L288" s="80">
        <f t="shared" si="92"/>
        <v>4390</v>
      </c>
      <c r="M288" s="51">
        <f>VLOOKUP($A288,'Выгр Кат'!$A:$R,M$1,0)</f>
        <v>3100</v>
      </c>
      <c r="N288" s="51">
        <f>VLOOKUP($A288,'Выгр Кат'!$A:$R,N$1,0)</f>
        <v>4390</v>
      </c>
      <c r="O288" s="25">
        <f t="shared" si="103"/>
        <v>-150</v>
      </c>
      <c r="P288" s="25">
        <f t="shared" si="104"/>
        <v>0</v>
      </c>
      <c r="Q288" s="1">
        <f t="shared" si="93"/>
        <v>4082.7</v>
      </c>
      <c r="R288" s="5">
        <f>IFERROR((VLOOKUP($A288,'Из ГУГЛа'!$B:$G,6,0)+T288)*S288,VLOOKUP($A288,'Из ГУГЛа'!$B:$G,6,0))</f>
        <v>4190</v>
      </c>
      <c r="S288" s="4">
        <v>1</v>
      </c>
      <c r="T288" s="4">
        <v>0</v>
      </c>
      <c r="U288" s="58">
        <f t="shared" si="94"/>
        <v>0.25621538461538451</v>
      </c>
      <c r="V288" s="58">
        <f t="shared" si="95"/>
        <v>2.5608591885441571E-2</v>
      </c>
      <c r="W288" s="58">
        <f t="shared" si="96"/>
        <v>0.28923076923076918</v>
      </c>
      <c r="X288" s="156">
        <v>4190</v>
      </c>
      <c r="Y288" s="44" t="s">
        <v>665</v>
      </c>
    </row>
    <row r="289" spans="1:25" ht="31.5" thickTop="1" thickBot="1" x14ac:dyDescent="0.3">
      <c r="A289" s="51">
        <v>258920</v>
      </c>
      <c r="B289" s="51">
        <f>VLOOKUP($A289,'Выгр Кат'!$A:$R,B$1,0)</f>
        <v>208685</v>
      </c>
      <c r="C289" s="56" t="str">
        <f>VLOOKUP($A289,'Выгр Кат'!$A:$R,C$1,0)</f>
        <v>Модель автоматической тонировки "АПЭЛ" МАКС-2Т 20А</v>
      </c>
      <c r="D289" s="51" t="str">
        <f>VLOOKUP($A289,'Выгр Кат'!$A:$R,D$1,0)</f>
        <v>Y</v>
      </c>
      <c r="E289" s="51" t="str">
        <f>VLOOKUP($A289,'Выгр Кат'!$A:$R,E$1,0)</f>
        <v>0</v>
      </c>
      <c r="F289" s="51">
        <f>VLOOKUP($A289,'Выгр Кат'!$A:$R,F$1,0)</f>
        <v>0</v>
      </c>
      <c r="G289" s="51"/>
      <c r="H289" s="77" t="s">
        <v>527</v>
      </c>
      <c r="I289" s="2">
        <f>M289</f>
        <v>0</v>
      </c>
      <c r="J289" s="78" t="e">
        <f>VLOOKUP(I289,Наценка!$A$2:$B$9,2,1)</f>
        <v>#N/A</v>
      </c>
      <c r="K289" s="64">
        <f t="shared" si="100"/>
        <v>5183.4000000000005</v>
      </c>
      <c r="L289" s="80">
        <f t="shared" si="92"/>
        <v>5190</v>
      </c>
      <c r="M289" s="51">
        <f>VLOOKUP($A289,'Выгр Кат'!$A:$R,M$1,0)</f>
        <v>0</v>
      </c>
      <c r="N289" s="51">
        <f>VLOOKUP($A289,'Выгр Кат'!$A:$R,N$1,0)</f>
        <v>5190</v>
      </c>
      <c r="O289" s="25">
        <f t="shared" si="103"/>
        <v>0</v>
      </c>
      <c r="P289" s="25">
        <f t="shared" si="104"/>
        <v>0</v>
      </c>
      <c r="Q289" s="1">
        <f t="shared" si="93"/>
        <v>4826.7</v>
      </c>
      <c r="R289" s="5">
        <f>IFERROR((VLOOKUP($A289,'Из ГУГЛа'!$B:$G,6,0)+T289)*S289,VLOOKUP($A289,'Из ГУГЛа'!$B:$G,6,0))</f>
        <v>4890</v>
      </c>
      <c r="S289" s="4">
        <v>1</v>
      </c>
      <c r="T289" s="4">
        <v>0</v>
      </c>
      <c r="U289" s="58" t="str">
        <f t="shared" si="94"/>
        <v/>
      </c>
      <c r="V289" s="58">
        <f t="shared" si="95"/>
        <v>1.2944785276073657E-2</v>
      </c>
      <c r="W289" s="58" t="str">
        <f t="shared" si="96"/>
        <v/>
      </c>
      <c r="X289" s="156">
        <v>4890</v>
      </c>
      <c r="Y289" s="44" t="s">
        <v>932</v>
      </c>
    </row>
    <row r="290" spans="1:25" ht="31.5" thickTop="1" thickBot="1" x14ac:dyDescent="0.3">
      <c r="A290" s="51">
        <v>258921</v>
      </c>
      <c r="B290" s="51">
        <f>VLOOKUP($A290,'Выгр Кат'!$A:$R,B$1,0)</f>
        <v>208686</v>
      </c>
      <c r="C290" s="56" t="str">
        <f>VLOOKUP($A290,'Выгр Кат'!$A:$R,C$1,0)</f>
        <v>Модель автоматической тонировки "АПЭЛ" МАКС-2Т 30А</v>
      </c>
      <c r="D290" s="51" t="str">
        <f>VLOOKUP($A290,'Выгр Кат'!$A:$R,D$1,0)</f>
        <v>Y</v>
      </c>
      <c r="E290" s="51" t="str">
        <f>VLOOKUP($A290,'Выгр Кат'!$A:$R,E$1,0)</f>
        <v>1</v>
      </c>
      <c r="F290" s="51">
        <f>VLOOKUP($A290,'Выгр Кат'!$A:$R,F$1,0)</f>
        <v>0</v>
      </c>
      <c r="G290" s="51"/>
      <c r="H290" s="77" t="s">
        <v>527</v>
      </c>
      <c r="I290" s="26" t="e">
        <f>VLOOKUP(G290,ПРАЙС!B:C,2,0)</f>
        <v>#N/A</v>
      </c>
      <c r="J290" s="78" t="e">
        <f>VLOOKUP(I290,Наценка!$A$2:$B$9,2,1)</f>
        <v>#N/A</v>
      </c>
      <c r="K290" s="64">
        <f t="shared" ref="K290" si="106">X290*1.05</f>
        <v>5449.5</v>
      </c>
      <c r="L290" s="80">
        <f t="shared" si="92"/>
        <v>5490</v>
      </c>
      <c r="M290" s="51">
        <f>VLOOKUP($A290,'Выгр Кат'!$A:$R,M$1,0)</f>
        <v>0</v>
      </c>
      <c r="N290" s="51">
        <f>VLOOKUP($A290,'Выгр Кат'!$A:$R,N$1,0)</f>
        <v>5490</v>
      </c>
      <c r="O290" s="25" t="e">
        <f t="shared" si="103"/>
        <v>#N/A</v>
      </c>
      <c r="P290" s="25">
        <f t="shared" si="104"/>
        <v>0</v>
      </c>
      <c r="Q290" s="1">
        <f t="shared" si="93"/>
        <v>5105.7</v>
      </c>
      <c r="R290" s="5">
        <f>IFERROR((VLOOKUP($A290,'Из ГУГЛа'!$B:$G,6,0)+T290)*S290,VLOOKUP($A290,'Из ГУГЛа'!$B:$G,6,0))</f>
        <v>5190</v>
      </c>
      <c r="S290" s="4">
        <v>1</v>
      </c>
      <c r="T290" s="4">
        <v>0</v>
      </c>
      <c r="U290" s="58" t="str">
        <f t="shared" si="94"/>
        <v/>
      </c>
      <c r="V290" s="58">
        <f t="shared" si="95"/>
        <v>1.6242774566474022E-2</v>
      </c>
      <c r="W290" s="58" t="str">
        <f t="shared" si="96"/>
        <v/>
      </c>
      <c r="X290" s="156">
        <v>5190</v>
      </c>
      <c r="Y290" s="44" t="s">
        <v>931</v>
      </c>
    </row>
    <row r="291" spans="1:25" ht="61.5" thickTop="1" thickBot="1" x14ac:dyDescent="0.3">
      <c r="A291" s="51">
        <v>258922</v>
      </c>
      <c r="B291" s="51">
        <f>VLOOKUP($A291,'Выгр Кат'!$A:$R,B$1,0)</f>
        <v>208679</v>
      </c>
      <c r="C291" s="56" t="str">
        <f>VLOOKUP($A291,'Выгр Кат'!$A:$R,C$1,0)</f>
        <v>Модуль автоматического контроллера стеклоподъёмников "АПЭЛ" МАКС-2 для Лада (Ларгус FL, XRAY), Renault (Clio, Duster, Logan, Sandero)</v>
      </c>
      <c r="D291" s="51" t="str">
        <f>VLOOKUP($A291,'Выгр Кат'!$A:$R,D$1,0)</f>
        <v>Y</v>
      </c>
      <c r="E291" s="51" t="str">
        <f>VLOOKUP($A291,'Выгр Кат'!$A:$R,E$1,0)</f>
        <v>1</v>
      </c>
      <c r="F291" s="51">
        <f>VLOOKUP($A291,'Выгр Кат'!$A:$R,F$1,0)</f>
        <v>0</v>
      </c>
      <c r="G291" s="51" t="s">
        <v>887</v>
      </c>
      <c r="H291" s="77" t="s">
        <v>527</v>
      </c>
      <c r="I291" s="26">
        <f>VLOOKUP(G291,ПРАЙС!B:C,2,0)</f>
        <v>2100</v>
      </c>
      <c r="J291" s="78">
        <f>VLOOKUP(I291,Наценка!$A$2:$B$9,2,1)</f>
        <v>1.29</v>
      </c>
      <c r="K291" s="62">
        <f>X291*1.02</f>
        <v>2845.8</v>
      </c>
      <c r="L291" s="80">
        <f t="shared" si="92"/>
        <v>2890</v>
      </c>
      <c r="M291" s="51">
        <f>VLOOKUP($A291,'Выгр Кат'!$A:$R,M$1,0)</f>
        <v>2050</v>
      </c>
      <c r="N291" s="51">
        <f>VLOOKUP($A291,'Выгр Кат'!$A:$R,N$1,0)</f>
        <v>2890</v>
      </c>
      <c r="O291" s="25">
        <f t="shared" si="103"/>
        <v>-50</v>
      </c>
      <c r="P291" s="25">
        <f t="shared" si="104"/>
        <v>0</v>
      </c>
      <c r="Q291" s="1">
        <f t="shared" si="93"/>
        <v>2687.7</v>
      </c>
      <c r="R291" s="5">
        <f>IFERROR((VLOOKUP($A291,'Из ГУГЛа'!$B:$G,6,0)+T291)*S291,VLOOKUP($A291,'Из ГУГЛа'!$B:$G,6,0))</f>
        <v>2790</v>
      </c>
      <c r="S291" s="4">
        <v>1</v>
      </c>
      <c r="T291" s="4">
        <v>0</v>
      </c>
      <c r="U291" s="58">
        <f t="shared" si="94"/>
        <v>0.2798571428571428</v>
      </c>
      <c r="V291" s="58">
        <f t="shared" si="95"/>
        <v>3.6666666666666729E-2</v>
      </c>
      <c r="W291" s="58">
        <f t="shared" si="96"/>
        <v>0.32857142857142851</v>
      </c>
      <c r="X291" s="156">
        <v>2790</v>
      </c>
      <c r="Y291" s="44" t="s">
        <v>664</v>
      </c>
    </row>
    <row r="292" spans="1:25" ht="46.5" thickTop="1" thickBot="1" x14ac:dyDescent="0.3">
      <c r="A292" s="51">
        <v>258923</v>
      </c>
      <c r="B292" s="51">
        <f>VLOOKUP($A292,'Выгр Кат'!$A:$R,B$1,0)</f>
        <v>208653</v>
      </c>
      <c r="C292" s="56" t="str">
        <f>VLOOKUP($A292,'Выгр Кат'!$A:$R,C$1,0)</f>
        <v>Модуль автоматического контроллера стеклоподъемников "АПЭЛ" МАКС-2 для Лада Калина</v>
      </c>
      <c r="D292" s="51" t="str">
        <f>VLOOKUP($A292,'Выгр Кат'!$A:$R,D$1,0)</f>
        <v>Y</v>
      </c>
      <c r="E292" s="51" t="str">
        <f>VLOOKUP($A292,'Выгр Кат'!$A:$R,E$1,0)</f>
        <v>1</v>
      </c>
      <c r="F292" s="51">
        <f>VLOOKUP($A292,'Выгр Кат'!$A:$R,F$1,0)</f>
        <v>0</v>
      </c>
      <c r="G292" s="51" t="s">
        <v>888</v>
      </c>
      <c r="H292" s="77" t="s">
        <v>527</v>
      </c>
      <c r="I292" s="26">
        <f>VLOOKUP(G292,ПРАЙС!B:C,2,0)</f>
        <v>1900</v>
      </c>
      <c r="J292" s="78">
        <f>VLOOKUP(I292,Наценка!$A$2:$B$9,2,1)</f>
        <v>1.4</v>
      </c>
      <c r="K292" s="63">
        <f t="shared" ref="K292" si="107">X292*1.04</f>
        <v>2693.6</v>
      </c>
      <c r="L292" s="80">
        <f t="shared" si="92"/>
        <v>2690</v>
      </c>
      <c r="M292" s="51">
        <f>VLOOKUP($A292,'Выгр Кат'!$A:$R,M$1,0)</f>
        <v>1850</v>
      </c>
      <c r="N292" s="51">
        <f>VLOOKUP($A292,'Выгр Кат'!$A:$R,N$1,0)</f>
        <v>2690</v>
      </c>
      <c r="O292" s="25">
        <f t="shared" si="103"/>
        <v>-50</v>
      </c>
      <c r="P292" s="25">
        <f t="shared" si="104"/>
        <v>0</v>
      </c>
      <c r="Q292" s="1">
        <f t="shared" si="93"/>
        <v>2501.6999999999998</v>
      </c>
      <c r="R292" s="5">
        <f>IFERROR((VLOOKUP($A292,'Из ГУГЛа'!$B:$G,6,0)+T292)*S292,VLOOKUP($A292,'Из ГУГЛа'!$B:$G,6,0))</f>
        <v>2590</v>
      </c>
      <c r="S292" s="4">
        <v>1</v>
      </c>
      <c r="T292" s="4">
        <v>0</v>
      </c>
      <c r="U292" s="58">
        <f t="shared" si="94"/>
        <v>0.31668421052631568</v>
      </c>
      <c r="V292" s="58">
        <f t="shared" si="95"/>
        <v>3.4092664092664163E-2</v>
      </c>
      <c r="W292" s="58">
        <f t="shared" si="96"/>
        <v>0.36315789473684212</v>
      </c>
      <c r="X292" s="156">
        <v>2590</v>
      </c>
      <c r="Y292" s="44" t="s">
        <v>660</v>
      </c>
    </row>
    <row r="293" spans="1:25" ht="31.5" thickTop="1" thickBot="1" x14ac:dyDescent="0.3">
      <c r="A293" s="51">
        <v>258924</v>
      </c>
      <c r="B293" s="51">
        <f>VLOOKUP($A293,'Выгр Кат'!$A:$R,B$1,0)</f>
        <v>208668</v>
      </c>
      <c r="C293" s="56" t="str">
        <f>VLOOKUP($A293,'Выгр Кат'!$A:$R,C$1,0)</f>
        <v>Модуль плавного включения подсветки комбинации приборов "АПЭЛ"</v>
      </c>
      <c r="D293" s="51" t="str">
        <f>VLOOKUP($A293,'Выгр Кат'!$A:$R,D$1,0)</f>
        <v>Y</v>
      </c>
      <c r="E293" s="51" t="str">
        <f>VLOOKUP($A293,'Выгр Кат'!$A:$R,E$1,0)</f>
        <v>0</v>
      </c>
      <c r="F293" s="51">
        <f>VLOOKUP($A293,'Выгр Кат'!$A:$R,F$1,0)</f>
        <v>0</v>
      </c>
      <c r="G293" s="51"/>
      <c r="H293" s="77" t="s">
        <v>527</v>
      </c>
      <c r="I293" s="2">
        <f>M293</f>
        <v>0</v>
      </c>
      <c r="J293" s="78" t="e">
        <f>VLOOKUP(I293,Наценка!$A$2:$B$9,2,1)</f>
        <v>#N/A</v>
      </c>
      <c r="K293" s="64">
        <f t="shared" si="100"/>
        <v>625.4</v>
      </c>
      <c r="L293" s="80">
        <f t="shared" si="92"/>
        <v>629</v>
      </c>
      <c r="M293" s="51">
        <f>VLOOKUP($A293,'Выгр Кат'!$A:$R,M$1,0)</f>
        <v>0</v>
      </c>
      <c r="N293" s="51">
        <f>VLOOKUP($A293,'Выгр Кат'!$A:$R,N$1,0)</f>
        <v>629</v>
      </c>
      <c r="O293" s="25">
        <f t="shared" si="103"/>
        <v>0</v>
      </c>
      <c r="P293" s="25">
        <f t="shared" si="104"/>
        <v>0</v>
      </c>
      <c r="Q293" s="1">
        <f t="shared" si="93"/>
        <v>584.96999999999991</v>
      </c>
      <c r="R293" s="5">
        <f>IFERROR((VLOOKUP($A293,'Из ГУГЛа'!$B:$G,6,0)+T293)*S293,VLOOKUP($A293,'Из ГУГЛа'!$B:$G,6,0))</f>
        <v>590</v>
      </c>
      <c r="S293" s="4">
        <v>1</v>
      </c>
      <c r="T293" s="4">
        <v>0</v>
      </c>
      <c r="U293" s="58" t="str">
        <f t="shared" si="94"/>
        <v/>
      </c>
      <c r="V293" s="58">
        <f t="shared" si="95"/>
        <v>8.5254237288137063E-3</v>
      </c>
      <c r="W293" s="58" t="str">
        <f t="shared" si="96"/>
        <v/>
      </c>
      <c r="X293" s="156">
        <v>590</v>
      </c>
      <c r="Y293" s="44" t="s">
        <v>930</v>
      </c>
    </row>
    <row r="294" spans="1:25" ht="31.5" thickTop="1" thickBot="1" x14ac:dyDescent="0.3">
      <c r="A294" s="51">
        <v>268740</v>
      </c>
      <c r="B294" s="51">
        <f>VLOOKUP($A294,'Выгр Кат'!$A:$R,B$1,0)</f>
        <v>216302</v>
      </c>
      <c r="C294" s="56" t="str">
        <f>VLOOKUP($A294,'Выгр Кат'!$A:$R,C$1,0)</f>
        <v>Предпусковой подогреватель двигателя "Магнум" мощность 1,5кВт для Лада Веста</v>
      </c>
      <c r="D294" s="51" t="str">
        <f>VLOOKUP($A294,'Выгр Кат'!$A:$R,D$1,0)</f>
        <v>Y</v>
      </c>
      <c r="E294" s="51" t="str">
        <f>VLOOKUP($A294,'Выгр Кат'!$A:$R,E$1,0)</f>
        <v>1</v>
      </c>
      <c r="F294" s="51">
        <f>VLOOKUP($A294,'Выгр Кат'!$A:$R,F$1,0)</f>
        <v>0</v>
      </c>
      <c r="G294" s="51"/>
      <c r="H294" s="77" t="s">
        <v>527</v>
      </c>
      <c r="I294" s="2">
        <f>M294</f>
        <v>1350</v>
      </c>
      <c r="J294" s="78">
        <f>VLOOKUP(I294,Наценка!$A$2:$B$9,2,1)</f>
        <v>1.4</v>
      </c>
      <c r="K294" s="79">
        <f t="shared" si="91"/>
        <v>1889.9999999999998</v>
      </c>
      <c r="L294" s="80">
        <f t="shared" si="92"/>
        <v>1890</v>
      </c>
      <c r="M294" s="51">
        <f>VLOOKUP($A294,'Выгр Кат'!$A:$R,M$1,0)</f>
        <v>1350</v>
      </c>
      <c r="N294" s="51">
        <f>VLOOKUP($A294,'Выгр Кат'!$A:$R,N$1,0)</f>
        <v>1890</v>
      </c>
      <c r="O294" s="25">
        <f t="shared" si="103"/>
        <v>0</v>
      </c>
      <c r="P294" s="25">
        <f t="shared" si="104"/>
        <v>0</v>
      </c>
      <c r="Q294" s="1">
        <f t="shared" si="93"/>
        <v>1757.6999999999998</v>
      </c>
      <c r="R294" s="5" t="str">
        <f>IFERROR((VLOOKUP($A294,'Из ГУГЛа'!$B:$G,6,0)+T294)*S294,VLOOKUP($A294,'Из ГУГЛа'!$B:$G,6,0))</f>
        <v/>
      </c>
      <c r="S294" s="4">
        <v>1</v>
      </c>
      <c r="T294" s="4">
        <v>0</v>
      </c>
      <c r="U294" s="58">
        <f t="shared" si="94"/>
        <v>0.30199999999999982</v>
      </c>
      <c r="V294" s="58" t="str">
        <f t="shared" si="95"/>
        <v/>
      </c>
      <c r="W294" s="58" t="str">
        <f t="shared" si="96"/>
        <v/>
      </c>
      <c r="X294" s="156" t="s">
        <v>929</v>
      </c>
    </row>
    <row r="295" spans="1:25" ht="46.5" thickTop="1" thickBot="1" x14ac:dyDescent="0.3">
      <c r="A295" s="51">
        <v>268741</v>
      </c>
      <c r="B295" s="51">
        <f>VLOOKUP($A295,'Выгр Кат'!$A:$R,B$1,0)</f>
        <v>216301</v>
      </c>
      <c r="C295" s="56" t="str">
        <f>VLOOKUP($A295,'Выгр Кат'!$A:$R,C$1,0)</f>
        <v>Предпусковой подогреватель двигателя "Магнум" мощность 1,5кВт для УАЗ Патриот, Iveco Daily 35-8, Ford Transit</v>
      </c>
      <c r="D295" s="51" t="str">
        <f>VLOOKUP($A295,'Выгр Кат'!$A:$R,D$1,0)</f>
        <v>Y</v>
      </c>
      <c r="E295" s="51" t="str">
        <f>VLOOKUP($A295,'Выгр Кат'!$A:$R,E$1,0)</f>
        <v>1</v>
      </c>
      <c r="F295" s="51">
        <f>VLOOKUP($A295,'Выгр Кат'!$A:$R,F$1,0)</f>
        <v>0</v>
      </c>
      <c r="G295" s="51"/>
      <c r="H295" s="77" t="s">
        <v>527</v>
      </c>
      <c r="I295" s="2">
        <f>M295</f>
        <v>1650</v>
      </c>
      <c r="J295" s="78">
        <f>VLOOKUP(I295,Наценка!$A$2:$B$9,2,1)</f>
        <v>1.4</v>
      </c>
      <c r="K295" s="79">
        <f t="shared" si="91"/>
        <v>2310</v>
      </c>
      <c r="L295" s="80">
        <f t="shared" si="92"/>
        <v>2390</v>
      </c>
      <c r="M295" s="51">
        <f>VLOOKUP($A295,'Выгр Кат'!$A:$R,M$1,0)</f>
        <v>1650</v>
      </c>
      <c r="N295" s="51">
        <f>VLOOKUP($A295,'Выгр Кат'!$A:$R,N$1,0)</f>
        <v>2390</v>
      </c>
      <c r="O295" s="25">
        <f t="shared" si="103"/>
        <v>0</v>
      </c>
      <c r="P295" s="25">
        <f t="shared" si="104"/>
        <v>0</v>
      </c>
      <c r="Q295" s="1">
        <f t="shared" si="93"/>
        <v>2222.6999999999998</v>
      </c>
      <c r="R295" s="5" t="str">
        <f>IFERROR((VLOOKUP($A295,'Из ГУГЛа'!$B:$G,6,0)+T295)*S295,VLOOKUP($A295,'Из ГУГЛа'!$B:$G,6,0))</f>
        <v/>
      </c>
      <c r="S295" s="4">
        <v>1</v>
      </c>
      <c r="T295" s="4">
        <v>0</v>
      </c>
      <c r="U295" s="58">
        <f t="shared" si="94"/>
        <v>0.34709090909090889</v>
      </c>
      <c r="V295" s="58" t="str">
        <f t="shared" si="95"/>
        <v/>
      </c>
      <c r="W295" s="58" t="str">
        <f t="shared" si="96"/>
        <v/>
      </c>
      <c r="X295" s="156" t="s">
        <v>929</v>
      </c>
    </row>
    <row r="296" spans="1:25" ht="31.5" thickTop="1" thickBot="1" x14ac:dyDescent="0.3">
      <c r="A296" s="51">
        <v>201294</v>
      </c>
      <c r="B296" s="51">
        <f>VLOOKUP($A296,'Выгр Кат'!$A:$R,B$1,0)</f>
        <v>13585</v>
      </c>
      <c r="C296" s="56" t="str">
        <f>VLOOKUP($A296,'Выгр Кат'!$A:$R,C$1,0)</f>
        <v>Проводка противотуманных фар (ПТФ) для Лада Веста</v>
      </c>
      <c r="D296" s="51" t="str">
        <f>VLOOKUP($A296,'Выгр Кат'!$A:$R,D$1,0)</f>
        <v>Y</v>
      </c>
      <c r="E296" s="51" t="str">
        <f>VLOOKUP($A296,'Выгр Кат'!$A:$R,E$1,0)</f>
        <v>1</v>
      </c>
      <c r="F296" s="51">
        <f>VLOOKUP($A296,'Выгр Кат'!$A:$R,F$1,0)</f>
        <v>0</v>
      </c>
      <c r="G296" s="51" t="s">
        <v>141</v>
      </c>
      <c r="H296" s="77" t="s">
        <v>527</v>
      </c>
      <c r="I296" s="26">
        <f>VLOOKUP(G296,ПРАЙС!B:C,2,0)</f>
        <v>2500</v>
      </c>
      <c r="J296" s="78">
        <f>VLOOKUP(I296,Наценка!$A$2:$B$9,2,1)</f>
        <v>1.29</v>
      </c>
      <c r="K296" s="64">
        <f>X296*1.06</f>
        <v>3487.4</v>
      </c>
      <c r="L296" s="80">
        <f t="shared" si="92"/>
        <v>3490</v>
      </c>
      <c r="M296" s="51">
        <f>VLOOKUP($A296,'Выгр Кат'!$A:$R,M$1,0)</f>
        <v>2500</v>
      </c>
      <c r="N296" s="51">
        <f>VLOOKUP($A296,'Выгр Кат'!$A:$R,N$1,0)</f>
        <v>3490</v>
      </c>
      <c r="O296" s="25">
        <f t="shared" si="103"/>
        <v>0</v>
      </c>
      <c r="P296" s="25">
        <f t="shared" si="104"/>
        <v>0</v>
      </c>
      <c r="Q296" s="1">
        <f t="shared" si="93"/>
        <v>3245.7</v>
      </c>
      <c r="R296" s="5">
        <f>IFERROR((VLOOKUP($A296,'Из ГУГЛа'!$B:$G,6,0)+T296)*S296,VLOOKUP($A296,'Из ГУГЛа'!$B:$G,6,0))</f>
        <v>3290</v>
      </c>
      <c r="S296" s="4">
        <v>1</v>
      </c>
      <c r="T296" s="4">
        <v>0</v>
      </c>
      <c r="U296" s="58">
        <f t="shared" si="94"/>
        <v>0.29827999999999988</v>
      </c>
      <c r="V296" s="58">
        <f t="shared" si="95"/>
        <v>1.3465045592705222E-2</v>
      </c>
      <c r="W296" s="58">
        <f t="shared" si="96"/>
        <v>0.31600000000000006</v>
      </c>
      <c r="X296" s="156">
        <v>3290</v>
      </c>
      <c r="Y296" s="44" t="s">
        <v>661</v>
      </c>
    </row>
    <row r="297" spans="1:25" ht="31.5" thickTop="1" thickBot="1" x14ac:dyDescent="0.3">
      <c r="A297" s="51">
        <v>324951</v>
      </c>
      <c r="B297" s="51">
        <f>VLOOKUP($A297,'Выгр Кат'!$A:$R,B$1,0)</f>
        <v>324951</v>
      </c>
      <c r="C297" s="56" t="str">
        <f>VLOOKUP($A297,'Выгр Кат'!$A:$R,C$1,0)</f>
        <v>Проводка противотуманных фар (ПТФ) для Шевроле Нива (до 2009 г. в.)</v>
      </c>
      <c r="D297" s="51" t="str">
        <f>VLOOKUP($A297,'Выгр Кат'!$A:$R,D$1,0)</f>
        <v>Y</v>
      </c>
      <c r="E297" s="51" t="str">
        <f>VLOOKUP($A297,'Выгр Кат'!$A:$R,E$1,0)</f>
        <v>1</v>
      </c>
      <c r="F297" s="51">
        <f>VLOOKUP($A297,'Выгр Кат'!$A:$R,F$1,0)</f>
        <v>0</v>
      </c>
      <c r="G297" s="51" t="s">
        <v>89</v>
      </c>
      <c r="H297" s="77" t="s">
        <v>527</v>
      </c>
      <c r="I297" s="26">
        <f>VLOOKUP(G297,ПРАЙС!B:C,2,0)</f>
        <v>700</v>
      </c>
      <c r="J297" s="78">
        <f>VLOOKUP(I297,Наценка!$A$2:$B$9,2,1)</f>
        <v>1.6</v>
      </c>
      <c r="K297" s="79">
        <f t="shared" si="91"/>
        <v>1120</v>
      </c>
      <c r="L297" s="80">
        <f t="shared" ref="L297:L298" si="108">IF(K297&lt;=1000,(ROUNDUP(K297,-1)-1),(ROUNDUP(K297,-2)-10))</f>
        <v>1190</v>
      </c>
      <c r="M297" s="51">
        <f>VLOOKUP($A297,'Выгр Кат'!$A:$R,M$1,0)</f>
        <v>700</v>
      </c>
      <c r="N297" s="51">
        <f>VLOOKUP($A297,'Выгр Кат'!$A:$R,N$1,0)</f>
        <v>1190</v>
      </c>
      <c r="O297" s="25">
        <f t="shared" ref="O297:O298" si="109">M297-I297</f>
        <v>0</v>
      </c>
      <c r="P297" s="25">
        <f t="shared" ref="P297:P298" si="110">N297-L297</f>
        <v>0</v>
      </c>
      <c r="Q297" s="1">
        <f t="shared" ref="Q297:Q298" si="111">IFERROR(L297*(1-$Q$2),"")</f>
        <v>1106.6999999999998</v>
      </c>
      <c r="R297" s="5" t="str">
        <f>IFERROR((VLOOKUP($A297,'Из ГУГЛа'!$B:$G,6,0)+T297)*S297,VLOOKUP($A297,'Из ГУГЛа'!$B:$G,6,0))</f>
        <v/>
      </c>
      <c r="S297" s="4">
        <v>1</v>
      </c>
      <c r="T297" s="4">
        <v>0</v>
      </c>
      <c r="U297" s="58">
        <f t="shared" ref="U297:U298" si="112">IFERROR(Q297/I297-1,"")</f>
        <v>0.58099999999999974</v>
      </c>
      <c r="V297" s="58" t="str">
        <f t="shared" ref="V297:V298" si="113">IFERROR((X297-Q297)/X297,"")</f>
        <v/>
      </c>
      <c r="W297" s="58" t="str">
        <f t="shared" ref="W297:W298" si="114">IFERROR(IF(X297="","",X297/I297-1),"")</f>
        <v/>
      </c>
      <c r="X297" s="156" t="s">
        <v>928</v>
      </c>
    </row>
    <row r="298" spans="1:25" ht="31.5" thickTop="1" thickBot="1" x14ac:dyDescent="0.3">
      <c r="A298" s="51">
        <v>347232</v>
      </c>
      <c r="B298" s="51">
        <f>VLOOKUP($A298,'Выгр Кат'!$A:$R,B$1,0)</f>
        <v>347232</v>
      </c>
      <c r="C298" s="56" t="str">
        <f>VLOOKUP($A298,'Выгр Кат'!$A:$R,C$1,0)</f>
        <v>Бортовой компьютер "Штат" МК-3 Универсальный</v>
      </c>
      <c r="D298" s="51" t="str">
        <f>VLOOKUP($A298,'Выгр Кат'!$A:$R,D$1,0)</f>
        <v>Y</v>
      </c>
      <c r="E298" s="51" t="str">
        <f>VLOOKUP($A298,'Выгр Кат'!$A:$R,E$1,0)</f>
        <v>1</v>
      </c>
      <c r="F298" s="51">
        <f>VLOOKUP($A298,'Выгр Кат'!$A:$R,F$1,0)</f>
        <v>0</v>
      </c>
      <c r="G298" s="51" t="s">
        <v>466</v>
      </c>
      <c r="H298" s="77" t="s">
        <v>527</v>
      </c>
      <c r="I298" s="26">
        <f>VLOOKUP(G298,ПРАЙС!B:C,2,0)</f>
        <v>1800</v>
      </c>
      <c r="J298" s="78">
        <f>VLOOKUP(I298,Наценка!$A$2:$B$9,2,1)</f>
        <v>1.4</v>
      </c>
      <c r="K298" s="63">
        <f>X298*1.04</f>
        <v>2485.6</v>
      </c>
      <c r="L298" s="80">
        <f t="shared" si="108"/>
        <v>2490</v>
      </c>
      <c r="M298" s="51">
        <f>VLOOKUP($A298,'Выгр Кат'!$A:$R,M$1,0)</f>
        <v>1800</v>
      </c>
      <c r="N298" s="51">
        <f>VLOOKUP($A298,'Выгр Кат'!$A:$R,N$1,0)</f>
        <v>2490</v>
      </c>
      <c r="O298" s="25">
        <f t="shared" si="109"/>
        <v>0</v>
      </c>
      <c r="P298" s="25">
        <f t="shared" si="110"/>
        <v>0</v>
      </c>
      <c r="Q298" s="1">
        <f t="shared" si="111"/>
        <v>2315.6999999999998</v>
      </c>
      <c r="R298" s="5">
        <f>IFERROR((VLOOKUP($A298,'Из ГУГЛа'!$B:$G,6,0)+T298)*S298,VLOOKUP($A298,'Из ГУГЛа'!$B:$G,6,0))</f>
        <v>2390</v>
      </c>
      <c r="S298" s="4">
        <v>1</v>
      </c>
      <c r="T298" s="4">
        <v>0</v>
      </c>
      <c r="U298" s="58">
        <f t="shared" si="112"/>
        <v>0.28649999999999998</v>
      </c>
      <c r="V298" s="58">
        <f t="shared" si="113"/>
        <v>3.1087866108786687E-2</v>
      </c>
      <c r="W298" s="58">
        <f t="shared" si="114"/>
        <v>0.32777777777777772</v>
      </c>
      <c r="X298" s="156">
        <v>2390</v>
      </c>
      <c r="Y298" s="44" t="s">
        <v>927</v>
      </c>
    </row>
    <row r="299" spans="1:25" ht="27.75" thickTop="1" thickBot="1" x14ac:dyDescent="0.3">
      <c r="A299" s="51">
        <v>344585</v>
      </c>
      <c r="B299" s="51">
        <f>VLOOKUP($A299,'Выгр Кат'!$A:$R,B$1,0)</f>
        <v>344585</v>
      </c>
      <c r="C299" s="56" t="str">
        <f>VLOOKUP($A299,'Выгр Кат'!$A:$R,C$1,0)</f>
        <v>Бортовой компьютер Multitronics RC-701</v>
      </c>
      <c r="D299" s="51" t="str">
        <f>VLOOKUP($A299,'Выгр Кат'!$A:$R,D$1,0)</f>
        <v>Y</v>
      </c>
      <c r="E299" s="51" t="str">
        <f>VLOOKUP($A299,'Выгр Кат'!$A:$R,E$1,0)</f>
        <v>1</v>
      </c>
      <c r="F299" s="51" t="str">
        <f>VLOOKUP($A299,'Выгр Кат'!$A:$R,F$1,0)</f>
        <v>RC-701</v>
      </c>
      <c r="G299" s="51"/>
      <c r="H299" s="77" t="s">
        <v>527</v>
      </c>
      <c r="I299" s="26" t="e">
        <f>VLOOKUP(G299,ПРАЙС!B:C,2,0)</f>
        <v>#N/A</v>
      </c>
      <c r="J299" s="78" t="e">
        <f>VLOOKUP(I299,Наценка!$A$2:$B$9,2,1)</f>
        <v>#N/A</v>
      </c>
      <c r="K299" s="79" t="e">
        <f t="shared" ref="K299" si="115">I299*J299</f>
        <v>#N/A</v>
      </c>
      <c r="L299" s="80" t="e">
        <f t="shared" si="92"/>
        <v>#N/A</v>
      </c>
      <c r="M299" s="51">
        <f>VLOOKUP($A299,'Выгр Кат'!$A:$R,M$1,0)</f>
        <v>10800</v>
      </c>
      <c r="N299" s="51">
        <f>VLOOKUP($A299,'Выгр Кат'!$A:$R,N$1,0)</f>
        <v>14090</v>
      </c>
      <c r="O299" s="25" t="e">
        <f t="shared" si="103"/>
        <v>#N/A</v>
      </c>
      <c r="P299" s="25" t="e">
        <f t="shared" si="104"/>
        <v>#N/A</v>
      </c>
      <c r="Q299" s="1" t="str">
        <f t="shared" si="93"/>
        <v/>
      </c>
      <c r="R299" s="5" t="str">
        <f>IFERROR((VLOOKUP($A299,'Из ГУГЛа'!$B:$G,6,0)+T299)*S299,VLOOKUP($A299,'Из ГУГЛа'!$B:$G,6,0))</f>
        <v/>
      </c>
      <c r="S299" s="4">
        <v>1</v>
      </c>
      <c r="T299" s="4">
        <v>0</v>
      </c>
      <c r="U299" s="58" t="str">
        <f t="shared" si="94"/>
        <v/>
      </c>
      <c r="V299" s="58" t="str">
        <f t="shared" si="95"/>
        <v/>
      </c>
      <c r="W299" s="58" t="str">
        <f t="shared" si="96"/>
        <v/>
      </c>
      <c r="X299" s="156" t="s">
        <v>929</v>
      </c>
    </row>
    <row r="300" spans="1:25" ht="15.75" thickTop="1" x14ac:dyDescent="0.25">
      <c r="A300" s="19"/>
      <c r="B300" s="19"/>
    </row>
    <row r="301" spans="1:25" x14ac:dyDescent="0.25">
      <c r="K301" s="85">
        <f>I301*J301*100/93</f>
        <v>0</v>
      </c>
    </row>
    <row r="302" spans="1:25" x14ac:dyDescent="0.25">
      <c r="K302" s="61">
        <f>X302*1</f>
        <v>0</v>
      </c>
    </row>
    <row r="303" spans="1:25" x14ac:dyDescent="0.25">
      <c r="K303" s="62">
        <f>X303*1.02</f>
        <v>0</v>
      </c>
    </row>
    <row r="304" spans="1:25" x14ac:dyDescent="0.25">
      <c r="K304" s="63">
        <f>X304*1.04</f>
        <v>0</v>
      </c>
    </row>
    <row r="305" spans="11:11" x14ac:dyDescent="0.25">
      <c r="K305" s="64">
        <f>X305*1.05</f>
        <v>0</v>
      </c>
    </row>
    <row r="306" spans="11:11" x14ac:dyDescent="0.25">
      <c r="K306" s="64">
        <f>X306*1.06</f>
        <v>0</v>
      </c>
    </row>
    <row r="307" spans="11:11" x14ac:dyDescent="0.25">
      <c r="K307" s="65">
        <f>X307*1.07</f>
        <v>0</v>
      </c>
    </row>
    <row r="308" spans="11:11" x14ac:dyDescent="0.25">
      <c r="K308" s="86">
        <f>X308*1.08</f>
        <v>0</v>
      </c>
    </row>
    <row r="309" spans="11:11" x14ac:dyDescent="0.25">
      <c r="K309" s="87">
        <f>I309*1.15*100/93</f>
        <v>0</v>
      </c>
    </row>
  </sheetData>
  <autoFilter ref="A2:Y299" xr:uid="{00000000-0001-0000-0000-000000000000}"/>
  <conditionalFormatting sqref="C3:C299">
    <cfRule type="expression" dxfId="14" priority="6">
      <formula>OR(D3="N",E3="0")</formula>
    </cfRule>
  </conditionalFormatting>
  <conditionalFormatting sqref="A3:A299">
    <cfRule type="expression" dxfId="13" priority="5">
      <formula>AND($O3=0,$P3=0)</formula>
    </cfRule>
  </conditionalFormatting>
  <conditionalFormatting sqref="U3:U299 W3:W299">
    <cfRule type="cellIs" dxfId="12" priority="4" operator="lessThan">
      <formula>0.15</formula>
    </cfRule>
  </conditionalFormatting>
  <conditionalFormatting sqref="V3:V299">
    <cfRule type="cellIs" dxfId="11" priority="3" operator="lessThan">
      <formula>0%</formula>
    </cfRule>
  </conditionalFormatting>
  <conditionalFormatting sqref="R2:R299">
    <cfRule type="expression" dxfId="10" priority="1">
      <formula>VALUE(R2)&lt;&gt;X2</formula>
    </cfRule>
  </conditionalFormatting>
  <hyperlinks>
    <hyperlink ref="G277" r:id="rId1" xr:uid="{62F1333C-E1D7-46B8-9360-FF09F935768D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72045-06A4-46F8-BA1E-BD58408D1543}">
  <sheetPr codeName="Лист7"/>
  <dimension ref="A1:AA36"/>
  <sheetViews>
    <sheetView topLeftCell="B1" zoomScaleNormal="100" workbookViewId="0">
      <pane ySplit="2" topLeftCell="A3" activePane="bottomLeft" state="frozen"/>
      <selection pane="bottomLeft" activeCell="H5" sqref="H5"/>
    </sheetView>
  </sheetViews>
  <sheetFormatPr defaultRowHeight="15" outlineLevelCol="1" x14ac:dyDescent="0.25"/>
  <cols>
    <col min="1" max="1" width="38.85546875" style="44" customWidth="1" outlineLevel="1"/>
    <col min="2" max="3" width="9.140625" style="44"/>
    <col min="4" max="4" width="40.85546875" style="45" customWidth="1"/>
    <col min="5" max="5" width="2" style="44" bestFit="1" customWidth="1"/>
    <col min="6" max="6" width="3" style="44" bestFit="1" customWidth="1"/>
    <col min="7" max="7" width="9.140625" style="44"/>
    <col min="8" max="8" width="13.42578125" style="44" customWidth="1"/>
    <col min="9" max="9" width="32.85546875" style="44" customWidth="1"/>
    <col min="10" max="10" width="5.28515625" style="44" bestFit="1" customWidth="1"/>
    <col min="11" max="11" width="6.28515625" style="48" customWidth="1"/>
    <col min="12" max="12" width="5" style="44" customWidth="1"/>
    <col min="13" max="13" width="5" style="48" bestFit="1" customWidth="1"/>
    <col min="14" max="14" width="5.42578125" style="48" bestFit="1" customWidth="1"/>
    <col min="15" max="15" width="6.7109375" style="44" bestFit="1" customWidth="1"/>
    <col min="16" max="16" width="6.85546875" style="44" bestFit="1" customWidth="1"/>
    <col min="17" max="18" width="7.42578125" style="44" bestFit="1" customWidth="1"/>
    <col min="19" max="19" width="5.85546875" style="44" bestFit="1" customWidth="1"/>
    <col min="20" max="20" width="8" style="48" customWidth="1"/>
    <col min="21" max="21" width="2" style="44" bestFit="1" customWidth="1"/>
    <col min="22" max="22" width="7.5703125" style="44" bestFit="1" customWidth="1"/>
    <col min="23" max="25" width="8.7109375" style="46" customWidth="1"/>
    <col min="26" max="26" width="5.85546875" style="45" customWidth="1"/>
    <col min="27" max="27" width="6.5703125" style="44" customWidth="1"/>
    <col min="28" max="16384" width="9.140625" style="44"/>
  </cols>
  <sheetData>
    <row r="1" spans="1:27" x14ac:dyDescent="0.25">
      <c r="C1" s="44">
        <v>2</v>
      </c>
      <c r="D1" s="45">
        <v>3</v>
      </c>
      <c r="E1" s="44">
        <v>4</v>
      </c>
      <c r="F1" s="44">
        <v>15</v>
      </c>
      <c r="G1" s="44">
        <v>6</v>
      </c>
      <c r="J1" s="46">
        <f>COUNT(Кат!$X:$X,Торг!$Z:$Z)/COUNT(Кат!$A:$A,Торг!$B:$B)</f>
        <v>0.62382445141065834</v>
      </c>
      <c r="K1" s="47">
        <f>O1</f>
        <v>9</v>
      </c>
      <c r="N1" s="47">
        <f>P1</f>
        <v>10</v>
      </c>
      <c r="O1" s="44">
        <v>9</v>
      </c>
      <c r="P1" s="44">
        <v>10</v>
      </c>
      <c r="Q1" s="48"/>
      <c r="R1" s="48"/>
      <c r="W1" s="49" t="str">
        <f>_xlfn.CONCAT(ROUND(MIN(W3:W9000)*100,0),"-",ROUND(MAX(W3:W9000)*100,0),"%")</f>
        <v>30-70%</v>
      </c>
      <c r="X1" s="49" t="str">
        <f>_xlfn.CONCAT(ROUND(SUBTOTAL(5,X3:X9000)*100,0)," - ",ROUND(SUBTOTAL(4,X3:X9000)*100,0),"%")</f>
        <v>-12 - 7%</v>
      </c>
      <c r="Y1" s="49" t="str">
        <f>_xlfn.CONCAT(ROUND(SUBTOTAL(5,Y3:Y90000)*100,0)," - ",ROUND(SUBTOTAL(4,Y3:Y90000)*100,0),"%")</f>
        <v>21 - 83%</v>
      </c>
    </row>
    <row r="2" spans="1:27" ht="30" x14ac:dyDescent="0.25">
      <c r="A2" s="8" t="s">
        <v>893</v>
      </c>
      <c r="B2" s="50" t="s">
        <v>223</v>
      </c>
      <c r="C2" s="24" t="s">
        <v>666</v>
      </c>
      <c r="D2" s="24" t="s">
        <v>575</v>
      </c>
      <c r="E2" s="24"/>
      <c r="F2" s="24"/>
      <c r="G2" s="24" t="s">
        <v>667</v>
      </c>
      <c r="H2" s="50" t="s">
        <v>408</v>
      </c>
      <c r="I2" s="51" t="s">
        <v>392</v>
      </c>
      <c r="J2" s="51"/>
      <c r="K2" s="52" t="s">
        <v>576</v>
      </c>
      <c r="L2" s="50"/>
      <c r="M2" s="53"/>
      <c r="N2" s="52" t="s">
        <v>1010</v>
      </c>
      <c r="O2" s="24" t="s">
        <v>668</v>
      </c>
      <c r="P2" s="24" t="s">
        <v>669</v>
      </c>
      <c r="Q2" s="25" t="s">
        <v>670</v>
      </c>
      <c r="R2" s="25" t="s">
        <v>670</v>
      </c>
      <c r="S2" s="7">
        <v>7.0000000000000007E-2</v>
      </c>
      <c r="T2" s="5" t="s">
        <v>889</v>
      </c>
      <c r="U2" s="3"/>
      <c r="V2" s="3" t="s">
        <v>891</v>
      </c>
      <c r="W2" s="54" t="s">
        <v>892</v>
      </c>
      <c r="X2" s="54" t="s">
        <v>645</v>
      </c>
      <c r="Y2" s="54" t="s">
        <v>642</v>
      </c>
      <c r="Z2" s="155">
        <v>1</v>
      </c>
    </row>
    <row r="3" spans="1:27" ht="45.75" thickBot="1" x14ac:dyDescent="0.3">
      <c r="A3" s="56" t="str">
        <f>INDEX('Выгр Торг'!$A:$A,MATCH($B3,'Выгр Торг'!$B:$B,0))</f>
        <v>Индикатор напряжения "АПЭЛ" ИН-12 для ВАЗ (2110-2112, 2113-2115), Лада Калина, Шевроле Нива</v>
      </c>
      <c r="B3" s="51">
        <v>258453</v>
      </c>
      <c r="C3" s="51">
        <f>VLOOKUP($B3,'Выгр Торг'!$B:$Q,C$1,0)</f>
        <v>208659</v>
      </c>
      <c r="D3" s="56" t="str">
        <f>VLOOKUP($B3,'Выгр Торг'!$B:$Q,D$1,0)</f>
        <v>Индикатор напряжения "АПЭЛ" ИН-12 для ВАЗ (2110-2112, 2113-2115), Лада Калина, Шевроле Нива (Красный)</v>
      </c>
      <c r="E3" s="51" t="str">
        <f>VLOOKUP($B3,'Выгр Торг'!$B:$Q,E$1,0)</f>
        <v>Y</v>
      </c>
      <c r="F3" s="51" t="str">
        <f>VLOOKUP($B3,'Выгр Торг'!$B:$Q,F$1,0)</f>
        <v>1ск6</v>
      </c>
      <c r="G3" s="51">
        <f>VLOOKUP($B3,'Выгр Торг'!$B:$Q,G$1,0)</f>
        <v>0</v>
      </c>
      <c r="H3" s="51"/>
      <c r="I3" s="51" t="s">
        <v>604</v>
      </c>
      <c r="J3" s="51" t="s">
        <v>527</v>
      </c>
      <c r="K3" s="52">
        <f>VLOOKUP(I3,ПРАЙС!B:C,2,0)</f>
        <v>390</v>
      </c>
      <c r="L3" s="51">
        <f>VLOOKUP(K3,Наценка!$A$2:$B$9,2,1)</f>
        <v>1.6</v>
      </c>
      <c r="M3" s="57">
        <f>K3*L3*100/93</f>
        <v>670.9677419354839</v>
      </c>
      <c r="N3" s="52">
        <f t="shared" ref="N3" si="0">IF(M3&lt;=1000,(ROUNDUP(M3,-1)-1),(ROUNDUP(M3,-2)-10))</f>
        <v>679</v>
      </c>
      <c r="O3" s="51">
        <f>VLOOKUP($B3,'Выгр Торг'!$B:$Q,O$1,0)</f>
        <v>370</v>
      </c>
      <c r="P3" s="51">
        <f>VLOOKUP($B3,'Выгр Торг'!$B:$Q,P$1,0)</f>
        <v>639</v>
      </c>
      <c r="Q3" s="25">
        <f>O3-K3</f>
        <v>-20</v>
      </c>
      <c r="R3" s="25">
        <f>P3-N3</f>
        <v>-40</v>
      </c>
      <c r="S3" s="1">
        <f>IFERROR(N3*(1-$S$2),"")</f>
        <v>631.46999999999991</v>
      </c>
      <c r="T3" s="6">
        <f>IFERROR((VLOOKUP($B3,'Из ГУГЛа'!$B:$G,6,0)+V3)*U3,VLOOKUP($B3,'Из ГУГЛа'!$B:$G,6,0))</f>
        <v>629</v>
      </c>
      <c r="U3" s="4">
        <v>1</v>
      </c>
      <c r="V3" s="4"/>
      <c r="W3" s="58">
        <f>IFERROR(S3/K3-1,"")</f>
        <v>0.61915384615384594</v>
      </c>
      <c r="X3" s="58">
        <f>IFERROR((Z3-S3)/Z3,"")</f>
        <v>-3.9268680445149664E-3</v>
      </c>
      <c r="Y3" s="58">
        <f>IFERROR(IF(Z3="","",Z3/K3-1),"")</f>
        <v>0.61282051282051286</v>
      </c>
      <c r="Z3" s="157">
        <v>629</v>
      </c>
      <c r="AA3" s="44" t="s">
        <v>663</v>
      </c>
    </row>
    <row r="4" spans="1:27" ht="46.5" thickTop="1" thickBot="1" x14ac:dyDescent="0.3">
      <c r="A4" s="56" t="str">
        <f>INDEX('Выгр Торг'!$A:$A,MATCH($B4,'Выгр Торг'!$B:$B,0))</f>
        <v>Индикатор напряжения "АПЭЛ" ИН-12 для ВАЗ (2110-2112, 2113-2115), Лада Калина, Шевроле Нива</v>
      </c>
      <c r="B4" s="51">
        <v>258454</v>
      </c>
      <c r="C4" s="51">
        <f>VLOOKUP($B4,'Выгр Торг'!$B:$Q,C$1,0)</f>
        <v>208658</v>
      </c>
      <c r="D4" s="56" t="str">
        <f>VLOOKUP($B4,'Выгр Торг'!$B:$Q,D$1,0)</f>
        <v>Индикатор напряжения "АПЭЛ" ИН-12 для ВАЗ (2110-2112, 2113-2115), Лада Калина, Шевроле Нива (Синий)</v>
      </c>
      <c r="E4" s="51" t="str">
        <f>VLOOKUP($B4,'Выгр Торг'!$B:$Q,E$1,0)</f>
        <v>Y</v>
      </c>
      <c r="F4" s="51" t="str">
        <f>VLOOKUP($B4,'Выгр Торг'!$B:$Q,F$1,0)</f>
        <v>1</v>
      </c>
      <c r="G4" s="51">
        <f>VLOOKUP($B4,'Выгр Торг'!$B:$Q,G$1,0)</f>
        <v>0</v>
      </c>
      <c r="H4" s="51"/>
      <c r="I4" s="51" t="s">
        <v>604</v>
      </c>
      <c r="J4" s="51" t="s">
        <v>527</v>
      </c>
      <c r="K4" s="52">
        <f>VLOOKUP(I4,ПРАЙС!B:C,2,0)</f>
        <v>390</v>
      </c>
      <c r="L4" s="51">
        <f>VLOOKUP(K4,Наценка!$A$2:$B$9,2,1)</f>
        <v>1.6</v>
      </c>
      <c r="M4" s="57">
        <f t="shared" ref="M4:M12" si="1">K4*L4*100/93</f>
        <v>670.9677419354839</v>
      </c>
      <c r="N4" s="52">
        <f t="shared" ref="N4:N24" si="2">IF(M4&lt;=1000,(ROUNDUP(M4,-1)-1),(ROUNDUP(M4,-2)-10))</f>
        <v>679</v>
      </c>
      <c r="O4" s="51">
        <f>VLOOKUP($B4,'Выгр Торг'!$B:$Q,O$1,0)</f>
        <v>370</v>
      </c>
      <c r="P4" s="51">
        <f>VLOOKUP($B4,'Выгр Торг'!$B:$Q,P$1,0)</f>
        <v>639</v>
      </c>
      <c r="Q4" s="25">
        <f t="shared" ref="Q4:Q24" si="3">O4-K4</f>
        <v>-20</v>
      </c>
      <c r="R4" s="25">
        <f t="shared" ref="R4:R24" si="4">P4-N4</f>
        <v>-40</v>
      </c>
      <c r="S4" s="1">
        <f t="shared" ref="S4:S24" si="5">IFERROR(N4*(1-$S$2),"")</f>
        <v>631.46999999999991</v>
      </c>
      <c r="T4" s="6">
        <f>IFERROR((VLOOKUP($B4,'Из ГУГЛа'!$B:$G,6,0)+V4)*U4,VLOOKUP($B4,'Из ГУГЛа'!$B:$G,6,0))</f>
        <v>629</v>
      </c>
      <c r="U4" s="4">
        <v>1</v>
      </c>
      <c r="V4" s="4"/>
      <c r="W4" s="58">
        <f t="shared" ref="W4:W24" si="6">IFERROR(S4/K4-1,"")</f>
        <v>0.61915384615384594</v>
      </c>
      <c r="X4" s="58">
        <f t="shared" ref="X4:X24" si="7">IFERROR((Z4-S4)/Z4,"")</f>
        <v>-3.9268680445149664E-3</v>
      </c>
      <c r="Y4" s="58">
        <f t="shared" ref="Y4:Y24" si="8">IFERROR(IF(Z4="","",Z4/K4-1),"")</f>
        <v>0.61282051282051286</v>
      </c>
      <c r="Z4" s="157">
        <v>629</v>
      </c>
      <c r="AA4" s="44" t="s">
        <v>662</v>
      </c>
    </row>
    <row r="5" spans="1:27" ht="31.5" thickTop="1" thickBot="1" x14ac:dyDescent="0.3">
      <c r="A5" s="56" t="str">
        <f>INDEX('Выгр Торг'!$A:$A,MATCH($B5,'Выгр Торг'!$B:$B,0))</f>
        <v>Индикатор напряжения "АПЭЛ" ИНТ-12 для ВАЗ 2110-2112</v>
      </c>
      <c r="B5" s="51">
        <v>258456</v>
      </c>
      <c r="C5" s="51">
        <f>VLOOKUP($B5,'Выгр Торг'!$B:$Q,C$1,0)</f>
        <v>208254</v>
      </c>
      <c r="D5" s="56" t="str">
        <f>VLOOKUP($B5,'Выгр Торг'!$B:$Q,D$1,0)</f>
        <v>Индикатор напряжения "АПЭЛ" ИНТ-12 для ВАЗ 2110-2112 (Красный)</v>
      </c>
      <c r="E5" s="51" t="str">
        <f>VLOOKUP($B5,'Выгр Торг'!$B:$Q,E$1,0)</f>
        <v>Y</v>
      </c>
      <c r="F5" s="51" t="str">
        <f>VLOOKUP($B5,'Выгр Торг'!$B:$Q,F$1,0)</f>
        <v>1</v>
      </c>
      <c r="G5" s="51">
        <f>VLOOKUP($B5,'Выгр Торг'!$B:$Q,G$1,0)</f>
        <v>0</v>
      </c>
      <c r="H5" s="51"/>
      <c r="I5" s="51" t="s">
        <v>605</v>
      </c>
      <c r="J5" s="51" t="s">
        <v>527</v>
      </c>
      <c r="K5" s="52">
        <f>VLOOKUP(I5,ПРАЙС!B:C,2,0)</f>
        <v>390</v>
      </c>
      <c r="L5" s="51">
        <f>VLOOKUP(K5,Наценка!$A$2:$B$9,2,1)</f>
        <v>1.6</v>
      </c>
      <c r="M5" s="57">
        <f t="shared" si="1"/>
        <v>670.9677419354839</v>
      </c>
      <c r="N5" s="52">
        <f t="shared" si="2"/>
        <v>679</v>
      </c>
      <c r="O5" s="51">
        <f>VLOOKUP($B5,'Выгр Торг'!$B:$Q,O$1,0)</f>
        <v>370</v>
      </c>
      <c r="P5" s="51">
        <f>VLOOKUP($B5,'Выгр Торг'!$B:$Q,P$1,0)</f>
        <v>639</v>
      </c>
      <c r="Q5" s="25">
        <f t="shared" si="3"/>
        <v>-20</v>
      </c>
      <c r="R5" s="25">
        <f t="shared" si="4"/>
        <v>-40</v>
      </c>
      <c r="S5" s="1">
        <f t="shared" si="5"/>
        <v>631.46999999999991</v>
      </c>
      <c r="T5" s="6">
        <f>IFERROR((VLOOKUP($B5,'Из ГУГЛа'!$B:$G,6,0)+V5)*U5,VLOOKUP($B5,'Из ГУГЛа'!$B:$G,6,0))</f>
        <v>629</v>
      </c>
      <c r="U5" s="4">
        <v>1</v>
      </c>
      <c r="V5" s="4"/>
      <c r="W5" s="58">
        <f t="shared" si="6"/>
        <v>0.61915384615384594</v>
      </c>
      <c r="X5" s="58">
        <f t="shared" si="7"/>
        <v>-3.9268680445149664E-3</v>
      </c>
      <c r="Y5" s="58">
        <f t="shared" si="8"/>
        <v>0.61282051282051286</v>
      </c>
      <c r="Z5" s="157">
        <v>629</v>
      </c>
      <c r="AA5" s="44" t="s">
        <v>658</v>
      </c>
    </row>
    <row r="6" spans="1:27" ht="31.5" thickTop="1" thickBot="1" x14ac:dyDescent="0.3">
      <c r="A6" s="56" t="str">
        <f>INDEX('Выгр Торг'!$A:$A,MATCH($B6,'Выгр Торг'!$B:$B,0))</f>
        <v>Индикатор напряжения "АПЭЛ" ИНТ-12 для ВАЗ 2110-2112</v>
      </c>
      <c r="B6" s="51">
        <v>258457</v>
      </c>
      <c r="C6" s="51">
        <f>VLOOKUP($B6,'Выгр Торг'!$B:$Q,C$1,0)</f>
        <v>208253</v>
      </c>
      <c r="D6" s="56" t="str">
        <f>VLOOKUP($B6,'Выгр Торг'!$B:$Q,D$1,0)</f>
        <v>Индикатор напряжения "АПЭЛ" ИНТ-12 для ВАЗ 2110-2112 (Синий)</v>
      </c>
      <c r="E6" s="51" t="str">
        <f>VLOOKUP($B6,'Выгр Торг'!$B:$Q,E$1,0)</f>
        <v>Y</v>
      </c>
      <c r="F6" s="51" t="str">
        <f>VLOOKUP($B6,'Выгр Торг'!$B:$Q,F$1,0)</f>
        <v>1</v>
      </c>
      <c r="G6" s="51">
        <f>VLOOKUP($B6,'Выгр Торг'!$B:$Q,G$1,0)</f>
        <v>0</v>
      </c>
      <c r="H6" s="51"/>
      <c r="I6" s="51" t="s">
        <v>605</v>
      </c>
      <c r="J6" s="51" t="s">
        <v>527</v>
      </c>
      <c r="K6" s="52">
        <f>VLOOKUP(I6,ПРАЙС!B:C,2,0)</f>
        <v>390</v>
      </c>
      <c r="L6" s="51">
        <f>VLOOKUP(K6,Наценка!$A$2:$B$9,2,1)</f>
        <v>1.6</v>
      </c>
      <c r="M6" s="57">
        <f t="shared" si="1"/>
        <v>670.9677419354839</v>
      </c>
      <c r="N6" s="52">
        <f t="shared" si="2"/>
        <v>679</v>
      </c>
      <c r="O6" s="51">
        <f>VLOOKUP($B6,'Выгр Торг'!$B:$Q,O$1,0)</f>
        <v>370</v>
      </c>
      <c r="P6" s="51">
        <f>VLOOKUP($B6,'Выгр Торг'!$B:$Q,P$1,0)</f>
        <v>639</v>
      </c>
      <c r="Q6" s="25">
        <f t="shared" si="3"/>
        <v>-20</v>
      </c>
      <c r="R6" s="25">
        <f t="shared" si="4"/>
        <v>-40</v>
      </c>
      <c r="S6" s="1">
        <f t="shared" si="5"/>
        <v>631.46999999999991</v>
      </c>
      <c r="T6" s="6">
        <f>IFERROR((VLOOKUP($B6,'Из ГУГЛа'!$B:$G,6,0)+V6)*U6,VLOOKUP($B6,'Из ГУГЛа'!$B:$G,6,0))</f>
        <v>629</v>
      </c>
      <c r="U6" s="4">
        <v>1</v>
      </c>
      <c r="V6" s="4"/>
      <c r="W6" s="58">
        <f t="shared" si="6"/>
        <v>0.61915384615384594</v>
      </c>
      <c r="X6" s="58">
        <f t="shared" si="7"/>
        <v>-3.9268680445149664E-3</v>
      </c>
      <c r="Y6" s="58">
        <f t="shared" si="8"/>
        <v>0.61282051282051286</v>
      </c>
      <c r="Z6" s="157">
        <v>629</v>
      </c>
      <c r="AA6" s="44" t="s">
        <v>659</v>
      </c>
    </row>
    <row r="7" spans="1:27" ht="61.5" thickTop="1" thickBot="1" x14ac:dyDescent="0.3">
      <c r="A7" s="56" t="str">
        <f>INDEX('Выгр Торг'!$A:$A,MATCH($B7,'Выгр Торг'!$B:$B,0))</f>
        <v>Индикатор напряжения и температуры "АПЭЛ" ИНТ-12 для ВАЗ (2110-2112, 2113-2115), Лада Калина, Шевроле Нива</v>
      </c>
      <c r="B7" s="51">
        <v>258459</v>
      </c>
      <c r="C7" s="51">
        <f>VLOOKUP($B7,'Выгр Торг'!$B:$Q,C$1,0)</f>
        <v>208176</v>
      </c>
      <c r="D7" s="56" t="str">
        <f>VLOOKUP($B7,'Выгр Торг'!$B:$Q,D$1,0)</f>
        <v>Индикатор напряжения и температуры "АПЭЛ" ИНТ-12 для ВАЗ (2110-2112, 2113-2115), Лада Калина, Шевроле Нива (Красный)</v>
      </c>
      <c r="E7" s="51" t="str">
        <f>VLOOKUP($B7,'Выгр Торг'!$B:$Q,E$1,0)</f>
        <v>Y</v>
      </c>
      <c r="F7" s="51" t="str">
        <f>VLOOKUP($B7,'Выгр Торг'!$B:$Q,F$1,0)</f>
        <v>1</v>
      </c>
      <c r="G7" s="51">
        <f>VLOOKUP($B7,'Выгр Торг'!$B:$Q,G$1,0)</f>
        <v>0</v>
      </c>
      <c r="H7" s="51"/>
      <c r="I7" s="51" t="s">
        <v>861</v>
      </c>
      <c r="J7" s="51" t="s">
        <v>527</v>
      </c>
      <c r="K7" s="52">
        <f>VLOOKUP(I7,ПРАЙС!B:C,2,0)</f>
        <v>650</v>
      </c>
      <c r="L7" s="51">
        <f>VLOOKUP(K7,Наценка!$A$2:$B$9,2,1)</f>
        <v>1.6</v>
      </c>
      <c r="M7" s="60">
        <f>K7*L7*100/93</f>
        <v>1118.2795698924731</v>
      </c>
      <c r="N7" s="52">
        <f t="shared" si="2"/>
        <v>1190</v>
      </c>
      <c r="O7" s="51">
        <f>VLOOKUP($B7,'Выгр Торг'!$B:$Q,O$1,0)</f>
        <v>650</v>
      </c>
      <c r="P7" s="51">
        <f>VLOOKUP($B7,'Выгр Торг'!$B:$Q,P$1,0)</f>
        <v>989</v>
      </c>
      <c r="Q7" s="25">
        <f t="shared" si="3"/>
        <v>0</v>
      </c>
      <c r="R7" s="25">
        <f t="shared" si="4"/>
        <v>-201</v>
      </c>
      <c r="S7" s="1">
        <f t="shared" si="5"/>
        <v>1106.6999999999998</v>
      </c>
      <c r="T7" s="6">
        <f>IFERROR((VLOOKUP($B7,'Из ГУГЛа'!$B:$G,6,0)+V7)*U7,VLOOKUP($B7,'Из ГУГЛа'!$B:$G,6,0))</f>
        <v>990</v>
      </c>
      <c r="U7" s="4">
        <v>1</v>
      </c>
      <c r="V7" s="4"/>
      <c r="W7" s="58">
        <f t="shared" si="6"/>
        <v>0.70261538461538442</v>
      </c>
      <c r="X7" s="58">
        <f t="shared" si="7"/>
        <v>-0.11787878787878769</v>
      </c>
      <c r="Y7" s="58">
        <f t="shared" si="8"/>
        <v>0.52307692307692299</v>
      </c>
      <c r="Z7" s="157">
        <v>990</v>
      </c>
      <c r="AA7" s="44" t="s">
        <v>653</v>
      </c>
    </row>
    <row r="8" spans="1:27" ht="61.5" thickTop="1" thickBot="1" x14ac:dyDescent="0.3">
      <c r="A8" s="56" t="str">
        <f>INDEX('Выгр Торг'!$A:$A,MATCH($B8,'Выгр Торг'!$B:$B,0))</f>
        <v>Индикатор напряжения и температуры "АПЭЛ" ИНТ-12 для ВАЗ (2110-2112, 2113-2115), Лада Калина, Шевроле Нива</v>
      </c>
      <c r="B8" s="51">
        <v>258460</v>
      </c>
      <c r="C8" s="51">
        <f>VLOOKUP($B8,'Выгр Торг'!$B:$Q,C$1,0)</f>
        <v>208175</v>
      </c>
      <c r="D8" s="56" t="str">
        <f>VLOOKUP($B8,'Выгр Торг'!$B:$Q,D$1,0)</f>
        <v>Индикатор напряжения и температуры "АПЭЛ" ИНТ-12 для ВАЗ (2110-2112, 2113-2115), Лада Калина, Шевроле Нива (Синий)</v>
      </c>
      <c r="E8" s="51" t="str">
        <f>VLOOKUP($B8,'Выгр Торг'!$B:$Q,E$1,0)</f>
        <v>Y</v>
      </c>
      <c r="F8" s="51" t="str">
        <f>VLOOKUP($B8,'Выгр Торг'!$B:$Q,F$1,0)</f>
        <v>1</v>
      </c>
      <c r="G8" s="51">
        <f>VLOOKUP($B8,'Выгр Торг'!$B:$Q,G$1,0)</f>
        <v>0</v>
      </c>
      <c r="H8" s="51"/>
      <c r="I8" s="51" t="s">
        <v>861</v>
      </c>
      <c r="J8" s="51" t="s">
        <v>527</v>
      </c>
      <c r="K8" s="52">
        <f>VLOOKUP(I8,ПРАЙС!B:C,2,0)</f>
        <v>650</v>
      </c>
      <c r="L8" s="51">
        <f>VLOOKUP(K8,Наценка!$A$2:$B$9,2,1)</f>
        <v>1.6</v>
      </c>
      <c r="M8" s="57">
        <f t="shared" si="1"/>
        <v>1118.2795698924731</v>
      </c>
      <c r="N8" s="52">
        <f t="shared" si="2"/>
        <v>1190</v>
      </c>
      <c r="O8" s="51">
        <f>VLOOKUP($B8,'Выгр Торг'!$B:$Q,O$1,0)</f>
        <v>650</v>
      </c>
      <c r="P8" s="51">
        <f>VLOOKUP($B8,'Выгр Торг'!$B:$Q,P$1,0)</f>
        <v>1190</v>
      </c>
      <c r="Q8" s="25">
        <f t="shared" si="3"/>
        <v>0</v>
      </c>
      <c r="R8" s="25">
        <f t="shared" si="4"/>
        <v>0</v>
      </c>
      <c r="S8" s="1">
        <f t="shared" si="5"/>
        <v>1106.6999999999998</v>
      </c>
      <c r="T8" s="6">
        <f>IFERROR((VLOOKUP($B8,'Из ГУГЛа'!$B:$G,6,0)+V8)*U8,VLOOKUP($B8,'Из ГУГЛа'!$B:$G,6,0))</f>
        <v>1190</v>
      </c>
      <c r="U8" s="4">
        <v>1</v>
      </c>
      <c r="V8" s="4"/>
      <c r="W8" s="58">
        <f t="shared" si="6"/>
        <v>0.70261538461538442</v>
      </c>
      <c r="X8" s="58">
        <f t="shared" si="7"/>
        <v>7.0000000000000159E-2</v>
      </c>
      <c r="Y8" s="58">
        <f t="shared" si="8"/>
        <v>0.8307692307692307</v>
      </c>
      <c r="Z8" s="157">
        <v>1190</v>
      </c>
      <c r="AA8" s="44" t="s">
        <v>652</v>
      </c>
    </row>
    <row r="9" spans="1:27" ht="46.5" thickTop="1" thickBot="1" x14ac:dyDescent="0.3">
      <c r="A9" s="56" t="str">
        <f>INDEX('Выгр Торг'!$A:$A,MATCH($B9,'Выгр Торг'!$B:$B,0))</f>
        <v>Индикатор напряжения и температуры "АПЭЛ" ИНТ-12 для ВАЗ 2110-2112</v>
      </c>
      <c r="B9" s="51">
        <v>258462</v>
      </c>
      <c r="C9" s="51">
        <f>VLOOKUP($B9,'Выгр Торг'!$B:$Q,C$1,0)</f>
        <v>208168</v>
      </c>
      <c r="D9" s="56" t="str">
        <f>VLOOKUP($B9,'Выгр Торг'!$B:$Q,D$1,0)</f>
        <v>Индикатор напряжения и температуры "АПЭЛ" ИНТ-12 для ВАЗ 2110-2112 (Красный)</v>
      </c>
      <c r="E9" s="51" t="str">
        <f>VLOOKUP($B9,'Выгр Торг'!$B:$Q,E$1,0)</f>
        <v>Y</v>
      </c>
      <c r="F9" s="51" t="str">
        <f>VLOOKUP($B9,'Выгр Торг'!$B:$Q,F$1,0)</f>
        <v>1</v>
      </c>
      <c r="G9" s="51">
        <f>VLOOKUP($B9,'Выгр Торг'!$B:$Q,G$1,0)</f>
        <v>0</v>
      </c>
      <c r="H9" s="51"/>
      <c r="I9" s="51" t="s">
        <v>860</v>
      </c>
      <c r="J9" s="51" t="s">
        <v>527</v>
      </c>
      <c r="K9" s="52">
        <f>VLOOKUP(I9,ПРАЙС!B:C,2,0)</f>
        <v>650</v>
      </c>
      <c r="L9" s="51">
        <f>VLOOKUP(K9,Наценка!$A$2:$B$9,2,1)</f>
        <v>1.6</v>
      </c>
      <c r="M9" s="57">
        <f t="shared" si="1"/>
        <v>1118.2795698924731</v>
      </c>
      <c r="N9" s="52">
        <f t="shared" si="2"/>
        <v>1190</v>
      </c>
      <c r="O9" s="51">
        <f>VLOOKUP($B9,'Выгр Торг'!$B:$Q,O$1,0)</f>
        <v>650</v>
      </c>
      <c r="P9" s="51">
        <f>VLOOKUP($B9,'Выгр Торг'!$B:$Q,P$1,0)</f>
        <v>1190</v>
      </c>
      <c r="Q9" s="25">
        <f t="shared" si="3"/>
        <v>0</v>
      </c>
      <c r="R9" s="25">
        <f t="shared" si="4"/>
        <v>0</v>
      </c>
      <c r="S9" s="1">
        <f t="shared" si="5"/>
        <v>1106.6999999999998</v>
      </c>
      <c r="T9" s="6">
        <f>IFERROR((VLOOKUP($B9,'Из ГУГЛа'!$B:$G,6,0)+V9)*U9,VLOOKUP($B9,'Из ГУГЛа'!$B:$G,6,0))</f>
        <v>1190</v>
      </c>
      <c r="U9" s="4">
        <v>1</v>
      </c>
      <c r="V9" s="4"/>
      <c r="W9" s="58">
        <f t="shared" si="6"/>
        <v>0.70261538461538442</v>
      </c>
      <c r="X9" s="58">
        <f t="shared" si="7"/>
        <v>7.0000000000000159E-2</v>
      </c>
      <c r="Y9" s="58">
        <f t="shared" si="8"/>
        <v>0.8307692307692307</v>
      </c>
      <c r="Z9" s="157">
        <v>1190</v>
      </c>
      <c r="AA9" s="44" t="s">
        <v>657</v>
      </c>
    </row>
    <row r="10" spans="1:27" ht="31.5" thickTop="1" thickBot="1" x14ac:dyDescent="0.3">
      <c r="A10" s="56" t="str">
        <f>INDEX('Выгр Торг'!$A:$A,MATCH($B10,'Выгр Торг'!$B:$B,0))</f>
        <v>Индикатор напряжения и температуры "АПЭЛ" ИНТ-12 для ВАЗ 2110-2112</v>
      </c>
      <c r="B10" s="51">
        <v>258463</v>
      </c>
      <c r="C10" s="51">
        <f>VLOOKUP($B10,'Выгр Торг'!$B:$Q,C$1,0)</f>
        <v>208167</v>
      </c>
      <c r="D10" s="56" t="str">
        <f>VLOOKUP($B10,'Выгр Торг'!$B:$Q,D$1,0)</f>
        <v>Индикатор напряжения и температуры "АПЭЛ" ИНТ-12 для ВАЗ 2110-2112 (Синий)</v>
      </c>
      <c r="E10" s="51" t="str">
        <f>VLOOKUP($B10,'Выгр Торг'!$B:$Q,E$1,0)</f>
        <v>Y</v>
      </c>
      <c r="F10" s="51" t="str">
        <f>VLOOKUP($B10,'Выгр Торг'!$B:$Q,F$1,0)</f>
        <v>1</v>
      </c>
      <c r="G10" s="51">
        <f>VLOOKUP($B10,'Выгр Торг'!$B:$Q,G$1,0)</f>
        <v>0</v>
      </c>
      <c r="H10" s="51"/>
      <c r="I10" s="51" t="s">
        <v>860</v>
      </c>
      <c r="J10" s="51" t="s">
        <v>527</v>
      </c>
      <c r="K10" s="52">
        <f>VLOOKUP(I10,ПРАЙС!B:C,2,0)</f>
        <v>650</v>
      </c>
      <c r="L10" s="51">
        <f>VLOOKUP(K10,Наценка!$A$2:$B$9,2,1)</f>
        <v>1.6</v>
      </c>
      <c r="M10" s="57">
        <f t="shared" si="1"/>
        <v>1118.2795698924731</v>
      </c>
      <c r="N10" s="52">
        <f t="shared" si="2"/>
        <v>1190</v>
      </c>
      <c r="O10" s="51">
        <f>VLOOKUP($B10,'Выгр Торг'!$B:$Q,O$1,0)</f>
        <v>650</v>
      </c>
      <c r="P10" s="51">
        <f>VLOOKUP($B10,'Выгр Торг'!$B:$Q,P$1,0)</f>
        <v>1190</v>
      </c>
      <c r="Q10" s="25">
        <f t="shared" si="3"/>
        <v>0</v>
      </c>
      <c r="R10" s="25">
        <f t="shared" si="4"/>
        <v>0</v>
      </c>
      <c r="S10" s="1">
        <f t="shared" si="5"/>
        <v>1106.6999999999998</v>
      </c>
      <c r="T10" s="6">
        <f>IFERROR((VLOOKUP($B10,'Из ГУГЛа'!$B:$G,6,0)+V10)*U10,VLOOKUP($B10,'Из ГУГЛа'!$B:$G,6,0))</f>
        <v>1190</v>
      </c>
      <c r="U10" s="4">
        <v>1</v>
      </c>
      <c r="V10" s="4"/>
      <c r="W10" s="58">
        <f t="shared" si="6"/>
        <v>0.70261538461538442</v>
      </c>
      <c r="X10" s="58">
        <f t="shared" si="7"/>
        <v>7.0000000000000159E-2</v>
      </c>
      <c r="Y10" s="58">
        <f t="shared" si="8"/>
        <v>0.8307692307692307</v>
      </c>
      <c r="Z10" s="157">
        <v>1190</v>
      </c>
      <c r="AA10" s="44" t="s">
        <v>656</v>
      </c>
    </row>
    <row r="11" spans="1:27" ht="61.5" thickTop="1" thickBot="1" x14ac:dyDescent="0.3">
      <c r="A11" s="56" t="str">
        <f>INDEX('Выгр Торг'!$A:$A,MATCH($B11,'Выгр Торг'!$B:$B,0))</f>
        <v>Индикатор напряжения и температуры "АПЭЛ" ИНТ-12 для Лада (Калина 2, Гранта, Приора), Датсун (on-Do, mi-Do)</v>
      </c>
      <c r="B11" s="51">
        <v>258465</v>
      </c>
      <c r="C11" s="51">
        <f>VLOOKUP($B11,'Выгр Торг'!$B:$Q,C$1,0)</f>
        <v>208181</v>
      </c>
      <c r="D11" s="56" t="str">
        <f>VLOOKUP($B11,'Выгр Торг'!$B:$Q,D$1,0)</f>
        <v>Индикатор напряжения и температуры "АПЭЛ" ИНТ-12 для Лада (Калина 2, Гранта, Приора), Датсун (on-Do, mi-Do) (Красный)</v>
      </c>
      <c r="E11" s="51" t="str">
        <f>VLOOKUP($B11,'Выгр Торг'!$B:$Q,E$1,0)</f>
        <v>Y</v>
      </c>
      <c r="F11" s="51" t="str">
        <f>VLOOKUP($B11,'Выгр Торг'!$B:$Q,F$1,0)</f>
        <v>1</v>
      </c>
      <c r="G11" s="51">
        <f>VLOOKUP($B11,'Выгр Торг'!$B:$Q,G$1,0)</f>
        <v>0</v>
      </c>
      <c r="H11" s="51"/>
      <c r="I11" s="51" t="s">
        <v>862</v>
      </c>
      <c r="J11" s="51" t="s">
        <v>527</v>
      </c>
      <c r="K11" s="52">
        <f>VLOOKUP(I11,ПРАЙС!B:C,2,0)</f>
        <v>650</v>
      </c>
      <c r="L11" s="51">
        <f>VLOOKUP(K11,Наценка!$A$2:$B$9,2,1)</f>
        <v>1.6</v>
      </c>
      <c r="M11" s="57">
        <f t="shared" si="1"/>
        <v>1118.2795698924731</v>
      </c>
      <c r="N11" s="52">
        <f t="shared" si="2"/>
        <v>1190</v>
      </c>
      <c r="O11" s="51">
        <f>VLOOKUP($B11,'Выгр Торг'!$B:$Q,O$1,0)</f>
        <v>650</v>
      </c>
      <c r="P11" s="51">
        <f>VLOOKUP($B11,'Выгр Торг'!$B:$Q,P$1,0)</f>
        <v>1190</v>
      </c>
      <c r="Q11" s="25">
        <f t="shared" si="3"/>
        <v>0</v>
      </c>
      <c r="R11" s="25">
        <f t="shared" si="4"/>
        <v>0</v>
      </c>
      <c r="S11" s="1">
        <f t="shared" si="5"/>
        <v>1106.6999999999998</v>
      </c>
      <c r="T11" s="6">
        <f>IFERROR((VLOOKUP($B11,'Из ГУГЛа'!$B:$G,6,0)+V11)*U11,VLOOKUP($B11,'Из ГУГЛа'!$B:$G,6,0))</f>
        <v>1190</v>
      </c>
      <c r="U11" s="4">
        <v>1</v>
      </c>
      <c r="V11" s="4"/>
      <c r="W11" s="58">
        <f t="shared" si="6"/>
        <v>0.70261538461538442</v>
      </c>
      <c r="X11" s="58">
        <f t="shared" si="7"/>
        <v>7.0000000000000159E-2</v>
      </c>
      <c r="Y11" s="58">
        <f t="shared" si="8"/>
        <v>0.8307692307692307</v>
      </c>
      <c r="Z11" s="157">
        <v>1190</v>
      </c>
      <c r="AA11" s="44" t="s">
        <v>655</v>
      </c>
    </row>
    <row r="12" spans="1:27" ht="61.5" thickTop="1" thickBot="1" x14ac:dyDescent="0.3">
      <c r="A12" s="56" t="str">
        <f>INDEX('Выгр Торг'!$A:$A,MATCH($B12,'Выгр Торг'!$B:$B,0))</f>
        <v>Индикатор напряжения и температуры "АПЭЛ" ИНТ-12 для Лада (Калина 2, Гранта, Приора), Датсун (on-Do, mi-Do)</v>
      </c>
      <c r="B12" s="51">
        <v>258466</v>
      </c>
      <c r="C12" s="51">
        <f>VLOOKUP($B12,'Выгр Торг'!$B:$Q,C$1,0)</f>
        <v>208180</v>
      </c>
      <c r="D12" s="56" t="str">
        <f>VLOOKUP($B12,'Выгр Торг'!$B:$Q,D$1,0)</f>
        <v>Индикатор напряжения и температуры "АПЭЛ" ИНТ-12 для Лада (Калина 2, Гранта, Приора), Датсун (on-Do, mi-Do) (Синий)</v>
      </c>
      <c r="E12" s="51" t="str">
        <f>VLOOKUP($B12,'Выгр Торг'!$B:$Q,E$1,0)</f>
        <v>Y</v>
      </c>
      <c r="F12" s="51" t="str">
        <f>VLOOKUP($B12,'Выгр Торг'!$B:$Q,F$1,0)</f>
        <v>1</v>
      </c>
      <c r="G12" s="51">
        <f>VLOOKUP($B12,'Выгр Торг'!$B:$Q,G$1,0)</f>
        <v>0</v>
      </c>
      <c r="H12" s="51"/>
      <c r="I12" s="51" t="s">
        <v>862</v>
      </c>
      <c r="J12" s="51" t="s">
        <v>527</v>
      </c>
      <c r="K12" s="52">
        <f>VLOOKUP(I12,ПРАЙС!B:C,2,0)</f>
        <v>650</v>
      </c>
      <c r="L12" s="51">
        <f>VLOOKUP(K12,Наценка!$A$2:$B$9,2,1)</f>
        <v>1.6</v>
      </c>
      <c r="M12" s="57">
        <f t="shared" si="1"/>
        <v>1118.2795698924731</v>
      </c>
      <c r="N12" s="52">
        <f t="shared" si="2"/>
        <v>1190</v>
      </c>
      <c r="O12" s="51">
        <f>VLOOKUP($B12,'Выгр Торг'!$B:$Q,O$1,0)</f>
        <v>650</v>
      </c>
      <c r="P12" s="51">
        <f>VLOOKUP($B12,'Выгр Торг'!$B:$Q,P$1,0)</f>
        <v>1190</v>
      </c>
      <c r="Q12" s="25">
        <f t="shared" si="3"/>
        <v>0</v>
      </c>
      <c r="R12" s="25">
        <f t="shared" si="4"/>
        <v>0</v>
      </c>
      <c r="S12" s="1">
        <f t="shared" si="5"/>
        <v>1106.6999999999998</v>
      </c>
      <c r="T12" s="6">
        <f>IFERROR((VLOOKUP($B12,'Из ГУГЛа'!$B:$G,6,0)+V12)*U12,VLOOKUP($B12,'Из ГУГЛа'!$B:$G,6,0))</f>
        <v>1190</v>
      </c>
      <c r="U12" s="4">
        <v>1</v>
      </c>
      <c r="V12" s="4"/>
      <c r="W12" s="58">
        <f t="shared" si="6"/>
        <v>0.70261538461538442</v>
      </c>
      <c r="X12" s="58">
        <f t="shared" si="7"/>
        <v>7.0000000000000159E-2</v>
      </c>
      <c r="Y12" s="58">
        <f t="shared" si="8"/>
        <v>0.8307692307692307</v>
      </c>
      <c r="Z12" s="157">
        <v>1190</v>
      </c>
      <c r="AA12" s="44" t="s">
        <v>654</v>
      </c>
    </row>
    <row r="13" spans="1:27" ht="46.5" thickTop="1" thickBot="1" x14ac:dyDescent="0.3">
      <c r="A13" s="56" t="str">
        <f>INDEX('Выгр Торг'!$A:$A,MATCH($B13,'Выгр Торг'!$B:$B,0))</f>
        <v>Подогрев тосола 220В Магнум №16 для ВАЗ (2108-21099, 2113-2115, 2110-2112), Лада Ларгус, Renault (Logan, Sandero)</v>
      </c>
      <c r="B13" s="51">
        <v>268602</v>
      </c>
      <c r="C13" s="51">
        <f>VLOOKUP($B13,'Выгр Торг'!$B:$Q,C$1,0)</f>
        <v>216520</v>
      </c>
      <c r="D13" s="56" t="str">
        <f>VLOOKUP($B13,'Выгр Торг'!$B:$Q,D$1,0)</f>
        <v>Подогрев тосола 220В Магнум №16 для ВАЗ (2108-21099, 2113-2115, 2110-2112), Лада Ларгус, Renault (0.6 кВт)</v>
      </c>
      <c r="E13" s="51" t="str">
        <f>VLOOKUP($B13,'Выгр Торг'!$B:$Q,E$1,0)</f>
        <v>Y</v>
      </c>
      <c r="F13" s="51" t="str">
        <f>VLOOKUP($B13,'Выгр Торг'!$B:$Q,F$1,0)</f>
        <v>1</v>
      </c>
      <c r="G13" s="51">
        <f>VLOOKUP($B13,'Выгр Торг'!$B:$Q,G$1,0)</f>
        <v>0</v>
      </c>
      <c r="H13" s="51"/>
      <c r="I13" s="51"/>
      <c r="J13" s="51" t="s">
        <v>527</v>
      </c>
      <c r="K13" s="47">
        <f t="shared" ref="K13:K24" si="9">O13</f>
        <v>1380</v>
      </c>
      <c r="L13" s="51">
        <f>VLOOKUP(K13,Наценка!$A$2:$B$9,2,1)</f>
        <v>1.4</v>
      </c>
      <c r="M13" s="47">
        <f>P13</f>
        <v>1990</v>
      </c>
      <c r="N13" s="52">
        <f t="shared" si="2"/>
        <v>1990</v>
      </c>
      <c r="O13" s="51">
        <f>VLOOKUP($B13,'Выгр Торг'!$B:$Q,O$1,0)</f>
        <v>1380</v>
      </c>
      <c r="P13" s="51">
        <f>VLOOKUP($B13,'Выгр Торг'!$B:$Q,P$1,0)</f>
        <v>1990</v>
      </c>
      <c r="Q13" s="25">
        <f t="shared" si="3"/>
        <v>0</v>
      </c>
      <c r="R13" s="25">
        <f t="shared" si="4"/>
        <v>0</v>
      </c>
      <c r="S13" s="1">
        <f t="shared" si="5"/>
        <v>1850.6999999999998</v>
      </c>
      <c r="T13" s="6" t="str">
        <f>IFERROR((VLOOKUP($B13,'Из ГУГЛа'!$B:$G,6,0)+V13)*U13,VLOOKUP($B13,'Из ГУГЛа'!$B:$G,6,0))</f>
        <v/>
      </c>
      <c r="U13" s="4">
        <v>1</v>
      </c>
      <c r="V13" s="4"/>
      <c r="W13" s="58">
        <f t="shared" si="6"/>
        <v>0.34108695652173893</v>
      </c>
      <c r="X13" s="58" t="str">
        <f t="shared" si="7"/>
        <v/>
      </c>
      <c r="Y13" s="58" t="str">
        <f t="shared" si="8"/>
        <v/>
      </c>
      <c r="Z13" s="157" t="s">
        <v>929</v>
      </c>
    </row>
    <row r="14" spans="1:27" ht="46.5" thickTop="1" thickBot="1" x14ac:dyDescent="0.3">
      <c r="A14" s="56" t="str">
        <f>INDEX('Выгр Торг'!$A:$A,MATCH($B14,'Выгр Торг'!$B:$B,0))</f>
        <v>Подогрев тосола 220В Магнум №16 для ВАЗ (2108-21099, 2113-2115, 2110-2112), Лада Ларгус, Renault (Logan, Sandero)</v>
      </c>
      <c r="B14" s="51">
        <v>268603</v>
      </c>
      <c r="C14" s="51">
        <f>VLOOKUP($B14,'Выгр Торг'!$B:$Q,C$1,0)</f>
        <v>216519</v>
      </c>
      <c r="D14" s="56" t="str">
        <f>VLOOKUP($B14,'Выгр Торг'!$B:$Q,D$1,0)</f>
        <v>Подогрев тосола 220В Магнум №16 для ВАЗ (2108-21099, 2113-2115, 2110-2112), Лада Ларгус, Renault (1.5 кВт)</v>
      </c>
      <c r="E14" s="51" t="str">
        <f>VLOOKUP($B14,'Выгр Торг'!$B:$Q,E$1,0)</f>
        <v>Y</v>
      </c>
      <c r="F14" s="51" t="str">
        <f>VLOOKUP($B14,'Выгр Торг'!$B:$Q,F$1,0)</f>
        <v>1</v>
      </c>
      <c r="G14" s="51">
        <f>VLOOKUP($B14,'Выгр Торг'!$B:$Q,G$1,0)</f>
        <v>0</v>
      </c>
      <c r="H14" s="51"/>
      <c r="I14" s="51"/>
      <c r="J14" s="51" t="s">
        <v>527</v>
      </c>
      <c r="K14" s="47">
        <f t="shared" si="9"/>
        <v>1650</v>
      </c>
      <c r="L14" s="51">
        <f>VLOOKUP(K14,Наценка!$A$2:$B$9,2,1)</f>
        <v>1.4</v>
      </c>
      <c r="M14" s="47">
        <f t="shared" ref="M14:M24" si="10">P14</f>
        <v>2390</v>
      </c>
      <c r="N14" s="52">
        <f t="shared" si="2"/>
        <v>2390</v>
      </c>
      <c r="O14" s="51">
        <f>VLOOKUP($B14,'Выгр Торг'!$B:$Q,O$1,0)</f>
        <v>1650</v>
      </c>
      <c r="P14" s="51">
        <f>VLOOKUP($B14,'Выгр Торг'!$B:$Q,P$1,0)</f>
        <v>2390</v>
      </c>
      <c r="Q14" s="25">
        <f t="shared" si="3"/>
        <v>0</v>
      </c>
      <c r="R14" s="25">
        <f t="shared" si="4"/>
        <v>0</v>
      </c>
      <c r="S14" s="1">
        <f t="shared" si="5"/>
        <v>2222.6999999999998</v>
      </c>
      <c r="T14" s="6">
        <f>IFERROR((VLOOKUP($B14,'Из ГУГЛа'!$B:$G,6,0)+V14)*U14,VLOOKUP($B14,'Из ГУГЛа'!$B:$G,6,0))</f>
        <v>1990</v>
      </c>
      <c r="U14" s="4">
        <v>1</v>
      </c>
      <c r="V14" s="4"/>
      <c r="W14" s="58">
        <f t="shared" si="6"/>
        <v>0.34709090909090889</v>
      </c>
      <c r="X14" s="58">
        <f t="shared" si="7"/>
        <v>-0.11693467336683408</v>
      </c>
      <c r="Y14" s="58">
        <f t="shared" si="8"/>
        <v>0.20606060606060606</v>
      </c>
      <c r="Z14" s="157">
        <v>1990</v>
      </c>
      <c r="AA14" s="44" t="s">
        <v>895</v>
      </c>
    </row>
    <row r="15" spans="1:27" ht="31.5" thickTop="1" thickBot="1" x14ac:dyDescent="0.3">
      <c r="A15" s="56" t="str">
        <f>INDEX('Выгр Торг'!$A:$A,MATCH($B15,'Выгр Торг'!$B:$B,0))</f>
        <v>Подогрев тосола 220В Магнум №21 для автомобилей ГАЗ</v>
      </c>
      <c r="B15" s="51">
        <v>268604</v>
      </c>
      <c r="C15" s="51">
        <f>VLOOKUP($B15,'Выгр Торг'!$B:$Q,C$1,0)</f>
        <v>216554</v>
      </c>
      <c r="D15" s="56" t="str">
        <f>VLOOKUP($B15,'Выгр Торг'!$B:$Q,D$1,0)</f>
        <v>Подогрев тосола 220В Магнум №21 для автомобилей ГАЗ с 406 двигателем (1 кВт)</v>
      </c>
      <c r="E15" s="51" t="str">
        <f>VLOOKUP($B15,'Выгр Торг'!$B:$Q,E$1,0)</f>
        <v>Y</v>
      </c>
      <c r="F15" s="51" t="str">
        <f>VLOOKUP($B15,'Выгр Торг'!$B:$Q,F$1,0)</f>
        <v>1</v>
      </c>
      <c r="G15" s="51">
        <f>VLOOKUP($B15,'Выгр Торг'!$B:$Q,G$1,0)</f>
        <v>0</v>
      </c>
      <c r="H15" s="51"/>
      <c r="I15" s="51"/>
      <c r="J15" s="51" t="s">
        <v>527</v>
      </c>
      <c r="K15" s="47">
        <f t="shared" si="9"/>
        <v>1650</v>
      </c>
      <c r="L15" s="51">
        <f>VLOOKUP(K15,Наценка!$A$2:$B$9,2,1)</f>
        <v>1.4</v>
      </c>
      <c r="M15" s="47">
        <f t="shared" si="10"/>
        <v>2390</v>
      </c>
      <c r="N15" s="52">
        <f t="shared" si="2"/>
        <v>2390</v>
      </c>
      <c r="O15" s="51">
        <f>VLOOKUP($B15,'Выгр Торг'!$B:$Q,O$1,0)</f>
        <v>1650</v>
      </c>
      <c r="P15" s="51">
        <f>VLOOKUP($B15,'Выгр Торг'!$B:$Q,P$1,0)</f>
        <v>2390</v>
      </c>
      <c r="Q15" s="25">
        <f t="shared" si="3"/>
        <v>0</v>
      </c>
      <c r="R15" s="25">
        <f t="shared" si="4"/>
        <v>0</v>
      </c>
      <c r="S15" s="1">
        <f t="shared" si="5"/>
        <v>2222.6999999999998</v>
      </c>
      <c r="T15" s="6" t="str">
        <f>IFERROR((VLOOKUP($B15,'Из ГУГЛа'!$B:$G,6,0)+V15)*U15,VLOOKUP($B15,'Из ГУГЛа'!$B:$G,6,0))</f>
        <v/>
      </c>
      <c r="U15" s="4">
        <v>1</v>
      </c>
      <c r="V15" s="4"/>
      <c r="W15" s="58">
        <f t="shared" si="6"/>
        <v>0.34709090909090889</v>
      </c>
      <c r="X15" s="58" t="str">
        <f t="shared" si="7"/>
        <v/>
      </c>
      <c r="Y15" s="58" t="str">
        <f t="shared" si="8"/>
        <v/>
      </c>
      <c r="Z15" s="157" t="s">
        <v>929</v>
      </c>
    </row>
    <row r="16" spans="1:27" ht="46.5" thickTop="1" thickBot="1" x14ac:dyDescent="0.3">
      <c r="A16" s="56" t="str">
        <f>INDEX('Выгр Торг'!$A:$A,MATCH($B16,'Выгр Торг'!$B:$B,0))</f>
        <v>Подогрев тосола 220В Магнум №21 для автомобилей ГАЗ</v>
      </c>
      <c r="B16" s="51">
        <v>268605</v>
      </c>
      <c r="C16" s="51">
        <f>VLOOKUP($B16,'Выгр Торг'!$B:$Q,C$1,0)</f>
        <v>216555</v>
      </c>
      <c r="D16" s="56" t="str">
        <f>VLOOKUP($B16,'Выгр Торг'!$B:$Q,D$1,0)</f>
        <v>Подогрев тосола 220В Магнум №21 для автомобилей ГАЗ с 406 двигателем (1.5 кВт)</v>
      </c>
      <c r="E16" s="51" t="str">
        <f>VLOOKUP($B16,'Выгр Торг'!$B:$Q,E$1,0)</f>
        <v>Y</v>
      </c>
      <c r="F16" s="51" t="str">
        <f>VLOOKUP($B16,'Выгр Торг'!$B:$Q,F$1,0)</f>
        <v>1</v>
      </c>
      <c r="G16" s="51">
        <f>VLOOKUP($B16,'Выгр Торг'!$B:$Q,G$1,0)</f>
        <v>0</v>
      </c>
      <c r="H16" s="51"/>
      <c r="I16" s="51"/>
      <c r="J16" s="51" t="s">
        <v>527</v>
      </c>
      <c r="K16" s="47">
        <f t="shared" si="9"/>
        <v>1850</v>
      </c>
      <c r="L16" s="51">
        <f>VLOOKUP(K16,Наценка!$A$2:$B$9,2,1)</f>
        <v>1.4</v>
      </c>
      <c r="M16" s="47">
        <f t="shared" si="10"/>
        <v>2590</v>
      </c>
      <c r="N16" s="52">
        <f t="shared" si="2"/>
        <v>2590</v>
      </c>
      <c r="O16" s="51">
        <f>VLOOKUP($B16,'Выгр Торг'!$B:$Q,O$1,0)</f>
        <v>1850</v>
      </c>
      <c r="P16" s="51">
        <f>VLOOKUP($B16,'Выгр Торг'!$B:$Q,P$1,0)</f>
        <v>2590</v>
      </c>
      <c r="Q16" s="25">
        <f t="shared" si="3"/>
        <v>0</v>
      </c>
      <c r="R16" s="25">
        <f t="shared" si="4"/>
        <v>0</v>
      </c>
      <c r="S16" s="1">
        <f t="shared" si="5"/>
        <v>2408.6999999999998</v>
      </c>
      <c r="T16" s="6">
        <f>IFERROR((VLOOKUP($B16,'Из ГУГЛа'!$B:$G,6,0)+V16)*U16,VLOOKUP($B16,'Из ГУГЛа'!$B:$G,6,0))</f>
        <v>2290</v>
      </c>
      <c r="U16" s="4">
        <v>1</v>
      </c>
      <c r="V16" s="4"/>
      <c r="W16" s="58">
        <f t="shared" si="6"/>
        <v>0.30199999999999982</v>
      </c>
      <c r="X16" s="58">
        <f t="shared" si="7"/>
        <v>-5.1834061135371097E-2</v>
      </c>
      <c r="Y16" s="58">
        <f t="shared" si="8"/>
        <v>0.23783783783783785</v>
      </c>
      <c r="Z16" s="157">
        <v>2290</v>
      </c>
      <c r="AA16" s="44" t="s">
        <v>896</v>
      </c>
    </row>
    <row r="17" spans="1:27" ht="31.5" thickTop="1" thickBot="1" x14ac:dyDescent="0.3">
      <c r="A17" s="56" t="str">
        <f>INDEX('Выгр Торг'!$A:$A,MATCH($B17,'Выгр Торг'!$B:$B,0))</f>
        <v>Подогрев тосола 220В Магнум №22 для Волга, ГАЗ, ПАЗ, УАЗ</v>
      </c>
      <c r="B17" s="51">
        <v>268606</v>
      </c>
      <c r="C17" s="51">
        <f>VLOOKUP($B17,'Выгр Торг'!$B:$Q,C$1,0)</f>
        <v>216558</v>
      </c>
      <c r="D17" s="56" t="str">
        <f>VLOOKUP($B17,'Выгр Торг'!$B:$Q,D$1,0)</f>
        <v>Подогрев тосола 220В Магнум №22 для 402 двигателя (0.6 кВт)</v>
      </c>
      <c r="E17" s="51" t="str">
        <f>VLOOKUP($B17,'Выгр Торг'!$B:$Q,E$1,0)</f>
        <v>Y</v>
      </c>
      <c r="F17" s="51" t="str">
        <f>VLOOKUP($B17,'Выгр Торг'!$B:$Q,F$1,0)</f>
        <v>0</v>
      </c>
      <c r="G17" s="51">
        <f>VLOOKUP($B17,'Выгр Торг'!$B:$Q,G$1,0)</f>
        <v>0</v>
      </c>
      <c r="H17" s="51"/>
      <c r="I17" s="51"/>
      <c r="J17" s="51" t="s">
        <v>527</v>
      </c>
      <c r="K17" s="47">
        <f t="shared" si="9"/>
        <v>1380</v>
      </c>
      <c r="L17" s="51">
        <f>VLOOKUP(K17,Наценка!$A$2:$B$9,2,1)</f>
        <v>1.4</v>
      </c>
      <c r="M17" s="47">
        <f t="shared" si="10"/>
        <v>1990</v>
      </c>
      <c r="N17" s="52">
        <f t="shared" si="2"/>
        <v>1990</v>
      </c>
      <c r="O17" s="51">
        <f>VLOOKUP($B17,'Выгр Торг'!$B:$Q,O$1,0)</f>
        <v>1380</v>
      </c>
      <c r="P17" s="51">
        <f>VLOOKUP($B17,'Выгр Торг'!$B:$Q,P$1,0)</f>
        <v>1990</v>
      </c>
      <c r="Q17" s="25">
        <f t="shared" si="3"/>
        <v>0</v>
      </c>
      <c r="R17" s="25">
        <f t="shared" si="4"/>
        <v>0</v>
      </c>
      <c r="S17" s="1">
        <f t="shared" si="5"/>
        <v>1850.6999999999998</v>
      </c>
      <c r="T17" s="6" t="str">
        <f>IFERROR((VLOOKUP($B17,'Из ГУГЛа'!$B:$G,6,0)+V17)*U17,VLOOKUP($B17,'Из ГУГЛа'!$B:$G,6,0))</f>
        <v/>
      </c>
      <c r="U17" s="4">
        <v>1</v>
      </c>
      <c r="V17" s="4"/>
      <c r="W17" s="58">
        <f t="shared" si="6"/>
        <v>0.34108695652173893</v>
      </c>
      <c r="X17" s="58" t="str">
        <f t="shared" si="7"/>
        <v/>
      </c>
      <c r="Y17" s="58" t="str">
        <f t="shared" si="8"/>
        <v/>
      </c>
      <c r="Z17" s="157" t="s">
        <v>929</v>
      </c>
    </row>
    <row r="18" spans="1:27" ht="31.5" thickTop="1" thickBot="1" x14ac:dyDescent="0.3">
      <c r="A18" s="56" t="str">
        <f>INDEX('Выгр Торг'!$A:$A,MATCH($B18,'Выгр Торг'!$B:$B,0))</f>
        <v>Подогрев тосола 220В Магнум №22 для Волга, ГАЗ, ПАЗ, УАЗ</v>
      </c>
      <c r="B18" s="51">
        <v>268607</v>
      </c>
      <c r="C18" s="51">
        <f>VLOOKUP($B18,'Выгр Торг'!$B:$Q,C$1,0)</f>
        <v>216556</v>
      </c>
      <c r="D18" s="56" t="str">
        <f>VLOOKUP($B18,'Выгр Торг'!$B:$Q,D$1,0)</f>
        <v>Подогрев тосола 220В Магнум №22 для 402 двигателя (1 кВт)</v>
      </c>
      <c r="E18" s="51" t="str">
        <f>VLOOKUP($B18,'Выгр Торг'!$B:$Q,E$1,0)</f>
        <v>Y</v>
      </c>
      <c r="F18" s="51" t="str">
        <f>VLOOKUP($B18,'Выгр Торг'!$B:$Q,F$1,0)</f>
        <v>0</v>
      </c>
      <c r="G18" s="51">
        <f>VLOOKUP($B18,'Выгр Торг'!$B:$Q,G$1,0)</f>
        <v>0</v>
      </c>
      <c r="H18" s="51"/>
      <c r="I18" s="51"/>
      <c r="J18" s="51" t="s">
        <v>527</v>
      </c>
      <c r="K18" s="47">
        <f t="shared" si="9"/>
        <v>1560</v>
      </c>
      <c r="L18" s="51">
        <f>VLOOKUP(K18,Наценка!$A$2:$B$9,2,1)</f>
        <v>1.4</v>
      </c>
      <c r="M18" s="47">
        <f t="shared" si="10"/>
        <v>2190</v>
      </c>
      <c r="N18" s="52">
        <f t="shared" si="2"/>
        <v>2190</v>
      </c>
      <c r="O18" s="51">
        <f>VLOOKUP($B18,'Выгр Торг'!$B:$Q,O$1,0)</f>
        <v>1560</v>
      </c>
      <c r="P18" s="51">
        <f>VLOOKUP($B18,'Выгр Торг'!$B:$Q,P$1,0)</f>
        <v>2190</v>
      </c>
      <c r="Q18" s="25">
        <f t="shared" si="3"/>
        <v>0</v>
      </c>
      <c r="R18" s="25">
        <f t="shared" si="4"/>
        <v>0</v>
      </c>
      <c r="S18" s="1">
        <f t="shared" si="5"/>
        <v>2036.6999999999998</v>
      </c>
      <c r="T18" s="6" t="str">
        <f>IFERROR((VLOOKUP($B18,'Из ГУГЛа'!$B:$G,6,0)+V18)*U18,VLOOKUP($B18,'Из ГУГЛа'!$B:$G,6,0))</f>
        <v/>
      </c>
      <c r="U18" s="4">
        <v>1</v>
      </c>
      <c r="V18" s="4"/>
      <c r="W18" s="58">
        <f t="shared" si="6"/>
        <v>0.30557692307692297</v>
      </c>
      <c r="X18" s="58" t="str">
        <f t="shared" si="7"/>
        <v/>
      </c>
      <c r="Y18" s="58" t="str">
        <f t="shared" si="8"/>
        <v/>
      </c>
      <c r="Z18" s="157" t="s">
        <v>929</v>
      </c>
    </row>
    <row r="19" spans="1:27" ht="31.5" thickTop="1" thickBot="1" x14ac:dyDescent="0.3">
      <c r="A19" s="56" t="str">
        <f>INDEX('Выгр Торг'!$A:$A,MATCH($B19,'Выгр Торг'!$B:$B,0))</f>
        <v>Подогрев тосола 220В Магнум №22 для Волга, ГАЗ, ПАЗ, УАЗ</v>
      </c>
      <c r="B19" s="51">
        <v>268608</v>
      </c>
      <c r="C19" s="51">
        <f>VLOOKUP($B19,'Выгр Торг'!$B:$Q,C$1,0)</f>
        <v>216557</v>
      </c>
      <c r="D19" s="56" t="str">
        <f>VLOOKUP($B19,'Выгр Торг'!$B:$Q,D$1,0)</f>
        <v>Подогрев тосола 220В Магнум №22 для 402 двигателя (1.5 кВт)</v>
      </c>
      <c r="E19" s="51" t="str">
        <f>VLOOKUP($B19,'Выгр Торг'!$B:$Q,E$1,0)</f>
        <v>Y</v>
      </c>
      <c r="F19" s="51" t="str">
        <f>VLOOKUP($B19,'Выгр Торг'!$B:$Q,F$1,0)</f>
        <v>0</v>
      </c>
      <c r="G19" s="51">
        <f>VLOOKUP($B19,'Выгр Торг'!$B:$Q,G$1,0)</f>
        <v>0</v>
      </c>
      <c r="H19" s="51"/>
      <c r="I19" s="51"/>
      <c r="J19" s="51" t="s">
        <v>527</v>
      </c>
      <c r="K19" s="47">
        <f t="shared" si="9"/>
        <v>1650</v>
      </c>
      <c r="L19" s="51">
        <f>VLOOKUP(K19,Наценка!$A$2:$B$9,2,1)</f>
        <v>1.4</v>
      </c>
      <c r="M19" s="47">
        <f t="shared" si="10"/>
        <v>2390</v>
      </c>
      <c r="N19" s="52">
        <f t="shared" si="2"/>
        <v>2390</v>
      </c>
      <c r="O19" s="51">
        <f>VLOOKUP($B19,'Выгр Торг'!$B:$Q,O$1,0)</f>
        <v>1650</v>
      </c>
      <c r="P19" s="51">
        <f>VLOOKUP($B19,'Выгр Торг'!$B:$Q,P$1,0)</f>
        <v>2390</v>
      </c>
      <c r="Q19" s="25">
        <f t="shared" si="3"/>
        <v>0</v>
      </c>
      <c r="R19" s="25">
        <f t="shared" si="4"/>
        <v>0</v>
      </c>
      <c r="S19" s="1">
        <f t="shared" si="5"/>
        <v>2222.6999999999998</v>
      </c>
      <c r="T19" s="6" t="str">
        <f>IFERROR((VLOOKUP($B19,'Из ГУГЛа'!$B:$G,6,0)+V19)*U19,VLOOKUP($B19,'Из ГУГЛа'!$B:$G,6,0))</f>
        <v/>
      </c>
      <c r="U19" s="4">
        <v>1</v>
      </c>
      <c r="V19" s="4"/>
      <c r="W19" s="58">
        <f t="shared" si="6"/>
        <v>0.34709090909090889</v>
      </c>
      <c r="X19" s="58" t="str">
        <f t="shared" si="7"/>
        <v/>
      </c>
      <c r="Y19" s="58" t="str">
        <f t="shared" si="8"/>
        <v/>
      </c>
      <c r="Z19" s="157" t="s">
        <v>929</v>
      </c>
    </row>
    <row r="20" spans="1:27" ht="46.5" thickTop="1" thickBot="1" x14ac:dyDescent="0.3">
      <c r="A20" s="56" t="str">
        <f>INDEX('Выгр Торг'!$A:$A,MATCH($B20,'Выгр Торг'!$B:$B,0))</f>
        <v>Подогрев тосола 220В Магнум №3 для ВАЗ 2101-2107, Лада (Приора, Калина), ИЖ, Ока, Fiat, Suzuki</v>
      </c>
      <c r="B20" s="51">
        <v>268609</v>
      </c>
      <c r="C20" s="51">
        <f>VLOOKUP($B20,'Выгр Торг'!$B:$Q,C$1,0)</f>
        <v>216515</v>
      </c>
      <c r="D20" s="56" t="str">
        <f>VLOOKUP($B20,'Выгр Торг'!$B:$Q,D$1,0)</f>
        <v>Подогрев тосола 220В Магнум №3 для ВАЗ 2101-2107, Лада (Приора, Калина), ИЖ, Ока, Fiat, Suzuki (0.6 кВт)</v>
      </c>
      <c r="E20" s="51" t="str">
        <f>VLOOKUP($B20,'Выгр Торг'!$B:$Q,E$1,0)</f>
        <v>Y</v>
      </c>
      <c r="F20" s="51" t="str">
        <f>VLOOKUP($B20,'Выгр Торг'!$B:$Q,F$1,0)</f>
        <v>1</v>
      </c>
      <c r="G20" s="51">
        <f>VLOOKUP($B20,'Выгр Торг'!$B:$Q,G$1,0)</f>
        <v>0</v>
      </c>
      <c r="H20" s="51"/>
      <c r="I20" s="51"/>
      <c r="J20" s="51" t="s">
        <v>527</v>
      </c>
      <c r="K20" s="47">
        <f t="shared" si="9"/>
        <v>1490</v>
      </c>
      <c r="L20" s="51">
        <f>VLOOKUP(K20,Наценка!$A$2:$B$9,2,1)</f>
        <v>1.4</v>
      </c>
      <c r="M20" s="47">
        <f t="shared" si="10"/>
        <v>2090</v>
      </c>
      <c r="N20" s="52">
        <f t="shared" si="2"/>
        <v>2090</v>
      </c>
      <c r="O20" s="51">
        <f>VLOOKUP($B20,'Выгр Торг'!$B:$Q,O$1,0)</f>
        <v>1490</v>
      </c>
      <c r="P20" s="51">
        <f>VLOOKUP($B20,'Выгр Торг'!$B:$Q,P$1,0)</f>
        <v>2090</v>
      </c>
      <c r="Q20" s="25">
        <f t="shared" si="3"/>
        <v>0</v>
      </c>
      <c r="R20" s="25">
        <f t="shared" si="4"/>
        <v>0</v>
      </c>
      <c r="S20" s="1">
        <f t="shared" si="5"/>
        <v>1943.6999999999998</v>
      </c>
      <c r="T20" s="6" t="str">
        <f>IFERROR((VLOOKUP($B20,'Из ГУГЛа'!$B:$G,6,0)+V20)*U20,VLOOKUP($B20,'Из ГУГЛа'!$B:$G,6,0))</f>
        <v/>
      </c>
      <c r="U20" s="4">
        <v>1</v>
      </c>
      <c r="V20" s="4"/>
      <c r="W20" s="58">
        <f t="shared" si="6"/>
        <v>0.30449664429530188</v>
      </c>
      <c r="X20" s="58" t="str">
        <f t="shared" si="7"/>
        <v/>
      </c>
      <c r="Y20" s="58" t="str">
        <f t="shared" si="8"/>
        <v/>
      </c>
      <c r="Z20" s="157" t="s">
        <v>929</v>
      </c>
    </row>
    <row r="21" spans="1:27" ht="46.5" thickTop="1" thickBot="1" x14ac:dyDescent="0.3">
      <c r="A21" s="56" t="str">
        <f>INDEX('Выгр Торг'!$A:$A,MATCH($B21,'Выгр Торг'!$B:$B,0))</f>
        <v>Подогрев тосола 220В Магнум №3 для ВАЗ 2101-2107, Лада (Приора, Калина), ИЖ, Ока, Fiat, Suzuki</v>
      </c>
      <c r="B21" s="51">
        <v>268610</v>
      </c>
      <c r="C21" s="51">
        <f>VLOOKUP($B21,'Выгр Торг'!$B:$Q,C$1,0)</f>
        <v>216512</v>
      </c>
      <c r="D21" s="56" t="str">
        <f>VLOOKUP($B21,'Выгр Торг'!$B:$Q,D$1,0)</f>
        <v>Подогрев тосола 220В Магнум №3 для ВАЗ 2101-2107, Лада (Приора, Калина), ИЖ, Ока, Fiat, Suzuki (1 кВт)</v>
      </c>
      <c r="E21" s="51" t="str">
        <f>VLOOKUP($B21,'Выгр Торг'!$B:$Q,E$1,0)</f>
        <v>Y</v>
      </c>
      <c r="F21" s="51" t="str">
        <f>VLOOKUP($B21,'Выгр Торг'!$B:$Q,F$1,0)</f>
        <v>1</v>
      </c>
      <c r="G21" s="51">
        <f>VLOOKUP($B21,'Выгр Торг'!$B:$Q,G$1,0)</f>
        <v>0</v>
      </c>
      <c r="H21" s="51"/>
      <c r="I21" s="51"/>
      <c r="J21" s="51" t="s">
        <v>527</v>
      </c>
      <c r="K21" s="47">
        <f t="shared" si="9"/>
        <v>1590</v>
      </c>
      <c r="L21" s="51">
        <f>VLOOKUP(K21,Наценка!$A$2:$B$9,2,1)</f>
        <v>1.4</v>
      </c>
      <c r="M21" s="47">
        <f t="shared" si="10"/>
        <v>2290</v>
      </c>
      <c r="N21" s="52">
        <f t="shared" si="2"/>
        <v>2290</v>
      </c>
      <c r="O21" s="51">
        <f>VLOOKUP($B21,'Выгр Торг'!$B:$Q,O$1,0)</f>
        <v>1590</v>
      </c>
      <c r="P21" s="51">
        <f>VLOOKUP($B21,'Выгр Торг'!$B:$Q,P$1,0)</f>
        <v>2290</v>
      </c>
      <c r="Q21" s="25">
        <f t="shared" si="3"/>
        <v>0</v>
      </c>
      <c r="R21" s="25">
        <f t="shared" si="4"/>
        <v>0</v>
      </c>
      <c r="S21" s="1">
        <f t="shared" si="5"/>
        <v>2129.6999999999998</v>
      </c>
      <c r="T21" s="6" t="str">
        <f>IFERROR((VLOOKUP($B21,'Из ГУГЛа'!$B:$G,6,0)+V21)*U21,VLOOKUP($B21,'Из ГУГЛа'!$B:$G,6,0))</f>
        <v/>
      </c>
      <c r="U21" s="4">
        <v>1</v>
      </c>
      <c r="V21" s="4"/>
      <c r="W21" s="58">
        <f t="shared" si="6"/>
        <v>0.3394339622641509</v>
      </c>
      <c r="X21" s="58" t="str">
        <f t="shared" si="7"/>
        <v/>
      </c>
      <c r="Y21" s="58" t="str">
        <f t="shared" si="8"/>
        <v/>
      </c>
      <c r="Z21" s="157" t="s">
        <v>929</v>
      </c>
    </row>
    <row r="22" spans="1:27" ht="46.5" thickTop="1" thickBot="1" x14ac:dyDescent="0.3">
      <c r="A22" s="56" t="str">
        <f>INDEX('Выгр Торг'!$A:$A,MATCH($B22,'Выгр Торг'!$B:$B,0))</f>
        <v>Подогрев тосола 220В Магнум №3 для ВАЗ 2101-2107, Лада (Приора, Калина), ИЖ, Ока, Fiat, Suzuki</v>
      </c>
      <c r="B22" s="51">
        <v>268611</v>
      </c>
      <c r="C22" s="51">
        <f>VLOOKUP($B22,'Выгр Торг'!$B:$Q,C$1,0)</f>
        <v>216513</v>
      </c>
      <c r="D22" s="56" t="str">
        <f>VLOOKUP($B22,'Выгр Торг'!$B:$Q,D$1,0)</f>
        <v>Подогрев тосола 220В Магнум №3 для ВАЗ 2101-2107, Лада (Приора, Калина), ИЖ, Ока, Fiat, Suzuki (1.5 кВт)</v>
      </c>
      <c r="E22" s="51" t="str">
        <f>VLOOKUP($B22,'Выгр Торг'!$B:$Q,E$1,0)</f>
        <v>Y</v>
      </c>
      <c r="F22" s="51" t="str">
        <f>VLOOKUP($B22,'Выгр Торг'!$B:$Q,F$1,0)</f>
        <v>1</v>
      </c>
      <c r="G22" s="51">
        <f>VLOOKUP($B22,'Выгр Торг'!$B:$Q,G$1,0)</f>
        <v>0</v>
      </c>
      <c r="H22" s="51"/>
      <c r="I22" s="51"/>
      <c r="J22" s="51" t="s">
        <v>527</v>
      </c>
      <c r="K22" s="47">
        <f t="shared" si="9"/>
        <v>1650</v>
      </c>
      <c r="L22" s="51">
        <f>VLOOKUP(K22,Наценка!$A$2:$B$9,2,1)</f>
        <v>1.4</v>
      </c>
      <c r="M22" s="47">
        <f t="shared" si="10"/>
        <v>2390</v>
      </c>
      <c r="N22" s="52">
        <f t="shared" si="2"/>
        <v>2390</v>
      </c>
      <c r="O22" s="51">
        <f>VLOOKUP($B22,'Выгр Торг'!$B:$Q,O$1,0)</f>
        <v>1650</v>
      </c>
      <c r="P22" s="51">
        <f>VLOOKUP($B22,'Выгр Торг'!$B:$Q,P$1,0)</f>
        <v>2390</v>
      </c>
      <c r="Q22" s="25">
        <f t="shared" si="3"/>
        <v>0</v>
      </c>
      <c r="R22" s="25">
        <f t="shared" si="4"/>
        <v>0</v>
      </c>
      <c r="S22" s="1">
        <f t="shared" si="5"/>
        <v>2222.6999999999998</v>
      </c>
      <c r="T22" s="6">
        <f>IFERROR((VLOOKUP($B22,'Из ГУГЛа'!$B:$G,6,0)+V22)*U22,VLOOKUP($B22,'Из ГУГЛа'!$B:$G,6,0))</f>
        <v>1990</v>
      </c>
      <c r="U22" s="4">
        <v>1</v>
      </c>
      <c r="V22" s="4"/>
      <c r="W22" s="58">
        <f t="shared" si="6"/>
        <v>0.34709090909090889</v>
      </c>
      <c r="X22" s="58">
        <f t="shared" si="7"/>
        <v>-0.11693467336683408</v>
      </c>
      <c r="Y22" s="58">
        <f t="shared" si="8"/>
        <v>0.20606060606060606</v>
      </c>
      <c r="Z22" s="157">
        <v>1990</v>
      </c>
      <c r="AA22" s="44" t="s">
        <v>894</v>
      </c>
    </row>
    <row r="23" spans="1:27" ht="46.5" thickTop="1" thickBot="1" x14ac:dyDescent="0.3">
      <c r="A23" s="56" t="str">
        <f>INDEX('Выгр Торг'!$A:$A,MATCH($B23,'Выгр Торг'!$B:$B,0))</f>
        <v>Предпусковой подогреватель двигателя "Магнум" для Лада Ларгус, Renault (Logan, Sandero), Fiat Doblo</v>
      </c>
      <c r="B23" s="51">
        <v>268738</v>
      </c>
      <c r="C23" s="51">
        <f>VLOOKUP($B23,'Выгр Торг'!$B:$Q,C$1,0)</f>
        <v>216305</v>
      </c>
      <c r="D23" s="56" t="str">
        <f>VLOOKUP($B23,'Выгр Торг'!$B:$Q,D$1,0)</f>
        <v>Предпусковой подогреватель двигателя "Магнум Т32/32/20" для Лада Ларгус, Renault (Logan, Sandero), Fiat Doblo (1 кВт)</v>
      </c>
      <c r="E23" s="51" t="str">
        <f>VLOOKUP($B23,'Выгр Торг'!$B:$Q,E$1,0)</f>
        <v>Y</v>
      </c>
      <c r="F23" s="51" t="str">
        <f>VLOOKUP($B23,'Выгр Торг'!$B:$Q,F$1,0)</f>
        <v>1</v>
      </c>
      <c r="G23" s="51">
        <f>VLOOKUP($B23,'Выгр Торг'!$B:$Q,G$1,0)</f>
        <v>0</v>
      </c>
      <c r="H23" s="51"/>
      <c r="I23" s="51"/>
      <c r="J23" s="51" t="s">
        <v>527</v>
      </c>
      <c r="K23" s="47">
        <f t="shared" si="9"/>
        <v>1850</v>
      </c>
      <c r="L23" s="51">
        <f>VLOOKUP(K23,Наценка!$A$2:$B$9,2,1)</f>
        <v>1.4</v>
      </c>
      <c r="M23" s="47">
        <f t="shared" si="10"/>
        <v>2590</v>
      </c>
      <c r="N23" s="52">
        <f t="shared" si="2"/>
        <v>2590</v>
      </c>
      <c r="O23" s="51">
        <f>VLOOKUP($B23,'Выгр Торг'!$B:$Q,O$1,0)</f>
        <v>1850</v>
      </c>
      <c r="P23" s="51">
        <f>VLOOKUP($B23,'Выгр Торг'!$B:$Q,P$1,0)</f>
        <v>2590</v>
      </c>
      <c r="Q23" s="25">
        <f t="shared" si="3"/>
        <v>0</v>
      </c>
      <c r="R23" s="25">
        <f t="shared" si="4"/>
        <v>0</v>
      </c>
      <c r="S23" s="1">
        <f t="shared" si="5"/>
        <v>2408.6999999999998</v>
      </c>
      <c r="T23" s="6" t="str">
        <f>IFERROR((VLOOKUP($B23,'Из ГУГЛа'!$B:$G,6,0)+V23)*U23,VLOOKUP($B23,'Из ГУГЛа'!$B:$G,6,0))</f>
        <v/>
      </c>
      <c r="U23" s="4">
        <v>1</v>
      </c>
      <c r="V23" s="4"/>
      <c r="W23" s="58">
        <f t="shared" si="6"/>
        <v>0.30199999999999982</v>
      </c>
      <c r="X23" s="58" t="str">
        <f t="shared" si="7"/>
        <v/>
      </c>
      <c r="Y23" s="58" t="str">
        <f t="shared" si="8"/>
        <v/>
      </c>
      <c r="Z23" s="157" t="s">
        <v>929</v>
      </c>
    </row>
    <row r="24" spans="1:27" ht="61.5" thickTop="1" thickBot="1" x14ac:dyDescent="0.3">
      <c r="A24" s="56" t="str">
        <f>INDEX('Выгр Торг'!$A:$A,MATCH($B24,'Выгр Торг'!$B:$B,0))</f>
        <v>Предпусковой подогреватель двигателя "Магнум" для Лада Ларгус, Renault (Logan, Sandero), Fiat Doblo</v>
      </c>
      <c r="B24" s="51">
        <v>268739</v>
      </c>
      <c r="C24" s="51">
        <f>VLOOKUP($B24,'Выгр Торг'!$B:$Q,C$1,0)</f>
        <v>216307</v>
      </c>
      <c r="D24" s="56" t="str">
        <f>VLOOKUP($B24,'Выгр Торг'!$B:$Q,D$1,0)</f>
        <v>Предпусковой подогреватель двигателя "Магнум Т32/32/20" для Лада Ларгус, Renault (Logan, Sandero), Fiat Doblo (1.5 кВт)</v>
      </c>
      <c r="E24" s="51" t="str">
        <f>VLOOKUP($B24,'Выгр Торг'!$B:$Q,E$1,0)</f>
        <v>Y</v>
      </c>
      <c r="F24" s="51" t="str">
        <f>VLOOKUP($B24,'Выгр Торг'!$B:$Q,F$1,0)</f>
        <v>1</v>
      </c>
      <c r="G24" s="51">
        <f>VLOOKUP($B24,'Выгр Торг'!$B:$Q,G$1,0)</f>
        <v>0</v>
      </c>
      <c r="H24" s="51"/>
      <c r="I24" s="51"/>
      <c r="J24" s="51" t="s">
        <v>527</v>
      </c>
      <c r="K24" s="47">
        <f t="shared" si="9"/>
        <v>1870</v>
      </c>
      <c r="L24" s="51">
        <f>VLOOKUP(K24,Наценка!$A$2:$B$9,2,1)</f>
        <v>1.4</v>
      </c>
      <c r="M24" s="47">
        <f t="shared" si="10"/>
        <v>2690</v>
      </c>
      <c r="N24" s="52">
        <f t="shared" si="2"/>
        <v>2690</v>
      </c>
      <c r="O24" s="51">
        <f>VLOOKUP($B24,'Выгр Торг'!$B:$Q,O$1,0)</f>
        <v>1870</v>
      </c>
      <c r="P24" s="51">
        <f>VLOOKUP($B24,'Выгр Торг'!$B:$Q,P$1,0)</f>
        <v>2690</v>
      </c>
      <c r="Q24" s="25">
        <f t="shared" si="3"/>
        <v>0</v>
      </c>
      <c r="R24" s="25">
        <f t="shared" si="4"/>
        <v>0</v>
      </c>
      <c r="S24" s="1">
        <f t="shared" si="5"/>
        <v>2501.6999999999998</v>
      </c>
      <c r="T24" s="6" t="str">
        <f>IFERROR((VLOOKUP($B24,'Из ГУГЛа'!$B:$G,6,0)+V24)*U24,VLOOKUP($B24,'Из ГУГЛа'!$B:$G,6,0))</f>
        <v/>
      </c>
      <c r="U24" s="4">
        <v>1</v>
      </c>
      <c r="V24" s="4"/>
      <c r="W24" s="58">
        <f t="shared" si="6"/>
        <v>0.3378074866310159</v>
      </c>
      <c r="X24" s="58" t="str">
        <f t="shared" si="7"/>
        <v/>
      </c>
      <c r="Y24" s="58" t="str">
        <f t="shared" si="8"/>
        <v/>
      </c>
      <c r="Z24" s="157" t="s">
        <v>929</v>
      </c>
    </row>
    <row r="25" spans="1:27" ht="15.75" thickTop="1" x14ac:dyDescent="0.25"/>
    <row r="28" spans="1:27" x14ac:dyDescent="0.25">
      <c r="M28" s="60">
        <f>K28*L28*100/93</f>
        <v>0</v>
      </c>
    </row>
    <row r="29" spans="1:27" x14ac:dyDescent="0.25">
      <c r="M29" s="61">
        <f>Z29*1</f>
        <v>0</v>
      </c>
    </row>
    <row r="30" spans="1:27" x14ac:dyDescent="0.25">
      <c r="M30" s="62">
        <f>Z30*1.02</f>
        <v>0</v>
      </c>
    </row>
    <row r="31" spans="1:27" x14ac:dyDescent="0.25">
      <c r="M31" s="63">
        <f>Z31*1.04</f>
        <v>0</v>
      </c>
    </row>
    <row r="32" spans="1:27" x14ac:dyDescent="0.25">
      <c r="M32" s="64">
        <f>Z32*1.05</f>
        <v>0</v>
      </c>
    </row>
    <row r="33" spans="13:13" x14ac:dyDescent="0.25">
      <c r="M33" s="64">
        <f>Z33*1.06</f>
        <v>0</v>
      </c>
    </row>
    <row r="34" spans="13:13" x14ac:dyDescent="0.25">
      <c r="M34" s="65">
        <f>Z34*1.07</f>
        <v>0</v>
      </c>
    </row>
    <row r="35" spans="13:13" x14ac:dyDescent="0.25">
      <c r="M35" s="66">
        <f>Z35*1.08</f>
        <v>0</v>
      </c>
    </row>
    <row r="36" spans="13:13" x14ac:dyDescent="0.25">
      <c r="M36" s="67">
        <f>K36*1.15*100/93</f>
        <v>0</v>
      </c>
    </row>
  </sheetData>
  <autoFilter ref="A2:AA24" xr:uid="{89D72045-06A4-46F8-BA1E-BD58408D1543}"/>
  <conditionalFormatting sqref="D3:D24">
    <cfRule type="expression" dxfId="9" priority="5">
      <formula>OR(E3="N",F3="0")</formula>
    </cfRule>
  </conditionalFormatting>
  <conditionalFormatting sqref="B3:B24">
    <cfRule type="expression" dxfId="8" priority="4">
      <formula>AND($R3=0,$Q3=0)</formula>
    </cfRule>
  </conditionalFormatting>
  <conditionalFormatting sqref="X3:X24">
    <cfRule type="cellIs" dxfId="7" priority="3" operator="lessThan">
      <formula>0</formula>
    </cfRule>
  </conditionalFormatting>
  <conditionalFormatting sqref="Y3:Y24 W3:W24">
    <cfRule type="cellIs" dxfId="6" priority="2" operator="lessThan">
      <formula>0.15</formula>
    </cfRule>
  </conditionalFormatting>
  <conditionalFormatting sqref="T2:T24">
    <cfRule type="expression" dxfId="5" priority="1">
      <formula>VALUE(T2)&lt;&gt;Z2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86"/>
  <sheetViews>
    <sheetView workbookViewId="0">
      <pane ySplit="1" topLeftCell="A202" activePane="bottomLeft" state="frozen"/>
      <selection pane="bottomLeft" activeCell="B219" sqref="B219"/>
    </sheetView>
  </sheetViews>
  <sheetFormatPr defaultRowHeight="15" x14ac:dyDescent="0.25"/>
  <cols>
    <col min="1" max="1" width="4.42578125" style="9" customWidth="1"/>
    <col min="2" max="2" width="71.28515625" customWidth="1"/>
    <col min="3" max="3" width="12.5703125" style="10" customWidth="1"/>
    <col min="4" max="4" width="16.28515625" style="9" customWidth="1"/>
    <col min="5" max="5" width="7.85546875" style="9" customWidth="1"/>
    <col min="6" max="7" width="18.42578125" style="9" customWidth="1"/>
  </cols>
  <sheetData>
    <row r="1" spans="1:9" ht="34.5" thickBot="1" x14ac:dyDescent="0.3">
      <c r="A1" s="131" t="s">
        <v>0</v>
      </c>
      <c r="B1" s="91" t="s">
        <v>149</v>
      </c>
      <c r="C1" s="92" t="s">
        <v>1</v>
      </c>
      <c r="D1" s="93" t="s">
        <v>2</v>
      </c>
      <c r="E1" s="121" t="s">
        <v>3</v>
      </c>
      <c r="F1" s="120" t="s">
        <v>155</v>
      </c>
      <c r="G1" s="21" t="str">
        <f>IFERROR(IFERROR(INDEX(Кат!A:A,MATCH($B1,Кат!$G:$G,0)),INDEX(Торг!$B:$B,MATCH(#REF!,Торг!$I:$I,0))),"")</f>
        <v/>
      </c>
      <c r="H1" s="21" t="str">
        <f>IFERROR(IFERROR(INDEX(Кат!B:B,MATCH($B1,Кат!$G:$G,0)),INDEX(Торг!$B:$B,MATCH(#REF!,Торг!$I:$I,0))),"")</f>
        <v/>
      </c>
      <c r="I1" s="21" t="str">
        <f>IFERROR(IFERROR(INDEX(Кат!C:C,MATCH($B1,Кат!$G:$G,0)),INDEX(Торг!$B:$B,MATCH(#REF!,Торг!$I:$I,0))),"")</f>
        <v/>
      </c>
    </row>
    <row r="2" spans="1:9" x14ac:dyDescent="0.25">
      <c r="A2" s="94">
        <v>1</v>
      </c>
      <c r="B2" s="95" t="s">
        <v>177</v>
      </c>
      <c r="C2" s="135">
        <v>430</v>
      </c>
      <c r="D2" s="123" t="s">
        <v>4</v>
      </c>
      <c r="E2" s="116"/>
      <c r="F2" s="96" t="s">
        <v>5</v>
      </c>
      <c r="G2" s="21">
        <f>IFERROR(IFERROR(INDEX(Кат!A:A,MATCH($B2,Кат!$G:$G,0)),INDEX(Торг!$B:$B,MATCH(#REF!,Торг!$I:$I,0))),"")</f>
        <v>131563</v>
      </c>
      <c r="H2" s="21">
        <f>IFERROR(IFERROR(INDEX(Кат!B:B,MATCH($B2,Кат!$G:$G,0)),INDEX(Торг!$B:$B,MATCH(#REF!,Торг!$I:$I,0))),"")</f>
        <v>31504</v>
      </c>
      <c r="I2" s="21" t="str">
        <f>IFERROR(IFERROR(INDEX(Кат!C:C,MATCH($B2,Кат!$G:$G,0)),INDEX(Торг!$B:$B,MATCH(#REF!,Торг!$I:$I,0))),"")</f>
        <v>Адаптер ELM 327 Bluetooth, аналог (v2.1)</v>
      </c>
    </row>
    <row r="3" spans="1:9" x14ac:dyDescent="0.25">
      <c r="A3" s="94">
        <v>2</v>
      </c>
      <c r="B3" s="95" t="s">
        <v>554</v>
      </c>
      <c r="C3" s="132">
        <v>500</v>
      </c>
      <c r="D3" s="123" t="s">
        <v>4</v>
      </c>
      <c r="E3" s="116"/>
      <c r="F3" s="96"/>
      <c r="G3" s="21">
        <f>IFERROR(IFERROR(INDEX(Кат!A:A,MATCH($B3,Кат!$G:$G,0)),INDEX(Торг!$B:$B,MATCH(#REF!,Торг!$I:$I,0))),"")</f>
        <v>131562</v>
      </c>
      <c r="H3" s="21">
        <f>IFERROR(IFERROR(INDEX(Кат!B:B,MATCH($B3,Кат!$G:$G,0)),INDEX(Торг!$B:$B,MATCH(#REF!,Торг!$I:$I,0))),"")</f>
        <v>31505</v>
      </c>
      <c r="I3" s="21" t="str">
        <f>IFERROR(IFERROR(INDEX(Кат!C:C,MATCH($B3,Кат!$G:$G,0)),INDEX(Торг!$B:$B,MATCH(#REF!,Торг!$I:$I,0))),"")</f>
        <v>Адаптер ELM 327 Bluetooth, аналог (v1.5)</v>
      </c>
    </row>
    <row r="4" spans="1:9" x14ac:dyDescent="0.25">
      <c r="A4" s="94">
        <v>3</v>
      </c>
      <c r="B4" s="95" t="s">
        <v>200</v>
      </c>
      <c r="C4" s="132">
        <v>770</v>
      </c>
      <c r="D4" s="123" t="s">
        <v>4</v>
      </c>
      <c r="E4" s="116"/>
      <c r="F4" s="96" t="s">
        <v>5</v>
      </c>
      <c r="G4" s="21">
        <f>IFERROR(IFERROR(INDEX(Кат!A:A,MATCH($B4,Кат!$G:$G,0)),INDEX(Торг!$B:$B,MATCH(#REF!,Торг!$I:$I,0))),"")</f>
        <v>131561</v>
      </c>
      <c r="H4" s="21">
        <f>IFERROR(IFERROR(INDEX(Кат!B:B,MATCH($B4,Кат!$G:$G,0)),INDEX(Торг!$B:$B,MATCH(#REF!,Торг!$I:$I,0))),"")</f>
        <v>7245</v>
      </c>
      <c r="I4" s="21" t="str">
        <f>IFERROR(IFERROR(INDEX(Кат!C:C,MATCH($B4,Кат!$G:$G,0)),INDEX(Торг!$B:$B,MATCH(#REF!,Торг!$I:$I,0))),"")</f>
        <v>Адаптер ELM 327 Bluetooth</v>
      </c>
    </row>
    <row r="5" spans="1:9" x14ac:dyDescent="0.25">
      <c r="A5" s="94">
        <v>4</v>
      </c>
      <c r="B5" s="95" t="s">
        <v>555</v>
      </c>
      <c r="C5" s="132">
        <v>550</v>
      </c>
      <c r="D5" s="123" t="s">
        <v>4</v>
      </c>
      <c r="E5" s="116"/>
      <c r="F5" s="96" t="s">
        <v>5</v>
      </c>
      <c r="G5" s="21" t="str">
        <f>IFERROR(IFERROR(INDEX(Кат!A:A,MATCH($B5,Кат!$G:$G,0)),INDEX(Торг!$B:$B,MATCH(#REF!,Торг!$I:$I,0))),"")</f>
        <v/>
      </c>
      <c r="H5" s="21" t="str">
        <f>IFERROR(IFERROR(INDEX(Кат!B:B,MATCH($B5,Кат!$G:$G,0)),INDEX(Торг!$B:$B,MATCH(#REF!,Торг!$I:$I,0))),"")</f>
        <v/>
      </c>
      <c r="I5" s="21" t="str">
        <f>IFERROR(IFERROR(INDEX(Кат!C:C,MATCH($B5,Кат!$G:$G,0)),INDEX(Торг!$B:$B,MATCH(#REF!,Торг!$I:$I,0))),"")</f>
        <v/>
      </c>
    </row>
    <row r="6" spans="1:9" x14ac:dyDescent="0.25">
      <c r="A6" s="94">
        <v>5</v>
      </c>
      <c r="B6" s="95" t="s">
        <v>556</v>
      </c>
      <c r="C6" s="132">
        <v>550</v>
      </c>
      <c r="D6" s="123" t="s">
        <v>4</v>
      </c>
      <c r="E6" s="116"/>
      <c r="F6" s="96" t="s">
        <v>5</v>
      </c>
      <c r="G6" s="21">
        <f>IFERROR(IFERROR(INDEX(Кат!A:A,MATCH($B6,Кат!$G:$G,0)),INDEX(Торг!$B:$B,MATCH(#REF!,Торг!$I:$I,0))),"")</f>
        <v>131564</v>
      </c>
      <c r="H6" s="21">
        <f>IFERROR(IFERROR(INDEX(Кат!B:B,MATCH($B6,Кат!$G:$G,0)),INDEX(Торг!$B:$B,MATCH(#REF!,Торг!$I:$I,0))),"")</f>
        <v>7246</v>
      </c>
      <c r="I6" s="21" t="str">
        <f>IFERROR(IFERROR(INDEX(Кат!C:C,MATCH($B6,Кат!$G:$G,0)),INDEX(Торг!$B:$B,MATCH(#REF!,Торг!$I:$I,0))),"")</f>
        <v>Адаптер ELM 327 mini Bluetooth</v>
      </c>
    </row>
    <row r="7" spans="1:9" x14ac:dyDescent="0.25">
      <c r="A7" s="94">
        <v>6</v>
      </c>
      <c r="B7" s="95" t="s">
        <v>201</v>
      </c>
      <c r="C7" s="132">
        <v>800</v>
      </c>
      <c r="D7" s="123" t="s">
        <v>4</v>
      </c>
      <c r="E7" s="116"/>
      <c r="F7" s="96" t="s">
        <v>5</v>
      </c>
      <c r="G7" s="21">
        <f>IFERROR(IFERROR(INDEX(Кат!A:A,MATCH($B7,Кат!$G:$G,0)),INDEX(Торг!$B:$B,MATCH(#REF!,Торг!$I:$I,0))),"")</f>
        <v>131566</v>
      </c>
      <c r="H7" s="21">
        <f>IFERROR(IFERROR(INDEX(Кат!B:B,MATCH($B7,Кат!$G:$G,0)),INDEX(Торг!$B:$B,MATCH(#REF!,Торг!$I:$I,0))),"")</f>
        <v>7247</v>
      </c>
      <c r="I7" s="21" t="str">
        <f>IFERROR(IFERROR(INDEX(Кат!C:C,MATCH($B7,Кат!$G:$G,0)),INDEX(Торг!$B:$B,MATCH(#REF!,Торг!$I:$I,0))),"")</f>
        <v>Адаптер ELM 327 USB</v>
      </c>
    </row>
    <row r="8" spans="1:9" x14ac:dyDescent="0.25">
      <c r="A8" s="94">
        <v>7</v>
      </c>
      <c r="B8" s="95" t="s">
        <v>557</v>
      </c>
      <c r="C8" s="132">
        <v>850</v>
      </c>
      <c r="D8" s="123" t="s">
        <v>4</v>
      </c>
      <c r="E8" s="116"/>
      <c r="F8" s="96" t="s">
        <v>5</v>
      </c>
      <c r="G8" s="21">
        <f>IFERROR(IFERROR(INDEX(Кат!A:A,MATCH($B8,Кат!$G:$G,0)),INDEX(Торг!$B:$B,MATCH(#REF!,Торг!$I:$I,0))),"")</f>
        <v>131567</v>
      </c>
      <c r="H8" s="21">
        <f>IFERROR(IFERROR(INDEX(Кат!B:B,MATCH($B8,Кат!$G:$G,0)),INDEX(Торг!$B:$B,MATCH(#REF!,Торг!$I:$I,0))),"")</f>
        <v>7248</v>
      </c>
      <c r="I8" s="21" t="str">
        <f>IFERROR(IFERROR(INDEX(Кат!C:C,MATCH($B8,Кат!$G:$G,0)),INDEX(Торг!$B:$B,MATCH(#REF!,Торг!$I:$I,0))),"")</f>
        <v>Адаптер ELM 327 Wi-Fi</v>
      </c>
    </row>
    <row r="9" spans="1:9" x14ac:dyDescent="0.25">
      <c r="A9" s="94">
        <v>8</v>
      </c>
      <c r="B9" s="95" t="s">
        <v>183</v>
      </c>
      <c r="C9" s="132">
        <v>600</v>
      </c>
      <c r="D9" s="123" t="s">
        <v>4</v>
      </c>
      <c r="E9" s="116"/>
      <c r="F9" s="96"/>
      <c r="G9" s="21">
        <f>IFERROR(IFERROR(INDEX(Кат!A:A,MATCH($B9,Кат!$G:$G,0)),INDEX(Торг!$B:$B,MATCH(#REF!,Торг!$I:$I,0))),"")</f>
        <v>131555</v>
      </c>
      <c r="H9" s="21">
        <f>IFERROR(IFERROR(INDEX(Кат!B:B,MATCH($B9,Кат!$G:$G,0)),INDEX(Торг!$B:$B,MATCH(#REF!,Торг!$I:$I,0))),"")</f>
        <v>31506</v>
      </c>
      <c r="I9" s="21" t="str">
        <f>IFERROR(IFERROR(INDEX(Кат!C:C,MATCH($B9,Кат!$G:$G,0)),INDEX(Торг!$B:$B,MATCH(#REF!,Торг!$I:$I,0))),"")</f>
        <v>Адаптер 409.1 VAG</v>
      </c>
    </row>
    <row r="10" spans="1:9" x14ac:dyDescent="0.25">
      <c r="A10" s="94">
        <v>9</v>
      </c>
      <c r="B10" s="97" t="s">
        <v>6</v>
      </c>
      <c r="C10" s="128">
        <v>120</v>
      </c>
      <c r="D10" s="98"/>
      <c r="E10" s="116"/>
      <c r="F10" s="99" t="s">
        <v>5</v>
      </c>
      <c r="G10" s="21">
        <f>IFERROR(IFERROR(INDEX(Кат!A:A,MATCH($B10,Кат!$G:$G,0)),INDEX(Торг!$B:$B,MATCH(#REF!,Торг!$I:$I,0))),"")</f>
        <v>117337</v>
      </c>
      <c r="H10" s="21">
        <f>IFERROR(IFERROR(INDEX(Кат!B:B,MATCH($B10,Кат!$G:$G,0)),INDEX(Торг!$B:$B,MATCH(#REF!,Торг!$I:$I,0))),"")</f>
        <v>7216</v>
      </c>
      <c r="I10" s="21" t="str">
        <f>IFERROR(IFERROR(INDEX(Кат!C:C,MATCH($B10,Кат!$G:$G,0)),INDEX(Торг!$B:$B,MATCH(#REF!,Торг!$I:$I,0))),"")</f>
        <v>Аварийное зажигание «АЗ-1» на Lada 2110-2112, 2108-2115, Таврия, Ока</v>
      </c>
    </row>
    <row r="11" spans="1:9" x14ac:dyDescent="0.25">
      <c r="A11" s="94">
        <v>10</v>
      </c>
      <c r="B11" s="97" t="s">
        <v>7</v>
      </c>
      <c r="C11" s="126">
        <v>110</v>
      </c>
      <c r="D11" s="98" t="s">
        <v>161</v>
      </c>
      <c r="E11" s="116"/>
      <c r="F11" s="100" t="s">
        <v>8</v>
      </c>
      <c r="G11" s="21" t="str">
        <f>IFERROR(IFERROR(INDEX(Кат!A:A,MATCH($B11,Кат!$G:$G,0)),INDEX(Торг!$B:$B,MATCH(#REF!,Торг!$I:$I,0))),"")</f>
        <v/>
      </c>
      <c r="H11" s="21" t="str">
        <f>IFERROR(IFERROR(INDEX(Кат!B:B,MATCH($B11,Кат!$G:$G,0)),INDEX(Торг!$B:$B,MATCH(#REF!,Торг!$I:$I,0))),"")</f>
        <v/>
      </c>
      <c r="I11" s="21" t="str">
        <f>IFERROR(IFERROR(INDEX(Кат!C:C,MATCH($B11,Кат!$G:$G,0)),INDEX(Торг!$B:$B,MATCH(#REF!,Торг!$I:$I,0))),"")</f>
        <v/>
      </c>
    </row>
    <row r="12" spans="1:9" x14ac:dyDescent="0.25">
      <c r="A12" s="94">
        <v>11</v>
      </c>
      <c r="B12" s="110" t="s">
        <v>181</v>
      </c>
      <c r="C12" s="129">
        <v>500</v>
      </c>
      <c r="D12" s="124"/>
      <c r="E12" s="116"/>
      <c r="F12" s="96" t="s">
        <v>5</v>
      </c>
      <c r="G12" s="21">
        <f>IFERROR(IFERROR(INDEX(Кат!A:A,MATCH($B12,Кат!$G:$G,0)),INDEX(Торг!$B:$B,MATCH(#REF!,Торг!$I:$I,0))),"")</f>
        <v>132857</v>
      </c>
      <c r="H12" s="21">
        <f>IFERROR(IFERROR(INDEX(Кат!B:B,MATCH($B12,Кат!$G:$G,0)),INDEX(Торг!$B:$B,MATCH(#REF!,Торг!$I:$I,0))),"")</f>
        <v>24480</v>
      </c>
      <c r="I12" s="21" t="str">
        <f>IFERROR(IFERROR(INDEX(Кат!C:C,MATCH($B12,Кат!$G:$G,0)),INDEX(Торг!$B:$B,MATCH(#REF!,Торг!$I:$I,0))),"")</f>
        <v>Антенна "АПЭЛ" ГЛОНАСС/GPS</v>
      </c>
    </row>
    <row r="13" spans="1:9" x14ac:dyDescent="0.25">
      <c r="A13" s="94">
        <v>12</v>
      </c>
      <c r="B13" s="97" t="s">
        <v>9</v>
      </c>
      <c r="C13" s="128">
        <v>420</v>
      </c>
      <c r="D13" s="101"/>
      <c r="E13" s="116"/>
      <c r="F13" s="99" t="s">
        <v>5</v>
      </c>
      <c r="G13" s="21">
        <f>IFERROR(IFERROR(INDEX(Кат!A:A,MATCH($B13,Кат!$G:$G,0)),INDEX(Торг!$B:$B,MATCH(#REF!,Торг!$I:$I,0))),"")</f>
        <v>132860</v>
      </c>
      <c r="H13" s="21">
        <f>IFERROR(IFERROR(INDEX(Кат!B:B,MATCH($B13,Кат!$G:$G,0)),INDEX(Торг!$B:$B,MATCH(#REF!,Торг!$I:$I,0))),"")</f>
        <v>20251</v>
      </c>
      <c r="I13" s="21" t="str">
        <f>IFERROR(IFERROR(INDEX(Кат!C:C,MATCH($B13,Кат!$G:$G,0)),INDEX(Торг!$B:$B,MATCH(#REF!,Торг!$I:$I,0))),"")</f>
        <v>Антенна Вымпел А-25</v>
      </c>
    </row>
    <row r="14" spans="1:9" x14ac:dyDescent="0.25">
      <c r="A14" s="94">
        <v>13</v>
      </c>
      <c r="B14" s="97" t="s">
        <v>10</v>
      </c>
      <c r="C14" s="128">
        <v>350</v>
      </c>
      <c r="D14" s="102"/>
      <c r="E14" s="116"/>
      <c r="F14" s="99" t="s">
        <v>5</v>
      </c>
      <c r="G14" s="21">
        <f>IFERROR(IFERROR(INDEX(Кат!A:A,MATCH($B14,Кат!$G:$G,0)),INDEX(Торг!$B:$B,MATCH(#REF!,Торг!$I:$I,0))),"")</f>
        <v>132865</v>
      </c>
      <c r="H14" s="21">
        <f>IFERROR(IFERROR(INDEX(Кат!B:B,MATCH($B14,Кат!$G:$G,0)),INDEX(Торг!$B:$B,MATCH(#REF!,Торг!$I:$I,0))),"")</f>
        <v>24481</v>
      </c>
      <c r="I14" s="21" t="str">
        <f>IFERROR(IFERROR(INDEX(Кат!C:C,MATCH($B14,Кат!$G:$G,0)),INDEX(Торг!$B:$B,MATCH(#REF!,Торг!$I:$I,0))),"")</f>
        <v>Антенный усилитель "ОРИОН" Вымпел A-10</v>
      </c>
    </row>
    <row r="15" spans="1:9" ht="25.5" x14ac:dyDescent="0.25">
      <c r="A15" s="94">
        <v>14</v>
      </c>
      <c r="B15" s="97" t="s">
        <v>11</v>
      </c>
      <c r="C15" s="128">
        <v>3450</v>
      </c>
      <c r="D15" s="101"/>
      <c r="E15" s="116"/>
      <c r="F15" s="99" t="s">
        <v>5</v>
      </c>
      <c r="G15" s="21">
        <f>IFERROR(IFERROR(INDEX(Кат!A:A,MATCH($B15,Кат!$G:$G,0)),INDEX(Торг!$B:$B,MATCH(#REF!,Торг!$I:$I,0))),"")</f>
        <v>186321</v>
      </c>
      <c r="H15" s="21">
        <f>IFERROR(IFERROR(INDEX(Кат!B:B,MATCH($B15,Кат!$G:$G,0)),INDEX(Торг!$B:$B,MATCH(#REF!,Торг!$I:$I,0))),"")</f>
        <v>7163</v>
      </c>
      <c r="I15" s="21" t="str">
        <f>IFERROR(IFERROR(INDEX(Кат!C:C,MATCH($B15,Кат!$G:$G,0)),INDEX(Торг!$B:$B,MATCH(#REF!,Торг!$I:$I,0))),"")</f>
        <v>Парктроник Multitronics PU-4TC</v>
      </c>
    </row>
    <row r="16" spans="1:9" x14ac:dyDescent="0.25">
      <c r="A16" s="94">
        <v>15</v>
      </c>
      <c r="B16" s="97" t="s">
        <v>600</v>
      </c>
      <c r="C16" s="128">
        <v>3450</v>
      </c>
      <c r="D16" s="101"/>
      <c r="E16" s="116"/>
      <c r="F16" s="99" t="s">
        <v>5</v>
      </c>
      <c r="G16" s="21">
        <f>IFERROR(IFERROR(INDEX(Кат!A:A,MATCH($B16,Кат!$G:$G,0)),INDEX(Торг!$B:$B,MATCH(#REF!,Торг!$I:$I,0))),"")</f>
        <v>186320</v>
      </c>
      <c r="H16" s="21">
        <f>IFERROR(IFERROR(INDEX(Кат!B:B,MATCH($B16,Кат!$G:$G,0)),INDEX(Торг!$B:$B,MATCH(#REF!,Торг!$I:$I,0))),"")</f>
        <v>7165</v>
      </c>
      <c r="I16" s="21" t="str">
        <f>IFERROR(IFERROR(INDEX(Кат!C:C,MATCH($B16,Кат!$G:$G,0)),INDEX(Торг!$B:$B,MATCH(#REF!,Торг!$I:$I,0))),"")</f>
        <v>Парктроник Multitronics PT-4TC</v>
      </c>
    </row>
    <row r="17" spans="1:9" x14ac:dyDescent="0.25">
      <c r="A17" s="94">
        <v>16</v>
      </c>
      <c r="B17" s="97" t="s">
        <v>12</v>
      </c>
      <c r="C17" s="128">
        <v>500</v>
      </c>
      <c r="D17" s="101"/>
      <c r="E17" s="116"/>
      <c r="F17" s="99" t="s">
        <v>5</v>
      </c>
      <c r="G17" s="21" t="str">
        <f>IFERROR(IFERROR(INDEX(Кат!A:A,MATCH($B17,Кат!$G:$G,0)),INDEX(Торг!$B:$B,MATCH(#REF!,Торг!$I:$I,0))),"")</f>
        <v/>
      </c>
      <c r="H17" s="21" t="str">
        <f>IFERROR(IFERROR(INDEX(Кат!B:B,MATCH($B17,Кат!$G:$G,0)),INDEX(Торг!$B:$B,MATCH(#REF!,Торг!$I:$I,0))),"")</f>
        <v/>
      </c>
      <c r="I17" s="21" t="str">
        <f>IFERROR(IFERROR(INDEX(Кат!C:C,MATCH($B17,Кат!$G:$G,0)),INDEX(Торг!$B:$B,MATCH(#REF!,Торг!$I:$I,0))),"")</f>
        <v/>
      </c>
    </row>
    <row r="18" spans="1:9" x14ac:dyDescent="0.25">
      <c r="A18" s="94">
        <v>17</v>
      </c>
      <c r="B18" s="97" t="s">
        <v>13</v>
      </c>
      <c r="C18" s="128">
        <v>550</v>
      </c>
      <c r="D18" s="104"/>
      <c r="E18" s="116"/>
      <c r="F18" s="99" t="s">
        <v>5</v>
      </c>
      <c r="G18" s="21" t="str">
        <f>IFERROR(IFERROR(INDEX(Кат!A:A,MATCH($B18,Кат!$G:$G,0)),INDEX(Торг!$B:$B,MATCH(#REF!,Торг!$I:$I,0))),"")</f>
        <v/>
      </c>
      <c r="H18" s="21" t="str">
        <f>IFERROR(IFERROR(INDEX(Кат!B:B,MATCH($B18,Кат!$G:$G,0)),INDEX(Торг!$B:$B,MATCH(#REF!,Торг!$I:$I,0))),"")</f>
        <v/>
      </c>
      <c r="I18" s="21" t="str">
        <f>IFERROR(IFERROR(INDEX(Кат!C:C,MATCH($B18,Кат!$G:$G,0)),INDEX(Торг!$B:$B,MATCH(#REF!,Торг!$I:$I,0))),"")</f>
        <v/>
      </c>
    </row>
    <row r="19" spans="1:9" x14ac:dyDescent="0.25">
      <c r="A19" s="94">
        <v>18</v>
      </c>
      <c r="B19" s="105" t="s">
        <v>463</v>
      </c>
      <c r="C19" s="127"/>
      <c r="D19" s="106" t="s">
        <v>464</v>
      </c>
      <c r="E19" s="116"/>
      <c r="F19" s="99" t="s">
        <v>465</v>
      </c>
      <c r="G19" s="21" t="str">
        <f>IFERROR(IFERROR(INDEX(Кат!A:A,MATCH($B19,Кат!$G:$G,0)),INDEX(Торг!$B:$B,MATCH(#REF!,Торг!$I:$I,0))),"")</f>
        <v/>
      </c>
      <c r="H19" s="21" t="str">
        <f>IFERROR(IFERROR(INDEX(Кат!B:B,MATCH($B19,Кат!$G:$G,0)),INDEX(Торг!$B:$B,MATCH(#REF!,Торг!$I:$I,0))),"")</f>
        <v/>
      </c>
      <c r="I19" s="21" t="str">
        <f>IFERROR(IFERROR(INDEX(Кат!C:C,MATCH($B19,Кат!$G:$G,0)),INDEX(Торг!$B:$B,MATCH(#REF!,Торг!$I:$I,0))),"")</f>
        <v/>
      </c>
    </row>
    <row r="20" spans="1:9" x14ac:dyDescent="0.25">
      <c r="A20" s="94">
        <v>19</v>
      </c>
      <c r="B20" s="107" t="s">
        <v>15</v>
      </c>
      <c r="C20" s="128">
        <v>1900</v>
      </c>
      <c r="D20" s="102" t="s">
        <v>4</v>
      </c>
      <c r="E20" s="116"/>
      <c r="F20" s="99" t="s">
        <v>5</v>
      </c>
      <c r="G20" s="21">
        <f>IFERROR(IFERROR(INDEX(Кат!A:A,MATCH($B20,Кат!$G:$G,0)),INDEX(Торг!$B:$B,MATCH(#REF!,Торг!$I:$I,0))),"")</f>
        <v>143690</v>
      </c>
      <c r="H20" s="21">
        <f>IFERROR(IFERROR(INDEX(Кат!B:B,MATCH($B20,Кат!$G:$G,0)),INDEX(Торг!$B:$B,MATCH(#REF!,Торг!$I:$I,0))),"")</f>
        <v>7177</v>
      </c>
      <c r="I20" s="21" t="str">
        <f>IFERROR(IFERROR(INDEX(Кат!C:C,MATCH($B20,Кат!$G:$G,0)),INDEX(Торг!$B:$B,MATCH(#REF!,Торг!$I:$I,0))),"")</f>
        <v>Диагностический сканер тестер Штат ДСТ-Мини для автомобилей Lada</v>
      </c>
    </row>
    <row r="21" spans="1:9" x14ac:dyDescent="0.25">
      <c r="A21" s="94">
        <v>20</v>
      </c>
      <c r="B21" s="107" t="s">
        <v>182</v>
      </c>
      <c r="C21" s="128">
        <v>3300</v>
      </c>
      <c r="D21" s="102" t="s">
        <v>4</v>
      </c>
      <c r="E21" s="116"/>
      <c r="F21" s="99" t="s">
        <v>5</v>
      </c>
      <c r="G21" s="21">
        <f>IFERROR(IFERROR(INDEX(Кат!A:A,MATCH($B21,Кат!$G:$G,0)),INDEX(Торг!$B:$B,MATCH(#REF!,Торг!$I:$I,0))),"")</f>
        <v>131499</v>
      </c>
      <c r="H21" s="21">
        <f>IFERROR(IFERROR(INDEX(Кат!B:B,MATCH($B21,Кат!$G:$G,0)),INDEX(Торг!$B:$B,MATCH(#REF!,Торг!$I:$I,0))),"")</f>
        <v>24482</v>
      </c>
      <c r="I21" s="21" t="str">
        <f>IFERROR(IFERROR(INDEX(Кат!C:C,MATCH($B21,Кат!$G:$G,0)),INDEX(Торг!$B:$B,MATCH(#REF!,Торг!$I:$I,0))),"")</f>
        <v>Автомобильный диагностический сканер-тестер "ШТАТ" ДСТ—EXPRESS</v>
      </c>
    </row>
    <row r="22" spans="1:9" x14ac:dyDescent="0.25">
      <c r="A22" s="94">
        <v>21</v>
      </c>
      <c r="B22" s="107" t="s">
        <v>856</v>
      </c>
      <c r="C22" s="128">
        <v>1450</v>
      </c>
      <c r="D22" s="102"/>
      <c r="E22" s="116"/>
      <c r="F22" s="99" t="s">
        <v>5</v>
      </c>
      <c r="G22" s="21">
        <f>IFERROR(IFERROR(INDEX(Кат!A:A,MATCH($B22,Кат!$G:$G,0)),INDEX(Торг!$B:$B,MATCH(#REF!,Торг!$I:$I,0))),"")</f>
        <v>138639</v>
      </c>
      <c r="H22" s="21">
        <f>IFERROR(IFERROR(INDEX(Кат!B:B,MATCH($B22,Кат!$G:$G,0)),INDEX(Торг!$B:$B,MATCH(#REF!,Торг!$I:$I,0))),"")</f>
        <v>31507</v>
      </c>
      <c r="I22" s="21" t="str">
        <f>IFERROR(IFERROR(INDEX(Кат!C:C,MATCH($B22,Кат!$G:$G,0)),INDEX(Торг!$B:$B,MATCH(#REF!,Торг!$I:$I,0))),"")</f>
        <v>Бортовой компьютер "Штат" БК-3 для Лада Ларгус</v>
      </c>
    </row>
    <row r="23" spans="1:9" x14ac:dyDescent="0.25">
      <c r="A23" s="94">
        <v>22</v>
      </c>
      <c r="B23" s="107" t="s">
        <v>857</v>
      </c>
      <c r="C23" s="128">
        <v>1450</v>
      </c>
      <c r="D23" s="102"/>
      <c r="E23" s="116"/>
      <c r="F23" s="99" t="s">
        <v>5</v>
      </c>
      <c r="G23" s="21">
        <f>IFERROR(IFERROR(INDEX(Кат!A:A,MATCH($B23,Кат!$G:$G,0)),INDEX(Торг!$B:$B,MATCH(#REF!,Торг!$I:$I,0))),"")</f>
        <v>138640</v>
      </c>
      <c r="H23" s="21">
        <f>IFERROR(IFERROR(INDEX(Кат!B:B,MATCH($B23,Кат!$G:$G,0)),INDEX(Торг!$B:$B,MATCH(#REF!,Торг!$I:$I,0))),"")</f>
        <v>31508</v>
      </c>
      <c r="I23" s="21" t="str">
        <f>IFERROR(IFERROR(INDEX(Кат!C:C,MATCH($B23,Кат!$G:$G,0)),INDEX(Торг!$B:$B,MATCH(#REF!,Торг!$I:$I,0))),"")</f>
        <v>Бортовой компьютер "Штат" БК-7 для Лада Ларгус (с двигателем ВАЗ 11189, 21129)</v>
      </c>
    </row>
    <row r="24" spans="1:9" x14ac:dyDescent="0.25">
      <c r="A24" s="94">
        <v>23</v>
      </c>
      <c r="B24" s="97" t="s">
        <v>140</v>
      </c>
      <c r="C24" s="128">
        <v>3500</v>
      </c>
      <c r="D24" s="101"/>
      <c r="E24" s="116"/>
      <c r="F24" s="99" t="s">
        <v>5</v>
      </c>
      <c r="G24" s="21">
        <f>IFERROR(IFERROR(INDEX(Кат!A:A,MATCH($B24,Кат!$G:$G,0)),INDEX(Торг!$B:$B,MATCH(#REF!,Торг!$I:$I,0))),"")</f>
        <v>138709</v>
      </c>
      <c r="H24" s="21">
        <f>IFERROR(IFERROR(INDEX(Кат!B:B,MATCH($B24,Кат!$G:$G,0)),INDEX(Торг!$B:$B,MATCH(#REF!,Торг!$I:$I,0))),"")</f>
        <v>7028</v>
      </c>
      <c r="I24" s="21" t="str">
        <f>IFERROR(IFERROR(INDEX(Кат!C:C,MATCH($B24,Кат!$G:$G,0)),INDEX(Торг!$B:$B,MATCH(#REF!,Торг!$I:$I,0))),"")</f>
        <v>Бортовой компьютер Штат UniComp-410M на Lada и иномарки</v>
      </c>
    </row>
    <row r="25" spans="1:9" x14ac:dyDescent="0.25">
      <c r="A25" s="94">
        <v>24</v>
      </c>
      <c r="B25" s="97" t="s">
        <v>19</v>
      </c>
      <c r="C25" s="128">
        <v>1650</v>
      </c>
      <c r="D25" s="101"/>
      <c r="E25" s="116"/>
      <c r="F25" s="99" t="s">
        <v>5</v>
      </c>
      <c r="G25" s="21">
        <f>IFERROR(IFERROR(INDEX(Кат!A:A,MATCH($B25,Кат!$G:$G,0)),INDEX(Торг!$B:$B,MATCH(#REF!,Торг!$I:$I,0))),"")</f>
        <v>138692</v>
      </c>
      <c r="H25" s="21">
        <f>IFERROR(IFERROR(INDEX(Кат!B:B,MATCH($B25,Кат!$G:$G,0)),INDEX(Торг!$B:$B,MATCH(#REF!,Торг!$I:$I,0))),"")</f>
        <v>7079</v>
      </c>
      <c r="I25" s="21" t="str">
        <f>IFERROR(IFERROR(INDEX(Кат!C:C,MATCH($B25,Кат!$G:$G,0)),INDEX(Торг!$B:$B,MATCH(#REF!,Торг!$I:$I,0))),"")</f>
        <v>Бортовой компьютер Штат 07X-1М на Lada 2105-07</v>
      </c>
    </row>
    <row r="26" spans="1:9" x14ac:dyDescent="0.25">
      <c r="A26" s="94">
        <v>25</v>
      </c>
      <c r="B26" s="97" t="s">
        <v>21</v>
      </c>
      <c r="C26" s="128">
        <v>4200</v>
      </c>
      <c r="D26" s="101"/>
      <c r="E26" s="116"/>
      <c r="F26" s="99" t="s">
        <v>5</v>
      </c>
      <c r="G26" s="21">
        <f>IFERROR(IFERROR(INDEX(Кат!A:A,MATCH($B26,Кат!$G:$G,0)),INDEX(Торг!$B:$B,MATCH(#REF!,Торг!$I:$I,0))),"")</f>
        <v>138702</v>
      </c>
      <c r="H26" s="21">
        <f>IFERROR(IFERROR(INDEX(Кат!B:B,MATCH($B26,Кат!$G:$G,0)),INDEX(Торг!$B:$B,MATCH(#REF!,Торг!$I:$I,0))),"")</f>
        <v>7026</v>
      </c>
      <c r="I26" s="21" t="str">
        <f>IFERROR(IFERROR(INDEX(Кат!C:C,MATCH($B26,Кат!$G:$G,0)),INDEX(Торг!$B:$B,MATCH(#REF!,Торг!$I:$I,0))),"")</f>
        <v>Бортовой компьютер Штат Priora Матрикс на Lada Priora</v>
      </c>
    </row>
    <row r="27" spans="1:9" x14ac:dyDescent="0.25">
      <c r="A27" s="94">
        <v>26</v>
      </c>
      <c r="B27" s="97" t="s">
        <v>393</v>
      </c>
      <c r="C27" s="128">
        <v>4800</v>
      </c>
      <c r="D27" s="101"/>
      <c r="E27" s="116"/>
      <c r="F27" s="99" t="s">
        <v>5</v>
      </c>
      <c r="G27" s="21">
        <f>IFERROR(IFERROR(INDEX(Кат!A:A,MATCH($B27,Кат!$G:$G,0)),INDEX(Торг!$B:$B,MATCH(#REF!,Торг!$I:$I,0))),"")</f>
        <v>138716</v>
      </c>
      <c r="H27" s="21">
        <f>IFERROR(IFERROR(INDEX(Кат!B:B,MATCH($B27,Кат!$G:$G,0)),INDEX(Торг!$B:$B,MATCH(#REF!,Торг!$I:$I,0))),"")</f>
        <v>7077</v>
      </c>
      <c r="I27" s="21" t="str">
        <f>IFERROR(IFERROR(INDEX(Кат!C:C,MATCH($B27,Кат!$G:$G,0)),INDEX(Торг!$B:$B,MATCH(#REF!,Торг!$I:$I,0))),"")</f>
        <v>Бортовой компьютер ШТАТ Шеви Вектор (без голоса) на Niva Chevrolet</v>
      </c>
    </row>
    <row r="28" spans="1:9" x14ac:dyDescent="0.25">
      <c r="A28" s="94">
        <v>27</v>
      </c>
      <c r="B28" s="97" t="s">
        <v>22</v>
      </c>
      <c r="C28" s="128">
        <v>5500</v>
      </c>
      <c r="D28" s="101"/>
      <c r="E28" s="116"/>
      <c r="F28" s="99" t="s">
        <v>5</v>
      </c>
      <c r="G28" s="21">
        <f>IFERROR(IFERROR(INDEX(Кат!A:A,MATCH($B28,Кат!$G:$G,0)),INDEX(Торг!$B:$B,MATCH(#REF!,Торг!$I:$I,0))),"")</f>
        <v>138715</v>
      </c>
      <c r="H28" s="21">
        <f>IFERROR(IFERROR(INDEX(Кат!B:B,MATCH($B28,Кат!$G:$G,0)),INDEX(Торг!$B:$B,MATCH(#REF!,Торг!$I:$I,0))),"")</f>
        <v>7076</v>
      </c>
      <c r="I28" s="21" t="str">
        <f>IFERROR(IFERROR(INDEX(Кат!C:C,MATCH($B28,Кат!$G:$G,0)),INDEX(Торг!$B:$B,MATCH(#REF!,Торг!$I:$I,0))),"")</f>
        <v>Бортовой компьютер Штат Шеви MATRIX-М на Niva Chevrolet</v>
      </c>
    </row>
    <row r="29" spans="1:9" x14ac:dyDescent="0.25">
      <c r="A29" s="94">
        <v>28</v>
      </c>
      <c r="B29" s="97" t="s">
        <v>23</v>
      </c>
      <c r="C29" s="128">
        <v>1650</v>
      </c>
      <c r="D29" s="101"/>
      <c r="E29" s="116"/>
      <c r="F29" s="99" t="s">
        <v>5</v>
      </c>
      <c r="G29" s="21">
        <f>IFERROR(IFERROR(INDEX(Кат!A:A,MATCH($B29,Кат!$G:$G,0)),INDEX(Торг!$B:$B,MATCH(#REF!,Торг!$I:$I,0))),"")</f>
        <v>138711</v>
      </c>
      <c r="H29" s="21">
        <f>IFERROR(IFERROR(INDEX(Кат!B:B,MATCH($B29,Кат!$G:$G,0)),INDEX(Торг!$B:$B,MATCH(#REF!,Торг!$I:$I,0))),"")</f>
        <v>7039</v>
      </c>
      <c r="I29" s="21" t="str">
        <f>IFERROR(IFERROR(INDEX(Кат!C:C,MATCH($B29,Кат!$G:$G,0)),INDEX(Торг!$B:$B,MATCH(#REF!,Торг!$I:$I,0))),"")</f>
        <v>Бортовой компьютер Штат Х-1М универсал на Lada Kalina, 2113-2115, 2110-2112, Niva Chevrolet</v>
      </c>
    </row>
    <row r="30" spans="1:9" x14ac:dyDescent="0.25">
      <c r="A30" s="94">
        <v>29</v>
      </c>
      <c r="B30" s="97" t="s">
        <v>24</v>
      </c>
      <c r="C30" s="128">
        <v>1650</v>
      </c>
      <c r="D30" s="101"/>
      <c r="E30" s="116"/>
      <c r="F30" s="99" t="s">
        <v>5</v>
      </c>
      <c r="G30" s="21">
        <f>IFERROR(IFERROR(INDEX(Кат!A:A,MATCH($B30,Кат!$G:$G,0)),INDEX(Торг!$B:$B,MATCH(#REF!,Торг!$I:$I,0))),"")</f>
        <v>138714</v>
      </c>
      <c r="H30" s="21">
        <f>IFERROR(IFERROR(INDEX(Кат!B:B,MATCH($B30,Кат!$G:$G,0)),INDEX(Торг!$B:$B,MATCH(#REF!,Торг!$I:$I,0))),"")</f>
        <v>7025</v>
      </c>
      <c r="I30" s="21" t="str">
        <f>IFERROR(IFERROR(INDEX(Кат!C:C,MATCH($B30,Кат!$G:$G,0)),INDEX(Торг!$B:$B,MATCH(#REF!,Торг!$I:$I,0))),"")</f>
        <v>Бортовой компьютер Штат Х1-P на Lada Priora</v>
      </c>
    </row>
    <row r="31" spans="1:9" x14ac:dyDescent="0.25">
      <c r="A31" s="94">
        <v>30</v>
      </c>
      <c r="B31" s="97" t="s">
        <v>394</v>
      </c>
      <c r="C31" s="128">
        <v>1650</v>
      </c>
      <c r="D31" s="101"/>
      <c r="E31" s="116"/>
      <c r="F31" s="99" t="s">
        <v>5</v>
      </c>
      <c r="G31" s="21">
        <f>IFERROR(IFERROR(INDEX(Кат!A:A,MATCH($B31,Кат!$G:$G,0)),INDEX(Торг!$B:$B,MATCH(#REF!,Торг!$I:$I,0))),"")</f>
        <v>138713</v>
      </c>
      <c r="H31" s="21">
        <f>IFERROR(IFERROR(INDEX(Кат!B:B,MATCH($B31,Кат!$G:$G,0)),INDEX(Торг!$B:$B,MATCH(#REF!,Торг!$I:$I,0))),"")</f>
        <v>7042</v>
      </c>
      <c r="I31" s="21" t="str">
        <f>IFERROR(IFERROR(INDEX(Кат!C:C,MATCH($B31,Кат!$G:$G,0)),INDEX(Торг!$B:$B,MATCH(#REF!,Торг!$I:$I,0))),"")</f>
        <v>Бортовой компьютер Штат Х1-G (зеленый индикатор) на Lada Kalina 2, Granta</v>
      </c>
    </row>
    <row r="32" spans="1:9" x14ac:dyDescent="0.25">
      <c r="A32" s="94">
        <v>31</v>
      </c>
      <c r="B32" s="97" t="s">
        <v>395</v>
      </c>
      <c r="C32" s="128">
        <v>1650</v>
      </c>
      <c r="D32" s="101"/>
      <c r="E32" s="116"/>
      <c r="F32" s="99"/>
      <c r="G32" s="21">
        <f>IFERROR(IFERROR(INDEX(Кат!A:A,MATCH($B32,Кат!$G:$G,0)),INDEX(Торг!$B:$B,MATCH(#REF!,Торг!$I:$I,0))),"")</f>
        <v>138712</v>
      </c>
      <c r="H32" s="21">
        <f>IFERROR(IFERROR(INDEX(Кат!B:B,MATCH($B32,Кат!$G:$G,0)),INDEX(Торг!$B:$B,MATCH(#REF!,Торг!$I:$I,0))),"")</f>
        <v>19446</v>
      </c>
      <c r="I32" s="21" t="str">
        <f>IFERROR(IFERROR(INDEX(Кат!C:C,MATCH($B32,Кат!$G:$G,0)),INDEX(Торг!$B:$B,MATCH(#REF!,Торг!$I:$I,0))),"")</f>
        <v>Бортовой компьютер Штат Х1-G (белый индикатор) для LADA Granta, Priora 2, Kalina 2</v>
      </c>
    </row>
    <row r="33" spans="1:11" x14ac:dyDescent="0.25">
      <c r="A33" s="94">
        <v>32</v>
      </c>
      <c r="B33" s="97" t="s">
        <v>396</v>
      </c>
      <c r="C33" s="133">
        <v>1750</v>
      </c>
      <c r="D33" s="102"/>
      <c r="E33" s="116"/>
      <c r="F33" s="99" t="s">
        <v>5</v>
      </c>
      <c r="G33" s="21">
        <f>IFERROR(IFERROR(INDEX(Кат!A:A,MATCH($B33,Кат!$G:$G,0)),INDEX(Торг!$B:$B,MATCH(#REF!,Торг!$I:$I,0))),"")</f>
        <v>138644</v>
      </c>
      <c r="H33" s="21">
        <f>IFERROR(IFERROR(INDEX(Кат!B:B,MATCH($B33,Кат!$G:$G,0)),INDEX(Торг!$B:$B,MATCH(#REF!,Торг!$I:$I,0))),"")</f>
        <v>24483</v>
      </c>
      <c r="I33" s="21" t="str">
        <f>IFERROR(IFERROR(INDEX(Кат!C:C,MATCH($B33,Кат!$G:$G,0)),INDEX(Торг!$B:$B,MATCH(#REF!,Торг!$I:$I,0))),"")</f>
        <v>Бортовой компьютер "Штат" Х1-N-G (белый индикатор) для Лада Калина 2, Приора 2, Гранта, Нива 4х4 (с 2020 г. в.)</v>
      </c>
    </row>
    <row r="34" spans="1:11" x14ac:dyDescent="0.25">
      <c r="A34" s="94">
        <v>33</v>
      </c>
      <c r="B34" s="97" t="s">
        <v>397</v>
      </c>
      <c r="C34" s="133">
        <v>1750</v>
      </c>
      <c r="D34" s="102"/>
      <c r="E34" s="116"/>
      <c r="F34" s="99"/>
      <c r="G34" s="21" t="str">
        <f>IFERROR(IFERROR(INDEX(Кат!A:A,MATCH($B34,Кат!$G:$G,0)),INDEX(Торг!$B:$B,MATCH(#REF!,Торг!$I:$I,0))),"")</f>
        <v/>
      </c>
      <c r="H34" s="21" t="str">
        <f>IFERROR(IFERROR(INDEX(Кат!B:B,MATCH($B34,Кат!$G:$G,0)),INDEX(Торг!$B:$B,MATCH(#REF!,Торг!$I:$I,0))),"")</f>
        <v/>
      </c>
      <c r="I34" s="21" t="str">
        <f>IFERROR(IFERROR(INDEX(Кат!C:C,MATCH($B34,Кат!$G:$G,0)),INDEX(Торг!$B:$B,MATCH(#REF!,Торг!$I:$I,0))),"")</f>
        <v/>
      </c>
    </row>
    <row r="35" spans="1:11" x14ac:dyDescent="0.25">
      <c r="A35" s="94">
        <v>34</v>
      </c>
      <c r="B35" s="97" t="s">
        <v>636</v>
      </c>
      <c r="C35" s="133">
        <v>1750</v>
      </c>
      <c r="D35" s="102"/>
      <c r="E35" s="116"/>
      <c r="F35" s="99" t="s">
        <v>5</v>
      </c>
      <c r="G35" s="21">
        <f>IFERROR(IFERROR(INDEX(Кат!A:A,MATCH($B35,Кат!$G:$G,0)),INDEX(Торг!$B:$B,MATCH(#REF!,Торг!$I:$I,0))),"")</f>
        <v>257936</v>
      </c>
      <c r="H35" s="21">
        <f>IFERROR(IFERROR(INDEX(Кат!B:B,MATCH($B35,Кат!$G:$G,0)),INDEX(Торг!$B:$B,MATCH(#REF!,Торг!$I:$I,0))),"")</f>
        <v>208187</v>
      </c>
      <c r="I35" s="21" t="str">
        <f>IFERROR(IFERROR(INDEX(Кат!C:C,MATCH($B35,Кат!$G:$G,0)),INDEX(Торг!$B:$B,MATCH(#REF!,Торг!$I:$I,0))),"")</f>
        <v>Бортовой компьютер "ШТАТ" X-1Т для Лада Нива Travel</v>
      </c>
      <c r="K35" s="23" t="s">
        <v>651</v>
      </c>
    </row>
    <row r="36" spans="1:11" x14ac:dyDescent="0.25">
      <c r="A36" s="94">
        <v>35</v>
      </c>
      <c r="B36" s="97" t="s">
        <v>25</v>
      </c>
      <c r="C36" s="122">
        <v>3200</v>
      </c>
      <c r="D36" s="101" t="s">
        <v>432</v>
      </c>
      <c r="E36" s="116"/>
      <c r="F36" s="99" t="s">
        <v>5</v>
      </c>
      <c r="G36" s="21">
        <f>IFERROR(IFERROR(INDEX(Кат!A:A,MATCH($B36,Кат!$G:$G,0)),INDEX(Торг!$B:$B,MATCH(#REF!,Торг!$I:$I,0))),"")</f>
        <v>138634</v>
      </c>
      <c r="H36" s="21">
        <f>IFERROR(IFERROR(INDEX(Кат!B:B,MATCH($B36,Кат!$G:$G,0)),INDEX(Торг!$B:$B,MATCH(#REF!,Торг!$I:$I,0))),"")</f>
        <v>24484</v>
      </c>
      <c r="I36" s="21" t="str">
        <f>IFERROR(IFERROR(INDEX(Кат!C:C,MATCH($B36,Кат!$G:$G,0)),INDEX(Торг!$B:$B,MATCH(#REF!,Торг!$I:$I,0))),"")</f>
        <v>Бортовой компьютер "Штат" 110x4M-Zoom для ВАЗ 2110-2112</v>
      </c>
    </row>
    <row r="37" spans="1:11" x14ac:dyDescent="0.25">
      <c r="A37" s="94">
        <v>36</v>
      </c>
      <c r="B37" s="97" t="s">
        <v>26</v>
      </c>
      <c r="C37" s="128">
        <v>1650</v>
      </c>
      <c r="D37" s="101"/>
      <c r="E37" s="116"/>
      <c r="F37" s="99" t="s">
        <v>5</v>
      </c>
      <c r="G37" s="21">
        <f>IFERROR(IFERROR(INDEX(Кат!A:A,MATCH($B37,Кат!$G:$G,0)),INDEX(Торг!$B:$B,MATCH(#REF!,Торг!$I:$I,0))),"")</f>
        <v>138700</v>
      </c>
      <c r="H37" s="21">
        <f>IFERROR(IFERROR(INDEX(Кат!B:B,MATCH($B37,Кат!$G:$G,0)),INDEX(Торг!$B:$B,MATCH(#REF!,Торг!$I:$I,0))),"")</f>
        <v>7068</v>
      </c>
      <c r="I37" s="21" t="str">
        <f>IFERROR(IFERROR(INDEX(Кат!C:C,MATCH($B37,Кат!$G:$G,0)),INDEX(Торг!$B:$B,MATCH(#REF!,Торг!$I:$I,0))),"")</f>
        <v>Бортовой компьютер Штат 33 X1 на Lada 2110-12</v>
      </c>
    </row>
    <row r="38" spans="1:11" x14ac:dyDescent="0.25">
      <c r="A38" s="94">
        <v>37</v>
      </c>
      <c r="B38" s="97" t="s">
        <v>27</v>
      </c>
      <c r="C38" s="128">
        <v>4800</v>
      </c>
      <c r="D38" s="101"/>
      <c r="E38" s="116"/>
      <c r="F38" s="99" t="s">
        <v>5</v>
      </c>
      <c r="G38" s="21" t="str">
        <f>IFERROR(IFERROR(INDEX(Кат!A:A,MATCH($B38,Кат!$G:$G,0)),INDEX(Торг!$B:$B,MATCH(#REF!,Торг!$I:$I,0))),"")</f>
        <v/>
      </c>
      <c r="H38" s="21" t="str">
        <f>IFERROR(IFERROR(INDEX(Кат!B:B,MATCH($B38,Кат!$G:$G,0)),INDEX(Торг!$B:$B,MATCH(#REF!,Торг!$I:$I,0))),"")</f>
        <v/>
      </c>
      <c r="I38" s="21" t="str">
        <f>IFERROR(IFERROR(INDEX(Кат!C:C,MATCH($B38,Кат!$G:$G,0)),INDEX(Торг!$B:$B,MATCH(#REF!,Торг!$I:$I,0))),"")</f>
        <v/>
      </c>
    </row>
    <row r="39" spans="1:11" x14ac:dyDescent="0.25">
      <c r="A39" s="94">
        <v>38</v>
      </c>
      <c r="B39" s="97" t="s">
        <v>28</v>
      </c>
      <c r="C39" s="122">
        <v>3350</v>
      </c>
      <c r="D39" s="101" t="s">
        <v>432</v>
      </c>
      <c r="E39" s="116"/>
      <c r="F39" s="99" t="s">
        <v>5</v>
      </c>
      <c r="G39" s="21">
        <f>IFERROR(IFERROR(INDEX(Кат!A:A,MATCH($B39,Кат!$G:$G,0)),INDEX(Торг!$B:$B,MATCH(#REF!,Торг!$I:$I,0))),"")</f>
        <v>138695</v>
      </c>
      <c r="H39" s="21">
        <f>IFERROR(IFERROR(INDEX(Кат!B:B,MATCH($B39,Кат!$G:$G,0)),INDEX(Торг!$B:$B,MATCH(#REF!,Торг!$I:$I,0))),"")</f>
        <v>7069</v>
      </c>
      <c r="I39" s="21" t="str">
        <f>IFERROR(IFERROR(INDEX(Кат!C:C,MATCH($B39,Кат!$G:$G,0)),INDEX(Торг!$B:$B,MATCH(#REF!,Торг!$I:$I,0))),"")</f>
        <v>Бортовой компьютер Штат 110x5М на Lada 2110-2112 со старой панелью</v>
      </c>
    </row>
    <row r="40" spans="1:11" x14ac:dyDescent="0.25">
      <c r="A40" s="94">
        <v>39</v>
      </c>
      <c r="B40" s="97" t="s">
        <v>29</v>
      </c>
      <c r="C40" s="129">
        <v>4400</v>
      </c>
      <c r="D40" s="101"/>
      <c r="E40" s="116"/>
      <c r="F40" s="119" t="s">
        <v>5</v>
      </c>
      <c r="G40" s="21">
        <f>IFERROR(IFERROR(INDEX(Кат!A:A,MATCH($B40,Кат!$G:$G,0)),INDEX(Торг!$B:$B,MATCH(#REF!,Торг!$I:$I,0))),"")</f>
        <v>138696</v>
      </c>
      <c r="H40" s="21">
        <f>IFERROR(IFERROR(INDEX(Кат!B:B,MATCH($B40,Кат!$G:$G,0)),INDEX(Торг!$B:$B,MATCH(#REF!,Торг!$I:$I,0))),"")</f>
        <v>7045</v>
      </c>
      <c r="I40" s="21" t="str">
        <f>IFERROR(IFERROR(INDEX(Кат!C:C,MATCH($B40,Кат!$G:$G,0)),INDEX(Торг!$B:$B,MATCH(#REF!,Торг!$I:$I,0))),"")</f>
        <v>Бортовой компьютер Штат 115x23-М для ВАЗ (2109-21099, 2113-2115), Лада Нива 4х4</v>
      </c>
    </row>
    <row r="41" spans="1:11" x14ac:dyDescent="0.25">
      <c r="A41" s="94">
        <v>40</v>
      </c>
      <c r="B41" s="97" t="s">
        <v>30</v>
      </c>
      <c r="C41" s="136">
        <v>3900</v>
      </c>
      <c r="D41" s="101" t="s">
        <v>432</v>
      </c>
      <c r="E41" s="116"/>
      <c r="F41" s="99" t="s">
        <v>5</v>
      </c>
      <c r="G41" s="21">
        <f>IFERROR(IFERROR(INDEX(Кат!A:A,MATCH($B41,Кат!$G:$G,0)),INDEX(Торг!$B:$B,MATCH(#REF!,Торг!$I:$I,0))),"")</f>
        <v>138635</v>
      </c>
      <c r="H41" s="21">
        <f>IFERROR(IFERROR(INDEX(Кат!B:B,MATCH($B41,Кат!$G:$G,0)),INDEX(Торг!$B:$B,MATCH(#REF!,Торг!$I:$I,0))),"")</f>
        <v>7057</v>
      </c>
      <c r="I41" s="21" t="str">
        <f>IFERROR(IFERROR(INDEX(Кат!C:C,MATCH($B41,Кат!$G:$G,0)),INDEX(Торг!$B:$B,MATCH(#REF!,Торг!$I:$I,0))),"")</f>
        <v>Бортовой компьютер "Штат" 115 X-24 RGB экран для ВАЗ 2108-21099, 2113-2115</v>
      </c>
    </row>
    <row r="42" spans="1:11" x14ac:dyDescent="0.25">
      <c r="A42" s="94">
        <v>41</v>
      </c>
      <c r="B42" s="97" t="s">
        <v>146</v>
      </c>
      <c r="C42" s="128">
        <v>4000</v>
      </c>
      <c r="D42" s="101"/>
      <c r="E42" s="116"/>
      <c r="F42" s="99" t="s">
        <v>5</v>
      </c>
      <c r="G42" s="21">
        <f>IFERROR(IFERROR(INDEX(Кат!A:A,MATCH($B42,Кат!$G:$G,0)),INDEX(Торг!$B:$B,MATCH(#REF!,Торг!$I:$I,0))),"")</f>
        <v>138638</v>
      </c>
      <c r="H42" s="21">
        <f>IFERROR(IFERROR(INDEX(Кат!B:B,MATCH($B42,Кат!$G:$G,0)),INDEX(Торг!$B:$B,MATCH(#REF!,Торг!$I:$I,0))),"")</f>
        <v>7037</v>
      </c>
      <c r="I42" s="21" t="str">
        <f>IFERROR(IFERROR(INDEX(Кат!C:C,MATCH($B42,Кат!$G:$G,0)),INDEX(Торг!$B:$B,MATCH(#REF!,Торг!$I:$I,0))),"")</f>
        <v>Бортовой компьютер "Штат" X-5 МК для Лада Калина</v>
      </c>
    </row>
    <row r="43" spans="1:11" x14ac:dyDescent="0.25">
      <c r="A43" s="94">
        <v>42</v>
      </c>
      <c r="B43" s="97" t="s">
        <v>189</v>
      </c>
      <c r="C43" s="136">
        <v>1650</v>
      </c>
      <c r="D43" s="108" t="s">
        <v>432</v>
      </c>
      <c r="E43" s="116"/>
      <c r="F43" s="99" t="s">
        <v>5</v>
      </c>
      <c r="G43" s="21">
        <f>IFERROR(IFERROR(INDEX(Кат!A:A,MATCH($B43,Кат!$G:$G,0)),INDEX(Торг!$B:$B,MATCH(#REF!,Торг!$I:$I,0))),"")</f>
        <v>138641</v>
      </c>
      <c r="H43" s="21">
        <f>IFERROR(IFERROR(INDEX(Кат!B:B,MATCH($B43,Кат!$G:$G,0)),INDEX(Торг!$B:$B,MATCH(#REF!,Торг!$I:$I,0))),"")</f>
        <v>24492</v>
      </c>
      <c r="I43" s="21" t="str">
        <f>IFERROR(IFERROR(INDEX(Кат!C:C,MATCH($B43,Кат!$G:$G,0)),INDEX(Торг!$B:$B,MATCH(#REF!,Торг!$I:$I,0))),"")</f>
        <v>Бортовой компьютер "Штат" МК-1 PLUS (сенсорный) для Лада Веста, XRAY</v>
      </c>
    </row>
    <row r="44" spans="1:11" x14ac:dyDescent="0.25">
      <c r="A44" s="94">
        <v>43</v>
      </c>
      <c r="B44" s="97" t="s">
        <v>166</v>
      </c>
      <c r="C44" s="136">
        <v>1650</v>
      </c>
      <c r="D44" s="108" t="s">
        <v>541</v>
      </c>
      <c r="E44" s="116"/>
      <c r="F44" s="99" t="s">
        <v>5</v>
      </c>
      <c r="G44" s="21">
        <f>IFERROR(IFERROR(INDEX(Кат!A:A,MATCH($B44,Кат!$G:$G,0)),INDEX(Торг!$B:$B,MATCH(#REF!,Торг!$I:$I,0))),"")</f>
        <v>138643</v>
      </c>
      <c r="H44" s="21">
        <f>IFERROR(IFERROR(INDEX(Кат!B:B,MATCH($B44,Кат!$G:$G,0)),INDEX(Торг!$B:$B,MATCH(#REF!,Торг!$I:$I,0))),"")</f>
        <v>24493</v>
      </c>
      <c r="I44" s="21" t="str">
        <f>IFERROR(IFERROR(INDEX(Кат!C:C,MATCH($B44,Кат!$G:$G,0)),INDEX(Торг!$B:$B,MATCH(#REF!,Торг!$I:$I,0))),"")</f>
        <v>Бортовой компьютер "Штат" МК-2 (сенсорный, OBD-2 CAN)</v>
      </c>
    </row>
    <row r="45" spans="1:11" x14ac:dyDescent="0.25">
      <c r="A45" s="94">
        <v>44</v>
      </c>
      <c r="B45" s="97" t="s">
        <v>466</v>
      </c>
      <c r="C45" s="128">
        <v>1800</v>
      </c>
      <c r="D45" s="108"/>
      <c r="E45" s="116"/>
      <c r="F45" s="99" t="s">
        <v>5</v>
      </c>
      <c r="G45" s="21">
        <f>IFERROR(IFERROR(INDEX(Кат!A:A,MATCH($B45,Кат!$G:$G,0)),INDEX(Торг!$B:$B,MATCH(#REF!,Торг!$I:$I,0))),"")</f>
        <v>347232</v>
      </c>
      <c r="H45" s="21">
        <f>IFERROR(IFERROR(INDEX(Кат!B:B,MATCH($B45,Кат!$G:$G,0)),INDEX(Торг!$B:$B,MATCH(#REF!,Торг!$I:$I,0))),"")</f>
        <v>347232</v>
      </c>
      <c r="I45" s="21" t="str">
        <f>IFERROR(IFERROR(INDEX(Кат!C:C,MATCH($B45,Кат!$G:$G,0)),INDEX(Торг!$B:$B,MATCH(#REF!,Торг!$I:$I,0))),"")</f>
        <v>Бортовой компьютер "Штат" МК-3 Универсальный</v>
      </c>
    </row>
    <row r="46" spans="1:11" x14ac:dyDescent="0.25">
      <c r="A46" s="94">
        <v>45</v>
      </c>
      <c r="B46" s="97" t="s">
        <v>601</v>
      </c>
      <c r="C46" s="128">
        <v>1850</v>
      </c>
      <c r="D46" s="108"/>
      <c r="E46" s="116"/>
      <c r="F46" s="99" t="s">
        <v>5</v>
      </c>
      <c r="G46" s="21" t="str">
        <f>IFERROR(IFERROR(INDEX(Кат!A:A,MATCH($B46,Кат!$G:$G,0)),INDEX(Торг!$B:$B,MATCH(#REF!,Торг!$I:$I,0))),"")</f>
        <v/>
      </c>
      <c r="H46" s="21" t="str">
        <f>IFERROR(IFERROR(INDEX(Кат!B:B,MATCH($B46,Кат!$G:$G,0)),INDEX(Торг!$B:$B,MATCH(#REF!,Торг!$I:$I,0))),"")</f>
        <v/>
      </c>
      <c r="I46" s="21" t="str">
        <f>IFERROR(IFERROR(INDEX(Кат!C:C,MATCH($B46,Кат!$G:$G,0)),INDEX(Торг!$B:$B,MATCH(#REF!,Торг!$I:$I,0))),"")</f>
        <v/>
      </c>
    </row>
    <row r="47" spans="1:11" x14ac:dyDescent="0.25">
      <c r="A47" s="94">
        <v>46</v>
      </c>
      <c r="B47" s="97" t="s">
        <v>175</v>
      </c>
      <c r="C47" s="136">
        <v>1650</v>
      </c>
      <c r="D47" s="108" t="s">
        <v>541</v>
      </c>
      <c r="E47" s="116"/>
      <c r="F47" s="99" t="s">
        <v>5</v>
      </c>
      <c r="G47" s="21">
        <f>IFERROR(IFERROR(INDEX(Кат!A:A,MATCH($B47,Кат!$G:$G,0)),INDEX(Торг!$B:$B,MATCH(#REF!,Торг!$I:$I,0))),"")</f>
        <v>138642</v>
      </c>
      <c r="H47" s="21">
        <f>IFERROR(IFERROR(INDEX(Кат!B:B,MATCH($B47,Кат!$G:$G,0)),INDEX(Торг!$B:$B,MATCH(#REF!,Торг!$I:$I,0))),"")</f>
        <v>24494</v>
      </c>
      <c r="I47" s="21" t="str">
        <f>IFERROR(IFERROR(INDEX(Кат!C:C,MATCH($B47,Кат!$G:$G,0)),INDEX(Торг!$B:$B,MATCH(#REF!,Торг!$I:$I,0))),"")</f>
        <v>Бортовой компьютер "Штат" МК-12 (сенсорный, OBD-2)</v>
      </c>
    </row>
    <row r="48" spans="1:11" x14ac:dyDescent="0.25">
      <c r="A48" s="94">
        <v>47</v>
      </c>
      <c r="B48" s="97" t="s">
        <v>31</v>
      </c>
      <c r="C48" s="128">
        <v>250</v>
      </c>
      <c r="D48" s="101"/>
      <c r="E48" s="116"/>
      <c r="F48" s="99" t="s">
        <v>5</v>
      </c>
      <c r="G48" s="21">
        <f>IFERROR(IFERROR(INDEX(Кат!A:A,MATCH($B48,Кат!$G:$G,0)),INDEX(Торг!$B:$B,MATCH(#REF!,Торг!$I:$I,0))),"")</f>
        <v>223717</v>
      </c>
      <c r="H48" s="21">
        <f>IFERROR(IFERROR(INDEX(Кат!B:B,MATCH($B48,Кат!$G:$G,0)),INDEX(Торг!$B:$B,MATCH(#REF!,Торг!$I:$I,0))),"")</f>
        <v>24499</v>
      </c>
      <c r="I48" s="21" t="str">
        <f>IFERROR(IFERROR(INDEX(Кат!C:C,MATCH($B48,Кат!$G:$G,0)),INDEX(Торг!$B:$B,MATCH(#REF!,Торг!$I:$I,0))),"")</f>
        <v>Установочный комплект "Штат" 115 для Лада Нива 4х4</v>
      </c>
    </row>
    <row r="49" spans="1:9" x14ac:dyDescent="0.25">
      <c r="A49" s="94">
        <v>48</v>
      </c>
      <c r="B49" s="107" t="s">
        <v>558</v>
      </c>
      <c r="C49" s="128">
        <v>400</v>
      </c>
      <c r="D49" s="108"/>
      <c r="E49" s="116"/>
      <c r="F49" s="99" t="s">
        <v>5</v>
      </c>
      <c r="G49" s="21">
        <f>IFERROR(IFERROR(INDEX(Кат!A:A,MATCH($B49,Кат!$G:$G,0)),INDEX(Торг!$B:$B,MATCH(#REF!,Торг!$I:$I,0))),"")</f>
        <v>136694</v>
      </c>
      <c r="H49" s="21">
        <f>IFERROR(IFERROR(INDEX(Кат!B:B,MATCH($B49,Кат!$G:$G,0)),INDEX(Торг!$B:$B,MATCH(#REF!,Торг!$I:$I,0))),"")</f>
        <v>35508</v>
      </c>
      <c r="I49" s="21" t="str">
        <f>IFERROR(IFERROR(INDEX(Кат!C:C,MATCH($B49,Кат!$G:$G,0)),INDEX(Торг!$B:$B,MATCH(#REF!,Торг!$I:$I,0))),"")</f>
        <v>Бесконтактный сенсор "ШТАТ" BS</v>
      </c>
    </row>
    <row r="50" spans="1:9" x14ac:dyDescent="0.25">
      <c r="A50" s="94">
        <v>49</v>
      </c>
      <c r="B50" s="107" t="s">
        <v>185</v>
      </c>
      <c r="C50" s="128">
        <v>600</v>
      </c>
      <c r="D50" s="90" t="s">
        <v>161</v>
      </c>
      <c r="E50" s="116"/>
      <c r="F50" s="99" t="s">
        <v>5</v>
      </c>
      <c r="G50" s="21">
        <f>IFERROR(IFERROR(INDEX(Кат!A:A,MATCH($B50,Кат!$G:$G,0)),INDEX(Торг!$B:$B,MATCH(#REF!,Торг!$I:$I,0))),"")</f>
        <v>136661</v>
      </c>
      <c r="H50" s="21">
        <f>IFERROR(IFERROR(INDEX(Кат!B:B,MATCH($B50,Кат!$G:$G,0)),INDEX(Торг!$B:$B,MATCH(#REF!,Торг!$I:$I,0))),"")</f>
        <v>7217</v>
      </c>
      <c r="I50" s="21" t="str">
        <f>IFERROR(IFERROR(INDEX(Кат!C:C,MATCH($B50,Кат!$G:$G,0)),INDEX(Торг!$B:$B,MATCH(#REF!,Торг!$I:$I,0))),"")</f>
        <v>Безключевой обходчик иммобилайзера Штат на Lada Priora 2, Granta, Kalina 2, Datsun</v>
      </c>
    </row>
    <row r="51" spans="1:9" x14ac:dyDescent="0.25">
      <c r="A51" s="94">
        <v>50</v>
      </c>
      <c r="B51" s="107" t="s">
        <v>34</v>
      </c>
      <c r="C51" s="128">
        <v>1050</v>
      </c>
      <c r="D51" s="104"/>
      <c r="E51" s="116"/>
      <c r="F51" s="99" t="s">
        <v>5</v>
      </c>
      <c r="G51" s="21">
        <f>IFERROR(IFERROR(INDEX(Кат!A:A,MATCH($B51,Кат!$G:$G,0)),INDEX(Торг!$B:$B,MATCH(#REF!,Торг!$I:$I,0))),"")</f>
        <v>226388</v>
      </c>
      <c r="H51" s="21">
        <f>IFERROR(IFERROR(INDEX(Кат!B:B,MATCH($B51,Кат!$G:$G,0)),INDEX(Торг!$B:$B,MATCH(#REF!,Торг!$I:$I,0))),"")</f>
        <v>7102</v>
      </c>
      <c r="I51" s="21" t="str">
        <f>IFERROR(IFERROR(INDEX(Кат!C:C,MATCH($B51,Кат!$G:$G,0)),INDEX(Торг!$B:$B,MATCH(#REF!,Торг!$I:$I,0))),"")</f>
        <v>Штат Адаптер USB-K-line</v>
      </c>
    </row>
    <row r="52" spans="1:9" x14ac:dyDescent="0.25">
      <c r="A52" s="94">
        <v>51</v>
      </c>
      <c r="B52" s="97" t="s">
        <v>35</v>
      </c>
      <c r="C52" s="128">
        <v>1160</v>
      </c>
      <c r="D52" s="101"/>
      <c r="E52" s="116"/>
      <c r="F52" s="99" t="s">
        <v>5</v>
      </c>
      <c r="G52" s="21">
        <f>IFERROR(IFERROR(INDEX(Кат!A:A,MATCH($B52,Кат!$G:$G,0)),INDEX(Торг!$B:$B,MATCH(#REF!,Торг!$I:$I,0))),"")</f>
        <v>138717</v>
      </c>
      <c r="H52" s="21">
        <f>IFERROR(IFERROR(INDEX(Кат!B:B,MATCH($B52,Кат!$G:$G,0)),INDEX(Торг!$B:$B,MATCH(#REF!,Торг!$I:$I,0))),"")</f>
        <v>7199</v>
      </c>
      <c r="I52" s="21" t="str">
        <f>IFERROR(IFERROR(INDEX(Кат!C:C,MATCH($B52,Кат!$G:$G,0)),INDEX(Торг!$B:$B,MATCH(#REF!,Торг!$I:$I,0))),"")</f>
        <v>Бортовой компютер Орион БК 03 для карбюраторных двигателей</v>
      </c>
    </row>
    <row r="53" spans="1:9" x14ac:dyDescent="0.25">
      <c r="A53" s="94">
        <v>52</v>
      </c>
      <c r="B53" s="97" t="s">
        <v>36</v>
      </c>
      <c r="C53" s="128">
        <v>1300</v>
      </c>
      <c r="D53" s="101"/>
      <c r="E53" s="116"/>
      <c r="F53" s="99" t="s">
        <v>5</v>
      </c>
      <c r="G53" s="21">
        <f>IFERROR(IFERROR(INDEX(Кат!A:A,MATCH($B53,Кат!$G:$G,0)),INDEX(Торг!$B:$B,MATCH(#REF!,Торг!$I:$I,0))),"")</f>
        <v>138682</v>
      </c>
      <c r="H53" s="21">
        <f>IFERROR(IFERROR(INDEX(Кат!B:B,MATCH($B53,Кат!$G:$G,0)),INDEX(Торг!$B:$B,MATCH(#REF!,Торг!$I:$I,0))),"")</f>
        <v>7200</v>
      </c>
      <c r="I53" s="21" t="str">
        <f>IFERROR(IFERROR(INDEX(Кат!C:C,MATCH($B53,Кат!$G:$G,0)),INDEX(Торг!$B:$B,MATCH(#REF!,Торг!$I:$I,0))),"")</f>
        <v>Бортовой компьютер Орион БК 06 для карбюраторных двигателей</v>
      </c>
    </row>
    <row r="54" spans="1:9" ht="24.75" x14ac:dyDescent="0.25">
      <c r="A54" s="94">
        <v>53</v>
      </c>
      <c r="B54" s="97" t="s">
        <v>143</v>
      </c>
      <c r="C54" s="128">
        <v>1700</v>
      </c>
      <c r="D54" s="102"/>
      <c r="E54" s="116"/>
      <c r="F54" s="117" t="s">
        <v>5</v>
      </c>
      <c r="G54" s="21">
        <f>IFERROR(IFERROR(INDEX(Кат!A:A,MATCH($B54,Кат!$G:$G,0)),INDEX(Торг!$B:$B,MATCH(#REF!,Торг!$I:$I,0))),"")</f>
        <v>138683</v>
      </c>
      <c r="H54" s="21">
        <f>IFERROR(IFERROR(INDEX(Кат!B:B,MATCH($B54,Кат!$G:$G,0)),INDEX(Торг!$B:$B,MATCH(#REF!,Торг!$I:$I,0))),"")</f>
        <v>7197</v>
      </c>
      <c r="I54" s="21" t="str">
        <f>IFERROR(IFERROR(INDEX(Кат!C:C,MATCH($B54,Кат!$G:$G,0)),INDEX(Торг!$B:$B,MATCH(#REF!,Торг!$I:$I,0))),"")</f>
        <v>Бортовой компьютер Орион БК-07</v>
      </c>
    </row>
    <row r="55" spans="1:9" x14ac:dyDescent="0.25">
      <c r="A55" s="94">
        <v>54</v>
      </c>
      <c r="B55" s="97" t="s">
        <v>37</v>
      </c>
      <c r="C55" s="128">
        <v>1360</v>
      </c>
      <c r="D55" s="101"/>
      <c r="E55" s="116"/>
      <c r="F55" s="99" t="s">
        <v>5</v>
      </c>
      <c r="G55" s="21">
        <f>IFERROR(IFERROR(INDEX(Кат!A:A,MATCH($B55,Кат!$G:$G,0)),INDEX(Торг!$B:$B,MATCH(#REF!,Торг!$I:$I,0))),"")</f>
        <v>138684</v>
      </c>
      <c r="H55" s="21">
        <f>IFERROR(IFERROR(INDEX(Кат!B:B,MATCH($B55,Кат!$G:$G,0)),INDEX(Торг!$B:$B,MATCH(#REF!,Торг!$I:$I,0))),"")</f>
        <v>7198</v>
      </c>
      <c r="I55" s="21" t="str">
        <f>IFERROR(IFERROR(INDEX(Кат!C:C,MATCH($B55,Кат!$G:$G,0)),INDEX(Торг!$B:$B,MATCH(#REF!,Торг!$I:$I,0))),"")</f>
        <v>Бортовой компьютер Орион БК-08</v>
      </c>
    </row>
    <row r="56" spans="1:9" x14ac:dyDescent="0.25">
      <c r="A56" s="94">
        <v>55</v>
      </c>
      <c r="B56" s="107" t="s">
        <v>38</v>
      </c>
      <c r="C56" s="128">
        <v>1650</v>
      </c>
      <c r="D56" s="109"/>
      <c r="E56" s="116"/>
      <c r="F56" s="99" t="s">
        <v>5</v>
      </c>
      <c r="G56" s="21">
        <f>IFERROR(IFERROR(INDEX(Кат!A:A,MATCH($B56,Кат!$G:$G,0)),INDEX(Торг!$B:$B,MATCH(#REF!,Торг!$I:$I,0))),"")</f>
        <v>218482</v>
      </c>
      <c r="H56" s="21">
        <f>IFERROR(IFERROR(INDEX(Кат!B:B,MATCH($B56,Кат!$G:$G,0)),INDEX(Торг!$B:$B,MATCH(#REF!,Торг!$I:$I,0))),"")</f>
        <v>7252</v>
      </c>
      <c r="I56" s="21" t="str">
        <f>IFERROR(IFERROR(INDEX(Кат!C:C,MATCH($B56,Кат!$G:$G,0)),INDEX(Торг!$B:$B,MATCH(#REF!,Торг!$I:$I,0))),"")</f>
        <v>Стрелочная нагрузочная вилка НВ-02</v>
      </c>
    </row>
    <row r="57" spans="1:9" x14ac:dyDescent="0.25">
      <c r="A57" s="94">
        <v>56</v>
      </c>
      <c r="B57" s="107" t="s">
        <v>191</v>
      </c>
      <c r="C57" s="128">
        <v>3050</v>
      </c>
      <c r="D57" s="118"/>
      <c r="E57" s="116"/>
      <c r="F57" s="99" t="s">
        <v>5</v>
      </c>
      <c r="G57" s="21">
        <f>IFERROR(IFERROR(INDEX(Кат!A:A,MATCH($B57,Кат!$G:$G,0)),INDEX(Торг!$B:$B,MATCH(#REF!,Торг!$I:$I,0))),"")</f>
        <v>224671</v>
      </c>
      <c r="H57" s="21">
        <f>IFERROR(IFERROR(INDEX(Кат!B:B,MATCH($B57,Кат!$G:$G,0)),INDEX(Торг!$B:$B,MATCH(#REF!,Торг!$I:$I,0))),"")</f>
        <v>7254</v>
      </c>
      <c r="I57" s="21" t="str">
        <f>IFERROR(IFERROR(INDEX(Кат!C:C,MATCH($B57,Кат!$G:$G,0)),INDEX(Торг!$B:$B,MATCH(#REF!,Торг!$I:$I,0))),"")</f>
        <v>Цифровая нагрузочная вилка НВ-03</v>
      </c>
    </row>
    <row r="58" spans="1:9" x14ac:dyDescent="0.25">
      <c r="A58" s="94">
        <v>57</v>
      </c>
      <c r="B58" s="107" t="s">
        <v>190</v>
      </c>
      <c r="C58" s="128">
        <v>870</v>
      </c>
      <c r="D58" s="118"/>
      <c r="E58" s="116"/>
      <c r="F58" s="99" t="s">
        <v>5</v>
      </c>
      <c r="G58" s="21">
        <f>IFERROR(IFERROR(INDEX(Кат!A:A,MATCH($B58,Кат!$G:$G,0)),INDEX(Торг!$B:$B,MATCH(#REF!,Торг!$I:$I,0))),"")</f>
        <v>165355</v>
      </c>
      <c r="H58" s="21">
        <f>IFERROR(IFERROR(INDEX(Кат!B:B,MATCH($B58,Кат!$G:$G,0)),INDEX(Торг!$B:$B,MATCH(#REF!,Торг!$I:$I,0))),"")</f>
        <v>31511</v>
      </c>
      <c r="I58" s="21" t="str">
        <f>IFERROR(IFERROR(INDEX(Кат!C:C,MATCH($B58,Кат!$G:$G,0)),INDEX(Торг!$B:$B,MATCH(#REF!,Торг!$I:$I,0))),"")</f>
        <v>Нагрузочная вилка "ОРИОН" НВ-05</v>
      </c>
    </row>
    <row r="59" spans="1:9" x14ac:dyDescent="0.25">
      <c r="A59" s="94">
        <v>58</v>
      </c>
      <c r="B59" s="97" t="s">
        <v>39</v>
      </c>
      <c r="C59" s="128">
        <v>35</v>
      </c>
      <c r="D59" s="114"/>
      <c r="E59" s="116"/>
      <c r="F59" s="103"/>
      <c r="G59" s="21">
        <f>IFERROR(IFERROR(INDEX(Кат!A:A,MATCH($B59,Кат!$G:$G,0)),INDEX(Торг!$B:$B,MATCH(#REF!,Торг!$I:$I,0))),"")</f>
        <v>226514</v>
      </c>
      <c r="H59" s="21">
        <f>IFERROR(IFERROR(INDEX(Кат!B:B,MATCH($B59,Кат!$G:$G,0)),INDEX(Торг!$B:$B,MATCH(#REF!,Торг!$I:$I,0))),"")</f>
        <v>24500</v>
      </c>
      <c r="I59" s="21" t="str">
        <f>IFERROR(IFERROR(INDEX(Кат!C:C,MATCH($B59,Кат!$G:$G,0)),INDEX(Торг!$B:$B,MATCH(#REF!,Торг!$I:$I,0))),"")</f>
        <v>Штекер "ОРИОН" REXANT в прикуриватель (с предохранителем и светодиодом)</v>
      </c>
    </row>
    <row r="60" spans="1:9" x14ac:dyDescent="0.25">
      <c r="A60" s="94">
        <v>59</v>
      </c>
      <c r="B60" s="97" t="s">
        <v>40</v>
      </c>
      <c r="C60" s="128">
        <v>430</v>
      </c>
      <c r="D60" s="104"/>
      <c r="E60" s="116"/>
      <c r="F60" s="99" t="s">
        <v>5</v>
      </c>
      <c r="G60" s="21">
        <f>IFERROR(IFERROR(INDEX(Кат!A:A,MATCH($B60,Кат!$G:$G,0)),INDEX(Торг!$B:$B,MATCH(#REF!,Торг!$I:$I,0))),"")</f>
        <v>141292</v>
      </c>
      <c r="H60" s="21">
        <f>IFERROR(IFERROR(INDEX(Кат!B:B,MATCH($B60,Кат!$G:$G,0)),INDEX(Торг!$B:$B,MATCH(#REF!,Торг!$I:$I,0))),"")</f>
        <v>6367</v>
      </c>
      <c r="I60" s="21" t="str">
        <f>IFERROR(IFERROR(INDEX(Кат!C:C,MATCH($B60,Кат!$G:$G,0)),INDEX(Торг!$B:$B,MATCH(#REF!,Торг!$I:$I,0))),"")</f>
        <v>Гнездо-вставка в тоннель пола под дополнительные кнопки для Лада Калина 2, Гранта</v>
      </c>
    </row>
    <row r="61" spans="1:9" x14ac:dyDescent="0.25">
      <c r="A61" s="94">
        <v>60</v>
      </c>
      <c r="B61" s="107" t="s">
        <v>147</v>
      </c>
      <c r="C61" s="128">
        <v>650</v>
      </c>
      <c r="D61" s="102"/>
      <c r="E61" s="116"/>
      <c r="F61" s="99" t="s">
        <v>5</v>
      </c>
      <c r="G61" s="21" t="str">
        <f>IFERROR(IFERROR(INDEX(Кат!A:A,MATCH($B61,Кат!$G:$G,0)),INDEX(Торг!$B:$B,MATCH(#REF!,Торг!$I:$I,0))),"")</f>
        <v/>
      </c>
      <c r="H61" s="21" t="str">
        <f>IFERROR(IFERROR(INDEX(Кат!B:B,MATCH($B61,Кат!$G:$G,0)),INDEX(Торг!$B:$B,MATCH(#REF!,Торг!$I:$I,0))),"")</f>
        <v/>
      </c>
      <c r="I61" s="21" t="str">
        <f>IFERROR(IFERROR(INDEX(Кат!C:C,MATCH($B61,Кат!$G:$G,0)),INDEX(Торг!$B:$B,MATCH(#REF!,Торг!$I:$I,0))),"")</f>
        <v/>
      </c>
    </row>
    <row r="62" spans="1:9" x14ac:dyDescent="0.25">
      <c r="A62" s="94">
        <v>61</v>
      </c>
      <c r="B62" s="97" t="s">
        <v>133</v>
      </c>
      <c r="C62" s="133">
        <v>430</v>
      </c>
      <c r="D62" s="101"/>
      <c r="E62" s="116"/>
      <c r="F62" s="99" t="s">
        <v>5</v>
      </c>
      <c r="G62" s="21">
        <f>IFERROR(IFERROR(INDEX(Кат!A:A,MATCH($B62,Кат!$G:$G,0)),INDEX(Торг!$B:$B,MATCH(#REF!,Торг!$I:$I,0))),"")</f>
        <v>117314</v>
      </c>
      <c r="H62" s="21">
        <f>IFERROR(IFERROR(INDEX(Кат!B:B,MATCH($B62,Кат!$G:$G,0)),INDEX(Торг!$B:$B,MATCH(#REF!,Торг!$I:$I,0))),"")</f>
        <v>5547</v>
      </c>
      <c r="I62" s="21" t="str">
        <f>IFERROR(IFERROR(INDEX(Кат!C:C,MATCH($B62,Кат!$G:$G,0)),INDEX(Торг!$B:$B,MATCH(#REF!,Торг!$I:$I,0))),"")</f>
        <v>USB-зарядное устройство "ШТАТ" на 2 слота для Лада Калина 2, Приора, Гранта</v>
      </c>
    </row>
    <row r="63" spans="1:9" x14ac:dyDescent="0.25">
      <c r="A63" s="94">
        <v>62</v>
      </c>
      <c r="B63" s="97" t="s">
        <v>132</v>
      </c>
      <c r="C63" s="133">
        <v>430</v>
      </c>
      <c r="D63" s="101"/>
      <c r="E63" s="116"/>
      <c r="F63" s="99" t="s">
        <v>5</v>
      </c>
      <c r="G63" s="21">
        <f>IFERROR(IFERROR(INDEX(Кат!A:A,MATCH($B63,Кат!$G:$G,0)),INDEX(Торг!$B:$B,MATCH(#REF!,Торг!$I:$I,0))),"")</f>
        <v>117319</v>
      </c>
      <c r="H63" s="21">
        <f>IFERROR(IFERROR(INDEX(Кат!B:B,MATCH($B63,Кат!$G:$G,0)),INDEX(Торг!$B:$B,MATCH(#REF!,Торг!$I:$I,0))),"")</f>
        <v>5548</v>
      </c>
      <c r="I63" s="21" t="str">
        <f>IFERROR(IFERROR(INDEX(Кат!C:C,MATCH($B63,Кат!$G:$G,0)),INDEX(Торг!$B:$B,MATCH(#REF!,Торг!$I:$I,0))),"")</f>
        <v>USB-зарядное устройство на 2 слота для ВАЗ 2113-2115, Лада Калина, Шевроле Нива</v>
      </c>
    </row>
    <row r="64" spans="1:9" x14ac:dyDescent="0.25">
      <c r="A64" s="94">
        <v>63</v>
      </c>
      <c r="B64" s="97" t="s">
        <v>135</v>
      </c>
      <c r="C64" s="133">
        <v>430</v>
      </c>
      <c r="D64" s="102"/>
      <c r="E64" s="116"/>
      <c r="F64" s="99" t="s">
        <v>5</v>
      </c>
      <c r="G64" s="21">
        <f>IFERROR(IFERROR(INDEX(Кат!A:A,MATCH($B64,Кат!$G:$G,0)),INDEX(Торг!$B:$B,MATCH(#REF!,Торг!$I:$I,0))),"")</f>
        <v>117317</v>
      </c>
      <c r="H64" s="21">
        <f>IFERROR(IFERROR(INDEX(Кат!B:B,MATCH($B64,Кат!$G:$G,0)),INDEX(Торг!$B:$B,MATCH(#REF!,Торг!$I:$I,0))),"")</f>
        <v>13764</v>
      </c>
      <c r="I64" s="21" t="str">
        <f>IFERROR(IFERROR(INDEX(Кат!C:C,MATCH($B64,Кат!$G:$G,0)),INDEX(Торг!$B:$B,MATCH(#REF!,Торг!$I:$I,0))),"")</f>
        <v>USB-зарядное устройство на 2 слота для ВАЗ 2108-21099, Нива 4х4 (21213, 21214, 2131)</v>
      </c>
    </row>
    <row r="65" spans="1:9" x14ac:dyDescent="0.25">
      <c r="A65" s="94">
        <v>64</v>
      </c>
      <c r="B65" s="97" t="s">
        <v>136</v>
      </c>
      <c r="C65" s="133">
        <v>430</v>
      </c>
      <c r="D65" s="102"/>
      <c r="E65" s="116"/>
      <c r="F65" s="99" t="s">
        <v>5</v>
      </c>
      <c r="G65" s="21">
        <f>IFERROR(IFERROR(INDEX(Кат!A:A,MATCH($B65,Кат!$G:$G,0)),INDEX(Торг!$B:$B,MATCH(#REF!,Торг!$I:$I,0))),"")</f>
        <v>117318</v>
      </c>
      <c r="H65" s="21">
        <f>IFERROR(IFERROR(INDEX(Кат!B:B,MATCH($B65,Кат!$G:$G,0)),INDEX(Торг!$B:$B,MATCH(#REF!,Торг!$I:$I,0))),"")</f>
        <v>13763</v>
      </c>
      <c r="I65" s="21" t="str">
        <f>IFERROR(IFERROR(INDEX(Кат!C:C,MATCH($B65,Кат!$G:$G,0)),INDEX(Торг!$B:$B,MATCH(#REF!,Торг!$I:$I,0))),"")</f>
        <v>USB-зарядное устройство на 2 слота для ВАЗ 2110-2112</v>
      </c>
    </row>
    <row r="66" spans="1:9" x14ac:dyDescent="0.25">
      <c r="A66" s="94">
        <v>65</v>
      </c>
      <c r="B66" s="97" t="s">
        <v>134</v>
      </c>
      <c r="C66" s="133">
        <v>430</v>
      </c>
      <c r="D66" s="102"/>
      <c r="E66" s="116"/>
      <c r="F66" s="99" t="s">
        <v>5</v>
      </c>
      <c r="G66" s="21">
        <f>IFERROR(IFERROR(INDEX(Кат!A:A,MATCH($B66,Кат!$G:$G,0)),INDEX(Торг!$B:$B,MATCH(#REF!,Торг!$I:$I,0))),"")</f>
        <v>117316</v>
      </c>
      <c r="H66" s="21">
        <f>IFERROR(IFERROR(INDEX(Кат!B:B,MATCH($B66,Кат!$G:$G,0)),INDEX(Торг!$B:$B,MATCH(#REF!,Торг!$I:$I,0))),"")</f>
        <v>13765</v>
      </c>
      <c r="I66" s="21" t="str">
        <f>IFERROR(IFERROR(INDEX(Кат!C:C,MATCH($B66,Кат!$G:$G,0)),INDEX(Торг!$B:$B,MATCH(#REF!,Торг!$I:$I,0))),"")</f>
        <v>USB-зарядное устройство на 2 слота для ВАЗ 2106-2107</v>
      </c>
    </row>
    <row r="67" spans="1:9" x14ac:dyDescent="0.25">
      <c r="A67" s="94">
        <v>66</v>
      </c>
      <c r="B67" s="97" t="s">
        <v>137</v>
      </c>
      <c r="C67" s="133">
        <v>430</v>
      </c>
      <c r="D67" s="102"/>
      <c r="E67" s="116"/>
      <c r="F67" s="99" t="s">
        <v>5</v>
      </c>
      <c r="G67" s="21">
        <f>IFERROR(IFERROR(INDEX(Кат!A:A,MATCH($B67,Кат!$G:$G,0)),INDEX(Торг!$B:$B,MATCH(#REF!,Торг!$I:$I,0))),"")</f>
        <v>117309</v>
      </c>
      <c r="H67" s="21">
        <f>IFERROR(IFERROR(INDEX(Кат!B:B,MATCH($B67,Кат!$G:$G,0)),INDEX(Торг!$B:$B,MATCH(#REF!,Торг!$I:$I,0))),"")</f>
        <v>24501</v>
      </c>
      <c r="I67" s="21" t="str">
        <f>IFERROR(IFERROR(INDEX(Кат!C:C,MATCH($B67,Кат!$G:$G,0)),INDEX(Торг!$B:$B,MATCH(#REF!,Торг!$I:$I,0))),"")</f>
        <v>USB-зарядное устройство "АПЭЛ" (2 слота) для автомобилей ГАЗ</v>
      </c>
    </row>
    <row r="68" spans="1:9" x14ac:dyDescent="0.25">
      <c r="A68" s="94">
        <v>67</v>
      </c>
      <c r="B68" s="107" t="s">
        <v>138</v>
      </c>
      <c r="C68" s="128">
        <v>400</v>
      </c>
      <c r="D68" s="108"/>
      <c r="E68" s="116"/>
      <c r="F68" s="99" t="s">
        <v>5</v>
      </c>
      <c r="G68" s="21">
        <f>IFERROR(IFERROR(INDEX(Кат!A:A,MATCH($B68,Кат!$G:$G,0)),INDEX(Торг!$B:$B,MATCH(#REF!,Торг!$I:$I,0))),"")</f>
        <v>117307</v>
      </c>
      <c r="H68" s="21">
        <f>IFERROR(IFERROR(INDEX(Кат!B:B,MATCH($B68,Кат!$G:$G,0)),INDEX(Торг!$B:$B,MATCH(#REF!,Торг!$I:$I,0))),"")</f>
        <v>13767</v>
      </c>
      <c r="I68" s="21" t="str">
        <f>IFERROR(IFERROR(INDEX(Кат!C:C,MATCH($B68,Кат!$G:$G,0)),INDEX(Торг!$B:$B,MATCH(#REF!,Торг!$I:$I,0))),"")</f>
        <v>USB адаптер на 2 гнезда от прикуривателя автомобиля</v>
      </c>
    </row>
    <row r="69" spans="1:9" ht="25.5" x14ac:dyDescent="0.25">
      <c r="A69" s="94">
        <v>68</v>
      </c>
      <c r="B69" s="107" t="s">
        <v>186</v>
      </c>
      <c r="C69" s="133">
        <v>1200</v>
      </c>
      <c r="D69" s="108"/>
      <c r="E69" s="116"/>
      <c r="F69" s="99" t="s">
        <v>5</v>
      </c>
      <c r="G69" s="21">
        <f>IFERROR(IFERROR(INDEX(Кат!A:A,MATCH($B69,Кат!$G:$G,0)),INDEX(Торг!$B:$B,MATCH(#REF!,Торг!$I:$I,0))),"")</f>
        <v>117311</v>
      </c>
      <c r="H69" s="21">
        <f>IFERROR(IFERROR(INDEX(Кат!B:B,MATCH($B69,Кат!$G:$G,0)),INDEX(Торг!$B:$B,MATCH(#REF!,Торг!$I:$I,0))),"")</f>
        <v>24503</v>
      </c>
      <c r="I69" s="21" t="str">
        <f>IFERROR(IFERROR(INDEX(Кат!C:C,MATCH($B69,Кат!$G:$G,0)),INDEX(Торг!$B:$B,MATCH(#REF!,Торг!$I:$I,0))),"")</f>
        <v>USB-зарядное устройство "АПЭЛ" (3-х канальное)</v>
      </c>
    </row>
    <row r="70" spans="1:9" x14ac:dyDescent="0.25">
      <c r="A70" s="94">
        <v>69</v>
      </c>
      <c r="B70" s="107" t="s">
        <v>128</v>
      </c>
      <c r="C70" s="128">
        <v>370</v>
      </c>
      <c r="D70" s="108"/>
      <c r="E70" s="116"/>
      <c r="F70" s="99" t="s">
        <v>5</v>
      </c>
      <c r="G70" s="21">
        <f>IFERROR(IFERROR(INDEX(Кат!A:A,MATCH($B70,Кат!$G:$G,0)),INDEX(Торг!$B:$B,MATCH(#REF!,Торг!$I:$I,0))),"")</f>
        <v>117313</v>
      </c>
      <c r="H70" s="21">
        <f>IFERROR(IFERROR(INDEX(Кат!B:B,MATCH($B70,Кат!$G:$G,0)),INDEX(Торг!$B:$B,MATCH(#REF!,Торг!$I:$I,0))),"")</f>
        <v>5546</v>
      </c>
      <c r="I70" s="21" t="str">
        <f>IFERROR(IFERROR(INDEX(Кат!C:C,MATCH($B70,Кат!$G:$G,0)),INDEX(Торг!$B:$B,MATCH(#REF!,Торг!$I:$I,0))),"")</f>
        <v>USB-зарядное устройство "ШТАТ" (1 слот, 2.2А) для Лада Приора, Калина 2, Гранта, Гранта FL</v>
      </c>
    </row>
    <row r="71" spans="1:9" x14ac:dyDescent="0.25">
      <c r="A71" s="94">
        <v>70</v>
      </c>
      <c r="B71" s="107" t="s">
        <v>129</v>
      </c>
      <c r="C71" s="128">
        <v>370</v>
      </c>
      <c r="D71" s="108"/>
      <c r="E71" s="116"/>
      <c r="F71" s="99" t="s">
        <v>5</v>
      </c>
      <c r="G71" s="21">
        <f>IFERROR(IFERROR(INDEX(Кат!A:A,MATCH($B71,Кат!$G:$G,0)),INDEX(Торг!$B:$B,MATCH(#REF!,Торг!$I:$I,0))),"")</f>
        <v>117308</v>
      </c>
      <c r="H71" s="21">
        <f>IFERROR(IFERROR(INDEX(Кат!B:B,MATCH($B71,Кат!$G:$G,0)),INDEX(Торг!$B:$B,MATCH(#REF!,Торг!$I:$I,0))),"")</f>
        <v>5545</v>
      </c>
      <c r="I71" s="21" t="str">
        <f>IFERROR(IFERROR(INDEX(Кат!C:C,MATCH($B71,Кат!$G:$G,0)),INDEX(Торг!$B:$B,MATCH(#REF!,Торг!$I:$I,0))),"")</f>
        <v>USB-зарядник Штат 2.0 Универсал для ВАЗ 2110-2112, 2113-2115, Лада Калина, Шевроле Нива</v>
      </c>
    </row>
    <row r="72" spans="1:9" ht="25.5" x14ac:dyDescent="0.25">
      <c r="A72" s="94">
        <v>71</v>
      </c>
      <c r="B72" s="107" t="s">
        <v>433</v>
      </c>
      <c r="C72" s="128">
        <v>500</v>
      </c>
      <c r="D72" s="108"/>
      <c r="E72" s="116"/>
      <c r="F72" s="99" t="s">
        <v>5</v>
      </c>
      <c r="G72" s="21">
        <f>IFERROR(IFERROR(INDEX(Кат!A:A,MATCH($B72,Кат!$G:$G,0)),INDEX(Торг!$B:$B,MATCH(#REF!,Торг!$I:$I,0))),"")</f>
        <v>251961</v>
      </c>
      <c r="H72" s="21">
        <f>IFERROR(IFERROR(INDEX(Кат!B:B,MATCH($B72,Кат!$G:$G,0)),INDEX(Торг!$B:$B,MATCH(#REF!,Торг!$I:$I,0))),"")</f>
        <v>169959</v>
      </c>
      <c r="I72" s="21" t="str">
        <f>IFERROR(IFERROR(INDEX(Кат!C:C,MATCH($B72,Кат!$G:$G,0)),INDEX(Торг!$B:$B,MATCH(#REF!,Торг!$I:$I,0))),"")</f>
        <v>Розетка USB "ШТАТ" в подлокотник для Лада Ларгус FL, Веста, XRAY</v>
      </c>
    </row>
    <row r="73" spans="1:9" x14ac:dyDescent="0.25">
      <c r="A73" s="94">
        <v>72</v>
      </c>
      <c r="B73" s="107" t="s">
        <v>434</v>
      </c>
      <c r="C73" s="128">
        <v>500</v>
      </c>
      <c r="D73" s="108"/>
      <c r="E73" s="116"/>
      <c r="F73" s="99" t="s">
        <v>5</v>
      </c>
      <c r="G73" s="21" t="str">
        <f>IFERROR(IFERROR(INDEX(Кат!A:A,MATCH($B73,Кат!$G:$G,0)),INDEX(Торг!$B:$B,MATCH(#REF!,Торг!$I:$I,0))),"")</f>
        <v/>
      </c>
      <c r="H73" s="21" t="str">
        <f>IFERROR(IFERROR(INDEX(Кат!B:B,MATCH($B73,Кат!$G:$G,0)),INDEX(Торг!$B:$B,MATCH(#REF!,Торг!$I:$I,0))),"")</f>
        <v/>
      </c>
      <c r="I73" s="21" t="str">
        <f>IFERROR(IFERROR(INDEX(Кат!C:C,MATCH($B73,Кат!$G:$G,0)),INDEX(Торг!$B:$B,MATCH(#REF!,Торг!$I:$I,0))),"")</f>
        <v/>
      </c>
    </row>
    <row r="74" spans="1:9" x14ac:dyDescent="0.25">
      <c r="A74" s="94">
        <v>73</v>
      </c>
      <c r="B74" s="97" t="s">
        <v>602</v>
      </c>
      <c r="C74" s="130">
        <v>1250</v>
      </c>
      <c r="D74" s="101"/>
      <c r="E74" s="116"/>
      <c r="F74" s="99" t="s">
        <v>5</v>
      </c>
      <c r="G74" s="21">
        <f>IFERROR(IFERROR(INDEX(Кат!A:A,MATCH($B74,Кат!$G:$G,0)),INDEX(Торг!$B:$B,MATCH(#REF!,Торг!$I:$I,0))),"")</f>
        <v>223736</v>
      </c>
      <c r="H74" s="21">
        <f>IFERROR(IFERROR(INDEX(Кат!B:B,MATCH($B74,Кат!$G:$G,0)),INDEX(Торг!$B:$B,MATCH(#REF!,Торг!$I:$I,0))),"")</f>
        <v>8908</v>
      </c>
      <c r="I74" s="21" t="str">
        <f>IFERROR(IFERROR(INDEX(Кат!C:C,MATCH($B74,Кат!$G:$G,0)),INDEX(Торг!$B:$B,MATCH(#REF!,Торг!$I:$I,0))),"")</f>
        <v>Устройство зарядное ОРИОН PW150</v>
      </c>
    </row>
    <row r="75" spans="1:9" x14ac:dyDescent="0.25">
      <c r="A75" s="94">
        <v>74</v>
      </c>
      <c r="B75" s="97" t="s">
        <v>192</v>
      </c>
      <c r="C75" s="130">
        <v>1800</v>
      </c>
      <c r="D75" s="101"/>
      <c r="E75" s="116"/>
      <c r="F75" s="99" t="s">
        <v>5</v>
      </c>
      <c r="G75" s="21">
        <f>IFERROR(IFERROR(INDEX(Кат!A:A,MATCH($B75,Кат!$G:$G,0)),INDEX(Торг!$B:$B,MATCH(#REF!,Торг!$I:$I,0))),"")</f>
        <v>151264</v>
      </c>
      <c r="H75" s="21">
        <f>IFERROR(IFERROR(INDEX(Кат!B:B,MATCH($B75,Кат!$G:$G,0)),INDEX(Торг!$B:$B,MATCH(#REF!,Торг!$I:$I,0))),"")</f>
        <v>7293</v>
      </c>
      <c r="I75" s="21" t="str">
        <f>IFERROR(IFERROR(INDEX(Кат!C:C,MATCH($B75,Кат!$G:$G,0)),INDEX(Торг!$B:$B,MATCH(#REF!,Торг!$I:$I,0))),"")</f>
        <v>Зарядное устройство Орион PW-265</v>
      </c>
    </row>
    <row r="76" spans="1:9" x14ac:dyDescent="0.25">
      <c r="A76" s="94">
        <v>75</v>
      </c>
      <c r="B76" s="97" t="s">
        <v>193</v>
      </c>
      <c r="C76" s="130">
        <v>2400</v>
      </c>
      <c r="D76" s="101"/>
      <c r="E76" s="116"/>
      <c r="F76" s="99" t="s">
        <v>5</v>
      </c>
      <c r="G76" s="21">
        <f>IFERROR(IFERROR(INDEX(Кат!A:A,MATCH($B76,Кат!$G:$G,0)),INDEX(Торг!$B:$B,MATCH(#REF!,Торг!$I:$I,0))),"")</f>
        <v>223733</v>
      </c>
      <c r="H76" s="21">
        <f>IFERROR(IFERROR(INDEX(Кат!B:B,MATCH($B76,Кат!$G:$G,0)),INDEX(Торг!$B:$B,MATCH(#REF!,Торг!$I:$I,0))),"")</f>
        <v>8903</v>
      </c>
      <c r="I76" s="21" t="str">
        <f>IFERROR(IFERROR(INDEX(Кат!C:C,MATCH($B76,Кат!$G:$G,0)),INDEX(Торг!$B:$B,MATCH(#REF!,Торг!$I:$I,0))),"")</f>
        <v>Устройство зарядно - предпусковое ОРИОН PW325</v>
      </c>
    </row>
    <row r="77" spans="1:9" x14ac:dyDescent="0.25">
      <c r="A77" s="94">
        <v>76</v>
      </c>
      <c r="B77" s="97" t="s">
        <v>569</v>
      </c>
      <c r="C77" s="130">
        <v>2200</v>
      </c>
      <c r="D77" s="101"/>
      <c r="E77" s="116"/>
      <c r="F77" s="99" t="s">
        <v>5</v>
      </c>
      <c r="G77" s="21">
        <f>IFERROR(IFERROR(INDEX(Кат!A:A,MATCH($B77,Кат!$G:$G,0)),INDEX(Торг!$B:$B,MATCH(#REF!,Торг!$I:$I,0))),"")</f>
        <v>151261</v>
      </c>
      <c r="H77" s="21">
        <f>IFERROR(IFERROR(INDEX(Кат!B:B,MATCH($B77,Кат!$G:$G,0)),INDEX(Торг!$B:$B,MATCH(#REF!,Торг!$I:$I,0))),"")</f>
        <v>24504</v>
      </c>
      <c r="I77" s="21" t="str">
        <f>IFERROR(IFERROR(INDEX(Кат!C:C,MATCH($B77,Кат!$G:$G,0)),INDEX(Торг!$B:$B,MATCH(#REF!,Торг!$I:$I,0))),"")</f>
        <v>Зарядное устройство "ОРИОН" Вымпел-20 (7А) для мотоциклетных и автомобильных аккумуляторов</v>
      </c>
    </row>
    <row r="78" spans="1:9" x14ac:dyDescent="0.25">
      <c r="A78" s="94">
        <v>77</v>
      </c>
      <c r="B78" s="97" t="s">
        <v>41</v>
      </c>
      <c r="C78" s="130">
        <v>3150</v>
      </c>
      <c r="D78" s="102"/>
      <c r="E78" s="116"/>
      <c r="F78" s="99" t="s">
        <v>5</v>
      </c>
      <c r="G78" s="21" t="str">
        <f>IFERROR(IFERROR(INDEX(Кат!A:A,MATCH($B78,Кат!$G:$G,0)),INDEX(Торг!$B:$B,MATCH(#REF!,Торг!$I:$I,0))),"")</f>
        <v/>
      </c>
      <c r="H78" s="21" t="str">
        <f>IFERROR(IFERROR(INDEX(Кат!B:B,MATCH($B78,Кат!$G:$G,0)),INDEX(Торг!$B:$B,MATCH(#REF!,Торг!$I:$I,0))),"")</f>
        <v/>
      </c>
      <c r="I78" s="21" t="str">
        <f>IFERROR(IFERROR(INDEX(Кат!C:C,MATCH($B78,Кат!$G:$G,0)),INDEX(Торг!$B:$B,MATCH(#REF!,Торг!$I:$I,0))),"")</f>
        <v/>
      </c>
    </row>
    <row r="79" spans="1:9" x14ac:dyDescent="0.25">
      <c r="A79" s="94">
        <v>78</v>
      </c>
      <c r="B79" s="97" t="s">
        <v>858</v>
      </c>
      <c r="C79" s="130">
        <v>2400</v>
      </c>
      <c r="D79" s="115" t="s">
        <v>56</v>
      </c>
      <c r="E79" s="116"/>
      <c r="F79" s="99" t="s">
        <v>5</v>
      </c>
      <c r="G79" s="21" t="str">
        <f>IFERROR(IFERROR(INDEX(Кат!A:A,MATCH($B79,Кат!$G:$G,0)),INDEX(Торг!$B:$B,MATCH(#REF!,Торг!$I:$I,0))),"")</f>
        <v/>
      </c>
      <c r="H79" s="21" t="str">
        <f>IFERROR(IFERROR(INDEX(Кат!B:B,MATCH($B79,Кат!$G:$G,0)),INDEX(Торг!$B:$B,MATCH(#REF!,Торг!$I:$I,0))),"")</f>
        <v/>
      </c>
      <c r="I79" s="21" t="str">
        <f>IFERROR(IFERROR(INDEX(Кат!C:C,MATCH($B79,Кат!$G:$G,0)),INDEX(Торг!$B:$B,MATCH(#REF!,Торг!$I:$I,0))),"")</f>
        <v/>
      </c>
    </row>
    <row r="80" spans="1:9" x14ac:dyDescent="0.25">
      <c r="A80" s="94">
        <v>79</v>
      </c>
      <c r="B80" s="97" t="s">
        <v>570</v>
      </c>
      <c r="C80" s="130">
        <v>2550</v>
      </c>
      <c r="D80" s="102"/>
      <c r="E80" s="116"/>
      <c r="F80" s="99" t="s">
        <v>5</v>
      </c>
      <c r="G80" s="21">
        <f>IFERROR(IFERROR(INDEX(Кат!A:A,MATCH($B80,Кат!$G:$G,0)),INDEX(Торг!$B:$B,MATCH(#REF!,Торг!$I:$I,0))),"")</f>
        <v>223734</v>
      </c>
      <c r="H80" s="21">
        <f>IFERROR(IFERROR(INDEX(Кат!B:B,MATCH($B80,Кат!$G:$G,0)),INDEX(Торг!$B:$B,MATCH(#REF!,Торг!$I:$I,0))),"")</f>
        <v>8883</v>
      </c>
      <c r="I80" s="21" t="str">
        <f>IFERROR(IFERROR(INDEX(Кат!C:C,MATCH($B80,Кат!$G:$G,0)),INDEX(Торг!$B:$B,MATCH(#REF!,Торг!$I:$I,0))),"")</f>
        <v>Устройство зарядно - предпусковое ОРИОН Вымпел-30</v>
      </c>
    </row>
    <row r="81" spans="1:9" x14ac:dyDescent="0.25">
      <c r="A81" s="94">
        <v>80</v>
      </c>
      <c r="B81" s="97" t="s">
        <v>194</v>
      </c>
      <c r="C81" s="130">
        <v>6400</v>
      </c>
      <c r="D81" s="111" t="s">
        <v>544</v>
      </c>
      <c r="E81" s="116"/>
      <c r="F81" s="99" t="s">
        <v>5</v>
      </c>
      <c r="G81" s="21">
        <f>IFERROR(IFERROR(INDEX(Кат!A:A,MATCH($B81,Кат!$G:$G,0)),INDEX(Торг!$B:$B,MATCH(#REF!,Торг!$I:$I,0))),"")</f>
        <v>202081</v>
      </c>
      <c r="H81" s="21">
        <f>IFERROR(IFERROR(INDEX(Кат!B:B,MATCH($B81,Кат!$G:$G,0)),INDEX(Торг!$B:$B,MATCH(#REF!,Торг!$I:$I,0))),"")</f>
        <v>7299</v>
      </c>
      <c r="I81" s="21" t="str">
        <f>IFERROR(IFERROR(INDEX(Кат!C:C,MATCH($B81,Кат!$G:$G,0)),INDEX(Торг!$B:$B,MATCH(#REF!,Торг!$I:$I,0))),"")</f>
        <v>Пуско-зарядное устройство Орион PW-700</v>
      </c>
    </row>
    <row r="82" spans="1:9" x14ac:dyDescent="0.25">
      <c r="A82" s="94">
        <v>81</v>
      </c>
      <c r="B82" s="97" t="s">
        <v>398</v>
      </c>
      <c r="C82" s="134">
        <v>100</v>
      </c>
      <c r="D82" s="102" t="s">
        <v>161</v>
      </c>
      <c r="E82" s="116"/>
      <c r="F82" s="99" t="s">
        <v>5</v>
      </c>
      <c r="G82" s="21" t="str">
        <f>IFERROR(IFERROR(INDEX(Кат!A:A,MATCH($B82,Кат!$G:$G,0)),INDEX(Торг!$B:$B,MATCH(#REF!,Торг!$I:$I,0))),"")</f>
        <v/>
      </c>
      <c r="H82" s="21" t="str">
        <f>IFERROR(IFERROR(INDEX(Кат!B:B,MATCH($B82,Кат!$G:$G,0)),INDEX(Торг!$B:$B,MATCH(#REF!,Торг!$I:$I,0))),"")</f>
        <v/>
      </c>
      <c r="I82" s="21" t="str">
        <f>IFERROR(IFERROR(INDEX(Кат!C:C,MATCH($B82,Кат!$G:$G,0)),INDEX(Торг!$B:$B,MATCH(#REF!,Торг!$I:$I,0))),"")</f>
        <v/>
      </c>
    </row>
    <row r="83" spans="1:9" x14ac:dyDescent="0.25">
      <c r="A83" s="94">
        <v>83</v>
      </c>
      <c r="B83" s="107" t="s">
        <v>174</v>
      </c>
      <c r="C83" s="130">
        <v>2780</v>
      </c>
      <c r="D83" s="104"/>
      <c r="E83" s="116"/>
      <c r="F83" s="99" t="s">
        <v>5</v>
      </c>
      <c r="G83" s="21">
        <f>IFERROR(IFERROR(INDEX(Кат!A:A,MATCH($B83,Кат!$G:$G,0)),INDEX(Торг!$B:$B,MATCH(#REF!,Торг!$I:$I,0))),"")</f>
        <v>141975</v>
      </c>
      <c r="H83" s="21">
        <f>IFERROR(IFERROR(INDEX(Кат!B:B,MATCH($B83,Кат!$G:$G,0)),INDEX(Торг!$B:$B,MATCH(#REF!,Торг!$I:$I,0))),"")</f>
        <v>4381</v>
      </c>
      <c r="I83" s="21" t="str">
        <f>IFERROR(IFERROR(INDEX(Кат!C:C,MATCH($B83,Кат!$G:$G,0)),INDEX(Торг!$B:$B,MATCH(#REF!,Торг!$I:$I,0))),"")</f>
        <v>Датчик дождя ДДА15 для ВАЗ 2108-15, 2110-12, Шеви Нива</v>
      </c>
    </row>
    <row r="84" spans="1:9" ht="22.5" x14ac:dyDescent="0.25">
      <c r="A84" s="94">
        <v>84</v>
      </c>
      <c r="B84" s="107" t="s">
        <v>42</v>
      </c>
      <c r="C84" s="145">
        <v>2550</v>
      </c>
      <c r="D84" s="125" t="s">
        <v>859</v>
      </c>
      <c r="E84" s="116"/>
      <c r="F84" s="99" t="s">
        <v>5</v>
      </c>
      <c r="G84" s="21">
        <f>IFERROR(IFERROR(INDEX(Кат!A:A,MATCH($B84,Кат!$G:$G,0)),INDEX(Торг!$B:$B,MATCH(#REF!,Торг!$I:$I,0))),"")</f>
        <v>141971</v>
      </c>
      <c r="H84" s="21">
        <f>IFERROR(IFERROR(INDEX(Кат!B:B,MATCH($B84,Кат!$G:$G,0)),INDEX(Торг!$B:$B,MATCH(#REF!,Торг!$I:$I,0))),"")</f>
        <v>4377</v>
      </c>
      <c r="I84" s="21" t="str">
        <f>IFERROR(IFERROR(INDEX(Кат!C:C,MATCH($B84,Кат!$G:$G,0)),INDEX(Торг!$B:$B,MATCH(#REF!,Торг!$I:$I,0))),"")</f>
        <v>Датчик дождя ДДА 25 для ВАЗ (2113, 2114, 2115), Лада (Калина, Приора, Гранта лифтбек (в комплектации норма, норма+))</v>
      </c>
    </row>
    <row r="85" spans="1:9" x14ac:dyDescent="0.25">
      <c r="A85" s="94">
        <v>85</v>
      </c>
      <c r="B85" s="107" t="s">
        <v>173</v>
      </c>
      <c r="C85" s="130">
        <v>2950</v>
      </c>
      <c r="D85" s="104"/>
      <c r="E85" s="116"/>
      <c r="F85" s="99" t="s">
        <v>5</v>
      </c>
      <c r="G85" s="21">
        <f>IFERROR(IFERROR(INDEX(Кат!A:A,MATCH($B85,Кат!$G:$G,0)),INDEX(Торг!$B:$B,MATCH(#REF!,Торг!$I:$I,0))),"")</f>
        <v>141974</v>
      </c>
      <c r="H85" s="21">
        <f>IFERROR(IFERROR(INDEX(Кат!B:B,MATCH($B85,Кат!$G:$G,0)),INDEX(Торг!$B:$B,MATCH(#REF!,Торг!$I:$I,0))),"")</f>
        <v>4380</v>
      </c>
      <c r="I85" s="21" t="str">
        <f>IFERROR(IFERROR(INDEX(Кат!C:C,MATCH($B85,Кат!$G:$G,0)),INDEX(Торг!$B:$B,MATCH(#REF!,Торг!$I:$I,0))),"")</f>
        <v>Датчик дождя ДДА-25.02 для ВАЗ (2108-21099, 2113-2115), Лада (Калина, Приора)</v>
      </c>
    </row>
    <row r="86" spans="1:9" x14ac:dyDescent="0.25">
      <c r="A86" s="94">
        <v>86</v>
      </c>
      <c r="B86" s="107" t="s">
        <v>43</v>
      </c>
      <c r="C86" s="130">
        <v>2050</v>
      </c>
      <c r="D86" s="102"/>
      <c r="E86" s="116"/>
      <c r="F86" s="99" t="s">
        <v>5</v>
      </c>
      <c r="G86" s="21">
        <f>IFERROR(IFERROR(INDEX(Кат!A:A,MATCH($B86,Кат!$G:$G,0)),INDEX(Торг!$B:$B,MATCH(#REF!,Торг!$I:$I,0))),"")</f>
        <v>141972</v>
      </c>
      <c r="H86" s="21">
        <f>IFERROR(IFERROR(INDEX(Кат!B:B,MATCH($B86,Кат!$G:$G,0)),INDEX(Торг!$B:$B,MATCH(#REF!,Торг!$I:$I,0))),"")</f>
        <v>4382</v>
      </c>
      <c r="I86" s="21" t="str">
        <f>IFERROR(IFERROR(INDEX(Кат!C:C,MATCH($B86,Кат!$G:$G,0)),INDEX(Торг!$B:$B,MATCH(#REF!,Торг!$I:$I,0))),"")</f>
        <v>Датчик дождя ДДА 35 для автомобилей со встроенным, электронным реле стеклоочистителя</v>
      </c>
    </row>
    <row r="87" spans="1:9" x14ac:dyDescent="0.25">
      <c r="A87" s="94">
        <v>87</v>
      </c>
      <c r="B87" s="107" t="s">
        <v>44</v>
      </c>
      <c r="C87" s="130">
        <v>2200</v>
      </c>
      <c r="D87" s="102"/>
      <c r="E87" s="116"/>
      <c r="F87" s="99" t="s">
        <v>5</v>
      </c>
      <c r="G87" s="21">
        <f>IFERROR(IFERROR(INDEX(Кат!A:A,MATCH($B87,Кат!$G:$G,0)),INDEX(Торг!$B:$B,MATCH(#REF!,Торг!$I:$I,0))),"")</f>
        <v>141973</v>
      </c>
      <c r="H87" s="21">
        <f>IFERROR(IFERROR(INDEX(Кат!B:B,MATCH($B87,Кат!$G:$G,0)),INDEX(Торг!$B:$B,MATCH(#REF!,Торг!$I:$I,0))),"")</f>
        <v>4383</v>
      </c>
      <c r="I87" s="21" t="str">
        <f>IFERROR(IFERROR(INDEX(Кат!C:C,MATCH($B87,Кат!$G:$G,0)),INDEX(Торг!$B:$B,MATCH(#REF!,Торг!$I:$I,0))),"")</f>
        <v>Датчик дождя ДДА 45 для Лада (Калина 2, Гранта, Ларгус), Датсун (mi-DO, on-DO)</v>
      </c>
    </row>
    <row r="88" spans="1:9" x14ac:dyDescent="0.25">
      <c r="A88" s="94">
        <v>88</v>
      </c>
      <c r="B88" s="107" t="s">
        <v>45</v>
      </c>
      <c r="C88" s="130">
        <v>2880</v>
      </c>
      <c r="D88" s="104"/>
      <c r="E88" s="116"/>
      <c r="F88" s="99" t="s">
        <v>5</v>
      </c>
      <c r="G88" s="21">
        <f>IFERROR(IFERROR(INDEX(Кат!A:A,MATCH($B88,Кат!$G:$G,0)),INDEX(Торг!$B:$B,MATCH(#REF!,Торг!$I:$I,0))),"")</f>
        <v>141970</v>
      </c>
      <c r="H88" s="21">
        <f>IFERROR(IFERROR(INDEX(Кат!B:B,MATCH($B88,Кат!$G:$G,0)),INDEX(Торг!$B:$B,MATCH(#REF!,Торг!$I:$I,0))),"")</f>
        <v>13094</v>
      </c>
      <c r="I88" s="21" t="str">
        <f>IFERROR(IFERROR(INDEX(Кат!C:C,MATCH($B88,Кат!$G:$G,0)),INDEX(Торг!$B:$B,MATCH(#REF!,Торг!$I:$I,0))),"")</f>
        <v>Датчик дождя автомобильный ДДА-55</v>
      </c>
    </row>
    <row r="89" spans="1:9" x14ac:dyDescent="0.25">
      <c r="A89" s="94">
        <v>89</v>
      </c>
      <c r="B89" s="107" t="s">
        <v>158</v>
      </c>
      <c r="C89" s="130">
        <v>3200</v>
      </c>
      <c r="D89" s="102"/>
      <c r="E89" s="116"/>
      <c r="F89" s="99" t="s">
        <v>5</v>
      </c>
      <c r="G89" s="21">
        <f>IFERROR(IFERROR(INDEX(Кат!A:A,MATCH($B89,Кат!$G:$G,0)),INDEX(Торг!$B:$B,MATCH(#REF!,Торг!$I:$I,0))),"")</f>
        <v>141976</v>
      </c>
      <c r="H89" s="21">
        <f>IFERROR(IFERROR(INDEX(Кат!B:B,MATCH($B89,Кат!$G:$G,0)),INDEX(Торг!$B:$B,MATCH(#REF!,Торг!$I:$I,0))),"")</f>
        <v>17931</v>
      </c>
      <c r="I89" s="21" t="str">
        <f>IFERROR(IFERROR(INDEX(Кат!C:C,MATCH($B89,Кат!$G:$G,0)),INDEX(Торг!$B:$B,MATCH(#REF!,Торг!$I:$I,0))),"")</f>
        <v>Датчик дождя и света ДДА-65 для Лада Ларгус</v>
      </c>
    </row>
    <row r="90" spans="1:9" x14ac:dyDescent="0.25">
      <c r="A90" s="94">
        <v>90</v>
      </c>
      <c r="B90" s="107" t="s">
        <v>154</v>
      </c>
      <c r="C90" s="130">
        <v>820</v>
      </c>
      <c r="D90" s="102"/>
      <c r="E90" s="116"/>
      <c r="F90" s="99" t="s">
        <v>5</v>
      </c>
      <c r="G90" s="21">
        <f>IFERROR(IFERROR(INDEX(Кат!A:A,MATCH($B90,Кат!$G:$G,0)),INDEX(Торг!$B:$B,MATCH(#REF!,Торг!$I:$I,0))),"")</f>
        <v>164999</v>
      </c>
      <c r="H90" s="21">
        <f>IFERROR(IFERROR(INDEX(Кат!B:B,MATCH($B90,Кат!$G:$G,0)),INDEX(Торг!$B:$B,MATCH(#REF!,Торг!$I:$I,0))),"")</f>
        <v>24506</v>
      </c>
      <c r="I90" s="21" t="str">
        <f>IFERROR(IFERROR(INDEX(Кат!C:C,MATCH($B90,Кат!$G:$G,0)),INDEX(Торг!$B:$B,MATCH(#REF!,Торг!$I:$I,0))),"")</f>
        <v>Набор для управления стеклоподъёмниками "ОРИОН" Вымпел R01-2W (2 окна)</v>
      </c>
    </row>
    <row r="91" spans="1:9" x14ac:dyDescent="0.25">
      <c r="A91" s="94">
        <v>91</v>
      </c>
      <c r="B91" s="107" t="s">
        <v>153</v>
      </c>
      <c r="C91" s="130">
        <v>880</v>
      </c>
      <c r="D91" s="102"/>
      <c r="E91" s="116"/>
      <c r="F91" s="99" t="s">
        <v>5</v>
      </c>
      <c r="G91" s="21">
        <f>IFERROR(IFERROR(INDEX(Кат!A:A,MATCH($B91,Кат!$G:$G,0)),INDEX(Торг!$B:$B,MATCH(#REF!,Торг!$I:$I,0))),"")</f>
        <v>165000</v>
      </c>
      <c r="H91" s="21">
        <f>IFERROR(IFERROR(INDEX(Кат!B:B,MATCH($B91,Кат!$G:$G,0)),INDEX(Торг!$B:$B,MATCH(#REF!,Торг!$I:$I,0))),"")</f>
        <v>24507</v>
      </c>
      <c r="I91" s="21" t="str">
        <f>IFERROR(IFERROR(INDEX(Кат!C:C,MATCH($B91,Кат!$G:$G,0)),INDEX(Торг!$B:$B,MATCH(#REF!,Торг!$I:$I,0))),"")</f>
        <v>Набор для управления стеклоподъёмниками "ОРИОН" Вымпел R01-4W (4 окна)</v>
      </c>
    </row>
    <row r="92" spans="1:9" ht="24.75" x14ac:dyDescent="0.25">
      <c r="A92" s="94">
        <v>92</v>
      </c>
      <c r="B92" s="97" t="s">
        <v>130</v>
      </c>
      <c r="C92" s="128">
        <v>35</v>
      </c>
      <c r="D92" s="101"/>
      <c r="E92" s="116"/>
      <c r="F92" s="99" t="s">
        <v>5</v>
      </c>
      <c r="G92" s="21">
        <f>IFERROR(IFERROR(INDEX(Кат!A:A,MATCH($B92,Кат!$G:$G,0)),INDEX(Торг!$B:$B,MATCH(#REF!,Торг!$I:$I,0))),"")</f>
        <v>153079</v>
      </c>
      <c r="H92" s="21">
        <f>IFERROR(IFERROR(INDEX(Кат!B:B,MATCH($B92,Кат!$G:$G,0)),INDEX(Торг!$B:$B,MATCH(#REF!,Торг!$I:$I,0))),"")</f>
        <v>7207</v>
      </c>
      <c r="I92" s="21" t="str">
        <f>IFERROR(IFERROR(INDEX(Кат!C:C,MATCH($B92,Кат!$G:$G,0)),INDEX(Торг!$B:$B,MATCH(#REF!,Торг!$I:$I,0))),"")</f>
        <v>Индикатор звуковой (повторитель) на автомобили Lada</v>
      </c>
    </row>
    <row r="93" spans="1:9" x14ac:dyDescent="0.25">
      <c r="A93" s="94">
        <v>93</v>
      </c>
      <c r="B93" s="97" t="s">
        <v>125</v>
      </c>
      <c r="C93" s="128">
        <v>90</v>
      </c>
      <c r="D93" s="102"/>
      <c r="E93" s="116"/>
      <c r="F93" s="99" t="s">
        <v>5</v>
      </c>
      <c r="G93" s="21" t="str">
        <f>IFERROR(IFERROR(INDEX(Кат!A:A,MATCH($B93,Кат!$G:$G,0)),INDEX(Торг!$B:$B,MATCH(#REF!,Торг!$I:$I,0))),"")</f>
        <v/>
      </c>
      <c r="H93" s="21" t="str">
        <f>IFERROR(IFERROR(INDEX(Кат!B:B,MATCH($B93,Кат!$G:$G,0)),INDEX(Торг!$B:$B,MATCH(#REF!,Торг!$I:$I,0))),"")</f>
        <v/>
      </c>
      <c r="I93" s="21" t="str">
        <f>IFERROR(IFERROR(INDEX(Кат!C:C,MATCH($B93,Кат!$G:$G,0)),INDEX(Торг!$B:$B,MATCH(#REF!,Торг!$I:$I,0))),"")</f>
        <v/>
      </c>
    </row>
    <row r="94" spans="1:9" x14ac:dyDescent="0.25">
      <c r="A94" s="94">
        <v>94</v>
      </c>
      <c r="B94" s="97" t="s">
        <v>46</v>
      </c>
      <c r="C94" s="128">
        <v>300</v>
      </c>
      <c r="D94" s="101"/>
      <c r="E94" s="116"/>
      <c r="F94" s="99" t="s">
        <v>5</v>
      </c>
      <c r="G94" s="21">
        <f>IFERROR(IFERROR(INDEX(Кат!A:A,MATCH($B94,Кат!$G:$G,0)),INDEX(Торг!$B:$B,MATCH(#REF!,Торг!$I:$I,0))),"")</f>
        <v>153073</v>
      </c>
      <c r="H94" s="21">
        <f>IFERROR(IFERROR(INDEX(Кат!B:B,MATCH($B94,Кат!$G:$G,0)),INDEX(Торг!$B:$B,MATCH(#REF!,Торг!$I:$I,0))),"")</f>
        <v>7255</v>
      </c>
      <c r="I94" s="21" t="str">
        <f>IFERROR(IFERROR(INDEX(Кат!C:C,MATCH($B94,Кат!$G:$G,0)),INDEX(Торг!$B:$B,MATCH(#REF!,Торг!$I:$I,0))),"")</f>
        <v>Имитатор датчика скорости</v>
      </c>
    </row>
    <row r="95" spans="1:9" x14ac:dyDescent="0.25">
      <c r="A95" s="94">
        <v>95</v>
      </c>
      <c r="B95" s="97" t="s">
        <v>47</v>
      </c>
      <c r="C95" s="128">
        <v>1800</v>
      </c>
      <c r="D95" s="108"/>
      <c r="E95" s="116"/>
      <c r="F95" s="99" t="s">
        <v>5</v>
      </c>
      <c r="G95" s="21" t="str">
        <f>IFERROR(IFERROR(INDEX(Кат!A:A,MATCH($B95,Кат!$G:$G,0)),INDEX(Торг!$B:$B,MATCH(#REF!,Торг!$I:$I,0))),"")</f>
        <v/>
      </c>
      <c r="H95" s="21" t="str">
        <f>IFERROR(IFERROR(INDEX(Кат!B:B,MATCH($B95,Кат!$G:$G,0)),INDEX(Торг!$B:$B,MATCH(#REF!,Торг!$I:$I,0))),"")</f>
        <v/>
      </c>
      <c r="I95" s="21" t="str">
        <f>IFERROR(IFERROR(INDEX(Кат!C:C,MATCH($B95,Кат!$G:$G,0)),INDEX(Торг!$B:$B,MATCH(#REF!,Торг!$I:$I,0))),"")</f>
        <v/>
      </c>
    </row>
    <row r="96" spans="1:9" x14ac:dyDescent="0.25">
      <c r="A96" s="94">
        <v>96</v>
      </c>
      <c r="B96" s="97" t="s">
        <v>48</v>
      </c>
      <c r="C96" s="128">
        <v>1300</v>
      </c>
      <c r="D96" s="102"/>
      <c r="E96" s="116"/>
      <c r="F96" s="99" t="s">
        <v>5</v>
      </c>
      <c r="G96" s="21" t="str">
        <f>IFERROR(IFERROR(INDEX(Кат!A:A,MATCH($B96,Кат!$G:$G,0)),INDEX(Торг!$B:$B,MATCH(#REF!,Торг!$I:$I,0))),"")</f>
        <v/>
      </c>
      <c r="H96" s="21" t="str">
        <f>IFERROR(IFERROR(INDEX(Кат!B:B,MATCH($B96,Кат!$G:$G,0)),INDEX(Торг!$B:$B,MATCH(#REF!,Торг!$I:$I,0))),"")</f>
        <v/>
      </c>
      <c r="I96" s="21" t="str">
        <f>IFERROR(IFERROR(INDEX(Кат!C:C,MATCH($B96,Кат!$G:$G,0)),INDEX(Торг!$B:$B,MATCH(#REF!,Торг!$I:$I,0))),"")</f>
        <v/>
      </c>
    </row>
    <row r="97" spans="1:12" ht="25.5" x14ac:dyDescent="0.25">
      <c r="A97" s="94">
        <v>97</v>
      </c>
      <c r="B97" s="97" t="s">
        <v>49</v>
      </c>
      <c r="C97" s="133">
        <v>1130</v>
      </c>
      <c r="D97" s="108"/>
      <c r="E97" s="116"/>
      <c r="F97" s="99" t="s">
        <v>5</v>
      </c>
      <c r="G97" s="21">
        <f>IFERROR(IFERROR(INDEX(Кат!A:A,MATCH($B97,Кат!$G:$G,0)),INDEX(Торг!$B:$B,MATCH(#REF!,Торг!$I:$I,0))),"")</f>
        <v>153083</v>
      </c>
      <c r="H97" s="21">
        <f>IFERROR(IFERROR(INDEX(Кат!B:B,MATCH($B97,Кат!$G:$G,0)),INDEX(Торг!$B:$B,MATCH(#REF!,Торг!$I:$I,0))),"")</f>
        <v>7215</v>
      </c>
      <c r="I97" s="21" t="str">
        <f>IFERROR(IFERROR(INDEX(Кат!C:C,MATCH($B97,Кат!$G:$G,0)),INDEX(Торг!$B:$B,MATCH(#REF!,Торг!$I:$I,0))),"")</f>
        <v>Индикатор температуры двигателя цифровой на Lada Granta, Kalina 2, Priora, Datsun</v>
      </c>
    </row>
    <row r="98" spans="1:12" x14ac:dyDescent="0.25">
      <c r="A98" s="94">
        <v>98</v>
      </c>
      <c r="B98" s="97" t="s">
        <v>50</v>
      </c>
      <c r="C98" s="128">
        <v>970</v>
      </c>
      <c r="D98" s="108"/>
      <c r="E98" s="116"/>
      <c r="F98" s="99" t="s">
        <v>5</v>
      </c>
      <c r="G98" s="21">
        <f>IFERROR(IFERROR(INDEX(Кат!A:A,MATCH($B98,Кат!$G:$G,0)),INDEX(Торг!$B:$B,MATCH(#REF!,Торг!$I:$I,0))),"")</f>
        <v>153082</v>
      </c>
      <c r="H98" s="21">
        <f>IFERROR(IFERROR(INDEX(Кат!B:B,MATCH($B98,Кат!$G:$G,0)),INDEX(Торг!$B:$B,MATCH(#REF!,Торг!$I:$I,0))),"")</f>
        <v>7218</v>
      </c>
      <c r="I98" s="21" t="str">
        <f>IFERROR(IFERROR(INDEX(Кат!C:C,MATCH($B98,Кат!$G:$G,0)),INDEX(Торг!$B:$B,MATCH(#REF!,Торг!$I:$I,0))),"")</f>
        <v>Индикатор температуры двигателя на Volkswagen Polo</v>
      </c>
    </row>
    <row r="99" spans="1:12" ht="25.5" x14ac:dyDescent="0.25">
      <c r="A99" s="94">
        <v>99</v>
      </c>
      <c r="B99" s="107" t="s">
        <v>51</v>
      </c>
      <c r="C99" s="128">
        <v>1300</v>
      </c>
      <c r="D99" s="108"/>
      <c r="E99" s="116"/>
      <c r="F99" s="99" t="s">
        <v>5</v>
      </c>
      <c r="G99" s="21">
        <f>IFERROR(IFERROR(INDEX(Кат!A:A,MATCH($B99,Кат!$G:$G,0)),INDEX(Торг!$B:$B,MATCH(#REF!,Торг!$I:$I,0))),"")</f>
        <v>224679</v>
      </c>
      <c r="H99" s="21">
        <f>IFERROR(IFERROR(INDEX(Кат!B:B,MATCH($B99,Кат!$G:$G,0)),INDEX(Торг!$B:$B,MATCH(#REF!,Торг!$I:$I,0))),"")</f>
        <v>7210</v>
      </c>
      <c r="I99" s="21" t="str">
        <f>IFERROR(IFERROR(INDEX(Кат!C:C,MATCH($B99,Кат!$G:$G,0)),INDEX(Торг!$B:$B,MATCH(#REF!,Торг!$I:$I,0))),"")</f>
        <v>Цифровой индикатор температуры двигателя с функцией диагностики, под CAN шину</v>
      </c>
    </row>
    <row r="100" spans="1:12" x14ac:dyDescent="0.25">
      <c r="A100" s="94">
        <v>100</v>
      </c>
      <c r="B100" s="107" t="s">
        <v>52</v>
      </c>
      <c r="C100" s="128">
        <v>770</v>
      </c>
      <c r="D100" s="102"/>
      <c r="E100" s="116"/>
      <c r="F100" s="99" t="s">
        <v>5</v>
      </c>
      <c r="G100" s="21">
        <f>IFERROR(IFERROR(INDEX(Кат!A:A,MATCH($B100,Кат!$G:$G,0)),INDEX(Торг!$B:$B,MATCH(#REF!,Торг!$I:$I,0))),"")</f>
        <v>153081</v>
      </c>
      <c r="H100" s="21">
        <f>IFERROR(IFERROR(INDEX(Кат!B:B,MATCH($B100,Кат!$G:$G,0)),INDEX(Торг!$B:$B,MATCH(#REF!,Торг!$I:$I,0))),"")</f>
        <v>24512</v>
      </c>
      <c r="I100" s="21" t="str">
        <f>IFERROR(IFERROR(INDEX(Кат!C:C,MATCH($B100,Кат!$G:$G,0)),INDEX(Торг!$B:$B,MATCH(#REF!,Торг!$I:$I,0))),"")</f>
        <v>Индикатор напряжения "ЭЛАНГ" для Volkswagen Polo</v>
      </c>
    </row>
    <row r="101" spans="1:12" x14ac:dyDescent="0.25">
      <c r="A101" s="94">
        <v>101</v>
      </c>
      <c r="B101" s="107" t="s">
        <v>860</v>
      </c>
      <c r="C101" s="128">
        <v>650</v>
      </c>
      <c r="D101" s="115" t="s">
        <v>56</v>
      </c>
      <c r="E101" s="116"/>
      <c r="F101" s="99" t="s">
        <v>5</v>
      </c>
      <c r="G101" s="21" t="str">
        <f>IFERROR(IFERROR(INDEX(Кат!A:A,MATCH($B101,Кат!$G:$G,0)),INDEX(Торг!$B:$B,MATCH(#REF!,Торг!$I:$I,0))),"")</f>
        <v/>
      </c>
      <c r="H101" s="21" t="str">
        <f>IFERROR(IFERROR(INDEX(Кат!B:B,MATCH($B101,Кат!$G:$G,0)),INDEX(Торг!$B:$B,MATCH(#REF!,Торг!$I:$I,0))),"")</f>
        <v/>
      </c>
      <c r="I101" s="21" t="str">
        <f>IFERROR(IFERROR(INDEX(Кат!C:C,MATCH($B101,Кат!$G:$G,0)),INDEX(Торг!$B:$B,MATCH(#REF!,Торг!$I:$I,0))),"")</f>
        <v/>
      </c>
      <c r="K101" s="23" t="s">
        <v>656</v>
      </c>
      <c r="L101" s="23" t="s">
        <v>657</v>
      </c>
    </row>
    <row r="102" spans="1:12" ht="25.5" x14ac:dyDescent="0.25">
      <c r="A102" s="94">
        <v>102</v>
      </c>
      <c r="B102" s="107" t="s">
        <v>861</v>
      </c>
      <c r="C102" s="128">
        <v>650</v>
      </c>
      <c r="D102" s="115" t="s">
        <v>56</v>
      </c>
      <c r="E102" s="116"/>
      <c r="F102" s="99" t="s">
        <v>5</v>
      </c>
      <c r="G102" s="21" t="str">
        <f>IFERROR(IFERROR(INDEX(Кат!A:A,MATCH($B102,Кат!$G:$G,0)),INDEX(Торг!$B:$B,MATCH(#REF!,Торг!$I:$I,0))),"")</f>
        <v/>
      </c>
      <c r="H102" s="21" t="str">
        <f>IFERROR(IFERROR(INDEX(Кат!B:B,MATCH($B102,Кат!$G:$G,0)),INDEX(Торг!$B:$B,MATCH(#REF!,Торг!$I:$I,0))),"")</f>
        <v/>
      </c>
      <c r="I102" s="21" t="str">
        <f>IFERROR(IFERROR(INDEX(Кат!C:C,MATCH($B102,Кат!$G:$G,0)),INDEX(Торг!$B:$B,MATCH(#REF!,Торг!$I:$I,0))),"")</f>
        <v/>
      </c>
      <c r="K102" s="23" t="s">
        <v>652</v>
      </c>
      <c r="L102" s="23" t="s">
        <v>653</v>
      </c>
    </row>
    <row r="103" spans="1:12" x14ac:dyDescent="0.25">
      <c r="A103" s="94">
        <v>103</v>
      </c>
      <c r="B103" s="107" t="s">
        <v>862</v>
      </c>
      <c r="C103" s="128">
        <v>650</v>
      </c>
      <c r="D103" s="115" t="s">
        <v>56</v>
      </c>
      <c r="E103" s="116"/>
      <c r="F103" s="99" t="s">
        <v>5</v>
      </c>
      <c r="G103" s="21" t="str">
        <f>IFERROR(IFERROR(INDEX(Кат!A:A,MATCH($B103,Кат!$G:$G,0)),INDEX(Торг!$B:$B,MATCH(#REF!,Торг!$I:$I,0))),"")</f>
        <v/>
      </c>
      <c r="H103" s="21" t="str">
        <f>IFERROR(IFERROR(INDEX(Кат!B:B,MATCH($B103,Кат!$G:$G,0)),INDEX(Торг!$B:$B,MATCH(#REF!,Торг!$I:$I,0))),"")</f>
        <v/>
      </c>
      <c r="I103" s="21" t="str">
        <f>IFERROR(IFERROR(INDEX(Кат!C:C,MATCH($B103,Кат!$G:$G,0)),INDEX(Торг!$B:$B,MATCH(#REF!,Торг!$I:$I,0))),"")</f>
        <v/>
      </c>
      <c r="K103" s="23" t="s">
        <v>654</v>
      </c>
      <c r="L103" s="23" t="s">
        <v>655</v>
      </c>
    </row>
    <row r="104" spans="1:12" ht="25.5" x14ac:dyDescent="0.25">
      <c r="A104" s="94">
        <v>104</v>
      </c>
      <c r="B104" s="107" t="s">
        <v>863</v>
      </c>
      <c r="C104" s="128">
        <v>650</v>
      </c>
      <c r="D104" s="115" t="s">
        <v>56</v>
      </c>
      <c r="E104" s="116"/>
      <c r="F104" s="144"/>
      <c r="G104" s="21" t="str">
        <f>IFERROR(IFERROR(INDEX(Кат!A:A,MATCH($B104,Кат!$G:$G,0)),INDEX(Торг!$B:$B,MATCH(#REF!,Торг!$I:$I,0))),"")</f>
        <v/>
      </c>
      <c r="H104" s="21" t="str">
        <f>IFERROR(IFERROR(INDEX(Кат!B:B,MATCH($B104,Кат!$G:$G,0)),INDEX(Торг!$B:$B,MATCH(#REF!,Торг!$I:$I,0))),"")</f>
        <v/>
      </c>
      <c r="I104" s="21" t="str">
        <f>IFERROR(IFERROR(INDEX(Кат!C:C,MATCH($B104,Кат!$G:$G,0)),INDEX(Торг!$B:$B,MATCH(#REF!,Торг!$I:$I,0))),"")</f>
        <v/>
      </c>
    </row>
    <row r="105" spans="1:12" x14ac:dyDescent="0.25">
      <c r="A105" s="94">
        <v>105</v>
      </c>
      <c r="B105" s="97" t="s">
        <v>399</v>
      </c>
      <c r="C105" s="136">
        <v>750</v>
      </c>
      <c r="D105" s="138" t="s">
        <v>541</v>
      </c>
      <c r="E105" s="116"/>
      <c r="F105" s="99" t="s">
        <v>5</v>
      </c>
      <c r="G105" s="21">
        <f>IFERROR(IFERROR(INDEX(Кат!A:A,MATCH($B105,Кат!$G:$G,0)),INDEX(Торг!$B:$B,MATCH(#REF!,Торг!$I:$I,0))),"")</f>
        <v>136693</v>
      </c>
      <c r="H105" s="21">
        <f>IFERROR(IFERROR(INDEX(Кат!B:B,MATCH($B105,Кат!$G:$G,0)),INDEX(Торг!$B:$B,MATCH(#REF!,Торг!$I:$I,0))),"")</f>
        <v>7219</v>
      </c>
      <c r="I105" s="21" t="str">
        <f>IFERROR(IFERROR(INDEX(Кат!C:C,MATCH($B105,Кат!$G:$G,0)),INDEX(Торг!$B:$B,MATCH(#REF!,Торг!$I:$I,0))),"")</f>
        <v>Бесконтактное электронное зажигание «Сонар-ИК» на Lada 2101-2107</v>
      </c>
    </row>
    <row r="106" spans="1:12" x14ac:dyDescent="0.25">
      <c r="A106" s="94">
        <v>106</v>
      </c>
      <c r="B106" s="97" t="s">
        <v>53</v>
      </c>
      <c r="C106" s="128">
        <v>50</v>
      </c>
      <c r="D106" s="98"/>
      <c r="E106" s="116"/>
      <c r="F106" s="99" t="s">
        <v>5</v>
      </c>
      <c r="G106" s="21">
        <f>IFERROR(IFERROR(INDEX(Кат!A:A,MATCH($B106,Кат!$G:$G,0)),INDEX(Торг!$B:$B,MATCH(#REF!,Торг!$I:$I,0))),"")</f>
        <v>213732</v>
      </c>
      <c r="H106" s="21">
        <f>IFERROR(IFERROR(INDEX(Кат!B:B,MATCH($B106,Кат!$G:$G,0)),INDEX(Торг!$B:$B,MATCH(#REF!,Торг!$I:$I,0))),"")</f>
        <v>24513</v>
      </c>
      <c r="I106" s="21" t="str">
        <f>IFERROR(IFERROR(INDEX(Кат!C:C,MATCH($B106,Кат!$G:$G,0)),INDEX(Торг!$B:$B,MATCH(#REF!,Торг!$I:$I,0))),"")</f>
        <v>Светодиодный индикатор напряжения "ИНА-3" в прикуриватель</v>
      </c>
    </row>
    <row r="107" spans="1:12" x14ac:dyDescent="0.25">
      <c r="A107" s="94">
        <v>107</v>
      </c>
      <c r="B107" s="97" t="s">
        <v>54</v>
      </c>
      <c r="C107" s="128">
        <v>250</v>
      </c>
      <c r="D107" s="101"/>
      <c r="E107" s="116"/>
      <c r="F107" s="103" t="s">
        <v>184</v>
      </c>
      <c r="G107" s="21">
        <f>IFERROR(IFERROR(INDEX(Кат!A:A,MATCH($B107,Кат!$G:$G,0)),INDEX(Торг!$B:$B,MATCH(#REF!,Торг!$I:$I,0))),"")</f>
        <v>224678</v>
      </c>
      <c r="H107" s="21">
        <f>IFERROR(IFERROR(INDEX(Кат!B:B,MATCH($B107,Кат!$G:$G,0)),INDEX(Торг!$B:$B,MATCH(#REF!,Торг!$I:$I,0))),"")</f>
        <v>24515</v>
      </c>
      <c r="I107" s="21" t="str">
        <f>IFERROR(IFERROR(INDEX(Кат!C:C,MATCH($B107,Кат!$G:$G,0)),INDEX(Торг!$B:$B,MATCH(#REF!,Торг!$I:$I,0))),"")</f>
        <v>Цифровой индикатор бортовой сети "ИН" Малый (1 см) в прикуриватель</v>
      </c>
    </row>
    <row r="108" spans="1:12" x14ac:dyDescent="0.25">
      <c r="A108" s="94">
        <v>108</v>
      </c>
      <c r="B108" s="97" t="s">
        <v>55</v>
      </c>
      <c r="C108" s="128">
        <v>300</v>
      </c>
      <c r="D108" s="101"/>
      <c r="E108" s="116"/>
      <c r="F108" s="99" t="s">
        <v>5</v>
      </c>
      <c r="G108" s="21">
        <f>IFERROR(IFERROR(INDEX(Кат!A:A,MATCH($B108,Кат!$G:$G,0)),INDEX(Торг!$B:$B,MATCH(#REF!,Торг!$I:$I,0))),"")</f>
        <v>224677</v>
      </c>
      <c r="H108" s="21">
        <f>IFERROR(IFERROR(INDEX(Кат!B:B,MATCH($B108,Кат!$G:$G,0)),INDEX(Торг!$B:$B,MATCH(#REF!,Торг!$I:$I,0))),"")</f>
        <v>24514</v>
      </c>
      <c r="I108" s="21" t="str">
        <f>IFERROR(IFERROR(INDEX(Кат!C:C,MATCH($B108,Кат!$G:$G,0)),INDEX(Торг!$B:$B,MATCH(#REF!,Торг!$I:$I,0))),"")</f>
        <v>Цифровой индикатор бортовой сети "ИН" Большой (1,5 см) в прикуриватель</v>
      </c>
    </row>
    <row r="109" spans="1:12" ht="25.5" x14ac:dyDescent="0.25">
      <c r="A109" s="94">
        <v>109</v>
      </c>
      <c r="B109" s="97" t="s">
        <v>603</v>
      </c>
      <c r="C109" s="133">
        <v>390</v>
      </c>
      <c r="D109" s="101"/>
      <c r="E109" s="116"/>
      <c r="F109" s="99" t="s">
        <v>131</v>
      </c>
      <c r="G109" s="21">
        <f>IFERROR(IFERROR(INDEX(Кат!A:A,MATCH($B109,Кат!$G:$G,0)),INDEX(Торг!$B:$B,MATCH(#REF!,Торг!$I:$I,0))),"")</f>
        <v>153080</v>
      </c>
      <c r="H109" s="21">
        <f>IFERROR(IFERROR(INDEX(Кат!B:B,MATCH($B109,Кат!$G:$G,0)),INDEX(Торг!$B:$B,MATCH(#REF!,Торг!$I:$I,0))),"")</f>
        <v>24516</v>
      </c>
      <c r="I109" s="21" t="str">
        <f>IFERROR(IFERROR(INDEX(Кат!C:C,MATCH($B109,Кат!$G:$G,0)),INDEX(Торг!$B:$B,MATCH(#REF!,Торг!$I:$I,0))),"")</f>
        <v>Индикатор напряжения "АПЭЛ" ИН-12 для Лада Калина 2, Гранта, Приора</v>
      </c>
      <c r="K109" s="23" t="s">
        <v>662</v>
      </c>
      <c r="L109" s="23" t="s">
        <v>663</v>
      </c>
    </row>
    <row r="110" spans="1:12" x14ac:dyDescent="0.25">
      <c r="A110" s="94">
        <v>110</v>
      </c>
      <c r="B110" s="97" t="s">
        <v>604</v>
      </c>
      <c r="C110" s="133">
        <v>390</v>
      </c>
      <c r="D110" s="108"/>
      <c r="E110" s="116"/>
      <c r="F110" s="99" t="s">
        <v>5</v>
      </c>
      <c r="G110" s="21" t="str">
        <f>IFERROR(IFERROR(INDEX(Кат!A:A,MATCH($B110,Кат!$G:$G,0)),INDEX(Торг!$B:$B,MATCH(#REF!,Торг!$I:$I,0))),"")</f>
        <v/>
      </c>
      <c r="H110" s="21" t="str">
        <f>IFERROR(IFERROR(INDEX(Кат!B:B,MATCH($B110,Кат!$G:$G,0)),INDEX(Торг!$B:$B,MATCH(#REF!,Торг!$I:$I,0))),"")</f>
        <v/>
      </c>
      <c r="I110" s="21" t="str">
        <f>IFERROR(IFERROR(INDEX(Кат!C:C,MATCH($B110,Кат!$G:$G,0)),INDEX(Торг!$B:$B,MATCH(#REF!,Торг!$I:$I,0))),"")</f>
        <v/>
      </c>
    </row>
    <row r="111" spans="1:12" x14ac:dyDescent="0.25">
      <c r="A111" s="94">
        <v>111</v>
      </c>
      <c r="B111" s="97" t="s">
        <v>542</v>
      </c>
      <c r="C111" s="133">
        <v>350</v>
      </c>
      <c r="D111" s="101"/>
      <c r="E111" s="116"/>
      <c r="F111" s="99" t="s">
        <v>5</v>
      </c>
      <c r="G111" s="21">
        <f>IFERROR(IFERROR(INDEX(Кат!A:A,MATCH($B111,Кат!$G:$G,0)),INDEX(Торг!$B:$B,MATCH(#REF!,Торг!$I:$I,0))),"")</f>
        <v>224675</v>
      </c>
      <c r="H111" s="21">
        <f>IFERROR(IFERROR(INDEX(Кат!B:B,MATCH($B111,Кат!$G:$G,0)),INDEX(Торг!$B:$B,MATCH(#REF!,Торг!$I:$I,0))),"")</f>
        <v>7196</v>
      </c>
      <c r="I111" s="21" t="str">
        <f>IFERROR(IFERROR(INDEX(Кат!C:C,MATCH($B111,Кат!$G:$G,0)),INDEX(Торг!$B:$B,MATCH(#REF!,Торг!$I:$I,0))),"")</f>
        <v>Цифровой вольтметр в гнездо прикуривателя</v>
      </c>
      <c r="K111" s="23" t="s">
        <v>658</v>
      </c>
      <c r="L111" s="23" t="s">
        <v>659</v>
      </c>
    </row>
    <row r="112" spans="1:12" x14ac:dyDescent="0.25">
      <c r="A112" s="94">
        <v>112</v>
      </c>
      <c r="B112" s="97" t="s">
        <v>605</v>
      </c>
      <c r="C112" s="133">
        <v>390</v>
      </c>
      <c r="D112" s="137" t="s">
        <v>56</v>
      </c>
      <c r="E112" s="116"/>
      <c r="F112" s="99" t="s">
        <v>5</v>
      </c>
      <c r="G112" s="21" t="str">
        <f>IFERROR(IFERROR(INDEX(Кат!A:A,MATCH($B112,Кат!$G:$G,0)),INDEX(Торг!$B:$B,MATCH(#REF!,Торг!$I:$I,0))),"")</f>
        <v/>
      </c>
      <c r="H112" s="21" t="str">
        <f>IFERROR(IFERROR(INDEX(Кат!B:B,MATCH($B112,Кат!$G:$G,0)),INDEX(Торг!$B:$B,MATCH(#REF!,Торг!$I:$I,0))),"")</f>
        <v/>
      </c>
      <c r="I112" s="21" t="str">
        <f>IFERROR(IFERROR(INDEX(Кат!C:C,MATCH($B112,Кат!$G:$G,0)),INDEX(Торг!$B:$B,MATCH(#REF!,Торг!$I:$I,0))),"")</f>
        <v/>
      </c>
    </row>
    <row r="113" spans="1:9" ht="25.5" x14ac:dyDescent="0.25">
      <c r="A113" s="94">
        <v>113</v>
      </c>
      <c r="B113" s="97" t="s">
        <v>168</v>
      </c>
      <c r="C113" s="128">
        <v>130</v>
      </c>
      <c r="D113" s="101"/>
      <c r="E113" s="116"/>
      <c r="F113" s="99" t="s">
        <v>5</v>
      </c>
      <c r="G113" s="21">
        <f>IFERROR(IFERROR(INDEX(Кат!A:A,MATCH($B113,Кат!$G:$G,0)),INDEX(Торг!$B:$B,MATCH(#REF!,Торг!$I:$I,0))),"")</f>
        <v>224676</v>
      </c>
      <c r="H113" s="21">
        <f>IFERROR(IFERROR(INDEX(Кат!B:B,MATCH($B113,Кат!$G:$G,0)),INDEX(Торг!$B:$B,MATCH(#REF!,Торг!$I:$I,0))),"")</f>
        <v>7195</v>
      </c>
      <c r="I113" s="21" t="str">
        <f>IFERROR(IFERROR(INDEX(Кат!C:C,MATCH($B113,Кат!$G:$G,0)),INDEX(Торг!$B:$B,MATCH(#REF!,Торг!$I:$I,0))),"")</f>
        <v>Цифровой вольтметр врезаемый</v>
      </c>
    </row>
    <row r="114" spans="1:9" ht="25.5" x14ac:dyDescent="0.25">
      <c r="A114" s="94">
        <v>114</v>
      </c>
      <c r="B114" s="97" t="s">
        <v>169</v>
      </c>
      <c r="C114" s="128">
        <v>200</v>
      </c>
      <c r="D114" s="101"/>
      <c r="E114" s="116"/>
      <c r="F114" s="99" t="s">
        <v>5</v>
      </c>
      <c r="G114" s="21" t="str">
        <f>IFERROR(IFERROR(INDEX(Кат!A:A,MATCH($B114,Кат!$G:$G,0)),INDEX(Торг!$B:$B,MATCH(#REF!,Торг!$I:$I,0))),"")</f>
        <v/>
      </c>
      <c r="H114" s="21" t="str">
        <f>IFERROR(IFERROR(INDEX(Кат!B:B,MATCH($B114,Кат!$G:$G,0)),INDEX(Торг!$B:$B,MATCH(#REF!,Торг!$I:$I,0))),"")</f>
        <v/>
      </c>
      <c r="I114" s="21" t="str">
        <f>IFERROR(IFERROR(INDEX(Кат!C:C,MATCH($B114,Кат!$G:$G,0)),INDEX(Торг!$B:$B,MATCH(#REF!,Торг!$I:$I,0))),"")</f>
        <v/>
      </c>
    </row>
    <row r="115" spans="1:9" ht="25.5" x14ac:dyDescent="0.25">
      <c r="A115" s="94">
        <v>115</v>
      </c>
      <c r="B115" s="97" t="s">
        <v>167</v>
      </c>
      <c r="C115" s="128">
        <v>380</v>
      </c>
      <c r="D115" s="102"/>
      <c r="E115" s="116"/>
      <c r="F115" s="99" t="s">
        <v>5</v>
      </c>
      <c r="G115" s="21">
        <f>IFERROR(IFERROR(INDEX(Кат!A:A,MATCH($B115,Кат!$G:$G,0)),INDEX(Торг!$B:$B,MATCH(#REF!,Торг!$I:$I,0))),"")</f>
        <v>139489</v>
      </c>
      <c r="H115" s="21">
        <f>IFERROR(IFERROR(INDEX(Кат!B:B,MATCH($B115,Кат!$G:$G,0)),INDEX(Торг!$B:$B,MATCH(#REF!,Торг!$I:$I,0))),"")</f>
        <v>24518</v>
      </c>
      <c r="I115" s="21" t="str">
        <f>IFERROR(IFERROR(INDEX(Кат!C:C,MATCH($B115,Кат!$G:$G,0)),INDEX(Торг!$B:$B,MATCH(#REF!,Торг!$I:$I,0))),"")</f>
        <v>Вольтметр в прикуриватель 4 в 1 (с функцией зарядного устройства USB)</v>
      </c>
    </row>
    <row r="116" spans="1:9" x14ac:dyDescent="0.25">
      <c r="A116" s="94">
        <v>116</v>
      </c>
      <c r="B116" s="97" t="s">
        <v>57</v>
      </c>
      <c r="C116" s="128">
        <v>330</v>
      </c>
      <c r="D116" s="102"/>
      <c r="E116" s="116"/>
      <c r="F116" s="99" t="s">
        <v>5</v>
      </c>
      <c r="G116" s="21">
        <f>IFERROR(IFERROR(INDEX(Кат!A:A,MATCH($B116,Кат!$G:$G,0)),INDEX(Торг!$B:$B,MATCH(#REF!,Торг!$I:$I,0))),"")</f>
        <v>131502</v>
      </c>
      <c r="H116" s="21">
        <f>IFERROR(IFERROR(INDEX(Кат!B:B,MATCH($B116,Кат!$G:$G,0)),INDEX(Торг!$B:$B,MATCH(#REF!,Торг!$I:$I,0))),"")</f>
        <v>24517</v>
      </c>
      <c r="I116" s="21" t="str">
        <f>IFERROR(IFERROR(INDEX(Кат!C:C,MATCH($B116,Кат!$G:$G,0)),INDEX(Торг!$B:$B,MATCH(#REF!,Торг!$I:$I,0))),"")</f>
        <v>Автомобильный цифровой вольтметр (в корпусе, диагональ 1,5 см)</v>
      </c>
    </row>
    <row r="117" spans="1:9" x14ac:dyDescent="0.25">
      <c r="A117" s="94">
        <v>117</v>
      </c>
      <c r="B117" s="97" t="s">
        <v>606</v>
      </c>
      <c r="C117" s="128">
        <v>1100</v>
      </c>
      <c r="D117" s="102"/>
      <c r="E117" s="116"/>
      <c r="F117" s="99" t="s">
        <v>5</v>
      </c>
      <c r="G117" s="21" t="str">
        <f>IFERROR(IFERROR(INDEX(Кат!A:A,MATCH($B117,Кат!$G:$G,0)),INDEX(Торг!$B:$B,MATCH(#REF!,Торг!$I:$I,0))),"")</f>
        <v/>
      </c>
      <c r="H117" s="21" t="str">
        <f>IFERROR(IFERROR(INDEX(Кат!B:B,MATCH($B117,Кат!$G:$G,0)),INDEX(Торг!$B:$B,MATCH(#REF!,Торг!$I:$I,0))),"")</f>
        <v/>
      </c>
      <c r="I117" s="21" t="str">
        <f>IFERROR(IFERROR(INDEX(Кат!C:C,MATCH($B117,Кат!$G:$G,0)),INDEX(Торг!$B:$B,MATCH(#REF!,Торг!$I:$I,0))),"")</f>
        <v/>
      </c>
    </row>
    <row r="118" spans="1:9" x14ac:dyDescent="0.25">
      <c r="A118" s="94">
        <v>118</v>
      </c>
      <c r="B118" s="97" t="s">
        <v>607</v>
      </c>
      <c r="C118" s="128">
        <v>1100</v>
      </c>
      <c r="D118" s="102"/>
      <c r="E118" s="116"/>
      <c r="F118" s="99" t="s">
        <v>5</v>
      </c>
      <c r="G118" s="21" t="str">
        <f>IFERROR(IFERROR(INDEX(Кат!A:A,MATCH($B118,Кат!$G:$G,0)),INDEX(Торг!$B:$B,MATCH(#REF!,Торг!$I:$I,0))),"")</f>
        <v/>
      </c>
      <c r="H118" s="21" t="str">
        <f>IFERROR(IFERROR(INDEX(Кат!B:B,MATCH($B118,Кат!$G:$G,0)),INDEX(Торг!$B:$B,MATCH(#REF!,Торг!$I:$I,0))),"")</f>
        <v/>
      </c>
      <c r="I118" s="21" t="str">
        <f>IFERROR(IFERROR(INDEX(Кат!C:C,MATCH($B118,Кат!$G:$G,0)),INDEX(Торг!$B:$B,MATCH(#REF!,Торг!$I:$I,0))),"")</f>
        <v/>
      </c>
    </row>
    <row r="119" spans="1:9" x14ac:dyDescent="0.25">
      <c r="A119" s="94">
        <v>119</v>
      </c>
      <c r="B119" s="97" t="s">
        <v>608</v>
      </c>
      <c r="C119" s="128">
        <v>1100</v>
      </c>
      <c r="D119" s="102"/>
      <c r="E119" s="116"/>
      <c r="F119" s="99" t="s">
        <v>5</v>
      </c>
      <c r="G119" s="21" t="str">
        <f>IFERROR(IFERROR(INDEX(Кат!A:A,MATCH($B119,Кат!$G:$G,0)),INDEX(Торг!$B:$B,MATCH(#REF!,Торг!$I:$I,0))),"")</f>
        <v/>
      </c>
      <c r="H119" s="21" t="str">
        <f>IFERROR(IFERROR(INDEX(Кат!B:B,MATCH($B119,Кат!$G:$G,0)),INDEX(Торг!$B:$B,MATCH(#REF!,Торг!$I:$I,0))),"")</f>
        <v/>
      </c>
      <c r="I119" s="21" t="str">
        <f>IFERROR(IFERROR(INDEX(Кат!C:C,MATCH($B119,Кат!$G:$G,0)),INDEX(Торг!$B:$B,MATCH(#REF!,Торг!$I:$I,0))),"")</f>
        <v/>
      </c>
    </row>
    <row r="120" spans="1:9" ht="25.5" x14ac:dyDescent="0.25">
      <c r="A120" s="94">
        <v>120</v>
      </c>
      <c r="B120" s="97" t="s">
        <v>609</v>
      </c>
      <c r="C120" s="128">
        <v>180</v>
      </c>
      <c r="D120" s="102"/>
      <c r="E120" s="116"/>
      <c r="F120" s="99"/>
      <c r="G120" s="21" t="str">
        <f>IFERROR(IFERROR(INDEX(Кат!A:A,MATCH($B120,Кат!$G:$G,0)),INDEX(Торг!$B:$B,MATCH(#REF!,Торг!$I:$I,0))),"")</f>
        <v/>
      </c>
      <c r="H120" s="21" t="str">
        <f>IFERROR(IFERROR(INDEX(Кат!B:B,MATCH($B120,Кат!$G:$G,0)),INDEX(Торг!$B:$B,MATCH(#REF!,Торг!$I:$I,0))),"")</f>
        <v/>
      </c>
      <c r="I120" s="21" t="str">
        <f>IFERROR(IFERROR(INDEX(Кат!C:C,MATCH($B120,Кат!$G:$G,0)),INDEX(Торг!$B:$B,MATCH(#REF!,Торг!$I:$I,0))),"")</f>
        <v/>
      </c>
    </row>
    <row r="121" spans="1:9" x14ac:dyDescent="0.25">
      <c r="A121" s="94">
        <v>121</v>
      </c>
      <c r="B121" s="97" t="s">
        <v>610</v>
      </c>
      <c r="C121" s="128">
        <v>180</v>
      </c>
      <c r="D121" s="102"/>
      <c r="E121" s="116"/>
      <c r="F121" s="99"/>
      <c r="G121" s="21" t="str">
        <f>IFERROR(IFERROR(INDEX(Кат!A:A,MATCH($B121,Кат!$G:$G,0)),INDEX(Торг!$B:$B,MATCH(#REF!,Торг!$I:$I,0))),"")</f>
        <v/>
      </c>
      <c r="H121" s="21" t="str">
        <f>IFERROR(IFERROR(INDEX(Кат!B:B,MATCH($B121,Кат!$G:$G,0)),INDEX(Торг!$B:$B,MATCH(#REF!,Торг!$I:$I,0))),"")</f>
        <v/>
      </c>
      <c r="I121" s="21" t="str">
        <f>IFERROR(IFERROR(INDEX(Кат!C:C,MATCH($B121,Кат!$G:$G,0)),INDEX(Торг!$B:$B,MATCH(#REF!,Торг!$I:$I,0))),"")</f>
        <v/>
      </c>
    </row>
    <row r="122" spans="1:9" x14ac:dyDescent="0.25">
      <c r="A122" s="94">
        <v>122</v>
      </c>
      <c r="B122" s="97" t="s">
        <v>58</v>
      </c>
      <c r="C122" s="133">
        <v>460</v>
      </c>
      <c r="D122" s="101"/>
      <c r="E122" s="116"/>
      <c r="F122" s="99" t="s">
        <v>5</v>
      </c>
      <c r="G122" s="21">
        <f>IFERROR(IFERROR(INDEX(Кат!A:A,MATCH($B122,Кат!$G:$G,0)),INDEX(Торг!$B:$B,MATCH(#REF!,Торг!$I:$I,0))),"")</f>
        <v>158253</v>
      </c>
      <c r="H122" s="21">
        <f>IFERROR(IFERROR(INDEX(Кат!B:B,MATCH($B122,Кат!$G:$G,0)),INDEX(Торг!$B:$B,MATCH(#REF!,Торг!$I:$I,0))),"")</f>
        <v>12758</v>
      </c>
      <c r="I122" s="21" t="str">
        <f>IFERROR(IFERROR(INDEX(Кат!C:C,MATCH($B122,Кат!$G:$G,0)),INDEX(Торг!$B:$B,MATCH(#REF!,Торг!$I:$I,0))),"")</f>
        <v>Коммутатор "ШТАТ" для ВАЗ 2108-21099, 2110-2112</v>
      </c>
    </row>
    <row r="123" spans="1:9" x14ac:dyDescent="0.25">
      <c r="A123" s="94">
        <v>123</v>
      </c>
      <c r="B123" s="97" t="s">
        <v>59</v>
      </c>
      <c r="C123" s="133">
        <v>460</v>
      </c>
      <c r="D123" s="101"/>
      <c r="E123" s="116"/>
      <c r="F123" s="99" t="s">
        <v>5</v>
      </c>
      <c r="G123" s="21">
        <f>IFERROR(IFERROR(INDEX(Кат!A:A,MATCH($B123,Кат!$G:$G,0)),INDEX(Торг!$B:$B,MATCH(#REF!,Торг!$I:$I,0))),"")</f>
        <v>158250</v>
      </c>
      <c r="H123" s="21">
        <f>IFERROR(IFERROR(INDEX(Кат!B:B,MATCH($B123,Кат!$G:$G,0)),INDEX(Торг!$B:$B,MATCH(#REF!,Торг!$I:$I,0))),"")</f>
        <v>24520</v>
      </c>
      <c r="I123" s="21" t="str">
        <f>IFERROR(IFERROR(INDEX(Кат!C:C,MATCH($B123,Кат!$G:$G,0)),INDEX(Торг!$B:$B,MATCH(#REF!,Торг!$I:$I,0))),"")</f>
        <v>Коммутатор "ШТАТ" электронный (плазменный запуск) для ВАЗ 2108, 2109, 2110</v>
      </c>
    </row>
    <row r="124" spans="1:9" x14ac:dyDescent="0.25">
      <c r="A124" s="94">
        <v>124</v>
      </c>
      <c r="B124" s="97" t="s">
        <v>60</v>
      </c>
      <c r="C124" s="133">
        <v>370</v>
      </c>
      <c r="D124" s="101"/>
      <c r="E124" s="116"/>
      <c r="F124" s="99" t="s">
        <v>5</v>
      </c>
      <c r="G124" s="21">
        <f>IFERROR(IFERROR(INDEX(Кат!A:A,MATCH($B124,Кат!$G:$G,0)),INDEX(Торг!$B:$B,MATCH(#REF!,Торг!$I:$I,0))),"")</f>
        <v>158251</v>
      </c>
      <c r="H124" s="21">
        <f>IFERROR(IFERROR(INDEX(Кат!B:B,MATCH($B124,Кат!$G:$G,0)),INDEX(Торг!$B:$B,MATCH(#REF!,Торг!$I:$I,0))),"")</f>
        <v>24521</v>
      </c>
      <c r="I124" s="21" t="str">
        <f>IFERROR(IFERROR(INDEX(Кат!C:C,MATCH($B124,Кат!$G:$G,0)),INDEX(Торг!$B:$B,MATCH(#REF!,Торг!$I:$I,0))),"")</f>
        <v>Коммутатор "ШТАТ" электронный для ВАЗ 2108, 2109, 2110</v>
      </c>
    </row>
    <row r="125" spans="1:9" x14ac:dyDescent="0.25">
      <c r="A125" s="94">
        <v>125</v>
      </c>
      <c r="B125" s="97" t="s">
        <v>61</v>
      </c>
      <c r="C125" s="133">
        <v>460</v>
      </c>
      <c r="D125" s="101"/>
      <c r="E125" s="116"/>
      <c r="F125" s="99" t="s">
        <v>5</v>
      </c>
      <c r="G125" s="21">
        <f>IFERROR(IFERROR(INDEX(Кат!A:A,MATCH($B125,Кат!$G:$G,0)),INDEX(Торг!$B:$B,MATCH(#REF!,Торг!$I:$I,0))),"")</f>
        <v>158249</v>
      </c>
      <c r="H125" s="21">
        <f>IFERROR(IFERROR(INDEX(Кат!B:B,MATCH($B125,Кат!$G:$G,0)),INDEX(Торг!$B:$B,MATCH(#REF!,Торг!$I:$I,0))),"")</f>
        <v>24522</v>
      </c>
      <c r="I125" s="21" t="str">
        <f>IFERROR(IFERROR(INDEX(Кат!C:C,MATCH($B125,Кат!$G:$G,0)),INDEX(Торг!$B:$B,MATCH(#REF!,Торг!$I:$I,0))),"")</f>
        <v>Коммутатор "ШТАТ" электронный для Лада Ока</v>
      </c>
    </row>
    <row r="126" spans="1:9" x14ac:dyDescent="0.25">
      <c r="A126" s="94">
        <v>126</v>
      </c>
      <c r="B126" s="97" t="s">
        <v>611</v>
      </c>
      <c r="C126" s="128">
        <v>1500</v>
      </c>
      <c r="D126" s="101"/>
      <c r="E126" s="116"/>
      <c r="F126" s="99" t="s">
        <v>5</v>
      </c>
      <c r="G126" s="21" t="str">
        <f>IFERROR(IFERROR(INDEX(Кат!A:A,MATCH($B126,Кат!$G:$G,0)),INDEX(Торг!$B:$B,MATCH(#REF!,Торг!$I:$I,0))),"")</f>
        <v/>
      </c>
      <c r="H126" s="21" t="str">
        <f>IFERROR(IFERROR(INDEX(Кат!B:B,MATCH($B126,Кат!$G:$G,0)),INDEX(Торг!$B:$B,MATCH(#REF!,Торг!$I:$I,0))),"")</f>
        <v/>
      </c>
      <c r="I126" s="21" t="str">
        <f>IFERROR(IFERROR(INDEX(Кат!C:C,MATCH($B126,Кат!$G:$G,0)),INDEX(Торг!$B:$B,MATCH(#REF!,Торг!$I:$I,0))),"")</f>
        <v/>
      </c>
    </row>
    <row r="127" spans="1:9" x14ac:dyDescent="0.25">
      <c r="A127" s="94">
        <v>127</v>
      </c>
      <c r="B127" s="107" t="s">
        <v>62</v>
      </c>
      <c r="C127" s="128">
        <v>1850</v>
      </c>
      <c r="D127" s="101" t="s">
        <v>432</v>
      </c>
      <c r="E127" s="116"/>
      <c r="F127" s="99" t="s">
        <v>5</v>
      </c>
      <c r="G127" s="21">
        <f>IFERROR(IFERROR(INDEX(Кат!A:A,MATCH($B127,Кат!$G:$G,0)),INDEX(Торг!$B:$B,MATCH(#REF!,Торг!$I:$I,0))),"")</f>
        <v>138673</v>
      </c>
      <c r="H127" s="21">
        <f>IFERROR(IFERROR(INDEX(Кат!B:B,MATCH($B127,Кат!$G:$G,0)),INDEX(Торг!$B:$B,MATCH(#REF!,Торг!$I:$I,0))),"")</f>
        <v>7030</v>
      </c>
      <c r="I127" s="21" t="str">
        <f>IFERROR(IFERROR(INDEX(Кат!C:C,MATCH($B127,Кат!$G:$G,0)),INDEX(Торг!$B:$B,MATCH(#REF!,Торг!$I:$I,0))),"")</f>
        <v>Бортовой компьютер Multitronics ux-7 на Lada и Niva Chevrolet</v>
      </c>
    </row>
    <row r="128" spans="1:9" x14ac:dyDescent="0.25">
      <c r="A128" s="94">
        <v>128</v>
      </c>
      <c r="B128" s="107" t="s">
        <v>864</v>
      </c>
      <c r="C128" s="128">
        <v>1700</v>
      </c>
      <c r="D128" s="137" t="s">
        <v>56</v>
      </c>
      <c r="E128" s="116"/>
      <c r="F128" s="99" t="s">
        <v>5</v>
      </c>
      <c r="G128" s="21">
        <f>IFERROR(IFERROR(INDEX(Кат!A:A,MATCH($B128,Кат!$G:$G,0)),INDEX(Торг!$B:$B,MATCH(#REF!,Торг!$I:$I,0))),"")</f>
        <v>323314</v>
      </c>
      <c r="H128" s="21">
        <f>IFERROR(IFERROR(INDEX(Кат!B:B,MATCH($B128,Кат!$G:$G,0)),INDEX(Торг!$B:$B,MATCH(#REF!,Торг!$I:$I,0))),"")</f>
        <v>323314</v>
      </c>
      <c r="I128" s="21" t="str">
        <f>IFERROR(IFERROR(INDEX(Кат!C:C,MATCH($B128,Кат!$G:$G,0)),INDEX(Торг!$B:$B,MATCH(#REF!,Торг!$I:$I,0))),"")</f>
        <v>Бортовой компьютер "Multitronics" UX-8 для ВАЗ (2110-2112, 2113-2115), Лада (Калина, Калина 2, Гранта, Приора, Приора 2, Нива Travel), Шевроле Нива, Datsun (mi-DO, on-DO)</v>
      </c>
    </row>
    <row r="129" spans="1:11" x14ac:dyDescent="0.25">
      <c r="A129" s="94">
        <v>129</v>
      </c>
      <c r="B129" s="107" t="s">
        <v>612</v>
      </c>
      <c r="C129" s="128">
        <v>1700</v>
      </c>
      <c r="D129" s="101"/>
      <c r="E129" s="116"/>
      <c r="F129" s="99" t="s">
        <v>5</v>
      </c>
      <c r="G129" s="21">
        <f>IFERROR(IFERROR(INDEX(Кат!A:A,MATCH($B129,Кат!$G:$G,0)),INDEX(Торг!$B:$B,MATCH(#REF!,Торг!$I:$I,0))),"")</f>
        <v>138664</v>
      </c>
      <c r="H129" s="21">
        <f>IFERROR(IFERROR(INDEX(Кат!B:B,MATCH($B129,Кат!$G:$G,0)),INDEX(Торг!$B:$B,MATCH(#REF!,Торг!$I:$I,0))),"")</f>
        <v>7083</v>
      </c>
      <c r="I129" s="21" t="str">
        <f>IFERROR(IFERROR(INDEX(Кат!C:C,MATCH($B129,Кат!$G:$G,0)),INDEX(Торг!$B:$B,MATCH(#REF!,Торг!$I:$I,0))),"")</f>
        <v>Бортовой компьютер Multitronics Di15g на автомобили ГАЗ и UAZ</v>
      </c>
    </row>
    <row r="130" spans="1:11" x14ac:dyDescent="0.25">
      <c r="A130" s="94">
        <v>130</v>
      </c>
      <c r="B130" s="107" t="s">
        <v>865</v>
      </c>
      <c r="C130" s="128">
        <v>6300</v>
      </c>
      <c r="D130" s="101"/>
      <c r="E130" s="116"/>
      <c r="F130" s="99" t="s">
        <v>5</v>
      </c>
      <c r="G130" s="21">
        <f>IFERROR(IFERROR(INDEX(Кат!A:A,MATCH($B130,Кат!$G:$G,0)),INDEX(Торг!$B:$B,MATCH(#REF!,Торг!$I:$I,0))),"")</f>
        <v>138665</v>
      </c>
      <c r="H130" s="21">
        <f>IFERROR(IFERROR(INDEX(Кат!B:B,MATCH($B130,Кат!$G:$G,0)),INDEX(Торг!$B:$B,MATCH(#REF!,Торг!$I:$I,0))),"")</f>
        <v>7019</v>
      </c>
      <c r="I130" s="21" t="str">
        <f>IFERROR(IFERROR(INDEX(Кат!C:C,MATCH($B130,Кат!$G:$G,0)),INDEX(Торг!$B:$B,MATCH(#REF!,Торг!$I:$I,0))),"")</f>
        <v>Бортовой компьютер Multitronics MPC-800 автономный на Lada и иномарки</v>
      </c>
    </row>
    <row r="131" spans="1:11" x14ac:dyDescent="0.25">
      <c r="A131" s="94">
        <v>131</v>
      </c>
      <c r="B131" s="107" t="s">
        <v>64</v>
      </c>
      <c r="C131" s="128">
        <v>12000</v>
      </c>
      <c r="D131" s="104"/>
      <c r="E131" s="116"/>
      <c r="F131" s="99" t="s">
        <v>5</v>
      </c>
      <c r="G131" s="21">
        <f>IFERROR(IFERROR(INDEX(Кат!A:A,MATCH($B131,Кат!$G:$G,0)),INDEX(Торг!$B:$B,MATCH(#REF!,Торг!$I:$I,0))),"")</f>
        <v>138632</v>
      </c>
      <c r="H131" s="21">
        <f>IFERROR(IFERROR(INDEX(Кат!B:B,MATCH($B131,Кат!$G:$G,0)),INDEX(Торг!$B:$B,MATCH(#REF!,Торг!$I:$I,0))),"")</f>
        <v>24523</v>
      </c>
      <c r="I131" s="21" t="str">
        <f>IFERROR(IFERROR(INDEX(Кат!C:C,MATCH($B131,Кат!$G:$G,0)),INDEX(Торг!$B:$B,MATCH(#REF!,Торг!$I:$I,0))),"")</f>
        <v>Бортовой компьютер "Multitronics" C-900</v>
      </c>
    </row>
    <row r="132" spans="1:11" x14ac:dyDescent="0.25">
      <c r="A132" s="94">
        <v>132</v>
      </c>
      <c r="B132" s="107" t="s">
        <v>65</v>
      </c>
      <c r="C132" s="128">
        <v>10800</v>
      </c>
      <c r="D132" s="101"/>
      <c r="E132" s="116"/>
      <c r="F132" s="99" t="s">
        <v>5</v>
      </c>
      <c r="G132" s="21">
        <f>IFERROR(IFERROR(INDEX(Кат!A:A,MATCH($B132,Кат!$G:$G,0)),INDEX(Торг!$B:$B,MATCH(#REF!,Торг!$I:$I,0))),"")</f>
        <v>138666</v>
      </c>
      <c r="H132" s="21">
        <f>IFERROR(IFERROR(INDEX(Кат!B:B,MATCH($B132,Кат!$G:$G,0)),INDEX(Торг!$B:$B,MATCH(#REF!,Торг!$I:$I,0))),"")</f>
        <v>7012</v>
      </c>
      <c r="I132" s="21" t="str">
        <f>IFERROR(IFERROR(INDEX(Кат!C:C,MATCH($B132,Кат!$G:$G,0)),INDEX(Торг!$B:$B,MATCH(#REF!,Торг!$I:$I,0))),"")</f>
        <v>Бортовой компьютер Multitronics RC-700 на Lada и иномарки</v>
      </c>
    </row>
    <row r="133" spans="1:11" x14ac:dyDescent="0.25">
      <c r="A133" s="94">
        <v>133</v>
      </c>
      <c r="B133" s="107" t="s">
        <v>66</v>
      </c>
      <c r="C133" s="128">
        <v>5700</v>
      </c>
      <c r="D133" s="101"/>
      <c r="E133" s="116"/>
      <c r="F133" s="99" t="s">
        <v>5</v>
      </c>
      <c r="G133" s="21">
        <f>IFERROR(IFERROR(INDEX(Кат!A:A,MATCH($B133,Кат!$G:$G,0)),INDEX(Торг!$B:$B,MATCH(#REF!,Торг!$I:$I,0))),"")</f>
        <v>138633</v>
      </c>
      <c r="H133" s="21">
        <f>IFERROR(IFERROR(INDEX(Кат!B:B,MATCH($B133,Кат!$G:$G,0)),INDEX(Торг!$B:$B,MATCH(#REF!,Торг!$I:$I,0))),"")</f>
        <v>7018</v>
      </c>
      <c r="I133" s="21" t="str">
        <f>IFERROR(IFERROR(INDEX(Кат!C:C,MATCH($B133,Кат!$G:$G,0)),INDEX(Торг!$B:$B,MATCH(#REF!,Торг!$I:$I,0))),"")</f>
        <v>Бортовой компьютер "Multitronics" SL-50V</v>
      </c>
    </row>
    <row r="134" spans="1:11" x14ac:dyDescent="0.25">
      <c r="A134" s="94">
        <v>134</v>
      </c>
      <c r="B134" s="107" t="s">
        <v>866</v>
      </c>
      <c r="C134" s="128">
        <v>7200</v>
      </c>
      <c r="D134" s="101"/>
      <c r="E134" s="116"/>
      <c r="F134" s="99" t="s">
        <v>5</v>
      </c>
      <c r="G134" s="21">
        <f>IFERROR(IFERROR(INDEX(Кат!A:A,MATCH($B134,Кат!$G:$G,0)),INDEX(Торг!$B:$B,MATCH(#REF!,Торг!$I:$I,0))),"")</f>
        <v>138674</v>
      </c>
      <c r="H134" s="21">
        <f>IFERROR(IFERROR(INDEX(Кат!B:B,MATCH($B134,Кат!$G:$G,0)),INDEX(Торг!$B:$B,MATCH(#REF!,Торг!$I:$I,0))),"")</f>
        <v>7011</v>
      </c>
      <c r="I134" s="21" t="str">
        <f>IFERROR(IFERROR(INDEX(Кат!C:C,MATCH($B134,Кат!$G:$G,0)),INDEX(Торг!$B:$B,MATCH(#REF!,Торг!$I:$I,0))),"")</f>
        <v>Бортовой компьютер Multitronics VC730 на Lada и иномарки</v>
      </c>
    </row>
    <row r="135" spans="1:11" x14ac:dyDescent="0.25">
      <c r="A135" s="94">
        <v>135</v>
      </c>
      <c r="B135" s="107" t="s">
        <v>613</v>
      </c>
      <c r="C135" s="128">
        <v>8400</v>
      </c>
      <c r="D135" s="101"/>
      <c r="E135" s="116"/>
      <c r="F135" s="99" t="s">
        <v>5</v>
      </c>
      <c r="G135" s="21">
        <f>IFERROR(IFERROR(INDEX(Кат!A:A,MATCH($B135,Кат!$G:$G,0)),INDEX(Торг!$B:$B,MATCH(#REF!,Торг!$I:$I,0))),"")</f>
        <v>138675</v>
      </c>
      <c r="H135" s="21">
        <f>IFERROR(IFERROR(INDEX(Кат!B:B,MATCH($B135,Кат!$G:$G,0)),INDEX(Торг!$B:$B,MATCH(#REF!,Торг!$I:$I,0))),"")</f>
        <v>7010</v>
      </c>
      <c r="I135" s="21" t="str">
        <f>IFERROR(IFERROR(INDEX(Кат!C:C,MATCH($B135,Кат!$G:$G,0)),INDEX(Торг!$B:$B,MATCH(#REF!,Торг!$I:$I,0))),"")</f>
        <v>Бортовой компьютер Multitronics VC731 на Lada и иномарки</v>
      </c>
    </row>
    <row r="136" spans="1:11" x14ac:dyDescent="0.25">
      <c r="A136" s="94">
        <v>136</v>
      </c>
      <c r="B136" s="107" t="s">
        <v>867</v>
      </c>
      <c r="C136" s="128">
        <v>7800</v>
      </c>
      <c r="D136" s="101"/>
      <c r="E136" s="116"/>
      <c r="F136" s="99" t="s">
        <v>5</v>
      </c>
      <c r="G136" s="21">
        <f>IFERROR(IFERROR(INDEX(Кат!A:A,MATCH($B136,Кат!$G:$G,0)),INDEX(Торг!$B:$B,MATCH(#REF!,Торг!$I:$I,0))),"")</f>
        <v>138671</v>
      </c>
      <c r="H136" s="21">
        <f>IFERROR(IFERROR(INDEX(Кат!B:B,MATCH($B136,Кат!$G:$G,0)),INDEX(Торг!$B:$B,MATCH(#REF!,Торг!$I:$I,0))),"")</f>
        <v>7008</v>
      </c>
      <c r="I136" s="21" t="str">
        <f>IFERROR(IFERROR(INDEX(Кат!C:C,MATCH($B136,Кат!$G:$G,0)),INDEX(Торг!$B:$B,MATCH(#REF!,Торг!$I:$I,0))),"")</f>
        <v>Бортовой компьютер Multitronics TC740 на Lada и иномарки</v>
      </c>
    </row>
    <row r="137" spans="1:11" x14ac:dyDescent="0.25">
      <c r="A137" s="94">
        <v>137</v>
      </c>
      <c r="B137" s="107" t="s">
        <v>868</v>
      </c>
      <c r="C137" s="128">
        <v>8900</v>
      </c>
      <c r="D137" s="101"/>
      <c r="E137" s="116"/>
      <c r="F137" s="99" t="s">
        <v>5</v>
      </c>
      <c r="G137" s="21">
        <f>IFERROR(IFERROR(INDEX(Кат!A:A,MATCH($B137,Кат!$G:$G,0)),INDEX(Торг!$B:$B,MATCH(#REF!,Торг!$I:$I,0))),"")</f>
        <v>138672</v>
      </c>
      <c r="H137" s="21">
        <f>IFERROR(IFERROR(INDEX(Кат!B:B,MATCH($B137,Кат!$G:$G,0)),INDEX(Торг!$B:$B,MATCH(#REF!,Торг!$I:$I,0))),"")</f>
        <v>7007</v>
      </c>
      <c r="I137" s="21" t="str">
        <f>IFERROR(IFERROR(INDEX(Кат!C:C,MATCH($B137,Кат!$G:$G,0)),INDEX(Торг!$B:$B,MATCH(#REF!,Торг!$I:$I,0))),"")</f>
        <v>Бортовой компьютер Multitronics TC750 на Lada и иномарки</v>
      </c>
    </row>
    <row r="138" spans="1:11" x14ac:dyDescent="0.25">
      <c r="A138" s="94">
        <v>138</v>
      </c>
      <c r="B138" s="107" t="s">
        <v>614</v>
      </c>
      <c r="C138" s="130">
        <v>7500</v>
      </c>
      <c r="D138" s="140"/>
      <c r="E138" s="116"/>
      <c r="F138" s="99" t="s">
        <v>5</v>
      </c>
      <c r="G138" s="21">
        <f>IFERROR(IFERROR(INDEX(Кат!A:A,MATCH($B138,Кат!$G:$G,0)),INDEX(Торг!$B:$B,MATCH(#REF!,Торг!$I:$I,0))),"")</f>
        <v>319528</v>
      </c>
      <c r="H138" s="21">
        <f>IFERROR(IFERROR(INDEX(Кат!B:B,MATCH($B138,Кат!$G:$G,0)),INDEX(Торг!$B:$B,MATCH(#REF!,Торг!$I:$I,0))),"")</f>
        <v>319528</v>
      </c>
      <c r="I138" s="21" t="str">
        <f>IFERROR(IFERROR(INDEX(Кат!C:C,MATCH($B138,Кат!$G:$G,0)),INDEX(Торг!$B:$B,MATCH(#REF!,Торг!$I:$I,0))),"")</f>
        <v>Бортовой компьютер "Multitronics" C-575 для Лада Нива Travel, Шевроле Нива</v>
      </c>
    </row>
    <row r="139" spans="1:11" x14ac:dyDescent="0.25">
      <c r="A139" s="94">
        <v>139</v>
      </c>
      <c r="B139" s="107" t="s">
        <v>615</v>
      </c>
      <c r="C139" s="130">
        <v>6600</v>
      </c>
      <c r="D139" s="140"/>
      <c r="E139" s="116"/>
      <c r="F139" s="99" t="s">
        <v>5</v>
      </c>
      <c r="G139" s="21" t="str">
        <f>IFERROR(IFERROR(INDEX(Кат!A:A,MATCH($B139,Кат!$G:$G,0)),INDEX(Торг!$B:$B,MATCH(#REF!,Торг!$I:$I,0))),"")</f>
        <v/>
      </c>
      <c r="H139" s="21" t="str">
        <f>IFERROR(IFERROR(INDEX(Кат!B:B,MATCH($B139,Кат!$G:$G,0)),INDEX(Торг!$B:$B,MATCH(#REF!,Торг!$I:$I,0))),"")</f>
        <v/>
      </c>
      <c r="I139" s="21" t="str">
        <f>IFERROR(IFERROR(INDEX(Кат!C:C,MATCH($B139,Кат!$G:$G,0)),INDEX(Торг!$B:$B,MATCH(#REF!,Торг!$I:$I,0))),"")</f>
        <v/>
      </c>
    </row>
    <row r="140" spans="1:11" ht="25.5" x14ac:dyDescent="0.25">
      <c r="A140" s="94">
        <v>140</v>
      </c>
      <c r="B140" s="107" t="s">
        <v>869</v>
      </c>
      <c r="C140" s="130">
        <v>7200</v>
      </c>
      <c r="D140" s="101"/>
      <c r="E140" s="116"/>
      <c r="F140" s="99" t="s">
        <v>5</v>
      </c>
      <c r="G140" s="21">
        <f>IFERROR(IFERROR(INDEX(Кат!A:A,MATCH($B140,Кат!$G:$G,0)),INDEX(Торг!$B:$B,MATCH(#REF!,Торг!$I:$I,0))),"")</f>
        <v>138653</v>
      </c>
      <c r="H140" s="21">
        <f>IFERROR(IFERROR(INDEX(Кат!B:B,MATCH($B140,Кат!$G:$G,0)),INDEX(Торг!$B:$B,MATCH(#REF!,Торг!$I:$I,0))),"")</f>
        <v>7080</v>
      </c>
      <c r="I140" s="21" t="str">
        <f>IFERROR(IFERROR(INDEX(Кат!C:C,MATCH($B140,Кат!$G:$G,0)),INDEX(Торг!$B:$B,MATCH(#REF!,Торг!$I:$I,0))),"")</f>
        <v>Бортовой компьютер Multitronics C-580 на UAZ Patriot</v>
      </c>
    </row>
    <row r="141" spans="1:11" ht="25.5" x14ac:dyDescent="0.25">
      <c r="A141" s="94">
        <v>141</v>
      </c>
      <c r="B141" s="107" t="s">
        <v>870</v>
      </c>
      <c r="C141" s="130">
        <v>6600</v>
      </c>
      <c r="D141" s="101"/>
      <c r="E141" s="116"/>
      <c r="F141" s="99" t="s">
        <v>5</v>
      </c>
      <c r="G141" s="21">
        <f>IFERROR(IFERROR(INDEX(Кат!A:A,MATCH($B141,Кат!$G:$G,0)),INDEX(Торг!$B:$B,MATCH(#REF!,Торг!$I:$I,0))),"")</f>
        <v>138659</v>
      </c>
      <c r="H141" s="21">
        <f>IFERROR(IFERROR(INDEX(Кат!B:B,MATCH($B141,Кат!$G:$G,0)),INDEX(Торг!$B:$B,MATCH(#REF!,Торг!$I:$I,0))),"")</f>
        <v>7081</v>
      </c>
      <c r="I141" s="21" t="str">
        <f>IFERROR(IFERROR(INDEX(Кат!C:C,MATCH($B141,Кат!$G:$G,0)),INDEX(Торг!$B:$B,MATCH(#REF!,Торг!$I:$I,0))),"")</f>
        <v>Бортовой компьютер Multitronics CL-580 на UAZ Patriot</v>
      </c>
    </row>
    <row r="142" spans="1:11" ht="25.5" x14ac:dyDescent="0.25">
      <c r="A142" s="94">
        <v>142</v>
      </c>
      <c r="B142" s="107" t="s">
        <v>871</v>
      </c>
      <c r="C142" s="130">
        <v>6800</v>
      </c>
      <c r="D142" s="101"/>
      <c r="E142" s="116"/>
      <c r="F142" s="99" t="s">
        <v>5</v>
      </c>
      <c r="G142" s="21">
        <f>IFERROR(IFERROR(INDEX(Кат!A:A,MATCH($B142,Кат!$G:$G,0)),INDEX(Торг!$B:$B,MATCH(#REF!,Торг!$I:$I,0))),"")</f>
        <v>138660</v>
      </c>
      <c r="H142" s="21">
        <f>IFERROR(IFERROR(INDEX(Кат!B:B,MATCH($B142,Кат!$G:$G,0)),INDEX(Торг!$B:$B,MATCH(#REF!,Торг!$I:$I,0))),"")</f>
        <v>7044</v>
      </c>
      <c r="I142" s="21" t="str">
        <f>IFERROR(IFERROR(INDEX(Кат!C:C,MATCH($B142,Кат!$G:$G,0)),INDEX(Торг!$B:$B,MATCH(#REF!,Торг!$I:$I,0))),"")</f>
        <v>Бортовой компьютер Multitronics CL-590 на Lada Granta, Largus, Nissan, ГАЗ</v>
      </c>
      <c r="K142" s="23" t="s">
        <v>660</v>
      </c>
    </row>
    <row r="143" spans="1:11" ht="25.5" x14ac:dyDescent="0.25">
      <c r="A143" s="94">
        <v>143</v>
      </c>
      <c r="B143" s="107" t="s">
        <v>872</v>
      </c>
      <c r="C143" s="130">
        <v>6100</v>
      </c>
      <c r="D143" s="101"/>
      <c r="E143" s="116"/>
      <c r="F143" s="99" t="s">
        <v>5</v>
      </c>
      <c r="G143" s="21" t="str">
        <f>IFERROR(IFERROR(INDEX(Кат!A:A,MATCH($B143,Кат!$G:$G,0)),INDEX(Торг!$B:$B,MATCH(#REF!,Торг!$I:$I,0))),"")</f>
        <v/>
      </c>
      <c r="H143" s="21" t="str">
        <f>IFERROR(IFERROR(INDEX(Кат!B:B,MATCH($B143,Кат!$G:$G,0)),INDEX(Торг!$B:$B,MATCH(#REF!,Торг!$I:$I,0))),"")</f>
        <v/>
      </c>
      <c r="I143" s="21" t="str">
        <f>IFERROR(IFERROR(INDEX(Кат!C:C,MATCH($B143,Кат!$G:$G,0)),INDEX(Торг!$B:$B,MATCH(#REF!,Торг!$I:$I,0))),"")</f>
        <v/>
      </c>
      <c r="K143" s="23"/>
    </row>
    <row r="144" spans="1:11" ht="25.5" x14ac:dyDescent="0.25">
      <c r="A144" s="94">
        <v>144</v>
      </c>
      <c r="B144" s="107" t="s">
        <v>616</v>
      </c>
      <c r="C144" s="145">
        <v>1900</v>
      </c>
      <c r="D144" s="108"/>
      <c r="E144" s="116"/>
      <c r="F144" s="99" t="s">
        <v>5</v>
      </c>
      <c r="G144" s="21">
        <f>IFERROR(IFERROR(INDEX(Кат!A:A,MATCH($B144,Кат!$G:$G,0)),INDEX(Торг!$B:$B,MATCH(#REF!,Торг!$I:$I,0))),"")</f>
        <v>258923</v>
      </c>
      <c r="H144" s="21">
        <f>IFERROR(IFERROR(INDEX(Кат!B:B,MATCH($B144,Кат!$G:$G,0)),INDEX(Торг!$B:$B,MATCH(#REF!,Торг!$I:$I,0))),"")</f>
        <v>208653</v>
      </c>
      <c r="I144" s="21" t="str">
        <f>IFERROR(IFERROR(INDEX(Кат!C:C,MATCH($B144,Кат!$G:$G,0)),INDEX(Торг!$B:$B,MATCH(#REF!,Торг!$I:$I,0))),"")</f>
        <v>Модуль автоматического контроллера стеклоподъемников "АПЭЛ" МАКС-2 для Лада Калина</v>
      </c>
    </row>
    <row r="145" spans="1:11" ht="25.5" x14ac:dyDescent="0.25">
      <c r="A145" s="94">
        <v>145</v>
      </c>
      <c r="B145" s="97" t="s">
        <v>152</v>
      </c>
      <c r="C145" s="133">
        <v>1380</v>
      </c>
      <c r="D145" s="101"/>
      <c r="E145" s="116"/>
      <c r="F145" s="99" t="s">
        <v>5</v>
      </c>
      <c r="G145" s="21">
        <f>IFERROR(IFERROR(INDEX(Кат!A:A,MATCH($B145,Кат!$G:$G,0)),INDEX(Торг!$B:$B,MATCH(#REF!,Торг!$I:$I,0))),"")</f>
        <v>164009</v>
      </c>
      <c r="H145" s="21">
        <f>IFERROR(IFERROR(INDEX(Кат!B:B,MATCH($B145,Кат!$G:$G,0)),INDEX(Торг!$B:$B,MATCH(#REF!,Торг!$I:$I,0))),"")</f>
        <v>7220</v>
      </c>
      <c r="I145" s="21" t="str">
        <f>IFERROR(IFERROR(INDEX(Кат!C:C,MATCH($B145,Кат!$G:$G,0)),INDEX(Торг!$B:$B,MATCH(#REF!,Торг!$I:$I,0))),"")</f>
        <v>Модуль автоматического контроллера стеклоподъемников «МАКС-2»</v>
      </c>
    </row>
    <row r="146" spans="1:11" ht="25.5" x14ac:dyDescent="0.25">
      <c r="A146" s="94">
        <v>146</v>
      </c>
      <c r="B146" s="97" t="s">
        <v>400</v>
      </c>
      <c r="C146" s="133">
        <v>2550</v>
      </c>
      <c r="D146" s="102"/>
      <c r="E146" s="116"/>
      <c r="F146" s="99" t="s">
        <v>5</v>
      </c>
      <c r="G146" s="21">
        <f>IFERROR(IFERROR(INDEX(Кат!A:A,MATCH($B146,Кат!$G:$G,0)),INDEX(Торг!$B:$B,MATCH(#REF!,Торг!$I:$I,0))),"")</f>
        <v>164008</v>
      </c>
      <c r="H146" s="21">
        <f>IFERROR(IFERROR(INDEX(Кат!B:B,MATCH($B146,Кат!$G:$G,0)),INDEX(Торг!$B:$B,MATCH(#REF!,Торг!$I:$I,0))),"")</f>
        <v>20283</v>
      </c>
      <c r="I146" s="21" t="str">
        <f>IFERROR(IFERROR(INDEX(Кат!C:C,MATCH($B146,Кат!$G:$G,0)),INDEX(Торг!$B:$B,MATCH(#REF!,Торг!$I:$I,0))),"")</f>
        <v>Модуль автоматического контроллера стеклоподъёмников "МАКС-2" для Лада Веста</v>
      </c>
      <c r="K146" s="23" t="s">
        <v>664</v>
      </c>
    </row>
    <row r="147" spans="1:11" ht="25.5" x14ac:dyDescent="0.25">
      <c r="A147" s="94">
        <v>147</v>
      </c>
      <c r="B147" s="97" t="s">
        <v>401</v>
      </c>
      <c r="C147" s="133">
        <v>3600</v>
      </c>
      <c r="D147" s="102"/>
      <c r="E147" s="116"/>
      <c r="F147" s="99"/>
      <c r="G147" s="21">
        <f>IFERROR(IFERROR(INDEX(Кат!A:A,MATCH($B147,Кат!$G:$G,0)),INDEX(Торг!$B:$B,MATCH(#REF!,Торг!$I:$I,0))),"")</f>
        <v>158690</v>
      </c>
      <c r="H147" s="21">
        <f>IFERROR(IFERROR(INDEX(Кат!B:B,MATCH($B147,Кат!$G:$G,0)),INDEX(Торг!$B:$B,MATCH(#REF!,Торг!$I:$I,0))),"")</f>
        <v>31512</v>
      </c>
      <c r="I147" s="21" t="str">
        <f>IFERROR(IFERROR(INDEX(Кат!C:C,MATCH($B147,Кат!$G:$G,0)),INDEX(Торг!$B:$B,MATCH(#REF!,Торг!$I:$I,0))),"")</f>
        <v>Комплект модулей МАКС-2 на 4 двери для Лада Веста</v>
      </c>
      <c r="K147" s="23" t="s">
        <v>665</v>
      </c>
    </row>
    <row r="148" spans="1:11" ht="25.5" x14ac:dyDescent="0.25">
      <c r="A148" s="94">
        <v>148</v>
      </c>
      <c r="B148" s="97" t="s">
        <v>449</v>
      </c>
      <c r="C148" s="133">
        <v>2100</v>
      </c>
      <c r="D148" s="102"/>
      <c r="E148" s="116"/>
      <c r="F148" s="99"/>
      <c r="G148" s="21">
        <f>IFERROR(IFERROR(INDEX(Кат!A:A,MATCH($B148,Кат!$G:$G,0)),INDEX(Торг!$B:$B,MATCH(#REF!,Торг!$I:$I,0))),"")</f>
        <v>258922</v>
      </c>
      <c r="H148" s="21">
        <f>IFERROR(IFERROR(INDEX(Кат!B:B,MATCH($B148,Кат!$G:$G,0)),INDEX(Торг!$B:$B,MATCH(#REF!,Торг!$I:$I,0))),"")</f>
        <v>208679</v>
      </c>
      <c r="I148" s="21" t="str">
        <f>IFERROR(IFERROR(INDEX(Кат!C:C,MATCH($B148,Кат!$G:$G,0)),INDEX(Торг!$B:$B,MATCH(#REF!,Торг!$I:$I,0))),"")</f>
        <v>Модуль автоматического контроллера стеклоподъёмников "АПЭЛ" МАКС-2 для Лада (Ларгус FL, XRAY), Renault (Clio, Duster, Logan, Sandero)</v>
      </c>
    </row>
    <row r="149" spans="1:11" ht="25.5" x14ac:dyDescent="0.25">
      <c r="A149" s="94">
        <v>149</v>
      </c>
      <c r="B149" s="97" t="s">
        <v>450</v>
      </c>
      <c r="C149" s="133">
        <v>3250</v>
      </c>
      <c r="D149" s="102"/>
      <c r="E149" s="116"/>
      <c r="F149" s="99"/>
      <c r="G149" s="21">
        <f>IFERROR(IFERROR(INDEX(Кат!A:A,MATCH($B149,Кат!$G:$G,0)),INDEX(Торг!$B:$B,MATCH(#REF!,Торг!$I:$I,0))),"")</f>
        <v>258809</v>
      </c>
      <c r="H149" s="21">
        <f>IFERROR(IFERROR(INDEX(Кат!B:B,MATCH($B149,Кат!$G:$G,0)),INDEX(Торг!$B:$B,MATCH(#REF!,Торг!$I:$I,0))),"")</f>
        <v>208680</v>
      </c>
      <c r="I149" s="21" t="str">
        <f>IFERROR(IFERROR(INDEX(Кат!C:C,MATCH($B149,Кат!$G:$G,0)),INDEX(Торг!$B:$B,MATCH(#REF!,Торг!$I:$I,0))),"")</f>
        <v>Комплект модулей на 4 двери "АПЭЛ" МАКС-2 для Лада (Ларгус FL, XRAY), Renault (Clio, Duster, Logan, Sandero)</v>
      </c>
    </row>
    <row r="150" spans="1:11" ht="25.5" x14ac:dyDescent="0.25">
      <c r="A150" s="94">
        <v>150</v>
      </c>
      <c r="B150" s="97" t="s">
        <v>171</v>
      </c>
      <c r="C150" s="133">
        <v>1700</v>
      </c>
      <c r="D150" s="102"/>
      <c r="E150" s="116"/>
      <c r="F150" s="99" t="s">
        <v>5</v>
      </c>
      <c r="G150" s="21">
        <f>IFERROR(IFERROR(INDEX(Кат!A:A,MATCH($B150,Кат!$G:$G,0)),INDEX(Торг!$B:$B,MATCH(#REF!,Торг!$I:$I,0))),"")</f>
        <v>164007</v>
      </c>
      <c r="H150" s="21">
        <f>IFERROR(IFERROR(INDEX(Кат!B:B,MATCH($B150,Кат!$G:$G,0)),INDEX(Торг!$B:$B,MATCH(#REF!,Торг!$I:$I,0))),"")</f>
        <v>24526</v>
      </c>
      <c r="I150" s="21" t="str">
        <f>IFERROR(IFERROR(INDEX(Кат!C:C,MATCH($B150,Кат!$G:$G,0)),INDEX(Торг!$B:$B,MATCH(#REF!,Торг!$I:$I,0))),"")</f>
        <v>Модуль автоматического контроллера стеклоподъемников "АПЭЛ" МАКС-2 для Лада Ларгус</v>
      </c>
    </row>
    <row r="151" spans="1:11" ht="25.5" x14ac:dyDescent="0.25">
      <c r="A151" s="94">
        <v>151</v>
      </c>
      <c r="B151" s="107" t="s">
        <v>69</v>
      </c>
      <c r="C151" s="128">
        <v>380</v>
      </c>
      <c r="D151" s="108" t="s">
        <v>544</v>
      </c>
      <c r="E151" s="116"/>
      <c r="F151" s="99" t="s">
        <v>5</v>
      </c>
      <c r="G151" s="21">
        <f>IFERROR(IFERROR(INDEX(Кат!A:A,MATCH($B151,Кат!$G:$G,0)),INDEX(Торг!$B:$B,MATCH(#REF!,Торг!$I:$I,0))),"")</f>
        <v>160143</v>
      </c>
      <c r="H151" s="21">
        <f>IFERROR(IFERROR(INDEX(Кат!B:B,MATCH($B151,Кат!$G:$G,0)),INDEX(Торг!$B:$B,MATCH(#REF!,Торг!$I:$I,0))),"")</f>
        <v>7204</v>
      </c>
      <c r="I151" s="21" t="str">
        <f>IFERROR(IFERROR(INDEX(Кат!C:C,MATCH($B151,Кат!$G:$G,0)),INDEX(Торг!$B:$B,MATCH(#REF!,Торг!$I:$I,0))),"")</f>
        <v>Контроллер открытия дверей "КОД" на автомобили Lada</v>
      </c>
    </row>
    <row r="152" spans="1:11" x14ac:dyDescent="0.25">
      <c r="A152" s="94">
        <v>152</v>
      </c>
      <c r="B152" s="97" t="s">
        <v>156</v>
      </c>
      <c r="C152" s="128">
        <v>1200</v>
      </c>
      <c r="D152" s="101"/>
      <c r="E152" s="116"/>
      <c r="F152" s="99" t="s">
        <v>5</v>
      </c>
      <c r="G152" s="21" t="str">
        <f>IFERROR(IFERROR(INDEX(Кат!A:A,MATCH($B152,Кат!$G:$G,0)),INDEX(Торг!$B:$B,MATCH(#REF!,Торг!$I:$I,0))),"")</f>
        <v/>
      </c>
      <c r="H152" s="21" t="str">
        <f>IFERROR(IFERROR(INDEX(Кат!B:B,MATCH($B152,Кат!$G:$G,0)),INDEX(Торг!$B:$B,MATCH(#REF!,Торг!$I:$I,0))),"")</f>
        <v/>
      </c>
      <c r="I152" s="21" t="str">
        <f>IFERROR(IFERROR(INDEX(Кат!C:C,MATCH($B152,Кат!$G:$G,0)),INDEX(Торг!$B:$B,MATCH(#REF!,Торг!$I:$I,0))),"")</f>
        <v/>
      </c>
    </row>
    <row r="153" spans="1:11" x14ac:dyDescent="0.25">
      <c r="A153" s="94">
        <v>153</v>
      </c>
      <c r="B153" s="97" t="s">
        <v>435</v>
      </c>
      <c r="C153" s="128">
        <v>1350</v>
      </c>
      <c r="D153" s="102"/>
      <c r="E153" s="116"/>
      <c r="F153" s="99" t="s">
        <v>5</v>
      </c>
      <c r="G153" s="21" t="str">
        <f>IFERROR(IFERROR(INDEX(Кат!A:A,MATCH($B153,Кат!$G:$G,0)),INDEX(Торг!$B:$B,MATCH(#REF!,Торг!$I:$I,0))),"")</f>
        <v/>
      </c>
      <c r="H153" s="21" t="str">
        <f>IFERROR(IFERROR(INDEX(Кат!B:B,MATCH($B153,Кат!$G:$G,0)),INDEX(Торг!$B:$B,MATCH(#REF!,Торг!$I:$I,0))),"")</f>
        <v/>
      </c>
      <c r="I153" s="21" t="str">
        <f>IFERROR(IFERROR(INDEX(Кат!C:C,MATCH($B153,Кат!$G:$G,0)),INDEX(Торг!$B:$B,MATCH(#REF!,Торг!$I:$I,0))),"")</f>
        <v/>
      </c>
    </row>
    <row r="154" spans="1:11" x14ac:dyDescent="0.25">
      <c r="A154" s="94">
        <v>154</v>
      </c>
      <c r="B154" s="97" t="s">
        <v>157</v>
      </c>
      <c r="C154" s="128">
        <v>1350</v>
      </c>
      <c r="D154" s="101"/>
      <c r="E154" s="116"/>
      <c r="F154" s="99" t="s">
        <v>5</v>
      </c>
      <c r="G154" s="21" t="str">
        <f>IFERROR(IFERROR(INDEX(Кат!A:A,MATCH($B154,Кат!$G:$G,0)),INDEX(Торг!$B:$B,MATCH(#REF!,Торг!$I:$I,0))),"")</f>
        <v/>
      </c>
      <c r="H154" s="21" t="str">
        <f>IFERROR(IFERROR(INDEX(Кат!B:B,MATCH($B154,Кат!$G:$G,0)),INDEX(Торг!$B:$B,MATCH(#REF!,Торг!$I:$I,0))),"")</f>
        <v/>
      </c>
      <c r="I154" s="21" t="str">
        <f>IFERROR(IFERROR(INDEX(Кат!C:C,MATCH($B154,Кат!$G:$G,0)),INDEX(Торг!$B:$B,MATCH(#REF!,Торг!$I:$I,0))),"")</f>
        <v/>
      </c>
    </row>
    <row r="155" spans="1:11" x14ac:dyDescent="0.25">
      <c r="A155" s="94">
        <v>155</v>
      </c>
      <c r="B155" s="97" t="s">
        <v>163</v>
      </c>
      <c r="C155" s="128">
        <v>1500</v>
      </c>
      <c r="D155" s="102"/>
      <c r="E155" s="116"/>
      <c r="F155" s="99" t="s">
        <v>5</v>
      </c>
      <c r="G155" s="21" t="str">
        <f>IFERROR(IFERROR(INDEX(Кат!A:A,MATCH($B155,Кат!$G:$G,0)),INDEX(Торг!$B:$B,MATCH(#REF!,Торг!$I:$I,0))),"")</f>
        <v/>
      </c>
      <c r="H155" s="21" t="str">
        <f>IFERROR(IFERROR(INDEX(Кат!B:B,MATCH($B155,Кат!$G:$G,0)),INDEX(Торг!$B:$B,MATCH(#REF!,Торг!$I:$I,0))),"")</f>
        <v/>
      </c>
      <c r="I155" s="21" t="str">
        <f>IFERROR(IFERROR(INDEX(Кат!C:C,MATCH($B155,Кат!$G:$G,0)),INDEX(Торг!$B:$B,MATCH(#REF!,Торг!$I:$I,0))),"")</f>
        <v/>
      </c>
    </row>
    <row r="156" spans="1:11" x14ac:dyDescent="0.25">
      <c r="A156" s="94">
        <v>156</v>
      </c>
      <c r="B156" s="97" t="s">
        <v>197</v>
      </c>
      <c r="C156" s="128">
        <v>1500</v>
      </c>
      <c r="D156" s="102"/>
      <c r="E156" s="116"/>
      <c r="F156" s="99" t="s">
        <v>5</v>
      </c>
      <c r="G156" s="21" t="str">
        <f>IFERROR(IFERROR(INDEX(Кат!A:A,MATCH($B156,Кат!$G:$G,0)),INDEX(Торг!$B:$B,MATCH(#REF!,Торг!$I:$I,0))),"")</f>
        <v/>
      </c>
      <c r="H156" s="21" t="str">
        <f>IFERROR(IFERROR(INDEX(Кат!B:B,MATCH($B156,Кат!$G:$G,0)),INDEX(Торг!$B:$B,MATCH(#REF!,Торг!$I:$I,0))),"")</f>
        <v/>
      </c>
      <c r="I156" s="21" t="str">
        <f>IFERROR(IFERROR(INDEX(Кат!C:C,MATCH($B156,Кат!$G:$G,0)),INDEX(Торг!$B:$B,MATCH(#REF!,Торг!$I:$I,0))),"")</f>
        <v/>
      </c>
    </row>
    <row r="157" spans="1:11" x14ac:dyDescent="0.25">
      <c r="A157" s="94">
        <v>157</v>
      </c>
      <c r="B157" s="97" t="s">
        <v>448</v>
      </c>
      <c r="C157" s="128">
        <v>1450</v>
      </c>
      <c r="D157" s="102"/>
      <c r="E157" s="116"/>
      <c r="F157" s="99" t="s">
        <v>5</v>
      </c>
      <c r="G157" s="21" t="str">
        <f>IFERROR(IFERROR(INDEX(Кат!A:A,MATCH($B157,Кат!$G:$G,0)),INDEX(Торг!$B:$B,MATCH(#REF!,Торг!$I:$I,0))),"")</f>
        <v/>
      </c>
      <c r="H157" s="21" t="str">
        <f>IFERROR(IFERROR(INDEX(Кат!B:B,MATCH($B157,Кат!$G:$G,0)),INDEX(Торг!$B:$B,MATCH(#REF!,Торг!$I:$I,0))),"")</f>
        <v/>
      </c>
      <c r="I157" s="21" t="str">
        <f>IFERROR(IFERROR(INDEX(Кат!C:C,MATCH($B157,Кат!$G:$G,0)),INDEX(Торг!$B:$B,MATCH(#REF!,Торг!$I:$I,0))),"")</f>
        <v/>
      </c>
    </row>
    <row r="158" spans="1:11" x14ac:dyDescent="0.25">
      <c r="A158" s="94">
        <v>158</v>
      </c>
      <c r="B158" s="97" t="s">
        <v>196</v>
      </c>
      <c r="C158" s="128">
        <v>1450</v>
      </c>
      <c r="D158" s="102"/>
      <c r="E158" s="116"/>
      <c r="F158" s="99" t="s">
        <v>131</v>
      </c>
      <c r="G158" s="21" t="str">
        <f>IFERROR(IFERROR(INDEX(Кат!A:A,MATCH($B158,Кат!$G:$G,0)),INDEX(Торг!$B:$B,MATCH(#REF!,Торг!$I:$I,0))),"")</f>
        <v/>
      </c>
      <c r="H158" s="21" t="str">
        <f>IFERROR(IFERROR(INDEX(Кат!B:B,MATCH($B158,Кат!$G:$G,0)),INDEX(Торг!$B:$B,MATCH(#REF!,Торг!$I:$I,0))),"")</f>
        <v/>
      </c>
      <c r="I158" s="21" t="str">
        <f>IFERROR(IFERROR(INDEX(Кат!C:C,MATCH($B158,Кат!$G:$G,0)),INDEX(Торг!$B:$B,MATCH(#REF!,Торг!$I:$I,0))),"")</f>
        <v/>
      </c>
    </row>
    <row r="159" spans="1:11" x14ac:dyDescent="0.25">
      <c r="A159" s="94">
        <v>159</v>
      </c>
      <c r="B159" s="97" t="s">
        <v>637</v>
      </c>
      <c r="C159" s="128">
        <v>1600</v>
      </c>
      <c r="D159" s="102"/>
      <c r="E159" s="116"/>
      <c r="F159" s="99"/>
      <c r="G159" s="21" t="str">
        <f>IFERROR(IFERROR(INDEX(Кат!A:A,MATCH($B159,Кат!$G:$G,0)),INDEX(Торг!$B:$B,MATCH(#REF!,Торг!$I:$I,0))),"")</f>
        <v/>
      </c>
      <c r="H159" s="21" t="str">
        <f>IFERROR(IFERROR(INDEX(Кат!B:B,MATCH($B159,Кат!$G:$G,0)),INDEX(Торг!$B:$B,MATCH(#REF!,Торг!$I:$I,0))),"")</f>
        <v/>
      </c>
      <c r="I159" s="21" t="str">
        <f>IFERROR(IFERROR(INDEX(Кат!C:C,MATCH($B159,Кат!$G:$G,0)),INDEX(Торг!$B:$B,MATCH(#REF!,Торг!$I:$I,0))),"")</f>
        <v/>
      </c>
    </row>
    <row r="160" spans="1:11" x14ac:dyDescent="0.25">
      <c r="A160" s="94">
        <v>160</v>
      </c>
      <c r="B160" s="97" t="s">
        <v>638</v>
      </c>
      <c r="C160" s="128">
        <v>1600</v>
      </c>
      <c r="D160" s="102"/>
      <c r="E160" s="116"/>
      <c r="F160" s="99" t="s">
        <v>5</v>
      </c>
      <c r="G160" s="21" t="str">
        <f>IFERROR(IFERROR(INDEX(Кат!A:A,MATCH($B160,Кат!$G:$G,0)),INDEX(Торг!$B:$B,MATCH(#REF!,Торг!$I:$I,0))),"")</f>
        <v/>
      </c>
      <c r="H160" s="21" t="str">
        <f>IFERROR(IFERROR(INDEX(Кат!B:B,MATCH($B160,Кат!$G:$G,0)),INDEX(Торг!$B:$B,MATCH(#REF!,Торг!$I:$I,0))),"")</f>
        <v/>
      </c>
      <c r="I160" s="21" t="str">
        <f>IFERROR(IFERROR(INDEX(Кат!C:C,MATCH($B160,Кат!$G:$G,0)),INDEX(Торг!$B:$B,MATCH(#REF!,Торг!$I:$I,0))),"")</f>
        <v/>
      </c>
    </row>
    <row r="161" spans="1:9" x14ac:dyDescent="0.25">
      <c r="A161" s="94">
        <v>161</v>
      </c>
      <c r="B161" s="97" t="s">
        <v>127</v>
      </c>
      <c r="C161" s="128">
        <v>50</v>
      </c>
      <c r="D161" s="108"/>
      <c r="E161" s="116"/>
      <c r="F161" s="99" t="s">
        <v>5</v>
      </c>
      <c r="G161" s="21" t="str">
        <f>IFERROR(IFERROR(INDEX(Кат!A:A,MATCH($B161,Кат!$G:$G,0)),INDEX(Торг!$B:$B,MATCH(#REF!,Торг!$I:$I,0))),"")</f>
        <v/>
      </c>
      <c r="H161" s="21" t="str">
        <f>IFERROR(IFERROR(INDEX(Кат!B:B,MATCH($B161,Кат!$G:$G,0)),INDEX(Торг!$B:$B,MATCH(#REF!,Торг!$I:$I,0))),"")</f>
        <v/>
      </c>
      <c r="I161" s="21" t="str">
        <f>IFERROR(IFERROR(INDEX(Кат!C:C,MATCH($B161,Кат!$G:$G,0)),INDEX(Торг!$B:$B,MATCH(#REF!,Торг!$I:$I,0))),"")</f>
        <v/>
      </c>
    </row>
    <row r="162" spans="1:9" x14ac:dyDescent="0.25">
      <c r="A162" s="94">
        <v>162</v>
      </c>
      <c r="B162" s="97" t="s">
        <v>451</v>
      </c>
      <c r="C162" s="128">
        <v>60</v>
      </c>
      <c r="D162" s="108"/>
      <c r="E162" s="116"/>
      <c r="F162" s="99"/>
      <c r="G162" s="21" t="str">
        <f>IFERROR(IFERROR(INDEX(Кат!A:A,MATCH($B162,Кат!$G:$G,0)),INDEX(Торг!$B:$B,MATCH(#REF!,Торг!$I:$I,0))),"")</f>
        <v/>
      </c>
      <c r="H162" s="21" t="str">
        <f>IFERROR(IFERROR(INDEX(Кат!B:B,MATCH($B162,Кат!$G:$G,0)),INDEX(Торг!$B:$B,MATCH(#REF!,Торг!$I:$I,0))),"")</f>
        <v/>
      </c>
      <c r="I162" s="21" t="str">
        <f>IFERROR(IFERROR(INDEX(Кат!C:C,MATCH($B162,Кат!$G:$G,0)),INDEX(Торг!$B:$B,MATCH(#REF!,Торг!$I:$I,0))),"")</f>
        <v/>
      </c>
    </row>
    <row r="163" spans="1:9" x14ac:dyDescent="0.25">
      <c r="A163" s="94">
        <v>163</v>
      </c>
      <c r="B163" s="97" t="s">
        <v>159</v>
      </c>
      <c r="C163" s="128">
        <v>200</v>
      </c>
      <c r="D163" s="102"/>
      <c r="E163" s="116"/>
      <c r="F163" s="99" t="s">
        <v>5</v>
      </c>
      <c r="G163" s="21" t="str">
        <f>IFERROR(IFERROR(INDEX(Кат!A:A,MATCH($B163,Кат!$G:$G,0)),INDEX(Торг!$B:$B,MATCH(#REF!,Торг!$I:$I,0))),"")</f>
        <v/>
      </c>
      <c r="H163" s="21" t="str">
        <f>IFERROR(IFERROR(INDEX(Кат!B:B,MATCH($B163,Кат!$G:$G,0)),INDEX(Торг!$B:$B,MATCH(#REF!,Торг!$I:$I,0))),"")</f>
        <v/>
      </c>
      <c r="I163" s="21" t="str">
        <f>IFERROR(IFERROR(INDEX(Кат!C:C,MATCH($B163,Кат!$G:$G,0)),INDEX(Торг!$B:$B,MATCH(#REF!,Торг!$I:$I,0))),"")</f>
        <v/>
      </c>
    </row>
    <row r="164" spans="1:9" x14ac:dyDescent="0.25">
      <c r="A164" s="94">
        <v>164</v>
      </c>
      <c r="B164" s="97" t="s">
        <v>160</v>
      </c>
      <c r="C164" s="128">
        <v>200</v>
      </c>
      <c r="D164" s="102"/>
      <c r="E164" s="116"/>
      <c r="F164" s="99" t="s">
        <v>5</v>
      </c>
      <c r="G164" s="21" t="str">
        <f>IFERROR(IFERROR(INDEX(Кат!A:A,MATCH($B164,Кат!$G:$G,0)),INDEX(Торг!$B:$B,MATCH(#REF!,Торг!$I:$I,0))),"")</f>
        <v/>
      </c>
      <c r="H164" s="21" t="str">
        <f>IFERROR(IFERROR(INDEX(Кат!B:B,MATCH($B164,Кат!$G:$G,0)),INDEX(Торг!$B:$B,MATCH(#REF!,Торг!$I:$I,0))),"")</f>
        <v/>
      </c>
      <c r="I164" s="21" t="str">
        <f>IFERROR(IFERROR(INDEX(Кат!C:C,MATCH($B164,Кат!$G:$G,0)),INDEX(Торг!$B:$B,MATCH(#REF!,Торг!$I:$I,0))),"")</f>
        <v/>
      </c>
    </row>
    <row r="165" spans="1:9" x14ac:dyDescent="0.25">
      <c r="A165" s="94">
        <v>165</v>
      </c>
      <c r="B165" s="97" t="s">
        <v>151</v>
      </c>
      <c r="C165" s="128">
        <v>350</v>
      </c>
      <c r="D165" s="102"/>
      <c r="E165" s="116"/>
      <c r="F165" s="99" t="s">
        <v>131</v>
      </c>
      <c r="G165" s="21" t="str">
        <f>IFERROR(IFERROR(INDEX(Кат!A:A,MATCH($B165,Кат!$G:$G,0)),INDEX(Торг!$B:$B,MATCH(#REF!,Торг!$I:$I,0))),"")</f>
        <v/>
      </c>
      <c r="H165" s="21" t="str">
        <f>IFERROR(IFERROR(INDEX(Кат!B:B,MATCH($B165,Кат!$G:$G,0)),INDEX(Торг!$B:$B,MATCH(#REF!,Торг!$I:$I,0))),"")</f>
        <v/>
      </c>
      <c r="I165" s="21" t="str">
        <f>IFERROR(IFERROR(INDEX(Кат!C:C,MATCH($B165,Кат!$G:$G,0)),INDEX(Торг!$B:$B,MATCH(#REF!,Торг!$I:$I,0))),"")</f>
        <v/>
      </c>
    </row>
    <row r="166" spans="1:9" x14ac:dyDescent="0.25">
      <c r="A166" s="94">
        <v>166</v>
      </c>
      <c r="B166" s="97" t="s">
        <v>198</v>
      </c>
      <c r="C166" s="128">
        <v>320</v>
      </c>
      <c r="D166" s="102"/>
      <c r="E166" s="116"/>
      <c r="F166" s="99" t="s">
        <v>5</v>
      </c>
      <c r="G166" s="21" t="str">
        <f>IFERROR(IFERROR(INDEX(Кат!A:A,MATCH($B166,Кат!$G:$G,0)),INDEX(Торг!$B:$B,MATCH(#REF!,Торг!$I:$I,0))),"")</f>
        <v/>
      </c>
      <c r="H166" s="21" t="str">
        <f>IFERROR(IFERROR(INDEX(Кат!B:B,MATCH($B166,Кат!$G:$G,0)),INDEX(Торг!$B:$B,MATCH(#REF!,Торг!$I:$I,0))),"")</f>
        <v/>
      </c>
      <c r="I166" s="21" t="str">
        <f>IFERROR(IFERROR(INDEX(Кат!C:C,MATCH($B166,Кат!$G:$G,0)),INDEX(Торг!$B:$B,MATCH(#REF!,Торг!$I:$I,0))),"")</f>
        <v/>
      </c>
    </row>
    <row r="167" spans="1:9" x14ac:dyDescent="0.25">
      <c r="A167" s="94">
        <v>167</v>
      </c>
      <c r="B167" s="97" t="s">
        <v>199</v>
      </c>
      <c r="C167" s="128">
        <v>750</v>
      </c>
      <c r="D167" s="102"/>
      <c r="E167" s="116"/>
      <c r="F167" s="99" t="s">
        <v>5</v>
      </c>
      <c r="G167" s="21" t="str">
        <f>IFERROR(IFERROR(INDEX(Кат!A:A,MATCH($B167,Кат!$G:$G,0)),INDEX(Торг!$B:$B,MATCH(#REF!,Торг!$I:$I,0))),"")</f>
        <v/>
      </c>
      <c r="H167" s="21" t="str">
        <f>IFERROR(IFERROR(INDEX(Кат!B:B,MATCH($B167,Кат!$G:$G,0)),INDEX(Торг!$B:$B,MATCH(#REF!,Торг!$I:$I,0))),"")</f>
        <v/>
      </c>
      <c r="I167" s="21" t="str">
        <f>IFERROR(IFERROR(INDEX(Кат!C:C,MATCH($B167,Кат!$G:$G,0)),INDEX(Торг!$B:$B,MATCH(#REF!,Торг!$I:$I,0))),"")</f>
        <v/>
      </c>
    </row>
    <row r="168" spans="1:9" x14ac:dyDescent="0.25">
      <c r="A168" s="94">
        <v>168</v>
      </c>
      <c r="B168" s="97" t="s">
        <v>402</v>
      </c>
      <c r="C168" s="128">
        <v>600</v>
      </c>
      <c r="D168" s="102"/>
      <c r="E168" s="116"/>
      <c r="F168" s="99"/>
      <c r="G168" s="21" t="str">
        <f>IFERROR(IFERROR(INDEX(Кат!A:A,MATCH($B168,Кат!$G:$G,0)),INDEX(Торг!$B:$B,MATCH(#REF!,Торг!$I:$I,0))),"")</f>
        <v/>
      </c>
      <c r="H168" s="21" t="str">
        <f>IFERROR(IFERROR(INDEX(Кат!B:B,MATCH($B168,Кат!$G:$G,0)),INDEX(Торг!$B:$B,MATCH(#REF!,Торг!$I:$I,0))),"")</f>
        <v/>
      </c>
      <c r="I168" s="21" t="str">
        <f>IFERROR(IFERROR(INDEX(Кат!C:C,MATCH($B168,Кат!$G:$G,0)),INDEX(Торг!$B:$B,MATCH(#REF!,Торг!$I:$I,0))),"")</f>
        <v/>
      </c>
    </row>
    <row r="169" spans="1:9" x14ac:dyDescent="0.25">
      <c r="A169" s="94">
        <v>169</v>
      </c>
      <c r="B169" s="97" t="s">
        <v>403</v>
      </c>
      <c r="C169" s="128">
        <v>600</v>
      </c>
      <c r="D169" s="102"/>
      <c r="E169" s="116"/>
      <c r="F169" s="99"/>
      <c r="G169" s="21" t="str">
        <f>IFERROR(IFERROR(INDEX(Кат!A:A,MATCH($B169,Кат!$G:$G,0)),INDEX(Торг!$B:$B,MATCH(#REF!,Торг!$I:$I,0))),"")</f>
        <v/>
      </c>
      <c r="H169" s="21" t="str">
        <f>IFERROR(IFERROR(INDEX(Кат!B:B,MATCH($B169,Кат!$G:$G,0)),INDEX(Торг!$B:$B,MATCH(#REF!,Торг!$I:$I,0))),"")</f>
        <v/>
      </c>
      <c r="I169" s="21" t="str">
        <f>IFERROR(IFERROR(INDEX(Кат!C:C,MATCH($B169,Кат!$G:$G,0)),INDEX(Торг!$B:$B,MATCH(#REF!,Торг!$I:$I,0))),"")</f>
        <v/>
      </c>
    </row>
    <row r="170" spans="1:9" x14ac:dyDescent="0.25">
      <c r="A170" s="94">
        <v>170</v>
      </c>
      <c r="B170" s="97" t="s">
        <v>176</v>
      </c>
      <c r="C170" s="128">
        <v>380</v>
      </c>
      <c r="D170" s="102"/>
      <c r="E170" s="116"/>
      <c r="F170" s="99" t="s">
        <v>5</v>
      </c>
      <c r="G170" s="21">
        <f>IFERROR(IFERROR(INDEX(Кат!A:A,MATCH($B170,Кат!$G:$G,0)),INDEX(Торг!$B:$B,MATCH(#REF!,Торг!$I:$I,0))),"")</f>
        <v>140006</v>
      </c>
      <c r="H170" s="21">
        <f>IFERROR(IFERROR(INDEX(Кат!B:B,MATCH($B170,Кат!$G:$G,0)),INDEX(Торг!$B:$B,MATCH(#REF!,Торг!$I:$I,0))),"")</f>
        <v>24530</v>
      </c>
      <c r="I170" s="21" t="str">
        <f>IFERROR(IFERROR(INDEX(Кат!C:C,MATCH($B170,Кат!$G:$G,0)),INDEX(Торг!$B:$B,MATCH(#REF!,Торг!$I:$I,0))),"")</f>
        <v>Выкидной ключ "KD600" (без чипа и платы) для ВАЗ (2108-21099, 2110-2112, 2113-2115), Лада (Калина, Калина 2, Приора, Гранта, Нива 4х4), Шевроле Нива, Датсун (mi-DO, on-DO)</v>
      </c>
    </row>
    <row r="171" spans="1:9" x14ac:dyDescent="0.25">
      <c r="A171" s="94">
        <v>171</v>
      </c>
      <c r="B171" s="107" t="s">
        <v>126</v>
      </c>
      <c r="C171" s="128">
        <v>150</v>
      </c>
      <c r="D171" s="108"/>
      <c r="E171" s="116"/>
      <c r="F171" s="99" t="s">
        <v>5</v>
      </c>
      <c r="G171" s="21" t="str">
        <f>IFERROR(IFERROR(INDEX(Кат!A:A,MATCH($B171,Кат!$G:$G,0)),INDEX(Торг!$B:$B,MATCH(#REF!,Торг!$I:$I,0))),"")</f>
        <v/>
      </c>
      <c r="H171" s="21" t="str">
        <f>IFERROR(IFERROR(INDEX(Кат!B:B,MATCH($B171,Кат!$G:$G,0)),INDEX(Торг!$B:$B,MATCH(#REF!,Торг!$I:$I,0))),"")</f>
        <v/>
      </c>
      <c r="I171" s="21" t="str">
        <f>IFERROR(IFERROR(INDEX(Кат!C:C,MATCH($B171,Кат!$G:$G,0)),INDEX(Торг!$B:$B,MATCH(#REF!,Торг!$I:$I,0))),"")</f>
        <v/>
      </c>
    </row>
    <row r="172" spans="1:9" x14ac:dyDescent="0.25">
      <c r="A172" s="94">
        <v>172</v>
      </c>
      <c r="B172" s="97" t="s">
        <v>144</v>
      </c>
      <c r="C172" s="128">
        <v>490</v>
      </c>
      <c r="D172" s="108"/>
      <c r="E172" s="116"/>
      <c r="F172" s="99" t="s">
        <v>5</v>
      </c>
      <c r="G172" s="21">
        <f>IFERROR(IFERROR(INDEX(Кат!A:A,MATCH($B172,Кат!$G:$G,0)),INDEX(Торг!$B:$B,MATCH(#REF!,Торг!$I:$I,0))),"")</f>
        <v>224680</v>
      </c>
      <c r="H172" s="21">
        <f>IFERROR(IFERROR(INDEX(Кат!B:B,MATCH($B172,Кат!$G:$G,0)),INDEX(Торг!$B:$B,MATCH(#REF!,Торг!$I:$I,0))),"")</f>
        <v>24531</v>
      </c>
      <c r="I172" s="21" t="str">
        <f>IFERROR(IFERROR(INDEX(Кат!C:C,MATCH($B172,Кат!$G:$G,0)),INDEX(Торг!$B:$B,MATCH(#REF!,Торг!$I:$I,0))),"")</f>
        <v>Цифровой манометр "ОРИОН" Вымпел МН-04</v>
      </c>
    </row>
    <row r="173" spans="1:9" x14ac:dyDescent="0.25">
      <c r="A173" s="94">
        <v>173</v>
      </c>
      <c r="B173" s="97" t="s">
        <v>70</v>
      </c>
      <c r="C173" s="128">
        <v>120</v>
      </c>
      <c r="D173" s="101"/>
      <c r="E173" s="116"/>
      <c r="F173" s="99" t="s">
        <v>5</v>
      </c>
      <c r="G173" s="21">
        <f>IFERROR(IFERROR(INDEX(Кат!A:A,MATCH($B173,Кат!$G:$G,0)),INDEX(Торг!$B:$B,MATCH(#REF!,Торг!$I:$I,0))),"")</f>
        <v>163903</v>
      </c>
      <c r="H173" s="21">
        <f>IFERROR(IFERROR(INDEX(Кат!B:B,MATCH($B173,Кат!$G:$G,0)),INDEX(Торг!$B:$B,MATCH(#REF!,Торг!$I:$I,0))),"")</f>
        <v>24532</v>
      </c>
      <c r="I173" s="21" t="str">
        <f>IFERROR(IFERROR(INDEX(Кат!C:C,MATCH($B173,Кат!$G:$G,0)),INDEX(Торг!$B:$B,MATCH(#REF!,Торг!$I:$I,0))),"")</f>
        <v>Мгновенная диагностика "ОРИОН" МД-1 для ВАЗ (2108, 2109, 2110), Лада Ока, ЗАЗ Таврия</v>
      </c>
    </row>
    <row r="174" spans="1:9" x14ac:dyDescent="0.25">
      <c r="A174" s="94">
        <v>174</v>
      </c>
      <c r="B174" s="97" t="s">
        <v>71</v>
      </c>
      <c r="C174" s="128">
        <v>240</v>
      </c>
      <c r="D174" s="101"/>
      <c r="E174" s="116"/>
      <c r="F174" s="99" t="s">
        <v>5</v>
      </c>
      <c r="G174" s="21">
        <f>IFERROR(IFERROR(INDEX(Кат!A:A,MATCH($B174,Кат!$G:$G,0)),INDEX(Торг!$B:$B,MATCH(#REF!,Торг!$I:$I,0))),"")</f>
        <v>163973</v>
      </c>
      <c r="H174" s="21">
        <f>IFERROR(IFERROR(INDEX(Кат!B:B,MATCH($B174,Кат!$G:$G,0)),INDEX(Торг!$B:$B,MATCH(#REF!,Торг!$I:$I,0))),"")</f>
        <v>7221</v>
      </c>
      <c r="I174" s="21" t="str">
        <f>IFERROR(IFERROR(INDEX(Кат!C:C,MATCH($B174,Кат!$G:$G,0)),INDEX(Торг!$B:$B,MATCH(#REF!,Торг!$I:$I,0))),"")</f>
        <v>Микросхема для восстановления комбинаций приборов МС-1</v>
      </c>
    </row>
    <row r="175" spans="1:9" ht="25.5" x14ac:dyDescent="0.25">
      <c r="A175" s="94">
        <v>175</v>
      </c>
      <c r="B175" s="97" t="s">
        <v>873</v>
      </c>
      <c r="C175" s="128">
        <v>400</v>
      </c>
      <c r="D175" s="137" t="s">
        <v>56</v>
      </c>
      <c r="E175" s="116"/>
      <c r="F175" s="99" t="s">
        <v>5</v>
      </c>
      <c r="G175" s="21" t="str">
        <f>IFERROR(IFERROR(INDEX(Кат!A:A,MATCH($B175,Кат!$G:$G,0)),INDEX(Торг!$B:$B,MATCH(#REF!,Торг!$I:$I,0))),"")</f>
        <v/>
      </c>
      <c r="H175" s="21" t="str">
        <f>IFERROR(IFERROR(INDEX(Кат!B:B,MATCH($B175,Кат!$G:$G,0)),INDEX(Торг!$B:$B,MATCH(#REF!,Торг!$I:$I,0))),"")</f>
        <v/>
      </c>
      <c r="I175" s="21" t="str">
        <f>IFERROR(IFERROR(INDEX(Кат!C:C,MATCH($B175,Кат!$G:$G,0)),INDEX(Торг!$B:$B,MATCH(#REF!,Торг!$I:$I,0))),"")</f>
        <v/>
      </c>
    </row>
    <row r="176" spans="1:9" x14ac:dyDescent="0.25">
      <c r="A176" s="94">
        <v>176</v>
      </c>
      <c r="B176" s="97" t="s">
        <v>72</v>
      </c>
      <c r="C176" s="136">
        <v>1200</v>
      </c>
      <c r="D176" s="111" t="s">
        <v>541</v>
      </c>
      <c r="E176" s="116"/>
      <c r="F176" s="99" t="s">
        <v>5</v>
      </c>
      <c r="G176" s="21">
        <f>IFERROR(IFERROR(INDEX(Кат!A:A,MATCH($B176,Кат!$G:$G,0)),INDEX(Торг!$B:$B,MATCH(#REF!,Торг!$I:$I,0))),"")</f>
        <v>224681</v>
      </c>
      <c r="H176" s="21">
        <f>IFERROR(IFERROR(INDEX(Кат!B:B,MATCH($B176,Кат!$G:$G,0)),INDEX(Торг!$B:$B,MATCH(#REF!,Торг!$I:$I,0))),"")</f>
        <v>24533</v>
      </c>
      <c r="I176" s="21" t="str">
        <f>IFERROR(IFERROR(INDEX(Кат!C:C,MATCH($B176,Кат!$G:$G,0)),INDEX(Торг!$B:$B,MATCH(#REF!,Торг!$I:$I,0))),"")</f>
        <v>Цифровой мультиметр "Mastech" MAS830L</v>
      </c>
    </row>
    <row r="177" spans="1:9" x14ac:dyDescent="0.25">
      <c r="A177" s="94">
        <v>177</v>
      </c>
      <c r="B177" s="97" t="s">
        <v>178</v>
      </c>
      <c r="C177" s="128">
        <v>1200</v>
      </c>
      <c r="D177" s="108"/>
      <c r="E177" s="116"/>
      <c r="F177" s="99" t="s">
        <v>5</v>
      </c>
      <c r="G177" s="21">
        <f>IFERROR(IFERROR(INDEX(Кат!A:A,MATCH($B177,Кат!$G:$G,0)),INDEX(Торг!$B:$B,MATCH(#REF!,Торг!$I:$I,0))),"")</f>
        <v>171719</v>
      </c>
      <c r="H177" s="21">
        <f>IFERROR(IFERROR(INDEX(Кат!B:B,MATCH($B177,Кат!$G:$G,0)),INDEX(Торг!$B:$B,MATCH(#REF!,Торг!$I:$I,0))),"")</f>
        <v>24534</v>
      </c>
      <c r="I177" s="21" t="str">
        <f>IFERROR(IFERROR(INDEX(Кат!C:C,MATCH($B177,Кат!$G:$G,0)),INDEX(Торг!$B:$B,MATCH(#REF!,Торг!$I:$I,0))),"")</f>
        <v>Насос для перекачки жидкости "ОРИОН" Вымпел НM-12/24 В</v>
      </c>
    </row>
    <row r="178" spans="1:9" x14ac:dyDescent="0.25">
      <c r="A178" s="94">
        <v>178</v>
      </c>
      <c r="B178" s="97" t="s">
        <v>139</v>
      </c>
      <c r="C178" s="128">
        <v>1300</v>
      </c>
      <c r="D178" s="108"/>
      <c r="E178" s="116"/>
      <c r="F178" s="99" t="s">
        <v>5</v>
      </c>
      <c r="G178" s="21">
        <f>IFERROR(IFERROR(INDEX(Кат!A:A,MATCH($B178,Кат!$G:$G,0)),INDEX(Торг!$B:$B,MATCH(#REF!,Торг!$I:$I,0))),"")</f>
        <v>171720</v>
      </c>
      <c r="H178" s="21">
        <f>IFERROR(IFERROR(INDEX(Кат!B:B,MATCH($B178,Кат!$G:$G,0)),INDEX(Торг!$B:$B,MATCH(#REF!,Торг!$I:$I,0))),"")</f>
        <v>24535</v>
      </c>
      <c r="I178" s="21" t="str">
        <f>IFERROR(IFERROR(INDEX(Кат!C:C,MATCH($B178,Кат!$G:$G,0)),INDEX(Торг!$B:$B,MATCH(#REF!,Торг!$I:$I,0))),"")</f>
        <v>Насос для перекачки жидкости "ОРИОН" Вымпел НС-12/24 В</v>
      </c>
    </row>
    <row r="179" spans="1:9" x14ac:dyDescent="0.25">
      <c r="A179" s="94">
        <v>179</v>
      </c>
      <c r="B179" s="97" t="s">
        <v>142</v>
      </c>
      <c r="C179" s="128">
        <v>900</v>
      </c>
      <c r="D179" s="108"/>
      <c r="E179" s="116"/>
      <c r="F179" s="99" t="s">
        <v>5</v>
      </c>
      <c r="G179" s="21" t="str">
        <f>IFERROR(IFERROR(INDEX(Кат!A:A,MATCH($B179,Кат!$G:$G,0)),INDEX(Торг!$B:$B,MATCH(#REF!,Торг!$I:$I,0))),"")</f>
        <v/>
      </c>
      <c r="H179" s="21" t="str">
        <f>IFERROR(IFERROR(INDEX(Кат!B:B,MATCH($B179,Кат!$G:$G,0)),INDEX(Торг!$B:$B,MATCH(#REF!,Торг!$I:$I,0))),"")</f>
        <v/>
      </c>
      <c r="I179" s="21" t="str">
        <f>IFERROR(IFERROR(INDEX(Кат!C:C,MATCH($B179,Кат!$G:$G,0)),INDEX(Торг!$B:$B,MATCH(#REF!,Торг!$I:$I,0))),"")</f>
        <v/>
      </c>
    </row>
    <row r="180" spans="1:9" x14ac:dyDescent="0.25">
      <c r="A180" s="94">
        <v>180</v>
      </c>
      <c r="B180" s="107" t="s">
        <v>453</v>
      </c>
      <c r="C180" s="139">
        <v>42000</v>
      </c>
      <c r="D180" s="125" t="s">
        <v>541</v>
      </c>
      <c r="E180" s="116"/>
      <c r="F180" s="99" t="s">
        <v>5</v>
      </c>
      <c r="G180" s="21" t="str">
        <f>IFERROR(IFERROR(INDEX(Кат!A:A,MATCH($B180,Кат!$G:$G,0)),INDEX(Торг!$B:$B,MATCH(#REF!,Торг!$I:$I,0))),"")</f>
        <v/>
      </c>
      <c r="H180" s="21" t="str">
        <f>IFERROR(IFERROR(INDEX(Кат!B:B,MATCH($B180,Кат!$G:$G,0)),INDEX(Торг!$B:$B,MATCH(#REF!,Торг!$I:$I,0))),"")</f>
        <v/>
      </c>
      <c r="I180" s="21" t="str">
        <f>IFERROR(IFERROR(INDEX(Кат!C:C,MATCH($B180,Кат!$G:$G,0)),INDEX(Торг!$B:$B,MATCH(#REF!,Торг!$I:$I,0))),"")</f>
        <v/>
      </c>
    </row>
    <row r="181" spans="1:9" ht="25.5" x14ac:dyDescent="0.25">
      <c r="A181" s="94">
        <v>181</v>
      </c>
      <c r="B181" s="97" t="s">
        <v>73</v>
      </c>
      <c r="C181" s="133">
        <v>11000</v>
      </c>
      <c r="D181" s="101"/>
      <c r="E181" s="116"/>
      <c r="F181" s="99" t="s">
        <v>5</v>
      </c>
      <c r="G181" s="21">
        <f>IFERROR(IFERROR(INDEX(Кат!A:A,MATCH($B181,Кат!$G:$G,0)),INDEX(Торг!$B:$B,MATCH(#REF!,Торг!$I:$I,0))),"")</f>
        <v>226981</v>
      </c>
      <c r="H181" s="21">
        <f>IFERROR(IFERROR(INDEX(Кат!B:B,MATCH($B181,Кат!$G:$G,0)),INDEX(Торг!$B:$B,MATCH(#REF!,Торг!$I:$I,0))),"")</f>
        <v>7132</v>
      </c>
      <c r="I181" s="21" t="str">
        <f>IFERROR(IFERROR(INDEX(Кат!C:C,MATCH($B181,Кат!$G:$G,0)),INDEX(Торг!$B:$B,MATCH(#REF!,Торг!$I:$I,0))),"")</f>
        <v>Электронная комбинация приборов "FLASH" Х3 для ВАЗ (2108-21099, 2110-2112 (панель с/о), 2113-2115), Лада Нива 4х4, Шевроле Нива</v>
      </c>
    </row>
    <row r="182" spans="1:9" ht="25.5" x14ac:dyDescent="0.25">
      <c r="A182" s="94">
        <v>182</v>
      </c>
      <c r="B182" s="97" t="s">
        <v>74</v>
      </c>
      <c r="C182" s="133">
        <v>11000</v>
      </c>
      <c r="D182" s="111"/>
      <c r="E182" s="116"/>
      <c r="F182" s="99" t="s">
        <v>5</v>
      </c>
      <c r="G182" s="21">
        <f>IFERROR(IFERROR(INDEX(Кат!A:A,MATCH($B182,Кат!$G:$G,0)),INDEX(Торг!$B:$B,MATCH(#REF!,Торг!$I:$I,0))),"")</f>
        <v>226982</v>
      </c>
      <c r="H182" s="21">
        <f>IFERROR(IFERROR(INDEX(Кат!B:B,MATCH($B182,Кат!$G:$G,0)),INDEX(Торг!$B:$B,MATCH(#REF!,Торг!$I:$I,0))),"")</f>
        <v>7114</v>
      </c>
      <c r="I182" s="21" t="str">
        <f>IFERROR(IFERROR(INDEX(Кат!C:C,MATCH($B182,Кат!$G:$G,0)),INDEX(Торг!$B:$B,MATCH(#REF!,Торг!$I:$I,0))),"")</f>
        <v>Электронная комбинация приборов Flash х4 для ВАЗ 2110-2112 (европанель), Лада (Калина, Приора)</v>
      </c>
    </row>
    <row r="183" spans="1:9" ht="25.5" x14ac:dyDescent="0.25">
      <c r="A183" s="94">
        <v>183</v>
      </c>
      <c r="B183" s="107" t="s">
        <v>560</v>
      </c>
      <c r="C183" s="133">
        <v>13400</v>
      </c>
      <c r="D183" s="125"/>
      <c r="E183" s="116"/>
      <c r="F183" s="99" t="s">
        <v>5</v>
      </c>
      <c r="G183" s="21">
        <f>IFERROR(IFERROR(INDEX(Кат!A:A,MATCH($B183,Кат!$G:$G,0)),INDEX(Торг!$B:$B,MATCH(#REF!,Торг!$I:$I,0))),"")</f>
        <v>226972</v>
      </c>
      <c r="H183" s="21">
        <f>IFERROR(IFERROR(INDEX(Кат!B:B,MATCH($B183,Кат!$G:$G,0)),INDEX(Торг!$B:$B,MATCH(#REF!,Торг!$I:$I,0))),"")</f>
        <v>7137</v>
      </c>
      <c r="I183" s="21" t="str">
        <f>IFERROR(IFERROR(INDEX(Кат!C:C,MATCH($B183,Кат!$G:$G,0)),INDEX(Торг!$B:$B,MATCH(#REF!,Торг!$I:$I,0))),"")</f>
        <v>Электронная комбинация приборов "Flash" X103V для ВАЗ (2110-2112, 2113-2115), Лада Нива 4х4, Шевроле Нива</v>
      </c>
    </row>
    <row r="184" spans="1:9" x14ac:dyDescent="0.25">
      <c r="A184" s="94">
        <v>184</v>
      </c>
      <c r="B184" s="107" t="s">
        <v>646</v>
      </c>
      <c r="C184" s="133">
        <v>14400</v>
      </c>
      <c r="D184" s="125"/>
      <c r="E184" s="116"/>
      <c r="F184" s="99" t="s">
        <v>5</v>
      </c>
      <c r="G184" s="21" t="str">
        <f>IFERROR(IFERROR(INDEX(Кат!A:A,MATCH($B184,Кат!$G:$G,0)),INDEX(Торг!$B:$B,MATCH(#REF!,Торг!$I:$I,0))),"")</f>
        <v/>
      </c>
      <c r="H184" s="21" t="str">
        <f>IFERROR(IFERROR(INDEX(Кат!B:B,MATCH($B184,Кат!$G:$G,0)),INDEX(Торг!$B:$B,MATCH(#REF!,Торг!$I:$I,0))),"")</f>
        <v/>
      </c>
      <c r="I184" s="21" t="str">
        <f>IFERROR(IFERROR(INDEX(Кат!C:C,MATCH($B184,Кат!$G:$G,0)),INDEX(Торг!$B:$B,MATCH(#REF!,Торг!$I:$I,0))),"")</f>
        <v/>
      </c>
    </row>
    <row r="185" spans="1:9" ht="25.5" x14ac:dyDescent="0.25">
      <c r="A185" s="94">
        <v>185</v>
      </c>
      <c r="B185" s="107" t="s">
        <v>404</v>
      </c>
      <c r="C185" s="133">
        <v>13400</v>
      </c>
      <c r="D185" s="125"/>
      <c r="E185" s="116"/>
      <c r="F185" s="99" t="s">
        <v>5</v>
      </c>
      <c r="G185" s="21">
        <f>IFERROR(IFERROR(INDEX(Кат!A:A,MATCH($B185,Кат!$G:$G,0)),INDEX(Торг!$B:$B,MATCH(#REF!,Торг!$I:$I,0))),"")</f>
        <v>226973</v>
      </c>
      <c r="H185" s="21">
        <f>IFERROR(IFERROR(INDEX(Кат!B:B,MATCH($B185,Кат!$G:$G,0)),INDEX(Торг!$B:$B,MATCH(#REF!,Торг!$I:$I,0))),"")</f>
        <v>24537</v>
      </c>
      <c r="I185" s="21" t="str">
        <f>IFERROR(IFERROR(INDEX(Кат!C:C,MATCH($B185,Кат!$G:$G,0)),INDEX(Торг!$B:$B,MATCH(#REF!,Торг!$I:$I,0))),"")</f>
        <v>Электронная комбинация приборов "I-TEC" Flash X5 для ВАЗ 2110-2112 (евро панель), Лада (Калина, Приора)</v>
      </c>
    </row>
    <row r="186" spans="1:9" x14ac:dyDescent="0.25">
      <c r="A186" s="94">
        <v>186</v>
      </c>
      <c r="B186" s="110" t="s">
        <v>617</v>
      </c>
      <c r="C186" s="128">
        <v>4700</v>
      </c>
      <c r="D186" s="112"/>
      <c r="E186" s="116"/>
      <c r="F186" s="99" t="s">
        <v>5</v>
      </c>
      <c r="G186" s="21">
        <f>IFERROR(IFERROR(INDEX(Кат!A:A,MATCH($B186,Кат!$G:$G,0)),INDEX(Торг!$B:$B,MATCH(#REF!,Торг!$I:$I,0))),"")</f>
        <v>201027</v>
      </c>
      <c r="H186" s="21">
        <f>IFERROR(IFERROR(INDEX(Кат!B:B,MATCH($B186,Кат!$G:$G,0)),INDEX(Торг!$B:$B,MATCH(#REF!,Торг!$I:$I,0))),"")</f>
        <v>7201</v>
      </c>
      <c r="I186" s="21" t="str">
        <f>IFERROR(IFERROR(INDEX(Кат!C:C,MATCH($B186,Кат!$G:$G,0)),INDEX(Торг!$B:$B,MATCH(#REF!,Торг!$I:$I,0))),"")</f>
        <v>Преобразователь напряжения (розетка автомобильная) 12/220 Орион ПН-60 450W</v>
      </c>
    </row>
    <row r="187" spans="1:9" x14ac:dyDescent="0.25">
      <c r="A187" s="94">
        <v>187</v>
      </c>
      <c r="B187" s="110" t="s">
        <v>454</v>
      </c>
      <c r="C187" s="142">
        <v>6150</v>
      </c>
      <c r="D187" s="111" t="s">
        <v>544</v>
      </c>
      <c r="E187" s="116"/>
      <c r="F187" s="99" t="s">
        <v>5</v>
      </c>
      <c r="G187" s="21">
        <f>IFERROR(IFERROR(INDEX(Кат!A:A,MATCH($B187,Кат!$G:$G,0)),INDEX(Торг!$B:$B,MATCH(#REF!,Торг!$I:$I,0))),"")</f>
        <v>201028</v>
      </c>
      <c r="H187" s="21">
        <f>IFERROR(IFERROR(INDEX(Кат!B:B,MATCH($B187,Кат!$G:$G,0)),INDEX(Торг!$B:$B,MATCH(#REF!,Торг!$I:$I,0))),"")</f>
        <v>7222</v>
      </c>
      <c r="I187" s="21" t="str">
        <f>IFERROR(IFERROR(INDEX(Кат!C:C,MATCH($B187,Кат!$G:$G,0)),INDEX(Торг!$B:$B,MATCH(#REF!,Торг!$I:$I,0))),"")</f>
        <v>Преобразователь напряжения (розетка автомобильная) 12/220 Орион ПН-70 900W</v>
      </c>
    </row>
    <row r="188" spans="1:9" x14ac:dyDescent="0.25">
      <c r="A188" s="94">
        <v>188</v>
      </c>
      <c r="B188" s="110" t="s">
        <v>618</v>
      </c>
      <c r="C188" s="142">
        <v>8550</v>
      </c>
      <c r="D188" s="111" t="s">
        <v>544</v>
      </c>
      <c r="E188" s="116"/>
      <c r="F188" s="99" t="s">
        <v>5</v>
      </c>
      <c r="G188" s="21">
        <f>IFERROR(IFERROR(INDEX(Кат!A:A,MATCH($B188,Кат!$G:$G,0)),INDEX(Торг!$B:$B,MATCH(#REF!,Торг!$I:$I,0))),"")</f>
        <v>201029</v>
      </c>
      <c r="H188" s="21">
        <f>IFERROR(IFERROR(INDEX(Кат!B:B,MATCH($B188,Кат!$G:$G,0)),INDEX(Торг!$B:$B,MATCH(#REF!,Торг!$I:$I,0))),"")</f>
        <v>7223</v>
      </c>
      <c r="I188" s="21" t="str">
        <f>IFERROR(IFERROR(INDEX(Кат!C:C,MATCH($B188,Кат!$G:$G,0)),INDEX(Торг!$B:$B,MATCH(#REF!,Торг!$I:$I,0))),"")</f>
        <v>Преобразователь напряжения (розетка автомобильная) 12/220 Орион ПН-90 1500W</v>
      </c>
    </row>
    <row r="189" spans="1:9" x14ac:dyDescent="0.25">
      <c r="A189" s="94">
        <v>189</v>
      </c>
      <c r="B189" s="97" t="s">
        <v>75</v>
      </c>
      <c r="C189" s="128">
        <v>1500</v>
      </c>
      <c r="D189" s="101"/>
      <c r="E189" s="116"/>
      <c r="F189" s="99" t="s">
        <v>5</v>
      </c>
      <c r="G189" s="21">
        <f>IFERROR(IFERROR(INDEX(Кат!A:A,MATCH($B189,Кат!$G:$G,0)),INDEX(Торг!$B:$B,MATCH(#REF!,Торг!$I:$I,0))),"")</f>
        <v>201030</v>
      </c>
      <c r="H189" s="21">
        <f>IFERROR(IFERROR(INDEX(Кат!B:B,MATCH($B189,Кат!$G:$G,0)),INDEX(Торг!$B:$B,MATCH(#REF!,Торг!$I:$I,0))),"")</f>
        <v>7224</v>
      </c>
      <c r="I189" s="21" t="str">
        <f>IFERROR(IFERROR(INDEX(Кат!C:C,MATCH($B189,Кат!$G:$G,0)),INDEX(Торг!$B:$B,MATCH(#REF!,Торг!$I:$I,0))),"")</f>
        <v>Преобразователь напряжения инверторный 24/12 25А</v>
      </c>
    </row>
    <row r="190" spans="1:9" x14ac:dyDescent="0.25">
      <c r="A190" s="94">
        <v>190</v>
      </c>
      <c r="B190" s="97" t="s">
        <v>76</v>
      </c>
      <c r="C190" s="128">
        <v>1700</v>
      </c>
      <c r="D190" s="101"/>
      <c r="E190" s="116"/>
      <c r="F190" s="99" t="s">
        <v>5</v>
      </c>
      <c r="G190" s="21">
        <f>IFERROR(IFERROR(INDEX(Кат!A:A,MATCH($B190,Кат!$G:$G,0)),INDEX(Торг!$B:$B,MATCH(#REF!,Торг!$I:$I,0))),"")</f>
        <v>201031</v>
      </c>
      <c r="H190" s="21">
        <f>IFERROR(IFERROR(INDEX(Кат!B:B,MATCH($B190,Кат!$G:$G,0)),INDEX(Торг!$B:$B,MATCH(#REF!,Торг!$I:$I,0))),"")</f>
        <v>7225</v>
      </c>
      <c r="I190" s="21" t="str">
        <f>IFERROR(IFERROR(INDEX(Кат!C:C,MATCH($B190,Кат!$G:$G,0)),INDEX(Торг!$B:$B,MATCH(#REF!,Торг!$I:$I,0))),"")</f>
        <v>Преобразователь напряжения инверторный 24/12 35А</v>
      </c>
    </row>
    <row r="191" spans="1:9" x14ac:dyDescent="0.25">
      <c r="A191" s="94">
        <v>191</v>
      </c>
      <c r="B191" s="110" t="s">
        <v>77</v>
      </c>
      <c r="C191" s="128">
        <v>2850</v>
      </c>
      <c r="D191" s="101"/>
      <c r="E191" s="116"/>
      <c r="F191" s="99" t="s">
        <v>5</v>
      </c>
      <c r="G191" s="21">
        <f>IFERROR(IFERROR(INDEX(Кат!A:A,MATCH($B191,Кат!$G:$G,0)),INDEX(Торг!$B:$B,MATCH(#REF!,Торг!$I:$I,0))),"")</f>
        <v>201032</v>
      </c>
      <c r="H191" s="21">
        <f>IFERROR(IFERROR(INDEX(Кат!B:B,MATCH($B191,Кат!$G:$G,0)),INDEX(Торг!$B:$B,MATCH(#REF!,Торг!$I:$I,0))),"")</f>
        <v>7226</v>
      </c>
      <c r="I191" s="21" t="str">
        <f>IFERROR(IFERROR(INDEX(Кат!C:C,MATCH($B191,Кат!$G:$G,0)),INDEX(Торг!$B:$B,MATCH(#REF!,Торг!$I:$I,0))),"")</f>
        <v>Преобразователь напряжения повышающий 12/24 Орион ПН-50 10А</v>
      </c>
    </row>
    <row r="192" spans="1:9" x14ac:dyDescent="0.25">
      <c r="A192" s="94">
        <v>192</v>
      </c>
      <c r="B192" s="97" t="s">
        <v>78</v>
      </c>
      <c r="C192" s="128">
        <v>7</v>
      </c>
      <c r="D192" s="101"/>
      <c r="E192" s="116"/>
      <c r="F192" s="103"/>
      <c r="G192" s="21" t="str">
        <f>IFERROR(IFERROR(INDEX(Кат!A:A,MATCH($B192,Кат!$G:$G,0)),INDEX(Торг!$B:$B,MATCH(#REF!,Торг!$I:$I,0))),"")</f>
        <v/>
      </c>
      <c r="H192" s="21" t="str">
        <f>IFERROR(IFERROR(INDEX(Кат!B:B,MATCH($B192,Кат!$G:$G,0)),INDEX(Торг!$B:$B,MATCH(#REF!,Торг!$I:$I,0))),"")</f>
        <v/>
      </c>
      <c r="I192" s="21" t="str">
        <f>IFERROR(IFERROR(INDEX(Кат!C:C,MATCH($B192,Кат!$G:$G,0)),INDEX(Торг!$B:$B,MATCH(#REF!,Торг!$I:$I,0))),"")</f>
        <v/>
      </c>
    </row>
    <row r="193" spans="1:11" x14ac:dyDescent="0.25">
      <c r="A193" s="94">
        <v>193</v>
      </c>
      <c r="B193" s="97" t="s">
        <v>79</v>
      </c>
      <c r="C193" s="128">
        <v>8</v>
      </c>
      <c r="D193" s="101"/>
      <c r="E193" s="116"/>
      <c r="F193" s="103"/>
      <c r="G193" s="21" t="str">
        <f>IFERROR(IFERROR(INDEX(Кат!A:A,MATCH($B193,Кат!$G:$G,0)),INDEX(Торг!$B:$B,MATCH(#REF!,Торг!$I:$I,0))),"")</f>
        <v/>
      </c>
      <c r="H193" s="21" t="str">
        <f>IFERROR(IFERROR(INDEX(Кат!B:B,MATCH($B193,Кат!$G:$G,0)),INDEX(Торг!$B:$B,MATCH(#REF!,Торг!$I:$I,0))),"")</f>
        <v/>
      </c>
      <c r="I193" s="21" t="str">
        <f>IFERROR(IFERROR(INDEX(Кат!C:C,MATCH($B193,Кат!$G:$G,0)),INDEX(Торг!$B:$B,MATCH(#REF!,Торг!$I:$I,0))),"")</f>
        <v/>
      </c>
    </row>
    <row r="194" spans="1:11" x14ac:dyDescent="0.25">
      <c r="A194" s="94">
        <v>194</v>
      </c>
      <c r="B194" s="97" t="s">
        <v>619</v>
      </c>
      <c r="C194" s="128">
        <v>180</v>
      </c>
      <c r="D194" s="101"/>
      <c r="E194" s="116"/>
      <c r="F194" s="103"/>
      <c r="G194" s="21" t="str">
        <f>IFERROR(IFERROR(INDEX(Кат!A:A,MATCH($B194,Кат!$G:$G,0)),INDEX(Торг!$B:$B,MATCH(#REF!,Торг!$I:$I,0))),"")</f>
        <v/>
      </c>
      <c r="H194" s="21" t="str">
        <f>IFERROR(IFERROR(INDEX(Кат!B:B,MATCH($B194,Кат!$G:$G,0)),INDEX(Торг!$B:$B,MATCH(#REF!,Торг!$I:$I,0))),"")</f>
        <v/>
      </c>
      <c r="I194" s="21" t="str">
        <f>IFERROR(IFERROR(INDEX(Кат!C:C,MATCH($B194,Кат!$G:$G,0)),INDEX(Торг!$B:$B,MATCH(#REF!,Торг!$I:$I,0))),"")</f>
        <v/>
      </c>
    </row>
    <row r="195" spans="1:11" x14ac:dyDescent="0.25">
      <c r="A195" s="94">
        <v>195</v>
      </c>
      <c r="B195" s="97" t="s">
        <v>620</v>
      </c>
      <c r="C195" s="128">
        <v>200</v>
      </c>
      <c r="D195" s="101"/>
      <c r="E195" s="116"/>
      <c r="F195" s="103"/>
      <c r="G195" s="21">
        <f>IFERROR(IFERROR(INDEX(Кат!A:A,MATCH($B195,Кат!$G:$G,0)),INDEX(Торг!$B:$B,MATCH(#REF!,Торг!$I:$I,0))),"")</f>
        <v>131693</v>
      </c>
      <c r="H195" s="21">
        <f>IFERROR(IFERROR(INDEX(Кат!B:B,MATCH($B195,Кат!$G:$G,0)),INDEX(Торг!$B:$B,MATCH(#REF!,Торг!$I:$I,0))),"")</f>
        <v>88672</v>
      </c>
      <c r="I195" s="21" t="str">
        <f>IFERROR(IFERROR(INDEX(Кат!C:C,MATCH($B195,Кат!$G:$G,0)),INDEX(Торг!$B:$B,MATCH(#REF!,Торг!$I:$I,0))),"")</f>
        <v>Активатор замка двери "Вымпел" BCS-5P (5-ти контактный)</v>
      </c>
      <c r="K195" s="23" t="s">
        <v>661</v>
      </c>
    </row>
    <row r="196" spans="1:11" x14ac:dyDescent="0.25">
      <c r="A196" s="94">
        <v>196</v>
      </c>
      <c r="B196" s="97" t="s">
        <v>141</v>
      </c>
      <c r="C196" s="128">
        <v>2500</v>
      </c>
      <c r="D196" s="108"/>
      <c r="E196" s="116"/>
      <c r="F196" s="99" t="s">
        <v>5</v>
      </c>
      <c r="G196" s="21">
        <f>IFERROR(IFERROR(INDEX(Кат!A:A,MATCH($B196,Кат!$G:$G,0)),INDEX(Торг!$B:$B,MATCH(#REF!,Торг!$I:$I,0))),"")</f>
        <v>201294</v>
      </c>
      <c r="H196" s="21">
        <f>IFERROR(IFERROR(INDEX(Кат!B:B,MATCH($B196,Кат!$G:$G,0)),INDEX(Торг!$B:$B,MATCH(#REF!,Торг!$I:$I,0))),"")</f>
        <v>13585</v>
      </c>
      <c r="I196" s="21" t="str">
        <f>IFERROR(IFERROR(INDEX(Кат!C:C,MATCH($B196,Кат!$G:$G,0)),INDEX(Торг!$B:$B,MATCH(#REF!,Торг!$I:$I,0))),"")</f>
        <v>Проводка противотуманных фар (ПТФ) для Лада Веста</v>
      </c>
    </row>
    <row r="197" spans="1:11" x14ac:dyDescent="0.25">
      <c r="A197" s="94">
        <v>197</v>
      </c>
      <c r="B197" s="97" t="s">
        <v>123</v>
      </c>
      <c r="C197" s="128">
        <v>650</v>
      </c>
      <c r="D197" s="108"/>
      <c r="E197" s="116"/>
      <c r="F197" s="99" t="s">
        <v>5</v>
      </c>
      <c r="G197" s="21">
        <f>IFERROR(IFERROR(INDEX(Кат!A:A,MATCH($B197,Кат!$G:$G,0)),INDEX(Торг!$B:$B,MATCH(#REF!,Торг!$I:$I,0))),"")</f>
        <v>201293</v>
      </c>
      <c r="H197" s="21">
        <f>IFERROR(IFERROR(INDEX(Кат!B:B,MATCH($B197,Кат!$G:$G,0)),INDEX(Торг!$B:$B,MATCH(#REF!,Торг!$I:$I,0))),"")</f>
        <v>8009</v>
      </c>
      <c r="I197" s="21" t="str">
        <f>IFERROR(IFERROR(INDEX(Кат!C:C,MATCH($B197,Кат!$G:$G,0)),INDEX(Торг!$B:$B,MATCH(#REF!,Торг!$I:$I,0))),"")</f>
        <v>Проводка противотуманных фар (ПТФ) для Лада Веста</v>
      </c>
    </row>
    <row r="198" spans="1:11" x14ac:dyDescent="0.25">
      <c r="A198" s="94">
        <v>198</v>
      </c>
      <c r="B198" s="97" t="s">
        <v>80</v>
      </c>
      <c r="C198" s="128">
        <v>700</v>
      </c>
      <c r="D198" s="108"/>
      <c r="E198" s="116"/>
      <c r="F198" s="99" t="s">
        <v>5</v>
      </c>
      <c r="G198" s="21">
        <f>IFERROR(IFERROR(INDEX(Кат!A:A,MATCH($B198,Кат!$G:$G,0)),INDEX(Торг!$B:$B,MATCH(#REF!,Торг!$I:$I,0))),"")</f>
        <v>201295</v>
      </c>
      <c r="H198" s="21">
        <f>IFERROR(IFERROR(INDEX(Кат!B:B,MATCH($B198,Кат!$G:$G,0)),INDEX(Торг!$B:$B,MATCH(#REF!,Торг!$I:$I,0))),"")</f>
        <v>4181</v>
      </c>
      <c r="I198" s="21" t="str">
        <f>IFERROR(IFERROR(INDEX(Кат!C:C,MATCH($B198,Кат!$G:$G,0)),INDEX(Торг!$B:$B,MATCH(#REF!,Торг!$I:$I,0))),"")</f>
        <v>Проводка противотуманных фар (ПТФ) для Лада Калина</v>
      </c>
    </row>
    <row r="199" spans="1:11" x14ac:dyDescent="0.25">
      <c r="A199" s="94">
        <v>199</v>
      </c>
      <c r="B199" s="97" t="s">
        <v>81</v>
      </c>
      <c r="C199" s="128">
        <v>700</v>
      </c>
      <c r="D199" s="108"/>
      <c r="E199" s="116"/>
      <c r="F199" s="99" t="s">
        <v>5</v>
      </c>
      <c r="G199" s="21">
        <f>IFERROR(IFERROR(INDEX(Кат!A:A,MATCH($B199,Кат!$G:$G,0)),INDEX(Торг!$B:$B,MATCH(#REF!,Торг!$I:$I,0))),"")</f>
        <v>201297</v>
      </c>
      <c r="H199" s="21">
        <f>IFERROR(IFERROR(INDEX(Кат!B:B,MATCH($B199,Кат!$G:$G,0)),INDEX(Торг!$B:$B,MATCH(#REF!,Торг!$I:$I,0))),"")</f>
        <v>4178</v>
      </c>
      <c r="I199" s="21" t="str">
        <f>IFERROR(IFERROR(INDEX(Кат!C:C,MATCH($B199,Кат!$G:$G,0)),INDEX(Торг!$B:$B,MATCH(#REF!,Торг!$I:$I,0))),"")</f>
        <v>Проводка противотуманных фар (ПТФ) для Лада Приора, Приора 2</v>
      </c>
    </row>
    <row r="200" spans="1:11" x14ac:dyDescent="0.25">
      <c r="A200" s="94">
        <v>200</v>
      </c>
      <c r="B200" s="97" t="s">
        <v>82</v>
      </c>
      <c r="C200" s="128">
        <v>700</v>
      </c>
      <c r="D200" s="108"/>
      <c r="E200" s="116"/>
      <c r="F200" s="99"/>
      <c r="G200" s="21">
        <f>IFERROR(IFERROR(INDEX(Кат!A:A,MATCH($B200,Кат!$G:$G,0)),INDEX(Торг!$B:$B,MATCH(#REF!,Торг!$I:$I,0))),"")</f>
        <v>201296</v>
      </c>
      <c r="H200" s="21">
        <f>IFERROR(IFERROR(INDEX(Кат!B:B,MATCH($B200,Кат!$G:$G,0)),INDEX(Торг!$B:$B,MATCH(#REF!,Торг!$I:$I,0))),"")</f>
        <v>4182</v>
      </c>
      <c r="I200" s="21" t="str">
        <f>IFERROR(IFERROR(INDEX(Кат!C:C,MATCH($B200,Кат!$G:$G,0)),INDEX(Торг!$B:$B,MATCH(#REF!,Торг!$I:$I,0))),"")</f>
        <v>Проводка противотуманных фар (ПТФ) для Лада Калина 2, Гранта</v>
      </c>
    </row>
    <row r="201" spans="1:11" x14ac:dyDescent="0.25">
      <c r="A201" s="94">
        <v>201</v>
      </c>
      <c r="B201" s="97" t="s">
        <v>405</v>
      </c>
      <c r="C201" s="128">
        <v>700</v>
      </c>
      <c r="D201" s="108"/>
      <c r="E201" s="116"/>
      <c r="F201" s="99"/>
      <c r="G201" s="21">
        <f>IFERROR(IFERROR(INDEX(Кат!A:A,MATCH($B201,Кат!$G:$G,0)),INDEX(Торг!$B:$B,MATCH(#REF!,Торг!$I:$I,0))),"")</f>
        <v>201299</v>
      </c>
      <c r="H201" s="21">
        <f>IFERROR(IFERROR(INDEX(Кат!B:B,MATCH($B201,Кат!$G:$G,0)),INDEX(Торг!$B:$B,MATCH(#REF!,Торг!$I:$I,0))),"")</f>
        <v>31513</v>
      </c>
      <c r="I201" s="21" t="str">
        <f>IFERROR(IFERROR(INDEX(Кат!C:C,MATCH($B201,Кат!$G:$G,0)),INDEX(Торг!$B:$B,MATCH(#REF!,Торг!$I:$I,0))),"")</f>
        <v>Проводка противотуманных фар (ПТФ) с белой подсветкой для Лада Гранта FL</v>
      </c>
    </row>
    <row r="202" spans="1:11" x14ac:dyDescent="0.25">
      <c r="A202" s="94">
        <v>202</v>
      </c>
      <c r="B202" s="97" t="s">
        <v>83</v>
      </c>
      <c r="C202" s="128">
        <v>500</v>
      </c>
      <c r="D202" s="108"/>
      <c r="E202" s="116"/>
      <c r="F202" s="103"/>
      <c r="G202" s="21">
        <f>IFERROR(IFERROR(INDEX(Кат!A:A,MATCH($B202,Кат!$G:$G,0)),INDEX(Торг!$B:$B,MATCH(#REF!,Торг!$I:$I,0))),"")</f>
        <v>201288</v>
      </c>
      <c r="H202" s="21">
        <f>IFERROR(IFERROR(INDEX(Кат!B:B,MATCH($B202,Кат!$G:$G,0)),INDEX(Торг!$B:$B,MATCH(#REF!,Торг!$I:$I,0))),"")</f>
        <v>4192</v>
      </c>
      <c r="I202" s="21" t="str">
        <f>IFERROR(IFERROR(INDEX(Кат!C:C,MATCH($B202,Кат!$G:$G,0)),INDEX(Торг!$B:$B,MATCH(#REF!,Торг!$I:$I,0))),"")</f>
        <v>Проводка противотуманных фар (ПТФ) для ВАЗ 2104, 2105, 2107</v>
      </c>
    </row>
    <row r="203" spans="1:11" x14ac:dyDescent="0.25">
      <c r="A203" s="94">
        <v>203</v>
      </c>
      <c r="B203" s="97" t="s">
        <v>84</v>
      </c>
      <c r="C203" s="128">
        <v>500</v>
      </c>
      <c r="D203" s="108"/>
      <c r="E203" s="116"/>
      <c r="F203" s="103"/>
      <c r="G203" s="21">
        <f>IFERROR(IFERROR(INDEX(Кат!A:A,MATCH($B203,Кат!$G:$G,0)),INDEX(Торг!$B:$B,MATCH(#REF!,Торг!$I:$I,0))),"")</f>
        <v>201287</v>
      </c>
      <c r="H203" s="21">
        <f>IFERROR(IFERROR(INDEX(Кат!B:B,MATCH($B203,Кат!$G:$G,0)),INDEX(Торг!$B:$B,MATCH(#REF!,Торг!$I:$I,0))),"")</f>
        <v>12131</v>
      </c>
      <c r="I203" s="21" t="str">
        <f>IFERROR(IFERROR(INDEX(Кат!C:C,MATCH($B203,Кат!$G:$G,0)),INDEX(Торг!$B:$B,MATCH(#REF!,Торг!$I:$I,0))),"")</f>
        <v>Проводка противотуманных фар (ПТФ) для ВАЗ (2103, 2106), Лада Нива 4х4</v>
      </c>
    </row>
    <row r="204" spans="1:11" x14ac:dyDescent="0.25">
      <c r="A204" s="94">
        <v>204</v>
      </c>
      <c r="B204" s="97" t="s">
        <v>85</v>
      </c>
      <c r="C204" s="128">
        <v>500</v>
      </c>
      <c r="D204" s="108"/>
      <c r="E204" s="116"/>
      <c r="F204" s="103"/>
      <c r="G204" s="21">
        <f>IFERROR(IFERROR(INDEX(Кат!A:A,MATCH($B204,Кат!$G:$G,0)),INDEX(Торг!$B:$B,MATCH(#REF!,Торг!$I:$I,0))),"")</f>
        <v>201289</v>
      </c>
      <c r="H204" s="21">
        <f>IFERROR(IFERROR(INDEX(Кат!B:B,MATCH($B204,Кат!$G:$G,0)),INDEX(Торг!$B:$B,MATCH(#REF!,Торг!$I:$I,0))),"")</f>
        <v>4184</v>
      </c>
      <c r="I204" s="21" t="str">
        <f>IFERROR(IFERROR(INDEX(Кат!C:C,MATCH($B204,Кат!$G:$G,0)),INDEX(Торг!$B:$B,MATCH(#REF!,Торг!$I:$I,0))),"")</f>
        <v>Проводка противотуманных фар (ПТФ) для ВАЗ 2108-21099</v>
      </c>
    </row>
    <row r="205" spans="1:11" x14ac:dyDescent="0.25">
      <c r="A205" s="94">
        <v>205</v>
      </c>
      <c r="B205" s="97" t="s">
        <v>86</v>
      </c>
      <c r="C205" s="128">
        <v>700</v>
      </c>
      <c r="D205" s="108"/>
      <c r="E205" s="116"/>
      <c r="F205" s="103"/>
      <c r="G205" s="21">
        <f>IFERROR(IFERROR(INDEX(Кат!A:A,MATCH($B205,Кат!$G:$G,0)),INDEX(Торг!$B:$B,MATCH(#REF!,Торг!$I:$I,0))),"")</f>
        <v>201290</v>
      </c>
      <c r="H205" s="21">
        <f>IFERROR(IFERROR(INDEX(Кат!B:B,MATCH($B205,Кат!$G:$G,0)),INDEX(Торг!$B:$B,MATCH(#REF!,Торг!$I:$I,0))),"")</f>
        <v>4180</v>
      </c>
      <c r="I205" s="21" t="str">
        <f>IFERROR(IFERROR(INDEX(Кат!C:C,MATCH($B205,Кат!$G:$G,0)),INDEX(Торг!$B:$B,MATCH(#REF!,Торг!$I:$I,0))),"")</f>
        <v>Проводка противотуманных фар (ПТФ) для ВАЗ 2110-2112</v>
      </c>
    </row>
    <row r="206" spans="1:11" x14ac:dyDescent="0.25">
      <c r="A206" s="94">
        <v>206</v>
      </c>
      <c r="B206" s="97" t="s">
        <v>87</v>
      </c>
      <c r="C206" s="128">
        <v>600</v>
      </c>
      <c r="D206" s="108"/>
      <c r="E206" s="116"/>
      <c r="F206" s="103"/>
      <c r="G206" s="21">
        <f>IFERROR(IFERROR(INDEX(Кат!A:A,MATCH($B206,Кат!$G:$G,0)),INDEX(Торг!$B:$B,MATCH(#REF!,Торг!$I:$I,0))),"")</f>
        <v>201291</v>
      </c>
      <c r="H206" s="21">
        <f>IFERROR(IFERROR(INDEX(Кат!B:B,MATCH($B206,Кат!$G:$G,0)),INDEX(Торг!$B:$B,MATCH(#REF!,Торг!$I:$I,0))),"")</f>
        <v>4179</v>
      </c>
      <c r="I206" s="21" t="str">
        <f>IFERROR(IFERROR(INDEX(Кат!C:C,MATCH($B206,Кат!$G:$G,0)),INDEX(Торг!$B:$B,MATCH(#REF!,Торг!$I:$I,0))),"")</f>
        <v>Проводка противотуманных фар (ПТФ) для ВАЗ 2110-2112 (с европанелью)</v>
      </c>
    </row>
    <row r="207" spans="1:11" x14ac:dyDescent="0.25">
      <c r="A207" s="94">
        <v>207</v>
      </c>
      <c r="B207" s="97" t="s">
        <v>88</v>
      </c>
      <c r="C207" s="128">
        <v>500</v>
      </c>
      <c r="D207" s="108"/>
      <c r="E207" s="116"/>
      <c r="F207" s="103"/>
      <c r="G207" s="21">
        <f>IFERROR(IFERROR(INDEX(Кат!A:A,MATCH($B207,Кат!$G:$G,0)),INDEX(Торг!$B:$B,MATCH(#REF!,Торг!$I:$I,0))),"")</f>
        <v>201292</v>
      </c>
      <c r="H207" s="21">
        <f>IFERROR(IFERROR(INDEX(Кат!B:B,MATCH($B207,Кат!$G:$G,0)),INDEX(Торг!$B:$B,MATCH(#REF!,Торг!$I:$I,0))),"")</f>
        <v>16062</v>
      </c>
      <c r="I207" s="21" t="str">
        <f>IFERROR(IFERROR(INDEX(Кат!C:C,MATCH($B207,Кат!$G:$G,0)),INDEX(Торг!$B:$B,MATCH(#REF!,Торг!$I:$I,0))),"")</f>
        <v>Проводка противотуманных фар (ПТФ) для ВАЗ 2113-2115</v>
      </c>
    </row>
    <row r="208" spans="1:11" x14ac:dyDescent="0.25">
      <c r="A208" s="94">
        <v>208</v>
      </c>
      <c r="B208" s="97" t="s">
        <v>89</v>
      </c>
      <c r="C208" s="128">
        <v>700</v>
      </c>
      <c r="D208" s="108"/>
      <c r="E208" s="116"/>
      <c r="F208" s="103"/>
      <c r="G208" s="21">
        <f>IFERROR(IFERROR(INDEX(Кат!A:A,MATCH($B208,Кат!$G:$G,0)),INDEX(Торг!$B:$B,MATCH(#REF!,Торг!$I:$I,0))),"")</f>
        <v>201298</v>
      </c>
      <c r="H208" s="21">
        <f>IFERROR(IFERROR(INDEX(Кат!B:B,MATCH($B208,Кат!$G:$G,0)),INDEX(Торг!$B:$B,MATCH(#REF!,Торг!$I:$I,0))),"")</f>
        <v>4187</v>
      </c>
      <c r="I208" s="21" t="str">
        <f>IFERROR(IFERROR(INDEX(Кат!C:C,MATCH($B208,Кат!$G:$G,0)),INDEX(Торг!$B:$B,MATCH(#REF!,Торг!$I:$I,0))),"")</f>
        <v>Проводка противотуманных фар (ПТФ) для Шевроле Нива (с 2009 г. в.)</v>
      </c>
    </row>
    <row r="209" spans="1:9" x14ac:dyDescent="0.25">
      <c r="A209" s="94">
        <v>209</v>
      </c>
      <c r="B209" s="97" t="s">
        <v>571</v>
      </c>
      <c r="C209" s="128">
        <v>700</v>
      </c>
      <c r="D209" s="108"/>
      <c r="E209" s="116"/>
      <c r="F209" s="103"/>
      <c r="G209" s="21" t="str">
        <f>IFERROR(IFERROR(INDEX(Кат!A:A,MATCH($B209,Кат!$G:$G,0)),INDEX(Торг!$B:$B,MATCH(#REF!,Торг!$I:$I,0))),"")</f>
        <v/>
      </c>
      <c r="H209" s="21" t="str">
        <f>IFERROR(IFERROR(INDEX(Кат!B:B,MATCH($B209,Кат!$G:$G,0)),INDEX(Торг!$B:$B,MATCH(#REF!,Торг!$I:$I,0))),"")</f>
        <v/>
      </c>
      <c r="I209" s="21" t="str">
        <f>IFERROR(IFERROR(INDEX(Кат!C:C,MATCH($B209,Кат!$G:$G,0)),INDEX(Торг!$B:$B,MATCH(#REF!,Торг!$I:$I,0))),"")</f>
        <v/>
      </c>
    </row>
    <row r="210" spans="1:9" x14ac:dyDescent="0.25">
      <c r="A210" s="94">
        <v>210</v>
      </c>
      <c r="B210" s="97" t="s">
        <v>90</v>
      </c>
      <c r="C210" s="133">
        <v>2500</v>
      </c>
      <c r="D210" s="101"/>
      <c r="E210" s="116"/>
      <c r="F210" s="99" t="s">
        <v>5</v>
      </c>
      <c r="G210" s="21">
        <f>IFERROR(IFERROR(INDEX(Кат!A:A,MATCH($B210,Кат!$G:$G,0)),INDEX(Торг!$B:$B,MATCH(#REF!,Торг!$I:$I,0))),"")</f>
        <v>201307</v>
      </c>
      <c r="H210" s="21">
        <f>IFERROR(IFERROR(INDEX(Кат!B:B,MATCH($B210,Кат!$G:$G,0)),INDEX(Торг!$B:$B,MATCH(#REF!,Торг!$I:$I,0))),"")</f>
        <v>7257</v>
      </c>
      <c r="I210" s="21" t="str">
        <f>IFERROR(IFERROR(INDEX(Кат!C:C,MATCH($B210,Кат!$G:$G,0)),INDEX(Торг!$B:$B,MATCH(#REF!,Торг!$I:$I,0))),"")</f>
        <v>Программатор одометров ПО-4</v>
      </c>
    </row>
    <row r="211" spans="1:9" x14ac:dyDescent="0.25">
      <c r="A211" s="94">
        <v>211</v>
      </c>
      <c r="B211" s="97" t="s">
        <v>91</v>
      </c>
      <c r="C211" s="133">
        <v>3450</v>
      </c>
      <c r="D211" s="101"/>
      <c r="E211" s="116"/>
      <c r="F211" s="99" t="s">
        <v>5</v>
      </c>
      <c r="G211" s="21">
        <f>IFERROR(IFERROR(INDEX(Кат!A:A,MATCH($B211,Кат!$G:$G,0)),INDEX(Торг!$B:$B,MATCH(#REF!,Торг!$I:$I,0))),"")</f>
        <v>201308</v>
      </c>
      <c r="H211" s="21">
        <f>IFERROR(IFERROR(INDEX(Кат!B:B,MATCH($B211,Кат!$G:$G,0)),INDEX(Торг!$B:$B,MATCH(#REF!,Торг!$I:$I,0))),"")</f>
        <v>7258</v>
      </c>
      <c r="I211" s="21" t="str">
        <f>IFERROR(IFERROR(INDEX(Кат!C:C,MATCH($B211,Кат!$G:$G,0)),INDEX(Торг!$B:$B,MATCH(#REF!,Торг!$I:$I,0))),"")</f>
        <v>Программатор одометров ПО-5</v>
      </c>
    </row>
    <row r="212" spans="1:9" x14ac:dyDescent="0.25">
      <c r="A212" s="94">
        <v>212</v>
      </c>
      <c r="B212" s="97" t="s">
        <v>124</v>
      </c>
      <c r="C212" s="133">
        <v>8000</v>
      </c>
      <c r="D212" s="101" t="s">
        <v>544</v>
      </c>
      <c r="E212" s="116"/>
      <c r="F212" s="99" t="s">
        <v>5</v>
      </c>
      <c r="G212" s="21">
        <f>IFERROR(IFERROR(INDEX(Кат!A:A,MATCH($B212,Кат!$G:$G,0)),INDEX(Торг!$B:$B,MATCH(#REF!,Торг!$I:$I,0))),"")</f>
        <v>201306</v>
      </c>
      <c r="H212" s="21">
        <f>IFERROR(IFERROR(INDEX(Кат!B:B,MATCH($B212,Кат!$G:$G,0)),INDEX(Торг!$B:$B,MATCH(#REF!,Торг!$I:$I,0))),"")</f>
        <v>24538</v>
      </c>
      <c r="I212" s="21" t="str">
        <f>IFERROR(IFERROR(INDEX(Кат!C:C,MATCH($B212,Кат!$G:$G,0)),INDEX(Торг!$B:$B,MATCH(#REF!,Торг!$I:$I,0))),"")</f>
        <v>Программатор одометров "АПЭЛ" ПО-5 PRO</v>
      </c>
    </row>
    <row r="213" spans="1:9" x14ac:dyDescent="0.25">
      <c r="A213" s="94">
        <v>213</v>
      </c>
      <c r="B213" s="97" t="s">
        <v>145</v>
      </c>
      <c r="C213" s="128">
        <v>3100</v>
      </c>
      <c r="D213" s="101"/>
      <c r="E213" s="116"/>
      <c r="F213" s="99" t="s">
        <v>5</v>
      </c>
      <c r="G213" s="21">
        <f>IFERROR(IFERROR(INDEX(Кат!A:A,MATCH($B213,Кат!$G:$G,0)),INDEX(Торг!$B:$B,MATCH(#REF!,Торг!$I:$I,0))),"")</f>
        <v>131559</v>
      </c>
      <c r="H213" s="21">
        <f>IFERROR(IFERROR(INDEX(Кат!B:B,MATCH($B213,Кат!$G:$G,0)),INDEX(Торг!$B:$B,MATCH(#REF!,Торг!$I:$I,0))),"")</f>
        <v>7259</v>
      </c>
      <c r="I213" s="21" t="str">
        <f>IFERROR(IFERROR(INDEX(Кат!C:C,MATCH($B213,Кат!$G:$G,0)),INDEX(Торг!$B:$B,MATCH(#REF!,Торг!$I:$I,0))),"")</f>
        <v>Адаптер BDM-ПО5 для программатора ПО-5</v>
      </c>
    </row>
    <row r="214" spans="1:9" x14ac:dyDescent="0.25">
      <c r="A214" s="94">
        <v>214</v>
      </c>
      <c r="B214" s="97" t="s">
        <v>92</v>
      </c>
      <c r="C214" s="128">
        <v>1500</v>
      </c>
      <c r="D214" s="101"/>
      <c r="E214" s="116"/>
      <c r="F214" s="99" t="s">
        <v>5</v>
      </c>
      <c r="G214" s="21">
        <f>IFERROR(IFERROR(INDEX(Кат!A:A,MATCH($B214,Кат!$G:$G,0)),INDEX(Торг!$B:$B,MATCH(#REF!,Торг!$I:$I,0))),"")</f>
        <v>131560</v>
      </c>
      <c r="H214" s="21">
        <f>IFERROR(IFERROR(INDEX(Кат!B:B,MATCH($B214,Кат!$G:$G,0)),INDEX(Торг!$B:$B,MATCH(#REF!,Торг!$I:$I,0))),"")</f>
        <v>7260</v>
      </c>
      <c r="I214" s="21" t="str">
        <f>IFERROR(IFERROR(INDEX(Кат!C:C,MATCH($B214,Кат!$G:$G,0)),INDEX(Торг!$B:$B,MATCH(#REF!,Торг!$I:$I,0))),"")</f>
        <v>Адаптер EEPROM-ПО5 для программатора ПО-5</v>
      </c>
    </row>
    <row r="215" spans="1:9" x14ac:dyDescent="0.25">
      <c r="A215" s="94">
        <v>215</v>
      </c>
      <c r="B215" s="107" t="s">
        <v>93</v>
      </c>
      <c r="C215" s="128">
        <v>1900</v>
      </c>
      <c r="D215" s="108"/>
      <c r="E215" s="116"/>
      <c r="F215" s="99" t="s">
        <v>5</v>
      </c>
      <c r="G215" s="21">
        <f>IFERROR(IFERROR(INDEX(Кат!A:A,MATCH($B215,Кат!$G:$G,0)),INDEX(Торг!$B:$B,MATCH(#REF!,Торг!$I:$I,0))),"")</f>
        <v>117065</v>
      </c>
      <c r="H215" s="21">
        <f>IFERROR(IFERROR(INDEX(Кат!B:B,MATCH($B215,Кат!$G:$G,0)),INDEX(Торг!$B:$B,MATCH(#REF!,Торг!$I:$I,0))),"")</f>
        <v>7262</v>
      </c>
      <c r="I215" s="21" t="str">
        <f>IFERROR(IFERROR(INDEX(Кат!C:C,MATCH($B215,Кат!$G:$G,0)),INDEX(Торг!$B:$B,MATCH(#REF!,Торг!$I:$I,0))),"")</f>
        <v>CAN-подмотчик (имитатор сигнала скорости) на Lada Granta, Kalina 2, Priora 2</v>
      </c>
    </row>
    <row r="216" spans="1:9" x14ac:dyDescent="0.25">
      <c r="A216" s="94">
        <v>216</v>
      </c>
      <c r="B216" s="97" t="s">
        <v>621</v>
      </c>
      <c r="C216" s="141">
        <v>3100</v>
      </c>
      <c r="D216" s="111" t="s">
        <v>541</v>
      </c>
      <c r="E216" s="116"/>
      <c r="F216" s="99" t="s">
        <v>5</v>
      </c>
      <c r="G216" s="21">
        <f>IFERROR(IFERROR(INDEX(Кат!A:A,MATCH($B216,Кат!$G:$G,0)),INDEX(Торг!$B:$B,MATCH(#REF!,Торг!$I:$I,0))),"")</f>
        <v>202283</v>
      </c>
      <c r="H216" s="21">
        <f>IFERROR(IFERROR(INDEX(Кат!B:B,MATCH($B216,Кат!$G:$G,0)),INDEX(Торг!$B:$B,MATCH(#REF!,Торг!$I:$I,0))),"")</f>
        <v>10044</v>
      </c>
      <c r="I216" s="21" t="str">
        <f>IFERROR(IFERROR(INDEX(Кат!C:C,MATCH($B216,Кат!$G:$G,0)),INDEX(Торг!$B:$B,MATCH(#REF!,Торг!$I:$I,0))),"")</f>
        <v>Радар-детектор Орион 525</v>
      </c>
    </row>
    <row r="217" spans="1:9" ht="25.5" x14ac:dyDescent="0.25">
      <c r="A217" s="94">
        <v>217</v>
      </c>
      <c r="B217" s="97" t="s">
        <v>622</v>
      </c>
      <c r="C217" s="141">
        <v>3700</v>
      </c>
      <c r="D217" s="111" t="s">
        <v>541</v>
      </c>
      <c r="E217" s="116"/>
      <c r="F217" s="99" t="s">
        <v>5</v>
      </c>
      <c r="G217" s="21">
        <f>IFERROR(IFERROR(INDEX(Кат!A:A,MATCH($B217,Кат!$G:$G,0)),INDEX(Торг!$B:$B,MATCH(#REF!,Торг!$I:$I,0))),"")</f>
        <v>202284</v>
      </c>
      <c r="H217" s="21">
        <f>IFERROR(IFERROR(INDEX(Кат!B:B,MATCH($B217,Кат!$G:$G,0)),INDEX(Торг!$B:$B,MATCH(#REF!,Торг!$I:$I,0))),"")</f>
        <v>10045</v>
      </c>
      <c r="I217" s="21" t="str">
        <f>IFERROR(IFERROR(INDEX(Кат!C:C,MATCH($B217,Кат!$G:$G,0)),INDEX(Торг!$B:$B,MATCH(#REF!,Торг!$I:$I,0))),"")</f>
        <v>Радар-детектор Орион 575</v>
      </c>
    </row>
    <row r="218" spans="1:9" x14ac:dyDescent="0.25">
      <c r="A218" s="94">
        <v>218</v>
      </c>
      <c r="B218" s="97" t="s">
        <v>94</v>
      </c>
      <c r="C218" s="133">
        <v>440</v>
      </c>
      <c r="D218" s="101"/>
      <c r="E218" s="116"/>
      <c r="F218" s="99" t="s">
        <v>5</v>
      </c>
      <c r="G218" s="21">
        <f>IFERROR(IFERROR(INDEX(Кат!A:A,MATCH($B218,Кат!$G:$G,0)),INDEX(Торг!$B:$B,MATCH(#REF!,Торг!$I:$I,0))),"")</f>
        <v>203206</v>
      </c>
      <c r="H218" s="21">
        <f>IFERROR(IFERROR(INDEX(Кат!B:B,MATCH($B218,Кат!$G:$G,0)),INDEX(Торг!$B:$B,MATCH(#REF!,Торг!$I:$I,0))),"")</f>
        <v>7212</v>
      </c>
      <c r="I218" s="21" t="str">
        <f>IFERROR(IFERROR(INDEX(Кат!C:C,MATCH($B218,Кат!$G:$G,0)),INDEX(Торг!$B:$B,MATCH(#REF!,Торг!$I:$I,0))),"")</f>
        <v>Регулятор обогрева стекла с автоматом «РОСТ» на Lada</v>
      </c>
    </row>
    <row r="219" spans="1:9" x14ac:dyDescent="0.25">
      <c r="A219" s="94">
        <v>219</v>
      </c>
      <c r="B219" s="97" t="s">
        <v>95</v>
      </c>
      <c r="C219" s="133">
        <v>340</v>
      </c>
      <c r="D219" s="101"/>
      <c r="E219" s="116"/>
      <c r="F219" s="99" t="s">
        <v>5</v>
      </c>
      <c r="G219" s="21">
        <f>IFERROR(IFERROR(INDEX(Кат!A:A,MATCH($B219,Кат!$G:$G,0)),INDEX(Торг!$B:$B,MATCH(#REF!,Торг!$I:$I,0))),"")</f>
        <v>203205</v>
      </c>
      <c r="H219" s="21">
        <f>IFERROR(IFERROR(INDEX(Кат!B:B,MATCH($B219,Кат!$G:$G,0)),INDEX(Торг!$B:$B,MATCH(#REF!,Торг!$I:$I,0))),"")</f>
        <v>7211</v>
      </c>
      <c r="I219" s="21" t="str">
        <f>IFERROR(IFERROR(INDEX(Кат!C:C,MATCH($B219,Кат!$G:$G,0)),INDEX(Торг!$B:$B,MATCH(#REF!,Торг!$I:$I,0))),"")</f>
        <v>Регулятор обогрева сидений с автоматом «РОС» на Lada</v>
      </c>
    </row>
    <row r="220" spans="1:9" x14ac:dyDescent="0.25">
      <c r="A220" s="94">
        <v>220</v>
      </c>
      <c r="B220" s="97" t="s">
        <v>96</v>
      </c>
      <c r="C220" s="133">
        <v>440</v>
      </c>
      <c r="D220" s="101"/>
      <c r="E220" s="116"/>
      <c r="F220" s="99" t="s">
        <v>5</v>
      </c>
      <c r="G220" s="21">
        <f>IFERROR(IFERROR(INDEX(Кат!A:A,MATCH($B220,Кат!$G:$G,0)),INDEX(Торг!$B:$B,MATCH(#REF!,Торг!$I:$I,0))),"")</f>
        <v>203204</v>
      </c>
      <c r="H220" s="21">
        <f>IFERROR(IFERROR(INDEX(Кат!B:B,MATCH($B220,Кат!$G:$G,0)),INDEX(Торг!$B:$B,MATCH(#REF!,Торг!$I:$I,0))),"")</f>
        <v>7227</v>
      </c>
      <c r="I220" s="21" t="str">
        <f>IFERROR(IFERROR(INDEX(Кат!C:C,MATCH($B220,Кат!$G:$G,0)),INDEX(Торг!$B:$B,MATCH(#REF!,Торг!$I:$I,0))),"")</f>
        <v>Регулятор обогрева сидений РОС-2</v>
      </c>
    </row>
    <row r="221" spans="1:9" x14ac:dyDescent="0.25">
      <c r="A221" s="94">
        <v>221</v>
      </c>
      <c r="B221" s="97" t="s">
        <v>406</v>
      </c>
      <c r="C221" s="128">
        <v>650</v>
      </c>
      <c r="D221" s="101"/>
      <c r="E221" s="116"/>
      <c r="F221" s="99" t="s">
        <v>5</v>
      </c>
      <c r="G221" s="21">
        <f>IFERROR(IFERROR(INDEX(Кат!A:A,MATCH($B221,Кат!$G:$G,0)),INDEX(Торг!$B:$B,MATCH(#REF!,Торг!$I:$I,0))),"")</f>
        <v>164010</v>
      </c>
      <c r="H221" s="21">
        <f>IFERROR(IFERROR(INDEX(Кат!B:B,MATCH($B221,Кат!$G:$G,0)),INDEX(Торг!$B:$B,MATCH(#REF!,Торг!$I:$I,0))),"")</f>
        <v>12747</v>
      </c>
      <c r="I221" s="21" t="str">
        <f>IFERROR(IFERROR(INDEX(Кат!C:C,MATCH($B221,Кат!$G:$G,0)),INDEX(Торг!$B:$B,MATCH(#REF!,Торг!$I:$I,0))),"")</f>
        <v>Модуль автоматического управления светом «МАУС-2» на ВАЗ</v>
      </c>
    </row>
    <row r="222" spans="1:9" x14ac:dyDescent="0.25">
      <c r="A222" s="94">
        <v>222</v>
      </c>
      <c r="B222" s="97" t="s">
        <v>97</v>
      </c>
      <c r="C222" s="128">
        <v>350</v>
      </c>
      <c r="D222" s="102"/>
      <c r="E222" s="116"/>
      <c r="F222" s="99" t="s">
        <v>5</v>
      </c>
      <c r="G222" s="21">
        <f>IFERROR(IFERROR(INDEX(Кат!A:A,MATCH($B222,Кат!$G:$G,0)),INDEX(Торг!$B:$B,MATCH(#REF!,Торг!$I:$I,0))),"")</f>
        <v>203958</v>
      </c>
      <c r="H222" s="21">
        <f>IFERROR(IFERROR(INDEX(Кат!B:B,MATCH($B222,Кат!$G:$G,0)),INDEX(Торг!$B:$B,MATCH(#REF!,Торг!$I:$I,0))),"")</f>
        <v>24540</v>
      </c>
      <c r="I222" s="21" t="str">
        <f>IFERROR(IFERROR(INDEX(Кат!C:C,MATCH($B222,Кат!$G:$G,0)),INDEX(Торг!$B:$B,MATCH(#REF!,Торг!$I:$I,0))),"")</f>
        <v>Реле мигания дополнительного стоп-сигнала</v>
      </c>
    </row>
    <row r="223" spans="1:9" x14ac:dyDescent="0.25">
      <c r="A223" s="94">
        <v>223</v>
      </c>
      <c r="B223" s="107" t="s">
        <v>162</v>
      </c>
      <c r="C223" s="128">
        <v>320</v>
      </c>
      <c r="D223" s="108"/>
      <c r="E223" s="116"/>
      <c r="F223" s="99" t="s">
        <v>5</v>
      </c>
      <c r="G223" s="21">
        <f>IFERROR(IFERROR(INDEX(Кат!A:A,MATCH($B223,Кат!$G:$G,0)),INDEX(Торг!$B:$B,MATCH(#REF!,Торг!$I:$I,0))),"")</f>
        <v>203945</v>
      </c>
      <c r="H223" s="21">
        <f>IFERROR(IFERROR(INDEX(Кат!B:B,MATCH($B223,Кат!$G:$G,0)),INDEX(Торг!$B:$B,MATCH(#REF!,Торг!$I:$I,0))),"")</f>
        <v>7203</v>
      </c>
      <c r="I223" s="21" t="str">
        <f>IFERROR(IFERROR(INDEX(Кат!C:C,MATCH($B223,Кат!$G:$G,0)),INDEX(Торг!$B:$B,MATCH(#REF!,Торг!$I:$I,0))),"")</f>
        <v>Реле автосвета "Незабудка 2" на автомобили Lada</v>
      </c>
    </row>
    <row r="224" spans="1:9" x14ac:dyDescent="0.25">
      <c r="A224" s="94">
        <v>224</v>
      </c>
      <c r="B224" s="107" t="s">
        <v>172</v>
      </c>
      <c r="C224" s="128">
        <v>145</v>
      </c>
      <c r="D224" s="102"/>
      <c r="E224" s="116"/>
      <c r="F224" s="99" t="s">
        <v>5</v>
      </c>
      <c r="G224" s="21">
        <f>IFERROR(IFERROR(INDEX(Кат!A:A,MATCH($B224,Кат!$G:$G,0)),INDEX(Торг!$B:$B,MATCH(#REF!,Торг!$I:$I,0))),"")</f>
        <v>203954</v>
      </c>
      <c r="H224" s="21">
        <f>IFERROR(IFERROR(INDEX(Кат!B:B,MATCH($B224,Кат!$G:$G,0)),INDEX(Торг!$B:$B,MATCH(#REF!,Торг!$I:$I,0))),"")</f>
        <v>24541</v>
      </c>
      <c r="I224" s="21" t="str">
        <f>IFERROR(IFERROR(INDEX(Кат!C:C,MATCH($B224,Кат!$G:$G,0)),INDEX(Торг!$B:$B,MATCH(#REF!,Торг!$I:$I,0))),"")</f>
        <v>Реле диодных указателей поворота (3-х контактное) для ВАЗ (2108-21099, 2110-2112, 2113-2115), Лада Нива Legend</v>
      </c>
    </row>
    <row r="225" spans="1:9" ht="25.5" x14ac:dyDescent="0.25">
      <c r="A225" s="94">
        <v>225</v>
      </c>
      <c r="B225" s="107" t="s">
        <v>455</v>
      </c>
      <c r="C225" s="128">
        <v>1150</v>
      </c>
      <c r="D225" s="102"/>
      <c r="E225" s="116"/>
      <c r="F225" s="99" t="s">
        <v>5</v>
      </c>
      <c r="G225" s="21" t="str">
        <f>IFERROR(IFERROR(INDEX(Кат!A:A,MATCH($B225,Кат!$G:$G,0)),INDEX(Торг!$B:$B,MATCH(#REF!,Торг!$I:$I,0))),"")</f>
        <v/>
      </c>
      <c r="H225" s="21" t="str">
        <f>IFERROR(IFERROR(INDEX(Кат!B:B,MATCH($B225,Кат!$G:$G,0)),INDEX(Торг!$B:$B,MATCH(#REF!,Торг!$I:$I,0))),"")</f>
        <v/>
      </c>
      <c r="I225" s="21" t="str">
        <f>IFERROR(IFERROR(INDEX(Кат!C:C,MATCH($B225,Кат!$G:$G,0)),INDEX(Торг!$B:$B,MATCH(#REF!,Торг!$I:$I,0))),"")</f>
        <v/>
      </c>
    </row>
    <row r="226" spans="1:9" ht="25.5" x14ac:dyDescent="0.25">
      <c r="A226" s="94">
        <v>226</v>
      </c>
      <c r="B226" s="95" t="s">
        <v>98</v>
      </c>
      <c r="C226" s="128">
        <v>660</v>
      </c>
      <c r="D226" s="102"/>
      <c r="E226" s="116"/>
      <c r="F226" s="99" t="s">
        <v>5</v>
      </c>
      <c r="G226" s="21">
        <f>IFERROR(IFERROR(INDEX(Кат!A:A,MATCH($B226,Кат!$G:$G,0)),INDEX(Торг!$B:$B,MATCH(#REF!,Торг!$I:$I,0))),"")</f>
        <v>164032</v>
      </c>
      <c r="H226" s="21">
        <f>IFERROR(IFERROR(INDEX(Кат!B:B,MATCH($B226,Кат!$G:$G,0)),INDEX(Торг!$B:$B,MATCH(#REF!,Торг!$I:$I,0))),"")</f>
        <v>7208</v>
      </c>
      <c r="I226" s="21" t="str">
        <f>IFERROR(IFERROR(INDEX(Кат!C:C,MATCH($B226,Кат!$G:$G,0)),INDEX(Торг!$B:$B,MATCH(#REF!,Торг!$I:$I,0))),"")</f>
        <v>Модуль защиты ламп (H7) ближнего света на автомобили Lada</v>
      </c>
    </row>
    <row r="227" spans="1:9" x14ac:dyDescent="0.25">
      <c r="A227" s="94">
        <v>227</v>
      </c>
      <c r="B227" s="95" t="s">
        <v>99</v>
      </c>
      <c r="C227" s="128">
        <v>660</v>
      </c>
      <c r="D227" s="102"/>
      <c r="E227" s="116"/>
      <c r="F227" s="99" t="s">
        <v>5</v>
      </c>
      <c r="G227" s="21">
        <f>IFERROR(IFERROR(INDEX(Кат!A:A,MATCH($B227,Кат!$G:$G,0)),INDEX(Торг!$B:$B,MATCH(#REF!,Торг!$I:$I,0))),"")</f>
        <v>223070</v>
      </c>
      <c r="H227" s="21">
        <f>IFERROR(IFERROR(INDEX(Кат!B:B,MATCH($B227,Кат!$G:$G,0)),INDEX(Торг!$B:$B,MATCH(#REF!,Торг!$I:$I,0))),"")</f>
        <v>7229</v>
      </c>
      <c r="I227" s="21" t="str">
        <f>IFERROR(IFERROR(INDEX(Кат!C:C,MATCH($B227,Кат!$G:$G,0)),INDEX(Торг!$B:$B,MATCH(#REF!,Торг!$I:$I,0))),"")</f>
        <v>Универсальное реле защиты ламп на автомобили Lada</v>
      </c>
    </row>
    <row r="228" spans="1:9" ht="25.5" x14ac:dyDescent="0.25">
      <c r="A228" s="94">
        <v>228</v>
      </c>
      <c r="B228" s="95" t="s">
        <v>100</v>
      </c>
      <c r="C228" s="128">
        <v>730</v>
      </c>
      <c r="D228" s="102"/>
      <c r="E228" s="116"/>
      <c r="F228" s="99" t="s">
        <v>5</v>
      </c>
      <c r="G228" s="21">
        <f>IFERROR(IFERROR(INDEX(Кат!A:A,MATCH($B228,Кат!$G:$G,0)),INDEX(Торг!$B:$B,MATCH(#REF!,Торг!$I:$I,0))),"")</f>
        <v>203955</v>
      </c>
      <c r="H228" s="21">
        <f>IFERROR(IFERROR(INDEX(Кат!B:B,MATCH($B228,Кат!$G:$G,0)),INDEX(Торг!$B:$B,MATCH(#REF!,Торг!$I:$I,0))),"")</f>
        <v>7214</v>
      </c>
      <c r="I228" s="21" t="str">
        <f>IFERROR(IFERROR(INDEX(Кат!C:C,MATCH($B228,Кат!$G:$G,0)),INDEX(Торг!$B:$B,MATCH(#REF!,Торг!$I:$I,0))),"")</f>
        <v>Реле ДХО-30 для включения дальнего света как ходовые огни на Lada Priora, Granta, Kalina, Kalina 2</v>
      </c>
    </row>
    <row r="229" spans="1:9" ht="25.5" x14ac:dyDescent="0.25">
      <c r="A229" s="94">
        <v>229</v>
      </c>
      <c r="B229" s="95" t="s">
        <v>101</v>
      </c>
      <c r="C229" s="128">
        <v>730</v>
      </c>
      <c r="D229" s="102"/>
      <c r="E229" s="116"/>
      <c r="F229" s="99" t="s">
        <v>5</v>
      </c>
      <c r="G229" s="21">
        <f>IFERROR(IFERROR(INDEX(Кат!A:A,MATCH($B229,Кат!$G:$G,0)),INDEX(Торг!$B:$B,MATCH(#REF!,Торг!$I:$I,0))),"")</f>
        <v>203956</v>
      </c>
      <c r="H229" s="21">
        <f>IFERROR(IFERROR(INDEX(Кат!B:B,MATCH($B229,Кат!$G:$G,0)),INDEX(Торг!$B:$B,MATCH(#REF!,Торг!$I:$I,0))),"")</f>
        <v>7231</v>
      </c>
      <c r="I229" s="21" t="str">
        <f>IFERROR(IFERROR(INDEX(Кат!C:C,MATCH($B229,Кат!$G:$G,0)),INDEX(Торг!$B:$B,MATCH(#REF!,Торг!$I:$I,0))),"")</f>
        <v>Реле ДХО-30Б для включения дальнего света как ходовые огни на Lada 2107, 2108-2115, 2110-2112</v>
      </c>
    </row>
    <row r="230" spans="1:9" ht="25.5" x14ac:dyDescent="0.25">
      <c r="A230" s="94">
        <v>230</v>
      </c>
      <c r="B230" s="107" t="s">
        <v>102</v>
      </c>
      <c r="C230" s="136">
        <v>800</v>
      </c>
      <c r="D230" s="102" t="s">
        <v>541</v>
      </c>
      <c r="E230" s="116"/>
      <c r="F230" s="99" t="s">
        <v>5</v>
      </c>
      <c r="G230" s="21">
        <f>IFERROR(IFERROR(INDEX(Кат!A:A,MATCH($B230,Кат!$G:$G,0)),INDEX(Торг!$B:$B,MATCH(#REF!,Торг!$I:$I,0))),"")</f>
        <v>160135</v>
      </c>
      <c r="H230" s="21">
        <f>IFERROR(IFERROR(INDEX(Кат!B:B,MATCH($B230,Кат!$G:$G,0)),INDEX(Торг!$B:$B,MATCH(#REF!,Торг!$I:$I,0))),"")</f>
        <v>7233</v>
      </c>
      <c r="I230" s="21" t="str">
        <f>IFERROR(IFERROR(INDEX(Кат!C:C,MATCH($B230,Кат!$G:$G,0)),INDEX(Торг!$B:$B,MATCH(#REF!,Торг!$I:$I,0))),"")</f>
        <v>Контроллер (реле) ближнего света DRL</v>
      </c>
    </row>
    <row r="231" spans="1:9" x14ac:dyDescent="0.25">
      <c r="A231" s="94">
        <v>231</v>
      </c>
      <c r="B231" s="97" t="s">
        <v>103</v>
      </c>
      <c r="C231" s="133">
        <v>400</v>
      </c>
      <c r="D231" s="101"/>
      <c r="E231" s="116"/>
      <c r="F231" s="99" t="s">
        <v>5</v>
      </c>
      <c r="G231" s="21">
        <f>IFERROR(IFERROR(INDEX(Кат!A:A,MATCH($B231,Кат!$G:$G,0)),INDEX(Торг!$B:$B,MATCH(#REF!,Торг!$I:$I,0))),"")</f>
        <v>203952</v>
      </c>
      <c r="H231" s="21">
        <f>IFERROR(IFERROR(INDEX(Кат!B:B,MATCH($B231,Кат!$G:$G,0)),INDEX(Торг!$B:$B,MATCH(#REF!,Торг!$I:$I,0))),"")</f>
        <v>16839</v>
      </c>
      <c r="I231" s="21" t="str">
        <f>IFERROR(IFERROR(INDEX(Кат!C:C,MATCH($B231,Кат!$G:$G,0)),INDEX(Торг!$B:$B,MATCH(#REF!,Торг!$I:$I,0))),"")</f>
        <v>Реле дворников "ЭНЕРГОМАШ" с регулируемой паузой для ВАЗ 2108-21099, 2113-2115, Лада (Приора, Калина, Гранта)</v>
      </c>
    </row>
    <row r="232" spans="1:9" x14ac:dyDescent="0.25">
      <c r="A232" s="94">
        <v>232</v>
      </c>
      <c r="B232" s="97" t="s">
        <v>104</v>
      </c>
      <c r="C232" s="133">
        <v>400</v>
      </c>
      <c r="D232" s="101"/>
      <c r="E232" s="116"/>
      <c r="F232" s="99" t="s">
        <v>5</v>
      </c>
      <c r="G232" s="21">
        <f>IFERROR(IFERROR(INDEX(Кат!A:A,MATCH($B232,Кат!$G:$G,0)),INDEX(Торг!$B:$B,MATCH(#REF!,Торг!$I:$I,0))),"")</f>
        <v>117034</v>
      </c>
      <c r="H232" s="21">
        <f>IFERROR(IFERROR(INDEX(Кат!B:B,MATCH($B232,Кат!$G:$G,0)),INDEX(Торг!$B:$B,MATCH(#REF!,Торг!$I:$I,0))),"")</f>
        <v>7202</v>
      </c>
      <c r="I232" s="21" t="str">
        <f>IFERROR(IFERROR(INDEX(Кат!C:C,MATCH($B232,Кат!$G:$G,0)),INDEX(Торг!$B:$B,MATCH(#REF!,Торг!$I:$I,0))),"")</f>
        <v>Реле дворников "Русский партнер" с регулируемой паузой для ВАЗ (2108-21099, 2110-2112, 2113-2115), Лада (Калина, Калина 2, Приора, Гранта)</v>
      </c>
    </row>
    <row r="233" spans="1:9" x14ac:dyDescent="0.25">
      <c r="A233" s="94">
        <v>233</v>
      </c>
      <c r="B233" s="97" t="s">
        <v>105</v>
      </c>
      <c r="C233" s="128">
        <v>750</v>
      </c>
      <c r="D233" s="101"/>
      <c r="E233" s="116"/>
      <c r="F233" s="99" t="s">
        <v>5</v>
      </c>
      <c r="G233" s="21">
        <f>IFERROR(IFERROR(INDEX(Кат!A:A,MATCH($B233,Кат!$G:$G,0)),INDEX(Торг!$B:$B,MATCH(#REF!,Торг!$I:$I,0))),"")</f>
        <v>203207</v>
      </c>
      <c r="H233" s="21">
        <f>IFERROR(IFERROR(INDEX(Кат!B:B,MATCH($B233,Кат!$G:$G,0)),INDEX(Торг!$B:$B,MATCH(#REF!,Торг!$I:$I,0))),"")</f>
        <v>3836</v>
      </c>
      <c r="I233" s="21" t="str">
        <f>IFERROR(IFERROR(INDEX(Кат!C:C,MATCH($B233,Кат!$G:$G,0)),INDEX(Торг!$B:$B,MATCH(#REF!,Торг!$I:$I,0))),"")</f>
        <v>Регулятор плавного запуска вентилятора радиатора "АПЭЛ" (РПВ-1) 150Вт</v>
      </c>
    </row>
    <row r="234" spans="1:9" x14ac:dyDescent="0.25">
      <c r="A234" s="94">
        <v>234</v>
      </c>
      <c r="B234" s="97" t="s">
        <v>106</v>
      </c>
      <c r="C234" s="133">
        <v>930</v>
      </c>
      <c r="D234" s="101"/>
      <c r="E234" s="116"/>
      <c r="F234" s="99" t="s">
        <v>5</v>
      </c>
      <c r="G234" s="21">
        <f>IFERROR(IFERROR(INDEX(Кат!A:A,MATCH($B234,Кат!$G:$G,0)),INDEX(Торг!$B:$B,MATCH(#REF!,Торг!$I:$I,0))),"")</f>
        <v>203208</v>
      </c>
      <c r="H234" s="21">
        <f>IFERROR(IFERROR(INDEX(Кат!B:B,MATCH($B234,Кат!$G:$G,0)),INDEX(Торг!$B:$B,MATCH(#REF!,Торг!$I:$I,0))),"")</f>
        <v>3837</v>
      </c>
      <c r="I234" s="21" t="str">
        <f>IFERROR(IFERROR(INDEX(Кат!C:C,MATCH($B234,Кат!$G:$G,0)),INDEX(Торг!$B:$B,MATCH(#REF!,Торг!$I:$I,0))),"")</f>
        <v>Регулятор плавного запуска вентилятора радиатора "АПЭЛ" (РПВ-2) 300Вт</v>
      </c>
    </row>
    <row r="235" spans="1:9" ht="24.75" x14ac:dyDescent="0.25">
      <c r="A235" s="94">
        <v>235</v>
      </c>
      <c r="B235" s="113" t="s">
        <v>170</v>
      </c>
      <c r="C235" s="128">
        <v>640</v>
      </c>
      <c r="D235" s="102"/>
      <c r="E235" s="116"/>
      <c r="F235" s="99" t="s">
        <v>5</v>
      </c>
      <c r="G235" s="21">
        <f>IFERROR(IFERROR(INDEX(Кат!A:A,MATCH($B235,Кат!$G:$G,0)),INDEX(Торг!$B:$B,MATCH(#REF!,Торг!$I:$I,0))),"")</f>
        <v>164005</v>
      </c>
      <c r="H235" s="21">
        <f>IFERROR(IFERROR(INDEX(Кат!B:B,MATCH($B235,Кат!$G:$G,0)),INDEX(Торг!$B:$B,MATCH(#REF!,Торг!$I:$I,0))),"")</f>
        <v>7205</v>
      </c>
      <c r="I235" s="21" t="str">
        <f>IFERROR(IFERROR(INDEX(Кат!C:C,MATCH($B235,Кат!$G:$G,0)),INDEX(Торг!$B:$B,MATCH(#REF!,Торг!$I:$I,0))),"")</f>
        <v>Модуль (удлинитель) управления сигнала поворотов на автомобили Lada</v>
      </c>
    </row>
    <row r="236" spans="1:9" x14ac:dyDescent="0.25">
      <c r="A236" s="94">
        <v>236</v>
      </c>
      <c r="B236" s="107" t="s">
        <v>164</v>
      </c>
      <c r="C236" s="128">
        <v>340</v>
      </c>
      <c r="D236" s="102"/>
      <c r="E236" s="116"/>
      <c r="F236" s="99" t="s">
        <v>5</v>
      </c>
      <c r="G236" s="21">
        <f>IFERROR(IFERROR(INDEX(Кат!A:A,MATCH($B236,Кат!$G:$G,0)),INDEX(Торг!$B:$B,MATCH(#REF!,Торг!$I:$I,0))),"")</f>
        <v>164036</v>
      </c>
      <c r="H236" s="21">
        <f>IFERROR(IFERROR(INDEX(Кат!B:B,MATCH($B236,Кат!$G:$G,0)),INDEX(Торг!$B:$B,MATCH(#REF!,Торг!$I:$I,0))),"")</f>
        <v>24544</v>
      </c>
      <c r="I236" s="21" t="str">
        <f>IFERROR(IFERROR(INDEX(Кат!C:C,MATCH($B236,Кат!$G:$G,0)),INDEX(Торг!$B:$B,MATCH(#REF!,Торг!$I:$I,0))),"")</f>
        <v>Модуль стробоскопа (строб-контроллер) одноканальный</v>
      </c>
    </row>
    <row r="237" spans="1:9" x14ac:dyDescent="0.25">
      <c r="A237" s="94">
        <v>237</v>
      </c>
      <c r="B237" s="107" t="s">
        <v>165</v>
      </c>
      <c r="C237" s="128">
        <v>580</v>
      </c>
      <c r="D237" s="102"/>
      <c r="E237" s="116"/>
      <c r="F237" s="99" t="s">
        <v>5</v>
      </c>
      <c r="G237" s="21">
        <f>IFERROR(IFERROR(INDEX(Кат!A:A,MATCH($B237,Кат!$G:$G,0)),INDEX(Торг!$B:$B,MATCH(#REF!,Торг!$I:$I,0))),"")</f>
        <v>164035</v>
      </c>
      <c r="H237" s="21">
        <f>IFERROR(IFERROR(INDEX(Кат!B:B,MATCH($B237,Кат!$G:$G,0)),INDEX(Торг!$B:$B,MATCH(#REF!,Торг!$I:$I,0))),"")</f>
        <v>24545</v>
      </c>
      <c r="I237" s="21" t="str">
        <f>IFERROR(IFERROR(INDEX(Кат!C:C,MATCH($B237,Кат!$G:$G,0)),INDEX(Торг!$B:$B,MATCH(#REF!,Торг!$I:$I,0))),"")</f>
        <v>Модуль стробоскопа (строб-контроллер) двухканальный</v>
      </c>
    </row>
    <row r="238" spans="1:9" x14ac:dyDescent="0.25">
      <c r="A238" s="94">
        <v>238</v>
      </c>
      <c r="B238" s="107" t="s">
        <v>180</v>
      </c>
      <c r="C238" s="128">
        <v>330</v>
      </c>
      <c r="D238" s="102"/>
      <c r="E238" s="116"/>
      <c r="F238" s="99" t="s">
        <v>5</v>
      </c>
      <c r="G238" s="21">
        <f>IFERROR(IFERROR(INDEX(Кат!A:A,MATCH($B238,Кат!$G:$G,0)),INDEX(Торг!$B:$B,MATCH(#REF!,Торг!$I:$I,0))),"")</f>
        <v>203946</v>
      </c>
      <c r="H238" s="21">
        <f>IFERROR(IFERROR(INDEX(Кат!B:B,MATCH($B238,Кат!$G:$G,0)),INDEX(Торг!$B:$B,MATCH(#REF!,Торг!$I:$I,0))),"")</f>
        <v>24546</v>
      </c>
      <c r="I238" s="21" t="str">
        <f>IFERROR(IFERROR(INDEX(Кат!C:C,MATCH($B238,Кат!$G:$G,0)),INDEX(Торг!$B:$B,MATCH(#REF!,Торг!$I:$I,0))),"")</f>
        <v>Реле времени "АПЭЛ" РВ</v>
      </c>
    </row>
    <row r="239" spans="1:9" x14ac:dyDescent="0.25">
      <c r="A239" s="94">
        <v>239</v>
      </c>
      <c r="B239" s="107" t="s">
        <v>107</v>
      </c>
      <c r="C239" s="128">
        <v>70</v>
      </c>
      <c r="D239" s="102"/>
      <c r="E239" s="116"/>
      <c r="F239" s="99" t="s">
        <v>5</v>
      </c>
      <c r="G239" s="21" t="str">
        <f>IFERROR(IFERROR(INDEX(Кат!A:A,MATCH($B239,Кат!$G:$G,0)),INDEX(Торг!$B:$B,MATCH(#REF!,Торг!$I:$I,0))),"")</f>
        <v/>
      </c>
      <c r="H239" s="21" t="str">
        <f>IFERROR(IFERROR(INDEX(Кат!B:B,MATCH($B239,Кат!$G:$G,0)),INDEX(Торг!$B:$B,MATCH(#REF!,Торг!$I:$I,0))),"")</f>
        <v/>
      </c>
      <c r="I239" s="21" t="str">
        <f>IFERROR(IFERROR(INDEX(Кат!C:C,MATCH($B239,Кат!$G:$G,0)),INDEX(Торг!$B:$B,MATCH(#REF!,Торг!$I:$I,0))),"")</f>
        <v/>
      </c>
    </row>
    <row r="240" spans="1:9" x14ac:dyDescent="0.25">
      <c r="A240" s="94">
        <v>240</v>
      </c>
      <c r="B240" s="107" t="s">
        <v>543</v>
      </c>
      <c r="C240" s="128">
        <v>9000</v>
      </c>
      <c r="D240" s="115" t="s">
        <v>874</v>
      </c>
      <c r="E240" s="116"/>
      <c r="F240" s="99" t="s">
        <v>5</v>
      </c>
      <c r="G240" s="21" t="str">
        <f>IFERROR(IFERROR(INDEX(Кат!A:A,MATCH($B240,Кат!$G:$G,0)),INDEX(Торг!$B:$B,MATCH(#REF!,Торг!$I:$I,0))),"")</f>
        <v/>
      </c>
      <c r="H240" s="21" t="str">
        <f>IFERROR(IFERROR(INDEX(Кат!B:B,MATCH($B240,Кат!$G:$G,0)),INDEX(Торг!$B:$B,MATCH(#REF!,Торг!$I:$I,0))),"")</f>
        <v/>
      </c>
      <c r="I240" s="21" t="str">
        <f>IFERROR(IFERROR(INDEX(Кат!C:C,MATCH($B240,Кат!$G:$G,0)),INDEX(Торг!$B:$B,MATCH(#REF!,Торг!$I:$I,0))),"")</f>
        <v/>
      </c>
    </row>
    <row r="241" spans="1:9" x14ac:dyDescent="0.25">
      <c r="A241" s="94">
        <v>241</v>
      </c>
      <c r="B241" s="95" t="s">
        <v>108</v>
      </c>
      <c r="C241" s="128">
        <v>4000</v>
      </c>
      <c r="D241" s="102" t="s">
        <v>4</v>
      </c>
      <c r="E241" s="116"/>
      <c r="F241" s="99" t="s">
        <v>5</v>
      </c>
      <c r="G241" s="21" t="str">
        <f>IFERROR(IFERROR(INDEX(Кат!A:A,MATCH($B241,Кат!$G:$G,0)),INDEX(Торг!$B:$B,MATCH(#REF!,Торг!$I:$I,0))),"")</f>
        <v/>
      </c>
      <c r="H241" s="21" t="str">
        <f>IFERROR(IFERROR(INDEX(Кат!B:B,MATCH($B241,Кат!$G:$G,0)),INDEX(Торг!$B:$B,MATCH(#REF!,Торг!$I:$I,0))),"")</f>
        <v/>
      </c>
      <c r="I241" s="21" t="str">
        <f>IFERROR(IFERROR(INDEX(Кат!C:C,MATCH($B241,Кат!$G:$G,0)),INDEX(Торг!$B:$B,MATCH(#REF!,Торг!$I:$I,0))),"")</f>
        <v/>
      </c>
    </row>
    <row r="242" spans="1:9" x14ac:dyDescent="0.25">
      <c r="A242" s="94">
        <v>242</v>
      </c>
      <c r="B242" s="95" t="s">
        <v>407</v>
      </c>
      <c r="C242" s="128">
        <v>4500</v>
      </c>
      <c r="D242" s="102" t="s">
        <v>4</v>
      </c>
      <c r="E242" s="116"/>
      <c r="F242" s="99" t="s">
        <v>5</v>
      </c>
      <c r="G242" s="21">
        <f>IFERROR(IFERROR(INDEX(Кат!A:A,MATCH($B242,Кат!$G:$G,0)),INDEX(Торг!$B:$B,MATCH(#REF!,Торг!$I:$I,0))),"")</f>
        <v>214015</v>
      </c>
      <c r="H242" s="21">
        <f>IFERROR(IFERROR(INDEX(Кат!B:B,MATCH($B242,Кат!$G:$G,0)),INDEX(Торг!$B:$B,MATCH(#REF!,Торг!$I:$I,0))),"")</f>
        <v>7176</v>
      </c>
      <c r="I242" s="21" t="str">
        <f>IFERROR(IFERROR(INDEX(Кат!C:C,MATCH($B242,Кат!$G:$G,0)),INDEX(Торг!$B:$B,MATCH(#REF!,Торг!$I:$I,0))),"")</f>
        <v>Сканер-тестер S7000HL4 для диагностики Лада, ГАЗ</v>
      </c>
    </row>
    <row r="243" spans="1:9" x14ac:dyDescent="0.25">
      <c r="A243" s="94">
        <v>243</v>
      </c>
      <c r="B243" s="110" t="s">
        <v>109</v>
      </c>
      <c r="C243" s="128">
        <v>5950</v>
      </c>
      <c r="D243" s="101"/>
      <c r="E243" s="116"/>
      <c r="F243" s="99" t="s">
        <v>5</v>
      </c>
      <c r="G243" s="21">
        <f>IFERROR(IFERROR(INDEX(Кат!A:A,MATCH($B243,Кат!$G:$G,0)),INDEX(Торг!$B:$B,MATCH(#REF!,Торг!$I:$I,0))),"")</f>
        <v>201038</v>
      </c>
      <c r="H243" s="21">
        <f>IFERROR(IFERROR(INDEX(Кат!B:B,MATCH($B243,Кат!$G:$G,0)),INDEX(Торг!$B:$B,MATCH(#REF!,Торг!$I:$I,0))),"")</f>
        <v>7264</v>
      </c>
      <c r="I243" s="21" t="str">
        <f>IFERROR(IFERROR(INDEX(Кат!C:C,MATCH($B243,Кат!$G:$G,0)),INDEX(Торг!$B:$B,MATCH(#REF!,Торг!$I:$I,0))),"")</f>
        <v>Прибор для проверки модулей зажигания СПМЗ-3</v>
      </c>
    </row>
    <row r="244" spans="1:9" x14ac:dyDescent="0.25">
      <c r="A244" s="94">
        <v>244</v>
      </c>
      <c r="B244" s="110" t="s">
        <v>195</v>
      </c>
      <c r="C244" s="128">
        <v>430</v>
      </c>
      <c r="D244" s="101"/>
      <c r="E244" s="116"/>
      <c r="F244" s="99"/>
      <c r="G244" s="21" t="str">
        <f>IFERROR(IFERROR(INDEX(Кат!A:A,MATCH($B244,Кат!$G:$G,0)),INDEX(Торг!$B:$B,MATCH(#REF!,Торг!$I:$I,0))),"")</f>
        <v/>
      </c>
      <c r="H244" s="21" t="str">
        <f>IFERROR(IFERROR(INDEX(Кат!B:B,MATCH($B244,Кат!$G:$G,0)),INDEX(Торг!$B:$B,MATCH(#REF!,Торг!$I:$I,0))),"")</f>
        <v/>
      </c>
      <c r="I244" s="21" t="str">
        <f>IFERROR(IFERROR(INDEX(Кат!C:C,MATCH($B244,Кат!$G:$G,0)),INDEX(Торг!$B:$B,MATCH(#REF!,Торг!$I:$I,0))),"")</f>
        <v/>
      </c>
    </row>
    <row r="245" spans="1:9" ht="25.5" x14ac:dyDescent="0.25">
      <c r="A245" s="94">
        <v>245</v>
      </c>
      <c r="B245" s="110" t="s">
        <v>436</v>
      </c>
      <c r="C245" s="128">
        <v>470</v>
      </c>
      <c r="D245" s="111"/>
      <c r="E245" s="116"/>
      <c r="F245" s="99" t="s">
        <v>5</v>
      </c>
      <c r="G245" s="21" t="str">
        <f>IFERROR(IFERROR(INDEX(Кат!A:A,MATCH($B245,Кат!$G:$G,0)),INDEX(Торг!$B:$B,MATCH(#REF!,Торг!$I:$I,0))),"")</f>
        <v/>
      </c>
      <c r="H245" s="21" t="str">
        <f>IFERROR(IFERROR(INDEX(Кат!B:B,MATCH($B245,Кат!$G:$G,0)),INDEX(Торг!$B:$B,MATCH(#REF!,Торг!$I:$I,0))),"")</f>
        <v/>
      </c>
      <c r="I245" s="21" t="str">
        <f>IFERROR(IFERROR(INDEX(Кат!C:C,MATCH($B245,Кат!$G:$G,0)),INDEX(Торг!$B:$B,MATCH(#REF!,Торг!$I:$I,0))),"")</f>
        <v/>
      </c>
    </row>
    <row r="246" spans="1:9" x14ac:dyDescent="0.25">
      <c r="A246" s="94">
        <v>246</v>
      </c>
      <c r="B246" s="110" t="s">
        <v>437</v>
      </c>
      <c r="C246" s="136">
        <v>550</v>
      </c>
      <c r="D246" s="111" t="s">
        <v>541</v>
      </c>
      <c r="E246" s="116"/>
      <c r="F246" s="99" t="s">
        <v>5</v>
      </c>
      <c r="G246" s="21" t="str">
        <f>IFERROR(IFERROR(INDEX(Кат!A:A,MATCH($B246,Кат!$G:$G,0)),INDEX(Торг!$B:$B,MATCH(#REF!,Торг!$I:$I,0))),"")</f>
        <v/>
      </c>
      <c r="H246" s="21" t="str">
        <f>IFERROR(IFERROR(INDEX(Кат!B:B,MATCH($B246,Кат!$G:$G,0)),INDEX(Торг!$B:$B,MATCH(#REF!,Торг!$I:$I,0))),"")</f>
        <v/>
      </c>
      <c r="I246" s="21" t="str">
        <f>IFERROR(IFERROR(INDEX(Кат!C:C,MATCH($B246,Кат!$G:$G,0)),INDEX(Торг!$B:$B,MATCH(#REF!,Торг!$I:$I,0))),"")</f>
        <v/>
      </c>
    </row>
    <row r="247" spans="1:9" x14ac:dyDescent="0.25">
      <c r="A247" s="94">
        <v>247</v>
      </c>
      <c r="B247" s="110" t="s">
        <v>438</v>
      </c>
      <c r="C247" s="136">
        <v>600</v>
      </c>
      <c r="D247" s="111" t="s">
        <v>541</v>
      </c>
      <c r="E247" s="116"/>
      <c r="F247" s="99"/>
      <c r="G247" s="21" t="str">
        <f>IFERROR(IFERROR(INDEX(Кат!A:A,MATCH($B247,Кат!$G:$G,0)),INDEX(Торг!$B:$B,MATCH(#REF!,Торг!$I:$I,0))),"")</f>
        <v/>
      </c>
      <c r="H247" s="21" t="str">
        <f>IFERROR(IFERROR(INDEX(Кат!B:B,MATCH($B247,Кат!$G:$G,0)),INDEX(Торг!$B:$B,MATCH(#REF!,Торг!$I:$I,0))),"")</f>
        <v/>
      </c>
      <c r="I247" s="21" t="str">
        <f>IFERROR(IFERROR(INDEX(Кат!C:C,MATCH($B247,Кат!$G:$G,0)),INDEX(Торг!$B:$B,MATCH(#REF!,Торг!$I:$I,0))),"")</f>
        <v/>
      </c>
    </row>
    <row r="248" spans="1:9" x14ac:dyDescent="0.25">
      <c r="A248" s="94">
        <v>248</v>
      </c>
      <c r="B248" s="97" t="s">
        <v>647</v>
      </c>
      <c r="C248" s="128">
        <v>700</v>
      </c>
      <c r="D248" s="102"/>
      <c r="E248" s="116"/>
      <c r="F248" s="99" t="s">
        <v>5</v>
      </c>
      <c r="G248" s="21" t="str">
        <f>IFERROR(IFERROR(INDEX(Кат!A:A,MATCH($B248,Кат!$G:$G,0)),INDEX(Торг!$B:$B,MATCH(#REF!,Торг!$I:$I,0))),"")</f>
        <v/>
      </c>
      <c r="H248" s="21" t="str">
        <f>IFERROR(IFERROR(INDEX(Кат!B:B,MATCH($B248,Кат!$G:$G,0)),INDEX(Торг!$B:$B,MATCH(#REF!,Торг!$I:$I,0))),"")</f>
        <v/>
      </c>
      <c r="I248" s="21" t="str">
        <f>IFERROR(IFERROR(INDEX(Кат!C:C,MATCH($B248,Кат!$G:$G,0)),INDEX(Торг!$B:$B,MATCH(#REF!,Торг!$I:$I,0))),"")</f>
        <v/>
      </c>
    </row>
    <row r="249" spans="1:9" x14ac:dyDescent="0.25">
      <c r="A249" s="94">
        <v>249</v>
      </c>
      <c r="B249" s="97" t="s">
        <v>648</v>
      </c>
      <c r="C249" s="128">
        <v>700</v>
      </c>
      <c r="D249" s="102"/>
      <c r="E249" s="116"/>
      <c r="F249" s="99" t="s">
        <v>5</v>
      </c>
      <c r="G249" s="21" t="str">
        <f>IFERROR(IFERROR(INDEX(Кат!A:A,MATCH($B249,Кат!$G:$G,0)),INDEX(Торг!$B:$B,MATCH(#REF!,Торг!$I:$I,0))),"")</f>
        <v/>
      </c>
      <c r="H249" s="21" t="str">
        <f>IFERROR(IFERROR(INDEX(Кат!B:B,MATCH($B249,Кат!$G:$G,0)),INDEX(Торг!$B:$B,MATCH(#REF!,Торг!$I:$I,0))),"")</f>
        <v/>
      </c>
      <c r="I249" s="21" t="str">
        <f>IFERROR(IFERROR(INDEX(Кат!C:C,MATCH($B249,Кат!$G:$G,0)),INDEX(Торг!$B:$B,MATCH(#REF!,Торг!$I:$I,0))),"")</f>
        <v/>
      </c>
    </row>
    <row r="250" spans="1:9" x14ac:dyDescent="0.25">
      <c r="A250" s="94">
        <v>250</v>
      </c>
      <c r="B250" s="97" t="s">
        <v>649</v>
      </c>
      <c r="C250" s="128">
        <v>700</v>
      </c>
      <c r="D250" s="102"/>
      <c r="E250" s="116"/>
      <c r="F250" s="143" t="s">
        <v>875</v>
      </c>
      <c r="G250" s="21" t="str">
        <f>IFERROR(IFERROR(INDEX(Кат!A:A,MATCH($B250,Кат!$G:$G,0)),INDEX(Торг!$B:$B,MATCH(#REF!,Торг!$I:$I,0))),"")</f>
        <v/>
      </c>
      <c r="H250" s="21" t="str">
        <f>IFERROR(IFERROR(INDEX(Кат!B:B,MATCH($B250,Кат!$G:$G,0)),INDEX(Торг!$B:$B,MATCH(#REF!,Торг!$I:$I,0))),"")</f>
        <v/>
      </c>
      <c r="I250" s="21" t="str">
        <f>IFERROR(IFERROR(INDEX(Кат!C:C,MATCH($B250,Кат!$G:$G,0)),INDEX(Торг!$B:$B,MATCH(#REF!,Торг!$I:$I,0))),"")</f>
        <v/>
      </c>
    </row>
    <row r="251" spans="1:9" x14ac:dyDescent="0.25">
      <c r="A251" s="94">
        <v>251</v>
      </c>
      <c r="B251" s="97" t="s">
        <v>650</v>
      </c>
      <c r="C251" s="128">
        <v>700</v>
      </c>
      <c r="D251" s="102"/>
      <c r="E251" s="116"/>
      <c r="F251" s="143" t="s">
        <v>875</v>
      </c>
      <c r="G251" s="21" t="str">
        <f>IFERROR(IFERROR(INDEX(Кат!A:A,MATCH($B251,Кат!$G:$G,0)),INDEX(Торг!$B:$B,MATCH(#REF!,Торг!$I:$I,0))),"")</f>
        <v/>
      </c>
      <c r="H251" s="21" t="str">
        <f>IFERROR(IFERROR(INDEX(Кат!B:B,MATCH($B251,Кат!$G:$G,0)),INDEX(Торг!$B:$B,MATCH(#REF!,Торг!$I:$I,0))),"")</f>
        <v/>
      </c>
      <c r="I251" s="21" t="str">
        <f>IFERROR(IFERROR(INDEX(Кат!C:C,MATCH($B251,Кат!$G:$G,0)),INDEX(Торг!$B:$B,MATCH(#REF!,Торг!$I:$I,0))),"")</f>
        <v/>
      </c>
    </row>
    <row r="252" spans="1:9" x14ac:dyDescent="0.25">
      <c r="A252" s="94">
        <v>252</v>
      </c>
      <c r="B252" s="97" t="s">
        <v>922</v>
      </c>
      <c r="C252" s="128">
        <v>700</v>
      </c>
      <c r="D252" s="102" t="s">
        <v>56</v>
      </c>
      <c r="E252" s="116"/>
      <c r="F252" s="143"/>
      <c r="G252" s="21" t="str">
        <f>IFERROR(IFERROR(INDEX(Кат!A:A,MATCH($B252,Кат!$G:$G,0)),INDEX(Торг!$B:$B,MATCH(#REF!,Торг!$I:$I,0))),"")</f>
        <v/>
      </c>
      <c r="H252" s="21" t="str">
        <f>IFERROR(IFERROR(INDEX(Кат!B:B,MATCH($B252,Кат!$G:$G,0)),INDEX(Торг!$B:$B,MATCH(#REF!,Торг!$I:$I,0))),"")</f>
        <v/>
      </c>
      <c r="I252" s="21" t="str">
        <f>IFERROR(IFERROR(INDEX(Кат!C:C,MATCH($B252,Кат!$G:$G,0)),INDEX(Торг!$B:$B,MATCH(#REF!,Торг!$I:$I,0))),"")</f>
        <v/>
      </c>
    </row>
    <row r="253" spans="1:9" x14ac:dyDescent="0.25">
      <c r="A253" s="94">
        <v>253</v>
      </c>
      <c r="B253" s="97" t="s">
        <v>111</v>
      </c>
      <c r="C253" s="128">
        <v>1250</v>
      </c>
      <c r="D253" s="101"/>
      <c r="E253" s="116"/>
      <c r="F253" s="99" t="s">
        <v>5</v>
      </c>
      <c r="G253" s="21">
        <f>IFERROR(IFERROR(INDEX(Кат!A:A,MATCH($B253,Кат!$G:$G,0)),INDEX(Торг!$B:$B,MATCH(#REF!,Торг!$I:$I,0))),"")</f>
        <v>218498</v>
      </c>
      <c r="H253" s="21">
        <f>IFERROR(IFERROR(INDEX(Кат!B:B,MATCH($B253,Кат!$G:$G,0)),INDEX(Торг!$B:$B,MATCH(#REF!,Торг!$I:$I,0))),"")</f>
        <v>7000</v>
      </c>
      <c r="I253" s="21" t="str">
        <f>IFERROR(IFERROR(INDEX(Кат!C:C,MATCH($B253,Кат!$G:$G,0)),INDEX(Торг!$B:$B,MATCH(#REF!,Торг!$I:$I,0))),"")</f>
        <v>Стробоскоп Орион СТ-1</v>
      </c>
    </row>
    <row r="254" spans="1:9" x14ac:dyDescent="0.25">
      <c r="A254" s="94">
        <v>254</v>
      </c>
      <c r="B254" s="97" t="s">
        <v>112</v>
      </c>
      <c r="C254" s="128">
        <v>1970</v>
      </c>
      <c r="D254" s="101"/>
      <c r="E254" s="116"/>
      <c r="F254" s="99" t="s">
        <v>5</v>
      </c>
      <c r="G254" s="21">
        <f>IFERROR(IFERROR(INDEX(Кат!A:A,MATCH($B254,Кат!$G:$G,0)),INDEX(Торг!$B:$B,MATCH(#REF!,Торг!$I:$I,0))),"")</f>
        <v>218499</v>
      </c>
      <c r="H254" s="21">
        <f>IFERROR(IFERROR(INDEX(Кат!B:B,MATCH($B254,Кат!$G:$G,0)),INDEX(Торг!$B:$B,MATCH(#REF!,Торг!$I:$I,0))),"")</f>
        <v>7001</v>
      </c>
      <c r="I254" s="21" t="str">
        <f>IFERROR(IFERROR(INDEX(Кат!C:C,MATCH($B254,Кат!$G:$G,0)),INDEX(Торг!$B:$B,MATCH(#REF!,Торг!$I:$I,0))),"")</f>
        <v>Стробоскоп Орион СТ-2</v>
      </c>
    </row>
    <row r="255" spans="1:9" x14ac:dyDescent="0.25">
      <c r="A255" s="94">
        <v>255</v>
      </c>
      <c r="B255" s="97" t="s">
        <v>148</v>
      </c>
      <c r="C255" s="128">
        <v>5000</v>
      </c>
      <c r="D255" s="108"/>
      <c r="E255" s="116"/>
      <c r="F255" s="99" t="s">
        <v>5</v>
      </c>
      <c r="G255" s="21">
        <f>IFERROR(IFERROR(INDEX(Кат!A:A,MATCH($B255,Кат!$G:$G,0)),INDEX(Торг!$B:$B,MATCH(#REF!,Торг!$I:$I,0))),"")</f>
        <v>218487</v>
      </c>
      <c r="H255" s="21">
        <f>IFERROR(IFERROR(INDEX(Кат!B:B,MATCH($B255,Кат!$G:$G,0)),INDEX(Торг!$B:$B,MATCH(#REF!,Торг!$I:$I,0))),"")</f>
        <v>24548</v>
      </c>
      <c r="I255" s="21" t="str">
        <f>IFERROR(IFERROR(INDEX(Кат!C:C,MATCH($B255,Кат!$G:$G,0)),INDEX(Торг!$B:$B,MATCH(#REF!,Торг!$I:$I,0))),"")</f>
        <v>Стробоскоп "ОРИОН" Вымпел СТ-04</v>
      </c>
    </row>
    <row r="256" spans="1:9" x14ac:dyDescent="0.25">
      <c r="A256" s="94">
        <v>256</v>
      </c>
      <c r="B256" s="97" t="s">
        <v>113</v>
      </c>
      <c r="C256" s="128">
        <v>1200</v>
      </c>
      <c r="D256" s="101"/>
      <c r="E256" s="116"/>
      <c r="F256" s="99" t="s">
        <v>5</v>
      </c>
      <c r="G256" s="21">
        <f>IFERROR(IFERROR(INDEX(Кат!A:A,MATCH($B256,Кат!$G:$G,0)),INDEX(Торг!$B:$B,MATCH(#REF!,Торг!$I:$I,0))),"")</f>
        <v>219058</v>
      </c>
      <c r="H256" s="21">
        <f>IFERROR(IFERROR(INDEX(Кат!B:B,MATCH($B256,Кат!$G:$G,0)),INDEX(Торг!$B:$B,MATCH(#REF!,Торг!$I:$I,0))),"")</f>
        <v>7237</v>
      </c>
      <c r="I256" s="21" t="str">
        <f>IFERROR(IFERROR(INDEX(Кат!C:C,MATCH($B256,Кат!$G:$G,0)),INDEX(Торг!$B:$B,MATCH(#REF!,Торг!$I:$I,0))),"")</f>
        <v>Таксометр ТА-2 на автомобили Lada</v>
      </c>
    </row>
    <row r="257" spans="1:9" x14ac:dyDescent="0.25">
      <c r="A257" s="94">
        <v>257</v>
      </c>
      <c r="B257" s="97" t="s">
        <v>114</v>
      </c>
      <c r="C257" s="128">
        <v>700</v>
      </c>
      <c r="D257" s="108"/>
      <c r="E257" s="116"/>
      <c r="F257" s="99" t="s">
        <v>5</v>
      </c>
      <c r="G257" s="21">
        <f>IFERROR(IFERROR(INDEX(Кат!A:A,MATCH($B257,Кат!$G:$G,0)),INDEX(Торг!$B:$B,MATCH(#REF!,Торг!$I:$I,0))),"")</f>
        <v>219100</v>
      </c>
      <c r="H257" s="21">
        <f>IFERROR(IFERROR(INDEX(Кат!B:B,MATCH($B257,Кат!$G:$G,0)),INDEX(Торг!$B:$B,MATCH(#REF!,Торг!$I:$I,0))),"")</f>
        <v>7193</v>
      </c>
      <c r="I257" s="21" t="str">
        <f>IFERROR(IFERROR(INDEX(Кат!C:C,MATCH($B257,Кат!$G:$G,0)),INDEX(Торг!$B:$B,MATCH(#REF!,Торг!$I:$I,0))),"")</f>
        <v>Тахометр Multitronics DM10 для карбюраторных двигателей</v>
      </c>
    </row>
    <row r="258" spans="1:9" x14ac:dyDescent="0.25">
      <c r="A258" s="94">
        <v>258</v>
      </c>
      <c r="B258" s="97" t="s">
        <v>115</v>
      </c>
      <c r="C258" s="128">
        <v>220</v>
      </c>
      <c r="D258" s="102"/>
      <c r="E258" s="116"/>
      <c r="F258" s="99" t="s">
        <v>5</v>
      </c>
      <c r="G258" s="21">
        <f>IFERROR(IFERROR(INDEX(Кат!A:A,MATCH($B258,Кат!$G:$G,0)),INDEX(Торг!$B:$B,MATCH(#REF!,Торг!$I:$I,0))),"")</f>
        <v>219137</v>
      </c>
      <c r="H258" s="21">
        <f>IFERROR(IFERROR(INDEX(Кат!B:B,MATCH($B258,Кат!$G:$G,0)),INDEX(Торг!$B:$B,MATCH(#REF!,Торг!$I:$I,0))),"")</f>
        <v>24550</v>
      </c>
      <c r="I258" s="21" t="str">
        <f>IFERROR(IFERROR(INDEX(Кат!C:C,MATCH($B258,Кат!$G:$G,0)),INDEX(Торг!$B:$B,MATCH(#REF!,Торг!$I:$I,0))),"")</f>
        <v>Термометр забортной температуры (на батарейках)</v>
      </c>
    </row>
    <row r="259" spans="1:9" x14ac:dyDescent="0.25">
      <c r="A259" s="94">
        <v>259</v>
      </c>
      <c r="B259" s="97" t="s">
        <v>561</v>
      </c>
      <c r="C259" s="128">
        <v>4300</v>
      </c>
      <c r="D259" s="102"/>
      <c r="E259" s="116"/>
      <c r="F259" s="99" t="s">
        <v>5</v>
      </c>
      <c r="G259" s="21" t="str">
        <f>IFERROR(IFERROR(INDEX(Кат!A:A,MATCH($B259,Кат!$G:$G,0)),INDEX(Торг!$B:$B,MATCH(#REF!,Торг!$I:$I,0))),"")</f>
        <v/>
      </c>
      <c r="H259" s="21" t="str">
        <f>IFERROR(IFERROR(INDEX(Кат!B:B,MATCH($B259,Кат!$G:$G,0)),INDEX(Торг!$B:$B,MATCH(#REF!,Торг!$I:$I,0))),"")</f>
        <v/>
      </c>
      <c r="I259" s="21" t="str">
        <f>IFERROR(IFERROR(INDEX(Кат!C:C,MATCH($B259,Кат!$G:$G,0)),INDEX(Торг!$B:$B,MATCH(#REF!,Торг!$I:$I,0))),"")</f>
        <v/>
      </c>
    </row>
    <row r="260" spans="1:9" x14ac:dyDescent="0.25">
      <c r="A260" s="94">
        <v>260</v>
      </c>
      <c r="B260" s="97" t="s">
        <v>116</v>
      </c>
      <c r="C260" s="128">
        <v>2000</v>
      </c>
      <c r="D260" s="108"/>
      <c r="E260" s="116"/>
      <c r="F260" s="99" t="s">
        <v>5</v>
      </c>
      <c r="G260" s="21">
        <f>IFERROR(IFERROR(INDEX(Кат!A:A,MATCH($B260,Кат!$G:$G,0)),INDEX(Торг!$B:$B,MATCH(#REF!,Торг!$I:$I,0))),"")</f>
        <v>219241</v>
      </c>
      <c r="H260" s="21">
        <f>IFERROR(IFERROR(INDEX(Кат!B:B,MATCH($B260,Кат!$G:$G,0)),INDEX(Торг!$B:$B,MATCH(#REF!,Торг!$I:$I,0))),"")</f>
        <v>7265</v>
      </c>
      <c r="I260" s="21" t="str">
        <f>IFERROR(IFERROR(INDEX(Кат!C:C,MATCH($B260,Кат!$G:$G,0)),INDEX(Торг!$B:$B,MATCH(#REF!,Торг!$I:$I,0))),"")</f>
        <v>Тестер "АПЭЛ" регулятора холостого хода РХХ</v>
      </c>
    </row>
    <row r="261" spans="1:9" x14ac:dyDescent="0.25">
      <c r="A261" s="94">
        <v>261</v>
      </c>
      <c r="B261" s="97" t="s">
        <v>117</v>
      </c>
      <c r="C261" s="128">
        <v>130</v>
      </c>
      <c r="D261" s="102"/>
      <c r="E261" s="116"/>
      <c r="F261" s="99" t="s">
        <v>5</v>
      </c>
      <c r="G261" s="21" t="str">
        <f>IFERROR(IFERROR(INDEX(Кат!A:A,MATCH($B261,Кат!$G:$G,0)),INDEX(Торг!$B:$B,MATCH(#REF!,Торг!$I:$I,0))),"")</f>
        <v/>
      </c>
      <c r="H261" s="21" t="str">
        <f>IFERROR(IFERROR(INDEX(Кат!B:B,MATCH($B261,Кат!$G:$G,0)),INDEX(Торг!$B:$B,MATCH(#REF!,Торг!$I:$I,0))),"")</f>
        <v/>
      </c>
      <c r="I261" s="21" t="str">
        <f>IFERROR(IFERROR(INDEX(Кат!C:C,MATCH($B261,Кат!$G:$G,0)),INDEX(Торг!$B:$B,MATCH(#REF!,Торг!$I:$I,0))),"")</f>
        <v/>
      </c>
    </row>
    <row r="262" spans="1:9" x14ac:dyDescent="0.25">
      <c r="A262" s="94">
        <v>262</v>
      </c>
      <c r="B262" s="97" t="s">
        <v>118</v>
      </c>
      <c r="C262" s="128">
        <v>2900</v>
      </c>
      <c r="D262" s="108"/>
      <c r="E262" s="116"/>
      <c r="F262" s="99" t="s">
        <v>5</v>
      </c>
      <c r="G262" s="21">
        <f>IFERROR(IFERROR(INDEX(Кат!A:A,MATCH($B262,Кат!$G:$G,0)),INDEX(Торг!$B:$B,MATCH(#REF!,Торг!$I:$I,0))),"")</f>
        <v>219243</v>
      </c>
      <c r="H262" s="21">
        <f>IFERROR(IFERROR(INDEX(Кат!B:B,MATCH($B262,Кат!$G:$G,0)),INDEX(Торг!$B:$B,MATCH(#REF!,Торг!$I:$I,0))),"")</f>
        <v>7266</v>
      </c>
      <c r="I262" s="21" t="str">
        <f>IFERROR(IFERROR(INDEX(Кат!C:C,MATCH($B262,Кат!$G:$G,0)),INDEX(Торг!$B:$B,MATCH(#REF!,Торг!$I:$I,0))),"")</f>
        <v>Тестер форсунок ТФ-01</v>
      </c>
    </row>
    <row r="263" spans="1:9" x14ac:dyDescent="0.25">
      <c r="A263" s="94">
        <v>263</v>
      </c>
      <c r="B263" s="97" t="s">
        <v>119</v>
      </c>
      <c r="C263" s="128">
        <v>135</v>
      </c>
      <c r="D263" s="101"/>
      <c r="E263" s="116"/>
      <c r="F263" s="99" t="s">
        <v>5</v>
      </c>
      <c r="G263" s="21">
        <f>IFERROR(IFERROR(INDEX(Кат!A:A,MATCH($B263,Кат!$G:$G,0)),INDEX(Торг!$B:$B,MATCH(#REF!,Торг!$I:$I,0))),"")</f>
        <v>158403</v>
      </c>
      <c r="H263" s="21">
        <f>IFERROR(IFERROR(INDEX(Кат!B:B,MATCH($B263,Кат!$G:$G,0)),INDEX(Торг!$B:$B,MATCH(#REF!,Торг!$I:$I,0))),"")</f>
        <v>16478</v>
      </c>
      <c r="I263" s="21" t="str">
        <f>IFERROR(IFERROR(INDEX(Кат!C:C,MATCH($B263,Кат!$G:$G,0)),INDEX(Торг!$B:$B,MATCH(#REF!,Торг!$I:$I,0))),"")</f>
        <v>Комплект гибких усов (запасных) для автомобильных антенн</v>
      </c>
    </row>
    <row r="264" spans="1:9" x14ac:dyDescent="0.25">
      <c r="A264" s="94">
        <v>264</v>
      </c>
      <c r="B264" s="97" t="s">
        <v>179</v>
      </c>
      <c r="C264" s="128">
        <v>370</v>
      </c>
      <c r="D264" s="101"/>
      <c r="E264" s="116"/>
      <c r="F264" s="99" t="s">
        <v>5</v>
      </c>
      <c r="G264" s="21">
        <f>IFERROR(IFERROR(INDEX(Кат!A:A,MATCH($B264,Кат!$G:$G,0)),INDEX(Торг!$B:$B,MATCH(#REF!,Торг!$I:$I,0))),"")</f>
        <v>224053</v>
      </c>
      <c r="H264" s="21">
        <f>IFERROR(IFERROR(INDEX(Кат!B:B,MATCH($B264,Кат!$G:$G,0)),INDEX(Торг!$B:$B,MATCH(#REF!,Торг!$I:$I,0))),"")</f>
        <v>24553</v>
      </c>
      <c r="I264" s="21" t="str">
        <f>IFERROR(IFERROR(INDEX(Кат!C:C,MATCH($B264,Кат!$G:$G,0)),INDEX(Торг!$B:$B,MATCH(#REF!,Торг!$I:$I,0))),"")</f>
        <v>Фильтр питания для автомагнитолы "ОРИОН" Вымпел 301</v>
      </c>
    </row>
    <row r="265" spans="1:9" ht="25.5" x14ac:dyDescent="0.25">
      <c r="A265" s="94">
        <v>265</v>
      </c>
      <c r="B265" s="97" t="s">
        <v>639</v>
      </c>
      <c r="C265" s="128">
        <v>2050</v>
      </c>
      <c r="D265" s="102"/>
      <c r="E265" s="116"/>
      <c r="F265" s="99" t="s">
        <v>5</v>
      </c>
      <c r="G265" s="21">
        <f>IFERROR(IFERROR(INDEX(Кат!A:A,MATCH($B265,Кат!$G:$G,0)),INDEX(Торг!$B:$B,MATCH(#REF!,Торг!$I:$I,0))),"")</f>
        <v>224563</v>
      </c>
      <c r="H265" s="21">
        <f>IFERROR(IFERROR(INDEX(Кат!B:B,MATCH($B265,Кат!$G:$G,0)),INDEX(Торг!$B:$B,MATCH(#REF!,Торг!$I:$I,0))),"")</f>
        <v>39213</v>
      </c>
      <c r="I265" s="21" t="str">
        <f>IFERROR(IFERROR(INDEX(Кат!C:C,MATCH($B265,Кат!$G:$G,0)),INDEX(Торг!$B:$B,MATCH(#REF!,Торг!$I:$I,0))),"")</f>
        <v>Центральный замок "ОРИОН" Вымпел A-Y16</v>
      </c>
    </row>
    <row r="266" spans="1:9" x14ac:dyDescent="0.25">
      <c r="A266" s="94">
        <v>266</v>
      </c>
      <c r="B266" s="97" t="s">
        <v>640</v>
      </c>
      <c r="C266" s="128">
        <v>1950</v>
      </c>
      <c r="D266" s="102"/>
      <c r="E266" s="116"/>
      <c r="F266" s="99" t="s">
        <v>5</v>
      </c>
      <c r="G266" s="21" t="str">
        <f>IFERROR(IFERROR(INDEX(Кат!A:A,MATCH($B266,Кат!$G:$G,0)),INDEX(Торг!$B:$B,MATCH(#REF!,Торг!$I:$I,0))),"")</f>
        <v/>
      </c>
      <c r="H266" s="21" t="str">
        <f>IFERROR(IFERROR(INDEX(Кат!B:B,MATCH($B266,Кат!$G:$G,0)),INDEX(Торг!$B:$B,MATCH(#REF!,Торг!$I:$I,0))),"")</f>
        <v/>
      </c>
      <c r="I266" s="21" t="str">
        <f>IFERROR(IFERROR(INDEX(Кат!C:C,MATCH($B266,Кат!$G:$G,0)),INDEX(Торг!$B:$B,MATCH(#REF!,Торг!$I:$I,0))),"")</f>
        <v/>
      </c>
    </row>
    <row r="267" spans="1:9" ht="25.5" x14ac:dyDescent="0.25">
      <c r="A267" s="94">
        <v>267</v>
      </c>
      <c r="B267" s="97" t="s">
        <v>641</v>
      </c>
      <c r="C267" s="128">
        <v>2180</v>
      </c>
      <c r="D267" s="102"/>
      <c r="E267" s="116"/>
      <c r="F267" s="99" t="s">
        <v>5</v>
      </c>
      <c r="G267" s="21">
        <f>IFERROR(IFERROR(INDEX(Кат!A:A,MATCH($B267,Кат!$G:$G,0)),INDEX(Торг!$B:$B,MATCH(#REF!,Торг!$I:$I,0))),"")</f>
        <v>224564</v>
      </c>
      <c r="H267" s="21">
        <f>IFERROR(IFERROR(INDEX(Кат!B:B,MATCH($B267,Кат!$G:$G,0)),INDEX(Торг!$B:$B,MATCH(#REF!,Торг!$I:$I,0))),"")</f>
        <v>166859</v>
      </c>
      <c r="I267" s="21" t="str">
        <f>IFERROR(IFERROR(INDEX(Кат!C:C,MATCH($B267,Кат!$G:$G,0)),INDEX(Торг!$B:$B,MATCH(#REF!,Торг!$I:$I,0))),"")</f>
        <v>Центральный замок "ОРИОН" Вымпел W-Y216</v>
      </c>
    </row>
    <row r="268" spans="1:9" ht="25.5" x14ac:dyDescent="0.25">
      <c r="A268" s="94">
        <v>268</v>
      </c>
      <c r="B268" s="110" t="s">
        <v>876</v>
      </c>
      <c r="C268" s="128">
        <v>5800</v>
      </c>
      <c r="D268" s="101"/>
      <c r="E268" s="116"/>
      <c r="F268" s="99" t="s">
        <v>5</v>
      </c>
      <c r="G268" s="21" t="str">
        <f>IFERROR(IFERROR(INDEX(Кат!A:A,MATCH($B268,Кат!$G:$G,0)),INDEX(Торг!$B:$B,MATCH(#REF!,Торг!$I:$I,0))),"")</f>
        <v/>
      </c>
      <c r="H268" s="21" t="str">
        <f>IFERROR(IFERROR(INDEX(Кат!B:B,MATCH($B268,Кат!$G:$G,0)),INDEX(Торг!$B:$B,MATCH(#REF!,Торг!$I:$I,0))),"")</f>
        <v/>
      </c>
      <c r="I268" s="21" t="str">
        <f>IFERROR(IFERROR(INDEX(Кат!C:C,MATCH($B268,Кат!$G:$G,0)),INDEX(Торг!$B:$B,MATCH(#REF!,Торг!$I:$I,0))),"")</f>
        <v/>
      </c>
    </row>
    <row r="269" spans="1:9" x14ac:dyDescent="0.25">
      <c r="A269" s="94">
        <v>269</v>
      </c>
      <c r="B269" s="110" t="s">
        <v>120</v>
      </c>
      <c r="C269" s="129">
        <v>7000</v>
      </c>
      <c r="D269" s="111" t="s">
        <v>877</v>
      </c>
      <c r="E269" s="116"/>
      <c r="F269" s="99" t="s">
        <v>5</v>
      </c>
      <c r="G269" s="21" t="str">
        <f>IFERROR(IFERROR(INDEX(Кат!A:A,MATCH($B269,Кат!$G:$G,0)),INDEX(Торг!$B:$B,MATCH(#REF!,Торг!$I:$I,0))),"")</f>
        <v/>
      </c>
      <c r="H269" s="21" t="str">
        <f>IFERROR(IFERROR(INDEX(Кат!B:B,MATCH($B269,Кат!$G:$G,0)),INDEX(Торг!$B:$B,MATCH(#REF!,Торг!$I:$I,0))),"")</f>
        <v/>
      </c>
      <c r="I269" s="21" t="str">
        <f>IFERROR(IFERROR(INDEX(Кат!C:C,MATCH($B269,Кат!$G:$G,0)),INDEX(Торг!$B:$B,MATCH(#REF!,Торг!$I:$I,0))),"")</f>
        <v/>
      </c>
    </row>
    <row r="270" spans="1:9" x14ac:dyDescent="0.25">
      <c r="A270" s="94">
        <v>270</v>
      </c>
      <c r="B270" s="95" t="s">
        <v>121</v>
      </c>
      <c r="C270" s="129">
        <v>8800</v>
      </c>
      <c r="D270" s="108"/>
      <c r="E270" s="116"/>
      <c r="F270" s="99" t="s">
        <v>5</v>
      </c>
      <c r="G270" s="21" t="str">
        <f>IFERROR(IFERROR(INDEX(Кат!A:A,MATCH($B270,Кат!$G:$G,0)),INDEX(Торг!$B:$B,MATCH(#REF!,Торг!$I:$I,0))),"")</f>
        <v/>
      </c>
      <c r="H270" s="21" t="str">
        <f>IFERROR(IFERROR(INDEX(Кат!B:B,MATCH($B270,Кат!$G:$G,0)),INDEX(Торг!$B:$B,MATCH(#REF!,Торг!$I:$I,0))),"")</f>
        <v/>
      </c>
      <c r="I270" s="21" t="str">
        <f>IFERROR(IFERROR(INDEX(Кат!C:C,MATCH($B270,Кат!$G:$G,0)),INDEX(Торг!$B:$B,MATCH(#REF!,Торг!$I:$I,0))),"")</f>
        <v/>
      </c>
    </row>
    <row r="271" spans="1:9" x14ac:dyDescent="0.25">
      <c r="A271" s="94">
        <v>271</v>
      </c>
      <c r="B271" s="97" t="s">
        <v>122</v>
      </c>
      <c r="C271" s="128">
        <v>600</v>
      </c>
      <c r="D271" s="101"/>
      <c r="E271" s="116"/>
      <c r="F271" s="99" t="s">
        <v>5</v>
      </c>
      <c r="G271" s="21">
        <f>IFERROR(IFERROR(INDEX(Кат!A:A,MATCH($B271,Кат!$G:$G,0)),INDEX(Торг!$B:$B,MATCH(#REF!,Торг!$I:$I,0))),"")</f>
        <v>139231</v>
      </c>
      <c r="H271" s="21">
        <f>IFERROR(IFERROR(INDEX(Кат!B:B,MATCH($B271,Кат!$G:$G,0)),INDEX(Торг!$B:$B,MATCH(#REF!,Торг!$I:$I,0))),"")</f>
        <v>662</v>
      </c>
      <c r="I271" s="21" t="str">
        <f>IFERROR(IFERROR(INDEX(Кат!C:C,MATCH($B271,Кат!$G:$G,0)),INDEX(Торг!$B:$B,MATCH(#REF!,Торг!$I:$I,0))),"")</f>
        <v>Вихревое устройство оптимизации сгорания топлива "ЭКОТОП"</v>
      </c>
    </row>
    <row r="272" spans="1:9" ht="15.75" thickBot="1" x14ac:dyDescent="0.3">
      <c r="A272" s="31"/>
      <c r="B272" s="32"/>
      <c r="C272" s="33"/>
      <c r="D272" s="34"/>
      <c r="E272" s="28"/>
      <c r="F272" s="35"/>
      <c r="G272" s="22"/>
    </row>
    <row r="273" spans="1:7" ht="59.25" x14ac:dyDescent="0.25">
      <c r="A273" s="36" t="s">
        <v>572</v>
      </c>
      <c r="B273" s="37" t="s">
        <v>573</v>
      </c>
      <c r="C273" s="36" t="s">
        <v>572</v>
      </c>
      <c r="D273" s="35"/>
      <c r="E273" s="28"/>
      <c r="F273" s="35"/>
      <c r="G273" s="22"/>
    </row>
    <row r="274" spans="1:7" ht="26.25" thickBot="1" x14ac:dyDescent="0.3">
      <c r="A274" s="38"/>
      <c r="B274" s="39" t="s">
        <v>574</v>
      </c>
      <c r="C274" s="40"/>
      <c r="D274" s="35"/>
      <c r="E274" s="28"/>
      <c r="F274" s="35"/>
      <c r="G274" s="22"/>
    </row>
    <row r="275" spans="1:7" x14ac:dyDescent="0.25">
      <c r="A275" s="41"/>
      <c r="B275" s="42"/>
      <c r="C275" s="43"/>
      <c r="D275" s="35"/>
      <c r="E275" s="28"/>
      <c r="F275" s="35"/>
      <c r="G275" s="22"/>
    </row>
    <row r="276" spans="1:7" x14ac:dyDescent="0.25">
      <c r="A276" s="41"/>
      <c r="B276" s="42"/>
      <c r="C276" s="43"/>
      <c r="D276" s="35"/>
      <c r="E276" s="28"/>
      <c r="F276" s="35"/>
      <c r="G276" s="22"/>
    </row>
    <row r="277" spans="1:7" x14ac:dyDescent="0.25">
      <c r="A277" s="41"/>
      <c r="B277" s="42"/>
      <c r="C277" s="43"/>
      <c r="D277" s="35"/>
      <c r="E277" s="28"/>
      <c r="F277" s="35"/>
      <c r="G277" s="22"/>
    </row>
    <row r="278" spans="1:7" x14ac:dyDescent="0.25">
      <c r="A278" s="41"/>
      <c r="B278" s="42"/>
      <c r="C278" s="43"/>
      <c r="D278" s="35"/>
      <c r="E278" s="28"/>
      <c r="F278" s="35"/>
      <c r="G278" s="22"/>
    </row>
    <row r="279" spans="1:7" x14ac:dyDescent="0.25">
      <c r="A279" s="41"/>
      <c r="B279" s="42"/>
      <c r="C279" s="43"/>
      <c r="D279" s="35"/>
      <c r="E279" s="28"/>
      <c r="F279" s="35"/>
      <c r="G279" s="22"/>
    </row>
    <row r="280" spans="1:7" x14ac:dyDescent="0.25">
      <c r="A280" s="41"/>
      <c r="B280" s="42"/>
      <c r="C280" s="43"/>
      <c r="D280" s="35"/>
      <c r="E280" s="28"/>
      <c r="F280" s="35"/>
      <c r="G280" s="22"/>
    </row>
    <row r="281" spans="1:7" x14ac:dyDescent="0.25">
      <c r="A281" s="41"/>
      <c r="B281" s="42"/>
      <c r="C281" s="43"/>
      <c r="D281" s="35"/>
      <c r="E281" s="28"/>
      <c r="F281" s="35"/>
      <c r="G281" s="22"/>
    </row>
    <row r="282" spans="1:7" x14ac:dyDescent="0.25">
      <c r="A282" s="41"/>
      <c r="B282" s="42"/>
      <c r="C282" s="43"/>
      <c r="D282" s="35"/>
      <c r="E282" s="28"/>
      <c r="F282" s="35"/>
      <c r="G282" s="22"/>
    </row>
    <row r="283" spans="1:7" x14ac:dyDescent="0.25">
      <c r="A283" s="41"/>
      <c r="B283" s="42"/>
      <c r="C283" s="43"/>
      <c r="D283" s="35"/>
      <c r="E283" s="28"/>
      <c r="F283" s="35"/>
      <c r="G283" s="22"/>
    </row>
    <row r="284" spans="1:7" x14ac:dyDescent="0.25">
      <c r="A284" s="41"/>
      <c r="B284" s="42"/>
      <c r="C284" s="43"/>
      <c r="D284" s="35"/>
      <c r="E284" s="28"/>
      <c r="F284" s="35"/>
      <c r="G284" s="22"/>
    </row>
    <row r="285" spans="1:7" x14ac:dyDescent="0.25">
      <c r="A285" s="41"/>
      <c r="B285" s="42"/>
      <c r="C285" s="43"/>
      <c r="D285" s="35"/>
      <c r="E285" s="28"/>
      <c r="F285" s="35"/>
    </row>
    <row r="286" spans="1:7" x14ac:dyDescent="0.25">
      <c r="A286" s="35"/>
      <c r="B286" s="30"/>
      <c r="C286" s="29"/>
      <c r="D286" s="35"/>
      <c r="E286" s="28"/>
      <c r="F286" s="35"/>
    </row>
  </sheetData>
  <autoFilter ref="A1:L271" xr:uid="{00000000-0001-0000-0100-000000000000}"/>
  <hyperlinks>
    <hyperlink ref="K35" r:id="rId1" xr:uid="{EAF405FC-1239-4EE2-B95E-3399F6127929}"/>
    <hyperlink ref="K102" r:id="rId2" xr:uid="{E86031D0-23E3-4813-82B4-FD98F87106C7}"/>
    <hyperlink ref="L102" r:id="rId3" xr:uid="{C0094C0B-9D61-478E-BD7E-6D5FF0D28C24}"/>
    <hyperlink ref="K103" r:id="rId4" xr:uid="{2247A011-268E-43B8-9C72-0E0D7540C360}"/>
    <hyperlink ref="L103" r:id="rId5" xr:uid="{82E5DF8D-F8AE-4430-B29B-C0F72D347104}"/>
    <hyperlink ref="K101" r:id="rId6" xr:uid="{FF5451BE-4933-4B65-9B44-896A3A0EEF30}"/>
    <hyperlink ref="L101" r:id="rId7" xr:uid="{E344A4F2-4E9E-4855-8F1F-C96E382C8343}"/>
    <hyperlink ref="K111" r:id="rId8" xr:uid="{40A15678-F9B7-4F52-80F8-EB117480419A}"/>
    <hyperlink ref="L111" r:id="rId9" xr:uid="{7BB87590-EE89-4C0C-8C45-661E10939881}"/>
    <hyperlink ref="K142" r:id="rId10" xr:uid="{1BF480C4-4436-48BF-A194-E55600B9297F}"/>
    <hyperlink ref="K195" r:id="rId11" xr:uid="{8ECFC1F0-FA35-45D1-B613-4DBEF8F1C5E1}"/>
    <hyperlink ref="K109" r:id="rId12" xr:uid="{A631961D-CEA8-4917-ABB4-62BCF7AA1DFF}"/>
    <hyperlink ref="L109" r:id="rId13" xr:uid="{F5CBFB84-8429-473D-A57A-9DF65DCF29E3}"/>
    <hyperlink ref="K146" r:id="rId14" xr:uid="{1F6681FA-4E80-4C60-AAEB-B8A15A601CFF}"/>
    <hyperlink ref="K147" r:id="rId15" xr:uid="{77765EC8-65DB-4052-BC99-04011BFF6311}"/>
    <hyperlink ref="F13" r:id="rId16" xr:uid="{00000000-0004-0000-0200-00000F000000}"/>
    <hyperlink ref="F15" r:id="rId17" xr:uid="{00000000-0004-0000-0200-000010000000}"/>
    <hyperlink ref="F16" r:id="rId18" xr:uid="{00000000-0004-0000-0200-000011000000}"/>
    <hyperlink ref="F24" r:id="rId19" xr:uid="{00000000-0004-0000-0200-000012000000}"/>
    <hyperlink ref="F25" r:id="rId20" xr:uid="{00000000-0004-0000-0200-000013000000}"/>
    <hyperlink ref="F27" r:id="rId21" xr:uid="{00000000-0004-0000-0200-000014000000}"/>
    <hyperlink ref="F28" r:id="rId22" xr:uid="{00000000-0004-0000-0200-000015000000}"/>
    <hyperlink ref="F29" r:id="rId23" xr:uid="{00000000-0004-0000-0200-000016000000}"/>
    <hyperlink ref="F30" r:id="rId24" xr:uid="{00000000-0004-0000-0200-000017000000}"/>
    <hyperlink ref="F31" r:id="rId25" xr:uid="{00000000-0004-0000-0200-000018000000}"/>
    <hyperlink ref="F36" r:id="rId26" xr:uid="{00000000-0004-0000-0200-000019000000}"/>
    <hyperlink ref="F37" r:id="rId27" xr:uid="{00000000-0004-0000-0200-00001A000000}"/>
    <hyperlink ref="F38" r:id="rId28" xr:uid="{00000000-0004-0000-0200-00001B000000}"/>
    <hyperlink ref="F39" r:id="rId29" xr:uid="{00000000-0004-0000-0200-00001C000000}"/>
    <hyperlink ref="F41" r:id="rId30" xr:uid="{00000000-0004-0000-0200-00001D000000}"/>
    <hyperlink ref="F42" r:id="rId31" xr:uid="{00000000-0004-0000-0200-00001E000000}"/>
    <hyperlink ref="F48" r:id="rId32" xr:uid="{00000000-0004-0000-0200-00001F000000}"/>
    <hyperlink ref="F49" r:id="rId33" xr:uid="{00000000-0004-0000-0200-000020000000}"/>
    <hyperlink ref="F50" r:id="rId34" xr:uid="{00000000-0004-0000-0200-000021000000}"/>
    <hyperlink ref="F189" r:id="rId35" xr:uid="{00000000-0004-0000-0200-000022000000}"/>
    <hyperlink ref="F190" r:id="rId36" xr:uid="{00000000-0004-0000-0200-000023000000}"/>
    <hyperlink ref="F52" r:id="rId37" xr:uid="{00000000-0004-0000-0200-000024000000}"/>
    <hyperlink ref="F53" r:id="rId38" xr:uid="{00000000-0004-0000-0200-000025000000}"/>
    <hyperlink ref="F55" r:id="rId39" xr:uid="{00000000-0004-0000-0200-000026000000}"/>
    <hyperlink ref="F253" r:id="rId40" xr:uid="{00000000-0004-0000-0200-000027000000}"/>
    <hyperlink ref="F254" r:id="rId41" xr:uid="{00000000-0004-0000-0200-000028000000}"/>
    <hyperlink ref="F56" r:id="rId42" xr:uid="{00000000-0004-0000-0200-000029000000}"/>
    <hyperlink ref="F57" r:id="rId43" xr:uid="{00000000-0004-0000-0200-00002A000000}"/>
    <hyperlink ref="F62" r:id="rId44" xr:uid="{00000000-0004-0000-0200-00002B000000}"/>
    <hyperlink ref="F63" r:id="rId45" xr:uid="{00000000-0004-0000-0200-00002C000000}"/>
    <hyperlink ref="F68" r:id="rId46" xr:uid="{00000000-0004-0000-0200-00002D000000}"/>
    <hyperlink ref="F69" r:id="rId47" xr:uid="{00000000-0004-0000-0200-00002E000000}"/>
    <hyperlink ref="F74" r:id="rId48" xr:uid="{00000000-0004-0000-0200-00002F000000}"/>
    <hyperlink ref="F75" r:id="rId49" xr:uid="{00000000-0004-0000-0200-000030000000}"/>
    <hyperlink ref="F76" r:id="rId50" xr:uid="{00000000-0004-0000-0200-000031000000}"/>
    <hyperlink ref="F81" r:id="rId51" xr:uid="{00000000-0004-0000-0200-000032000000}"/>
    <hyperlink ref="F84" r:id="rId52" xr:uid="{00000000-0004-0000-0200-000033000000}"/>
    <hyperlink ref="F86" r:id="rId53" xr:uid="{00000000-0004-0000-0200-000034000000}"/>
    <hyperlink ref="F87" r:id="rId54" xr:uid="{00000000-0004-0000-0200-000035000000}"/>
    <hyperlink ref="F94" r:id="rId55" xr:uid="{00000000-0004-0000-0200-000036000000}"/>
    <hyperlink ref="F95" r:id="rId56" xr:uid="{00000000-0004-0000-0200-000037000000}"/>
    <hyperlink ref="F97" r:id="rId57" xr:uid="{00000000-0004-0000-0200-000038000000}"/>
    <hyperlink ref="F98" r:id="rId58" xr:uid="{00000000-0004-0000-0200-000039000000}"/>
    <hyperlink ref="F99" r:id="rId59" xr:uid="{00000000-0004-0000-0200-00003A000000}"/>
    <hyperlink ref="F105" r:id="rId60" xr:uid="{00000000-0004-0000-0200-00003B000000}"/>
    <hyperlink ref="F111" r:id="rId61" xr:uid="{00000000-0004-0000-0200-00003C000000}"/>
    <hyperlink ref="F122" r:id="rId62" xr:uid="{00000000-0004-0000-0200-00003D000000}"/>
    <hyperlink ref="F123" r:id="rId63" xr:uid="{00000000-0004-0000-0200-00003E000000}"/>
    <hyperlink ref="F124" r:id="rId64" xr:uid="{00000000-0004-0000-0200-00003F000000}"/>
    <hyperlink ref="F125" r:id="rId65" xr:uid="{00000000-0004-0000-0200-000040000000}"/>
    <hyperlink ref="F127" r:id="rId66" xr:uid="{00000000-0004-0000-0200-000041000000}"/>
    <hyperlink ref="F129" r:id="rId67" xr:uid="{00000000-0004-0000-0200-000042000000}"/>
    <hyperlink ref="F130" r:id="rId68" xr:uid="{00000000-0004-0000-0200-000043000000}"/>
    <hyperlink ref="F132" r:id="rId69" xr:uid="{00000000-0004-0000-0200-000044000000}"/>
    <hyperlink ref="F133" r:id="rId70" xr:uid="{00000000-0004-0000-0200-000045000000}"/>
    <hyperlink ref="F134" r:id="rId71" xr:uid="{00000000-0004-0000-0200-000046000000}"/>
    <hyperlink ref="F135" r:id="rId72" xr:uid="{00000000-0004-0000-0200-000047000000}"/>
    <hyperlink ref="F136" r:id="rId73" xr:uid="{00000000-0004-0000-0200-000048000000}"/>
    <hyperlink ref="F137" r:id="rId74" xr:uid="{00000000-0004-0000-0200-000049000000}"/>
    <hyperlink ref="F138" r:id="rId75" xr:uid="{00000000-0004-0000-0200-00004A000000}"/>
    <hyperlink ref="F139" r:id="rId76" xr:uid="{00000000-0004-0000-0200-00004B000000}"/>
    <hyperlink ref="F140" r:id="rId77" xr:uid="{00000000-0004-0000-0200-00004C000000}"/>
    <hyperlink ref="F141" r:id="rId78" xr:uid="{00000000-0004-0000-0200-00004D000000}"/>
    <hyperlink ref="F142" r:id="rId79" xr:uid="{00000000-0004-0000-0200-00004E000000}"/>
    <hyperlink ref="F143" r:id="rId80" xr:uid="{00000000-0004-0000-0200-00004F000000}"/>
    <hyperlink ref="F145" r:id="rId81" xr:uid="{00000000-0004-0000-0200-000050000000}"/>
    <hyperlink ref="F151" r:id="rId82" xr:uid="{00000000-0004-0000-0200-000051000000}"/>
    <hyperlink ref="F181" r:id="rId83" xr:uid="{00000000-0004-0000-0200-000052000000}"/>
    <hyperlink ref="F182" r:id="rId84" xr:uid="{00000000-0004-0000-0200-000053000000}"/>
    <hyperlink ref="F186" r:id="rId85" xr:uid="{00000000-0004-0000-0200-000054000000}"/>
    <hyperlink ref="F187" r:id="rId86" xr:uid="{00000000-0004-0000-0200-000055000000}"/>
    <hyperlink ref="F188" r:id="rId87" xr:uid="{00000000-0004-0000-0200-000056000000}"/>
    <hyperlink ref="F191" r:id="rId88" xr:uid="{00000000-0004-0000-0200-000057000000}"/>
    <hyperlink ref="F210" r:id="rId89" xr:uid="{00000000-0004-0000-0200-000058000000}"/>
    <hyperlink ref="F211" r:id="rId90" xr:uid="{00000000-0004-0000-0200-000059000000}"/>
    <hyperlink ref="F213" r:id="rId91" xr:uid="{00000000-0004-0000-0200-00005A000000}"/>
    <hyperlink ref="F214" r:id="rId92" xr:uid="{00000000-0004-0000-0200-00005B000000}"/>
    <hyperlink ref="F215" r:id="rId93" xr:uid="{00000000-0004-0000-0200-00005C000000}"/>
    <hyperlink ref="F243" r:id="rId94" xr:uid="{00000000-0004-0000-0200-00005D000000}"/>
    <hyperlink ref="F241" r:id="rId95" xr:uid="{00000000-0004-0000-0200-00005E000000}"/>
    <hyperlink ref="F216" r:id="rId96" xr:uid="{00000000-0004-0000-0200-00005F000000}"/>
    <hyperlink ref="F217" r:id="rId97" xr:uid="{00000000-0004-0000-0200-000060000000}"/>
    <hyperlink ref="F218" r:id="rId98" xr:uid="{00000000-0004-0000-0200-000061000000}"/>
    <hyperlink ref="F219" r:id="rId99" xr:uid="{00000000-0004-0000-0200-000062000000}"/>
    <hyperlink ref="F220" r:id="rId100" xr:uid="{00000000-0004-0000-0200-000063000000}"/>
    <hyperlink ref="F221" r:id="rId101" xr:uid="{00000000-0004-0000-0200-000064000000}"/>
    <hyperlink ref="F226" r:id="rId102" xr:uid="{00000000-0004-0000-0200-000065000000}"/>
    <hyperlink ref="F228" r:id="rId103" xr:uid="{00000000-0004-0000-0200-000066000000}"/>
    <hyperlink ref="F231" r:id="rId104" xr:uid="{00000000-0004-0000-0200-000067000000}"/>
    <hyperlink ref="F232" r:id="rId105" xr:uid="{00000000-0004-0000-0200-000068000000}"/>
    <hyperlink ref="F233" r:id="rId106" xr:uid="{00000000-0004-0000-0200-000069000000}"/>
    <hyperlink ref="F234" r:id="rId107" xr:uid="{00000000-0004-0000-0200-00006A000000}"/>
    <hyperlink ref="F235" r:id="rId108" xr:uid="{00000000-0004-0000-0200-00006B000000}"/>
    <hyperlink ref="F256" r:id="rId109" xr:uid="{00000000-0004-0000-0200-00006C000000}"/>
    <hyperlink ref="F257" r:id="rId110" xr:uid="{00000000-0004-0000-0200-00006D000000}"/>
    <hyperlink ref="F230" r:id="rId111" xr:uid="{00000000-0004-0000-0200-00006E000000}"/>
    <hyperlink ref="F174" r:id="rId112" xr:uid="{00000000-0004-0000-0200-00006F000000}"/>
    <hyperlink ref="F85" r:id="rId113" xr:uid="{00000000-0004-0000-0200-000070000000}"/>
    <hyperlink ref="F260" r:id="rId114" xr:uid="{00000000-0004-0000-0200-000071000000}"/>
    <hyperlink ref="F262" r:id="rId115" xr:uid="{00000000-0004-0000-0200-000072000000}"/>
    <hyperlink ref="F96" r:id="rId116" xr:uid="{00000000-0004-0000-0200-000073000000}"/>
    <hyperlink ref="F227" r:id="rId117" xr:uid="{00000000-0004-0000-0200-000074000000}"/>
    <hyperlink ref="F229" r:id="rId118" xr:uid="{00000000-0004-0000-0200-000075000000}"/>
    <hyperlink ref="F14" r:id="rId119" xr:uid="{00000000-0004-0000-0200-000076000000}"/>
    <hyperlink ref="F2" r:id="rId120" xr:uid="{00000000-0004-0000-0200-000077000000}"/>
    <hyperlink ref="F198" r:id="rId121" xr:uid="{00000000-0004-0000-0200-000078000000}"/>
    <hyperlink ref="F199" r:id="rId122" xr:uid="{00000000-0004-0000-0200-000079000000}"/>
    <hyperlink ref="F154" r:id="rId123" xr:uid="{00000000-0004-0000-0200-00007A000000}"/>
    <hyperlink ref="F152" r:id="rId124" xr:uid="{00000000-0004-0000-0200-00007B000000}"/>
    <hyperlink ref="F113" r:id="rId125" xr:uid="{00000000-0004-0000-0200-00007C000000}"/>
    <hyperlink ref="F92" r:id="rId126" xr:uid="{00000000-0004-0000-0200-00007D000000}"/>
    <hyperlink ref="F173" r:id="rId127" xr:uid="{00000000-0004-0000-0200-00007E000000}"/>
    <hyperlink ref="F17" r:id="rId128" xr:uid="{00000000-0004-0000-0200-00007F000000}"/>
    <hyperlink ref="F18" r:id="rId129" xr:uid="{00000000-0004-0000-0200-000080000000}"/>
    <hyperlink ref="F222" r:id="rId130" xr:uid="{00000000-0004-0000-0200-000081000000}"/>
    <hyperlink ref="F176" r:id="rId131" xr:uid="{00000000-0004-0000-0200-000082000000}"/>
    <hyperlink ref="F261" r:id="rId132" xr:uid="{00000000-0004-0000-0200-000083000000}"/>
    <hyperlink ref="F239" r:id="rId133" xr:uid="{00000000-0004-0000-0200-000084000000}"/>
    <hyperlink ref="F106" r:id="rId134" xr:uid="{00000000-0004-0000-0200-000085000000}"/>
    <hyperlink ref="F258" r:id="rId135" xr:uid="{00000000-0004-0000-0200-000086000000}"/>
    <hyperlink ref="F88" r:id="rId136" xr:uid="{00000000-0004-0000-0200-000087000000}"/>
    <hyperlink ref="F20" r:id="rId137" xr:uid="{00000000-0004-0000-0200-000088000000}"/>
    <hyperlink ref="F242" r:id="rId138" xr:uid="{00000000-0004-0000-0200-000089000000}"/>
    <hyperlink ref="F78" r:id="rId139" xr:uid="{00000000-0004-0000-0200-00008A000000}"/>
    <hyperlink ref="F100" r:id="rId140" xr:uid="{00000000-0004-0000-0200-00008B000000}"/>
    <hyperlink ref="F108" r:id="rId141" xr:uid="{00000000-0004-0000-0200-00008C000000}"/>
    <hyperlink ref="F116" r:id="rId142" xr:uid="{00000000-0004-0000-0200-00008D000000}"/>
    <hyperlink ref="F19" r:id="rId143" display="смотреть" xr:uid="{00000000-0004-0000-0200-00008E000000}"/>
    <hyperlink ref="B19" r:id="rId144" xr:uid="{00000000-0004-0000-0200-00008F000000}"/>
    <hyperlink ref="F83" r:id="rId145" xr:uid="{00000000-0004-0000-0200-000090000000}"/>
    <hyperlink ref="F131" r:id="rId146" xr:uid="{00000000-0004-0000-0200-000091000000}"/>
    <hyperlink ref="F51" r:id="rId147" xr:uid="{00000000-0004-0000-0200-000092000000}"/>
    <hyperlink ref="F60" r:id="rId148" xr:uid="{00000000-0004-0000-0200-000093000000}"/>
    <hyperlink ref="F115" r:id="rId149" xr:uid="{00000000-0004-0000-0200-000094000000}"/>
    <hyperlink ref="F178" r:id="rId150" xr:uid="{00000000-0004-0000-0200-000095000000}"/>
    <hyperlink ref="F26" r:id="rId151" xr:uid="{00000000-0004-0000-0200-000096000000}"/>
    <hyperlink ref="F80" r:id="rId152" xr:uid="{00000000-0004-0000-0200-000097000000}"/>
    <hyperlink ref="F197" r:id="rId153" xr:uid="{00000000-0004-0000-0200-000098000000}"/>
    <hyperlink ref="F212" r:id="rId154" xr:uid="{00000000-0004-0000-0200-000099000000}"/>
    <hyperlink ref="F153" r:id="rId155" xr:uid="{00000000-0004-0000-0200-00009A000000}"/>
    <hyperlink ref="F161" r:id="rId156" xr:uid="{00000000-0004-0000-0200-00009B000000}"/>
    <hyperlink ref="F171" r:id="rId157" xr:uid="{00000000-0004-0000-0200-00009C000000}"/>
    <hyperlink ref="F93" r:id="rId158" xr:uid="{00000000-0004-0000-0200-00009D000000}"/>
    <hyperlink ref="F71" r:id="rId159" xr:uid="{00000000-0004-0000-0200-00009E000000}"/>
    <hyperlink ref="F70" r:id="rId160" xr:uid="{00000000-0004-0000-0200-00009F000000}"/>
    <hyperlink ref="F77" r:id="rId161" xr:uid="{00000000-0004-0000-0200-0000A0000000}"/>
    <hyperlink ref="F109" r:id="rId162" xr:uid="{00000000-0004-0000-0200-0000A1000000}"/>
    <hyperlink ref="F196" r:id="rId163" xr:uid="{00000000-0004-0000-0200-0000A2000000}"/>
    <hyperlink ref="F64" r:id="rId164" xr:uid="{00000000-0004-0000-0200-0000A3000000}"/>
    <hyperlink ref="F65" r:id="rId165" xr:uid="{00000000-0004-0000-0200-0000A4000000}"/>
    <hyperlink ref="F66" r:id="rId166" xr:uid="{00000000-0004-0000-0200-0000A5000000}"/>
    <hyperlink ref="F67" r:id="rId167" xr:uid="{00000000-0004-0000-0200-0000A6000000}"/>
    <hyperlink ref="F177" r:id="rId168" xr:uid="{00000000-0004-0000-0200-0000A7000000}"/>
    <hyperlink ref="F179" r:id="rId169" xr:uid="{00000000-0004-0000-0200-0000A8000000}"/>
    <hyperlink ref="F54" r:id="rId170" xr:uid="{00000000-0004-0000-0200-0000A9000000}"/>
    <hyperlink ref="F172" r:id="rId171" xr:uid="{00000000-0004-0000-0200-0000AA000000}"/>
    <hyperlink ref="F157" r:id="rId172" xr:uid="{00000000-0004-0000-0200-0000AB000000}"/>
    <hyperlink ref="F158" r:id="rId173" xr:uid="{00000000-0004-0000-0200-0000AC000000}"/>
    <hyperlink ref="F40" r:id="rId174" xr:uid="{00000000-0004-0000-0200-0000AD000000}"/>
    <hyperlink ref="F61" r:id="rId175" xr:uid="{00000000-0004-0000-0200-0000AE000000}"/>
    <hyperlink ref="F72" r:id="rId176" xr:uid="{00000000-0004-0000-0200-0000AF000000}"/>
    <hyperlink ref="F255" r:id="rId177" xr:uid="{00000000-0004-0000-0200-0000B0000000}"/>
    <hyperlink ref="F223" r:id="rId178" xr:uid="{00000000-0004-0000-0200-0000B1000000}"/>
    <hyperlink ref="F165" r:id="rId179" xr:uid="{00000000-0004-0000-0200-0000B2000000}"/>
    <hyperlink ref="F146" r:id="rId180" xr:uid="{00000000-0004-0000-0200-0000B3000000}"/>
    <hyperlink ref="F90" r:id="rId181" xr:uid="{00000000-0004-0000-0200-0000B4000000}"/>
    <hyperlink ref="F91" r:id="rId182" xr:uid="{00000000-0004-0000-0200-0000B5000000}"/>
    <hyperlink ref="F89" r:id="rId183" xr:uid="{00000000-0004-0000-0200-0000B6000000}"/>
    <hyperlink ref="F163" r:id="rId184" xr:uid="{00000000-0004-0000-0200-0000B7000000}"/>
    <hyperlink ref="F164" r:id="rId185" xr:uid="{00000000-0004-0000-0200-0000B8000000}"/>
    <hyperlink ref="F155" r:id="rId186" xr:uid="{00000000-0004-0000-0200-0000B9000000}"/>
    <hyperlink ref="F237" r:id="rId187" xr:uid="{00000000-0004-0000-0200-0000BA000000}"/>
    <hyperlink ref="F236" r:id="rId188" xr:uid="{00000000-0004-0000-0200-0000BB000000}"/>
    <hyperlink ref="F44" r:id="rId189" xr:uid="{00000000-0004-0000-0200-0000BC000000}"/>
    <hyperlink ref="F224" r:id="rId190" xr:uid="{00000000-0004-0000-0200-0000BD000000}"/>
    <hyperlink ref="F183" r:id="rId191" xr:uid="{00000000-0004-0000-0200-0000BE000000}"/>
    <hyperlink ref="F114" r:id="rId192" xr:uid="{00000000-0004-0000-0200-0000BF000000}"/>
    <hyperlink ref="F170" r:id="rId193" xr:uid="{00000000-0004-0000-0200-0000C0000000}"/>
    <hyperlink ref="F150" r:id="rId194" xr:uid="{00000000-0004-0000-0200-0000C1000000}"/>
    <hyperlink ref="F33" r:id="rId195" xr:uid="{00000000-0004-0000-0200-0000C2000000}"/>
    <hyperlink ref="F47" r:id="rId196" xr:uid="{00000000-0004-0000-0200-0000C3000000}"/>
    <hyperlink ref="F238" r:id="rId197" xr:uid="{00000000-0004-0000-0200-0000C4000000}"/>
    <hyperlink ref="F185" r:id="rId198" xr:uid="{00000000-0004-0000-0200-0000C5000000}"/>
    <hyperlink ref="F10" r:id="rId199" xr:uid="{00000000-0004-0000-0200-0000C6000000}"/>
    <hyperlink ref="F6" r:id="rId200" xr:uid="{00000000-0004-0000-0200-0000C7000000}"/>
    <hyperlink ref="F8" r:id="rId201" xr:uid="{00000000-0004-0000-0200-0000C8000000}"/>
    <hyperlink ref="F7" r:id="rId202" xr:uid="{00000000-0004-0000-0200-0000C9000000}"/>
    <hyperlink ref="F4" r:id="rId203" xr:uid="{00000000-0004-0000-0200-0000CA000000}"/>
    <hyperlink ref="F12" r:id="rId204" xr:uid="{00000000-0004-0000-0200-0000CB000000}"/>
    <hyperlink ref="F21" r:id="rId205" xr:uid="{00000000-0004-0000-0200-0000CC000000}"/>
    <hyperlink ref="F43" r:id="rId206" xr:uid="{00000000-0004-0000-0200-0000CD000000}"/>
    <hyperlink ref="F58" r:id="rId207" xr:uid="{00000000-0004-0000-0200-0000CE000000}"/>
    <hyperlink ref="F245" r:id="rId208" xr:uid="{00000000-0004-0000-0200-0000CF000000}"/>
    <hyperlink ref="F246" r:id="rId209" xr:uid="{00000000-0004-0000-0200-0000D0000000}"/>
    <hyperlink ref="F156" r:id="rId210" xr:uid="{00000000-0004-0000-0200-0000D1000000}"/>
    <hyperlink ref="F166" r:id="rId211" xr:uid="{00000000-0004-0000-0200-0000D2000000}"/>
    <hyperlink ref="F167" r:id="rId212" xr:uid="{00000000-0004-0000-0200-0000D3000000}"/>
    <hyperlink ref="F180" r:id="rId213" xr:uid="{00000000-0004-0000-0200-0000D4000000}"/>
    <hyperlink ref="F82" r:id="rId214" xr:uid="{00000000-0004-0000-0200-0000D5000000}"/>
    <hyperlink ref="F23" r:id="rId215" xr:uid="{00000000-0004-0000-0200-0000D6000000}"/>
    <hyperlink ref="F73" r:id="rId216" xr:uid="{00000000-0004-0000-0200-0000D7000000}"/>
    <hyperlink ref="F225" r:id="rId217" xr:uid="{00000000-0004-0000-0200-0000D8000000}"/>
    <hyperlink ref="F45" r:id="rId218" xr:uid="{00000000-0004-0000-0200-0000D9000000}"/>
    <hyperlink ref="F240" r:id="rId219" xr:uid="{00000000-0004-0000-0200-0000DA000000}"/>
    <hyperlink ref="F117" r:id="rId220" xr:uid="{00000000-0004-0000-0200-0000DB000000}"/>
    <hyperlink ref="F118" r:id="rId221" xr:uid="{00000000-0004-0000-0200-0000DC000000}"/>
    <hyperlink ref="F119" r:id="rId222" xr:uid="{00000000-0004-0000-0200-0000DD000000}"/>
    <hyperlink ref="F259" r:id="rId223" xr:uid="{00000000-0004-0000-0200-0000DE000000}"/>
    <hyperlink ref="F5" r:id="rId224" xr:uid="{00000000-0004-0000-0200-0000DF000000}"/>
    <hyperlink ref="F265" r:id="rId225" xr:uid="{00000000-0004-0000-0200-0000E0000000}"/>
    <hyperlink ref="F264" r:id="rId226" xr:uid="{00000000-0004-0000-0200-0000E1000000}"/>
    <hyperlink ref="F271" r:id="rId227" xr:uid="{00000000-0004-0000-0200-0000E2000000}"/>
    <hyperlink ref="F269" r:id="rId228" xr:uid="{00000000-0004-0000-0200-0000E3000000}"/>
    <hyperlink ref="F268" r:id="rId229" xr:uid="{00000000-0004-0000-0200-0000E4000000}"/>
    <hyperlink ref="F270" r:id="rId230" xr:uid="{00000000-0004-0000-0200-0000E5000000}"/>
    <hyperlink ref="F263" r:id="rId231" xr:uid="{00000000-0004-0000-0200-0000E6000000}"/>
    <hyperlink ref="F144" r:id="rId232" xr:uid="{00000000-0004-0000-0200-0000E7000000}"/>
    <hyperlink ref="F110" r:id="rId233" xr:uid="{00000000-0004-0000-0200-0000E8000000}"/>
    <hyperlink ref="F112" r:id="rId234" xr:uid="{00000000-0004-0000-0200-0000E9000000}"/>
    <hyperlink ref="F126" r:id="rId235" xr:uid="{00000000-0004-0000-0200-0000EA000000}"/>
    <hyperlink ref="F35" r:id="rId236" xr:uid="{00000000-0004-0000-0200-0000EB000000}"/>
    <hyperlink ref="F101" r:id="rId237" xr:uid="{00000000-0004-0000-0200-0000EC000000}"/>
    <hyperlink ref="F102" r:id="rId238" xr:uid="{00000000-0004-0000-0200-0000ED000000}"/>
    <hyperlink ref="F103" r:id="rId239" xr:uid="{00000000-0004-0000-0200-0000EE000000}"/>
    <hyperlink ref="F160" r:id="rId240" xr:uid="{00000000-0004-0000-0200-0000EF000000}"/>
    <hyperlink ref="F266" r:id="rId241" xr:uid="{00000000-0004-0000-0200-0000F0000000}"/>
    <hyperlink ref="F267" r:id="rId242" xr:uid="{00000000-0004-0000-0200-0000F1000000}"/>
    <hyperlink ref="F184" r:id="rId243" xr:uid="{00000000-0004-0000-0200-0000F2000000}"/>
    <hyperlink ref="F249" r:id="rId244" xr:uid="{00000000-0004-0000-0200-0000F3000000}"/>
    <hyperlink ref="F248" r:id="rId245" xr:uid="{00000000-0004-0000-0200-0000F4000000}"/>
    <hyperlink ref="F175" r:id="rId246" xr:uid="{00000000-0004-0000-0200-0000F5000000}"/>
    <hyperlink ref="F128" r:id="rId247" xr:uid="{00000000-0004-0000-0200-0000F6000000}"/>
    <hyperlink ref="F79" r:id="rId248" xr:uid="{00000000-0004-0000-0200-0000F7000000}"/>
    <hyperlink ref="F46" r:id="rId249" xr:uid="{00000000-0004-0000-0200-0000F8000000}"/>
    <hyperlink ref="F22" r:id="rId250" xr:uid="{00000000-0004-0000-0200-0000F9000000}"/>
  </hyperlinks>
  <pageMargins left="0.7" right="0.7" top="0.75" bottom="0.75" header="0.3" footer="0.3"/>
  <pageSetup paperSize="9" orientation="portrait" horizontalDpi="180" verticalDpi="180" r:id="rId25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19"/>
  <sheetViews>
    <sheetView workbookViewId="0">
      <selection activeCell="B24" sqref="B24"/>
    </sheetView>
  </sheetViews>
  <sheetFormatPr defaultRowHeight="15" x14ac:dyDescent="0.25"/>
  <sheetData>
    <row r="1" spans="1:9" x14ac:dyDescent="0.25">
      <c r="A1" s="89" t="s">
        <v>468</v>
      </c>
      <c r="B1" s="89"/>
      <c r="D1" s="89" t="s">
        <v>467</v>
      </c>
      <c r="E1" s="89"/>
    </row>
    <row r="2" spans="1:9" x14ac:dyDescent="0.25">
      <c r="A2" s="11">
        <v>0.1</v>
      </c>
      <c r="B2" s="11">
        <v>2</v>
      </c>
      <c r="D2" s="11">
        <v>0.1</v>
      </c>
      <c r="E2" s="11">
        <v>2</v>
      </c>
    </row>
    <row r="3" spans="1:9" x14ac:dyDescent="0.25">
      <c r="A3" s="11">
        <v>100</v>
      </c>
      <c r="B3" s="20">
        <v>2</v>
      </c>
      <c r="D3" s="11">
        <v>100</v>
      </c>
      <c r="E3" s="11">
        <v>1.8</v>
      </c>
    </row>
    <row r="4" spans="1:9" x14ac:dyDescent="0.25">
      <c r="A4" s="12">
        <v>300</v>
      </c>
      <c r="B4" s="12">
        <v>1.6</v>
      </c>
      <c r="D4" s="12">
        <v>300</v>
      </c>
      <c r="E4" s="12">
        <v>1.6</v>
      </c>
      <c r="H4" t="s">
        <v>643</v>
      </c>
      <c r="I4" s="18">
        <f>MIN(Кат!U:U,Торг!W:W)</f>
        <v>0.17675999999999981</v>
      </c>
    </row>
    <row r="5" spans="1:9" x14ac:dyDescent="0.25">
      <c r="A5" s="12">
        <v>500</v>
      </c>
      <c r="B5" s="13">
        <v>1.6</v>
      </c>
      <c r="D5" s="12">
        <v>500</v>
      </c>
      <c r="E5" s="12">
        <v>1.55</v>
      </c>
      <c r="H5" t="s">
        <v>644</v>
      </c>
      <c r="I5" s="18">
        <f>MAX(Кат!U:U,Торг!W:W)</f>
        <v>3.2248571428571422</v>
      </c>
    </row>
    <row r="6" spans="1:9" x14ac:dyDescent="0.25">
      <c r="A6" s="12">
        <v>1000</v>
      </c>
      <c r="B6" s="13">
        <v>1.4</v>
      </c>
      <c r="D6" s="12">
        <v>1000</v>
      </c>
      <c r="E6" s="12">
        <v>1.5</v>
      </c>
    </row>
    <row r="7" spans="1:9" x14ac:dyDescent="0.25">
      <c r="A7" s="12">
        <v>2000</v>
      </c>
      <c r="B7" s="13">
        <v>1.29</v>
      </c>
      <c r="D7" s="12">
        <v>2000</v>
      </c>
      <c r="E7" s="12">
        <v>1.4</v>
      </c>
    </row>
    <row r="8" spans="1:9" x14ac:dyDescent="0.25">
      <c r="A8" s="12">
        <v>5000</v>
      </c>
      <c r="B8" s="13">
        <v>1.32</v>
      </c>
      <c r="D8" s="12">
        <v>5000</v>
      </c>
      <c r="E8" s="12">
        <v>1.35</v>
      </c>
    </row>
    <row r="9" spans="1:9" x14ac:dyDescent="0.25">
      <c r="A9" s="12">
        <v>10000</v>
      </c>
      <c r="B9" s="13">
        <v>1.3</v>
      </c>
      <c r="D9" s="12">
        <v>10000</v>
      </c>
      <c r="E9" s="12">
        <v>1.3</v>
      </c>
    </row>
    <row r="11" spans="1:9" x14ac:dyDescent="0.25">
      <c r="D11" s="89" t="s">
        <v>468</v>
      </c>
      <c r="E11" s="89"/>
    </row>
    <row r="12" spans="1:9" x14ac:dyDescent="0.25">
      <c r="D12" s="11">
        <v>0.1</v>
      </c>
      <c r="E12" s="11">
        <v>2</v>
      </c>
    </row>
    <row r="13" spans="1:9" x14ac:dyDescent="0.25">
      <c r="D13" s="11">
        <v>100</v>
      </c>
      <c r="E13" s="11">
        <v>1.8</v>
      </c>
    </row>
    <row r="14" spans="1:9" x14ac:dyDescent="0.25">
      <c r="D14" s="12">
        <v>300</v>
      </c>
      <c r="E14" s="12">
        <v>1.6</v>
      </c>
    </row>
    <row r="15" spans="1:9" x14ac:dyDescent="0.25">
      <c r="D15" s="12">
        <v>500</v>
      </c>
      <c r="E15" s="13">
        <v>1.5</v>
      </c>
    </row>
    <row r="16" spans="1:9" x14ac:dyDescent="0.25">
      <c r="D16" s="12">
        <v>1000</v>
      </c>
      <c r="E16" s="13">
        <v>1.4</v>
      </c>
    </row>
    <row r="17" spans="4:5" x14ac:dyDescent="0.25">
      <c r="D17" s="12">
        <v>2000</v>
      </c>
      <c r="E17" s="13">
        <v>1.25</v>
      </c>
    </row>
    <row r="18" spans="4:5" x14ac:dyDescent="0.25">
      <c r="D18" s="12">
        <v>5000</v>
      </c>
      <c r="E18" s="13">
        <v>1.2</v>
      </c>
    </row>
    <row r="19" spans="4:5" x14ac:dyDescent="0.25">
      <c r="D19" s="12">
        <v>10000</v>
      </c>
      <c r="E19" s="13">
        <v>1.2</v>
      </c>
    </row>
  </sheetData>
  <mergeCells count="3">
    <mergeCell ref="A1:B1"/>
    <mergeCell ref="D1:E1"/>
    <mergeCell ref="D11:E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34C28-7731-4073-A6D6-66E64AEE1F86}">
  <sheetPr codeName="Лист5"/>
  <dimension ref="A1:O298"/>
  <sheetViews>
    <sheetView showGridLines="0" workbookViewId="0">
      <pane ySplit="1" topLeftCell="A293" activePane="bottomLeft" state="frozen"/>
      <selection pane="bottomLeft" activeCell="F293" sqref="F293"/>
    </sheetView>
  </sheetViews>
  <sheetFormatPr defaultRowHeight="15" x14ac:dyDescent="0.25"/>
  <cols>
    <col min="1" max="1" width="7" customWidth="1"/>
    <col min="2" max="2" width="7" style="21" customWidth="1"/>
    <col min="3" max="3" width="41.28515625" customWidth="1"/>
    <col min="4" max="4" width="7.5703125" bestFit="1" customWidth="1"/>
    <col min="5" max="5" width="21.85546875" bestFit="1" customWidth="1"/>
    <col min="6" max="6" width="35" bestFit="1" customWidth="1"/>
    <col min="7" max="7" width="13.28515625" bestFit="1" customWidth="1"/>
    <col min="8" max="8" width="8.42578125" style="15" bestFit="1" customWidth="1"/>
    <col min="9" max="9" width="10.85546875" style="15" bestFit="1" customWidth="1"/>
    <col min="10" max="10" width="42.28515625" style="15" customWidth="1"/>
    <col min="11" max="11" width="9.5703125" bestFit="1" customWidth="1"/>
    <col min="12" max="12" width="8.85546875" bestFit="1" customWidth="1"/>
    <col min="13" max="13" width="8" bestFit="1" customWidth="1"/>
    <col min="14" max="14" width="4.85546875" bestFit="1" customWidth="1"/>
    <col min="15" max="15" width="5.28515625" bestFit="1" customWidth="1"/>
  </cols>
  <sheetData>
    <row r="1" spans="1:15" ht="30" x14ac:dyDescent="0.25">
      <c r="A1" s="146" t="s">
        <v>223</v>
      </c>
      <c r="B1" s="146" t="s">
        <v>666</v>
      </c>
      <c r="C1" s="146" t="s">
        <v>671</v>
      </c>
      <c r="D1" s="146" t="s">
        <v>672</v>
      </c>
      <c r="E1" s="146" t="s">
        <v>673</v>
      </c>
      <c r="F1" s="146" t="s">
        <v>674</v>
      </c>
      <c r="G1" s="146" t="s">
        <v>540</v>
      </c>
      <c r="H1" s="146" t="s">
        <v>576</v>
      </c>
      <c r="I1" s="146" t="s">
        <v>577</v>
      </c>
      <c r="J1" s="146" t="s">
        <v>675</v>
      </c>
      <c r="K1" s="146" t="s">
        <v>676</v>
      </c>
      <c r="L1" s="146" t="s">
        <v>677</v>
      </c>
      <c r="M1" s="146" t="s">
        <v>539</v>
      </c>
      <c r="N1" s="14"/>
      <c r="O1" s="14"/>
    </row>
    <row r="2" spans="1:15" ht="45" x14ac:dyDescent="0.25">
      <c r="A2" s="147">
        <v>117065</v>
      </c>
      <c r="B2" s="147">
        <v>7262</v>
      </c>
      <c r="C2" s="148" t="s">
        <v>281</v>
      </c>
      <c r="D2" s="148" t="s">
        <v>678</v>
      </c>
      <c r="E2" s="148"/>
      <c r="F2" s="148"/>
      <c r="G2" s="148" t="s">
        <v>527</v>
      </c>
      <c r="H2" s="149">
        <v>1900</v>
      </c>
      <c r="I2" s="149">
        <v>2590</v>
      </c>
      <c r="J2" s="148" t="s">
        <v>948</v>
      </c>
      <c r="K2" s="148" t="s">
        <v>226</v>
      </c>
      <c r="L2" s="148"/>
      <c r="M2" s="148"/>
      <c r="N2" s="14" t="str">
        <f>_xlfn.CONCAT(K2,IF(L2&lt;&gt;"",_xlfn.CONCAT("ск",L2),""))</f>
        <v>1</v>
      </c>
      <c r="O2" s="14" t="str">
        <f>INDEX(Кат!$H:$H,MATCH($A2,Кат!$A:$A,0))</f>
        <v>штат</v>
      </c>
    </row>
    <row r="3" spans="1:15" x14ac:dyDescent="0.25">
      <c r="A3" s="147">
        <v>117111</v>
      </c>
      <c r="B3" s="147">
        <v>24554</v>
      </c>
      <c r="C3" s="148" t="s">
        <v>416</v>
      </c>
      <c r="D3" s="148" t="s">
        <v>678</v>
      </c>
      <c r="E3" s="148"/>
      <c r="F3" s="148"/>
      <c r="G3" s="148" t="s">
        <v>527</v>
      </c>
      <c r="H3" s="149">
        <v>3000</v>
      </c>
      <c r="I3" s="149">
        <v>3890</v>
      </c>
      <c r="J3" s="148"/>
      <c r="K3" s="148" t="s">
        <v>679</v>
      </c>
      <c r="L3" s="148"/>
      <c r="M3" s="148"/>
      <c r="N3" s="14" t="str">
        <f t="shared" ref="N3:N66" si="0">_xlfn.CONCAT(K3,IF(L3&lt;&gt;"",_xlfn.CONCAT("ск",L3),""))</f>
        <v>0</v>
      </c>
      <c r="O3" s="14" t="str">
        <f>INDEX(Кат!$H:$H,MATCH($A3,Кат!$A:$A,0))</f>
        <v>штат</v>
      </c>
    </row>
    <row r="4" spans="1:15" ht="45" x14ac:dyDescent="0.25">
      <c r="A4" s="147">
        <v>117307</v>
      </c>
      <c r="B4" s="147">
        <v>13767</v>
      </c>
      <c r="C4" s="148" t="s">
        <v>341</v>
      </c>
      <c r="D4" s="148" t="s">
        <v>678</v>
      </c>
      <c r="E4" s="148"/>
      <c r="F4" s="148"/>
      <c r="G4" s="148" t="s">
        <v>527</v>
      </c>
      <c r="H4" s="149">
        <v>400</v>
      </c>
      <c r="I4" s="149">
        <v>819</v>
      </c>
      <c r="J4" s="148" t="s">
        <v>986</v>
      </c>
      <c r="K4" s="148" t="s">
        <v>226</v>
      </c>
      <c r="L4" s="148"/>
      <c r="M4" s="148"/>
      <c r="N4" s="14" t="str">
        <f t="shared" si="0"/>
        <v>1</v>
      </c>
      <c r="O4" s="14" t="str">
        <f>INDEX(Кат!$H:$H,MATCH($A4,Кат!$A:$A,0))</f>
        <v>штат</v>
      </c>
    </row>
    <row r="5" spans="1:15" ht="45" x14ac:dyDescent="0.25">
      <c r="A5" s="147">
        <v>117308</v>
      </c>
      <c r="B5" s="147">
        <v>5545</v>
      </c>
      <c r="C5" s="148" t="s">
        <v>536</v>
      </c>
      <c r="D5" s="148" t="s">
        <v>678</v>
      </c>
      <c r="E5" s="148"/>
      <c r="F5" s="148"/>
      <c r="G5" s="148" t="s">
        <v>527</v>
      </c>
      <c r="H5" s="149">
        <v>370</v>
      </c>
      <c r="I5" s="149">
        <v>629</v>
      </c>
      <c r="J5" s="148" t="s">
        <v>810</v>
      </c>
      <c r="K5" s="148" t="s">
        <v>226</v>
      </c>
      <c r="L5" s="148"/>
      <c r="M5" s="148"/>
      <c r="N5" s="14" t="str">
        <f t="shared" si="0"/>
        <v>1</v>
      </c>
      <c r="O5" s="14" t="str">
        <f>INDEX(Кат!$H:$H,MATCH($A5,Кат!$A:$A,0))</f>
        <v>штат</v>
      </c>
    </row>
    <row r="6" spans="1:15" ht="45" x14ac:dyDescent="0.25">
      <c r="A6" s="147">
        <v>117309</v>
      </c>
      <c r="B6" s="147">
        <v>24501</v>
      </c>
      <c r="C6" s="148" t="s">
        <v>630</v>
      </c>
      <c r="D6" s="148" t="s">
        <v>678</v>
      </c>
      <c r="E6" s="148"/>
      <c r="F6" s="148"/>
      <c r="G6" s="148" t="s">
        <v>527</v>
      </c>
      <c r="H6" s="149">
        <v>420</v>
      </c>
      <c r="I6" s="149">
        <v>819</v>
      </c>
      <c r="J6" s="148" t="s">
        <v>992</v>
      </c>
      <c r="K6" s="148" t="s">
        <v>226</v>
      </c>
      <c r="L6" s="148"/>
      <c r="M6" s="148"/>
      <c r="N6" s="14" t="str">
        <f t="shared" si="0"/>
        <v>1</v>
      </c>
      <c r="O6" s="14" t="str">
        <f>INDEX(Кат!$H:$H,MATCH($A6,Кат!$A:$A,0))</f>
        <v>штат</v>
      </c>
    </row>
    <row r="7" spans="1:15" ht="30" x14ac:dyDescent="0.25">
      <c r="A7" s="147">
        <v>117310</v>
      </c>
      <c r="B7" s="147">
        <v>24502</v>
      </c>
      <c r="C7" s="148" t="s">
        <v>220</v>
      </c>
      <c r="D7" s="148" t="s">
        <v>680</v>
      </c>
      <c r="E7" s="148"/>
      <c r="F7" s="148"/>
      <c r="G7" s="148" t="s">
        <v>527</v>
      </c>
      <c r="H7" s="149">
        <v>370</v>
      </c>
      <c r="I7" s="149">
        <v>599</v>
      </c>
      <c r="J7" s="148"/>
      <c r="K7" s="148" t="s">
        <v>679</v>
      </c>
      <c r="L7" s="148"/>
      <c r="M7" s="148"/>
      <c r="N7" s="14" t="str">
        <f t="shared" si="0"/>
        <v>0</v>
      </c>
      <c r="O7" s="14" t="str">
        <f>INDEX(Кат!$H:$H,MATCH($A7,Кат!$A:$A,0))</f>
        <v>штат</v>
      </c>
    </row>
    <row r="8" spans="1:15" ht="45" x14ac:dyDescent="0.25">
      <c r="A8" s="147">
        <v>117311</v>
      </c>
      <c r="B8" s="147">
        <v>24503</v>
      </c>
      <c r="C8" s="148" t="s">
        <v>422</v>
      </c>
      <c r="D8" s="148" t="s">
        <v>678</v>
      </c>
      <c r="E8" s="148"/>
      <c r="F8" s="148"/>
      <c r="G8" s="148" t="s">
        <v>527</v>
      </c>
      <c r="H8" s="149">
        <v>1100</v>
      </c>
      <c r="I8" s="149">
        <v>1790</v>
      </c>
      <c r="J8" s="148" t="s">
        <v>959</v>
      </c>
      <c r="K8" s="148" t="s">
        <v>226</v>
      </c>
      <c r="L8" s="148"/>
      <c r="M8" s="148"/>
      <c r="N8" s="14" t="str">
        <f t="shared" si="0"/>
        <v>1</v>
      </c>
      <c r="O8" s="14" t="str">
        <f>INDEX(Кат!$H:$H,MATCH($A8,Кат!$A:$A,0))</f>
        <v>штат</v>
      </c>
    </row>
    <row r="9" spans="1:15" ht="45" x14ac:dyDescent="0.25">
      <c r="A9" s="147">
        <v>117313</v>
      </c>
      <c r="B9" s="147">
        <v>5546</v>
      </c>
      <c r="C9" s="148" t="s">
        <v>535</v>
      </c>
      <c r="D9" s="148" t="s">
        <v>678</v>
      </c>
      <c r="E9" s="148"/>
      <c r="F9" s="148"/>
      <c r="G9" s="148" t="s">
        <v>527</v>
      </c>
      <c r="H9" s="149">
        <v>370</v>
      </c>
      <c r="I9" s="149">
        <v>629</v>
      </c>
      <c r="J9" s="148" t="s">
        <v>811</v>
      </c>
      <c r="K9" s="148" t="s">
        <v>226</v>
      </c>
      <c r="L9" s="148"/>
      <c r="M9" s="148"/>
      <c r="N9" s="14" t="str">
        <f t="shared" si="0"/>
        <v>1</v>
      </c>
      <c r="O9" s="14" t="str">
        <f>INDEX(Кат!$H:$H,MATCH($A9,Кат!$A:$A,0))</f>
        <v>штат</v>
      </c>
    </row>
    <row r="10" spans="1:15" ht="45" x14ac:dyDescent="0.25">
      <c r="A10" s="147">
        <v>117314</v>
      </c>
      <c r="B10" s="147">
        <v>5547</v>
      </c>
      <c r="C10" s="148" t="s">
        <v>624</v>
      </c>
      <c r="D10" s="148" t="s">
        <v>678</v>
      </c>
      <c r="E10" s="148"/>
      <c r="F10" s="148"/>
      <c r="G10" s="148" t="s">
        <v>527</v>
      </c>
      <c r="H10" s="149">
        <v>420</v>
      </c>
      <c r="I10" s="149">
        <v>819</v>
      </c>
      <c r="J10" s="148" t="s">
        <v>783</v>
      </c>
      <c r="K10" s="148" t="s">
        <v>226</v>
      </c>
      <c r="L10" s="148"/>
      <c r="M10" s="148"/>
      <c r="N10" s="14" t="str">
        <f t="shared" si="0"/>
        <v>1</v>
      </c>
      <c r="O10" s="14" t="str">
        <f>INDEX(Кат!$H:$H,MATCH($A10,Кат!$A:$A,0))</f>
        <v>штат</v>
      </c>
    </row>
    <row r="11" spans="1:15" ht="30" x14ac:dyDescent="0.25">
      <c r="A11" s="147">
        <v>117315</v>
      </c>
      <c r="B11" s="147">
        <v>14092</v>
      </c>
      <c r="C11" s="148" t="s">
        <v>209</v>
      </c>
      <c r="D11" s="148" t="s">
        <v>678</v>
      </c>
      <c r="E11" s="148"/>
      <c r="F11" s="148"/>
      <c r="G11" s="148" t="s">
        <v>527</v>
      </c>
      <c r="H11" s="149">
        <v>370</v>
      </c>
      <c r="I11" s="149">
        <v>599</v>
      </c>
      <c r="J11" s="148"/>
      <c r="K11" s="148" t="s">
        <v>679</v>
      </c>
      <c r="L11" s="148"/>
      <c r="M11" s="148"/>
      <c r="N11" s="14" t="str">
        <f t="shared" si="0"/>
        <v>0</v>
      </c>
      <c r="O11" s="14" t="str">
        <f>INDEX(Кат!$H:$H,MATCH($A11,Кат!$A:$A,0))</f>
        <v>штат</v>
      </c>
    </row>
    <row r="12" spans="1:15" ht="45" x14ac:dyDescent="0.25">
      <c r="A12" s="147">
        <v>117316</v>
      </c>
      <c r="B12" s="147">
        <v>13765</v>
      </c>
      <c r="C12" s="148" t="s">
        <v>336</v>
      </c>
      <c r="D12" s="148" t="s">
        <v>678</v>
      </c>
      <c r="E12" s="148"/>
      <c r="F12" s="148"/>
      <c r="G12" s="148" t="s">
        <v>527</v>
      </c>
      <c r="H12" s="149">
        <v>420</v>
      </c>
      <c r="I12" s="149">
        <v>819</v>
      </c>
      <c r="J12" s="148" t="s">
        <v>804</v>
      </c>
      <c r="K12" s="148" t="s">
        <v>226</v>
      </c>
      <c r="L12" s="148"/>
      <c r="M12" s="148"/>
      <c r="N12" s="14" t="str">
        <f t="shared" si="0"/>
        <v>1</v>
      </c>
      <c r="O12" s="14" t="str">
        <f>INDEX(Кат!$H:$H,MATCH($A12,Кат!$A:$A,0))</f>
        <v>штат</v>
      </c>
    </row>
    <row r="13" spans="1:15" ht="45" x14ac:dyDescent="0.25">
      <c r="A13" s="147">
        <v>117317</v>
      </c>
      <c r="B13" s="147">
        <v>13764</v>
      </c>
      <c r="C13" s="148" t="s">
        <v>335</v>
      </c>
      <c r="D13" s="148" t="s">
        <v>678</v>
      </c>
      <c r="E13" s="148"/>
      <c r="F13" s="148"/>
      <c r="G13" s="148" t="s">
        <v>527</v>
      </c>
      <c r="H13" s="149">
        <v>420</v>
      </c>
      <c r="I13" s="149">
        <v>819</v>
      </c>
      <c r="J13" s="148" t="s">
        <v>991</v>
      </c>
      <c r="K13" s="148" t="s">
        <v>226</v>
      </c>
      <c r="L13" s="148"/>
      <c r="M13" s="148"/>
      <c r="N13" s="14" t="str">
        <f t="shared" si="0"/>
        <v>1</v>
      </c>
      <c r="O13" s="14" t="str">
        <f>INDEX(Кат!$H:$H,MATCH($A13,Кат!$A:$A,0))</f>
        <v>штат</v>
      </c>
    </row>
    <row r="14" spans="1:15" ht="30" x14ac:dyDescent="0.25">
      <c r="A14" s="147">
        <v>117318</v>
      </c>
      <c r="B14" s="147">
        <v>13763</v>
      </c>
      <c r="C14" s="148" t="s">
        <v>334</v>
      </c>
      <c r="D14" s="148" t="s">
        <v>678</v>
      </c>
      <c r="E14" s="148"/>
      <c r="F14" s="148"/>
      <c r="G14" s="148" t="s">
        <v>527</v>
      </c>
      <c r="H14" s="149">
        <v>420</v>
      </c>
      <c r="I14" s="149">
        <v>819</v>
      </c>
      <c r="J14" s="148" t="s">
        <v>681</v>
      </c>
      <c r="K14" s="148" t="s">
        <v>226</v>
      </c>
      <c r="L14" s="148"/>
      <c r="M14" s="148"/>
      <c r="N14" s="14" t="str">
        <f t="shared" si="0"/>
        <v>1</v>
      </c>
      <c r="O14" s="14" t="str">
        <f>INDEX(Кат!$H:$H,MATCH($A14,Кат!$A:$A,0))</f>
        <v>штат</v>
      </c>
    </row>
    <row r="15" spans="1:15" ht="45" x14ac:dyDescent="0.25">
      <c r="A15" s="147">
        <v>117319</v>
      </c>
      <c r="B15" s="147">
        <v>5548</v>
      </c>
      <c r="C15" s="148" t="s">
        <v>333</v>
      </c>
      <c r="D15" s="148" t="s">
        <v>678</v>
      </c>
      <c r="E15" s="148"/>
      <c r="F15" s="148"/>
      <c r="G15" s="148" t="s">
        <v>527</v>
      </c>
      <c r="H15" s="149">
        <v>420</v>
      </c>
      <c r="I15" s="149">
        <v>819</v>
      </c>
      <c r="J15" s="148" t="s">
        <v>990</v>
      </c>
      <c r="K15" s="148" t="s">
        <v>226</v>
      </c>
      <c r="L15" s="148"/>
      <c r="M15" s="148"/>
      <c r="N15" s="14" t="str">
        <f t="shared" si="0"/>
        <v>1</v>
      </c>
      <c r="O15" s="14" t="str">
        <f>INDEX(Кат!$H:$H,MATCH($A15,Кат!$A:$A,0))</f>
        <v>штат</v>
      </c>
    </row>
    <row r="16" spans="1:15" ht="45" x14ac:dyDescent="0.25">
      <c r="A16" s="147">
        <v>117337</v>
      </c>
      <c r="B16" s="147">
        <v>7216</v>
      </c>
      <c r="C16" s="148" t="s">
        <v>348</v>
      </c>
      <c r="D16" s="148" t="s">
        <v>678</v>
      </c>
      <c r="E16" s="148"/>
      <c r="F16" s="148"/>
      <c r="G16" s="148" t="s">
        <v>527</v>
      </c>
      <c r="H16" s="149">
        <v>120</v>
      </c>
      <c r="I16" s="149">
        <v>259</v>
      </c>
      <c r="J16" s="148" t="s">
        <v>808</v>
      </c>
      <c r="K16" s="148" t="s">
        <v>679</v>
      </c>
      <c r="L16" s="148"/>
      <c r="M16" s="148"/>
      <c r="N16" s="14" t="str">
        <f t="shared" si="0"/>
        <v>0</v>
      </c>
      <c r="O16" s="14" t="str">
        <f>INDEX(Кат!$H:$H,MATCH($A16,Кат!$A:$A,0))</f>
        <v>штат</v>
      </c>
    </row>
    <row r="17" spans="1:15" ht="45" x14ac:dyDescent="0.25">
      <c r="A17" s="147">
        <v>131455</v>
      </c>
      <c r="B17" s="147">
        <v>31702</v>
      </c>
      <c r="C17" s="148" t="s">
        <v>452</v>
      </c>
      <c r="D17" s="148" t="s">
        <v>678</v>
      </c>
      <c r="E17" s="148" t="s">
        <v>595</v>
      </c>
      <c r="F17" s="148"/>
      <c r="G17" s="148" t="s">
        <v>527</v>
      </c>
      <c r="H17" s="149">
        <v>4575</v>
      </c>
      <c r="I17" s="149">
        <v>5990</v>
      </c>
      <c r="J17" s="148"/>
      <c r="K17" s="148" t="s">
        <v>226</v>
      </c>
      <c r="L17" s="148"/>
      <c r="M17" s="148"/>
      <c r="N17" s="14" t="str">
        <f t="shared" si="0"/>
        <v>1</v>
      </c>
      <c r="O17" s="14" t="str">
        <f>INDEX(Кат!$H:$H,MATCH($A17,Кат!$A:$A,0))</f>
        <v>штат</v>
      </c>
    </row>
    <row r="18" spans="1:15" x14ac:dyDescent="0.25">
      <c r="A18" s="147">
        <v>131457</v>
      </c>
      <c r="B18" s="147">
        <v>11071</v>
      </c>
      <c r="C18" s="148" t="s">
        <v>417</v>
      </c>
      <c r="D18" s="148" t="s">
        <v>678</v>
      </c>
      <c r="E18" s="148"/>
      <c r="F18" s="148"/>
      <c r="G18" s="148" t="s">
        <v>527</v>
      </c>
      <c r="H18" s="149">
        <v>5250</v>
      </c>
      <c r="I18" s="149">
        <v>6990</v>
      </c>
      <c r="J18" s="148"/>
      <c r="K18" s="148" t="s">
        <v>679</v>
      </c>
      <c r="L18" s="148"/>
      <c r="M18" s="148"/>
      <c r="N18" s="14" t="str">
        <f t="shared" si="0"/>
        <v>0</v>
      </c>
      <c r="O18" s="14" t="str">
        <f>INDEX(Кат!$H:$H,MATCH($A18,Кат!$A:$A,0))</f>
        <v>штат</v>
      </c>
    </row>
    <row r="19" spans="1:15" ht="45" x14ac:dyDescent="0.25">
      <c r="A19" s="147">
        <v>131499</v>
      </c>
      <c r="B19" s="147">
        <v>24482</v>
      </c>
      <c r="C19" s="148" t="s">
        <v>420</v>
      </c>
      <c r="D19" s="148" t="s">
        <v>678</v>
      </c>
      <c r="E19" s="148"/>
      <c r="F19" s="148"/>
      <c r="G19" s="148" t="s">
        <v>527</v>
      </c>
      <c r="H19" s="149">
        <v>3300</v>
      </c>
      <c r="I19" s="149">
        <v>4490</v>
      </c>
      <c r="J19" s="148" t="s">
        <v>822</v>
      </c>
      <c r="K19" s="148" t="s">
        <v>226</v>
      </c>
      <c r="L19" s="148"/>
      <c r="M19" s="148"/>
      <c r="N19" s="14" t="str">
        <f t="shared" si="0"/>
        <v>1</v>
      </c>
      <c r="O19" s="14" t="str">
        <f>INDEX(Кат!$H:$H,MATCH($A19,Кат!$A:$A,0))</f>
        <v>штат</v>
      </c>
    </row>
    <row r="20" spans="1:15" ht="30" x14ac:dyDescent="0.25">
      <c r="A20" s="147">
        <v>131500</v>
      </c>
      <c r="B20" s="147">
        <v>7267</v>
      </c>
      <c r="C20" s="148" t="s">
        <v>224</v>
      </c>
      <c r="D20" s="148" t="s">
        <v>678</v>
      </c>
      <c r="E20" s="148"/>
      <c r="F20" s="148"/>
      <c r="G20" s="148" t="s">
        <v>527</v>
      </c>
      <c r="H20" s="149">
        <v>79090</v>
      </c>
      <c r="I20" s="149">
        <v>102890</v>
      </c>
      <c r="J20" s="148"/>
      <c r="K20" s="148" t="s">
        <v>679</v>
      </c>
      <c r="L20" s="148"/>
      <c r="M20" s="148"/>
      <c r="N20" s="14" t="str">
        <f t="shared" si="0"/>
        <v>0</v>
      </c>
      <c r="O20" s="14" t="str">
        <f>INDEX(Кат!$H:$H,MATCH($A20,Кат!$A:$A,0))</f>
        <v>штат</v>
      </c>
    </row>
    <row r="21" spans="1:15" ht="45" x14ac:dyDescent="0.25">
      <c r="A21" s="147">
        <v>131502</v>
      </c>
      <c r="B21" s="147">
        <v>24517</v>
      </c>
      <c r="C21" s="148" t="s">
        <v>346</v>
      </c>
      <c r="D21" s="148" t="s">
        <v>678</v>
      </c>
      <c r="E21" s="148"/>
      <c r="F21" s="148"/>
      <c r="G21" s="148" t="s">
        <v>527</v>
      </c>
      <c r="H21" s="149">
        <v>330</v>
      </c>
      <c r="I21" s="149">
        <v>429</v>
      </c>
      <c r="J21" s="148" t="s">
        <v>987</v>
      </c>
      <c r="K21" s="148" t="s">
        <v>226</v>
      </c>
      <c r="L21" s="148"/>
      <c r="M21" s="148"/>
      <c r="N21" s="14" t="str">
        <f t="shared" si="0"/>
        <v>1</v>
      </c>
      <c r="O21" s="14" t="str">
        <f>INDEX(Кат!$H:$H,MATCH($A21,Кат!$A:$A,0))</f>
        <v>штат</v>
      </c>
    </row>
    <row r="22" spans="1:15" ht="45" x14ac:dyDescent="0.25">
      <c r="A22" s="147">
        <v>131526</v>
      </c>
      <c r="B22" s="147">
        <v>24498</v>
      </c>
      <c r="C22" s="148" t="s">
        <v>431</v>
      </c>
      <c r="D22" s="148" t="s">
        <v>678</v>
      </c>
      <c r="E22" s="148"/>
      <c r="F22" s="148"/>
      <c r="G22" s="148" t="s">
        <v>527</v>
      </c>
      <c r="H22" s="149">
        <v>2700</v>
      </c>
      <c r="I22" s="149">
        <v>3490</v>
      </c>
      <c r="J22" s="148"/>
      <c r="K22" s="148" t="s">
        <v>679</v>
      </c>
      <c r="L22" s="148"/>
      <c r="M22" s="148"/>
      <c r="N22" s="14" t="str">
        <f t="shared" si="0"/>
        <v>0</v>
      </c>
      <c r="O22" s="14" t="str">
        <f>INDEX(Кат!$H:$H,MATCH($A22,Кат!$A:$A,0))</f>
        <v>штат</v>
      </c>
    </row>
    <row r="23" spans="1:15" x14ac:dyDescent="0.25">
      <c r="A23" s="147">
        <v>131555</v>
      </c>
      <c r="B23" s="147">
        <v>31506</v>
      </c>
      <c r="C23" s="148" t="s">
        <v>442</v>
      </c>
      <c r="D23" s="148" t="s">
        <v>678</v>
      </c>
      <c r="E23" s="148"/>
      <c r="F23" s="148"/>
      <c r="G23" s="148" t="s">
        <v>527</v>
      </c>
      <c r="H23" s="149">
        <v>600</v>
      </c>
      <c r="I23" s="149">
        <v>959</v>
      </c>
      <c r="J23" s="148"/>
      <c r="K23" s="148" t="s">
        <v>226</v>
      </c>
      <c r="L23" s="148"/>
      <c r="M23" s="148"/>
      <c r="N23" s="14" t="str">
        <f t="shared" si="0"/>
        <v>1</v>
      </c>
      <c r="O23" s="14" t="str">
        <f>INDEX(Кат!$H:$H,MATCH($A23,Кат!$A:$A,0))</f>
        <v>штат</v>
      </c>
    </row>
    <row r="24" spans="1:15" ht="30" x14ac:dyDescent="0.25">
      <c r="A24" s="147">
        <v>131559</v>
      </c>
      <c r="B24" s="147">
        <v>7259</v>
      </c>
      <c r="C24" s="148" t="s">
        <v>256</v>
      </c>
      <c r="D24" s="148" t="s">
        <v>678</v>
      </c>
      <c r="E24" s="148"/>
      <c r="F24" s="148"/>
      <c r="G24" s="148" t="s">
        <v>527</v>
      </c>
      <c r="H24" s="149">
        <v>3100</v>
      </c>
      <c r="I24" s="149">
        <v>4390</v>
      </c>
      <c r="J24" s="148" t="s">
        <v>853</v>
      </c>
      <c r="K24" s="148" t="s">
        <v>226</v>
      </c>
      <c r="L24" s="148"/>
      <c r="M24" s="148"/>
      <c r="N24" s="14" t="str">
        <f t="shared" si="0"/>
        <v>1</v>
      </c>
      <c r="O24" s="14" t="str">
        <f>INDEX(Кат!$H:$H,MATCH($A24,Кат!$A:$A,0))</f>
        <v>штат</v>
      </c>
    </row>
    <row r="25" spans="1:15" ht="30" x14ac:dyDescent="0.25">
      <c r="A25" s="147">
        <v>131560</v>
      </c>
      <c r="B25" s="147">
        <v>7260</v>
      </c>
      <c r="C25" s="148" t="s">
        <v>287</v>
      </c>
      <c r="D25" s="148" t="s">
        <v>678</v>
      </c>
      <c r="E25" s="148"/>
      <c r="F25" s="148"/>
      <c r="G25" s="148" t="s">
        <v>527</v>
      </c>
      <c r="H25" s="149">
        <v>1500</v>
      </c>
      <c r="I25" s="149">
        <v>2090</v>
      </c>
      <c r="J25" s="148" t="s">
        <v>953</v>
      </c>
      <c r="K25" s="148" t="s">
        <v>226</v>
      </c>
      <c r="L25" s="148"/>
      <c r="M25" s="148"/>
      <c r="N25" s="14" t="str">
        <f t="shared" si="0"/>
        <v>1</v>
      </c>
      <c r="O25" s="14" t="str">
        <f>INDEX(Кат!$H:$H,MATCH($A25,Кат!$A:$A,0))</f>
        <v>штат</v>
      </c>
    </row>
    <row r="26" spans="1:15" ht="45" x14ac:dyDescent="0.25">
      <c r="A26" s="147">
        <v>131561</v>
      </c>
      <c r="B26" s="147">
        <v>7245</v>
      </c>
      <c r="C26" s="148" t="s">
        <v>308</v>
      </c>
      <c r="D26" s="148" t="s">
        <v>678</v>
      </c>
      <c r="E26" s="148"/>
      <c r="F26" s="148"/>
      <c r="G26" s="148" t="s">
        <v>527</v>
      </c>
      <c r="H26" s="149">
        <v>770</v>
      </c>
      <c r="I26" s="149">
        <v>1190</v>
      </c>
      <c r="J26" s="148" t="s">
        <v>967</v>
      </c>
      <c r="K26" s="148" t="s">
        <v>226</v>
      </c>
      <c r="L26" s="148"/>
      <c r="M26" s="148"/>
      <c r="N26" s="14" t="str">
        <f t="shared" si="0"/>
        <v>1</v>
      </c>
      <c r="O26" s="14" t="str">
        <f>INDEX(Кат!$H:$H,MATCH($A26,Кат!$A:$A,0))</f>
        <v>штат</v>
      </c>
    </row>
    <row r="27" spans="1:15" ht="45" x14ac:dyDescent="0.25">
      <c r="A27" s="147">
        <v>131562</v>
      </c>
      <c r="B27" s="147">
        <v>31505</v>
      </c>
      <c r="C27" s="148" t="s">
        <v>441</v>
      </c>
      <c r="D27" s="148" t="s">
        <v>678</v>
      </c>
      <c r="E27" s="148"/>
      <c r="F27" s="148"/>
      <c r="G27" s="148" t="s">
        <v>527</v>
      </c>
      <c r="H27" s="149">
        <v>500</v>
      </c>
      <c r="I27" s="149">
        <v>839</v>
      </c>
      <c r="J27" s="148" t="s">
        <v>971</v>
      </c>
      <c r="K27" s="148" t="s">
        <v>226</v>
      </c>
      <c r="L27" s="148"/>
      <c r="M27" s="148" t="s">
        <v>678</v>
      </c>
      <c r="N27" s="14" t="str">
        <f t="shared" si="0"/>
        <v>1</v>
      </c>
      <c r="O27" s="14" t="str">
        <f>INDEX(Кат!$H:$H,MATCH($A27,Кат!$A:$A,0))</f>
        <v>штат</v>
      </c>
    </row>
    <row r="28" spans="1:15" ht="45" x14ac:dyDescent="0.25">
      <c r="A28" s="147">
        <v>131563</v>
      </c>
      <c r="B28" s="147">
        <v>31504</v>
      </c>
      <c r="C28" s="148" t="s">
        <v>440</v>
      </c>
      <c r="D28" s="148" t="s">
        <v>678</v>
      </c>
      <c r="E28" s="148"/>
      <c r="F28" s="148"/>
      <c r="G28" s="148" t="s">
        <v>527</v>
      </c>
      <c r="H28" s="149">
        <v>430</v>
      </c>
      <c r="I28" s="149">
        <v>729</v>
      </c>
      <c r="J28" s="148" t="s">
        <v>996</v>
      </c>
      <c r="K28" s="148" t="s">
        <v>226</v>
      </c>
      <c r="L28" s="148"/>
      <c r="M28" s="148"/>
      <c r="N28" s="14" t="str">
        <f t="shared" si="0"/>
        <v>1</v>
      </c>
      <c r="O28" s="14" t="str">
        <f>INDEX(Кат!$H:$H,MATCH($A28,Кат!$A:$A,0))</f>
        <v>штат</v>
      </c>
    </row>
    <row r="29" spans="1:15" ht="45" x14ac:dyDescent="0.25">
      <c r="A29" s="147">
        <v>131564</v>
      </c>
      <c r="B29" s="147">
        <v>7246</v>
      </c>
      <c r="C29" s="148" t="s">
        <v>311</v>
      </c>
      <c r="D29" s="148" t="s">
        <v>678</v>
      </c>
      <c r="E29" s="148"/>
      <c r="F29" s="148"/>
      <c r="G29" s="148" t="s">
        <v>527</v>
      </c>
      <c r="H29" s="149">
        <v>550</v>
      </c>
      <c r="I29" s="149">
        <v>949</v>
      </c>
      <c r="J29" s="148" t="s">
        <v>966</v>
      </c>
      <c r="K29" s="148" t="s">
        <v>226</v>
      </c>
      <c r="L29" s="148"/>
      <c r="M29" s="148"/>
      <c r="N29" s="14" t="str">
        <f t="shared" si="0"/>
        <v>1</v>
      </c>
      <c r="O29" s="14" t="str">
        <f>INDEX(Кат!$H:$H,MATCH($A29,Кат!$A:$A,0))</f>
        <v>штат</v>
      </c>
    </row>
    <row r="30" spans="1:15" x14ac:dyDescent="0.25">
      <c r="A30" s="147">
        <v>131565</v>
      </c>
      <c r="B30" s="147">
        <v>7249</v>
      </c>
      <c r="C30" s="148" t="s">
        <v>377</v>
      </c>
      <c r="D30" s="148" t="s">
        <v>678</v>
      </c>
      <c r="E30" s="148"/>
      <c r="F30" s="148"/>
      <c r="G30" s="148" t="s">
        <v>527</v>
      </c>
      <c r="H30" s="149">
        <v>1580</v>
      </c>
      <c r="I30" s="149">
        <v>2290</v>
      </c>
      <c r="J30" s="148"/>
      <c r="K30" s="148" t="s">
        <v>679</v>
      </c>
      <c r="L30" s="148"/>
      <c r="M30" s="148"/>
      <c r="N30" s="14" t="str">
        <f t="shared" si="0"/>
        <v>0</v>
      </c>
      <c r="O30" s="14" t="str">
        <f>INDEX(Кат!$H:$H,MATCH($A30,Кат!$A:$A,0))</f>
        <v>штат</v>
      </c>
    </row>
    <row r="31" spans="1:15" ht="30" x14ac:dyDescent="0.25">
      <c r="A31" s="147">
        <v>131566</v>
      </c>
      <c r="B31" s="147">
        <v>7247</v>
      </c>
      <c r="C31" s="148" t="s">
        <v>312</v>
      </c>
      <c r="D31" s="148" t="s">
        <v>678</v>
      </c>
      <c r="E31" s="148"/>
      <c r="F31" s="148"/>
      <c r="G31" s="148" t="s">
        <v>527</v>
      </c>
      <c r="H31" s="149">
        <v>800</v>
      </c>
      <c r="I31" s="149">
        <v>1190</v>
      </c>
      <c r="J31" s="148" t="s">
        <v>965</v>
      </c>
      <c r="K31" s="148" t="s">
        <v>226</v>
      </c>
      <c r="L31" s="148"/>
      <c r="M31" s="148"/>
      <c r="N31" s="14" t="str">
        <f t="shared" si="0"/>
        <v>1</v>
      </c>
      <c r="O31" s="14" t="str">
        <f>INDEX(Кат!$H:$H,MATCH($A31,Кат!$A:$A,0))</f>
        <v>штат</v>
      </c>
    </row>
    <row r="32" spans="1:15" x14ac:dyDescent="0.25">
      <c r="A32" s="147">
        <v>131567</v>
      </c>
      <c r="B32" s="147">
        <v>7248</v>
      </c>
      <c r="C32" s="148" t="s">
        <v>286</v>
      </c>
      <c r="D32" s="148" t="s">
        <v>678</v>
      </c>
      <c r="E32" s="148"/>
      <c r="F32" s="148"/>
      <c r="G32" s="148" t="s">
        <v>527</v>
      </c>
      <c r="H32" s="149">
        <v>850</v>
      </c>
      <c r="I32" s="149">
        <v>1290</v>
      </c>
      <c r="J32" s="148" t="s">
        <v>775</v>
      </c>
      <c r="K32" s="148" t="s">
        <v>226</v>
      </c>
      <c r="L32" s="148"/>
      <c r="M32" s="148"/>
      <c r="N32" s="14" t="str">
        <f t="shared" si="0"/>
        <v>1</v>
      </c>
      <c r="O32" s="14" t="str">
        <f>INDEX(Кат!$H:$H,MATCH($A32,Кат!$A:$A,0))</f>
        <v>штат</v>
      </c>
    </row>
    <row r="33" spans="1:15" ht="30" x14ac:dyDescent="0.25">
      <c r="A33" s="147">
        <v>131568</v>
      </c>
      <c r="B33" s="147">
        <v>7261</v>
      </c>
      <c r="C33" s="148" t="s">
        <v>379</v>
      </c>
      <c r="D33" s="148" t="s">
        <v>678</v>
      </c>
      <c r="E33" s="148"/>
      <c r="F33" s="148"/>
      <c r="G33" s="148" t="s">
        <v>527</v>
      </c>
      <c r="H33" s="149">
        <v>0</v>
      </c>
      <c r="I33" s="149">
        <v>2290</v>
      </c>
      <c r="J33" s="148"/>
      <c r="K33" s="148" t="s">
        <v>679</v>
      </c>
      <c r="L33" s="148"/>
      <c r="M33" s="148"/>
      <c r="N33" s="14" t="str">
        <f t="shared" si="0"/>
        <v>0</v>
      </c>
      <c r="O33" s="14" t="str">
        <f>INDEX(Кат!$H:$H,MATCH($A33,Кат!$A:$A,0))</f>
        <v>штат</v>
      </c>
    </row>
    <row r="34" spans="1:15" x14ac:dyDescent="0.25">
      <c r="A34" s="147">
        <v>131586</v>
      </c>
      <c r="B34" s="147">
        <v>7250</v>
      </c>
      <c r="C34" s="148" t="s">
        <v>378</v>
      </c>
      <c r="D34" s="148" t="s">
        <v>678</v>
      </c>
      <c r="E34" s="148"/>
      <c r="F34" s="148"/>
      <c r="G34" s="148" t="s">
        <v>527</v>
      </c>
      <c r="H34" s="149">
        <v>0</v>
      </c>
      <c r="I34" s="149">
        <v>2390</v>
      </c>
      <c r="J34" s="148"/>
      <c r="K34" s="148" t="s">
        <v>679</v>
      </c>
      <c r="L34" s="148"/>
      <c r="M34" s="148"/>
      <c r="N34" s="14" t="str">
        <f t="shared" si="0"/>
        <v>0</v>
      </c>
      <c r="O34" s="14" t="str">
        <f>INDEX(Кат!$H:$H,MATCH($A34,Кат!$A:$A,0))</f>
        <v>штат</v>
      </c>
    </row>
    <row r="35" spans="1:15" ht="45" x14ac:dyDescent="0.25">
      <c r="A35" s="147">
        <v>131693</v>
      </c>
      <c r="B35" s="147">
        <v>88672</v>
      </c>
      <c r="C35" s="148" t="s">
        <v>599</v>
      </c>
      <c r="D35" s="148" t="s">
        <v>678</v>
      </c>
      <c r="E35" s="148"/>
      <c r="F35" s="148"/>
      <c r="G35" s="148" t="s">
        <v>527</v>
      </c>
      <c r="H35" s="149">
        <v>200</v>
      </c>
      <c r="I35" s="149">
        <v>409</v>
      </c>
      <c r="J35" s="148" t="s">
        <v>934</v>
      </c>
      <c r="K35" s="148" t="s">
        <v>226</v>
      </c>
      <c r="L35" s="148"/>
      <c r="M35" s="148"/>
      <c r="N35" s="14" t="str">
        <f t="shared" si="0"/>
        <v>1</v>
      </c>
      <c r="O35" s="14" t="str">
        <f>INDEX(Кат!$H:$H,MATCH($A35,Кат!$A:$A,0))</f>
        <v>штат</v>
      </c>
    </row>
    <row r="36" spans="1:15" ht="30" x14ac:dyDescent="0.25">
      <c r="A36" s="147">
        <v>132857</v>
      </c>
      <c r="B36" s="147">
        <v>24480</v>
      </c>
      <c r="C36" s="148" t="s">
        <v>329</v>
      </c>
      <c r="D36" s="148" t="s">
        <v>678</v>
      </c>
      <c r="E36" s="148"/>
      <c r="F36" s="148"/>
      <c r="G36" s="148" t="s">
        <v>527</v>
      </c>
      <c r="H36" s="149">
        <v>500</v>
      </c>
      <c r="I36" s="149">
        <v>879</v>
      </c>
      <c r="J36" s="148" t="s">
        <v>1001</v>
      </c>
      <c r="K36" s="148" t="s">
        <v>226</v>
      </c>
      <c r="L36" s="148"/>
      <c r="M36" s="148"/>
      <c r="N36" s="14" t="str">
        <f t="shared" si="0"/>
        <v>1</v>
      </c>
      <c r="O36" s="14" t="str">
        <f>INDEX(Кат!$H:$H,MATCH($A36,Кат!$A:$A,0))</f>
        <v>штат</v>
      </c>
    </row>
    <row r="37" spans="1:15" ht="30" x14ac:dyDescent="0.25">
      <c r="A37" s="147">
        <v>132860</v>
      </c>
      <c r="B37" s="147">
        <v>20251</v>
      </c>
      <c r="C37" s="148" t="s">
        <v>418</v>
      </c>
      <c r="D37" s="148" t="s">
        <v>678</v>
      </c>
      <c r="E37" s="148"/>
      <c r="F37" s="148"/>
      <c r="G37" s="148" t="s">
        <v>527</v>
      </c>
      <c r="H37" s="149">
        <v>420</v>
      </c>
      <c r="I37" s="149">
        <v>729</v>
      </c>
      <c r="J37" s="148" t="s">
        <v>985</v>
      </c>
      <c r="K37" s="148" t="s">
        <v>226</v>
      </c>
      <c r="L37" s="148"/>
      <c r="M37" s="148"/>
      <c r="N37" s="14" t="str">
        <f t="shared" si="0"/>
        <v>1</v>
      </c>
      <c r="O37" s="14" t="str">
        <f>INDEX(Кат!$H:$H,MATCH($A37,Кат!$A:$A,0))</f>
        <v>штат</v>
      </c>
    </row>
    <row r="38" spans="1:15" ht="30" x14ac:dyDescent="0.25">
      <c r="A38" s="147">
        <v>132865</v>
      </c>
      <c r="B38" s="147">
        <v>24481</v>
      </c>
      <c r="C38" s="148" t="s">
        <v>419</v>
      </c>
      <c r="D38" s="148" t="s">
        <v>678</v>
      </c>
      <c r="E38" s="148"/>
      <c r="F38" s="148"/>
      <c r="G38" s="148" t="s">
        <v>527</v>
      </c>
      <c r="H38" s="149">
        <v>350</v>
      </c>
      <c r="I38" s="149">
        <v>629</v>
      </c>
      <c r="J38" s="148" t="s">
        <v>979</v>
      </c>
      <c r="K38" s="148" t="s">
        <v>226</v>
      </c>
      <c r="L38" s="148"/>
      <c r="M38" s="148"/>
      <c r="N38" s="14" t="str">
        <f t="shared" si="0"/>
        <v>1</v>
      </c>
      <c r="O38" s="14" t="str">
        <f>INDEX(Кат!$H:$H,MATCH($A38,Кат!$A:$A,0))</f>
        <v>штат</v>
      </c>
    </row>
    <row r="39" spans="1:15" ht="45" x14ac:dyDescent="0.25">
      <c r="A39" s="147">
        <v>136661</v>
      </c>
      <c r="B39" s="147">
        <v>7217</v>
      </c>
      <c r="C39" s="148" t="s">
        <v>216</v>
      </c>
      <c r="D39" s="148" t="s">
        <v>678</v>
      </c>
      <c r="E39" s="148"/>
      <c r="F39" s="148"/>
      <c r="G39" s="148" t="s">
        <v>527</v>
      </c>
      <c r="H39" s="149">
        <v>600</v>
      </c>
      <c r="I39" s="149">
        <v>989</v>
      </c>
      <c r="J39" s="148" t="s">
        <v>817</v>
      </c>
      <c r="K39" s="148" t="s">
        <v>226</v>
      </c>
      <c r="L39" s="148"/>
      <c r="M39" s="148"/>
      <c r="N39" s="14" t="str">
        <f t="shared" si="0"/>
        <v>1</v>
      </c>
      <c r="O39" s="14" t="str">
        <f>INDEX(Кат!$H:$H,MATCH($A39,Кат!$A:$A,0))</f>
        <v>штат</v>
      </c>
    </row>
    <row r="40" spans="1:15" ht="30" x14ac:dyDescent="0.25">
      <c r="A40" s="147">
        <v>136693</v>
      </c>
      <c r="B40" s="147">
        <v>7219</v>
      </c>
      <c r="C40" s="148" t="s">
        <v>325</v>
      </c>
      <c r="D40" s="148" t="s">
        <v>678</v>
      </c>
      <c r="E40" s="148"/>
      <c r="F40" s="148"/>
      <c r="G40" s="148" t="s">
        <v>527</v>
      </c>
      <c r="H40" s="149">
        <v>750</v>
      </c>
      <c r="I40" s="149">
        <v>1190</v>
      </c>
      <c r="J40" s="148"/>
      <c r="K40" s="148" t="s">
        <v>226</v>
      </c>
      <c r="L40" s="148"/>
      <c r="M40" s="148" t="s">
        <v>678</v>
      </c>
      <c r="N40" s="14" t="str">
        <f t="shared" si="0"/>
        <v>1</v>
      </c>
      <c r="O40" s="14" t="str">
        <f>INDEX(Кат!$H:$H,MATCH($A40,Кат!$A:$A,0))</f>
        <v>штат</v>
      </c>
    </row>
    <row r="41" spans="1:15" ht="30" x14ac:dyDescent="0.25">
      <c r="A41" s="147">
        <v>136694</v>
      </c>
      <c r="B41" s="147">
        <v>35508</v>
      </c>
      <c r="C41" s="148" t="s">
        <v>528</v>
      </c>
      <c r="D41" s="148" t="s">
        <v>678</v>
      </c>
      <c r="E41" s="148"/>
      <c r="F41" s="148"/>
      <c r="G41" s="148" t="s">
        <v>527</v>
      </c>
      <c r="H41" s="149">
        <v>400</v>
      </c>
      <c r="I41" s="149">
        <v>629</v>
      </c>
      <c r="J41" s="148" t="s">
        <v>793</v>
      </c>
      <c r="K41" s="148" t="s">
        <v>226</v>
      </c>
      <c r="L41" s="148"/>
      <c r="M41" s="148"/>
      <c r="N41" s="14" t="str">
        <f t="shared" si="0"/>
        <v>1</v>
      </c>
      <c r="O41" s="14" t="str">
        <f>INDEX(Кат!$H:$H,MATCH($A41,Кат!$A:$A,0))</f>
        <v>штат</v>
      </c>
    </row>
    <row r="42" spans="1:15" ht="30" x14ac:dyDescent="0.25">
      <c r="A42" s="147">
        <v>136896</v>
      </c>
      <c r="B42" s="147">
        <v>31514</v>
      </c>
      <c r="C42" s="148" t="s">
        <v>447</v>
      </c>
      <c r="D42" s="148" t="s">
        <v>678</v>
      </c>
      <c r="E42" s="148"/>
      <c r="F42" s="148"/>
      <c r="G42" s="148" t="s">
        <v>527</v>
      </c>
      <c r="H42" s="149">
        <v>640</v>
      </c>
      <c r="I42" s="149">
        <v>989</v>
      </c>
      <c r="J42" s="148" t="s">
        <v>1009</v>
      </c>
      <c r="K42" s="148" t="s">
        <v>226</v>
      </c>
      <c r="L42" s="148"/>
      <c r="M42" s="148"/>
      <c r="N42" s="14" t="str">
        <f t="shared" si="0"/>
        <v>1</v>
      </c>
      <c r="O42" s="14" t="str">
        <f>INDEX(Кат!$H:$H,MATCH($A42,Кат!$A:$A,0))</f>
        <v>штат</v>
      </c>
    </row>
    <row r="43" spans="1:15" ht="45" x14ac:dyDescent="0.25">
      <c r="A43" s="147">
        <v>319528</v>
      </c>
      <c r="B43" s="147">
        <v>319528</v>
      </c>
      <c r="C43" s="148" t="s">
        <v>682</v>
      </c>
      <c r="D43" s="148" t="s">
        <v>678</v>
      </c>
      <c r="E43" s="148"/>
      <c r="F43" s="148"/>
      <c r="G43" s="148" t="s">
        <v>527</v>
      </c>
      <c r="H43" s="149">
        <v>7500</v>
      </c>
      <c r="I43" s="149">
        <v>9790</v>
      </c>
      <c r="J43" s="148" t="s">
        <v>683</v>
      </c>
      <c r="K43" s="148" t="s">
        <v>226</v>
      </c>
      <c r="L43" s="148"/>
      <c r="M43" s="148"/>
      <c r="N43" s="14" t="str">
        <f t="shared" si="0"/>
        <v>1</v>
      </c>
      <c r="O43" s="14" t="str">
        <f>INDEX(Кат!$H:$H,MATCH($A43,Кат!$A:$A,0))</f>
        <v>штат</v>
      </c>
    </row>
    <row r="44" spans="1:15" ht="30" x14ac:dyDescent="0.25">
      <c r="A44" s="147">
        <v>138632</v>
      </c>
      <c r="B44" s="147">
        <v>24523</v>
      </c>
      <c r="C44" s="148" t="s">
        <v>427</v>
      </c>
      <c r="D44" s="148" t="s">
        <v>678</v>
      </c>
      <c r="E44" s="148"/>
      <c r="F44" s="148"/>
      <c r="G44" s="148" t="s">
        <v>527</v>
      </c>
      <c r="H44" s="149">
        <v>12000</v>
      </c>
      <c r="I44" s="149">
        <v>15590</v>
      </c>
      <c r="J44" s="148" t="s">
        <v>833</v>
      </c>
      <c r="K44" s="148" t="s">
        <v>226</v>
      </c>
      <c r="L44" s="148"/>
      <c r="M44" s="148" t="s">
        <v>678</v>
      </c>
      <c r="N44" s="14" t="str">
        <f t="shared" si="0"/>
        <v>1</v>
      </c>
      <c r="O44" s="14" t="str">
        <f>INDEX(Кат!$H:$H,MATCH($A44,Кат!$A:$A,0))</f>
        <v>штат</v>
      </c>
    </row>
    <row r="45" spans="1:15" ht="45" x14ac:dyDescent="0.25">
      <c r="A45" s="147">
        <v>138633</v>
      </c>
      <c r="B45" s="147">
        <v>7018</v>
      </c>
      <c r="C45" s="148" t="s">
        <v>534</v>
      </c>
      <c r="D45" s="148" t="s">
        <v>678</v>
      </c>
      <c r="E45" s="148"/>
      <c r="F45" s="148"/>
      <c r="G45" s="148" t="s">
        <v>527</v>
      </c>
      <c r="H45" s="149">
        <v>5700</v>
      </c>
      <c r="I45" s="149">
        <v>7390</v>
      </c>
      <c r="J45" s="148" t="s">
        <v>940</v>
      </c>
      <c r="K45" s="148" t="s">
        <v>226</v>
      </c>
      <c r="L45" s="148"/>
      <c r="M45" s="148"/>
      <c r="N45" s="14" t="str">
        <f t="shared" si="0"/>
        <v>1</v>
      </c>
      <c r="O45" s="14" t="str">
        <f>INDEX(Кат!$H:$H,MATCH($A45,Кат!$A:$A,0))</f>
        <v>штат</v>
      </c>
    </row>
    <row r="46" spans="1:15" ht="75" x14ac:dyDescent="0.25">
      <c r="A46" s="147">
        <v>323314</v>
      </c>
      <c r="B46" s="147">
        <v>323314</v>
      </c>
      <c r="C46" s="148" t="s">
        <v>684</v>
      </c>
      <c r="D46" s="148" t="s">
        <v>678</v>
      </c>
      <c r="E46" s="148"/>
      <c r="F46" s="148"/>
      <c r="G46" s="148" t="s">
        <v>527</v>
      </c>
      <c r="H46" s="149">
        <v>1700</v>
      </c>
      <c r="I46" s="149">
        <v>2390</v>
      </c>
      <c r="J46" s="148" t="s">
        <v>794</v>
      </c>
      <c r="K46" s="148" t="s">
        <v>226</v>
      </c>
      <c r="L46" s="148" t="s">
        <v>579</v>
      </c>
      <c r="M46" s="148"/>
      <c r="N46" s="14" t="str">
        <f t="shared" si="0"/>
        <v>1ск6</v>
      </c>
      <c r="O46" s="14" t="str">
        <f>INDEX(Кат!$H:$H,MATCH($A46,Кат!$A:$A,0))</f>
        <v>штат</v>
      </c>
    </row>
    <row r="47" spans="1:15" ht="30" x14ac:dyDescent="0.25">
      <c r="A47" s="147">
        <v>138634</v>
      </c>
      <c r="B47" s="147">
        <v>24484</v>
      </c>
      <c r="C47" s="148" t="s">
        <v>266</v>
      </c>
      <c r="D47" s="148" t="s">
        <v>678</v>
      </c>
      <c r="E47" s="148"/>
      <c r="F47" s="148"/>
      <c r="G47" s="148" t="s">
        <v>527</v>
      </c>
      <c r="H47" s="149">
        <v>3200</v>
      </c>
      <c r="I47" s="149">
        <v>4190</v>
      </c>
      <c r="J47" s="148"/>
      <c r="K47" s="148" t="s">
        <v>679</v>
      </c>
      <c r="L47" s="148"/>
      <c r="M47" s="148"/>
      <c r="N47" s="14" t="str">
        <f t="shared" si="0"/>
        <v>0</v>
      </c>
      <c r="O47" s="14" t="str">
        <f>INDEX(Кат!$H:$H,MATCH($A47,Кат!$A:$A,0))</f>
        <v>штат</v>
      </c>
    </row>
    <row r="48" spans="1:15" ht="30" x14ac:dyDescent="0.25">
      <c r="A48" s="147">
        <v>138635</v>
      </c>
      <c r="B48" s="147">
        <v>7057</v>
      </c>
      <c r="C48" s="148" t="s">
        <v>582</v>
      </c>
      <c r="D48" s="148" t="s">
        <v>678</v>
      </c>
      <c r="E48" s="148"/>
      <c r="F48" s="148"/>
      <c r="G48" s="148" t="s">
        <v>527</v>
      </c>
      <c r="H48" s="149">
        <v>3900</v>
      </c>
      <c r="I48" s="149">
        <v>5090</v>
      </c>
      <c r="J48" s="148"/>
      <c r="K48" s="148" t="s">
        <v>679</v>
      </c>
      <c r="L48" s="148"/>
      <c r="M48" s="148" t="s">
        <v>678</v>
      </c>
      <c r="N48" s="14" t="str">
        <f t="shared" si="0"/>
        <v>0</v>
      </c>
      <c r="O48" s="14" t="str">
        <f>INDEX(Кат!$H:$H,MATCH($A48,Кат!$A:$A,0))</f>
        <v>штат</v>
      </c>
    </row>
    <row r="49" spans="1:15" ht="30" x14ac:dyDescent="0.25">
      <c r="A49" s="147">
        <v>138636</v>
      </c>
      <c r="B49" s="147">
        <v>24496</v>
      </c>
      <c r="C49" s="148" t="s">
        <v>270</v>
      </c>
      <c r="D49" s="148" t="s">
        <v>678</v>
      </c>
      <c r="E49" s="148"/>
      <c r="F49" s="148"/>
      <c r="G49" s="148" t="s">
        <v>527</v>
      </c>
      <c r="H49" s="149">
        <v>3500</v>
      </c>
      <c r="I49" s="149">
        <v>4590</v>
      </c>
      <c r="J49" s="148"/>
      <c r="K49" s="148" t="s">
        <v>679</v>
      </c>
      <c r="L49" s="148"/>
      <c r="M49" s="148"/>
      <c r="N49" s="14" t="str">
        <f t="shared" si="0"/>
        <v>0</v>
      </c>
      <c r="O49" s="14" t="str">
        <f>INDEX(Кат!$H:$H,MATCH($A49,Кат!$A:$A,0))</f>
        <v>штат</v>
      </c>
    </row>
    <row r="50" spans="1:15" ht="30" x14ac:dyDescent="0.25">
      <c r="A50" s="147">
        <v>138637</v>
      </c>
      <c r="B50" s="147">
        <v>24497</v>
      </c>
      <c r="C50" s="148" t="s">
        <v>265</v>
      </c>
      <c r="D50" s="148" t="s">
        <v>678</v>
      </c>
      <c r="E50" s="148"/>
      <c r="F50" s="148"/>
      <c r="G50" s="148" t="s">
        <v>527</v>
      </c>
      <c r="H50" s="149">
        <v>3500</v>
      </c>
      <c r="I50" s="149">
        <v>4590</v>
      </c>
      <c r="J50" s="148"/>
      <c r="K50" s="148" t="s">
        <v>679</v>
      </c>
      <c r="L50" s="148"/>
      <c r="M50" s="148"/>
      <c r="N50" s="14" t="str">
        <f t="shared" si="0"/>
        <v>0</v>
      </c>
      <c r="O50" s="14" t="str">
        <f>INDEX(Кат!$H:$H,MATCH($A50,Кат!$A:$A,0))</f>
        <v>штат</v>
      </c>
    </row>
    <row r="51" spans="1:15" ht="45" x14ac:dyDescent="0.25">
      <c r="A51" s="147">
        <v>257936</v>
      </c>
      <c r="B51" s="147">
        <v>208187</v>
      </c>
      <c r="C51" s="148" t="s">
        <v>685</v>
      </c>
      <c r="D51" s="148" t="s">
        <v>678</v>
      </c>
      <c r="E51" s="148"/>
      <c r="F51" s="148"/>
      <c r="G51" s="148" t="s">
        <v>527</v>
      </c>
      <c r="H51" s="149">
        <v>1750</v>
      </c>
      <c r="I51" s="149">
        <v>2290</v>
      </c>
      <c r="J51" s="148" t="s">
        <v>651</v>
      </c>
      <c r="K51" s="148" t="s">
        <v>226</v>
      </c>
      <c r="L51" s="148"/>
      <c r="M51" s="148"/>
      <c r="N51" s="14" t="str">
        <f t="shared" si="0"/>
        <v>1</v>
      </c>
      <c r="O51" s="14" t="str">
        <f>INDEX(Кат!$H:$H,MATCH($A51,Кат!$A:$A,0))</f>
        <v>штат</v>
      </c>
    </row>
    <row r="52" spans="1:15" ht="45" x14ac:dyDescent="0.25">
      <c r="A52" s="147">
        <v>138638</v>
      </c>
      <c r="B52" s="147">
        <v>7037</v>
      </c>
      <c r="C52" s="148" t="s">
        <v>533</v>
      </c>
      <c r="D52" s="148" t="s">
        <v>678</v>
      </c>
      <c r="E52" s="148"/>
      <c r="F52" s="148"/>
      <c r="G52" s="148" t="s">
        <v>527</v>
      </c>
      <c r="H52" s="149">
        <v>4000</v>
      </c>
      <c r="I52" s="149">
        <v>5490</v>
      </c>
      <c r="J52" s="148" t="s">
        <v>779</v>
      </c>
      <c r="K52" s="148" t="s">
        <v>226</v>
      </c>
      <c r="L52" s="148"/>
      <c r="M52" s="148"/>
      <c r="N52" s="14" t="str">
        <f t="shared" si="0"/>
        <v>1</v>
      </c>
      <c r="O52" s="14" t="str">
        <f>INDEX(Кат!$H:$H,MATCH($A52,Кат!$A:$A,0))</f>
        <v>штат</v>
      </c>
    </row>
    <row r="53" spans="1:15" ht="45" x14ac:dyDescent="0.25">
      <c r="A53" s="147">
        <v>138639</v>
      </c>
      <c r="B53" s="147">
        <v>31507</v>
      </c>
      <c r="C53" s="148" t="s">
        <v>443</v>
      </c>
      <c r="D53" s="148" t="s">
        <v>678</v>
      </c>
      <c r="E53" s="148"/>
      <c r="F53" s="148"/>
      <c r="G53" s="148" t="s">
        <v>527</v>
      </c>
      <c r="H53" s="149">
        <v>1450</v>
      </c>
      <c r="I53" s="149">
        <v>2390</v>
      </c>
      <c r="J53" s="148" t="s">
        <v>826</v>
      </c>
      <c r="K53" s="148" t="s">
        <v>226</v>
      </c>
      <c r="L53" s="148"/>
      <c r="M53" s="148"/>
      <c r="N53" s="14" t="str">
        <f t="shared" si="0"/>
        <v>1</v>
      </c>
      <c r="O53" s="14" t="str">
        <f>INDEX(Кат!$H:$H,MATCH($A53,Кат!$A:$A,0))</f>
        <v>штат</v>
      </c>
    </row>
    <row r="54" spans="1:15" ht="45" x14ac:dyDescent="0.25">
      <c r="A54" s="147">
        <v>138640</v>
      </c>
      <c r="B54" s="147">
        <v>31508</v>
      </c>
      <c r="C54" s="148" t="s">
        <v>444</v>
      </c>
      <c r="D54" s="148" t="s">
        <v>678</v>
      </c>
      <c r="E54" s="148"/>
      <c r="F54" s="148"/>
      <c r="G54" s="148" t="s">
        <v>527</v>
      </c>
      <c r="H54" s="149">
        <v>1450</v>
      </c>
      <c r="I54" s="149">
        <v>2390</v>
      </c>
      <c r="J54" s="148" t="s">
        <v>827</v>
      </c>
      <c r="K54" s="148" t="s">
        <v>226</v>
      </c>
      <c r="L54" s="148"/>
      <c r="M54" s="148"/>
      <c r="N54" s="14" t="str">
        <f t="shared" si="0"/>
        <v>1</v>
      </c>
      <c r="O54" s="14" t="str">
        <f>INDEX(Кат!$H:$H,MATCH($A54,Кат!$A:$A,0))</f>
        <v>штат</v>
      </c>
    </row>
    <row r="55" spans="1:15" ht="30" x14ac:dyDescent="0.25">
      <c r="A55" s="147">
        <v>138641</v>
      </c>
      <c r="B55" s="147">
        <v>24492</v>
      </c>
      <c r="C55" s="148" t="s">
        <v>293</v>
      </c>
      <c r="D55" s="148" t="s">
        <v>678</v>
      </c>
      <c r="E55" s="148"/>
      <c r="F55" s="148"/>
      <c r="G55" s="148" t="s">
        <v>527</v>
      </c>
      <c r="H55" s="149">
        <v>1650</v>
      </c>
      <c r="I55" s="149">
        <v>2390</v>
      </c>
      <c r="J55" s="148"/>
      <c r="K55" s="148" t="s">
        <v>679</v>
      </c>
      <c r="L55" s="148"/>
      <c r="M55" s="148" t="s">
        <v>678</v>
      </c>
      <c r="N55" s="14" t="str">
        <f t="shared" si="0"/>
        <v>0</v>
      </c>
      <c r="O55" s="14" t="str">
        <f>INDEX(Кат!$H:$H,MATCH($A55,Кат!$A:$A,0))</f>
        <v>штат</v>
      </c>
    </row>
    <row r="56" spans="1:15" ht="30" x14ac:dyDescent="0.25">
      <c r="A56" s="147">
        <v>138642</v>
      </c>
      <c r="B56" s="147">
        <v>24494</v>
      </c>
      <c r="C56" s="148" t="s">
        <v>301</v>
      </c>
      <c r="D56" s="148" t="s">
        <v>678</v>
      </c>
      <c r="E56" s="148"/>
      <c r="F56" s="148"/>
      <c r="G56" s="148" t="s">
        <v>527</v>
      </c>
      <c r="H56" s="149">
        <v>1650</v>
      </c>
      <c r="I56" s="149">
        <v>2390</v>
      </c>
      <c r="J56" s="148"/>
      <c r="K56" s="148" t="s">
        <v>679</v>
      </c>
      <c r="L56" s="148"/>
      <c r="M56" s="148"/>
      <c r="N56" s="14" t="str">
        <f t="shared" si="0"/>
        <v>0</v>
      </c>
      <c r="O56" s="14" t="str">
        <f>INDEX(Кат!$H:$H,MATCH($A56,Кат!$A:$A,0))</f>
        <v>штат</v>
      </c>
    </row>
    <row r="57" spans="1:15" ht="45" x14ac:dyDescent="0.25">
      <c r="A57" s="147">
        <v>138643</v>
      </c>
      <c r="B57" s="147">
        <v>24493</v>
      </c>
      <c r="C57" s="148" t="s">
        <v>304</v>
      </c>
      <c r="D57" s="148" t="s">
        <v>678</v>
      </c>
      <c r="E57" s="148"/>
      <c r="F57" s="148"/>
      <c r="G57" s="148" t="s">
        <v>527</v>
      </c>
      <c r="H57" s="149">
        <v>1650</v>
      </c>
      <c r="I57" s="149">
        <v>2290</v>
      </c>
      <c r="J57" s="148" t="s">
        <v>829</v>
      </c>
      <c r="K57" s="148" t="s">
        <v>679</v>
      </c>
      <c r="L57" s="148"/>
      <c r="M57" s="148"/>
      <c r="N57" s="14" t="str">
        <f t="shared" si="0"/>
        <v>0</v>
      </c>
      <c r="O57" s="14" t="str">
        <f>INDEX(Кат!$H:$H,MATCH($A57,Кат!$A:$A,0))</f>
        <v>штат</v>
      </c>
    </row>
    <row r="58" spans="1:15" ht="45" x14ac:dyDescent="0.25">
      <c r="A58" s="147">
        <v>347232</v>
      </c>
      <c r="B58" s="147">
        <v>347232</v>
      </c>
      <c r="C58" s="148" t="s">
        <v>923</v>
      </c>
      <c r="D58" s="148" t="s">
        <v>678</v>
      </c>
      <c r="E58" s="148"/>
      <c r="F58" s="148"/>
      <c r="G58" s="148" t="s">
        <v>527</v>
      </c>
      <c r="H58" s="149">
        <v>1800</v>
      </c>
      <c r="I58" s="149">
        <v>2490</v>
      </c>
      <c r="J58" s="148" t="s">
        <v>927</v>
      </c>
      <c r="K58" s="148" t="s">
        <v>226</v>
      </c>
      <c r="L58" s="148"/>
      <c r="M58" s="148"/>
      <c r="N58" s="14" t="str">
        <f t="shared" si="0"/>
        <v>1</v>
      </c>
      <c r="O58" s="14" t="str">
        <f>INDEX(Кат!$H:$H,MATCH($A58,Кат!$A:$A,0))</f>
        <v>штат</v>
      </c>
    </row>
    <row r="59" spans="1:15" ht="45" x14ac:dyDescent="0.25">
      <c r="A59" s="147">
        <v>138644</v>
      </c>
      <c r="B59" s="147">
        <v>24483</v>
      </c>
      <c r="C59" s="148" t="s">
        <v>591</v>
      </c>
      <c r="D59" s="148" t="s">
        <v>678</v>
      </c>
      <c r="E59" s="148"/>
      <c r="F59" s="148"/>
      <c r="G59" s="148" t="s">
        <v>527</v>
      </c>
      <c r="H59" s="149">
        <v>1750</v>
      </c>
      <c r="I59" s="149">
        <v>2290</v>
      </c>
      <c r="J59" s="148" t="s">
        <v>830</v>
      </c>
      <c r="K59" s="148" t="s">
        <v>226</v>
      </c>
      <c r="L59" s="148"/>
      <c r="M59" s="148"/>
      <c r="N59" s="14" t="str">
        <f t="shared" si="0"/>
        <v>1</v>
      </c>
      <c r="O59" s="14" t="str">
        <f>INDEX(Кат!$H:$H,MATCH($A59,Кат!$A:$A,0))</f>
        <v>штат</v>
      </c>
    </row>
    <row r="60" spans="1:15" ht="45" x14ac:dyDescent="0.25">
      <c r="A60" s="147">
        <v>138652</v>
      </c>
      <c r="B60" s="147">
        <v>7073</v>
      </c>
      <c r="C60" s="148" t="s">
        <v>234</v>
      </c>
      <c r="D60" s="148" t="s">
        <v>678</v>
      </c>
      <c r="E60" s="148"/>
      <c r="F60" s="148"/>
      <c r="G60" s="148" t="s">
        <v>527</v>
      </c>
      <c r="H60" s="149">
        <v>6750</v>
      </c>
      <c r="I60" s="149">
        <v>9390</v>
      </c>
      <c r="J60" s="148" t="s">
        <v>683</v>
      </c>
      <c r="K60" s="148" t="s">
        <v>679</v>
      </c>
      <c r="L60" s="148"/>
      <c r="M60" s="148"/>
      <c r="N60" s="14" t="str">
        <f t="shared" si="0"/>
        <v>0</v>
      </c>
      <c r="O60" s="14" t="str">
        <f>INDEX(Кат!$H:$H,MATCH($A60,Кат!$A:$A,0))</f>
        <v>штат</v>
      </c>
    </row>
    <row r="61" spans="1:15" ht="45" x14ac:dyDescent="0.25">
      <c r="A61" s="147">
        <v>138653</v>
      </c>
      <c r="B61" s="147">
        <v>7080</v>
      </c>
      <c r="C61" s="148" t="s">
        <v>236</v>
      </c>
      <c r="D61" s="148" t="s">
        <v>678</v>
      </c>
      <c r="E61" s="148"/>
      <c r="F61" s="148"/>
      <c r="G61" s="148" t="s">
        <v>527</v>
      </c>
      <c r="H61" s="149">
        <v>7200</v>
      </c>
      <c r="I61" s="149">
        <v>9790</v>
      </c>
      <c r="J61" s="148" t="s">
        <v>785</v>
      </c>
      <c r="K61" s="148" t="s">
        <v>226</v>
      </c>
      <c r="L61" s="148"/>
      <c r="M61" s="148"/>
      <c r="N61" s="14" t="str">
        <f t="shared" si="0"/>
        <v>1</v>
      </c>
      <c r="O61" s="14" t="str">
        <f>INDEX(Кат!$H:$H,MATCH($A61,Кат!$A:$A,0))</f>
        <v>штат</v>
      </c>
    </row>
    <row r="62" spans="1:15" ht="45" x14ac:dyDescent="0.25">
      <c r="A62" s="147">
        <v>138654</v>
      </c>
      <c r="B62" s="147">
        <v>7043</v>
      </c>
      <c r="C62" s="148" t="s">
        <v>626</v>
      </c>
      <c r="D62" s="148" t="s">
        <v>678</v>
      </c>
      <c r="E62" s="148"/>
      <c r="F62" s="148"/>
      <c r="G62" s="148" t="s">
        <v>527</v>
      </c>
      <c r="H62" s="149">
        <v>6800</v>
      </c>
      <c r="I62" s="149">
        <v>9290</v>
      </c>
      <c r="J62" s="148" t="s">
        <v>937</v>
      </c>
      <c r="K62" s="148" t="s">
        <v>226</v>
      </c>
      <c r="L62" s="148"/>
      <c r="M62" s="148"/>
      <c r="N62" s="14" t="str">
        <f t="shared" si="0"/>
        <v>1</v>
      </c>
      <c r="O62" s="14" t="str">
        <f>INDEX(Кат!$H:$H,MATCH($A62,Кат!$A:$A,0))</f>
        <v>штат</v>
      </c>
    </row>
    <row r="63" spans="1:15" ht="30" x14ac:dyDescent="0.25">
      <c r="A63" s="147">
        <v>138655</v>
      </c>
      <c r="B63" s="147">
        <v>7048</v>
      </c>
      <c r="C63" s="148" t="s">
        <v>238</v>
      </c>
      <c r="D63" s="148" t="s">
        <v>678</v>
      </c>
      <c r="E63" s="148"/>
      <c r="F63" s="148"/>
      <c r="G63" s="148" t="s">
        <v>527</v>
      </c>
      <c r="H63" s="149">
        <v>4950</v>
      </c>
      <c r="I63" s="149">
        <v>6390</v>
      </c>
      <c r="J63" s="148"/>
      <c r="K63" s="148" t="s">
        <v>679</v>
      </c>
      <c r="L63" s="148"/>
      <c r="M63" s="148"/>
      <c r="N63" s="14" t="str">
        <f t="shared" si="0"/>
        <v>0</v>
      </c>
      <c r="O63" s="14" t="str">
        <f>INDEX(Кат!$H:$H,MATCH($A63,Кат!$A:$A,0))</f>
        <v>штат</v>
      </c>
    </row>
    <row r="64" spans="1:15" ht="30" x14ac:dyDescent="0.25">
      <c r="A64" s="147">
        <v>138656</v>
      </c>
      <c r="B64" s="147">
        <v>7049</v>
      </c>
      <c r="C64" s="148" t="s">
        <v>246</v>
      </c>
      <c r="D64" s="148" t="s">
        <v>678</v>
      </c>
      <c r="E64" s="148"/>
      <c r="F64" s="148"/>
      <c r="G64" s="148" t="s">
        <v>527</v>
      </c>
      <c r="H64" s="149">
        <v>4500</v>
      </c>
      <c r="I64" s="149">
        <v>5890</v>
      </c>
      <c r="J64" s="148"/>
      <c r="K64" s="148" t="s">
        <v>679</v>
      </c>
      <c r="L64" s="148"/>
      <c r="M64" s="148"/>
      <c r="N64" s="14" t="str">
        <f t="shared" si="0"/>
        <v>0</v>
      </c>
      <c r="O64" s="14" t="str">
        <f>INDEX(Кат!$H:$H,MATCH($A64,Кат!$A:$A,0))</f>
        <v>штат</v>
      </c>
    </row>
    <row r="65" spans="1:15" ht="30" x14ac:dyDescent="0.25">
      <c r="A65" s="147">
        <v>138657</v>
      </c>
      <c r="B65" s="147">
        <v>7013</v>
      </c>
      <c r="C65" s="148" t="s">
        <v>242</v>
      </c>
      <c r="D65" s="148" t="s">
        <v>678</v>
      </c>
      <c r="E65" s="148"/>
      <c r="F65" s="148"/>
      <c r="G65" s="148" t="s">
        <v>527</v>
      </c>
      <c r="H65" s="149">
        <v>5560</v>
      </c>
      <c r="I65" s="149">
        <v>7390</v>
      </c>
      <c r="J65" s="148"/>
      <c r="K65" s="148" t="s">
        <v>679</v>
      </c>
      <c r="L65" s="148"/>
      <c r="M65" s="148"/>
      <c r="N65" s="14" t="str">
        <f t="shared" si="0"/>
        <v>0</v>
      </c>
      <c r="O65" s="14" t="str">
        <f>INDEX(Кат!$H:$H,MATCH($A65,Кат!$A:$A,0))</f>
        <v>штат</v>
      </c>
    </row>
    <row r="66" spans="1:15" ht="45" x14ac:dyDescent="0.25">
      <c r="A66" s="147">
        <v>138658</v>
      </c>
      <c r="B66" s="147">
        <v>7074</v>
      </c>
      <c r="C66" s="148" t="s">
        <v>241</v>
      </c>
      <c r="D66" s="148" t="s">
        <v>678</v>
      </c>
      <c r="E66" s="148"/>
      <c r="F66" s="148"/>
      <c r="G66" s="148" t="s">
        <v>527</v>
      </c>
      <c r="H66" s="149">
        <v>5950</v>
      </c>
      <c r="I66" s="149">
        <v>8290</v>
      </c>
      <c r="J66" s="148" t="s">
        <v>782</v>
      </c>
      <c r="K66" s="148" t="s">
        <v>679</v>
      </c>
      <c r="L66" s="148"/>
      <c r="M66" s="148"/>
      <c r="N66" s="14" t="str">
        <f t="shared" si="0"/>
        <v>0</v>
      </c>
      <c r="O66" s="14" t="str">
        <f>INDEX(Кат!$H:$H,MATCH($A66,Кат!$A:$A,0))</f>
        <v>штат</v>
      </c>
    </row>
    <row r="67" spans="1:15" ht="45" x14ac:dyDescent="0.25">
      <c r="A67" s="147">
        <v>138659</v>
      </c>
      <c r="B67" s="147">
        <v>7081</v>
      </c>
      <c r="C67" s="148" t="s">
        <v>239</v>
      </c>
      <c r="D67" s="148" t="s">
        <v>678</v>
      </c>
      <c r="E67" s="148"/>
      <c r="F67" s="148"/>
      <c r="G67" s="148" t="s">
        <v>527</v>
      </c>
      <c r="H67" s="149">
        <v>6600</v>
      </c>
      <c r="I67" s="149">
        <v>8990</v>
      </c>
      <c r="J67" s="148" t="s">
        <v>938</v>
      </c>
      <c r="K67" s="148" t="s">
        <v>226</v>
      </c>
      <c r="L67" s="148"/>
      <c r="M67" s="148"/>
      <c r="N67" s="14" t="str">
        <f t="shared" ref="N67:N130" si="1">_xlfn.CONCAT(K67,IF(L67&lt;&gt;"",_xlfn.CONCAT("ск",L67),""))</f>
        <v>1</v>
      </c>
      <c r="O67" s="14" t="str">
        <f>INDEX(Кат!$H:$H,MATCH($A67,Кат!$A:$A,0))</f>
        <v>штат</v>
      </c>
    </row>
    <row r="68" spans="1:15" ht="45" x14ac:dyDescent="0.25">
      <c r="A68" s="147">
        <v>138660</v>
      </c>
      <c r="B68" s="147">
        <v>7044</v>
      </c>
      <c r="C68" s="148" t="s">
        <v>627</v>
      </c>
      <c r="D68" s="148" t="s">
        <v>678</v>
      </c>
      <c r="E68" s="148"/>
      <c r="F68" s="148"/>
      <c r="G68" s="148" t="s">
        <v>527</v>
      </c>
      <c r="H68" s="149">
        <v>6800</v>
      </c>
      <c r="I68" s="149">
        <v>8990</v>
      </c>
      <c r="J68" s="148" t="s">
        <v>939</v>
      </c>
      <c r="K68" s="148" t="s">
        <v>226</v>
      </c>
      <c r="L68" s="148"/>
      <c r="M68" s="148"/>
      <c r="N68" s="14" t="str">
        <f t="shared" si="1"/>
        <v>1</v>
      </c>
      <c r="O68" s="14" t="str">
        <f>INDEX(Кат!$H:$H,MATCH($A68,Кат!$A:$A,0))</f>
        <v>штат</v>
      </c>
    </row>
    <row r="69" spans="1:15" ht="30" x14ac:dyDescent="0.25">
      <c r="A69" s="147">
        <v>138661</v>
      </c>
      <c r="B69" s="147">
        <v>7072</v>
      </c>
      <c r="C69" s="148" t="s">
        <v>363</v>
      </c>
      <c r="D69" s="148" t="s">
        <v>678</v>
      </c>
      <c r="E69" s="148"/>
      <c r="F69" s="148"/>
      <c r="G69" s="148" t="s">
        <v>527</v>
      </c>
      <c r="H69" s="149">
        <v>0</v>
      </c>
      <c r="I69" s="149">
        <v>3290</v>
      </c>
      <c r="J69" s="148"/>
      <c r="K69" s="148" t="s">
        <v>679</v>
      </c>
      <c r="L69" s="148"/>
      <c r="M69" s="148"/>
      <c r="N69" s="14" t="str">
        <f t="shared" si="1"/>
        <v>0</v>
      </c>
      <c r="O69" s="14" t="str">
        <f>INDEX(Кат!$H:$H,MATCH($A69,Кат!$A:$A,0))</f>
        <v>штат</v>
      </c>
    </row>
    <row r="70" spans="1:15" ht="30" x14ac:dyDescent="0.25">
      <c r="A70" s="147">
        <v>138662</v>
      </c>
      <c r="B70" s="147">
        <v>7059</v>
      </c>
      <c r="C70" s="148" t="s">
        <v>276</v>
      </c>
      <c r="D70" s="148" t="s">
        <v>678</v>
      </c>
      <c r="E70" s="148"/>
      <c r="F70" s="148"/>
      <c r="G70" s="148" t="s">
        <v>527</v>
      </c>
      <c r="H70" s="149">
        <v>2600</v>
      </c>
      <c r="I70" s="149">
        <v>3390</v>
      </c>
      <c r="J70" s="148"/>
      <c r="K70" s="148" t="s">
        <v>679</v>
      </c>
      <c r="L70" s="148"/>
      <c r="M70" s="148"/>
      <c r="N70" s="14" t="str">
        <f t="shared" si="1"/>
        <v>0</v>
      </c>
      <c r="O70" s="14" t="str">
        <f>INDEX(Кат!$H:$H,MATCH($A70,Кат!$A:$A,0))</f>
        <v>штат</v>
      </c>
    </row>
    <row r="71" spans="1:15" ht="30" x14ac:dyDescent="0.25">
      <c r="A71" s="147">
        <v>138663</v>
      </c>
      <c r="B71" s="147">
        <v>7058</v>
      </c>
      <c r="C71" s="148" t="s">
        <v>283</v>
      </c>
      <c r="D71" s="148" t="s">
        <v>678</v>
      </c>
      <c r="E71" s="148"/>
      <c r="F71" s="148"/>
      <c r="G71" s="148" t="s">
        <v>527</v>
      </c>
      <c r="H71" s="149">
        <v>1700</v>
      </c>
      <c r="I71" s="149">
        <v>2390</v>
      </c>
      <c r="J71" s="148"/>
      <c r="K71" s="148" t="s">
        <v>679</v>
      </c>
      <c r="L71" s="148"/>
      <c r="M71" s="148"/>
      <c r="N71" s="14" t="str">
        <f t="shared" si="1"/>
        <v>0</v>
      </c>
      <c r="O71" s="14" t="str">
        <f>INDEX(Кат!$H:$H,MATCH($A71,Кат!$A:$A,0))</f>
        <v>штат</v>
      </c>
    </row>
    <row r="72" spans="1:15" ht="45" x14ac:dyDescent="0.25">
      <c r="A72" s="147">
        <v>138664</v>
      </c>
      <c r="B72" s="147">
        <v>7083</v>
      </c>
      <c r="C72" s="148" t="s">
        <v>628</v>
      </c>
      <c r="D72" s="148" t="s">
        <v>678</v>
      </c>
      <c r="E72" s="148"/>
      <c r="F72" s="148"/>
      <c r="G72" s="148" t="s">
        <v>527</v>
      </c>
      <c r="H72" s="149">
        <v>1700</v>
      </c>
      <c r="I72" s="149">
        <v>2390</v>
      </c>
      <c r="J72" s="148" t="s">
        <v>951</v>
      </c>
      <c r="K72" s="148" t="s">
        <v>226</v>
      </c>
      <c r="L72" s="148"/>
      <c r="M72" s="148"/>
      <c r="N72" s="14" t="str">
        <f t="shared" si="1"/>
        <v>1</v>
      </c>
      <c r="O72" s="14" t="str">
        <f>INDEX(Кат!$H:$H,MATCH($A72,Кат!$A:$A,0))</f>
        <v>штат</v>
      </c>
    </row>
    <row r="73" spans="1:15" ht="30" x14ac:dyDescent="0.25">
      <c r="A73" s="147">
        <v>138665</v>
      </c>
      <c r="B73" s="147">
        <v>7019</v>
      </c>
      <c r="C73" s="148" t="s">
        <v>243</v>
      </c>
      <c r="D73" s="148" t="s">
        <v>678</v>
      </c>
      <c r="E73" s="148"/>
      <c r="F73" s="148"/>
      <c r="G73" s="148" t="s">
        <v>527</v>
      </c>
      <c r="H73" s="149">
        <v>6300</v>
      </c>
      <c r="I73" s="149">
        <v>8390</v>
      </c>
      <c r="J73" s="148"/>
      <c r="K73" s="148" t="s">
        <v>679</v>
      </c>
      <c r="L73" s="148"/>
      <c r="M73" s="148"/>
      <c r="N73" s="14" t="str">
        <f t="shared" si="1"/>
        <v>0</v>
      </c>
      <c r="O73" s="14" t="str">
        <f>INDEX(Кат!$H:$H,MATCH($A73,Кат!$A:$A,0))</f>
        <v>штат</v>
      </c>
    </row>
    <row r="74" spans="1:15" ht="30" x14ac:dyDescent="0.25">
      <c r="A74" s="147">
        <v>138666</v>
      </c>
      <c r="B74" s="147">
        <v>7012</v>
      </c>
      <c r="C74" s="148" t="s">
        <v>228</v>
      </c>
      <c r="D74" s="148" t="s">
        <v>678</v>
      </c>
      <c r="E74" s="148"/>
      <c r="F74" s="148"/>
      <c r="G74" s="148" t="s">
        <v>527</v>
      </c>
      <c r="H74" s="149">
        <v>10800</v>
      </c>
      <c r="I74" s="149">
        <v>14290</v>
      </c>
      <c r="J74" s="148" t="s">
        <v>789</v>
      </c>
      <c r="K74" s="148" t="s">
        <v>226</v>
      </c>
      <c r="L74" s="148" t="s">
        <v>579</v>
      </c>
      <c r="M74" s="148"/>
      <c r="N74" s="14" t="str">
        <f t="shared" si="1"/>
        <v>1ск6</v>
      </c>
      <c r="O74" s="14" t="str">
        <f>INDEX(Кат!$H:$H,MATCH($A74,Кат!$A:$A,0))</f>
        <v>штат</v>
      </c>
    </row>
    <row r="75" spans="1:15" x14ac:dyDescent="0.25">
      <c r="A75" s="147">
        <v>344585</v>
      </c>
      <c r="B75" s="147">
        <v>344585</v>
      </c>
      <c r="C75" s="148" t="s">
        <v>924</v>
      </c>
      <c r="D75" s="148" t="s">
        <v>678</v>
      </c>
      <c r="E75" s="148" t="s">
        <v>925</v>
      </c>
      <c r="F75" s="148"/>
      <c r="G75" s="148" t="s">
        <v>527</v>
      </c>
      <c r="H75" s="149">
        <v>10800</v>
      </c>
      <c r="I75" s="149">
        <v>14090</v>
      </c>
      <c r="J75" s="148"/>
      <c r="K75" s="148" t="s">
        <v>226</v>
      </c>
      <c r="L75" s="148"/>
      <c r="M75" s="148"/>
      <c r="N75" s="14" t="str">
        <f t="shared" si="1"/>
        <v>1</v>
      </c>
      <c r="O75" s="14" t="str">
        <f>INDEX(Кат!$H:$H,MATCH($A75,Кат!$A:$A,0))</f>
        <v>штат</v>
      </c>
    </row>
    <row r="76" spans="1:15" ht="30" x14ac:dyDescent="0.25">
      <c r="A76" s="147">
        <v>138667</v>
      </c>
      <c r="B76" s="147">
        <v>7014</v>
      </c>
      <c r="C76" s="148" t="s">
        <v>231</v>
      </c>
      <c r="D76" s="148" t="s">
        <v>678</v>
      </c>
      <c r="E76" s="148"/>
      <c r="F76" s="148"/>
      <c r="G76" s="148" t="s">
        <v>527</v>
      </c>
      <c r="H76" s="149">
        <v>7100</v>
      </c>
      <c r="I76" s="149">
        <v>9390</v>
      </c>
      <c r="J76" s="148"/>
      <c r="K76" s="148" t="s">
        <v>679</v>
      </c>
      <c r="L76" s="148"/>
      <c r="M76" s="148"/>
      <c r="N76" s="14" t="str">
        <f t="shared" si="1"/>
        <v>0</v>
      </c>
      <c r="O76" s="14" t="str">
        <f>INDEX(Кат!$H:$H,MATCH($A76,Кат!$A:$A,0))</f>
        <v>штат</v>
      </c>
    </row>
    <row r="77" spans="1:15" ht="30" x14ac:dyDescent="0.25">
      <c r="A77" s="147">
        <v>138668</v>
      </c>
      <c r="B77" s="147">
        <v>7017</v>
      </c>
      <c r="C77" s="148" t="s">
        <v>357</v>
      </c>
      <c r="D77" s="148" t="s">
        <v>678</v>
      </c>
      <c r="E77" s="148"/>
      <c r="F77" s="148"/>
      <c r="G77" s="148" t="s">
        <v>527</v>
      </c>
      <c r="H77" s="149">
        <v>0</v>
      </c>
      <c r="I77" s="149">
        <v>4890</v>
      </c>
      <c r="J77" s="148"/>
      <c r="K77" s="148" t="s">
        <v>679</v>
      </c>
      <c r="L77" s="148"/>
      <c r="M77" s="148"/>
      <c r="N77" s="14" t="str">
        <f t="shared" si="1"/>
        <v>0</v>
      </c>
      <c r="O77" s="14" t="str">
        <f>INDEX(Кат!$H:$H,MATCH($A77,Кат!$A:$A,0))</f>
        <v>штат</v>
      </c>
    </row>
    <row r="78" spans="1:15" x14ac:dyDescent="0.25">
      <c r="A78" s="147">
        <v>138669</v>
      </c>
      <c r="B78" s="147">
        <v>7084</v>
      </c>
      <c r="C78" s="148" t="s">
        <v>686</v>
      </c>
      <c r="D78" s="148" t="s">
        <v>678</v>
      </c>
      <c r="E78" s="148"/>
      <c r="F78" s="148"/>
      <c r="G78" s="148" t="s">
        <v>527</v>
      </c>
      <c r="H78" s="149">
        <v>5700</v>
      </c>
      <c r="I78" s="149">
        <v>7590</v>
      </c>
      <c r="J78" s="148"/>
      <c r="K78" s="148" t="s">
        <v>226</v>
      </c>
      <c r="L78" s="148"/>
      <c r="M78" s="148"/>
      <c r="N78" s="14" t="str">
        <f t="shared" si="1"/>
        <v>1</v>
      </c>
      <c r="O78" s="14" t="str">
        <f>INDEX(Кат!$H:$H,MATCH($A78,Кат!$A:$A,0))</f>
        <v>штат</v>
      </c>
    </row>
    <row r="79" spans="1:15" ht="30" x14ac:dyDescent="0.25">
      <c r="A79" s="147">
        <v>138670</v>
      </c>
      <c r="B79" s="147">
        <v>7020</v>
      </c>
      <c r="C79" s="148" t="s">
        <v>233</v>
      </c>
      <c r="D79" s="148" t="s">
        <v>678</v>
      </c>
      <c r="E79" s="148"/>
      <c r="F79" s="148"/>
      <c r="G79" s="148" t="s">
        <v>527</v>
      </c>
      <c r="H79" s="149">
        <v>5600</v>
      </c>
      <c r="I79" s="149">
        <v>7390</v>
      </c>
      <c r="J79" s="148"/>
      <c r="K79" s="148" t="s">
        <v>679</v>
      </c>
      <c r="L79" s="148"/>
      <c r="M79" s="148"/>
      <c r="N79" s="14" t="str">
        <f t="shared" si="1"/>
        <v>0</v>
      </c>
      <c r="O79" s="14" t="str">
        <f>INDEX(Кат!$H:$H,MATCH($A79,Кат!$A:$A,0))</f>
        <v>штат</v>
      </c>
    </row>
    <row r="80" spans="1:15" ht="30" x14ac:dyDescent="0.25">
      <c r="A80" s="147">
        <v>138671</v>
      </c>
      <c r="B80" s="147">
        <v>7008</v>
      </c>
      <c r="C80" s="148" t="s">
        <v>232</v>
      </c>
      <c r="D80" s="148" t="s">
        <v>678</v>
      </c>
      <c r="E80" s="148"/>
      <c r="F80" s="148"/>
      <c r="G80" s="148" t="s">
        <v>527</v>
      </c>
      <c r="H80" s="149">
        <v>7800</v>
      </c>
      <c r="I80" s="149">
        <v>10190</v>
      </c>
      <c r="J80" s="148" t="s">
        <v>786</v>
      </c>
      <c r="K80" s="148" t="s">
        <v>226</v>
      </c>
      <c r="L80" s="148"/>
      <c r="M80" s="148"/>
      <c r="N80" s="14" t="str">
        <f t="shared" si="1"/>
        <v>1</v>
      </c>
      <c r="O80" s="14" t="str">
        <f>INDEX(Кат!$H:$H,MATCH($A80,Кат!$A:$A,0))</f>
        <v>штат</v>
      </c>
    </row>
    <row r="81" spans="1:15" ht="30" x14ac:dyDescent="0.25">
      <c r="A81" s="147">
        <v>138672</v>
      </c>
      <c r="B81" s="147">
        <v>7007</v>
      </c>
      <c r="C81" s="148" t="s">
        <v>229</v>
      </c>
      <c r="D81" s="148" t="s">
        <v>678</v>
      </c>
      <c r="E81" s="148"/>
      <c r="F81" s="148"/>
      <c r="G81" s="148" t="s">
        <v>527</v>
      </c>
      <c r="H81" s="149">
        <v>8900</v>
      </c>
      <c r="I81" s="149">
        <v>11690</v>
      </c>
      <c r="J81" s="148" t="s">
        <v>792</v>
      </c>
      <c r="K81" s="148" t="s">
        <v>226</v>
      </c>
      <c r="L81" s="148"/>
      <c r="M81" s="148"/>
      <c r="N81" s="14" t="str">
        <f t="shared" si="1"/>
        <v>1</v>
      </c>
      <c r="O81" s="14" t="str">
        <f>INDEX(Кат!$H:$H,MATCH($A81,Кат!$A:$A,0))</f>
        <v>штат</v>
      </c>
    </row>
    <row r="82" spans="1:15" ht="45" x14ac:dyDescent="0.25">
      <c r="A82" s="147">
        <v>138673</v>
      </c>
      <c r="B82" s="147">
        <v>7030</v>
      </c>
      <c r="C82" s="148" t="s">
        <v>288</v>
      </c>
      <c r="D82" s="148" t="s">
        <v>678</v>
      </c>
      <c r="E82" s="148"/>
      <c r="F82" s="148"/>
      <c r="G82" s="148" t="s">
        <v>527</v>
      </c>
      <c r="H82" s="149">
        <v>1850</v>
      </c>
      <c r="I82" s="149">
        <v>2390</v>
      </c>
      <c r="J82" s="148" t="s">
        <v>794</v>
      </c>
      <c r="K82" s="148" t="s">
        <v>679</v>
      </c>
      <c r="L82" s="148"/>
      <c r="M82" s="148"/>
      <c r="N82" s="14" t="str">
        <f t="shared" si="1"/>
        <v>0</v>
      </c>
      <c r="O82" s="14" t="str">
        <f>INDEX(Кат!$H:$H,MATCH($A82,Кат!$A:$A,0))</f>
        <v>штат</v>
      </c>
    </row>
    <row r="83" spans="1:15" ht="30" x14ac:dyDescent="0.25">
      <c r="A83" s="147">
        <v>138674</v>
      </c>
      <c r="B83" s="147">
        <v>7011</v>
      </c>
      <c r="C83" s="148" t="s">
        <v>237</v>
      </c>
      <c r="D83" s="148" t="s">
        <v>678</v>
      </c>
      <c r="E83" s="148"/>
      <c r="F83" s="148"/>
      <c r="G83" s="148" t="s">
        <v>527</v>
      </c>
      <c r="H83" s="149">
        <v>7200</v>
      </c>
      <c r="I83" s="149">
        <v>9290</v>
      </c>
      <c r="J83" s="148" t="s">
        <v>936</v>
      </c>
      <c r="K83" s="148" t="s">
        <v>226</v>
      </c>
      <c r="L83" s="148"/>
      <c r="M83" s="148"/>
      <c r="N83" s="14" t="str">
        <f t="shared" si="1"/>
        <v>1</v>
      </c>
      <c r="O83" s="14" t="str">
        <f>INDEX(Кат!$H:$H,MATCH($A83,Кат!$A:$A,0))</f>
        <v>штат</v>
      </c>
    </row>
    <row r="84" spans="1:15" ht="30" x14ac:dyDescent="0.25">
      <c r="A84" s="147">
        <v>138675</v>
      </c>
      <c r="B84" s="147">
        <v>7010</v>
      </c>
      <c r="C84" s="148" t="s">
        <v>230</v>
      </c>
      <c r="D84" s="148" t="s">
        <v>678</v>
      </c>
      <c r="E84" s="148"/>
      <c r="F84" s="148"/>
      <c r="G84" s="148" t="s">
        <v>527</v>
      </c>
      <c r="H84" s="149">
        <v>8400</v>
      </c>
      <c r="I84" s="149">
        <v>11190</v>
      </c>
      <c r="J84" s="148" t="s">
        <v>788</v>
      </c>
      <c r="K84" s="148" t="s">
        <v>226</v>
      </c>
      <c r="L84" s="148"/>
      <c r="M84" s="148"/>
      <c r="N84" s="14" t="str">
        <f t="shared" si="1"/>
        <v>1</v>
      </c>
      <c r="O84" s="14" t="str">
        <f>INDEX(Кат!$H:$H,MATCH($A84,Кат!$A:$A,0))</f>
        <v>штат</v>
      </c>
    </row>
    <row r="85" spans="1:15" ht="30" x14ac:dyDescent="0.25">
      <c r="A85" s="147">
        <v>138676</v>
      </c>
      <c r="B85" s="147">
        <v>7050</v>
      </c>
      <c r="C85" s="148" t="s">
        <v>362</v>
      </c>
      <c r="D85" s="148" t="s">
        <v>678</v>
      </c>
      <c r="E85" s="148"/>
      <c r="F85" s="148"/>
      <c r="G85" s="148" t="s">
        <v>527</v>
      </c>
      <c r="H85" s="149">
        <v>3500</v>
      </c>
      <c r="I85" s="149">
        <v>4590</v>
      </c>
      <c r="J85" s="148"/>
      <c r="K85" s="148" t="s">
        <v>679</v>
      </c>
      <c r="L85" s="148"/>
      <c r="M85" s="148"/>
      <c r="N85" s="14" t="str">
        <f t="shared" si="1"/>
        <v>0</v>
      </c>
      <c r="O85" s="14" t="str">
        <f>INDEX(Кат!$H:$H,MATCH($A85,Кат!$A:$A,0))</f>
        <v>штат</v>
      </c>
    </row>
    <row r="86" spans="1:15" ht="30" x14ac:dyDescent="0.25">
      <c r="A86" s="147">
        <v>138677</v>
      </c>
      <c r="B86" s="147">
        <v>7051</v>
      </c>
      <c r="C86" s="148" t="s">
        <v>274</v>
      </c>
      <c r="D86" s="148" t="s">
        <v>678</v>
      </c>
      <c r="E86" s="148"/>
      <c r="F86" s="148"/>
      <c r="G86" s="148" t="s">
        <v>527</v>
      </c>
      <c r="H86" s="149">
        <v>2600</v>
      </c>
      <c r="I86" s="149">
        <v>3390</v>
      </c>
      <c r="J86" s="148"/>
      <c r="K86" s="148" t="s">
        <v>679</v>
      </c>
      <c r="L86" s="148"/>
      <c r="M86" s="148"/>
      <c r="N86" s="14" t="str">
        <f t="shared" si="1"/>
        <v>0</v>
      </c>
      <c r="O86" s="14" t="str">
        <f>INDEX(Кат!$H:$H,MATCH($A86,Кат!$A:$A,0))</f>
        <v>штат</v>
      </c>
    </row>
    <row r="87" spans="1:15" ht="45" x14ac:dyDescent="0.25">
      <c r="A87" s="147">
        <v>138682</v>
      </c>
      <c r="B87" s="147">
        <v>7200</v>
      </c>
      <c r="C87" s="148" t="s">
        <v>211</v>
      </c>
      <c r="D87" s="148" t="s">
        <v>678</v>
      </c>
      <c r="E87" s="148"/>
      <c r="F87" s="148"/>
      <c r="G87" s="148" t="s">
        <v>527</v>
      </c>
      <c r="H87" s="149">
        <v>1300</v>
      </c>
      <c r="I87" s="149">
        <v>1890</v>
      </c>
      <c r="J87" s="148" t="s">
        <v>968</v>
      </c>
      <c r="K87" s="148" t="s">
        <v>226</v>
      </c>
      <c r="L87" s="148"/>
      <c r="M87" s="148"/>
      <c r="N87" s="14" t="str">
        <f t="shared" si="1"/>
        <v>1</v>
      </c>
      <c r="O87" s="14" t="str">
        <f>INDEX(Кат!$H:$H,MATCH($A87,Кат!$A:$A,0))</f>
        <v>штат</v>
      </c>
    </row>
    <row r="88" spans="1:15" ht="30" x14ac:dyDescent="0.25">
      <c r="A88" s="147">
        <v>138683</v>
      </c>
      <c r="B88" s="147">
        <v>7197</v>
      </c>
      <c r="C88" s="148" t="s">
        <v>306</v>
      </c>
      <c r="D88" s="148" t="s">
        <v>678</v>
      </c>
      <c r="E88" s="148"/>
      <c r="F88" s="148"/>
      <c r="G88" s="148" t="s">
        <v>527</v>
      </c>
      <c r="H88" s="149">
        <v>1700</v>
      </c>
      <c r="I88" s="149">
        <v>2390</v>
      </c>
      <c r="J88" s="148" t="s">
        <v>769</v>
      </c>
      <c r="K88" s="148" t="s">
        <v>226</v>
      </c>
      <c r="L88" s="148"/>
      <c r="M88" s="148"/>
      <c r="N88" s="14" t="str">
        <f t="shared" si="1"/>
        <v>1</v>
      </c>
      <c r="O88" s="14" t="str">
        <f>INDEX(Кат!$H:$H,MATCH($A88,Кат!$A:$A,0))</f>
        <v>штат</v>
      </c>
    </row>
    <row r="89" spans="1:15" ht="30" x14ac:dyDescent="0.25">
      <c r="A89" s="147">
        <v>138684</v>
      </c>
      <c r="B89" s="147">
        <v>7198</v>
      </c>
      <c r="C89" s="148" t="s">
        <v>309</v>
      </c>
      <c r="D89" s="148" t="s">
        <v>678</v>
      </c>
      <c r="E89" s="148"/>
      <c r="F89" s="148"/>
      <c r="G89" s="148" t="s">
        <v>527</v>
      </c>
      <c r="H89" s="149">
        <v>1360</v>
      </c>
      <c r="I89" s="149">
        <v>1890</v>
      </c>
      <c r="J89" s="148" t="s">
        <v>963</v>
      </c>
      <c r="K89" s="148" t="s">
        <v>226</v>
      </c>
      <c r="L89" s="148"/>
      <c r="M89" s="148"/>
      <c r="N89" s="14" t="str">
        <f t="shared" si="1"/>
        <v>1</v>
      </c>
      <c r="O89" s="14" t="str">
        <f>INDEX(Кат!$H:$H,MATCH($A89,Кат!$A:$A,0))</f>
        <v>штат</v>
      </c>
    </row>
    <row r="90" spans="1:15" ht="30" x14ac:dyDescent="0.25">
      <c r="A90" s="147">
        <v>138685</v>
      </c>
      <c r="B90" s="147">
        <v>7082</v>
      </c>
      <c r="C90" s="148" t="s">
        <v>364</v>
      </c>
      <c r="D90" s="148" t="s">
        <v>678</v>
      </c>
      <c r="E90" s="148"/>
      <c r="F90" s="148"/>
      <c r="G90" s="148" t="s">
        <v>527</v>
      </c>
      <c r="H90" s="149">
        <v>0</v>
      </c>
      <c r="I90" s="149">
        <v>0</v>
      </c>
      <c r="J90" s="148"/>
      <c r="K90" s="148" t="s">
        <v>679</v>
      </c>
      <c r="L90" s="148"/>
      <c r="M90" s="148"/>
      <c r="N90" s="14" t="str">
        <f t="shared" si="1"/>
        <v>0</v>
      </c>
      <c r="O90" s="14" t="str">
        <f>INDEX(Кат!$H:$H,MATCH($A90,Кат!$A:$A,0))</f>
        <v>штат</v>
      </c>
    </row>
    <row r="91" spans="1:15" ht="30" x14ac:dyDescent="0.25">
      <c r="A91" s="147">
        <v>138686</v>
      </c>
      <c r="B91" s="147">
        <v>7024</v>
      </c>
      <c r="C91" s="148" t="s">
        <v>358</v>
      </c>
      <c r="D91" s="148" t="s">
        <v>678</v>
      </c>
      <c r="E91" s="148"/>
      <c r="F91" s="148"/>
      <c r="G91" s="148" t="s">
        <v>527</v>
      </c>
      <c r="H91" s="149">
        <v>0</v>
      </c>
      <c r="I91" s="149">
        <v>0</v>
      </c>
      <c r="J91" s="148"/>
      <c r="K91" s="148" t="s">
        <v>679</v>
      </c>
      <c r="L91" s="148"/>
      <c r="M91" s="148"/>
      <c r="N91" s="14" t="str">
        <f t="shared" si="1"/>
        <v>0</v>
      </c>
      <c r="O91" s="14" t="str">
        <f>INDEX(Кат!$H:$H,MATCH($A91,Кат!$A:$A,0))</f>
        <v>штат</v>
      </c>
    </row>
    <row r="92" spans="1:15" ht="30" x14ac:dyDescent="0.25">
      <c r="A92" s="147">
        <v>138687</v>
      </c>
      <c r="B92" s="147">
        <v>7090</v>
      </c>
      <c r="C92" s="148" t="s">
        <v>365</v>
      </c>
      <c r="D92" s="148" t="s">
        <v>678</v>
      </c>
      <c r="E92" s="148"/>
      <c r="F92" s="148"/>
      <c r="G92" s="148" t="s">
        <v>527</v>
      </c>
      <c r="H92" s="149">
        <v>0</v>
      </c>
      <c r="I92" s="149">
        <v>6190</v>
      </c>
      <c r="J92" s="148"/>
      <c r="K92" s="148" t="s">
        <v>679</v>
      </c>
      <c r="L92" s="148"/>
      <c r="M92" s="148"/>
      <c r="N92" s="14" t="str">
        <f t="shared" si="1"/>
        <v>0</v>
      </c>
      <c r="O92" s="14" t="str">
        <f>INDEX(Кат!$H:$H,MATCH($A92,Кат!$A:$A,0))</f>
        <v>штат</v>
      </c>
    </row>
    <row r="93" spans="1:15" ht="45" x14ac:dyDescent="0.25">
      <c r="A93" s="147">
        <v>138692</v>
      </c>
      <c r="B93" s="147">
        <v>7079</v>
      </c>
      <c r="C93" s="148" t="s">
        <v>297</v>
      </c>
      <c r="D93" s="148" t="s">
        <v>678</v>
      </c>
      <c r="E93" s="148"/>
      <c r="F93" s="148"/>
      <c r="G93" s="148" t="s">
        <v>527</v>
      </c>
      <c r="H93" s="149">
        <v>1650</v>
      </c>
      <c r="I93" s="149">
        <v>2290</v>
      </c>
      <c r="J93" s="148" t="s">
        <v>828</v>
      </c>
      <c r="K93" s="148" t="s">
        <v>226</v>
      </c>
      <c r="L93" s="148"/>
      <c r="M93" s="148"/>
      <c r="N93" s="14" t="str">
        <f t="shared" si="1"/>
        <v>1</v>
      </c>
      <c r="O93" s="14" t="str">
        <f>INDEX(Кат!$H:$H,MATCH($A93,Кат!$A:$A,0))</f>
        <v>штат</v>
      </c>
    </row>
    <row r="94" spans="1:15" ht="30" x14ac:dyDescent="0.25">
      <c r="A94" s="147">
        <v>138693</v>
      </c>
      <c r="B94" s="147">
        <v>7071</v>
      </c>
      <c r="C94" s="148" t="s">
        <v>251</v>
      </c>
      <c r="D94" s="148" t="s">
        <v>678</v>
      </c>
      <c r="E94" s="148"/>
      <c r="F94" s="148"/>
      <c r="G94" s="148" t="s">
        <v>527</v>
      </c>
      <c r="H94" s="149">
        <v>3550</v>
      </c>
      <c r="I94" s="149">
        <v>4590</v>
      </c>
      <c r="J94" s="148"/>
      <c r="K94" s="148" t="s">
        <v>679</v>
      </c>
      <c r="L94" s="148"/>
      <c r="M94" s="148"/>
      <c r="N94" s="14" t="str">
        <f t="shared" si="1"/>
        <v>0</v>
      </c>
      <c r="O94" s="14" t="str">
        <f>INDEX(Кат!$H:$H,MATCH($A94,Кат!$A:$A,0))</f>
        <v>штат</v>
      </c>
    </row>
    <row r="95" spans="1:15" ht="30" x14ac:dyDescent="0.25">
      <c r="A95" s="147">
        <v>138694</v>
      </c>
      <c r="B95" s="147">
        <v>7070</v>
      </c>
      <c r="C95" s="148" t="s">
        <v>257</v>
      </c>
      <c r="D95" s="148" t="s">
        <v>678</v>
      </c>
      <c r="E95" s="148"/>
      <c r="F95" s="148"/>
      <c r="G95" s="148" t="s">
        <v>527</v>
      </c>
      <c r="H95" s="149">
        <v>3350</v>
      </c>
      <c r="I95" s="149">
        <v>4390</v>
      </c>
      <c r="J95" s="148"/>
      <c r="K95" s="148" t="s">
        <v>679</v>
      </c>
      <c r="L95" s="148"/>
      <c r="M95" s="148"/>
      <c r="N95" s="14" t="str">
        <f t="shared" si="1"/>
        <v>0</v>
      </c>
      <c r="O95" s="14" t="str">
        <f>INDEX(Кат!$H:$H,MATCH($A95,Кат!$A:$A,0))</f>
        <v>штат</v>
      </c>
    </row>
    <row r="96" spans="1:15" ht="30" x14ac:dyDescent="0.25">
      <c r="A96" s="147">
        <v>138695</v>
      </c>
      <c r="B96" s="147">
        <v>7069</v>
      </c>
      <c r="C96" s="148" t="s">
        <v>253</v>
      </c>
      <c r="D96" s="148" t="s">
        <v>678</v>
      </c>
      <c r="E96" s="148"/>
      <c r="F96" s="148"/>
      <c r="G96" s="148" t="s">
        <v>527</v>
      </c>
      <c r="H96" s="149">
        <v>3350</v>
      </c>
      <c r="I96" s="149">
        <v>4390</v>
      </c>
      <c r="J96" s="148"/>
      <c r="K96" s="148" t="s">
        <v>679</v>
      </c>
      <c r="L96" s="148"/>
      <c r="M96" s="148"/>
      <c r="N96" s="14" t="str">
        <f t="shared" si="1"/>
        <v>0</v>
      </c>
      <c r="O96" s="14" t="str">
        <f>INDEX(Кат!$H:$H,MATCH($A96,Кат!$A:$A,0))</f>
        <v>штат</v>
      </c>
    </row>
    <row r="97" spans="1:15" ht="45" x14ac:dyDescent="0.25">
      <c r="A97" s="147">
        <v>138696</v>
      </c>
      <c r="B97" s="147">
        <v>7045</v>
      </c>
      <c r="C97" s="148" t="s">
        <v>563</v>
      </c>
      <c r="D97" s="148" t="s">
        <v>678</v>
      </c>
      <c r="E97" s="148"/>
      <c r="F97" s="148"/>
      <c r="G97" s="148" t="s">
        <v>527</v>
      </c>
      <c r="H97" s="149">
        <v>4400</v>
      </c>
      <c r="I97" s="149">
        <v>5990</v>
      </c>
      <c r="J97" s="148" t="s">
        <v>825</v>
      </c>
      <c r="K97" s="148" t="s">
        <v>226</v>
      </c>
      <c r="L97" s="148" t="s">
        <v>579</v>
      </c>
      <c r="M97" s="148"/>
      <c r="N97" s="14" t="str">
        <f t="shared" si="1"/>
        <v>1ск6</v>
      </c>
      <c r="O97" s="14" t="str">
        <f>INDEX(Кат!$H:$H,MATCH($A97,Кат!$A:$A,0))</f>
        <v>штат</v>
      </c>
    </row>
    <row r="98" spans="1:15" ht="30" x14ac:dyDescent="0.25">
      <c r="A98" s="147">
        <v>138697</v>
      </c>
      <c r="B98" s="147">
        <v>7034</v>
      </c>
      <c r="C98" s="148" t="s">
        <v>360</v>
      </c>
      <c r="D98" s="148" t="s">
        <v>678</v>
      </c>
      <c r="E98" s="148"/>
      <c r="F98" s="148"/>
      <c r="G98" s="148" t="s">
        <v>527</v>
      </c>
      <c r="H98" s="149">
        <v>0</v>
      </c>
      <c r="I98" s="149">
        <v>0</v>
      </c>
      <c r="J98" s="148"/>
      <c r="K98" s="148" t="s">
        <v>679</v>
      </c>
      <c r="L98" s="148"/>
      <c r="M98" s="148"/>
      <c r="N98" s="14" t="str">
        <f t="shared" si="1"/>
        <v>0</v>
      </c>
      <c r="O98" s="14" t="str">
        <f>INDEX(Кат!$H:$H,MATCH($A98,Кат!$A:$A,0))</f>
        <v>штат</v>
      </c>
    </row>
    <row r="99" spans="1:15" ht="30" x14ac:dyDescent="0.25">
      <c r="A99" s="147">
        <v>138698</v>
      </c>
      <c r="B99" s="147">
        <v>7040</v>
      </c>
      <c r="C99" s="148" t="s">
        <v>361</v>
      </c>
      <c r="D99" s="148" t="s">
        <v>678</v>
      </c>
      <c r="E99" s="148"/>
      <c r="F99" s="148"/>
      <c r="G99" s="148" t="s">
        <v>527</v>
      </c>
      <c r="H99" s="149">
        <v>0</v>
      </c>
      <c r="I99" s="149">
        <v>2690</v>
      </c>
      <c r="J99" s="148"/>
      <c r="K99" s="148" t="s">
        <v>679</v>
      </c>
      <c r="L99" s="148"/>
      <c r="M99" s="148"/>
      <c r="N99" s="14" t="str">
        <f t="shared" si="1"/>
        <v>0</v>
      </c>
      <c r="O99" s="14" t="str">
        <f>INDEX(Кат!$H:$H,MATCH($A99,Кат!$A:$A,0))</f>
        <v>штат</v>
      </c>
    </row>
    <row r="100" spans="1:15" ht="30" x14ac:dyDescent="0.25">
      <c r="A100" s="147">
        <v>138699</v>
      </c>
      <c r="B100" s="147">
        <v>7041</v>
      </c>
      <c r="C100" s="148" t="s">
        <v>262</v>
      </c>
      <c r="D100" s="148" t="s">
        <v>678</v>
      </c>
      <c r="E100" s="148"/>
      <c r="F100" s="148"/>
      <c r="G100" s="148" t="s">
        <v>527</v>
      </c>
      <c r="H100" s="149">
        <v>4200</v>
      </c>
      <c r="I100" s="149">
        <v>5490</v>
      </c>
      <c r="J100" s="148"/>
      <c r="K100" s="148" t="s">
        <v>679</v>
      </c>
      <c r="L100" s="148"/>
      <c r="M100" s="148"/>
      <c r="N100" s="14" t="str">
        <f t="shared" si="1"/>
        <v>0</v>
      </c>
      <c r="O100" s="14" t="str">
        <f>INDEX(Кат!$H:$H,MATCH($A100,Кат!$A:$A,0))</f>
        <v>штат</v>
      </c>
    </row>
    <row r="101" spans="1:15" ht="45" x14ac:dyDescent="0.25">
      <c r="A101" s="147">
        <v>138700</v>
      </c>
      <c r="B101" s="147">
        <v>7068</v>
      </c>
      <c r="C101" s="148" t="s">
        <v>292</v>
      </c>
      <c r="D101" s="148" t="s">
        <v>678</v>
      </c>
      <c r="E101" s="148"/>
      <c r="F101" s="148"/>
      <c r="G101" s="148" t="s">
        <v>527</v>
      </c>
      <c r="H101" s="149">
        <v>1650</v>
      </c>
      <c r="I101" s="149">
        <v>2290</v>
      </c>
      <c r="J101" s="148" t="s">
        <v>796</v>
      </c>
      <c r="K101" s="148" t="s">
        <v>226</v>
      </c>
      <c r="L101" s="148"/>
      <c r="M101" s="148"/>
      <c r="N101" s="14" t="str">
        <f t="shared" si="1"/>
        <v>1</v>
      </c>
      <c r="O101" s="14" t="str">
        <f>INDEX(Кат!$H:$H,MATCH($A101,Кат!$A:$A,0))</f>
        <v>штат</v>
      </c>
    </row>
    <row r="102" spans="1:15" ht="30" x14ac:dyDescent="0.25">
      <c r="A102" s="147">
        <v>138701</v>
      </c>
      <c r="B102" s="147">
        <v>7038</v>
      </c>
      <c r="C102" s="148" t="s">
        <v>252</v>
      </c>
      <c r="D102" s="148" t="s">
        <v>678</v>
      </c>
      <c r="E102" s="148"/>
      <c r="F102" s="148"/>
      <c r="G102" s="148" t="s">
        <v>527</v>
      </c>
      <c r="H102" s="149">
        <v>4000</v>
      </c>
      <c r="I102" s="149">
        <v>5190</v>
      </c>
      <c r="J102" s="148"/>
      <c r="K102" s="148" t="s">
        <v>679</v>
      </c>
      <c r="L102" s="148"/>
      <c r="M102" s="148" t="s">
        <v>678</v>
      </c>
      <c r="N102" s="14" t="str">
        <f t="shared" si="1"/>
        <v>0</v>
      </c>
      <c r="O102" s="14" t="str">
        <f>INDEX(Кат!$H:$H,MATCH($A102,Кат!$A:$A,0))</f>
        <v>штат</v>
      </c>
    </row>
    <row r="103" spans="1:15" ht="30" x14ac:dyDescent="0.25">
      <c r="A103" s="147">
        <v>138702</v>
      </c>
      <c r="B103" s="147">
        <v>7026</v>
      </c>
      <c r="C103" s="148" t="s">
        <v>255</v>
      </c>
      <c r="D103" s="148" t="s">
        <v>678</v>
      </c>
      <c r="E103" s="148"/>
      <c r="F103" s="148"/>
      <c r="G103" s="148" t="s">
        <v>527</v>
      </c>
      <c r="H103" s="149">
        <v>4200</v>
      </c>
      <c r="I103" s="149">
        <v>5790</v>
      </c>
      <c r="J103" s="148" t="s">
        <v>771</v>
      </c>
      <c r="K103" s="148" t="s">
        <v>226</v>
      </c>
      <c r="L103" s="148"/>
      <c r="M103" s="148"/>
      <c r="N103" s="14" t="str">
        <f t="shared" si="1"/>
        <v>1</v>
      </c>
      <c r="O103" s="14" t="str">
        <f>INDEX(Кат!$H:$H,MATCH($A103,Кат!$A:$A,0))</f>
        <v>штат</v>
      </c>
    </row>
    <row r="104" spans="1:15" ht="30" x14ac:dyDescent="0.25">
      <c r="A104" s="147">
        <v>138703</v>
      </c>
      <c r="B104" s="147">
        <v>7031</v>
      </c>
      <c r="C104" s="148" t="s">
        <v>359</v>
      </c>
      <c r="D104" s="148" t="s">
        <v>678</v>
      </c>
      <c r="E104" s="148"/>
      <c r="F104" s="148"/>
      <c r="G104" s="148" t="s">
        <v>527</v>
      </c>
      <c r="H104" s="149">
        <v>0</v>
      </c>
      <c r="I104" s="149">
        <v>3290</v>
      </c>
      <c r="J104" s="148"/>
      <c r="K104" s="148" t="s">
        <v>679</v>
      </c>
      <c r="L104" s="148"/>
      <c r="M104" s="148"/>
      <c r="N104" s="14" t="str">
        <f t="shared" si="1"/>
        <v>0</v>
      </c>
      <c r="O104" s="14" t="str">
        <f>INDEX(Кат!$H:$H,MATCH($A104,Кат!$A:$A,0))</f>
        <v>штат</v>
      </c>
    </row>
    <row r="105" spans="1:15" ht="30" x14ac:dyDescent="0.25">
      <c r="A105" s="147">
        <v>138704</v>
      </c>
      <c r="B105" s="147">
        <v>7091</v>
      </c>
      <c r="C105" s="148" t="s">
        <v>277</v>
      </c>
      <c r="D105" s="148" t="s">
        <v>678</v>
      </c>
      <c r="E105" s="148"/>
      <c r="F105" s="148"/>
      <c r="G105" s="148" t="s">
        <v>527</v>
      </c>
      <c r="H105" s="149">
        <v>2000</v>
      </c>
      <c r="I105" s="149">
        <v>2590</v>
      </c>
      <c r="J105" s="148"/>
      <c r="K105" s="148" t="s">
        <v>679</v>
      </c>
      <c r="L105" s="148"/>
      <c r="M105" s="148"/>
      <c r="N105" s="14" t="str">
        <f t="shared" si="1"/>
        <v>0</v>
      </c>
      <c r="O105" s="14" t="str">
        <f>INDEX(Кат!$H:$H,MATCH($A105,Кат!$A:$A,0))</f>
        <v>штат</v>
      </c>
    </row>
    <row r="106" spans="1:15" ht="30" x14ac:dyDescent="0.25">
      <c r="A106" s="147">
        <v>138705</v>
      </c>
      <c r="B106" s="147">
        <v>7009</v>
      </c>
      <c r="C106" s="148" t="s">
        <v>272</v>
      </c>
      <c r="D106" s="148" t="s">
        <v>678</v>
      </c>
      <c r="E106" s="148"/>
      <c r="F106" s="148"/>
      <c r="G106" s="148" t="s">
        <v>527</v>
      </c>
      <c r="H106" s="149">
        <v>2200</v>
      </c>
      <c r="I106" s="149">
        <v>2890</v>
      </c>
      <c r="J106" s="148"/>
      <c r="K106" s="148" t="s">
        <v>679</v>
      </c>
      <c r="L106" s="148"/>
      <c r="M106" s="148"/>
      <c r="N106" s="14" t="str">
        <f t="shared" si="1"/>
        <v>0</v>
      </c>
      <c r="O106" s="14" t="str">
        <f>INDEX(Кат!$H:$H,MATCH($A106,Кат!$A:$A,0))</f>
        <v>штат</v>
      </c>
    </row>
    <row r="107" spans="1:15" ht="30" x14ac:dyDescent="0.25">
      <c r="A107" s="147">
        <v>138706</v>
      </c>
      <c r="B107" s="147">
        <v>7092</v>
      </c>
      <c r="C107" s="148" t="s">
        <v>273</v>
      </c>
      <c r="D107" s="148" t="s">
        <v>678</v>
      </c>
      <c r="E107" s="148"/>
      <c r="F107" s="148"/>
      <c r="G107" s="148" t="s">
        <v>527</v>
      </c>
      <c r="H107" s="149">
        <v>2200</v>
      </c>
      <c r="I107" s="149">
        <v>2890</v>
      </c>
      <c r="J107" s="148"/>
      <c r="K107" s="148" t="s">
        <v>679</v>
      </c>
      <c r="L107" s="148"/>
      <c r="M107" s="148"/>
      <c r="N107" s="14" t="str">
        <f t="shared" si="1"/>
        <v>0</v>
      </c>
      <c r="O107" s="14" t="str">
        <f>INDEX(Кат!$H:$H,MATCH($A107,Кат!$A:$A,0))</f>
        <v>штат</v>
      </c>
    </row>
    <row r="108" spans="1:15" ht="30" x14ac:dyDescent="0.25">
      <c r="A108" s="147">
        <v>138707</v>
      </c>
      <c r="B108" s="147">
        <v>7093</v>
      </c>
      <c r="C108" s="148" t="s">
        <v>366</v>
      </c>
      <c r="D108" s="148" t="s">
        <v>678</v>
      </c>
      <c r="E108" s="148"/>
      <c r="F108" s="148"/>
      <c r="G108" s="148" t="s">
        <v>527</v>
      </c>
      <c r="H108" s="149">
        <v>0</v>
      </c>
      <c r="I108" s="149">
        <v>2690</v>
      </c>
      <c r="J108" s="148"/>
      <c r="K108" s="148" t="s">
        <v>679</v>
      </c>
      <c r="L108" s="148"/>
      <c r="M108" s="148"/>
      <c r="N108" s="14" t="str">
        <f t="shared" si="1"/>
        <v>0</v>
      </c>
      <c r="O108" s="14" t="str">
        <f>INDEX(Кат!$H:$H,MATCH($A108,Кат!$A:$A,0))</f>
        <v>штат</v>
      </c>
    </row>
    <row r="109" spans="1:15" ht="30" x14ac:dyDescent="0.25">
      <c r="A109" s="147">
        <v>138708</v>
      </c>
      <c r="B109" s="147">
        <v>7094</v>
      </c>
      <c r="C109" s="148" t="s">
        <v>271</v>
      </c>
      <c r="D109" s="148" t="s">
        <v>678</v>
      </c>
      <c r="E109" s="148"/>
      <c r="F109" s="148"/>
      <c r="G109" s="148" t="s">
        <v>527</v>
      </c>
      <c r="H109" s="149">
        <v>2300</v>
      </c>
      <c r="I109" s="149">
        <v>2990</v>
      </c>
      <c r="J109" s="148"/>
      <c r="K109" s="148" t="s">
        <v>679</v>
      </c>
      <c r="L109" s="148"/>
      <c r="M109" s="148"/>
      <c r="N109" s="14" t="str">
        <f t="shared" si="1"/>
        <v>0</v>
      </c>
      <c r="O109" s="14" t="str">
        <f>INDEX(Кат!$H:$H,MATCH($A109,Кат!$A:$A,0))</f>
        <v>штат</v>
      </c>
    </row>
    <row r="110" spans="1:15" ht="45" x14ac:dyDescent="0.25">
      <c r="A110" s="147">
        <v>138709</v>
      </c>
      <c r="B110" s="147">
        <v>7028</v>
      </c>
      <c r="C110" s="148" t="s">
        <v>261</v>
      </c>
      <c r="D110" s="148" t="s">
        <v>678</v>
      </c>
      <c r="E110" s="148"/>
      <c r="F110" s="148"/>
      <c r="G110" s="148" t="s">
        <v>527</v>
      </c>
      <c r="H110" s="149">
        <v>3500</v>
      </c>
      <c r="I110" s="149">
        <v>4890</v>
      </c>
      <c r="J110" s="148" t="s">
        <v>824</v>
      </c>
      <c r="K110" s="148" t="s">
        <v>226</v>
      </c>
      <c r="L110" s="148"/>
      <c r="M110" s="148"/>
      <c r="N110" s="14" t="str">
        <f t="shared" si="1"/>
        <v>1</v>
      </c>
      <c r="O110" s="14" t="str">
        <f>INDEX(Кат!$H:$H,MATCH($A110,Кат!$A:$A,0))</f>
        <v>штат</v>
      </c>
    </row>
    <row r="111" spans="1:15" ht="30" x14ac:dyDescent="0.25">
      <c r="A111" s="147">
        <v>138710</v>
      </c>
      <c r="B111" s="147">
        <v>7029</v>
      </c>
      <c r="C111" s="148" t="s">
        <v>248</v>
      </c>
      <c r="D111" s="148" t="s">
        <v>678</v>
      </c>
      <c r="E111" s="148"/>
      <c r="F111" s="148"/>
      <c r="G111" s="148" t="s">
        <v>527</v>
      </c>
      <c r="H111" s="149">
        <v>4700</v>
      </c>
      <c r="I111" s="149">
        <v>6090</v>
      </c>
      <c r="J111" s="148"/>
      <c r="K111" s="148" t="s">
        <v>679</v>
      </c>
      <c r="L111" s="148"/>
      <c r="M111" s="148" t="s">
        <v>678</v>
      </c>
      <c r="N111" s="14" t="str">
        <f t="shared" si="1"/>
        <v>0</v>
      </c>
      <c r="O111" s="14" t="str">
        <f>INDEX(Кат!$H:$H,MATCH($A111,Кат!$A:$A,0))</f>
        <v>штат</v>
      </c>
    </row>
    <row r="112" spans="1:15" ht="45" x14ac:dyDescent="0.25">
      <c r="A112" s="147">
        <v>138711</v>
      </c>
      <c r="B112" s="147">
        <v>7039</v>
      </c>
      <c r="C112" s="148" t="s">
        <v>295</v>
      </c>
      <c r="D112" s="148" t="s">
        <v>678</v>
      </c>
      <c r="E112" s="148"/>
      <c r="F112" s="148"/>
      <c r="G112" s="148" t="s">
        <v>527</v>
      </c>
      <c r="H112" s="149">
        <v>1650</v>
      </c>
      <c r="I112" s="149">
        <v>2390</v>
      </c>
      <c r="J112" s="148" t="s">
        <v>818</v>
      </c>
      <c r="K112" s="148" t="s">
        <v>226</v>
      </c>
      <c r="L112" s="148" t="s">
        <v>579</v>
      </c>
      <c r="M112" s="148"/>
      <c r="N112" s="14" t="str">
        <f t="shared" si="1"/>
        <v>1ск6</v>
      </c>
      <c r="O112" s="14" t="str">
        <f>INDEX(Кат!$H:$H,MATCH($A112,Кат!$A:$A,0))</f>
        <v>штат</v>
      </c>
    </row>
    <row r="113" spans="1:15" ht="45" x14ac:dyDescent="0.25">
      <c r="A113" s="147">
        <v>138712</v>
      </c>
      <c r="B113" s="147">
        <v>19446</v>
      </c>
      <c r="C113" s="148" t="s">
        <v>300</v>
      </c>
      <c r="D113" s="148" t="s">
        <v>678</v>
      </c>
      <c r="E113" s="148"/>
      <c r="F113" s="148"/>
      <c r="G113" s="148" t="s">
        <v>527</v>
      </c>
      <c r="H113" s="149">
        <v>1650</v>
      </c>
      <c r="I113" s="149">
        <v>2290</v>
      </c>
      <c r="J113" s="148" t="s">
        <v>830</v>
      </c>
      <c r="K113" s="148" t="s">
        <v>226</v>
      </c>
      <c r="L113" s="148"/>
      <c r="M113" s="148"/>
      <c r="N113" s="14" t="str">
        <f t="shared" si="1"/>
        <v>1</v>
      </c>
      <c r="O113" s="14" t="str">
        <f>INDEX(Кат!$H:$H,MATCH($A113,Кат!$A:$A,0))</f>
        <v>штат</v>
      </c>
    </row>
    <row r="114" spans="1:15" ht="30" x14ac:dyDescent="0.25">
      <c r="A114" s="147">
        <v>138713</v>
      </c>
      <c r="B114" s="147">
        <v>7042</v>
      </c>
      <c r="C114" s="148" t="s">
        <v>296</v>
      </c>
      <c r="D114" s="148" t="s">
        <v>678</v>
      </c>
      <c r="E114" s="148"/>
      <c r="F114" s="148"/>
      <c r="G114" s="148" t="s">
        <v>527</v>
      </c>
      <c r="H114" s="149">
        <v>1650</v>
      </c>
      <c r="I114" s="149">
        <v>2290</v>
      </c>
      <c r="J114" s="148" t="s">
        <v>819</v>
      </c>
      <c r="K114" s="148" t="s">
        <v>226</v>
      </c>
      <c r="L114" s="148"/>
      <c r="M114" s="148"/>
      <c r="N114" s="14" t="str">
        <f t="shared" si="1"/>
        <v>1</v>
      </c>
      <c r="O114" s="14" t="str">
        <f>INDEX(Кат!$H:$H,MATCH($A114,Кат!$A:$A,0))</f>
        <v>штат</v>
      </c>
    </row>
    <row r="115" spans="1:15" ht="30" x14ac:dyDescent="0.25">
      <c r="A115" s="147">
        <v>138714</v>
      </c>
      <c r="B115" s="147">
        <v>7025</v>
      </c>
      <c r="C115" s="148" t="s">
        <v>294</v>
      </c>
      <c r="D115" s="148" t="s">
        <v>678</v>
      </c>
      <c r="E115" s="148"/>
      <c r="F115" s="148"/>
      <c r="G115" s="148" t="s">
        <v>527</v>
      </c>
      <c r="H115" s="149">
        <v>1650</v>
      </c>
      <c r="I115" s="149">
        <v>2290</v>
      </c>
      <c r="J115" s="148" t="s">
        <v>774</v>
      </c>
      <c r="K115" s="148" t="s">
        <v>226</v>
      </c>
      <c r="L115" s="148"/>
      <c r="M115" s="148"/>
      <c r="N115" s="14" t="str">
        <f t="shared" si="1"/>
        <v>1</v>
      </c>
      <c r="O115" s="14" t="str">
        <f>INDEX(Кат!$H:$H,MATCH($A115,Кат!$A:$A,0))</f>
        <v>штат</v>
      </c>
    </row>
    <row r="116" spans="1:15" ht="45" x14ac:dyDescent="0.25">
      <c r="A116" s="147">
        <v>138715</v>
      </c>
      <c r="B116" s="147">
        <v>7076</v>
      </c>
      <c r="C116" s="148" t="s">
        <v>245</v>
      </c>
      <c r="D116" s="148" t="s">
        <v>678</v>
      </c>
      <c r="E116" s="148"/>
      <c r="F116" s="148"/>
      <c r="G116" s="148" t="s">
        <v>527</v>
      </c>
      <c r="H116" s="149">
        <v>5500</v>
      </c>
      <c r="I116" s="149">
        <v>7690</v>
      </c>
      <c r="J116" s="148" t="s">
        <v>821</v>
      </c>
      <c r="K116" s="148" t="s">
        <v>226</v>
      </c>
      <c r="L116" s="148"/>
      <c r="M116" s="148"/>
      <c r="N116" s="14" t="str">
        <f t="shared" si="1"/>
        <v>1</v>
      </c>
      <c r="O116" s="14" t="str">
        <f>INDEX(Кат!$H:$H,MATCH($A116,Кат!$A:$A,0))</f>
        <v>штат</v>
      </c>
    </row>
    <row r="117" spans="1:15" ht="30" x14ac:dyDescent="0.25">
      <c r="A117" s="147">
        <v>138716</v>
      </c>
      <c r="B117" s="147">
        <v>7077</v>
      </c>
      <c r="C117" s="148" t="s">
        <v>532</v>
      </c>
      <c r="D117" s="148" t="s">
        <v>678</v>
      </c>
      <c r="E117" s="148"/>
      <c r="F117" s="148"/>
      <c r="G117" s="148" t="s">
        <v>527</v>
      </c>
      <c r="H117" s="149">
        <v>4800</v>
      </c>
      <c r="I117" s="149">
        <v>6590</v>
      </c>
      <c r="J117" s="148" t="s">
        <v>784</v>
      </c>
      <c r="K117" s="148" t="s">
        <v>226</v>
      </c>
      <c r="L117" s="148"/>
      <c r="M117" s="148"/>
      <c r="N117" s="14" t="str">
        <f t="shared" si="1"/>
        <v>1</v>
      </c>
      <c r="O117" s="14" t="str">
        <f>INDEX(Кат!$H:$H,MATCH($A117,Кат!$A:$A,0))</f>
        <v>штат</v>
      </c>
    </row>
    <row r="118" spans="1:15" ht="45" x14ac:dyDescent="0.25">
      <c r="A118" s="147">
        <v>138717</v>
      </c>
      <c r="B118" s="147">
        <v>7199</v>
      </c>
      <c r="C118" s="148" t="s">
        <v>317</v>
      </c>
      <c r="D118" s="148" t="s">
        <v>678</v>
      </c>
      <c r="E118" s="148"/>
      <c r="F118" s="148"/>
      <c r="G118" s="148" t="s">
        <v>527</v>
      </c>
      <c r="H118" s="149">
        <v>1160</v>
      </c>
      <c r="I118" s="149">
        <v>1790</v>
      </c>
      <c r="J118" s="148" t="s">
        <v>797</v>
      </c>
      <c r="K118" s="148" t="s">
        <v>226</v>
      </c>
      <c r="L118" s="148"/>
      <c r="M118" s="148"/>
      <c r="N118" s="14" t="str">
        <f t="shared" si="1"/>
        <v>1</v>
      </c>
      <c r="O118" s="14" t="str">
        <f>INDEX(Кат!$H:$H,MATCH($A118,Кат!$A:$A,0))</f>
        <v>штат</v>
      </c>
    </row>
    <row r="119" spans="1:15" x14ac:dyDescent="0.25">
      <c r="A119" s="147">
        <v>138718</v>
      </c>
      <c r="B119" s="147">
        <v>7027</v>
      </c>
      <c r="C119" s="148" t="s">
        <v>280</v>
      </c>
      <c r="D119" s="148" t="s">
        <v>678</v>
      </c>
      <c r="E119" s="148"/>
      <c r="F119" s="148"/>
      <c r="G119" s="148" t="s">
        <v>527</v>
      </c>
      <c r="H119" s="149">
        <v>1850</v>
      </c>
      <c r="I119" s="149">
        <v>2590</v>
      </c>
      <c r="J119" s="148"/>
      <c r="K119" s="148" t="s">
        <v>679</v>
      </c>
      <c r="L119" s="148"/>
      <c r="M119" s="148"/>
      <c r="N119" s="14" t="str">
        <f t="shared" si="1"/>
        <v>0</v>
      </c>
      <c r="O119" s="14" t="str">
        <f>INDEX(Кат!$H:$H,MATCH($A119,Кат!$A:$A,0))</f>
        <v>штат</v>
      </c>
    </row>
    <row r="120" spans="1:15" ht="45" x14ac:dyDescent="0.25">
      <c r="A120" s="147">
        <v>139231</v>
      </c>
      <c r="B120" s="147">
        <v>662</v>
      </c>
      <c r="C120" s="148" t="s">
        <v>1014</v>
      </c>
      <c r="D120" s="148" t="s">
        <v>678</v>
      </c>
      <c r="E120" s="148"/>
      <c r="F120" s="148"/>
      <c r="G120" s="148" t="s">
        <v>527</v>
      </c>
      <c r="H120" s="149">
        <v>600</v>
      </c>
      <c r="I120" s="149">
        <v>989</v>
      </c>
      <c r="J120" s="148" t="s">
        <v>1004</v>
      </c>
      <c r="K120" s="148" t="s">
        <v>226</v>
      </c>
      <c r="L120" s="148"/>
      <c r="M120" s="148"/>
      <c r="N120" s="14" t="str">
        <f t="shared" si="1"/>
        <v>1</v>
      </c>
      <c r="O120" s="14" t="str">
        <f>INDEX(Кат!$H:$H,MATCH($A120,Кат!$A:$A,0))</f>
        <v>штат</v>
      </c>
    </row>
    <row r="121" spans="1:15" ht="45" x14ac:dyDescent="0.25">
      <c r="A121" s="147">
        <v>139489</v>
      </c>
      <c r="B121" s="147">
        <v>24518</v>
      </c>
      <c r="C121" s="148" t="s">
        <v>332</v>
      </c>
      <c r="D121" s="148" t="s">
        <v>678</v>
      </c>
      <c r="E121" s="148"/>
      <c r="F121" s="148"/>
      <c r="G121" s="148" t="s">
        <v>527</v>
      </c>
      <c r="H121" s="149">
        <v>380</v>
      </c>
      <c r="I121" s="149">
        <v>669</v>
      </c>
      <c r="J121" s="148" t="s">
        <v>995</v>
      </c>
      <c r="K121" s="148" t="s">
        <v>226</v>
      </c>
      <c r="L121" s="148"/>
      <c r="M121" s="148"/>
      <c r="N121" s="14" t="str">
        <f t="shared" si="1"/>
        <v>1</v>
      </c>
      <c r="O121" s="14" t="str">
        <f>INDEX(Кат!$H:$H,MATCH($A121,Кат!$A:$A,0))</f>
        <v>штат</v>
      </c>
    </row>
    <row r="122" spans="1:15" ht="75" x14ac:dyDescent="0.25">
      <c r="A122" s="147">
        <v>140006</v>
      </c>
      <c r="B122" s="147">
        <v>24530</v>
      </c>
      <c r="C122" s="148" t="s">
        <v>530</v>
      </c>
      <c r="D122" s="148" t="s">
        <v>678</v>
      </c>
      <c r="E122" s="148"/>
      <c r="F122" s="148"/>
      <c r="G122" s="148" t="s">
        <v>527</v>
      </c>
      <c r="H122" s="149">
        <v>380</v>
      </c>
      <c r="I122" s="149">
        <v>609</v>
      </c>
      <c r="J122" s="148"/>
      <c r="K122" s="148" t="s">
        <v>226</v>
      </c>
      <c r="L122" s="148"/>
      <c r="M122" s="148"/>
      <c r="N122" s="14" t="str">
        <f t="shared" si="1"/>
        <v>1</v>
      </c>
      <c r="O122" s="14" t="str">
        <f>INDEX(Кат!$H:$H,MATCH($A122,Кат!$A:$A,0))</f>
        <v>штат</v>
      </c>
    </row>
    <row r="123" spans="1:15" ht="45" x14ac:dyDescent="0.25">
      <c r="A123" s="147">
        <v>141292</v>
      </c>
      <c r="B123" s="147">
        <v>6367</v>
      </c>
      <c r="C123" s="148" t="s">
        <v>625</v>
      </c>
      <c r="D123" s="148" t="s">
        <v>678</v>
      </c>
      <c r="E123" s="148"/>
      <c r="F123" s="148"/>
      <c r="G123" s="148" t="s">
        <v>527</v>
      </c>
      <c r="H123" s="149">
        <v>430</v>
      </c>
      <c r="I123" s="149">
        <v>779</v>
      </c>
      <c r="J123" s="148" t="s">
        <v>832</v>
      </c>
      <c r="K123" s="148" t="s">
        <v>226</v>
      </c>
      <c r="L123" s="148" t="s">
        <v>578</v>
      </c>
      <c r="M123" s="148" t="s">
        <v>678</v>
      </c>
      <c r="N123" s="14" t="str">
        <f t="shared" si="1"/>
        <v>1ск5</v>
      </c>
      <c r="O123" s="14" t="str">
        <f>INDEX(Кат!$H:$H,MATCH($A123,Кат!$A:$A,0))</f>
        <v>штат</v>
      </c>
    </row>
    <row r="124" spans="1:15" ht="30" x14ac:dyDescent="0.25">
      <c r="A124" s="147">
        <v>141970</v>
      </c>
      <c r="B124" s="147">
        <v>13094</v>
      </c>
      <c r="C124" s="148" t="s">
        <v>279</v>
      </c>
      <c r="D124" s="148" t="s">
        <v>678</v>
      </c>
      <c r="E124" s="148"/>
      <c r="F124" s="148"/>
      <c r="G124" s="148" t="s">
        <v>527</v>
      </c>
      <c r="H124" s="149">
        <v>2880</v>
      </c>
      <c r="I124" s="149">
        <v>3890</v>
      </c>
      <c r="J124" s="148" t="s">
        <v>946</v>
      </c>
      <c r="K124" s="148" t="s">
        <v>226</v>
      </c>
      <c r="L124" s="148"/>
      <c r="M124" s="148"/>
      <c r="N124" s="14" t="str">
        <f t="shared" si="1"/>
        <v>1</v>
      </c>
      <c r="O124" s="14" t="str">
        <f>INDEX(Кат!$H:$H,MATCH($A124,Кат!$A:$A,0))</f>
        <v>штат</v>
      </c>
    </row>
    <row r="125" spans="1:15" ht="45" x14ac:dyDescent="0.25">
      <c r="A125" s="147">
        <v>141971</v>
      </c>
      <c r="B125" s="147">
        <v>4377</v>
      </c>
      <c r="C125" s="148" t="s">
        <v>687</v>
      </c>
      <c r="D125" s="148" t="s">
        <v>678</v>
      </c>
      <c r="E125" s="148"/>
      <c r="F125" s="148"/>
      <c r="G125" s="148" t="s">
        <v>527</v>
      </c>
      <c r="H125" s="149">
        <v>2550</v>
      </c>
      <c r="I125" s="149">
        <v>3990</v>
      </c>
      <c r="J125" s="148" t="s">
        <v>770</v>
      </c>
      <c r="K125" s="148" t="s">
        <v>226</v>
      </c>
      <c r="L125" s="148"/>
      <c r="M125" s="148"/>
      <c r="N125" s="14" t="str">
        <f t="shared" si="1"/>
        <v>1</v>
      </c>
      <c r="O125" s="14" t="str">
        <f>INDEX(Кат!$H:$H,MATCH($A125,Кат!$A:$A,0))</f>
        <v>штат</v>
      </c>
    </row>
    <row r="126" spans="1:15" ht="45" x14ac:dyDescent="0.25">
      <c r="A126" s="147">
        <v>141972</v>
      </c>
      <c r="B126" s="147">
        <v>4382</v>
      </c>
      <c r="C126" s="148" t="s">
        <v>289</v>
      </c>
      <c r="D126" s="148" t="s">
        <v>678</v>
      </c>
      <c r="E126" s="148"/>
      <c r="F126" s="148"/>
      <c r="G126" s="148" t="s">
        <v>527</v>
      </c>
      <c r="H126" s="149">
        <v>2050</v>
      </c>
      <c r="I126" s="149">
        <v>2790</v>
      </c>
      <c r="J126" s="148" t="s">
        <v>843</v>
      </c>
      <c r="K126" s="148" t="s">
        <v>226</v>
      </c>
      <c r="L126" s="148"/>
      <c r="M126" s="148"/>
      <c r="N126" s="14" t="str">
        <f t="shared" si="1"/>
        <v>1</v>
      </c>
      <c r="O126" s="14" t="str">
        <f>INDEX(Кат!$H:$H,MATCH($A126,Кат!$A:$A,0))</f>
        <v>штат</v>
      </c>
    </row>
    <row r="127" spans="1:15" ht="45" x14ac:dyDescent="0.25">
      <c r="A127" s="147">
        <v>141973</v>
      </c>
      <c r="B127" s="147">
        <v>4383</v>
      </c>
      <c r="C127" s="148" t="s">
        <v>688</v>
      </c>
      <c r="D127" s="148" t="s">
        <v>678</v>
      </c>
      <c r="E127" s="148"/>
      <c r="F127" s="148"/>
      <c r="G127" s="148" t="s">
        <v>527</v>
      </c>
      <c r="H127" s="149">
        <v>2200</v>
      </c>
      <c r="I127" s="149">
        <v>3090</v>
      </c>
      <c r="J127" s="148" t="s">
        <v>844</v>
      </c>
      <c r="K127" s="148" t="s">
        <v>226</v>
      </c>
      <c r="L127" s="148"/>
      <c r="M127" s="148"/>
      <c r="N127" s="14" t="str">
        <f t="shared" si="1"/>
        <v>1</v>
      </c>
      <c r="O127" s="14" t="str">
        <f>INDEX(Кат!$H:$H,MATCH($A127,Кат!$A:$A,0))</f>
        <v>штат</v>
      </c>
    </row>
    <row r="128" spans="1:15" ht="30" x14ac:dyDescent="0.25">
      <c r="A128" s="147">
        <v>141974</v>
      </c>
      <c r="B128" s="147">
        <v>4380</v>
      </c>
      <c r="C128" s="148" t="s">
        <v>689</v>
      </c>
      <c r="D128" s="148" t="s">
        <v>678</v>
      </c>
      <c r="E128" s="148"/>
      <c r="F128" s="148"/>
      <c r="G128" s="148" t="s">
        <v>527</v>
      </c>
      <c r="H128" s="149">
        <v>2950</v>
      </c>
      <c r="I128" s="149">
        <v>3990</v>
      </c>
      <c r="J128" s="148" t="s">
        <v>770</v>
      </c>
      <c r="K128" s="148" t="s">
        <v>226</v>
      </c>
      <c r="L128" s="148"/>
      <c r="M128" s="148"/>
      <c r="N128" s="14" t="str">
        <f t="shared" si="1"/>
        <v>1</v>
      </c>
      <c r="O128" s="14" t="str">
        <f>INDEX(Кат!$H:$H,MATCH($A128,Кат!$A:$A,0))</f>
        <v>штат</v>
      </c>
    </row>
    <row r="129" spans="1:15" ht="45" x14ac:dyDescent="0.25">
      <c r="A129" s="147">
        <v>141975</v>
      </c>
      <c r="B129" s="147">
        <v>4381</v>
      </c>
      <c r="C129" s="148" t="s">
        <v>282</v>
      </c>
      <c r="D129" s="148" t="s">
        <v>678</v>
      </c>
      <c r="E129" s="148"/>
      <c r="F129" s="148"/>
      <c r="G129" s="148" t="s">
        <v>527</v>
      </c>
      <c r="H129" s="149">
        <v>2780</v>
      </c>
      <c r="I129" s="149">
        <v>3790</v>
      </c>
      <c r="J129" s="148" t="s">
        <v>855</v>
      </c>
      <c r="K129" s="148" t="s">
        <v>226</v>
      </c>
      <c r="L129" s="148"/>
      <c r="M129" s="148"/>
      <c r="N129" s="14" t="str">
        <f t="shared" si="1"/>
        <v>1</v>
      </c>
      <c r="O129" s="14" t="str">
        <f>INDEX(Кат!$H:$H,MATCH($A129,Кат!$A:$A,0))</f>
        <v>штат</v>
      </c>
    </row>
    <row r="130" spans="1:15" ht="30" x14ac:dyDescent="0.25">
      <c r="A130" s="147">
        <v>141976</v>
      </c>
      <c r="B130" s="147">
        <v>17931</v>
      </c>
      <c r="C130" s="148" t="s">
        <v>690</v>
      </c>
      <c r="D130" s="148" t="s">
        <v>678</v>
      </c>
      <c r="E130" s="148"/>
      <c r="F130" s="148"/>
      <c r="G130" s="148" t="s">
        <v>527</v>
      </c>
      <c r="H130" s="149">
        <v>3200</v>
      </c>
      <c r="I130" s="149">
        <v>4390</v>
      </c>
      <c r="J130" s="148" t="s">
        <v>852</v>
      </c>
      <c r="K130" s="148" t="s">
        <v>226</v>
      </c>
      <c r="L130" s="148"/>
      <c r="M130" s="148"/>
      <c r="N130" s="14" t="str">
        <f t="shared" si="1"/>
        <v>1</v>
      </c>
      <c r="O130" s="14" t="str">
        <f>INDEX(Кат!$H:$H,MATCH($A130,Кат!$A:$A,0))</f>
        <v>штат</v>
      </c>
    </row>
    <row r="131" spans="1:15" ht="30" x14ac:dyDescent="0.25">
      <c r="A131" s="147">
        <v>143689</v>
      </c>
      <c r="B131" s="147">
        <v>7175</v>
      </c>
      <c r="C131" s="148" t="s">
        <v>240</v>
      </c>
      <c r="D131" s="148" t="s">
        <v>678</v>
      </c>
      <c r="E131" s="148"/>
      <c r="F131" s="148"/>
      <c r="G131" s="148" t="s">
        <v>527</v>
      </c>
      <c r="H131" s="149">
        <v>4500</v>
      </c>
      <c r="I131" s="149">
        <v>5890</v>
      </c>
      <c r="J131" s="148"/>
      <c r="K131" s="148" t="s">
        <v>679</v>
      </c>
      <c r="L131" s="148"/>
      <c r="M131" s="148" t="s">
        <v>678</v>
      </c>
      <c r="N131" s="14" t="str">
        <f t="shared" ref="N131:N194" si="2">_xlfn.CONCAT(K131,IF(L131&lt;&gt;"",_xlfn.CONCAT("ск",L131),""))</f>
        <v>0</v>
      </c>
      <c r="O131" s="14" t="str">
        <f>INDEX(Кат!$H:$H,MATCH($A131,Кат!$A:$A,0))</f>
        <v>штат</v>
      </c>
    </row>
    <row r="132" spans="1:15" ht="45" x14ac:dyDescent="0.25">
      <c r="A132" s="147">
        <v>143690</v>
      </c>
      <c r="B132" s="147">
        <v>7177</v>
      </c>
      <c r="C132" s="148" t="s">
        <v>284</v>
      </c>
      <c r="D132" s="148" t="s">
        <v>678</v>
      </c>
      <c r="E132" s="148"/>
      <c r="F132" s="148"/>
      <c r="G132" s="148" t="s">
        <v>527</v>
      </c>
      <c r="H132" s="149">
        <v>1900</v>
      </c>
      <c r="I132" s="149">
        <v>3190</v>
      </c>
      <c r="J132" s="148" t="s">
        <v>823</v>
      </c>
      <c r="K132" s="148" t="s">
        <v>226</v>
      </c>
      <c r="L132" s="148"/>
      <c r="M132" s="148" t="s">
        <v>678</v>
      </c>
      <c r="N132" s="14" t="str">
        <f t="shared" si="2"/>
        <v>1</v>
      </c>
      <c r="O132" s="14" t="str">
        <f>INDEX(Кат!$H:$H,MATCH($A132,Кат!$A:$A,0))</f>
        <v>штат</v>
      </c>
    </row>
    <row r="133" spans="1:15" ht="60" x14ac:dyDescent="0.25">
      <c r="A133" s="147">
        <v>151259</v>
      </c>
      <c r="B133" s="147">
        <v>30880</v>
      </c>
      <c r="C133" s="148" t="s">
        <v>439</v>
      </c>
      <c r="D133" s="148" t="s">
        <v>678</v>
      </c>
      <c r="E133" s="148" t="s">
        <v>593</v>
      </c>
      <c r="F133" s="148"/>
      <c r="G133" s="148" t="s">
        <v>527</v>
      </c>
      <c r="H133" s="149">
        <v>0</v>
      </c>
      <c r="I133" s="149">
        <v>0</v>
      </c>
      <c r="J133" s="148"/>
      <c r="K133" s="148" t="s">
        <v>679</v>
      </c>
      <c r="L133" s="148"/>
      <c r="M133" s="148"/>
      <c r="N133" s="14" t="str">
        <f t="shared" si="2"/>
        <v>0</v>
      </c>
      <c r="O133" s="14" t="str">
        <f>INDEX(Кат!$H:$H,MATCH($A133,Кат!$A:$A,0))</f>
        <v>штат</v>
      </c>
    </row>
    <row r="134" spans="1:15" ht="45" x14ac:dyDescent="0.25">
      <c r="A134" s="147">
        <v>151261</v>
      </c>
      <c r="B134" s="147">
        <v>24504</v>
      </c>
      <c r="C134" s="148" t="s">
        <v>461</v>
      </c>
      <c r="D134" s="148" t="s">
        <v>678</v>
      </c>
      <c r="E134" s="148"/>
      <c r="F134" s="148"/>
      <c r="G134" s="148" t="s">
        <v>527</v>
      </c>
      <c r="H134" s="149">
        <v>2200</v>
      </c>
      <c r="I134" s="149">
        <v>3090</v>
      </c>
      <c r="J134" s="148" t="s">
        <v>845</v>
      </c>
      <c r="K134" s="148" t="s">
        <v>226</v>
      </c>
      <c r="L134" s="148"/>
      <c r="M134" s="148"/>
      <c r="N134" s="14" t="str">
        <f t="shared" si="2"/>
        <v>1</v>
      </c>
      <c r="O134" s="14" t="str">
        <f>INDEX(Кат!$H:$H,MATCH($A134,Кат!$A:$A,0))</f>
        <v>штат</v>
      </c>
    </row>
    <row r="135" spans="1:15" ht="30" x14ac:dyDescent="0.25">
      <c r="A135" s="147">
        <v>151264</v>
      </c>
      <c r="B135" s="147">
        <v>7293</v>
      </c>
      <c r="C135" s="148" t="s">
        <v>456</v>
      </c>
      <c r="D135" s="148" t="s">
        <v>678</v>
      </c>
      <c r="E135" s="148"/>
      <c r="F135" s="148"/>
      <c r="G135" s="148" t="s">
        <v>527</v>
      </c>
      <c r="H135" s="149">
        <v>1800</v>
      </c>
      <c r="I135" s="149">
        <v>2490</v>
      </c>
      <c r="J135" s="148" t="s">
        <v>952</v>
      </c>
      <c r="K135" s="148" t="s">
        <v>226</v>
      </c>
      <c r="L135" s="148"/>
      <c r="M135" s="148"/>
      <c r="N135" s="14" t="str">
        <f t="shared" si="2"/>
        <v>1</v>
      </c>
      <c r="O135" s="14" t="str">
        <f>INDEX(Кат!$H:$H,MATCH($A135,Кат!$A:$A,0))</f>
        <v>штат</v>
      </c>
    </row>
    <row r="136" spans="1:15" ht="30" x14ac:dyDescent="0.25">
      <c r="A136" s="147">
        <v>153073</v>
      </c>
      <c r="B136" s="147">
        <v>7255</v>
      </c>
      <c r="C136" s="148" t="s">
        <v>213</v>
      </c>
      <c r="D136" s="148" t="s">
        <v>678</v>
      </c>
      <c r="E136" s="148"/>
      <c r="F136" s="148"/>
      <c r="G136" s="148" t="s">
        <v>527</v>
      </c>
      <c r="H136" s="149">
        <v>290</v>
      </c>
      <c r="I136" s="149">
        <v>629</v>
      </c>
      <c r="J136" s="148" t="s">
        <v>838</v>
      </c>
      <c r="K136" s="148" t="s">
        <v>226</v>
      </c>
      <c r="L136" s="148"/>
      <c r="M136" s="148"/>
      <c r="N136" s="14" t="str">
        <f t="shared" si="2"/>
        <v>1</v>
      </c>
      <c r="O136" s="14" t="str">
        <f>INDEX(Кат!$H:$H,MATCH($A136,Кат!$A:$A,0))</f>
        <v>штат</v>
      </c>
    </row>
    <row r="137" spans="1:15" ht="30" x14ac:dyDescent="0.25">
      <c r="A137" s="147">
        <v>153074</v>
      </c>
      <c r="B137" s="147">
        <v>7213</v>
      </c>
      <c r="C137" s="148" t="s">
        <v>376</v>
      </c>
      <c r="D137" s="148" t="s">
        <v>678</v>
      </c>
      <c r="E137" s="148"/>
      <c r="F137" s="148"/>
      <c r="G137" s="148" t="s">
        <v>527</v>
      </c>
      <c r="H137" s="149"/>
      <c r="I137" s="149">
        <v>0</v>
      </c>
      <c r="J137" s="148"/>
      <c r="K137" s="148" t="s">
        <v>679</v>
      </c>
      <c r="L137" s="148"/>
      <c r="M137" s="148"/>
      <c r="N137" s="14" t="str">
        <f t="shared" si="2"/>
        <v>0</v>
      </c>
      <c r="O137" s="14" t="str">
        <f>INDEX(Кат!$H:$H,MATCH($A137,Кат!$A:$A,0))</f>
        <v>штат</v>
      </c>
    </row>
    <row r="138" spans="1:15" ht="30" x14ac:dyDescent="0.25">
      <c r="A138" s="147">
        <v>153079</v>
      </c>
      <c r="B138" s="147">
        <v>7207</v>
      </c>
      <c r="C138" s="148" t="s">
        <v>210</v>
      </c>
      <c r="D138" s="148" t="s">
        <v>678</v>
      </c>
      <c r="E138" s="148"/>
      <c r="F138" s="148"/>
      <c r="G138" s="148" t="s">
        <v>527</v>
      </c>
      <c r="H138" s="149">
        <v>35</v>
      </c>
      <c r="I138" s="149">
        <v>159</v>
      </c>
      <c r="J138" s="148" t="s">
        <v>835</v>
      </c>
      <c r="K138" s="148" t="s">
        <v>226</v>
      </c>
      <c r="L138" s="148"/>
      <c r="M138" s="148"/>
      <c r="N138" s="14" t="str">
        <f t="shared" si="2"/>
        <v>1</v>
      </c>
      <c r="O138" s="14" t="str">
        <f>INDEX(Кат!$H:$H,MATCH($A138,Кат!$A:$A,0))</f>
        <v>штат</v>
      </c>
    </row>
    <row r="139" spans="1:15" ht="45" x14ac:dyDescent="0.25">
      <c r="A139" s="147">
        <v>153080</v>
      </c>
      <c r="B139" s="147">
        <v>24516</v>
      </c>
      <c r="C139" s="148" t="s">
        <v>342</v>
      </c>
      <c r="D139" s="148" t="s">
        <v>678</v>
      </c>
      <c r="E139" s="148"/>
      <c r="F139" s="148"/>
      <c r="G139" s="148" t="s">
        <v>527</v>
      </c>
      <c r="H139" s="149">
        <v>370</v>
      </c>
      <c r="I139" s="149">
        <v>669</v>
      </c>
      <c r="J139" s="148" t="s">
        <v>807</v>
      </c>
      <c r="K139" s="148" t="s">
        <v>226</v>
      </c>
      <c r="L139" s="148"/>
      <c r="M139" s="148"/>
      <c r="N139" s="14" t="str">
        <f t="shared" si="2"/>
        <v>1</v>
      </c>
      <c r="O139" s="14" t="str">
        <f>INDEX(Кат!$H:$H,MATCH($A139,Кат!$A:$A,0))</f>
        <v>штат</v>
      </c>
    </row>
    <row r="140" spans="1:15" ht="45" x14ac:dyDescent="0.25">
      <c r="A140" s="147">
        <v>153081</v>
      </c>
      <c r="B140" s="147">
        <v>24512</v>
      </c>
      <c r="C140" s="148" t="s">
        <v>326</v>
      </c>
      <c r="D140" s="148" t="s">
        <v>678</v>
      </c>
      <c r="E140" s="148"/>
      <c r="F140" s="148"/>
      <c r="G140" s="148" t="s">
        <v>527</v>
      </c>
      <c r="H140" s="149">
        <v>770</v>
      </c>
      <c r="I140" s="149">
        <v>1190</v>
      </c>
      <c r="J140" s="148" t="s">
        <v>972</v>
      </c>
      <c r="K140" s="148" t="s">
        <v>226</v>
      </c>
      <c r="L140" s="148"/>
      <c r="M140" s="148"/>
      <c r="N140" s="14" t="str">
        <f t="shared" si="2"/>
        <v>1</v>
      </c>
      <c r="O140" s="14" t="str">
        <f>INDEX(Кат!$H:$H,MATCH($A140,Кат!$A:$A,0))</f>
        <v>штат</v>
      </c>
    </row>
    <row r="141" spans="1:15" ht="45" x14ac:dyDescent="0.25">
      <c r="A141" s="147">
        <v>153082</v>
      </c>
      <c r="B141" s="147">
        <v>7218</v>
      </c>
      <c r="C141" s="148" t="s">
        <v>319</v>
      </c>
      <c r="D141" s="148" t="s">
        <v>678</v>
      </c>
      <c r="E141" s="148"/>
      <c r="F141" s="148"/>
      <c r="G141" s="148" t="s">
        <v>527</v>
      </c>
      <c r="H141" s="149">
        <v>970</v>
      </c>
      <c r="I141" s="149">
        <v>1390</v>
      </c>
      <c r="J141" s="148" t="s">
        <v>969</v>
      </c>
      <c r="K141" s="148" t="s">
        <v>226</v>
      </c>
      <c r="L141" s="148"/>
      <c r="M141" s="148"/>
      <c r="N141" s="14" t="str">
        <f t="shared" si="2"/>
        <v>1</v>
      </c>
      <c r="O141" s="14" t="str">
        <f>INDEX(Кат!$H:$H,MATCH($A141,Кат!$A:$A,0))</f>
        <v>штат</v>
      </c>
    </row>
    <row r="142" spans="1:15" ht="45" x14ac:dyDescent="0.25">
      <c r="A142" s="147">
        <v>153083</v>
      </c>
      <c r="B142" s="147">
        <v>7215</v>
      </c>
      <c r="C142" s="148" t="s">
        <v>322</v>
      </c>
      <c r="D142" s="148" t="s">
        <v>678</v>
      </c>
      <c r="E142" s="148"/>
      <c r="F142" s="148"/>
      <c r="G142" s="148" t="s">
        <v>527</v>
      </c>
      <c r="H142" s="149">
        <v>1100</v>
      </c>
      <c r="I142" s="149">
        <v>1690</v>
      </c>
      <c r="J142" s="148" t="s">
        <v>960</v>
      </c>
      <c r="K142" s="148" t="s">
        <v>226</v>
      </c>
      <c r="L142" s="148"/>
      <c r="M142" s="148"/>
      <c r="N142" s="14" t="str">
        <f t="shared" si="2"/>
        <v>1</v>
      </c>
      <c r="O142" s="14" t="str">
        <f>INDEX(Кат!$H:$H,MATCH($A142,Кат!$A:$A,0))</f>
        <v>штат</v>
      </c>
    </row>
    <row r="143" spans="1:15" ht="30" x14ac:dyDescent="0.25">
      <c r="A143" s="147">
        <v>158253</v>
      </c>
      <c r="B143" s="147">
        <v>12758</v>
      </c>
      <c r="C143" s="148" t="s">
        <v>691</v>
      </c>
      <c r="D143" s="148" t="s">
        <v>678</v>
      </c>
      <c r="E143" s="148" t="s">
        <v>587</v>
      </c>
      <c r="F143" s="148"/>
      <c r="G143" s="148" t="s">
        <v>527</v>
      </c>
      <c r="H143" s="149">
        <v>460</v>
      </c>
      <c r="I143" s="149">
        <v>729</v>
      </c>
      <c r="J143" s="148" t="s">
        <v>813</v>
      </c>
      <c r="K143" s="148" t="s">
        <v>226</v>
      </c>
      <c r="L143" s="148"/>
      <c r="M143" s="148"/>
      <c r="N143" s="14" t="str">
        <f t="shared" si="2"/>
        <v>1</v>
      </c>
      <c r="O143" s="14" t="str">
        <f>INDEX(Кат!$H:$H,MATCH($A143,Кат!$A:$A,0))</f>
        <v>штат</v>
      </c>
    </row>
    <row r="144" spans="1:15" ht="45" x14ac:dyDescent="0.25">
      <c r="A144" s="147">
        <v>158250</v>
      </c>
      <c r="B144" s="147">
        <v>24520</v>
      </c>
      <c r="C144" s="148" t="s">
        <v>692</v>
      </c>
      <c r="D144" s="148" t="s">
        <v>678</v>
      </c>
      <c r="E144" s="148" t="s">
        <v>693</v>
      </c>
      <c r="F144" s="148"/>
      <c r="G144" s="148" t="s">
        <v>527</v>
      </c>
      <c r="H144" s="149">
        <v>460</v>
      </c>
      <c r="I144" s="149">
        <v>729</v>
      </c>
      <c r="J144" s="148" t="s">
        <v>814</v>
      </c>
      <c r="K144" s="148" t="s">
        <v>226</v>
      </c>
      <c r="L144" s="148"/>
      <c r="M144" s="148"/>
      <c r="N144" s="14" t="str">
        <f t="shared" si="2"/>
        <v>1</v>
      </c>
      <c r="O144" s="14" t="str">
        <f>INDEX(Кат!$H:$H,MATCH($A144,Кат!$A:$A,0))</f>
        <v>штат</v>
      </c>
    </row>
    <row r="145" spans="1:15" ht="30" x14ac:dyDescent="0.25">
      <c r="A145" s="147">
        <v>158251</v>
      </c>
      <c r="B145" s="147">
        <v>24521</v>
      </c>
      <c r="C145" s="148" t="s">
        <v>694</v>
      </c>
      <c r="D145" s="148" t="s">
        <v>678</v>
      </c>
      <c r="E145" s="148" t="s">
        <v>695</v>
      </c>
      <c r="F145" s="148"/>
      <c r="G145" s="148" t="s">
        <v>527</v>
      </c>
      <c r="H145" s="149">
        <v>370</v>
      </c>
      <c r="I145" s="149">
        <v>629</v>
      </c>
      <c r="J145" s="148" t="s">
        <v>812</v>
      </c>
      <c r="K145" s="148" t="s">
        <v>226</v>
      </c>
      <c r="L145" s="148"/>
      <c r="M145" s="148"/>
      <c r="N145" s="14" t="str">
        <f t="shared" si="2"/>
        <v>1</v>
      </c>
      <c r="O145" s="14" t="str">
        <f>INDEX(Кат!$H:$H,MATCH($A145,Кат!$A:$A,0))</f>
        <v>штат</v>
      </c>
    </row>
    <row r="146" spans="1:15" ht="30" x14ac:dyDescent="0.25">
      <c r="A146" s="147">
        <v>158249</v>
      </c>
      <c r="B146" s="147">
        <v>24522</v>
      </c>
      <c r="C146" s="148" t="s">
        <v>696</v>
      </c>
      <c r="D146" s="148" t="s">
        <v>678</v>
      </c>
      <c r="E146" s="148" t="s">
        <v>697</v>
      </c>
      <c r="F146" s="148"/>
      <c r="G146" s="148" t="s">
        <v>527</v>
      </c>
      <c r="H146" s="149">
        <v>460</v>
      </c>
      <c r="I146" s="149">
        <v>729</v>
      </c>
      <c r="J146" s="148" t="s">
        <v>815</v>
      </c>
      <c r="K146" s="148" t="s">
        <v>226</v>
      </c>
      <c r="L146" s="148"/>
      <c r="M146" s="148"/>
      <c r="N146" s="14" t="str">
        <f t="shared" si="2"/>
        <v>1</v>
      </c>
      <c r="O146" s="14" t="str">
        <f>INDEX(Кат!$H:$H,MATCH($A146,Кат!$A:$A,0))</f>
        <v>штат</v>
      </c>
    </row>
    <row r="147" spans="1:15" ht="30" x14ac:dyDescent="0.25">
      <c r="A147" s="147">
        <v>158403</v>
      </c>
      <c r="B147" s="147">
        <v>16478</v>
      </c>
      <c r="C147" s="148" t="s">
        <v>529</v>
      </c>
      <c r="D147" s="148" t="s">
        <v>678</v>
      </c>
      <c r="E147" s="148" t="s">
        <v>588</v>
      </c>
      <c r="F147" s="148"/>
      <c r="G147" s="148" t="s">
        <v>527</v>
      </c>
      <c r="H147" s="149">
        <v>135</v>
      </c>
      <c r="I147" s="149">
        <v>269</v>
      </c>
      <c r="J147" s="148"/>
      <c r="K147" s="148" t="s">
        <v>226</v>
      </c>
      <c r="L147" s="148"/>
      <c r="M147" s="148"/>
      <c r="N147" s="14" t="str">
        <f t="shared" si="2"/>
        <v>1</v>
      </c>
      <c r="O147" s="14" t="str">
        <f>INDEX(Кат!$H:$H,MATCH($A147,Кат!$A:$A,0))</f>
        <v>штат</v>
      </c>
    </row>
    <row r="148" spans="1:15" ht="30" x14ac:dyDescent="0.25">
      <c r="A148" s="147">
        <v>158690</v>
      </c>
      <c r="B148" s="147">
        <v>31512</v>
      </c>
      <c r="C148" s="148" t="s">
        <v>446</v>
      </c>
      <c r="D148" s="148" t="s">
        <v>678</v>
      </c>
      <c r="E148" s="148"/>
      <c r="F148" s="148"/>
      <c r="G148" s="148" t="s">
        <v>527</v>
      </c>
      <c r="H148" s="149">
        <v>3600</v>
      </c>
      <c r="I148" s="149">
        <v>4690</v>
      </c>
      <c r="J148" s="148" t="s">
        <v>850</v>
      </c>
      <c r="K148" s="148" t="s">
        <v>226</v>
      </c>
      <c r="L148" s="148"/>
      <c r="M148" s="148"/>
      <c r="N148" s="14" t="str">
        <f t="shared" si="2"/>
        <v>1</v>
      </c>
      <c r="O148" s="14" t="str">
        <f>INDEX(Кат!$H:$H,MATCH($A148,Кат!$A:$A,0))</f>
        <v>штат</v>
      </c>
    </row>
    <row r="149" spans="1:15" ht="45" x14ac:dyDescent="0.25">
      <c r="A149" s="147">
        <v>258809</v>
      </c>
      <c r="B149" s="147">
        <v>208680</v>
      </c>
      <c r="C149" s="148" t="s">
        <v>698</v>
      </c>
      <c r="D149" s="148" t="s">
        <v>678</v>
      </c>
      <c r="E149" s="148"/>
      <c r="F149" s="148"/>
      <c r="G149" s="148" t="s">
        <v>527</v>
      </c>
      <c r="H149" s="149">
        <v>3100</v>
      </c>
      <c r="I149" s="149">
        <v>4390</v>
      </c>
      <c r="J149" s="148" t="s">
        <v>665</v>
      </c>
      <c r="K149" s="148" t="s">
        <v>226</v>
      </c>
      <c r="L149" s="148"/>
      <c r="M149" s="148"/>
      <c r="N149" s="14" t="str">
        <f t="shared" si="2"/>
        <v>1</v>
      </c>
      <c r="O149" s="14" t="str">
        <f>INDEX(Кат!$H:$H,MATCH($A149,Кат!$A:$A,0))</f>
        <v>штат</v>
      </c>
    </row>
    <row r="150" spans="1:15" ht="30" x14ac:dyDescent="0.25">
      <c r="A150" s="147">
        <v>160133</v>
      </c>
      <c r="B150" s="147">
        <v>13097</v>
      </c>
      <c r="C150" s="148" t="s">
        <v>380</v>
      </c>
      <c r="D150" s="148" t="s">
        <v>678</v>
      </c>
      <c r="E150" s="148"/>
      <c r="F150" s="148"/>
      <c r="G150" s="148" t="s">
        <v>527</v>
      </c>
      <c r="H150" s="149">
        <v>0</v>
      </c>
      <c r="I150" s="149">
        <v>1290</v>
      </c>
      <c r="J150" s="148"/>
      <c r="K150" s="148" t="s">
        <v>679</v>
      </c>
      <c r="L150" s="148"/>
      <c r="M150" s="148"/>
      <c r="N150" s="14" t="str">
        <f t="shared" si="2"/>
        <v>0</v>
      </c>
      <c r="O150" s="14" t="str">
        <f>INDEX(Кат!$H:$H,MATCH($A150,Кат!$A:$A,0))</f>
        <v>штат</v>
      </c>
    </row>
    <row r="151" spans="1:15" x14ac:dyDescent="0.25">
      <c r="A151" s="147">
        <v>160135</v>
      </c>
      <c r="B151" s="147">
        <v>7233</v>
      </c>
      <c r="C151" s="148" t="s">
        <v>212</v>
      </c>
      <c r="D151" s="148" t="s">
        <v>678</v>
      </c>
      <c r="E151" s="148"/>
      <c r="F151" s="148"/>
      <c r="G151" s="148" t="s">
        <v>527</v>
      </c>
      <c r="H151" s="149">
        <v>800</v>
      </c>
      <c r="I151" s="149">
        <v>1290</v>
      </c>
      <c r="J151" s="148"/>
      <c r="K151" s="148" t="s">
        <v>226</v>
      </c>
      <c r="L151" s="148"/>
      <c r="M151" s="148"/>
      <c r="N151" s="14" t="str">
        <f t="shared" si="2"/>
        <v>1</v>
      </c>
      <c r="O151" s="14" t="str">
        <f>INDEX(Кат!$H:$H,MATCH($A151,Кат!$A:$A,0))</f>
        <v>штат</v>
      </c>
    </row>
    <row r="152" spans="1:15" ht="45" x14ac:dyDescent="0.25">
      <c r="A152" s="147">
        <v>160143</v>
      </c>
      <c r="B152" s="147">
        <v>7204</v>
      </c>
      <c r="C152" s="148" t="s">
        <v>337</v>
      </c>
      <c r="D152" s="148" t="s">
        <v>678</v>
      </c>
      <c r="E152" s="148"/>
      <c r="F152" s="148"/>
      <c r="G152" s="148" t="s">
        <v>527</v>
      </c>
      <c r="H152" s="149">
        <v>380</v>
      </c>
      <c r="I152" s="149">
        <v>689</v>
      </c>
      <c r="J152" s="148" t="s">
        <v>989</v>
      </c>
      <c r="K152" s="148" t="s">
        <v>226</v>
      </c>
      <c r="L152" s="148"/>
      <c r="M152" s="148"/>
      <c r="N152" s="14" t="str">
        <f t="shared" si="2"/>
        <v>1</v>
      </c>
      <c r="O152" s="14" t="str">
        <f>INDEX(Кат!$H:$H,MATCH($A152,Кат!$A:$A,0))</f>
        <v>штат</v>
      </c>
    </row>
    <row r="153" spans="1:15" ht="45" x14ac:dyDescent="0.25">
      <c r="A153" s="147">
        <v>163903</v>
      </c>
      <c r="B153" s="147">
        <v>24532</v>
      </c>
      <c r="C153" s="148" t="s">
        <v>202</v>
      </c>
      <c r="D153" s="148" t="s">
        <v>678</v>
      </c>
      <c r="E153" s="148" t="s">
        <v>592</v>
      </c>
      <c r="F153" s="148"/>
      <c r="G153" s="148" t="s">
        <v>527</v>
      </c>
      <c r="H153" s="149">
        <v>120</v>
      </c>
      <c r="I153" s="149">
        <v>309</v>
      </c>
      <c r="J153" s="148" t="s">
        <v>841</v>
      </c>
      <c r="K153" s="148" t="s">
        <v>226</v>
      </c>
      <c r="L153" s="148"/>
      <c r="M153" s="148"/>
      <c r="N153" s="14" t="str">
        <f t="shared" si="2"/>
        <v>1</v>
      </c>
      <c r="O153" s="14" t="str">
        <f>INDEX(Кат!$H:$H,MATCH($A153,Кат!$A:$A,0))</f>
        <v>штат</v>
      </c>
    </row>
    <row r="154" spans="1:15" ht="45" x14ac:dyDescent="0.25">
      <c r="A154" s="147">
        <v>163973</v>
      </c>
      <c r="B154" s="147">
        <v>7221</v>
      </c>
      <c r="C154" s="148" t="s">
        <v>349</v>
      </c>
      <c r="D154" s="148" t="s">
        <v>678</v>
      </c>
      <c r="E154" s="148" t="s">
        <v>699</v>
      </c>
      <c r="F154" s="148"/>
      <c r="G154" s="148" t="s">
        <v>527</v>
      </c>
      <c r="H154" s="149">
        <v>240</v>
      </c>
      <c r="I154" s="149">
        <v>519</v>
      </c>
      <c r="J154" s="148" t="s">
        <v>834</v>
      </c>
      <c r="K154" s="148" t="s">
        <v>226</v>
      </c>
      <c r="L154" s="148"/>
      <c r="M154" s="148"/>
      <c r="N154" s="14" t="str">
        <f t="shared" si="2"/>
        <v>1</v>
      </c>
      <c r="O154" s="14" t="str">
        <f>INDEX(Кат!$H:$H,MATCH($A154,Кат!$A:$A,0))</f>
        <v>штат</v>
      </c>
    </row>
    <row r="155" spans="1:15" ht="30" x14ac:dyDescent="0.25">
      <c r="A155" s="147">
        <v>258920</v>
      </c>
      <c r="B155" s="147">
        <v>208685</v>
      </c>
      <c r="C155" s="148" t="s">
        <v>700</v>
      </c>
      <c r="D155" s="148" t="s">
        <v>678</v>
      </c>
      <c r="E155" s="148"/>
      <c r="F155" s="148"/>
      <c r="G155" s="148" t="s">
        <v>527</v>
      </c>
      <c r="H155" s="149">
        <v>0</v>
      </c>
      <c r="I155" s="149">
        <v>5190</v>
      </c>
      <c r="J155" s="148" t="s">
        <v>932</v>
      </c>
      <c r="K155" s="148" t="s">
        <v>679</v>
      </c>
      <c r="L155" s="148"/>
      <c r="M155" s="148"/>
      <c r="N155" s="14" t="str">
        <f t="shared" si="2"/>
        <v>0</v>
      </c>
      <c r="O155" s="14" t="str">
        <f>INDEX(Кат!$H:$H,MATCH($A155,Кат!$A:$A,0))</f>
        <v>штат</v>
      </c>
    </row>
    <row r="156" spans="1:15" ht="30" x14ac:dyDescent="0.25">
      <c r="A156" s="147">
        <v>258921</v>
      </c>
      <c r="B156" s="147">
        <v>208686</v>
      </c>
      <c r="C156" s="148" t="s">
        <v>701</v>
      </c>
      <c r="D156" s="148" t="s">
        <v>678</v>
      </c>
      <c r="E156" s="148"/>
      <c r="F156" s="148"/>
      <c r="G156" s="148" t="s">
        <v>527</v>
      </c>
      <c r="H156" s="149">
        <v>0</v>
      </c>
      <c r="I156" s="149">
        <v>5490</v>
      </c>
      <c r="J156" s="148" t="s">
        <v>931</v>
      </c>
      <c r="K156" s="148" t="s">
        <v>226</v>
      </c>
      <c r="L156" s="148"/>
      <c r="M156" s="148"/>
      <c r="N156" s="14" t="str">
        <f t="shared" si="2"/>
        <v>1</v>
      </c>
      <c r="O156" s="14" t="str">
        <f>INDEX(Кат!$H:$H,MATCH($A156,Кат!$A:$A,0))</f>
        <v>штат</v>
      </c>
    </row>
    <row r="157" spans="1:15" ht="45" x14ac:dyDescent="0.25">
      <c r="A157" s="147">
        <v>164005</v>
      </c>
      <c r="B157" s="147">
        <v>7205</v>
      </c>
      <c r="C157" s="148" t="s">
        <v>324</v>
      </c>
      <c r="D157" s="148" t="s">
        <v>678</v>
      </c>
      <c r="E157" s="148"/>
      <c r="F157" s="148"/>
      <c r="G157" s="148" t="s">
        <v>527</v>
      </c>
      <c r="H157" s="149">
        <v>640</v>
      </c>
      <c r="I157" s="149">
        <v>989</v>
      </c>
      <c r="J157" s="148" t="s">
        <v>1003</v>
      </c>
      <c r="K157" s="148" t="s">
        <v>226</v>
      </c>
      <c r="L157" s="148"/>
      <c r="M157" s="148"/>
      <c r="N157" s="14" t="str">
        <f t="shared" si="2"/>
        <v>1</v>
      </c>
      <c r="O157" s="14" t="str">
        <f>INDEX(Кат!$H:$H,MATCH($A157,Кат!$A:$A,0))</f>
        <v>штат</v>
      </c>
    </row>
    <row r="158" spans="1:15" ht="60" x14ac:dyDescent="0.25">
      <c r="A158" s="147">
        <v>258922</v>
      </c>
      <c r="B158" s="147">
        <v>208679</v>
      </c>
      <c r="C158" s="148" t="s">
        <v>702</v>
      </c>
      <c r="D158" s="148" t="s">
        <v>678</v>
      </c>
      <c r="E158" s="148"/>
      <c r="F158" s="148"/>
      <c r="G158" s="148" t="s">
        <v>527</v>
      </c>
      <c r="H158" s="149">
        <v>2050</v>
      </c>
      <c r="I158" s="149">
        <v>2890</v>
      </c>
      <c r="J158" s="148" t="s">
        <v>664</v>
      </c>
      <c r="K158" s="148" t="s">
        <v>226</v>
      </c>
      <c r="L158" s="148"/>
      <c r="M158" s="148"/>
      <c r="N158" s="14" t="str">
        <f t="shared" si="2"/>
        <v>1</v>
      </c>
      <c r="O158" s="14" t="str">
        <f>INDEX(Кат!$H:$H,MATCH($A158,Кат!$A:$A,0))</f>
        <v>штат</v>
      </c>
    </row>
    <row r="159" spans="1:15" ht="45" x14ac:dyDescent="0.25">
      <c r="A159" s="147">
        <v>258923</v>
      </c>
      <c r="B159" s="147">
        <v>208653</v>
      </c>
      <c r="C159" s="148" t="s">
        <v>703</v>
      </c>
      <c r="D159" s="148" t="s">
        <v>678</v>
      </c>
      <c r="E159" s="148"/>
      <c r="F159" s="148"/>
      <c r="G159" s="148" t="s">
        <v>527</v>
      </c>
      <c r="H159" s="149">
        <v>1850</v>
      </c>
      <c r="I159" s="149">
        <v>2690</v>
      </c>
      <c r="J159" s="148" t="s">
        <v>660</v>
      </c>
      <c r="K159" s="148" t="s">
        <v>226</v>
      </c>
      <c r="L159" s="148"/>
      <c r="M159" s="148"/>
      <c r="N159" s="14" t="str">
        <f t="shared" si="2"/>
        <v>1</v>
      </c>
      <c r="O159" s="14" t="str">
        <f>INDEX(Кат!$H:$H,MATCH($A159,Кат!$A:$A,0))</f>
        <v>штат</v>
      </c>
    </row>
    <row r="160" spans="1:15" ht="45" x14ac:dyDescent="0.25">
      <c r="A160" s="147">
        <v>164007</v>
      </c>
      <c r="B160" s="147">
        <v>24526</v>
      </c>
      <c r="C160" s="148" t="s">
        <v>428</v>
      </c>
      <c r="D160" s="148" t="s">
        <v>678</v>
      </c>
      <c r="E160" s="148"/>
      <c r="F160" s="148"/>
      <c r="G160" s="148" t="s">
        <v>527</v>
      </c>
      <c r="H160" s="149">
        <v>1650</v>
      </c>
      <c r="I160" s="149">
        <v>2490</v>
      </c>
      <c r="J160" s="148" t="s">
        <v>950</v>
      </c>
      <c r="K160" s="148" t="s">
        <v>226</v>
      </c>
      <c r="L160" s="148"/>
      <c r="M160" s="148"/>
      <c r="N160" s="14" t="str">
        <f t="shared" si="2"/>
        <v>1</v>
      </c>
      <c r="O160" s="14" t="str">
        <f>INDEX(Кат!$H:$H,MATCH($A160,Кат!$A:$A,0))</f>
        <v>штат</v>
      </c>
    </row>
    <row r="161" spans="1:15" ht="45" x14ac:dyDescent="0.25">
      <c r="A161" s="147">
        <v>164008</v>
      </c>
      <c r="B161" s="147">
        <v>20283</v>
      </c>
      <c r="C161" s="148" t="s">
        <v>278</v>
      </c>
      <c r="D161" s="148" t="s">
        <v>678</v>
      </c>
      <c r="E161" s="148"/>
      <c r="F161" s="148"/>
      <c r="G161" s="148" t="s">
        <v>527</v>
      </c>
      <c r="H161" s="149">
        <v>2500</v>
      </c>
      <c r="I161" s="149">
        <v>3590</v>
      </c>
      <c r="J161" s="148" t="s">
        <v>847</v>
      </c>
      <c r="K161" s="148" t="s">
        <v>226</v>
      </c>
      <c r="L161" s="148"/>
      <c r="M161" s="148"/>
      <c r="N161" s="14" t="str">
        <f t="shared" si="2"/>
        <v>1</v>
      </c>
      <c r="O161" s="14" t="str">
        <f>INDEX(Кат!$H:$H,MATCH($A161,Кат!$A:$A,0))</f>
        <v>штат</v>
      </c>
    </row>
    <row r="162" spans="1:15" ht="30" x14ac:dyDescent="0.25">
      <c r="A162" s="147">
        <v>164009</v>
      </c>
      <c r="B162" s="147">
        <v>7220</v>
      </c>
      <c r="C162" s="148" t="s">
        <v>307</v>
      </c>
      <c r="D162" s="148" t="s">
        <v>678</v>
      </c>
      <c r="E162" s="148"/>
      <c r="F162" s="148"/>
      <c r="G162" s="148" t="s">
        <v>527</v>
      </c>
      <c r="H162" s="149">
        <v>1350</v>
      </c>
      <c r="I162" s="149">
        <v>1890</v>
      </c>
      <c r="J162" s="148"/>
      <c r="K162" s="148" t="s">
        <v>226</v>
      </c>
      <c r="L162" s="148"/>
      <c r="M162" s="148"/>
      <c r="N162" s="14" t="str">
        <f t="shared" si="2"/>
        <v>1</v>
      </c>
      <c r="O162" s="14" t="str">
        <f>INDEX(Кат!$H:$H,MATCH($A162,Кат!$A:$A,0))</f>
        <v>штат</v>
      </c>
    </row>
    <row r="163" spans="1:15" ht="45" x14ac:dyDescent="0.25">
      <c r="A163" s="147">
        <v>164010</v>
      </c>
      <c r="B163" s="147">
        <v>12747</v>
      </c>
      <c r="C163" s="148" t="s">
        <v>206</v>
      </c>
      <c r="D163" s="148" t="s">
        <v>678</v>
      </c>
      <c r="E163" s="148"/>
      <c r="F163" s="148"/>
      <c r="G163" s="148" t="s">
        <v>527</v>
      </c>
      <c r="H163" s="149">
        <v>650</v>
      </c>
      <c r="I163" s="149">
        <v>989</v>
      </c>
      <c r="J163" s="148" t="s">
        <v>791</v>
      </c>
      <c r="K163" s="148" t="s">
        <v>226</v>
      </c>
      <c r="L163" s="148"/>
      <c r="M163" s="148"/>
      <c r="N163" s="14" t="str">
        <f t="shared" si="2"/>
        <v>1</v>
      </c>
      <c r="O163" s="14" t="str">
        <f>INDEX(Кат!$H:$H,MATCH($A163,Кат!$A:$A,0))</f>
        <v>штат</v>
      </c>
    </row>
    <row r="164" spans="1:15" ht="45" x14ac:dyDescent="0.25">
      <c r="A164" s="147">
        <v>164032</v>
      </c>
      <c r="B164" s="147">
        <v>7208</v>
      </c>
      <c r="C164" s="148" t="s">
        <v>221</v>
      </c>
      <c r="D164" s="148" t="s">
        <v>678</v>
      </c>
      <c r="E164" s="148"/>
      <c r="F164" s="148"/>
      <c r="G164" s="148" t="s">
        <v>527</v>
      </c>
      <c r="H164" s="149">
        <v>660</v>
      </c>
      <c r="I164" s="149">
        <v>989</v>
      </c>
      <c r="J164" s="148" t="s">
        <v>1005</v>
      </c>
      <c r="K164" s="148" t="s">
        <v>226</v>
      </c>
      <c r="L164" s="148"/>
      <c r="M164" s="148"/>
      <c r="N164" s="14" t="str">
        <f t="shared" si="2"/>
        <v>1</v>
      </c>
      <c r="O164" s="14" t="str">
        <f>INDEX(Кат!$H:$H,MATCH($A164,Кат!$A:$A,0))</f>
        <v>штат</v>
      </c>
    </row>
    <row r="165" spans="1:15" ht="45" x14ac:dyDescent="0.25">
      <c r="A165" s="147">
        <v>258924</v>
      </c>
      <c r="B165" s="147">
        <v>208668</v>
      </c>
      <c r="C165" s="148" t="s">
        <v>704</v>
      </c>
      <c r="D165" s="148" t="s">
        <v>678</v>
      </c>
      <c r="E165" s="148"/>
      <c r="F165" s="148"/>
      <c r="G165" s="148" t="s">
        <v>527</v>
      </c>
      <c r="H165" s="149">
        <v>0</v>
      </c>
      <c r="I165" s="149">
        <v>629</v>
      </c>
      <c r="J165" s="148" t="s">
        <v>930</v>
      </c>
      <c r="K165" s="148" t="s">
        <v>679</v>
      </c>
      <c r="L165" s="148"/>
      <c r="M165" s="148"/>
      <c r="N165" s="14" t="str">
        <f t="shared" si="2"/>
        <v>0</v>
      </c>
      <c r="O165" s="14" t="str">
        <f>INDEX(Кат!$H:$H,MATCH($A165,Кат!$A:$A,0))</f>
        <v>штат</v>
      </c>
    </row>
    <row r="166" spans="1:15" ht="30" x14ac:dyDescent="0.25">
      <c r="A166" s="147">
        <v>164035</v>
      </c>
      <c r="B166" s="147">
        <v>24545</v>
      </c>
      <c r="C166" s="148" t="s">
        <v>409</v>
      </c>
      <c r="D166" s="148" t="s">
        <v>678</v>
      </c>
      <c r="E166" s="148"/>
      <c r="F166" s="148"/>
      <c r="G166" s="148" t="s">
        <v>527</v>
      </c>
      <c r="H166" s="149">
        <v>580</v>
      </c>
      <c r="I166" s="149">
        <v>989</v>
      </c>
      <c r="J166" s="148" t="s">
        <v>1002</v>
      </c>
      <c r="K166" s="148" t="s">
        <v>226</v>
      </c>
      <c r="L166" s="148"/>
      <c r="M166" s="148"/>
      <c r="N166" s="14" t="str">
        <f t="shared" si="2"/>
        <v>1</v>
      </c>
      <c r="O166" s="14" t="str">
        <f>INDEX(Кат!$H:$H,MATCH($A166,Кат!$A:$A,0))</f>
        <v>штат</v>
      </c>
    </row>
    <row r="167" spans="1:15" ht="30" x14ac:dyDescent="0.25">
      <c r="A167" s="147">
        <v>164036</v>
      </c>
      <c r="B167" s="147">
        <v>24544</v>
      </c>
      <c r="C167" s="148" t="s">
        <v>410</v>
      </c>
      <c r="D167" s="148" t="s">
        <v>678</v>
      </c>
      <c r="E167" s="148"/>
      <c r="F167" s="148"/>
      <c r="G167" s="148" t="s">
        <v>527</v>
      </c>
      <c r="H167" s="149">
        <v>340</v>
      </c>
      <c r="I167" s="149">
        <v>629</v>
      </c>
      <c r="J167" s="148" t="s">
        <v>983</v>
      </c>
      <c r="K167" s="148" t="s">
        <v>226</v>
      </c>
      <c r="L167" s="148"/>
      <c r="M167" s="148"/>
      <c r="N167" s="14" t="str">
        <f t="shared" si="2"/>
        <v>1</v>
      </c>
      <c r="O167" s="14" t="str">
        <f>INDEX(Кат!$H:$H,MATCH($A167,Кат!$A:$A,0))</f>
        <v>штат</v>
      </c>
    </row>
    <row r="168" spans="1:15" ht="45" x14ac:dyDescent="0.25">
      <c r="A168" s="147">
        <v>164999</v>
      </c>
      <c r="B168" s="147">
        <v>24506</v>
      </c>
      <c r="C168" s="148" t="s">
        <v>423</v>
      </c>
      <c r="D168" s="148" t="s">
        <v>678</v>
      </c>
      <c r="E168" s="148"/>
      <c r="F168" s="148"/>
      <c r="G168" s="148" t="s">
        <v>527</v>
      </c>
      <c r="H168" s="149">
        <v>820</v>
      </c>
      <c r="I168" s="149">
        <v>1390</v>
      </c>
      <c r="J168" s="148"/>
      <c r="K168" s="148" t="s">
        <v>226</v>
      </c>
      <c r="L168" s="148"/>
      <c r="M168" s="148"/>
      <c r="N168" s="14" t="str">
        <f t="shared" si="2"/>
        <v>1</v>
      </c>
      <c r="O168" s="14" t="str">
        <f>INDEX(Кат!$H:$H,MATCH($A168,Кат!$A:$A,0))</f>
        <v>штат</v>
      </c>
    </row>
    <row r="169" spans="1:15" ht="45" x14ac:dyDescent="0.25">
      <c r="A169" s="147">
        <v>165000</v>
      </c>
      <c r="B169" s="147">
        <v>24507</v>
      </c>
      <c r="C169" s="148" t="s">
        <v>218</v>
      </c>
      <c r="D169" s="148" t="s">
        <v>678</v>
      </c>
      <c r="E169" s="148"/>
      <c r="F169" s="148"/>
      <c r="G169" s="148" t="s">
        <v>527</v>
      </c>
      <c r="H169" s="149">
        <v>880</v>
      </c>
      <c r="I169" s="149">
        <v>1490</v>
      </c>
      <c r="J169" s="148"/>
      <c r="K169" s="148" t="s">
        <v>226</v>
      </c>
      <c r="L169" s="148"/>
      <c r="M169" s="148"/>
      <c r="N169" s="14" t="str">
        <f t="shared" si="2"/>
        <v>1</v>
      </c>
      <c r="O169" s="14" t="str">
        <f>INDEX(Кат!$H:$H,MATCH($A169,Кат!$A:$A,0))</f>
        <v>штат</v>
      </c>
    </row>
    <row r="170" spans="1:15" ht="30" x14ac:dyDescent="0.25">
      <c r="A170" s="147">
        <v>165355</v>
      </c>
      <c r="B170" s="147">
        <v>31511</v>
      </c>
      <c r="C170" s="148" t="s">
        <v>445</v>
      </c>
      <c r="D170" s="148" t="s">
        <v>678</v>
      </c>
      <c r="E170" s="148" t="s">
        <v>594</v>
      </c>
      <c r="F170" s="148"/>
      <c r="G170" s="148" t="s">
        <v>527</v>
      </c>
      <c r="H170" s="149">
        <v>870</v>
      </c>
      <c r="I170" s="149">
        <v>1290</v>
      </c>
      <c r="J170" s="148" t="s">
        <v>1008</v>
      </c>
      <c r="K170" s="148" t="s">
        <v>226</v>
      </c>
      <c r="L170" s="148"/>
      <c r="M170" s="148"/>
      <c r="N170" s="14" t="str">
        <f t="shared" si="2"/>
        <v>1</v>
      </c>
      <c r="O170" s="14" t="str">
        <f>INDEX(Кат!$H:$H,MATCH($A170,Кат!$A:$A,0))</f>
        <v>штат</v>
      </c>
    </row>
    <row r="171" spans="1:15" ht="45" x14ac:dyDescent="0.25">
      <c r="A171" s="147">
        <v>171719</v>
      </c>
      <c r="B171" s="147">
        <v>24534</v>
      </c>
      <c r="C171" s="148" t="s">
        <v>315</v>
      </c>
      <c r="D171" s="148" t="s">
        <v>678</v>
      </c>
      <c r="E171" s="148"/>
      <c r="F171" s="148"/>
      <c r="G171" s="148" t="s">
        <v>527</v>
      </c>
      <c r="H171" s="149">
        <v>1200</v>
      </c>
      <c r="I171" s="149">
        <v>1890</v>
      </c>
      <c r="J171" s="148" t="s">
        <v>961</v>
      </c>
      <c r="K171" s="148" t="s">
        <v>226</v>
      </c>
      <c r="L171" s="148"/>
      <c r="M171" s="148"/>
      <c r="N171" s="14" t="str">
        <f t="shared" si="2"/>
        <v>1</v>
      </c>
      <c r="O171" s="14" t="str">
        <f>INDEX(Кат!$H:$H,MATCH($A171,Кат!$A:$A,0))</f>
        <v>штат</v>
      </c>
    </row>
    <row r="172" spans="1:15" ht="45" x14ac:dyDescent="0.25">
      <c r="A172" s="147">
        <v>171720</v>
      </c>
      <c r="B172" s="147">
        <v>24535</v>
      </c>
      <c r="C172" s="148" t="s">
        <v>411</v>
      </c>
      <c r="D172" s="148" t="s">
        <v>678</v>
      </c>
      <c r="E172" s="148"/>
      <c r="F172" s="148"/>
      <c r="G172" s="148" t="s">
        <v>527</v>
      </c>
      <c r="H172" s="149">
        <v>1300</v>
      </c>
      <c r="I172" s="149">
        <v>1890</v>
      </c>
      <c r="J172" s="148" t="s">
        <v>961</v>
      </c>
      <c r="K172" s="148" t="s">
        <v>226</v>
      </c>
      <c r="L172" s="148"/>
      <c r="M172" s="148"/>
      <c r="N172" s="14" t="str">
        <f t="shared" si="2"/>
        <v>1</v>
      </c>
      <c r="O172" s="14" t="str">
        <f>INDEX(Кат!$H:$H,MATCH($A172,Кат!$A:$A,0))</f>
        <v>штат</v>
      </c>
    </row>
    <row r="173" spans="1:15" ht="30" x14ac:dyDescent="0.25">
      <c r="A173" s="147">
        <v>181334</v>
      </c>
      <c r="B173" s="147">
        <v>24539</v>
      </c>
      <c r="C173" s="148" t="s">
        <v>320</v>
      </c>
      <c r="D173" s="148" t="s">
        <v>678</v>
      </c>
      <c r="E173" s="148"/>
      <c r="F173" s="148"/>
      <c r="G173" s="148" t="s">
        <v>527</v>
      </c>
      <c r="H173" s="149">
        <v>650</v>
      </c>
      <c r="I173" s="149">
        <v>1090</v>
      </c>
      <c r="J173" s="148"/>
      <c r="K173" s="148" t="s">
        <v>679</v>
      </c>
      <c r="L173" s="148"/>
      <c r="M173" s="148"/>
      <c r="N173" s="14" t="str">
        <f t="shared" si="2"/>
        <v>0</v>
      </c>
      <c r="O173" s="14" t="str">
        <f>INDEX(Кат!$H:$H,MATCH($A173,Кат!$A:$A,0))</f>
        <v>штат</v>
      </c>
    </row>
    <row r="174" spans="1:15" x14ac:dyDescent="0.25">
      <c r="A174" s="147">
        <v>181914</v>
      </c>
      <c r="B174" s="147">
        <v>7095</v>
      </c>
      <c r="C174" s="148" t="s">
        <v>367</v>
      </c>
      <c r="D174" s="148" t="s">
        <v>678</v>
      </c>
      <c r="E174" s="148"/>
      <c r="F174" s="148"/>
      <c r="G174" s="148" t="s">
        <v>527</v>
      </c>
      <c r="H174" s="149">
        <v>0</v>
      </c>
      <c r="I174" s="149">
        <v>0</v>
      </c>
      <c r="J174" s="148"/>
      <c r="K174" s="148" t="s">
        <v>679</v>
      </c>
      <c r="L174" s="148"/>
      <c r="M174" s="148"/>
      <c r="N174" s="14" t="str">
        <f t="shared" si="2"/>
        <v>0</v>
      </c>
      <c r="O174" s="14" t="str">
        <f>INDEX(Кат!$H:$H,MATCH($A174,Кат!$A:$A,0))</f>
        <v>штат</v>
      </c>
    </row>
    <row r="175" spans="1:15" x14ac:dyDescent="0.25">
      <c r="A175" s="147">
        <v>181915</v>
      </c>
      <c r="B175" s="147">
        <v>7096</v>
      </c>
      <c r="C175" s="148" t="s">
        <v>368</v>
      </c>
      <c r="D175" s="148" t="s">
        <v>678</v>
      </c>
      <c r="E175" s="148"/>
      <c r="F175" s="148"/>
      <c r="G175" s="148" t="s">
        <v>527</v>
      </c>
      <c r="H175" s="149">
        <v>0</v>
      </c>
      <c r="I175" s="149">
        <v>0</v>
      </c>
      <c r="J175" s="148"/>
      <c r="K175" s="148" t="s">
        <v>679</v>
      </c>
      <c r="L175" s="148"/>
      <c r="M175" s="148"/>
      <c r="N175" s="14" t="str">
        <f t="shared" si="2"/>
        <v>0</v>
      </c>
      <c r="O175" s="14" t="str">
        <f>INDEX(Кат!$H:$H,MATCH($A175,Кат!$A:$A,0))</f>
        <v>штат</v>
      </c>
    </row>
    <row r="176" spans="1:15" x14ac:dyDescent="0.25">
      <c r="A176" s="147">
        <v>181916</v>
      </c>
      <c r="B176" s="147">
        <v>7097</v>
      </c>
      <c r="C176" s="148" t="s">
        <v>369</v>
      </c>
      <c r="D176" s="148" t="s">
        <v>678</v>
      </c>
      <c r="E176" s="148"/>
      <c r="F176" s="148"/>
      <c r="G176" s="148" t="s">
        <v>527</v>
      </c>
      <c r="H176" s="149">
        <v>0</v>
      </c>
      <c r="I176" s="149">
        <v>0</v>
      </c>
      <c r="J176" s="148"/>
      <c r="K176" s="148" t="s">
        <v>679</v>
      </c>
      <c r="L176" s="148"/>
      <c r="M176" s="148"/>
      <c r="N176" s="14" t="str">
        <f t="shared" si="2"/>
        <v>0</v>
      </c>
      <c r="O176" s="14" t="str">
        <f>INDEX(Кат!$H:$H,MATCH($A176,Кат!$A:$A,0))</f>
        <v>штат</v>
      </c>
    </row>
    <row r="177" spans="1:15" x14ac:dyDescent="0.25">
      <c r="A177" s="147">
        <v>181917</v>
      </c>
      <c r="B177" s="147">
        <v>7098</v>
      </c>
      <c r="C177" s="148" t="s">
        <v>370</v>
      </c>
      <c r="D177" s="148" t="s">
        <v>678</v>
      </c>
      <c r="E177" s="148"/>
      <c r="F177" s="148"/>
      <c r="G177" s="148" t="s">
        <v>527</v>
      </c>
      <c r="H177" s="149">
        <v>0</v>
      </c>
      <c r="I177" s="149">
        <v>0</v>
      </c>
      <c r="J177" s="148"/>
      <c r="K177" s="148" t="s">
        <v>679</v>
      </c>
      <c r="L177" s="148"/>
      <c r="M177" s="148"/>
      <c r="N177" s="14" t="str">
        <f t="shared" si="2"/>
        <v>0</v>
      </c>
      <c r="O177" s="14" t="str">
        <f>INDEX(Кат!$H:$H,MATCH($A177,Кат!$A:$A,0))</f>
        <v>штат</v>
      </c>
    </row>
    <row r="178" spans="1:15" ht="30" x14ac:dyDescent="0.25">
      <c r="A178" s="147">
        <v>186317</v>
      </c>
      <c r="B178" s="147">
        <v>7164</v>
      </c>
      <c r="C178" s="148" t="s">
        <v>250</v>
      </c>
      <c r="D178" s="148" t="s">
        <v>678</v>
      </c>
      <c r="E178" s="148"/>
      <c r="F178" s="148"/>
      <c r="G178" s="148" t="s">
        <v>527</v>
      </c>
      <c r="H178" s="149">
        <v>3450</v>
      </c>
      <c r="I178" s="149">
        <v>5490</v>
      </c>
      <c r="J178" s="148" t="s">
        <v>772</v>
      </c>
      <c r="K178" s="148" t="s">
        <v>679</v>
      </c>
      <c r="L178" s="148"/>
      <c r="M178" s="148"/>
      <c r="N178" s="14" t="str">
        <f t="shared" si="2"/>
        <v>0</v>
      </c>
      <c r="O178" s="14" t="str">
        <f>INDEX(Кат!$H:$H,MATCH($A178,Кат!$A:$A,0))</f>
        <v>штат</v>
      </c>
    </row>
    <row r="179" spans="1:15" x14ac:dyDescent="0.25">
      <c r="A179" s="147">
        <v>186318</v>
      </c>
      <c r="B179" s="147">
        <v>7167</v>
      </c>
      <c r="C179" s="148" t="s">
        <v>372</v>
      </c>
      <c r="D179" s="148" t="s">
        <v>678</v>
      </c>
      <c r="E179" s="148"/>
      <c r="F179" s="148"/>
      <c r="G179" s="148" t="s">
        <v>527</v>
      </c>
      <c r="H179" s="149">
        <v>0</v>
      </c>
      <c r="I179" s="149">
        <v>0</v>
      </c>
      <c r="J179" s="148"/>
      <c r="K179" s="148" t="s">
        <v>679</v>
      </c>
      <c r="L179" s="148"/>
      <c r="M179" s="148"/>
      <c r="N179" s="14" t="str">
        <f t="shared" si="2"/>
        <v>0</v>
      </c>
      <c r="O179" s="14" t="str">
        <f>INDEX(Кат!$H:$H,MATCH($A179,Кат!$A:$A,0))</f>
        <v>штат</v>
      </c>
    </row>
    <row r="180" spans="1:15" x14ac:dyDescent="0.25">
      <c r="A180" s="147">
        <v>186319</v>
      </c>
      <c r="B180" s="147">
        <v>7166</v>
      </c>
      <c r="C180" s="148" t="s">
        <v>371</v>
      </c>
      <c r="D180" s="148" t="s">
        <v>678</v>
      </c>
      <c r="E180" s="148"/>
      <c r="F180" s="148"/>
      <c r="G180" s="148" t="s">
        <v>527</v>
      </c>
      <c r="H180" s="149">
        <v>0</v>
      </c>
      <c r="I180" s="149">
        <v>0</v>
      </c>
      <c r="J180" s="148"/>
      <c r="K180" s="148" t="s">
        <v>679</v>
      </c>
      <c r="L180" s="148"/>
      <c r="M180" s="148"/>
      <c r="N180" s="14" t="str">
        <f t="shared" si="2"/>
        <v>0</v>
      </c>
      <c r="O180" s="14" t="str">
        <f>INDEX(Кат!$H:$H,MATCH($A180,Кат!$A:$A,0))</f>
        <v>штат</v>
      </c>
    </row>
    <row r="181" spans="1:15" x14ac:dyDescent="0.25">
      <c r="A181" s="147">
        <v>186320</v>
      </c>
      <c r="B181" s="147">
        <v>7165</v>
      </c>
      <c r="C181" s="148" t="s">
        <v>264</v>
      </c>
      <c r="D181" s="148" t="s">
        <v>678</v>
      </c>
      <c r="E181" s="148"/>
      <c r="F181" s="148"/>
      <c r="G181" s="148" t="s">
        <v>527</v>
      </c>
      <c r="H181" s="149">
        <v>3450</v>
      </c>
      <c r="I181" s="149">
        <v>4790</v>
      </c>
      <c r="J181" s="148" t="s">
        <v>778</v>
      </c>
      <c r="K181" s="148" t="s">
        <v>226</v>
      </c>
      <c r="L181" s="148"/>
      <c r="M181" s="148"/>
      <c r="N181" s="14" t="str">
        <f t="shared" si="2"/>
        <v>1</v>
      </c>
      <c r="O181" s="14" t="str">
        <f>INDEX(Кат!$H:$H,MATCH($A181,Кат!$A:$A,0))</f>
        <v>штат</v>
      </c>
    </row>
    <row r="182" spans="1:15" ht="30" x14ac:dyDescent="0.25">
      <c r="A182" s="147">
        <v>186321</v>
      </c>
      <c r="B182" s="147">
        <v>7163</v>
      </c>
      <c r="C182" s="148" t="s">
        <v>263</v>
      </c>
      <c r="D182" s="148" t="s">
        <v>678</v>
      </c>
      <c r="E182" s="148"/>
      <c r="F182" s="148"/>
      <c r="G182" s="148" t="s">
        <v>527</v>
      </c>
      <c r="H182" s="149">
        <v>3450</v>
      </c>
      <c r="I182" s="149">
        <v>4790</v>
      </c>
      <c r="J182" s="148" t="s">
        <v>943</v>
      </c>
      <c r="K182" s="148" t="s">
        <v>226</v>
      </c>
      <c r="L182" s="148"/>
      <c r="M182" s="148"/>
      <c r="N182" s="14" t="str">
        <f t="shared" si="2"/>
        <v>1</v>
      </c>
      <c r="O182" s="14" t="str">
        <f>INDEX(Кат!$H:$H,MATCH($A182,Кат!$A:$A,0))</f>
        <v>штат</v>
      </c>
    </row>
    <row r="183" spans="1:15" x14ac:dyDescent="0.25">
      <c r="A183" s="147">
        <v>186322</v>
      </c>
      <c r="B183" s="147">
        <v>7169</v>
      </c>
      <c r="C183" s="148" t="s">
        <v>373</v>
      </c>
      <c r="D183" s="148" t="s">
        <v>678</v>
      </c>
      <c r="E183" s="148"/>
      <c r="F183" s="148"/>
      <c r="G183" s="148" t="s">
        <v>527</v>
      </c>
      <c r="H183" s="149">
        <v>0</v>
      </c>
      <c r="I183" s="149">
        <v>0</v>
      </c>
      <c r="J183" s="148"/>
      <c r="K183" s="148" t="s">
        <v>679</v>
      </c>
      <c r="L183" s="148"/>
      <c r="M183" s="148"/>
      <c r="N183" s="14" t="str">
        <f t="shared" si="2"/>
        <v>0</v>
      </c>
      <c r="O183" s="14" t="str">
        <f>INDEX(Кат!$H:$H,MATCH($A183,Кат!$A:$A,0))</f>
        <v>штат</v>
      </c>
    </row>
    <row r="184" spans="1:15" ht="45" x14ac:dyDescent="0.25">
      <c r="A184" s="147">
        <v>193599</v>
      </c>
      <c r="B184" s="147">
        <v>16827</v>
      </c>
      <c r="C184" s="148" t="s">
        <v>381</v>
      </c>
      <c r="D184" s="148" t="s">
        <v>678</v>
      </c>
      <c r="E184" s="148"/>
      <c r="F184" s="148"/>
      <c r="G184" s="148" t="s">
        <v>527</v>
      </c>
      <c r="H184" s="149">
        <v>0</v>
      </c>
      <c r="I184" s="149">
        <v>939</v>
      </c>
      <c r="J184" s="148"/>
      <c r="K184" s="148" t="s">
        <v>679</v>
      </c>
      <c r="L184" s="148"/>
      <c r="M184" s="148" t="s">
        <v>678</v>
      </c>
      <c r="N184" s="14" t="str">
        <f t="shared" si="2"/>
        <v>0</v>
      </c>
      <c r="O184" s="14" t="str">
        <f>INDEX(Кат!$H:$H,MATCH($A184,Кат!$A:$A,0))</f>
        <v>штат</v>
      </c>
    </row>
    <row r="185" spans="1:15" ht="30" x14ac:dyDescent="0.25">
      <c r="A185" s="147">
        <v>193601</v>
      </c>
      <c r="B185" s="147">
        <v>7061</v>
      </c>
      <c r="C185" s="148" t="s">
        <v>350</v>
      </c>
      <c r="D185" s="148" t="s">
        <v>678</v>
      </c>
      <c r="E185" s="148"/>
      <c r="F185" s="148"/>
      <c r="G185" s="148" t="s">
        <v>527</v>
      </c>
      <c r="H185" s="149">
        <v>30</v>
      </c>
      <c r="I185" s="149">
        <v>59</v>
      </c>
      <c r="J185" s="148"/>
      <c r="K185" s="148" t="s">
        <v>679</v>
      </c>
      <c r="L185" s="148"/>
      <c r="M185" s="148"/>
      <c r="N185" s="14" t="str">
        <f t="shared" si="2"/>
        <v>0</v>
      </c>
      <c r="O185" s="14" t="str">
        <f>INDEX(Кат!$H:$H,MATCH($A185,Кат!$A:$A,0))</f>
        <v>штат</v>
      </c>
    </row>
    <row r="186" spans="1:15" ht="45" x14ac:dyDescent="0.25">
      <c r="A186" s="147">
        <v>194466</v>
      </c>
      <c r="B186" s="147">
        <v>10936</v>
      </c>
      <c r="C186" s="148" t="s">
        <v>303</v>
      </c>
      <c r="D186" s="148" t="s">
        <v>678</v>
      </c>
      <c r="E186" s="148"/>
      <c r="F186" s="148" t="s">
        <v>705</v>
      </c>
      <c r="G186" s="148" t="s">
        <v>527</v>
      </c>
      <c r="H186" s="149">
        <v>1860</v>
      </c>
      <c r="I186" s="149">
        <v>2690</v>
      </c>
      <c r="J186" s="148" t="s">
        <v>706</v>
      </c>
      <c r="K186" s="148" t="s">
        <v>226</v>
      </c>
      <c r="L186" s="148"/>
      <c r="M186" s="148"/>
      <c r="N186" s="14" t="str">
        <f t="shared" si="2"/>
        <v>1</v>
      </c>
      <c r="O186" s="14" t="str">
        <f>INDEX(Кат!$H:$H,MATCH($A186,Кат!$A:$A,0))</f>
        <v>штат</v>
      </c>
    </row>
    <row r="187" spans="1:15" ht="45" x14ac:dyDescent="0.25">
      <c r="A187" s="147">
        <v>194468</v>
      </c>
      <c r="B187" s="147">
        <v>10934</v>
      </c>
      <c r="C187" s="148" t="s">
        <v>1015</v>
      </c>
      <c r="D187" s="148" t="s">
        <v>678</v>
      </c>
      <c r="E187" s="148"/>
      <c r="F187" s="148" t="s">
        <v>707</v>
      </c>
      <c r="G187" s="148" t="s">
        <v>527</v>
      </c>
      <c r="H187" s="149">
        <v>1750</v>
      </c>
      <c r="I187" s="149">
        <v>2490</v>
      </c>
      <c r="J187" s="148" t="s">
        <v>708</v>
      </c>
      <c r="K187" s="148" t="s">
        <v>226</v>
      </c>
      <c r="L187" s="148"/>
      <c r="M187" s="148"/>
      <c r="N187" s="14" t="str">
        <f t="shared" si="2"/>
        <v>1</v>
      </c>
      <c r="O187" s="14" t="str">
        <f>INDEX(Кат!$H:$H,MATCH($A187,Кат!$A:$A,0))</f>
        <v>штат</v>
      </c>
    </row>
    <row r="188" spans="1:15" ht="30" x14ac:dyDescent="0.25">
      <c r="A188" s="147">
        <v>268740</v>
      </c>
      <c r="B188" s="147">
        <v>216302</v>
      </c>
      <c r="C188" s="148" t="s">
        <v>709</v>
      </c>
      <c r="D188" s="148" t="s">
        <v>678</v>
      </c>
      <c r="E188" s="148"/>
      <c r="F188" s="148" t="s">
        <v>710</v>
      </c>
      <c r="G188" s="148" t="s">
        <v>527</v>
      </c>
      <c r="H188" s="149">
        <v>1350</v>
      </c>
      <c r="I188" s="149">
        <v>1890</v>
      </c>
      <c r="J188" s="148"/>
      <c r="K188" s="148" t="s">
        <v>226</v>
      </c>
      <c r="L188" s="148"/>
      <c r="M188" s="148"/>
      <c r="N188" s="14" t="str">
        <f t="shared" si="2"/>
        <v>1</v>
      </c>
      <c r="O188" s="14" t="str">
        <f>INDEX(Кат!$H:$H,MATCH($A188,Кат!$A:$A,0))</f>
        <v>штат</v>
      </c>
    </row>
    <row r="189" spans="1:15" ht="45" x14ac:dyDescent="0.25">
      <c r="A189" s="147">
        <v>268741</v>
      </c>
      <c r="B189" s="147">
        <v>216301</v>
      </c>
      <c r="C189" s="148" t="s">
        <v>711</v>
      </c>
      <c r="D189" s="148" t="s">
        <v>678</v>
      </c>
      <c r="E189" s="148"/>
      <c r="F189" s="148" t="s">
        <v>712</v>
      </c>
      <c r="G189" s="148" t="s">
        <v>527</v>
      </c>
      <c r="H189" s="149">
        <v>1650</v>
      </c>
      <c r="I189" s="149">
        <v>2390</v>
      </c>
      <c r="J189" s="148"/>
      <c r="K189" s="148" t="s">
        <v>226</v>
      </c>
      <c r="L189" s="148"/>
      <c r="M189" s="148"/>
      <c r="N189" s="14" t="str">
        <f t="shared" si="2"/>
        <v>1</v>
      </c>
      <c r="O189" s="14" t="str">
        <f>INDEX(Кат!$H:$H,MATCH($A189,Кат!$A:$A,0))</f>
        <v>штат</v>
      </c>
    </row>
    <row r="190" spans="1:15" ht="30" x14ac:dyDescent="0.25">
      <c r="A190" s="147">
        <v>201027</v>
      </c>
      <c r="B190" s="147">
        <v>7201</v>
      </c>
      <c r="C190" s="148" t="s">
        <v>258</v>
      </c>
      <c r="D190" s="148" t="s">
        <v>678</v>
      </c>
      <c r="E190" s="148"/>
      <c r="F190" s="148"/>
      <c r="G190" s="148" t="s">
        <v>527</v>
      </c>
      <c r="H190" s="149">
        <v>4700</v>
      </c>
      <c r="I190" s="149">
        <v>6090</v>
      </c>
      <c r="J190" s="148" t="s">
        <v>849</v>
      </c>
      <c r="K190" s="148" t="s">
        <v>226</v>
      </c>
      <c r="L190" s="148"/>
      <c r="M190" s="148"/>
      <c r="N190" s="14" t="str">
        <f t="shared" si="2"/>
        <v>1</v>
      </c>
      <c r="O190" s="14" t="str">
        <f>INDEX(Кат!$H:$H,MATCH($A190,Кат!$A:$A,0))</f>
        <v>штат</v>
      </c>
    </row>
    <row r="191" spans="1:15" ht="30" x14ac:dyDescent="0.25">
      <c r="A191" s="147">
        <v>201028</v>
      </c>
      <c r="B191" s="147">
        <v>7222</v>
      </c>
      <c r="C191" s="148" t="s">
        <v>249</v>
      </c>
      <c r="D191" s="148" t="s">
        <v>678</v>
      </c>
      <c r="E191" s="148"/>
      <c r="F191" s="148"/>
      <c r="G191" s="148" t="s">
        <v>527</v>
      </c>
      <c r="H191" s="149">
        <v>6150</v>
      </c>
      <c r="I191" s="149">
        <v>8190</v>
      </c>
      <c r="J191" s="148"/>
      <c r="K191" s="148" t="s">
        <v>226</v>
      </c>
      <c r="L191" s="148"/>
      <c r="M191" s="148"/>
      <c r="N191" s="14" t="str">
        <f t="shared" si="2"/>
        <v>1</v>
      </c>
      <c r="O191" s="14" t="str">
        <f>INDEX(Кат!$H:$H,MATCH($A191,Кат!$A:$A,0))</f>
        <v>штат</v>
      </c>
    </row>
    <row r="192" spans="1:15" ht="45" x14ac:dyDescent="0.25">
      <c r="A192" s="147">
        <v>201029</v>
      </c>
      <c r="B192" s="147">
        <v>7223</v>
      </c>
      <c r="C192" s="148" t="s">
        <v>235</v>
      </c>
      <c r="D192" s="148" t="s">
        <v>678</v>
      </c>
      <c r="E192" s="148"/>
      <c r="F192" s="148"/>
      <c r="G192" s="148" t="s">
        <v>527</v>
      </c>
      <c r="H192" s="149">
        <v>8550</v>
      </c>
      <c r="I192" s="149">
        <v>11290</v>
      </c>
      <c r="J192" s="148"/>
      <c r="K192" s="148" t="s">
        <v>226</v>
      </c>
      <c r="L192" s="148"/>
      <c r="M192" s="148"/>
      <c r="N192" s="14" t="str">
        <f t="shared" si="2"/>
        <v>1</v>
      </c>
      <c r="O192" s="14" t="str">
        <f>INDEX(Кат!$H:$H,MATCH($A192,Кат!$A:$A,0))</f>
        <v>штат</v>
      </c>
    </row>
    <row r="193" spans="1:15" ht="45" x14ac:dyDescent="0.25">
      <c r="A193" s="147">
        <v>201030</v>
      </c>
      <c r="B193" s="147">
        <v>7224</v>
      </c>
      <c r="C193" s="148" t="s">
        <v>298</v>
      </c>
      <c r="D193" s="148" t="s">
        <v>678</v>
      </c>
      <c r="E193" s="148"/>
      <c r="F193" s="148"/>
      <c r="G193" s="148" t="s">
        <v>527</v>
      </c>
      <c r="H193" s="149">
        <v>1500</v>
      </c>
      <c r="I193" s="149">
        <v>2390</v>
      </c>
      <c r="J193" s="148" t="s">
        <v>949</v>
      </c>
      <c r="K193" s="148" t="s">
        <v>226</v>
      </c>
      <c r="L193" s="148"/>
      <c r="M193" s="148"/>
      <c r="N193" s="14" t="str">
        <f t="shared" si="2"/>
        <v>1</v>
      </c>
      <c r="O193" s="14" t="str">
        <f>INDEX(Кат!$H:$H,MATCH($A193,Кат!$A:$A,0))</f>
        <v>штат</v>
      </c>
    </row>
    <row r="194" spans="1:15" ht="45" x14ac:dyDescent="0.25">
      <c r="A194" s="147">
        <v>201031</v>
      </c>
      <c r="B194" s="147">
        <v>7225</v>
      </c>
      <c r="C194" s="148" t="s">
        <v>290</v>
      </c>
      <c r="D194" s="148" t="s">
        <v>678</v>
      </c>
      <c r="E194" s="148"/>
      <c r="F194" s="148"/>
      <c r="G194" s="148" t="s">
        <v>527</v>
      </c>
      <c r="H194" s="149">
        <v>1700</v>
      </c>
      <c r="I194" s="149">
        <v>2390</v>
      </c>
      <c r="J194" s="148" t="s">
        <v>949</v>
      </c>
      <c r="K194" s="148" t="s">
        <v>226</v>
      </c>
      <c r="L194" s="148"/>
      <c r="M194" s="148"/>
      <c r="N194" s="14" t="str">
        <f t="shared" si="2"/>
        <v>1</v>
      </c>
      <c r="O194" s="14" t="str">
        <f>INDEX(Кат!$H:$H,MATCH($A194,Кат!$A:$A,0))</f>
        <v>штат</v>
      </c>
    </row>
    <row r="195" spans="1:15" ht="30" x14ac:dyDescent="0.25">
      <c r="A195" s="147">
        <v>201032</v>
      </c>
      <c r="B195" s="147">
        <v>7226</v>
      </c>
      <c r="C195" s="148" t="s">
        <v>285</v>
      </c>
      <c r="D195" s="148" t="s">
        <v>678</v>
      </c>
      <c r="E195" s="148"/>
      <c r="F195" s="148"/>
      <c r="G195" s="148" t="s">
        <v>527</v>
      </c>
      <c r="H195" s="149">
        <v>2850</v>
      </c>
      <c r="I195" s="149">
        <v>3890</v>
      </c>
      <c r="J195" s="148" t="s">
        <v>776</v>
      </c>
      <c r="K195" s="148" t="s">
        <v>226</v>
      </c>
      <c r="L195" s="148"/>
      <c r="M195" s="148"/>
      <c r="N195" s="14" t="str">
        <f t="shared" ref="N195:N258" si="3">_xlfn.CONCAT(K195,IF(L195&lt;&gt;"",_xlfn.CONCAT("ск",L195),""))</f>
        <v>1</v>
      </c>
      <c r="O195" s="14" t="str">
        <f>INDEX(Кат!$H:$H,MATCH($A195,Кат!$A:$A,0))</f>
        <v>штат</v>
      </c>
    </row>
    <row r="196" spans="1:15" ht="30" x14ac:dyDescent="0.25">
      <c r="A196" s="147">
        <v>201038</v>
      </c>
      <c r="B196" s="147">
        <v>7264</v>
      </c>
      <c r="C196" s="148" t="s">
        <v>244</v>
      </c>
      <c r="D196" s="148" t="s">
        <v>678</v>
      </c>
      <c r="E196" s="148"/>
      <c r="F196" s="148"/>
      <c r="G196" s="148" t="s">
        <v>527</v>
      </c>
      <c r="H196" s="149">
        <v>5950</v>
      </c>
      <c r="I196" s="149">
        <v>7690</v>
      </c>
      <c r="J196" s="148" t="s">
        <v>780</v>
      </c>
      <c r="K196" s="148" t="s">
        <v>226</v>
      </c>
      <c r="L196" s="148"/>
      <c r="M196" s="148"/>
      <c r="N196" s="14" t="str">
        <f t="shared" si="3"/>
        <v>1</v>
      </c>
      <c r="O196" s="14" t="str">
        <f>INDEX(Кат!$H:$H,MATCH($A196,Кат!$A:$A,0))</f>
        <v>штат</v>
      </c>
    </row>
    <row r="197" spans="1:15" ht="45" x14ac:dyDescent="0.25">
      <c r="A197" s="147">
        <v>201287</v>
      </c>
      <c r="B197" s="147">
        <v>12131</v>
      </c>
      <c r="C197" s="148" t="s">
        <v>567</v>
      </c>
      <c r="D197" s="148" t="s">
        <v>678</v>
      </c>
      <c r="E197" s="148"/>
      <c r="F197" s="148"/>
      <c r="G197" s="148" t="s">
        <v>527</v>
      </c>
      <c r="H197" s="149">
        <v>500</v>
      </c>
      <c r="I197" s="149">
        <v>819</v>
      </c>
      <c r="J197" s="148" t="s">
        <v>999</v>
      </c>
      <c r="K197" s="148" t="s">
        <v>226</v>
      </c>
      <c r="L197" s="148"/>
      <c r="M197" s="148"/>
      <c r="N197" s="14" t="str">
        <f t="shared" si="3"/>
        <v>1</v>
      </c>
      <c r="O197" s="14" t="str">
        <f>INDEX(Кат!$H:$H,MATCH($A197,Кат!$A:$A,0))</f>
        <v>штат</v>
      </c>
    </row>
    <row r="198" spans="1:15" ht="45" x14ac:dyDescent="0.25">
      <c r="A198" s="147">
        <v>201288</v>
      </c>
      <c r="B198" s="147">
        <v>4192</v>
      </c>
      <c r="C198" s="148" t="s">
        <v>565</v>
      </c>
      <c r="D198" s="148" t="s">
        <v>678</v>
      </c>
      <c r="E198" s="148"/>
      <c r="F198" s="148"/>
      <c r="G198" s="148" t="s">
        <v>527</v>
      </c>
      <c r="H198" s="149">
        <v>500</v>
      </c>
      <c r="I198" s="149">
        <v>839</v>
      </c>
      <c r="J198" s="148" t="s">
        <v>998</v>
      </c>
      <c r="K198" s="148" t="s">
        <v>226</v>
      </c>
      <c r="L198" s="148" t="s">
        <v>579</v>
      </c>
      <c r="M198" s="148"/>
      <c r="N198" s="14" t="str">
        <f t="shared" si="3"/>
        <v>1ск6</v>
      </c>
      <c r="O198" s="14" t="str">
        <f>INDEX(Кат!$H:$H,MATCH($A198,Кат!$A:$A,0))</f>
        <v>штат</v>
      </c>
    </row>
    <row r="199" spans="1:15" ht="45" x14ac:dyDescent="0.25">
      <c r="A199" s="147">
        <v>201289</v>
      </c>
      <c r="B199" s="147">
        <v>4184</v>
      </c>
      <c r="C199" s="148" t="s">
        <v>550</v>
      </c>
      <c r="D199" s="148" t="s">
        <v>678</v>
      </c>
      <c r="E199" s="148"/>
      <c r="F199" s="148"/>
      <c r="G199" s="148" t="s">
        <v>527</v>
      </c>
      <c r="H199" s="149">
        <v>500</v>
      </c>
      <c r="I199" s="149">
        <v>839</v>
      </c>
      <c r="J199" s="148" t="s">
        <v>997</v>
      </c>
      <c r="K199" s="148" t="s">
        <v>226</v>
      </c>
      <c r="L199" s="148"/>
      <c r="M199" s="148"/>
      <c r="N199" s="14" t="str">
        <f t="shared" si="3"/>
        <v>1</v>
      </c>
      <c r="O199" s="14" t="str">
        <f>INDEX(Кат!$H:$H,MATCH($A199,Кат!$A:$A,0))</f>
        <v>штат</v>
      </c>
    </row>
    <row r="200" spans="1:15" ht="45" x14ac:dyDescent="0.25">
      <c r="A200" s="147">
        <v>201290</v>
      </c>
      <c r="B200" s="147">
        <v>4180</v>
      </c>
      <c r="C200" s="148" t="s">
        <v>548</v>
      </c>
      <c r="D200" s="148" t="s">
        <v>678</v>
      </c>
      <c r="E200" s="148"/>
      <c r="F200" s="148"/>
      <c r="G200" s="148" t="s">
        <v>527</v>
      </c>
      <c r="H200" s="149">
        <v>700</v>
      </c>
      <c r="I200" s="149">
        <v>949</v>
      </c>
      <c r="J200" s="148" t="s">
        <v>798</v>
      </c>
      <c r="K200" s="148" t="s">
        <v>226</v>
      </c>
      <c r="L200" s="148" t="s">
        <v>579</v>
      </c>
      <c r="M200" s="148"/>
      <c r="N200" s="14" t="str">
        <f t="shared" si="3"/>
        <v>1ск6</v>
      </c>
      <c r="O200" s="14" t="str">
        <f>INDEX(Кат!$H:$H,MATCH($A200,Кат!$A:$A,0))</f>
        <v>штат</v>
      </c>
    </row>
    <row r="201" spans="1:15" ht="45" x14ac:dyDescent="0.25">
      <c r="A201" s="147">
        <v>201291</v>
      </c>
      <c r="B201" s="147">
        <v>4179</v>
      </c>
      <c r="C201" s="148" t="s">
        <v>547</v>
      </c>
      <c r="D201" s="148" t="s">
        <v>678</v>
      </c>
      <c r="E201" s="148"/>
      <c r="F201" s="148"/>
      <c r="G201" s="148" t="s">
        <v>527</v>
      </c>
      <c r="H201" s="149">
        <v>600</v>
      </c>
      <c r="I201" s="149">
        <v>949</v>
      </c>
      <c r="J201" s="148" t="s">
        <v>805</v>
      </c>
      <c r="K201" s="148" t="s">
        <v>226</v>
      </c>
      <c r="L201" s="148"/>
      <c r="M201" s="148"/>
      <c r="N201" s="14" t="str">
        <f t="shared" si="3"/>
        <v>1</v>
      </c>
      <c r="O201" s="14" t="str">
        <f>INDEX(Кат!$H:$H,MATCH($A201,Кат!$A:$A,0))</f>
        <v>штат</v>
      </c>
    </row>
    <row r="202" spans="1:15" ht="45" x14ac:dyDescent="0.25">
      <c r="A202" s="147">
        <v>201292</v>
      </c>
      <c r="B202" s="147">
        <v>16062</v>
      </c>
      <c r="C202" s="148" t="s">
        <v>552</v>
      </c>
      <c r="D202" s="148" t="s">
        <v>678</v>
      </c>
      <c r="E202" s="148"/>
      <c r="F202" s="148"/>
      <c r="G202" s="148" t="s">
        <v>527</v>
      </c>
      <c r="H202" s="149">
        <v>500</v>
      </c>
      <c r="I202" s="149">
        <v>879</v>
      </c>
      <c r="J202" s="148" t="s">
        <v>1000</v>
      </c>
      <c r="K202" s="148" t="s">
        <v>226</v>
      </c>
      <c r="L202" s="148" t="s">
        <v>579</v>
      </c>
      <c r="M202" s="148"/>
      <c r="N202" s="14" t="str">
        <f t="shared" si="3"/>
        <v>1ск6</v>
      </c>
      <c r="O202" s="14" t="str">
        <f>INDEX(Кат!$H:$H,MATCH($A202,Кат!$A:$A,0))</f>
        <v>штат</v>
      </c>
    </row>
    <row r="203" spans="1:15" ht="45" x14ac:dyDescent="0.25">
      <c r="A203" s="147">
        <v>201293</v>
      </c>
      <c r="B203" s="147">
        <v>8009</v>
      </c>
      <c r="C203" s="148" t="s">
        <v>566</v>
      </c>
      <c r="D203" s="148" t="s">
        <v>678</v>
      </c>
      <c r="E203" s="148"/>
      <c r="F203" s="148"/>
      <c r="G203" s="148" t="s">
        <v>527</v>
      </c>
      <c r="H203" s="149">
        <v>650</v>
      </c>
      <c r="I203" s="149">
        <v>1090</v>
      </c>
      <c r="J203" s="148" t="s">
        <v>1007</v>
      </c>
      <c r="K203" s="148" t="s">
        <v>226</v>
      </c>
      <c r="L203" s="148"/>
      <c r="M203" s="148"/>
      <c r="N203" s="14" t="str">
        <f t="shared" si="3"/>
        <v>1</v>
      </c>
      <c r="O203" s="14" t="str">
        <f>INDEX(Кат!$H:$H,MATCH($A203,Кат!$A:$A,0))</f>
        <v>штат</v>
      </c>
    </row>
    <row r="204" spans="1:15" ht="45" x14ac:dyDescent="0.25">
      <c r="A204" s="147">
        <v>201294</v>
      </c>
      <c r="B204" s="147">
        <v>13585</v>
      </c>
      <c r="C204" s="148" t="s">
        <v>566</v>
      </c>
      <c r="D204" s="148" t="s">
        <v>678</v>
      </c>
      <c r="E204" s="148"/>
      <c r="F204" s="148"/>
      <c r="G204" s="148" t="s">
        <v>527</v>
      </c>
      <c r="H204" s="149">
        <v>2500</v>
      </c>
      <c r="I204" s="149">
        <v>3490</v>
      </c>
      <c r="J204" s="148" t="s">
        <v>661</v>
      </c>
      <c r="K204" s="148" t="s">
        <v>226</v>
      </c>
      <c r="L204" s="148"/>
      <c r="M204" s="148"/>
      <c r="N204" s="14" t="str">
        <f t="shared" si="3"/>
        <v>1</v>
      </c>
      <c r="O204" s="14" t="str">
        <f>INDEX(Кат!$H:$H,MATCH($A204,Кат!$A:$A,0))</f>
        <v>штат</v>
      </c>
    </row>
    <row r="205" spans="1:15" ht="45" x14ac:dyDescent="0.25">
      <c r="A205" s="147">
        <v>201295</v>
      </c>
      <c r="B205" s="147">
        <v>4181</v>
      </c>
      <c r="C205" s="148" t="s">
        <v>564</v>
      </c>
      <c r="D205" s="148" t="s">
        <v>678</v>
      </c>
      <c r="E205" s="148"/>
      <c r="F205" s="148"/>
      <c r="G205" s="148" t="s">
        <v>527</v>
      </c>
      <c r="H205" s="149">
        <v>700</v>
      </c>
      <c r="I205" s="149">
        <v>989</v>
      </c>
      <c r="J205" s="148" t="s">
        <v>974</v>
      </c>
      <c r="K205" s="148" t="s">
        <v>226</v>
      </c>
      <c r="L205" s="148" t="s">
        <v>579</v>
      </c>
      <c r="M205" s="148"/>
      <c r="N205" s="14" t="str">
        <f t="shared" si="3"/>
        <v>1ск6</v>
      </c>
      <c r="O205" s="14" t="str">
        <f>INDEX(Кат!$H:$H,MATCH($A205,Кат!$A:$A,0))</f>
        <v>штат</v>
      </c>
    </row>
    <row r="206" spans="1:15" ht="45" x14ac:dyDescent="0.25">
      <c r="A206" s="147">
        <v>201296</v>
      </c>
      <c r="B206" s="147">
        <v>4182</v>
      </c>
      <c r="C206" s="148" t="s">
        <v>549</v>
      </c>
      <c r="D206" s="148" t="s">
        <v>678</v>
      </c>
      <c r="E206" s="148"/>
      <c r="F206" s="148"/>
      <c r="G206" s="148" t="s">
        <v>527</v>
      </c>
      <c r="H206" s="149">
        <v>700</v>
      </c>
      <c r="I206" s="149">
        <v>989</v>
      </c>
      <c r="J206" s="148" t="s">
        <v>973</v>
      </c>
      <c r="K206" s="148" t="s">
        <v>226</v>
      </c>
      <c r="L206" s="148"/>
      <c r="M206" s="148"/>
      <c r="N206" s="14" t="str">
        <f t="shared" si="3"/>
        <v>1</v>
      </c>
      <c r="O206" s="14" t="str">
        <f>INDEX(Кат!$H:$H,MATCH($A206,Кат!$A:$A,0))</f>
        <v>штат</v>
      </c>
    </row>
    <row r="207" spans="1:15" ht="45" x14ac:dyDescent="0.25">
      <c r="A207" s="147">
        <v>201297</v>
      </c>
      <c r="B207" s="147">
        <v>4178</v>
      </c>
      <c r="C207" s="148" t="s">
        <v>580</v>
      </c>
      <c r="D207" s="148" t="s">
        <v>678</v>
      </c>
      <c r="E207" s="148"/>
      <c r="F207" s="148"/>
      <c r="G207" s="148" t="s">
        <v>527</v>
      </c>
      <c r="H207" s="149">
        <v>700</v>
      </c>
      <c r="I207" s="149">
        <v>989</v>
      </c>
      <c r="J207" s="148" t="s">
        <v>975</v>
      </c>
      <c r="K207" s="148" t="s">
        <v>226</v>
      </c>
      <c r="L207" s="148" t="s">
        <v>579</v>
      </c>
      <c r="M207" s="148"/>
      <c r="N207" s="14" t="str">
        <f t="shared" si="3"/>
        <v>1ск6</v>
      </c>
      <c r="O207" s="14" t="str">
        <f>INDEX(Кат!$H:$H,MATCH($A207,Кат!$A:$A,0))</f>
        <v>штат</v>
      </c>
    </row>
    <row r="208" spans="1:15" ht="30" x14ac:dyDescent="0.25">
      <c r="A208" s="147">
        <v>324951</v>
      </c>
      <c r="B208" s="147">
        <v>324951</v>
      </c>
      <c r="C208" s="148" t="s">
        <v>713</v>
      </c>
      <c r="D208" s="148" t="s">
        <v>678</v>
      </c>
      <c r="E208" s="148"/>
      <c r="F208" s="148"/>
      <c r="G208" s="148" t="s">
        <v>527</v>
      </c>
      <c r="H208" s="149">
        <v>700</v>
      </c>
      <c r="I208" s="149">
        <v>1190</v>
      </c>
      <c r="J208" s="148"/>
      <c r="K208" s="148" t="s">
        <v>226</v>
      </c>
      <c r="L208" s="148"/>
      <c r="M208" s="148"/>
      <c r="N208" s="14" t="str">
        <f t="shared" si="3"/>
        <v>1</v>
      </c>
      <c r="O208" s="14" t="str">
        <f>INDEX(Кат!$H:$H,MATCH($A208,Кат!$A:$A,0))</f>
        <v>штат</v>
      </c>
    </row>
    <row r="209" spans="1:15" ht="45" x14ac:dyDescent="0.25">
      <c r="A209" s="147">
        <v>201298</v>
      </c>
      <c r="B209" s="147">
        <v>4187</v>
      </c>
      <c r="C209" s="148" t="s">
        <v>581</v>
      </c>
      <c r="D209" s="148" t="s">
        <v>678</v>
      </c>
      <c r="E209" s="148"/>
      <c r="F209" s="148"/>
      <c r="G209" s="148" t="s">
        <v>527</v>
      </c>
      <c r="H209" s="149">
        <v>700</v>
      </c>
      <c r="I209" s="149">
        <v>909</v>
      </c>
      <c r="J209" s="148" t="s">
        <v>801</v>
      </c>
      <c r="K209" s="148" t="s">
        <v>226</v>
      </c>
      <c r="L209" s="148"/>
      <c r="M209" s="148"/>
      <c r="N209" s="14" t="str">
        <f t="shared" si="3"/>
        <v>1</v>
      </c>
      <c r="O209" s="14" t="str">
        <f>INDEX(Кат!$H:$H,MATCH($A209,Кат!$A:$A,0))</f>
        <v>штат</v>
      </c>
    </row>
    <row r="210" spans="1:15" ht="30" x14ac:dyDescent="0.25">
      <c r="A210" s="147">
        <v>201299</v>
      </c>
      <c r="B210" s="147">
        <v>31513</v>
      </c>
      <c r="C210" s="148" t="s">
        <v>553</v>
      </c>
      <c r="D210" s="148" t="s">
        <v>678</v>
      </c>
      <c r="E210" s="148"/>
      <c r="F210" s="148"/>
      <c r="G210" s="148" t="s">
        <v>527</v>
      </c>
      <c r="H210" s="149">
        <v>700</v>
      </c>
      <c r="I210" s="149">
        <v>1190</v>
      </c>
      <c r="J210" s="148" t="s">
        <v>799</v>
      </c>
      <c r="K210" s="148" t="s">
        <v>226</v>
      </c>
      <c r="L210" s="148"/>
      <c r="M210" s="148"/>
      <c r="N210" s="14" t="str">
        <f t="shared" si="3"/>
        <v>1</v>
      </c>
      <c r="O210" s="14" t="str">
        <f>INDEX(Кат!$H:$H,MATCH($A210,Кат!$A:$A,0))</f>
        <v>штат</v>
      </c>
    </row>
    <row r="211" spans="1:15" ht="30" x14ac:dyDescent="0.25">
      <c r="A211" s="147">
        <v>201300</v>
      </c>
      <c r="B211" s="147">
        <v>7263</v>
      </c>
      <c r="C211" s="148" t="s">
        <v>225</v>
      </c>
      <c r="D211" s="148" t="s">
        <v>678</v>
      </c>
      <c r="E211" s="148"/>
      <c r="F211" s="148"/>
      <c r="G211" s="148" t="s">
        <v>527</v>
      </c>
      <c r="H211" s="149">
        <v>21349</v>
      </c>
      <c r="I211" s="149">
        <v>27790</v>
      </c>
      <c r="J211" s="148"/>
      <c r="K211" s="148" t="s">
        <v>679</v>
      </c>
      <c r="L211" s="148"/>
      <c r="M211" s="148"/>
      <c r="N211" s="14" t="str">
        <f t="shared" si="3"/>
        <v>0</v>
      </c>
      <c r="O211" s="14" t="str">
        <f>INDEX(Кат!$H:$H,MATCH($A211,Кат!$A:$A,0))</f>
        <v>штат</v>
      </c>
    </row>
    <row r="212" spans="1:15" ht="30" x14ac:dyDescent="0.25">
      <c r="A212" s="147">
        <v>201306</v>
      </c>
      <c r="B212" s="147">
        <v>24538</v>
      </c>
      <c r="C212" s="148" t="s">
        <v>412</v>
      </c>
      <c r="D212" s="148" t="s">
        <v>678</v>
      </c>
      <c r="E212" s="148"/>
      <c r="F212" s="148"/>
      <c r="G212" s="148" t="s">
        <v>527</v>
      </c>
      <c r="H212" s="149">
        <v>7800</v>
      </c>
      <c r="I212" s="149">
        <v>11290</v>
      </c>
      <c r="J212" s="148" t="s">
        <v>787</v>
      </c>
      <c r="K212" s="148" t="s">
        <v>226</v>
      </c>
      <c r="L212" s="148"/>
      <c r="M212" s="148" t="s">
        <v>678</v>
      </c>
      <c r="N212" s="14" t="str">
        <f t="shared" si="3"/>
        <v>1</v>
      </c>
      <c r="O212" s="14" t="str">
        <f>INDEX(Кат!$H:$H,MATCH($A212,Кат!$A:$A,0))</f>
        <v>штат</v>
      </c>
    </row>
    <row r="213" spans="1:15" x14ac:dyDescent="0.25">
      <c r="A213" s="147">
        <v>201307</v>
      </c>
      <c r="B213" s="147">
        <v>7257</v>
      </c>
      <c r="C213" s="148" t="s">
        <v>269</v>
      </c>
      <c r="D213" s="148" t="s">
        <v>678</v>
      </c>
      <c r="E213" s="148"/>
      <c r="F213" s="148"/>
      <c r="G213" s="148" t="s">
        <v>527</v>
      </c>
      <c r="H213" s="149">
        <v>2400</v>
      </c>
      <c r="I213" s="149">
        <v>3490</v>
      </c>
      <c r="J213" s="148" t="s">
        <v>846</v>
      </c>
      <c r="K213" s="148" t="s">
        <v>226</v>
      </c>
      <c r="L213" s="148"/>
      <c r="M213" s="148"/>
      <c r="N213" s="14" t="str">
        <f t="shared" si="3"/>
        <v>1</v>
      </c>
      <c r="O213" s="14" t="str">
        <f>INDEX(Кат!$H:$H,MATCH($A213,Кат!$A:$A,0))</f>
        <v>штат</v>
      </c>
    </row>
    <row r="214" spans="1:15" ht="30" x14ac:dyDescent="0.25">
      <c r="A214" s="147">
        <v>201308</v>
      </c>
      <c r="B214" s="147">
        <v>7258</v>
      </c>
      <c r="C214" s="148" t="s">
        <v>254</v>
      </c>
      <c r="D214" s="148" t="s">
        <v>678</v>
      </c>
      <c r="E214" s="148"/>
      <c r="F214" s="148"/>
      <c r="G214" s="148" t="s">
        <v>527</v>
      </c>
      <c r="H214" s="149">
        <v>3400</v>
      </c>
      <c r="I214" s="149">
        <v>4890</v>
      </c>
      <c r="J214" s="148" t="s">
        <v>942</v>
      </c>
      <c r="K214" s="148" t="s">
        <v>226</v>
      </c>
      <c r="L214" s="148"/>
      <c r="M214" s="148"/>
      <c r="N214" s="14" t="str">
        <f t="shared" si="3"/>
        <v>1</v>
      </c>
      <c r="O214" s="14" t="str">
        <f>INDEX(Кат!$H:$H,MATCH($A214,Кат!$A:$A,0))</f>
        <v>штат</v>
      </c>
    </row>
    <row r="215" spans="1:15" ht="30" x14ac:dyDescent="0.25">
      <c r="A215" s="147">
        <v>201821</v>
      </c>
      <c r="B215" s="147">
        <v>7194</v>
      </c>
      <c r="C215" s="148" t="s">
        <v>375</v>
      </c>
      <c r="D215" s="148" t="s">
        <v>678</v>
      </c>
      <c r="E215" s="148"/>
      <c r="F215" s="148"/>
      <c r="G215" s="148" t="s">
        <v>527</v>
      </c>
      <c r="H215" s="149">
        <v>0</v>
      </c>
      <c r="I215" s="149">
        <v>869</v>
      </c>
      <c r="J215" s="148"/>
      <c r="K215" s="148" t="s">
        <v>679</v>
      </c>
      <c r="L215" s="148"/>
      <c r="M215" s="148"/>
      <c r="N215" s="14" t="str">
        <f t="shared" si="3"/>
        <v>0</v>
      </c>
      <c r="O215" s="14" t="str">
        <f>INDEX(Кат!$H:$H,MATCH($A215,Кат!$A:$A,0))</f>
        <v>штат</v>
      </c>
    </row>
    <row r="216" spans="1:15" ht="30" x14ac:dyDescent="0.25">
      <c r="A216" s="147">
        <v>202081</v>
      </c>
      <c r="B216" s="147">
        <v>7299</v>
      </c>
      <c r="C216" s="148" t="s">
        <v>457</v>
      </c>
      <c r="D216" s="148" t="s">
        <v>678</v>
      </c>
      <c r="E216" s="148"/>
      <c r="F216" s="148"/>
      <c r="G216" s="148" t="s">
        <v>527</v>
      </c>
      <c r="H216" s="149">
        <v>6400</v>
      </c>
      <c r="I216" s="149">
        <v>8790</v>
      </c>
      <c r="J216" s="148" t="s">
        <v>781</v>
      </c>
      <c r="K216" s="148" t="s">
        <v>226</v>
      </c>
      <c r="L216" s="148"/>
      <c r="M216" s="148"/>
      <c r="N216" s="14" t="str">
        <f t="shared" si="3"/>
        <v>1</v>
      </c>
      <c r="O216" s="14" t="str">
        <f>INDEX(Кат!$H:$H,MATCH($A216,Кат!$A:$A,0))</f>
        <v>штат</v>
      </c>
    </row>
    <row r="217" spans="1:15" ht="30" x14ac:dyDescent="0.25">
      <c r="A217" s="147">
        <v>202283</v>
      </c>
      <c r="B217" s="147">
        <v>10044</v>
      </c>
      <c r="C217" s="148" t="s">
        <v>268</v>
      </c>
      <c r="D217" s="148" t="s">
        <v>678</v>
      </c>
      <c r="E217" s="148"/>
      <c r="F217" s="148"/>
      <c r="G217" s="148" t="s">
        <v>527</v>
      </c>
      <c r="H217" s="149">
        <v>3100</v>
      </c>
      <c r="I217" s="149">
        <v>4190</v>
      </c>
      <c r="J217" s="148" t="s">
        <v>944</v>
      </c>
      <c r="K217" s="148" t="s">
        <v>226</v>
      </c>
      <c r="L217" s="148"/>
      <c r="M217" s="148"/>
      <c r="N217" s="14" t="str">
        <f t="shared" si="3"/>
        <v>1</v>
      </c>
      <c r="O217" s="14" t="str">
        <f>INDEX(Кат!$H:$H,MATCH($A217,Кат!$A:$A,0))</f>
        <v>штат</v>
      </c>
    </row>
    <row r="218" spans="1:15" x14ac:dyDescent="0.25">
      <c r="A218" s="147">
        <v>202284</v>
      </c>
      <c r="B218" s="147">
        <v>10045</v>
      </c>
      <c r="C218" s="148" t="s">
        <v>260</v>
      </c>
      <c r="D218" s="148" t="s">
        <v>678</v>
      </c>
      <c r="E218" s="148"/>
      <c r="F218" s="148"/>
      <c r="G218" s="148" t="s">
        <v>527</v>
      </c>
      <c r="H218" s="149">
        <v>3700</v>
      </c>
      <c r="I218" s="149">
        <v>5090</v>
      </c>
      <c r="J218" s="148" t="s">
        <v>777</v>
      </c>
      <c r="K218" s="148" t="s">
        <v>226</v>
      </c>
      <c r="L218" s="148"/>
      <c r="M218" s="148"/>
      <c r="N218" s="14" t="str">
        <f t="shared" si="3"/>
        <v>1</v>
      </c>
      <c r="O218" s="14" t="str">
        <f>INDEX(Кат!$H:$H,MATCH($A218,Кат!$A:$A,0))</f>
        <v>штат</v>
      </c>
    </row>
    <row r="219" spans="1:15" ht="30" x14ac:dyDescent="0.25">
      <c r="A219" s="147">
        <v>203204</v>
      </c>
      <c r="B219" s="147">
        <v>7227</v>
      </c>
      <c r="C219" s="148" t="s">
        <v>331</v>
      </c>
      <c r="D219" s="148" t="s">
        <v>678</v>
      </c>
      <c r="E219" s="148"/>
      <c r="F219" s="148"/>
      <c r="G219" s="148" t="s">
        <v>527</v>
      </c>
      <c r="H219" s="149">
        <v>420</v>
      </c>
      <c r="I219" s="149">
        <v>779</v>
      </c>
      <c r="J219" s="148" t="s">
        <v>994</v>
      </c>
      <c r="K219" s="148" t="s">
        <v>226</v>
      </c>
      <c r="L219" s="148"/>
      <c r="M219" s="148"/>
      <c r="N219" s="14" t="str">
        <f t="shared" si="3"/>
        <v>1</v>
      </c>
      <c r="O219" s="14" t="str">
        <f>INDEX(Кат!$H:$H,MATCH($A219,Кат!$A:$A,0))</f>
        <v>штат</v>
      </c>
    </row>
    <row r="220" spans="1:15" ht="45" x14ac:dyDescent="0.25">
      <c r="A220" s="147">
        <v>203205</v>
      </c>
      <c r="B220" s="147">
        <v>7211</v>
      </c>
      <c r="C220" s="148" t="s">
        <v>222</v>
      </c>
      <c r="D220" s="148" t="s">
        <v>678</v>
      </c>
      <c r="E220" s="148"/>
      <c r="F220" s="148"/>
      <c r="G220" s="148" t="s">
        <v>527</v>
      </c>
      <c r="H220" s="149">
        <v>320</v>
      </c>
      <c r="I220" s="149">
        <v>629</v>
      </c>
      <c r="J220" s="148" t="s">
        <v>981</v>
      </c>
      <c r="K220" s="148" t="s">
        <v>226</v>
      </c>
      <c r="L220" s="148"/>
      <c r="M220" s="148"/>
      <c r="N220" s="14" t="str">
        <f t="shared" si="3"/>
        <v>1</v>
      </c>
      <c r="O220" s="14" t="str">
        <f>INDEX(Кат!$H:$H,MATCH($A220,Кат!$A:$A,0))</f>
        <v>штат</v>
      </c>
    </row>
    <row r="221" spans="1:15" ht="45" x14ac:dyDescent="0.25">
      <c r="A221" s="147">
        <v>203206</v>
      </c>
      <c r="B221" s="147">
        <v>7212</v>
      </c>
      <c r="C221" s="148" t="s">
        <v>330</v>
      </c>
      <c r="D221" s="148" t="s">
        <v>678</v>
      </c>
      <c r="E221" s="148"/>
      <c r="F221" s="148"/>
      <c r="G221" s="148" t="s">
        <v>527</v>
      </c>
      <c r="H221" s="149">
        <v>420</v>
      </c>
      <c r="I221" s="149">
        <v>779</v>
      </c>
      <c r="J221" s="148" t="s">
        <v>806</v>
      </c>
      <c r="K221" s="148" t="s">
        <v>226</v>
      </c>
      <c r="L221" s="148"/>
      <c r="M221" s="148"/>
      <c r="N221" s="14" t="str">
        <f t="shared" si="3"/>
        <v>1</v>
      </c>
      <c r="O221" s="14" t="str">
        <f>INDEX(Кат!$H:$H,MATCH($A221,Кат!$A:$A,0))</f>
        <v>штат</v>
      </c>
    </row>
    <row r="222" spans="1:15" ht="45" x14ac:dyDescent="0.25">
      <c r="A222" s="147">
        <v>203207</v>
      </c>
      <c r="B222" s="147">
        <v>3836</v>
      </c>
      <c r="C222" s="148" t="s">
        <v>538</v>
      </c>
      <c r="D222" s="148" t="s">
        <v>678</v>
      </c>
      <c r="E222" s="148"/>
      <c r="F222" s="148"/>
      <c r="G222" s="148" t="s">
        <v>527</v>
      </c>
      <c r="H222" s="149">
        <v>750</v>
      </c>
      <c r="I222" s="149">
        <v>1190</v>
      </c>
      <c r="J222" s="148" t="s">
        <v>790</v>
      </c>
      <c r="K222" s="148" t="s">
        <v>226</v>
      </c>
      <c r="L222" s="148"/>
      <c r="M222" s="148"/>
      <c r="N222" s="14" t="str">
        <f t="shared" si="3"/>
        <v>1</v>
      </c>
      <c r="O222" s="14" t="str">
        <f>INDEX(Кат!$H:$H,MATCH($A222,Кат!$A:$A,0))</f>
        <v>штат</v>
      </c>
    </row>
    <row r="223" spans="1:15" ht="45" x14ac:dyDescent="0.25">
      <c r="A223" s="147">
        <v>203208</v>
      </c>
      <c r="B223" s="147">
        <v>3837</v>
      </c>
      <c r="C223" s="148" t="s">
        <v>537</v>
      </c>
      <c r="D223" s="148" t="s">
        <v>678</v>
      </c>
      <c r="E223" s="148"/>
      <c r="F223" s="148"/>
      <c r="G223" s="148" t="s">
        <v>527</v>
      </c>
      <c r="H223" s="149">
        <v>920</v>
      </c>
      <c r="I223" s="149">
        <v>1290</v>
      </c>
      <c r="J223" s="148" t="s">
        <v>970</v>
      </c>
      <c r="K223" s="148" t="s">
        <v>226</v>
      </c>
      <c r="L223" s="148"/>
      <c r="M223" s="148"/>
      <c r="N223" s="14" t="str">
        <f t="shared" si="3"/>
        <v>1</v>
      </c>
      <c r="O223" s="14" t="str">
        <f>INDEX(Кат!$H:$H,MATCH($A223,Кат!$A:$A,0))</f>
        <v>штат</v>
      </c>
    </row>
    <row r="224" spans="1:15" ht="30" x14ac:dyDescent="0.25">
      <c r="A224" s="147">
        <v>203945</v>
      </c>
      <c r="B224" s="147">
        <v>7203</v>
      </c>
      <c r="C224" s="148" t="s">
        <v>344</v>
      </c>
      <c r="D224" s="148" t="s">
        <v>678</v>
      </c>
      <c r="E224" s="148"/>
      <c r="F224" s="148"/>
      <c r="G224" s="148" t="s">
        <v>527</v>
      </c>
      <c r="H224" s="149">
        <v>320</v>
      </c>
      <c r="I224" s="149">
        <v>519</v>
      </c>
      <c r="J224" s="148"/>
      <c r="K224" s="148" t="s">
        <v>226</v>
      </c>
      <c r="L224" s="148"/>
      <c r="M224" s="148" t="s">
        <v>678</v>
      </c>
      <c r="N224" s="14" t="str">
        <f t="shared" si="3"/>
        <v>1</v>
      </c>
      <c r="O224" s="14" t="str">
        <f>INDEX(Кат!$H:$H,MATCH($A224,Кат!$A:$A,0))</f>
        <v>штат</v>
      </c>
    </row>
    <row r="225" spans="1:15" ht="30" x14ac:dyDescent="0.25">
      <c r="A225" s="147">
        <v>203946</v>
      </c>
      <c r="B225" s="147">
        <v>24546</v>
      </c>
      <c r="C225" s="148" t="s">
        <v>215</v>
      </c>
      <c r="D225" s="148" t="s">
        <v>678</v>
      </c>
      <c r="E225" s="148"/>
      <c r="F225" s="148"/>
      <c r="G225" s="148" t="s">
        <v>527</v>
      </c>
      <c r="H225" s="149">
        <v>330</v>
      </c>
      <c r="I225" s="149">
        <v>629</v>
      </c>
      <c r="J225" s="148" t="s">
        <v>984</v>
      </c>
      <c r="K225" s="148" t="s">
        <v>226</v>
      </c>
      <c r="L225" s="148"/>
      <c r="M225" s="148"/>
      <c r="N225" s="14" t="str">
        <f t="shared" si="3"/>
        <v>1</v>
      </c>
      <c r="O225" s="14" t="str">
        <f>INDEX(Кат!$H:$H,MATCH($A225,Кат!$A:$A,0))</f>
        <v>штат</v>
      </c>
    </row>
    <row r="226" spans="1:15" ht="60" x14ac:dyDescent="0.25">
      <c r="A226" s="147">
        <v>203950</v>
      </c>
      <c r="B226" s="147">
        <v>7234</v>
      </c>
      <c r="C226" s="148" t="s">
        <v>585</v>
      </c>
      <c r="D226" s="148" t="s">
        <v>678</v>
      </c>
      <c r="E226" s="148" t="s">
        <v>586</v>
      </c>
      <c r="F226" s="148"/>
      <c r="G226" s="148" t="s">
        <v>527</v>
      </c>
      <c r="H226" s="149">
        <v>400</v>
      </c>
      <c r="I226" s="149">
        <v>639</v>
      </c>
      <c r="J226" s="148"/>
      <c r="K226" s="148" t="s">
        <v>679</v>
      </c>
      <c r="L226" s="148"/>
      <c r="M226" s="148"/>
      <c r="N226" s="14" t="str">
        <f t="shared" si="3"/>
        <v>0</v>
      </c>
      <c r="O226" s="14" t="str">
        <f>INDEX(Кат!$H:$H,MATCH($A226,Кат!$A:$A,0))</f>
        <v>штат</v>
      </c>
    </row>
    <row r="227" spans="1:15" ht="60" x14ac:dyDescent="0.25">
      <c r="A227" s="147">
        <v>117034</v>
      </c>
      <c r="B227" s="147">
        <v>7202</v>
      </c>
      <c r="C227" s="148" t="s">
        <v>583</v>
      </c>
      <c r="D227" s="148" t="s">
        <v>678</v>
      </c>
      <c r="E227" s="148" t="s">
        <v>584</v>
      </c>
      <c r="F227" s="148"/>
      <c r="G227" s="148" t="s">
        <v>527</v>
      </c>
      <c r="H227" s="149">
        <v>400</v>
      </c>
      <c r="I227" s="149">
        <v>639</v>
      </c>
      <c r="J227" s="148"/>
      <c r="K227" s="148" t="s">
        <v>679</v>
      </c>
      <c r="L227" s="148"/>
      <c r="M227" s="148"/>
      <c r="N227" s="14" t="str">
        <f t="shared" si="3"/>
        <v>0</v>
      </c>
      <c r="O227" s="14" t="str">
        <f>INDEX(Кат!$H:$H,MATCH($A227,Кат!$A:$A,0))</f>
        <v>штат</v>
      </c>
    </row>
    <row r="228" spans="1:15" ht="60" x14ac:dyDescent="0.25">
      <c r="A228" s="147">
        <v>203951</v>
      </c>
      <c r="B228" s="147">
        <v>54201</v>
      </c>
      <c r="C228" s="148" t="s">
        <v>597</v>
      </c>
      <c r="D228" s="148" t="s">
        <v>678</v>
      </c>
      <c r="E228" s="148" t="s">
        <v>598</v>
      </c>
      <c r="F228" s="148"/>
      <c r="G228" s="148" t="s">
        <v>527</v>
      </c>
      <c r="H228" s="149">
        <v>400</v>
      </c>
      <c r="I228" s="149">
        <v>669</v>
      </c>
      <c r="J228" s="148" t="s">
        <v>935</v>
      </c>
      <c r="K228" s="148" t="s">
        <v>226</v>
      </c>
      <c r="L228" s="148" t="s">
        <v>579</v>
      </c>
      <c r="M228" s="148"/>
      <c r="N228" s="14" t="str">
        <f t="shared" si="3"/>
        <v>1ск6</v>
      </c>
      <c r="O228" s="14" t="str">
        <f>INDEX(Кат!$H:$H,MATCH($A228,Кат!$A:$A,0))</f>
        <v>штат</v>
      </c>
    </row>
    <row r="229" spans="1:15" ht="45" x14ac:dyDescent="0.25">
      <c r="A229" s="147">
        <v>203952</v>
      </c>
      <c r="B229" s="147">
        <v>16839</v>
      </c>
      <c r="C229" s="148" t="s">
        <v>589</v>
      </c>
      <c r="D229" s="148" t="s">
        <v>678</v>
      </c>
      <c r="E229" s="148" t="s">
        <v>590</v>
      </c>
      <c r="F229" s="148"/>
      <c r="G229" s="148" t="s">
        <v>527</v>
      </c>
      <c r="H229" s="149">
        <v>400</v>
      </c>
      <c r="I229" s="149">
        <v>669</v>
      </c>
      <c r="J229" s="148" t="s">
        <v>773</v>
      </c>
      <c r="K229" s="148" t="s">
        <v>226</v>
      </c>
      <c r="L229" s="148"/>
      <c r="M229" s="148"/>
      <c r="N229" s="14" t="str">
        <f t="shared" si="3"/>
        <v>1</v>
      </c>
      <c r="O229" s="14" t="str">
        <f>INDEX(Кат!$H:$H,MATCH($A229,Кат!$A:$A,0))</f>
        <v>штат</v>
      </c>
    </row>
    <row r="230" spans="1:15" ht="45" x14ac:dyDescent="0.25">
      <c r="A230" s="147">
        <v>203953</v>
      </c>
      <c r="B230" s="147">
        <v>24542</v>
      </c>
      <c r="C230" s="148" t="s">
        <v>203</v>
      </c>
      <c r="D230" s="148" t="s">
        <v>678</v>
      </c>
      <c r="E230" s="148"/>
      <c r="F230" s="148"/>
      <c r="G230" s="148" t="s">
        <v>527</v>
      </c>
      <c r="H230" s="149">
        <v>110</v>
      </c>
      <c r="I230" s="149">
        <v>219</v>
      </c>
      <c r="J230" s="148"/>
      <c r="K230" s="148" t="s">
        <v>679</v>
      </c>
      <c r="L230" s="148"/>
      <c r="M230" s="148"/>
      <c r="N230" s="14" t="str">
        <f t="shared" si="3"/>
        <v>0</v>
      </c>
      <c r="O230" s="14" t="str">
        <f>INDEX(Кат!$H:$H,MATCH($A230,Кат!$A:$A,0))</f>
        <v>штат</v>
      </c>
    </row>
    <row r="231" spans="1:15" ht="45" x14ac:dyDescent="0.25">
      <c r="A231" s="147">
        <v>203954</v>
      </c>
      <c r="B231" s="147">
        <v>24541</v>
      </c>
      <c r="C231" s="148" t="s">
        <v>714</v>
      </c>
      <c r="D231" s="148" t="s">
        <v>678</v>
      </c>
      <c r="E231" s="148" t="s">
        <v>715</v>
      </c>
      <c r="F231" s="148"/>
      <c r="G231" s="148" t="s">
        <v>527</v>
      </c>
      <c r="H231" s="149">
        <v>145</v>
      </c>
      <c r="I231" s="149">
        <v>279</v>
      </c>
      <c r="J231" s="148" t="s">
        <v>842</v>
      </c>
      <c r="K231" s="148" t="s">
        <v>226</v>
      </c>
      <c r="L231" s="148"/>
      <c r="M231" s="148"/>
      <c r="N231" s="14" t="str">
        <f t="shared" si="3"/>
        <v>1</v>
      </c>
      <c r="O231" s="14" t="str">
        <f>INDEX(Кат!$H:$H,MATCH($A231,Кат!$A:$A,0))</f>
        <v>штат</v>
      </c>
    </row>
    <row r="232" spans="1:15" ht="45" x14ac:dyDescent="0.25">
      <c r="A232" s="147">
        <v>203955</v>
      </c>
      <c r="B232" s="147">
        <v>7214</v>
      </c>
      <c r="C232" s="148" t="s">
        <v>321</v>
      </c>
      <c r="D232" s="148" t="s">
        <v>678</v>
      </c>
      <c r="E232" s="148"/>
      <c r="F232" s="148"/>
      <c r="G232" s="148" t="s">
        <v>527</v>
      </c>
      <c r="H232" s="149">
        <v>730</v>
      </c>
      <c r="I232" s="149">
        <v>1190</v>
      </c>
      <c r="J232" s="148" t="s">
        <v>803</v>
      </c>
      <c r="K232" s="148" t="s">
        <v>226</v>
      </c>
      <c r="L232" s="148"/>
      <c r="M232" s="148"/>
      <c r="N232" s="14" t="str">
        <f t="shared" si="3"/>
        <v>1</v>
      </c>
      <c r="O232" s="14" t="str">
        <f>INDEX(Кат!$H:$H,MATCH($A232,Кат!$A:$A,0))</f>
        <v>штат</v>
      </c>
    </row>
    <row r="233" spans="1:15" ht="45" x14ac:dyDescent="0.25">
      <c r="A233" s="147">
        <v>203956</v>
      </c>
      <c r="B233" s="147">
        <v>7231</v>
      </c>
      <c r="C233" s="148" t="s">
        <v>323</v>
      </c>
      <c r="D233" s="148" t="s">
        <v>678</v>
      </c>
      <c r="E233" s="148"/>
      <c r="F233" s="148"/>
      <c r="G233" s="148" t="s">
        <v>527</v>
      </c>
      <c r="H233" s="149">
        <v>730</v>
      </c>
      <c r="I233" s="149">
        <v>1190</v>
      </c>
      <c r="J233" s="148" t="s">
        <v>802</v>
      </c>
      <c r="K233" s="148" t="s">
        <v>226</v>
      </c>
      <c r="L233" s="148"/>
      <c r="M233" s="148"/>
      <c r="N233" s="14" t="str">
        <f t="shared" si="3"/>
        <v>1</v>
      </c>
      <c r="O233" s="14" t="str">
        <f>INDEX(Кат!$H:$H,MATCH($A233,Кат!$A:$A,0))</f>
        <v>штат</v>
      </c>
    </row>
    <row r="234" spans="1:15" x14ac:dyDescent="0.25">
      <c r="A234" s="147">
        <v>203957</v>
      </c>
      <c r="B234" s="147">
        <v>24543</v>
      </c>
      <c r="C234" s="148" t="s">
        <v>413</v>
      </c>
      <c r="D234" s="148" t="s">
        <v>678</v>
      </c>
      <c r="E234" s="148"/>
      <c r="F234" s="148"/>
      <c r="G234" s="148" t="s">
        <v>527</v>
      </c>
      <c r="H234" s="149">
        <v>424</v>
      </c>
      <c r="I234" s="149">
        <v>679</v>
      </c>
      <c r="J234" s="148"/>
      <c r="K234" s="148" t="s">
        <v>226</v>
      </c>
      <c r="L234" s="148"/>
      <c r="M234" s="148"/>
      <c r="N234" s="14" t="str">
        <f t="shared" si="3"/>
        <v>1</v>
      </c>
      <c r="O234" s="14" t="str">
        <f>INDEX(Кат!$H:$H,MATCH($A234,Кат!$A:$A,0))</f>
        <v>штат</v>
      </c>
    </row>
    <row r="235" spans="1:15" ht="30" x14ac:dyDescent="0.25">
      <c r="A235" s="147">
        <v>203958</v>
      </c>
      <c r="B235" s="147">
        <v>24540</v>
      </c>
      <c r="C235" s="148" t="s">
        <v>343</v>
      </c>
      <c r="D235" s="148" t="s">
        <v>678</v>
      </c>
      <c r="E235" s="148"/>
      <c r="F235" s="148"/>
      <c r="G235" s="148" t="s">
        <v>527</v>
      </c>
      <c r="H235" s="149">
        <v>350</v>
      </c>
      <c r="I235" s="149">
        <v>629</v>
      </c>
      <c r="J235" s="148" t="s">
        <v>982</v>
      </c>
      <c r="K235" s="148" t="s">
        <v>226</v>
      </c>
      <c r="L235" s="148"/>
      <c r="M235" s="148"/>
      <c r="N235" s="14" t="str">
        <f t="shared" si="3"/>
        <v>1</v>
      </c>
      <c r="O235" s="14" t="str">
        <f>INDEX(Кат!$H:$H,MATCH($A235,Кат!$A:$A,0))</f>
        <v>штат</v>
      </c>
    </row>
    <row r="236" spans="1:15" ht="45" x14ac:dyDescent="0.25">
      <c r="A236" s="147">
        <v>251961</v>
      </c>
      <c r="B236" s="147">
        <v>169959</v>
      </c>
      <c r="C236" s="148" t="s">
        <v>634</v>
      </c>
      <c r="D236" s="148" t="s">
        <v>678</v>
      </c>
      <c r="E236" s="148"/>
      <c r="F236" s="148" t="s">
        <v>635</v>
      </c>
      <c r="G236" s="148" t="s">
        <v>527</v>
      </c>
      <c r="H236" s="149">
        <v>500</v>
      </c>
      <c r="I236" s="149">
        <v>839</v>
      </c>
      <c r="J236" s="148" t="s">
        <v>820</v>
      </c>
      <c r="K236" s="148" t="s">
        <v>226</v>
      </c>
      <c r="L236" s="148"/>
      <c r="M236" s="148"/>
      <c r="N236" s="14" t="str">
        <f t="shared" si="3"/>
        <v>1</v>
      </c>
      <c r="O236" s="14" t="str">
        <f>INDEX(Кат!$H:$H,MATCH($A236,Кат!$A:$A,0))</f>
        <v>штат</v>
      </c>
    </row>
    <row r="237" spans="1:15" ht="30" x14ac:dyDescent="0.25">
      <c r="A237" s="147">
        <v>213732</v>
      </c>
      <c r="B237" s="147">
        <v>24513</v>
      </c>
      <c r="C237" s="148" t="s">
        <v>208</v>
      </c>
      <c r="D237" s="148" t="s">
        <v>678</v>
      </c>
      <c r="E237" s="148"/>
      <c r="F237" s="148"/>
      <c r="G237" s="148" t="s">
        <v>527</v>
      </c>
      <c r="H237" s="149">
        <v>50</v>
      </c>
      <c r="I237" s="149">
        <v>159</v>
      </c>
      <c r="J237" s="148" t="s">
        <v>836</v>
      </c>
      <c r="K237" s="148" t="s">
        <v>226</v>
      </c>
      <c r="L237" s="148"/>
      <c r="M237" s="148"/>
      <c r="N237" s="14" t="str">
        <f t="shared" si="3"/>
        <v>1</v>
      </c>
      <c r="O237" s="14" t="str">
        <f>INDEX(Кат!$H:$H,MATCH($A237,Кат!$A:$A,0))</f>
        <v>штат</v>
      </c>
    </row>
    <row r="238" spans="1:15" ht="30" x14ac:dyDescent="0.25">
      <c r="A238" s="147">
        <v>213842</v>
      </c>
      <c r="B238" s="147">
        <v>7239</v>
      </c>
      <c r="C238" s="148" t="s">
        <v>340</v>
      </c>
      <c r="D238" s="148" t="s">
        <v>678</v>
      </c>
      <c r="E238" s="148"/>
      <c r="F238" s="148"/>
      <c r="G238" s="148" t="s">
        <v>527</v>
      </c>
      <c r="H238" s="149">
        <v>400</v>
      </c>
      <c r="I238" s="149">
        <v>639</v>
      </c>
      <c r="J238" s="148"/>
      <c r="K238" s="148" t="s">
        <v>679</v>
      </c>
      <c r="L238" s="148"/>
      <c r="M238" s="148"/>
      <c r="N238" s="14" t="str">
        <f t="shared" si="3"/>
        <v>0</v>
      </c>
      <c r="O238" s="14" t="str">
        <f>INDEX(Кат!$H:$H,MATCH($A238,Кат!$A:$A,0))</f>
        <v>штат</v>
      </c>
    </row>
    <row r="239" spans="1:15" ht="30" x14ac:dyDescent="0.25">
      <c r="A239" s="147">
        <v>213843</v>
      </c>
      <c r="B239" s="147">
        <v>7238</v>
      </c>
      <c r="C239" s="148" t="s">
        <v>339</v>
      </c>
      <c r="D239" s="148" t="s">
        <v>678</v>
      </c>
      <c r="E239" s="148"/>
      <c r="F239" s="148"/>
      <c r="G239" s="148" t="s">
        <v>527</v>
      </c>
      <c r="H239" s="149">
        <v>400</v>
      </c>
      <c r="I239" s="149">
        <v>739</v>
      </c>
      <c r="J239" s="148" t="s">
        <v>800</v>
      </c>
      <c r="K239" s="148" t="s">
        <v>226</v>
      </c>
      <c r="L239" s="148"/>
      <c r="M239" s="148"/>
      <c r="N239" s="14" t="str">
        <f t="shared" si="3"/>
        <v>1</v>
      </c>
      <c r="O239" s="14" t="str">
        <f>INDEX(Кат!$H:$H,MATCH($A239,Кат!$A:$A,0))</f>
        <v>штат</v>
      </c>
    </row>
    <row r="240" spans="1:15" x14ac:dyDescent="0.25">
      <c r="A240" s="147">
        <v>214013</v>
      </c>
      <c r="B240" s="147">
        <v>13096</v>
      </c>
      <c r="C240" s="148" t="s">
        <v>338</v>
      </c>
      <c r="D240" s="148" t="s">
        <v>678</v>
      </c>
      <c r="E240" s="148"/>
      <c r="F240" s="148"/>
      <c r="G240" s="148" t="s">
        <v>527</v>
      </c>
      <c r="H240" s="149">
        <v>330</v>
      </c>
      <c r="I240" s="149">
        <v>529</v>
      </c>
      <c r="J240" s="148"/>
      <c r="K240" s="148" t="s">
        <v>679</v>
      </c>
      <c r="L240" s="148"/>
      <c r="M240" s="148"/>
      <c r="N240" s="14" t="str">
        <f t="shared" si="3"/>
        <v>0</v>
      </c>
      <c r="O240" s="14" t="str">
        <f>INDEX(Кат!$H:$H,MATCH($A240,Кат!$A:$A,0))</f>
        <v>штат</v>
      </c>
    </row>
    <row r="241" spans="1:15" ht="30" x14ac:dyDescent="0.25">
      <c r="A241" s="147">
        <v>214015</v>
      </c>
      <c r="B241" s="147">
        <v>7176</v>
      </c>
      <c r="C241" s="148" t="s">
        <v>629</v>
      </c>
      <c r="D241" s="148" t="s">
        <v>678</v>
      </c>
      <c r="E241" s="148"/>
      <c r="F241" s="148"/>
      <c r="G241" s="148" t="s">
        <v>527</v>
      </c>
      <c r="H241" s="149">
        <v>4500</v>
      </c>
      <c r="I241" s="149">
        <v>6290</v>
      </c>
      <c r="J241" s="148" t="s">
        <v>848</v>
      </c>
      <c r="K241" s="148" t="s">
        <v>226</v>
      </c>
      <c r="L241" s="148"/>
      <c r="M241" s="148"/>
      <c r="N241" s="14" t="str">
        <f t="shared" si="3"/>
        <v>1</v>
      </c>
      <c r="O241" s="14" t="str">
        <f>INDEX(Кат!$H:$H,MATCH($A241,Кат!$A:$A,0))</f>
        <v>штат</v>
      </c>
    </row>
    <row r="242" spans="1:15" ht="30" x14ac:dyDescent="0.25">
      <c r="A242" s="147">
        <v>218482</v>
      </c>
      <c r="B242" s="147">
        <v>7252</v>
      </c>
      <c r="C242" s="148" t="s">
        <v>305</v>
      </c>
      <c r="D242" s="148" t="s">
        <v>678</v>
      </c>
      <c r="E242" s="148"/>
      <c r="F242" s="148"/>
      <c r="G242" s="148" t="s">
        <v>527</v>
      </c>
      <c r="H242" s="149">
        <v>1650</v>
      </c>
      <c r="I242" s="149">
        <v>2290</v>
      </c>
      <c r="J242" s="148" t="s">
        <v>955</v>
      </c>
      <c r="K242" s="148" t="s">
        <v>226</v>
      </c>
      <c r="L242" s="148"/>
      <c r="M242" s="148"/>
      <c r="N242" s="14" t="str">
        <f t="shared" si="3"/>
        <v>1</v>
      </c>
      <c r="O242" s="14" t="str">
        <f>INDEX(Кат!$H:$H,MATCH($A242,Кат!$A:$A,0))</f>
        <v>штат</v>
      </c>
    </row>
    <row r="243" spans="1:15" ht="45" x14ac:dyDescent="0.25">
      <c r="A243" s="147">
        <v>218487</v>
      </c>
      <c r="B243" s="147">
        <v>24548</v>
      </c>
      <c r="C243" s="148" t="s">
        <v>414</v>
      </c>
      <c r="D243" s="148" t="s">
        <v>678</v>
      </c>
      <c r="E243" s="148"/>
      <c r="F243" s="148"/>
      <c r="G243" s="148" t="s">
        <v>527</v>
      </c>
      <c r="H243" s="149">
        <v>5000</v>
      </c>
      <c r="I243" s="149">
        <v>6890</v>
      </c>
      <c r="J243" s="148" t="s">
        <v>941</v>
      </c>
      <c r="K243" s="148" t="s">
        <v>226</v>
      </c>
      <c r="L243" s="148"/>
      <c r="M243" s="148"/>
      <c r="N243" s="14" t="str">
        <f t="shared" si="3"/>
        <v>1</v>
      </c>
      <c r="O243" s="14" t="str">
        <f>INDEX(Кат!$H:$H,MATCH($A243,Кат!$A:$A,0))</f>
        <v>штат</v>
      </c>
    </row>
    <row r="244" spans="1:15" ht="30" x14ac:dyDescent="0.25">
      <c r="A244" s="147">
        <v>218488</v>
      </c>
      <c r="B244" s="147">
        <v>6989</v>
      </c>
      <c r="C244" s="148" t="s">
        <v>351</v>
      </c>
      <c r="D244" s="148" t="s">
        <v>678</v>
      </c>
      <c r="E244" s="148"/>
      <c r="F244" s="148"/>
      <c r="G244" s="148" t="s">
        <v>527</v>
      </c>
      <c r="H244" s="149">
        <v>0</v>
      </c>
      <c r="I244" s="149">
        <v>3890</v>
      </c>
      <c r="J244" s="148"/>
      <c r="K244" s="148" t="s">
        <v>679</v>
      </c>
      <c r="L244" s="148"/>
      <c r="M244" s="148"/>
      <c r="N244" s="14" t="str">
        <f t="shared" si="3"/>
        <v>0</v>
      </c>
      <c r="O244" s="14" t="str">
        <f>INDEX(Кат!$H:$H,MATCH($A244,Кат!$A:$A,0))</f>
        <v>штат</v>
      </c>
    </row>
    <row r="245" spans="1:15" ht="30" x14ac:dyDescent="0.25">
      <c r="A245" s="147">
        <v>218489</v>
      </c>
      <c r="B245" s="147">
        <v>6996</v>
      </c>
      <c r="C245" s="148" t="s">
        <v>316</v>
      </c>
      <c r="D245" s="148" t="s">
        <v>678</v>
      </c>
      <c r="E245" s="148"/>
      <c r="F245" s="148"/>
      <c r="G245" s="148" t="s">
        <v>527</v>
      </c>
      <c r="H245" s="149">
        <v>720</v>
      </c>
      <c r="I245" s="149">
        <v>1190</v>
      </c>
      <c r="J245" s="148"/>
      <c r="K245" s="148" t="s">
        <v>679</v>
      </c>
      <c r="L245" s="148"/>
      <c r="M245" s="148"/>
      <c r="N245" s="14" t="str">
        <f t="shared" si="3"/>
        <v>0</v>
      </c>
      <c r="O245" s="14" t="str">
        <f>INDEX(Кат!$H:$H,MATCH($A245,Кат!$A:$A,0))</f>
        <v>штат</v>
      </c>
    </row>
    <row r="246" spans="1:15" ht="30" x14ac:dyDescent="0.25">
      <c r="A246" s="147">
        <v>218490</v>
      </c>
      <c r="B246" s="147">
        <v>6997</v>
      </c>
      <c r="C246" s="148" t="s">
        <v>291</v>
      </c>
      <c r="D246" s="148" t="s">
        <v>678</v>
      </c>
      <c r="E246" s="148"/>
      <c r="F246" s="148"/>
      <c r="G246" s="148" t="s">
        <v>527</v>
      </c>
      <c r="H246" s="149">
        <v>1300</v>
      </c>
      <c r="I246" s="149">
        <v>1890</v>
      </c>
      <c r="J246" s="148"/>
      <c r="K246" s="148" t="s">
        <v>679</v>
      </c>
      <c r="L246" s="148"/>
      <c r="M246" s="148"/>
      <c r="N246" s="14" t="str">
        <f t="shared" si="3"/>
        <v>0</v>
      </c>
      <c r="O246" s="14" t="str">
        <f>INDEX(Кат!$H:$H,MATCH($A246,Кат!$A:$A,0))</f>
        <v>штат</v>
      </c>
    </row>
    <row r="247" spans="1:15" ht="30" x14ac:dyDescent="0.25">
      <c r="A247" s="147">
        <v>218491</v>
      </c>
      <c r="B247" s="147">
        <v>6990</v>
      </c>
      <c r="C247" s="148" t="s">
        <v>267</v>
      </c>
      <c r="D247" s="148" t="s">
        <v>678</v>
      </c>
      <c r="E247" s="148"/>
      <c r="F247" s="148"/>
      <c r="G247" s="148" t="s">
        <v>527</v>
      </c>
      <c r="H247" s="149">
        <v>2450</v>
      </c>
      <c r="I247" s="149">
        <v>3190</v>
      </c>
      <c r="J247" s="148"/>
      <c r="K247" s="148" t="s">
        <v>226</v>
      </c>
      <c r="L247" s="148"/>
      <c r="M247" s="148"/>
      <c r="N247" s="14" t="str">
        <f t="shared" si="3"/>
        <v>1</v>
      </c>
      <c r="O247" s="14" t="str">
        <f>INDEX(Кат!$H:$H,MATCH($A247,Кат!$A:$A,0))</f>
        <v>штат</v>
      </c>
    </row>
    <row r="248" spans="1:15" ht="30" x14ac:dyDescent="0.25">
      <c r="A248" s="147">
        <v>218492</v>
      </c>
      <c r="B248" s="147">
        <v>6992</v>
      </c>
      <c r="C248" s="148" t="s">
        <v>328</v>
      </c>
      <c r="D248" s="148" t="s">
        <v>678</v>
      </c>
      <c r="E248" s="148"/>
      <c r="F248" s="148"/>
      <c r="G248" s="148" t="s">
        <v>527</v>
      </c>
      <c r="H248" s="149">
        <v>500</v>
      </c>
      <c r="I248" s="149">
        <v>799</v>
      </c>
      <c r="J248" s="148"/>
      <c r="K248" s="148" t="s">
        <v>679</v>
      </c>
      <c r="L248" s="148"/>
      <c r="M248" s="148"/>
      <c r="N248" s="14" t="str">
        <f t="shared" si="3"/>
        <v>0</v>
      </c>
      <c r="O248" s="14" t="str">
        <f>INDEX(Кат!$H:$H,MATCH($A248,Кат!$A:$A,0))</f>
        <v>штат</v>
      </c>
    </row>
    <row r="249" spans="1:15" ht="30" x14ac:dyDescent="0.25">
      <c r="A249" s="147">
        <v>218493</v>
      </c>
      <c r="B249" s="147">
        <v>6998</v>
      </c>
      <c r="C249" s="148" t="s">
        <v>355</v>
      </c>
      <c r="D249" s="148" t="s">
        <v>678</v>
      </c>
      <c r="E249" s="148"/>
      <c r="F249" s="148"/>
      <c r="G249" s="148" t="s">
        <v>527</v>
      </c>
      <c r="H249" s="149">
        <v>0</v>
      </c>
      <c r="I249" s="149">
        <v>2090</v>
      </c>
      <c r="J249" s="148"/>
      <c r="K249" s="148" t="s">
        <v>679</v>
      </c>
      <c r="L249" s="148"/>
      <c r="M249" s="148"/>
      <c r="N249" s="14" t="str">
        <f t="shared" si="3"/>
        <v>0</v>
      </c>
      <c r="O249" s="14" t="str">
        <f>INDEX(Кат!$H:$H,MATCH($A249,Кат!$A:$A,0))</f>
        <v>штат</v>
      </c>
    </row>
    <row r="250" spans="1:15" ht="30" x14ac:dyDescent="0.25">
      <c r="A250" s="147">
        <v>218494</v>
      </c>
      <c r="B250" s="147">
        <v>6994</v>
      </c>
      <c r="C250" s="148" t="s">
        <v>353</v>
      </c>
      <c r="D250" s="148" t="s">
        <v>678</v>
      </c>
      <c r="E250" s="148"/>
      <c r="F250" s="148"/>
      <c r="G250" s="148" t="s">
        <v>527</v>
      </c>
      <c r="H250" s="149">
        <v>0</v>
      </c>
      <c r="I250" s="149">
        <v>1190</v>
      </c>
      <c r="J250" s="148"/>
      <c r="K250" s="148" t="s">
        <v>679</v>
      </c>
      <c r="L250" s="148"/>
      <c r="M250" s="148"/>
      <c r="N250" s="14" t="str">
        <f t="shared" si="3"/>
        <v>0</v>
      </c>
      <c r="O250" s="14" t="str">
        <f>INDEX(Кат!$H:$H,MATCH($A250,Кат!$A:$A,0))</f>
        <v>штат</v>
      </c>
    </row>
    <row r="251" spans="1:15" ht="30" x14ac:dyDescent="0.25">
      <c r="A251" s="147">
        <v>218495</v>
      </c>
      <c r="B251" s="147">
        <v>6991</v>
      </c>
      <c r="C251" s="148" t="s">
        <v>352</v>
      </c>
      <c r="D251" s="148" t="s">
        <v>678</v>
      </c>
      <c r="E251" s="148"/>
      <c r="F251" s="148"/>
      <c r="G251" s="148" t="s">
        <v>527</v>
      </c>
      <c r="H251" s="149">
        <v>0</v>
      </c>
      <c r="I251" s="149">
        <v>0</v>
      </c>
      <c r="J251" s="148"/>
      <c r="K251" s="148" t="s">
        <v>679</v>
      </c>
      <c r="L251" s="148"/>
      <c r="M251" s="148"/>
      <c r="N251" s="14" t="str">
        <f t="shared" si="3"/>
        <v>0</v>
      </c>
      <c r="O251" s="14" t="str">
        <f>INDEX(Кат!$H:$H,MATCH($A251,Кат!$A:$A,0))</f>
        <v>штат</v>
      </c>
    </row>
    <row r="252" spans="1:15" ht="45" x14ac:dyDescent="0.25">
      <c r="A252" s="147">
        <v>218497</v>
      </c>
      <c r="B252" s="147">
        <v>6999</v>
      </c>
      <c r="C252" s="148" t="s">
        <v>356</v>
      </c>
      <c r="D252" s="148" t="s">
        <v>678</v>
      </c>
      <c r="E252" s="148"/>
      <c r="F252" s="148"/>
      <c r="G252" s="148" t="s">
        <v>527</v>
      </c>
      <c r="H252" s="149">
        <v>0</v>
      </c>
      <c r="I252" s="149">
        <v>6490</v>
      </c>
      <c r="J252" s="148"/>
      <c r="K252" s="148" t="s">
        <v>679</v>
      </c>
      <c r="L252" s="148"/>
      <c r="M252" s="148"/>
      <c r="N252" s="14" t="str">
        <f t="shared" si="3"/>
        <v>0</v>
      </c>
      <c r="O252" s="14" t="str">
        <f>INDEX(Кат!$H:$H,MATCH($A252,Кат!$A:$A,0))</f>
        <v>штат</v>
      </c>
    </row>
    <row r="253" spans="1:15" ht="45" x14ac:dyDescent="0.25">
      <c r="A253" s="147">
        <v>218498</v>
      </c>
      <c r="B253" s="147">
        <v>7000</v>
      </c>
      <c r="C253" s="148" t="s">
        <v>313</v>
      </c>
      <c r="D253" s="148" t="s">
        <v>678</v>
      </c>
      <c r="E253" s="148"/>
      <c r="F253" s="148"/>
      <c r="G253" s="148" t="s">
        <v>527</v>
      </c>
      <c r="H253" s="149">
        <v>1250</v>
      </c>
      <c r="I253" s="149">
        <v>1790</v>
      </c>
      <c r="J253" s="148" t="s">
        <v>964</v>
      </c>
      <c r="K253" s="148" t="s">
        <v>226</v>
      </c>
      <c r="L253" s="148"/>
      <c r="M253" s="148"/>
      <c r="N253" s="14" t="str">
        <f t="shared" si="3"/>
        <v>1</v>
      </c>
      <c r="O253" s="14" t="str">
        <f>INDEX(Кат!$H:$H,MATCH($A253,Кат!$A:$A,0))</f>
        <v>штат</v>
      </c>
    </row>
    <row r="254" spans="1:15" ht="45" x14ac:dyDescent="0.25">
      <c r="A254" s="147">
        <v>218499</v>
      </c>
      <c r="B254" s="147">
        <v>7001</v>
      </c>
      <c r="C254" s="148" t="s">
        <v>302</v>
      </c>
      <c r="D254" s="148" t="s">
        <v>678</v>
      </c>
      <c r="E254" s="148"/>
      <c r="F254" s="148"/>
      <c r="G254" s="148" t="s">
        <v>527</v>
      </c>
      <c r="H254" s="149">
        <v>1970</v>
      </c>
      <c r="I254" s="149">
        <v>2790</v>
      </c>
      <c r="J254" s="148" t="s">
        <v>795</v>
      </c>
      <c r="K254" s="148" t="s">
        <v>226</v>
      </c>
      <c r="L254" s="148"/>
      <c r="M254" s="148"/>
      <c r="N254" s="14" t="str">
        <f t="shared" si="3"/>
        <v>1</v>
      </c>
      <c r="O254" s="14" t="str">
        <f>INDEX(Кат!$H:$H,MATCH($A254,Кат!$A:$A,0))</f>
        <v>штат</v>
      </c>
    </row>
    <row r="255" spans="1:15" ht="30" x14ac:dyDescent="0.25">
      <c r="A255" s="147">
        <v>218500</v>
      </c>
      <c r="B255" s="147">
        <v>6993</v>
      </c>
      <c r="C255" s="148" t="s">
        <v>205</v>
      </c>
      <c r="D255" s="148" t="s">
        <v>678</v>
      </c>
      <c r="E255" s="148"/>
      <c r="F255" s="148"/>
      <c r="G255" s="148" t="s">
        <v>527</v>
      </c>
      <c r="H255" s="149">
        <v>950</v>
      </c>
      <c r="I255" s="149">
        <v>1590</v>
      </c>
      <c r="J255" s="148"/>
      <c r="K255" s="148" t="s">
        <v>679</v>
      </c>
      <c r="L255" s="148"/>
      <c r="M255" s="148"/>
      <c r="N255" s="14" t="str">
        <f t="shared" si="3"/>
        <v>0</v>
      </c>
      <c r="O255" s="14" t="str">
        <f>INDEX(Кат!$H:$H,MATCH($A255,Кат!$A:$A,0))</f>
        <v>штат</v>
      </c>
    </row>
    <row r="256" spans="1:15" ht="30" x14ac:dyDescent="0.25">
      <c r="A256" s="147">
        <v>218501</v>
      </c>
      <c r="B256" s="147">
        <v>6995</v>
      </c>
      <c r="C256" s="148" t="s">
        <v>354</v>
      </c>
      <c r="D256" s="148" t="s">
        <v>678</v>
      </c>
      <c r="E256" s="148"/>
      <c r="F256" s="148"/>
      <c r="G256" s="148" t="s">
        <v>527</v>
      </c>
      <c r="H256" s="149">
        <v>0</v>
      </c>
      <c r="I256" s="149">
        <v>1590</v>
      </c>
      <c r="J256" s="148"/>
      <c r="K256" s="148" t="s">
        <v>679</v>
      </c>
      <c r="L256" s="148"/>
      <c r="M256" s="148"/>
      <c r="N256" s="14" t="str">
        <f t="shared" si="3"/>
        <v>0</v>
      </c>
      <c r="O256" s="14" t="str">
        <f>INDEX(Кат!$H:$H,MATCH($A256,Кат!$A:$A,0))</f>
        <v>штат</v>
      </c>
    </row>
    <row r="257" spans="1:15" ht="30" x14ac:dyDescent="0.25">
      <c r="A257" s="147">
        <v>219058</v>
      </c>
      <c r="B257" s="147">
        <v>7237</v>
      </c>
      <c r="C257" s="148" t="s">
        <v>299</v>
      </c>
      <c r="D257" s="148" t="s">
        <v>678</v>
      </c>
      <c r="E257" s="148"/>
      <c r="F257" s="148"/>
      <c r="G257" s="148" t="s">
        <v>527</v>
      </c>
      <c r="H257" s="149">
        <v>1200</v>
      </c>
      <c r="I257" s="149">
        <v>1690</v>
      </c>
      <c r="J257" s="148" t="s">
        <v>957</v>
      </c>
      <c r="K257" s="148" t="s">
        <v>226</v>
      </c>
      <c r="L257" s="148"/>
      <c r="M257" s="148"/>
      <c r="N257" s="14" t="str">
        <f t="shared" si="3"/>
        <v>1</v>
      </c>
      <c r="O257" s="14" t="str">
        <f>INDEX(Кат!$H:$H,MATCH($A257,Кат!$A:$A,0))</f>
        <v>штат</v>
      </c>
    </row>
    <row r="258" spans="1:15" ht="45" x14ac:dyDescent="0.25">
      <c r="A258" s="147">
        <v>219100</v>
      </c>
      <c r="B258" s="147">
        <v>7193</v>
      </c>
      <c r="C258" s="148" t="s">
        <v>207</v>
      </c>
      <c r="D258" s="148" t="s">
        <v>678</v>
      </c>
      <c r="E258" s="148"/>
      <c r="F258" s="148"/>
      <c r="G258" s="148" t="s">
        <v>527</v>
      </c>
      <c r="H258" s="149">
        <v>700</v>
      </c>
      <c r="I258" s="149">
        <v>1190</v>
      </c>
      <c r="J258" s="148" t="s">
        <v>976</v>
      </c>
      <c r="K258" s="148" t="s">
        <v>226</v>
      </c>
      <c r="L258" s="148"/>
      <c r="M258" s="148"/>
      <c r="N258" s="14" t="str">
        <f t="shared" si="3"/>
        <v>1</v>
      </c>
      <c r="O258" s="14" t="str">
        <f>INDEX(Кат!$H:$H,MATCH($A258,Кат!$A:$A,0))</f>
        <v>штат</v>
      </c>
    </row>
    <row r="259" spans="1:15" ht="30" x14ac:dyDescent="0.25">
      <c r="A259" s="147">
        <v>219101</v>
      </c>
      <c r="B259" s="147">
        <v>7191</v>
      </c>
      <c r="C259" s="148" t="s">
        <v>318</v>
      </c>
      <c r="D259" s="148" t="s">
        <v>678</v>
      </c>
      <c r="E259" s="148"/>
      <c r="F259" s="148"/>
      <c r="G259" s="148" t="s">
        <v>527</v>
      </c>
      <c r="H259" s="149">
        <v>700</v>
      </c>
      <c r="I259" s="149">
        <v>1190</v>
      </c>
      <c r="J259" s="148"/>
      <c r="K259" s="148" t="s">
        <v>679</v>
      </c>
      <c r="L259" s="148"/>
      <c r="M259" s="148"/>
      <c r="N259" s="14" t="str">
        <f t="shared" ref="N259:N297" si="4">_xlfn.CONCAT(K259,IF(L259&lt;&gt;"",_xlfn.CONCAT("ск",L259),""))</f>
        <v>0</v>
      </c>
      <c r="O259" s="14" t="str">
        <f>INDEX(Кат!$H:$H,MATCH($A259,Кат!$A:$A,0))</f>
        <v>штат</v>
      </c>
    </row>
    <row r="260" spans="1:15" ht="30" x14ac:dyDescent="0.25">
      <c r="A260" s="147">
        <v>219102</v>
      </c>
      <c r="B260" s="147">
        <v>7190</v>
      </c>
      <c r="C260" s="148" t="s">
        <v>374</v>
      </c>
      <c r="D260" s="148" t="s">
        <v>678</v>
      </c>
      <c r="E260" s="148"/>
      <c r="F260" s="148"/>
      <c r="G260" s="148" t="s">
        <v>527</v>
      </c>
      <c r="H260" s="149">
        <v>0</v>
      </c>
      <c r="I260" s="149">
        <v>719</v>
      </c>
      <c r="J260" s="148"/>
      <c r="K260" s="148" t="s">
        <v>679</v>
      </c>
      <c r="L260" s="148"/>
      <c r="M260" s="148"/>
      <c r="N260" s="14" t="str">
        <f t="shared" si="4"/>
        <v>0</v>
      </c>
      <c r="O260" s="14" t="str">
        <f>INDEX(Кат!$H:$H,MATCH($A260,Кат!$A:$A,0))</f>
        <v>штат</v>
      </c>
    </row>
    <row r="261" spans="1:15" ht="30" x14ac:dyDescent="0.25">
      <c r="A261" s="147">
        <v>219103</v>
      </c>
      <c r="B261" s="147">
        <v>7189</v>
      </c>
      <c r="C261" s="148" t="s">
        <v>217</v>
      </c>
      <c r="D261" s="148" t="s">
        <v>678</v>
      </c>
      <c r="E261" s="148"/>
      <c r="F261" s="148"/>
      <c r="G261" s="148" t="s">
        <v>527</v>
      </c>
      <c r="H261" s="149">
        <v>650</v>
      </c>
      <c r="I261" s="149">
        <v>1090</v>
      </c>
      <c r="J261" s="148"/>
      <c r="K261" s="148" t="s">
        <v>679</v>
      </c>
      <c r="L261" s="148"/>
      <c r="M261" s="148"/>
      <c r="N261" s="14" t="str">
        <f t="shared" si="4"/>
        <v>0</v>
      </c>
      <c r="O261" s="14" t="str">
        <f>INDEX(Кат!$H:$H,MATCH($A261,Кат!$A:$A,0))</f>
        <v>штат</v>
      </c>
    </row>
    <row r="262" spans="1:15" x14ac:dyDescent="0.25">
      <c r="A262" s="147">
        <v>219130</v>
      </c>
      <c r="B262" s="147">
        <v>24549</v>
      </c>
      <c r="C262" s="148" t="s">
        <v>415</v>
      </c>
      <c r="D262" s="148" t="s">
        <v>678</v>
      </c>
      <c r="E262" s="148"/>
      <c r="F262" s="148"/>
      <c r="G262" s="148" t="s">
        <v>527</v>
      </c>
      <c r="H262" s="149">
        <v>800</v>
      </c>
      <c r="I262" s="149">
        <v>1290</v>
      </c>
      <c r="J262" s="148"/>
      <c r="K262" s="148" t="s">
        <v>679</v>
      </c>
      <c r="L262" s="148"/>
      <c r="M262" s="148"/>
      <c r="N262" s="14" t="str">
        <f t="shared" si="4"/>
        <v>0</v>
      </c>
      <c r="O262" s="14" t="str">
        <f>INDEX(Кат!$H:$H,MATCH($A262,Кат!$A:$A,0))</f>
        <v>штат</v>
      </c>
    </row>
    <row r="263" spans="1:15" ht="45" x14ac:dyDescent="0.25">
      <c r="A263" s="147">
        <v>219137</v>
      </c>
      <c r="B263" s="147">
        <v>24550</v>
      </c>
      <c r="C263" s="148" t="s">
        <v>214</v>
      </c>
      <c r="D263" s="148" t="s">
        <v>678</v>
      </c>
      <c r="E263" s="148"/>
      <c r="F263" s="148"/>
      <c r="G263" s="148" t="s">
        <v>527</v>
      </c>
      <c r="H263" s="149">
        <v>220</v>
      </c>
      <c r="I263" s="149">
        <v>479</v>
      </c>
      <c r="J263" s="148" t="s">
        <v>837</v>
      </c>
      <c r="K263" s="148" t="s">
        <v>226</v>
      </c>
      <c r="L263" s="148"/>
      <c r="M263" s="148"/>
      <c r="N263" s="14" t="str">
        <f t="shared" si="4"/>
        <v>1</v>
      </c>
      <c r="O263" s="14" t="str">
        <f>INDEX(Кат!$H:$H,MATCH($A263,Кат!$A:$A,0))</f>
        <v>штат</v>
      </c>
    </row>
    <row r="264" spans="1:15" ht="30" x14ac:dyDescent="0.25">
      <c r="A264" s="147">
        <v>219241</v>
      </c>
      <c r="B264" s="147">
        <v>7265</v>
      </c>
      <c r="C264" s="148" t="s">
        <v>531</v>
      </c>
      <c r="D264" s="148" t="s">
        <v>678</v>
      </c>
      <c r="E264" s="148"/>
      <c r="F264" s="148"/>
      <c r="G264" s="148" t="s">
        <v>527</v>
      </c>
      <c r="H264" s="149">
        <v>2000</v>
      </c>
      <c r="I264" s="149">
        <v>2590</v>
      </c>
      <c r="J264" s="148" t="s">
        <v>716</v>
      </c>
      <c r="K264" s="148" t="s">
        <v>226</v>
      </c>
      <c r="L264" s="148"/>
      <c r="M264" s="148"/>
      <c r="N264" s="14" t="str">
        <f t="shared" si="4"/>
        <v>1</v>
      </c>
      <c r="O264" s="14" t="str">
        <f>INDEX(Кат!$H:$H,MATCH($A264,Кат!$A:$A,0))</f>
        <v>штат</v>
      </c>
    </row>
    <row r="265" spans="1:15" ht="30" x14ac:dyDescent="0.25">
      <c r="A265" s="147">
        <v>219242</v>
      </c>
      <c r="B265" s="147">
        <v>24551</v>
      </c>
      <c r="C265" s="148" t="s">
        <v>247</v>
      </c>
      <c r="D265" s="148" t="s">
        <v>678</v>
      </c>
      <c r="E265" s="148"/>
      <c r="F265" s="148"/>
      <c r="G265" s="148" t="s">
        <v>527</v>
      </c>
      <c r="H265" s="149">
        <v>5300</v>
      </c>
      <c r="I265" s="149">
        <v>6990</v>
      </c>
      <c r="J265" s="148"/>
      <c r="K265" s="148" t="s">
        <v>226</v>
      </c>
      <c r="L265" s="148"/>
      <c r="M265" s="148" t="s">
        <v>678</v>
      </c>
      <c r="N265" s="14" t="str">
        <f t="shared" si="4"/>
        <v>1</v>
      </c>
      <c r="O265" s="14" t="str">
        <f>INDEX(Кат!$H:$H,MATCH($A265,Кат!$A:$A,0))</f>
        <v>штат</v>
      </c>
    </row>
    <row r="266" spans="1:15" x14ac:dyDescent="0.25">
      <c r="A266" s="147">
        <v>219243</v>
      </c>
      <c r="B266" s="147">
        <v>7266</v>
      </c>
      <c r="C266" s="148" t="s">
        <v>259</v>
      </c>
      <c r="D266" s="148" t="s">
        <v>678</v>
      </c>
      <c r="E266" s="148"/>
      <c r="F266" s="148"/>
      <c r="G266" s="148" t="s">
        <v>527</v>
      </c>
      <c r="H266" s="149">
        <v>2900</v>
      </c>
      <c r="I266" s="149">
        <v>3890</v>
      </c>
      <c r="J266" s="148" t="s">
        <v>851</v>
      </c>
      <c r="K266" s="148" t="s">
        <v>226</v>
      </c>
      <c r="L266" s="148"/>
      <c r="M266" s="148"/>
      <c r="N266" s="14" t="str">
        <f t="shared" si="4"/>
        <v>1</v>
      </c>
      <c r="O266" s="14" t="str">
        <f>INDEX(Кат!$H:$H,MATCH($A266,Кат!$A:$A,0))</f>
        <v>штат</v>
      </c>
    </row>
    <row r="267" spans="1:15" ht="45" x14ac:dyDescent="0.25">
      <c r="A267" s="147">
        <v>223070</v>
      </c>
      <c r="B267" s="147">
        <v>7229</v>
      </c>
      <c r="C267" s="148" t="s">
        <v>327</v>
      </c>
      <c r="D267" s="148" t="s">
        <v>678</v>
      </c>
      <c r="E267" s="148"/>
      <c r="F267" s="148"/>
      <c r="G267" s="148" t="s">
        <v>527</v>
      </c>
      <c r="H267" s="149">
        <v>660</v>
      </c>
      <c r="I267" s="149">
        <v>999</v>
      </c>
      <c r="J267" s="148" t="s">
        <v>1006</v>
      </c>
      <c r="K267" s="148" t="s">
        <v>226</v>
      </c>
      <c r="L267" s="148"/>
      <c r="M267" s="148"/>
      <c r="N267" s="14" t="str">
        <f t="shared" si="4"/>
        <v>1</v>
      </c>
      <c r="O267" s="14" t="str">
        <f>INDEX(Кат!$H:$H,MATCH($A267,Кат!$A:$A,0))</f>
        <v>штат</v>
      </c>
    </row>
    <row r="268" spans="1:15" ht="45" x14ac:dyDescent="0.25">
      <c r="A268" s="147">
        <v>223717</v>
      </c>
      <c r="B268" s="147">
        <v>24499</v>
      </c>
      <c r="C268" s="148" t="s">
        <v>347</v>
      </c>
      <c r="D268" s="148" t="s">
        <v>678</v>
      </c>
      <c r="E268" s="148"/>
      <c r="F268" s="148"/>
      <c r="G268" s="148" t="s">
        <v>527</v>
      </c>
      <c r="H268" s="149">
        <v>250</v>
      </c>
      <c r="I268" s="149">
        <v>519</v>
      </c>
      <c r="J268" s="148" t="s">
        <v>809</v>
      </c>
      <c r="K268" s="148" t="s">
        <v>226</v>
      </c>
      <c r="L268" s="148"/>
      <c r="M268" s="148"/>
      <c r="N268" s="14" t="str">
        <f t="shared" si="4"/>
        <v>1</v>
      </c>
      <c r="O268" s="14" t="str">
        <f>INDEX(Кат!$H:$H,MATCH($A268,Кат!$A:$A,0))</f>
        <v>штат</v>
      </c>
    </row>
    <row r="269" spans="1:15" ht="45" x14ac:dyDescent="0.25">
      <c r="A269" s="147">
        <v>223730</v>
      </c>
      <c r="B269" s="147">
        <v>33328</v>
      </c>
      <c r="C269" s="148" t="s">
        <v>462</v>
      </c>
      <c r="D269" s="148" t="s">
        <v>678</v>
      </c>
      <c r="E269" s="148"/>
      <c r="F269" s="148"/>
      <c r="G269" s="148" t="s">
        <v>527</v>
      </c>
      <c r="H269" s="149">
        <v>320</v>
      </c>
      <c r="I269" s="149">
        <v>629</v>
      </c>
      <c r="J269" s="148" t="s">
        <v>977</v>
      </c>
      <c r="K269" s="148" t="s">
        <v>226</v>
      </c>
      <c r="L269" s="148"/>
      <c r="M269" s="148"/>
      <c r="N269" s="14" t="str">
        <f t="shared" si="4"/>
        <v>1</v>
      </c>
      <c r="O269" s="14" t="str">
        <f>INDEX(Кат!$H:$H,MATCH($A269,Кат!$A:$A,0))</f>
        <v>штат</v>
      </c>
    </row>
    <row r="270" spans="1:15" ht="30" x14ac:dyDescent="0.25">
      <c r="A270" s="147">
        <v>223733</v>
      </c>
      <c r="B270" s="147">
        <v>8903</v>
      </c>
      <c r="C270" s="148" t="s">
        <v>459</v>
      </c>
      <c r="D270" s="148" t="s">
        <v>678</v>
      </c>
      <c r="E270" s="148"/>
      <c r="F270" s="148"/>
      <c r="G270" s="148" t="s">
        <v>527</v>
      </c>
      <c r="H270" s="149">
        <v>2400</v>
      </c>
      <c r="I270" s="149">
        <v>3390</v>
      </c>
      <c r="J270" s="148" t="s">
        <v>947</v>
      </c>
      <c r="K270" s="148" t="s">
        <v>226</v>
      </c>
      <c r="L270" s="148"/>
      <c r="M270" s="148"/>
      <c r="N270" s="14" t="str">
        <f t="shared" si="4"/>
        <v>1</v>
      </c>
      <c r="O270" s="14" t="str">
        <f>INDEX(Кат!$H:$H,MATCH($A270,Кат!$A:$A,0))</f>
        <v>штат</v>
      </c>
    </row>
    <row r="271" spans="1:15" ht="30" x14ac:dyDescent="0.25">
      <c r="A271" s="147">
        <v>223734</v>
      </c>
      <c r="B271" s="147">
        <v>8883</v>
      </c>
      <c r="C271" s="148" t="s">
        <v>458</v>
      </c>
      <c r="D271" s="148" t="s">
        <v>678</v>
      </c>
      <c r="E271" s="148"/>
      <c r="F271" s="148"/>
      <c r="G271" s="148" t="s">
        <v>527</v>
      </c>
      <c r="H271" s="149">
        <v>2550</v>
      </c>
      <c r="I271" s="149">
        <v>3490</v>
      </c>
      <c r="J271" s="148" t="s">
        <v>854</v>
      </c>
      <c r="K271" s="148" t="s">
        <v>226</v>
      </c>
      <c r="L271" s="148"/>
      <c r="M271" s="148"/>
      <c r="N271" s="14" t="str">
        <f t="shared" si="4"/>
        <v>1</v>
      </c>
      <c r="O271" s="14" t="str">
        <f>INDEX(Кат!$H:$H,MATCH($A271,Кат!$A:$A,0))</f>
        <v>штат</v>
      </c>
    </row>
    <row r="272" spans="1:15" ht="45" x14ac:dyDescent="0.25">
      <c r="A272" s="147">
        <v>223736</v>
      </c>
      <c r="B272" s="147">
        <v>8908</v>
      </c>
      <c r="C272" s="148" t="s">
        <v>460</v>
      </c>
      <c r="D272" s="148" t="s">
        <v>678</v>
      </c>
      <c r="E272" s="148"/>
      <c r="F272" s="148"/>
      <c r="G272" s="148" t="s">
        <v>527</v>
      </c>
      <c r="H272" s="149">
        <v>1250</v>
      </c>
      <c r="I272" s="149">
        <v>1790</v>
      </c>
      <c r="J272" s="148" t="s">
        <v>962</v>
      </c>
      <c r="K272" s="148" t="s">
        <v>226</v>
      </c>
      <c r="L272" s="148"/>
      <c r="M272" s="148"/>
      <c r="N272" s="14" t="str">
        <f t="shared" si="4"/>
        <v>1</v>
      </c>
      <c r="O272" s="14" t="str">
        <f>INDEX(Кат!$H:$H,MATCH($A272,Кат!$A:$A,0))</f>
        <v>штат</v>
      </c>
    </row>
    <row r="273" spans="1:15" ht="45" x14ac:dyDescent="0.25">
      <c r="A273" s="147">
        <v>224053</v>
      </c>
      <c r="B273" s="147">
        <v>24553</v>
      </c>
      <c r="C273" s="148" t="s">
        <v>204</v>
      </c>
      <c r="D273" s="148" t="s">
        <v>678</v>
      </c>
      <c r="E273" s="148"/>
      <c r="F273" s="148"/>
      <c r="G273" s="148" t="s">
        <v>527</v>
      </c>
      <c r="H273" s="149">
        <v>370</v>
      </c>
      <c r="I273" s="149">
        <v>629</v>
      </c>
      <c r="J273" s="148" t="s">
        <v>980</v>
      </c>
      <c r="K273" s="148" t="s">
        <v>226</v>
      </c>
      <c r="L273" s="148"/>
      <c r="M273" s="148"/>
      <c r="N273" s="14" t="str">
        <f t="shared" si="4"/>
        <v>1</v>
      </c>
      <c r="O273" s="14" t="str">
        <f>INDEX(Кат!$H:$H,MATCH($A273,Кат!$A:$A,0))</f>
        <v>штат</v>
      </c>
    </row>
    <row r="274" spans="1:15" ht="30" x14ac:dyDescent="0.25">
      <c r="A274" s="147">
        <v>224563</v>
      </c>
      <c r="B274" s="147">
        <v>39213</v>
      </c>
      <c r="C274" s="148" t="s">
        <v>568</v>
      </c>
      <c r="D274" s="148" t="s">
        <v>678</v>
      </c>
      <c r="E274" s="148" t="s">
        <v>596</v>
      </c>
      <c r="F274" s="148"/>
      <c r="G274" s="148" t="s">
        <v>527</v>
      </c>
      <c r="H274" s="149">
        <v>2050</v>
      </c>
      <c r="I274" s="149">
        <v>2690</v>
      </c>
      <c r="J274" s="148" t="s">
        <v>831</v>
      </c>
      <c r="K274" s="148" t="s">
        <v>679</v>
      </c>
      <c r="L274" s="148"/>
      <c r="M274" s="148"/>
      <c r="N274" s="14" t="str">
        <f t="shared" si="4"/>
        <v>0</v>
      </c>
      <c r="O274" s="14" t="str">
        <f>INDEX(Кат!$H:$H,MATCH($A274,Кат!$A:$A,0))</f>
        <v>штат</v>
      </c>
    </row>
    <row r="275" spans="1:15" ht="45" x14ac:dyDescent="0.25">
      <c r="A275" s="147">
        <v>224564</v>
      </c>
      <c r="B275" s="147">
        <v>166859</v>
      </c>
      <c r="C275" s="148" t="s">
        <v>631</v>
      </c>
      <c r="D275" s="148" t="s">
        <v>678</v>
      </c>
      <c r="E275" s="148" t="s">
        <v>632</v>
      </c>
      <c r="F275" s="148" t="s">
        <v>633</v>
      </c>
      <c r="G275" s="148" t="s">
        <v>527</v>
      </c>
      <c r="H275" s="149">
        <v>2180</v>
      </c>
      <c r="I275" s="149">
        <v>2890</v>
      </c>
      <c r="J275" s="148" t="s">
        <v>933</v>
      </c>
      <c r="K275" s="148" t="s">
        <v>226</v>
      </c>
      <c r="L275" s="148"/>
      <c r="M275" s="148"/>
      <c r="N275" s="14" t="str">
        <f t="shared" si="4"/>
        <v>1</v>
      </c>
      <c r="O275" s="14" t="str">
        <f>INDEX(Кат!$H:$H,MATCH($A275,Кат!$A:$A,0))</f>
        <v>штат</v>
      </c>
    </row>
    <row r="276" spans="1:15" ht="30" x14ac:dyDescent="0.25">
      <c r="A276" s="147">
        <v>224671</v>
      </c>
      <c r="B276" s="147">
        <v>7254</v>
      </c>
      <c r="C276" s="148" t="s">
        <v>275</v>
      </c>
      <c r="D276" s="148" t="s">
        <v>678</v>
      </c>
      <c r="E276" s="148"/>
      <c r="F276" s="148"/>
      <c r="G276" s="148" t="s">
        <v>527</v>
      </c>
      <c r="H276" s="149">
        <v>3050</v>
      </c>
      <c r="I276" s="149">
        <v>4190</v>
      </c>
      <c r="J276" s="148" t="s">
        <v>945</v>
      </c>
      <c r="K276" s="148" t="s">
        <v>226</v>
      </c>
      <c r="L276" s="148"/>
      <c r="M276" s="148"/>
      <c r="N276" s="14" t="str">
        <f t="shared" si="4"/>
        <v>1</v>
      </c>
      <c r="O276" s="14" t="str">
        <f>INDEX(Кат!$H:$H,MATCH($A276,Кат!$A:$A,0))</f>
        <v>штат</v>
      </c>
    </row>
    <row r="277" spans="1:15" ht="30" x14ac:dyDescent="0.25">
      <c r="A277" s="147">
        <v>224674</v>
      </c>
      <c r="B277" s="147">
        <v>24519</v>
      </c>
      <c r="C277" s="148" t="s">
        <v>426</v>
      </c>
      <c r="D277" s="148" t="s">
        <v>678</v>
      </c>
      <c r="E277" s="148"/>
      <c r="F277" s="148"/>
      <c r="G277" s="148" t="s">
        <v>527</v>
      </c>
      <c r="H277" s="149">
        <v>330</v>
      </c>
      <c r="I277" s="149">
        <v>629</v>
      </c>
      <c r="J277" s="148" t="s">
        <v>988</v>
      </c>
      <c r="K277" s="148" t="s">
        <v>226</v>
      </c>
      <c r="L277" s="148"/>
      <c r="M277" s="148"/>
      <c r="N277" s="14" t="str">
        <f t="shared" si="4"/>
        <v>1</v>
      </c>
      <c r="O277" s="14" t="str">
        <f>INDEX(Кат!$H:$H,MATCH($A277,Кат!$A:$A,0))</f>
        <v>штат</v>
      </c>
    </row>
    <row r="278" spans="1:15" ht="30" x14ac:dyDescent="0.25">
      <c r="A278" s="147">
        <v>224675</v>
      </c>
      <c r="B278" s="147">
        <v>7196</v>
      </c>
      <c r="C278" s="148" t="s">
        <v>345</v>
      </c>
      <c r="D278" s="148" t="s">
        <v>678</v>
      </c>
      <c r="E278" s="148"/>
      <c r="F278" s="148"/>
      <c r="G278" s="148" t="s">
        <v>527</v>
      </c>
      <c r="H278" s="149">
        <v>330</v>
      </c>
      <c r="I278" s="149">
        <v>529</v>
      </c>
      <c r="J278" s="148"/>
      <c r="K278" s="148" t="s">
        <v>226</v>
      </c>
      <c r="L278" s="148"/>
      <c r="M278" s="148"/>
      <c r="N278" s="14" t="str">
        <f t="shared" si="4"/>
        <v>1</v>
      </c>
      <c r="O278" s="14" t="str">
        <f>INDEX(Кат!$H:$H,MATCH($A278,Кат!$A:$A,0))</f>
        <v>штат</v>
      </c>
    </row>
    <row r="279" spans="1:15" ht="30" x14ac:dyDescent="0.25">
      <c r="A279" s="147">
        <v>224676</v>
      </c>
      <c r="B279" s="147">
        <v>7195</v>
      </c>
      <c r="C279" s="148" t="s">
        <v>219</v>
      </c>
      <c r="D279" s="148" t="s">
        <v>678</v>
      </c>
      <c r="E279" s="148"/>
      <c r="F279" s="148"/>
      <c r="G279" s="148" t="s">
        <v>527</v>
      </c>
      <c r="H279" s="149">
        <v>130</v>
      </c>
      <c r="I279" s="149">
        <v>279</v>
      </c>
      <c r="J279" s="148" t="s">
        <v>840</v>
      </c>
      <c r="K279" s="148" t="s">
        <v>226</v>
      </c>
      <c r="L279" s="148"/>
      <c r="M279" s="148"/>
      <c r="N279" s="14" t="str">
        <f t="shared" si="4"/>
        <v>1</v>
      </c>
      <c r="O279" s="14" t="str">
        <f>INDEX(Кат!$H:$H,MATCH($A279,Кат!$A:$A,0))</f>
        <v>штат</v>
      </c>
    </row>
    <row r="280" spans="1:15" ht="45" x14ac:dyDescent="0.25">
      <c r="A280" s="147">
        <v>224677</v>
      </c>
      <c r="B280" s="147">
        <v>24514</v>
      </c>
      <c r="C280" s="148" t="s">
        <v>424</v>
      </c>
      <c r="D280" s="148" t="s">
        <v>678</v>
      </c>
      <c r="E280" s="148"/>
      <c r="F280" s="148"/>
      <c r="G280" s="148" t="s">
        <v>527</v>
      </c>
      <c r="H280" s="149">
        <v>300</v>
      </c>
      <c r="I280" s="149">
        <v>629</v>
      </c>
      <c r="J280" s="148" t="s">
        <v>978</v>
      </c>
      <c r="K280" s="148" t="s">
        <v>226</v>
      </c>
      <c r="L280" s="148"/>
      <c r="M280" s="148"/>
      <c r="N280" s="14" t="str">
        <f t="shared" si="4"/>
        <v>1</v>
      </c>
      <c r="O280" s="14" t="str">
        <f>INDEX(Кат!$H:$H,MATCH($A280,Кат!$A:$A,0))</f>
        <v>штат</v>
      </c>
    </row>
    <row r="281" spans="1:15" ht="45" x14ac:dyDescent="0.25">
      <c r="A281" s="147">
        <v>224678</v>
      </c>
      <c r="B281" s="147">
        <v>24515</v>
      </c>
      <c r="C281" s="148" t="s">
        <v>425</v>
      </c>
      <c r="D281" s="148" t="s">
        <v>678</v>
      </c>
      <c r="E281" s="148"/>
      <c r="F281" s="148"/>
      <c r="G281" s="148" t="s">
        <v>527</v>
      </c>
      <c r="H281" s="149">
        <v>250</v>
      </c>
      <c r="I281" s="149">
        <v>519</v>
      </c>
      <c r="J281" s="148" t="s">
        <v>839</v>
      </c>
      <c r="K281" s="148" t="s">
        <v>226</v>
      </c>
      <c r="L281" s="148"/>
      <c r="M281" s="148"/>
      <c r="N281" s="14" t="str">
        <f t="shared" si="4"/>
        <v>1</v>
      </c>
      <c r="O281" s="14" t="str">
        <f>INDEX(Кат!$H:$H,MATCH($A281,Кат!$A:$A,0))</f>
        <v>штат</v>
      </c>
    </row>
    <row r="282" spans="1:15" ht="45" x14ac:dyDescent="0.25">
      <c r="A282" s="147">
        <v>224679</v>
      </c>
      <c r="B282" s="147">
        <v>7210</v>
      </c>
      <c r="C282" s="148" t="s">
        <v>310</v>
      </c>
      <c r="D282" s="148" t="s">
        <v>678</v>
      </c>
      <c r="E282" s="148"/>
      <c r="F282" s="148"/>
      <c r="G282" s="148" t="s">
        <v>527</v>
      </c>
      <c r="H282" s="149">
        <v>1300</v>
      </c>
      <c r="I282" s="149">
        <v>1890</v>
      </c>
      <c r="J282" s="148" t="s">
        <v>958</v>
      </c>
      <c r="K282" s="148" t="s">
        <v>226</v>
      </c>
      <c r="L282" s="148"/>
      <c r="M282" s="148"/>
      <c r="N282" s="14" t="str">
        <f t="shared" si="4"/>
        <v>1</v>
      </c>
      <c r="O282" s="14" t="str">
        <f>INDEX(Кат!$H:$H,MATCH($A282,Кат!$A:$A,0))</f>
        <v>штат</v>
      </c>
    </row>
    <row r="283" spans="1:15" ht="30" x14ac:dyDescent="0.25">
      <c r="A283" s="147">
        <v>224680</v>
      </c>
      <c r="B283" s="147">
        <v>24531</v>
      </c>
      <c r="C283" s="148" t="s">
        <v>429</v>
      </c>
      <c r="D283" s="148" t="s">
        <v>678</v>
      </c>
      <c r="E283" s="148"/>
      <c r="F283" s="148"/>
      <c r="G283" s="148" t="s">
        <v>527</v>
      </c>
      <c r="H283" s="149">
        <v>490</v>
      </c>
      <c r="I283" s="149">
        <v>839</v>
      </c>
      <c r="J283" s="148" t="s">
        <v>993</v>
      </c>
      <c r="K283" s="148" t="s">
        <v>226</v>
      </c>
      <c r="L283" s="148"/>
      <c r="M283" s="148"/>
      <c r="N283" s="14" t="str">
        <f t="shared" si="4"/>
        <v>1</v>
      </c>
      <c r="O283" s="14" t="str">
        <f>INDEX(Кат!$H:$H,MATCH($A283,Кат!$A:$A,0))</f>
        <v>штат</v>
      </c>
    </row>
    <row r="284" spans="1:15" x14ac:dyDescent="0.25">
      <c r="A284" s="147">
        <v>224681</v>
      </c>
      <c r="B284" s="147">
        <v>24533</v>
      </c>
      <c r="C284" s="148" t="s">
        <v>430</v>
      </c>
      <c r="D284" s="148" t="s">
        <v>678</v>
      </c>
      <c r="E284" s="148"/>
      <c r="F284" s="148"/>
      <c r="G284" s="148" t="s">
        <v>527</v>
      </c>
      <c r="H284" s="149">
        <v>1200</v>
      </c>
      <c r="I284" s="149">
        <v>1690</v>
      </c>
      <c r="J284" s="148"/>
      <c r="K284" s="148" t="s">
        <v>226</v>
      </c>
      <c r="L284" s="148"/>
      <c r="M284" s="148"/>
      <c r="N284" s="14" t="str">
        <f t="shared" si="4"/>
        <v>1</v>
      </c>
      <c r="O284" s="14" t="str">
        <f>INDEX(Кат!$H:$H,MATCH($A284,Кат!$A:$A,0))</f>
        <v>штат</v>
      </c>
    </row>
    <row r="285" spans="1:15" ht="30" x14ac:dyDescent="0.25">
      <c r="A285" s="147">
        <v>226388</v>
      </c>
      <c r="B285" s="147">
        <v>7102</v>
      </c>
      <c r="C285" s="148" t="s">
        <v>314</v>
      </c>
      <c r="D285" s="148" t="s">
        <v>678</v>
      </c>
      <c r="E285" s="148"/>
      <c r="F285" s="148"/>
      <c r="G285" s="148" t="s">
        <v>527</v>
      </c>
      <c r="H285" s="149">
        <v>1050</v>
      </c>
      <c r="I285" s="149">
        <v>1590</v>
      </c>
      <c r="J285" s="148" t="s">
        <v>816</v>
      </c>
      <c r="K285" s="148" t="s">
        <v>226</v>
      </c>
      <c r="L285" s="148"/>
      <c r="M285" s="148"/>
      <c r="N285" s="14" t="str">
        <f t="shared" si="4"/>
        <v>1</v>
      </c>
      <c r="O285" s="14" t="str">
        <f>INDEX(Кат!$H:$H,MATCH($A285,Кат!$A:$A,0))</f>
        <v>штат</v>
      </c>
    </row>
    <row r="286" spans="1:15" ht="45" x14ac:dyDescent="0.25">
      <c r="A286" s="147">
        <v>226514</v>
      </c>
      <c r="B286" s="147">
        <v>24500</v>
      </c>
      <c r="C286" s="148" t="s">
        <v>421</v>
      </c>
      <c r="D286" s="148" t="s">
        <v>678</v>
      </c>
      <c r="E286" s="148"/>
      <c r="F286" s="148"/>
      <c r="G286" s="148" t="s">
        <v>527</v>
      </c>
      <c r="H286" s="149">
        <v>35</v>
      </c>
      <c r="I286" s="149">
        <v>69</v>
      </c>
      <c r="J286" s="148"/>
      <c r="K286" s="148" t="s">
        <v>226</v>
      </c>
      <c r="L286" s="148"/>
      <c r="M286" s="148"/>
      <c r="N286" s="14" t="str">
        <f t="shared" si="4"/>
        <v>1</v>
      </c>
      <c r="O286" s="14" t="str">
        <f>INDEX(Кат!$H:$H,MATCH($A286,Кат!$A:$A,0))</f>
        <v>штат</v>
      </c>
    </row>
    <row r="287" spans="1:15" ht="60" x14ac:dyDescent="0.25">
      <c r="A287" s="147">
        <v>226975</v>
      </c>
      <c r="B287" s="147">
        <v>7133</v>
      </c>
      <c r="C287" s="148" t="s">
        <v>717</v>
      </c>
      <c r="D287" s="148" t="s">
        <v>678</v>
      </c>
      <c r="E287" s="148"/>
      <c r="F287" s="148"/>
      <c r="G287" s="148" t="s">
        <v>527</v>
      </c>
      <c r="H287" s="149">
        <v>0</v>
      </c>
      <c r="I287" s="149">
        <v>9390</v>
      </c>
      <c r="J287" s="148"/>
      <c r="K287" s="148" t="s">
        <v>679</v>
      </c>
      <c r="L287" s="148"/>
      <c r="M287" s="148"/>
      <c r="N287" s="14" t="str">
        <f t="shared" si="4"/>
        <v>0</v>
      </c>
      <c r="O287" s="14" t="str">
        <f>INDEX(Кат!$H:$H,MATCH($A287,Кат!$A:$A,0))</f>
        <v>штат</v>
      </c>
    </row>
    <row r="288" spans="1:15" ht="60" x14ac:dyDescent="0.25">
      <c r="A288" s="147">
        <v>226978</v>
      </c>
      <c r="B288" s="147">
        <v>7134</v>
      </c>
      <c r="C288" s="148" t="s">
        <v>718</v>
      </c>
      <c r="D288" s="148" t="s">
        <v>678</v>
      </c>
      <c r="E288" s="148"/>
      <c r="F288" s="148"/>
      <c r="G288" s="148" t="s">
        <v>527</v>
      </c>
      <c r="H288" s="149">
        <v>0</v>
      </c>
      <c r="I288" s="149">
        <v>8890</v>
      </c>
      <c r="J288" s="148"/>
      <c r="K288" s="148" t="s">
        <v>679</v>
      </c>
      <c r="L288" s="148"/>
      <c r="M288" s="148"/>
      <c r="N288" s="14" t="str">
        <f t="shared" si="4"/>
        <v>0</v>
      </c>
      <c r="O288" s="14" t="str">
        <f>INDEX(Кат!$H:$H,MATCH($A288,Кат!$A:$A,0))</f>
        <v>штат</v>
      </c>
    </row>
    <row r="289" spans="1:15" ht="60" x14ac:dyDescent="0.25">
      <c r="A289" s="147">
        <v>226979</v>
      </c>
      <c r="B289" s="147">
        <v>7138</v>
      </c>
      <c r="C289" s="148" t="s">
        <v>719</v>
      </c>
      <c r="D289" s="148" t="s">
        <v>678</v>
      </c>
      <c r="E289" s="148"/>
      <c r="F289" s="148"/>
      <c r="G289" s="148" t="s">
        <v>527</v>
      </c>
      <c r="H289" s="149">
        <v>9300</v>
      </c>
      <c r="I289" s="149">
        <v>12290</v>
      </c>
      <c r="J289" s="148"/>
      <c r="K289" s="148" t="s">
        <v>679</v>
      </c>
      <c r="L289" s="148"/>
      <c r="M289" s="148"/>
      <c r="N289" s="14" t="str">
        <f t="shared" si="4"/>
        <v>0</v>
      </c>
      <c r="O289" s="14" t="str">
        <f>INDEX(Кат!$H:$H,MATCH($A289,Кат!$A:$A,0))</f>
        <v>штат</v>
      </c>
    </row>
    <row r="290" spans="1:15" ht="45" x14ac:dyDescent="0.25">
      <c r="A290" s="147">
        <v>226972</v>
      </c>
      <c r="B290" s="147">
        <v>7137</v>
      </c>
      <c r="C290" s="148" t="s">
        <v>551</v>
      </c>
      <c r="D290" s="148" t="s">
        <v>678</v>
      </c>
      <c r="E290" s="148"/>
      <c r="F290" s="148"/>
      <c r="G290" s="148" t="s">
        <v>527</v>
      </c>
      <c r="H290" s="149">
        <v>13200</v>
      </c>
      <c r="I290" s="149">
        <v>21190</v>
      </c>
      <c r="J290" s="148" t="s">
        <v>720</v>
      </c>
      <c r="K290" s="148" t="s">
        <v>226</v>
      </c>
      <c r="L290" s="148"/>
      <c r="M290" s="148"/>
      <c r="N290" s="14" t="str">
        <f t="shared" si="4"/>
        <v>1</v>
      </c>
      <c r="O290" s="14" t="str">
        <f>INDEX(Кат!$H:$H,MATCH($A290,Кат!$A:$A,0))</f>
        <v>штат</v>
      </c>
    </row>
    <row r="291" spans="1:15" ht="60" x14ac:dyDescent="0.25">
      <c r="A291" s="147">
        <v>226981</v>
      </c>
      <c r="B291" s="147">
        <v>7132</v>
      </c>
      <c r="C291" s="148" t="s">
        <v>721</v>
      </c>
      <c r="D291" s="148" t="s">
        <v>678</v>
      </c>
      <c r="E291" s="148"/>
      <c r="F291" s="148" t="s">
        <v>515</v>
      </c>
      <c r="G291" s="148" t="s">
        <v>527</v>
      </c>
      <c r="H291" s="149">
        <v>11000</v>
      </c>
      <c r="I291" s="149">
        <v>14590</v>
      </c>
      <c r="J291" s="148" t="s">
        <v>722</v>
      </c>
      <c r="K291" s="148" t="s">
        <v>226</v>
      </c>
      <c r="L291" s="148"/>
      <c r="M291" s="148"/>
      <c r="N291" s="14" t="str">
        <f t="shared" si="4"/>
        <v>1</v>
      </c>
      <c r="O291" s="14" t="str">
        <f>INDEX(Кат!$H:$H,MATCH($A291,Кат!$A:$A,0))</f>
        <v>штат</v>
      </c>
    </row>
    <row r="292" spans="1:15" ht="60" x14ac:dyDescent="0.25">
      <c r="A292" s="147">
        <v>226973</v>
      </c>
      <c r="B292" s="147">
        <v>24537</v>
      </c>
      <c r="C292" s="148" t="s">
        <v>227</v>
      </c>
      <c r="D292" s="148" t="s">
        <v>678</v>
      </c>
      <c r="E292" s="148"/>
      <c r="F292" s="148" t="s">
        <v>523</v>
      </c>
      <c r="G292" s="148" t="s">
        <v>527</v>
      </c>
      <c r="H292" s="149">
        <v>13200</v>
      </c>
      <c r="I292" s="149">
        <v>18490</v>
      </c>
      <c r="J292" s="148" t="s">
        <v>723</v>
      </c>
      <c r="K292" s="148" t="s">
        <v>226</v>
      </c>
      <c r="L292" s="148"/>
      <c r="M292" s="148"/>
      <c r="N292" s="14" t="str">
        <f t="shared" si="4"/>
        <v>1</v>
      </c>
      <c r="O292" s="14" t="str">
        <f>INDEX(Кат!$H:$H,MATCH($A292,Кат!$A:$A,0))</f>
        <v>штат</v>
      </c>
    </row>
    <row r="293" spans="1:15" ht="60" x14ac:dyDescent="0.25">
      <c r="A293" s="147">
        <v>227000</v>
      </c>
      <c r="B293" s="147">
        <v>7139</v>
      </c>
      <c r="C293" s="148" t="s">
        <v>724</v>
      </c>
      <c r="D293" s="148" t="s">
        <v>678</v>
      </c>
      <c r="E293" s="148"/>
      <c r="F293" s="148"/>
      <c r="G293" s="148" t="s">
        <v>527</v>
      </c>
      <c r="H293" s="149">
        <v>0</v>
      </c>
      <c r="I293" s="149">
        <v>0</v>
      </c>
      <c r="J293" s="148"/>
      <c r="K293" s="148" t="s">
        <v>679</v>
      </c>
      <c r="L293" s="148"/>
      <c r="M293" s="148"/>
      <c r="N293" s="14" t="str">
        <f t="shared" si="4"/>
        <v>0</v>
      </c>
      <c r="O293" s="14" t="str">
        <f>INDEX(Кат!$H:$H,MATCH($A293,Кат!$A:$A,0))</f>
        <v>штат</v>
      </c>
    </row>
    <row r="294" spans="1:15" ht="60" x14ac:dyDescent="0.25">
      <c r="A294" s="147">
        <v>227001</v>
      </c>
      <c r="B294" s="147">
        <v>7140</v>
      </c>
      <c r="C294" s="148" t="s">
        <v>725</v>
      </c>
      <c r="D294" s="148" t="s">
        <v>678</v>
      </c>
      <c r="E294" s="148"/>
      <c r="F294" s="148"/>
      <c r="G294" s="148" t="s">
        <v>527</v>
      </c>
      <c r="H294" s="149">
        <v>0</v>
      </c>
      <c r="I294" s="149">
        <v>0</v>
      </c>
      <c r="J294" s="148"/>
      <c r="K294" s="148" t="s">
        <v>679</v>
      </c>
      <c r="L294" s="148"/>
      <c r="M294" s="148"/>
      <c r="N294" s="14" t="str">
        <f t="shared" si="4"/>
        <v>0</v>
      </c>
      <c r="O294" s="14" t="str">
        <f>INDEX(Кат!$H:$H,MATCH($A294,Кат!$A:$A,0))</f>
        <v>штат</v>
      </c>
    </row>
    <row r="295" spans="1:15" ht="45" x14ac:dyDescent="0.25">
      <c r="A295" s="147">
        <v>226976</v>
      </c>
      <c r="B295" s="147">
        <v>7116</v>
      </c>
      <c r="C295" s="148" t="s">
        <v>726</v>
      </c>
      <c r="D295" s="148" t="s">
        <v>678</v>
      </c>
      <c r="E295" s="148"/>
      <c r="F295" s="148"/>
      <c r="G295" s="148" t="s">
        <v>527</v>
      </c>
      <c r="H295" s="149">
        <v>0</v>
      </c>
      <c r="I295" s="149">
        <v>9390</v>
      </c>
      <c r="J295" s="148"/>
      <c r="K295" s="148" t="s">
        <v>679</v>
      </c>
      <c r="L295" s="148"/>
      <c r="M295" s="148"/>
      <c r="N295" s="14" t="str">
        <f t="shared" si="4"/>
        <v>0</v>
      </c>
      <c r="O295" s="14" t="str">
        <f>INDEX(Кат!$H:$H,MATCH($A295,Кат!$A:$A,0))</f>
        <v>штат</v>
      </c>
    </row>
    <row r="296" spans="1:15" ht="45" x14ac:dyDescent="0.25">
      <c r="A296" s="147">
        <v>226977</v>
      </c>
      <c r="B296" s="147">
        <v>7115</v>
      </c>
      <c r="C296" s="148" t="s">
        <v>727</v>
      </c>
      <c r="D296" s="148" t="s">
        <v>678</v>
      </c>
      <c r="E296" s="148"/>
      <c r="F296" s="148"/>
      <c r="G296" s="148" t="s">
        <v>527</v>
      </c>
      <c r="H296" s="149">
        <v>0</v>
      </c>
      <c r="I296" s="149">
        <v>9390</v>
      </c>
      <c r="J296" s="148"/>
      <c r="K296" s="148" t="s">
        <v>679</v>
      </c>
      <c r="L296" s="148"/>
      <c r="M296" s="148"/>
      <c r="N296" s="14" t="str">
        <f t="shared" si="4"/>
        <v>0</v>
      </c>
      <c r="O296" s="14" t="str">
        <f>INDEX(Кат!$H:$H,MATCH($A296,Кат!$A:$A,0))</f>
        <v>штат</v>
      </c>
    </row>
    <row r="297" spans="1:15" ht="45" x14ac:dyDescent="0.25">
      <c r="A297" s="147">
        <v>226980</v>
      </c>
      <c r="B297" s="147">
        <v>7117</v>
      </c>
      <c r="C297" s="148" t="s">
        <v>728</v>
      </c>
      <c r="D297" s="148" t="s">
        <v>678</v>
      </c>
      <c r="E297" s="148"/>
      <c r="F297" s="148"/>
      <c r="G297" s="148" t="s">
        <v>527</v>
      </c>
      <c r="H297" s="149">
        <v>9300</v>
      </c>
      <c r="I297" s="149">
        <v>12290</v>
      </c>
      <c r="J297" s="148"/>
      <c r="K297" s="148" t="s">
        <v>679</v>
      </c>
      <c r="L297" s="148"/>
      <c r="M297" s="148" t="s">
        <v>678</v>
      </c>
      <c r="N297" s="14" t="str">
        <f t="shared" si="4"/>
        <v>0</v>
      </c>
      <c r="O297" s="14" t="str">
        <f>INDEX(Кат!$H:$H,MATCH($A297,Кат!$A:$A,0))</f>
        <v>штат</v>
      </c>
    </row>
    <row r="298" spans="1:15" ht="60" x14ac:dyDescent="0.25">
      <c r="A298" s="147">
        <v>226982</v>
      </c>
      <c r="B298" s="147">
        <v>7114</v>
      </c>
      <c r="C298" s="148" t="s">
        <v>729</v>
      </c>
      <c r="D298" s="148" t="s">
        <v>678</v>
      </c>
      <c r="E298" s="148"/>
      <c r="F298" s="148" t="s">
        <v>514</v>
      </c>
      <c r="G298" s="148" t="s">
        <v>527</v>
      </c>
      <c r="H298" s="149">
        <v>11000</v>
      </c>
      <c r="I298" s="149">
        <v>15490</v>
      </c>
      <c r="J298" s="148" t="s">
        <v>730</v>
      </c>
      <c r="K298" s="148" t="s">
        <v>226</v>
      </c>
      <c r="L298" s="148"/>
      <c r="M298" s="148"/>
      <c r="N298" s="14" t="str">
        <f t="shared" ref="N298" si="5">_xlfn.CONCAT(K298,IF(L298&lt;&gt;"",_xlfn.CONCAT("ск",L298),""))</f>
        <v>1</v>
      </c>
      <c r="O298" s="14" t="str">
        <f>INDEX(Кат!$H:$H,MATCH($A298,Кат!$A:$A,0))</f>
        <v>штат</v>
      </c>
    </row>
  </sheetData>
  <autoFilter ref="A1:O298" xr:uid="{A8E34C28-7731-4073-A6D6-66E64AEE1F86}"/>
  <pageMargins left="0.75" right="0.75" top="1" bottom="1" header="0.5" footer="0.5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B06C6-FEC9-49E7-AFD3-47B7B0E2F038}">
  <sheetPr codeName="Лист6">
    <outlinePr summaryBelow="0"/>
  </sheetPr>
  <dimension ref="A1:Q23"/>
  <sheetViews>
    <sheetView showRuler="0" zoomScaleNormal="100" workbookViewId="0">
      <pane ySplit="1" topLeftCell="A11" activePane="bottomLeft" state="frozen"/>
      <selection pane="bottomLeft" sqref="A1:O23"/>
    </sheetView>
  </sheetViews>
  <sheetFormatPr defaultRowHeight="15" x14ac:dyDescent="0.25"/>
  <cols>
    <col min="1" max="1" width="27.140625" style="16" bestFit="1" customWidth="1"/>
    <col min="2" max="2" width="7" style="16" bestFit="1" customWidth="1"/>
    <col min="3" max="3" width="9.42578125" style="16" bestFit="1" customWidth="1"/>
    <col min="4" max="4" width="27" style="16" bestFit="1" customWidth="1"/>
    <col min="5" max="5" width="7.5703125" style="16" bestFit="1" customWidth="1"/>
    <col min="6" max="6" width="22.28515625" style="16" customWidth="1"/>
    <col min="7" max="7" width="21.85546875" style="16" bestFit="1" customWidth="1"/>
    <col min="8" max="8" width="22.42578125" style="16" bestFit="1" customWidth="1"/>
    <col min="9" max="9" width="13.28515625" style="16" bestFit="1" customWidth="1"/>
    <col min="10" max="10" width="8.42578125" style="16" bestFit="1" customWidth="1"/>
    <col min="11" max="11" width="10.85546875" style="16" bestFit="1" customWidth="1"/>
    <col min="12" max="12" width="37.5703125" style="16" bestFit="1" customWidth="1"/>
    <col min="13" max="13" width="9.5703125" style="16" bestFit="1" customWidth="1"/>
    <col min="14" max="14" width="6.7109375" style="16" bestFit="1" customWidth="1"/>
    <col min="15" max="15" width="8" style="16" bestFit="1" customWidth="1"/>
    <col min="16" max="16" width="2" style="16" bestFit="1" customWidth="1"/>
    <col min="17" max="17" width="5.28515625" style="16" bestFit="1" customWidth="1"/>
    <col min="18" max="16384" width="9.140625" style="16"/>
  </cols>
  <sheetData>
    <row r="1" spans="1:17" s="17" customFormat="1" ht="30" x14ac:dyDescent="0.25">
      <c r="A1" s="150" t="s">
        <v>731</v>
      </c>
      <c r="B1" s="150" t="s">
        <v>223</v>
      </c>
      <c r="C1" s="150" t="s">
        <v>732</v>
      </c>
      <c r="D1" s="150" t="s">
        <v>671</v>
      </c>
      <c r="E1" s="150" t="s">
        <v>672</v>
      </c>
      <c r="F1" s="150"/>
      <c r="G1" s="150" t="s">
        <v>673</v>
      </c>
      <c r="H1" s="150" t="s">
        <v>674</v>
      </c>
      <c r="I1" s="150" t="s">
        <v>540</v>
      </c>
      <c r="J1" s="150" t="s">
        <v>576</v>
      </c>
      <c r="K1" s="150" t="s">
        <v>577</v>
      </c>
      <c r="L1" s="150" t="s">
        <v>733</v>
      </c>
      <c r="M1" s="150" t="s">
        <v>676</v>
      </c>
      <c r="N1" s="150" t="s">
        <v>734</v>
      </c>
      <c r="O1" s="150" t="s">
        <v>539</v>
      </c>
      <c r="P1" s="14"/>
      <c r="Q1" s="14"/>
    </row>
    <row r="2" spans="1:17" ht="75" x14ac:dyDescent="0.25">
      <c r="A2" s="152" t="s">
        <v>735</v>
      </c>
      <c r="B2" s="151">
        <v>258453</v>
      </c>
      <c r="C2" s="151">
        <v>208659</v>
      </c>
      <c r="D2" s="152" t="s">
        <v>736</v>
      </c>
      <c r="E2" s="152" t="s">
        <v>678</v>
      </c>
      <c r="F2" s="152"/>
      <c r="G2" s="152"/>
      <c r="H2" s="152"/>
      <c r="I2" s="152" t="s">
        <v>527</v>
      </c>
      <c r="J2" s="153">
        <v>370</v>
      </c>
      <c r="K2" s="153">
        <v>639</v>
      </c>
      <c r="L2" s="152" t="s">
        <v>663</v>
      </c>
      <c r="M2" s="151">
        <v>1</v>
      </c>
      <c r="N2" s="151">
        <v>6</v>
      </c>
      <c r="O2" s="152"/>
      <c r="P2" s="14" t="str">
        <f>_xlfn.CONCAT(M2,IF(N2&lt;&gt;"",_xlfn.CONCAT("ск",N2),""))</f>
        <v>1ск6</v>
      </c>
      <c r="Q2" s="14" t="str">
        <f>INDEX(Торг!$J:$J,MATCH($B2,Торг!$B:$B,0))</f>
        <v>штат</v>
      </c>
    </row>
    <row r="3" spans="1:17" ht="75" x14ac:dyDescent="0.25">
      <c r="A3" s="152" t="s">
        <v>735</v>
      </c>
      <c r="B3" s="151">
        <v>258454</v>
      </c>
      <c r="C3" s="151">
        <v>208658</v>
      </c>
      <c r="D3" s="152" t="s">
        <v>737</v>
      </c>
      <c r="E3" s="152" t="s">
        <v>678</v>
      </c>
      <c r="F3" s="152"/>
      <c r="G3" s="152"/>
      <c r="H3" s="152"/>
      <c r="I3" s="152" t="s">
        <v>527</v>
      </c>
      <c r="J3" s="153">
        <v>370</v>
      </c>
      <c r="K3" s="153">
        <v>639</v>
      </c>
      <c r="L3" s="152" t="s">
        <v>662</v>
      </c>
      <c r="M3" s="151">
        <v>1</v>
      </c>
      <c r="N3" s="151"/>
      <c r="O3" s="152"/>
      <c r="P3" s="14" t="str">
        <f t="shared" ref="P3:P23" si="0">_xlfn.CONCAT(M3,IF(N3&lt;&gt;"",_xlfn.CONCAT("ск",N3),""))</f>
        <v>1</v>
      </c>
      <c r="Q3" s="14" t="str">
        <f>INDEX(Торг!$J:$J,MATCH($B3,Торг!$B:$B,0))</f>
        <v>штат</v>
      </c>
    </row>
    <row r="4" spans="1:17" ht="45" x14ac:dyDescent="0.25">
      <c r="A4" s="152" t="s">
        <v>738</v>
      </c>
      <c r="B4" s="151">
        <v>258456</v>
      </c>
      <c r="C4" s="151">
        <v>208254</v>
      </c>
      <c r="D4" s="152" t="s">
        <v>739</v>
      </c>
      <c r="E4" s="152" t="s">
        <v>678</v>
      </c>
      <c r="F4" s="152"/>
      <c r="G4" s="152"/>
      <c r="H4" s="152"/>
      <c r="I4" s="152" t="s">
        <v>527</v>
      </c>
      <c r="J4" s="153">
        <v>370</v>
      </c>
      <c r="K4" s="153">
        <v>639</v>
      </c>
      <c r="L4" s="152" t="s">
        <v>658</v>
      </c>
      <c r="M4" s="151">
        <v>1</v>
      </c>
      <c r="N4" s="151"/>
      <c r="O4" s="152"/>
      <c r="P4" s="14" t="str">
        <f t="shared" si="0"/>
        <v>1</v>
      </c>
      <c r="Q4" s="14" t="str">
        <f>INDEX(Торг!$J:$J,MATCH($B4,Торг!$B:$B,0))</f>
        <v>штат</v>
      </c>
    </row>
    <row r="5" spans="1:17" ht="45" x14ac:dyDescent="0.25">
      <c r="A5" s="152" t="s">
        <v>738</v>
      </c>
      <c r="B5" s="151">
        <v>258457</v>
      </c>
      <c r="C5" s="151">
        <v>208253</v>
      </c>
      <c r="D5" s="152" t="s">
        <v>740</v>
      </c>
      <c r="E5" s="152" t="s">
        <v>678</v>
      </c>
      <c r="F5" s="152"/>
      <c r="G5" s="152"/>
      <c r="H5" s="152"/>
      <c r="I5" s="152" t="s">
        <v>527</v>
      </c>
      <c r="J5" s="153">
        <v>370</v>
      </c>
      <c r="K5" s="153">
        <v>639</v>
      </c>
      <c r="L5" s="152" t="s">
        <v>659</v>
      </c>
      <c r="M5" s="151">
        <v>1</v>
      </c>
      <c r="N5" s="151"/>
      <c r="O5" s="152"/>
      <c r="P5" s="14" t="str">
        <f t="shared" si="0"/>
        <v>1</v>
      </c>
      <c r="Q5" s="14" t="str">
        <f>INDEX(Торг!$J:$J,MATCH($B5,Торг!$B:$B,0))</f>
        <v>штат</v>
      </c>
    </row>
    <row r="6" spans="1:17" ht="75" x14ac:dyDescent="0.25">
      <c r="A6" s="152" t="s">
        <v>741</v>
      </c>
      <c r="B6" s="151">
        <v>258459</v>
      </c>
      <c r="C6" s="151">
        <v>208176</v>
      </c>
      <c r="D6" s="152" t="s">
        <v>742</v>
      </c>
      <c r="E6" s="152" t="s">
        <v>678</v>
      </c>
      <c r="F6" s="152"/>
      <c r="G6" s="152"/>
      <c r="H6" s="152"/>
      <c r="I6" s="152" t="s">
        <v>527</v>
      </c>
      <c r="J6" s="153">
        <v>650</v>
      </c>
      <c r="K6" s="153">
        <v>989</v>
      </c>
      <c r="L6" s="152" t="s">
        <v>653</v>
      </c>
      <c r="M6" s="151">
        <v>1</v>
      </c>
      <c r="N6" s="151"/>
      <c r="O6" s="152"/>
      <c r="P6" s="14" t="str">
        <f t="shared" si="0"/>
        <v>1</v>
      </c>
      <c r="Q6" s="14" t="str">
        <f>INDEX(Торг!$J:$J,MATCH($B6,Торг!$B:$B,0))</f>
        <v>штат</v>
      </c>
    </row>
    <row r="7" spans="1:17" ht="75" x14ac:dyDescent="0.25">
      <c r="A7" s="152" t="s">
        <v>741</v>
      </c>
      <c r="B7" s="151">
        <v>258460</v>
      </c>
      <c r="C7" s="151">
        <v>208175</v>
      </c>
      <c r="D7" s="152" t="s">
        <v>743</v>
      </c>
      <c r="E7" s="152" t="s">
        <v>678</v>
      </c>
      <c r="F7" s="152"/>
      <c r="G7" s="152"/>
      <c r="H7" s="152"/>
      <c r="I7" s="152" t="s">
        <v>527</v>
      </c>
      <c r="J7" s="153">
        <v>650</v>
      </c>
      <c r="K7" s="153">
        <v>1190</v>
      </c>
      <c r="L7" s="152" t="s">
        <v>652</v>
      </c>
      <c r="M7" s="151">
        <v>1</v>
      </c>
      <c r="N7" s="151"/>
      <c r="O7" s="152"/>
      <c r="P7" s="14" t="str">
        <f t="shared" si="0"/>
        <v>1</v>
      </c>
      <c r="Q7" s="14" t="str">
        <f>INDEX(Торг!$J:$J,MATCH($B7,Торг!$B:$B,0))</f>
        <v>штат</v>
      </c>
    </row>
    <row r="8" spans="1:17" ht="60" x14ac:dyDescent="0.25">
      <c r="A8" s="152" t="s">
        <v>744</v>
      </c>
      <c r="B8" s="151">
        <v>258462</v>
      </c>
      <c r="C8" s="151">
        <v>208168</v>
      </c>
      <c r="D8" s="152" t="s">
        <v>745</v>
      </c>
      <c r="E8" s="152" t="s">
        <v>678</v>
      </c>
      <c r="F8" s="152"/>
      <c r="G8" s="152"/>
      <c r="H8" s="152"/>
      <c r="I8" s="152" t="s">
        <v>527</v>
      </c>
      <c r="J8" s="153">
        <v>650</v>
      </c>
      <c r="K8" s="153">
        <v>1190</v>
      </c>
      <c r="L8" s="152" t="s">
        <v>657</v>
      </c>
      <c r="M8" s="151">
        <v>1</v>
      </c>
      <c r="N8" s="151"/>
      <c r="O8" s="152"/>
      <c r="P8" s="14" t="str">
        <f t="shared" si="0"/>
        <v>1</v>
      </c>
      <c r="Q8" s="14" t="str">
        <f>INDEX(Торг!$J:$J,MATCH($B8,Торг!$B:$B,0))</f>
        <v>штат</v>
      </c>
    </row>
    <row r="9" spans="1:17" ht="60" x14ac:dyDescent="0.25">
      <c r="A9" s="152" t="s">
        <v>744</v>
      </c>
      <c r="B9" s="151">
        <v>258463</v>
      </c>
      <c r="C9" s="151">
        <v>208167</v>
      </c>
      <c r="D9" s="152" t="s">
        <v>746</v>
      </c>
      <c r="E9" s="152" t="s">
        <v>678</v>
      </c>
      <c r="F9" s="152"/>
      <c r="G9" s="152"/>
      <c r="H9" s="152"/>
      <c r="I9" s="152" t="s">
        <v>527</v>
      </c>
      <c r="J9" s="153">
        <v>650</v>
      </c>
      <c r="K9" s="153">
        <v>1190</v>
      </c>
      <c r="L9" s="152" t="s">
        <v>656</v>
      </c>
      <c r="M9" s="151">
        <v>1</v>
      </c>
      <c r="N9" s="151"/>
      <c r="O9" s="152"/>
      <c r="P9" s="14" t="str">
        <f t="shared" si="0"/>
        <v>1</v>
      </c>
      <c r="Q9" s="14" t="str">
        <f>INDEX(Торг!$J:$J,MATCH($B9,Торг!$B:$B,0))</f>
        <v>штат</v>
      </c>
    </row>
    <row r="10" spans="1:17" ht="75" x14ac:dyDescent="0.25">
      <c r="A10" s="152" t="s">
        <v>747</v>
      </c>
      <c r="B10" s="151">
        <v>258465</v>
      </c>
      <c r="C10" s="151">
        <v>208181</v>
      </c>
      <c r="D10" s="152" t="s">
        <v>748</v>
      </c>
      <c r="E10" s="152" t="s">
        <v>678</v>
      </c>
      <c r="F10" s="152"/>
      <c r="G10" s="152"/>
      <c r="H10" s="152"/>
      <c r="I10" s="152" t="s">
        <v>527</v>
      </c>
      <c r="J10" s="153">
        <v>650</v>
      </c>
      <c r="K10" s="153">
        <v>1190</v>
      </c>
      <c r="L10" s="152" t="s">
        <v>655</v>
      </c>
      <c r="M10" s="151">
        <v>1</v>
      </c>
      <c r="N10" s="151"/>
      <c r="O10" s="152"/>
      <c r="P10" s="14" t="str">
        <f t="shared" si="0"/>
        <v>1</v>
      </c>
      <c r="Q10" s="14" t="str">
        <f>INDEX(Торг!$J:$J,MATCH($B10,Торг!$B:$B,0))</f>
        <v>штат</v>
      </c>
    </row>
    <row r="11" spans="1:17" ht="75" x14ac:dyDescent="0.25">
      <c r="A11" s="152" t="s">
        <v>747</v>
      </c>
      <c r="B11" s="151">
        <v>258466</v>
      </c>
      <c r="C11" s="151">
        <v>208180</v>
      </c>
      <c r="D11" s="152" t="s">
        <v>749</v>
      </c>
      <c r="E11" s="152" t="s">
        <v>678</v>
      </c>
      <c r="F11" s="152"/>
      <c r="G11" s="152"/>
      <c r="H11" s="152"/>
      <c r="I11" s="152" t="s">
        <v>527</v>
      </c>
      <c r="J11" s="153">
        <v>650</v>
      </c>
      <c r="K11" s="153">
        <v>1190</v>
      </c>
      <c r="L11" s="152" t="s">
        <v>654</v>
      </c>
      <c r="M11" s="151">
        <v>1</v>
      </c>
      <c r="N11" s="151"/>
      <c r="O11" s="152"/>
      <c r="P11" s="14" t="str">
        <f t="shared" si="0"/>
        <v>1</v>
      </c>
      <c r="Q11" s="14" t="str">
        <f>INDEX(Торг!$J:$J,MATCH($B11,Торг!$B:$B,0))</f>
        <v>штат</v>
      </c>
    </row>
    <row r="12" spans="1:17" ht="75" x14ac:dyDescent="0.25">
      <c r="A12" s="152" t="s">
        <v>1016</v>
      </c>
      <c r="B12" s="151">
        <v>268602</v>
      </c>
      <c r="C12" s="151">
        <v>216520</v>
      </c>
      <c r="D12" s="152" t="s">
        <v>1017</v>
      </c>
      <c r="E12" s="152" t="s">
        <v>678</v>
      </c>
      <c r="F12" s="152"/>
      <c r="G12" s="152"/>
      <c r="H12" s="152" t="s">
        <v>750</v>
      </c>
      <c r="I12" s="152" t="s">
        <v>527</v>
      </c>
      <c r="J12" s="153">
        <v>1380</v>
      </c>
      <c r="K12" s="153">
        <v>1990</v>
      </c>
      <c r="L12" s="152"/>
      <c r="M12" s="151">
        <v>1</v>
      </c>
      <c r="N12" s="151"/>
      <c r="O12" s="152"/>
      <c r="P12" s="14" t="str">
        <f t="shared" si="0"/>
        <v>1</v>
      </c>
      <c r="Q12" s="14" t="str">
        <f>INDEX(Торг!$J:$J,MATCH($B12,Торг!$B:$B,0))</f>
        <v>штат</v>
      </c>
    </row>
    <row r="13" spans="1:17" ht="75" x14ac:dyDescent="0.25">
      <c r="A13" s="152" t="s">
        <v>1016</v>
      </c>
      <c r="B13" s="151">
        <v>268603</v>
      </c>
      <c r="C13" s="151">
        <v>216519</v>
      </c>
      <c r="D13" s="152" t="s">
        <v>1018</v>
      </c>
      <c r="E13" s="152" t="s">
        <v>678</v>
      </c>
      <c r="F13" s="152"/>
      <c r="G13" s="152"/>
      <c r="H13" s="152" t="s">
        <v>751</v>
      </c>
      <c r="I13" s="152" t="s">
        <v>527</v>
      </c>
      <c r="J13" s="153">
        <v>1650</v>
      </c>
      <c r="K13" s="153">
        <v>2390</v>
      </c>
      <c r="L13" s="152" t="s">
        <v>895</v>
      </c>
      <c r="M13" s="151">
        <v>1</v>
      </c>
      <c r="N13" s="151"/>
      <c r="O13" s="152"/>
      <c r="P13" s="14" t="str">
        <f t="shared" si="0"/>
        <v>1</v>
      </c>
      <c r="Q13" s="14" t="str">
        <f>INDEX(Торг!$J:$J,MATCH($B13,Торг!$B:$B,0))</f>
        <v>штат</v>
      </c>
    </row>
    <row r="14" spans="1:17" ht="60" x14ac:dyDescent="0.25">
      <c r="A14" s="152" t="s">
        <v>752</v>
      </c>
      <c r="B14" s="151">
        <v>268604</v>
      </c>
      <c r="C14" s="151">
        <v>216554</v>
      </c>
      <c r="D14" s="152" t="s">
        <v>753</v>
      </c>
      <c r="E14" s="152" t="s">
        <v>678</v>
      </c>
      <c r="F14" s="152"/>
      <c r="G14" s="152"/>
      <c r="H14" s="152" t="s">
        <v>754</v>
      </c>
      <c r="I14" s="152" t="s">
        <v>527</v>
      </c>
      <c r="J14" s="153">
        <v>1650</v>
      </c>
      <c r="K14" s="153">
        <v>2390</v>
      </c>
      <c r="L14" s="152"/>
      <c r="M14" s="151">
        <v>1</v>
      </c>
      <c r="N14" s="151"/>
      <c r="O14" s="152"/>
      <c r="P14" s="14" t="str">
        <f t="shared" si="0"/>
        <v>1</v>
      </c>
      <c r="Q14" s="14" t="str">
        <f>INDEX(Торг!$J:$J,MATCH($B14,Торг!$B:$B,0))</f>
        <v>штат</v>
      </c>
    </row>
    <row r="15" spans="1:17" ht="60" x14ac:dyDescent="0.25">
      <c r="A15" s="152" t="s">
        <v>752</v>
      </c>
      <c r="B15" s="151">
        <v>268605</v>
      </c>
      <c r="C15" s="151">
        <v>216555</v>
      </c>
      <c r="D15" s="152" t="s">
        <v>755</v>
      </c>
      <c r="E15" s="152" t="s">
        <v>678</v>
      </c>
      <c r="F15" s="152"/>
      <c r="G15" s="152"/>
      <c r="H15" s="152" t="s">
        <v>756</v>
      </c>
      <c r="I15" s="152" t="s">
        <v>527</v>
      </c>
      <c r="J15" s="153">
        <v>1850</v>
      </c>
      <c r="K15" s="153">
        <v>2590</v>
      </c>
      <c r="L15" s="152" t="s">
        <v>896</v>
      </c>
      <c r="M15" s="151">
        <v>1</v>
      </c>
      <c r="N15" s="151"/>
      <c r="O15" s="152"/>
      <c r="P15" s="14" t="str">
        <f t="shared" si="0"/>
        <v>1</v>
      </c>
      <c r="Q15" s="14" t="str">
        <f>INDEX(Торг!$J:$J,MATCH($B15,Торг!$B:$B,0))</f>
        <v>штат</v>
      </c>
    </row>
    <row r="16" spans="1:17" ht="45" x14ac:dyDescent="0.25">
      <c r="A16" s="152" t="s">
        <v>757</v>
      </c>
      <c r="B16" s="151">
        <v>268606</v>
      </c>
      <c r="C16" s="151">
        <v>216558</v>
      </c>
      <c r="D16" s="152" t="s">
        <v>758</v>
      </c>
      <c r="E16" s="152" t="s">
        <v>678</v>
      </c>
      <c r="F16" s="152"/>
      <c r="G16" s="152"/>
      <c r="H16" s="152" t="s">
        <v>759</v>
      </c>
      <c r="I16" s="152" t="s">
        <v>527</v>
      </c>
      <c r="J16" s="153">
        <v>1380</v>
      </c>
      <c r="K16" s="153">
        <v>1990</v>
      </c>
      <c r="L16" s="152"/>
      <c r="M16" s="151">
        <v>0</v>
      </c>
      <c r="N16" s="151"/>
      <c r="O16" s="152"/>
      <c r="P16" s="14" t="str">
        <f t="shared" si="0"/>
        <v>0</v>
      </c>
      <c r="Q16" s="14" t="str">
        <f>INDEX(Торг!$J:$J,MATCH($B16,Торг!$B:$B,0))</f>
        <v>штат</v>
      </c>
    </row>
    <row r="17" spans="1:17" ht="45" x14ac:dyDescent="0.25">
      <c r="A17" s="152" t="s">
        <v>757</v>
      </c>
      <c r="B17" s="151">
        <v>268607</v>
      </c>
      <c r="C17" s="151">
        <v>216556</v>
      </c>
      <c r="D17" s="152" t="s">
        <v>760</v>
      </c>
      <c r="E17" s="152" t="s">
        <v>678</v>
      </c>
      <c r="F17" s="152"/>
      <c r="G17" s="152"/>
      <c r="H17" s="152" t="s">
        <v>761</v>
      </c>
      <c r="I17" s="152" t="s">
        <v>527</v>
      </c>
      <c r="J17" s="153">
        <v>1560</v>
      </c>
      <c r="K17" s="153">
        <v>2190</v>
      </c>
      <c r="L17" s="152"/>
      <c r="M17" s="151">
        <v>0</v>
      </c>
      <c r="N17" s="151"/>
      <c r="O17" s="152"/>
      <c r="P17" s="14" t="str">
        <f t="shared" si="0"/>
        <v>0</v>
      </c>
      <c r="Q17" s="14" t="str">
        <f>INDEX(Торг!$J:$J,MATCH($B17,Торг!$B:$B,0))</f>
        <v>штат</v>
      </c>
    </row>
    <row r="18" spans="1:17" ht="45" x14ac:dyDescent="0.25">
      <c r="A18" s="152" t="s">
        <v>757</v>
      </c>
      <c r="B18" s="151">
        <v>268608</v>
      </c>
      <c r="C18" s="151">
        <v>216557</v>
      </c>
      <c r="D18" s="152" t="s">
        <v>762</v>
      </c>
      <c r="E18" s="152" t="s">
        <v>678</v>
      </c>
      <c r="F18" s="152"/>
      <c r="G18" s="152"/>
      <c r="H18" s="152" t="s">
        <v>763</v>
      </c>
      <c r="I18" s="152" t="s">
        <v>527</v>
      </c>
      <c r="J18" s="153">
        <v>1650</v>
      </c>
      <c r="K18" s="153">
        <v>2390</v>
      </c>
      <c r="L18" s="152"/>
      <c r="M18" s="151">
        <v>0</v>
      </c>
      <c r="N18" s="151"/>
      <c r="O18" s="152"/>
      <c r="P18" s="14" t="str">
        <f t="shared" si="0"/>
        <v>0</v>
      </c>
      <c r="Q18" s="14" t="str">
        <f>INDEX(Торг!$J:$J,MATCH($B18,Торг!$B:$B,0))</f>
        <v>штат</v>
      </c>
    </row>
    <row r="19" spans="1:17" ht="75" x14ac:dyDescent="0.25">
      <c r="A19" s="152" t="s">
        <v>1019</v>
      </c>
      <c r="B19" s="151">
        <v>268609</v>
      </c>
      <c r="C19" s="151">
        <v>216515</v>
      </c>
      <c r="D19" s="152" t="s">
        <v>1020</v>
      </c>
      <c r="E19" s="152" t="s">
        <v>678</v>
      </c>
      <c r="F19" s="152"/>
      <c r="G19" s="152"/>
      <c r="H19" s="152" t="s">
        <v>764</v>
      </c>
      <c r="I19" s="152" t="s">
        <v>527</v>
      </c>
      <c r="J19" s="153">
        <v>1490</v>
      </c>
      <c r="K19" s="153">
        <v>2090</v>
      </c>
      <c r="L19" s="152"/>
      <c r="M19" s="151">
        <v>1</v>
      </c>
      <c r="N19" s="151"/>
      <c r="O19" s="152"/>
      <c r="P19" s="14" t="str">
        <f t="shared" si="0"/>
        <v>1</v>
      </c>
      <c r="Q19" s="14" t="str">
        <f>INDEX(Торг!$J:$J,MATCH($B19,Торг!$B:$B,0))</f>
        <v>штат</v>
      </c>
    </row>
    <row r="20" spans="1:17" ht="75" x14ac:dyDescent="0.25">
      <c r="A20" s="152" t="s">
        <v>1019</v>
      </c>
      <c r="B20" s="151">
        <v>268610</v>
      </c>
      <c r="C20" s="151">
        <v>216512</v>
      </c>
      <c r="D20" s="152" t="s">
        <v>1021</v>
      </c>
      <c r="E20" s="152" t="s">
        <v>678</v>
      </c>
      <c r="F20" s="152"/>
      <c r="G20" s="152"/>
      <c r="H20" s="152" t="s">
        <v>765</v>
      </c>
      <c r="I20" s="152" t="s">
        <v>527</v>
      </c>
      <c r="J20" s="153">
        <v>1590</v>
      </c>
      <c r="K20" s="153">
        <v>2290</v>
      </c>
      <c r="L20" s="152"/>
      <c r="M20" s="151">
        <v>1</v>
      </c>
      <c r="N20" s="151"/>
      <c r="O20" s="152"/>
      <c r="P20" s="14" t="str">
        <f t="shared" si="0"/>
        <v>1</v>
      </c>
      <c r="Q20" s="14" t="str">
        <f>INDEX(Торг!$J:$J,MATCH($B20,Торг!$B:$B,0))</f>
        <v>штат</v>
      </c>
    </row>
    <row r="21" spans="1:17" ht="75" x14ac:dyDescent="0.25">
      <c r="A21" s="152" t="s">
        <v>1019</v>
      </c>
      <c r="B21" s="151">
        <v>268611</v>
      </c>
      <c r="C21" s="151">
        <v>216513</v>
      </c>
      <c r="D21" s="152" t="s">
        <v>1022</v>
      </c>
      <c r="E21" s="152" t="s">
        <v>678</v>
      </c>
      <c r="F21" s="152"/>
      <c r="G21" s="152"/>
      <c r="H21" s="152" t="s">
        <v>766</v>
      </c>
      <c r="I21" s="152" t="s">
        <v>527</v>
      </c>
      <c r="J21" s="153">
        <v>1650</v>
      </c>
      <c r="K21" s="153">
        <v>2390</v>
      </c>
      <c r="L21" s="152" t="s">
        <v>894</v>
      </c>
      <c r="M21" s="151">
        <v>1</v>
      </c>
      <c r="N21" s="151"/>
      <c r="O21" s="152"/>
      <c r="P21" s="14" t="str">
        <f t="shared" si="0"/>
        <v>1</v>
      </c>
      <c r="Q21" s="14" t="str">
        <f>INDEX(Торг!$J:$J,MATCH($B21,Торг!$B:$B,0))</f>
        <v>штат</v>
      </c>
    </row>
    <row r="22" spans="1:17" ht="90" x14ac:dyDescent="0.25">
      <c r="A22" s="152" t="s">
        <v>1023</v>
      </c>
      <c r="B22" s="151">
        <v>268738</v>
      </c>
      <c r="C22" s="151">
        <v>216305</v>
      </c>
      <c r="D22" s="152" t="s">
        <v>1024</v>
      </c>
      <c r="E22" s="152" t="s">
        <v>678</v>
      </c>
      <c r="F22" s="152"/>
      <c r="G22" s="152"/>
      <c r="H22" s="152" t="s">
        <v>767</v>
      </c>
      <c r="I22" s="152" t="s">
        <v>527</v>
      </c>
      <c r="J22" s="153">
        <v>1850</v>
      </c>
      <c r="K22" s="153">
        <v>2590</v>
      </c>
      <c r="L22" s="152"/>
      <c r="M22" s="151">
        <v>1</v>
      </c>
      <c r="N22" s="151"/>
      <c r="O22" s="152"/>
      <c r="P22" s="14" t="str">
        <f t="shared" si="0"/>
        <v>1</v>
      </c>
      <c r="Q22" s="14" t="str">
        <f>INDEX(Торг!$J:$J,MATCH($B22,Торг!$B:$B,0))</f>
        <v>штат</v>
      </c>
    </row>
    <row r="23" spans="1:17" ht="90" x14ac:dyDescent="0.25">
      <c r="A23" s="152" t="s">
        <v>1023</v>
      </c>
      <c r="B23" s="151">
        <v>268739</v>
      </c>
      <c r="C23" s="151">
        <v>216307</v>
      </c>
      <c r="D23" s="152" t="s">
        <v>1025</v>
      </c>
      <c r="E23" s="152" t="s">
        <v>678</v>
      </c>
      <c r="F23" s="152"/>
      <c r="G23" s="152"/>
      <c r="H23" s="152" t="s">
        <v>768</v>
      </c>
      <c r="I23" s="152" t="s">
        <v>527</v>
      </c>
      <c r="J23" s="153">
        <v>1870</v>
      </c>
      <c r="K23" s="153">
        <v>2690</v>
      </c>
      <c r="L23" s="152"/>
      <c r="M23" s="151">
        <v>1</v>
      </c>
      <c r="N23" s="151"/>
      <c r="O23" s="152"/>
      <c r="P23" s="14" t="str">
        <f t="shared" si="0"/>
        <v>1</v>
      </c>
      <c r="Q23" s="14" t="str">
        <f>INDEX(Торг!$J:$J,MATCH($B23,Торг!$B:$B,0))</f>
        <v>штат</v>
      </c>
    </row>
  </sheetData>
  <sheetProtection formatCells="0" formatColumns="0" formatRows="0" insertColumns="0" insertRows="0" insertHyperlinks="0" deleteColumns="0" deleteRows="0" sort="0" autoFilter="0" pivotTables="0"/>
  <autoFilter ref="B1:Q23" xr:uid="{5BB7883B-6DCA-4E4E-B5AE-85A11A86E7E9}"/>
  <pageMargins left="0.7" right="0.7" top="0.75" bottom="0.75" header="0.3" footer="0.3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6208A-2FF4-4B83-B517-7E0714A06987}">
  <sheetPr codeName="Лист1">
    <tabColor rgb="FF92D050"/>
  </sheetPr>
  <dimension ref="A2:C322"/>
  <sheetViews>
    <sheetView tabSelected="1" topLeftCell="A293" workbookViewId="0">
      <selection activeCell="A2" sqref="A2:C322"/>
    </sheetView>
  </sheetViews>
  <sheetFormatPr defaultRowHeight="15" x14ac:dyDescent="0.25"/>
  <cols>
    <col min="1" max="1" width="7" style="44" bestFit="1" customWidth="1"/>
    <col min="2" max="2" width="6.5703125" style="44" customWidth="1"/>
    <col min="3" max="3" width="9.140625" style="44"/>
  </cols>
  <sheetData>
    <row r="2" spans="1:3" x14ac:dyDescent="0.25">
      <c r="A2" s="71" t="s">
        <v>223</v>
      </c>
      <c r="B2" s="55">
        <v>1</v>
      </c>
    </row>
    <row r="3" spans="1:3" x14ac:dyDescent="0.25">
      <c r="A3" s="51">
        <v>153079</v>
      </c>
      <c r="B3" s="59">
        <v>149</v>
      </c>
      <c r="C3" s="44" t="s">
        <v>835</v>
      </c>
    </row>
    <row r="4" spans="1:3" x14ac:dyDescent="0.25">
      <c r="A4" s="51">
        <v>226514</v>
      </c>
      <c r="B4" s="81" t="s">
        <v>929</v>
      </c>
    </row>
    <row r="5" spans="1:3" x14ac:dyDescent="0.25">
      <c r="A5" s="51">
        <v>213732</v>
      </c>
      <c r="B5" s="59">
        <v>149</v>
      </c>
      <c r="C5" s="44" t="s">
        <v>836</v>
      </c>
    </row>
    <row r="6" spans="1:3" x14ac:dyDescent="0.25">
      <c r="A6" s="51">
        <v>163973</v>
      </c>
      <c r="B6" s="59">
        <v>490</v>
      </c>
      <c r="C6" s="44" t="s">
        <v>834</v>
      </c>
    </row>
    <row r="7" spans="1:3" x14ac:dyDescent="0.25">
      <c r="A7" s="51">
        <v>158403</v>
      </c>
      <c r="B7" s="81" t="s">
        <v>929</v>
      </c>
    </row>
    <row r="8" spans="1:3" x14ac:dyDescent="0.25">
      <c r="A8" s="51">
        <v>117337</v>
      </c>
      <c r="B8" s="59">
        <v>249</v>
      </c>
      <c r="C8" s="44" t="s">
        <v>808</v>
      </c>
    </row>
    <row r="9" spans="1:3" x14ac:dyDescent="0.25">
      <c r="A9" s="51">
        <v>163903</v>
      </c>
      <c r="B9" s="59">
        <v>290</v>
      </c>
      <c r="C9" s="44" t="s">
        <v>841</v>
      </c>
    </row>
    <row r="10" spans="1:3" x14ac:dyDescent="0.25">
      <c r="A10" s="51">
        <v>224676</v>
      </c>
      <c r="B10" s="59">
        <v>269</v>
      </c>
      <c r="C10" s="44" t="s">
        <v>840</v>
      </c>
    </row>
    <row r="11" spans="1:3" x14ac:dyDescent="0.25">
      <c r="A11" s="51">
        <v>203954</v>
      </c>
      <c r="B11" s="59">
        <v>269</v>
      </c>
      <c r="C11" s="44" t="s">
        <v>842</v>
      </c>
    </row>
    <row r="12" spans="1:3" x14ac:dyDescent="0.25">
      <c r="A12" s="51">
        <v>223717</v>
      </c>
      <c r="B12" s="59">
        <v>490</v>
      </c>
      <c r="C12" s="44" t="s">
        <v>809</v>
      </c>
    </row>
    <row r="13" spans="1:3" x14ac:dyDescent="0.25">
      <c r="A13" s="51">
        <v>224678</v>
      </c>
      <c r="B13" s="59">
        <v>490</v>
      </c>
      <c r="C13" s="44" t="s">
        <v>839</v>
      </c>
    </row>
    <row r="14" spans="1:3" x14ac:dyDescent="0.25">
      <c r="A14" s="51">
        <v>219137</v>
      </c>
      <c r="B14" s="59">
        <v>449</v>
      </c>
      <c r="C14" s="44" t="s">
        <v>837</v>
      </c>
    </row>
    <row r="15" spans="1:3" x14ac:dyDescent="0.25">
      <c r="A15" s="51">
        <v>153073</v>
      </c>
      <c r="B15" s="59">
        <v>590</v>
      </c>
      <c r="C15" s="44" t="s">
        <v>838</v>
      </c>
    </row>
    <row r="16" spans="1:3" x14ac:dyDescent="0.25">
      <c r="A16" s="51">
        <v>224677</v>
      </c>
      <c r="B16" s="81">
        <v>590</v>
      </c>
      <c r="C16" s="44" t="s">
        <v>978</v>
      </c>
    </row>
    <row r="17" spans="1:3" x14ac:dyDescent="0.25">
      <c r="A17" s="51">
        <v>117034</v>
      </c>
      <c r="B17" s="81"/>
    </row>
    <row r="18" spans="1:3" x14ac:dyDescent="0.25">
      <c r="A18" s="51">
        <v>203950</v>
      </c>
      <c r="B18" s="81" t="s">
        <v>929</v>
      </c>
    </row>
    <row r="19" spans="1:3" x14ac:dyDescent="0.25">
      <c r="A19" s="51">
        <v>203952</v>
      </c>
      <c r="B19" s="59">
        <v>629</v>
      </c>
      <c r="C19" s="44" t="s">
        <v>773</v>
      </c>
    </row>
    <row r="20" spans="1:3" x14ac:dyDescent="0.25">
      <c r="A20" s="51">
        <v>132865</v>
      </c>
      <c r="B20" s="81">
        <v>590</v>
      </c>
      <c r="C20" s="44" t="s">
        <v>979</v>
      </c>
    </row>
    <row r="21" spans="1:3" x14ac:dyDescent="0.25">
      <c r="A21" s="51">
        <v>203945</v>
      </c>
      <c r="B21" s="81" t="s">
        <v>929</v>
      </c>
    </row>
    <row r="22" spans="1:3" x14ac:dyDescent="0.25">
      <c r="A22" s="51">
        <v>223730</v>
      </c>
      <c r="B22" s="81">
        <v>590</v>
      </c>
      <c r="C22" s="44" t="s">
        <v>977</v>
      </c>
    </row>
    <row r="23" spans="1:3" x14ac:dyDescent="0.25">
      <c r="A23" s="51">
        <v>224675</v>
      </c>
      <c r="B23" s="81" t="s">
        <v>929</v>
      </c>
    </row>
    <row r="24" spans="1:3" x14ac:dyDescent="0.25">
      <c r="A24" s="51">
        <v>224053</v>
      </c>
      <c r="B24" s="81">
        <v>590</v>
      </c>
      <c r="C24" s="44" t="s">
        <v>980</v>
      </c>
    </row>
    <row r="25" spans="1:3" x14ac:dyDescent="0.25">
      <c r="A25" s="51">
        <v>203205</v>
      </c>
      <c r="B25" s="81">
        <v>590</v>
      </c>
      <c r="C25" s="44" t="s">
        <v>981</v>
      </c>
    </row>
    <row r="26" spans="1:3" x14ac:dyDescent="0.25">
      <c r="A26" s="51">
        <v>203958</v>
      </c>
      <c r="B26" s="81">
        <v>590</v>
      </c>
      <c r="C26" s="44" t="s">
        <v>982</v>
      </c>
    </row>
    <row r="27" spans="1:3" x14ac:dyDescent="0.25">
      <c r="A27" s="51">
        <v>164036</v>
      </c>
      <c r="B27" s="81">
        <v>590</v>
      </c>
      <c r="C27" s="44" t="s">
        <v>983</v>
      </c>
    </row>
    <row r="28" spans="1:3" x14ac:dyDescent="0.25">
      <c r="A28" s="51">
        <v>203946</v>
      </c>
      <c r="B28" s="81">
        <v>590</v>
      </c>
      <c r="C28" s="44" t="s">
        <v>984</v>
      </c>
    </row>
    <row r="29" spans="1:3" x14ac:dyDescent="0.25">
      <c r="A29" s="51">
        <v>132860</v>
      </c>
      <c r="B29" s="81">
        <v>690</v>
      </c>
      <c r="C29" s="44" t="s">
        <v>985</v>
      </c>
    </row>
    <row r="30" spans="1:3" x14ac:dyDescent="0.25">
      <c r="A30" s="51">
        <v>153080</v>
      </c>
      <c r="B30" s="59">
        <v>629</v>
      </c>
      <c r="C30" s="44" t="s">
        <v>807</v>
      </c>
    </row>
    <row r="31" spans="1:3" x14ac:dyDescent="0.25">
      <c r="A31" s="51">
        <v>117308</v>
      </c>
      <c r="B31" s="59">
        <v>590</v>
      </c>
      <c r="C31" s="44" t="s">
        <v>810</v>
      </c>
    </row>
    <row r="32" spans="1:3" x14ac:dyDescent="0.25">
      <c r="A32" s="51">
        <v>117313</v>
      </c>
      <c r="B32" s="59">
        <v>590</v>
      </c>
      <c r="C32" s="44" t="s">
        <v>811</v>
      </c>
    </row>
    <row r="33" spans="1:3" x14ac:dyDescent="0.25">
      <c r="A33" s="51">
        <v>117307</v>
      </c>
      <c r="B33" s="81">
        <v>769</v>
      </c>
      <c r="C33" s="44" t="s">
        <v>986</v>
      </c>
    </row>
    <row r="34" spans="1:3" x14ac:dyDescent="0.25">
      <c r="A34" s="51">
        <v>131502</v>
      </c>
      <c r="B34" s="81">
        <v>390</v>
      </c>
      <c r="C34" s="44" t="s">
        <v>987</v>
      </c>
    </row>
    <row r="35" spans="1:3" x14ac:dyDescent="0.25">
      <c r="A35" s="51">
        <v>224674</v>
      </c>
      <c r="B35" s="81">
        <v>590</v>
      </c>
      <c r="C35" s="44" t="s">
        <v>988</v>
      </c>
    </row>
    <row r="36" spans="1:3" x14ac:dyDescent="0.25">
      <c r="A36" s="51">
        <v>158251</v>
      </c>
      <c r="B36" s="59">
        <v>590</v>
      </c>
      <c r="C36" s="44" t="s">
        <v>812</v>
      </c>
    </row>
    <row r="37" spans="1:3" x14ac:dyDescent="0.25">
      <c r="A37" s="51">
        <v>160143</v>
      </c>
      <c r="B37" s="81">
        <v>649</v>
      </c>
      <c r="C37" s="44" t="s">
        <v>989</v>
      </c>
    </row>
    <row r="38" spans="1:3" x14ac:dyDescent="0.25">
      <c r="A38" s="51">
        <v>117314</v>
      </c>
      <c r="B38" s="59">
        <v>769</v>
      </c>
      <c r="C38" s="44" t="s">
        <v>783</v>
      </c>
    </row>
    <row r="39" spans="1:3" x14ac:dyDescent="0.25">
      <c r="A39" s="51">
        <v>117319</v>
      </c>
      <c r="B39" s="81">
        <v>769</v>
      </c>
      <c r="C39" s="44" t="s">
        <v>990</v>
      </c>
    </row>
    <row r="40" spans="1:3" x14ac:dyDescent="0.25">
      <c r="A40" s="51">
        <v>213843</v>
      </c>
      <c r="B40" s="59">
        <v>693</v>
      </c>
      <c r="C40" s="44" t="s">
        <v>800</v>
      </c>
    </row>
    <row r="41" spans="1:3" x14ac:dyDescent="0.25">
      <c r="A41" s="51">
        <v>213842</v>
      </c>
      <c r="B41" s="81"/>
    </row>
    <row r="42" spans="1:3" x14ac:dyDescent="0.25">
      <c r="A42" s="51">
        <v>158253</v>
      </c>
      <c r="B42" s="59">
        <v>690</v>
      </c>
      <c r="C42" s="44" t="s">
        <v>813</v>
      </c>
    </row>
    <row r="43" spans="1:3" x14ac:dyDescent="0.25">
      <c r="A43" s="51">
        <v>117318</v>
      </c>
      <c r="B43" s="81">
        <v>769</v>
      </c>
      <c r="C43" s="44" t="s">
        <v>681</v>
      </c>
    </row>
    <row r="44" spans="1:3" x14ac:dyDescent="0.25">
      <c r="A44" s="51">
        <v>117317</v>
      </c>
      <c r="B44" s="81">
        <v>769</v>
      </c>
      <c r="C44" s="44" t="s">
        <v>991</v>
      </c>
    </row>
    <row r="45" spans="1:3" x14ac:dyDescent="0.25">
      <c r="A45" s="51">
        <v>117316</v>
      </c>
      <c r="B45" s="59">
        <v>769</v>
      </c>
      <c r="C45" s="44" t="s">
        <v>804</v>
      </c>
    </row>
    <row r="46" spans="1:3" x14ac:dyDescent="0.25">
      <c r="A46" s="51">
        <v>117309</v>
      </c>
      <c r="B46" s="81">
        <v>769</v>
      </c>
      <c r="C46" s="44" t="s">
        <v>992</v>
      </c>
    </row>
    <row r="47" spans="1:3" x14ac:dyDescent="0.25">
      <c r="A47" s="51">
        <v>158250</v>
      </c>
      <c r="B47" s="59">
        <v>690</v>
      </c>
      <c r="C47" s="44" t="s">
        <v>814</v>
      </c>
    </row>
    <row r="48" spans="1:3" x14ac:dyDescent="0.25">
      <c r="A48" s="51">
        <v>158249</v>
      </c>
      <c r="B48" s="59">
        <v>690</v>
      </c>
      <c r="C48" s="44" t="s">
        <v>815</v>
      </c>
    </row>
    <row r="49" spans="1:3" x14ac:dyDescent="0.25">
      <c r="A49" s="51">
        <v>140006</v>
      </c>
      <c r="B49" s="81" t="s">
        <v>929</v>
      </c>
    </row>
    <row r="50" spans="1:3" x14ac:dyDescent="0.25">
      <c r="A50" s="51">
        <v>224680</v>
      </c>
      <c r="B50" s="81">
        <v>790</v>
      </c>
      <c r="C50" s="44" t="s">
        <v>993</v>
      </c>
    </row>
    <row r="51" spans="1:3" x14ac:dyDescent="0.25">
      <c r="A51" s="51">
        <v>203206</v>
      </c>
      <c r="B51" s="59">
        <v>729</v>
      </c>
      <c r="C51" s="44" t="s">
        <v>806</v>
      </c>
    </row>
    <row r="52" spans="1:3" x14ac:dyDescent="0.25">
      <c r="A52" s="51">
        <v>203204</v>
      </c>
      <c r="B52" s="81">
        <v>729</v>
      </c>
      <c r="C52" s="44" t="s">
        <v>994</v>
      </c>
    </row>
    <row r="53" spans="1:3" x14ac:dyDescent="0.25">
      <c r="A53" s="51">
        <v>139489</v>
      </c>
      <c r="B53" s="81">
        <v>629</v>
      </c>
      <c r="C53" s="44" t="s">
        <v>995</v>
      </c>
    </row>
    <row r="54" spans="1:3" x14ac:dyDescent="0.25">
      <c r="A54" s="51">
        <v>131563</v>
      </c>
      <c r="B54" s="81">
        <v>690</v>
      </c>
      <c r="C54" s="44" t="s">
        <v>996</v>
      </c>
    </row>
    <row r="55" spans="1:3" x14ac:dyDescent="0.25">
      <c r="A55" s="51">
        <v>201289</v>
      </c>
      <c r="B55" s="81">
        <v>790</v>
      </c>
      <c r="C55" s="44" t="s">
        <v>997</v>
      </c>
    </row>
    <row r="56" spans="1:3" x14ac:dyDescent="0.25">
      <c r="A56" s="51">
        <v>201288</v>
      </c>
      <c r="B56" s="81">
        <v>790</v>
      </c>
      <c r="C56" s="44" t="s">
        <v>998</v>
      </c>
    </row>
    <row r="57" spans="1:3" x14ac:dyDescent="0.25">
      <c r="A57" s="51">
        <v>201287</v>
      </c>
      <c r="B57" s="81">
        <v>769</v>
      </c>
      <c r="C57" s="44" t="s">
        <v>999</v>
      </c>
    </row>
    <row r="58" spans="1:3" x14ac:dyDescent="0.25">
      <c r="A58" s="51">
        <v>201292</v>
      </c>
      <c r="B58" s="81">
        <v>829</v>
      </c>
      <c r="C58" s="44" t="s">
        <v>1000</v>
      </c>
    </row>
    <row r="59" spans="1:3" x14ac:dyDescent="0.25">
      <c r="A59" s="51">
        <v>132857</v>
      </c>
      <c r="B59" s="81">
        <v>829</v>
      </c>
      <c r="C59" s="44" t="s">
        <v>1001</v>
      </c>
    </row>
    <row r="60" spans="1:3" x14ac:dyDescent="0.25">
      <c r="A60" s="51">
        <v>201291</v>
      </c>
      <c r="B60" s="59">
        <v>890</v>
      </c>
      <c r="C60" s="44" t="s">
        <v>805</v>
      </c>
    </row>
    <row r="61" spans="1:3" x14ac:dyDescent="0.25">
      <c r="A61" s="51">
        <v>164035</v>
      </c>
      <c r="B61" s="81">
        <v>929</v>
      </c>
      <c r="C61" s="44" t="s">
        <v>1002</v>
      </c>
    </row>
    <row r="62" spans="1:3" x14ac:dyDescent="0.25">
      <c r="A62" s="51">
        <v>164005</v>
      </c>
      <c r="B62" s="81">
        <v>969</v>
      </c>
      <c r="C62" s="44" t="s">
        <v>1003</v>
      </c>
    </row>
    <row r="63" spans="1:3" x14ac:dyDescent="0.25">
      <c r="A63" s="51">
        <v>139231</v>
      </c>
      <c r="B63" s="81">
        <v>990</v>
      </c>
      <c r="C63" s="44" t="s">
        <v>1004</v>
      </c>
    </row>
    <row r="64" spans="1:3" x14ac:dyDescent="0.25">
      <c r="A64" s="51">
        <v>164032</v>
      </c>
      <c r="B64" s="81">
        <v>990</v>
      </c>
      <c r="C64" s="44" t="s">
        <v>1005</v>
      </c>
    </row>
    <row r="65" spans="1:3" x14ac:dyDescent="0.25">
      <c r="A65" s="51">
        <v>136661</v>
      </c>
      <c r="B65" s="59">
        <v>969</v>
      </c>
      <c r="C65" s="44" t="s">
        <v>817</v>
      </c>
    </row>
    <row r="66" spans="1:3" x14ac:dyDescent="0.25">
      <c r="A66" s="51">
        <v>223070</v>
      </c>
      <c r="B66" s="81">
        <v>949</v>
      </c>
      <c r="C66" s="44" t="s">
        <v>1006</v>
      </c>
    </row>
    <row r="67" spans="1:3" x14ac:dyDescent="0.25">
      <c r="A67" s="51">
        <v>201293</v>
      </c>
      <c r="B67" s="81">
        <v>1090</v>
      </c>
      <c r="C67" s="44" t="s">
        <v>1007</v>
      </c>
    </row>
    <row r="68" spans="1:3" x14ac:dyDescent="0.25">
      <c r="A68" s="51">
        <v>165355</v>
      </c>
      <c r="B68" s="81">
        <v>1290</v>
      </c>
      <c r="C68" s="44" t="s">
        <v>1008</v>
      </c>
    </row>
    <row r="69" spans="1:3" x14ac:dyDescent="0.25">
      <c r="A69" s="51">
        <v>136896</v>
      </c>
      <c r="B69" s="81">
        <v>969</v>
      </c>
      <c r="C69" s="44" t="s">
        <v>1009</v>
      </c>
    </row>
    <row r="70" spans="1:3" x14ac:dyDescent="0.25">
      <c r="A70" s="51">
        <v>219100</v>
      </c>
      <c r="B70" s="81">
        <v>1190</v>
      </c>
      <c r="C70" s="44" t="s">
        <v>976</v>
      </c>
    </row>
    <row r="71" spans="1:3" x14ac:dyDescent="0.25">
      <c r="A71" s="51">
        <v>164010</v>
      </c>
      <c r="B71" s="59">
        <v>990</v>
      </c>
      <c r="C71" s="44" t="s">
        <v>791</v>
      </c>
    </row>
    <row r="72" spans="1:3" x14ac:dyDescent="0.25">
      <c r="A72" s="51">
        <v>203955</v>
      </c>
      <c r="B72" s="59">
        <v>1190</v>
      </c>
      <c r="C72" s="44" t="s">
        <v>803</v>
      </c>
    </row>
    <row r="73" spans="1:3" x14ac:dyDescent="0.25">
      <c r="A73" s="51">
        <v>203956</v>
      </c>
      <c r="B73" s="59">
        <v>1190</v>
      </c>
      <c r="C73" s="44" t="s">
        <v>802</v>
      </c>
    </row>
    <row r="74" spans="1:3" x14ac:dyDescent="0.25">
      <c r="A74" s="51">
        <v>201297</v>
      </c>
      <c r="B74" s="81">
        <v>990</v>
      </c>
      <c r="C74" s="44" t="s">
        <v>975</v>
      </c>
    </row>
    <row r="75" spans="1:3" x14ac:dyDescent="0.25">
      <c r="A75" s="51">
        <v>201290</v>
      </c>
      <c r="B75" s="59">
        <v>890</v>
      </c>
      <c r="C75" s="44" t="s">
        <v>798</v>
      </c>
    </row>
    <row r="76" spans="1:3" x14ac:dyDescent="0.25">
      <c r="A76" s="51">
        <v>201295</v>
      </c>
      <c r="B76" s="81">
        <v>969</v>
      </c>
      <c r="C76" s="44" t="s">
        <v>974</v>
      </c>
    </row>
    <row r="77" spans="1:3" x14ac:dyDescent="0.25">
      <c r="A77" s="51">
        <v>201296</v>
      </c>
      <c r="B77" s="81">
        <v>990</v>
      </c>
      <c r="C77" s="44" t="s">
        <v>973</v>
      </c>
    </row>
    <row r="78" spans="1:3" x14ac:dyDescent="0.25">
      <c r="A78" s="51">
        <v>201298</v>
      </c>
      <c r="B78" s="59">
        <v>829</v>
      </c>
      <c r="C78" s="44" t="s">
        <v>801</v>
      </c>
    </row>
    <row r="79" spans="1:3" x14ac:dyDescent="0.25">
      <c r="A79" s="51">
        <v>201299</v>
      </c>
      <c r="B79" s="59">
        <v>1190</v>
      </c>
      <c r="C79" s="44" t="s">
        <v>799</v>
      </c>
    </row>
    <row r="80" spans="1:3" x14ac:dyDescent="0.25">
      <c r="A80" s="51">
        <v>136693</v>
      </c>
      <c r="B80" s="81" t="s">
        <v>929</v>
      </c>
    </row>
    <row r="81" spans="1:3" x14ac:dyDescent="0.25">
      <c r="A81" s="51">
        <v>160135</v>
      </c>
      <c r="B81" s="81" t="s">
        <v>929</v>
      </c>
    </row>
    <row r="82" spans="1:3" x14ac:dyDescent="0.25">
      <c r="A82" s="51">
        <v>153081</v>
      </c>
      <c r="B82" s="81">
        <v>1190</v>
      </c>
      <c r="C82" s="44" t="s">
        <v>972</v>
      </c>
    </row>
    <row r="83" spans="1:3" x14ac:dyDescent="0.25">
      <c r="A83" s="51">
        <v>203207</v>
      </c>
      <c r="B83" s="59">
        <v>1190</v>
      </c>
      <c r="C83" s="44" t="s">
        <v>790</v>
      </c>
    </row>
    <row r="84" spans="1:3" x14ac:dyDescent="0.25">
      <c r="A84" s="51">
        <v>131562</v>
      </c>
      <c r="B84" s="81">
        <v>790</v>
      </c>
      <c r="C84" s="44" t="s">
        <v>971</v>
      </c>
    </row>
    <row r="85" spans="1:3" x14ac:dyDescent="0.25">
      <c r="A85" s="51">
        <v>131555</v>
      </c>
      <c r="B85" s="81" t="s">
        <v>929</v>
      </c>
    </row>
    <row r="86" spans="1:3" x14ac:dyDescent="0.25">
      <c r="A86" s="51">
        <v>164999</v>
      </c>
      <c r="B86" s="81" t="s">
        <v>929</v>
      </c>
    </row>
    <row r="87" spans="1:3" x14ac:dyDescent="0.25">
      <c r="A87" s="51">
        <v>138717</v>
      </c>
      <c r="B87" s="59">
        <v>1690</v>
      </c>
      <c r="C87" s="44" t="s">
        <v>797</v>
      </c>
    </row>
    <row r="88" spans="1:3" x14ac:dyDescent="0.25">
      <c r="A88" s="51">
        <v>203208</v>
      </c>
      <c r="B88" s="81">
        <v>1290</v>
      </c>
      <c r="C88" s="44" t="s">
        <v>970</v>
      </c>
    </row>
    <row r="89" spans="1:3" x14ac:dyDescent="0.25">
      <c r="A89" s="51">
        <v>153082</v>
      </c>
      <c r="B89" s="81">
        <v>1390</v>
      </c>
      <c r="C89" s="44" t="s">
        <v>969</v>
      </c>
    </row>
    <row r="90" spans="1:3" x14ac:dyDescent="0.25">
      <c r="A90" s="51">
        <v>226388</v>
      </c>
      <c r="B90" s="59">
        <v>1490</v>
      </c>
      <c r="C90" s="44" t="s">
        <v>816</v>
      </c>
    </row>
    <row r="91" spans="1:3" x14ac:dyDescent="0.25">
      <c r="A91" s="51">
        <v>138682</v>
      </c>
      <c r="B91" s="81">
        <v>1790</v>
      </c>
      <c r="C91" s="44" t="s">
        <v>968</v>
      </c>
    </row>
    <row r="92" spans="1:3" x14ac:dyDescent="0.25">
      <c r="A92" s="51">
        <v>165000</v>
      </c>
      <c r="B92" s="81" t="s">
        <v>929</v>
      </c>
    </row>
    <row r="93" spans="1:3" x14ac:dyDescent="0.25">
      <c r="A93" s="51">
        <v>171719</v>
      </c>
      <c r="B93" s="81">
        <v>1790</v>
      </c>
      <c r="C93" s="44" t="s">
        <v>961</v>
      </c>
    </row>
    <row r="94" spans="1:3" x14ac:dyDescent="0.25">
      <c r="A94" s="51">
        <v>131561</v>
      </c>
      <c r="B94" s="81">
        <v>1190</v>
      </c>
      <c r="C94" s="44" t="s">
        <v>967</v>
      </c>
    </row>
    <row r="95" spans="1:3" x14ac:dyDescent="0.25">
      <c r="A95" s="51">
        <v>131564</v>
      </c>
      <c r="B95" s="81">
        <v>890</v>
      </c>
      <c r="C95" s="44" t="s">
        <v>966</v>
      </c>
    </row>
    <row r="96" spans="1:3" x14ac:dyDescent="0.25">
      <c r="A96" s="51">
        <v>131566</v>
      </c>
      <c r="B96" s="81">
        <v>1190</v>
      </c>
      <c r="C96" s="44" t="s">
        <v>965</v>
      </c>
    </row>
    <row r="97" spans="1:3" x14ac:dyDescent="0.25">
      <c r="A97" s="51">
        <v>218498</v>
      </c>
      <c r="B97" s="81">
        <v>1690</v>
      </c>
      <c r="C97" s="44" t="s">
        <v>964</v>
      </c>
    </row>
    <row r="98" spans="1:3" x14ac:dyDescent="0.25">
      <c r="A98" s="51">
        <v>138684</v>
      </c>
      <c r="B98" s="81">
        <v>1790</v>
      </c>
      <c r="C98" s="44" t="s">
        <v>963</v>
      </c>
    </row>
    <row r="99" spans="1:3" x14ac:dyDescent="0.25">
      <c r="A99" s="51">
        <v>223736</v>
      </c>
      <c r="B99" s="81">
        <v>1690</v>
      </c>
      <c r="C99" s="44" t="s">
        <v>962</v>
      </c>
    </row>
    <row r="100" spans="1:3" x14ac:dyDescent="0.25">
      <c r="A100" s="51">
        <v>171720</v>
      </c>
      <c r="B100" s="81">
        <v>1790</v>
      </c>
      <c r="C100" s="44" t="s">
        <v>961</v>
      </c>
    </row>
    <row r="101" spans="1:3" x14ac:dyDescent="0.25">
      <c r="A101" s="51">
        <v>153083</v>
      </c>
      <c r="B101" s="81">
        <v>1590</v>
      </c>
      <c r="C101" s="44" t="s">
        <v>960</v>
      </c>
    </row>
    <row r="102" spans="1:3" x14ac:dyDescent="0.25">
      <c r="A102" s="51">
        <v>117311</v>
      </c>
      <c r="B102" s="81">
        <v>1690</v>
      </c>
      <c r="C102" s="44" t="s">
        <v>959</v>
      </c>
    </row>
    <row r="103" spans="1:3" x14ac:dyDescent="0.25">
      <c r="A103" s="51">
        <v>224679</v>
      </c>
      <c r="B103" s="81">
        <v>1790</v>
      </c>
      <c r="C103" s="44" t="s">
        <v>958</v>
      </c>
    </row>
    <row r="104" spans="1:3" x14ac:dyDescent="0.25">
      <c r="A104" s="51">
        <v>219058</v>
      </c>
      <c r="B104" s="81">
        <v>1590</v>
      </c>
      <c r="C104" s="44" t="s">
        <v>957</v>
      </c>
    </row>
    <row r="105" spans="1:3" x14ac:dyDescent="0.25">
      <c r="A105" s="51">
        <v>138683</v>
      </c>
      <c r="B105" s="59">
        <v>2290</v>
      </c>
      <c r="C105" s="44" t="s">
        <v>769</v>
      </c>
    </row>
    <row r="106" spans="1:3" x14ac:dyDescent="0.25">
      <c r="A106" s="51">
        <v>164009</v>
      </c>
      <c r="B106" s="81" t="s">
        <v>928</v>
      </c>
    </row>
    <row r="107" spans="1:3" x14ac:dyDescent="0.25">
      <c r="A107" s="51">
        <v>224681</v>
      </c>
      <c r="B107" s="81" t="s">
        <v>929</v>
      </c>
    </row>
    <row r="108" spans="1:3" x14ac:dyDescent="0.25">
      <c r="A108" s="51">
        <v>194468</v>
      </c>
      <c r="B108" s="81" t="s">
        <v>956</v>
      </c>
      <c r="C108" s="44" t="s">
        <v>708</v>
      </c>
    </row>
    <row r="109" spans="1:3" x14ac:dyDescent="0.25">
      <c r="A109" s="51">
        <v>218482</v>
      </c>
      <c r="B109" s="81">
        <v>2190</v>
      </c>
      <c r="C109" s="44" t="s">
        <v>955</v>
      </c>
    </row>
    <row r="110" spans="1:3" x14ac:dyDescent="0.25">
      <c r="A110" s="51">
        <v>194466</v>
      </c>
      <c r="B110" s="81" t="s">
        <v>954</v>
      </c>
      <c r="C110" s="44" t="s">
        <v>706</v>
      </c>
    </row>
    <row r="111" spans="1:3" x14ac:dyDescent="0.25">
      <c r="A111" s="51">
        <v>201030</v>
      </c>
      <c r="B111" s="81">
        <v>2290</v>
      </c>
      <c r="C111" s="44" t="s">
        <v>949</v>
      </c>
    </row>
    <row r="112" spans="1:3" x14ac:dyDescent="0.25">
      <c r="A112" s="51">
        <v>131560</v>
      </c>
      <c r="B112" s="81">
        <v>1990</v>
      </c>
      <c r="C112" s="44" t="s">
        <v>953</v>
      </c>
    </row>
    <row r="113" spans="1:3" x14ac:dyDescent="0.25">
      <c r="A113" s="51">
        <v>151264</v>
      </c>
      <c r="B113" s="81">
        <v>2390</v>
      </c>
      <c r="C113" s="44" t="s">
        <v>952</v>
      </c>
    </row>
    <row r="114" spans="1:3" x14ac:dyDescent="0.25">
      <c r="A114" s="51">
        <v>138714</v>
      </c>
      <c r="B114" s="59">
        <v>2190</v>
      </c>
      <c r="C114" s="44" t="s">
        <v>774</v>
      </c>
    </row>
    <row r="115" spans="1:3" x14ac:dyDescent="0.25">
      <c r="A115" s="51">
        <v>138711</v>
      </c>
      <c r="B115" s="59">
        <v>2290</v>
      </c>
      <c r="C115" s="44" t="s">
        <v>818</v>
      </c>
    </row>
    <row r="116" spans="1:3" x14ac:dyDescent="0.25">
      <c r="A116" s="51">
        <v>138713</v>
      </c>
      <c r="B116" s="59">
        <v>2190</v>
      </c>
      <c r="C116" s="44" t="s">
        <v>819</v>
      </c>
    </row>
    <row r="117" spans="1:3" x14ac:dyDescent="0.25">
      <c r="A117" s="51">
        <v>138700</v>
      </c>
      <c r="B117" s="59">
        <v>2190</v>
      </c>
      <c r="C117" s="44" t="s">
        <v>796</v>
      </c>
    </row>
    <row r="118" spans="1:3" x14ac:dyDescent="0.25">
      <c r="A118" s="51">
        <v>138712</v>
      </c>
      <c r="B118" s="59">
        <v>2190</v>
      </c>
      <c r="C118" s="44" t="s">
        <v>830</v>
      </c>
    </row>
    <row r="119" spans="1:3" x14ac:dyDescent="0.25">
      <c r="A119" s="51">
        <v>138644</v>
      </c>
      <c r="B119" s="81">
        <v>2190</v>
      </c>
      <c r="C119" s="44" t="s">
        <v>830</v>
      </c>
    </row>
    <row r="120" spans="1:3" x14ac:dyDescent="0.25">
      <c r="A120" s="51">
        <v>138641</v>
      </c>
      <c r="B120" s="81"/>
    </row>
    <row r="121" spans="1:3" x14ac:dyDescent="0.25">
      <c r="A121" s="51">
        <v>138643</v>
      </c>
      <c r="B121" s="59">
        <v>2190</v>
      </c>
      <c r="C121" s="44" t="s">
        <v>829</v>
      </c>
    </row>
    <row r="122" spans="1:3" x14ac:dyDescent="0.25">
      <c r="A122" s="51">
        <v>138642</v>
      </c>
      <c r="B122" s="81"/>
    </row>
    <row r="123" spans="1:3" x14ac:dyDescent="0.25">
      <c r="A123" s="51">
        <v>138692</v>
      </c>
      <c r="B123" s="59">
        <v>2190</v>
      </c>
      <c r="C123" s="44" t="s">
        <v>828</v>
      </c>
    </row>
    <row r="124" spans="1:3" x14ac:dyDescent="0.25">
      <c r="A124" s="51">
        <v>138664</v>
      </c>
      <c r="B124" s="81">
        <v>2290</v>
      </c>
      <c r="C124" s="44" t="s">
        <v>951</v>
      </c>
    </row>
    <row r="125" spans="1:3" x14ac:dyDescent="0.25">
      <c r="A125" s="51">
        <v>164007</v>
      </c>
      <c r="B125" s="81">
        <v>2390</v>
      </c>
      <c r="C125" s="44" t="s">
        <v>950</v>
      </c>
    </row>
    <row r="126" spans="1:3" x14ac:dyDescent="0.25">
      <c r="A126" s="51">
        <v>218499</v>
      </c>
      <c r="B126" s="59">
        <v>2690</v>
      </c>
      <c r="C126" s="44" t="s">
        <v>795</v>
      </c>
    </row>
    <row r="127" spans="1:3" x14ac:dyDescent="0.25">
      <c r="A127" s="51">
        <v>201031</v>
      </c>
      <c r="B127" s="81">
        <v>2290</v>
      </c>
      <c r="C127" s="44" t="s">
        <v>949</v>
      </c>
    </row>
    <row r="128" spans="1:3" x14ac:dyDescent="0.25">
      <c r="A128" s="51">
        <v>138639</v>
      </c>
      <c r="B128" s="59">
        <v>2290</v>
      </c>
      <c r="C128" s="44" t="s">
        <v>826</v>
      </c>
    </row>
    <row r="129" spans="1:3" x14ac:dyDescent="0.25">
      <c r="A129" s="51">
        <v>138640</v>
      </c>
      <c r="B129" s="59">
        <v>2290</v>
      </c>
      <c r="C129" s="44" t="s">
        <v>827</v>
      </c>
    </row>
    <row r="130" spans="1:3" x14ac:dyDescent="0.25">
      <c r="A130" s="51">
        <v>138673</v>
      </c>
      <c r="B130" s="59">
        <v>2290</v>
      </c>
      <c r="C130" s="44" t="s">
        <v>794</v>
      </c>
    </row>
    <row r="131" spans="1:3" x14ac:dyDescent="0.25">
      <c r="A131" s="51">
        <v>117065</v>
      </c>
      <c r="B131" s="81">
        <v>2490</v>
      </c>
      <c r="C131" s="44" t="s">
        <v>948</v>
      </c>
    </row>
    <row r="132" spans="1:3" x14ac:dyDescent="0.25">
      <c r="A132" s="51">
        <v>151261</v>
      </c>
      <c r="B132" s="59">
        <v>2890</v>
      </c>
      <c r="C132" s="44" t="s">
        <v>845</v>
      </c>
    </row>
    <row r="133" spans="1:3" x14ac:dyDescent="0.25">
      <c r="A133" s="51">
        <v>141972</v>
      </c>
      <c r="B133" s="59">
        <v>2690</v>
      </c>
      <c r="C133" s="44" t="s">
        <v>843</v>
      </c>
    </row>
    <row r="134" spans="1:3" x14ac:dyDescent="0.25">
      <c r="A134" s="51">
        <v>131567</v>
      </c>
      <c r="B134" s="59">
        <v>1290</v>
      </c>
      <c r="C134" s="44" t="s">
        <v>775</v>
      </c>
    </row>
    <row r="135" spans="1:3" x14ac:dyDescent="0.25">
      <c r="A135" s="51">
        <v>141973</v>
      </c>
      <c r="B135" s="59">
        <v>2890</v>
      </c>
      <c r="C135" s="44" t="s">
        <v>844</v>
      </c>
    </row>
    <row r="136" spans="1:3" x14ac:dyDescent="0.25">
      <c r="A136" s="51">
        <v>219241</v>
      </c>
      <c r="B136" s="59">
        <v>2490</v>
      </c>
      <c r="C136" s="44" t="s">
        <v>716</v>
      </c>
    </row>
    <row r="137" spans="1:3" x14ac:dyDescent="0.25">
      <c r="A137" s="51">
        <v>223733</v>
      </c>
      <c r="B137" s="81">
        <v>3190</v>
      </c>
      <c r="C137" s="44" t="s">
        <v>947</v>
      </c>
    </row>
    <row r="138" spans="1:3" x14ac:dyDescent="0.25">
      <c r="A138" s="51">
        <v>223734</v>
      </c>
      <c r="B138" s="59">
        <v>3290</v>
      </c>
      <c r="C138" s="44" t="s">
        <v>854</v>
      </c>
    </row>
    <row r="139" spans="1:3" x14ac:dyDescent="0.25">
      <c r="A139" s="51">
        <v>141971</v>
      </c>
      <c r="B139" s="59">
        <v>3790</v>
      </c>
      <c r="C139" s="44" t="s">
        <v>770</v>
      </c>
    </row>
    <row r="140" spans="1:3" x14ac:dyDescent="0.25">
      <c r="A140" s="51">
        <v>138708</v>
      </c>
      <c r="B140" s="81"/>
    </row>
    <row r="141" spans="1:3" x14ac:dyDescent="0.25">
      <c r="A141" s="51">
        <v>201307</v>
      </c>
      <c r="B141" s="59">
        <v>3290</v>
      </c>
      <c r="C141" s="44" t="s">
        <v>846</v>
      </c>
    </row>
    <row r="142" spans="1:3" x14ac:dyDescent="0.25">
      <c r="A142" s="51">
        <v>141975</v>
      </c>
      <c r="B142" s="59">
        <v>3590</v>
      </c>
      <c r="C142" s="44" t="s">
        <v>855</v>
      </c>
    </row>
    <row r="143" spans="1:3" x14ac:dyDescent="0.25">
      <c r="A143" s="51">
        <v>201032</v>
      </c>
      <c r="B143" s="59">
        <v>3690</v>
      </c>
      <c r="C143" s="44" t="s">
        <v>776</v>
      </c>
    </row>
    <row r="144" spans="1:3" x14ac:dyDescent="0.25">
      <c r="A144" s="51">
        <v>164008</v>
      </c>
      <c r="B144" s="59">
        <v>3390</v>
      </c>
      <c r="C144" s="44" t="s">
        <v>847</v>
      </c>
    </row>
    <row r="145" spans="1:3" x14ac:dyDescent="0.25">
      <c r="A145" s="51">
        <v>141970</v>
      </c>
      <c r="B145" s="81">
        <v>3690</v>
      </c>
      <c r="C145" s="44" t="s">
        <v>946</v>
      </c>
    </row>
    <row r="146" spans="1:3" x14ac:dyDescent="0.25">
      <c r="A146" s="51">
        <v>138662</v>
      </c>
      <c r="B146" s="81"/>
    </row>
    <row r="147" spans="1:3" x14ac:dyDescent="0.25">
      <c r="A147" s="51">
        <v>143690</v>
      </c>
      <c r="B147" s="59">
        <v>2990</v>
      </c>
      <c r="C147" s="44" t="s">
        <v>823</v>
      </c>
    </row>
    <row r="148" spans="1:3" x14ac:dyDescent="0.25">
      <c r="A148" s="51">
        <v>224671</v>
      </c>
      <c r="B148" s="81">
        <v>3990</v>
      </c>
      <c r="C148" s="44" t="s">
        <v>945</v>
      </c>
    </row>
    <row r="149" spans="1:3" x14ac:dyDescent="0.25">
      <c r="A149" s="51">
        <v>141974</v>
      </c>
      <c r="B149" s="59">
        <v>3790</v>
      </c>
      <c r="C149" s="44" t="s">
        <v>770</v>
      </c>
    </row>
    <row r="150" spans="1:3" x14ac:dyDescent="0.25">
      <c r="A150" s="51">
        <v>202283</v>
      </c>
      <c r="B150" s="81">
        <v>3990</v>
      </c>
      <c r="C150" s="44" t="s">
        <v>944</v>
      </c>
    </row>
    <row r="151" spans="1:3" x14ac:dyDescent="0.25">
      <c r="A151" s="51">
        <v>219243</v>
      </c>
      <c r="B151" s="59">
        <v>3690</v>
      </c>
      <c r="C151" s="44" t="s">
        <v>851</v>
      </c>
    </row>
    <row r="152" spans="1:3" x14ac:dyDescent="0.25">
      <c r="A152" s="51">
        <v>141976</v>
      </c>
      <c r="B152" s="59">
        <v>4190</v>
      </c>
      <c r="C152" s="44" t="s">
        <v>852</v>
      </c>
    </row>
    <row r="153" spans="1:3" x14ac:dyDescent="0.25">
      <c r="A153" s="51">
        <v>131559</v>
      </c>
      <c r="B153" s="59">
        <v>4190</v>
      </c>
      <c r="C153" s="44" t="s">
        <v>853</v>
      </c>
    </row>
    <row r="154" spans="1:3" x14ac:dyDescent="0.25">
      <c r="A154" s="51">
        <v>202284</v>
      </c>
      <c r="B154" s="59">
        <v>4790</v>
      </c>
      <c r="C154" s="44" t="s">
        <v>777</v>
      </c>
    </row>
    <row r="155" spans="1:3" x14ac:dyDescent="0.25">
      <c r="A155" s="51">
        <v>138709</v>
      </c>
      <c r="B155" s="59">
        <v>4590</v>
      </c>
      <c r="C155" s="44" t="s">
        <v>824</v>
      </c>
    </row>
    <row r="156" spans="1:3" x14ac:dyDescent="0.25">
      <c r="A156" s="51">
        <v>138696</v>
      </c>
      <c r="B156" s="59">
        <v>5690</v>
      </c>
      <c r="C156" s="44" t="s">
        <v>825</v>
      </c>
    </row>
    <row r="157" spans="1:3" x14ac:dyDescent="0.25">
      <c r="A157" s="51">
        <v>138634</v>
      </c>
      <c r="B157" s="81"/>
    </row>
    <row r="158" spans="1:3" x14ac:dyDescent="0.25">
      <c r="A158" s="51">
        <v>138636</v>
      </c>
      <c r="B158" s="81"/>
    </row>
    <row r="159" spans="1:3" x14ac:dyDescent="0.25">
      <c r="A159" s="51">
        <v>138637</v>
      </c>
      <c r="B159" s="81"/>
    </row>
    <row r="160" spans="1:3" x14ac:dyDescent="0.25">
      <c r="A160" s="51">
        <v>186321</v>
      </c>
      <c r="B160" s="81">
        <v>4490</v>
      </c>
      <c r="C160" s="44" t="s">
        <v>943</v>
      </c>
    </row>
    <row r="161" spans="1:3" x14ac:dyDescent="0.25">
      <c r="A161" s="51">
        <v>186320</v>
      </c>
      <c r="B161" s="59">
        <v>4490</v>
      </c>
      <c r="C161" s="44" t="s">
        <v>778</v>
      </c>
    </row>
    <row r="162" spans="1:3" x14ac:dyDescent="0.25">
      <c r="A162" s="51">
        <v>201308</v>
      </c>
      <c r="B162" s="81">
        <v>4590</v>
      </c>
      <c r="C162" s="44" t="s">
        <v>942</v>
      </c>
    </row>
    <row r="163" spans="1:3" x14ac:dyDescent="0.25">
      <c r="A163" s="51">
        <v>138695</v>
      </c>
      <c r="B163" s="81"/>
    </row>
    <row r="164" spans="1:3" x14ac:dyDescent="0.25">
      <c r="A164" s="51">
        <v>138694</v>
      </c>
      <c r="B164" s="81"/>
    </row>
    <row r="165" spans="1:3" x14ac:dyDescent="0.25">
      <c r="A165" s="51">
        <v>158690</v>
      </c>
      <c r="B165" s="59">
        <v>4190</v>
      </c>
      <c r="C165" s="44" t="s">
        <v>850</v>
      </c>
    </row>
    <row r="166" spans="1:3" x14ac:dyDescent="0.25">
      <c r="A166" s="51">
        <v>138638</v>
      </c>
      <c r="B166" s="59">
        <v>5190</v>
      </c>
      <c r="C166" s="44" t="s">
        <v>779</v>
      </c>
    </row>
    <row r="167" spans="1:3" x14ac:dyDescent="0.25">
      <c r="A167" s="51">
        <v>201027</v>
      </c>
      <c r="B167" s="59">
        <v>4890</v>
      </c>
      <c r="C167" s="44" t="s">
        <v>849</v>
      </c>
    </row>
    <row r="168" spans="1:3" x14ac:dyDescent="0.25">
      <c r="A168" s="51">
        <v>138702</v>
      </c>
      <c r="B168" s="59">
        <v>5490</v>
      </c>
      <c r="C168" s="44" t="s">
        <v>771</v>
      </c>
    </row>
    <row r="169" spans="1:3" x14ac:dyDescent="0.25">
      <c r="A169" s="51">
        <v>131499</v>
      </c>
      <c r="B169" s="59">
        <v>4290</v>
      </c>
      <c r="C169" s="44" t="s">
        <v>822</v>
      </c>
    </row>
    <row r="170" spans="1:3" x14ac:dyDescent="0.25">
      <c r="A170" s="51">
        <v>138635</v>
      </c>
      <c r="B170" s="81"/>
    </row>
    <row r="171" spans="1:3" x14ac:dyDescent="0.25">
      <c r="A171" s="51">
        <v>186317</v>
      </c>
      <c r="B171" s="59">
        <v>5190</v>
      </c>
      <c r="C171" s="44" t="s">
        <v>772</v>
      </c>
    </row>
    <row r="172" spans="1:3" x14ac:dyDescent="0.25">
      <c r="A172" s="51">
        <v>218487</v>
      </c>
      <c r="B172" s="81">
        <v>6490</v>
      </c>
      <c r="C172" s="44" t="s">
        <v>941</v>
      </c>
    </row>
    <row r="173" spans="1:3" x14ac:dyDescent="0.25">
      <c r="A173" s="51">
        <v>143689</v>
      </c>
      <c r="B173" s="81"/>
    </row>
    <row r="174" spans="1:3" x14ac:dyDescent="0.25">
      <c r="A174" s="51">
        <v>214015</v>
      </c>
      <c r="B174" s="59">
        <v>5890</v>
      </c>
      <c r="C174" s="44" t="s">
        <v>848</v>
      </c>
    </row>
    <row r="175" spans="1:3" x14ac:dyDescent="0.25">
      <c r="A175" s="51">
        <v>201038</v>
      </c>
      <c r="B175" s="59">
        <v>7190</v>
      </c>
      <c r="C175" s="44" t="s">
        <v>780</v>
      </c>
    </row>
    <row r="176" spans="1:3" x14ac:dyDescent="0.25">
      <c r="A176" s="51">
        <v>138633</v>
      </c>
      <c r="B176" s="81">
        <v>6790</v>
      </c>
      <c r="C176" s="44" t="s">
        <v>940</v>
      </c>
    </row>
    <row r="177" spans="1:3" x14ac:dyDescent="0.25">
      <c r="A177" s="51">
        <v>138710</v>
      </c>
      <c r="B177" s="81" t="s">
        <v>929</v>
      </c>
    </row>
    <row r="178" spans="1:3" x14ac:dyDescent="0.25">
      <c r="A178" s="51">
        <v>138716</v>
      </c>
      <c r="B178" s="59">
        <v>6190</v>
      </c>
      <c r="C178" s="44" t="s">
        <v>784</v>
      </c>
    </row>
    <row r="179" spans="1:3" x14ac:dyDescent="0.25">
      <c r="A179" s="51">
        <v>138669</v>
      </c>
      <c r="B179" s="81" t="s">
        <v>928</v>
      </c>
    </row>
    <row r="180" spans="1:3" x14ac:dyDescent="0.25">
      <c r="A180" s="51">
        <v>201028</v>
      </c>
      <c r="B180" s="81" t="s">
        <v>928</v>
      </c>
    </row>
    <row r="181" spans="1:3" x14ac:dyDescent="0.25">
      <c r="A181" s="51">
        <v>202081</v>
      </c>
      <c r="B181" s="59">
        <v>8290</v>
      </c>
      <c r="C181" s="44" t="s">
        <v>781</v>
      </c>
    </row>
    <row r="182" spans="1:3" x14ac:dyDescent="0.25">
      <c r="A182" s="51">
        <v>138715</v>
      </c>
      <c r="B182" s="59">
        <v>7190</v>
      </c>
      <c r="C182" s="44" t="s">
        <v>821</v>
      </c>
    </row>
    <row r="183" spans="1:3" x14ac:dyDescent="0.25">
      <c r="A183" s="51">
        <v>138665</v>
      </c>
      <c r="B183" s="81"/>
    </row>
    <row r="184" spans="1:3" x14ac:dyDescent="0.25">
      <c r="A184" s="51">
        <v>138657</v>
      </c>
      <c r="B184" s="81"/>
    </row>
    <row r="185" spans="1:3" x14ac:dyDescent="0.25">
      <c r="A185" s="51">
        <v>138670</v>
      </c>
      <c r="B185" s="81"/>
    </row>
    <row r="186" spans="1:3" x14ac:dyDescent="0.25">
      <c r="A186" s="51">
        <v>138660</v>
      </c>
      <c r="B186" s="81">
        <v>7790</v>
      </c>
      <c r="C186" s="44" t="s">
        <v>939</v>
      </c>
    </row>
    <row r="187" spans="1:3" x14ac:dyDescent="0.25">
      <c r="A187" s="51">
        <v>138658</v>
      </c>
      <c r="B187" s="59">
        <v>7790</v>
      </c>
      <c r="C187" s="44" t="s">
        <v>782</v>
      </c>
    </row>
    <row r="188" spans="1:3" x14ac:dyDescent="0.25">
      <c r="A188" s="51">
        <v>138659</v>
      </c>
      <c r="B188" s="81">
        <v>8490</v>
      </c>
      <c r="C188" s="44" t="s">
        <v>938</v>
      </c>
    </row>
    <row r="189" spans="1:3" x14ac:dyDescent="0.25">
      <c r="A189" s="51">
        <v>219242</v>
      </c>
      <c r="B189" s="81" t="s">
        <v>929</v>
      </c>
    </row>
    <row r="190" spans="1:3" x14ac:dyDescent="0.25">
      <c r="A190" s="51">
        <v>138654</v>
      </c>
      <c r="B190" s="81">
        <v>8690</v>
      </c>
      <c r="C190" s="44" t="s">
        <v>937</v>
      </c>
    </row>
    <row r="191" spans="1:3" x14ac:dyDescent="0.25">
      <c r="A191" s="51">
        <v>138674</v>
      </c>
      <c r="B191" s="81">
        <v>8690</v>
      </c>
      <c r="C191" s="44" t="s">
        <v>936</v>
      </c>
    </row>
    <row r="192" spans="1:3" x14ac:dyDescent="0.25">
      <c r="A192" s="51">
        <v>138652</v>
      </c>
      <c r="B192" s="59">
        <v>8790</v>
      </c>
      <c r="C192" s="44" t="s">
        <v>683</v>
      </c>
    </row>
    <row r="193" spans="1:3" x14ac:dyDescent="0.25">
      <c r="A193" s="51">
        <v>138653</v>
      </c>
      <c r="B193" s="59">
        <v>9190</v>
      </c>
      <c r="C193" s="44" t="s">
        <v>785</v>
      </c>
    </row>
    <row r="194" spans="1:3" x14ac:dyDescent="0.25">
      <c r="A194" s="51">
        <v>138671</v>
      </c>
      <c r="B194" s="59">
        <v>8990</v>
      </c>
      <c r="C194" s="44" t="s">
        <v>786</v>
      </c>
    </row>
    <row r="195" spans="1:3" x14ac:dyDescent="0.25">
      <c r="A195" s="51">
        <v>201029</v>
      </c>
      <c r="B195" s="81" t="s">
        <v>928</v>
      </c>
    </row>
    <row r="196" spans="1:3" x14ac:dyDescent="0.25">
      <c r="A196" s="51">
        <v>138667</v>
      </c>
      <c r="B196" s="81"/>
    </row>
    <row r="197" spans="1:3" x14ac:dyDescent="0.25">
      <c r="A197" s="51">
        <v>201306</v>
      </c>
      <c r="B197" s="59">
        <v>10590</v>
      </c>
      <c r="C197" s="44" t="s">
        <v>787</v>
      </c>
    </row>
    <row r="198" spans="1:3" x14ac:dyDescent="0.25">
      <c r="A198" s="51">
        <v>138675</v>
      </c>
      <c r="B198" s="59">
        <v>10490</v>
      </c>
      <c r="C198" s="44" t="s">
        <v>788</v>
      </c>
    </row>
    <row r="199" spans="1:3" x14ac:dyDescent="0.25">
      <c r="A199" s="51">
        <v>138672</v>
      </c>
      <c r="B199" s="59">
        <v>10990</v>
      </c>
      <c r="C199" s="44" t="s">
        <v>792</v>
      </c>
    </row>
    <row r="200" spans="1:3" x14ac:dyDescent="0.25">
      <c r="A200" s="51">
        <v>226982</v>
      </c>
      <c r="B200" s="59">
        <v>14290</v>
      </c>
      <c r="C200" s="44" t="s">
        <v>730</v>
      </c>
    </row>
    <row r="201" spans="1:3" x14ac:dyDescent="0.25">
      <c r="A201" s="51">
        <v>226981</v>
      </c>
      <c r="B201" s="59">
        <v>13690</v>
      </c>
      <c r="C201" s="44" t="s">
        <v>722</v>
      </c>
    </row>
    <row r="202" spans="1:3" x14ac:dyDescent="0.25">
      <c r="A202" s="51">
        <v>138666</v>
      </c>
      <c r="B202" s="59">
        <v>13490</v>
      </c>
      <c r="C202" s="44" t="s">
        <v>789</v>
      </c>
    </row>
    <row r="203" spans="1:3" x14ac:dyDescent="0.25">
      <c r="A203" s="51">
        <v>138632</v>
      </c>
      <c r="B203" s="59">
        <v>14390</v>
      </c>
      <c r="C203" s="44" t="s">
        <v>833</v>
      </c>
    </row>
    <row r="204" spans="1:3" x14ac:dyDescent="0.25">
      <c r="A204" s="51">
        <v>226972</v>
      </c>
      <c r="B204" s="59">
        <v>19990</v>
      </c>
      <c r="C204" s="44" t="s">
        <v>720</v>
      </c>
    </row>
    <row r="205" spans="1:3" x14ac:dyDescent="0.25">
      <c r="A205" s="51">
        <v>226973</v>
      </c>
      <c r="B205" s="59">
        <v>17390</v>
      </c>
      <c r="C205" s="44" t="s">
        <v>723</v>
      </c>
    </row>
    <row r="206" spans="1:3" x14ac:dyDescent="0.25">
      <c r="A206" s="51">
        <v>218488</v>
      </c>
      <c r="B206" s="81"/>
    </row>
    <row r="207" spans="1:3" x14ac:dyDescent="0.25">
      <c r="A207" s="51">
        <v>218491</v>
      </c>
      <c r="B207" s="81" t="s">
        <v>929</v>
      </c>
    </row>
    <row r="208" spans="1:3" x14ac:dyDescent="0.25">
      <c r="A208" s="51">
        <v>218495</v>
      </c>
      <c r="B208" s="81"/>
    </row>
    <row r="209" spans="1:2" x14ac:dyDescent="0.25">
      <c r="A209" s="51">
        <v>218492</v>
      </c>
      <c r="B209" s="81"/>
    </row>
    <row r="210" spans="1:2" x14ac:dyDescent="0.25">
      <c r="A210" s="51">
        <v>218500</v>
      </c>
      <c r="B210" s="81"/>
    </row>
    <row r="211" spans="1:2" x14ac:dyDescent="0.25">
      <c r="A211" s="51">
        <v>218494</v>
      </c>
      <c r="B211" s="81"/>
    </row>
    <row r="212" spans="1:2" x14ac:dyDescent="0.25">
      <c r="A212" s="51">
        <v>218501</v>
      </c>
      <c r="B212" s="81"/>
    </row>
    <row r="213" spans="1:2" x14ac:dyDescent="0.25">
      <c r="A213" s="51">
        <v>218489</v>
      </c>
      <c r="B213" s="81"/>
    </row>
    <row r="214" spans="1:2" x14ac:dyDescent="0.25">
      <c r="A214" s="51">
        <v>218490</v>
      </c>
      <c r="B214" s="81"/>
    </row>
    <row r="215" spans="1:2" x14ac:dyDescent="0.25">
      <c r="A215" s="51">
        <v>218493</v>
      </c>
      <c r="B215" s="81"/>
    </row>
    <row r="216" spans="1:2" x14ac:dyDescent="0.25">
      <c r="A216" s="51">
        <v>218497</v>
      </c>
      <c r="B216" s="81"/>
    </row>
    <row r="217" spans="1:2" x14ac:dyDescent="0.25">
      <c r="A217" s="51">
        <v>138705</v>
      </c>
      <c r="B217" s="81"/>
    </row>
    <row r="218" spans="1:2" x14ac:dyDescent="0.25">
      <c r="A218" s="51">
        <v>138668</v>
      </c>
      <c r="B218" s="81"/>
    </row>
    <row r="219" spans="1:2" x14ac:dyDescent="0.25">
      <c r="A219" s="51">
        <v>138686</v>
      </c>
      <c r="B219" s="81"/>
    </row>
    <row r="220" spans="1:2" x14ac:dyDescent="0.25">
      <c r="A220" s="51">
        <v>138718</v>
      </c>
      <c r="B220" s="81"/>
    </row>
    <row r="221" spans="1:2" x14ac:dyDescent="0.25">
      <c r="A221" s="51">
        <v>138703</v>
      </c>
      <c r="B221" s="81"/>
    </row>
    <row r="222" spans="1:2" x14ac:dyDescent="0.25">
      <c r="A222" s="51">
        <v>138697</v>
      </c>
      <c r="B222" s="81"/>
    </row>
    <row r="223" spans="1:2" x14ac:dyDescent="0.25">
      <c r="A223" s="51">
        <v>138701</v>
      </c>
      <c r="B223" s="81"/>
    </row>
    <row r="224" spans="1:2" x14ac:dyDescent="0.25">
      <c r="A224" s="51">
        <v>138698</v>
      </c>
      <c r="B224" s="81"/>
    </row>
    <row r="225" spans="1:2" x14ac:dyDescent="0.25">
      <c r="A225" s="51">
        <v>138699</v>
      </c>
      <c r="B225" s="81"/>
    </row>
    <row r="226" spans="1:2" x14ac:dyDescent="0.25">
      <c r="A226" s="51">
        <v>138655</v>
      </c>
      <c r="B226" s="81"/>
    </row>
    <row r="227" spans="1:2" x14ac:dyDescent="0.25">
      <c r="A227" s="51">
        <v>138656</v>
      </c>
      <c r="B227" s="81"/>
    </row>
    <row r="228" spans="1:2" x14ac:dyDescent="0.25">
      <c r="A228" s="51">
        <v>138676</v>
      </c>
      <c r="B228" s="81"/>
    </row>
    <row r="229" spans="1:2" x14ac:dyDescent="0.25">
      <c r="A229" s="51">
        <v>138677</v>
      </c>
      <c r="B229" s="81"/>
    </row>
    <row r="230" spans="1:2" x14ac:dyDescent="0.25">
      <c r="A230" s="51">
        <v>138663</v>
      </c>
      <c r="B230" s="81"/>
    </row>
    <row r="231" spans="1:2" x14ac:dyDescent="0.25">
      <c r="A231" s="51">
        <v>193601</v>
      </c>
      <c r="B231" s="81"/>
    </row>
    <row r="232" spans="1:2" x14ac:dyDescent="0.25">
      <c r="A232" s="51">
        <v>138693</v>
      </c>
      <c r="B232" s="81"/>
    </row>
    <row r="233" spans="1:2" x14ac:dyDescent="0.25">
      <c r="A233" s="51">
        <v>138661</v>
      </c>
      <c r="B233" s="81"/>
    </row>
    <row r="234" spans="1:2" x14ac:dyDescent="0.25">
      <c r="A234" s="51">
        <v>138685</v>
      </c>
      <c r="B234" s="81"/>
    </row>
    <row r="235" spans="1:2" x14ac:dyDescent="0.25">
      <c r="A235" s="51">
        <v>138687</v>
      </c>
      <c r="B235" s="81"/>
    </row>
    <row r="236" spans="1:2" x14ac:dyDescent="0.25">
      <c r="A236" s="51">
        <v>138704</v>
      </c>
      <c r="B236" s="81"/>
    </row>
    <row r="237" spans="1:2" x14ac:dyDescent="0.25">
      <c r="A237" s="51">
        <v>138706</v>
      </c>
      <c r="B237" s="81"/>
    </row>
    <row r="238" spans="1:2" x14ac:dyDescent="0.25">
      <c r="A238" s="51">
        <v>138707</v>
      </c>
      <c r="B238" s="81"/>
    </row>
    <row r="239" spans="1:2" x14ac:dyDescent="0.25">
      <c r="A239" s="51">
        <v>181914</v>
      </c>
      <c r="B239" s="81"/>
    </row>
    <row r="240" spans="1:2" x14ac:dyDescent="0.25">
      <c r="A240" s="51">
        <v>181915</v>
      </c>
      <c r="B240" s="81"/>
    </row>
    <row r="241" spans="1:2" x14ac:dyDescent="0.25">
      <c r="A241" s="51">
        <v>181916</v>
      </c>
      <c r="B241" s="81"/>
    </row>
    <row r="242" spans="1:2" x14ac:dyDescent="0.25">
      <c r="A242" s="51">
        <v>181917</v>
      </c>
      <c r="B242" s="81"/>
    </row>
    <row r="243" spans="1:2" x14ac:dyDescent="0.25">
      <c r="A243" s="51">
        <v>226977</v>
      </c>
      <c r="B243" s="81"/>
    </row>
    <row r="244" spans="1:2" x14ac:dyDescent="0.25">
      <c r="A244" s="51">
        <v>226976</v>
      </c>
      <c r="B244" s="81"/>
    </row>
    <row r="245" spans="1:2" x14ac:dyDescent="0.25">
      <c r="A245" s="51">
        <v>226980</v>
      </c>
      <c r="B245" s="81"/>
    </row>
    <row r="246" spans="1:2" x14ac:dyDescent="0.25">
      <c r="A246" s="51">
        <v>226975</v>
      </c>
      <c r="B246" s="81"/>
    </row>
    <row r="247" spans="1:2" x14ac:dyDescent="0.25">
      <c r="A247" s="51">
        <v>226978</v>
      </c>
      <c r="B247" s="81"/>
    </row>
    <row r="248" spans="1:2" x14ac:dyDescent="0.25">
      <c r="A248" s="51">
        <v>226979</v>
      </c>
      <c r="B248" s="81"/>
    </row>
    <row r="249" spans="1:2" x14ac:dyDescent="0.25">
      <c r="A249" s="51">
        <v>227000</v>
      </c>
      <c r="B249" s="81"/>
    </row>
    <row r="250" spans="1:2" x14ac:dyDescent="0.25">
      <c r="A250" s="51">
        <v>227001</v>
      </c>
      <c r="B250" s="81"/>
    </row>
    <row r="251" spans="1:2" x14ac:dyDescent="0.25">
      <c r="A251" s="51">
        <v>186319</v>
      </c>
      <c r="B251" s="81"/>
    </row>
    <row r="252" spans="1:2" x14ac:dyDescent="0.25">
      <c r="A252" s="51">
        <v>186318</v>
      </c>
      <c r="B252" s="81"/>
    </row>
    <row r="253" spans="1:2" x14ac:dyDescent="0.25">
      <c r="A253" s="51">
        <v>186322</v>
      </c>
      <c r="B253" s="81"/>
    </row>
    <row r="254" spans="1:2" x14ac:dyDescent="0.25">
      <c r="A254" s="51">
        <v>219103</v>
      </c>
      <c r="B254" s="81"/>
    </row>
    <row r="255" spans="1:2" x14ac:dyDescent="0.25">
      <c r="A255" s="51">
        <v>219102</v>
      </c>
      <c r="B255" s="81"/>
    </row>
    <row r="256" spans="1:2" x14ac:dyDescent="0.25">
      <c r="A256" s="51">
        <v>219101</v>
      </c>
      <c r="B256" s="81"/>
    </row>
    <row r="257" spans="1:2" x14ac:dyDescent="0.25">
      <c r="A257" s="51">
        <v>201821</v>
      </c>
      <c r="B257" s="81"/>
    </row>
    <row r="258" spans="1:2" x14ac:dyDescent="0.25">
      <c r="A258" s="51">
        <v>153074</v>
      </c>
      <c r="B258" s="81"/>
    </row>
    <row r="259" spans="1:2" x14ac:dyDescent="0.25">
      <c r="A259" s="51">
        <v>131565</v>
      </c>
      <c r="B259" s="81"/>
    </row>
    <row r="260" spans="1:2" x14ac:dyDescent="0.25">
      <c r="A260" s="51">
        <v>131586</v>
      </c>
      <c r="B260" s="81"/>
    </row>
    <row r="261" spans="1:2" x14ac:dyDescent="0.25">
      <c r="A261" s="51">
        <v>131568</v>
      </c>
      <c r="B261" s="81"/>
    </row>
    <row r="262" spans="1:2" x14ac:dyDescent="0.25">
      <c r="A262" s="51">
        <v>201300</v>
      </c>
      <c r="B262" s="81"/>
    </row>
    <row r="263" spans="1:2" x14ac:dyDescent="0.25">
      <c r="A263" s="51">
        <v>131500</v>
      </c>
      <c r="B263" s="81"/>
    </row>
    <row r="264" spans="1:2" x14ac:dyDescent="0.25">
      <c r="A264" s="51">
        <v>131457</v>
      </c>
      <c r="B264" s="81"/>
    </row>
    <row r="265" spans="1:2" x14ac:dyDescent="0.25">
      <c r="A265" s="51">
        <v>214013</v>
      </c>
      <c r="B265" s="81"/>
    </row>
    <row r="266" spans="1:2" x14ac:dyDescent="0.25">
      <c r="A266" s="51">
        <v>160133</v>
      </c>
      <c r="B266" s="81"/>
    </row>
    <row r="267" spans="1:2" x14ac:dyDescent="0.25">
      <c r="A267" s="51">
        <v>117315</v>
      </c>
      <c r="B267" s="81"/>
    </row>
    <row r="268" spans="1:2" x14ac:dyDescent="0.25">
      <c r="A268" s="51">
        <v>193599</v>
      </c>
      <c r="B268" s="81"/>
    </row>
    <row r="269" spans="1:2" x14ac:dyDescent="0.25">
      <c r="A269" s="51">
        <v>131526</v>
      </c>
      <c r="B269" s="81"/>
    </row>
    <row r="270" spans="1:2" x14ac:dyDescent="0.25">
      <c r="A270" s="51">
        <v>117310</v>
      </c>
      <c r="B270" s="81"/>
    </row>
    <row r="271" spans="1:2" x14ac:dyDescent="0.25">
      <c r="A271" s="51">
        <v>181334</v>
      </c>
      <c r="B271" s="81"/>
    </row>
    <row r="272" spans="1:2" x14ac:dyDescent="0.25">
      <c r="A272" s="51">
        <v>203953</v>
      </c>
      <c r="B272" s="81"/>
    </row>
    <row r="273" spans="1:3" x14ac:dyDescent="0.25">
      <c r="A273" s="51">
        <v>203957</v>
      </c>
      <c r="B273" s="81" t="s">
        <v>929</v>
      </c>
    </row>
    <row r="274" spans="1:3" x14ac:dyDescent="0.25">
      <c r="A274" s="51">
        <v>219130</v>
      </c>
      <c r="B274" s="81"/>
    </row>
    <row r="275" spans="1:3" x14ac:dyDescent="0.25">
      <c r="A275" s="51">
        <v>117111</v>
      </c>
      <c r="B275" s="81"/>
    </row>
    <row r="276" spans="1:3" x14ac:dyDescent="0.25">
      <c r="A276" s="51">
        <v>151259</v>
      </c>
      <c r="B276" s="81"/>
    </row>
    <row r="277" spans="1:3" x14ac:dyDescent="0.25">
      <c r="A277" s="51">
        <v>131455</v>
      </c>
      <c r="B277" s="81" t="s">
        <v>929</v>
      </c>
    </row>
    <row r="278" spans="1:3" x14ac:dyDescent="0.25">
      <c r="A278" s="51">
        <v>136694</v>
      </c>
      <c r="B278" s="59">
        <v>590</v>
      </c>
      <c r="C278" s="44" t="s">
        <v>793</v>
      </c>
    </row>
    <row r="279" spans="1:3" x14ac:dyDescent="0.25">
      <c r="A279" s="51">
        <v>224563</v>
      </c>
      <c r="B279" s="59">
        <v>2290</v>
      </c>
      <c r="C279" s="44" t="s">
        <v>831</v>
      </c>
    </row>
    <row r="280" spans="1:3" x14ac:dyDescent="0.25">
      <c r="A280" s="51">
        <v>203951</v>
      </c>
      <c r="B280" s="81">
        <v>629</v>
      </c>
      <c r="C280" s="44" t="s">
        <v>935</v>
      </c>
    </row>
    <row r="281" spans="1:3" x14ac:dyDescent="0.25">
      <c r="A281" s="51">
        <v>131693</v>
      </c>
      <c r="B281" s="81">
        <v>390</v>
      </c>
      <c r="C281" s="44" t="s">
        <v>934</v>
      </c>
    </row>
    <row r="282" spans="1:3" x14ac:dyDescent="0.25">
      <c r="A282" s="51">
        <v>141292</v>
      </c>
      <c r="B282" s="59">
        <v>729</v>
      </c>
      <c r="C282" s="44" t="s">
        <v>832</v>
      </c>
    </row>
    <row r="283" spans="1:3" x14ac:dyDescent="0.25">
      <c r="A283" s="51">
        <v>224564</v>
      </c>
      <c r="B283" s="81">
        <v>2790</v>
      </c>
      <c r="C283" s="44" t="s">
        <v>933</v>
      </c>
    </row>
    <row r="284" spans="1:3" x14ac:dyDescent="0.25">
      <c r="A284" s="51">
        <v>251961</v>
      </c>
      <c r="B284" s="59">
        <v>790</v>
      </c>
      <c r="C284" s="44" t="s">
        <v>820</v>
      </c>
    </row>
    <row r="285" spans="1:3" x14ac:dyDescent="0.25">
      <c r="A285" s="51">
        <v>319528</v>
      </c>
      <c r="B285" s="83">
        <v>8790</v>
      </c>
      <c r="C285" s="44" t="s">
        <v>683</v>
      </c>
    </row>
    <row r="286" spans="1:3" x14ac:dyDescent="0.25">
      <c r="A286" s="51">
        <v>323314</v>
      </c>
      <c r="B286" s="83">
        <v>2290</v>
      </c>
      <c r="C286" s="44" t="s">
        <v>794</v>
      </c>
    </row>
    <row r="287" spans="1:3" x14ac:dyDescent="0.25">
      <c r="A287" s="51">
        <v>257936</v>
      </c>
      <c r="B287" s="83">
        <v>2190</v>
      </c>
      <c r="C287" s="44" t="s">
        <v>651</v>
      </c>
    </row>
    <row r="288" spans="1:3" x14ac:dyDescent="0.25">
      <c r="A288" s="51">
        <v>258809</v>
      </c>
      <c r="B288" s="83">
        <v>4190</v>
      </c>
      <c r="C288" s="44" t="s">
        <v>665</v>
      </c>
    </row>
    <row r="289" spans="1:3" x14ac:dyDescent="0.25">
      <c r="A289" s="51">
        <v>258920</v>
      </c>
      <c r="B289" s="83">
        <v>4890</v>
      </c>
      <c r="C289" s="44" t="s">
        <v>932</v>
      </c>
    </row>
    <row r="290" spans="1:3" x14ac:dyDescent="0.25">
      <c r="A290" s="51">
        <v>258921</v>
      </c>
      <c r="B290" s="83">
        <v>5190</v>
      </c>
      <c r="C290" s="44" t="s">
        <v>931</v>
      </c>
    </row>
    <row r="291" spans="1:3" x14ac:dyDescent="0.25">
      <c r="A291" s="51">
        <v>258922</v>
      </c>
      <c r="B291" s="83">
        <v>2790</v>
      </c>
      <c r="C291" s="44" t="s">
        <v>664</v>
      </c>
    </row>
    <row r="292" spans="1:3" x14ac:dyDescent="0.25">
      <c r="A292" s="51">
        <v>258923</v>
      </c>
      <c r="B292" s="83">
        <v>2590</v>
      </c>
      <c r="C292" s="44" t="s">
        <v>660</v>
      </c>
    </row>
    <row r="293" spans="1:3" x14ac:dyDescent="0.25">
      <c r="A293" s="51">
        <v>258924</v>
      </c>
      <c r="B293" s="83">
        <v>590</v>
      </c>
      <c r="C293" s="44" t="s">
        <v>930</v>
      </c>
    </row>
    <row r="294" spans="1:3" x14ac:dyDescent="0.25">
      <c r="A294" s="51">
        <v>268740</v>
      </c>
      <c r="B294" s="83" t="s">
        <v>929</v>
      </c>
    </row>
    <row r="295" spans="1:3" x14ac:dyDescent="0.25">
      <c r="A295" s="51">
        <v>268741</v>
      </c>
      <c r="B295" s="83" t="s">
        <v>929</v>
      </c>
    </row>
    <row r="296" spans="1:3" x14ac:dyDescent="0.25">
      <c r="A296" s="51">
        <v>201294</v>
      </c>
      <c r="B296" s="83">
        <v>3290</v>
      </c>
      <c r="C296" s="44" t="s">
        <v>661</v>
      </c>
    </row>
    <row r="297" spans="1:3" x14ac:dyDescent="0.25">
      <c r="A297" s="51">
        <v>324951</v>
      </c>
      <c r="B297" s="83" t="s">
        <v>928</v>
      </c>
    </row>
    <row r="298" spans="1:3" x14ac:dyDescent="0.25">
      <c r="A298" s="51">
        <v>347232</v>
      </c>
      <c r="B298" s="83">
        <v>2390</v>
      </c>
      <c r="C298" s="44" t="s">
        <v>927</v>
      </c>
    </row>
    <row r="299" spans="1:3" x14ac:dyDescent="0.25">
      <c r="A299" s="51">
        <v>344585</v>
      </c>
      <c r="B299" s="83" t="s">
        <v>929</v>
      </c>
    </row>
    <row r="300" spans="1:3" x14ac:dyDescent="0.25">
      <c r="A300" s="50" t="s">
        <v>223</v>
      </c>
      <c r="B300" s="55">
        <v>1</v>
      </c>
    </row>
    <row r="301" spans="1:3" x14ac:dyDescent="0.25">
      <c r="A301" s="51">
        <v>258453</v>
      </c>
      <c r="B301" s="88">
        <v>629</v>
      </c>
      <c r="C301" s="44" t="s">
        <v>663</v>
      </c>
    </row>
    <row r="302" spans="1:3" x14ac:dyDescent="0.25">
      <c r="A302" s="51">
        <v>258454</v>
      </c>
      <c r="B302" s="88">
        <v>629</v>
      </c>
      <c r="C302" s="44" t="s">
        <v>662</v>
      </c>
    </row>
    <row r="303" spans="1:3" x14ac:dyDescent="0.25">
      <c r="A303" s="51">
        <v>258456</v>
      </c>
      <c r="B303" s="88">
        <v>629</v>
      </c>
      <c r="C303" s="44" t="s">
        <v>658</v>
      </c>
    </row>
    <row r="304" spans="1:3" x14ac:dyDescent="0.25">
      <c r="A304" s="51">
        <v>258457</v>
      </c>
      <c r="B304" s="88">
        <v>629</v>
      </c>
      <c r="C304" s="44" t="s">
        <v>659</v>
      </c>
    </row>
    <row r="305" spans="1:3" x14ac:dyDescent="0.25">
      <c r="A305" s="51">
        <v>258459</v>
      </c>
      <c r="B305" s="88">
        <v>990</v>
      </c>
      <c r="C305" s="44" t="s">
        <v>653</v>
      </c>
    </row>
    <row r="306" spans="1:3" x14ac:dyDescent="0.25">
      <c r="A306" s="51">
        <v>258460</v>
      </c>
      <c r="B306" s="88">
        <v>1190</v>
      </c>
      <c r="C306" s="44" t="s">
        <v>652</v>
      </c>
    </row>
    <row r="307" spans="1:3" x14ac:dyDescent="0.25">
      <c r="A307" s="51">
        <v>258462</v>
      </c>
      <c r="B307" s="88">
        <v>1190</v>
      </c>
      <c r="C307" s="44" t="s">
        <v>657</v>
      </c>
    </row>
    <row r="308" spans="1:3" x14ac:dyDescent="0.25">
      <c r="A308" s="51">
        <v>258463</v>
      </c>
      <c r="B308" s="88">
        <v>1190</v>
      </c>
      <c r="C308" s="44" t="s">
        <v>656</v>
      </c>
    </row>
    <row r="309" spans="1:3" x14ac:dyDescent="0.25">
      <c r="A309" s="51">
        <v>258465</v>
      </c>
      <c r="B309" s="88">
        <v>1190</v>
      </c>
      <c r="C309" s="44" t="s">
        <v>655</v>
      </c>
    </row>
    <row r="310" spans="1:3" x14ac:dyDescent="0.25">
      <c r="A310" s="51">
        <v>258466</v>
      </c>
      <c r="B310" s="88">
        <v>1190</v>
      </c>
      <c r="C310" s="44" t="s">
        <v>654</v>
      </c>
    </row>
    <row r="311" spans="1:3" x14ac:dyDescent="0.25">
      <c r="A311" s="51">
        <v>268602</v>
      </c>
      <c r="B311" s="51" t="s">
        <v>929</v>
      </c>
    </row>
    <row r="312" spans="1:3" x14ac:dyDescent="0.25">
      <c r="A312" s="51">
        <v>268603</v>
      </c>
      <c r="B312" s="88">
        <v>1990</v>
      </c>
      <c r="C312" s="44" t="s">
        <v>895</v>
      </c>
    </row>
    <row r="313" spans="1:3" x14ac:dyDescent="0.25">
      <c r="A313" s="51">
        <v>268604</v>
      </c>
      <c r="B313" s="51" t="s">
        <v>929</v>
      </c>
    </row>
    <row r="314" spans="1:3" x14ac:dyDescent="0.25">
      <c r="A314" s="51">
        <v>268605</v>
      </c>
      <c r="B314" s="88">
        <v>2290</v>
      </c>
      <c r="C314" s="44" t="s">
        <v>896</v>
      </c>
    </row>
    <row r="315" spans="1:3" x14ac:dyDescent="0.25">
      <c r="A315" s="51">
        <v>268606</v>
      </c>
      <c r="B315" s="51" t="s">
        <v>929</v>
      </c>
    </row>
    <row r="316" spans="1:3" x14ac:dyDescent="0.25">
      <c r="A316" s="51">
        <v>268607</v>
      </c>
      <c r="B316" s="51" t="s">
        <v>929</v>
      </c>
    </row>
    <row r="317" spans="1:3" x14ac:dyDescent="0.25">
      <c r="A317" s="51">
        <v>268608</v>
      </c>
      <c r="B317" s="51" t="s">
        <v>929</v>
      </c>
    </row>
    <row r="318" spans="1:3" x14ac:dyDescent="0.25">
      <c r="A318" s="51">
        <v>268609</v>
      </c>
      <c r="B318" s="51" t="s">
        <v>929</v>
      </c>
    </row>
    <row r="319" spans="1:3" x14ac:dyDescent="0.25">
      <c r="A319" s="51">
        <v>268610</v>
      </c>
      <c r="B319" s="51" t="s">
        <v>929</v>
      </c>
    </row>
    <row r="320" spans="1:3" x14ac:dyDescent="0.25">
      <c r="A320" s="51">
        <v>268611</v>
      </c>
      <c r="B320" s="88">
        <v>1990</v>
      </c>
      <c r="C320" s="44" t="s">
        <v>894</v>
      </c>
    </row>
    <row r="321" spans="1:2" x14ac:dyDescent="0.25">
      <c r="A321" s="51">
        <v>268738</v>
      </c>
      <c r="B321" s="51" t="s">
        <v>929</v>
      </c>
    </row>
    <row r="322" spans="1:2" x14ac:dyDescent="0.25">
      <c r="A322" s="51">
        <v>268739</v>
      </c>
      <c r="B322" s="51" t="s">
        <v>929</v>
      </c>
    </row>
  </sheetData>
  <conditionalFormatting sqref="A3:A299">
    <cfRule type="expression" dxfId="1" priority="2">
      <formula>AND($O3=0,$P3=0)</formula>
    </cfRule>
  </conditionalFormatting>
  <conditionalFormatting sqref="A301:A322">
    <cfRule type="expression" dxfId="0" priority="1">
      <formula>AND($R301=0,$Q301=0)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7</xdr:col>
                <xdr:colOff>257175</xdr:colOff>
                <xdr:row>1</xdr:row>
                <xdr:rowOff>142875</xdr:rowOff>
              </from>
              <to>
                <xdr:col>10</xdr:col>
                <xdr:colOff>419100</xdr:colOff>
                <xdr:row>4</xdr:row>
                <xdr:rowOff>133350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D32A-2FD7-4B85-9866-8BAFFCB50A57}">
  <sheetPr codeName="Лист3">
    <tabColor rgb="FF92D050"/>
  </sheetPr>
  <dimension ref="A1:S1126"/>
  <sheetViews>
    <sheetView workbookViewId="0">
      <selection activeCell="E21" sqref="E21"/>
    </sheetView>
  </sheetViews>
  <sheetFormatPr defaultRowHeight="15" x14ac:dyDescent="0.25"/>
  <cols>
    <col min="1" max="2" width="11.140625" bestFit="1" customWidth="1"/>
    <col min="3" max="3" width="13.28515625" bestFit="1" customWidth="1"/>
    <col min="4" max="4" width="81.140625" bestFit="1" customWidth="1"/>
    <col min="5" max="5" width="28.28515625" bestFit="1" customWidth="1"/>
    <col min="6" max="6" width="35.5703125" bestFit="1" customWidth="1"/>
    <col min="7" max="9" width="11.140625" bestFit="1" customWidth="1"/>
    <col min="10" max="19" width="12.140625" bestFit="1" customWidth="1"/>
  </cols>
  <sheetData>
    <row r="1" spans="1:19" x14ac:dyDescent="0.25">
      <c r="A1" t="s">
        <v>897</v>
      </c>
      <c r="B1" t="s">
        <v>898</v>
      </c>
      <c r="C1" t="s">
        <v>899</v>
      </c>
      <c r="D1" t="s">
        <v>900</v>
      </c>
      <c r="E1" t="s">
        <v>901</v>
      </c>
      <c r="F1" t="s">
        <v>902</v>
      </c>
      <c r="G1" t="s">
        <v>903</v>
      </c>
      <c r="H1" t="s">
        <v>904</v>
      </c>
      <c r="I1" t="s">
        <v>905</v>
      </c>
      <c r="J1" t="s">
        <v>906</v>
      </c>
      <c r="K1" t="s">
        <v>907</v>
      </c>
      <c r="L1" t="s">
        <v>908</v>
      </c>
      <c r="M1" t="s">
        <v>909</v>
      </c>
      <c r="N1" t="s">
        <v>910</v>
      </c>
      <c r="O1" t="s">
        <v>911</v>
      </c>
      <c r="P1" t="s">
        <v>912</v>
      </c>
      <c r="Q1" t="s">
        <v>913</v>
      </c>
      <c r="R1" t="s">
        <v>914</v>
      </c>
      <c r="S1" t="s">
        <v>915</v>
      </c>
    </row>
    <row r="2" spans="1:19" x14ac:dyDescent="0.25">
      <c r="A2" s="27"/>
      <c r="B2" s="27"/>
      <c r="C2" s="27"/>
      <c r="D2" s="27">
        <v>0</v>
      </c>
      <c r="E2" s="27" t="s">
        <v>916</v>
      </c>
      <c r="F2" s="27" t="s">
        <v>916</v>
      </c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 t="s">
        <v>1011</v>
      </c>
      <c r="B3" s="27" t="s">
        <v>1012</v>
      </c>
      <c r="C3" s="27" t="s">
        <v>1013</v>
      </c>
      <c r="D3" s="27">
        <v>0</v>
      </c>
      <c r="E3" s="27" t="s">
        <v>917</v>
      </c>
      <c r="F3" s="27" t="s">
        <v>918</v>
      </c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 t="s">
        <v>223</v>
      </c>
      <c r="C4" s="27">
        <v>1</v>
      </c>
      <c r="D4" s="27" t="s">
        <v>919</v>
      </c>
      <c r="E4" s="27" t="s">
        <v>1</v>
      </c>
      <c r="F4" s="27" t="s">
        <v>1</v>
      </c>
      <c r="G4" s="27" t="s">
        <v>1</v>
      </c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 t="s">
        <v>527</v>
      </c>
      <c r="B5" s="27">
        <v>153079</v>
      </c>
      <c r="C5" s="27">
        <v>149</v>
      </c>
      <c r="D5" s="27" t="s">
        <v>835</v>
      </c>
      <c r="E5" s="27"/>
      <c r="F5" s="27"/>
      <c r="G5" s="27">
        <v>149</v>
      </c>
      <c r="H5" s="27" t="s">
        <v>921</v>
      </c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 t="s">
        <v>527</v>
      </c>
      <c r="B6" s="27">
        <v>226514</v>
      </c>
      <c r="C6" s="27" t="s">
        <v>929</v>
      </c>
      <c r="D6" s="27"/>
      <c r="E6" s="27"/>
      <c r="F6" s="27"/>
      <c r="G6" s="27" t="s">
        <v>920</v>
      </c>
      <c r="H6" s="27" t="s">
        <v>916</v>
      </c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 t="s">
        <v>527</v>
      </c>
      <c r="B7" s="27">
        <v>213732</v>
      </c>
      <c r="C7" s="27">
        <v>149</v>
      </c>
      <c r="D7" s="27" t="s">
        <v>836</v>
      </c>
      <c r="E7" s="27"/>
      <c r="F7" s="27"/>
      <c r="G7" s="27">
        <v>149</v>
      </c>
      <c r="H7" s="27" t="s">
        <v>921</v>
      </c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 t="s">
        <v>527</v>
      </c>
      <c r="B8" s="27">
        <v>163973</v>
      </c>
      <c r="C8" s="27">
        <v>490</v>
      </c>
      <c r="D8" s="27" t="s">
        <v>834</v>
      </c>
      <c r="E8" s="27"/>
      <c r="F8" s="27"/>
      <c r="G8" s="27">
        <v>490</v>
      </c>
      <c r="H8" s="27" t="s">
        <v>921</v>
      </c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 t="s">
        <v>527</v>
      </c>
      <c r="B9" s="27">
        <v>158403</v>
      </c>
      <c r="C9" s="27" t="s">
        <v>929</v>
      </c>
      <c r="D9" s="27"/>
      <c r="E9" s="27"/>
      <c r="F9" s="27"/>
      <c r="G9" s="27" t="s">
        <v>920</v>
      </c>
      <c r="H9" s="27" t="s">
        <v>916</v>
      </c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 t="s">
        <v>527</v>
      </c>
      <c r="B10" s="27">
        <v>117337</v>
      </c>
      <c r="C10" s="27">
        <v>249</v>
      </c>
      <c r="D10" s="27" t="s">
        <v>808</v>
      </c>
      <c r="E10" s="27"/>
      <c r="F10" s="27"/>
      <c r="G10" s="27">
        <v>249</v>
      </c>
      <c r="H10" s="27" t="s">
        <v>921</v>
      </c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 t="s">
        <v>527</v>
      </c>
      <c r="B11" s="27">
        <v>163903</v>
      </c>
      <c r="C11" s="27">
        <v>290</v>
      </c>
      <c r="D11" s="27" t="s">
        <v>841</v>
      </c>
      <c r="E11" s="27"/>
      <c r="F11" s="27"/>
      <c r="G11" s="27" t="s">
        <v>920</v>
      </c>
      <c r="H11" s="27" t="s">
        <v>921</v>
      </c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 t="s">
        <v>527</v>
      </c>
      <c r="B12" s="27">
        <v>224676</v>
      </c>
      <c r="C12" s="27">
        <v>269</v>
      </c>
      <c r="D12" s="27" t="s">
        <v>840</v>
      </c>
      <c r="E12" s="27"/>
      <c r="F12" s="27"/>
      <c r="G12" s="27">
        <v>269</v>
      </c>
      <c r="H12" s="27" t="s">
        <v>921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1:19" x14ac:dyDescent="0.25">
      <c r="A13" s="27" t="s">
        <v>527</v>
      </c>
      <c r="B13" s="27">
        <v>203954</v>
      </c>
      <c r="C13" s="27">
        <v>269</v>
      </c>
      <c r="D13" s="27" t="s">
        <v>842</v>
      </c>
      <c r="E13" s="27"/>
      <c r="F13" s="27"/>
      <c r="G13" s="27">
        <v>269</v>
      </c>
      <c r="H13" s="27" t="s">
        <v>921</v>
      </c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 t="s">
        <v>527</v>
      </c>
      <c r="B14" s="27">
        <v>223717</v>
      </c>
      <c r="C14" s="27">
        <v>490</v>
      </c>
      <c r="D14" s="27" t="s">
        <v>809</v>
      </c>
      <c r="E14" s="27"/>
      <c r="F14" s="27"/>
      <c r="G14" s="27">
        <v>490</v>
      </c>
      <c r="H14" s="27" t="s">
        <v>921</v>
      </c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 t="s">
        <v>527</v>
      </c>
      <c r="B15" s="27">
        <v>224678</v>
      </c>
      <c r="C15" s="27">
        <v>490</v>
      </c>
      <c r="D15" s="27" t="s">
        <v>839</v>
      </c>
      <c r="E15" s="27"/>
      <c r="F15" s="27"/>
      <c r="G15" s="27">
        <v>490</v>
      </c>
      <c r="H15" s="27" t="s">
        <v>921</v>
      </c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 t="s">
        <v>527</v>
      </c>
      <c r="B16" s="27">
        <v>219137</v>
      </c>
      <c r="C16" s="27">
        <v>449</v>
      </c>
      <c r="D16" s="27" t="s">
        <v>837</v>
      </c>
      <c r="E16" s="27"/>
      <c r="F16" s="27"/>
      <c r="G16" s="27">
        <v>449</v>
      </c>
      <c r="H16" s="27" t="s">
        <v>921</v>
      </c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 t="s">
        <v>527</v>
      </c>
      <c r="B17" s="27">
        <v>153073</v>
      </c>
      <c r="C17" s="27">
        <v>590</v>
      </c>
      <c r="D17" s="27" t="s">
        <v>838</v>
      </c>
      <c r="E17" s="27"/>
      <c r="F17" s="27"/>
      <c r="G17" s="27">
        <v>590</v>
      </c>
      <c r="H17" s="27" t="s">
        <v>921</v>
      </c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 t="s">
        <v>527</v>
      </c>
      <c r="B18" s="27">
        <v>224677</v>
      </c>
      <c r="C18" s="27">
        <v>590</v>
      </c>
      <c r="D18" s="27" t="s">
        <v>978</v>
      </c>
      <c r="E18" s="27"/>
      <c r="F18" s="27"/>
      <c r="G18" s="27">
        <v>590</v>
      </c>
      <c r="H18" s="27" t="s">
        <v>921</v>
      </c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 t="s">
        <v>527</v>
      </c>
      <c r="B19" s="27">
        <v>117034</v>
      </c>
      <c r="C19" s="27"/>
      <c r="D19" s="27"/>
      <c r="E19" s="27"/>
      <c r="F19" s="27"/>
      <c r="G19" s="27" t="s">
        <v>920</v>
      </c>
      <c r="H19" s="27" t="s">
        <v>916</v>
      </c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 t="s">
        <v>527</v>
      </c>
      <c r="B20" s="27">
        <v>203950</v>
      </c>
      <c r="C20" s="27" t="s">
        <v>929</v>
      </c>
      <c r="D20" s="27"/>
      <c r="E20" s="27"/>
      <c r="F20" s="27"/>
      <c r="G20" s="27" t="s">
        <v>920</v>
      </c>
      <c r="H20" s="27" t="s">
        <v>916</v>
      </c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 t="s">
        <v>527</v>
      </c>
      <c r="B21" s="27">
        <v>203952</v>
      </c>
      <c r="C21" s="27">
        <v>629</v>
      </c>
      <c r="D21" s="27" t="s">
        <v>773</v>
      </c>
      <c r="E21" s="27"/>
      <c r="F21" s="27"/>
      <c r="G21" s="27">
        <v>629</v>
      </c>
      <c r="H21" s="27" t="s">
        <v>921</v>
      </c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 t="s">
        <v>527</v>
      </c>
      <c r="B22" s="27">
        <v>132865</v>
      </c>
      <c r="C22" s="27">
        <v>590</v>
      </c>
      <c r="D22" s="27" t="s">
        <v>979</v>
      </c>
      <c r="E22" s="27"/>
      <c r="F22" s="27"/>
      <c r="G22" s="27">
        <v>590</v>
      </c>
      <c r="H22" s="27" t="s">
        <v>921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 t="s">
        <v>527</v>
      </c>
      <c r="B23" s="27">
        <v>203945</v>
      </c>
      <c r="C23" s="27" t="s">
        <v>929</v>
      </c>
      <c r="D23" s="27"/>
      <c r="E23" s="27"/>
      <c r="F23" s="27"/>
      <c r="G23" s="27" t="s">
        <v>920</v>
      </c>
      <c r="H23" s="27" t="s">
        <v>916</v>
      </c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 t="s">
        <v>527</v>
      </c>
      <c r="B24" s="27">
        <v>223730</v>
      </c>
      <c r="C24" s="27">
        <v>590</v>
      </c>
      <c r="D24" s="27" t="s">
        <v>977</v>
      </c>
      <c r="E24" s="27"/>
      <c r="F24" s="27"/>
      <c r="G24" s="27">
        <v>590</v>
      </c>
      <c r="H24" s="27" t="s">
        <v>921</v>
      </c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x14ac:dyDescent="0.25">
      <c r="A25" s="27" t="s">
        <v>527</v>
      </c>
      <c r="B25" s="27">
        <v>224675</v>
      </c>
      <c r="C25" s="27" t="s">
        <v>929</v>
      </c>
      <c r="D25" s="27"/>
      <c r="E25" s="27"/>
      <c r="F25" s="27"/>
      <c r="G25" s="27" t="s">
        <v>920</v>
      </c>
      <c r="H25" s="27" t="s">
        <v>916</v>
      </c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1:19" x14ac:dyDescent="0.25">
      <c r="A26" s="27" t="s">
        <v>527</v>
      </c>
      <c r="B26" s="27">
        <v>224053</v>
      </c>
      <c r="C26" s="27">
        <v>590</v>
      </c>
      <c r="D26" s="27" t="s">
        <v>980</v>
      </c>
      <c r="E26" s="27"/>
      <c r="F26" s="27"/>
      <c r="G26" s="27">
        <v>590</v>
      </c>
      <c r="H26" s="27" t="s">
        <v>921</v>
      </c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1:19" x14ac:dyDescent="0.25">
      <c r="A27" s="27" t="s">
        <v>527</v>
      </c>
      <c r="B27" s="27">
        <v>203205</v>
      </c>
      <c r="C27" s="27">
        <v>590</v>
      </c>
      <c r="D27" s="27" t="s">
        <v>981</v>
      </c>
      <c r="E27" s="27"/>
      <c r="F27" s="27"/>
      <c r="G27" s="27">
        <v>590</v>
      </c>
      <c r="H27" s="27" t="s">
        <v>921</v>
      </c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1:19" x14ac:dyDescent="0.25">
      <c r="A28" s="27" t="s">
        <v>527</v>
      </c>
      <c r="B28" s="27">
        <v>203958</v>
      </c>
      <c r="C28" s="27">
        <v>590</v>
      </c>
      <c r="D28" s="27" t="s">
        <v>982</v>
      </c>
      <c r="E28" s="27"/>
      <c r="F28" s="27"/>
      <c r="G28" s="27">
        <v>590</v>
      </c>
      <c r="H28" s="27" t="s">
        <v>921</v>
      </c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1:19" x14ac:dyDescent="0.25">
      <c r="A29" s="27" t="s">
        <v>527</v>
      </c>
      <c r="B29" s="27">
        <v>164036</v>
      </c>
      <c r="C29" s="27">
        <v>590</v>
      </c>
      <c r="D29" s="27" t="s">
        <v>983</v>
      </c>
      <c r="E29" s="27"/>
      <c r="F29" s="27"/>
      <c r="G29" s="27">
        <v>590</v>
      </c>
      <c r="H29" s="27" t="s">
        <v>921</v>
      </c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1:19" x14ac:dyDescent="0.25">
      <c r="A30" s="27" t="s">
        <v>527</v>
      </c>
      <c r="B30" s="27">
        <v>203946</v>
      </c>
      <c r="C30" s="27">
        <v>590</v>
      </c>
      <c r="D30" s="27" t="s">
        <v>984</v>
      </c>
      <c r="E30" s="27"/>
      <c r="F30" s="27"/>
      <c r="G30" s="27">
        <v>590</v>
      </c>
      <c r="H30" s="27" t="s">
        <v>921</v>
      </c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1:19" x14ac:dyDescent="0.25">
      <c r="A31" s="27" t="s">
        <v>527</v>
      </c>
      <c r="B31" s="27">
        <v>132860</v>
      </c>
      <c r="C31" s="27">
        <v>690</v>
      </c>
      <c r="D31" s="27" t="s">
        <v>985</v>
      </c>
      <c r="E31" s="27"/>
      <c r="F31" s="27"/>
      <c r="G31" s="27">
        <v>690</v>
      </c>
      <c r="H31" s="27" t="s">
        <v>921</v>
      </c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1:19" x14ac:dyDescent="0.25">
      <c r="A32" s="27" t="s">
        <v>527</v>
      </c>
      <c r="B32" s="27">
        <v>153080</v>
      </c>
      <c r="C32" s="27">
        <v>629</v>
      </c>
      <c r="D32" s="27" t="s">
        <v>807</v>
      </c>
      <c r="E32" s="27"/>
      <c r="F32" s="27"/>
      <c r="G32" s="27">
        <v>629</v>
      </c>
      <c r="H32" s="27" t="s">
        <v>921</v>
      </c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1:19" x14ac:dyDescent="0.25">
      <c r="A33" s="27" t="s">
        <v>527</v>
      </c>
      <c r="B33" s="27">
        <v>117308</v>
      </c>
      <c r="C33" s="27">
        <v>590</v>
      </c>
      <c r="D33" s="27" t="s">
        <v>810</v>
      </c>
      <c r="E33" s="27"/>
      <c r="F33" s="27"/>
      <c r="G33" s="27">
        <v>590</v>
      </c>
      <c r="H33" s="27" t="s">
        <v>921</v>
      </c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1:19" x14ac:dyDescent="0.25">
      <c r="A34" s="27" t="s">
        <v>527</v>
      </c>
      <c r="B34" s="27">
        <v>117313</v>
      </c>
      <c r="C34" s="27">
        <v>590</v>
      </c>
      <c r="D34" s="27" t="s">
        <v>811</v>
      </c>
      <c r="E34" s="27"/>
      <c r="F34" s="27"/>
      <c r="G34" s="27">
        <v>590</v>
      </c>
      <c r="H34" s="27" t="s">
        <v>921</v>
      </c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1:19" x14ac:dyDescent="0.25">
      <c r="A35" s="27" t="s">
        <v>527</v>
      </c>
      <c r="B35" s="27">
        <v>117307</v>
      </c>
      <c r="C35" s="27">
        <v>769</v>
      </c>
      <c r="D35" s="27" t="s">
        <v>986</v>
      </c>
      <c r="E35" s="27"/>
      <c r="F35" s="27"/>
      <c r="G35" s="27">
        <v>769</v>
      </c>
      <c r="H35" s="27" t="s">
        <v>921</v>
      </c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1:19" x14ac:dyDescent="0.25">
      <c r="A36" s="27" t="s">
        <v>527</v>
      </c>
      <c r="B36" s="27">
        <v>131502</v>
      </c>
      <c r="C36" s="27">
        <v>390</v>
      </c>
      <c r="D36" s="27" t="s">
        <v>987</v>
      </c>
      <c r="E36" s="27"/>
      <c r="F36" s="27"/>
      <c r="G36" s="27">
        <v>390</v>
      </c>
      <c r="H36" s="27" t="s">
        <v>921</v>
      </c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1:19" x14ac:dyDescent="0.25">
      <c r="A37" s="27" t="s">
        <v>527</v>
      </c>
      <c r="B37" s="27">
        <v>224674</v>
      </c>
      <c r="C37" s="27">
        <v>590</v>
      </c>
      <c r="D37" s="27" t="s">
        <v>988</v>
      </c>
      <c r="E37" s="27"/>
      <c r="F37" s="27"/>
      <c r="G37" s="27">
        <v>590</v>
      </c>
      <c r="H37" s="27" t="s">
        <v>921</v>
      </c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1:19" x14ac:dyDescent="0.25">
      <c r="A38" s="27" t="s">
        <v>527</v>
      </c>
      <c r="B38" s="27">
        <v>158251</v>
      </c>
      <c r="C38" s="27">
        <v>590</v>
      </c>
      <c r="D38" s="27" t="s">
        <v>812</v>
      </c>
      <c r="E38" s="27"/>
      <c r="F38" s="27"/>
      <c r="G38" s="27">
        <v>590</v>
      </c>
      <c r="H38" s="27" t="s">
        <v>921</v>
      </c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1:19" x14ac:dyDescent="0.25">
      <c r="A39" s="27" t="s">
        <v>527</v>
      </c>
      <c r="B39" s="27">
        <v>160143</v>
      </c>
      <c r="C39" s="27">
        <v>649</v>
      </c>
      <c r="D39" s="27" t="s">
        <v>989</v>
      </c>
      <c r="E39" s="27"/>
      <c r="F39" s="27"/>
      <c r="G39" s="27">
        <v>649</v>
      </c>
      <c r="H39" s="27" t="s">
        <v>921</v>
      </c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1:19" x14ac:dyDescent="0.25">
      <c r="A40" s="27" t="s">
        <v>527</v>
      </c>
      <c r="B40" s="27">
        <v>117314</v>
      </c>
      <c r="C40" s="27">
        <v>769</v>
      </c>
      <c r="D40" s="27" t="s">
        <v>783</v>
      </c>
      <c r="E40" s="27"/>
      <c r="F40" s="27"/>
      <c r="G40" s="27">
        <v>769</v>
      </c>
      <c r="H40" s="27" t="s">
        <v>921</v>
      </c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1:19" x14ac:dyDescent="0.25">
      <c r="A41" s="27" t="s">
        <v>527</v>
      </c>
      <c r="B41" s="27">
        <v>117319</v>
      </c>
      <c r="C41" s="27">
        <v>769</v>
      </c>
      <c r="D41" s="27" t="s">
        <v>990</v>
      </c>
      <c r="E41" s="27"/>
      <c r="F41" s="27"/>
      <c r="G41" s="27">
        <v>769</v>
      </c>
      <c r="H41" s="27" t="s">
        <v>921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1:19" x14ac:dyDescent="0.25">
      <c r="A42" s="27" t="s">
        <v>527</v>
      </c>
      <c r="B42" s="27">
        <v>213843</v>
      </c>
      <c r="C42" s="27">
        <v>693</v>
      </c>
      <c r="D42" s="27" t="s">
        <v>800</v>
      </c>
      <c r="E42" s="27"/>
      <c r="F42" s="27"/>
      <c r="G42" s="27" t="s">
        <v>920</v>
      </c>
      <c r="H42" s="27" t="s">
        <v>921</v>
      </c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1:19" x14ac:dyDescent="0.25">
      <c r="A43" s="27" t="s">
        <v>527</v>
      </c>
      <c r="B43" s="27">
        <v>213842</v>
      </c>
      <c r="C43" s="27"/>
      <c r="D43" s="27"/>
      <c r="E43" s="27"/>
      <c r="F43" s="27"/>
      <c r="G43" s="27" t="s">
        <v>920</v>
      </c>
      <c r="H43" s="27" t="s">
        <v>916</v>
      </c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1:19" x14ac:dyDescent="0.25">
      <c r="A44" s="27" t="s">
        <v>527</v>
      </c>
      <c r="B44" s="27">
        <v>158253</v>
      </c>
      <c r="C44" s="27">
        <v>590</v>
      </c>
      <c r="D44" s="27" t="s">
        <v>813</v>
      </c>
      <c r="E44" s="27"/>
      <c r="F44" s="27"/>
      <c r="G44" s="27">
        <v>690</v>
      </c>
      <c r="H44" s="27" t="s">
        <v>921</v>
      </c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1:19" x14ac:dyDescent="0.25">
      <c r="A45" s="27" t="s">
        <v>527</v>
      </c>
      <c r="B45" s="27">
        <v>117318</v>
      </c>
      <c r="C45" s="27">
        <v>769</v>
      </c>
      <c r="D45" s="27" t="s">
        <v>681</v>
      </c>
      <c r="E45" s="27"/>
      <c r="F45" s="27"/>
      <c r="G45" s="27">
        <v>769</v>
      </c>
      <c r="H45" s="27" t="s">
        <v>921</v>
      </c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1:19" x14ac:dyDescent="0.25">
      <c r="A46" s="27" t="s">
        <v>527</v>
      </c>
      <c r="B46" s="27">
        <v>117317</v>
      </c>
      <c r="C46" s="27">
        <v>769</v>
      </c>
      <c r="D46" s="27" t="s">
        <v>991</v>
      </c>
      <c r="E46" s="27"/>
      <c r="F46" s="27"/>
      <c r="G46" s="27">
        <v>769</v>
      </c>
      <c r="H46" s="27" t="s">
        <v>921</v>
      </c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1:19" x14ac:dyDescent="0.25">
      <c r="A47" s="27" t="s">
        <v>527</v>
      </c>
      <c r="B47" s="27">
        <v>117316</v>
      </c>
      <c r="C47" s="27">
        <v>769</v>
      </c>
      <c r="D47" s="27" t="s">
        <v>804</v>
      </c>
      <c r="E47" s="27"/>
      <c r="F47" s="27"/>
      <c r="G47" s="27">
        <v>769</v>
      </c>
      <c r="H47" s="27" t="s">
        <v>921</v>
      </c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1:19" x14ac:dyDescent="0.25">
      <c r="A48" s="27" t="s">
        <v>527</v>
      </c>
      <c r="B48" s="27">
        <v>117309</v>
      </c>
      <c r="C48" s="27">
        <v>769</v>
      </c>
      <c r="D48" s="27" t="s">
        <v>992</v>
      </c>
      <c r="E48" s="27"/>
      <c r="F48" s="27"/>
      <c r="G48" s="27">
        <v>769</v>
      </c>
      <c r="H48" s="27" t="s">
        <v>921</v>
      </c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1:19" x14ac:dyDescent="0.25">
      <c r="A49" s="27" t="s">
        <v>527</v>
      </c>
      <c r="B49" s="27">
        <v>158250</v>
      </c>
      <c r="C49" s="27">
        <v>690</v>
      </c>
      <c r="D49" s="27" t="s">
        <v>814</v>
      </c>
      <c r="E49" s="27"/>
      <c r="F49" s="27"/>
      <c r="G49" s="27">
        <v>690</v>
      </c>
      <c r="H49" s="27" t="s">
        <v>921</v>
      </c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1:19" x14ac:dyDescent="0.25">
      <c r="A50" s="27" t="s">
        <v>527</v>
      </c>
      <c r="B50" s="27">
        <v>158249</v>
      </c>
      <c r="C50" s="27">
        <v>690</v>
      </c>
      <c r="D50" s="27" t="s">
        <v>815</v>
      </c>
      <c r="E50" s="27"/>
      <c r="F50" s="27"/>
      <c r="G50" s="27">
        <v>690</v>
      </c>
      <c r="H50" s="27" t="s">
        <v>921</v>
      </c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1:19" x14ac:dyDescent="0.25">
      <c r="A51" s="27" t="s">
        <v>527</v>
      </c>
      <c r="B51" s="27">
        <v>140006</v>
      </c>
      <c r="C51" s="27" t="s">
        <v>929</v>
      </c>
      <c r="D51" s="27"/>
      <c r="E51" s="27"/>
      <c r="F51" s="27"/>
      <c r="G51" s="27" t="s">
        <v>920</v>
      </c>
      <c r="H51" s="27" t="s">
        <v>916</v>
      </c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</row>
    <row r="52" spans="1:19" x14ac:dyDescent="0.25">
      <c r="A52" s="27" t="s">
        <v>527</v>
      </c>
      <c r="B52" s="27">
        <v>224680</v>
      </c>
      <c r="C52" s="27">
        <v>790</v>
      </c>
      <c r="D52" s="27" t="s">
        <v>993</v>
      </c>
      <c r="E52" s="27"/>
      <c r="F52" s="27"/>
      <c r="G52" s="27">
        <v>790</v>
      </c>
      <c r="H52" s="27" t="s">
        <v>921</v>
      </c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</row>
    <row r="53" spans="1:19" x14ac:dyDescent="0.25">
      <c r="A53" s="27" t="s">
        <v>527</v>
      </c>
      <c r="B53" s="27">
        <v>203206</v>
      </c>
      <c r="C53" s="27">
        <v>729</v>
      </c>
      <c r="D53" s="27" t="s">
        <v>806</v>
      </c>
      <c r="E53" s="27"/>
      <c r="F53" s="27"/>
      <c r="G53" s="27">
        <v>729</v>
      </c>
      <c r="H53" s="27" t="s">
        <v>921</v>
      </c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</row>
    <row r="54" spans="1:19" x14ac:dyDescent="0.25">
      <c r="A54" s="27" t="s">
        <v>527</v>
      </c>
      <c r="B54" s="27">
        <v>203204</v>
      </c>
      <c r="C54" s="27">
        <v>729</v>
      </c>
      <c r="D54" s="27" t="s">
        <v>994</v>
      </c>
      <c r="E54" s="27"/>
      <c r="F54" s="27"/>
      <c r="G54" s="27">
        <v>729</v>
      </c>
      <c r="H54" s="27" t="s">
        <v>921</v>
      </c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</row>
    <row r="55" spans="1:19" x14ac:dyDescent="0.25">
      <c r="A55" s="27" t="s">
        <v>527</v>
      </c>
      <c r="B55" s="27">
        <v>139489</v>
      </c>
      <c r="C55" s="27">
        <v>629</v>
      </c>
      <c r="D55" s="27" t="s">
        <v>995</v>
      </c>
      <c r="E55" s="27"/>
      <c r="F55" s="27"/>
      <c r="G55" s="27">
        <v>629</v>
      </c>
      <c r="H55" s="27" t="s">
        <v>921</v>
      </c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</row>
    <row r="56" spans="1:19" x14ac:dyDescent="0.25">
      <c r="A56" s="27" t="s">
        <v>527</v>
      </c>
      <c r="B56" s="27">
        <v>131563</v>
      </c>
      <c r="C56" s="27">
        <v>690</v>
      </c>
      <c r="D56" s="27" t="s">
        <v>996</v>
      </c>
      <c r="E56" s="27"/>
      <c r="F56" s="27"/>
      <c r="G56" s="27">
        <v>690</v>
      </c>
      <c r="H56" s="27" t="s">
        <v>921</v>
      </c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</row>
    <row r="57" spans="1:19" x14ac:dyDescent="0.25">
      <c r="A57" s="27" t="s">
        <v>527</v>
      </c>
      <c r="B57" s="27">
        <v>201289</v>
      </c>
      <c r="C57" s="27">
        <v>790</v>
      </c>
      <c r="D57" s="27" t="s">
        <v>997</v>
      </c>
      <c r="E57" s="27"/>
      <c r="F57" s="27"/>
      <c r="G57" s="27">
        <v>790</v>
      </c>
      <c r="H57" s="27" t="s">
        <v>921</v>
      </c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</row>
    <row r="58" spans="1:19" x14ac:dyDescent="0.25">
      <c r="A58" s="27" t="s">
        <v>527</v>
      </c>
      <c r="B58" s="27">
        <v>201288</v>
      </c>
      <c r="C58" s="27">
        <v>790</v>
      </c>
      <c r="D58" s="27" t="s">
        <v>998</v>
      </c>
      <c r="E58" s="27"/>
      <c r="F58" s="27"/>
      <c r="G58" s="27">
        <v>790</v>
      </c>
      <c r="H58" s="27" t="s">
        <v>921</v>
      </c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</row>
    <row r="59" spans="1:19" x14ac:dyDescent="0.25">
      <c r="A59" s="27" t="s">
        <v>527</v>
      </c>
      <c r="B59" s="27">
        <v>201287</v>
      </c>
      <c r="C59" s="27">
        <v>769</v>
      </c>
      <c r="D59" s="27" t="s">
        <v>999</v>
      </c>
      <c r="E59" s="27"/>
      <c r="F59" s="27"/>
      <c r="G59" s="27">
        <v>769</v>
      </c>
      <c r="H59" s="27" t="s">
        <v>921</v>
      </c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</row>
    <row r="60" spans="1:19" x14ac:dyDescent="0.25">
      <c r="A60" s="27" t="s">
        <v>527</v>
      </c>
      <c r="B60" s="27">
        <v>201292</v>
      </c>
      <c r="C60" s="27">
        <v>829</v>
      </c>
      <c r="D60" s="27" t="s">
        <v>1000</v>
      </c>
      <c r="E60" s="27"/>
      <c r="F60" s="27"/>
      <c r="G60" s="27">
        <v>829</v>
      </c>
      <c r="H60" s="27" t="s">
        <v>921</v>
      </c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</row>
    <row r="61" spans="1:19" x14ac:dyDescent="0.25">
      <c r="A61" s="27" t="s">
        <v>527</v>
      </c>
      <c r="B61" s="27">
        <v>132857</v>
      </c>
      <c r="C61" s="27">
        <v>829</v>
      </c>
      <c r="D61" s="27" t="s">
        <v>1001</v>
      </c>
      <c r="E61" s="27"/>
      <c r="F61" s="27"/>
      <c r="G61" s="27">
        <v>829</v>
      </c>
      <c r="H61" s="27" t="s">
        <v>921</v>
      </c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</row>
    <row r="62" spans="1:19" x14ac:dyDescent="0.25">
      <c r="A62" s="27" t="s">
        <v>527</v>
      </c>
      <c r="B62" s="27">
        <v>201291</v>
      </c>
      <c r="C62" s="27">
        <v>890</v>
      </c>
      <c r="D62" s="27" t="s">
        <v>805</v>
      </c>
      <c r="E62" s="27"/>
      <c r="F62" s="27"/>
      <c r="G62" s="27">
        <v>890</v>
      </c>
      <c r="H62" s="27" t="s">
        <v>921</v>
      </c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</row>
    <row r="63" spans="1:19" x14ac:dyDescent="0.25">
      <c r="A63" s="27" t="s">
        <v>527</v>
      </c>
      <c r="B63" s="27">
        <v>164035</v>
      </c>
      <c r="C63" s="27">
        <v>929</v>
      </c>
      <c r="D63" s="27" t="s">
        <v>1002</v>
      </c>
      <c r="E63" s="27"/>
      <c r="F63" s="27"/>
      <c r="G63" s="27">
        <v>929</v>
      </c>
      <c r="H63" s="27" t="s">
        <v>921</v>
      </c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</row>
    <row r="64" spans="1:19" x14ac:dyDescent="0.25">
      <c r="A64" s="27" t="s">
        <v>527</v>
      </c>
      <c r="B64" s="27">
        <v>164005</v>
      </c>
      <c r="C64" s="27">
        <v>969</v>
      </c>
      <c r="D64" s="27" t="s">
        <v>1003</v>
      </c>
      <c r="E64" s="27"/>
      <c r="F64" s="27"/>
      <c r="G64" s="27">
        <v>969</v>
      </c>
      <c r="H64" s="27" t="s">
        <v>921</v>
      </c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</row>
    <row r="65" spans="1:19" x14ac:dyDescent="0.25">
      <c r="A65" s="27" t="s">
        <v>527</v>
      </c>
      <c r="B65" s="27">
        <v>139231</v>
      </c>
      <c r="C65" s="27">
        <v>990</v>
      </c>
      <c r="D65" s="27" t="s">
        <v>1004</v>
      </c>
      <c r="E65" s="27"/>
      <c r="F65" s="27"/>
      <c r="G65" s="27">
        <v>990</v>
      </c>
      <c r="H65" s="27" t="s">
        <v>921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</row>
    <row r="66" spans="1:19" x14ac:dyDescent="0.25">
      <c r="A66" s="27" t="s">
        <v>527</v>
      </c>
      <c r="B66" s="27">
        <v>164032</v>
      </c>
      <c r="C66" s="27">
        <v>990</v>
      </c>
      <c r="D66" s="27" t="s">
        <v>1005</v>
      </c>
      <c r="E66" s="27"/>
      <c r="F66" s="27"/>
      <c r="G66" s="27">
        <v>990</v>
      </c>
      <c r="H66" s="27" t="s">
        <v>921</v>
      </c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</row>
    <row r="67" spans="1:19" x14ac:dyDescent="0.25">
      <c r="A67" s="27" t="s">
        <v>527</v>
      </c>
      <c r="B67" s="27">
        <v>136661</v>
      </c>
      <c r="C67" s="27">
        <v>969</v>
      </c>
      <c r="D67" s="27" t="s">
        <v>817</v>
      </c>
      <c r="E67" s="27"/>
      <c r="F67" s="27"/>
      <c r="G67" s="27">
        <v>969</v>
      </c>
      <c r="H67" s="27" t="s">
        <v>921</v>
      </c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</row>
    <row r="68" spans="1:19" x14ac:dyDescent="0.25">
      <c r="A68" s="27" t="s">
        <v>527</v>
      </c>
      <c r="B68" s="27">
        <v>223070</v>
      </c>
      <c r="C68" s="27">
        <v>949</v>
      </c>
      <c r="D68" s="27" t="s">
        <v>1006</v>
      </c>
      <c r="E68" s="27"/>
      <c r="F68" s="27"/>
      <c r="G68" s="27">
        <v>949</v>
      </c>
      <c r="H68" s="27" t="s">
        <v>921</v>
      </c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</row>
    <row r="69" spans="1:19" x14ac:dyDescent="0.25">
      <c r="A69" s="27" t="s">
        <v>527</v>
      </c>
      <c r="B69" s="27">
        <v>201293</v>
      </c>
      <c r="C69" s="27">
        <v>1090</v>
      </c>
      <c r="D69" s="27" t="s">
        <v>1007</v>
      </c>
      <c r="E69" s="27"/>
      <c r="F69" s="27"/>
      <c r="G69" s="27">
        <v>1090</v>
      </c>
      <c r="H69" s="27" t="s">
        <v>921</v>
      </c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</row>
    <row r="70" spans="1:19" x14ac:dyDescent="0.25">
      <c r="A70" s="27" t="s">
        <v>527</v>
      </c>
      <c r="B70" s="27">
        <v>165355</v>
      </c>
      <c r="C70" s="27">
        <v>1290</v>
      </c>
      <c r="D70" s="27" t="s">
        <v>1008</v>
      </c>
      <c r="E70" s="27"/>
      <c r="F70" s="27"/>
      <c r="G70" s="27">
        <v>1290</v>
      </c>
      <c r="H70" s="27" t="s">
        <v>921</v>
      </c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</row>
    <row r="71" spans="1:19" x14ac:dyDescent="0.25">
      <c r="A71" s="27" t="s">
        <v>527</v>
      </c>
      <c r="B71" s="27">
        <v>136896</v>
      </c>
      <c r="C71" s="27">
        <v>969</v>
      </c>
      <c r="D71" s="27" t="s">
        <v>1009</v>
      </c>
      <c r="E71" s="27"/>
      <c r="F71" s="27"/>
      <c r="G71" s="27">
        <v>969</v>
      </c>
      <c r="H71" s="27" t="s">
        <v>921</v>
      </c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</row>
    <row r="72" spans="1:19" x14ac:dyDescent="0.25">
      <c r="A72" s="27" t="s">
        <v>527</v>
      </c>
      <c r="B72" s="27">
        <v>219100</v>
      </c>
      <c r="C72" s="27">
        <v>1190</v>
      </c>
      <c r="D72" s="27" t="s">
        <v>976</v>
      </c>
      <c r="E72" s="27"/>
      <c r="F72" s="27"/>
      <c r="G72" s="27">
        <v>1190</v>
      </c>
      <c r="H72" s="27" t="s">
        <v>921</v>
      </c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</row>
    <row r="73" spans="1:19" x14ac:dyDescent="0.25">
      <c r="A73" s="27" t="s">
        <v>527</v>
      </c>
      <c r="B73" s="27">
        <v>164010</v>
      </c>
      <c r="C73" s="27">
        <v>990</v>
      </c>
      <c r="D73" s="27" t="s">
        <v>791</v>
      </c>
      <c r="E73" s="27"/>
      <c r="F73" s="27"/>
      <c r="G73" s="27">
        <v>990</v>
      </c>
      <c r="H73" s="27" t="s">
        <v>921</v>
      </c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</row>
    <row r="74" spans="1:19" x14ac:dyDescent="0.25">
      <c r="A74" s="27" t="s">
        <v>527</v>
      </c>
      <c r="B74" s="27">
        <v>203955</v>
      </c>
      <c r="C74" s="27">
        <v>1190</v>
      </c>
      <c r="D74" s="27" t="s">
        <v>803</v>
      </c>
      <c r="E74" s="27"/>
      <c r="F74" s="27"/>
      <c r="G74" s="27">
        <v>1190</v>
      </c>
      <c r="H74" s="27" t="s">
        <v>921</v>
      </c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</row>
    <row r="75" spans="1:19" x14ac:dyDescent="0.25">
      <c r="A75" s="27" t="s">
        <v>527</v>
      </c>
      <c r="B75" s="27">
        <v>203956</v>
      </c>
      <c r="C75" s="27">
        <v>1190</v>
      </c>
      <c r="D75" s="27" t="s">
        <v>802</v>
      </c>
      <c r="E75" s="27"/>
      <c r="F75" s="27"/>
      <c r="G75" s="27">
        <v>1190</v>
      </c>
      <c r="H75" s="27" t="s">
        <v>921</v>
      </c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</row>
    <row r="76" spans="1:19" x14ac:dyDescent="0.25">
      <c r="A76" s="27" t="s">
        <v>527</v>
      </c>
      <c r="B76" s="27">
        <v>201297</v>
      </c>
      <c r="C76" s="27">
        <v>990</v>
      </c>
      <c r="D76" s="27" t="s">
        <v>975</v>
      </c>
      <c r="E76" s="27"/>
      <c r="F76" s="27"/>
      <c r="G76" s="27">
        <v>990</v>
      </c>
      <c r="H76" s="27" t="s">
        <v>921</v>
      </c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</row>
    <row r="77" spans="1:19" x14ac:dyDescent="0.25">
      <c r="A77" s="27" t="s">
        <v>527</v>
      </c>
      <c r="B77" s="27">
        <v>201290</v>
      </c>
      <c r="C77" s="27">
        <v>890</v>
      </c>
      <c r="D77" s="27" t="s">
        <v>798</v>
      </c>
      <c r="E77" s="27"/>
      <c r="F77" s="27"/>
      <c r="G77" s="27">
        <v>890</v>
      </c>
      <c r="H77" s="27" t="s">
        <v>921</v>
      </c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</row>
    <row r="78" spans="1:19" x14ac:dyDescent="0.25">
      <c r="A78" s="27" t="s">
        <v>527</v>
      </c>
      <c r="B78" s="27">
        <v>201295</v>
      </c>
      <c r="C78" s="27">
        <v>969</v>
      </c>
      <c r="D78" s="27" t="s">
        <v>974</v>
      </c>
      <c r="E78" s="27"/>
      <c r="F78" s="27"/>
      <c r="G78" s="27">
        <v>969</v>
      </c>
      <c r="H78" s="27" t="s">
        <v>921</v>
      </c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</row>
    <row r="79" spans="1:19" x14ac:dyDescent="0.25">
      <c r="A79" s="27" t="s">
        <v>527</v>
      </c>
      <c r="B79" s="27">
        <v>201296</v>
      </c>
      <c r="C79" s="27">
        <v>990</v>
      </c>
      <c r="D79" s="27" t="s">
        <v>973</v>
      </c>
      <c r="E79" s="27"/>
      <c r="F79" s="27"/>
      <c r="G79" s="27">
        <v>990</v>
      </c>
      <c r="H79" s="27" t="s">
        <v>921</v>
      </c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</row>
    <row r="80" spans="1:19" x14ac:dyDescent="0.25">
      <c r="A80" s="27" t="s">
        <v>527</v>
      </c>
      <c r="B80" s="27">
        <v>201298</v>
      </c>
      <c r="C80" s="27">
        <v>790</v>
      </c>
      <c r="D80" s="27" t="s">
        <v>801</v>
      </c>
      <c r="E80" s="27"/>
      <c r="F80" s="27"/>
      <c r="G80" s="27">
        <v>829</v>
      </c>
      <c r="H80" s="27" t="s">
        <v>921</v>
      </c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</row>
    <row r="81" spans="1:19" x14ac:dyDescent="0.25">
      <c r="A81" s="27" t="s">
        <v>527</v>
      </c>
      <c r="B81" s="27">
        <v>201299</v>
      </c>
      <c r="C81" s="27">
        <v>1190</v>
      </c>
      <c r="D81" s="27" t="s">
        <v>799</v>
      </c>
      <c r="E81" s="27"/>
      <c r="F81" s="27"/>
      <c r="G81" s="27">
        <v>1190</v>
      </c>
      <c r="H81" s="27" t="s">
        <v>921</v>
      </c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</row>
    <row r="82" spans="1:19" x14ac:dyDescent="0.25">
      <c r="A82" s="27" t="s">
        <v>527</v>
      </c>
      <c r="B82" s="27">
        <v>136693</v>
      </c>
      <c r="C82" s="27" t="s">
        <v>929</v>
      </c>
      <c r="D82" s="27"/>
      <c r="E82" s="27"/>
      <c r="F82" s="27"/>
      <c r="G82" s="27" t="s">
        <v>920</v>
      </c>
      <c r="H82" s="27" t="s">
        <v>916</v>
      </c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</row>
    <row r="83" spans="1:19" x14ac:dyDescent="0.25">
      <c r="A83" s="27" t="s">
        <v>527</v>
      </c>
      <c r="B83" s="27">
        <v>160135</v>
      </c>
      <c r="C83" s="27" t="s">
        <v>929</v>
      </c>
      <c r="D83" s="27"/>
      <c r="E83" s="27"/>
      <c r="F83" s="27"/>
      <c r="G83" s="27" t="s">
        <v>920</v>
      </c>
      <c r="H83" s="27" t="s">
        <v>916</v>
      </c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</row>
    <row r="84" spans="1:19" x14ac:dyDescent="0.25">
      <c r="A84" s="27" t="s">
        <v>527</v>
      </c>
      <c r="B84" s="27">
        <v>153081</v>
      </c>
      <c r="C84" s="27">
        <v>1190</v>
      </c>
      <c r="D84" s="27" t="s">
        <v>972</v>
      </c>
      <c r="E84" s="27"/>
      <c r="F84" s="27"/>
      <c r="G84" s="27">
        <v>1190</v>
      </c>
      <c r="H84" s="27" t="s">
        <v>921</v>
      </c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</row>
    <row r="85" spans="1:19" x14ac:dyDescent="0.25">
      <c r="A85" s="27" t="s">
        <v>527</v>
      </c>
      <c r="B85" s="27">
        <v>203207</v>
      </c>
      <c r="C85" s="27">
        <v>1190</v>
      </c>
      <c r="D85" s="27" t="s">
        <v>790</v>
      </c>
      <c r="E85" s="27"/>
      <c r="F85" s="27"/>
      <c r="G85" s="27">
        <v>1190</v>
      </c>
      <c r="H85" s="27" t="s">
        <v>921</v>
      </c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</row>
    <row r="86" spans="1:19" x14ac:dyDescent="0.25">
      <c r="A86" s="27" t="s">
        <v>527</v>
      </c>
      <c r="B86" s="27">
        <v>131562</v>
      </c>
      <c r="C86" s="27">
        <v>790</v>
      </c>
      <c r="D86" s="27" t="s">
        <v>971</v>
      </c>
      <c r="E86" s="27"/>
      <c r="F86" s="27"/>
      <c r="G86" s="27">
        <v>790</v>
      </c>
      <c r="H86" s="27" t="s">
        <v>921</v>
      </c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</row>
    <row r="87" spans="1:19" x14ac:dyDescent="0.25">
      <c r="A87" s="27" t="s">
        <v>527</v>
      </c>
      <c r="B87" s="27">
        <v>131555</v>
      </c>
      <c r="C87" s="27" t="s">
        <v>929</v>
      </c>
      <c r="D87" s="27"/>
      <c r="E87" s="27"/>
      <c r="F87" s="27"/>
      <c r="G87" s="27" t="s">
        <v>920</v>
      </c>
      <c r="H87" s="27" t="s">
        <v>916</v>
      </c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</row>
    <row r="88" spans="1:19" x14ac:dyDescent="0.25">
      <c r="A88" s="27" t="s">
        <v>527</v>
      </c>
      <c r="B88" s="27">
        <v>164999</v>
      </c>
      <c r="C88" s="27" t="s">
        <v>929</v>
      </c>
      <c r="D88" s="27"/>
      <c r="E88" s="27"/>
      <c r="F88" s="27"/>
      <c r="G88" s="27" t="s">
        <v>920</v>
      </c>
      <c r="H88" s="27" t="s">
        <v>916</v>
      </c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</row>
    <row r="89" spans="1:19" x14ac:dyDescent="0.25">
      <c r="A89" s="27" t="s">
        <v>527</v>
      </c>
      <c r="B89" s="27">
        <v>138717</v>
      </c>
      <c r="C89" s="27">
        <v>1690</v>
      </c>
      <c r="D89" s="27" t="s">
        <v>797</v>
      </c>
      <c r="E89" s="27"/>
      <c r="F89" s="27"/>
      <c r="G89" s="27">
        <v>1690</v>
      </c>
      <c r="H89" s="27" t="s">
        <v>921</v>
      </c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</row>
    <row r="90" spans="1:19" x14ac:dyDescent="0.25">
      <c r="A90" s="27" t="s">
        <v>527</v>
      </c>
      <c r="B90" s="27">
        <v>203208</v>
      </c>
      <c r="C90" s="27">
        <v>1290</v>
      </c>
      <c r="D90" s="27" t="s">
        <v>970</v>
      </c>
      <c r="E90" s="27"/>
      <c r="F90" s="27"/>
      <c r="G90" s="27">
        <v>1290</v>
      </c>
      <c r="H90" s="27" t="s">
        <v>921</v>
      </c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</row>
    <row r="91" spans="1:19" x14ac:dyDescent="0.25">
      <c r="A91" s="27" t="s">
        <v>527</v>
      </c>
      <c r="B91" s="27">
        <v>153082</v>
      </c>
      <c r="C91" s="27">
        <v>1390</v>
      </c>
      <c r="D91" s="27" t="s">
        <v>969</v>
      </c>
      <c r="E91" s="27"/>
      <c r="F91" s="27"/>
      <c r="G91" s="27">
        <v>1390</v>
      </c>
      <c r="H91" s="27" t="s">
        <v>921</v>
      </c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</row>
    <row r="92" spans="1:19" x14ac:dyDescent="0.25">
      <c r="A92" s="27" t="s">
        <v>527</v>
      </c>
      <c r="B92" s="27">
        <v>226388</v>
      </c>
      <c r="C92" s="27">
        <v>1490</v>
      </c>
      <c r="D92" s="27" t="s">
        <v>816</v>
      </c>
      <c r="E92" s="27"/>
      <c r="F92" s="27"/>
      <c r="G92" s="27">
        <v>1490</v>
      </c>
      <c r="H92" s="27" t="s">
        <v>921</v>
      </c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</row>
    <row r="93" spans="1:19" x14ac:dyDescent="0.25">
      <c r="A93" s="27" t="s">
        <v>527</v>
      </c>
      <c r="B93" s="27">
        <v>138682</v>
      </c>
      <c r="C93" s="27">
        <v>1790</v>
      </c>
      <c r="D93" s="27" t="s">
        <v>968</v>
      </c>
      <c r="E93" s="27"/>
      <c r="F93" s="27"/>
      <c r="G93" s="27">
        <v>1790</v>
      </c>
      <c r="H93" s="27" t="s">
        <v>921</v>
      </c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</row>
    <row r="94" spans="1:19" x14ac:dyDescent="0.25">
      <c r="A94" s="27" t="s">
        <v>527</v>
      </c>
      <c r="B94" s="27">
        <v>165000</v>
      </c>
      <c r="C94" s="27" t="s">
        <v>929</v>
      </c>
      <c r="D94" s="27"/>
      <c r="E94" s="27"/>
      <c r="F94" s="27"/>
      <c r="G94" s="27" t="s">
        <v>920</v>
      </c>
      <c r="H94" s="27" t="s">
        <v>916</v>
      </c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</row>
    <row r="95" spans="1:19" x14ac:dyDescent="0.25">
      <c r="A95" s="27" t="s">
        <v>527</v>
      </c>
      <c r="B95" s="27">
        <v>171719</v>
      </c>
      <c r="C95" s="27">
        <v>1790</v>
      </c>
      <c r="D95" s="27" t="s">
        <v>961</v>
      </c>
      <c r="E95" s="27"/>
      <c r="F95" s="27"/>
      <c r="G95" s="27">
        <v>1790</v>
      </c>
      <c r="H95" s="27" t="s">
        <v>921</v>
      </c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</row>
    <row r="96" spans="1:19" x14ac:dyDescent="0.25">
      <c r="A96" s="27" t="s">
        <v>527</v>
      </c>
      <c r="B96" s="27">
        <v>131561</v>
      </c>
      <c r="C96" s="27">
        <v>1190</v>
      </c>
      <c r="D96" s="27" t="s">
        <v>967</v>
      </c>
      <c r="E96" s="27"/>
      <c r="F96" s="27"/>
      <c r="G96" s="27">
        <v>1190</v>
      </c>
      <c r="H96" s="27" t="s">
        <v>921</v>
      </c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</row>
    <row r="97" spans="1:19" x14ac:dyDescent="0.25">
      <c r="A97" s="27" t="s">
        <v>527</v>
      </c>
      <c r="B97" s="27">
        <v>131564</v>
      </c>
      <c r="C97" s="27">
        <v>890</v>
      </c>
      <c r="D97" s="27" t="s">
        <v>966</v>
      </c>
      <c r="E97" s="27"/>
      <c r="F97" s="27"/>
      <c r="G97" s="27">
        <v>890</v>
      </c>
      <c r="H97" s="27" t="s">
        <v>921</v>
      </c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</row>
    <row r="98" spans="1:19" x14ac:dyDescent="0.25">
      <c r="A98" s="27" t="s">
        <v>527</v>
      </c>
      <c r="B98" s="27">
        <v>131566</v>
      </c>
      <c r="C98" s="27">
        <v>1190</v>
      </c>
      <c r="D98" s="27" t="s">
        <v>965</v>
      </c>
      <c r="E98" s="27"/>
      <c r="F98" s="27"/>
      <c r="G98" s="27">
        <v>1190</v>
      </c>
      <c r="H98" s="27" t="s">
        <v>921</v>
      </c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</row>
    <row r="99" spans="1:19" x14ac:dyDescent="0.25">
      <c r="A99" s="27" t="s">
        <v>527</v>
      </c>
      <c r="B99" s="27">
        <v>218498</v>
      </c>
      <c r="C99" s="27">
        <v>1690</v>
      </c>
      <c r="D99" s="27" t="s">
        <v>964</v>
      </c>
      <c r="E99" s="27"/>
      <c r="F99" s="27"/>
      <c r="G99" s="27">
        <v>1690</v>
      </c>
      <c r="H99" s="27" t="s">
        <v>921</v>
      </c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</row>
    <row r="100" spans="1:19" x14ac:dyDescent="0.25">
      <c r="A100" s="27" t="s">
        <v>527</v>
      </c>
      <c r="B100" s="27">
        <v>138684</v>
      </c>
      <c r="C100" s="27">
        <v>1790</v>
      </c>
      <c r="D100" s="27" t="s">
        <v>963</v>
      </c>
      <c r="E100" s="27"/>
      <c r="F100" s="27"/>
      <c r="G100" s="27">
        <v>1790</v>
      </c>
      <c r="H100" s="27" t="s">
        <v>921</v>
      </c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</row>
    <row r="101" spans="1:19" x14ac:dyDescent="0.25">
      <c r="A101" s="27" t="s">
        <v>527</v>
      </c>
      <c r="B101" s="27">
        <v>223736</v>
      </c>
      <c r="C101" s="27">
        <v>1690</v>
      </c>
      <c r="D101" s="27" t="s">
        <v>962</v>
      </c>
      <c r="E101" s="27"/>
      <c r="F101" s="27"/>
      <c r="G101" s="27">
        <v>1690</v>
      </c>
      <c r="H101" s="27" t="s">
        <v>921</v>
      </c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</row>
    <row r="102" spans="1:19" x14ac:dyDescent="0.25">
      <c r="A102" s="27" t="s">
        <v>527</v>
      </c>
      <c r="B102" s="27">
        <v>171720</v>
      </c>
      <c r="C102" s="27">
        <v>1790</v>
      </c>
      <c r="D102" s="27" t="s">
        <v>961</v>
      </c>
      <c r="E102" s="27"/>
      <c r="F102" s="27"/>
      <c r="G102" s="27">
        <v>1790</v>
      </c>
      <c r="H102" s="27" t="s">
        <v>921</v>
      </c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</row>
    <row r="103" spans="1:19" x14ac:dyDescent="0.25">
      <c r="A103" s="27" t="s">
        <v>527</v>
      </c>
      <c r="B103" s="27">
        <v>153083</v>
      </c>
      <c r="C103" s="27">
        <v>1590</v>
      </c>
      <c r="D103" s="27" t="s">
        <v>960</v>
      </c>
      <c r="E103" s="27"/>
      <c r="F103" s="27"/>
      <c r="G103" s="27">
        <v>1590</v>
      </c>
      <c r="H103" s="27" t="s">
        <v>921</v>
      </c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</row>
    <row r="104" spans="1:19" x14ac:dyDescent="0.25">
      <c r="A104" s="27" t="s">
        <v>527</v>
      </c>
      <c r="B104" s="27">
        <v>117311</v>
      </c>
      <c r="C104" s="27">
        <v>1690</v>
      </c>
      <c r="D104" s="27" t="s">
        <v>959</v>
      </c>
      <c r="E104" s="27"/>
      <c r="F104" s="27"/>
      <c r="G104" s="27">
        <v>1690</v>
      </c>
      <c r="H104" s="27" t="s">
        <v>921</v>
      </c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</row>
    <row r="105" spans="1:19" x14ac:dyDescent="0.25">
      <c r="A105" s="27" t="s">
        <v>527</v>
      </c>
      <c r="B105" s="27">
        <v>224679</v>
      </c>
      <c r="C105" s="27">
        <v>1790</v>
      </c>
      <c r="D105" s="27" t="s">
        <v>958</v>
      </c>
      <c r="E105" s="27"/>
      <c r="F105" s="27"/>
      <c r="G105" s="27">
        <v>1790</v>
      </c>
      <c r="H105" s="27" t="s">
        <v>921</v>
      </c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</row>
    <row r="106" spans="1:19" x14ac:dyDescent="0.25">
      <c r="A106" s="27" t="s">
        <v>527</v>
      </c>
      <c r="B106" s="27">
        <v>219058</v>
      </c>
      <c r="C106" s="27">
        <v>1590</v>
      </c>
      <c r="D106" s="27" t="s">
        <v>957</v>
      </c>
      <c r="E106" s="27"/>
      <c r="F106" s="27"/>
      <c r="G106" s="27">
        <v>1590</v>
      </c>
      <c r="H106" s="27" t="s">
        <v>921</v>
      </c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</row>
    <row r="107" spans="1:19" x14ac:dyDescent="0.25">
      <c r="A107" s="27" t="s">
        <v>527</v>
      </c>
      <c r="B107" s="27">
        <v>138683</v>
      </c>
      <c r="C107" s="27">
        <v>2290</v>
      </c>
      <c r="D107" s="27" t="s">
        <v>769</v>
      </c>
      <c r="E107" s="27"/>
      <c r="F107" s="27"/>
      <c r="G107" s="27">
        <v>2290</v>
      </c>
      <c r="H107" s="27" t="s">
        <v>921</v>
      </c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</row>
    <row r="108" spans="1:19" x14ac:dyDescent="0.25">
      <c r="A108" s="27" t="s">
        <v>527</v>
      </c>
      <c r="B108" s="27">
        <v>164009</v>
      </c>
      <c r="C108" s="27" t="s">
        <v>928</v>
      </c>
      <c r="D108" s="27"/>
      <c r="E108" s="27"/>
      <c r="F108" s="27"/>
      <c r="G108" s="27" t="s">
        <v>920</v>
      </c>
      <c r="H108" s="27" t="s">
        <v>916</v>
      </c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</row>
    <row r="109" spans="1:19" x14ac:dyDescent="0.25">
      <c r="A109" s="27" t="s">
        <v>527</v>
      </c>
      <c r="B109" s="27">
        <v>224681</v>
      </c>
      <c r="C109" s="27" t="s">
        <v>929</v>
      </c>
      <c r="D109" s="27"/>
      <c r="E109" s="27"/>
      <c r="F109" s="27"/>
      <c r="G109" s="27" t="s">
        <v>920</v>
      </c>
      <c r="H109" s="27" t="s">
        <v>916</v>
      </c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</row>
    <row r="110" spans="1:19" x14ac:dyDescent="0.25">
      <c r="A110" s="27" t="s">
        <v>527</v>
      </c>
      <c r="B110" s="27">
        <v>194468</v>
      </c>
      <c r="C110" s="27" t="s">
        <v>956</v>
      </c>
      <c r="D110" s="27" t="s">
        <v>708</v>
      </c>
      <c r="E110" s="27"/>
      <c r="F110" s="27"/>
      <c r="G110" s="27">
        <v>2129</v>
      </c>
      <c r="H110" s="27" t="s">
        <v>921</v>
      </c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</row>
    <row r="111" spans="1:19" x14ac:dyDescent="0.25">
      <c r="A111" s="27" t="s">
        <v>527</v>
      </c>
      <c r="B111" s="27">
        <v>218482</v>
      </c>
      <c r="C111" s="27">
        <v>2190</v>
      </c>
      <c r="D111" s="27" t="s">
        <v>955</v>
      </c>
      <c r="E111" s="27"/>
      <c r="F111" s="27"/>
      <c r="G111" s="27">
        <v>2190</v>
      </c>
      <c r="H111" s="27" t="s">
        <v>921</v>
      </c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</row>
    <row r="112" spans="1:19" x14ac:dyDescent="0.25">
      <c r="A112" s="27" t="s">
        <v>527</v>
      </c>
      <c r="B112" s="27">
        <v>194466</v>
      </c>
      <c r="C112" s="27" t="s">
        <v>954</v>
      </c>
      <c r="D112" s="27" t="s">
        <v>706</v>
      </c>
      <c r="E112" s="27"/>
      <c r="F112" s="27"/>
      <c r="G112" s="27">
        <v>2190</v>
      </c>
      <c r="H112" s="27" t="s">
        <v>921</v>
      </c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</row>
    <row r="113" spans="1:19" x14ac:dyDescent="0.25">
      <c r="A113" s="27" t="s">
        <v>527</v>
      </c>
      <c r="B113" s="27">
        <v>201030</v>
      </c>
      <c r="C113" s="27">
        <v>2290</v>
      </c>
      <c r="D113" s="27" t="s">
        <v>949</v>
      </c>
      <c r="E113" s="27"/>
      <c r="F113" s="27"/>
      <c r="G113" s="27">
        <v>2290</v>
      </c>
      <c r="H113" s="27" t="s">
        <v>921</v>
      </c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</row>
    <row r="114" spans="1:19" x14ac:dyDescent="0.25">
      <c r="A114" s="27" t="s">
        <v>527</v>
      </c>
      <c r="B114" s="27">
        <v>131560</v>
      </c>
      <c r="C114" s="27">
        <v>1990</v>
      </c>
      <c r="D114" s="27" t="s">
        <v>953</v>
      </c>
      <c r="E114" s="27"/>
      <c r="F114" s="27"/>
      <c r="G114" s="27">
        <v>1990</v>
      </c>
      <c r="H114" s="27" t="s">
        <v>921</v>
      </c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</row>
    <row r="115" spans="1:19" x14ac:dyDescent="0.25">
      <c r="A115" s="27" t="s">
        <v>527</v>
      </c>
      <c r="B115" s="27">
        <v>151264</v>
      </c>
      <c r="C115" s="27">
        <v>2390</v>
      </c>
      <c r="D115" s="27" t="s">
        <v>952</v>
      </c>
      <c r="E115" s="27"/>
      <c r="F115" s="27"/>
      <c r="G115" s="27">
        <v>2390</v>
      </c>
      <c r="H115" s="27" t="s">
        <v>921</v>
      </c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</row>
    <row r="116" spans="1:19" x14ac:dyDescent="0.25">
      <c r="A116" s="27" t="s">
        <v>527</v>
      </c>
      <c r="B116" s="27">
        <v>138714</v>
      </c>
      <c r="C116" s="27">
        <v>1990</v>
      </c>
      <c r="D116" s="27" t="s">
        <v>774</v>
      </c>
      <c r="E116" s="27"/>
      <c r="F116" s="27"/>
      <c r="G116" s="27">
        <v>2190</v>
      </c>
      <c r="H116" s="27" t="s">
        <v>921</v>
      </c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</row>
    <row r="117" spans="1:19" x14ac:dyDescent="0.25">
      <c r="A117" s="27" t="s">
        <v>527</v>
      </c>
      <c r="B117" s="27">
        <v>138711</v>
      </c>
      <c r="C117" s="27">
        <v>2290</v>
      </c>
      <c r="D117" s="27" t="s">
        <v>818</v>
      </c>
      <c r="E117" s="27"/>
      <c r="F117" s="27"/>
      <c r="G117" s="27">
        <v>2290</v>
      </c>
      <c r="H117" s="27" t="s">
        <v>921</v>
      </c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</row>
    <row r="118" spans="1:19" x14ac:dyDescent="0.25">
      <c r="A118" s="27" t="s">
        <v>527</v>
      </c>
      <c r="B118" s="27">
        <v>138713</v>
      </c>
      <c r="C118" s="27">
        <v>2190</v>
      </c>
      <c r="D118" s="27" t="s">
        <v>819</v>
      </c>
      <c r="E118" s="27"/>
      <c r="F118" s="27"/>
      <c r="G118" s="27">
        <v>2190</v>
      </c>
      <c r="H118" s="27" t="s">
        <v>921</v>
      </c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</row>
    <row r="119" spans="1:19" x14ac:dyDescent="0.25">
      <c r="A119" s="27" t="s">
        <v>527</v>
      </c>
      <c r="B119" s="27">
        <v>138700</v>
      </c>
      <c r="C119" s="27">
        <v>2190</v>
      </c>
      <c r="D119" s="27" t="s">
        <v>796</v>
      </c>
      <c r="E119" s="27"/>
      <c r="F119" s="27"/>
      <c r="G119" s="27">
        <v>2190</v>
      </c>
      <c r="H119" s="27" t="s">
        <v>921</v>
      </c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</row>
    <row r="120" spans="1:19" x14ac:dyDescent="0.25">
      <c r="A120" s="27" t="s">
        <v>527</v>
      </c>
      <c r="B120" s="27">
        <v>138712</v>
      </c>
      <c r="C120" s="27">
        <v>2190</v>
      </c>
      <c r="D120" s="27" t="s">
        <v>830</v>
      </c>
      <c r="E120" s="27"/>
      <c r="F120" s="27"/>
      <c r="G120" s="27">
        <v>2190</v>
      </c>
      <c r="H120" s="27" t="s">
        <v>921</v>
      </c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</row>
    <row r="121" spans="1:19" x14ac:dyDescent="0.25">
      <c r="A121" s="27" t="s">
        <v>527</v>
      </c>
      <c r="B121" s="27">
        <v>138644</v>
      </c>
      <c r="C121" s="27">
        <v>2190</v>
      </c>
      <c r="D121" s="27" t="s">
        <v>830</v>
      </c>
      <c r="E121" s="27"/>
      <c r="F121" s="27"/>
      <c r="G121" s="27">
        <v>2190</v>
      </c>
      <c r="H121" s="27" t="s">
        <v>921</v>
      </c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</row>
    <row r="122" spans="1:19" x14ac:dyDescent="0.25">
      <c r="A122" s="27" t="s">
        <v>527</v>
      </c>
      <c r="B122" s="27">
        <v>138641</v>
      </c>
      <c r="C122" s="27"/>
      <c r="D122" s="27"/>
      <c r="E122" s="27"/>
      <c r="F122" s="27"/>
      <c r="G122" s="27" t="s">
        <v>920</v>
      </c>
      <c r="H122" s="27" t="s">
        <v>916</v>
      </c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</row>
    <row r="123" spans="1:19" x14ac:dyDescent="0.25">
      <c r="A123" s="27" t="s">
        <v>527</v>
      </c>
      <c r="B123" s="27">
        <v>138643</v>
      </c>
      <c r="C123" s="27">
        <v>2190</v>
      </c>
      <c r="D123" s="27" t="s">
        <v>829</v>
      </c>
      <c r="E123" s="27"/>
      <c r="F123" s="27"/>
      <c r="G123" s="27">
        <v>2190</v>
      </c>
      <c r="H123" s="27" t="s">
        <v>921</v>
      </c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</row>
    <row r="124" spans="1:19" x14ac:dyDescent="0.25">
      <c r="A124" s="27" t="s">
        <v>527</v>
      </c>
      <c r="B124" s="27">
        <v>138642</v>
      </c>
      <c r="C124" s="27"/>
      <c r="D124" s="27"/>
      <c r="E124" s="27"/>
      <c r="F124" s="27"/>
      <c r="G124" s="27" t="s">
        <v>920</v>
      </c>
      <c r="H124" s="27" t="s">
        <v>916</v>
      </c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</row>
    <row r="125" spans="1:19" x14ac:dyDescent="0.25">
      <c r="A125" s="27" t="s">
        <v>527</v>
      </c>
      <c r="B125" s="27">
        <v>138692</v>
      </c>
      <c r="C125" s="27">
        <v>2190</v>
      </c>
      <c r="D125" s="27" t="s">
        <v>828</v>
      </c>
      <c r="E125" s="27"/>
      <c r="F125" s="27"/>
      <c r="G125" s="27">
        <v>2190</v>
      </c>
      <c r="H125" s="27" t="s">
        <v>921</v>
      </c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</row>
    <row r="126" spans="1:19" x14ac:dyDescent="0.25">
      <c r="A126" s="27" t="s">
        <v>527</v>
      </c>
      <c r="B126" s="27">
        <v>138664</v>
      </c>
      <c r="C126" s="27">
        <v>2290</v>
      </c>
      <c r="D126" s="27" t="s">
        <v>951</v>
      </c>
      <c r="E126" s="27"/>
      <c r="F126" s="27"/>
      <c r="G126" s="27">
        <v>2290</v>
      </c>
      <c r="H126" s="27" t="s">
        <v>921</v>
      </c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</row>
    <row r="127" spans="1:19" x14ac:dyDescent="0.25">
      <c r="A127" s="27" t="s">
        <v>527</v>
      </c>
      <c r="B127" s="27">
        <v>164007</v>
      </c>
      <c r="C127" s="27">
        <v>2390</v>
      </c>
      <c r="D127" s="27" t="s">
        <v>950</v>
      </c>
      <c r="E127" s="27"/>
      <c r="F127" s="27"/>
      <c r="G127" s="27">
        <v>2390</v>
      </c>
      <c r="H127" s="27" t="s">
        <v>921</v>
      </c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</row>
    <row r="128" spans="1:19" x14ac:dyDescent="0.25">
      <c r="A128" s="27" t="s">
        <v>527</v>
      </c>
      <c r="B128" s="27">
        <v>218499</v>
      </c>
      <c r="C128" s="27">
        <v>2690</v>
      </c>
      <c r="D128" s="27" t="s">
        <v>795</v>
      </c>
      <c r="E128" s="27"/>
      <c r="F128" s="27"/>
      <c r="G128" s="27">
        <v>2690</v>
      </c>
      <c r="H128" s="27" t="s">
        <v>921</v>
      </c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</row>
    <row r="129" spans="1:19" x14ac:dyDescent="0.25">
      <c r="A129" s="27" t="s">
        <v>527</v>
      </c>
      <c r="B129" s="27">
        <v>201031</v>
      </c>
      <c r="C129" s="27">
        <v>2290</v>
      </c>
      <c r="D129" s="27" t="s">
        <v>949</v>
      </c>
      <c r="E129" s="27"/>
      <c r="F129" s="27"/>
      <c r="G129" s="27">
        <v>2290</v>
      </c>
      <c r="H129" s="27" t="s">
        <v>921</v>
      </c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</row>
    <row r="130" spans="1:19" x14ac:dyDescent="0.25">
      <c r="A130" s="27" t="s">
        <v>527</v>
      </c>
      <c r="B130" s="27">
        <v>138639</v>
      </c>
      <c r="C130" s="27">
        <v>2290</v>
      </c>
      <c r="D130" s="27" t="s">
        <v>826</v>
      </c>
      <c r="E130" s="27"/>
      <c r="F130" s="27"/>
      <c r="G130" s="27">
        <v>2290</v>
      </c>
      <c r="H130" s="27" t="s">
        <v>921</v>
      </c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</row>
    <row r="131" spans="1:19" x14ac:dyDescent="0.25">
      <c r="A131" s="27" t="s">
        <v>527</v>
      </c>
      <c r="B131" s="27">
        <v>138640</v>
      </c>
      <c r="C131" s="27">
        <v>2290</v>
      </c>
      <c r="D131" s="27" t="s">
        <v>827</v>
      </c>
      <c r="E131" s="27"/>
      <c r="F131" s="27"/>
      <c r="G131" s="27">
        <v>2290</v>
      </c>
      <c r="H131" s="27" t="s">
        <v>921</v>
      </c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</row>
    <row r="132" spans="1:19" x14ac:dyDescent="0.25">
      <c r="A132" s="27" t="s">
        <v>527</v>
      </c>
      <c r="B132" s="27">
        <v>138673</v>
      </c>
      <c r="C132" s="27">
        <v>2290</v>
      </c>
      <c r="D132" s="27" t="s">
        <v>794</v>
      </c>
      <c r="E132" s="27"/>
      <c r="F132" s="27"/>
      <c r="G132" s="27">
        <v>2290</v>
      </c>
      <c r="H132" s="27" t="s">
        <v>921</v>
      </c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</row>
    <row r="133" spans="1:19" x14ac:dyDescent="0.25">
      <c r="A133" s="27" t="s">
        <v>527</v>
      </c>
      <c r="B133" s="27">
        <v>117065</v>
      </c>
      <c r="C133" s="27">
        <v>2490</v>
      </c>
      <c r="D133" s="27" t="s">
        <v>948</v>
      </c>
      <c r="E133" s="27"/>
      <c r="F133" s="27"/>
      <c r="G133" s="27">
        <v>2490</v>
      </c>
      <c r="H133" s="27" t="s">
        <v>921</v>
      </c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</row>
    <row r="134" spans="1:19" x14ac:dyDescent="0.25">
      <c r="A134" s="27" t="s">
        <v>527</v>
      </c>
      <c r="B134" s="27">
        <v>151261</v>
      </c>
      <c r="C134" s="27">
        <v>2890</v>
      </c>
      <c r="D134" s="27" t="s">
        <v>845</v>
      </c>
      <c r="E134" s="27"/>
      <c r="F134" s="27"/>
      <c r="G134" s="27">
        <v>2890</v>
      </c>
      <c r="H134" s="27" t="s">
        <v>921</v>
      </c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</row>
    <row r="135" spans="1:19" x14ac:dyDescent="0.25">
      <c r="A135" s="27" t="s">
        <v>527</v>
      </c>
      <c r="B135" s="27">
        <v>141972</v>
      </c>
      <c r="C135" s="27">
        <v>2690</v>
      </c>
      <c r="D135" s="27" t="s">
        <v>843</v>
      </c>
      <c r="E135" s="27"/>
      <c r="F135" s="27"/>
      <c r="G135" s="27">
        <v>2690</v>
      </c>
      <c r="H135" s="27" t="s">
        <v>921</v>
      </c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</row>
    <row r="136" spans="1:19" x14ac:dyDescent="0.25">
      <c r="A136" s="27" t="s">
        <v>527</v>
      </c>
      <c r="B136" s="27">
        <v>131567</v>
      </c>
      <c r="C136" s="27">
        <v>1290</v>
      </c>
      <c r="D136" s="27" t="s">
        <v>775</v>
      </c>
      <c r="E136" s="27"/>
      <c r="F136" s="27"/>
      <c r="G136" s="27">
        <v>1290</v>
      </c>
      <c r="H136" s="27" t="s">
        <v>921</v>
      </c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</row>
    <row r="137" spans="1:19" x14ac:dyDescent="0.25">
      <c r="A137" s="27" t="s">
        <v>527</v>
      </c>
      <c r="B137" s="27">
        <v>141973</v>
      </c>
      <c r="C137" s="27">
        <v>2890</v>
      </c>
      <c r="D137" s="27" t="s">
        <v>844</v>
      </c>
      <c r="E137" s="27"/>
      <c r="F137" s="27"/>
      <c r="G137" s="27">
        <v>2890</v>
      </c>
      <c r="H137" s="27" t="s">
        <v>921</v>
      </c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</row>
    <row r="138" spans="1:19" x14ac:dyDescent="0.25">
      <c r="A138" s="27" t="s">
        <v>527</v>
      </c>
      <c r="B138" s="27">
        <v>219241</v>
      </c>
      <c r="C138" s="27">
        <v>2490</v>
      </c>
      <c r="D138" s="27" t="s">
        <v>716</v>
      </c>
      <c r="E138" s="27"/>
      <c r="F138" s="27"/>
      <c r="G138" s="27">
        <v>2490</v>
      </c>
      <c r="H138" s="27" t="s">
        <v>921</v>
      </c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</row>
    <row r="139" spans="1:19" x14ac:dyDescent="0.25">
      <c r="A139" s="27" t="s">
        <v>527</v>
      </c>
      <c r="B139" s="27">
        <v>223733</v>
      </c>
      <c r="C139" s="27">
        <v>3190</v>
      </c>
      <c r="D139" s="27" t="s">
        <v>947</v>
      </c>
      <c r="E139" s="27"/>
      <c r="F139" s="27"/>
      <c r="G139" s="27">
        <v>3190</v>
      </c>
      <c r="H139" s="27" t="s">
        <v>921</v>
      </c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</row>
    <row r="140" spans="1:19" x14ac:dyDescent="0.25">
      <c r="A140" s="27" t="s">
        <v>527</v>
      </c>
      <c r="B140" s="27">
        <v>223734</v>
      </c>
      <c r="C140" s="27">
        <v>3290</v>
      </c>
      <c r="D140" s="27" t="s">
        <v>854</v>
      </c>
      <c r="E140" s="27"/>
      <c r="F140" s="27"/>
      <c r="G140" s="27">
        <v>3290</v>
      </c>
      <c r="H140" s="27" t="s">
        <v>921</v>
      </c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</row>
    <row r="141" spans="1:19" x14ac:dyDescent="0.25">
      <c r="A141" s="27" t="s">
        <v>527</v>
      </c>
      <c r="B141" s="27">
        <v>141971</v>
      </c>
      <c r="C141" s="27">
        <v>3790</v>
      </c>
      <c r="D141" s="27" t="s">
        <v>770</v>
      </c>
      <c r="E141" s="27"/>
      <c r="F141" s="27"/>
      <c r="G141" s="27">
        <v>3790</v>
      </c>
      <c r="H141" s="27" t="s">
        <v>921</v>
      </c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</row>
    <row r="142" spans="1:19" x14ac:dyDescent="0.25">
      <c r="A142" s="27" t="s">
        <v>527</v>
      </c>
      <c r="B142" s="27">
        <v>138708</v>
      </c>
      <c r="C142" s="27"/>
      <c r="D142" s="27"/>
      <c r="E142" s="27"/>
      <c r="F142" s="27"/>
      <c r="G142" s="27" t="s">
        <v>920</v>
      </c>
      <c r="H142" s="27" t="s">
        <v>916</v>
      </c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</row>
    <row r="143" spans="1:19" x14ac:dyDescent="0.25">
      <c r="A143" s="27" t="s">
        <v>527</v>
      </c>
      <c r="B143" s="27">
        <v>201307</v>
      </c>
      <c r="C143" s="27">
        <v>3290</v>
      </c>
      <c r="D143" s="27" t="s">
        <v>846</v>
      </c>
      <c r="E143" s="27"/>
      <c r="F143" s="27"/>
      <c r="G143" s="27">
        <v>3290</v>
      </c>
      <c r="H143" s="27" t="s">
        <v>921</v>
      </c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</row>
    <row r="144" spans="1:19" x14ac:dyDescent="0.25">
      <c r="A144" s="27" t="s">
        <v>527</v>
      </c>
      <c r="B144" s="27">
        <v>141975</v>
      </c>
      <c r="C144" s="27">
        <v>3590</v>
      </c>
      <c r="D144" s="27" t="s">
        <v>855</v>
      </c>
      <c r="E144" s="27"/>
      <c r="F144" s="27"/>
      <c r="G144" s="27">
        <v>3590</v>
      </c>
      <c r="H144" s="27" t="s">
        <v>921</v>
      </c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</row>
    <row r="145" spans="1:19" x14ac:dyDescent="0.25">
      <c r="A145" s="27" t="s">
        <v>527</v>
      </c>
      <c r="B145" s="27">
        <v>201032</v>
      </c>
      <c r="C145" s="27">
        <v>3690</v>
      </c>
      <c r="D145" s="27" t="s">
        <v>776</v>
      </c>
      <c r="E145" s="27"/>
      <c r="F145" s="27"/>
      <c r="G145" s="27">
        <v>3690</v>
      </c>
      <c r="H145" s="27" t="s">
        <v>921</v>
      </c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</row>
    <row r="146" spans="1:19" x14ac:dyDescent="0.25">
      <c r="A146" s="27" t="s">
        <v>527</v>
      </c>
      <c r="B146" s="27">
        <v>164008</v>
      </c>
      <c r="C146" s="27">
        <v>3390</v>
      </c>
      <c r="D146" s="27" t="s">
        <v>847</v>
      </c>
      <c r="E146" s="27"/>
      <c r="F146" s="27"/>
      <c r="G146" s="27">
        <v>3390</v>
      </c>
      <c r="H146" s="27" t="s">
        <v>921</v>
      </c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</row>
    <row r="147" spans="1:19" x14ac:dyDescent="0.25">
      <c r="A147" s="27" t="s">
        <v>527</v>
      </c>
      <c r="B147" s="27">
        <v>141970</v>
      </c>
      <c r="C147" s="27">
        <v>3690</v>
      </c>
      <c r="D147" s="27" t="s">
        <v>946</v>
      </c>
      <c r="E147" s="27"/>
      <c r="F147" s="27"/>
      <c r="G147" s="27">
        <v>3690</v>
      </c>
      <c r="H147" s="27" t="s">
        <v>921</v>
      </c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</row>
    <row r="148" spans="1:19" x14ac:dyDescent="0.25">
      <c r="A148" s="27" t="s">
        <v>527</v>
      </c>
      <c r="B148" s="27">
        <v>138662</v>
      </c>
      <c r="C148" s="27"/>
      <c r="D148" s="27"/>
      <c r="E148" s="27"/>
      <c r="F148" s="27"/>
      <c r="G148" s="27" t="s">
        <v>920</v>
      </c>
      <c r="H148" s="27" t="s">
        <v>916</v>
      </c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</row>
    <row r="149" spans="1:19" x14ac:dyDescent="0.25">
      <c r="A149" s="27" t="s">
        <v>527</v>
      </c>
      <c r="B149" s="27">
        <v>143690</v>
      </c>
      <c r="C149" s="27">
        <v>2990</v>
      </c>
      <c r="D149" s="27" t="s">
        <v>823</v>
      </c>
      <c r="E149" s="27"/>
      <c r="F149" s="27"/>
      <c r="G149" s="27">
        <v>2990</v>
      </c>
      <c r="H149" s="27" t="s">
        <v>921</v>
      </c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</row>
    <row r="150" spans="1:19" x14ac:dyDescent="0.25">
      <c r="A150" s="27" t="s">
        <v>527</v>
      </c>
      <c r="B150" s="27">
        <v>224671</v>
      </c>
      <c r="C150" s="27">
        <v>3990</v>
      </c>
      <c r="D150" s="27" t="s">
        <v>945</v>
      </c>
      <c r="E150" s="27"/>
      <c r="F150" s="27"/>
      <c r="G150" s="27">
        <v>3990</v>
      </c>
      <c r="H150" s="27" t="s">
        <v>921</v>
      </c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</row>
    <row r="151" spans="1:19" x14ac:dyDescent="0.25">
      <c r="A151" s="27" t="s">
        <v>527</v>
      </c>
      <c r="B151" s="27">
        <v>141974</v>
      </c>
      <c r="C151" s="27">
        <v>3790</v>
      </c>
      <c r="D151" s="27" t="s">
        <v>770</v>
      </c>
      <c r="E151" s="27"/>
      <c r="F151" s="27"/>
      <c r="G151" s="27">
        <v>3790</v>
      </c>
      <c r="H151" s="27" t="s">
        <v>921</v>
      </c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</row>
    <row r="152" spans="1:19" x14ac:dyDescent="0.25">
      <c r="A152" s="27" t="s">
        <v>527</v>
      </c>
      <c r="B152" s="27">
        <v>202283</v>
      </c>
      <c r="C152" s="27">
        <v>3990</v>
      </c>
      <c r="D152" s="27" t="s">
        <v>944</v>
      </c>
      <c r="E152" s="27"/>
      <c r="F152" s="27"/>
      <c r="G152" s="27">
        <v>3990</v>
      </c>
      <c r="H152" s="27" t="s">
        <v>921</v>
      </c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</row>
    <row r="153" spans="1:19" x14ac:dyDescent="0.25">
      <c r="A153" s="27" t="s">
        <v>527</v>
      </c>
      <c r="B153" s="27">
        <v>219243</v>
      </c>
      <c r="C153" s="27">
        <v>3690</v>
      </c>
      <c r="D153" s="27" t="s">
        <v>851</v>
      </c>
      <c r="E153" s="27"/>
      <c r="F153" s="27"/>
      <c r="G153" s="27">
        <v>3690</v>
      </c>
      <c r="H153" s="27" t="s">
        <v>921</v>
      </c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</row>
    <row r="154" spans="1:19" x14ac:dyDescent="0.25">
      <c r="A154" s="27" t="s">
        <v>527</v>
      </c>
      <c r="B154" s="27">
        <v>141976</v>
      </c>
      <c r="C154" s="27">
        <v>4190</v>
      </c>
      <c r="D154" s="27" t="s">
        <v>852</v>
      </c>
      <c r="E154" s="27"/>
      <c r="F154" s="27"/>
      <c r="G154" s="27">
        <v>4190</v>
      </c>
      <c r="H154" s="27" t="s">
        <v>921</v>
      </c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</row>
    <row r="155" spans="1:19" x14ac:dyDescent="0.25">
      <c r="A155" s="27" t="s">
        <v>527</v>
      </c>
      <c r="B155" s="27">
        <v>131559</v>
      </c>
      <c r="C155" s="27">
        <v>4190</v>
      </c>
      <c r="D155" s="27" t="s">
        <v>853</v>
      </c>
      <c r="E155" s="27"/>
      <c r="F155" s="27"/>
      <c r="G155" s="27">
        <v>4190</v>
      </c>
      <c r="H155" s="27" t="s">
        <v>921</v>
      </c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</row>
    <row r="156" spans="1:19" x14ac:dyDescent="0.25">
      <c r="A156" s="27" t="s">
        <v>527</v>
      </c>
      <c r="B156" s="27">
        <v>202284</v>
      </c>
      <c r="C156" s="27">
        <v>3990</v>
      </c>
      <c r="D156" s="27" t="s">
        <v>777</v>
      </c>
      <c r="E156" s="27"/>
      <c r="F156" s="27"/>
      <c r="G156" s="27">
        <v>4790</v>
      </c>
      <c r="H156" s="27" t="s">
        <v>921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</row>
    <row r="157" spans="1:19" x14ac:dyDescent="0.25">
      <c r="A157" s="27" t="s">
        <v>527</v>
      </c>
      <c r="B157" s="27">
        <v>138709</v>
      </c>
      <c r="C157" s="27">
        <v>4590</v>
      </c>
      <c r="D157" s="27" t="s">
        <v>824</v>
      </c>
      <c r="E157" s="27"/>
      <c r="F157" s="27"/>
      <c r="G157" s="27">
        <v>4590</v>
      </c>
      <c r="H157" s="27" t="s">
        <v>921</v>
      </c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</row>
    <row r="158" spans="1:19" x14ac:dyDescent="0.25">
      <c r="A158" s="27" t="s">
        <v>527</v>
      </c>
      <c r="B158" s="27">
        <v>138696</v>
      </c>
      <c r="C158" s="27">
        <v>5690</v>
      </c>
      <c r="D158" s="27" t="s">
        <v>825</v>
      </c>
      <c r="E158" s="27"/>
      <c r="F158" s="27"/>
      <c r="G158" s="27">
        <v>5690</v>
      </c>
      <c r="H158" s="27" t="s">
        <v>921</v>
      </c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</row>
    <row r="159" spans="1:19" x14ac:dyDescent="0.25">
      <c r="A159" s="27" t="s">
        <v>527</v>
      </c>
      <c r="B159" s="27">
        <v>138634</v>
      </c>
      <c r="C159" s="27"/>
      <c r="D159" s="27"/>
      <c r="E159" s="27"/>
      <c r="F159" s="27"/>
      <c r="G159" s="27" t="s">
        <v>920</v>
      </c>
      <c r="H159" s="27" t="s">
        <v>916</v>
      </c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</row>
    <row r="160" spans="1:19" x14ac:dyDescent="0.25">
      <c r="A160" s="27" t="s">
        <v>527</v>
      </c>
      <c r="B160" s="27">
        <v>138636</v>
      </c>
      <c r="C160" s="27"/>
      <c r="D160" s="27"/>
      <c r="E160" s="27"/>
      <c r="F160" s="27"/>
      <c r="G160" s="27" t="s">
        <v>920</v>
      </c>
      <c r="H160" s="27" t="s">
        <v>916</v>
      </c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</row>
    <row r="161" spans="1:19" x14ac:dyDescent="0.25">
      <c r="A161" s="27" t="s">
        <v>527</v>
      </c>
      <c r="B161" s="27">
        <v>138637</v>
      </c>
      <c r="C161" s="27"/>
      <c r="D161" s="27"/>
      <c r="E161" s="27"/>
      <c r="F161" s="27"/>
      <c r="G161" s="27" t="s">
        <v>920</v>
      </c>
      <c r="H161" s="27" t="s">
        <v>916</v>
      </c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</row>
    <row r="162" spans="1:19" x14ac:dyDescent="0.25">
      <c r="A162" s="27" t="s">
        <v>527</v>
      </c>
      <c r="B162" s="27">
        <v>186321</v>
      </c>
      <c r="C162" s="27">
        <v>4490</v>
      </c>
      <c r="D162" s="27" t="s">
        <v>943</v>
      </c>
      <c r="E162" s="27"/>
      <c r="F162" s="27"/>
      <c r="G162" s="27">
        <v>4490</v>
      </c>
      <c r="H162" s="27" t="s">
        <v>921</v>
      </c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</row>
    <row r="163" spans="1:19" x14ac:dyDescent="0.25">
      <c r="A163" s="27" t="s">
        <v>527</v>
      </c>
      <c r="B163" s="27">
        <v>186320</v>
      </c>
      <c r="C163" s="27">
        <v>4490</v>
      </c>
      <c r="D163" s="27" t="s">
        <v>778</v>
      </c>
      <c r="E163" s="27"/>
      <c r="F163" s="27"/>
      <c r="G163" s="27">
        <v>4490</v>
      </c>
      <c r="H163" s="27" t="s">
        <v>921</v>
      </c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</row>
    <row r="164" spans="1:19" x14ac:dyDescent="0.25">
      <c r="A164" s="27" t="s">
        <v>527</v>
      </c>
      <c r="B164" s="27">
        <v>201308</v>
      </c>
      <c r="C164" s="27">
        <v>4590</v>
      </c>
      <c r="D164" s="27" t="s">
        <v>942</v>
      </c>
      <c r="E164" s="27"/>
      <c r="F164" s="27"/>
      <c r="G164" s="27">
        <v>4590</v>
      </c>
      <c r="H164" s="27" t="s">
        <v>921</v>
      </c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</row>
    <row r="165" spans="1:19" x14ac:dyDescent="0.25">
      <c r="A165" s="27" t="s">
        <v>527</v>
      </c>
      <c r="B165" s="27">
        <v>138695</v>
      </c>
      <c r="C165" s="27"/>
      <c r="D165" s="27"/>
      <c r="E165" s="27"/>
      <c r="F165" s="27"/>
      <c r="G165" s="27" t="s">
        <v>920</v>
      </c>
      <c r="H165" s="27" t="s">
        <v>916</v>
      </c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</row>
    <row r="166" spans="1:19" x14ac:dyDescent="0.25">
      <c r="A166" s="27" t="s">
        <v>527</v>
      </c>
      <c r="B166" s="27">
        <v>138694</v>
      </c>
      <c r="C166" s="27"/>
      <c r="D166" s="27"/>
      <c r="E166" s="27"/>
      <c r="F166" s="27"/>
      <c r="G166" s="27" t="s">
        <v>920</v>
      </c>
      <c r="H166" s="27" t="s">
        <v>916</v>
      </c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</row>
    <row r="167" spans="1:19" x14ac:dyDescent="0.25">
      <c r="A167" s="27" t="s">
        <v>527</v>
      </c>
      <c r="B167" s="27">
        <v>158690</v>
      </c>
      <c r="C167" s="27">
        <v>4190</v>
      </c>
      <c r="D167" s="27" t="s">
        <v>850</v>
      </c>
      <c r="E167" s="27"/>
      <c r="F167" s="27"/>
      <c r="G167" s="27">
        <v>4190</v>
      </c>
      <c r="H167" s="27" t="s">
        <v>921</v>
      </c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</row>
    <row r="168" spans="1:19" x14ac:dyDescent="0.25">
      <c r="A168" s="27" t="s">
        <v>527</v>
      </c>
      <c r="B168" s="27">
        <v>138638</v>
      </c>
      <c r="C168" s="27">
        <v>5190</v>
      </c>
      <c r="D168" s="27" t="s">
        <v>779</v>
      </c>
      <c r="E168" s="27"/>
      <c r="F168" s="27"/>
      <c r="G168" s="27">
        <v>5190</v>
      </c>
      <c r="H168" s="27" t="s">
        <v>921</v>
      </c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</row>
    <row r="169" spans="1:19" x14ac:dyDescent="0.25">
      <c r="A169" s="27" t="s">
        <v>527</v>
      </c>
      <c r="B169" s="27">
        <v>201027</v>
      </c>
      <c r="C169" s="27">
        <v>4890</v>
      </c>
      <c r="D169" s="27" t="s">
        <v>849</v>
      </c>
      <c r="E169" s="27"/>
      <c r="F169" s="27"/>
      <c r="G169" s="27" t="s">
        <v>920</v>
      </c>
      <c r="H169" s="27" t="s">
        <v>921</v>
      </c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</row>
    <row r="170" spans="1:19" x14ac:dyDescent="0.25">
      <c r="A170" s="27" t="s">
        <v>527</v>
      </c>
      <c r="B170" s="27">
        <v>138702</v>
      </c>
      <c r="C170" s="27">
        <v>5490</v>
      </c>
      <c r="D170" s="27" t="s">
        <v>771</v>
      </c>
      <c r="E170" s="27"/>
      <c r="F170" s="27"/>
      <c r="G170" s="27">
        <v>5490</v>
      </c>
      <c r="H170" s="27" t="s">
        <v>921</v>
      </c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</row>
    <row r="171" spans="1:19" x14ac:dyDescent="0.25">
      <c r="A171" s="27" t="s">
        <v>527</v>
      </c>
      <c r="B171" s="27">
        <v>131499</v>
      </c>
      <c r="C171" s="27">
        <v>4290</v>
      </c>
      <c r="D171" s="27" t="s">
        <v>822</v>
      </c>
      <c r="E171" s="27"/>
      <c r="F171" s="27"/>
      <c r="G171" s="27">
        <v>4290</v>
      </c>
      <c r="H171" s="27" t="s">
        <v>921</v>
      </c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</row>
    <row r="172" spans="1:19" x14ac:dyDescent="0.25">
      <c r="A172" s="27" t="s">
        <v>527</v>
      </c>
      <c r="B172" s="27">
        <v>138635</v>
      </c>
      <c r="C172" s="27"/>
      <c r="D172" s="27"/>
      <c r="E172" s="27"/>
      <c r="F172" s="27"/>
      <c r="G172" s="27" t="s">
        <v>920</v>
      </c>
      <c r="H172" s="27" t="s">
        <v>916</v>
      </c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</row>
    <row r="173" spans="1:19" x14ac:dyDescent="0.25">
      <c r="A173" s="27" t="s">
        <v>527</v>
      </c>
      <c r="B173" s="27">
        <v>186317</v>
      </c>
      <c r="C173" s="27">
        <v>5190</v>
      </c>
      <c r="D173" s="27" t="s">
        <v>772</v>
      </c>
      <c r="E173" s="27"/>
      <c r="F173" s="27"/>
      <c r="G173" s="27" t="s">
        <v>920</v>
      </c>
      <c r="H173" s="27" t="s">
        <v>921</v>
      </c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</row>
    <row r="174" spans="1:19" x14ac:dyDescent="0.25">
      <c r="A174" s="27" t="s">
        <v>527</v>
      </c>
      <c r="B174" s="27">
        <v>218487</v>
      </c>
      <c r="C174" s="27">
        <v>6490</v>
      </c>
      <c r="D174" s="27" t="s">
        <v>941</v>
      </c>
      <c r="E174" s="27"/>
      <c r="F174" s="27"/>
      <c r="G174" s="27">
        <v>6490</v>
      </c>
      <c r="H174" s="27" t="s">
        <v>921</v>
      </c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</row>
    <row r="175" spans="1:19" x14ac:dyDescent="0.25">
      <c r="A175" s="27" t="s">
        <v>527</v>
      </c>
      <c r="B175" s="27">
        <v>143689</v>
      </c>
      <c r="C175" s="27"/>
      <c r="D175" s="27"/>
      <c r="E175" s="27"/>
      <c r="F175" s="27"/>
      <c r="G175" s="27" t="s">
        <v>920</v>
      </c>
      <c r="H175" s="27" t="s">
        <v>916</v>
      </c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</row>
    <row r="176" spans="1:19" x14ac:dyDescent="0.25">
      <c r="A176" s="27" t="s">
        <v>527</v>
      </c>
      <c r="B176" s="27">
        <v>214015</v>
      </c>
      <c r="C176" s="27">
        <v>5890</v>
      </c>
      <c r="D176" s="27" t="s">
        <v>848</v>
      </c>
      <c r="E176" s="27"/>
      <c r="F176" s="27"/>
      <c r="G176" s="27">
        <v>5890</v>
      </c>
      <c r="H176" s="27" t="s">
        <v>921</v>
      </c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</row>
    <row r="177" spans="1:19" x14ac:dyDescent="0.25">
      <c r="A177" s="27" t="s">
        <v>527</v>
      </c>
      <c r="B177" s="27">
        <v>201038</v>
      </c>
      <c r="C177" s="27">
        <v>7190</v>
      </c>
      <c r="D177" s="27" t="s">
        <v>780</v>
      </c>
      <c r="E177" s="27"/>
      <c r="F177" s="27"/>
      <c r="G177" s="27">
        <v>7190</v>
      </c>
      <c r="H177" s="27" t="s">
        <v>921</v>
      </c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</row>
    <row r="178" spans="1:19" x14ac:dyDescent="0.25">
      <c r="A178" s="27" t="s">
        <v>527</v>
      </c>
      <c r="B178" s="27">
        <v>138633</v>
      </c>
      <c r="C178" s="27">
        <v>6790</v>
      </c>
      <c r="D178" s="27" t="s">
        <v>940</v>
      </c>
      <c r="E178" s="27"/>
      <c r="F178" s="27"/>
      <c r="G178" s="27">
        <v>6790</v>
      </c>
      <c r="H178" s="27" t="s">
        <v>921</v>
      </c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</row>
    <row r="179" spans="1:19" x14ac:dyDescent="0.25">
      <c r="A179" s="27" t="s">
        <v>527</v>
      </c>
      <c r="B179" s="27">
        <v>138710</v>
      </c>
      <c r="C179" s="27" t="s">
        <v>929</v>
      </c>
      <c r="D179" s="27"/>
      <c r="E179" s="27"/>
      <c r="F179" s="27"/>
      <c r="G179" s="27" t="s">
        <v>920</v>
      </c>
      <c r="H179" s="27" t="s">
        <v>916</v>
      </c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</row>
    <row r="180" spans="1:19" x14ac:dyDescent="0.25">
      <c r="A180" s="27" t="s">
        <v>527</v>
      </c>
      <c r="B180" s="27">
        <v>138716</v>
      </c>
      <c r="C180" s="27">
        <v>6190</v>
      </c>
      <c r="D180" s="27" t="s">
        <v>784</v>
      </c>
      <c r="E180" s="27"/>
      <c r="F180" s="27"/>
      <c r="G180" s="27">
        <v>6190</v>
      </c>
      <c r="H180" s="27" t="s">
        <v>921</v>
      </c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</row>
    <row r="181" spans="1:19" x14ac:dyDescent="0.25">
      <c r="A181" s="27" t="s">
        <v>527</v>
      </c>
      <c r="B181" s="27">
        <v>138669</v>
      </c>
      <c r="C181" s="27" t="s">
        <v>928</v>
      </c>
      <c r="D181" s="27"/>
      <c r="E181" s="27"/>
      <c r="F181" s="27"/>
      <c r="G181" s="27" t="s">
        <v>920</v>
      </c>
      <c r="H181" s="27" t="s">
        <v>916</v>
      </c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</row>
    <row r="182" spans="1:19" x14ac:dyDescent="0.25">
      <c r="A182" s="27" t="s">
        <v>527</v>
      </c>
      <c r="B182" s="27">
        <v>201028</v>
      </c>
      <c r="C182" s="27" t="s">
        <v>928</v>
      </c>
      <c r="D182" s="27"/>
      <c r="E182" s="27"/>
      <c r="F182" s="27"/>
      <c r="G182" s="27" t="s">
        <v>920</v>
      </c>
      <c r="H182" s="27" t="s">
        <v>916</v>
      </c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</row>
    <row r="183" spans="1:19" x14ac:dyDescent="0.25">
      <c r="A183" s="27" t="s">
        <v>527</v>
      </c>
      <c r="B183" s="27">
        <v>202081</v>
      </c>
      <c r="C183" s="27">
        <v>8290</v>
      </c>
      <c r="D183" s="27" t="s">
        <v>781</v>
      </c>
      <c r="E183" s="27"/>
      <c r="F183" s="27"/>
      <c r="G183" s="27">
        <v>8290</v>
      </c>
      <c r="H183" s="27" t="s">
        <v>921</v>
      </c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</row>
    <row r="184" spans="1:19" x14ac:dyDescent="0.25">
      <c r="A184" s="27" t="s">
        <v>527</v>
      </c>
      <c r="B184" s="27">
        <v>138715</v>
      </c>
      <c r="C184" s="27">
        <v>7190</v>
      </c>
      <c r="D184" s="27" t="s">
        <v>821</v>
      </c>
      <c r="E184" s="27"/>
      <c r="F184" s="27"/>
      <c r="G184" s="27">
        <v>7190</v>
      </c>
      <c r="H184" s="27" t="s">
        <v>921</v>
      </c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</row>
    <row r="185" spans="1:19" x14ac:dyDescent="0.25">
      <c r="A185" s="27" t="s">
        <v>527</v>
      </c>
      <c r="B185" s="27">
        <v>138665</v>
      </c>
      <c r="C185" s="27"/>
      <c r="D185" s="27"/>
      <c r="E185" s="27"/>
      <c r="F185" s="27"/>
      <c r="G185" s="27" t="s">
        <v>920</v>
      </c>
      <c r="H185" s="27" t="s">
        <v>916</v>
      </c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</row>
    <row r="186" spans="1:19" x14ac:dyDescent="0.25">
      <c r="A186" s="27" t="s">
        <v>527</v>
      </c>
      <c r="B186" s="27">
        <v>138657</v>
      </c>
      <c r="C186" s="27"/>
      <c r="D186" s="27"/>
      <c r="E186" s="27"/>
      <c r="F186" s="27"/>
      <c r="G186" s="27" t="s">
        <v>920</v>
      </c>
      <c r="H186" s="27" t="s">
        <v>916</v>
      </c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</row>
    <row r="187" spans="1:19" x14ac:dyDescent="0.25">
      <c r="A187" s="27" t="s">
        <v>527</v>
      </c>
      <c r="B187" s="27">
        <v>138670</v>
      </c>
      <c r="C187" s="27"/>
      <c r="D187" s="27"/>
      <c r="E187" s="27"/>
      <c r="F187" s="27"/>
      <c r="G187" s="27" t="s">
        <v>920</v>
      </c>
      <c r="H187" s="27" t="s">
        <v>916</v>
      </c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</row>
    <row r="188" spans="1:19" x14ac:dyDescent="0.25">
      <c r="A188" s="27" t="s">
        <v>527</v>
      </c>
      <c r="B188" s="27">
        <v>138660</v>
      </c>
      <c r="C188" s="27">
        <v>7790</v>
      </c>
      <c r="D188" s="27" t="s">
        <v>939</v>
      </c>
      <c r="E188" s="27"/>
      <c r="F188" s="27"/>
      <c r="G188" s="27">
        <v>7790</v>
      </c>
      <c r="H188" s="27" t="s">
        <v>921</v>
      </c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</row>
    <row r="189" spans="1:19" x14ac:dyDescent="0.25">
      <c r="A189" s="27" t="s">
        <v>527</v>
      </c>
      <c r="B189" s="27">
        <v>138658</v>
      </c>
      <c r="C189" s="27">
        <v>7790</v>
      </c>
      <c r="D189" s="27" t="s">
        <v>782</v>
      </c>
      <c r="E189" s="27"/>
      <c r="F189" s="27"/>
      <c r="G189" s="27">
        <v>7790</v>
      </c>
      <c r="H189" s="27" t="s">
        <v>921</v>
      </c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</row>
    <row r="190" spans="1:19" x14ac:dyDescent="0.25">
      <c r="A190" s="27" t="s">
        <v>527</v>
      </c>
      <c r="B190" s="27">
        <v>138659</v>
      </c>
      <c r="C190" s="27">
        <v>8490</v>
      </c>
      <c r="D190" s="27" t="s">
        <v>938</v>
      </c>
      <c r="E190" s="27"/>
      <c r="F190" s="27"/>
      <c r="G190" s="27">
        <v>8490</v>
      </c>
      <c r="H190" s="27" t="s">
        <v>921</v>
      </c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</row>
    <row r="191" spans="1:19" x14ac:dyDescent="0.25">
      <c r="A191" s="27" t="s">
        <v>527</v>
      </c>
      <c r="B191" s="27">
        <v>219242</v>
      </c>
      <c r="C191" s="27" t="s">
        <v>929</v>
      </c>
      <c r="D191" s="27"/>
      <c r="E191" s="27"/>
      <c r="F191" s="27"/>
      <c r="G191" s="27" t="s">
        <v>920</v>
      </c>
      <c r="H191" s="27" t="s">
        <v>916</v>
      </c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</row>
    <row r="192" spans="1:19" x14ac:dyDescent="0.25">
      <c r="A192" s="27" t="s">
        <v>527</v>
      </c>
      <c r="B192" s="27">
        <v>138654</v>
      </c>
      <c r="C192" s="27">
        <v>8690</v>
      </c>
      <c r="D192" s="27" t="s">
        <v>937</v>
      </c>
      <c r="E192" s="27"/>
      <c r="F192" s="27"/>
      <c r="G192" s="27">
        <v>8690</v>
      </c>
      <c r="H192" s="27" t="s">
        <v>921</v>
      </c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</row>
    <row r="193" spans="1:19" x14ac:dyDescent="0.25">
      <c r="A193" s="27" t="s">
        <v>527</v>
      </c>
      <c r="B193" s="27">
        <v>138674</v>
      </c>
      <c r="C193" s="27">
        <v>8690</v>
      </c>
      <c r="D193" s="27" t="s">
        <v>936</v>
      </c>
      <c r="E193" s="27"/>
      <c r="F193" s="27"/>
      <c r="G193" s="27">
        <v>8690</v>
      </c>
      <c r="H193" s="27" t="s">
        <v>921</v>
      </c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</row>
    <row r="194" spans="1:19" x14ac:dyDescent="0.25">
      <c r="A194" s="27" t="s">
        <v>527</v>
      </c>
      <c r="B194" s="27">
        <v>138652</v>
      </c>
      <c r="C194" s="27">
        <v>8790</v>
      </c>
      <c r="D194" s="27" t="s">
        <v>683</v>
      </c>
      <c r="E194" s="27"/>
      <c r="F194" s="27"/>
      <c r="G194" s="27">
        <v>8790</v>
      </c>
      <c r="H194" s="27" t="s">
        <v>921</v>
      </c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</row>
    <row r="195" spans="1:19" x14ac:dyDescent="0.25">
      <c r="A195" s="27" t="s">
        <v>527</v>
      </c>
      <c r="B195" s="27">
        <v>138653</v>
      </c>
      <c r="C195" s="27">
        <v>9190</v>
      </c>
      <c r="D195" s="27" t="s">
        <v>785</v>
      </c>
      <c r="E195" s="27"/>
      <c r="F195" s="27"/>
      <c r="G195" s="27">
        <v>9190</v>
      </c>
      <c r="H195" s="27" t="s">
        <v>921</v>
      </c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</row>
    <row r="196" spans="1:19" x14ac:dyDescent="0.25">
      <c r="A196" s="27" t="s">
        <v>527</v>
      </c>
      <c r="B196" s="27">
        <v>138671</v>
      </c>
      <c r="C196" s="27">
        <v>8790</v>
      </c>
      <c r="D196" s="27" t="s">
        <v>786</v>
      </c>
      <c r="E196" s="27"/>
      <c r="F196" s="27"/>
      <c r="G196" s="27">
        <v>8990</v>
      </c>
      <c r="H196" s="27" t="s">
        <v>921</v>
      </c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</row>
    <row r="197" spans="1:19" x14ac:dyDescent="0.25">
      <c r="A197" s="27" t="s">
        <v>527</v>
      </c>
      <c r="B197" s="27">
        <v>201029</v>
      </c>
      <c r="C197" s="27" t="s">
        <v>928</v>
      </c>
      <c r="D197" s="27"/>
      <c r="E197" s="27"/>
      <c r="F197" s="27"/>
      <c r="G197" s="27" t="s">
        <v>920</v>
      </c>
      <c r="H197" s="27" t="s">
        <v>916</v>
      </c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</row>
    <row r="198" spans="1:19" x14ac:dyDescent="0.25">
      <c r="A198" s="27" t="s">
        <v>527</v>
      </c>
      <c r="B198" s="27">
        <v>138667</v>
      </c>
      <c r="C198" s="27"/>
      <c r="D198" s="27"/>
      <c r="E198" s="27"/>
      <c r="F198" s="27"/>
      <c r="G198" s="27" t="s">
        <v>920</v>
      </c>
      <c r="H198" s="27" t="s">
        <v>916</v>
      </c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</row>
    <row r="199" spans="1:19" x14ac:dyDescent="0.25">
      <c r="A199" s="27" t="s">
        <v>527</v>
      </c>
      <c r="B199" s="27">
        <v>201306</v>
      </c>
      <c r="C199" s="27">
        <v>10590</v>
      </c>
      <c r="D199" s="27" t="s">
        <v>787</v>
      </c>
      <c r="E199" s="27"/>
      <c r="F199" s="27"/>
      <c r="G199" s="27">
        <v>10590</v>
      </c>
      <c r="H199" s="27" t="s">
        <v>921</v>
      </c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</row>
    <row r="200" spans="1:19" x14ac:dyDescent="0.25">
      <c r="A200" s="27" t="s">
        <v>527</v>
      </c>
      <c r="B200" s="27">
        <v>138675</v>
      </c>
      <c r="C200" s="27">
        <v>10490</v>
      </c>
      <c r="D200" s="27" t="s">
        <v>788</v>
      </c>
      <c r="E200" s="27"/>
      <c r="F200" s="27"/>
      <c r="G200" s="27">
        <v>10490</v>
      </c>
      <c r="H200" s="27" t="s">
        <v>921</v>
      </c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</row>
    <row r="201" spans="1:19" x14ac:dyDescent="0.25">
      <c r="A201" s="27" t="s">
        <v>527</v>
      </c>
      <c r="B201" s="27">
        <v>138672</v>
      </c>
      <c r="C201" s="27">
        <v>10990</v>
      </c>
      <c r="D201" s="27" t="s">
        <v>792</v>
      </c>
      <c r="E201" s="27"/>
      <c r="F201" s="27"/>
      <c r="G201" s="27">
        <v>10990</v>
      </c>
      <c r="H201" s="27" t="s">
        <v>921</v>
      </c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</row>
    <row r="202" spans="1:19" x14ac:dyDescent="0.25">
      <c r="A202" s="27" t="s">
        <v>527</v>
      </c>
      <c r="B202" s="27">
        <v>226982</v>
      </c>
      <c r="C202" s="27">
        <v>13690</v>
      </c>
      <c r="D202" s="27" t="s">
        <v>730</v>
      </c>
      <c r="E202" s="27"/>
      <c r="F202" s="27"/>
      <c r="G202" s="27">
        <v>14290</v>
      </c>
      <c r="H202" s="27" t="s">
        <v>921</v>
      </c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</row>
    <row r="203" spans="1:19" x14ac:dyDescent="0.25">
      <c r="A203" s="27" t="s">
        <v>527</v>
      </c>
      <c r="B203" s="27">
        <v>226981</v>
      </c>
      <c r="C203" s="27">
        <v>14290</v>
      </c>
      <c r="D203" s="27" t="s">
        <v>722</v>
      </c>
      <c r="E203" s="27"/>
      <c r="F203" s="27"/>
      <c r="G203" s="27">
        <v>13690</v>
      </c>
      <c r="H203" s="27" t="s">
        <v>921</v>
      </c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</row>
    <row r="204" spans="1:19" x14ac:dyDescent="0.25">
      <c r="A204" s="27" t="s">
        <v>527</v>
      </c>
      <c r="B204" s="27">
        <v>138666</v>
      </c>
      <c r="C204" s="27">
        <v>13490</v>
      </c>
      <c r="D204" s="27" t="s">
        <v>789</v>
      </c>
      <c r="E204" s="27"/>
      <c r="F204" s="27"/>
      <c r="G204" s="27">
        <v>13490</v>
      </c>
      <c r="H204" s="27" t="s">
        <v>921</v>
      </c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</row>
    <row r="205" spans="1:19" x14ac:dyDescent="0.25">
      <c r="A205" s="27" t="s">
        <v>527</v>
      </c>
      <c r="B205" s="27">
        <v>138632</v>
      </c>
      <c r="C205" s="27">
        <v>14390</v>
      </c>
      <c r="D205" s="27" t="s">
        <v>833</v>
      </c>
      <c r="E205" s="27"/>
      <c r="F205" s="27"/>
      <c r="G205" s="27">
        <v>14390</v>
      </c>
      <c r="H205" s="27" t="s">
        <v>921</v>
      </c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</row>
    <row r="206" spans="1:19" x14ac:dyDescent="0.25">
      <c r="A206" s="27" t="s">
        <v>527</v>
      </c>
      <c r="B206" s="27">
        <v>226972</v>
      </c>
      <c r="C206" s="27">
        <v>19990</v>
      </c>
      <c r="D206" s="27" t="s">
        <v>720</v>
      </c>
      <c r="E206" s="27"/>
      <c r="F206" s="27"/>
      <c r="G206" s="27">
        <v>19990</v>
      </c>
      <c r="H206" s="27" t="s">
        <v>921</v>
      </c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</row>
    <row r="207" spans="1:19" x14ac:dyDescent="0.25">
      <c r="A207" s="27" t="s">
        <v>527</v>
      </c>
      <c r="B207" s="27">
        <v>226973</v>
      </c>
      <c r="C207" s="27">
        <v>17390</v>
      </c>
      <c r="D207" s="27" t="s">
        <v>723</v>
      </c>
      <c r="E207" s="27"/>
      <c r="F207" s="27"/>
      <c r="G207" s="27">
        <v>17390</v>
      </c>
      <c r="H207" s="27" t="s">
        <v>921</v>
      </c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</row>
    <row r="208" spans="1:19" x14ac:dyDescent="0.25">
      <c r="A208" s="27" t="s">
        <v>527</v>
      </c>
      <c r="B208" s="27">
        <v>218488</v>
      </c>
      <c r="C208" s="27"/>
      <c r="D208" s="27"/>
      <c r="E208" s="27"/>
      <c r="F208" s="27"/>
      <c r="G208" s="27" t="s">
        <v>920</v>
      </c>
      <c r="H208" s="27" t="s">
        <v>916</v>
      </c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</row>
    <row r="209" spans="1:19" x14ac:dyDescent="0.25">
      <c r="A209" s="27" t="s">
        <v>527</v>
      </c>
      <c r="B209" s="27">
        <v>218491</v>
      </c>
      <c r="C209" s="27" t="s">
        <v>929</v>
      </c>
      <c r="D209" s="27"/>
      <c r="E209" s="27"/>
      <c r="F209" s="27"/>
      <c r="G209" s="27" t="s">
        <v>920</v>
      </c>
      <c r="H209" s="27" t="s">
        <v>916</v>
      </c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</row>
    <row r="210" spans="1:19" x14ac:dyDescent="0.25">
      <c r="A210" s="27" t="s">
        <v>527</v>
      </c>
      <c r="B210" s="27">
        <v>218495</v>
      </c>
      <c r="C210" s="27"/>
      <c r="D210" s="27"/>
      <c r="E210" s="27"/>
      <c r="F210" s="27"/>
      <c r="G210" s="27" t="s">
        <v>920</v>
      </c>
      <c r="H210" s="27" t="s">
        <v>916</v>
      </c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</row>
    <row r="211" spans="1:19" x14ac:dyDescent="0.25">
      <c r="A211" s="27" t="s">
        <v>527</v>
      </c>
      <c r="B211" s="27">
        <v>218492</v>
      </c>
      <c r="C211" s="27"/>
      <c r="D211" s="27"/>
      <c r="E211" s="27"/>
      <c r="F211" s="27"/>
      <c r="G211" s="27" t="s">
        <v>920</v>
      </c>
      <c r="H211" s="27" t="s">
        <v>916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</row>
    <row r="212" spans="1:19" x14ac:dyDescent="0.25">
      <c r="A212" s="27" t="s">
        <v>527</v>
      </c>
      <c r="B212" s="27">
        <v>218500</v>
      </c>
      <c r="C212" s="27"/>
      <c r="D212" s="27"/>
      <c r="E212" s="27"/>
      <c r="F212" s="27"/>
      <c r="G212" s="27" t="s">
        <v>920</v>
      </c>
      <c r="H212" s="27" t="s">
        <v>916</v>
      </c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</row>
    <row r="213" spans="1:19" x14ac:dyDescent="0.25">
      <c r="A213" s="27" t="s">
        <v>527</v>
      </c>
      <c r="B213" s="27">
        <v>218494</v>
      </c>
      <c r="C213" s="27"/>
      <c r="D213" s="27"/>
      <c r="E213" s="27"/>
      <c r="F213" s="27"/>
      <c r="G213" s="27" t="s">
        <v>920</v>
      </c>
      <c r="H213" s="27" t="s">
        <v>916</v>
      </c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</row>
    <row r="214" spans="1:19" x14ac:dyDescent="0.25">
      <c r="A214" s="27" t="s">
        <v>527</v>
      </c>
      <c r="B214" s="27">
        <v>218501</v>
      </c>
      <c r="C214" s="27"/>
      <c r="D214" s="27"/>
      <c r="E214" s="27"/>
      <c r="F214" s="27"/>
      <c r="G214" s="27" t="s">
        <v>920</v>
      </c>
      <c r="H214" s="27" t="s">
        <v>916</v>
      </c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</row>
    <row r="215" spans="1:19" x14ac:dyDescent="0.25">
      <c r="A215" s="27" t="s">
        <v>527</v>
      </c>
      <c r="B215" s="27">
        <v>218489</v>
      </c>
      <c r="C215" s="27"/>
      <c r="D215" s="27"/>
      <c r="E215" s="27"/>
      <c r="F215" s="27"/>
      <c r="G215" s="27" t="s">
        <v>920</v>
      </c>
      <c r="H215" s="27" t="s">
        <v>916</v>
      </c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</row>
    <row r="216" spans="1:19" x14ac:dyDescent="0.25">
      <c r="A216" s="27" t="s">
        <v>527</v>
      </c>
      <c r="B216" s="27">
        <v>218490</v>
      </c>
      <c r="C216" s="27"/>
      <c r="D216" s="27"/>
      <c r="E216" s="27"/>
      <c r="F216" s="27"/>
      <c r="G216" s="27" t="s">
        <v>920</v>
      </c>
      <c r="H216" s="27" t="s">
        <v>916</v>
      </c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</row>
    <row r="217" spans="1:19" x14ac:dyDescent="0.25">
      <c r="A217" s="27" t="s">
        <v>527</v>
      </c>
      <c r="B217" s="27">
        <v>218493</v>
      </c>
      <c r="C217" s="27"/>
      <c r="D217" s="27"/>
      <c r="E217" s="27"/>
      <c r="F217" s="27"/>
      <c r="G217" s="27" t="s">
        <v>920</v>
      </c>
      <c r="H217" s="27" t="s">
        <v>916</v>
      </c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</row>
    <row r="218" spans="1:19" x14ac:dyDescent="0.25">
      <c r="A218" s="27" t="s">
        <v>527</v>
      </c>
      <c r="B218" s="27">
        <v>218497</v>
      </c>
      <c r="C218" s="27"/>
      <c r="D218" s="27"/>
      <c r="E218" s="27"/>
      <c r="F218" s="27"/>
      <c r="G218" s="27" t="s">
        <v>920</v>
      </c>
      <c r="H218" s="27" t="s">
        <v>916</v>
      </c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</row>
    <row r="219" spans="1:19" x14ac:dyDescent="0.25">
      <c r="A219" s="27" t="s">
        <v>527</v>
      </c>
      <c r="B219" s="27">
        <v>138705</v>
      </c>
      <c r="C219" s="27"/>
      <c r="D219" s="27"/>
      <c r="E219" s="27"/>
      <c r="F219" s="27"/>
      <c r="G219" s="27" t="s">
        <v>920</v>
      </c>
      <c r="H219" s="27" t="s">
        <v>916</v>
      </c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</row>
    <row r="220" spans="1:19" x14ac:dyDescent="0.25">
      <c r="A220" s="27" t="s">
        <v>527</v>
      </c>
      <c r="B220" s="27">
        <v>138668</v>
      </c>
      <c r="C220" s="27"/>
      <c r="D220" s="27"/>
      <c r="E220" s="27"/>
      <c r="F220" s="27"/>
      <c r="G220" s="27" t="s">
        <v>920</v>
      </c>
      <c r="H220" s="27" t="s">
        <v>916</v>
      </c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</row>
    <row r="221" spans="1:19" x14ac:dyDescent="0.25">
      <c r="A221" s="27" t="s">
        <v>527</v>
      </c>
      <c r="B221" s="27">
        <v>138686</v>
      </c>
      <c r="C221" s="27"/>
      <c r="D221" s="27"/>
      <c r="E221" s="27"/>
      <c r="F221" s="27"/>
      <c r="G221" s="27" t="s">
        <v>920</v>
      </c>
      <c r="H221" s="27" t="s">
        <v>916</v>
      </c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</row>
    <row r="222" spans="1:19" x14ac:dyDescent="0.25">
      <c r="A222" s="27" t="s">
        <v>527</v>
      </c>
      <c r="B222" s="27">
        <v>138718</v>
      </c>
      <c r="C222" s="27"/>
      <c r="D222" s="27"/>
      <c r="E222" s="27"/>
      <c r="F222" s="27"/>
      <c r="G222" s="27" t="s">
        <v>920</v>
      </c>
      <c r="H222" s="27" t="s">
        <v>916</v>
      </c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</row>
    <row r="223" spans="1:19" x14ac:dyDescent="0.25">
      <c r="A223" s="27" t="s">
        <v>527</v>
      </c>
      <c r="B223" s="27">
        <v>138703</v>
      </c>
      <c r="C223" s="27"/>
      <c r="D223" s="27"/>
      <c r="E223" s="27"/>
      <c r="F223" s="27"/>
      <c r="G223" s="27" t="s">
        <v>920</v>
      </c>
      <c r="H223" s="27" t="s">
        <v>916</v>
      </c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</row>
    <row r="224" spans="1:19" x14ac:dyDescent="0.25">
      <c r="A224" s="27" t="s">
        <v>527</v>
      </c>
      <c r="B224" s="27">
        <v>138697</v>
      </c>
      <c r="C224" s="27"/>
      <c r="D224" s="27"/>
      <c r="E224" s="27"/>
      <c r="F224" s="27"/>
      <c r="G224" s="27" t="s">
        <v>920</v>
      </c>
      <c r="H224" s="27" t="s">
        <v>916</v>
      </c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</row>
    <row r="225" spans="1:19" x14ac:dyDescent="0.25">
      <c r="A225" s="27" t="s">
        <v>527</v>
      </c>
      <c r="B225" s="27">
        <v>138701</v>
      </c>
      <c r="C225" s="27"/>
      <c r="D225" s="27"/>
      <c r="E225" s="27"/>
      <c r="F225" s="27"/>
      <c r="G225" s="27" t="s">
        <v>920</v>
      </c>
      <c r="H225" s="27" t="s">
        <v>916</v>
      </c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</row>
    <row r="226" spans="1:19" x14ac:dyDescent="0.25">
      <c r="A226" s="27" t="s">
        <v>527</v>
      </c>
      <c r="B226" s="27">
        <v>138698</v>
      </c>
      <c r="C226" s="27"/>
      <c r="D226" s="27"/>
      <c r="E226" s="27"/>
      <c r="F226" s="27"/>
      <c r="G226" s="27" t="s">
        <v>920</v>
      </c>
      <c r="H226" s="27" t="s">
        <v>916</v>
      </c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</row>
    <row r="227" spans="1:19" x14ac:dyDescent="0.25">
      <c r="A227" s="27" t="s">
        <v>527</v>
      </c>
      <c r="B227" s="27">
        <v>138699</v>
      </c>
      <c r="C227" s="27"/>
      <c r="D227" s="27"/>
      <c r="E227" s="27"/>
      <c r="F227" s="27"/>
      <c r="G227" s="27" t="s">
        <v>920</v>
      </c>
      <c r="H227" s="27" t="s">
        <v>916</v>
      </c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</row>
    <row r="228" spans="1:19" x14ac:dyDescent="0.25">
      <c r="A228" s="27" t="s">
        <v>527</v>
      </c>
      <c r="B228" s="27">
        <v>138655</v>
      </c>
      <c r="C228" s="27"/>
      <c r="D228" s="27"/>
      <c r="E228" s="27"/>
      <c r="F228" s="27"/>
      <c r="G228" s="27" t="s">
        <v>920</v>
      </c>
      <c r="H228" s="27" t="s">
        <v>916</v>
      </c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</row>
    <row r="229" spans="1:19" x14ac:dyDescent="0.25">
      <c r="A229" s="27" t="s">
        <v>527</v>
      </c>
      <c r="B229" s="27">
        <v>138656</v>
      </c>
      <c r="C229" s="27"/>
      <c r="D229" s="27"/>
      <c r="E229" s="27"/>
      <c r="F229" s="27"/>
      <c r="G229" s="27" t="s">
        <v>920</v>
      </c>
      <c r="H229" s="27" t="s">
        <v>916</v>
      </c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</row>
    <row r="230" spans="1:19" x14ac:dyDescent="0.25">
      <c r="A230" s="27" t="s">
        <v>527</v>
      </c>
      <c r="B230" s="27">
        <v>138676</v>
      </c>
      <c r="C230" s="27"/>
      <c r="D230" s="27"/>
      <c r="E230" s="27"/>
      <c r="F230" s="27"/>
      <c r="G230" s="27" t="s">
        <v>920</v>
      </c>
      <c r="H230" s="27" t="s">
        <v>916</v>
      </c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</row>
    <row r="231" spans="1:19" x14ac:dyDescent="0.25">
      <c r="A231" s="27" t="s">
        <v>527</v>
      </c>
      <c r="B231" s="27">
        <v>138677</v>
      </c>
      <c r="C231" s="27"/>
      <c r="D231" s="27"/>
      <c r="E231" s="27"/>
      <c r="F231" s="27"/>
      <c r="G231" s="27" t="s">
        <v>920</v>
      </c>
      <c r="H231" s="27" t="s">
        <v>916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</row>
    <row r="232" spans="1:19" x14ac:dyDescent="0.25">
      <c r="A232" s="27" t="s">
        <v>527</v>
      </c>
      <c r="B232" s="27">
        <v>138663</v>
      </c>
      <c r="C232" s="27"/>
      <c r="D232" s="27"/>
      <c r="E232" s="27"/>
      <c r="F232" s="27"/>
      <c r="G232" s="27" t="s">
        <v>920</v>
      </c>
      <c r="H232" s="27" t="s">
        <v>916</v>
      </c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</row>
    <row r="233" spans="1:19" x14ac:dyDescent="0.25">
      <c r="A233" s="27" t="s">
        <v>527</v>
      </c>
      <c r="B233" s="27">
        <v>193601</v>
      </c>
      <c r="C233" s="27"/>
      <c r="D233" s="27"/>
      <c r="E233" s="27"/>
      <c r="F233" s="27"/>
      <c r="G233" s="27" t="s">
        <v>920</v>
      </c>
      <c r="H233" s="27" t="s">
        <v>916</v>
      </c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</row>
    <row r="234" spans="1:19" x14ac:dyDescent="0.25">
      <c r="A234" s="27" t="s">
        <v>527</v>
      </c>
      <c r="B234" s="27">
        <v>138693</v>
      </c>
      <c r="C234" s="27"/>
      <c r="D234" s="27"/>
      <c r="E234" s="27"/>
      <c r="F234" s="27"/>
      <c r="G234" s="27" t="s">
        <v>920</v>
      </c>
      <c r="H234" s="27" t="s">
        <v>916</v>
      </c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</row>
    <row r="235" spans="1:19" x14ac:dyDescent="0.25">
      <c r="A235" s="27" t="s">
        <v>527</v>
      </c>
      <c r="B235" s="27">
        <v>138661</v>
      </c>
      <c r="C235" s="27"/>
      <c r="D235" s="27"/>
      <c r="E235" s="27"/>
      <c r="F235" s="27"/>
      <c r="G235" s="27" t="s">
        <v>920</v>
      </c>
      <c r="H235" s="27" t="s">
        <v>916</v>
      </c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</row>
    <row r="236" spans="1:19" x14ac:dyDescent="0.25">
      <c r="A236" s="27" t="s">
        <v>527</v>
      </c>
      <c r="B236" s="27">
        <v>138685</v>
      </c>
      <c r="C236" s="27"/>
      <c r="D236" s="27"/>
      <c r="E236" s="27"/>
      <c r="F236" s="27"/>
      <c r="G236" s="27" t="s">
        <v>920</v>
      </c>
      <c r="H236" s="27" t="s">
        <v>916</v>
      </c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</row>
    <row r="237" spans="1:19" x14ac:dyDescent="0.25">
      <c r="A237" s="27" t="s">
        <v>527</v>
      </c>
      <c r="B237" s="27">
        <v>138687</v>
      </c>
      <c r="C237" s="27"/>
      <c r="D237" s="27"/>
      <c r="E237" s="27"/>
      <c r="F237" s="27"/>
      <c r="G237" s="27" t="s">
        <v>920</v>
      </c>
      <c r="H237" s="27" t="s">
        <v>916</v>
      </c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</row>
    <row r="238" spans="1:19" x14ac:dyDescent="0.25">
      <c r="A238" s="27" t="s">
        <v>527</v>
      </c>
      <c r="B238" s="27">
        <v>138704</v>
      </c>
      <c r="C238" s="27"/>
      <c r="D238" s="27"/>
      <c r="E238" s="27"/>
      <c r="F238" s="27"/>
      <c r="G238" s="27" t="s">
        <v>920</v>
      </c>
      <c r="H238" s="27" t="s">
        <v>916</v>
      </c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</row>
    <row r="239" spans="1:19" x14ac:dyDescent="0.25">
      <c r="A239" s="27" t="s">
        <v>527</v>
      </c>
      <c r="B239" s="27">
        <v>138706</v>
      </c>
      <c r="C239" s="27"/>
      <c r="D239" s="27"/>
      <c r="E239" s="27"/>
      <c r="F239" s="27"/>
      <c r="G239" s="27" t="s">
        <v>920</v>
      </c>
      <c r="H239" s="27" t="s">
        <v>916</v>
      </c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</row>
    <row r="240" spans="1:19" x14ac:dyDescent="0.25">
      <c r="A240" s="27" t="s">
        <v>527</v>
      </c>
      <c r="B240" s="27">
        <v>138707</v>
      </c>
      <c r="C240" s="27"/>
      <c r="D240" s="27"/>
      <c r="E240" s="27"/>
      <c r="F240" s="27"/>
      <c r="G240" s="27" t="s">
        <v>920</v>
      </c>
      <c r="H240" s="27" t="s">
        <v>916</v>
      </c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</row>
    <row r="241" spans="1:19" x14ac:dyDescent="0.25">
      <c r="A241" s="27" t="s">
        <v>527</v>
      </c>
      <c r="B241" s="27">
        <v>181914</v>
      </c>
      <c r="C241" s="27"/>
      <c r="D241" s="27"/>
      <c r="E241" s="27"/>
      <c r="F241" s="27"/>
      <c r="G241" s="27" t="s">
        <v>920</v>
      </c>
      <c r="H241" s="27" t="s">
        <v>916</v>
      </c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</row>
    <row r="242" spans="1:19" x14ac:dyDescent="0.25">
      <c r="A242" s="27" t="s">
        <v>527</v>
      </c>
      <c r="B242" s="27">
        <v>181915</v>
      </c>
      <c r="C242" s="27"/>
      <c r="D242" s="27"/>
      <c r="E242" s="27"/>
      <c r="F242" s="27"/>
      <c r="G242" s="27" t="s">
        <v>920</v>
      </c>
      <c r="H242" s="27" t="s">
        <v>916</v>
      </c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</row>
    <row r="243" spans="1:19" x14ac:dyDescent="0.25">
      <c r="A243" s="27" t="s">
        <v>527</v>
      </c>
      <c r="B243" s="27">
        <v>181916</v>
      </c>
      <c r="C243" s="27"/>
      <c r="D243" s="27"/>
      <c r="E243" s="27"/>
      <c r="F243" s="27"/>
      <c r="G243" s="27" t="s">
        <v>920</v>
      </c>
      <c r="H243" s="27" t="s">
        <v>916</v>
      </c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</row>
    <row r="244" spans="1:19" x14ac:dyDescent="0.25">
      <c r="A244" s="27" t="s">
        <v>527</v>
      </c>
      <c r="B244" s="27">
        <v>181917</v>
      </c>
      <c r="C244" s="27"/>
      <c r="D244" s="27"/>
      <c r="E244" s="27"/>
      <c r="F244" s="27"/>
      <c r="G244" s="27" t="s">
        <v>920</v>
      </c>
      <c r="H244" s="27" t="s">
        <v>916</v>
      </c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</row>
    <row r="245" spans="1:19" x14ac:dyDescent="0.25">
      <c r="A245" s="27" t="s">
        <v>527</v>
      </c>
      <c r="B245" s="27">
        <v>226977</v>
      </c>
      <c r="C245" s="27"/>
      <c r="D245" s="27"/>
      <c r="E245" s="27"/>
      <c r="F245" s="27"/>
      <c r="G245" s="27" t="s">
        <v>920</v>
      </c>
      <c r="H245" s="27" t="s">
        <v>916</v>
      </c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</row>
    <row r="246" spans="1:19" x14ac:dyDescent="0.25">
      <c r="A246" s="27" t="s">
        <v>527</v>
      </c>
      <c r="B246" s="27">
        <v>226976</v>
      </c>
      <c r="C246" s="27"/>
      <c r="D246" s="27"/>
      <c r="E246" s="27"/>
      <c r="F246" s="27"/>
      <c r="G246" s="27" t="s">
        <v>920</v>
      </c>
      <c r="H246" s="27" t="s">
        <v>916</v>
      </c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</row>
    <row r="247" spans="1:19" x14ac:dyDescent="0.25">
      <c r="A247" s="27" t="s">
        <v>527</v>
      </c>
      <c r="B247" s="27">
        <v>226980</v>
      </c>
      <c r="C247" s="27"/>
      <c r="D247" s="27"/>
      <c r="E247" s="27"/>
      <c r="F247" s="27"/>
      <c r="G247" s="27" t="s">
        <v>920</v>
      </c>
      <c r="H247" s="27" t="s">
        <v>916</v>
      </c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</row>
    <row r="248" spans="1:19" x14ac:dyDescent="0.25">
      <c r="A248" s="27" t="s">
        <v>527</v>
      </c>
      <c r="B248" s="27">
        <v>226975</v>
      </c>
      <c r="C248" s="27"/>
      <c r="D248" s="27"/>
      <c r="E248" s="27"/>
      <c r="F248" s="27"/>
      <c r="G248" s="27" t="s">
        <v>920</v>
      </c>
      <c r="H248" s="27" t="s">
        <v>916</v>
      </c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</row>
    <row r="249" spans="1:19" x14ac:dyDescent="0.25">
      <c r="A249" s="27" t="s">
        <v>527</v>
      </c>
      <c r="B249" s="27">
        <v>226978</v>
      </c>
      <c r="C249" s="27"/>
      <c r="D249" s="27"/>
      <c r="E249" s="27"/>
      <c r="F249" s="27"/>
      <c r="G249" s="27" t="s">
        <v>920</v>
      </c>
      <c r="H249" s="27" t="s">
        <v>916</v>
      </c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</row>
    <row r="250" spans="1:19" x14ac:dyDescent="0.25">
      <c r="A250" s="27" t="s">
        <v>527</v>
      </c>
      <c r="B250" s="27">
        <v>226979</v>
      </c>
      <c r="C250" s="27"/>
      <c r="D250" s="27"/>
      <c r="E250" s="27"/>
      <c r="F250" s="27"/>
      <c r="G250" s="27" t="s">
        <v>920</v>
      </c>
      <c r="H250" s="27" t="s">
        <v>916</v>
      </c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</row>
    <row r="251" spans="1:19" x14ac:dyDescent="0.25">
      <c r="A251" s="27" t="s">
        <v>527</v>
      </c>
      <c r="B251" s="27">
        <v>227000</v>
      </c>
      <c r="C251" s="27"/>
      <c r="D251" s="27"/>
      <c r="E251" s="27"/>
      <c r="F251" s="27"/>
      <c r="G251" s="27" t="s">
        <v>920</v>
      </c>
      <c r="H251" s="27" t="s">
        <v>916</v>
      </c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</row>
    <row r="252" spans="1:19" x14ac:dyDescent="0.25">
      <c r="A252" s="27" t="s">
        <v>527</v>
      </c>
      <c r="B252" s="27">
        <v>227001</v>
      </c>
      <c r="C252" s="27"/>
      <c r="D252" s="27"/>
      <c r="E252" s="27"/>
      <c r="F252" s="27"/>
      <c r="G252" s="27" t="s">
        <v>920</v>
      </c>
      <c r="H252" s="27" t="s">
        <v>916</v>
      </c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</row>
    <row r="253" spans="1:19" x14ac:dyDescent="0.25">
      <c r="A253" s="27" t="s">
        <v>527</v>
      </c>
      <c r="B253" s="27">
        <v>186319</v>
      </c>
      <c r="C253" s="27"/>
      <c r="D253" s="27"/>
      <c r="E253" s="27"/>
      <c r="F253" s="27"/>
      <c r="G253" s="27" t="s">
        <v>920</v>
      </c>
      <c r="H253" s="27" t="s">
        <v>916</v>
      </c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</row>
    <row r="254" spans="1:19" x14ac:dyDescent="0.25">
      <c r="A254" s="27" t="s">
        <v>527</v>
      </c>
      <c r="B254" s="27">
        <v>186318</v>
      </c>
      <c r="C254" s="27"/>
      <c r="D254" s="27"/>
      <c r="E254" s="27"/>
      <c r="F254" s="27"/>
      <c r="G254" s="27" t="s">
        <v>920</v>
      </c>
      <c r="H254" s="27" t="s">
        <v>916</v>
      </c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</row>
    <row r="255" spans="1:19" x14ac:dyDescent="0.25">
      <c r="A255" s="27" t="s">
        <v>527</v>
      </c>
      <c r="B255" s="27">
        <v>186322</v>
      </c>
      <c r="C255" s="27"/>
      <c r="D255" s="27"/>
      <c r="E255" s="27"/>
      <c r="F255" s="27"/>
      <c r="G255" s="27" t="s">
        <v>920</v>
      </c>
      <c r="H255" s="27" t="s">
        <v>916</v>
      </c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</row>
    <row r="256" spans="1:19" x14ac:dyDescent="0.25">
      <c r="A256" s="27" t="s">
        <v>527</v>
      </c>
      <c r="B256" s="27">
        <v>219103</v>
      </c>
      <c r="C256" s="27"/>
      <c r="D256" s="27"/>
      <c r="E256" s="27"/>
      <c r="F256" s="27"/>
      <c r="G256" s="27" t="s">
        <v>920</v>
      </c>
      <c r="H256" s="27" t="s">
        <v>916</v>
      </c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</row>
    <row r="257" spans="1:19" x14ac:dyDescent="0.25">
      <c r="A257" s="27" t="s">
        <v>527</v>
      </c>
      <c r="B257" s="27">
        <v>219102</v>
      </c>
      <c r="C257" s="27"/>
      <c r="D257" s="27"/>
      <c r="E257" s="27"/>
      <c r="F257" s="27"/>
      <c r="G257" s="27" t="s">
        <v>920</v>
      </c>
      <c r="H257" s="27" t="s">
        <v>916</v>
      </c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</row>
    <row r="258" spans="1:19" x14ac:dyDescent="0.25">
      <c r="A258" s="27" t="s">
        <v>527</v>
      </c>
      <c r="B258" s="27">
        <v>219101</v>
      </c>
      <c r="C258" s="27"/>
      <c r="D258" s="27"/>
      <c r="E258" s="27"/>
      <c r="F258" s="27"/>
      <c r="G258" s="27" t="s">
        <v>920</v>
      </c>
      <c r="H258" s="27" t="s">
        <v>916</v>
      </c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</row>
    <row r="259" spans="1:19" x14ac:dyDescent="0.25">
      <c r="A259" s="27" t="s">
        <v>527</v>
      </c>
      <c r="B259" s="27">
        <v>201821</v>
      </c>
      <c r="C259" s="27"/>
      <c r="D259" s="27"/>
      <c r="E259" s="27"/>
      <c r="F259" s="27"/>
      <c r="G259" s="27" t="s">
        <v>920</v>
      </c>
      <c r="H259" s="27" t="s">
        <v>916</v>
      </c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</row>
    <row r="260" spans="1:19" x14ac:dyDescent="0.25">
      <c r="A260" s="27" t="s">
        <v>527</v>
      </c>
      <c r="B260" s="27">
        <v>153074</v>
      </c>
      <c r="C260" s="27"/>
      <c r="D260" s="27"/>
      <c r="E260" s="27"/>
      <c r="F260" s="27"/>
      <c r="G260" s="27" t="s">
        <v>920</v>
      </c>
      <c r="H260" s="27" t="s">
        <v>916</v>
      </c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</row>
    <row r="261" spans="1:19" x14ac:dyDescent="0.25">
      <c r="A261" s="27" t="s">
        <v>527</v>
      </c>
      <c r="B261" s="27">
        <v>131565</v>
      </c>
      <c r="C261" s="27"/>
      <c r="D261" s="27"/>
      <c r="E261" s="27"/>
      <c r="F261" s="27"/>
      <c r="G261" s="27" t="s">
        <v>920</v>
      </c>
      <c r="H261" s="27" t="s">
        <v>916</v>
      </c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</row>
    <row r="262" spans="1:19" x14ac:dyDescent="0.25">
      <c r="A262" s="27" t="s">
        <v>527</v>
      </c>
      <c r="B262" s="27">
        <v>131586</v>
      </c>
      <c r="C262" s="27"/>
      <c r="D262" s="27"/>
      <c r="E262" s="27"/>
      <c r="F262" s="27"/>
      <c r="G262" s="27" t="s">
        <v>920</v>
      </c>
      <c r="H262" s="27" t="s">
        <v>916</v>
      </c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</row>
    <row r="263" spans="1:19" x14ac:dyDescent="0.25">
      <c r="A263" s="27" t="s">
        <v>527</v>
      </c>
      <c r="B263" s="27">
        <v>131568</v>
      </c>
      <c r="C263" s="27"/>
      <c r="D263" s="27"/>
      <c r="E263" s="27"/>
      <c r="F263" s="27"/>
      <c r="G263" s="27" t="s">
        <v>920</v>
      </c>
      <c r="H263" s="27" t="s">
        <v>916</v>
      </c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</row>
    <row r="264" spans="1:19" x14ac:dyDescent="0.25">
      <c r="A264" s="27" t="s">
        <v>527</v>
      </c>
      <c r="B264" s="27">
        <v>201300</v>
      </c>
      <c r="C264" s="27"/>
      <c r="D264" s="27"/>
      <c r="E264" s="27"/>
      <c r="F264" s="27"/>
      <c r="G264" s="27" t="s">
        <v>920</v>
      </c>
      <c r="H264" s="27" t="s">
        <v>916</v>
      </c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</row>
    <row r="265" spans="1:19" x14ac:dyDescent="0.25">
      <c r="A265" s="27" t="s">
        <v>527</v>
      </c>
      <c r="B265" s="27">
        <v>131500</v>
      </c>
      <c r="C265" s="27"/>
      <c r="D265" s="27"/>
      <c r="E265" s="27"/>
      <c r="F265" s="27"/>
      <c r="G265" s="27" t="s">
        <v>920</v>
      </c>
      <c r="H265" s="27" t="s">
        <v>916</v>
      </c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</row>
    <row r="266" spans="1:19" x14ac:dyDescent="0.25">
      <c r="A266" s="27" t="s">
        <v>527</v>
      </c>
      <c r="B266" s="27">
        <v>131457</v>
      </c>
      <c r="C266" s="27"/>
      <c r="D266" s="27"/>
      <c r="E266" s="27"/>
      <c r="F266" s="27"/>
      <c r="G266" s="27" t="s">
        <v>920</v>
      </c>
      <c r="H266" s="27" t="s">
        <v>916</v>
      </c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</row>
    <row r="267" spans="1:19" x14ac:dyDescent="0.25">
      <c r="A267" s="27" t="s">
        <v>527</v>
      </c>
      <c r="B267" s="27">
        <v>214013</v>
      </c>
      <c r="C267" s="27"/>
      <c r="D267" s="27"/>
      <c r="E267" s="27"/>
      <c r="F267" s="27"/>
      <c r="G267" s="27" t="s">
        <v>920</v>
      </c>
      <c r="H267" s="27" t="s">
        <v>916</v>
      </c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</row>
    <row r="268" spans="1:19" x14ac:dyDescent="0.25">
      <c r="A268" s="27" t="s">
        <v>527</v>
      </c>
      <c r="B268" s="27">
        <v>160133</v>
      </c>
      <c r="C268" s="27"/>
      <c r="D268" s="27"/>
      <c r="E268" s="27"/>
      <c r="F268" s="27"/>
      <c r="G268" s="27" t="s">
        <v>920</v>
      </c>
      <c r="H268" s="27" t="s">
        <v>916</v>
      </c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</row>
    <row r="269" spans="1:19" x14ac:dyDescent="0.25">
      <c r="A269" s="27" t="s">
        <v>527</v>
      </c>
      <c r="B269" s="27">
        <v>117315</v>
      </c>
      <c r="C269" s="27"/>
      <c r="D269" s="27"/>
      <c r="E269" s="27"/>
      <c r="F269" s="27"/>
      <c r="G269" s="27" t="s">
        <v>920</v>
      </c>
      <c r="H269" s="27" t="s">
        <v>916</v>
      </c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</row>
    <row r="270" spans="1:19" x14ac:dyDescent="0.25">
      <c r="A270" s="27" t="s">
        <v>527</v>
      </c>
      <c r="B270" s="27">
        <v>193599</v>
      </c>
      <c r="C270" s="27"/>
      <c r="D270" s="27"/>
      <c r="E270" s="27"/>
      <c r="F270" s="27"/>
      <c r="G270" s="27" t="s">
        <v>920</v>
      </c>
      <c r="H270" s="27" t="s">
        <v>916</v>
      </c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</row>
    <row r="271" spans="1:19" x14ac:dyDescent="0.25">
      <c r="A271" s="27" t="s">
        <v>527</v>
      </c>
      <c r="B271" s="27">
        <v>131526</v>
      </c>
      <c r="C271" s="27"/>
      <c r="D271" s="27"/>
      <c r="E271" s="27"/>
      <c r="F271" s="27"/>
      <c r="G271" s="27" t="s">
        <v>920</v>
      </c>
      <c r="H271" s="27" t="s">
        <v>916</v>
      </c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</row>
    <row r="272" spans="1:19" x14ac:dyDescent="0.25">
      <c r="A272" s="27" t="s">
        <v>527</v>
      </c>
      <c r="B272" s="27">
        <v>117310</v>
      </c>
      <c r="C272" s="27"/>
      <c r="D272" s="27"/>
      <c r="E272" s="27"/>
      <c r="F272" s="27"/>
      <c r="G272" s="27" t="s">
        <v>920</v>
      </c>
      <c r="H272" s="27" t="s">
        <v>916</v>
      </c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</row>
    <row r="273" spans="1:19" x14ac:dyDescent="0.25">
      <c r="A273" s="27" t="s">
        <v>527</v>
      </c>
      <c r="B273" s="27">
        <v>181334</v>
      </c>
      <c r="C273" s="27"/>
      <c r="D273" s="27"/>
      <c r="E273" s="27"/>
      <c r="F273" s="27"/>
      <c r="G273" s="27" t="s">
        <v>920</v>
      </c>
      <c r="H273" s="27" t="s">
        <v>916</v>
      </c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</row>
    <row r="274" spans="1:19" x14ac:dyDescent="0.25">
      <c r="A274" s="27" t="s">
        <v>527</v>
      </c>
      <c r="B274" s="27">
        <v>203953</v>
      </c>
      <c r="C274" s="27"/>
      <c r="D274" s="27"/>
      <c r="E274" s="27"/>
      <c r="F274" s="27"/>
      <c r="G274" s="27" t="s">
        <v>920</v>
      </c>
      <c r="H274" s="27" t="s">
        <v>916</v>
      </c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</row>
    <row r="275" spans="1:19" x14ac:dyDescent="0.25">
      <c r="A275" s="27" t="s">
        <v>527</v>
      </c>
      <c r="B275" s="27">
        <v>203957</v>
      </c>
      <c r="C275" s="27" t="s">
        <v>929</v>
      </c>
      <c r="D275" s="27"/>
      <c r="E275" s="27"/>
      <c r="F275" s="27"/>
      <c r="G275" s="27" t="s">
        <v>920</v>
      </c>
      <c r="H275" s="27" t="s">
        <v>916</v>
      </c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</row>
    <row r="276" spans="1:19" x14ac:dyDescent="0.25">
      <c r="A276" s="27" t="s">
        <v>527</v>
      </c>
      <c r="B276" s="27">
        <v>219130</v>
      </c>
      <c r="C276" s="27"/>
      <c r="D276" s="27"/>
      <c r="E276" s="27"/>
      <c r="F276" s="27"/>
      <c r="G276" s="27" t="s">
        <v>920</v>
      </c>
      <c r="H276" s="27" t="s">
        <v>916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</row>
    <row r="277" spans="1:19" x14ac:dyDescent="0.25">
      <c r="A277" s="27" t="s">
        <v>527</v>
      </c>
      <c r="B277" s="27">
        <v>117111</v>
      </c>
      <c r="C277" s="27"/>
      <c r="D277" s="27"/>
      <c r="E277" s="27"/>
      <c r="F277" s="27"/>
      <c r="G277" s="27" t="s">
        <v>920</v>
      </c>
      <c r="H277" s="27" t="s">
        <v>916</v>
      </c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</row>
    <row r="278" spans="1:19" x14ac:dyDescent="0.25">
      <c r="A278" s="27" t="s">
        <v>527</v>
      </c>
      <c r="B278" s="27">
        <v>151259</v>
      </c>
      <c r="C278" s="27"/>
      <c r="D278" s="27"/>
      <c r="E278" s="27"/>
      <c r="F278" s="27"/>
      <c r="G278" s="27" t="s">
        <v>920</v>
      </c>
      <c r="H278" s="27" t="s">
        <v>916</v>
      </c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</row>
    <row r="279" spans="1:19" x14ac:dyDescent="0.25">
      <c r="A279" s="27" t="s">
        <v>527</v>
      </c>
      <c r="B279" s="27">
        <v>131455</v>
      </c>
      <c r="C279" s="27" t="s">
        <v>929</v>
      </c>
      <c r="D279" s="27"/>
      <c r="E279" s="27"/>
      <c r="F279" s="27"/>
      <c r="G279" s="27" t="s">
        <v>920</v>
      </c>
      <c r="H279" s="27" t="s">
        <v>916</v>
      </c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</row>
    <row r="280" spans="1:19" x14ac:dyDescent="0.25">
      <c r="A280" s="27" t="s">
        <v>527</v>
      </c>
      <c r="B280" s="27">
        <v>136694</v>
      </c>
      <c r="C280" s="27">
        <v>729</v>
      </c>
      <c r="D280" s="27" t="s">
        <v>793</v>
      </c>
      <c r="E280" s="27"/>
      <c r="F280" s="27"/>
      <c r="G280" s="27">
        <v>590</v>
      </c>
      <c r="H280" s="27" t="s">
        <v>921</v>
      </c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</row>
    <row r="281" spans="1:19" x14ac:dyDescent="0.25">
      <c r="A281" s="27" t="s">
        <v>527</v>
      </c>
      <c r="B281" s="27">
        <v>224563</v>
      </c>
      <c r="C281" s="27">
        <v>2290</v>
      </c>
      <c r="D281" s="27" t="s">
        <v>831</v>
      </c>
      <c r="E281" s="27"/>
      <c r="F281" s="27"/>
      <c r="G281" s="27">
        <v>2290</v>
      </c>
      <c r="H281" s="27" t="s">
        <v>921</v>
      </c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</row>
    <row r="282" spans="1:19" x14ac:dyDescent="0.25">
      <c r="A282" s="27" t="s">
        <v>527</v>
      </c>
      <c r="B282" s="27">
        <v>203951</v>
      </c>
      <c r="C282" s="27">
        <v>629</v>
      </c>
      <c r="D282" s="27" t="s">
        <v>935</v>
      </c>
      <c r="E282" s="27"/>
      <c r="F282" s="27"/>
      <c r="G282" s="27">
        <v>629</v>
      </c>
      <c r="H282" s="27" t="s">
        <v>921</v>
      </c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</row>
    <row r="283" spans="1:19" x14ac:dyDescent="0.25">
      <c r="A283" s="27" t="s">
        <v>527</v>
      </c>
      <c r="B283" s="27">
        <v>131693</v>
      </c>
      <c r="C283" s="27">
        <v>390</v>
      </c>
      <c r="D283" s="27" t="s">
        <v>934</v>
      </c>
      <c r="E283" s="27"/>
      <c r="F283" s="27"/>
      <c r="G283" s="27">
        <v>390</v>
      </c>
      <c r="H283" s="27" t="s">
        <v>921</v>
      </c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</row>
    <row r="284" spans="1:19" x14ac:dyDescent="0.25">
      <c r="A284" s="27" t="s">
        <v>527</v>
      </c>
      <c r="B284" s="27">
        <v>141292</v>
      </c>
      <c r="C284" s="27">
        <v>729</v>
      </c>
      <c r="D284" s="27" t="s">
        <v>832</v>
      </c>
      <c r="E284" s="27"/>
      <c r="F284" s="27"/>
      <c r="G284" s="27">
        <v>729</v>
      </c>
      <c r="H284" s="27" t="s">
        <v>921</v>
      </c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</row>
    <row r="285" spans="1:19" x14ac:dyDescent="0.25">
      <c r="A285" s="27" t="s">
        <v>527</v>
      </c>
      <c r="B285" s="27">
        <v>224564</v>
      </c>
      <c r="C285" s="27">
        <v>2790</v>
      </c>
      <c r="D285" s="27" t="s">
        <v>933</v>
      </c>
      <c r="E285" s="27"/>
      <c r="F285" s="27"/>
      <c r="G285" s="27">
        <v>2790</v>
      </c>
      <c r="H285" s="27" t="s">
        <v>921</v>
      </c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</row>
    <row r="286" spans="1:19" x14ac:dyDescent="0.25">
      <c r="A286" s="27" t="s">
        <v>527</v>
      </c>
      <c r="B286" s="27">
        <v>251961</v>
      </c>
      <c r="C286" s="27">
        <v>790</v>
      </c>
      <c r="D286" s="27" t="s">
        <v>820</v>
      </c>
      <c r="E286" s="27"/>
      <c r="F286" s="27"/>
      <c r="G286" s="27">
        <v>790</v>
      </c>
      <c r="H286" s="27" t="s">
        <v>921</v>
      </c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</row>
    <row r="287" spans="1:19" x14ac:dyDescent="0.25">
      <c r="A287" s="27" t="s">
        <v>527</v>
      </c>
      <c r="B287" s="27">
        <v>319528</v>
      </c>
      <c r="C287" s="27">
        <v>8790</v>
      </c>
      <c r="D287" s="27" t="s">
        <v>683</v>
      </c>
      <c r="E287" s="27"/>
      <c r="F287" s="27"/>
      <c r="G287" s="27">
        <v>8790</v>
      </c>
      <c r="H287" s="27" t="s">
        <v>921</v>
      </c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</row>
    <row r="288" spans="1:19" x14ac:dyDescent="0.25">
      <c r="A288" s="27" t="s">
        <v>527</v>
      </c>
      <c r="B288" s="27">
        <v>323314</v>
      </c>
      <c r="C288" s="27">
        <v>2290</v>
      </c>
      <c r="D288" s="27" t="s">
        <v>794</v>
      </c>
      <c r="E288" s="27"/>
      <c r="F288" s="27"/>
      <c r="G288" s="27">
        <v>2290</v>
      </c>
      <c r="H288" s="27" t="s">
        <v>921</v>
      </c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</row>
    <row r="289" spans="1:19" x14ac:dyDescent="0.25">
      <c r="A289" s="27" t="s">
        <v>527</v>
      </c>
      <c r="B289" s="27">
        <v>257936</v>
      </c>
      <c r="C289" s="27">
        <v>2190</v>
      </c>
      <c r="D289" s="27" t="s">
        <v>651</v>
      </c>
      <c r="E289" s="27"/>
      <c r="F289" s="27"/>
      <c r="G289" s="27">
        <v>2190</v>
      </c>
      <c r="H289" s="27" t="s">
        <v>921</v>
      </c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</row>
    <row r="290" spans="1:19" x14ac:dyDescent="0.25">
      <c r="A290" s="27" t="s">
        <v>527</v>
      </c>
      <c r="B290" s="27">
        <v>258809</v>
      </c>
      <c r="C290" s="27">
        <v>4190</v>
      </c>
      <c r="D290" s="27" t="s">
        <v>665</v>
      </c>
      <c r="E290" s="27"/>
      <c r="F290" s="27"/>
      <c r="G290" s="27">
        <v>4190</v>
      </c>
      <c r="H290" s="27" t="s">
        <v>921</v>
      </c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</row>
    <row r="291" spans="1:19" x14ac:dyDescent="0.25">
      <c r="A291" s="27" t="s">
        <v>527</v>
      </c>
      <c r="B291" s="27">
        <v>258920</v>
      </c>
      <c r="C291" s="27">
        <v>4890</v>
      </c>
      <c r="D291" s="27" t="s">
        <v>932</v>
      </c>
      <c r="E291" s="27"/>
      <c r="F291" s="27"/>
      <c r="G291" s="27">
        <v>4890</v>
      </c>
      <c r="H291" s="27" t="s">
        <v>921</v>
      </c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</row>
    <row r="292" spans="1:19" x14ac:dyDescent="0.25">
      <c r="A292" s="27" t="s">
        <v>527</v>
      </c>
      <c r="B292" s="27">
        <v>258921</v>
      </c>
      <c r="C292" s="27">
        <v>5190</v>
      </c>
      <c r="D292" s="27" t="s">
        <v>931</v>
      </c>
      <c r="E292" s="27"/>
      <c r="F292" s="27"/>
      <c r="G292" s="27">
        <v>5190</v>
      </c>
      <c r="H292" s="27" t="s">
        <v>921</v>
      </c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</row>
    <row r="293" spans="1:19" x14ac:dyDescent="0.25">
      <c r="A293" s="27" t="s">
        <v>527</v>
      </c>
      <c r="B293" s="27">
        <v>258922</v>
      </c>
      <c r="C293" s="27">
        <v>2790</v>
      </c>
      <c r="D293" s="27" t="s">
        <v>664</v>
      </c>
      <c r="E293" s="27"/>
      <c r="F293" s="27"/>
      <c r="G293" s="27">
        <v>2790</v>
      </c>
      <c r="H293" s="27" t="s">
        <v>921</v>
      </c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</row>
    <row r="294" spans="1:19" x14ac:dyDescent="0.25">
      <c r="A294" s="27" t="s">
        <v>527</v>
      </c>
      <c r="B294" s="27">
        <v>258923</v>
      </c>
      <c r="C294" s="27">
        <v>2590</v>
      </c>
      <c r="D294" s="27" t="s">
        <v>660</v>
      </c>
      <c r="E294" s="27"/>
      <c r="F294" s="27"/>
      <c r="G294" s="27">
        <v>2590</v>
      </c>
      <c r="H294" s="27" t="s">
        <v>921</v>
      </c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</row>
    <row r="295" spans="1:19" x14ac:dyDescent="0.25">
      <c r="A295" s="27" t="s">
        <v>527</v>
      </c>
      <c r="B295" s="27">
        <v>258924</v>
      </c>
      <c r="C295" s="27">
        <v>590</v>
      </c>
      <c r="D295" s="27" t="s">
        <v>930</v>
      </c>
      <c r="E295" s="27"/>
      <c r="F295" s="27"/>
      <c r="G295" s="27">
        <v>590</v>
      </c>
      <c r="H295" s="27" t="s">
        <v>921</v>
      </c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</row>
    <row r="296" spans="1:19" x14ac:dyDescent="0.25">
      <c r="A296" s="27" t="s">
        <v>527</v>
      </c>
      <c r="B296" s="27">
        <v>268740</v>
      </c>
      <c r="C296" s="27" t="s">
        <v>929</v>
      </c>
      <c r="D296" s="27"/>
      <c r="E296" s="27"/>
      <c r="F296" s="27"/>
      <c r="G296" s="27" t="s">
        <v>920</v>
      </c>
      <c r="H296" s="27" t="s">
        <v>916</v>
      </c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</row>
    <row r="297" spans="1:19" x14ac:dyDescent="0.25">
      <c r="A297" s="27" t="s">
        <v>527</v>
      </c>
      <c r="B297" s="27">
        <v>268741</v>
      </c>
      <c r="C297" s="27" t="s">
        <v>929</v>
      </c>
      <c r="D297" s="27"/>
      <c r="E297" s="27"/>
      <c r="F297" s="27"/>
      <c r="G297" s="27" t="s">
        <v>920</v>
      </c>
      <c r="H297" s="27" t="s">
        <v>916</v>
      </c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</row>
    <row r="298" spans="1:19" x14ac:dyDescent="0.25">
      <c r="A298" s="27" t="s">
        <v>527</v>
      </c>
      <c r="B298" s="27">
        <v>201294</v>
      </c>
      <c r="C298" s="27">
        <v>3290</v>
      </c>
      <c r="D298" s="27" t="s">
        <v>661</v>
      </c>
      <c r="E298" s="27"/>
      <c r="F298" s="27"/>
      <c r="G298" s="27">
        <v>3290</v>
      </c>
      <c r="H298" s="27" t="s">
        <v>921</v>
      </c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</row>
    <row r="299" spans="1:19" x14ac:dyDescent="0.25">
      <c r="A299" s="27" t="s">
        <v>527</v>
      </c>
      <c r="B299" s="27">
        <v>324951</v>
      </c>
      <c r="C299" s="27" t="s">
        <v>928</v>
      </c>
      <c r="D299" s="27"/>
      <c r="E299" s="27"/>
      <c r="F299" s="27"/>
      <c r="G299" s="27" t="s">
        <v>920</v>
      </c>
      <c r="H299" s="27" t="s">
        <v>916</v>
      </c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</row>
    <row r="300" spans="1:19" x14ac:dyDescent="0.25">
      <c r="A300" s="27" t="s">
        <v>527</v>
      </c>
      <c r="B300" s="27">
        <v>347232</v>
      </c>
      <c r="C300" s="27">
        <v>2390</v>
      </c>
      <c r="D300" s="27" t="s">
        <v>927</v>
      </c>
      <c r="E300" s="27"/>
      <c r="F300" s="27"/>
      <c r="G300" s="27">
        <v>2390</v>
      </c>
      <c r="H300" s="27" t="s">
        <v>921</v>
      </c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</row>
    <row r="301" spans="1:19" x14ac:dyDescent="0.25">
      <c r="A301" s="27" t="s">
        <v>527</v>
      </c>
      <c r="B301" s="27">
        <v>344585</v>
      </c>
      <c r="C301" s="27" t="s">
        <v>929</v>
      </c>
      <c r="D301" s="27"/>
      <c r="E301" s="27"/>
      <c r="F301" s="27"/>
      <c r="G301" s="27" t="s">
        <v>920</v>
      </c>
      <c r="H301" s="27" t="s">
        <v>916</v>
      </c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</row>
    <row r="302" spans="1:19" x14ac:dyDescent="0.25">
      <c r="A302" s="27" t="s">
        <v>527</v>
      </c>
      <c r="B302" s="27" t="s">
        <v>223</v>
      </c>
      <c r="C302" s="27">
        <v>1</v>
      </c>
      <c r="D302" s="27"/>
      <c r="E302" s="27"/>
      <c r="F302" s="27"/>
      <c r="G302" s="27" t="s">
        <v>1</v>
      </c>
      <c r="H302" s="27" t="s">
        <v>916</v>
      </c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</row>
    <row r="303" spans="1:19" x14ac:dyDescent="0.25">
      <c r="A303" s="27" t="s">
        <v>527</v>
      </c>
      <c r="B303" s="27">
        <v>258453</v>
      </c>
      <c r="C303" s="27">
        <v>629</v>
      </c>
      <c r="D303" s="27" t="s">
        <v>663</v>
      </c>
      <c r="E303" s="27"/>
      <c r="F303" s="27"/>
      <c r="G303" s="27">
        <v>629</v>
      </c>
      <c r="H303" s="27" t="s">
        <v>921</v>
      </c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</row>
    <row r="304" spans="1:19" x14ac:dyDescent="0.25">
      <c r="A304" s="27" t="s">
        <v>527</v>
      </c>
      <c r="B304" s="27">
        <v>258454</v>
      </c>
      <c r="C304" s="27">
        <v>629</v>
      </c>
      <c r="D304" s="27" t="s">
        <v>662</v>
      </c>
      <c r="E304" s="27"/>
      <c r="F304" s="27"/>
      <c r="G304" s="27">
        <v>629</v>
      </c>
      <c r="H304" s="27" t="s">
        <v>921</v>
      </c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</row>
    <row r="305" spans="1:19" x14ac:dyDescent="0.25">
      <c r="A305" s="27" t="s">
        <v>527</v>
      </c>
      <c r="B305" s="27">
        <v>258456</v>
      </c>
      <c r="C305" s="27">
        <v>629</v>
      </c>
      <c r="D305" s="27" t="s">
        <v>658</v>
      </c>
      <c r="E305" s="27"/>
      <c r="F305" s="27"/>
      <c r="G305" s="27">
        <v>629</v>
      </c>
      <c r="H305" s="27" t="s">
        <v>921</v>
      </c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</row>
    <row r="306" spans="1:19" x14ac:dyDescent="0.25">
      <c r="A306" s="27" t="s">
        <v>527</v>
      </c>
      <c r="B306" s="27">
        <v>258457</v>
      </c>
      <c r="C306" s="27">
        <v>629</v>
      </c>
      <c r="D306" s="27" t="s">
        <v>659</v>
      </c>
      <c r="E306" s="27"/>
      <c r="F306" s="27"/>
      <c r="G306" s="27">
        <v>629</v>
      </c>
      <c r="H306" s="27" t="s">
        <v>921</v>
      </c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</row>
    <row r="307" spans="1:19" x14ac:dyDescent="0.25">
      <c r="A307" s="27" t="s">
        <v>527</v>
      </c>
      <c r="B307" s="27">
        <v>258459</v>
      </c>
      <c r="C307" s="27">
        <v>990</v>
      </c>
      <c r="D307" s="27" t="s">
        <v>653</v>
      </c>
      <c r="E307" s="27"/>
      <c r="F307" s="27"/>
      <c r="G307" s="27">
        <v>990</v>
      </c>
      <c r="H307" s="27" t="s">
        <v>921</v>
      </c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</row>
    <row r="308" spans="1:19" x14ac:dyDescent="0.25">
      <c r="A308" s="27" t="s">
        <v>527</v>
      </c>
      <c r="B308" s="27">
        <v>258460</v>
      </c>
      <c r="C308" s="27">
        <v>1190</v>
      </c>
      <c r="D308" s="27" t="s">
        <v>652</v>
      </c>
      <c r="E308" s="27"/>
      <c r="F308" s="27"/>
      <c r="G308" s="27">
        <v>1190</v>
      </c>
      <c r="H308" s="27" t="s">
        <v>921</v>
      </c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</row>
    <row r="309" spans="1:19" x14ac:dyDescent="0.25">
      <c r="A309" s="27" t="s">
        <v>527</v>
      </c>
      <c r="B309" s="27">
        <v>258462</v>
      </c>
      <c r="C309" s="27">
        <v>1190</v>
      </c>
      <c r="D309" s="27" t="s">
        <v>657</v>
      </c>
      <c r="E309" s="27"/>
      <c r="F309" s="27"/>
      <c r="G309" s="27">
        <v>1190</v>
      </c>
      <c r="H309" s="27" t="s">
        <v>921</v>
      </c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</row>
    <row r="310" spans="1:19" x14ac:dyDescent="0.25">
      <c r="A310" s="27" t="s">
        <v>527</v>
      </c>
      <c r="B310" s="27">
        <v>258463</v>
      </c>
      <c r="C310" s="27">
        <v>1190</v>
      </c>
      <c r="D310" s="27" t="s">
        <v>656</v>
      </c>
      <c r="E310" s="27"/>
      <c r="F310" s="27"/>
      <c r="G310" s="27">
        <v>1190</v>
      </c>
      <c r="H310" s="27" t="s">
        <v>921</v>
      </c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</row>
    <row r="311" spans="1:19" x14ac:dyDescent="0.25">
      <c r="A311" s="27" t="s">
        <v>527</v>
      </c>
      <c r="B311" s="27">
        <v>258465</v>
      </c>
      <c r="C311" s="27">
        <v>1190</v>
      </c>
      <c r="D311" s="27" t="s">
        <v>655</v>
      </c>
      <c r="E311" s="27"/>
      <c r="F311" s="27"/>
      <c r="G311" s="27">
        <v>1190</v>
      </c>
      <c r="H311" s="27" t="s">
        <v>921</v>
      </c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</row>
    <row r="312" spans="1:19" x14ac:dyDescent="0.25">
      <c r="A312" s="27" t="s">
        <v>527</v>
      </c>
      <c r="B312" s="27">
        <v>258466</v>
      </c>
      <c r="C312" s="27">
        <v>1190</v>
      </c>
      <c r="D312" s="27" t="s">
        <v>654</v>
      </c>
      <c r="E312" s="27"/>
      <c r="F312" s="27"/>
      <c r="G312" s="27">
        <v>1190</v>
      </c>
      <c r="H312" s="27" t="s">
        <v>921</v>
      </c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</row>
    <row r="313" spans="1:19" x14ac:dyDescent="0.25">
      <c r="A313" s="27" t="s">
        <v>527</v>
      </c>
      <c r="B313" s="27">
        <v>268602</v>
      </c>
      <c r="C313" s="27"/>
      <c r="D313" s="27"/>
      <c r="E313" s="27"/>
      <c r="F313" s="27"/>
      <c r="G313" s="27" t="s">
        <v>920</v>
      </c>
      <c r="H313" s="27" t="s">
        <v>916</v>
      </c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</row>
    <row r="314" spans="1:19" x14ac:dyDescent="0.25">
      <c r="A314" s="27" t="s">
        <v>527</v>
      </c>
      <c r="B314" s="27">
        <v>268603</v>
      </c>
      <c r="C314" s="27">
        <v>1990</v>
      </c>
      <c r="D314" s="27" t="s">
        <v>895</v>
      </c>
      <c r="E314" s="27"/>
      <c r="F314" s="27"/>
      <c r="G314" s="27">
        <v>1990</v>
      </c>
      <c r="H314" s="27" t="s">
        <v>921</v>
      </c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</row>
    <row r="315" spans="1:19" x14ac:dyDescent="0.25">
      <c r="A315" s="27" t="s">
        <v>527</v>
      </c>
      <c r="B315" s="27">
        <v>268604</v>
      </c>
      <c r="C315" s="27"/>
      <c r="D315" s="27"/>
      <c r="E315" s="27"/>
      <c r="F315" s="27"/>
      <c r="G315" s="27" t="s">
        <v>920</v>
      </c>
      <c r="H315" s="27" t="s">
        <v>916</v>
      </c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</row>
    <row r="316" spans="1:19" x14ac:dyDescent="0.25">
      <c r="A316" s="27" t="s">
        <v>527</v>
      </c>
      <c r="B316" s="27">
        <v>268605</v>
      </c>
      <c r="C316" s="27">
        <v>2290</v>
      </c>
      <c r="D316" s="27" t="s">
        <v>896</v>
      </c>
      <c r="E316" s="27"/>
      <c r="F316" s="27"/>
      <c r="G316" s="27">
        <v>2290</v>
      </c>
      <c r="H316" s="27" t="s">
        <v>921</v>
      </c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</row>
    <row r="317" spans="1:19" x14ac:dyDescent="0.25">
      <c r="A317" s="27" t="s">
        <v>527</v>
      </c>
      <c r="B317" s="27">
        <v>268606</v>
      </c>
      <c r="C317" s="27"/>
      <c r="D317" s="27"/>
      <c r="E317" s="27"/>
      <c r="F317" s="27"/>
      <c r="G317" s="27" t="s">
        <v>920</v>
      </c>
      <c r="H317" s="27" t="s">
        <v>916</v>
      </c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</row>
    <row r="318" spans="1:19" x14ac:dyDescent="0.25">
      <c r="A318" s="27" t="s">
        <v>527</v>
      </c>
      <c r="B318" s="27">
        <v>268607</v>
      </c>
      <c r="C318" s="27"/>
      <c r="D318" s="27"/>
      <c r="E318" s="27"/>
      <c r="F318" s="27"/>
      <c r="G318" s="27" t="s">
        <v>920</v>
      </c>
      <c r="H318" s="27" t="s">
        <v>916</v>
      </c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</row>
    <row r="319" spans="1:19" x14ac:dyDescent="0.25">
      <c r="A319" s="27" t="s">
        <v>527</v>
      </c>
      <c r="B319" s="27">
        <v>268608</v>
      </c>
      <c r="C319" s="27"/>
      <c r="D319" s="27"/>
      <c r="E319" s="27"/>
      <c r="F319" s="27"/>
      <c r="G319" s="27" t="s">
        <v>920</v>
      </c>
      <c r="H319" s="27" t="s">
        <v>916</v>
      </c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</row>
    <row r="320" spans="1:19" x14ac:dyDescent="0.25">
      <c r="A320" s="27" t="s">
        <v>527</v>
      </c>
      <c r="B320" s="27">
        <v>268609</v>
      </c>
      <c r="C320" s="27"/>
      <c r="D320" s="27"/>
      <c r="E320" s="27"/>
      <c r="F320" s="27"/>
      <c r="G320" s="27" t="s">
        <v>920</v>
      </c>
      <c r="H320" s="27" t="s">
        <v>916</v>
      </c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</row>
    <row r="321" spans="1:19" x14ac:dyDescent="0.25">
      <c r="A321" s="27" t="s">
        <v>527</v>
      </c>
      <c r="B321" s="27">
        <v>268610</v>
      </c>
      <c r="C321" s="27"/>
      <c r="D321" s="27"/>
      <c r="E321" s="27"/>
      <c r="F321" s="27"/>
      <c r="G321" s="27" t="s">
        <v>920</v>
      </c>
      <c r="H321" s="27" t="s">
        <v>916</v>
      </c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</row>
    <row r="322" spans="1:19" x14ac:dyDescent="0.25">
      <c r="A322" s="27" t="s">
        <v>527</v>
      </c>
      <c r="B322" s="27">
        <v>268611</v>
      </c>
      <c r="C322" s="27">
        <v>1990</v>
      </c>
      <c r="D322" s="27" t="s">
        <v>894</v>
      </c>
      <c r="E322" s="27"/>
      <c r="F322" s="27"/>
      <c r="G322" s="27">
        <v>1990</v>
      </c>
      <c r="H322" s="27" t="s">
        <v>921</v>
      </c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</row>
    <row r="323" spans="1:19" x14ac:dyDescent="0.25">
      <c r="A323" s="27" t="s">
        <v>527</v>
      </c>
      <c r="B323" s="27">
        <v>268738</v>
      </c>
      <c r="C323" s="27"/>
      <c r="D323" s="27"/>
      <c r="E323" s="27"/>
      <c r="F323" s="27"/>
      <c r="G323" s="27" t="s">
        <v>920</v>
      </c>
      <c r="H323" s="27" t="s">
        <v>916</v>
      </c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</row>
    <row r="324" spans="1:19" x14ac:dyDescent="0.25">
      <c r="A324" s="27" t="s">
        <v>527</v>
      </c>
      <c r="B324" s="27">
        <v>268739</v>
      </c>
      <c r="C324" s="27"/>
      <c r="D324" s="27"/>
      <c r="E324" s="27"/>
      <c r="F324" s="27"/>
      <c r="G324" s="27" t="s">
        <v>920</v>
      </c>
      <c r="H324" s="27" t="s">
        <v>916</v>
      </c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</row>
    <row r="325" spans="1:19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</row>
    <row r="326" spans="1:19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</row>
    <row r="327" spans="1:19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</row>
    <row r="328" spans="1:19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</row>
    <row r="329" spans="1:19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</row>
    <row r="330" spans="1:19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</row>
    <row r="331" spans="1:19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</row>
    <row r="332" spans="1:19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</row>
    <row r="333" spans="1:19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</row>
    <row r="334" spans="1:19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</row>
    <row r="335" spans="1:19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</row>
    <row r="336" spans="1:19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</row>
    <row r="337" spans="1:19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</row>
    <row r="338" spans="1:19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</row>
    <row r="339" spans="1:19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</row>
    <row r="340" spans="1:19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</row>
    <row r="341" spans="1:19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</row>
    <row r="342" spans="1:19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</row>
    <row r="343" spans="1:19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</row>
    <row r="344" spans="1:19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</row>
    <row r="345" spans="1:19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</row>
    <row r="346" spans="1:19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</row>
    <row r="347" spans="1:19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</row>
    <row r="348" spans="1:19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</row>
    <row r="349" spans="1:19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</row>
    <row r="350" spans="1:19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</row>
    <row r="351" spans="1:19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</row>
    <row r="352" spans="1:19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</row>
    <row r="353" spans="1:19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</row>
    <row r="354" spans="1:19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</row>
    <row r="355" spans="1:19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</row>
    <row r="356" spans="1:19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</row>
    <row r="357" spans="1:19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</row>
    <row r="358" spans="1:19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</row>
    <row r="359" spans="1:19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</row>
    <row r="360" spans="1:19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</row>
    <row r="361" spans="1:19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</row>
    <row r="362" spans="1:19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</row>
    <row r="363" spans="1:19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</row>
    <row r="364" spans="1:19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</row>
    <row r="365" spans="1:19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</row>
    <row r="366" spans="1:19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</row>
    <row r="367" spans="1:19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</row>
    <row r="368" spans="1:19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</row>
    <row r="369" spans="1:19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</row>
    <row r="370" spans="1:19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</row>
    <row r="371" spans="1:19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</row>
    <row r="372" spans="1:19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</row>
    <row r="373" spans="1:19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</row>
    <row r="374" spans="1:19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</row>
    <row r="375" spans="1:19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</row>
    <row r="376" spans="1:19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</row>
    <row r="377" spans="1:19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</row>
    <row r="378" spans="1:19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</row>
    <row r="379" spans="1:19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</row>
    <row r="380" spans="1:19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</row>
    <row r="381" spans="1:19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</row>
    <row r="382" spans="1:19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</row>
    <row r="383" spans="1:19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</row>
    <row r="384" spans="1:19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</row>
    <row r="385" spans="1:19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</row>
    <row r="386" spans="1:19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</row>
    <row r="387" spans="1:19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</row>
    <row r="388" spans="1:19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</row>
    <row r="389" spans="1:19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</row>
    <row r="390" spans="1:19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</row>
    <row r="391" spans="1:19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</row>
    <row r="392" spans="1:19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</row>
    <row r="393" spans="1:19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</row>
    <row r="394" spans="1:19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</row>
    <row r="395" spans="1:19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</row>
    <row r="396" spans="1:19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</row>
    <row r="397" spans="1:19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</row>
    <row r="398" spans="1:19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</row>
    <row r="399" spans="1:19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</row>
    <row r="400" spans="1:19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</row>
    <row r="401" spans="1:19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</row>
    <row r="402" spans="1:19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</row>
    <row r="403" spans="1:19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</row>
    <row r="404" spans="1:19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</row>
    <row r="405" spans="1:19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</row>
    <row r="406" spans="1:19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</row>
    <row r="407" spans="1:19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</row>
    <row r="408" spans="1:19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</row>
    <row r="409" spans="1:19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</row>
    <row r="410" spans="1:19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</row>
    <row r="411" spans="1:19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</row>
    <row r="412" spans="1:19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</row>
    <row r="413" spans="1:19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</row>
    <row r="414" spans="1:19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</row>
    <row r="415" spans="1:19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</row>
    <row r="416" spans="1:19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</row>
    <row r="417" spans="1:19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</row>
    <row r="418" spans="1:19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</row>
    <row r="419" spans="1:19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</row>
    <row r="420" spans="1:19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</row>
    <row r="421" spans="1:19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</row>
    <row r="422" spans="1:19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</row>
    <row r="423" spans="1:19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</row>
    <row r="424" spans="1:19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</row>
    <row r="425" spans="1:19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</row>
    <row r="426" spans="1:19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</row>
    <row r="427" spans="1:19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</row>
    <row r="428" spans="1:19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</row>
    <row r="429" spans="1:19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</row>
    <row r="430" spans="1:19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</row>
    <row r="431" spans="1:19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</row>
    <row r="432" spans="1:19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</row>
    <row r="433" spans="1:19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</row>
    <row r="434" spans="1:19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</row>
    <row r="435" spans="1:19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</row>
    <row r="436" spans="1:19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</row>
    <row r="437" spans="1:19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</row>
    <row r="438" spans="1:19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</row>
    <row r="439" spans="1:19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</row>
    <row r="440" spans="1:19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</row>
    <row r="441" spans="1:19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</row>
    <row r="442" spans="1:19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</row>
    <row r="443" spans="1:19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</row>
    <row r="444" spans="1:19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</row>
    <row r="445" spans="1:19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</row>
    <row r="446" spans="1:19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</row>
    <row r="447" spans="1:19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</row>
    <row r="448" spans="1:19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</row>
    <row r="449" spans="1:19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</row>
    <row r="450" spans="1:19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</row>
    <row r="451" spans="1:19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</row>
    <row r="452" spans="1:19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</row>
    <row r="453" spans="1:19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</row>
    <row r="454" spans="1:19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</row>
    <row r="455" spans="1:19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</row>
    <row r="456" spans="1:19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</row>
    <row r="457" spans="1:19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</row>
    <row r="458" spans="1:19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</row>
    <row r="459" spans="1:19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</row>
    <row r="460" spans="1:19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</row>
    <row r="461" spans="1:19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</row>
    <row r="462" spans="1:19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</row>
    <row r="463" spans="1:19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</row>
    <row r="464" spans="1:19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</row>
    <row r="465" spans="1:19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</row>
    <row r="466" spans="1:19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</row>
    <row r="467" spans="1:19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</row>
    <row r="468" spans="1:19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</row>
    <row r="469" spans="1:19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</row>
    <row r="470" spans="1:19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</row>
    <row r="471" spans="1:19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</row>
    <row r="472" spans="1:19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</row>
    <row r="473" spans="1:19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</row>
    <row r="474" spans="1:19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</row>
    <row r="475" spans="1:19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</row>
    <row r="476" spans="1:19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</row>
    <row r="477" spans="1:19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</row>
    <row r="478" spans="1:19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</row>
    <row r="479" spans="1:19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</row>
    <row r="480" spans="1:19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</row>
    <row r="481" spans="1:19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</row>
    <row r="482" spans="1:19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</row>
    <row r="483" spans="1:19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</row>
    <row r="484" spans="1:19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</row>
    <row r="485" spans="1:19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</row>
    <row r="486" spans="1:19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</row>
    <row r="487" spans="1:19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</row>
    <row r="488" spans="1:19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</row>
    <row r="489" spans="1:19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</row>
    <row r="490" spans="1:19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</row>
    <row r="491" spans="1:19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</row>
    <row r="492" spans="1:19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</row>
    <row r="493" spans="1:19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</row>
    <row r="494" spans="1:19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</row>
    <row r="495" spans="1:19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</row>
    <row r="496" spans="1:19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</row>
    <row r="497" spans="1:19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</row>
    <row r="498" spans="1:19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</row>
    <row r="499" spans="1:19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</row>
    <row r="500" spans="1:19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</row>
    <row r="501" spans="1:19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</row>
    <row r="502" spans="1:19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</row>
    <row r="503" spans="1:19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</row>
    <row r="504" spans="1:19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</row>
    <row r="505" spans="1:19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</row>
    <row r="506" spans="1:19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</row>
    <row r="507" spans="1:19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</row>
    <row r="508" spans="1:19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</row>
    <row r="509" spans="1:19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</row>
    <row r="510" spans="1:19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</row>
    <row r="511" spans="1:19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</row>
    <row r="512" spans="1:19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</row>
    <row r="513" spans="1:19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</row>
    <row r="514" spans="1:19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</row>
    <row r="515" spans="1:19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</row>
    <row r="516" spans="1:19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</row>
    <row r="517" spans="1:19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</row>
    <row r="518" spans="1:19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</row>
    <row r="519" spans="1:19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</row>
    <row r="520" spans="1:19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</row>
    <row r="521" spans="1:19" x14ac:dyDescent="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</row>
    <row r="522" spans="1:19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</row>
    <row r="523" spans="1:19" x14ac:dyDescent="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</row>
    <row r="524" spans="1:19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</row>
    <row r="525" spans="1:19" x14ac:dyDescent="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</row>
    <row r="526" spans="1:19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</row>
    <row r="527" spans="1:19" x14ac:dyDescent="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</row>
    <row r="528" spans="1:19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</row>
    <row r="529" spans="1:19" x14ac:dyDescent="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</row>
    <row r="530" spans="1:19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</row>
    <row r="531" spans="1:19" x14ac:dyDescent="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</row>
    <row r="532" spans="1:19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</row>
    <row r="533" spans="1:19" x14ac:dyDescent="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</row>
    <row r="534" spans="1:19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</row>
    <row r="535" spans="1:19" x14ac:dyDescent="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</row>
    <row r="536" spans="1:19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</row>
    <row r="537" spans="1:19" x14ac:dyDescent="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</row>
    <row r="538" spans="1:19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</row>
    <row r="539" spans="1:19" x14ac:dyDescent="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</row>
    <row r="540" spans="1:19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</row>
    <row r="541" spans="1:19" x14ac:dyDescent="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</row>
    <row r="542" spans="1:19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</row>
    <row r="543" spans="1:19" x14ac:dyDescent="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</row>
    <row r="544" spans="1:19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</row>
    <row r="545" spans="1:19" x14ac:dyDescent="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</row>
    <row r="546" spans="1:19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</row>
    <row r="547" spans="1:19" x14ac:dyDescent="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</row>
    <row r="548" spans="1:19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</row>
    <row r="549" spans="1:19" x14ac:dyDescent="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</row>
    <row r="550" spans="1:19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</row>
    <row r="551" spans="1:19" x14ac:dyDescent="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</row>
    <row r="552" spans="1:19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</row>
    <row r="553" spans="1:19" x14ac:dyDescent="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</row>
    <row r="554" spans="1:19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</row>
    <row r="555" spans="1:19" x14ac:dyDescent="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</row>
    <row r="556" spans="1:19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</row>
    <row r="557" spans="1:19" x14ac:dyDescent="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</row>
    <row r="558" spans="1:19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</row>
    <row r="559" spans="1:19" x14ac:dyDescent="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</row>
    <row r="560" spans="1:19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</row>
    <row r="561" spans="1:19" x14ac:dyDescent="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</row>
    <row r="562" spans="1:19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</row>
    <row r="563" spans="1:19" x14ac:dyDescent="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</row>
    <row r="564" spans="1:19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</row>
    <row r="565" spans="1:19" x14ac:dyDescent="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</row>
    <row r="566" spans="1:19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</row>
    <row r="567" spans="1:19" x14ac:dyDescent="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</row>
    <row r="568" spans="1:19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</row>
    <row r="569" spans="1:19" x14ac:dyDescent="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</row>
    <row r="570" spans="1:19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</row>
    <row r="571" spans="1:19" x14ac:dyDescent="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</row>
    <row r="572" spans="1:19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</row>
    <row r="573" spans="1:19" x14ac:dyDescent="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</row>
    <row r="574" spans="1:19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</row>
    <row r="575" spans="1:19" x14ac:dyDescent="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</row>
    <row r="576" spans="1:19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</row>
    <row r="577" spans="1:19" x14ac:dyDescent="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</row>
    <row r="578" spans="1:19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</row>
    <row r="579" spans="1:19" x14ac:dyDescent="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</row>
    <row r="580" spans="1:19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</row>
    <row r="581" spans="1:19" x14ac:dyDescent="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</row>
    <row r="582" spans="1:19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</row>
    <row r="583" spans="1:19" x14ac:dyDescent="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</row>
    <row r="584" spans="1:19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</row>
    <row r="585" spans="1:19" x14ac:dyDescent="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</row>
    <row r="586" spans="1:19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</row>
    <row r="587" spans="1:19" x14ac:dyDescent="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</row>
    <row r="588" spans="1:19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</row>
    <row r="589" spans="1:19" x14ac:dyDescent="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</row>
    <row r="590" spans="1:19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</row>
    <row r="591" spans="1:19" x14ac:dyDescent="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</row>
    <row r="592" spans="1:19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</row>
    <row r="593" spans="1:19" x14ac:dyDescent="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</row>
    <row r="594" spans="1:19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</row>
    <row r="595" spans="1:19" x14ac:dyDescent="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</row>
    <row r="596" spans="1:19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</row>
    <row r="597" spans="1:19" x14ac:dyDescent="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</row>
    <row r="598" spans="1:19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</row>
    <row r="599" spans="1:19" x14ac:dyDescent="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</row>
    <row r="600" spans="1:19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</row>
    <row r="601" spans="1:19" x14ac:dyDescent="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</row>
    <row r="602" spans="1:19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</row>
    <row r="603" spans="1:19" x14ac:dyDescent="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</row>
    <row r="604" spans="1:19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</row>
    <row r="605" spans="1:19" x14ac:dyDescent="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</row>
    <row r="606" spans="1:19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</row>
    <row r="607" spans="1:19" x14ac:dyDescent="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</row>
    <row r="608" spans="1:19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</row>
    <row r="609" spans="1:19" x14ac:dyDescent="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</row>
    <row r="610" spans="1:19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</row>
    <row r="611" spans="1:19" x14ac:dyDescent="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</row>
    <row r="612" spans="1:19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</row>
    <row r="613" spans="1:19" x14ac:dyDescent="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</row>
    <row r="614" spans="1:19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</row>
    <row r="615" spans="1:19" x14ac:dyDescent="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</row>
    <row r="616" spans="1:19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</row>
    <row r="617" spans="1:19" x14ac:dyDescent="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</row>
    <row r="618" spans="1:19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</row>
    <row r="619" spans="1:19" x14ac:dyDescent="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</row>
    <row r="620" spans="1:19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</row>
    <row r="621" spans="1:19" x14ac:dyDescent="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</row>
    <row r="622" spans="1:19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</row>
    <row r="623" spans="1:19" x14ac:dyDescent="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</row>
    <row r="624" spans="1:19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</row>
    <row r="625" spans="1:19" x14ac:dyDescent="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</row>
    <row r="626" spans="1:19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</row>
    <row r="627" spans="1:19" x14ac:dyDescent="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</row>
    <row r="628" spans="1:19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</row>
    <row r="629" spans="1:19" x14ac:dyDescent="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</row>
    <row r="630" spans="1:19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</row>
    <row r="631" spans="1:19" x14ac:dyDescent="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</row>
    <row r="632" spans="1:19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</row>
    <row r="633" spans="1:19" x14ac:dyDescent="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</row>
    <row r="634" spans="1:19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</row>
    <row r="635" spans="1:19" x14ac:dyDescent="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</row>
    <row r="636" spans="1:19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</row>
    <row r="637" spans="1:19" x14ac:dyDescent="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</row>
    <row r="638" spans="1:19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</row>
    <row r="639" spans="1:19" x14ac:dyDescent="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</row>
    <row r="640" spans="1:19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</row>
    <row r="641" spans="1:19" x14ac:dyDescent="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</row>
    <row r="642" spans="1:19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</row>
    <row r="643" spans="1:19" x14ac:dyDescent="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</row>
    <row r="644" spans="1:19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</row>
    <row r="645" spans="1:19" x14ac:dyDescent="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</row>
    <row r="646" spans="1:19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</row>
    <row r="647" spans="1:19" x14ac:dyDescent="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</row>
    <row r="648" spans="1:19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</row>
    <row r="649" spans="1:19" x14ac:dyDescent="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</row>
    <row r="650" spans="1:19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</row>
    <row r="651" spans="1:19" x14ac:dyDescent="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</row>
    <row r="652" spans="1:19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</row>
    <row r="653" spans="1:19" x14ac:dyDescent="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</row>
    <row r="654" spans="1:19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</row>
    <row r="655" spans="1:19" x14ac:dyDescent="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</row>
    <row r="656" spans="1:19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</row>
    <row r="657" spans="1:19" x14ac:dyDescent="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</row>
    <row r="658" spans="1:19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</row>
    <row r="659" spans="1:19" x14ac:dyDescent="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</row>
    <row r="660" spans="1:19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</row>
    <row r="661" spans="1:19" x14ac:dyDescent="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</row>
    <row r="662" spans="1:19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</row>
    <row r="663" spans="1:19" x14ac:dyDescent="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</row>
    <row r="664" spans="1:19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</row>
    <row r="665" spans="1:19" x14ac:dyDescent="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</row>
    <row r="666" spans="1:19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</row>
    <row r="667" spans="1:19" x14ac:dyDescent="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</row>
    <row r="668" spans="1:19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</row>
    <row r="669" spans="1:19" x14ac:dyDescent="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</row>
    <row r="670" spans="1:19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</row>
    <row r="671" spans="1:19" x14ac:dyDescent="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</row>
    <row r="672" spans="1:19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</row>
    <row r="673" spans="1:19" x14ac:dyDescent="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</row>
    <row r="674" spans="1:19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</row>
    <row r="675" spans="1:19" x14ac:dyDescent="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</row>
    <row r="676" spans="1:19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</row>
    <row r="677" spans="1:19" x14ac:dyDescent="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</row>
    <row r="678" spans="1:19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</row>
    <row r="679" spans="1:19" x14ac:dyDescent="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</row>
    <row r="680" spans="1:19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</row>
    <row r="681" spans="1:19" x14ac:dyDescent="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</row>
    <row r="682" spans="1:19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</row>
    <row r="683" spans="1:19" x14ac:dyDescent="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</row>
    <row r="684" spans="1:19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</row>
    <row r="685" spans="1:19" x14ac:dyDescent="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</row>
    <row r="686" spans="1:19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</row>
    <row r="687" spans="1:19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</row>
    <row r="688" spans="1:19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</row>
    <row r="689" spans="1:19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</row>
    <row r="690" spans="1:19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</row>
    <row r="691" spans="1:19" x14ac:dyDescent="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</row>
    <row r="692" spans="1:19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</row>
    <row r="693" spans="1:19" x14ac:dyDescent="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</row>
    <row r="694" spans="1:19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</row>
    <row r="695" spans="1:19" x14ac:dyDescent="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</row>
    <row r="696" spans="1:19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</row>
    <row r="697" spans="1:19" x14ac:dyDescent="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</row>
    <row r="698" spans="1:19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</row>
    <row r="699" spans="1:19" x14ac:dyDescent="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</row>
    <row r="700" spans="1:19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</row>
    <row r="701" spans="1:19" x14ac:dyDescent="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</row>
    <row r="702" spans="1:19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</row>
    <row r="703" spans="1:19" x14ac:dyDescent="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</row>
    <row r="704" spans="1:19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</row>
    <row r="705" spans="1:19" x14ac:dyDescent="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</row>
    <row r="706" spans="1:19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</row>
    <row r="707" spans="1:19" x14ac:dyDescent="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</row>
    <row r="708" spans="1:19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</row>
    <row r="709" spans="1:19" x14ac:dyDescent="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</row>
    <row r="710" spans="1:19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</row>
    <row r="711" spans="1:19" x14ac:dyDescent="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</row>
    <row r="712" spans="1:19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</row>
    <row r="713" spans="1:19" x14ac:dyDescent="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</row>
    <row r="714" spans="1:19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</row>
    <row r="715" spans="1:19" x14ac:dyDescent="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</row>
    <row r="716" spans="1:19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</row>
    <row r="717" spans="1:19" x14ac:dyDescent="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</row>
    <row r="718" spans="1:19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</row>
    <row r="719" spans="1:19" x14ac:dyDescent="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</row>
    <row r="720" spans="1:19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</row>
    <row r="721" spans="1:19" x14ac:dyDescent="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</row>
    <row r="722" spans="1:19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</row>
    <row r="723" spans="1:19" x14ac:dyDescent="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</row>
    <row r="724" spans="1:19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</row>
    <row r="725" spans="1:19" x14ac:dyDescent="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</row>
    <row r="726" spans="1:19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</row>
    <row r="727" spans="1:19" x14ac:dyDescent="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</row>
    <row r="728" spans="1:19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</row>
    <row r="729" spans="1:19" x14ac:dyDescent="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</row>
    <row r="730" spans="1:19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</row>
    <row r="731" spans="1:19" x14ac:dyDescent="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</row>
    <row r="732" spans="1:19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</row>
    <row r="733" spans="1:19" x14ac:dyDescent="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</row>
    <row r="734" spans="1:19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</row>
    <row r="735" spans="1:19" x14ac:dyDescent="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</row>
    <row r="736" spans="1:19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</row>
    <row r="737" spans="1:19" x14ac:dyDescent="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</row>
    <row r="738" spans="1:19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</row>
    <row r="739" spans="1:19" x14ac:dyDescent="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</row>
    <row r="740" spans="1:19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</row>
    <row r="741" spans="1:19" x14ac:dyDescent="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</row>
    <row r="742" spans="1:19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</row>
    <row r="743" spans="1:19" x14ac:dyDescent="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</row>
    <row r="744" spans="1:19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</row>
    <row r="745" spans="1:19" x14ac:dyDescent="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</row>
    <row r="746" spans="1:19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</row>
    <row r="747" spans="1:19" x14ac:dyDescent="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</row>
    <row r="748" spans="1:19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</row>
    <row r="749" spans="1:19" x14ac:dyDescent="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</row>
    <row r="750" spans="1:19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</row>
    <row r="751" spans="1:19" x14ac:dyDescent="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</row>
    <row r="752" spans="1:19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</row>
    <row r="753" spans="1:19" x14ac:dyDescent="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</row>
    <row r="754" spans="1:19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</row>
    <row r="755" spans="1:19" x14ac:dyDescent="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</row>
    <row r="756" spans="1:19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</row>
    <row r="757" spans="1:19" x14ac:dyDescent="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</row>
    <row r="758" spans="1:19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</row>
    <row r="759" spans="1:19" x14ac:dyDescent="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</row>
    <row r="760" spans="1:19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</row>
    <row r="761" spans="1:19" x14ac:dyDescent="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</row>
    <row r="762" spans="1:19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</row>
    <row r="763" spans="1:19" x14ac:dyDescent="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</row>
    <row r="764" spans="1:19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</row>
    <row r="765" spans="1:19" x14ac:dyDescent="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</row>
    <row r="766" spans="1:19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</row>
    <row r="767" spans="1:19" x14ac:dyDescent="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</row>
    <row r="768" spans="1:19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</row>
    <row r="769" spans="1:19" x14ac:dyDescent="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</row>
    <row r="770" spans="1:19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</row>
    <row r="771" spans="1:19" x14ac:dyDescent="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</row>
    <row r="772" spans="1:19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</row>
    <row r="773" spans="1:19" x14ac:dyDescent="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</row>
    <row r="774" spans="1:19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</row>
    <row r="775" spans="1:19" x14ac:dyDescent="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</row>
    <row r="776" spans="1:19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</row>
    <row r="777" spans="1:19" x14ac:dyDescent="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</row>
    <row r="778" spans="1:19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</row>
    <row r="779" spans="1:19" x14ac:dyDescent="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</row>
    <row r="780" spans="1:19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</row>
    <row r="781" spans="1:19" x14ac:dyDescent="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</row>
    <row r="782" spans="1:19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</row>
    <row r="783" spans="1:19" x14ac:dyDescent="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</row>
    <row r="784" spans="1:19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</row>
    <row r="785" spans="1:19" x14ac:dyDescent="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</row>
    <row r="786" spans="1:19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</row>
    <row r="787" spans="1:19" x14ac:dyDescent="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</row>
    <row r="788" spans="1:19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</row>
    <row r="789" spans="1:19" x14ac:dyDescent="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</row>
    <row r="790" spans="1:19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</row>
    <row r="791" spans="1:19" x14ac:dyDescent="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</row>
    <row r="792" spans="1:19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</row>
    <row r="793" spans="1:19" x14ac:dyDescent="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</row>
    <row r="794" spans="1:19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</row>
    <row r="795" spans="1:19" x14ac:dyDescent="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</row>
    <row r="796" spans="1:19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</row>
    <row r="797" spans="1:19" x14ac:dyDescent="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</row>
    <row r="798" spans="1:19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</row>
    <row r="799" spans="1:19" x14ac:dyDescent="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</row>
    <row r="800" spans="1:19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</row>
    <row r="801" spans="1:19" x14ac:dyDescent="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</row>
    <row r="802" spans="1:19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</row>
    <row r="803" spans="1:19" x14ac:dyDescent="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</row>
    <row r="804" spans="1:19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</row>
    <row r="805" spans="1:19" x14ac:dyDescent="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</row>
    <row r="806" spans="1:19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</row>
    <row r="807" spans="1:19" x14ac:dyDescent="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</row>
    <row r="808" spans="1:19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</row>
    <row r="809" spans="1:19" x14ac:dyDescent="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</row>
    <row r="810" spans="1:19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</row>
    <row r="811" spans="1:19" x14ac:dyDescent="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</row>
    <row r="812" spans="1:19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</row>
    <row r="813" spans="1:19" x14ac:dyDescent="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</row>
    <row r="814" spans="1:19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</row>
    <row r="815" spans="1:19" x14ac:dyDescent="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</row>
    <row r="816" spans="1:19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</row>
    <row r="817" spans="1:19" x14ac:dyDescent="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</row>
    <row r="818" spans="1:19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</row>
    <row r="819" spans="1:19" x14ac:dyDescent="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</row>
    <row r="820" spans="1:19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</row>
    <row r="821" spans="1:19" x14ac:dyDescent="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</row>
    <row r="822" spans="1:19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</row>
    <row r="823" spans="1:19" x14ac:dyDescent="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</row>
    <row r="824" spans="1:19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</row>
    <row r="825" spans="1:19" x14ac:dyDescent="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</row>
    <row r="826" spans="1:19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</row>
    <row r="827" spans="1:19" x14ac:dyDescent="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</row>
    <row r="828" spans="1:19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</row>
    <row r="829" spans="1:19" x14ac:dyDescent="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</row>
    <row r="830" spans="1:19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</row>
    <row r="831" spans="1:19" x14ac:dyDescent="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</row>
    <row r="832" spans="1:19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</row>
    <row r="833" spans="1:19" x14ac:dyDescent="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</row>
    <row r="834" spans="1:19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</row>
    <row r="835" spans="1:19" x14ac:dyDescent="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</row>
    <row r="836" spans="1:19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</row>
    <row r="837" spans="1:19" x14ac:dyDescent="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</row>
    <row r="838" spans="1:19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</row>
    <row r="839" spans="1:19" x14ac:dyDescent="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</row>
    <row r="840" spans="1:19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</row>
    <row r="841" spans="1:19" x14ac:dyDescent="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</row>
    <row r="842" spans="1:19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</row>
    <row r="843" spans="1:19" x14ac:dyDescent="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</row>
    <row r="844" spans="1:19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</row>
    <row r="845" spans="1:19" x14ac:dyDescent="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</row>
    <row r="846" spans="1:19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</row>
    <row r="847" spans="1:19" x14ac:dyDescent="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</row>
    <row r="848" spans="1:19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</row>
    <row r="849" spans="1:19" x14ac:dyDescent="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</row>
    <row r="850" spans="1:19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</row>
    <row r="851" spans="1:19" x14ac:dyDescent="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</row>
    <row r="852" spans="1:19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</row>
    <row r="853" spans="1:19" x14ac:dyDescent="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</row>
    <row r="854" spans="1:19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</row>
    <row r="855" spans="1:19" x14ac:dyDescent="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</row>
    <row r="856" spans="1:19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</row>
    <row r="857" spans="1:19" x14ac:dyDescent="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</row>
    <row r="858" spans="1:19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</row>
    <row r="859" spans="1:19" x14ac:dyDescent="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</row>
    <row r="860" spans="1:19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</row>
    <row r="861" spans="1:19" x14ac:dyDescent="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</row>
    <row r="862" spans="1:19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</row>
    <row r="863" spans="1:19" x14ac:dyDescent="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</row>
    <row r="864" spans="1:19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</row>
    <row r="865" spans="1:19" x14ac:dyDescent="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</row>
    <row r="866" spans="1:19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</row>
    <row r="867" spans="1:19" x14ac:dyDescent="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</row>
    <row r="868" spans="1:19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</row>
    <row r="869" spans="1:19" x14ac:dyDescent="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</row>
    <row r="870" spans="1:19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</row>
    <row r="871" spans="1:19" x14ac:dyDescent="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</row>
    <row r="872" spans="1:19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</row>
    <row r="873" spans="1:19" x14ac:dyDescent="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</row>
    <row r="874" spans="1:19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</row>
    <row r="875" spans="1:19" x14ac:dyDescent="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</row>
    <row r="876" spans="1:19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</row>
    <row r="877" spans="1:19" x14ac:dyDescent="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</row>
    <row r="878" spans="1:19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</row>
    <row r="879" spans="1:19" x14ac:dyDescent="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</row>
    <row r="880" spans="1:19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</row>
    <row r="881" spans="1:19" x14ac:dyDescent="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</row>
    <row r="882" spans="1:19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</row>
    <row r="883" spans="1:19" x14ac:dyDescent="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</row>
    <row r="884" spans="1:19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</row>
    <row r="885" spans="1:19" x14ac:dyDescent="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</row>
    <row r="886" spans="1:19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</row>
    <row r="887" spans="1:19" x14ac:dyDescent="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</row>
    <row r="888" spans="1:19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</row>
    <row r="889" spans="1:19" x14ac:dyDescent="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</row>
    <row r="890" spans="1:19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</row>
    <row r="891" spans="1:19" x14ac:dyDescent="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</row>
    <row r="892" spans="1:19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</row>
    <row r="893" spans="1:19" x14ac:dyDescent="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</row>
    <row r="894" spans="1:19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</row>
    <row r="895" spans="1:19" x14ac:dyDescent="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</row>
    <row r="896" spans="1:19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</row>
    <row r="897" spans="1:19" x14ac:dyDescent="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</row>
    <row r="898" spans="1:19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</row>
    <row r="899" spans="1:19" x14ac:dyDescent="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</row>
    <row r="900" spans="1:19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</row>
    <row r="901" spans="1:19" x14ac:dyDescent="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</row>
    <row r="902" spans="1:19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</row>
    <row r="903" spans="1:19" x14ac:dyDescent="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</row>
    <row r="904" spans="1:19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</row>
    <row r="905" spans="1:19" x14ac:dyDescent="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</row>
    <row r="906" spans="1:19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</row>
    <row r="907" spans="1:19" x14ac:dyDescent="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</row>
    <row r="908" spans="1:19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</row>
    <row r="909" spans="1:19" x14ac:dyDescent="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</row>
    <row r="910" spans="1:19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</row>
    <row r="911" spans="1:19" x14ac:dyDescent="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</row>
    <row r="912" spans="1:19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</row>
    <row r="913" spans="1:19" x14ac:dyDescent="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</row>
    <row r="914" spans="1:19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</row>
    <row r="915" spans="1:19" x14ac:dyDescent="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</row>
    <row r="916" spans="1:19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</row>
    <row r="917" spans="1:19" x14ac:dyDescent="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</row>
    <row r="918" spans="1:19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</row>
    <row r="919" spans="1:19" x14ac:dyDescent="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</row>
    <row r="920" spans="1:19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</row>
    <row r="921" spans="1:19" x14ac:dyDescent="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</row>
    <row r="922" spans="1:19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</row>
    <row r="923" spans="1:19" x14ac:dyDescent="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</row>
    <row r="924" spans="1:19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</row>
    <row r="925" spans="1:19" x14ac:dyDescent="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</row>
    <row r="926" spans="1:19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</row>
    <row r="927" spans="1:19" x14ac:dyDescent="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</row>
    <row r="928" spans="1:19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</row>
    <row r="929" spans="1:19" x14ac:dyDescent="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</row>
    <row r="930" spans="1:19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</row>
    <row r="931" spans="1:19" x14ac:dyDescent="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</row>
    <row r="932" spans="1:19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</row>
    <row r="933" spans="1:19" x14ac:dyDescent="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</row>
    <row r="934" spans="1:19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</row>
    <row r="935" spans="1:19" x14ac:dyDescent="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</row>
    <row r="936" spans="1:19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</row>
    <row r="937" spans="1:19" x14ac:dyDescent="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</row>
    <row r="938" spans="1:19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</row>
    <row r="939" spans="1:19" x14ac:dyDescent="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</row>
    <row r="940" spans="1:19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</row>
    <row r="941" spans="1:19" x14ac:dyDescent="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</row>
    <row r="942" spans="1:19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</row>
    <row r="943" spans="1:19" x14ac:dyDescent="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</row>
    <row r="944" spans="1:19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</row>
    <row r="945" spans="1:19" x14ac:dyDescent="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</row>
    <row r="946" spans="1:19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</row>
    <row r="947" spans="1:19" x14ac:dyDescent="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</row>
    <row r="948" spans="1:19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</row>
    <row r="949" spans="1:19" x14ac:dyDescent="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</row>
    <row r="950" spans="1:19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</row>
    <row r="951" spans="1:19" x14ac:dyDescent="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</row>
    <row r="952" spans="1:19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</row>
    <row r="953" spans="1:19" x14ac:dyDescent="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</row>
    <row r="954" spans="1:19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</row>
    <row r="955" spans="1:19" x14ac:dyDescent="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</row>
    <row r="956" spans="1:19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</row>
    <row r="957" spans="1:19" x14ac:dyDescent="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</row>
    <row r="958" spans="1:19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</row>
    <row r="959" spans="1:19" x14ac:dyDescent="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</row>
    <row r="960" spans="1:19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</row>
    <row r="961" spans="1:19" x14ac:dyDescent="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</row>
    <row r="962" spans="1:19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</row>
    <row r="963" spans="1:19" x14ac:dyDescent="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</row>
    <row r="964" spans="1:19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</row>
    <row r="965" spans="1:19" x14ac:dyDescent="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</row>
    <row r="966" spans="1:19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</row>
    <row r="967" spans="1:19" x14ac:dyDescent="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</row>
    <row r="968" spans="1:19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</row>
    <row r="969" spans="1:19" x14ac:dyDescent="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</row>
    <row r="970" spans="1:19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</row>
    <row r="971" spans="1:19" x14ac:dyDescent="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</row>
    <row r="972" spans="1:19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</row>
    <row r="973" spans="1:19" x14ac:dyDescent="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</row>
    <row r="974" spans="1:19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</row>
    <row r="975" spans="1:19" x14ac:dyDescent="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</row>
    <row r="976" spans="1:19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</row>
    <row r="977" spans="1:19" x14ac:dyDescent="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</row>
    <row r="978" spans="1:19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</row>
    <row r="979" spans="1:19" x14ac:dyDescent="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</row>
    <row r="980" spans="1:19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</row>
    <row r="981" spans="1:19" x14ac:dyDescent="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</row>
    <row r="982" spans="1:19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</row>
    <row r="983" spans="1:19" x14ac:dyDescent="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</row>
    <row r="984" spans="1:19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</row>
    <row r="985" spans="1:19" x14ac:dyDescent="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</row>
    <row r="986" spans="1:19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</row>
    <row r="987" spans="1:19" x14ac:dyDescent="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</row>
    <row r="988" spans="1:19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</row>
    <row r="989" spans="1:19" x14ac:dyDescent="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</row>
    <row r="990" spans="1:19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</row>
    <row r="991" spans="1:19" x14ac:dyDescent="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</row>
    <row r="992" spans="1:19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</row>
    <row r="993" spans="1:19" x14ac:dyDescent="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</row>
    <row r="994" spans="1:19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</row>
    <row r="995" spans="1:19" x14ac:dyDescent="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</row>
    <row r="996" spans="1:19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</row>
    <row r="997" spans="1:19" x14ac:dyDescent="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</row>
    <row r="998" spans="1:19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</row>
    <row r="999" spans="1:19" x14ac:dyDescent="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</row>
    <row r="1000" spans="1:19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</row>
    <row r="1001" spans="1:19" x14ac:dyDescent="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</row>
    <row r="1002" spans="1:19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</row>
    <row r="1003" spans="1:19" x14ac:dyDescent="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</row>
    <row r="1004" spans="1:19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</row>
    <row r="1005" spans="1:19" x14ac:dyDescent="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</row>
    <row r="1006" spans="1:19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</row>
    <row r="1007" spans="1:19" x14ac:dyDescent="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</row>
    <row r="1008" spans="1:19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</row>
    <row r="1009" spans="1:19" x14ac:dyDescent="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</row>
    <row r="1010" spans="1:19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</row>
    <row r="1011" spans="1:19" x14ac:dyDescent="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</row>
    <row r="1012" spans="1:19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</row>
    <row r="1013" spans="1:19" x14ac:dyDescent="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</row>
    <row r="1014" spans="1:19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</row>
    <row r="1015" spans="1:19" x14ac:dyDescent="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</row>
    <row r="1016" spans="1:19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</row>
    <row r="1017" spans="1:19" x14ac:dyDescent="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</row>
    <row r="1018" spans="1:19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</row>
    <row r="1019" spans="1:19" x14ac:dyDescent="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</row>
    <row r="1020" spans="1:19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</row>
    <row r="1021" spans="1:19" x14ac:dyDescent="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</row>
    <row r="1022" spans="1:19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</row>
    <row r="1023" spans="1:19" x14ac:dyDescent="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</row>
    <row r="1024" spans="1:19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</row>
    <row r="1025" spans="1:19" x14ac:dyDescent="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</row>
    <row r="1026" spans="1:19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</row>
    <row r="1027" spans="1:19" x14ac:dyDescent="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</row>
    <row r="1028" spans="1:19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</row>
    <row r="1029" spans="1:19" x14ac:dyDescent="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</row>
    <row r="1030" spans="1:19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</row>
    <row r="1031" spans="1:19" x14ac:dyDescent="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</row>
    <row r="1032" spans="1:19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</row>
    <row r="1033" spans="1:19" x14ac:dyDescent="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</row>
    <row r="1034" spans="1:19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</row>
    <row r="1035" spans="1:19" x14ac:dyDescent="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</row>
    <row r="1036" spans="1:19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</row>
    <row r="1037" spans="1:19" x14ac:dyDescent="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</row>
    <row r="1038" spans="1:19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</row>
    <row r="1039" spans="1:19" x14ac:dyDescent="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</row>
    <row r="1040" spans="1:19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</row>
    <row r="1041" spans="1:19" x14ac:dyDescent="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</row>
    <row r="1042" spans="1:19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</row>
    <row r="1043" spans="1:19" x14ac:dyDescent="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</row>
    <row r="1044" spans="1:19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</row>
    <row r="1045" spans="1:19" x14ac:dyDescent="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</row>
    <row r="1046" spans="1:19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</row>
    <row r="1047" spans="1:19" x14ac:dyDescent="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</row>
    <row r="1048" spans="1:19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</row>
    <row r="1049" spans="1:19" x14ac:dyDescent="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</row>
    <row r="1050" spans="1:19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</row>
    <row r="1051" spans="1:19" x14ac:dyDescent="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</row>
    <row r="1052" spans="1:19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</row>
    <row r="1053" spans="1:19" x14ac:dyDescent="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</row>
    <row r="1054" spans="1:19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</row>
    <row r="1055" spans="1:19" x14ac:dyDescent="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</row>
    <row r="1056" spans="1:19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</row>
    <row r="1057" spans="1:19" x14ac:dyDescent="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</row>
    <row r="1058" spans="1:19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</row>
    <row r="1059" spans="1:19" x14ac:dyDescent="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</row>
    <row r="1060" spans="1:19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</row>
    <row r="1061" spans="1:19" x14ac:dyDescent="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</row>
    <row r="1062" spans="1:19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</row>
    <row r="1063" spans="1:19" x14ac:dyDescent="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</row>
    <row r="1064" spans="1:19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</row>
    <row r="1065" spans="1:19" x14ac:dyDescent="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</row>
    <row r="1066" spans="1:19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</row>
    <row r="1067" spans="1:19" x14ac:dyDescent="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</row>
    <row r="1068" spans="1:19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</row>
    <row r="1069" spans="1:19" x14ac:dyDescent="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</row>
    <row r="1070" spans="1:19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</row>
    <row r="1071" spans="1:19" x14ac:dyDescent="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</row>
    <row r="1072" spans="1:19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</row>
    <row r="1073" spans="1:19" x14ac:dyDescent="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</row>
    <row r="1074" spans="1:19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</row>
    <row r="1075" spans="1:19" x14ac:dyDescent="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</row>
    <row r="1076" spans="1:19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</row>
    <row r="1077" spans="1:19" x14ac:dyDescent="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</row>
    <row r="1078" spans="1:19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</row>
    <row r="1079" spans="1:19" x14ac:dyDescent="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</row>
    <row r="1080" spans="1:19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</row>
    <row r="1081" spans="1:19" x14ac:dyDescent="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</row>
    <row r="1082" spans="1:19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</row>
    <row r="1083" spans="1:19" x14ac:dyDescent="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</row>
    <row r="1084" spans="1:19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</row>
    <row r="1085" spans="1:19" x14ac:dyDescent="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</row>
    <row r="1086" spans="1:19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</row>
    <row r="1087" spans="1:19" x14ac:dyDescent="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</row>
    <row r="1088" spans="1:19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</row>
    <row r="1089" spans="1:19" x14ac:dyDescent="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</row>
    <row r="1090" spans="1:19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</row>
    <row r="1091" spans="1:19" x14ac:dyDescent="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</row>
    <row r="1092" spans="1:19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</row>
    <row r="1093" spans="1:19" x14ac:dyDescent="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</row>
    <row r="1094" spans="1:19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</row>
    <row r="1095" spans="1:19" x14ac:dyDescent="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</row>
    <row r="1096" spans="1:19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</row>
    <row r="1097" spans="1:19" x14ac:dyDescent="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</row>
    <row r="1098" spans="1:19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</row>
    <row r="1099" spans="1:19" x14ac:dyDescent="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</row>
    <row r="1100" spans="1:19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</row>
    <row r="1101" spans="1:19" x14ac:dyDescent="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</row>
    <row r="1102" spans="1:19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</row>
    <row r="1103" spans="1:19" x14ac:dyDescent="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</row>
    <row r="1104" spans="1:19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</row>
    <row r="1105" spans="1:19" x14ac:dyDescent="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</row>
    <row r="1106" spans="1:19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</row>
    <row r="1107" spans="1:19" x14ac:dyDescent="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</row>
    <row r="1108" spans="1:19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</row>
    <row r="1109" spans="1:19" x14ac:dyDescent="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</row>
    <row r="1110" spans="1:19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</row>
    <row r="1111" spans="1:19" x14ac:dyDescent="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</row>
    <row r="1112" spans="1:19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</row>
    <row r="1113" spans="1:19" x14ac:dyDescent="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</row>
    <row r="1114" spans="1:19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</row>
    <row r="1115" spans="1:19" x14ac:dyDescent="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</row>
    <row r="1116" spans="1:19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</row>
    <row r="1117" spans="1:19" x14ac:dyDescent="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</row>
    <row r="1118" spans="1:19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</row>
    <row r="1119" spans="1:19" x14ac:dyDescent="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</row>
    <row r="1120" spans="1:19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</row>
    <row r="1121" spans="1:19" x14ac:dyDescent="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</row>
    <row r="1122" spans="1:19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</row>
    <row r="1123" spans="1:19" x14ac:dyDescent="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</row>
    <row r="1124" spans="1:19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</row>
    <row r="1125" spans="1:19" x14ac:dyDescent="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</row>
    <row r="1126" spans="1:19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E6D364-A706-4EC2-BE2D-B390C0D3BC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Кат</vt:lpstr>
      <vt:lpstr>Торг</vt:lpstr>
      <vt:lpstr>ПРАЙС</vt:lpstr>
      <vt:lpstr>Наценка</vt:lpstr>
      <vt:lpstr>Выгр Кат</vt:lpstr>
      <vt:lpstr>Выгр Торг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Snab TimeTurbo</cp:lastModifiedBy>
  <dcterms:created xsi:type="dcterms:W3CDTF">2006-09-28T05:33:49Z</dcterms:created>
  <dcterms:modified xsi:type="dcterms:W3CDTF">2024-07-04T06:20:21Z</dcterms:modified>
</cp:coreProperties>
</file>