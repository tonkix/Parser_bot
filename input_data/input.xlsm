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31E7FE83-10F0-4C6B-8CE3-021AD8CF28B3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Торг" sheetId="6" r:id="rId2"/>
    <sheet name="Импорт" sheetId="4" r:id="rId3"/>
    <sheet name="Наценка" sheetId="3" r:id="rId4"/>
    <sheet name="Выгр Кат" sheetId="2" r:id="rId5"/>
    <sheet name="Выгр Торг" sheetId="5" r:id="rId6"/>
    <sheet name="ссылки" sheetId="7" r:id="rId7"/>
    <sheet name="Из ГУГЛа" sheetId="8" r:id="rId8"/>
  </sheets>
  <definedNames>
    <definedName name="_xlnm._FilterDatabase" localSheetId="4" hidden="1">'Выгр Кат'!$A$1:$O$36</definedName>
    <definedName name="_xlnm._FilterDatabase" localSheetId="5" hidden="1">'Выгр Торг'!$A$1:$Q$9</definedName>
    <definedName name="_xlnm._FilterDatabase" localSheetId="2" hidden="1">Импорт!$A$2:$C$2</definedName>
    <definedName name="_xlnm._FilterDatabase" localSheetId="0" hidden="1">Кат!$A$2:$AE$40</definedName>
    <definedName name="_xlnm._FilterDatabase" localSheetId="1" hidden="1">Торг!$A$2:$AG$2</definedName>
    <definedName name="ExternalData_1" localSheetId="7" hidden="1">'Из ГУГЛа'!$A$1:$T$518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1" l="1"/>
  <c r="K30" i="1"/>
  <c r="K50" i="1"/>
  <c r="U36" i="1"/>
  <c r="U35" i="1"/>
  <c r="U34" i="1"/>
  <c r="U13" i="1"/>
  <c r="K13" i="1" s="1"/>
  <c r="U12" i="1"/>
  <c r="K12" i="1" s="1"/>
  <c r="U11" i="1"/>
  <c r="U10" i="1"/>
  <c r="K10" i="1" s="1"/>
  <c r="U9" i="1"/>
  <c r="K9" i="1" s="1"/>
  <c r="U8" i="1"/>
  <c r="K8" i="1" s="1"/>
  <c r="U7" i="1"/>
  <c r="U5" i="1"/>
  <c r="K5" i="1" s="1"/>
  <c r="V7" i="6"/>
  <c r="AD1" i="6"/>
  <c r="V10" i="6"/>
  <c r="V9" i="6"/>
  <c r="V8" i="6"/>
  <c r="AB4" i="6"/>
  <c r="AB5" i="6"/>
  <c r="AB6" i="6"/>
  <c r="AB7" i="6"/>
  <c r="AB8" i="6"/>
  <c r="AB9" i="6"/>
  <c r="AB10" i="6"/>
  <c r="AB3" i="6"/>
  <c r="W4" i="6"/>
  <c r="W5" i="6"/>
  <c r="W6" i="6"/>
  <c r="W7" i="6"/>
  <c r="W8" i="6"/>
  <c r="W9" i="6"/>
  <c r="W10" i="6"/>
  <c r="W3" i="6"/>
  <c r="Y1" i="6"/>
  <c r="U33" i="1"/>
  <c r="K33" i="1" s="1"/>
  <c r="U32" i="1"/>
  <c r="K32" i="1" s="1"/>
  <c r="U31" i="1"/>
  <c r="U26" i="1"/>
  <c r="U24" i="1"/>
  <c r="U23" i="1"/>
  <c r="U21" i="1"/>
  <c r="U20" i="1"/>
  <c r="K20" i="1" s="1"/>
  <c r="U19" i="1"/>
  <c r="U18" i="1"/>
  <c r="U17" i="1"/>
  <c r="U16" i="1"/>
  <c r="K16" i="1" s="1"/>
  <c r="U15" i="1"/>
  <c r="K15" i="1" s="1"/>
  <c r="U14" i="1"/>
  <c r="K14" i="1" s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AC1" i="1"/>
  <c r="AA3" i="1"/>
  <c r="V3" i="1"/>
  <c r="X1" i="1"/>
  <c r="K23" i="1"/>
  <c r="K26" i="1"/>
  <c r="K36" i="1"/>
  <c r="K35" i="1"/>
  <c r="K34" i="1"/>
  <c r="K31" i="1"/>
  <c r="A4" i="6"/>
  <c r="A5" i="6"/>
  <c r="A6" i="6"/>
  <c r="A7" i="6"/>
  <c r="A8" i="6"/>
  <c r="A9" i="6"/>
  <c r="A10" i="6"/>
  <c r="A3" i="6"/>
  <c r="K7" i="1"/>
  <c r="K18" i="1"/>
  <c r="K17" i="1"/>
  <c r="K49" i="1"/>
  <c r="K48" i="1"/>
  <c r="K47" i="1"/>
  <c r="K46" i="1"/>
  <c r="K45" i="1"/>
  <c r="K44" i="1"/>
  <c r="K43" i="1"/>
  <c r="B37" i="1"/>
  <c r="C37" i="1"/>
  <c r="D37" i="1"/>
  <c r="F37" i="1"/>
  <c r="J37" i="1"/>
  <c r="K37" i="1" s="1"/>
  <c r="L37" i="1" s="1"/>
  <c r="Q37" i="1" s="1"/>
  <c r="M37" i="1"/>
  <c r="O37" i="1" s="1"/>
  <c r="N37" i="1"/>
  <c r="T37" i="1"/>
  <c r="B38" i="1"/>
  <c r="C38" i="1"/>
  <c r="D38" i="1"/>
  <c r="E38" i="1"/>
  <c r="F38" i="1"/>
  <c r="J38" i="1"/>
  <c r="K38" i="1" s="1"/>
  <c r="L38" i="1" s="1"/>
  <c r="Q38" i="1" s="1"/>
  <c r="M38" i="1"/>
  <c r="O38" i="1" s="1"/>
  <c r="N38" i="1"/>
  <c r="T38" i="1"/>
  <c r="B39" i="1"/>
  <c r="C39" i="1"/>
  <c r="D39" i="1"/>
  <c r="E39" i="1"/>
  <c r="F39" i="1"/>
  <c r="J39" i="1"/>
  <c r="K39" i="1" s="1"/>
  <c r="L39" i="1" s="1"/>
  <c r="Q39" i="1" s="1"/>
  <c r="M39" i="1"/>
  <c r="O39" i="1" s="1"/>
  <c r="N39" i="1"/>
  <c r="T39" i="1"/>
  <c r="B40" i="1"/>
  <c r="C40" i="1"/>
  <c r="D40" i="1"/>
  <c r="E40" i="1"/>
  <c r="F40" i="1"/>
  <c r="J40" i="1"/>
  <c r="K40" i="1" s="1"/>
  <c r="L40" i="1" s="1"/>
  <c r="Q40" i="1" s="1"/>
  <c r="M40" i="1"/>
  <c r="O40" i="1" s="1"/>
  <c r="N40" i="1"/>
  <c r="T40" i="1"/>
  <c r="C4" i="6"/>
  <c r="D4" i="6"/>
  <c r="E4" i="6"/>
  <c r="G4" i="6"/>
  <c r="C5" i="6"/>
  <c r="D5" i="6"/>
  <c r="E5" i="6"/>
  <c r="G5" i="6"/>
  <c r="C6" i="6"/>
  <c r="D6" i="6"/>
  <c r="E6" i="6"/>
  <c r="G6" i="6"/>
  <c r="C7" i="6"/>
  <c r="D7" i="6"/>
  <c r="E7" i="6"/>
  <c r="F7" i="6"/>
  <c r="G7" i="6"/>
  <c r="C8" i="6"/>
  <c r="D8" i="6"/>
  <c r="E8" i="6"/>
  <c r="G8" i="6"/>
  <c r="C9" i="6"/>
  <c r="D9" i="6"/>
  <c r="E9" i="6"/>
  <c r="G9" i="6"/>
  <c r="C10" i="6"/>
  <c r="D10" i="6"/>
  <c r="E10" i="6"/>
  <c r="G10" i="6"/>
  <c r="O10" i="6"/>
  <c r="N10" i="6"/>
  <c r="O9" i="6"/>
  <c r="N9" i="6"/>
  <c r="O8" i="6"/>
  <c r="N8" i="6"/>
  <c r="O7" i="6"/>
  <c r="N7" i="6"/>
  <c r="O6" i="6"/>
  <c r="N6" i="6"/>
  <c r="O5" i="6"/>
  <c r="N5" i="6"/>
  <c r="O4" i="6"/>
  <c r="N4" i="6"/>
  <c r="O3" i="6"/>
  <c r="N3" i="6"/>
  <c r="G3" i="6"/>
  <c r="E3" i="6"/>
  <c r="C3" i="6"/>
  <c r="D3" i="6"/>
  <c r="B4" i="1"/>
  <c r="C4" i="1"/>
  <c r="D4" i="1"/>
  <c r="F4" i="1"/>
  <c r="B5" i="1"/>
  <c r="C5" i="1"/>
  <c r="D5" i="1"/>
  <c r="F5" i="1"/>
  <c r="B6" i="1"/>
  <c r="C6" i="1"/>
  <c r="D6" i="1"/>
  <c r="F6" i="1"/>
  <c r="B7" i="1"/>
  <c r="C7" i="1"/>
  <c r="D7" i="1"/>
  <c r="F7" i="1"/>
  <c r="B8" i="1"/>
  <c r="C8" i="1"/>
  <c r="D8" i="1"/>
  <c r="F8" i="1"/>
  <c r="B9" i="1"/>
  <c r="C9" i="1"/>
  <c r="D9" i="1"/>
  <c r="F9" i="1"/>
  <c r="B10" i="1"/>
  <c r="C10" i="1"/>
  <c r="D10" i="1"/>
  <c r="F10" i="1"/>
  <c r="B11" i="1"/>
  <c r="C11" i="1"/>
  <c r="D11" i="1"/>
  <c r="F11" i="1"/>
  <c r="B12" i="1"/>
  <c r="C12" i="1"/>
  <c r="D12" i="1"/>
  <c r="F12" i="1"/>
  <c r="B13" i="1"/>
  <c r="C13" i="1"/>
  <c r="D13" i="1"/>
  <c r="F13" i="1"/>
  <c r="B14" i="1"/>
  <c r="C14" i="1"/>
  <c r="D14" i="1"/>
  <c r="F14" i="1"/>
  <c r="B15" i="1"/>
  <c r="C15" i="1"/>
  <c r="D15" i="1"/>
  <c r="F15" i="1"/>
  <c r="B16" i="1"/>
  <c r="C16" i="1"/>
  <c r="D16" i="1"/>
  <c r="F16" i="1"/>
  <c r="B17" i="1"/>
  <c r="C17" i="1"/>
  <c r="D17" i="1"/>
  <c r="F17" i="1"/>
  <c r="B18" i="1"/>
  <c r="C18" i="1"/>
  <c r="D18" i="1"/>
  <c r="F18" i="1"/>
  <c r="B19" i="1"/>
  <c r="C19" i="1"/>
  <c r="D19" i="1"/>
  <c r="F19" i="1"/>
  <c r="B20" i="1"/>
  <c r="C20" i="1"/>
  <c r="D20" i="1"/>
  <c r="F20" i="1"/>
  <c r="B21" i="1"/>
  <c r="C21" i="1"/>
  <c r="D21" i="1"/>
  <c r="F21" i="1"/>
  <c r="B22" i="1"/>
  <c r="C22" i="1"/>
  <c r="D22" i="1"/>
  <c r="F22" i="1"/>
  <c r="B23" i="1"/>
  <c r="C23" i="1"/>
  <c r="D23" i="1"/>
  <c r="F23" i="1"/>
  <c r="B24" i="1"/>
  <c r="C24" i="1"/>
  <c r="D24" i="1"/>
  <c r="F24" i="1"/>
  <c r="B25" i="1"/>
  <c r="C25" i="1"/>
  <c r="D25" i="1"/>
  <c r="F25" i="1"/>
  <c r="B26" i="1"/>
  <c r="C26" i="1"/>
  <c r="D26" i="1"/>
  <c r="F26" i="1"/>
  <c r="B27" i="1"/>
  <c r="C27" i="1"/>
  <c r="D27" i="1"/>
  <c r="F27" i="1"/>
  <c r="B28" i="1"/>
  <c r="C28" i="1"/>
  <c r="D28" i="1"/>
  <c r="F28" i="1"/>
  <c r="B29" i="1"/>
  <c r="C29" i="1"/>
  <c r="D29" i="1"/>
  <c r="F29" i="1"/>
  <c r="B30" i="1"/>
  <c r="C30" i="1"/>
  <c r="D30" i="1"/>
  <c r="F30" i="1"/>
  <c r="B31" i="1"/>
  <c r="C31" i="1"/>
  <c r="D31" i="1"/>
  <c r="F31" i="1"/>
  <c r="B32" i="1"/>
  <c r="C32" i="1"/>
  <c r="D32" i="1"/>
  <c r="F32" i="1"/>
  <c r="B33" i="1"/>
  <c r="C33" i="1"/>
  <c r="D33" i="1"/>
  <c r="F33" i="1"/>
  <c r="B34" i="1"/>
  <c r="C34" i="1"/>
  <c r="D34" i="1"/>
  <c r="F34" i="1"/>
  <c r="B35" i="1"/>
  <c r="C35" i="1"/>
  <c r="D35" i="1"/>
  <c r="F35" i="1"/>
  <c r="B36" i="1"/>
  <c r="C36" i="1"/>
  <c r="D36" i="1"/>
  <c r="F36" i="1"/>
  <c r="N36" i="1"/>
  <c r="M36" i="1"/>
  <c r="O36" i="1" s="1"/>
  <c r="N35" i="1"/>
  <c r="M35" i="1"/>
  <c r="O35" i="1" s="1"/>
  <c r="N34" i="1"/>
  <c r="M34" i="1"/>
  <c r="O34" i="1" s="1"/>
  <c r="N33" i="1"/>
  <c r="M33" i="1"/>
  <c r="O33" i="1" s="1"/>
  <c r="N32" i="1"/>
  <c r="M32" i="1"/>
  <c r="O32" i="1" s="1"/>
  <c r="N31" i="1"/>
  <c r="M31" i="1"/>
  <c r="O31" i="1" s="1"/>
  <c r="N30" i="1"/>
  <c r="M30" i="1"/>
  <c r="N29" i="1"/>
  <c r="M29" i="1"/>
  <c r="N28" i="1"/>
  <c r="M28" i="1"/>
  <c r="N27" i="1"/>
  <c r="M27" i="1"/>
  <c r="N26" i="1"/>
  <c r="M26" i="1"/>
  <c r="N25" i="1"/>
  <c r="M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F3" i="1"/>
  <c r="D3" i="1"/>
  <c r="B3" i="1"/>
  <c r="C3" i="1"/>
  <c r="N2" i="2"/>
  <c r="N3" i="2"/>
  <c r="N4" i="2"/>
  <c r="N5" i="2"/>
  <c r="N6" i="2"/>
  <c r="N7" i="2"/>
  <c r="N8" i="2"/>
  <c r="N9" i="2"/>
  <c r="N10" i="2"/>
  <c r="N11" i="2"/>
  <c r="E27" i="1" s="1"/>
  <c r="N12" i="2"/>
  <c r="E29" i="1" s="1"/>
  <c r="N13" i="2"/>
  <c r="N14" i="2"/>
  <c r="E7" i="1" s="1"/>
  <c r="N15" i="2"/>
  <c r="E6" i="1" s="1"/>
  <c r="N16" i="2"/>
  <c r="E9" i="1" s="1"/>
  <c r="N17" i="2"/>
  <c r="N18" i="2"/>
  <c r="N19" i="2"/>
  <c r="N20" i="2"/>
  <c r="N21" i="2"/>
  <c r="N22" i="2"/>
  <c r="N23" i="2"/>
  <c r="E16" i="1" s="1"/>
  <c r="N24" i="2"/>
  <c r="E15" i="1" s="1"/>
  <c r="N25" i="2"/>
  <c r="N26" i="2"/>
  <c r="E14" i="1" s="1"/>
  <c r="N27" i="2"/>
  <c r="E21" i="1" s="1"/>
  <c r="N28" i="2"/>
  <c r="E23" i="1" s="1"/>
  <c r="N29" i="2"/>
  <c r="N30" i="2"/>
  <c r="N31" i="2"/>
  <c r="N32" i="2"/>
  <c r="N33" i="2"/>
  <c r="N34" i="2"/>
  <c r="N35" i="2"/>
  <c r="N36" i="2"/>
  <c r="E18" i="1" s="1"/>
  <c r="E31" i="1"/>
  <c r="E35" i="1"/>
  <c r="E33" i="1"/>
  <c r="E32" i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2" i="2"/>
  <c r="P3" i="5"/>
  <c r="F4" i="6" s="1"/>
  <c r="Q3" i="5"/>
  <c r="P4" i="5"/>
  <c r="F5" i="6" s="1"/>
  <c r="Q4" i="5"/>
  <c r="P5" i="5"/>
  <c r="F6" i="6" s="1"/>
  <c r="Q5" i="5"/>
  <c r="P6" i="5"/>
  <c r="Q6" i="5"/>
  <c r="P7" i="5"/>
  <c r="F8" i="6" s="1"/>
  <c r="Q7" i="5"/>
  <c r="P8" i="5"/>
  <c r="F9" i="6" s="1"/>
  <c r="Q8" i="5"/>
  <c r="P9" i="5"/>
  <c r="F10" i="6" s="1"/>
  <c r="Q9" i="5"/>
  <c r="Q2" i="5"/>
  <c r="P2" i="5"/>
  <c r="F3" i="6" s="1"/>
  <c r="R39" i="1" l="1"/>
  <c r="E17" i="1"/>
  <c r="E8" i="1"/>
  <c r="E28" i="1"/>
  <c r="E20" i="1"/>
  <c r="E25" i="1"/>
  <c r="E12" i="1"/>
  <c r="E11" i="1"/>
  <c r="E34" i="1"/>
  <c r="E13" i="1"/>
  <c r="E24" i="1"/>
  <c r="E19" i="1"/>
  <c r="E26" i="1"/>
  <c r="E5" i="1"/>
  <c r="E36" i="1"/>
  <c r="E30" i="1"/>
  <c r="E10" i="1"/>
  <c r="E4" i="1"/>
  <c r="E22" i="1"/>
  <c r="E37" i="1"/>
  <c r="E3" i="1"/>
  <c r="P38" i="1"/>
  <c r="P39" i="1"/>
  <c r="P40" i="1"/>
  <c r="P37" i="1"/>
  <c r="R37" i="1"/>
  <c r="S37" i="1"/>
  <c r="R38" i="1"/>
  <c r="S38" i="1"/>
  <c r="S39" i="1"/>
  <c r="T4" i="1"/>
  <c r="I4" i="1"/>
  <c r="O4" i="1" s="1"/>
  <c r="H1" i="1"/>
  <c r="R40" i="1" l="1"/>
  <c r="S40" i="1"/>
  <c r="J4" i="1"/>
  <c r="K4" i="1" s="1"/>
  <c r="L4" i="1" s="1"/>
  <c r="P4" i="1" l="1"/>
  <c r="Q4" i="1"/>
  <c r="S4" i="1" s="1"/>
  <c r="T6" i="1"/>
  <c r="T27" i="1"/>
  <c r="T28" i="1"/>
  <c r="T29" i="1"/>
  <c r="T30" i="1"/>
  <c r="T31" i="1"/>
  <c r="T32" i="1"/>
  <c r="T33" i="1"/>
  <c r="T34" i="1"/>
  <c r="T35" i="1"/>
  <c r="T36" i="1"/>
  <c r="T3" i="1"/>
  <c r="R4" i="1" l="1"/>
  <c r="L6" i="6"/>
  <c r="L5" i="6"/>
  <c r="L4" i="6"/>
  <c r="L3" i="6"/>
  <c r="L8" i="6" l="1"/>
  <c r="L10" i="6"/>
  <c r="L7" i="6"/>
  <c r="L9" i="6"/>
  <c r="L13" i="6"/>
  <c r="L17" i="6"/>
  <c r="L16" i="6"/>
  <c r="L15" i="6"/>
  <c r="L14" i="6"/>
  <c r="L12" i="6"/>
  <c r="J4" i="6"/>
  <c r="J7" i="6"/>
  <c r="J8" i="6"/>
  <c r="P8" i="6" s="1"/>
  <c r="J3" i="6"/>
  <c r="U4" i="6" l="1"/>
  <c r="P4" i="6"/>
  <c r="U7" i="6"/>
  <c r="P7" i="6"/>
  <c r="M3" i="6"/>
  <c r="P3" i="6"/>
  <c r="U8" i="6"/>
  <c r="K8" i="6"/>
  <c r="M8" i="6" s="1"/>
  <c r="J6" i="6"/>
  <c r="P6" i="6" s="1"/>
  <c r="U3" i="6"/>
  <c r="J10" i="6"/>
  <c r="P10" i="6" s="1"/>
  <c r="M4" i="6"/>
  <c r="K7" i="6"/>
  <c r="M7" i="6" s="1"/>
  <c r="J9" i="6"/>
  <c r="J5" i="6"/>
  <c r="R4" i="6" l="1"/>
  <c r="Q4" i="6"/>
  <c r="R8" i="6"/>
  <c r="S8" i="6" s="1"/>
  <c r="K4" i="6" s="1"/>
  <c r="Q8" i="6"/>
  <c r="R3" i="6"/>
  <c r="T3" i="6" s="1"/>
  <c r="Q3" i="6"/>
  <c r="R7" i="6"/>
  <c r="S7" i="6" s="1"/>
  <c r="K3" i="6" s="1"/>
  <c r="Q7" i="6"/>
  <c r="S3" i="6"/>
  <c r="U5" i="6"/>
  <c r="P5" i="6"/>
  <c r="U9" i="6"/>
  <c r="P9" i="6"/>
  <c r="M6" i="6"/>
  <c r="U6" i="6"/>
  <c r="K10" i="6"/>
  <c r="U10" i="6"/>
  <c r="S4" i="6"/>
  <c r="T4" i="6"/>
  <c r="M5" i="6"/>
  <c r="K9" i="6"/>
  <c r="M9" i="6" s="1"/>
  <c r="U1" i="6" l="1"/>
  <c r="T7" i="6"/>
  <c r="R9" i="6"/>
  <c r="Q9" i="6"/>
  <c r="R5" i="6"/>
  <c r="T5" i="6" s="1"/>
  <c r="Q5" i="6"/>
  <c r="R6" i="6"/>
  <c r="Q6" i="6"/>
  <c r="T8" i="6"/>
  <c r="S6" i="6"/>
  <c r="T6" i="6"/>
  <c r="T9" i="6"/>
  <c r="S9" i="6"/>
  <c r="K5" i="6" s="1"/>
  <c r="S5" i="6" l="1"/>
  <c r="K42" i="1"/>
  <c r="I1" i="1" l="1"/>
  <c r="K1" i="1"/>
  <c r="I22" i="1" l="1"/>
  <c r="I18" i="1"/>
  <c r="I15" i="1"/>
  <c r="I17" i="1"/>
  <c r="I23" i="1"/>
  <c r="I20" i="1"/>
  <c r="I25" i="1"/>
  <c r="I24" i="1"/>
  <c r="I19" i="1"/>
  <c r="I26" i="1"/>
  <c r="I30" i="1"/>
  <c r="I21" i="1"/>
  <c r="I14" i="1"/>
  <c r="I16" i="1"/>
  <c r="I8" i="1"/>
  <c r="I12" i="1"/>
  <c r="I11" i="1"/>
  <c r="I13" i="1"/>
  <c r="I7" i="1"/>
  <c r="I5" i="1"/>
  <c r="I10" i="1"/>
  <c r="I9" i="1"/>
  <c r="I6" i="1"/>
  <c r="I3" i="1"/>
  <c r="I29" i="1"/>
  <c r="I28" i="1"/>
  <c r="I27" i="1"/>
  <c r="O6" i="1" l="1"/>
  <c r="O30" i="1"/>
  <c r="O3" i="1"/>
  <c r="O27" i="1"/>
  <c r="O28" i="1"/>
  <c r="O29" i="1"/>
  <c r="T23" i="1"/>
  <c r="O23" i="1"/>
  <c r="T13" i="1"/>
  <c r="O13" i="1"/>
  <c r="T15" i="1"/>
  <c r="O15" i="1"/>
  <c r="T11" i="1"/>
  <c r="O11" i="1"/>
  <c r="T8" i="1"/>
  <c r="O8" i="1"/>
  <c r="T18" i="1"/>
  <c r="O18" i="1"/>
  <c r="T14" i="1"/>
  <c r="O14" i="1"/>
  <c r="T9" i="1"/>
  <c r="O9" i="1"/>
  <c r="T26" i="1"/>
  <c r="O26" i="1"/>
  <c r="T20" i="1"/>
  <c r="O20" i="1"/>
  <c r="T17" i="1"/>
  <c r="O17" i="1"/>
  <c r="T22" i="1"/>
  <c r="O22" i="1"/>
  <c r="T12" i="1"/>
  <c r="O12" i="1"/>
  <c r="T16" i="1"/>
  <c r="O16" i="1"/>
  <c r="T21" i="1"/>
  <c r="O21" i="1"/>
  <c r="T24" i="1"/>
  <c r="O24" i="1"/>
  <c r="T10" i="1"/>
  <c r="O10" i="1"/>
  <c r="T19" i="1"/>
  <c r="O19" i="1"/>
  <c r="T5" i="1"/>
  <c r="O5" i="1"/>
  <c r="T7" i="1"/>
  <c r="O7" i="1"/>
  <c r="T25" i="1"/>
  <c r="O25" i="1"/>
  <c r="J22" i="1"/>
  <c r="K22" i="1" s="1"/>
  <c r="J18" i="1"/>
  <c r="J27" i="1"/>
  <c r="K27" i="1" s="1"/>
  <c r="J28" i="1"/>
  <c r="K28" i="1" s="1"/>
  <c r="J29" i="1"/>
  <c r="K29" i="1" s="1"/>
  <c r="J3" i="1"/>
  <c r="K3" i="1" s="1"/>
  <c r="J6" i="1"/>
  <c r="K6" i="1" s="1"/>
  <c r="J9" i="1"/>
  <c r="J10" i="1"/>
  <c r="J5" i="1"/>
  <c r="J7" i="1"/>
  <c r="J13" i="1"/>
  <c r="J11" i="1"/>
  <c r="J12" i="1"/>
  <c r="J8" i="1"/>
  <c r="J16" i="1"/>
  <c r="J14" i="1"/>
  <c r="J21" i="1"/>
  <c r="K21" i="1" s="1"/>
  <c r="J30" i="1"/>
  <c r="J26" i="1"/>
  <c r="J19" i="1"/>
  <c r="J24" i="1"/>
  <c r="K24" i="1" s="1"/>
  <c r="J25" i="1"/>
  <c r="K25" i="1" s="1"/>
  <c r="J20" i="1"/>
  <c r="J23" i="1"/>
  <c r="J17" i="1"/>
  <c r="J15" i="1"/>
  <c r="J32" i="1"/>
  <c r="J35" i="1"/>
  <c r="J36" i="1"/>
  <c r="J33" i="1"/>
  <c r="J31" i="1"/>
  <c r="J34" i="1"/>
  <c r="T1" i="1" l="1"/>
  <c r="L22" i="1"/>
  <c r="L14" i="1"/>
  <c r="L16" i="1"/>
  <c r="L3" i="1"/>
  <c r="L34" i="1"/>
  <c r="L8" i="1"/>
  <c r="L29" i="1"/>
  <c r="L31" i="1"/>
  <c r="L12" i="1"/>
  <c r="L28" i="1"/>
  <c r="L33" i="1"/>
  <c r="L20" i="1"/>
  <c r="L11" i="1"/>
  <c r="L27" i="1"/>
  <c r="L35" i="1"/>
  <c r="L24" i="1"/>
  <c r="L7" i="1"/>
  <c r="L32" i="1"/>
  <c r="L19" i="1"/>
  <c r="L5" i="1"/>
  <c r="L26" i="1"/>
  <c r="L10" i="1"/>
  <c r="L17" i="1"/>
  <c r="L6" i="1"/>
  <c r="L15" i="1"/>
  <c r="L30" i="1"/>
  <c r="L9" i="1"/>
  <c r="L23" i="1"/>
  <c r="L21" i="1"/>
  <c r="L18" i="1"/>
  <c r="L36" i="1"/>
  <c r="L25" i="1"/>
  <c r="L13" i="1"/>
  <c r="P33" i="1" l="1"/>
  <c r="Q33" i="1"/>
  <c r="P20" i="1"/>
  <c r="Q20" i="1"/>
  <c r="P31" i="1"/>
  <c r="Q31" i="1"/>
  <c r="S31" i="1" s="1"/>
  <c r="P12" i="1"/>
  <c r="Q12" i="1"/>
  <c r="R12" i="1" s="1"/>
  <c r="P13" i="1"/>
  <c r="Q13" i="1"/>
  <c r="R13" i="1" s="1"/>
  <c r="P36" i="1"/>
  <c r="Q36" i="1"/>
  <c r="R36" i="1" s="1"/>
  <c r="P8" i="1"/>
  <c r="Q8" i="1"/>
  <c r="R8" i="1" s="1"/>
  <c r="P6" i="1"/>
  <c r="Q6" i="1"/>
  <c r="S6" i="1" s="1"/>
  <c r="P19" i="1"/>
  <c r="Q19" i="1"/>
  <c r="S19" i="1" s="1"/>
  <c r="P34" i="1"/>
  <c r="Q34" i="1"/>
  <c r="S34" i="1" s="1"/>
  <c r="P10" i="1"/>
  <c r="Q10" i="1"/>
  <c r="S10" i="1" s="1"/>
  <c r="P29" i="1"/>
  <c r="Q29" i="1"/>
  <c r="R29" i="1" s="1"/>
  <c r="P23" i="1"/>
  <c r="Q23" i="1"/>
  <c r="S23" i="1" s="1"/>
  <c r="P3" i="1"/>
  <c r="Q3" i="1"/>
  <c r="S3" i="1" s="1"/>
  <c r="P17" i="1"/>
  <c r="Q17" i="1"/>
  <c r="S17" i="1" s="1"/>
  <c r="P5" i="1"/>
  <c r="Q5" i="1"/>
  <c r="R5" i="1" s="1"/>
  <c r="P32" i="1"/>
  <c r="Q32" i="1"/>
  <c r="R32" i="1" s="1"/>
  <c r="P9" i="1"/>
  <c r="Q9" i="1"/>
  <c r="R9" i="1" s="1"/>
  <c r="P35" i="1"/>
  <c r="Q35" i="1"/>
  <c r="R35" i="1" s="1"/>
  <c r="P16" i="1"/>
  <c r="Q16" i="1"/>
  <c r="P28" i="1"/>
  <c r="Q28" i="1"/>
  <c r="R28" i="1" s="1"/>
  <c r="P18" i="1"/>
  <c r="Q18" i="1"/>
  <c r="S18" i="1" s="1"/>
  <c r="P24" i="1"/>
  <c r="Q24" i="1"/>
  <c r="R24" i="1" s="1"/>
  <c r="P30" i="1"/>
  <c r="Q30" i="1"/>
  <c r="S30" i="1" s="1"/>
  <c r="P27" i="1"/>
  <c r="Q27" i="1"/>
  <c r="S27" i="1" s="1"/>
  <c r="P14" i="1"/>
  <c r="Q14" i="1"/>
  <c r="S14" i="1" s="1"/>
  <c r="P26" i="1"/>
  <c r="Q26" i="1"/>
  <c r="S26" i="1" s="1"/>
  <c r="P25" i="1"/>
  <c r="Q25" i="1"/>
  <c r="R25" i="1" s="1"/>
  <c r="P21" i="1"/>
  <c r="Q21" i="1"/>
  <c r="R21" i="1" s="1"/>
  <c r="P7" i="1"/>
  <c r="Q7" i="1"/>
  <c r="S7" i="1" s="1"/>
  <c r="P15" i="1"/>
  <c r="Q15" i="1"/>
  <c r="R15" i="1" s="1"/>
  <c r="P11" i="1"/>
  <c r="Q11" i="1"/>
  <c r="R11" i="1" s="1"/>
  <c r="P22" i="1"/>
  <c r="Q22" i="1"/>
  <c r="S22" i="1" s="1"/>
  <c r="R16" i="1"/>
  <c r="S16" i="1"/>
  <c r="R26" i="1"/>
  <c r="R20" i="1"/>
  <c r="S20" i="1"/>
  <c r="S8" i="1"/>
  <c r="S33" i="1"/>
  <c r="R33" i="1"/>
  <c r="S35" i="1"/>
  <c r="R31" i="1"/>
  <c r="R6" i="1" l="1"/>
  <c r="R18" i="1"/>
  <c r="R17" i="1"/>
  <c r="S12" i="1"/>
  <c r="S11" i="1"/>
  <c r="R19" i="1"/>
  <c r="R23" i="1"/>
  <c r="S32" i="1"/>
  <c r="S13" i="1"/>
  <c r="R27" i="1"/>
  <c r="S21" i="1"/>
  <c r="S25" i="1"/>
  <c r="R3" i="1"/>
  <c r="R22" i="1"/>
  <c r="S24" i="1"/>
  <c r="S28" i="1"/>
  <c r="R7" i="1"/>
  <c r="R30" i="1"/>
  <c r="S36" i="1"/>
  <c r="S9" i="1"/>
  <c r="R14" i="1"/>
  <c r="R34" i="1"/>
  <c r="S5" i="1"/>
  <c r="S1" i="1" s="1"/>
  <c r="R10" i="1"/>
  <c r="S29" i="1"/>
  <c r="S15" i="1"/>
  <c r="M10" i="6"/>
  <c r="R1" i="1" l="1"/>
  <c r="R10" i="6"/>
  <c r="Q10" i="6"/>
  <c r="T10" i="6"/>
  <c r="T1" i="6" s="1"/>
  <c r="S10" i="6"/>
  <c r="S1" i="6" l="1"/>
  <c r="K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B5BEF3-E4B4-4386-8883-8D9F2E75CA89}" keepAlive="1" name="Запрос — саша эур" description="Соединение с запросом &quot;саша эур&quot; в книге." type="5" refreshedVersion="7" background="1" saveData="1">
    <dbPr connection="Provider=Microsoft.Mashup.OleDb.1;Data Source=$Workbook$;Location=саша эур;Extended Properties=&quot;&quot;" command="SELECT * FROM [саша эур]"/>
  </connection>
</connections>
</file>

<file path=xl/sharedStrings.xml><?xml version="1.0" encoding="utf-8"?>
<sst xmlns="http://schemas.openxmlformats.org/spreadsheetml/2006/main" count="632" uniqueCount="176">
  <si>
    <t>ID</t>
  </si>
  <si>
    <t>Комплект для установки ЭУР ВАЗ 2101-2107 "Классика"</t>
  </si>
  <si>
    <t>Комплект для установки ЭУР Лада Нива 4x4, Шеви Нива ВАЗ 2123</t>
  </si>
  <si>
    <t>1</t>
  </si>
  <si>
    <t>Комплект перехода на регулируемую рулевую колонку для ВАЗ 2104-2107</t>
  </si>
  <si>
    <t>Кронштейн для установки рулевой колонки ВАЗ 2112 на Лада Нива 4x4</t>
  </si>
  <si>
    <t>Кронштейн для установки электроусилителя руля 2101-2107, Нива</t>
  </si>
  <si>
    <t>Кронштейн для установки электроусилителя руля Калина, Гранта</t>
  </si>
  <si>
    <t>Кулиса КПП (ВАЗ 1117-1119)</t>
  </si>
  <si>
    <t>Переходник для подрулевых переключателей</t>
  </si>
  <si>
    <t>Регулируемая рулевая колонка для Лада Нива 4x4</t>
  </si>
  <si>
    <t>Рулевой вал ВАЗ 2101-2107 промежуточный универсальный ЭУР под рулевой редуктор 2106</t>
  </si>
  <si>
    <t>Рулевой вал промежуточный на Лада Калина ЭУР</t>
  </si>
  <si>
    <t>Рулевой вал промежуточный универсальный ЭУР для ВАЗ 2108-2115, 2110-2112, Лада Приора</t>
  </si>
  <si>
    <t>Рулевой вал промежуточный ЭУР для ВАЗ 2101-2107 (с рулевым редуктором 2101)</t>
  </si>
  <si>
    <t>саша эур</t>
  </si>
  <si>
    <t>Рулевой вал промежуточный (карданчик) для установки ЭУР для ВАЗ 2101-2107</t>
  </si>
  <si>
    <t>Кронштейн для установки электроусилителя руля для ВАЗ (2108-21099, 2110-2112, 2113-2115), Лада Приора</t>
  </si>
  <si>
    <t>Поставщик</t>
  </si>
  <si>
    <t>Разн</t>
  </si>
  <si>
    <t>Закуп</t>
  </si>
  <si>
    <t>Розн</t>
  </si>
  <si>
    <t>Произ.</t>
  </si>
  <si>
    <t>Факт</t>
  </si>
  <si>
    <t>Наименование</t>
  </si>
  <si>
    <t>Розница</t>
  </si>
  <si>
    <t>4</t>
  </si>
  <si>
    <t>6</t>
  </si>
  <si>
    <t>Комплект для установки ЭУР для ВАЗ 2108-21099, 2113-2115</t>
  </si>
  <si>
    <t>Шестерня разрезная ГРМ Спорт (стальная ступица) для ВАЗ 2108-21099, 2110-2112, 2113-2115 (8-ми клапанный двигатель)</t>
  </si>
  <si>
    <t>11186342209286</t>
  </si>
  <si>
    <t>21214340109211</t>
  </si>
  <si>
    <t>снят</t>
  </si>
  <si>
    <t>нет без руля</t>
  </si>
  <si>
    <t>Установочный комплект ЭУР для Лада Нива 4х4 (Карбюратор)</t>
  </si>
  <si>
    <t>Установочный комплект ЭУР для Лада Нива 4х4 (Инжектор)</t>
  </si>
  <si>
    <t>Установочный комплект ЭУР для ВАЗ 2101-2107 (Карбюратор)</t>
  </si>
  <si>
    <t>Установочный комплект ЭУР для ВАЗ 2101-2107 (Инжектор)</t>
  </si>
  <si>
    <t>Установочный комплект ЭУР (без руля) для Лада Нива 4х4 (Карбюратор)</t>
  </si>
  <si>
    <t>Установочный комплект ЭУР (без руля) для Лада Нива 4х4</t>
  </si>
  <si>
    <t>Установочный комплект ЭУР (без руля) для Лада Нива 4х4 (Инжектор)</t>
  </si>
  <si>
    <t>Установочный комплект ЭУР (без руля) для ВАЗ 2101-2107 (Карбюратор)</t>
  </si>
  <si>
    <t>Установочный комплект ЭУР (без руля) для ВАЗ 2101-2107</t>
  </si>
  <si>
    <t>Установочный комплект ЭУР (без руля) для ВАЗ 2101-2107 (Инжектор)</t>
  </si>
  <si>
    <t>Артикул</t>
  </si>
  <si>
    <t>Ст З</t>
  </si>
  <si>
    <t>Ст Р</t>
  </si>
  <si>
    <t>%</t>
  </si>
  <si>
    <t>Рек</t>
  </si>
  <si>
    <t>MR</t>
  </si>
  <si>
    <t>Датчик имитации скорости для ВАЗ (2101-2107, 2108-21099), Лада Нива 4х4 (карбюраторный двигатель)</t>
  </si>
  <si>
    <t>https://motorring.ru/product/8509-ustanovochnyy-komplekt-elektrousilitelya-rulya-bez-eura</t>
  </si>
  <si>
    <t>https://motorring.ru/product/8508-ustanovochnyy-komplekt-elektrousilitelya-rulya-4x4</t>
  </si>
  <si>
    <t>https://motorring.ru/product/18819-kronshteyn-dlya-ustanovki-elektrousilitelya-rulya-vaz</t>
  </si>
  <si>
    <t>https://motorring.ru/product/12739-kronshteyn-dlya-ustanovki-elektrousilitelya-rulya-eur-lada</t>
  </si>
  <si>
    <t>https://motorring.ru/product/14798-perehodnik-dlya-podrulevyh-pereklyuchateley</t>
  </si>
  <si>
    <t>https://motorring.ru/product/6848-shesternya-grm-razreznaya-odnoryadnaya-pod-datchik-faz</t>
  </si>
  <si>
    <t>https://motorring.ru/product/4687-promeghutochnyy-rulevoy-val-kardanchik-dlya-ustanovki-eur</t>
  </si>
  <si>
    <t>https://motorring.ru/product/34018-promeghutochnyy-rulevoy-val-ustanovki-eur-vaz-2108-2115</t>
  </si>
  <si>
    <t>https://motorring.ru/product/15768-elektrousilitely-rulya-kaluga-priory-komplektom-dlya</t>
  </si>
  <si>
    <t>https://motorring.ru/product/7525-shesterni-razreznye-grm-staly-datchikom-faz-16kl-lada</t>
  </si>
  <si>
    <t>https://motorring.ru/product/2308-kulisa-kpp-korotkohodnaya-vaz-2113-2114-2115</t>
  </si>
  <si>
    <t>https://motorring.ru/product/15770-elektrousilitely-rulya-kaluga-priory-komplektom-dlya</t>
  </si>
  <si>
    <t>https://motorring.ru/product/40426-elektrousilitely-rulya-kaluga-komplektom-pod-01-reductor-2101</t>
  </si>
  <si>
    <t>https://motorring.ru/product/15769-elektrousilitely-rulya-kaluga-priory-komplektom-dlya</t>
  </si>
  <si>
    <t>https://motorring.ru/product/18811-promeghutochnyy-rulevoy-val-kardanchik-pod-reduktor-dlya</t>
  </si>
  <si>
    <t>https://motorring.ru/product/18812-promeghutochnyy-rulevoy-val-kardanchik-dlya-ustanovki-eur</t>
  </si>
  <si>
    <t>https://motorring.ru/product/28465-promeghutochnyy-rulevoy-val-kardanchik-dvustoronney</t>
  </si>
  <si>
    <t>https://motorring.ru/product/5800-shesternya-razreznaya-grm-stalynaya-stupica-vaz-2108-21099</t>
  </si>
  <si>
    <t>https://motorring.ru/product/2307-kulisa-kpp-korotkohodnaya-vaz-2110-2112-lada-priora</t>
  </si>
  <si>
    <t>https://motorring.ru/product/2310</t>
  </si>
  <si>
    <t>https://motorring.ru/product/7532-razreznaya-shesternya-grm-staly-lada-priora-kalina-granta</t>
  </si>
  <si>
    <t>https://motorring.ru/product/7527-shesterni-razreznye-grm-sport-staly-datchikom-faz-16kl-vaz</t>
  </si>
  <si>
    <t>https://motorring.ru/product/15767-elektrousilitely-rulya-kaluga-priory-komplektom-dlya</t>
  </si>
  <si>
    <t>https://motorring.ru/product/7530-shesternya-razreznaya-grm-sport-staly-vaz-2108-21099</t>
  </si>
  <si>
    <t>https://motorring.ru/product/1043-val-rulevoy-promeghutochnyy-sbore-sharnirom-shevrole-niva</t>
  </si>
  <si>
    <t>https://motorring.ru/product/10946-korotkohodnaya-kulisa-dlya-trosikovoy-kpp-lada-kalina</t>
  </si>
  <si>
    <t>https://motorring.ru/product/4686-kronshteyn-dlya-ustanovki-elektrousilitelya-rulya-vaz</t>
  </si>
  <si>
    <t>https://motorring.ru/product/8508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</si>
  <si>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</si>
  <si>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</si>
  <si>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</si>
  <si>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</si>
  <si>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</si>
  <si>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</si>
  <si>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</si>
  <si>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</si>
  <si>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</si>
  <si>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</si>
  <si>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</si>
  <si>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</si>
  <si>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</si>
  <si>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</si>
  <si>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</si>
  <si>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</si>
  <si>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</si>
  <si>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</si>
  <si>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</si>
  <si>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</si>
  <si>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#VALUE!</t>
  </si>
  <si>
    <t>https://docs.google.com/spreadsheets/d/1f8_y-lcqVEuKpceVw_F97NEKzue5YmQtx8GIXUS_2B8/export?format=xlsx</t>
  </si>
  <si>
    <t>//*[@id="e-curr-price"]/text()</t>
  </si>
  <si>
    <t>//*[@class="p_club_price pb5"]/text()</t>
  </si>
  <si>
    <t>Ссылка</t>
  </si>
  <si>
    <t>Цена</t>
  </si>
  <si>
    <t/>
  </si>
  <si>
    <t>Кулиса КПП короткоходная для ВАЗ 2108-21099, 2113-2115</t>
  </si>
  <si>
    <t>Кулиса КПП короткоходная для ВАЗ 2110-2112, Лада Приора</t>
  </si>
  <si>
    <t>Вал рулевой карданный для Лада Нива 4х4 с ГУР</t>
  </si>
  <si>
    <t>Наименование элемента</t>
  </si>
  <si>
    <t>Y</t>
  </si>
  <si>
    <t>0</t>
  </si>
  <si>
    <t>Разрезная шестерня ГРМ без датчика фаз (однорядная) для Шевроле Нива</t>
  </si>
  <si>
    <t>Разрезные шестерни ГРМ ВАЗ 2112 (Сталь) СПОРТ</t>
  </si>
  <si>
    <t>Установочный комплект ЭУР для ВАЗ 2101-2107</t>
  </si>
  <si>
    <t>Установочный комплект ЭУР для Лада Нива 4х4</t>
  </si>
  <si>
    <t>СЦЕПКА</t>
  </si>
  <si>
    <t>Код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</si>
  <si>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</si>
  <si>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</si>
  <si>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</si>
  <si>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</si>
  <si>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</si>
  <si>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</si>
  <si>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Под заказ</t>
  </si>
  <si>
    <t>N</t>
  </si>
  <si>
    <t>Короткоходная кулиса (тросовая) для Лада Калина, Гранта (КПП ВАЗ 2181)</t>
  </si>
  <si>
    <t>Разрезная шестерня ГРМ под датчик фаз (однорядная) для Шевроле Нива</t>
  </si>
  <si>
    <t>Электроусилитель руля (ЭУР) "Калуга" для Лада Нива 4х4 (инжектор)</t>
  </si>
  <si>
    <t>Электроусилитель руля (ЭУР) "Калуга" под рулевой редуктор 01, 06 для ВАЗ 2101-2107 (инжектор)</t>
  </si>
  <si>
    <t>Электроусилитель руля (ЭУР) "Калуга" под рулевой редуктор 01, 06 для ВАЗ 2101-2107 (карбюратор)</t>
  </si>
  <si>
    <t>Электроусилитель руля (ЭУР) "Калуга" под рулевой редуктор 05 для ВАЗ 2101-2107 (инжектор)</t>
  </si>
  <si>
    <t>Электроусилитель руля (ЭУР) "Калуга" под рулевой редуктор 05 для ВАЗ 2101-2107 (карбюратор)</t>
  </si>
  <si>
    <t>Электроусилитель руля (ЭУР) для Лада Нива 4х4 (карбюратор)</t>
  </si>
  <si>
    <t>Элемент каталога</t>
  </si>
  <si>
    <t>Код товара</t>
  </si>
  <si>
    <t>Ряд</t>
  </si>
  <si>
    <t>Кат. Номер</t>
  </si>
  <si>
    <t>СВОД</t>
  </si>
  <si>
    <t>Данные</t>
  </si>
  <si>
    <t>Переменные</t>
  </si>
  <si>
    <t>9990 снят</t>
  </si>
  <si>
    <t>Элемент</t>
  </si>
  <si>
    <t>Выбор</t>
  </si>
  <si>
    <t>33s</t>
  </si>
  <si>
    <t>(дубль) Разрезная шестерня ГРМ под датчик фаз для Лада Нива 4х4, Шевроле Нива</t>
  </si>
  <si>
    <t>Разрезная шестерня ГРМ (сталь) для Лада Калина 2, Гранта (с 8-ми клапанным двигателем)</t>
  </si>
  <si>
    <t>Разрезные шестерни ГРМ (Сталь) СПОРТ для Лада Приора (с 16-ти клапанным двигателем)</t>
  </si>
  <si>
    <t>Шестерня разрезная ГРМ (стальная ступица) для ВАЗ (2108-21099, 2110-2112, 2113-2115), Лада (Калина, Калина 2, Приора, Приора 2,Гранта) (с 8-ми клапанным двигателем)</t>
  </si>
  <si>
    <t>https://33sport.ru/catalog/rulevoe_upravlenie/komplektuyushchie_rulevogo_mekhanizma/kronshtejn_dlja_ustanovki_jelektrousilitelja_rulja_na_avt_kalina_gr/</t>
  </si>
  <si>
    <t>https://33sport.ru/catalog/transmissiya/korotkokhodnye_kulisy/kulisa_korotkohodnaja_kpp_2181_trosikovaja/</t>
  </si>
  <si>
    <t>https://33sport.ru/catalog/rulevoe_upravlenie/usilitel_rulya/zhgut_provodki_dlya_podrulevykh_pereklyuchateley_vaz_dopolnitelnyy/</t>
  </si>
  <si>
    <t>https://33sport.ru/catalog/rulevoe_upravlenie/usilitel_rulya/plastina_ustanovki_elektrousilitelya_rulya_vaz_2101_2107_2121/</t>
  </si>
  <si>
    <t>https://33sport.ru/catalog/transmissiya/korotkokhodnye_kulisy/korotkohodnaja_kulisa_dlja_avtomobilej_vaz_2108/</t>
  </si>
  <si>
    <t>https://33sport.ru/catalog/transmissiya/korotkokhodnye_kulisy/korotkohodnaja_kulisa_dlja_avtomobilej_vaz_2110/</t>
  </si>
  <si>
    <t>https://33sport.ru/catalog/dvigatel/shesterni_shkivy_grm/shesternja_razreznaja_grm_2123_pod_datchik_faz/</t>
  </si>
  <si>
    <t>https://33sport.ru/catalog/rulevoe_upravlenie/usilitel_rulya/rulevoy_val_kardanchik_dlya_ustanovki_eur_na_klassiku/</t>
  </si>
  <si>
    <t>https://33sport.ru/catalog/rulevoe_upravlenie/usilitel_rulya/rulevoy_val_-kardanchik-_dlya_ustanovki_eur_na_vaz_2101-_2106_reguliruemyy/</t>
  </si>
  <si>
    <t>https://33sport.ru/catalog/rulevoe_upravlenie/usilitel_rulya/kardanchik_dlya_ustanovki_elektrousilitelya_rulya_vaz_2108_2112_universalnyy/</t>
  </si>
  <si>
    <t>https://33sport.ru/catalog/rulevoe_upravlenie/usilitel_rulya/rulevoy_val_-kardanchik-_dlya_ustanovki_eur_na_vaz_2101-_2106/</t>
  </si>
  <si>
    <t>https://33sport.ru/catalog/rulevoe_upravlenie/usilitel_rulya/ustanovochnyy_komplekt_eur_dlya_vaz_2105-2107_-inzhektor/</t>
  </si>
  <si>
    <t>https://33sport.ru/catalog/rulevoe_upravlenie/usilitel_rulya/ustanovochnyy_komplekt_eur_dlya_vaz_2121_-karbyurator/</t>
  </si>
  <si>
    <t>https://33sport.ru/catalog/rulevoe_upravlenie/usilitel_rulya/ustanovochnyy_komplekt_eur_dlya_vaz_2101-2107_-inzhektor/</t>
  </si>
  <si>
    <t>https://33sport.ru/catalog/rulevoe_upravlenie/usilitel_rulya/elektrousilitel_rulya_dlya_vaz_2101_2107_klassika_s_korotkim_valom_karbyurator_ot_lada_priora/</t>
  </si>
  <si>
    <t>https://33sport.ru/catalog/rulevoe_upravlenie/usilitel_rulya/elektrousilitel_rulya_21213_-polnyy_komplekt-_karbyurator/</t>
  </si>
  <si>
    <t>https://33sport.ru/catalog/rulevoe_upravlenie/usilitel_rulya/elektrousilitel_rulya_dlya_vaz_2101_2107_klassika_s_dlinnym_valom_inzhektor_ot_lada_priora/</t>
  </si>
  <si>
    <t>https://33sport.ru/catalog/rulevoe_upravlenie/usilitel_rulya/elektrousilitel_rulya_dlya_vaz_2101_2107_klassika_inzhektor_ot_lada_priora/</t>
  </si>
  <si>
    <t>Google</t>
  </si>
  <si>
    <t>Доп.</t>
  </si>
  <si>
    <t>https://33sport.ru/catalog/rulevoe_upravlenie/komplektuyushchie_rulevogo_mekhanizma/rulevaya_reguliruemaya_kolonka_dlya_lada_niva_4x4/</t>
  </si>
  <si>
    <t>14300 снят</t>
  </si>
  <si>
    <t>https://33sport.ru/catalog/rulevoe_upravlenie/usilitel_rulya/datchik_imitatsii_skorosti_dlya_karbyuratornykh_dvigateley/</t>
  </si>
  <si>
    <t>https://33sport.ru/catalog/rulevoe_upravlenie/komplektuyushchie_rulevogo_mekhanizma/komplekt_perekhoda_na_reguliruemuyu_rulevuyu_kolonku_vaz_2110_dlya_vaz_2105-_2107/</t>
  </si>
  <si>
    <t>не нашел</t>
  </si>
  <si>
    <t>https://33sport.ru/catalog/rulevoe_upravlenie/usilitel_rulya/plastina_ustanovki_elektrousilitelya_rulya_vaz_2108_2110/</t>
  </si>
  <si>
    <t>https://33sport.ru/catalog/transmissiya/korotkokhodnye_kulisy/korotkohodnaja_kulisa_dlja_avtomobilej_vaz_kalina/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</si>
</sst>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3" fillId="0" borderId="0" applyNumberFormat="0" applyFill="0" applyBorder="0" applyAlignment="0" applyProtection="0"/>
    <xf numFmtId="0" fontId="7" fillId="34" borderId="1" applyNumberFormat="0" applyFont="0" applyBorder="0" applyAlignment="0" applyProtection="0"/>
    <xf numFmtId="0" fontId="8" fillId="28" borderId="2" applyNumberFormat="0" applyFont="0" applyBorder="0" applyAlignment="0" applyProtection="0"/>
    <xf numFmtId="0" fontId="9" fillId="35" borderId="3" applyNumberFormat="0" applyFont="0" applyBorder="0" applyAlignment="0" applyProtection="0"/>
    <xf numFmtId="0" fontId="9" fillId="0" borderId="11" applyNumberFormat="0" applyFont="0" applyFill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4" fillId="0" borderId="14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5" fillId="0" borderId="15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6" fillId="0" borderId="16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4" fillId="32" borderId="17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1" fillId="33" borderId="18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7" fillId="3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2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5">
    <xf numFmtId="0" fontId="0" fillId="0" borderId="0" xfId="0"/>
    <xf numFmtId="2" fontId="4" fillId="0" borderId="10" xfId="0" applyNumberFormat="1" applyFont="1" applyBorder="1" applyAlignment="1">
      <alignment horizontal="left" wrapText="1"/>
    </xf>
    <xf numFmtId="0" fontId="0" fillId="29" borderId="11" xfId="0" applyFill="1" applyBorder="1"/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2" fontId="11" fillId="3" borderId="10" xfId="7" applyNumberFormat="1" applyBorder="1" applyAlignment="1">
      <alignment horizontal="right" wrapText="1"/>
    </xf>
    <xf numFmtId="0" fontId="24" fillId="0" borderId="14" xfId="18" applyAlignment="1">
      <alignment horizontal="center" vertical="center" wrapText="1"/>
    </xf>
    <xf numFmtId="0" fontId="0" fillId="28" borderId="12" xfId="0" applyFill="1" applyBorder="1" applyAlignment="1">
      <alignment horizontal="center"/>
    </xf>
    <xf numFmtId="0" fontId="0" fillId="28" borderId="12" xfId="3" applyFont="1" applyBorder="1" applyAlignment="1">
      <alignment horizontal="center"/>
    </xf>
    <xf numFmtId="0" fontId="5" fillId="0" borderId="0" xfId="0" applyFont="1" applyAlignment="1">
      <alignment horizontal="left" vertical="top" wrapText="1"/>
    </xf>
    <xf numFmtId="1" fontId="0" fillId="0" borderId="11" xfId="0" applyNumberFormat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39" borderId="11" xfId="0" applyFont="1" applyFill="1" applyBorder="1" applyAlignment="1">
      <alignment horizontal="left" vertical="top" wrapText="1"/>
    </xf>
    <xf numFmtId="0" fontId="6" fillId="28" borderId="11" xfId="0" applyFont="1" applyFill="1" applyBorder="1" applyAlignment="1">
      <alignment horizontal="left" vertical="top" wrapText="1"/>
    </xf>
    <xf numFmtId="9" fontId="6" fillId="41" borderId="11" xfId="44" applyFont="1" applyFill="1" applyBorder="1" applyAlignment="1">
      <alignment horizontal="left" vertical="top" wrapText="1"/>
    </xf>
    <xf numFmtId="9" fontId="29" fillId="41" borderId="11" xfId="0" applyNumberFormat="1" applyFont="1" applyFill="1" applyBorder="1" applyAlignment="1">
      <alignment horizontal="left" vertical="center"/>
    </xf>
    <xf numFmtId="0" fontId="0" fillId="0" borderId="11" xfId="0" applyBorder="1"/>
    <xf numFmtId="0" fontId="0" fillId="0" borderId="11" xfId="0" applyBorder="1" applyAlignment="1">
      <alignment wrapText="1"/>
    </xf>
    <xf numFmtId="2" fontId="4" fillId="28" borderId="11" xfId="0" applyNumberFormat="1" applyFont="1" applyFill="1" applyBorder="1" applyAlignment="1">
      <alignment horizontal="left" wrapText="1"/>
    </xf>
    <xf numFmtId="0" fontId="29" fillId="41" borderId="11" xfId="0" applyFont="1" applyFill="1" applyBorder="1" applyAlignment="1">
      <alignment horizontal="left" vertical="center"/>
    </xf>
    <xf numFmtId="1" fontId="6" fillId="40" borderId="11" xfId="0" applyNumberFormat="1" applyFont="1" applyFill="1" applyBorder="1" applyAlignment="1">
      <alignment horizontal="left" vertical="top" wrapText="1"/>
    </xf>
    <xf numFmtId="1" fontId="28" fillId="38" borderId="11" xfId="0" applyNumberFormat="1" applyFont="1" applyFill="1" applyBorder="1" applyAlignment="1">
      <alignment horizontal="left" vertical="center" wrapText="1"/>
    </xf>
    <xf numFmtId="1" fontId="28" fillId="37" borderId="11" xfId="0" applyNumberFormat="1" applyFont="1" applyFill="1" applyBorder="1" applyAlignment="1">
      <alignment horizontal="left" vertical="center" wrapText="1"/>
    </xf>
    <xf numFmtId="1" fontId="28" fillId="30" borderId="11" xfId="0" applyNumberFormat="1" applyFont="1" applyFill="1" applyBorder="1" applyAlignment="1">
      <alignment horizontal="left" vertical="center" wrapText="1"/>
    </xf>
    <xf numFmtId="1" fontId="28" fillId="36" borderId="11" xfId="0" applyNumberFormat="1" applyFont="1" applyFill="1" applyBorder="1" applyAlignment="1">
      <alignment horizontal="left" vertical="center" wrapText="1"/>
    </xf>
    <xf numFmtId="1" fontId="28" fillId="35" borderId="11" xfId="0" applyNumberFormat="1" applyFont="1" applyFill="1" applyBorder="1" applyAlignment="1">
      <alignment horizontal="left" vertical="center" wrapText="1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9" fontId="0" fillId="0" borderId="0" xfId="44" applyFont="1" applyAlignment="1">
      <alignment horizontal="left"/>
    </xf>
    <xf numFmtId="1" fontId="11" fillId="3" borderId="10" xfId="7" applyNumberFormat="1" applyBorder="1" applyAlignment="1">
      <alignment horizontal="left" wrapText="1"/>
    </xf>
    <xf numFmtId="1" fontId="0" fillId="0" borderId="0" xfId="0" applyNumberFormat="1" applyAlignment="1">
      <alignment horizontal="left"/>
    </xf>
    <xf numFmtId="9" fontId="0" fillId="28" borderId="11" xfId="0" applyNumberFormat="1" applyFill="1" applyBorder="1" applyAlignment="1">
      <alignment horizontal="left"/>
    </xf>
    <xf numFmtId="2" fontId="0" fillId="28" borderId="0" xfId="0" applyNumberFormat="1" applyFill="1" applyAlignment="1">
      <alignment horizontal="left"/>
    </xf>
    <xf numFmtId="49" fontId="4" fillId="0" borderId="10" xfId="0" applyNumberFormat="1" applyFont="1" applyBorder="1" applyAlignment="1">
      <alignment horizontal="left" wrapText="1"/>
    </xf>
    <xf numFmtId="1" fontId="4" fillId="28" borderId="10" xfId="0" applyNumberFormat="1" applyFont="1" applyFill="1" applyBorder="1" applyAlignment="1">
      <alignment horizontal="left" wrapText="1"/>
    </xf>
    <xf numFmtId="1" fontId="4" fillId="0" borderId="10" xfId="0" applyNumberFormat="1" applyFont="1" applyBorder="1" applyAlignment="1">
      <alignment horizontal="left" wrapText="1"/>
    </xf>
    <xf numFmtId="1" fontId="4" fillId="28" borderId="13" xfId="0" applyNumberFormat="1" applyFont="1" applyFill="1" applyBorder="1" applyAlignment="1">
      <alignment horizontal="left" wrapText="1"/>
    </xf>
    <xf numFmtId="0" fontId="23" fillId="0" borderId="11" xfId="0" applyFont="1" applyBorder="1" applyAlignment="1">
      <alignment horizontal="left" vertical="center" wrapText="1"/>
    </xf>
    <xf numFmtId="2" fontId="23" fillId="0" borderId="11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9" fontId="2" fillId="0" borderId="11" xfId="44" applyFont="1" applyBorder="1" applyAlignment="1">
      <alignment horizontal="left" wrapText="1"/>
    </xf>
    <xf numFmtId="0" fontId="24" fillId="0" borderId="14" xfId="18" applyAlignment="1">
      <alignment horizontal="left" vertical="center" wrapText="1"/>
    </xf>
    <xf numFmtId="0" fontId="24" fillId="0" borderId="14" xfId="18" applyAlignment="1">
      <alignment horizontal="left" vertical="center"/>
    </xf>
    <xf numFmtId="1" fontId="6" fillId="28" borderId="11" xfId="0" applyNumberFormat="1" applyFont="1" applyFill="1" applyBorder="1" applyAlignment="1">
      <alignment horizontal="left" vertical="top" wrapText="1"/>
    </xf>
    <xf numFmtId="1" fontId="6" fillId="0" borderId="11" xfId="0" applyNumberFormat="1" applyFont="1" applyBorder="1" applyAlignment="1">
      <alignment horizontal="left" vertical="top" wrapText="1"/>
    </xf>
    <xf numFmtId="1" fontId="28" fillId="42" borderId="11" xfId="0" applyNumberFormat="1" applyFont="1" applyFill="1" applyBorder="1" applyAlignment="1">
      <alignment horizontal="left" vertical="center" wrapText="1"/>
    </xf>
    <xf numFmtId="1" fontId="4" fillId="28" borderId="11" xfId="0" applyNumberFormat="1" applyFont="1" applyFill="1" applyBorder="1" applyAlignment="1">
      <alignment horizontal="left" wrapText="1"/>
    </xf>
    <xf numFmtId="2" fontId="4" fillId="42" borderId="10" xfId="0" applyNumberFormat="1" applyFont="1" applyFill="1" applyBorder="1" applyAlignment="1">
      <alignment horizontal="left" wrapText="1"/>
    </xf>
    <xf numFmtId="1" fontId="6" fillId="41" borderId="11" xfId="44" applyNumberFormat="1" applyFont="1" applyFill="1" applyBorder="1" applyAlignment="1">
      <alignment horizontal="left" vertical="top" wrapText="1"/>
    </xf>
    <xf numFmtId="1" fontId="29" fillId="41" borderId="11" xfId="0" applyNumberFormat="1" applyFont="1" applyFill="1" applyBorder="1" applyAlignment="1">
      <alignment horizontal="left" vertical="center"/>
    </xf>
    <xf numFmtId="1" fontId="0" fillId="41" borderId="11" xfId="0" applyNumberFormat="1" applyFill="1" applyBorder="1" applyAlignment="1">
      <alignment horizontal="left"/>
    </xf>
    <xf numFmtId="1" fontId="0" fillId="27" borderId="11" xfId="0" applyNumberFormat="1" applyFill="1" applyBorder="1" applyAlignment="1">
      <alignment horizontal="left"/>
    </xf>
    <xf numFmtId="1" fontId="0" fillId="43" borderId="11" xfId="0" applyNumberFormat="1" applyFill="1" applyBorder="1" applyAlignment="1">
      <alignment horizontal="left"/>
    </xf>
    <xf numFmtId="1" fontId="0" fillId="36" borderId="11" xfId="0" applyNumberFormat="1" applyFill="1" applyBorder="1" applyAlignment="1">
      <alignment horizontal="left"/>
    </xf>
    <xf numFmtId="1" fontId="0" fillId="44" borderId="11" xfId="0" applyNumberFormat="1" applyFill="1" applyBorder="1" applyAlignment="1">
      <alignment horizontal="left"/>
    </xf>
    <xf numFmtId="1" fontId="4" fillId="35" borderId="11" xfId="0" applyNumberFormat="1" applyFont="1" applyFill="1" applyBorder="1" applyAlignment="1">
      <alignment horizontal="left" vertical="center"/>
    </xf>
    <xf numFmtId="1" fontId="4" fillId="42" borderId="11" xfId="0" applyNumberFormat="1" applyFont="1" applyFill="1" applyBorder="1" applyAlignment="1">
      <alignment horizontal="left" vertical="center"/>
    </xf>
    <xf numFmtId="0" fontId="6" fillId="39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/>
    </xf>
    <xf numFmtId="0" fontId="25" fillId="0" borderId="15" xfId="22" applyAlignment="1">
      <alignment horizontal="left"/>
    </xf>
    <xf numFmtId="0" fontId="12" fillId="4" borderId="11" xfId="8" applyBorder="1" applyAlignment="1">
      <alignment horizontal="left" vertical="center"/>
    </xf>
    <xf numFmtId="0" fontId="10" fillId="2" borderId="11" xfId="6" applyBorder="1" applyAlignment="1">
      <alignment horizontal="left" vertical="center"/>
    </xf>
    <xf numFmtId="2" fontId="23" fillId="0" borderId="19" xfId="0" applyNumberFormat="1" applyFont="1" applyBorder="1" applyAlignment="1">
      <alignment horizontal="left" vertical="center" wrapText="1"/>
    </xf>
    <xf numFmtId="0" fontId="6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6" fillId="28" borderId="11" xfId="0" applyNumberFormat="1" applyFont="1" applyFill="1" applyBorder="1" applyAlignment="1" applyProtection="1">
      <alignment horizontal="left" vertical="top" wrapText="1"/>
    </xf>
    <xf numFmtId="0" fontId="6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6" fillId="28" borderId="11" xfId="0" applyNumberFormat="1" applyFont="1" applyFill="1" applyBorder="1" applyAlignment="1" applyProtection="1">
      <alignment horizontal="left" vertical="top" wrapText="1"/>
    </xf>
    <xf numFmtId="2" fontId="23" fillId="0" borderId="20" xfId="0" applyNumberFormat="1" applyFont="1" applyBorder="1" applyAlignment="1">
      <alignment horizontal="left" vertical="center" wrapText="1"/>
    </xf>
    <xf numFmtId="0" fontId="0" fillId="41" borderId="11" xfId="0" applyFill="1" applyBorder="1" applyAlignment="1">
      <alignment horizontal="left" vertical="center"/>
    </xf>
    <xf numFmtId="9" fontId="30" fillId="41" borderId="11" xfId="0" applyNumberFormat="1" applyFont="1" applyFill="1" applyBorder="1" applyAlignment="1">
      <alignment horizontal="left" vertical="center"/>
    </xf>
    <xf numFmtId="0" fontId="0" fillId="45" borderId="11" xfId="0" applyFill="1" applyBorder="1" applyAlignment="1">
      <alignment horizontal="left" vertical="center"/>
    </xf>
    <xf numFmtId="1" fontId="30" fillId="41" borderId="11" xfId="0" applyNumberFormat="1" applyFont="1" applyFill="1" applyBorder="1" applyAlignment="1">
      <alignment horizontal="left" vertical="center"/>
    </xf>
    <xf numFmtId="0" fontId="24" fillId="0" borderId="11" xfId="18" applyBorder="1" applyAlignment="1">
      <alignment horizontal="left" vertical="center" wrapText="1"/>
    </xf>
    <xf numFmtId="0" fontId="24" fillId="0" borderId="14" xfId="18"/>
    <xf numFmtId="9" fontId="0" fillId="0" borderId="0" xfId="0" applyNumberFormat="1" applyAlignment="1">
      <alignment horizontal="left"/>
    </xf>
    <xf numFmtId="9" fontId="6" fillId="41" borderId="11" xfId="45" applyFont="1" applyFill="1" applyBorder="1" applyAlignment="1">
      <alignment horizontal="left" vertical="top" wrapText="1"/>
    </xf>
    <xf numFmtId="1" fontId="6" fillId="41" borderId="11" xfId="45" applyNumberFormat="1" applyFont="1" applyFill="1" applyBorder="1" applyAlignment="1">
      <alignment horizontal="left" vertical="top" wrapText="1"/>
    </xf>
  </cellXfs>
  <cellStyles count="46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Обычный 2" xfId="43" xr:uid="{DB5DCFF2-FDC3-4845-A5F1-95E811DBE176}"/>
    <cellStyle name="Открывавшаяся гиперссылка" xfId="42" builtinId="9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5" builtinId="5"/>
    <cellStyle name="Процентный 2" xfId="44" xr:uid="{CF94ABDD-30F1-4737-B0C8-79F7DEAC245D}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</xdr:row>
          <xdr:rowOff>28575</xdr:rowOff>
        </xdr:from>
        <xdr:to>
          <xdr:col>13</xdr:col>
          <xdr:colOff>0</xdr:colOff>
          <xdr:row>5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581393-7D8B-49AD-B7C8-87B6AA945597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E685F-E6E6-4545-8615-FC38A9DF99EF}" name="саша_эур" displayName="саша_эур" ref="A1:T518" tableType="queryTable" totalsRowShown="0">
  <autoFilter ref="A1:T518" xr:uid="{9031127F-2EA6-41EF-8712-FF2DAEF786F7}"/>
  <tableColumns count="20">
    <tableColumn id="1" xr3:uid="{009D0C42-FAC8-4285-BA99-93AB7DC7D731}" uniqueName="1" name="Column1" queryTableFieldId="1"/>
    <tableColumn id="2" xr3:uid="{3B1B391C-6224-48E1-88B2-EAD3AD1D912E}" uniqueName="2" name="Column2" queryTableFieldId="2"/>
    <tableColumn id="3" xr3:uid="{FD84A10B-18E3-4526-A4CD-C5185E532C95}" uniqueName="3" name="Column3" queryTableFieldId="3"/>
    <tableColumn id="4" xr3:uid="{070AF97D-9845-41F2-BC63-198BDB34C78B}" uniqueName="4" name="Column4" queryTableFieldId="4"/>
    <tableColumn id="5" xr3:uid="{65D32B6A-4BAB-4472-8EC9-983FBFD2D397}" uniqueName="5" name="Column5" queryTableFieldId="5"/>
    <tableColumn id="6" xr3:uid="{0CA12670-39B7-4725-9827-72112D4E3D69}" uniqueName="6" name="Column6" queryTableFieldId="6"/>
    <tableColumn id="7" xr3:uid="{FCBF28FA-8974-41D5-BDE1-C1413DA8EB66}" uniqueName="7" name="Column7" queryTableFieldId="7"/>
    <tableColumn id="8" xr3:uid="{AA3D6ACB-81F3-4FD1-B666-3235CDCEDC17}" uniqueName="8" name="Column8" queryTableFieldId="8"/>
    <tableColumn id="9" xr3:uid="{3E19BB9D-A127-4C2D-B7D2-06B268DBC5BA}" uniqueName="9" name="Column9" queryTableFieldId="9"/>
    <tableColumn id="10" xr3:uid="{8DE3E9A6-4FC7-47F6-8894-4570CB961EB5}" uniqueName="10" name="Column10" queryTableFieldId="10"/>
    <tableColumn id="11" xr3:uid="{0E97909F-DE50-418D-B483-3D357FF19710}" uniqueName="11" name="Column11" queryTableFieldId="11"/>
    <tableColumn id="12" xr3:uid="{18024F9C-F5B4-47C5-B35B-97A4D9D6440F}" uniqueName="12" name="Column12" queryTableFieldId="12"/>
    <tableColumn id="13" xr3:uid="{300BF843-A2F2-48AC-882D-CC8942D22214}" uniqueName="13" name="Column13" queryTableFieldId="13"/>
    <tableColumn id="14" xr3:uid="{46BFFBE0-8A6D-44BB-9DAF-21A73B0AD8FA}" uniqueName="14" name="Column14" queryTableFieldId="14"/>
    <tableColumn id="15" xr3:uid="{EB4B6474-B145-4656-92C1-662FDE816BC6}" uniqueName="15" name="Column15" queryTableFieldId="15"/>
    <tableColumn id="16" xr3:uid="{CB0E4C95-9438-4225-9246-EF0BC8D43758}" uniqueName="16" name="Column16" queryTableFieldId="16"/>
    <tableColumn id="17" xr3:uid="{07BC5843-3077-42EC-8433-6E9670669BD1}" uniqueName="17" name="Column17" queryTableFieldId="17"/>
    <tableColumn id="18" xr3:uid="{72A4C72D-7215-4C7A-BC10-0A2FCC24FF4D}" uniqueName="18" name="Column18" queryTableFieldId="18"/>
    <tableColumn id="19" xr3:uid="{132DD6D3-93FF-4DAD-9B6E-15E8DFAAAF4D}" uniqueName="19" name="Column19" queryTableFieldId="19"/>
    <tableColumn id="20" xr3:uid="{4CDF5116-FC47-4E19-B7A7-2D042F45696B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motorring.ru/product/8509-ustanovochnyy-komplekt-elektrousilitelya-rulya-bez-eura" TargetMode="External"/><Relationship Id="rId2" Type="http://schemas.openxmlformats.org/officeDocument/2006/relationships/hyperlink" Target="https://motorring.ru/product/8508" TargetMode="External"/><Relationship Id="rId1" Type="http://schemas.openxmlformats.org/officeDocument/2006/relationships/hyperlink" Target="https://motorring.ru/product/8508-ustanovochnyy-komplekt-elektrousilitelya-rulya-4x4" TargetMode="External"/><Relationship Id="rId4" Type="http://schemas.openxmlformats.org/officeDocument/2006/relationships/hyperlink" Target="https://motorring.ru/product/8509-ustanovochnyy-komplekt-elektrousilitelya-rulya-bez-eura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motorring.ru/product/15769-elektrousilitely-rulya-kaluga-priory-komplektom-dlya" TargetMode="External"/><Relationship Id="rId18" Type="http://schemas.openxmlformats.org/officeDocument/2006/relationships/hyperlink" Target="https://motorring.ru/product/2307-kulisa-kpp-korotkohodnaya-vaz-2110-2112-lada-priora" TargetMode="External"/><Relationship Id="rId26" Type="http://schemas.openxmlformats.org/officeDocument/2006/relationships/hyperlink" Target="https://motorring.ru/product/10946-korotkohodnaya-kulisa-dlya-trosikovoy-kpp-lada-kalina" TargetMode="External"/><Relationship Id="rId3" Type="http://schemas.openxmlformats.org/officeDocument/2006/relationships/hyperlink" Target="https://motorring.ru/product/14798-perehodnik-dlya-podrulevyh-pereklyuchateley" TargetMode="External"/><Relationship Id="rId21" Type="http://schemas.openxmlformats.org/officeDocument/2006/relationships/hyperlink" Target="https://motorring.ru/product/6848-shesternya-grm-razreznaya-odnoryadnaya-pod-datchik-faz" TargetMode="External"/><Relationship Id="rId34" Type="http://schemas.openxmlformats.org/officeDocument/2006/relationships/vmlDrawing" Target="../drawings/vmlDrawing1.vml"/><Relationship Id="rId7" Type="http://schemas.openxmlformats.org/officeDocument/2006/relationships/hyperlink" Target="https://motorring.ru/product/15768-elektrousilitely-rulya-kaluga-priory-komplektom-dlya" TargetMode="External"/><Relationship Id="rId12" Type="http://schemas.openxmlformats.org/officeDocument/2006/relationships/hyperlink" Target="https://motorring.ru/product/15769-elektrousilitely-rulya-kaluga-priory-komplektom-dlya" TargetMode="External"/><Relationship Id="rId17" Type="http://schemas.openxmlformats.org/officeDocument/2006/relationships/hyperlink" Target="https://motorring.ru/product/5800-shesternya-razreznaya-grm-stalynaya-stupica-vaz-2108-21099" TargetMode="External"/><Relationship Id="rId25" Type="http://schemas.openxmlformats.org/officeDocument/2006/relationships/hyperlink" Target="https://motorring.ru/product/1043-val-rulevoy-promeghutochnyy-sbore-sharnirom-shevrole-niva" TargetMode="External"/><Relationship Id="rId33" Type="http://schemas.openxmlformats.org/officeDocument/2006/relationships/drawing" Target="../drawings/drawing1.xml"/><Relationship Id="rId2" Type="http://schemas.openxmlformats.org/officeDocument/2006/relationships/hyperlink" Target="https://motorring.ru/product/12739-kronshteyn-dlya-ustanovki-elektrousilitelya-rulya-eur-lada" TargetMode="External"/><Relationship Id="rId16" Type="http://schemas.openxmlformats.org/officeDocument/2006/relationships/hyperlink" Target="https://motorring.ru/product/28465-promeghutochnyy-rulevoy-val-kardanchik-dvustoronney" TargetMode="External"/><Relationship Id="rId20" Type="http://schemas.openxmlformats.org/officeDocument/2006/relationships/hyperlink" Target="https://motorring.ru/product/7532-razreznaya-shesternya-grm-staly-lada-priora-kalina-granta" TargetMode="External"/><Relationship Id="rId29" Type="http://schemas.openxmlformats.org/officeDocument/2006/relationships/hyperlink" Target="https://motorring.ru/product/8508" TargetMode="External"/><Relationship Id="rId1" Type="http://schemas.openxmlformats.org/officeDocument/2006/relationships/hyperlink" Target="https://motorring.ru/product/18819-kronshteyn-dlya-ustanovki-elektrousilitelya-rulya-vaz" TargetMode="External"/><Relationship Id="rId6" Type="http://schemas.openxmlformats.org/officeDocument/2006/relationships/hyperlink" Target="https://motorring.ru/product/34018-promeghutochnyy-rulevoy-val-ustanovki-eur-vaz-2108-2115" TargetMode="External"/><Relationship Id="rId11" Type="http://schemas.openxmlformats.org/officeDocument/2006/relationships/hyperlink" Target="https://motorring.ru/product/40426-elektrousilitely-rulya-kaluga-komplektom-pod-01-reductor-2101" TargetMode="External"/><Relationship Id="rId24" Type="http://schemas.openxmlformats.org/officeDocument/2006/relationships/hyperlink" Target="https://motorring.ru/product/7530-shesternya-razreznaya-grm-sport-staly-vaz-2108-21099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https://motorring.ru/product/4687-promeghutochnyy-rulevoy-val-kardanchik-dlya-ustanovki-eur" TargetMode="External"/><Relationship Id="rId15" Type="http://schemas.openxmlformats.org/officeDocument/2006/relationships/hyperlink" Target="https://motorring.ru/product/18812-promeghutochnyy-rulevoy-val-kardanchik-dlya-ustanovki-eur" TargetMode="External"/><Relationship Id="rId23" Type="http://schemas.openxmlformats.org/officeDocument/2006/relationships/hyperlink" Target="https://motorring.ru/product/15767-elektrousilitely-rulya-kaluga-priory-komplektom-dlya" TargetMode="External"/><Relationship Id="rId28" Type="http://schemas.openxmlformats.org/officeDocument/2006/relationships/hyperlink" Target="https://motorring.ru/product/8508-ustanovochnyy-komplekt-elektrousilitelya-rulya-4x4" TargetMode="External"/><Relationship Id="rId36" Type="http://schemas.openxmlformats.org/officeDocument/2006/relationships/image" Target="../media/image1.emf"/><Relationship Id="rId10" Type="http://schemas.openxmlformats.org/officeDocument/2006/relationships/hyperlink" Target="https://motorring.ru/product/15770-elektrousilitely-rulya-kaluga-priory-komplektom-dlya" TargetMode="External"/><Relationship Id="rId19" Type="http://schemas.openxmlformats.org/officeDocument/2006/relationships/hyperlink" Target="https://motorring.ru/product/2310" TargetMode="External"/><Relationship Id="rId31" Type="http://schemas.openxmlformats.org/officeDocument/2006/relationships/hyperlink" Target="https://motorring.ru/product/8509-ustanovochnyy-komplekt-elektrousilitelya-rulya-bez-eura" TargetMode="External"/><Relationship Id="rId4" Type="http://schemas.openxmlformats.org/officeDocument/2006/relationships/hyperlink" Target="https://motorring.ru/product/6848-shesternya-grm-razreznaya-odnoryadnaya-pod-datchik-faz" TargetMode="External"/><Relationship Id="rId9" Type="http://schemas.openxmlformats.org/officeDocument/2006/relationships/hyperlink" Target="https://motorring.ru/product/2308-kulisa-kpp-korotkohodnaya-vaz-2113-2114-2115" TargetMode="External"/><Relationship Id="rId14" Type="http://schemas.openxmlformats.org/officeDocument/2006/relationships/hyperlink" Target="https://motorring.ru/product/18811-promeghutochnyy-rulevoy-val-kardanchik-pod-reduktor-dlya" TargetMode="External"/><Relationship Id="rId22" Type="http://schemas.openxmlformats.org/officeDocument/2006/relationships/hyperlink" Target="https://motorring.ru/product/7527-shesterni-razreznye-grm-sport-staly-datchikom-faz-16kl-vaz" TargetMode="External"/><Relationship Id="rId27" Type="http://schemas.openxmlformats.org/officeDocument/2006/relationships/hyperlink" Target="https://motorring.ru/product/4686-kronshteyn-dlya-ustanovki-elektrousilitelya-rulya-vaz" TargetMode="External"/><Relationship Id="rId30" Type="http://schemas.openxmlformats.org/officeDocument/2006/relationships/hyperlink" Target="https://motorring.ru/product/8509-ustanovochnyy-komplekt-elektrousilitelya-rulya-bez-eura" TargetMode="External"/><Relationship Id="rId35" Type="http://schemas.openxmlformats.org/officeDocument/2006/relationships/control" Target="../activeX/activeX1.xml"/><Relationship Id="rId8" Type="http://schemas.openxmlformats.org/officeDocument/2006/relationships/hyperlink" Target="https://motorring.ru/product/7525-shesterni-razreznye-grm-staly-datchikom-faz-16kl-lada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 filterMode="1"/>
  <dimension ref="A1:AE50"/>
  <sheetViews>
    <sheetView showGridLines="0" tabSelected="1" workbookViewId="0">
      <pane ySplit="2" topLeftCell="A10" activePane="bottomLeft" state="frozen"/>
      <selection pane="bottomLeft" activeCell="A30" sqref="A30"/>
    </sheetView>
  </sheetViews>
  <sheetFormatPr defaultRowHeight="15" x14ac:dyDescent="0.25"/>
  <cols>
    <col min="1" max="2" width="7" style="29" bestFit="1" customWidth="1"/>
    <col min="3" max="3" width="48.140625" style="29" customWidth="1"/>
    <col min="4" max="5" width="5.5703125" style="29" bestFit="1" customWidth="1"/>
    <col min="6" max="6" width="15.140625" style="29" bestFit="1" customWidth="1"/>
    <col min="7" max="7" width="6.140625" style="29" customWidth="1"/>
    <col min="8" max="8" width="8.7109375" style="29" customWidth="1"/>
    <col min="9" max="9" width="7.85546875" style="32" bestFit="1" customWidth="1"/>
    <col min="10" max="10" width="4.85546875" style="29" customWidth="1"/>
    <col min="11" max="11" width="6" style="32" bestFit="1" customWidth="1"/>
    <col min="12" max="12" width="7.140625" style="32" bestFit="1" customWidth="1"/>
    <col min="13" max="13" width="6.7109375" style="29" bestFit="1" customWidth="1"/>
    <col min="14" max="14" width="6.85546875" style="29" bestFit="1" customWidth="1"/>
    <col min="15" max="16" width="7.42578125" style="29" bestFit="1" customWidth="1"/>
    <col min="17" max="17" width="6" style="29" bestFit="1" customWidth="1"/>
    <col min="18" max="18" width="7.7109375" style="29" customWidth="1"/>
    <col min="19" max="20" width="8.28515625" style="29" customWidth="1"/>
    <col min="21" max="21" width="6.5703125" style="29" customWidth="1"/>
    <col min="22" max="22" width="6.5703125" style="32" customWidth="1"/>
    <col min="23" max="25" width="6.5703125" style="29" customWidth="1"/>
    <col min="26" max="26" width="11.5703125" style="29" customWidth="1"/>
    <col min="27" max="27" width="6.7109375" style="29" customWidth="1"/>
    <col min="28" max="29" width="5.140625" style="29" customWidth="1"/>
    <col min="30" max="16384" width="9.140625" style="29"/>
  </cols>
  <sheetData>
    <row r="1" spans="1:31" s="27" customFormat="1" x14ac:dyDescent="0.25">
      <c r="B1" s="28">
        <v>2</v>
      </c>
      <c r="C1" s="28">
        <v>3</v>
      </c>
      <c r="D1" s="29">
        <v>4</v>
      </c>
      <c r="E1" s="29">
        <v>14</v>
      </c>
      <c r="F1" s="29">
        <v>5</v>
      </c>
      <c r="G1" s="29"/>
      <c r="H1" s="30">
        <f>COUNT($U:$U,Торг!V:V)/COUNT($A:$A,Торг!$B:$B)</f>
        <v>0.67441860465116277</v>
      </c>
      <c r="I1" s="31">
        <f>M1</f>
        <v>8</v>
      </c>
      <c r="K1" s="31">
        <f>N1</f>
        <v>9</v>
      </c>
      <c r="L1" s="32"/>
      <c r="M1" s="29">
        <v>8</v>
      </c>
      <c r="N1" s="29">
        <v>9</v>
      </c>
      <c r="O1" s="32"/>
      <c r="P1" s="32"/>
      <c r="Q1" s="82">
        <v>0.2</v>
      </c>
      <c r="R1" s="33" t="str">
        <f>_xlfn.CONCAT(ROUND(MIN(R3:R8986)*100,0),"-",ROUND(MAX(R3:R8986)*100,0),"%")</f>
        <v>20-114%</v>
      </c>
      <c r="S1" s="33" t="str">
        <f>_xlfn.CONCAT(ROUND(SUBTOTAL(5,S3:S8986)*100,0)," - ",ROUND(SUBTOTAL(4,S3:S8986)*100,0),"%")</f>
        <v>-2 - 7%</v>
      </c>
      <c r="T1" s="33" t="str">
        <f>_xlfn.CONCAT(ROUND(SUBTOTAL(5,T3:T89986)*100,0)," - ",ROUND(SUBTOTAL(4,T3:T89986)*100,0),"%")</f>
        <v>22 - 100%</v>
      </c>
      <c r="U1" s="34"/>
      <c r="V1" s="32">
        <v>6</v>
      </c>
      <c r="W1" s="29"/>
      <c r="X1" s="76">
        <f>AB1</f>
        <v>0</v>
      </c>
      <c r="Y1" s="29"/>
      <c r="Z1" s="29"/>
      <c r="AA1" s="29">
        <v>7</v>
      </c>
      <c r="AB1" s="29"/>
      <c r="AC1" s="78">
        <f>AL1</f>
        <v>0</v>
      </c>
    </row>
    <row r="2" spans="1:31" x14ac:dyDescent="0.25">
      <c r="A2" s="35" t="s">
        <v>0</v>
      </c>
      <c r="B2" s="13" t="s">
        <v>117</v>
      </c>
      <c r="C2" s="13" t="s">
        <v>24</v>
      </c>
      <c r="D2" s="13"/>
      <c r="E2" s="13"/>
      <c r="F2" s="13" t="s">
        <v>137</v>
      </c>
      <c r="G2" s="61"/>
      <c r="H2" s="35" t="s">
        <v>22</v>
      </c>
      <c r="I2" s="36" t="s">
        <v>20</v>
      </c>
      <c r="J2" s="1"/>
      <c r="K2" s="37"/>
      <c r="L2" s="38" t="s">
        <v>21</v>
      </c>
      <c r="M2" s="13" t="s">
        <v>45</v>
      </c>
      <c r="N2" s="13" t="s">
        <v>46</v>
      </c>
      <c r="O2" s="21" t="s">
        <v>19</v>
      </c>
      <c r="P2" s="21" t="s">
        <v>19</v>
      </c>
      <c r="Q2" s="83">
        <v>7.0000000000000007E-2</v>
      </c>
      <c r="R2" s="39" t="s">
        <v>23</v>
      </c>
      <c r="S2" s="39" t="s">
        <v>47</v>
      </c>
      <c r="T2" s="39" t="s">
        <v>48</v>
      </c>
      <c r="U2" s="40" t="s">
        <v>143</v>
      </c>
      <c r="V2" s="79" t="s">
        <v>167</v>
      </c>
      <c r="W2" s="16"/>
      <c r="X2" s="16" t="s">
        <v>168</v>
      </c>
      <c r="Y2" s="40" t="s">
        <v>49</v>
      </c>
      <c r="Z2" s="66" t="s">
        <v>49</v>
      </c>
      <c r="AA2" s="77" t="s">
        <v>167</v>
      </c>
      <c r="AB2" s="16"/>
      <c r="AC2" s="16" t="s">
        <v>168</v>
      </c>
      <c r="AD2" s="40" t="s">
        <v>144</v>
      </c>
      <c r="AE2" s="75" t="s">
        <v>144</v>
      </c>
    </row>
    <row r="3" spans="1:31" ht="30.75" hidden="1" thickBot="1" x14ac:dyDescent="0.3">
      <c r="A3" s="17">
        <v>158953</v>
      </c>
      <c r="B3" s="42">
        <f>VLOOKUP($A3,'Выгр Кат'!$A:$R,B$1,0)</f>
        <v>32469</v>
      </c>
      <c r="C3" s="43" t="str">
        <f>VLOOKUP($A3,'Выгр Кат'!$A:$R,C$1,0)</f>
        <v>Комплект перехода на регулируемую рулевую колонку для ВАЗ 2104-2107</v>
      </c>
      <c r="D3" s="42" t="str">
        <f>VLOOKUP($A3,'Выгр Кат'!$A:$R,D$1,0)</f>
        <v>Y</v>
      </c>
      <c r="E3" s="42" t="str">
        <f>VLOOKUP($A3,'Выгр Кат'!$A:$R,E$1,0)</f>
        <v>1</v>
      </c>
      <c r="F3" s="42">
        <f>VLOOKUP($A3,'Выгр Кат'!$A:$R,F$1,0)</f>
        <v>0</v>
      </c>
      <c r="G3" s="62"/>
      <c r="H3" s="35" t="s">
        <v>15</v>
      </c>
      <c r="I3" s="31">
        <f t="shared" ref="I3:I30" si="0">M3</f>
        <v>5474</v>
      </c>
      <c r="J3" s="1">
        <f>VLOOKUP(I3,Наценка!$A$1:$B$8,2,1)</f>
        <v>1.6</v>
      </c>
      <c r="K3" s="37">
        <f t="shared" ref="K3:K40" si="1">I3*J3</f>
        <v>8758.4</v>
      </c>
      <c r="L3" s="38">
        <f t="shared" ref="L3:L29" si="2">IF(K3&lt;=1000,(ROUNDUP(K3,-1)-1),(ROUNDUP(K3,-2)-10))</f>
        <v>8790</v>
      </c>
      <c r="M3" s="42">
        <f>VLOOKUP($A3,'Выгр Кат'!$A:$R,M$1,0)</f>
        <v>5474</v>
      </c>
      <c r="N3" s="42">
        <f>VLOOKUP($A3,'Выгр Кат'!$A:$R,N$1,0)</f>
        <v>8790</v>
      </c>
      <c r="O3" s="21">
        <f>M3-I3</f>
        <v>0</v>
      </c>
      <c r="P3" s="21">
        <f>N3-L3</f>
        <v>0</v>
      </c>
      <c r="Q3" s="84">
        <f>IFERROR(ROUND(L3*(1-$Q$2),),"")</f>
        <v>8175</v>
      </c>
      <c r="R3" s="44">
        <f>IFERROR(Q3/I3-1,"")</f>
        <v>0.49342345633905738</v>
      </c>
      <c r="S3" s="44" t="str">
        <f>IFERROR((U3-Q3)/U3,"")</f>
        <v/>
      </c>
      <c r="T3" s="44" t="str">
        <f>IFERROR(IF(U3="","",U3/I3-1),"")</f>
        <v/>
      </c>
      <c r="U3" s="41"/>
      <c r="V3" s="53" t="str">
        <f>IFERROR((VLOOKUP($A3,'Из ГУГЛа'!$B:$Z,V$1,0)+X3)*W3,VLOOKUP($A3,'Из ГУГЛа'!$B:$Z,V$1,0))</f>
        <v/>
      </c>
      <c r="W3" s="20">
        <v>1</v>
      </c>
      <c r="X3" s="20">
        <v>0</v>
      </c>
      <c r="Y3" s="41"/>
      <c r="AA3" s="53" t="str">
        <f>IFERROR((VLOOKUP($A3,'Из ГУГЛа'!$B:$Z,AA$1,0)+AC3)*AB3,VLOOKUP($A3,'Из ГУГЛа'!$B:$Z,AA$1,0))</f>
        <v/>
      </c>
      <c r="AB3" s="53">
        <v>1</v>
      </c>
      <c r="AC3" s="53">
        <v>0</v>
      </c>
      <c r="AD3" s="63">
        <v>8400</v>
      </c>
      <c r="AE3" s="29" t="s">
        <v>172</v>
      </c>
    </row>
    <row r="4" spans="1:31" ht="45.75" hidden="1" thickBot="1" x14ac:dyDescent="0.3">
      <c r="A4" s="17">
        <v>141978</v>
      </c>
      <c r="B4" s="42">
        <f>VLOOKUP($A4,'Выгр Кат'!$A:$R,B$1,0)</f>
        <v>875</v>
      </c>
      <c r="C4" s="43" t="str">
        <f>VLOOKUP($A4,'Выгр Кат'!$A:$R,C$1,0)</f>
        <v>Датчик имитации скорости для ВАЗ (2101-2107, 2108-21099), Лада Нива 4х4 (карбюраторный двигатель)</v>
      </c>
      <c r="D4" s="42" t="str">
        <f>VLOOKUP($A4,'Выгр Кат'!$A:$R,D$1,0)</f>
        <v>Y</v>
      </c>
      <c r="E4" s="42" t="str">
        <f>VLOOKUP($A4,'Выгр Кат'!$A:$R,E$1,0)</f>
        <v>1ск6</v>
      </c>
      <c r="F4" s="42">
        <f>VLOOKUP($A4,'Выгр Кат'!$A:$R,F$1,0)</f>
        <v>0</v>
      </c>
      <c r="G4" s="62"/>
      <c r="H4" s="35" t="s">
        <v>15</v>
      </c>
      <c r="I4" s="31">
        <f t="shared" ref="I4" si="3">M4</f>
        <v>650</v>
      </c>
      <c r="J4" s="1">
        <f>VLOOKUP(I4,Наценка!$A$1:$B$8,2,1)</f>
        <v>1.7</v>
      </c>
      <c r="K4" s="37">
        <f t="shared" si="1"/>
        <v>1105</v>
      </c>
      <c r="L4" s="38">
        <f t="shared" ref="L4" si="4">IF(K4&lt;=1000,(ROUNDUP(K4,-1)-1),(ROUNDUP(K4,-2)-10))</f>
        <v>1190</v>
      </c>
      <c r="M4" s="42">
        <f>VLOOKUP($A4,'Выгр Кат'!$A:$R,M$1,0)</f>
        <v>650</v>
      </c>
      <c r="N4" s="42">
        <f>VLOOKUP($A4,'Выгр Кат'!$A:$R,N$1,0)</f>
        <v>1190</v>
      </c>
      <c r="O4" s="21">
        <f t="shared" ref="O4:O36" si="5">M4-I4</f>
        <v>0</v>
      </c>
      <c r="P4" s="21">
        <f t="shared" ref="P4:P36" si="6">N4-L4</f>
        <v>0</v>
      </c>
      <c r="Q4" s="84">
        <f t="shared" ref="Q4:Q40" si="7">IFERROR(ROUND(L4*(1-$Q$2),),"")</f>
        <v>1107</v>
      </c>
      <c r="R4" s="44">
        <f>IFERROR(Q4/I4-1,"")</f>
        <v>0.70307692307692315</v>
      </c>
      <c r="S4" s="44" t="str">
        <f>IFERROR((U4-Q4)/U4,"")</f>
        <v/>
      </c>
      <c r="T4" s="44" t="str">
        <f>IFERROR(IF(U4="","",U4/I4-1),"")</f>
        <v/>
      </c>
      <c r="U4" s="41"/>
      <c r="V4" s="53" t="str">
        <f>IFERROR((VLOOKUP($A4,'Из ГУГЛа'!$B:$Z,V$1,0)+X4)*W4,VLOOKUP($A4,'Из ГУГЛа'!$B:$Z,V$1,0))</f>
        <v/>
      </c>
      <c r="W4" s="20">
        <v>1</v>
      </c>
      <c r="X4" s="20">
        <v>0</v>
      </c>
      <c r="Y4" s="41"/>
      <c r="AA4" s="53" t="str">
        <f>IFERROR((VLOOKUP($A4,'Из ГУГЛа'!$B:$Z,AA$1,0)+AC4)*AB4,VLOOKUP($A4,'Из ГУГЛа'!$B:$Z,AA$1,0))</f>
        <v/>
      </c>
      <c r="AB4" s="53">
        <v>1</v>
      </c>
      <c r="AC4" s="53">
        <v>0</v>
      </c>
      <c r="AD4" s="63">
        <v>990</v>
      </c>
      <c r="AE4" s="29" t="s">
        <v>171</v>
      </c>
    </row>
    <row r="5" spans="1:31" ht="30.75" thickBot="1" x14ac:dyDescent="0.3">
      <c r="A5" s="17">
        <v>160631</v>
      </c>
      <c r="B5" s="42">
        <f>VLOOKUP($A5,'Выгр Кат'!$A:$R,B$1,0)</f>
        <v>883</v>
      </c>
      <c r="C5" s="43" t="str">
        <f>VLOOKUP($A5,'Выгр Кат'!$A:$R,C$1,0)</f>
        <v>Кронштейн для установки электроусилителя руля Калина, Гранта</v>
      </c>
      <c r="D5" s="42" t="str">
        <f>VLOOKUP($A5,'Выгр Кат'!$A:$R,D$1,0)</f>
        <v>Y</v>
      </c>
      <c r="E5" s="42" t="str">
        <f>VLOOKUP($A5,'Выгр Кат'!$A:$R,E$1,0)</f>
        <v>1</v>
      </c>
      <c r="F5" s="42">
        <f>VLOOKUP($A5,'Выгр Кат'!$A:$R,F$1,0)</f>
        <v>0</v>
      </c>
      <c r="G5" s="62"/>
      <c r="H5" s="35" t="s">
        <v>15</v>
      </c>
      <c r="I5" s="31">
        <f t="shared" si="0"/>
        <v>300</v>
      </c>
      <c r="J5" s="1">
        <f>VLOOKUP(I5,Наценка!$A$1:$B$8,2,1)</f>
        <v>1.8</v>
      </c>
      <c r="K5" s="54">
        <f>U5*1</f>
        <v>475</v>
      </c>
      <c r="L5" s="38">
        <f t="shared" si="2"/>
        <v>479</v>
      </c>
      <c r="M5" s="42">
        <f>VLOOKUP($A5,'Выгр Кат'!$A:$R,M$1,0)</f>
        <v>300</v>
      </c>
      <c r="N5" s="42">
        <f>VLOOKUP($A5,'Выгр Кат'!$A:$R,N$1,0)</f>
        <v>989</v>
      </c>
      <c r="O5" s="21">
        <f t="shared" si="5"/>
        <v>0</v>
      </c>
      <c r="P5" s="21">
        <f t="shared" si="6"/>
        <v>510</v>
      </c>
      <c r="Q5" s="84">
        <f t="shared" si="7"/>
        <v>445</v>
      </c>
      <c r="R5" s="44">
        <f>IFERROR(Q5/I5-1,"")</f>
        <v>0.48333333333333339</v>
      </c>
      <c r="S5" s="44">
        <f>IFERROR((U5-Q5)/U5,"")</f>
        <v>6.3157894736842107E-2</v>
      </c>
      <c r="T5" s="44">
        <f>IFERROR(IF(U5="","",U5/I5-1),"")</f>
        <v>0.58333333333333326</v>
      </c>
      <c r="U5" s="78">
        <f>AD5</f>
        <v>475</v>
      </c>
      <c r="V5" s="53">
        <f>IFERROR((VLOOKUP($A5,'Из ГУГЛа'!$B:$Z,V$1,0)+X5)*W5,VLOOKUP($A5,'Из ГУГЛа'!$B:$Z,V$1,0))</f>
        <v>990</v>
      </c>
      <c r="W5" s="20">
        <v>1</v>
      </c>
      <c r="X5" s="20">
        <v>0</v>
      </c>
      <c r="Y5" s="81">
        <v>990</v>
      </c>
      <c r="Z5" s="29" t="s">
        <v>54</v>
      </c>
      <c r="AA5" s="53">
        <f>IFERROR((VLOOKUP($A5,'Из ГУГЛа'!$B:$Z,AA$1,0)+AC5)*AB5,VLOOKUP($A5,'Из ГУГЛа'!$B:$Z,AA$1,0))</f>
        <v>475</v>
      </c>
      <c r="AB5" s="53">
        <v>1</v>
      </c>
      <c r="AC5" s="53">
        <v>0</v>
      </c>
      <c r="AD5" s="63">
        <v>475</v>
      </c>
      <c r="AE5" s="29" t="s">
        <v>149</v>
      </c>
    </row>
    <row r="6" spans="1:31" ht="30.75" hidden="1" thickTop="1" x14ac:dyDescent="0.25">
      <c r="A6" s="17">
        <v>160628</v>
      </c>
      <c r="B6" s="42">
        <f>VLOOKUP($A6,'Выгр Кат'!$A:$R,B$1,0)</f>
        <v>24511</v>
      </c>
      <c r="C6" s="43" t="str">
        <f>VLOOKUP($A6,'Выгр Кат'!$A:$R,C$1,0)</f>
        <v>Кронштейн для установки рулевой колонки ВАЗ 2112 на Лада Нива 4x4</v>
      </c>
      <c r="D6" s="42" t="str">
        <f>VLOOKUP($A6,'Выгр Кат'!$A:$R,D$1,0)</f>
        <v>Y</v>
      </c>
      <c r="E6" s="42" t="str">
        <f>VLOOKUP($A6,'Выгр Кат'!$A:$R,E$1,0)</f>
        <v>1</v>
      </c>
      <c r="F6" s="42">
        <f>VLOOKUP($A6,'Выгр Кат'!$A:$R,F$1,0)</f>
        <v>0</v>
      </c>
      <c r="G6" s="62"/>
      <c r="H6" s="35" t="s">
        <v>15</v>
      </c>
      <c r="I6" s="31">
        <f t="shared" si="0"/>
        <v>450</v>
      </c>
      <c r="J6" s="1">
        <f>VLOOKUP(I6,Наценка!$A$1:$B$8,2,1)</f>
        <v>1.8</v>
      </c>
      <c r="K6" s="37">
        <f t="shared" si="1"/>
        <v>810</v>
      </c>
      <c r="L6" s="38">
        <f t="shared" si="2"/>
        <v>809</v>
      </c>
      <c r="M6" s="42">
        <f>VLOOKUP($A6,'Выгр Кат'!$A:$R,M$1,0)</f>
        <v>450</v>
      </c>
      <c r="N6" s="42">
        <f>VLOOKUP($A6,'Выгр Кат'!$A:$R,N$1,0)</f>
        <v>809</v>
      </c>
      <c r="O6" s="21">
        <f t="shared" si="5"/>
        <v>0</v>
      </c>
      <c r="P6" s="21">
        <f t="shared" si="6"/>
        <v>0</v>
      </c>
      <c r="Q6" s="84">
        <f t="shared" si="7"/>
        <v>752</v>
      </c>
      <c r="R6" s="44">
        <f>IFERROR(Q6/I6-1,"")</f>
        <v>0.67111111111111121</v>
      </c>
      <c r="S6" s="44" t="str">
        <f>IFERROR((U6-Q6)/U6,"")</f>
        <v/>
      </c>
      <c r="T6" s="44" t="str">
        <f>IFERROR(IF(U6="","",U6/I6-1),"")</f>
        <v/>
      </c>
      <c r="U6" s="41"/>
      <c r="V6" s="53" t="str">
        <f>IFERROR((VLOOKUP($A6,'Из ГУГЛа'!$B:$Z,V$1,0)+X6)*W6,VLOOKUP($A6,'Из ГУГЛа'!$B:$Z,V$1,0))</f>
        <v/>
      </c>
      <c r="W6" s="20">
        <v>1</v>
      </c>
      <c r="X6" s="20">
        <v>0</v>
      </c>
      <c r="Y6" s="41"/>
      <c r="AA6" s="53" t="str">
        <f>IFERROR((VLOOKUP($A6,'Из ГУГЛа'!$B:$Z,AA$1,0)+AC6)*AB6,VLOOKUP($A6,'Из ГУГЛа'!$B:$Z,AA$1,0))</f>
        <v/>
      </c>
      <c r="AB6" s="53">
        <v>1</v>
      </c>
      <c r="AC6" s="53">
        <v>0</v>
      </c>
      <c r="AD6" s="42" t="s">
        <v>173</v>
      </c>
    </row>
    <row r="7" spans="1:31" ht="31.5" thickTop="1" thickBot="1" x14ac:dyDescent="0.3">
      <c r="A7" s="17">
        <v>162878</v>
      </c>
      <c r="B7" s="42">
        <f>VLOOKUP($A7,'Выгр Кат'!$A:$R,B$1,0)</f>
        <v>847</v>
      </c>
      <c r="C7" s="43" t="str">
        <f>VLOOKUP($A7,'Выгр Кат'!$A:$R,C$1,0)</f>
        <v>Короткоходная кулиса (тросовая) для Лада Калина, Гранта (КПП ВАЗ 2181)</v>
      </c>
      <c r="D7" s="42" t="str">
        <f>VLOOKUP($A7,'Выгр Кат'!$A:$R,D$1,0)</f>
        <v>Y</v>
      </c>
      <c r="E7" s="42" t="str">
        <f>VLOOKUP($A7,'Выгр Кат'!$A:$R,E$1,0)</f>
        <v>1ск4</v>
      </c>
      <c r="F7" s="42">
        <f>VLOOKUP($A7,'Выгр Кат'!$A:$R,F$1,0)</f>
        <v>0</v>
      </c>
      <c r="G7" s="62"/>
      <c r="H7" s="35" t="s">
        <v>15</v>
      </c>
      <c r="I7" s="31">
        <f t="shared" si="0"/>
        <v>450</v>
      </c>
      <c r="J7" s="1">
        <f>VLOOKUP(I7,Наценка!$A$1:$B$8,2,1)</f>
        <v>1.8</v>
      </c>
      <c r="K7" s="55">
        <f>U7*1.02</f>
        <v>714</v>
      </c>
      <c r="L7" s="38">
        <f t="shared" si="2"/>
        <v>719</v>
      </c>
      <c r="M7" s="42">
        <f>VLOOKUP($A7,'Выгр Кат'!$A:$R,M$1,0)</f>
        <v>450</v>
      </c>
      <c r="N7" s="42">
        <f>VLOOKUP($A7,'Выгр Кат'!$A:$R,N$1,0)</f>
        <v>989</v>
      </c>
      <c r="O7" s="21">
        <f t="shared" si="5"/>
        <v>0</v>
      </c>
      <c r="P7" s="21">
        <f t="shared" si="6"/>
        <v>270</v>
      </c>
      <c r="Q7" s="84">
        <f t="shared" si="7"/>
        <v>669</v>
      </c>
      <c r="R7" s="44">
        <f>IFERROR(Q7/I7-1,"")</f>
        <v>0.48666666666666658</v>
      </c>
      <c r="S7" s="44">
        <f>IFERROR((U7-Q7)/U7,"")</f>
        <v>4.4285714285714282E-2</v>
      </c>
      <c r="T7" s="44">
        <f>IFERROR(IF(U7="","",U7/I7-1),"")</f>
        <v>0.55555555555555558</v>
      </c>
      <c r="U7" s="78">
        <f>AD7</f>
        <v>700</v>
      </c>
      <c r="V7" s="53">
        <f>IFERROR((VLOOKUP($A7,'Из ГУГЛа'!$B:$Z,V$1,0)+X7)*W7,VLOOKUP($A7,'Из ГУГЛа'!$B:$Z,V$1,0))</f>
        <v>969</v>
      </c>
      <c r="W7" s="20">
        <v>1</v>
      </c>
      <c r="X7" s="20">
        <v>0</v>
      </c>
      <c r="Y7" s="81">
        <v>969</v>
      </c>
      <c r="Z7" s="29" t="s">
        <v>76</v>
      </c>
      <c r="AA7" s="53">
        <f>IFERROR((VLOOKUP($A7,'Из ГУГЛа'!$B:$Z,AA$1,0)+AC7)*AB7,VLOOKUP($A7,'Из ГУГЛа'!$B:$Z,AA$1,0))</f>
        <v>700</v>
      </c>
      <c r="AB7" s="53">
        <v>1</v>
      </c>
      <c r="AC7" s="53">
        <v>0</v>
      </c>
      <c r="AD7" s="63">
        <v>700</v>
      </c>
      <c r="AE7" s="29" t="s">
        <v>150</v>
      </c>
    </row>
    <row r="8" spans="1:31" ht="16.5" thickTop="1" thickBot="1" x14ac:dyDescent="0.3">
      <c r="A8" s="17">
        <v>193602</v>
      </c>
      <c r="B8" s="42">
        <f>VLOOKUP($A8,'Выгр Кат'!$A:$R,B$1,0)</f>
        <v>885</v>
      </c>
      <c r="C8" s="43" t="str">
        <f>VLOOKUP($A8,'Выгр Кат'!$A:$R,C$1,0)</f>
        <v>Переходник для подрулевых переключателей</v>
      </c>
      <c r="D8" s="42" t="str">
        <f>VLOOKUP($A8,'Выгр Кат'!$A:$R,D$1,0)</f>
        <v>Y</v>
      </c>
      <c r="E8" s="42" t="str">
        <f>VLOOKUP($A8,'Выгр Кат'!$A:$R,E$1,0)</f>
        <v>1</v>
      </c>
      <c r="F8" s="42">
        <f>VLOOKUP($A8,'Выгр Кат'!$A:$R,F$1,0)</f>
        <v>0</v>
      </c>
      <c r="G8" s="62"/>
      <c r="H8" s="35" t="s">
        <v>15</v>
      </c>
      <c r="I8" s="31">
        <f t="shared" si="0"/>
        <v>500</v>
      </c>
      <c r="J8" s="1">
        <f>VLOOKUP(I8,Наценка!$A$1:$B$8,2,1)</f>
        <v>1.7</v>
      </c>
      <c r="K8" s="57">
        <f>U8*1.06</f>
        <v>869.2</v>
      </c>
      <c r="L8" s="38">
        <f t="shared" si="2"/>
        <v>869</v>
      </c>
      <c r="M8" s="42">
        <f>VLOOKUP($A8,'Выгр Кат'!$A:$R,M$1,0)</f>
        <v>500</v>
      </c>
      <c r="N8" s="42">
        <f>VLOOKUP($A8,'Выгр Кат'!$A:$R,N$1,0)</f>
        <v>859</v>
      </c>
      <c r="O8" s="21">
        <f t="shared" si="5"/>
        <v>0</v>
      </c>
      <c r="P8" s="21">
        <f t="shared" si="6"/>
        <v>-10</v>
      </c>
      <c r="Q8" s="84">
        <f t="shared" si="7"/>
        <v>808</v>
      </c>
      <c r="R8" s="44">
        <f>IFERROR(Q8/I8-1,"")</f>
        <v>0.6160000000000001</v>
      </c>
      <c r="S8" s="44">
        <f>IFERROR((U8-Q8)/U8,"")</f>
        <v>1.4634146341463415E-2</v>
      </c>
      <c r="T8" s="44">
        <f>IFERROR(IF(U8="","",U8/I8-1),"")</f>
        <v>0.6399999999999999</v>
      </c>
      <c r="U8" s="78">
        <f>AD8</f>
        <v>820</v>
      </c>
      <c r="V8" s="53">
        <f>IFERROR((VLOOKUP($A8,'Из ГУГЛа'!$B:$Z,V$1,0)+X8)*W8,VLOOKUP($A8,'Из ГУГЛа'!$B:$Z,V$1,0))</f>
        <v>790</v>
      </c>
      <c r="W8" s="20">
        <v>1</v>
      </c>
      <c r="X8" s="20">
        <v>0</v>
      </c>
      <c r="Y8" s="81">
        <v>790</v>
      </c>
      <c r="Z8" s="29" t="s">
        <v>55</v>
      </c>
      <c r="AA8" s="53">
        <f>IFERROR((VLOOKUP($A8,'Из ГУГЛа'!$B:$Z,AA$1,0)+AC8)*AB8,VLOOKUP($A8,'Из ГУГЛа'!$B:$Z,AA$1,0))</f>
        <v>820</v>
      </c>
      <c r="AB8" s="53">
        <v>1</v>
      </c>
      <c r="AC8" s="53">
        <v>0</v>
      </c>
      <c r="AD8" s="63">
        <v>820</v>
      </c>
      <c r="AE8" s="29" t="s">
        <v>151</v>
      </c>
    </row>
    <row r="9" spans="1:31" ht="31.5" thickTop="1" thickBot="1" x14ac:dyDescent="0.3">
      <c r="A9" s="17">
        <v>160629</v>
      </c>
      <c r="B9" s="42">
        <f>VLOOKUP($A9,'Выгр Кат'!$A:$R,B$1,0)</f>
        <v>880</v>
      </c>
      <c r="C9" s="43" t="str">
        <f>VLOOKUP($A9,'Выгр Кат'!$A:$R,C$1,0)</f>
        <v>Кронштейн для установки электроусилителя руля 2101-2107, Нива</v>
      </c>
      <c r="D9" s="42" t="str">
        <f>VLOOKUP($A9,'Выгр Кат'!$A:$R,D$1,0)</f>
        <v>Y</v>
      </c>
      <c r="E9" s="42" t="str">
        <f>VLOOKUP($A9,'Выгр Кат'!$A:$R,E$1,0)</f>
        <v>1ск4</v>
      </c>
      <c r="F9" s="42">
        <f>VLOOKUP($A9,'Выгр Кат'!$A:$R,F$1,0)</f>
        <v>0</v>
      </c>
      <c r="G9" s="62"/>
      <c r="H9" s="35" t="s">
        <v>15</v>
      </c>
      <c r="I9" s="31">
        <f t="shared" si="0"/>
        <v>500</v>
      </c>
      <c r="J9" s="1">
        <f>VLOOKUP(I9,Наценка!$A$1:$B$8,2,1)</f>
        <v>1.7</v>
      </c>
      <c r="K9" s="57">
        <f>U9*1.06</f>
        <v>795</v>
      </c>
      <c r="L9" s="38">
        <f t="shared" si="2"/>
        <v>799</v>
      </c>
      <c r="M9" s="42">
        <f>VLOOKUP($A9,'Выгр Кат'!$A:$R,M$1,0)</f>
        <v>500</v>
      </c>
      <c r="N9" s="42">
        <f>VLOOKUP($A9,'Выгр Кат'!$A:$R,N$1,0)</f>
        <v>859</v>
      </c>
      <c r="O9" s="21">
        <f t="shared" si="5"/>
        <v>0</v>
      </c>
      <c r="P9" s="21">
        <f t="shared" si="6"/>
        <v>60</v>
      </c>
      <c r="Q9" s="84">
        <f t="shared" si="7"/>
        <v>743</v>
      </c>
      <c r="R9" s="44">
        <f>IFERROR(Q9/I9-1,"")</f>
        <v>0.48599999999999999</v>
      </c>
      <c r="S9" s="44">
        <f>IFERROR((U9-Q9)/U9,"")</f>
        <v>9.3333333333333341E-3</v>
      </c>
      <c r="T9" s="44">
        <f>IFERROR(IF(U9="","",U9/I9-1),"")</f>
        <v>0.5</v>
      </c>
      <c r="U9" s="78">
        <f>AD9</f>
        <v>750</v>
      </c>
      <c r="V9" s="53">
        <f>IFERROR((VLOOKUP($A9,'Из ГУГЛа'!$B:$Z,V$1,0)+X9)*W9,VLOOKUP($A9,'Из ГУГЛа'!$B:$Z,V$1,0))</f>
        <v>790</v>
      </c>
      <c r="W9" s="20">
        <v>1</v>
      </c>
      <c r="X9" s="20">
        <v>0</v>
      </c>
      <c r="Y9" s="81">
        <v>790</v>
      </c>
      <c r="Z9" s="29" t="s">
        <v>53</v>
      </c>
      <c r="AA9" s="53">
        <f>IFERROR((VLOOKUP($A9,'Из ГУГЛа'!$B:$Z,AA$1,0)+AC9)*AB9,VLOOKUP($A9,'Из ГУГЛа'!$B:$Z,AA$1,0))</f>
        <v>750</v>
      </c>
      <c r="AB9" s="53">
        <v>1</v>
      </c>
      <c r="AC9" s="53">
        <v>0</v>
      </c>
      <c r="AD9" s="63">
        <v>750</v>
      </c>
      <c r="AE9" s="29" t="s">
        <v>152</v>
      </c>
    </row>
    <row r="10" spans="1:31" ht="46.5" thickTop="1" thickBot="1" x14ac:dyDescent="0.3">
      <c r="A10" s="17">
        <v>160630</v>
      </c>
      <c r="B10" s="42">
        <f>VLOOKUP($A10,'Выгр Кат'!$A:$R,B$1,0)</f>
        <v>882</v>
      </c>
      <c r="C10" s="43" t="str">
        <f>VLOOKUP($A10,'Выгр Кат'!$A:$R,C$1,0)</f>
        <v>Кронштейн для установки электроусилителя руля для ВАЗ (2108-21099, 2110-2112, 2113-2115), Лада Приора</v>
      </c>
      <c r="D10" s="42" t="str">
        <f>VLOOKUP($A10,'Выгр Кат'!$A:$R,D$1,0)</f>
        <v>Y</v>
      </c>
      <c r="E10" s="42" t="str">
        <f>VLOOKUP($A10,'Выгр Кат'!$A:$R,E$1,0)</f>
        <v>1ск4</v>
      </c>
      <c r="F10" s="42">
        <f>VLOOKUP($A10,'Выгр Кат'!$A:$R,F$1,0)</f>
        <v>0</v>
      </c>
      <c r="G10" s="62"/>
      <c r="H10" s="35" t="s">
        <v>15</v>
      </c>
      <c r="I10" s="31">
        <f t="shared" si="0"/>
        <v>500</v>
      </c>
      <c r="J10" s="1">
        <f>VLOOKUP(I10,Наценка!$A$1:$B$8,2,1)</f>
        <v>1.7</v>
      </c>
      <c r="K10" s="54">
        <f>U10*1</f>
        <v>750</v>
      </c>
      <c r="L10" s="38">
        <f t="shared" si="2"/>
        <v>749</v>
      </c>
      <c r="M10" s="42">
        <f>VLOOKUP($A10,'Выгр Кат'!$A:$R,M$1,0)</f>
        <v>500</v>
      </c>
      <c r="N10" s="42">
        <f>VLOOKUP($A10,'Выгр Кат'!$A:$R,N$1,0)</f>
        <v>989</v>
      </c>
      <c r="O10" s="21">
        <f t="shared" si="5"/>
        <v>0</v>
      </c>
      <c r="P10" s="21">
        <f t="shared" si="6"/>
        <v>240</v>
      </c>
      <c r="Q10" s="84">
        <f t="shared" si="7"/>
        <v>697</v>
      </c>
      <c r="R10" s="44">
        <f>IFERROR(Q10/I10-1,"")</f>
        <v>0.39399999999999991</v>
      </c>
      <c r="S10" s="44">
        <f>IFERROR((U10-Q10)/U10,"")</f>
        <v>7.0666666666666669E-2</v>
      </c>
      <c r="T10" s="44">
        <f>IFERROR(IF(U10="","",U10/I10-1),"")</f>
        <v>0.5</v>
      </c>
      <c r="U10" s="78">
        <f>AD10</f>
        <v>750</v>
      </c>
      <c r="V10" s="53">
        <f>IFERROR((VLOOKUP($A10,'Из ГУГЛа'!$B:$Z,V$1,0)+X10)*W10,VLOOKUP($A10,'Из ГУГЛа'!$B:$Z,V$1,0))</f>
        <v>990</v>
      </c>
      <c r="W10" s="20">
        <v>1</v>
      </c>
      <c r="X10" s="20">
        <v>0</v>
      </c>
      <c r="Y10" s="81">
        <v>990</v>
      </c>
      <c r="Z10" s="29" t="s">
        <v>77</v>
      </c>
      <c r="AA10" s="53" t="str">
        <f>IFERROR((VLOOKUP($A10,'Из ГУГЛа'!$B:$Z,AA$1,0)+AC10)*AB10,VLOOKUP($A10,'Из ГУГЛа'!$B:$Z,AA$1,0))</f>
        <v/>
      </c>
      <c r="AB10" s="53">
        <v>1</v>
      </c>
      <c r="AC10" s="53">
        <v>0</v>
      </c>
      <c r="AD10" s="63">
        <v>750</v>
      </c>
      <c r="AE10" s="29" t="s">
        <v>174</v>
      </c>
    </row>
    <row r="11" spans="1:31" ht="16.5" thickTop="1" thickBot="1" x14ac:dyDescent="0.3">
      <c r="A11" s="17">
        <v>162882</v>
      </c>
      <c r="B11" s="42">
        <f>VLOOKUP($A11,'Выгр Кат'!$A:$R,B$1,0)</f>
        <v>848</v>
      </c>
      <c r="C11" s="43" t="str">
        <f>VLOOKUP($A11,'Выгр Кат'!$A:$R,C$1,0)</f>
        <v>Кулиса КПП (ВАЗ 1117-1119)</v>
      </c>
      <c r="D11" s="42" t="str">
        <f>VLOOKUP($A11,'Выгр Кат'!$A:$R,D$1,0)</f>
        <v>Y</v>
      </c>
      <c r="E11" s="42" t="str">
        <f>VLOOKUP($A11,'Выгр Кат'!$A:$R,E$1,0)</f>
        <v>1ск4</v>
      </c>
      <c r="F11" s="42">
        <f>VLOOKUP($A11,'Выгр Кат'!$A:$R,F$1,0)</f>
        <v>0</v>
      </c>
      <c r="G11" s="62"/>
      <c r="H11" s="35" t="s">
        <v>15</v>
      </c>
      <c r="I11" s="31">
        <f t="shared" si="0"/>
        <v>700</v>
      </c>
      <c r="J11" s="1">
        <f>VLOOKUP(I11,Наценка!$A$1:$B$8,2,1)</f>
        <v>1.7</v>
      </c>
      <c r="K11" s="55">
        <v>999</v>
      </c>
      <c r="L11" s="38">
        <f t="shared" si="2"/>
        <v>999</v>
      </c>
      <c r="M11" s="42">
        <f>VLOOKUP($A11,'Выгр Кат'!$A:$R,M$1,0)</f>
        <v>700</v>
      </c>
      <c r="N11" s="42">
        <f>VLOOKUP($A11,'Выгр Кат'!$A:$R,N$1,0)</f>
        <v>1490</v>
      </c>
      <c r="O11" s="21">
        <f t="shared" si="5"/>
        <v>0</v>
      </c>
      <c r="P11" s="21">
        <f t="shared" si="6"/>
        <v>491</v>
      </c>
      <c r="Q11" s="84">
        <f t="shared" si="7"/>
        <v>929</v>
      </c>
      <c r="R11" s="44">
        <f>IFERROR(Q11/I11-1,"")</f>
        <v>0.32714285714285718</v>
      </c>
      <c r="S11" s="44">
        <f>IFERROR((U11-Q11)/U11,"")</f>
        <v>6.1616161616161617E-2</v>
      </c>
      <c r="T11" s="44">
        <f>IFERROR(IF(U11="","",U11/I11-1),"")</f>
        <v>0.41428571428571437</v>
      </c>
      <c r="U11" s="78">
        <f>AD11</f>
        <v>990</v>
      </c>
      <c r="V11" s="53">
        <f>IFERROR((VLOOKUP($A11,'Из ГУГЛа'!$B:$Z,V$1,0)+X11)*W11,VLOOKUP($A11,'Из ГУГЛа'!$B:$Z,V$1,0))</f>
        <v>1390</v>
      </c>
      <c r="W11" s="20">
        <v>1</v>
      </c>
      <c r="X11" s="20">
        <v>0</v>
      </c>
      <c r="Y11" s="81">
        <v>1390</v>
      </c>
      <c r="Z11" s="29" t="s">
        <v>70</v>
      </c>
      <c r="AA11" s="53" t="str">
        <f>IFERROR((VLOOKUP($A11,'Из ГУГЛа'!$B:$Z,AA$1,0)+AC11)*AB11,VLOOKUP($A11,'Из ГУГЛа'!$B:$Z,AA$1,0))</f>
        <v/>
      </c>
      <c r="AB11" s="53">
        <v>1</v>
      </c>
      <c r="AC11" s="53">
        <v>0</v>
      </c>
      <c r="AD11" s="63">
        <v>990</v>
      </c>
      <c r="AE11" s="29" t="s">
        <v>175</v>
      </c>
    </row>
    <row r="12" spans="1:31" ht="31.5" thickTop="1" thickBot="1" x14ac:dyDescent="0.3">
      <c r="A12" s="17">
        <v>162884</v>
      </c>
      <c r="B12" s="42">
        <f>VLOOKUP($A12,'Выгр Кат'!$A:$R,B$1,0)</f>
        <v>850</v>
      </c>
      <c r="C12" s="43" t="str">
        <f>VLOOKUP($A12,'Выгр Кат'!$A:$R,C$1,0)</f>
        <v>Кулиса КПП короткоходная для ВАЗ 2108-21099, 2113-2115</v>
      </c>
      <c r="D12" s="42" t="str">
        <f>VLOOKUP($A12,'Выгр Кат'!$A:$R,D$1,0)</f>
        <v>Y</v>
      </c>
      <c r="E12" s="42" t="str">
        <f>VLOOKUP($A12,'Выгр Кат'!$A:$R,E$1,0)</f>
        <v>1ск4</v>
      </c>
      <c r="F12" s="42">
        <f>VLOOKUP($A12,'Выгр Кат'!$A:$R,F$1,0)</f>
        <v>0</v>
      </c>
      <c r="G12" s="62"/>
      <c r="H12" s="35" t="s">
        <v>15</v>
      </c>
      <c r="I12" s="31">
        <f t="shared" si="0"/>
        <v>700</v>
      </c>
      <c r="J12" s="1">
        <f>VLOOKUP(I12,Наценка!$A$1:$B$8,2,1)</f>
        <v>1.7</v>
      </c>
      <c r="K12" s="55">
        <f>U12*1.02</f>
        <v>994.5</v>
      </c>
      <c r="L12" s="38">
        <f t="shared" si="2"/>
        <v>999</v>
      </c>
      <c r="M12" s="42">
        <f>VLOOKUP($A12,'Выгр Кат'!$A:$R,M$1,0)</f>
        <v>700</v>
      </c>
      <c r="N12" s="42">
        <f>VLOOKUP($A12,'Выгр Кат'!$A:$R,N$1,0)</f>
        <v>1790</v>
      </c>
      <c r="O12" s="21">
        <f t="shared" si="5"/>
        <v>0</v>
      </c>
      <c r="P12" s="21">
        <f t="shared" si="6"/>
        <v>791</v>
      </c>
      <c r="Q12" s="84">
        <f t="shared" si="7"/>
        <v>929</v>
      </c>
      <c r="R12" s="44">
        <f>IFERROR(Q12/I12-1,"")</f>
        <v>0.32714285714285718</v>
      </c>
      <c r="S12" s="44">
        <f>IFERROR((U12-Q12)/U12,"")</f>
        <v>4.7179487179487181E-2</v>
      </c>
      <c r="T12" s="44">
        <f>IFERROR(IF(U12="","",U12/I12-1),"")</f>
        <v>0.39285714285714279</v>
      </c>
      <c r="U12" s="78">
        <f>AD12</f>
        <v>975</v>
      </c>
      <c r="V12" s="53">
        <f>IFERROR((VLOOKUP($A12,'Из ГУГЛа'!$B:$Z,V$1,0)+X12)*W12,VLOOKUP($A12,'Из ГУГЛа'!$B:$Z,V$1,0))</f>
        <v>1690</v>
      </c>
      <c r="W12" s="20">
        <v>1</v>
      </c>
      <c r="X12" s="20">
        <v>0</v>
      </c>
      <c r="Y12" s="81">
        <v>1690</v>
      </c>
      <c r="Z12" s="29" t="s">
        <v>61</v>
      </c>
      <c r="AA12" s="53">
        <f>IFERROR((VLOOKUP($A12,'Из ГУГЛа'!$B:$Z,AA$1,0)+AC12)*AB12,VLOOKUP($A12,'Из ГУГЛа'!$B:$Z,AA$1,0))</f>
        <v>975</v>
      </c>
      <c r="AB12" s="53">
        <v>1</v>
      </c>
      <c r="AC12" s="53">
        <v>0</v>
      </c>
      <c r="AD12" s="63">
        <v>975</v>
      </c>
      <c r="AE12" s="29" t="s">
        <v>153</v>
      </c>
    </row>
    <row r="13" spans="1:31" ht="31.5" thickTop="1" thickBot="1" x14ac:dyDescent="0.3">
      <c r="A13" s="17">
        <v>162881</v>
      </c>
      <c r="B13" s="42">
        <f>VLOOKUP($A13,'Выгр Кат'!$A:$R,B$1,0)</f>
        <v>851</v>
      </c>
      <c r="C13" s="43" t="str">
        <f>VLOOKUP($A13,'Выгр Кат'!$A:$R,C$1,0)</f>
        <v>Кулиса КПП короткоходная для ВАЗ 2110-2112, Лада Приора</v>
      </c>
      <c r="D13" s="42" t="str">
        <f>VLOOKUP($A13,'Выгр Кат'!$A:$R,D$1,0)</f>
        <v>Y</v>
      </c>
      <c r="E13" s="42" t="str">
        <f>VLOOKUP($A13,'Выгр Кат'!$A:$R,E$1,0)</f>
        <v>1</v>
      </c>
      <c r="F13" s="42">
        <f>VLOOKUP($A13,'Выгр Кат'!$A:$R,F$1,0)</f>
        <v>0</v>
      </c>
      <c r="G13" s="62"/>
      <c r="H13" s="35" t="s">
        <v>15</v>
      </c>
      <c r="I13" s="31">
        <f t="shared" si="0"/>
        <v>750</v>
      </c>
      <c r="J13" s="1">
        <f>VLOOKUP(I13,Наценка!$A$1:$B$8,2,1)</f>
        <v>1.7</v>
      </c>
      <c r="K13" s="55">
        <f>U13*1.02</f>
        <v>994.5</v>
      </c>
      <c r="L13" s="38">
        <f t="shared" si="2"/>
        <v>999</v>
      </c>
      <c r="M13" s="42">
        <f>VLOOKUP($A13,'Выгр Кат'!$A:$R,M$1,0)</f>
        <v>750</v>
      </c>
      <c r="N13" s="42">
        <f>VLOOKUP($A13,'Выгр Кат'!$A:$R,N$1,0)</f>
        <v>1790</v>
      </c>
      <c r="O13" s="21">
        <f t="shared" si="5"/>
        <v>0</v>
      </c>
      <c r="P13" s="21">
        <f t="shared" si="6"/>
        <v>791</v>
      </c>
      <c r="Q13" s="84">
        <f t="shared" si="7"/>
        <v>929</v>
      </c>
      <c r="R13" s="44">
        <f>IFERROR(Q13/I13-1,"")</f>
        <v>0.23866666666666658</v>
      </c>
      <c r="S13" s="44">
        <f>IFERROR((U13-Q13)/U13,"")</f>
        <v>4.7179487179487181E-2</v>
      </c>
      <c r="T13" s="44">
        <f>IFERROR(IF(U13="","",U13/I13-1),"")</f>
        <v>0.30000000000000004</v>
      </c>
      <c r="U13" s="78">
        <f>AD13</f>
        <v>975</v>
      </c>
      <c r="V13" s="53">
        <f>IFERROR((VLOOKUP($A13,'Из ГУГЛа'!$B:$Z,V$1,0)+X13)*W13,VLOOKUP($A13,'Из ГУГЛа'!$B:$Z,V$1,0))</f>
        <v>1690</v>
      </c>
      <c r="W13" s="20">
        <v>1</v>
      </c>
      <c r="X13" s="20">
        <v>0</v>
      </c>
      <c r="Y13" s="81">
        <v>1690</v>
      </c>
      <c r="Z13" s="29" t="s">
        <v>69</v>
      </c>
      <c r="AA13" s="53">
        <f>IFERROR((VLOOKUP($A13,'Из ГУГЛа'!$B:$Z,AA$1,0)+AC13)*AB13,VLOOKUP($A13,'Из ГУГЛа'!$B:$Z,AA$1,0))</f>
        <v>975</v>
      </c>
      <c r="AB13" s="53">
        <v>1</v>
      </c>
      <c r="AC13" s="53">
        <v>0</v>
      </c>
      <c r="AD13" s="63">
        <v>975</v>
      </c>
      <c r="AE13" s="29" t="s">
        <v>154</v>
      </c>
    </row>
    <row r="14" spans="1:31" ht="31.5" hidden="1" thickTop="1" thickBot="1" x14ac:dyDescent="0.3">
      <c r="A14" s="17">
        <v>202544</v>
      </c>
      <c r="B14" s="42">
        <f>VLOOKUP($A14,'Выгр Кат'!$A:$R,B$1,0)</f>
        <v>15521</v>
      </c>
      <c r="C14" s="43" t="str">
        <f>VLOOKUP($A14,'Выгр Кат'!$A:$R,C$1,0)</f>
        <v>(дубль) Разрезная шестерня ГРМ под датчик фаз для Лада Нива 4х4, Шевроле Нива</v>
      </c>
      <c r="D14" s="42" t="str">
        <f>VLOOKUP($A14,'Выгр Кат'!$A:$R,D$1,0)</f>
        <v>N</v>
      </c>
      <c r="E14" s="42" t="str">
        <f>VLOOKUP($A14,'Выгр Кат'!$A:$R,E$1,0)</f>
        <v>1</v>
      </c>
      <c r="F14" s="42">
        <f>VLOOKUP($A14,'Выгр Кат'!$A:$R,F$1,0)</f>
        <v>0</v>
      </c>
      <c r="G14" s="62"/>
      <c r="H14" s="35" t="s">
        <v>15</v>
      </c>
      <c r="I14" s="31">
        <f t="shared" si="0"/>
        <v>950</v>
      </c>
      <c r="J14" s="1">
        <f>VLOOKUP(I14,Наценка!$A$1:$B$8,2,1)</f>
        <v>1.7</v>
      </c>
      <c r="K14" s="57">
        <f t="shared" ref="K14:K15" si="8">U14*1.05</f>
        <v>2194.5</v>
      </c>
      <c r="L14" s="38">
        <f t="shared" si="2"/>
        <v>2190</v>
      </c>
      <c r="M14" s="42">
        <f>VLOOKUP($A14,'Выгр Кат'!$A:$R,M$1,0)</f>
        <v>950</v>
      </c>
      <c r="N14" s="42">
        <f>VLOOKUP($A14,'Выгр Кат'!$A:$R,N$1,0)</f>
        <v>2190</v>
      </c>
      <c r="O14" s="21">
        <f t="shared" si="5"/>
        <v>0</v>
      </c>
      <c r="P14" s="21">
        <f t="shared" si="6"/>
        <v>0</v>
      </c>
      <c r="Q14" s="84">
        <f t="shared" si="7"/>
        <v>2037</v>
      </c>
      <c r="R14" s="44">
        <f>IFERROR(Q14/I14-1,"")</f>
        <v>1.1442105263157893</v>
      </c>
      <c r="S14" s="44">
        <f>IFERROR((U14-Q14)/U14,"")</f>
        <v>2.5358851674641147E-2</v>
      </c>
      <c r="T14" s="44">
        <f>IFERROR(IF(U14="","",U14/I14-1),"")</f>
        <v>1.2000000000000002</v>
      </c>
      <c r="U14" s="76">
        <f t="shared" ref="U7:U21" si="9">Y14</f>
        <v>2090</v>
      </c>
      <c r="V14" s="53">
        <f>IFERROR((VLOOKUP($A14,'Из ГУГЛа'!$B:$Z,V$1,0)+X14)*W14,VLOOKUP($A14,'Из ГУГЛа'!$B:$Z,V$1,0))</f>
        <v>2090</v>
      </c>
      <c r="W14" s="20">
        <v>1</v>
      </c>
      <c r="X14" s="20">
        <v>0</v>
      </c>
      <c r="Y14" s="81">
        <v>2090</v>
      </c>
      <c r="Z14" s="29" t="s">
        <v>56</v>
      </c>
      <c r="AA14" s="53" t="str">
        <f>IFERROR((VLOOKUP($A14,'Из ГУГЛа'!$B:$Z,AA$1,0)+AC14)*AB14,VLOOKUP($A14,'Из ГУГЛа'!$B:$Z,AA$1,0))</f>
        <v/>
      </c>
      <c r="AB14" s="53">
        <v>1</v>
      </c>
      <c r="AC14" s="53">
        <v>0</v>
      </c>
      <c r="AD14" s="42"/>
    </row>
    <row r="15" spans="1:31" ht="31.5" hidden="1" thickTop="1" thickBot="1" x14ac:dyDescent="0.3">
      <c r="A15" s="17">
        <v>225778</v>
      </c>
      <c r="B15" s="42">
        <f>VLOOKUP($A15,'Выгр Кат'!$A:$R,B$1,0)</f>
        <v>863</v>
      </c>
      <c r="C15" s="43" t="str">
        <f>VLOOKUP($A15,'Выгр Кат'!$A:$R,C$1,0)</f>
        <v>Разрезная шестерня ГРМ без датчика фаз (однорядная) для Шевроле Нива</v>
      </c>
      <c r="D15" s="42" t="str">
        <f>VLOOKUP($A15,'Выгр Кат'!$A:$R,D$1,0)</f>
        <v>Y</v>
      </c>
      <c r="E15" s="42" t="str">
        <f>VLOOKUP($A15,'Выгр Кат'!$A:$R,E$1,0)</f>
        <v>1</v>
      </c>
      <c r="F15" s="42">
        <f>VLOOKUP($A15,'Выгр Кат'!$A:$R,F$1,0)</f>
        <v>0</v>
      </c>
      <c r="G15" s="62"/>
      <c r="H15" s="35" t="s">
        <v>15</v>
      </c>
      <c r="I15" s="31">
        <f t="shared" si="0"/>
        <v>1300</v>
      </c>
      <c r="J15" s="1">
        <f>VLOOKUP(I15,Наценка!$A$1:$B$8,2,1)</f>
        <v>1.65</v>
      </c>
      <c r="K15" s="57">
        <f t="shared" si="8"/>
        <v>2194.5</v>
      </c>
      <c r="L15" s="38">
        <f t="shared" si="2"/>
        <v>2190</v>
      </c>
      <c r="M15" s="42">
        <f>VLOOKUP($A15,'Выгр Кат'!$A:$R,M$1,0)</f>
        <v>1300</v>
      </c>
      <c r="N15" s="42">
        <f>VLOOKUP($A15,'Выгр Кат'!$A:$R,N$1,0)</f>
        <v>2190</v>
      </c>
      <c r="O15" s="21">
        <f t="shared" si="5"/>
        <v>0</v>
      </c>
      <c r="P15" s="21">
        <f t="shared" si="6"/>
        <v>0</v>
      </c>
      <c r="Q15" s="84">
        <f t="shared" si="7"/>
        <v>2037</v>
      </c>
      <c r="R15" s="44">
        <f>IFERROR(Q15/I15-1,"")</f>
        <v>0.56692307692307686</v>
      </c>
      <c r="S15" s="44">
        <f>IFERROR((U15-Q15)/U15,"")</f>
        <v>2.5358851674641147E-2</v>
      </c>
      <c r="T15" s="44">
        <f>IFERROR(IF(U15="","",U15/I15-1),"")</f>
        <v>0.60769230769230775</v>
      </c>
      <c r="U15" s="76">
        <f t="shared" si="9"/>
        <v>2090</v>
      </c>
      <c r="V15" s="53">
        <f>IFERROR((VLOOKUP($A15,'Из ГУГЛа'!$B:$Z,V$1,0)+X15)*W15,VLOOKUP($A15,'Из ГУГЛа'!$B:$Z,V$1,0))</f>
        <v>2090</v>
      </c>
      <c r="W15" s="20">
        <v>1</v>
      </c>
      <c r="X15" s="20">
        <v>0</v>
      </c>
      <c r="Y15" s="81">
        <v>2090</v>
      </c>
      <c r="Z15" s="29" t="s">
        <v>56</v>
      </c>
      <c r="AA15" s="53">
        <f>IFERROR((VLOOKUP($A15,'Из ГУГЛа'!$B:$Z,AA$1,0)+AC15)*AB15,VLOOKUP($A15,'Из ГУГЛа'!$B:$Z,AA$1,0))</f>
        <v>1950</v>
      </c>
      <c r="AB15" s="53">
        <v>1</v>
      </c>
      <c r="AC15" s="53">
        <v>0</v>
      </c>
      <c r="AD15" s="63">
        <v>1950</v>
      </c>
      <c r="AE15" s="29" t="s">
        <v>155</v>
      </c>
    </row>
    <row r="16" spans="1:31" ht="31.5" hidden="1" thickTop="1" thickBot="1" x14ac:dyDescent="0.3">
      <c r="A16" s="17">
        <v>202542</v>
      </c>
      <c r="B16" s="42">
        <f>VLOOKUP($A16,'Выгр Кат'!$A:$R,B$1,0)</f>
        <v>15523</v>
      </c>
      <c r="C16" s="43" t="str">
        <f>VLOOKUP($A16,'Выгр Кат'!$A:$R,C$1,0)</f>
        <v>Разрезная шестерня ГРМ (сталь) для Лада Калина 2, Гранта (с 8-ми клапанным двигателем)</v>
      </c>
      <c r="D16" s="42" t="str">
        <f>VLOOKUP($A16,'Выгр Кат'!$A:$R,D$1,0)</f>
        <v>Y</v>
      </c>
      <c r="E16" s="42" t="str">
        <f>VLOOKUP($A16,'Выгр Кат'!$A:$R,E$1,0)</f>
        <v>0</v>
      </c>
      <c r="F16" s="42">
        <f>VLOOKUP($A16,'Выгр Кат'!$A:$R,F$1,0)</f>
        <v>0</v>
      </c>
      <c r="G16" s="62"/>
      <c r="H16" s="35" t="s">
        <v>15</v>
      </c>
      <c r="I16" s="31">
        <f t="shared" si="0"/>
        <v>1000</v>
      </c>
      <c r="J16" s="1">
        <f>VLOOKUP(I16,Наценка!$A$1:$B$8,2,1)</f>
        <v>1.65</v>
      </c>
      <c r="K16" s="57">
        <f t="shared" ref="K12:K16" si="10">U16*1.06</f>
        <v>1791.4</v>
      </c>
      <c r="L16" s="38">
        <f t="shared" si="2"/>
        <v>1790</v>
      </c>
      <c r="M16" s="42">
        <f>VLOOKUP($A16,'Выгр Кат'!$A:$R,M$1,0)</f>
        <v>1000</v>
      </c>
      <c r="N16" s="42">
        <f>VLOOKUP($A16,'Выгр Кат'!$A:$R,N$1,0)</f>
        <v>1790</v>
      </c>
      <c r="O16" s="21">
        <f t="shared" si="5"/>
        <v>0</v>
      </c>
      <c r="P16" s="21">
        <f t="shared" si="6"/>
        <v>0</v>
      </c>
      <c r="Q16" s="84">
        <f t="shared" si="7"/>
        <v>1665</v>
      </c>
      <c r="R16" s="44">
        <f>IFERROR(Q16/I16-1,"")</f>
        <v>0.66500000000000004</v>
      </c>
      <c r="S16" s="44">
        <f>IFERROR((U16-Q16)/U16,"")</f>
        <v>1.4792899408284023E-2</v>
      </c>
      <c r="T16" s="44">
        <f>IFERROR(IF(U16="","",U16/I16-1),"")</f>
        <v>0.69</v>
      </c>
      <c r="U16" s="76">
        <f t="shared" si="9"/>
        <v>1690</v>
      </c>
      <c r="V16" s="53">
        <f>IFERROR((VLOOKUP($A16,'Из ГУГЛа'!$B:$Z,V$1,0)+X16)*W16,VLOOKUP($A16,'Из ГУГЛа'!$B:$Z,V$1,0))</f>
        <v>1690</v>
      </c>
      <c r="W16" s="20">
        <v>1</v>
      </c>
      <c r="X16" s="20">
        <v>0</v>
      </c>
      <c r="Y16" s="81">
        <v>1690</v>
      </c>
      <c r="Z16" s="29" t="s">
        <v>71</v>
      </c>
      <c r="AA16" s="53" t="str">
        <f>IFERROR((VLOOKUP($A16,'Из ГУГЛа'!$B:$Z,AA$1,0)+AC16)*AB16,VLOOKUP($A16,'Из ГУГЛа'!$B:$Z,AA$1,0))</f>
        <v/>
      </c>
      <c r="AB16" s="53">
        <v>1</v>
      </c>
      <c r="AC16" s="53">
        <v>0</v>
      </c>
      <c r="AD16" s="42"/>
    </row>
    <row r="17" spans="1:31" ht="61.5" hidden="1" thickTop="1" thickBot="1" x14ac:dyDescent="0.3">
      <c r="A17" s="17">
        <v>225786</v>
      </c>
      <c r="B17" s="42">
        <f>VLOOKUP($A17,'Выгр Кат'!$A:$R,B$1,0)</f>
        <v>894</v>
      </c>
      <c r="C17" s="43" t="str">
        <f>VLOOKUP($A17,'Выгр Кат'!$A:$R,C$1,0)</f>
        <v>Шестерня разрезная ГРМ (стальная ступица) для ВАЗ (2108-21099, 2110-2112, 2113-2115), Лада (Калина, Калина 2, Приора, Приора 2,Гранта) (с 8-ми клапанным двигателем)</v>
      </c>
      <c r="D17" s="42" t="str">
        <f>VLOOKUP($A17,'Выгр Кат'!$A:$R,D$1,0)</f>
        <v>Y</v>
      </c>
      <c r="E17" s="42" t="str">
        <f>VLOOKUP($A17,'Выгр Кат'!$A:$R,E$1,0)</f>
        <v>1</v>
      </c>
      <c r="F17" s="42">
        <f>VLOOKUP($A17,'Выгр Кат'!$A:$R,F$1,0)</f>
        <v>0</v>
      </c>
      <c r="G17" s="62"/>
      <c r="H17" s="35" t="s">
        <v>15</v>
      </c>
      <c r="I17" s="31">
        <f t="shared" si="0"/>
        <v>1600</v>
      </c>
      <c r="J17" s="1">
        <f>VLOOKUP(I17,Наценка!$A$1:$B$8,2,1)</f>
        <v>1.65</v>
      </c>
      <c r="K17" s="58">
        <f t="shared" ref="K11:K18" si="11">U17*1.07</f>
        <v>3092.3</v>
      </c>
      <c r="L17" s="38">
        <f t="shared" si="2"/>
        <v>3090</v>
      </c>
      <c r="M17" s="42">
        <f>VLOOKUP($A17,'Выгр Кат'!$A:$R,M$1,0)</f>
        <v>1600</v>
      </c>
      <c r="N17" s="42">
        <f>VLOOKUP($A17,'Выгр Кат'!$A:$R,N$1,0)</f>
        <v>3090</v>
      </c>
      <c r="O17" s="21">
        <f t="shared" si="5"/>
        <v>0</v>
      </c>
      <c r="P17" s="21">
        <f t="shared" si="6"/>
        <v>0</v>
      </c>
      <c r="Q17" s="84">
        <f t="shared" si="7"/>
        <v>2874</v>
      </c>
      <c r="R17" s="44">
        <f>IFERROR(Q17/I17-1,"")</f>
        <v>0.7962499999999999</v>
      </c>
      <c r="S17" s="44">
        <f>IFERROR((U17-Q17)/U17,"")</f>
        <v>5.5363321799307957E-3</v>
      </c>
      <c r="T17" s="44">
        <f>IFERROR(IF(U17="","",U17/I17-1),"")</f>
        <v>0.80624999999999991</v>
      </c>
      <c r="U17" s="76">
        <f t="shared" si="9"/>
        <v>2890</v>
      </c>
      <c r="V17" s="53">
        <f>IFERROR((VLOOKUP($A17,'Из ГУГЛа'!$B:$Z,V$1,0)+X17)*W17,VLOOKUP($A17,'Из ГУГЛа'!$B:$Z,V$1,0))</f>
        <v>2890</v>
      </c>
      <c r="W17" s="20">
        <v>1</v>
      </c>
      <c r="X17" s="20">
        <v>0</v>
      </c>
      <c r="Y17" s="81">
        <v>2890</v>
      </c>
      <c r="Z17" s="29" t="s">
        <v>68</v>
      </c>
      <c r="AA17" s="53" t="str">
        <f>IFERROR((VLOOKUP($A17,'Из ГУГЛа'!$B:$Z,AA$1,0)+AC17)*AB17,VLOOKUP($A17,'Из ГУГЛа'!$B:$Z,AA$1,0))</f>
        <v/>
      </c>
      <c r="AB17" s="53">
        <v>1</v>
      </c>
      <c r="AC17" s="53">
        <v>0</v>
      </c>
      <c r="AD17" s="42"/>
    </row>
    <row r="18" spans="1:31" ht="46.5" hidden="1" thickTop="1" thickBot="1" x14ac:dyDescent="0.3">
      <c r="A18" s="17">
        <v>225785</v>
      </c>
      <c r="B18" s="42">
        <f>VLOOKUP($A18,'Выгр Кат'!$A:$R,B$1,0)</f>
        <v>898</v>
      </c>
      <c r="C18" s="43" t="str">
        <f>VLOOKUP($A18,'Выгр Кат'!$A:$R,C$1,0)</f>
        <v>Шестерня разрезная ГРМ Спорт (стальная ступица) для ВАЗ 2108-21099, 2110-2112, 2113-2115 (8-ми клапанный двигатель)</v>
      </c>
      <c r="D18" s="42" t="str">
        <f>VLOOKUP($A18,'Выгр Кат'!$A:$R,D$1,0)</f>
        <v>Y</v>
      </c>
      <c r="E18" s="42" t="str">
        <f>VLOOKUP($A18,'Выгр Кат'!$A:$R,E$1,0)</f>
        <v>0</v>
      </c>
      <c r="F18" s="42">
        <f>VLOOKUP($A18,'Выгр Кат'!$A:$R,F$1,0)</f>
        <v>0</v>
      </c>
      <c r="G18" s="62"/>
      <c r="H18" s="35" t="s">
        <v>15</v>
      </c>
      <c r="I18" s="31">
        <f t="shared" si="0"/>
        <v>1700</v>
      </c>
      <c r="J18" s="1">
        <f>VLOOKUP(I18,Наценка!$A$1:$B$8,2,1)</f>
        <v>1.65</v>
      </c>
      <c r="K18" s="58">
        <f t="shared" si="11"/>
        <v>3092.3</v>
      </c>
      <c r="L18" s="38">
        <f t="shared" si="2"/>
        <v>3090</v>
      </c>
      <c r="M18" s="42">
        <f>VLOOKUP($A18,'Выгр Кат'!$A:$R,M$1,0)</f>
        <v>1700</v>
      </c>
      <c r="N18" s="42">
        <f>VLOOKUP($A18,'Выгр Кат'!$A:$R,N$1,0)</f>
        <v>3090</v>
      </c>
      <c r="O18" s="21">
        <f t="shared" si="5"/>
        <v>0</v>
      </c>
      <c r="P18" s="21">
        <f t="shared" si="6"/>
        <v>0</v>
      </c>
      <c r="Q18" s="84">
        <f t="shared" si="7"/>
        <v>2874</v>
      </c>
      <c r="R18" s="44">
        <f>IFERROR(Q18/I18-1,"")</f>
        <v>0.69058823529411772</v>
      </c>
      <c r="S18" s="44">
        <f>IFERROR((U18-Q18)/U18,"")</f>
        <v>5.5363321799307957E-3</v>
      </c>
      <c r="T18" s="44">
        <f>IFERROR(IF(U18="","",U18/I18-1),"")</f>
        <v>0.7</v>
      </c>
      <c r="U18" s="76">
        <f t="shared" si="9"/>
        <v>2890</v>
      </c>
      <c r="V18" s="53">
        <f>IFERROR((VLOOKUP($A18,'Из ГУГЛа'!$B:$Z,V$1,0)+X18)*W18,VLOOKUP($A18,'Из ГУГЛа'!$B:$Z,V$1,0))</f>
        <v>2890</v>
      </c>
      <c r="W18" s="20">
        <v>1</v>
      </c>
      <c r="X18" s="20">
        <v>0</v>
      </c>
      <c r="Y18" s="81">
        <v>2890</v>
      </c>
      <c r="Z18" s="29" t="s">
        <v>74</v>
      </c>
      <c r="AA18" s="53" t="str">
        <f>IFERROR((VLOOKUP($A18,'Из ГУГЛа'!$B:$Z,AA$1,0)+AC18)*AB18,VLOOKUP($A18,'Из ГУГЛа'!$B:$Z,AA$1,0))</f>
        <v/>
      </c>
      <c r="AB18" s="53">
        <v>1</v>
      </c>
      <c r="AC18" s="53">
        <v>0</v>
      </c>
      <c r="AD18" s="42"/>
    </row>
    <row r="19" spans="1:31" ht="31.5" thickTop="1" thickBot="1" x14ac:dyDescent="0.3">
      <c r="A19" s="17">
        <v>211349</v>
      </c>
      <c r="B19" s="42">
        <f>VLOOKUP($A19,'Выгр Кат'!$A:$R,B$1,0)</f>
        <v>886</v>
      </c>
      <c r="C19" s="43" t="str">
        <f>VLOOKUP($A19,'Выгр Кат'!$A:$R,C$1,0)</f>
        <v>Рулевой вал промежуточный (карданчик) для установки ЭУР для ВАЗ 2101-2107</v>
      </c>
      <c r="D19" s="42" t="str">
        <f>VLOOKUP($A19,'Выгр Кат'!$A:$R,D$1,0)</f>
        <v>Y</v>
      </c>
      <c r="E19" s="42" t="str">
        <f>VLOOKUP($A19,'Выгр Кат'!$A:$R,E$1,0)</f>
        <v>1ск4</v>
      </c>
      <c r="F19" s="42">
        <f>VLOOKUP($A19,'Выгр Кат'!$A:$R,F$1,0)</f>
        <v>0</v>
      </c>
      <c r="G19" s="62"/>
      <c r="H19" s="35" t="s">
        <v>15</v>
      </c>
      <c r="I19" s="31">
        <f t="shared" si="0"/>
        <v>1800</v>
      </c>
      <c r="J19" s="1">
        <f>VLOOKUP(I19,Наценка!$A$1:$B$8,2,1)</f>
        <v>1.65</v>
      </c>
      <c r="K19" s="60">
        <f>I19*1.2*100/93</f>
        <v>2322.5806451612902</v>
      </c>
      <c r="L19" s="38">
        <f t="shared" si="2"/>
        <v>2390</v>
      </c>
      <c r="M19" s="42">
        <f>VLOOKUP($A19,'Выгр Кат'!$A:$R,M$1,0)</f>
        <v>1800</v>
      </c>
      <c r="N19" s="42">
        <f>VLOOKUP($A19,'Выгр Кат'!$A:$R,N$1,0)</f>
        <v>2490</v>
      </c>
      <c r="O19" s="21">
        <f t="shared" si="5"/>
        <v>0</v>
      </c>
      <c r="P19" s="21">
        <f t="shared" si="6"/>
        <v>100</v>
      </c>
      <c r="Q19" s="84">
        <f t="shared" si="7"/>
        <v>2223</v>
      </c>
      <c r="R19" s="44">
        <f>IFERROR(Q19/I19-1,"")</f>
        <v>0.2350000000000001</v>
      </c>
      <c r="S19" s="44">
        <f>IFERROR((U19-Q19)/U19,"")</f>
        <v>-1.5068493150684932E-2</v>
      </c>
      <c r="T19" s="44">
        <f>IFERROR(IF(U19="","",U19/I19-1),"")</f>
        <v>0.21666666666666656</v>
      </c>
      <c r="U19" s="76">
        <f t="shared" si="9"/>
        <v>2190</v>
      </c>
      <c r="V19" s="53">
        <f>IFERROR((VLOOKUP($A19,'Из ГУГЛа'!$B:$Z,V$1,0)+X19)*W19,VLOOKUP($A19,'Из ГУГЛа'!$B:$Z,V$1,0))</f>
        <v>2190</v>
      </c>
      <c r="W19" s="20">
        <v>1</v>
      </c>
      <c r="X19" s="20">
        <v>0</v>
      </c>
      <c r="Y19" s="81">
        <v>2190</v>
      </c>
      <c r="Z19" s="29" t="s">
        <v>66</v>
      </c>
      <c r="AA19" s="53">
        <f>IFERROR((VLOOKUP($A19,'Из ГУГЛа'!$B:$Z,AA$1,0)+AC19)*AB19,VLOOKUP($A19,'Из ГУГЛа'!$B:$Z,AA$1,0))</f>
        <v>1900</v>
      </c>
      <c r="AB19" s="53">
        <v>1</v>
      </c>
      <c r="AC19" s="53">
        <v>0</v>
      </c>
      <c r="AD19" s="63">
        <v>1900</v>
      </c>
      <c r="AE19" s="29" t="s">
        <v>156</v>
      </c>
    </row>
    <row r="20" spans="1:31" ht="31.5" hidden="1" thickTop="1" thickBot="1" x14ac:dyDescent="0.3">
      <c r="A20" s="17">
        <v>211352</v>
      </c>
      <c r="B20" s="42">
        <f>VLOOKUP($A20,'Выгр Кат'!$A:$R,B$1,0)</f>
        <v>29671</v>
      </c>
      <c r="C20" s="43" t="str">
        <f>VLOOKUP($A20,'Выгр Кат'!$A:$R,C$1,0)</f>
        <v>Рулевой вал промежуточный ЭУР для ВАЗ 2101-2107 (с рулевым редуктором 2101)</v>
      </c>
      <c r="D20" s="42" t="str">
        <f>VLOOKUP($A20,'Выгр Кат'!$A:$R,D$1,0)</f>
        <v>Y</v>
      </c>
      <c r="E20" s="42" t="str">
        <f>VLOOKUP($A20,'Выгр Кат'!$A:$R,E$1,0)</f>
        <v>1</v>
      </c>
      <c r="F20" s="42">
        <f>VLOOKUP($A20,'Выгр Кат'!$A:$R,F$1,0)</f>
        <v>0</v>
      </c>
      <c r="G20" s="62"/>
      <c r="H20" s="35" t="s">
        <v>15</v>
      </c>
      <c r="I20" s="31">
        <f t="shared" si="0"/>
        <v>1800</v>
      </c>
      <c r="J20" s="1">
        <f>VLOOKUP(I20,Наценка!$A$1:$B$8,2,1)</f>
        <v>1.65</v>
      </c>
      <c r="K20" s="58">
        <f t="shared" ref="K20" si="12">U20*1.07</f>
        <v>3092.3</v>
      </c>
      <c r="L20" s="38">
        <f t="shared" si="2"/>
        <v>3090</v>
      </c>
      <c r="M20" s="42">
        <f>VLOOKUP($A20,'Выгр Кат'!$A:$R,M$1,0)</f>
        <v>1800</v>
      </c>
      <c r="N20" s="42">
        <f>VLOOKUP($A20,'Выгр Кат'!$A:$R,N$1,0)</f>
        <v>3090</v>
      </c>
      <c r="O20" s="21">
        <f t="shared" si="5"/>
        <v>0</v>
      </c>
      <c r="P20" s="21">
        <f t="shared" si="6"/>
        <v>0</v>
      </c>
      <c r="Q20" s="84">
        <f t="shared" si="7"/>
        <v>2874</v>
      </c>
      <c r="R20" s="44">
        <f>IFERROR(Q20/I20-1,"")</f>
        <v>0.59666666666666668</v>
      </c>
      <c r="S20" s="44">
        <f>IFERROR((U20-Q20)/U20,"")</f>
        <v>5.5363321799307957E-3</v>
      </c>
      <c r="T20" s="44">
        <f>IFERROR(IF(U20="","",U20/I20-1),"")</f>
        <v>0.60555555555555562</v>
      </c>
      <c r="U20" s="76">
        <f t="shared" si="9"/>
        <v>2890</v>
      </c>
      <c r="V20" s="53">
        <f>IFERROR((VLOOKUP($A20,'Из ГУГЛа'!$B:$Z,V$1,0)+X20)*W20,VLOOKUP($A20,'Из ГУГЛа'!$B:$Z,V$1,0))</f>
        <v>2890</v>
      </c>
      <c r="W20" s="20">
        <v>1</v>
      </c>
      <c r="X20" s="20">
        <v>0</v>
      </c>
      <c r="Y20" s="81">
        <v>2890</v>
      </c>
      <c r="Z20" s="29" t="s">
        <v>65</v>
      </c>
      <c r="AA20" s="53">
        <f>IFERROR((VLOOKUP($A20,'Из ГУГЛа'!$B:$Z,AA$1,0)+AC20)*AB20,VLOOKUP($A20,'Из ГУГЛа'!$B:$Z,AA$1,0))</f>
        <v>2750</v>
      </c>
      <c r="AB20" s="53">
        <v>1</v>
      </c>
      <c r="AC20" s="53">
        <v>0</v>
      </c>
      <c r="AD20" s="63">
        <v>2750</v>
      </c>
      <c r="AE20" s="29" t="s">
        <v>159</v>
      </c>
    </row>
    <row r="21" spans="1:31" ht="16.5" hidden="1" thickTop="1" thickBot="1" x14ac:dyDescent="0.3">
      <c r="A21" s="17">
        <v>202545</v>
      </c>
      <c r="B21" s="42">
        <f>VLOOKUP($A21,'Выгр Кат'!$A:$R,B$1,0)</f>
        <v>15525</v>
      </c>
      <c r="C21" s="43" t="str">
        <f>VLOOKUP($A21,'Выгр Кат'!$A:$R,C$1,0)</f>
        <v>Разрезные шестерни ГРМ ВАЗ 2112 (Сталь) СПОРТ</v>
      </c>
      <c r="D21" s="42" t="str">
        <f>VLOOKUP($A21,'Выгр Кат'!$A:$R,D$1,0)</f>
        <v>Y</v>
      </c>
      <c r="E21" s="42" t="str">
        <f>VLOOKUP($A21,'Выгр Кат'!$A:$R,E$1,0)</f>
        <v>0</v>
      </c>
      <c r="F21" s="42">
        <f>VLOOKUP($A21,'Выгр Кат'!$A:$R,F$1,0)</f>
        <v>0</v>
      </c>
      <c r="G21" s="62"/>
      <c r="H21" s="35" t="s">
        <v>15</v>
      </c>
      <c r="I21" s="31">
        <f t="shared" si="0"/>
        <v>3000</v>
      </c>
      <c r="J21" s="1">
        <f>VLOOKUP(I21,Наценка!$A$1:$B$8,2,1)</f>
        <v>1.45</v>
      </c>
      <c r="K21" s="37">
        <f>I21*J21</f>
        <v>4350</v>
      </c>
      <c r="L21" s="38">
        <f t="shared" si="2"/>
        <v>4390</v>
      </c>
      <c r="M21" s="42">
        <f>VLOOKUP($A21,'Выгр Кат'!$A:$R,M$1,0)</f>
        <v>3000</v>
      </c>
      <c r="N21" s="42">
        <f>VLOOKUP($A21,'Выгр Кат'!$A:$R,N$1,0)</f>
        <v>4390</v>
      </c>
      <c r="O21" s="21">
        <f t="shared" si="5"/>
        <v>0</v>
      </c>
      <c r="P21" s="21">
        <f t="shared" si="6"/>
        <v>0</v>
      </c>
      <c r="Q21" s="84">
        <f t="shared" si="7"/>
        <v>4083</v>
      </c>
      <c r="R21" s="44">
        <f>IFERROR(Q21/I21-1,"")</f>
        <v>0.36099999999999999</v>
      </c>
      <c r="S21" s="44">
        <f>IFERROR((U21-Q21)/U21,"")</f>
        <v>-0.36555183946488295</v>
      </c>
      <c r="T21" s="44">
        <f>IFERROR(IF(U21="","",U21/I21-1),"")</f>
        <v>-3.3333333333332993E-3</v>
      </c>
      <c r="U21" s="76">
        <f t="shared" si="9"/>
        <v>2990</v>
      </c>
      <c r="V21" s="53">
        <f>IFERROR((VLOOKUP($A21,'Из ГУГЛа'!$B:$Z,V$1,0)+X21)*W21,VLOOKUP($A21,'Из ГУГЛа'!$B:$Z,V$1,0))</f>
        <v>2990</v>
      </c>
      <c r="W21" s="20">
        <v>1</v>
      </c>
      <c r="X21" s="20">
        <v>0</v>
      </c>
      <c r="Y21" s="81">
        <v>2990</v>
      </c>
      <c r="Z21" s="29" t="s">
        <v>72</v>
      </c>
      <c r="AA21" s="53" t="str">
        <f>IFERROR((VLOOKUP($A21,'Из ГУГЛа'!$B:$Z,AA$1,0)+AC21)*AB21,VLOOKUP($A21,'Из ГУГЛа'!$B:$Z,AA$1,0))</f>
        <v/>
      </c>
      <c r="AB21" s="53">
        <v>1</v>
      </c>
      <c r="AC21" s="53">
        <v>0</v>
      </c>
      <c r="AD21" s="42"/>
    </row>
    <row r="22" spans="1:31" ht="16.5" hidden="1" thickTop="1" thickBot="1" x14ac:dyDescent="0.3">
      <c r="A22" s="17">
        <v>243567</v>
      </c>
      <c r="B22" s="42">
        <f>VLOOKUP($A22,'Выгр Кат'!$A:$R,B$1,0)</f>
        <v>169950</v>
      </c>
      <c r="C22" s="43" t="str">
        <f>VLOOKUP($A22,'Выгр Кат'!$A:$R,C$1,0)</f>
        <v>Вал рулевой карданный для Лада Нива 4х4 с ГУР</v>
      </c>
      <c r="D22" s="42" t="str">
        <f>VLOOKUP($A22,'Выгр Кат'!$A:$R,D$1,0)</f>
        <v>Y</v>
      </c>
      <c r="E22" s="42" t="str">
        <f>VLOOKUP($A22,'Выгр Кат'!$A:$R,E$1,0)</f>
        <v>1</v>
      </c>
      <c r="F22" s="42" t="str">
        <f>VLOOKUP($A22,'Выгр Кат'!$A:$R,F$1,0)</f>
        <v>21214340109211</v>
      </c>
      <c r="G22" s="62"/>
      <c r="H22" s="35" t="s">
        <v>15</v>
      </c>
      <c r="I22" s="31">
        <f t="shared" si="0"/>
        <v>2000</v>
      </c>
      <c r="J22" s="1">
        <f>VLOOKUP(I22,Наценка!$A$1:$B$8,2,1)</f>
        <v>1.45</v>
      </c>
      <c r="K22" s="37">
        <f t="shared" si="1"/>
        <v>2900</v>
      </c>
      <c r="L22" s="38">
        <f t="shared" si="2"/>
        <v>2890</v>
      </c>
      <c r="M22" s="42">
        <f>VLOOKUP($A22,'Выгр Кат'!$A:$R,M$1,0)</f>
        <v>2000</v>
      </c>
      <c r="N22" s="42">
        <f>VLOOKUP($A22,'Выгр Кат'!$A:$R,N$1,0)</f>
        <v>2890</v>
      </c>
      <c r="O22" s="21">
        <f t="shared" si="5"/>
        <v>0</v>
      </c>
      <c r="P22" s="21">
        <f t="shared" si="6"/>
        <v>0</v>
      </c>
      <c r="Q22" s="84">
        <f t="shared" si="7"/>
        <v>2688</v>
      </c>
      <c r="R22" s="44">
        <f>IFERROR(Q22/I22-1,"")</f>
        <v>0.34400000000000008</v>
      </c>
      <c r="S22" s="44" t="str">
        <f>IFERROR((U22-Q22)/U22,"")</f>
        <v/>
      </c>
      <c r="T22" s="44" t="str">
        <f>IFERROR(IF(U22="","",U22/I22-1),"")</f>
        <v/>
      </c>
      <c r="U22" s="41"/>
      <c r="V22" s="53">
        <f>IFERROR((VLOOKUP($A22,'Из ГУГЛа'!$B:$Z,V$1,0)+X22)*W22,VLOOKUP($A22,'Из ГУГЛа'!$B:$Z,V$1,0))</f>
        <v>9990</v>
      </c>
      <c r="W22" s="20">
        <v>1</v>
      </c>
      <c r="X22" s="20">
        <v>0</v>
      </c>
      <c r="Y22" s="81" t="s">
        <v>141</v>
      </c>
      <c r="Z22" s="29" t="s">
        <v>75</v>
      </c>
      <c r="AA22" s="53" t="str">
        <f>IFERROR((VLOOKUP($A22,'Из ГУГЛа'!$B:$Z,AA$1,0)+AC22)*AB22,VLOOKUP($A22,'Из ГУГЛа'!$B:$Z,AA$1,0))</f>
        <v/>
      </c>
      <c r="AB22" s="53">
        <v>1</v>
      </c>
      <c r="AC22" s="53">
        <v>0</v>
      </c>
      <c r="AD22" s="42"/>
    </row>
    <row r="23" spans="1:31" ht="31.5" thickTop="1" thickBot="1" x14ac:dyDescent="0.3">
      <c r="A23" s="17">
        <v>225612</v>
      </c>
      <c r="B23" s="42">
        <f>VLOOKUP($A23,'Выгр Кат'!$A:$R,B$1,0)</f>
        <v>922</v>
      </c>
      <c r="C23" s="43" t="str">
        <f>VLOOKUP($A23,'Выгр Кат'!$A:$R,C$1,0)</f>
        <v>Разрезные шестерни ГРМ (Сталь) СПОРТ для Лада Приора (с 16-ти клапанным двигателем)</v>
      </c>
      <c r="D23" s="42" t="str">
        <f>VLOOKUP($A23,'Выгр Кат'!$A:$R,D$1,0)</f>
        <v>Y</v>
      </c>
      <c r="E23" s="42" t="str">
        <f>VLOOKUP($A23,'Выгр Кат'!$A:$R,E$1,0)</f>
        <v>0</v>
      </c>
      <c r="F23" s="42">
        <f>VLOOKUP($A23,'Выгр Кат'!$A:$R,F$1,0)</f>
        <v>0</v>
      </c>
      <c r="G23" s="62"/>
      <c r="H23" s="35" t="s">
        <v>15</v>
      </c>
      <c r="I23" s="31">
        <f t="shared" si="0"/>
        <v>3000</v>
      </c>
      <c r="J23" s="1">
        <f>VLOOKUP(I23,Наценка!$A$1:$B$8,2,1)</f>
        <v>1.45</v>
      </c>
      <c r="K23" s="57">
        <f>U23*1.06</f>
        <v>6349.4000000000005</v>
      </c>
      <c r="L23" s="38">
        <f t="shared" si="2"/>
        <v>6390</v>
      </c>
      <c r="M23" s="42">
        <f>VLOOKUP($A23,'Выгр Кат'!$A:$R,M$1,0)</f>
        <v>3000</v>
      </c>
      <c r="N23" s="42">
        <f>VLOOKUP($A23,'Выгр Кат'!$A:$R,N$1,0)</f>
        <v>6490</v>
      </c>
      <c r="O23" s="21">
        <f t="shared" si="5"/>
        <v>0</v>
      </c>
      <c r="P23" s="21">
        <f t="shared" si="6"/>
        <v>100</v>
      </c>
      <c r="Q23" s="84">
        <f t="shared" si="7"/>
        <v>5943</v>
      </c>
      <c r="R23" s="44">
        <f>IFERROR(Q23/I23-1,"")</f>
        <v>0.98100000000000009</v>
      </c>
      <c r="S23" s="44">
        <f>IFERROR((U23-Q23)/U23,"")</f>
        <v>7.8464106844741231E-3</v>
      </c>
      <c r="T23" s="44">
        <f>IFERROR(IF(U23="","",U23/I23-1),"")</f>
        <v>0.99666666666666659</v>
      </c>
      <c r="U23" s="76">
        <f t="shared" ref="U23:U24" si="13">Y23</f>
        <v>5990</v>
      </c>
      <c r="V23" s="53">
        <f>IFERROR((VLOOKUP($A23,'Из ГУГЛа'!$B:$Z,V$1,0)+X23)*W23,VLOOKUP($A23,'Из ГУГЛа'!$B:$Z,V$1,0))</f>
        <v>5990</v>
      </c>
      <c r="W23" s="20">
        <v>1</v>
      </c>
      <c r="X23" s="20">
        <v>0</v>
      </c>
      <c r="Y23" s="81">
        <v>5990</v>
      </c>
      <c r="Z23" s="29" t="s">
        <v>60</v>
      </c>
      <c r="AA23" s="53" t="str">
        <f>IFERROR((VLOOKUP($A23,'Из ГУГЛа'!$B:$Z,AA$1,0)+AC23)*AB23,VLOOKUP($A23,'Из ГУГЛа'!$B:$Z,AA$1,0))</f>
        <v/>
      </c>
      <c r="AB23" s="53">
        <v>1</v>
      </c>
      <c r="AC23" s="53">
        <v>0</v>
      </c>
      <c r="AD23" s="42"/>
    </row>
    <row r="24" spans="1:31" ht="16.5" hidden="1" thickTop="1" thickBot="1" x14ac:dyDescent="0.3">
      <c r="A24" s="17">
        <v>211350</v>
      </c>
      <c r="B24" s="42">
        <f>VLOOKUP($A24,'Выгр Кат'!$A:$R,B$1,0)</f>
        <v>13948</v>
      </c>
      <c r="C24" s="43" t="str">
        <f>VLOOKUP($A24,'Выгр Кат'!$A:$R,C$1,0)</f>
        <v>Рулевой вал промежуточный на Лада Калина ЭУР</v>
      </c>
      <c r="D24" s="42" t="str">
        <f>VLOOKUP($A24,'Выгр Кат'!$A:$R,D$1,0)</f>
        <v>Y</v>
      </c>
      <c r="E24" s="42" t="str">
        <f>VLOOKUP($A24,'Выгр Кат'!$A:$R,E$1,0)</f>
        <v>1</v>
      </c>
      <c r="F24" s="42" t="str">
        <f>VLOOKUP($A24,'Выгр Кат'!$A:$R,F$1,0)</f>
        <v>11186342209286</v>
      </c>
      <c r="G24" s="62"/>
      <c r="H24" s="35" t="s">
        <v>15</v>
      </c>
      <c r="I24" s="31">
        <f t="shared" si="0"/>
        <v>2241</v>
      </c>
      <c r="J24" s="1">
        <f>VLOOKUP(I24,Наценка!$A$1:$B$8,2,1)</f>
        <v>1.45</v>
      </c>
      <c r="K24" s="37">
        <f>I24*J24</f>
        <v>3249.45</v>
      </c>
      <c r="L24" s="38">
        <f t="shared" si="2"/>
        <v>3290</v>
      </c>
      <c r="M24" s="42">
        <f>VLOOKUP($A24,'Выгр Кат'!$A:$R,M$1,0)</f>
        <v>2241</v>
      </c>
      <c r="N24" s="42">
        <f>VLOOKUP($A24,'Выгр Кат'!$A:$R,N$1,0)</f>
        <v>3290</v>
      </c>
      <c r="O24" s="21">
        <f t="shared" si="5"/>
        <v>0</v>
      </c>
      <c r="P24" s="21">
        <f t="shared" si="6"/>
        <v>0</v>
      </c>
      <c r="Q24" s="84">
        <f t="shared" si="7"/>
        <v>3060</v>
      </c>
      <c r="R24" s="44">
        <f>IFERROR(Q24/I24-1,"")</f>
        <v>0.36546184738955834</v>
      </c>
      <c r="S24" s="44">
        <f>IFERROR((U24-Q24)/U24,"")</f>
        <v>-0.39726027397260272</v>
      </c>
      <c r="T24" s="44">
        <f>IFERROR(IF(U24="","",U24/I24-1),"")</f>
        <v>-2.2757697456492587E-2</v>
      </c>
      <c r="U24" s="76">
        <f t="shared" si="13"/>
        <v>2190</v>
      </c>
      <c r="V24" s="53">
        <f>IFERROR((VLOOKUP($A24,'Из ГУГЛа'!$B:$Z,V$1,0)+X24)*W24,VLOOKUP($A24,'Из ГУГЛа'!$B:$Z,V$1,0))</f>
        <v>2190</v>
      </c>
      <c r="W24" s="20">
        <v>1</v>
      </c>
      <c r="X24" s="20">
        <v>0</v>
      </c>
      <c r="Y24" s="81">
        <v>2190</v>
      </c>
      <c r="Z24" s="29" t="s">
        <v>57</v>
      </c>
      <c r="AA24" s="53" t="str">
        <f>IFERROR((VLOOKUP($A24,'Из ГУГЛа'!$B:$Z,AA$1,0)+AC24)*AB24,VLOOKUP($A24,'Из ГУГЛа'!$B:$Z,AA$1,0))</f>
        <v/>
      </c>
      <c r="AB24" s="53">
        <v>1</v>
      </c>
      <c r="AC24" s="53">
        <v>0</v>
      </c>
      <c r="AD24" s="42"/>
    </row>
    <row r="25" spans="1:31" ht="31.5" hidden="1" thickTop="1" thickBot="1" x14ac:dyDescent="0.3">
      <c r="A25" s="17">
        <v>211351</v>
      </c>
      <c r="B25" s="42">
        <f>VLOOKUP($A25,'Выгр Кат'!$A:$R,B$1,0)</f>
        <v>889</v>
      </c>
      <c r="C25" s="43" t="str">
        <f>VLOOKUP($A25,'Выгр Кат'!$A:$R,C$1,0)</f>
        <v>Рулевой вал промежуточный универсальный ЭУР для ВАЗ 2108-2115, 2110-2112, Лада Приора</v>
      </c>
      <c r="D25" s="42" t="str">
        <f>VLOOKUP($A25,'Выгр Кат'!$A:$R,D$1,0)</f>
        <v>Y</v>
      </c>
      <c r="E25" s="42" t="str">
        <f>VLOOKUP($A25,'Выгр Кат'!$A:$R,E$1,0)</f>
        <v>1ск4</v>
      </c>
      <c r="F25" s="42">
        <f>VLOOKUP($A25,'Выгр Кат'!$A:$R,F$1,0)</f>
        <v>0</v>
      </c>
      <c r="G25" s="62"/>
      <c r="H25" s="35" t="s">
        <v>15</v>
      </c>
      <c r="I25" s="31">
        <f t="shared" si="0"/>
        <v>2500</v>
      </c>
      <c r="J25" s="1">
        <f>VLOOKUP(I25,Наценка!$A$1:$B$8,2,1)</f>
        <v>1.45</v>
      </c>
      <c r="K25" s="37">
        <f t="shared" si="1"/>
        <v>3625</v>
      </c>
      <c r="L25" s="38">
        <f t="shared" si="2"/>
        <v>3690</v>
      </c>
      <c r="M25" s="42">
        <f>VLOOKUP($A25,'Выгр Кат'!$A:$R,M$1,0)</f>
        <v>2500</v>
      </c>
      <c r="N25" s="42">
        <f>VLOOKUP($A25,'Выгр Кат'!$A:$R,N$1,0)</f>
        <v>3690</v>
      </c>
      <c r="O25" s="21">
        <f t="shared" si="5"/>
        <v>0</v>
      </c>
      <c r="P25" s="21">
        <f t="shared" si="6"/>
        <v>0</v>
      </c>
      <c r="Q25" s="84">
        <f t="shared" si="7"/>
        <v>3432</v>
      </c>
      <c r="R25" s="44">
        <f>IFERROR(Q25/I25-1,"")</f>
        <v>0.37280000000000002</v>
      </c>
      <c r="S25" s="44" t="str">
        <f>IFERROR((U25-Q25)/U25,"")</f>
        <v/>
      </c>
      <c r="T25" s="44" t="str">
        <f>IFERROR(IF(U25="","",U25/I25-1),"")</f>
        <v/>
      </c>
      <c r="U25" s="41"/>
      <c r="V25" s="53" t="str">
        <f>IFERROR((VLOOKUP($A25,'Из ГУГЛа'!$B:$Z,V$1,0)+X25)*W25,VLOOKUP($A25,'Из ГУГЛа'!$B:$Z,V$1,0))</f>
        <v/>
      </c>
      <c r="W25" s="20">
        <v>1</v>
      </c>
      <c r="X25" s="20">
        <v>0</v>
      </c>
      <c r="Y25" s="81" t="s">
        <v>32</v>
      </c>
      <c r="Z25" s="29" t="s">
        <v>58</v>
      </c>
      <c r="AA25" s="53">
        <f>IFERROR((VLOOKUP($A25,'Из ГУГЛа'!$B:$Z,AA$1,0)+AC25)*AB25,VLOOKUP($A25,'Из ГУГЛа'!$B:$Z,AA$1,0))</f>
        <v>2300</v>
      </c>
      <c r="AB25" s="53">
        <v>1</v>
      </c>
      <c r="AC25" s="53">
        <v>0</v>
      </c>
      <c r="AD25" s="63">
        <v>2300</v>
      </c>
      <c r="AE25" s="29" t="s">
        <v>158</v>
      </c>
    </row>
    <row r="26" spans="1:31" ht="31.5" thickTop="1" thickBot="1" x14ac:dyDescent="0.3">
      <c r="A26" s="17">
        <v>211347</v>
      </c>
      <c r="B26" s="42">
        <f>VLOOKUP($A26,'Выгр Кат'!$A:$R,B$1,0)</f>
        <v>17144</v>
      </c>
      <c r="C26" s="43" t="str">
        <f>VLOOKUP($A26,'Выгр Кат'!$A:$R,C$1,0)</f>
        <v>Рулевой вал ВАЗ 2101-2107 промежуточный универсальный ЭУР под рулевой редуктор 2106</v>
      </c>
      <c r="D26" s="42" t="str">
        <f>VLOOKUP($A26,'Выгр Кат'!$A:$R,D$1,0)</f>
        <v>Y</v>
      </c>
      <c r="E26" s="42" t="str">
        <f>VLOOKUP($A26,'Выгр Кат'!$A:$R,E$1,0)</f>
        <v>1</v>
      </c>
      <c r="F26" s="42">
        <f>VLOOKUP($A26,'Выгр Кат'!$A:$R,F$1,0)</f>
        <v>0</v>
      </c>
      <c r="G26" s="62"/>
      <c r="H26" s="35" t="s">
        <v>15</v>
      </c>
      <c r="I26" s="31">
        <f t="shared" si="0"/>
        <v>2500</v>
      </c>
      <c r="J26" s="1">
        <f>VLOOKUP(I26,Наценка!$A$1:$B$8,2,1)</f>
        <v>1.45</v>
      </c>
      <c r="K26" s="57">
        <f>U26*1.06</f>
        <v>3699.4</v>
      </c>
      <c r="L26" s="38">
        <f t="shared" si="2"/>
        <v>3690</v>
      </c>
      <c r="M26" s="42">
        <f>VLOOKUP($A26,'Выгр Кат'!$A:$R,M$1,0)</f>
        <v>2500</v>
      </c>
      <c r="N26" s="42">
        <f>VLOOKUP($A26,'Выгр Кат'!$A:$R,N$1,0)</f>
        <v>3790</v>
      </c>
      <c r="O26" s="21">
        <f t="shared" si="5"/>
        <v>0</v>
      </c>
      <c r="P26" s="21">
        <f t="shared" si="6"/>
        <v>100</v>
      </c>
      <c r="Q26" s="84">
        <f t="shared" si="7"/>
        <v>3432</v>
      </c>
      <c r="R26" s="44">
        <f>IFERROR(Q26/I26-1,"")</f>
        <v>0.37280000000000002</v>
      </c>
      <c r="S26" s="44">
        <f>IFERROR((U26-Q26)/U26,"")</f>
        <v>1.66189111747851E-2</v>
      </c>
      <c r="T26" s="44">
        <f>IFERROR(IF(U26="","",U26/I26-1),"")</f>
        <v>0.39599999999999991</v>
      </c>
      <c r="U26" s="76">
        <f>Y26</f>
        <v>3490</v>
      </c>
      <c r="V26" s="53">
        <f>IFERROR((VLOOKUP($A26,'Из ГУГЛа'!$B:$Z,V$1,0)+X26)*W26,VLOOKUP($A26,'Из ГУГЛа'!$B:$Z,V$1,0))</f>
        <v>3490</v>
      </c>
      <c r="W26" s="20">
        <v>1</v>
      </c>
      <c r="X26" s="20">
        <v>0</v>
      </c>
      <c r="Y26" s="81">
        <v>3490</v>
      </c>
      <c r="Z26" s="29" t="s">
        <v>67</v>
      </c>
      <c r="AA26" s="53">
        <f>IFERROR((VLOOKUP($A26,'Из ГУГЛа'!$B:$Z,AA$1,0)+AC26)*AB26,VLOOKUP($A26,'Из ГУГЛа'!$B:$Z,AA$1,0))</f>
        <v>3250</v>
      </c>
      <c r="AB26" s="53">
        <v>1</v>
      </c>
      <c r="AC26" s="53">
        <v>0</v>
      </c>
      <c r="AD26" s="63">
        <v>3250</v>
      </c>
      <c r="AE26" s="29" t="s">
        <v>157</v>
      </c>
    </row>
    <row r="27" spans="1:31" ht="30.75" hidden="1" thickTop="1" x14ac:dyDescent="0.25">
      <c r="A27" s="17">
        <v>158547</v>
      </c>
      <c r="B27" s="42">
        <f>VLOOKUP($A27,'Выгр Кат'!$A:$R,B$1,0)</f>
        <v>878</v>
      </c>
      <c r="C27" s="43" t="str">
        <f>VLOOKUP($A27,'Выгр Кат'!$A:$R,C$1,0)</f>
        <v>Комплект для установки ЭУР для ВАЗ 2108-21099, 2113-2115</v>
      </c>
      <c r="D27" s="42" t="str">
        <f>VLOOKUP($A27,'Выгр Кат'!$A:$R,D$1,0)</f>
        <v>N</v>
      </c>
      <c r="E27" s="42" t="str">
        <f>VLOOKUP($A27,'Выгр Кат'!$A:$R,E$1,0)</f>
        <v>0</v>
      </c>
      <c r="F27" s="42">
        <f>VLOOKUP($A27,'Выгр Кат'!$A:$R,F$1,0)</f>
        <v>0</v>
      </c>
      <c r="G27" s="62"/>
      <c r="H27" s="35" t="s">
        <v>15</v>
      </c>
      <c r="I27" s="31">
        <f t="shared" si="0"/>
        <v>3800</v>
      </c>
      <c r="J27" s="1">
        <f>VLOOKUP(I27,Наценка!$A$1:$B$8,2,1)</f>
        <v>1.45</v>
      </c>
      <c r="K27" s="37">
        <f t="shared" si="1"/>
        <v>5510</v>
      </c>
      <c r="L27" s="38">
        <f t="shared" si="2"/>
        <v>5590</v>
      </c>
      <c r="M27" s="42">
        <f>VLOOKUP($A27,'Выгр Кат'!$A:$R,M$1,0)</f>
        <v>3800</v>
      </c>
      <c r="N27" s="42">
        <f>VLOOKUP($A27,'Выгр Кат'!$A:$R,N$1,0)</f>
        <v>5590</v>
      </c>
      <c r="O27" s="21">
        <f t="shared" si="5"/>
        <v>0</v>
      </c>
      <c r="P27" s="21">
        <f t="shared" si="6"/>
        <v>0</v>
      </c>
      <c r="Q27" s="84">
        <f t="shared" si="7"/>
        <v>5199</v>
      </c>
      <c r="R27" s="44">
        <f>IFERROR(Q27/I27-1,"")</f>
        <v>0.36815789473684202</v>
      </c>
      <c r="S27" s="44" t="str">
        <f>IFERROR((U27-Q27)/U27,"")</f>
        <v/>
      </c>
      <c r="T27" s="44" t="str">
        <f>IFERROR(IF(U27="","",U27/I27-1),"")</f>
        <v/>
      </c>
      <c r="U27" s="41"/>
      <c r="V27" s="53" t="str">
        <f>IFERROR((VLOOKUP($A27,'Из ГУГЛа'!$B:$Z,V$1,0)+X27)*W27,VLOOKUP($A27,'Из ГУГЛа'!$B:$Z,V$1,0))</f>
        <v/>
      </c>
      <c r="W27" s="20">
        <v>1</v>
      </c>
      <c r="X27" s="20">
        <v>0</v>
      </c>
      <c r="Y27" s="41"/>
      <c r="AA27" s="53" t="str">
        <f>IFERROR((VLOOKUP($A27,'Из ГУГЛа'!$B:$Z,AA$1,0)+AC27)*AB27,VLOOKUP($A27,'Из ГУГЛа'!$B:$Z,AA$1,0))</f>
        <v/>
      </c>
      <c r="AB27" s="53">
        <v>1</v>
      </c>
      <c r="AC27" s="53">
        <v>0</v>
      </c>
      <c r="AD27" s="42"/>
    </row>
    <row r="28" spans="1:31" ht="30.75" hidden="1" thickTop="1" x14ac:dyDescent="0.25">
      <c r="A28" s="17">
        <v>158546</v>
      </c>
      <c r="B28" s="42">
        <f>VLOOKUP($A28,'Выгр Кат'!$A:$R,B$1,0)</f>
        <v>10515</v>
      </c>
      <c r="C28" s="43" t="str">
        <f>VLOOKUP($A28,'Выгр Кат'!$A:$R,C$1,0)</f>
        <v>Комплект для установки ЭУР ВАЗ 2101-2107 "Классика"</v>
      </c>
      <c r="D28" s="42" t="str">
        <f>VLOOKUP($A28,'Выгр Кат'!$A:$R,D$1,0)</f>
        <v>N</v>
      </c>
      <c r="E28" s="42" t="str">
        <f>VLOOKUP($A28,'Выгр Кат'!$A:$R,E$1,0)</f>
        <v>0</v>
      </c>
      <c r="F28" s="42">
        <f>VLOOKUP($A28,'Выгр Кат'!$A:$R,F$1,0)</f>
        <v>0</v>
      </c>
      <c r="G28" s="62"/>
      <c r="H28" s="35" t="s">
        <v>15</v>
      </c>
      <c r="I28" s="31">
        <f t="shared" si="0"/>
        <v>5150</v>
      </c>
      <c r="J28" s="1">
        <f>VLOOKUP(I28,Наценка!$A$1:$B$8,2,1)</f>
        <v>1.6</v>
      </c>
      <c r="K28" s="37">
        <f t="shared" si="1"/>
        <v>8240</v>
      </c>
      <c r="L28" s="38">
        <f t="shared" si="2"/>
        <v>8290</v>
      </c>
      <c r="M28" s="42">
        <f>VLOOKUP($A28,'Выгр Кат'!$A:$R,M$1,0)</f>
        <v>5150</v>
      </c>
      <c r="N28" s="42">
        <f>VLOOKUP($A28,'Выгр Кат'!$A:$R,N$1,0)</f>
        <v>8290</v>
      </c>
      <c r="O28" s="21">
        <f t="shared" si="5"/>
        <v>0</v>
      </c>
      <c r="P28" s="21">
        <f t="shared" si="6"/>
        <v>0</v>
      </c>
      <c r="Q28" s="84">
        <f t="shared" si="7"/>
        <v>7710</v>
      </c>
      <c r="R28" s="44">
        <f>IFERROR(Q28/I28-1,"")</f>
        <v>0.49708737864077679</v>
      </c>
      <c r="S28" s="44" t="str">
        <f>IFERROR((U28-Q28)/U28,"")</f>
        <v/>
      </c>
      <c r="T28" s="44" t="str">
        <f>IFERROR(IF(U28="","",U28/I28-1),"")</f>
        <v/>
      </c>
      <c r="U28" s="41"/>
      <c r="V28" s="53" t="str">
        <f>IFERROR((VLOOKUP($A28,'Из ГУГЛа'!$B:$Z,V$1,0)+X28)*W28,VLOOKUP($A28,'Из ГУГЛа'!$B:$Z,V$1,0))</f>
        <v/>
      </c>
      <c r="W28" s="20">
        <v>1</v>
      </c>
      <c r="X28" s="20">
        <v>0</v>
      </c>
      <c r="Y28" s="41"/>
      <c r="AA28" s="53" t="str">
        <f>IFERROR((VLOOKUP($A28,'Из ГУГЛа'!$B:$Z,AA$1,0)+AC28)*AB28,VLOOKUP($A28,'Из ГУГЛа'!$B:$Z,AA$1,0))</f>
        <v/>
      </c>
      <c r="AB28" s="53">
        <v>1</v>
      </c>
      <c r="AC28" s="53">
        <v>0</v>
      </c>
      <c r="AD28" s="42"/>
    </row>
    <row r="29" spans="1:31" ht="30.75" hidden="1" thickTop="1" x14ac:dyDescent="0.25">
      <c r="A29" s="17">
        <v>158548</v>
      </c>
      <c r="B29" s="42">
        <f>VLOOKUP($A29,'Выгр Кат'!$A:$R,B$1,0)</f>
        <v>13784</v>
      </c>
      <c r="C29" s="43" t="str">
        <f>VLOOKUP($A29,'Выгр Кат'!$A:$R,C$1,0)</f>
        <v>Комплект для установки ЭУР Лада Нива 4x4, Шеви Нива ВАЗ 2123</v>
      </c>
      <c r="D29" s="42" t="str">
        <f>VLOOKUP($A29,'Выгр Кат'!$A:$R,D$1,0)</f>
        <v>N</v>
      </c>
      <c r="E29" s="42" t="str">
        <f>VLOOKUP($A29,'Выгр Кат'!$A:$R,E$1,0)</f>
        <v>0</v>
      </c>
      <c r="F29" s="42">
        <f>VLOOKUP($A29,'Выгр Кат'!$A:$R,F$1,0)</f>
        <v>0</v>
      </c>
      <c r="G29" s="62"/>
      <c r="H29" s="35" t="s">
        <v>15</v>
      </c>
      <c r="I29" s="31">
        <f t="shared" si="0"/>
        <v>5150</v>
      </c>
      <c r="J29" s="1">
        <f>VLOOKUP(I29,Наценка!$A$1:$B$8,2,1)</f>
        <v>1.6</v>
      </c>
      <c r="K29" s="37">
        <f t="shared" si="1"/>
        <v>8240</v>
      </c>
      <c r="L29" s="38">
        <f t="shared" si="2"/>
        <v>8290</v>
      </c>
      <c r="M29" s="42">
        <f>VLOOKUP($A29,'Выгр Кат'!$A:$R,M$1,0)</f>
        <v>5150</v>
      </c>
      <c r="N29" s="42">
        <f>VLOOKUP($A29,'Выгр Кат'!$A:$R,N$1,0)</f>
        <v>8290</v>
      </c>
      <c r="O29" s="21">
        <f t="shared" si="5"/>
        <v>0</v>
      </c>
      <c r="P29" s="21">
        <f t="shared" si="6"/>
        <v>0</v>
      </c>
      <c r="Q29" s="84">
        <f t="shared" si="7"/>
        <v>7710</v>
      </c>
      <c r="R29" s="44">
        <f>IFERROR(Q29/I29-1,"")</f>
        <v>0.49708737864077679</v>
      </c>
      <c r="S29" s="44" t="str">
        <f>IFERROR((U29-Q29)/U29,"")</f>
        <v/>
      </c>
      <c r="T29" s="44" t="str">
        <f>IFERROR(IF(U29="","",U29/I29-1),"")</f>
        <v/>
      </c>
      <c r="U29" s="41"/>
      <c r="V29" s="53" t="str">
        <f>IFERROR((VLOOKUP($A29,'Из ГУГЛа'!$B:$Z,V$1,0)+X29)*W29,VLOOKUP($A29,'Из ГУГЛа'!$B:$Z,V$1,0))</f>
        <v/>
      </c>
      <c r="W29" s="20">
        <v>1</v>
      </c>
      <c r="X29" s="20">
        <v>0</v>
      </c>
      <c r="Y29" s="41"/>
      <c r="AA29" s="53" t="str">
        <f>IFERROR((VLOOKUP($A29,'Из ГУГЛа'!$B:$Z,AA$1,0)+AC29)*AB29,VLOOKUP($A29,'Из ГУГЛа'!$B:$Z,AA$1,0))</f>
        <v/>
      </c>
      <c r="AB29" s="53">
        <v>1</v>
      </c>
      <c r="AC29" s="53">
        <v>0</v>
      </c>
      <c r="AD29" s="42"/>
    </row>
    <row r="30" spans="1:31" ht="16.5" thickTop="1" thickBot="1" x14ac:dyDescent="0.3">
      <c r="A30" s="17">
        <v>203140</v>
      </c>
      <c r="B30" s="42">
        <f>VLOOKUP($A30,'Выгр Кат'!$A:$R,B$1,0)</f>
        <v>23496</v>
      </c>
      <c r="C30" s="43" t="str">
        <f>VLOOKUP($A30,'Выгр Кат'!$A:$R,C$1,0)</f>
        <v>Регулируемая рулевая колонка для Лада Нива 4x4</v>
      </c>
      <c r="D30" s="42" t="str">
        <f>VLOOKUP($A30,'Выгр Кат'!$A:$R,D$1,0)</f>
        <v>Y</v>
      </c>
      <c r="E30" s="42" t="str">
        <f>VLOOKUP($A30,'Выгр Кат'!$A:$R,E$1,0)</f>
        <v>1ск4</v>
      </c>
      <c r="F30" s="42">
        <f>VLOOKUP($A30,'Выгр Кат'!$A:$R,F$1,0)</f>
        <v>0</v>
      </c>
      <c r="G30" s="62"/>
      <c r="H30" s="35" t="s">
        <v>15</v>
      </c>
      <c r="I30" s="31">
        <f t="shared" si="0"/>
        <v>9200</v>
      </c>
      <c r="J30" s="1">
        <f>VLOOKUP(I30,Наценка!$A$1:$B$8,2,1)</f>
        <v>1.26</v>
      </c>
      <c r="K30" s="60">
        <f>I30*1.2*100/93</f>
        <v>11870.967741935483</v>
      </c>
      <c r="L30" s="38">
        <f t="shared" ref="L30:L36" si="14">IF(K30&lt;=1000,(ROUNDUP(K30,-1)-1),(ROUNDUP(K30,-2)-10))</f>
        <v>11890</v>
      </c>
      <c r="M30" s="42">
        <f>VLOOKUP($A30,'Выгр Кат'!$A:$R,M$1,0)</f>
        <v>9200</v>
      </c>
      <c r="N30" s="42">
        <f>VLOOKUP($A30,'Выгр Кат'!$A:$R,N$1,0)</f>
        <v>11990</v>
      </c>
      <c r="O30" s="21">
        <f t="shared" si="5"/>
        <v>0</v>
      </c>
      <c r="P30" s="21">
        <f t="shared" si="6"/>
        <v>100</v>
      </c>
      <c r="Q30" s="84">
        <f t="shared" si="7"/>
        <v>11058</v>
      </c>
      <c r="R30" s="44">
        <f>IFERROR(Q30/I30-1,"")</f>
        <v>0.20195652173913037</v>
      </c>
      <c r="S30" s="44" t="str">
        <f>IFERROR((U30-Q30)/U30,"")</f>
        <v/>
      </c>
      <c r="T30" s="44" t="str">
        <f>IFERROR(IF(U30="","",U30/I30-1),"")</f>
        <v/>
      </c>
      <c r="U30" s="41"/>
      <c r="V30" s="53" t="str">
        <f>IFERROR((VLOOKUP($A30,'Из ГУГЛа'!$B:$Z,V$1,0)+X30)*W30,VLOOKUP($A30,'Из ГУГЛа'!$B:$Z,V$1,0))</f>
        <v/>
      </c>
      <c r="W30" s="20">
        <v>1</v>
      </c>
      <c r="X30" s="20">
        <v>0</v>
      </c>
      <c r="Y30" s="41"/>
      <c r="AA30" s="53" t="str">
        <f>IFERROR((VLOOKUP($A30,'Из ГУГЛа'!$B:$Z,AA$1,0)+AC30)*AB30,VLOOKUP($A30,'Из ГУГЛа'!$B:$Z,AA$1,0))</f>
        <v/>
      </c>
      <c r="AB30" s="53">
        <v>1</v>
      </c>
      <c r="AC30" s="53">
        <v>0</v>
      </c>
      <c r="AD30" s="63" t="s">
        <v>170</v>
      </c>
      <c r="AE30" s="29" t="s">
        <v>169</v>
      </c>
    </row>
    <row r="31" spans="1:31" ht="31.5" thickTop="1" thickBot="1" x14ac:dyDescent="0.3">
      <c r="A31" s="17">
        <v>227090</v>
      </c>
      <c r="B31" s="42">
        <f>VLOOKUP($A31,'Выгр Кат'!$A:$R,B$1,0)</f>
        <v>869</v>
      </c>
      <c r="C31" s="43" t="str">
        <f>VLOOKUP($A31,'Выгр Кат'!$A:$R,C$1,0)</f>
        <v>Электроусилитель руля (ЭУР) "Калуга" для Лада Нива 4х4 (инжектор)</v>
      </c>
      <c r="D31" s="42" t="str">
        <f>VLOOKUP($A31,'Выгр Кат'!$A:$R,D$1,0)</f>
        <v>Y</v>
      </c>
      <c r="E31" s="42" t="str">
        <f>VLOOKUP($A31,'Выгр Кат'!$A:$R,E$1,0)</f>
        <v>1</v>
      </c>
      <c r="F31" s="42">
        <f>VLOOKUP($A31,'Выгр Кат'!$A:$R,F$1,0)</f>
        <v>0</v>
      </c>
      <c r="G31" s="62"/>
      <c r="H31" s="35" t="s">
        <v>15</v>
      </c>
      <c r="I31" s="31">
        <v>42790</v>
      </c>
      <c r="J31" s="1">
        <f>VLOOKUP(I31,Наценка!$A$1:$B$8,2,1)</f>
        <v>1.3</v>
      </c>
      <c r="K31" s="58">
        <f t="shared" ref="K31:K36" si="15">U31*1.07</f>
        <v>57769.3</v>
      </c>
      <c r="L31" s="38">
        <f t="shared" si="14"/>
        <v>57790</v>
      </c>
      <c r="M31" s="42">
        <f>VLOOKUP($A31,'Выгр Кат'!$A:$R,M$1,0)</f>
        <v>42790</v>
      </c>
      <c r="N31" s="42">
        <f>VLOOKUP($A31,'Выгр Кат'!$A:$R,N$1,0)</f>
        <v>58390</v>
      </c>
      <c r="O31" s="21">
        <f t="shared" si="5"/>
        <v>0</v>
      </c>
      <c r="P31" s="21">
        <f t="shared" si="6"/>
        <v>600</v>
      </c>
      <c r="Q31" s="84">
        <f t="shared" si="7"/>
        <v>53745</v>
      </c>
      <c r="R31" s="44">
        <f>IFERROR(Q31/I31-1,"")</f>
        <v>0.25601776115914943</v>
      </c>
      <c r="S31" s="44">
        <f>IFERROR((U31-Q31)/U31,"")</f>
        <v>4.5378773847008702E-3</v>
      </c>
      <c r="T31" s="44">
        <f>IFERROR(IF(U31="","",U31/I31-1),"")</f>
        <v>0.26174339799018465</v>
      </c>
      <c r="U31" s="76">
        <f t="shared" ref="U31:U36" si="16">Y31</f>
        <v>53990</v>
      </c>
      <c r="V31" s="53">
        <f>IFERROR((VLOOKUP($A31,'Из ГУГЛа'!$B:$Z,V$1,0)+X31)*W31,VLOOKUP($A31,'Из ГУГЛа'!$B:$Z,V$1,0))</f>
        <v>53990</v>
      </c>
      <c r="W31" s="20">
        <v>1</v>
      </c>
      <c r="X31" s="20">
        <v>0</v>
      </c>
      <c r="Y31" s="81">
        <v>53990</v>
      </c>
      <c r="Z31" s="29" t="s">
        <v>73</v>
      </c>
      <c r="AA31" s="53" t="str">
        <f>IFERROR((VLOOKUP($A31,'Из ГУГЛа'!$B:$Z,AA$1,0)+AC31)*AB31,VLOOKUP($A31,'Из ГУГЛа'!$B:$Z,AA$1,0))</f>
        <v/>
      </c>
      <c r="AB31" s="53">
        <v>1</v>
      </c>
      <c r="AC31" s="53">
        <v>0</v>
      </c>
      <c r="AD31" s="42"/>
    </row>
    <row r="32" spans="1:31" ht="46.5" thickTop="1" thickBot="1" x14ac:dyDescent="0.3">
      <c r="A32" s="17">
        <v>227086</v>
      </c>
      <c r="B32" s="42">
        <f>VLOOKUP($A32,'Выгр Кат'!$A:$R,B$1,0)</f>
        <v>866</v>
      </c>
      <c r="C32" s="43" t="str">
        <f>VLOOKUP($A32,'Выгр Кат'!$A:$R,C$1,0)</f>
        <v>Электроусилитель руля (ЭУР) "Калуга" под рулевой редуктор 05 для ВАЗ 2101-2107 (инжектор)</v>
      </c>
      <c r="D32" s="42" t="str">
        <f>VLOOKUP($A32,'Выгр Кат'!$A:$R,D$1,0)</f>
        <v>Y</v>
      </c>
      <c r="E32" s="42" t="str">
        <f>VLOOKUP($A32,'Выгр Кат'!$A:$R,E$1,0)</f>
        <v>1</v>
      </c>
      <c r="F32" s="42">
        <f>VLOOKUP($A32,'Выгр Кат'!$A:$R,F$1,0)</f>
        <v>0</v>
      </c>
      <c r="G32" s="62"/>
      <c r="H32" s="35" t="s">
        <v>15</v>
      </c>
      <c r="I32" s="31">
        <v>42790</v>
      </c>
      <c r="J32" s="1">
        <f>VLOOKUP(I32,Наценка!$A$1:$B$8,2,1)</f>
        <v>1.3</v>
      </c>
      <c r="K32" s="58">
        <f t="shared" si="15"/>
        <v>56699.3</v>
      </c>
      <c r="L32" s="38">
        <f t="shared" si="14"/>
        <v>56690</v>
      </c>
      <c r="M32" s="42">
        <f>VLOOKUP($A32,'Выгр Кат'!$A:$R,M$1,0)</f>
        <v>42790</v>
      </c>
      <c r="N32" s="42">
        <f>VLOOKUP($A32,'Выгр Кат'!$A:$R,N$1,0)</f>
        <v>57290</v>
      </c>
      <c r="O32" s="21">
        <f t="shared" si="5"/>
        <v>0</v>
      </c>
      <c r="P32" s="21">
        <f t="shared" si="6"/>
        <v>600</v>
      </c>
      <c r="Q32" s="84">
        <f t="shared" si="7"/>
        <v>52722</v>
      </c>
      <c r="R32" s="44">
        <f>IFERROR(Q32/I32-1,"")</f>
        <v>0.23211030614629591</v>
      </c>
      <c r="S32" s="44">
        <f>IFERROR((U32-Q32)/U32,"")</f>
        <v>5.0575580298169468E-3</v>
      </c>
      <c r="T32" s="44">
        <f>IFERROR(IF(U32="","",U32/I32-1),"")</f>
        <v>0.23837345174106095</v>
      </c>
      <c r="U32" s="76">
        <f t="shared" si="16"/>
        <v>52990</v>
      </c>
      <c r="V32" s="53">
        <f>IFERROR((VLOOKUP($A32,'Из ГУГЛа'!$B:$Z,V$1,0)+X32)*W32,VLOOKUP($A32,'Из ГУГЛа'!$B:$Z,V$1,0))</f>
        <v>52990</v>
      </c>
      <c r="W32" s="20">
        <v>1</v>
      </c>
      <c r="X32" s="20">
        <v>0</v>
      </c>
      <c r="Y32" s="81">
        <v>52990</v>
      </c>
      <c r="Z32" s="29" t="s">
        <v>64</v>
      </c>
      <c r="AA32" s="53">
        <f>IFERROR((VLOOKUP($A32,'Из ГУГЛа'!$B:$Z,AA$1,0)+AC32)*AB32,VLOOKUP($A32,'Из ГУГЛа'!$B:$Z,AA$1,0))</f>
        <v>55000</v>
      </c>
      <c r="AB32" s="53">
        <v>1</v>
      </c>
      <c r="AC32" s="53">
        <v>0</v>
      </c>
      <c r="AD32" s="63">
        <v>55000</v>
      </c>
      <c r="AE32" s="29" t="s">
        <v>166</v>
      </c>
    </row>
    <row r="33" spans="1:31" ht="46.5" thickTop="1" thickBot="1" x14ac:dyDescent="0.3">
      <c r="A33" s="17">
        <v>227089</v>
      </c>
      <c r="B33" s="42">
        <f>VLOOKUP($A33,'Выгр Кат'!$A:$R,B$1,0)</f>
        <v>12495</v>
      </c>
      <c r="C33" s="43" t="str">
        <f>VLOOKUP($A33,'Выгр Кат'!$A:$R,C$1,0)</f>
        <v>Электроусилитель руля (ЭУР) "Калуга" под рулевой редуктор 01, 06 для ВАЗ 2101-2107 (карбюратор)</v>
      </c>
      <c r="D33" s="42" t="str">
        <f>VLOOKUP($A33,'Выгр Кат'!$A:$R,D$1,0)</f>
        <v>Y</v>
      </c>
      <c r="E33" s="42" t="str">
        <f>VLOOKUP($A33,'Выгр Кат'!$A:$R,E$1,0)</f>
        <v>1</v>
      </c>
      <c r="F33" s="42">
        <f>VLOOKUP($A33,'Выгр Кат'!$A:$R,F$1,0)</f>
        <v>0</v>
      </c>
      <c r="G33" s="62"/>
      <c r="H33" s="35" t="s">
        <v>15</v>
      </c>
      <c r="I33" s="31">
        <v>43590</v>
      </c>
      <c r="J33" s="1">
        <f>VLOOKUP(I33,Наценка!$A$1:$B$8,2,1)</f>
        <v>1.3</v>
      </c>
      <c r="K33" s="58">
        <f t="shared" si="15"/>
        <v>58839.3</v>
      </c>
      <c r="L33" s="38">
        <f t="shared" si="14"/>
        <v>58890</v>
      </c>
      <c r="M33" s="42">
        <f>VLOOKUP($A33,'Выгр Кат'!$A:$R,M$1,0)</f>
        <v>43590</v>
      </c>
      <c r="N33" s="42">
        <f>VLOOKUP($A33,'Выгр Кат'!$A:$R,N$1,0)</f>
        <v>59390</v>
      </c>
      <c r="O33" s="21">
        <f t="shared" si="5"/>
        <v>0</v>
      </c>
      <c r="P33" s="21">
        <f t="shared" si="6"/>
        <v>500</v>
      </c>
      <c r="Q33" s="84">
        <f t="shared" si="7"/>
        <v>54768</v>
      </c>
      <c r="R33" s="44">
        <f>IFERROR(Q33/I33-1,"")</f>
        <v>0.25643496214728145</v>
      </c>
      <c r="S33" s="44">
        <f>IFERROR((U33-Q33)/U33,"")</f>
        <v>4.0370976541189308E-3</v>
      </c>
      <c r="T33" s="44">
        <f>IFERROR(IF(U33="","",U33/I33-1),"")</f>
        <v>0.26152787336545069</v>
      </c>
      <c r="U33" s="76">
        <f t="shared" si="16"/>
        <v>54990</v>
      </c>
      <c r="V33" s="53">
        <f>IFERROR((VLOOKUP($A33,'Из ГУГЛа'!$B:$Z,V$1,0)+X33)*W33,VLOOKUP($A33,'Из ГУГЛа'!$B:$Z,V$1,0))</f>
        <v>54990</v>
      </c>
      <c r="W33" s="20">
        <v>1</v>
      </c>
      <c r="X33" s="20">
        <v>0</v>
      </c>
      <c r="Y33" s="81">
        <v>54990</v>
      </c>
      <c r="Z33" s="29" t="s">
        <v>63</v>
      </c>
      <c r="AA33" s="53" t="str">
        <f>IFERROR((VLOOKUP($A33,'Из ГУГЛа'!$B:$Z,AA$1,0)+AC33)*AB33,VLOOKUP($A33,'Из ГУГЛа'!$B:$Z,AA$1,0))</f>
        <v/>
      </c>
      <c r="AB33" s="53">
        <v>1</v>
      </c>
      <c r="AC33" s="53">
        <v>0</v>
      </c>
      <c r="AD33" s="63">
        <v>55000</v>
      </c>
    </row>
    <row r="34" spans="1:31" ht="31.5" thickTop="1" thickBot="1" x14ac:dyDescent="0.3">
      <c r="A34" s="17">
        <v>227091</v>
      </c>
      <c r="B34" s="42">
        <f>VLOOKUP($A34,'Выгр Кат'!$A:$R,B$1,0)</f>
        <v>870</v>
      </c>
      <c r="C34" s="43" t="str">
        <f>VLOOKUP($A34,'Выгр Кат'!$A:$R,C$1,0)</f>
        <v>Электроусилитель руля (ЭУР) для Лада Нива 4х4 (карбюратор)</v>
      </c>
      <c r="D34" s="42" t="str">
        <f>VLOOKUP($A34,'Выгр Кат'!$A:$R,D$1,0)</f>
        <v>Y</v>
      </c>
      <c r="E34" s="42" t="str">
        <f>VLOOKUP($A34,'Выгр Кат'!$A:$R,E$1,0)</f>
        <v>1</v>
      </c>
      <c r="F34" s="42">
        <f>VLOOKUP($A34,'Выгр Кат'!$A:$R,F$1,0)</f>
        <v>0</v>
      </c>
      <c r="G34" s="62"/>
      <c r="H34" s="35" t="s">
        <v>15</v>
      </c>
      <c r="I34" s="31">
        <v>43590</v>
      </c>
      <c r="J34" s="1">
        <f>VLOOKUP(I34,Наценка!$A$1:$B$8,2,1)</f>
        <v>1.3</v>
      </c>
      <c r="K34" s="58">
        <f t="shared" si="15"/>
        <v>58850</v>
      </c>
      <c r="L34" s="38">
        <f t="shared" si="14"/>
        <v>58890</v>
      </c>
      <c r="M34" s="42">
        <f>VLOOKUP($A34,'Выгр Кат'!$A:$R,M$1,0)</f>
        <v>43590</v>
      </c>
      <c r="N34" s="42">
        <f>VLOOKUP($A34,'Выгр Кат'!$A:$R,N$1,0)</f>
        <v>65890</v>
      </c>
      <c r="O34" s="21">
        <f t="shared" si="5"/>
        <v>0</v>
      </c>
      <c r="P34" s="21">
        <f t="shared" si="6"/>
        <v>7000</v>
      </c>
      <c r="Q34" s="84">
        <f t="shared" si="7"/>
        <v>54768</v>
      </c>
      <c r="R34" s="44">
        <f>IFERROR(Q34/I34-1,"")</f>
        <v>0.25643496214728145</v>
      </c>
      <c r="S34" s="44">
        <f>IFERROR((U34-Q34)/U34,"")</f>
        <v>4.218181818181818E-3</v>
      </c>
      <c r="T34" s="44">
        <f>IFERROR(IF(U34="","",U34/I34-1),"")</f>
        <v>0.26175728378068364</v>
      </c>
      <c r="U34" s="78">
        <f>AD34</f>
        <v>55000</v>
      </c>
      <c r="V34" s="53">
        <f>IFERROR((VLOOKUP($A34,'Из ГУГЛа'!$B:$Z,V$1,0)+X34)*W34,VLOOKUP($A34,'Из ГУГЛа'!$B:$Z,V$1,0))</f>
        <v>60990</v>
      </c>
      <c r="W34" s="20">
        <v>1</v>
      </c>
      <c r="X34" s="20">
        <v>0</v>
      </c>
      <c r="Y34" s="81">
        <v>60990</v>
      </c>
      <c r="Z34" s="29" t="s">
        <v>59</v>
      </c>
      <c r="AA34" s="53">
        <f>IFERROR((VLOOKUP($A34,'Из ГУГЛа'!$B:$Z,AA$1,0)+AC34)*AB34,VLOOKUP($A34,'Из ГУГЛа'!$B:$Z,AA$1,0))</f>
        <v>55000</v>
      </c>
      <c r="AB34" s="53">
        <v>1</v>
      </c>
      <c r="AC34" s="53">
        <v>0</v>
      </c>
      <c r="AD34" s="63">
        <v>55000</v>
      </c>
      <c r="AE34" s="29" t="s">
        <v>164</v>
      </c>
    </row>
    <row r="35" spans="1:31" ht="46.5" thickTop="1" thickBot="1" x14ac:dyDescent="0.3">
      <c r="A35" s="17">
        <v>227087</v>
      </c>
      <c r="B35" s="42">
        <f>VLOOKUP($A35,'Выгр Кат'!$A:$R,B$1,0)</f>
        <v>12496</v>
      </c>
      <c r="C35" s="43" t="str">
        <f>VLOOKUP($A35,'Выгр Кат'!$A:$R,C$1,0)</f>
        <v>Электроусилитель руля (ЭУР) "Калуга" под рулевой редуктор 01, 06 для ВАЗ 2101-2107 (инжектор)</v>
      </c>
      <c r="D35" s="42" t="str">
        <f>VLOOKUP($A35,'Выгр Кат'!$A:$R,D$1,0)</f>
        <v>Y</v>
      </c>
      <c r="E35" s="42" t="str">
        <f>VLOOKUP($A35,'Выгр Кат'!$A:$R,E$1,0)</f>
        <v>1</v>
      </c>
      <c r="F35" s="42">
        <f>VLOOKUP($A35,'Выгр Кат'!$A:$R,F$1,0)</f>
        <v>0</v>
      </c>
      <c r="G35" s="62"/>
      <c r="H35" s="35" t="s">
        <v>15</v>
      </c>
      <c r="I35" s="31">
        <v>42790</v>
      </c>
      <c r="J35" s="1">
        <f>VLOOKUP(I35,Наценка!$A$1:$B$8,2,1)</f>
        <v>1.3</v>
      </c>
      <c r="K35" s="58">
        <f t="shared" si="15"/>
        <v>58850</v>
      </c>
      <c r="L35" s="38">
        <f t="shared" si="14"/>
        <v>58890</v>
      </c>
      <c r="M35" s="42">
        <f>VLOOKUP($A35,'Выгр Кат'!$A:$R,M$1,0)</f>
        <v>42790</v>
      </c>
      <c r="N35" s="42">
        <f>VLOOKUP($A35,'Выгр Кат'!$A:$R,N$1,0)</f>
        <v>57290</v>
      </c>
      <c r="O35" s="21">
        <f t="shared" si="5"/>
        <v>0</v>
      </c>
      <c r="P35" s="21">
        <f t="shared" si="6"/>
        <v>-1600</v>
      </c>
      <c r="Q35" s="84">
        <f t="shared" si="7"/>
        <v>54768</v>
      </c>
      <c r="R35" s="44">
        <f>IFERROR(Q35/I35-1,"")</f>
        <v>0.27992521617200272</v>
      </c>
      <c r="S35" s="44">
        <f>IFERROR((U35-Q35)/U35,"")</f>
        <v>4.218181818181818E-3</v>
      </c>
      <c r="T35" s="44">
        <f>IFERROR(IF(U35="","",U35/I35-1),"")</f>
        <v>0.28534704370179953</v>
      </c>
      <c r="U35" s="78">
        <f>AD35</f>
        <v>55000</v>
      </c>
      <c r="V35" s="53">
        <f>IFERROR((VLOOKUP($A35,'Из ГУГЛа'!$B:$Z,V$1,0)+X35)*W35,VLOOKUP($A35,'Из ГУГЛа'!$B:$Z,V$1,0))</f>
        <v>52990</v>
      </c>
      <c r="W35" s="20">
        <v>1</v>
      </c>
      <c r="X35" s="20">
        <v>0</v>
      </c>
      <c r="Y35" s="81">
        <v>52990</v>
      </c>
      <c r="Z35" s="29" t="s">
        <v>64</v>
      </c>
      <c r="AA35" s="53">
        <f>IFERROR((VLOOKUP($A35,'Из ГУГЛа'!$B:$Z,AA$1,0)+AC35)*AB35,VLOOKUP($A35,'Из ГУГЛа'!$B:$Z,AA$1,0))</f>
        <v>55000</v>
      </c>
      <c r="AB35" s="53">
        <v>1</v>
      </c>
      <c r="AC35" s="53">
        <v>0</v>
      </c>
      <c r="AD35" s="63">
        <v>55000</v>
      </c>
      <c r="AE35" s="29" t="s">
        <v>165</v>
      </c>
    </row>
    <row r="36" spans="1:31" ht="46.5" thickTop="1" thickBot="1" x14ac:dyDescent="0.3">
      <c r="A36" s="17">
        <v>227088</v>
      </c>
      <c r="B36" s="42">
        <f>VLOOKUP($A36,'Выгр Кат'!$A:$R,B$1,0)</f>
        <v>867</v>
      </c>
      <c r="C36" s="43" t="str">
        <f>VLOOKUP($A36,'Выгр Кат'!$A:$R,C$1,0)</f>
        <v>Электроусилитель руля (ЭУР) "Калуга" под рулевой редуктор 05 для ВАЗ 2101-2107 (карбюратор)</v>
      </c>
      <c r="D36" s="42" t="str">
        <f>VLOOKUP($A36,'Выгр Кат'!$A:$R,D$1,0)</f>
        <v>Y</v>
      </c>
      <c r="E36" s="42" t="str">
        <f>VLOOKUP($A36,'Выгр Кат'!$A:$R,E$1,0)</f>
        <v>1</v>
      </c>
      <c r="F36" s="42">
        <f>VLOOKUP($A36,'Выгр Кат'!$A:$R,F$1,0)</f>
        <v>0</v>
      </c>
      <c r="G36" s="62"/>
      <c r="H36" s="35" t="s">
        <v>15</v>
      </c>
      <c r="I36" s="31">
        <v>43590</v>
      </c>
      <c r="J36" s="1">
        <f>VLOOKUP(I36,Наценка!$A$1:$B$8,2,1)</f>
        <v>1.3</v>
      </c>
      <c r="K36" s="58">
        <f t="shared" si="15"/>
        <v>58850</v>
      </c>
      <c r="L36" s="38">
        <f t="shared" si="14"/>
        <v>58890</v>
      </c>
      <c r="M36" s="42">
        <f>VLOOKUP($A36,'Выгр Кат'!$A:$R,M$1,0)</f>
        <v>43590</v>
      </c>
      <c r="N36" s="42">
        <f>VLOOKUP($A36,'Выгр Кат'!$A:$R,N$1,0)</f>
        <v>58390</v>
      </c>
      <c r="O36" s="21">
        <f t="shared" si="5"/>
        <v>0</v>
      </c>
      <c r="P36" s="21">
        <f t="shared" si="6"/>
        <v>-500</v>
      </c>
      <c r="Q36" s="84">
        <f t="shared" si="7"/>
        <v>54768</v>
      </c>
      <c r="R36" s="44">
        <f>IFERROR(Q36/I36-1,"")</f>
        <v>0.25643496214728145</v>
      </c>
      <c r="S36" s="44">
        <f>IFERROR((U36-Q36)/U36,"")</f>
        <v>4.218181818181818E-3</v>
      </c>
      <c r="T36" s="44">
        <f>IFERROR(IF(U36="","",U36/I36-1),"")</f>
        <v>0.26175728378068364</v>
      </c>
      <c r="U36" s="78">
        <f>AD36</f>
        <v>55000</v>
      </c>
      <c r="V36" s="53">
        <f>IFERROR((VLOOKUP($A36,'Из ГУГЛа'!$B:$Z,V$1,0)+X36)*W36,VLOOKUP($A36,'Из ГУГЛа'!$B:$Z,V$1,0))</f>
        <v>53990</v>
      </c>
      <c r="W36" s="20">
        <v>1</v>
      </c>
      <c r="X36" s="20">
        <v>0</v>
      </c>
      <c r="Y36" s="81">
        <v>53990</v>
      </c>
      <c r="Z36" s="29" t="s">
        <v>62</v>
      </c>
      <c r="AA36" s="53">
        <f>IFERROR((VLOOKUP($A36,'Из ГУГЛа'!$B:$Z,AA$1,0)+AC36)*AB36,VLOOKUP($A36,'Из ГУГЛа'!$B:$Z,AA$1,0))</f>
        <v>55000</v>
      </c>
      <c r="AB36" s="53">
        <v>1</v>
      </c>
      <c r="AC36" s="53">
        <v>0</v>
      </c>
      <c r="AD36" s="63">
        <v>55000</v>
      </c>
      <c r="AE36" s="29" t="s">
        <v>163</v>
      </c>
    </row>
    <row r="37" spans="1:31" ht="30.75" hidden="1" thickTop="1" x14ac:dyDescent="0.25">
      <c r="A37" s="17">
        <v>225784</v>
      </c>
      <c r="B37" s="42">
        <f>VLOOKUP($A37,'Выгр Кат'!$A:$R,B$1,0)</f>
        <v>36396</v>
      </c>
      <c r="C37" s="43" t="str">
        <f>VLOOKUP($A37,'Выгр Кат'!$A:$R,C$1,0)</f>
        <v>Разрезная шестерня ГРМ под датчик фаз (однорядная) для Шевроле Нива</v>
      </c>
      <c r="D37" s="42" t="str">
        <f>VLOOKUP($A37,'Выгр Кат'!$A:$R,D$1,0)</f>
        <v>Y</v>
      </c>
      <c r="E37" s="42" t="str">
        <f>VLOOKUP($A37,'Выгр Кат'!$A:$R,E$1,0)</f>
        <v>1</v>
      </c>
      <c r="F37" s="42">
        <f>VLOOKUP($A37,'Выгр Кат'!$A:$R,F$1,0)</f>
        <v>0</v>
      </c>
      <c r="G37" s="62"/>
      <c r="H37" s="35" t="s">
        <v>15</v>
      </c>
      <c r="I37" s="31">
        <v>1300</v>
      </c>
      <c r="J37" s="1">
        <f>VLOOKUP(I37,Наценка!$A$1:$B$8,2,1)</f>
        <v>1.65</v>
      </c>
      <c r="K37" s="37">
        <f t="shared" si="1"/>
        <v>2145</v>
      </c>
      <c r="L37" s="38">
        <f t="shared" ref="L37:L40" si="17">IF(K37&lt;=1000,(ROUNDUP(K37,-1)-1),(ROUNDUP(K37,-2)-10))</f>
        <v>2190</v>
      </c>
      <c r="M37" s="42">
        <f>VLOOKUP($A37,'Выгр Кат'!$A:$R,M$1,0)</f>
        <v>1300</v>
      </c>
      <c r="N37" s="42">
        <f>VLOOKUP($A37,'Выгр Кат'!$A:$R,N$1,0)</f>
        <v>2190</v>
      </c>
      <c r="O37" s="21">
        <f t="shared" ref="O37:O40" si="18">M37-I37</f>
        <v>0</v>
      </c>
      <c r="P37" s="21">
        <f t="shared" ref="P37:P40" si="19">N37-L37</f>
        <v>0</v>
      </c>
      <c r="Q37" s="84">
        <f t="shared" si="7"/>
        <v>2037</v>
      </c>
      <c r="R37" s="44">
        <f>IFERROR(Q37/I37-1,"")</f>
        <v>0.56692307692307686</v>
      </c>
      <c r="S37" s="44" t="str">
        <f>IFERROR((U37-Q37)/U37,"")</f>
        <v/>
      </c>
      <c r="T37" s="44" t="str">
        <f>IFERROR(IF(U37="","",U37/I37-1),"")</f>
        <v/>
      </c>
      <c r="U37" s="41"/>
      <c r="V37" s="53" t="str">
        <f>IFERROR((VLOOKUP($A37,'Из ГУГЛа'!$B:$Z,V$1,0)+X37)*W37,VLOOKUP($A37,'Из ГУГЛа'!$B:$Z,V$1,0))</f>
        <v/>
      </c>
      <c r="W37" s="20">
        <v>1</v>
      </c>
      <c r="X37" s="20">
        <v>0</v>
      </c>
      <c r="Y37" s="80"/>
      <c r="AA37" s="53" t="str">
        <f>IFERROR((VLOOKUP($A37,'Из ГУГЛа'!$B:$Z,AA$1,0)+AC37)*AB37,VLOOKUP($A37,'Из ГУГЛа'!$B:$Z,AA$1,0))</f>
        <v/>
      </c>
      <c r="AB37" s="53">
        <v>1</v>
      </c>
      <c r="AC37" s="53">
        <v>0</v>
      </c>
      <c r="AD37" s="42"/>
    </row>
    <row r="38" spans="1:31" ht="15.75" thickTop="1" x14ac:dyDescent="0.25">
      <c r="A38" s="17"/>
      <c r="B38" s="42" t="e">
        <f>VLOOKUP($A38,'Выгр Кат'!$A:$R,B$1,0)</f>
        <v>#N/A</v>
      </c>
      <c r="C38" s="43" t="e">
        <f>VLOOKUP($A38,'Выгр Кат'!$A:$R,C$1,0)</f>
        <v>#N/A</v>
      </c>
      <c r="D38" s="42" t="e">
        <f>VLOOKUP($A38,'Выгр Кат'!$A:$R,D$1,0)</f>
        <v>#N/A</v>
      </c>
      <c r="E38" s="42" t="e">
        <f>VLOOKUP($A38,'Выгр Кат'!$A:$R,E$1,0)</f>
        <v>#N/A</v>
      </c>
      <c r="F38" s="42" t="e">
        <f>VLOOKUP($A38,'Выгр Кат'!$A:$R,F$1,0)</f>
        <v>#N/A</v>
      </c>
      <c r="G38" s="62"/>
      <c r="H38" s="35" t="s">
        <v>15</v>
      </c>
      <c r="I38" s="31"/>
      <c r="J38" s="1" t="e">
        <f>VLOOKUP(I38,Наценка!$A$1:$B$8,2,1)</f>
        <v>#N/A</v>
      </c>
      <c r="K38" s="37" t="e">
        <f t="shared" si="1"/>
        <v>#N/A</v>
      </c>
      <c r="L38" s="38" t="e">
        <f t="shared" si="17"/>
        <v>#N/A</v>
      </c>
      <c r="M38" s="42" t="e">
        <f>VLOOKUP($A38,'Выгр Кат'!$A:$R,M$1,0)</f>
        <v>#N/A</v>
      </c>
      <c r="N38" s="42" t="e">
        <f>VLOOKUP($A38,'Выгр Кат'!$A:$R,N$1,0)</f>
        <v>#N/A</v>
      </c>
      <c r="O38" s="21" t="e">
        <f t="shared" si="18"/>
        <v>#N/A</v>
      </c>
      <c r="P38" s="21" t="e">
        <f t="shared" si="19"/>
        <v>#N/A</v>
      </c>
      <c r="Q38" s="84" t="str">
        <f t="shared" si="7"/>
        <v/>
      </c>
      <c r="R38" s="44" t="str">
        <f>IFERROR(Q38/I38-1,"")</f>
        <v/>
      </c>
      <c r="S38" s="44" t="str">
        <f>IFERROR((U38-Q38)/U38,"")</f>
        <v/>
      </c>
      <c r="T38" s="44" t="str">
        <f>IFERROR(IF(U38="","",U38/I38-1),"")</f>
        <v/>
      </c>
      <c r="U38" s="41"/>
      <c r="V38" s="53" t="e">
        <f>IFERROR((VLOOKUP($A38,'Из ГУГЛа'!$B:$Z,V$1,0)+X38)*W38,VLOOKUP($A38,'Из ГУГЛа'!$B:$Z,V$1,0))</f>
        <v>#N/A</v>
      </c>
      <c r="W38" s="20">
        <v>1</v>
      </c>
      <c r="X38" s="20">
        <v>0</v>
      </c>
      <c r="Y38" s="80"/>
      <c r="AA38" s="53" t="e">
        <f>IFERROR((VLOOKUP($A38,'Из ГУГЛа'!$B:$Z,AA$1,0)+AC38)*AB38,VLOOKUP($A38,'Из ГУГЛа'!$B:$Z,AA$1,0))</f>
        <v>#N/A</v>
      </c>
      <c r="AB38" s="53">
        <v>1</v>
      </c>
      <c r="AC38" s="53">
        <v>0</v>
      </c>
      <c r="AD38" s="42"/>
    </row>
    <row r="39" spans="1:31" x14ac:dyDescent="0.25">
      <c r="A39" s="17"/>
      <c r="B39" s="42" t="e">
        <f>VLOOKUP($A39,'Выгр Кат'!$A:$R,B$1,0)</f>
        <v>#N/A</v>
      </c>
      <c r="C39" s="43" t="e">
        <f>VLOOKUP($A39,'Выгр Кат'!$A:$R,C$1,0)</f>
        <v>#N/A</v>
      </c>
      <c r="D39" s="42" t="e">
        <f>VLOOKUP($A39,'Выгр Кат'!$A:$R,D$1,0)</f>
        <v>#N/A</v>
      </c>
      <c r="E39" s="42" t="e">
        <f>VLOOKUP($A39,'Выгр Кат'!$A:$R,E$1,0)</f>
        <v>#N/A</v>
      </c>
      <c r="F39" s="42" t="e">
        <f>VLOOKUP($A39,'Выгр Кат'!$A:$R,F$1,0)</f>
        <v>#N/A</v>
      </c>
      <c r="G39" s="62"/>
      <c r="H39" s="35" t="s">
        <v>15</v>
      </c>
      <c r="I39" s="31"/>
      <c r="J39" s="1" t="e">
        <f>VLOOKUP(I39,Наценка!$A$1:$B$8,2,1)</f>
        <v>#N/A</v>
      </c>
      <c r="K39" s="37" t="e">
        <f t="shared" si="1"/>
        <v>#N/A</v>
      </c>
      <c r="L39" s="38" t="e">
        <f t="shared" si="17"/>
        <v>#N/A</v>
      </c>
      <c r="M39" s="42" t="e">
        <f>VLOOKUP($A39,'Выгр Кат'!$A:$R,M$1,0)</f>
        <v>#N/A</v>
      </c>
      <c r="N39" s="42" t="e">
        <f>VLOOKUP($A39,'Выгр Кат'!$A:$R,N$1,0)</f>
        <v>#N/A</v>
      </c>
      <c r="O39" s="21" t="e">
        <f t="shared" si="18"/>
        <v>#N/A</v>
      </c>
      <c r="P39" s="21" t="e">
        <f t="shared" si="19"/>
        <v>#N/A</v>
      </c>
      <c r="Q39" s="84" t="str">
        <f t="shared" si="7"/>
        <v/>
      </c>
      <c r="R39" s="44" t="str">
        <f>IFERROR(Q39/I39-1,"")</f>
        <v/>
      </c>
      <c r="S39" s="44" t="str">
        <f>IFERROR((U39-Q39)/U39,"")</f>
        <v/>
      </c>
      <c r="T39" s="44" t="str">
        <f>IFERROR(IF(U39="","",U39/I39-1),"")</f>
        <v/>
      </c>
      <c r="U39" s="41"/>
      <c r="V39" s="53" t="e">
        <f>IFERROR((VLOOKUP($A39,'Из ГУГЛа'!$B:$Z,V$1,0)+X39)*W39,VLOOKUP($A39,'Из ГУГЛа'!$B:$Z,V$1,0))</f>
        <v>#N/A</v>
      </c>
      <c r="W39" s="20">
        <v>1</v>
      </c>
      <c r="X39" s="20">
        <v>0</v>
      </c>
      <c r="Y39" s="80"/>
      <c r="AA39" s="53" t="e">
        <f>IFERROR((VLOOKUP($A39,'Из ГУГЛа'!$B:$Z,AA$1,0)+AC39)*AB39,VLOOKUP($A39,'Из ГУГЛа'!$B:$Z,AA$1,0))</f>
        <v>#N/A</v>
      </c>
      <c r="AB39" s="53">
        <v>1</v>
      </c>
      <c r="AC39" s="53">
        <v>0</v>
      </c>
      <c r="AD39" s="42"/>
    </row>
    <row r="40" spans="1:31" x14ac:dyDescent="0.25">
      <c r="A40" s="17"/>
      <c r="B40" s="42" t="e">
        <f>VLOOKUP($A40,'Выгр Кат'!$A:$R,B$1,0)</f>
        <v>#N/A</v>
      </c>
      <c r="C40" s="43" t="e">
        <f>VLOOKUP($A40,'Выгр Кат'!$A:$R,C$1,0)</f>
        <v>#N/A</v>
      </c>
      <c r="D40" s="42" t="e">
        <f>VLOOKUP($A40,'Выгр Кат'!$A:$R,D$1,0)</f>
        <v>#N/A</v>
      </c>
      <c r="E40" s="42" t="e">
        <f>VLOOKUP($A40,'Выгр Кат'!$A:$R,E$1,0)</f>
        <v>#N/A</v>
      </c>
      <c r="F40" s="42" t="e">
        <f>VLOOKUP($A40,'Выгр Кат'!$A:$R,F$1,0)</f>
        <v>#N/A</v>
      </c>
      <c r="G40" s="62"/>
      <c r="H40" s="35" t="s">
        <v>15</v>
      </c>
      <c r="I40" s="31"/>
      <c r="J40" s="1" t="e">
        <f>VLOOKUP(I40,Наценка!$A$1:$B$8,2,1)</f>
        <v>#N/A</v>
      </c>
      <c r="K40" s="37" t="e">
        <f t="shared" si="1"/>
        <v>#N/A</v>
      </c>
      <c r="L40" s="38" t="e">
        <f t="shared" si="17"/>
        <v>#N/A</v>
      </c>
      <c r="M40" s="42" t="e">
        <f>VLOOKUP($A40,'Выгр Кат'!$A:$R,M$1,0)</f>
        <v>#N/A</v>
      </c>
      <c r="N40" s="42" t="e">
        <f>VLOOKUP($A40,'Выгр Кат'!$A:$R,N$1,0)</f>
        <v>#N/A</v>
      </c>
      <c r="O40" s="21" t="e">
        <f t="shared" si="18"/>
        <v>#N/A</v>
      </c>
      <c r="P40" s="21" t="e">
        <f t="shared" si="19"/>
        <v>#N/A</v>
      </c>
      <c r="Q40" s="84" t="str">
        <f t="shared" si="7"/>
        <v/>
      </c>
      <c r="R40" s="44" t="str">
        <f>IFERROR(Q40/I40-1,"")</f>
        <v/>
      </c>
      <c r="S40" s="44" t="str">
        <f>IFERROR((U40-Q40)/U40,"")</f>
        <v/>
      </c>
      <c r="T40" s="44" t="str">
        <f>IFERROR(IF(U40="","",U40/I40-1),"")</f>
        <v/>
      </c>
      <c r="U40" s="41"/>
      <c r="V40" s="53" t="e">
        <f>IFERROR((VLOOKUP($A40,'Из ГУГЛа'!$B:$Z,V$1,0)+X40)*W40,VLOOKUP($A40,'Из ГУГЛа'!$B:$Z,V$1,0))</f>
        <v>#N/A</v>
      </c>
      <c r="W40" s="20">
        <v>1</v>
      </c>
      <c r="X40" s="20">
        <v>0</v>
      </c>
      <c r="Y40" s="80"/>
      <c r="AA40" s="53" t="e">
        <f>IFERROR((VLOOKUP($A40,'Из ГУГЛа'!$B:$Z,AA$1,0)+AC40)*AB40,VLOOKUP($A40,'Из ГУГЛа'!$B:$Z,AA$1,0))</f>
        <v>#N/A</v>
      </c>
      <c r="AB40" s="53">
        <v>1</v>
      </c>
      <c r="AC40" s="53">
        <v>0</v>
      </c>
      <c r="AD40" s="42"/>
    </row>
    <row r="42" spans="1:31" x14ac:dyDescent="0.25">
      <c r="K42" s="37">
        <f>I42*J42*100/95</f>
        <v>0</v>
      </c>
    </row>
    <row r="43" spans="1:31" x14ac:dyDescent="0.25">
      <c r="K43" s="54">
        <f>U43*1</f>
        <v>0</v>
      </c>
    </row>
    <row r="44" spans="1:31" x14ac:dyDescent="0.25">
      <c r="K44" s="55">
        <f>U44*1.02</f>
        <v>0</v>
      </c>
    </row>
    <row r="45" spans="1:31" x14ac:dyDescent="0.25">
      <c r="K45" s="56">
        <f>U45*1.04</f>
        <v>0</v>
      </c>
    </row>
    <row r="46" spans="1:31" x14ac:dyDescent="0.25">
      <c r="K46" s="57">
        <f>U46*1.05</f>
        <v>0</v>
      </c>
    </row>
    <row r="47" spans="1:31" x14ac:dyDescent="0.25">
      <c r="K47" s="57">
        <f>U47*1.06</f>
        <v>0</v>
      </c>
    </row>
    <row r="48" spans="1:31" x14ac:dyDescent="0.25">
      <c r="K48" s="58">
        <f>U48*1.07</f>
        <v>0</v>
      </c>
    </row>
    <row r="49" spans="11:11" x14ac:dyDescent="0.25">
      <c r="K49" s="59">
        <f>U49*1.08</f>
        <v>0</v>
      </c>
    </row>
    <row r="50" spans="11:11" x14ac:dyDescent="0.25">
      <c r="K50" s="60">
        <f>I50*1.2*100/93</f>
        <v>0</v>
      </c>
    </row>
  </sheetData>
  <autoFilter ref="A2:AE40" xr:uid="{00000000-0001-0000-0000-000000000000}">
    <filterColumn colId="0">
      <colorFilter dxfId="14"/>
    </filterColumn>
  </autoFilter>
  <conditionalFormatting sqref="R3:R40 T3:T40">
    <cfRule type="cellIs" dxfId="13" priority="10" operator="lessThan">
      <formula>$Q$1</formula>
    </cfRule>
  </conditionalFormatting>
  <conditionalFormatting sqref="S3:S40">
    <cfRule type="cellIs" dxfId="12" priority="9" operator="lessThan">
      <formula>0%</formula>
    </cfRule>
  </conditionalFormatting>
  <conditionalFormatting sqref="C3:C40">
    <cfRule type="expression" dxfId="11" priority="5">
      <formula>OR(D3="N",E3="0")</formula>
    </cfRule>
  </conditionalFormatting>
  <conditionalFormatting sqref="A3:A40">
    <cfRule type="expression" dxfId="10" priority="3">
      <formula>AND(ROUNDDOWN($P3,0)=0,ROUNDDOWN($O3,0)=0)</formula>
    </cfRule>
  </conditionalFormatting>
  <conditionalFormatting sqref="V3:V40">
    <cfRule type="expression" dxfId="9" priority="2">
      <formula>VALUE(V3)&lt;&gt;Y3</formula>
    </cfRule>
  </conditionalFormatting>
  <conditionalFormatting sqref="AA3:AA40">
    <cfRule type="expression" dxfId="8" priority="1">
      <formula>VALUE(AA3)&lt;&gt;AD3</formula>
    </cfRule>
  </conditionalFormatting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9037B-4F31-4E40-B5F9-BEEFAF583507}">
  <sheetPr codeName="Лист4"/>
  <dimension ref="A1:AG17"/>
  <sheetViews>
    <sheetView topLeftCell="B1" workbookViewId="0">
      <selection activeCell="T5" sqref="T5"/>
    </sheetView>
  </sheetViews>
  <sheetFormatPr defaultRowHeight="15" outlineLevelCol="1" x14ac:dyDescent="0.25"/>
  <cols>
    <col min="1" max="1" width="27.28515625" style="29" hidden="1" customWidth="1" outlineLevel="1"/>
    <col min="2" max="2" width="9.140625" style="29" collapsed="1"/>
    <col min="3" max="3" width="9.140625" style="29"/>
    <col min="4" max="4" width="37.5703125" style="28" customWidth="1"/>
    <col min="5" max="5" width="2" style="29" bestFit="1" customWidth="1"/>
    <col min="6" max="6" width="3" style="29" bestFit="1" customWidth="1"/>
    <col min="7" max="7" width="13.5703125" style="29" bestFit="1" customWidth="1"/>
    <col min="8" max="8" width="14.42578125" style="29" customWidth="1"/>
    <col min="9" max="9" width="11.85546875" style="29" customWidth="1"/>
    <col min="10" max="10" width="8.42578125" style="32" bestFit="1" customWidth="1"/>
    <col min="11" max="11" width="4.42578125" style="29" bestFit="1" customWidth="1"/>
    <col min="12" max="12" width="6" style="32" bestFit="1" customWidth="1"/>
    <col min="13" max="13" width="10.85546875" style="32" bestFit="1" customWidth="1"/>
    <col min="14" max="14" width="6.7109375" style="29" bestFit="1" customWidth="1"/>
    <col min="15" max="15" width="6.85546875" style="29" bestFit="1" customWidth="1"/>
    <col min="16" max="17" width="7.42578125" style="29" bestFit="1" customWidth="1"/>
    <col min="18" max="18" width="6" style="29" bestFit="1" customWidth="1"/>
    <col min="19" max="21" width="9.140625" style="29"/>
    <col min="22" max="22" width="6" style="29" bestFit="1" customWidth="1"/>
    <col min="23" max="23" width="8" style="29" bestFit="1" customWidth="1"/>
    <col min="24" max="24" width="3.7109375" style="29" customWidth="1"/>
    <col min="25" max="25" width="6.7109375" style="29" customWidth="1"/>
    <col min="26" max="26" width="6.7109375" style="29" bestFit="1" customWidth="1"/>
    <col min="27" max="27" width="9.140625" style="29"/>
    <col min="28" max="28" width="8" style="29" bestFit="1" customWidth="1"/>
    <col min="29" max="29" width="3.85546875" style="29" customWidth="1"/>
    <col min="30" max="30" width="6.42578125" style="29" customWidth="1"/>
    <col min="31" max="31" width="6" style="29" bestFit="1" customWidth="1"/>
    <col min="32" max="16384" width="9.140625" style="29"/>
  </cols>
  <sheetData>
    <row r="1" spans="1:33" x14ac:dyDescent="0.25">
      <c r="A1"/>
      <c r="C1" s="28">
        <v>2</v>
      </c>
      <c r="D1" s="28">
        <v>3</v>
      </c>
      <c r="E1" s="29">
        <v>4</v>
      </c>
      <c r="F1" s="29">
        <v>15</v>
      </c>
      <c r="G1" s="29">
        <v>6</v>
      </c>
      <c r="I1" s="30"/>
      <c r="N1" s="29">
        <v>9</v>
      </c>
      <c r="O1" s="29">
        <v>10</v>
      </c>
      <c r="P1" s="32"/>
      <c r="Q1" s="32"/>
      <c r="R1" s="82">
        <v>0.2</v>
      </c>
      <c r="S1" s="33" t="str">
        <f>_xlfn.CONCAT(ROUND(MIN(S3:S9000)*100,0),"-",ROUND(MAX(S3:S9000)*100,0),"%")</f>
        <v>20-36%</v>
      </c>
      <c r="T1" s="33" t="str">
        <f>_xlfn.CONCAT(ROUND(SUBTOTAL(5,T3:T9000)*100,0)," - ",ROUND(SUBTOTAL(4,T3:T9000)*100,0),"%")</f>
        <v>0 - 1%</v>
      </c>
      <c r="U1" s="33" t="str">
        <f>_xlfn.CONCAT(ROUND(SUBTOTAL(5,U3:U90000)*100,0)," - ",ROUND(SUBTOTAL(4,U3:U90000)*100,0),"%")</f>
        <v>21 - 29%</v>
      </c>
      <c r="V1" s="34"/>
      <c r="W1" s="29">
        <v>6</v>
      </c>
      <c r="Y1" s="76">
        <f>AC1</f>
        <v>0</v>
      </c>
      <c r="Z1" s="27"/>
      <c r="AB1" s="29">
        <v>7</v>
      </c>
      <c r="AD1" s="78">
        <f>AM1</f>
        <v>0</v>
      </c>
      <c r="AE1" s="27"/>
      <c r="AF1" s="27"/>
      <c r="AG1" s="27"/>
    </row>
    <row r="2" spans="1:33" x14ac:dyDescent="0.25">
      <c r="A2" s="12" t="s">
        <v>142</v>
      </c>
      <c r="B2" s="12" t="s">
        <v>0</v>
      </c>
      <c r="C2" s="13" t="s">
        <v>117</v>
      </c>
      <c r="D2" s="13" t="s">
        <v>24</v>
      </c>
      <c r="E2" s="13"/>
      <c r="F2" s="13"/>
      <c r="G2" s="13" t="s">
        <v>137</v>
      </c>
      <c r="H2" s="12" t="s">
        <v>44</v>
      </c>
      <c r="I2" s="12" t="s">
        <v>18</v>
      </c>
      <c r="J2" s="47" t="s">
        <v>20</v>
      </c>
      <c r="K2" s="12"/>
      <c r="L2" s="48"/>
      <c r="M2" s="47" t="s">
        <v>25</v>
      </c>
      <c r="N2" s="13" t="s">
        <v>45</v>
      </c>
      <c r="O2" s="13" t="s">
        <v>46</v>
      </c>
      <c r="P2" s="21" t="s">
        <v>19</v>
      </c>
      <c r="Q2" s="21" t="s">
        <v>19</v>
      </c>
      <c r="R2" s="15">
        <v>7.0000000000000007E-2</v>
      </c>
      <c r="S2" s="39" t="s">
        <v>23</v>
      </c>
      <c r="T2" s="39" t="s">
        <v>47</v>
      </c>
      <c r="U2" s="39" t="s">
        <v>48</v>
      </c>
      <c r="V2" s="40"/>
      <c r="W2" s="77" t="s">
        <v>167</v>
      </c>
      <c r="X2" s="16"/>
      <c r="Y2" s="16" t="s">
        <v>168</v>
      </c>
      <c r="Z2" s="40" t="s">
        <v>49</v>
      </c>
      <c r="AB2" s="77" t="s">
        <v>167</v>
      </c>
      <c r="AC2" s="16"/>
      <c r="AD2" s="16" t="s">
        <v>168</v>
      </c>
      <c r="AE2" s="40" t="s">
        <v>144</v>
      </c>
      <c r="AF2" s="75" t="s">
        <v>144</v>
      </c>
    </row>
    <row r="3" spans="1:33" ht="45.75" thickBot="1" x14ac:dyDescent="0.3">
      <c r="A3" s="18" t="str">
        <f>INDEX('Выгр Торг'!$A:$A,MATCH($B3,'Выгр Торг'!$B:$B,0))</f>
        <v>Установочный комплект ЭУР (без руля) для ВАЗ 2101-2107</v>
      </c>
      <c r="B3" s="17">
        <v>264887</v>
      </c>
      <c r="C3" s="42">
        <f>VLOOKUP($B3,'Выгр Торг'!$B:$Q,C$1,0)</f>
        <v>208719</v>
      </c>
      <c r="D3" s="43" t="str">
        <f>VLOOKUP($B3,'Выгр Торг'!$B:$Q,D$1,0)</f>
        <v>Установочный комплект ЭУР (без руля) для ВАЗ 2101-2107 (Инжектор)</v>
      </c>
      <c r="E3" s="42" t="str">
        <f>VLOOKUP($B3,'Выгр Торг'!$B:$Q,E$1,0)</f>
        <v>Y</v>
      </c>
      <c r="F3" s="42" t="str">
        <f>VLOOKUP($B3,'Выгр Торг'!$B:$Q,F$1,0)</f>
        <v>1</v>
      </c>
      <c r="G3" s="42">
        <f>VLOOKUP($B3,'Выгр Торг'!$B:$Q,G$1,0)</f>
        <v>0</v>
      </c>
      <c r="H3" s="42"/>
      <c r="I3" s="35" t="s">
        <v>15</v>
      </c>
      <c r="J3" s="31">
        <f t="shared" ref="J3" si="0">N3</f>
        <v>7200</v>
      </c>
      <c r="K3" s="51">
        <f>(S7+1)*100/93</f>
        <v>1.3709302325581394</v>
      </c>
      <c r="L3" s="49">
        <f>11759.3-1300</f>
        <v>10459.299999999999</v>
      </c>
      <c r="M3" s="50">
        <f>IF(L3&lt;=1000,(ROUNDUP(L3,-1)-1),(ROUNDUP(L3,-2)-10))</f>
        <v>10490</v>
      </c>
      <c r="N3" s="42">
        <f>VLOOKUP($B3,'Выгр Торг'!$B:$Q,N$1,0)</f>
        <v>7200</v>
      </c>
      <c r="O3" s="42">
        <f>VLOOKUP($B3,'Выгр Торг'!$B:$Q,O$1,0)</f>
        <v>10490</v>
      </c>
      <c r="P3" s="21">
        <f>N3-J3</f>
        <v>0</v>
      </c>
      <c r="Q3" s="21">
        <f>O3-M3</f>
        <v>0</v>
      </c>
      <c r="R3" s="52">
        <f>IFERROR(M3*(1-$R$2),"")</f>
        <v>9755.6999999999989</v>
      </c>
      <c r="S3" s="44">
        <f>IFERROR(R3/J3-1,"")</f>
        <v>0.35495833333333326</v>
      </c>
      <c r="T3" s="44" t="str">
        <f>IFERROR((V3-R3)/V3,"")</f>
        <v/>
      </c>
      <c r="U3" s="44" t="str">
        <f>IFERROR(IF(V3="","",V3/J3-1),"")</f>
        <v/>
      </c>
      <c r="V3" s="45"/>
      <c r="W3" s="53" t="str">
        <f>IFERROR((VLOOKUP($B3,'Из ГУГЛа'!$B:$Z,W$1,0)+Y3)*X3,VLOOKUP($B3,'Из ГУГЛа'!$B:$Z,W$1,0))</f>
        <v/>
      </c>
      <c r="X3" s="53">
        <v>1</v>
      </c>
      <c r="Y3" s="53"/>
      <c r="Z3" s="45" t="s">
        <v>33</v>
      </c>
      <c r="AB3" s="53" t="str">
        <f>IFERROR((VLOOKUP($B3,'Из ГУГЛа'!$B:$Z,AB$1,0)+AD3)*AC3,VLOOKUP($B3,'Из ГУГЛа'!$B:$Z,AB$1,0))</f>
        <v/>
      </c>
      <c r="AC3" s="53">
        <v>1</v>
      </c>
      <c r="AD3" s="53"/>
      <c r="AE3" s="42"/>
    </row>
    <row r="4" spans="1:33" ht="46.5" thickTop="1" thickBot="1" x14ac:dyDescent="0.3">
      <c r="A4" s="18" t="str">
        <f>INDEX('Выгр Торг'!$A:$A,MATCH($B4,'Выгр Торг'!$B:$B,0))</f>
        <v>Установочный комплект ЭУР (без руля) для ВАЗ 2101-2107</v>
      </c>
      <c r="B4" s="17">
        <v>264888</v>
      </c>
      <c r="C4" s="42">
        <f>VLOOKUP($B4,'Выгр Торг'!$B:$Q,C$1,0)</f>
        <v>208722</v>
      </c>
      <c r="D4" s="43" t="str">
        <f>VLOOKUP($B4,'Выгр Торг'!$B:$Q,D$1,0)</f>
        <v>Установочный комплект ЭУР (без руля) для ВАЗ 2101-2107 (Карбюратор)</v>
      </c>
      <c r="E4" s="42" t="str">
        <f>VLOOKUP($B4,'Выгр Торг'!$B:$Q,E$1,0)</f>
        <v>Y</v>
      </c>
      <c r="F4" s="42" t="str">
        <f>VLOOKUP($B4,'Выгр Торг'!$B:$Q,F$1,0)</f>
        <v>1</v>
      </c>
      <c r="G4" s="42">
        <f>VLOOKUP($B4,'Выгр Торг'!$B:$Q,G$1,0)</f>
        <v>0</v>
      </c>
      <c r="H4" s="42"/>
      <c r="I4" s="35" t="s">
        <v>15</v>
      </c>
      <c r="J4" s="31">
        <f t="shared" ref="J4:J10" si="1">N4</f>
        <v>7800</v>
      </c>
      <c r="K4" s="51">
        <f>(S8+1)*100/93</f>
        <v>1.3793478260869563</v>
      </c>
      <c r="L4" s="49">
        <f>12603.4-1300</f>
        <v>11303.4</v>
      </c>
      <c r="M4" s="50">
        <f t="shared" ref="M4:M10" si="2">IF(L4&lt;=1000,(ROUNDUP(L4,-1)-1),(ROUNDUP(L4,-2)-10))</f>
        <v>11390</v>
      </c>
      <c r="N4" s="42">
        <f>VLOOKUP($B4,'Выгр Торг'!$B:$Q,N$1,0)</f>
        <v>7800</v>
      </c>
      <c r="O4" s="42">
        <f>VLOOKUP($B4,'Выгр Торг'!$B:$Q,O$1,0)</f>
        <v>11390</v>
      </c>
      <c r="P4" s="21">
        <f t="shared" ref="P4:P10" si="3">N4-J4</f>
        <v>0</v>
      </c>
      <c r="Q4" s="21">
        <f t="shared" ref="Q4:Q10" si="4">O4-M4</f>
        <v>0</v>
      </c>
      <c r="R4" s="52">
        <f t="shared" ref="R4:R10" si="5">IFERROR(M4*(1-$R$2),"")</f>
        <v>10592.699999999999</v>
      </c>
      <c r="S4" s="44">
        <f>IFERROR(R4/J4-1,"")</f>
        <v>0.35803846153846131</v>
      </c>
      <c r="T4" s="44" t="str">
        <f>IFERROR((V4-R4)/V4,"")</f>
        <v/>
      </c>
      <c r="U4" s="44" t="str">
        <f>IFERROR(IF(V4="","",V4/J4-1),"")</f>
        <v/>
      </c>
      <c r="V4" s="45"/>
      <c r="W4" s="53" t="str">
        <f>IFERROR((VLOOKUP($B4,'Из ГУГЛа'!$B:$Z,W$1,0)+Y4)*X4,VLOOKUP($B4,'Из ГУГЛа'!$B:$Z,W$1,0))</f>
        <v/>
      </c>
      <c r="X4" s="53">
        <v>1</v>
      </c>
      <c r="Y4" s="53"/>
      <c r="Z4" s="45" t="s">
        <v>33</v>
      </c>
      <c r="AB4" s="53" t="str">
        <f>IFERROR((VLOOKUP($B4,'Из ГУГЛа'!$B:$Z,AB$1,0)+AD4)*AC4,VLOOKUP($B4,'Из ГУГЛа'!$B:$Z,AB$1,0))</f>
        <v/>
      </c>
      <c r="AC4" s="53">
        <v>1</v>
      </c>
      <c r="AD4" s="53"/>
      <c r="AE4" s="42"/>
    </row>
    <row r="5" spans="1:33" ht="46.5" thickTop="1" thickBot="1" x14ac:dyDescent="0.3">
      <c r="A5" s="18" t="str">
        <f>INDEX('Выгр Торг'!$A:$A,MATCH($B5,'Выгр Торг'!$B:$B,0))</f>
        <v>Установочный комплект ЭУР (без руля) для Лада Нива 4х4</v>
      </c>
      <c r="B5" s="17">
        <v>264889</v>
      </c>
      <c r="C5" s="42">
        <f>VLOOKUP($B5,'Выгр Торг'!$B:$Q,C$1,0)</f>
        <v>208703</v>
      </c>
      <c r="D5" s="43" t="str">
        <f>VLOOKUP($B5,'Выгр Торг'!$B:$Q,D$1,0)</f>
        <v>Установочный комплект ЭУР (без руля) для Лада Нива 4х4 (Инжектор)</v>
      </c>
      <c r="E5" s="42" t="str">
        <f>VLOOKUP($B5,'Выгр Торг'!$B:$Q,E$1,0)</f>
        <v>Y</v>
      </c>
      <c r="F5" s="42" t="str">
        <f>VLOOKUP($B5,'Выгр Торг'!$B:$Q,F$1,0)</f>
        <v>1</v>
      </c>
      <c r="G5" s="42">
        <f>VLOOKUP($B5,'Выгр Торг'!$B:$Q,G$1,0)</f>
        <v>0</v>
      </c>
      <c r="H5" s="42"/>
      <c r="I5" s="35" t="s">
        <v>15</v>
      </c>
      <c r="J5" s="31">
        <f t="shared" si="1"/>
        <v>8000</v>
      </c>
      <c r="K5" s="51">
        <f>(S9+1)*100/93</f>
        <v>1.2956043956043954</v>
      </c>
      <c r="L5" s="49">
        <f>11759.3-1300</f>
        <v>10459.299999999999</v>
      </c>
      <c r="M5" s="50">
        <f t="shared" si="2"/>
        <v>10490</v>
      </c>
      <c r="N5" s="42">
        <f>VLOOKUP($B5,'Выгр Торг'!$B:$Q,N$1,0)</f>
        <v>8000</v>
      </c>
      <c r="O5" s="42">
        <f>VLOOKUP($B5,'Выгр Торг'!$B:$Q,O$1,0)</f>
        <v>10490</v>
      </c>
      <c r="P5" s="21">
        <f t="shared" si="3"/>
        <v>0</v>
      </c>
      <c r="Q5" s="21">
        <f t="shared" si="4"/>
        <v>0</v>
      </c>
      <c r="R5" s="52">
        <f t="shared" si="5"/>
        <v>9755.6999999999989</v>
      </c>
      <c r="S5" s="44">
        <f>IFERROR(R5/J5-1,"")</f>
        <v>0.21946249999999989</v>
      </c>
      <c r="T5" s="44" t="str">
        <f>IFERROR((V5-R5)/V5,"")</f>
        <v/>
      </c>
      <c r="U5" s="44" t="str">
        <f>IFERROR(IF(V5="","",V5/J5-1),"")</f>
        <v/>
      </c>
      <c r="V5" s="45"/>
      <c r="W5" s="53" t="str">
        <f>IFERROR((VLOOKUP($B5,'Из ГУГЛа'!$B:$Z,W$1,0)+Y5)*X5,VLOOKUP($B5,'Из ГУГЛа'!$B:$Z,W$1,0))</f>
        <v/>
      </c>
      <c r="X5" s="53">
        <v>1</v>
      </c>
      <c r="Y5" s="53"/>
      <c r="Z5" s="45" t="s">
        <v>33</v>
      </c>
      <c r="AB5" s="53" t="str">
        <f>IFERROR((VLOOKUP($B5,'Из ГУГЛа'!$B:$Z,AB$1,0)+AD5)*AC5,VLOOKUP($B5,'Из ГУГЛа'!$B:$Z,AB$1,0))</f>
        <v/>
      </c>
      <c r="AC5" s="53">
        <v>1</v>
      </c>
      <c r="AD5" s="53"/>
      <c r="AE5" s="42"/>
    </row>
    <row r="6" spans="1:33" ht="46.5" thickTop="1" thickBot="1" x14ac:dyDescent="0.3">
      <c r="A6" s="18" t="str">
        <f>INDEX('Выгр Торг'!$A:$A,MATCH($B6,'Выгр Торг'!$B:$B,0))</f>
        <v>Установочный комплект ЭУР (без руля) для Лада Нива 4х4</v>
      </c>
      <c r="B6" s="17">
        <v>264890</v>
      </c>
      <c r="C6" s="42">
        <f>VLOOKUP($B6,'Выгр Торг'!$B:$Q,C$1,0)</f>
        <v>208704</v>
      </c>
      <c r="D6" s="43" t="str">
        <f>VLOOKUP($B6,'Выгр Торг'!$B:$Q,D$1,0)</f>
        <v>Установочный комплект ЭУР (без руля) для Лада Нива 4х4 (Карбюратор)</v>
      </c>
      <c r="E6" s="42" t="str">
        <f>VLOOKUP($B6,'Выгр Торг'!$B:$Q,E$1,0)</f>
        <v>Y</v>
      </c>
      <c r="F6" s="42" t="str">
        <f>VLOOKUP($B6,'Выгр Торг'!$B:$Q,F$1,0)</f>
        <v>1</v>
      </c>
      <c r="G6" s="42">
        <f>VLOOKUP($B6,'Выгр Торг'!$B:$Q,G$1,0)</f>
        <v>0</v>
      </c>
      <c r="H6" s="42"/>
      <c r="I6" s="35" t="s">
        <v>15</v>
      </c>
      <c r="J6" s="31">
        <f t="shared" si="1"/>
        <v>8600</v>
      </c>
      <c r="K6" s="51">
        <f>(S10+1)*100/93</f>
        <v>1.3082474226804122</v>
      </c>
      <c r="L6" s="49">
        <f>12603.4-1300</f>
        <v>11303.4</v>
      </c>
      <c r="M6" s="50">
        <f t="shared" si="2"/>
        <v>11390</v>
      </c>
      <c r="N6" s="42">
        <f>VLOOKUP($B6,'Выгр Торг'!$B:$Q,N$1,0)</f>
        <v>8600</v>
      </c>
      <c r="O6" s="42">
        <f>VLOOKUP($B6,'Выгр Торг'!$B:$Q,O$1,0)</f>
        <v>11390</v>
      </c>
      <c r="P6" s="21">
        <f t="shared" si="3"/>
        <v>0</v>
      </c>
      <c r="Q6" s="21">
        <f t="shared" si="4"/>
        <v>0</v>
      </c>
      <c r="R6" s="52">
        <f t="shared" si="5"/>
        <v>10592.699999999999</v>
      </c>
      <c r="S6" s="44">
        <f>IFERROR(R6/J6-1,"")</f>
        <v>0.23170930232558118</v>
      </c>
      <c r="T6" s="44" t="str">
        <f>IFERROR((V6-R6)/V6,"")</f>
        <v/>
      </c>
      <c r="U6" s="44" t="str">
        <f>IFERROR(IF(V6="","",V6/J6-1),"")</f>
        <v/>
      </c>
      <c r="V6" s="45"/>
      <c r="W6" s="53" t="str">
        <f>IFERROR((VLOOKUP($B6,'Из ГУГЛа'!$B:$Z,W$1,0)+Y6)*X6,VLOOKUP($B6,'Из ГУГЛа'!$B:$Z,W$1,0))</f>
        <v/>
      </c>
      <c r="X6" s="53">
        <v>1</v>
      </c>
      <c r="Y6" s="53"/>
      <c r="Z6" s="45" t="s">
        <v>33</v>
      </c>
      <c r="AB6" s="53" t="str">
        <f>IFERROR((VLOOKUP($B6,'Из ГУГЛа'!$B:$Z,AB$1,0)+AD6)*AC6,VLOOKUP($B6,'Из ГУГЛа'!$B:$Z,AB$1,0))</f>
        <v/>
      </c>
      <c r="AC6" s="53">
        <v>1</v>
      </c>
      <c r="AD6" s="53"/>
      <c r="AE6" s="42"/>
    </row>
    <row r="7" spans="1:33" ht="31.5" thickTop="1" thickBot="1" x14ac:dyDescent="0.3">
      <c r="A7" s="18" t="str">
        <f>INDEX('Выгр Торг'!$A:$A,MATCH($B7,'Выгр Торг'!$B:$B,0))</f>
        <v>Установочный комплект ЭУР для ВАЗ 2101-2107</v>
      </c>
      <c r="B7" s="17">
        <v>264891</v>
      </c>
      <c r="C7" s="42">
        <f>VLOOKUP($B7,'Выгр Торг'!$B:$Q,C$1,0)</f>
        <v>208716</v>
      </c>
      <c r="D7" s="43" t="str">
        <f>VLOOKUP($B7,'Выгр Торг'!$B:$Q,D$1,0)</f>
        <v>Установочный комплект ЭУР для ВАЗ 2101-2107 (Инжектор)</v>
      </c>
      <c r="E7" s="42" t="str">
        <f>VLOOKUP($B7,'Выгр Торг'!$B:$Q,E$1,0)</f>
        <v>Y</v>
      </c>
      <c r="F7" s="42" t="str">
        <f>VLOOKUP($B7,'Выгр Торг'!$B:$Q,F$1,0)</f>
        <v>1ск4</v>
      </c>
      <c r="G7" s="42">
        <f>VLOOKUP($B7,'Выгр Торг'!$B:$Q,G$1,0)</f>
        <v>0</v>
      </c>
      <c r="H7" s="42"/>
      <c r="I7" s="35" t="s">
        <v>15</v>
      </c>
      <c r="J7" s="31">
        <f t="shared" si="1"/>
        <v>8600</v>
      </c>
      <c r="K7" s="1">
        <f>VLOOKUP(J7,Наценка!$A$1:$B$8,2,1)</f>
        <v>1.26</v>
      </c>
      <c r="L7" s="22">
        <f>V7*1.07</f>
        <v>11759.300000000001</v>
      </c>
      <c r="M7" s="50">
        <f t="shared" si="2"/>
        <v>11790</v>
      </c>
      <c r="N7" s="42">
        <f>VLOOKUP($B7,'Выгр Торг'!$B:$Q,N$1,0)</f>
        <v>8600</v>
      </c>
      <c r="O7" s="42">
        <f>VLOOKUP($B7,'Выгр Торг'!$B:$Q,O$1,0)</f>
        <v>11790</v>
      </c>
      <c r="P7" s="21">
        <f t="shared" si="3"/>
        <v>0</v>
      </c>
      <c r="Q7" s="21">
        <f t="shared" si="4"/>
        <v>0</v>
      </c>
      <c r="R7" s="52">
        <f t="shared" si="5"/>
        <v>10964.699999999999</v>
      </c>
      <c r="S7" s="44">
        <f>IFERROR(R7/J7-1,"")</f>
        <v>0.27496511627906961</v>
      </c>
      <c r="T7" s="44">
        <f>IFERROR((V7-R7)/V7,"")</f>
        <v>2.3020928116470512E-3</v>
      </c>
      <c r="U7" s="44">
        <f>IFERROR(IF(V7="","",V7/J7-1),"")</f>
        <v>0.27790697674418596</v>
      </c>
      <c r="V7" s="76">
        <f>Z7</f>
        <v>10990</v>
      </c>
      <c r="W7" s="53">
        <f>IFERROR((VLOOKUP($B7,'Из ГУГЛа'!$B:$Z,W$1,0)+Y7)*X7,VLOOKUP($B7,'Из ГУГЛа'!$B:$Z,W$1,0))</f>
        <v>10990</v>
      </c>
      <c r="X7" s="53">
        <v>1</v>
      </c>
      <c r="Y7" s="53"/>
      <c r="Z7" s="45">
        <v>10990</v>
      </c>
      <c r="AA7" s="29" t="s">
        <v>51</v>
      </c>
      <c r="AB7" s="53">
        <f>IFERROR((VLOOKUP($B7,'Из ГУГЛа'!$B:$Z,AB$1,0)+AD7)*AC7,VLOOKUP($B7,'Из ГУГЛа'!$B:$Z,AB$1,0))</f>
        <v>13150</v>
      </c>
      <c r="AC7" s="53">
        <v>1</v>
      </c>
      <c r="AD7" s="53"/>
      <c r="AE7" s="42">
        <v>13150</v>
      </c>
      <c r="AF7" s="29" t="s">
        <v>160</v>
      </c>
    </row>
    <row r="8" spans="1:33" ht="31.5" thickTop="1" thickBot="1" x14ac:dyDescent="0.3">
      <c r="A8" s="18" t="str">
        <f>INDEX('Выгр Торг'!$A:$A,MATCH($B8,'Выгр Торг'!$B:$B,0))</f>
        <v>Установочный комплект ЭУР для ВАЗ 2101-2107</v>
      </c>
      <c r="B8" s="17">
        <v>264892</v>
      </c>
      <c r="C8" s="42">
        <f>VLOOKUP($B8,'Выгр Торг'!$B:$Q,C$1,0)</f>
        <v>208718</v>
      </c>
      <c r="D8" s="43" t="str">
        <f>VLOOKUP($B8,'Выгр Торг'!$B:$Q,D$1,0)</f>
        <v>Установочный комплект ЭУР для ВАЗ 2101-2107 (Карбюратор)</v>
      </c>
      <c r="E8" s="42" t="str">
        <f>VLOOKUP($B8,'Выгр Торг'!$B:$Q,E$1,0)</f>
        <v>Y</v>
      </c>
      <c r="F8" s="42" t="str">
        <f>VLOOKUP($B8,'Выгр Торг'!$B:$Q,F$1,0)</f>
        <v>1</v>
      </c>
      <c r="G8" s="42">
        <f>VLOOKUP($B8,'Выгр Торг'!$B:$Q,G$1,0)</f>
        <v>0</v>
      </c>
      <c r="H8" s="42"/>
      <c r="I8" s="35" t="s">
        <v>15</v>
      </c>
      <c r="J8" s="31">
        <f t="shared" si="1"/>
        <v>9200</v>
      </c>
      <c r="K8" s="1">
        <f>VLOOKUP(J8,Наценка!$A$1:$B$8,2,1)</f>
        <v>1.26</v>
      </c>
      <c r="L8" s="23">
        <f>V8*1.06</f>
        <v>12603.400000000001</v>
      </c>
      <c r="M8" s="50">
        <f t="shared" si="2"/>
        <v>12690</v>
      </c>
      <c r="N8" s="42">
        <f>VLOOKUP($B8,'Выгр Торг'!$B:$Q,N$1,0)</f>
        <v>9200</v>
      </c>
      <c r="O8" s="42">
        <f>VLOOKUP($B8,'Выгр Торг'!$B:$Q,O$1,0)</f>
        <v>12690</v>
      </c>
      <c r="P8" s="21">
        <f t="shared" si="3"/>
        <v>0</v>
      </c>
      <c r="Q8" s="21">
        <f t="shared" si="4"/>
        <v>0</v>
      </c>
      <c r="R8" s="52">
        <f t="shared" si="5"/>
        <v>11801.699999999999</v>
      </c>
      <c r="S8" s="44">
        <f>IFERROR(R8/J8-1,"")</f>
        <v>0.28279347826086942</v>
      </c>
      <c r="T8" s="44">
        <f>IFERROR((V8-R8)/V8,"")</f>
        <v>7.426408746846181E-3</v>
      </c>
      <c r="U8" s="44">
        <f>IFERROR(IF(V8="","",V8/J8-1),"")</f>
        <v>0.29239130434782612</v>
      </c>
      <c r="V8" s="76">
        <f>Z8</f>
        <v>11890</v>
      </c>
      <c r="W8" s="53">
        <f>IFERROR((VLOOKUP($B8,'Из ГУГЛа'!$B:$Z,W$1,0)+Y8)*X8,VLOOKUP($B8,'Из ГУГЛа'!$B:$Z,W$1,0))</f>
        <v>11890</v>
      </c>
      <c r="X8" s="53">
        <v>1</v>
      </c>
      <c r="Y8" s="53"/>
      <c r="Z8" s="45">
        <v>11890</v>
      </c>
      <c r="AA8" s="29" t="s">
        <v>78</v>
      </c>
      <c r="AB8" s="53" t="str">
        <f>IFERROR((VLOOKUP($B8,'Из ГУГЛа'!$B:$Z,AB$1,0)+AD8)*AC8,VLOOKUP($B8,'Из ГУГЛа'!$B:$Z,AB$1,0))</f>
        <v/>
      </c>
      <c r="AC8" s="53">
        <v>1</v>
      </c>
      <c r="AD8" s="53"/>
      <c r="AE8" s="42"/>
    </row>
    <row r="9" spans="1:33" ht="31.5" thickTop="1" thickBot="1" x14ac:dyDescent="0.3">
      <c r="A9" s="18" t="str">
        <f>INDEX('Выгр Торг'!$A:$A,MATCH($B9,'Выгр Торг'!$B:$B,0))</f>
        <v>Установочный комплект ЭУР для Лада Нива 4х4</v>
      </c>
      <c r="B9" s="17">
        <v>264893</v>
      </c>
      <c r="C9" s="42">
        <f>VLOOKUP($B9,'Выгр Торг'!$B:$Q,C$1,0)</f>
        <v>208706</v>
      </c>
      <c r="D9" s="43" t="str">
        <f>VLOOKUP($B9,'Выгр Торг'!$B:$Q,D$1,0)</f>
        <v>Установочный комплект ЭУР для Лада Нива 4х4 (Инжектор)</v>
      </c>
      <c r="E9" s="42" t="str">
        <f>VLOOKUP($B9,'Выгр Торг'!$B:$Q,E$1,0)</f>
        <v>Y</v>
      </c>
      <c r="F9" s="42" t="str">
        <f>VLOOKUP($B9,'Выгр Торг'!$B:$Q,F$1,0)</f>
        <v>1</v>
      </c>
      <c r="G9" s="42">
        <f>VLOOKUP($B9,'Выгр Торг'!$B:$Q,G$1,0)</f>
        <v>0</v>
      </c>
      <c r="H9" s="42"/>
      <c r="I9" s="35" t="s">
        <v>15</v>
      </c>
      <c r="J9" s="31">
        <f t="shared" si="1"/>
        <v>9100</v>
      </c>
      <c r="K9" s="1">
        <f>VLOOKUP(J9,Наценка!$A$1:$B$8,2,1)</f>
        <v>1.26</v>
      </c>
      <c r="L9" s="22">
        <f>V9*1.07</f>
        <v>11759.300000000001</v>
      </c>
      <c r="M9" s="50">
        <f t="shared" si="2"/>
        <v>11790</v>
      </c>
      <c r="N9" s="42">
        <f>VLOOKUP($B9,'Выгр Торг'!$B:$Q,N$1,0)</f>
        <v>9100</v>
      </c>
      <c r="O9" s="42">
        <f>VLOOKUP($B9,'Выгр Торг'!$B:$Q,O$1,0)</f>
        <v>11790</v>
      </c>
      <c r="P9" s="21">
        <f t="shared" si="3"/>
        <v>0</v>
      </c>
      <c r="Q9" s="21">
        <f t="shared" si="4"/>
        <v>0</v>
      </c>
      <c r="R9" s="52">
        <f t="shared" si="5"/>
        <v>10964.699999999999</v>
      </c>
      <c r="S9" s="44">
        <f>IFERROR(R9/J9-1,"")</f>
        <v>0.20491208791208781</v>
      </c>
      <c r="T9" s="44">
        <f>IFERROR((V9-R9)/V9,"")</f>
        <v>2.3020928116470512E-3</v>
      </c>
      <c r="U9" s="44">
        <f>IFERROR(IF(V9="","",V9/J9-1),"")</f>
        <v>0.20769230769230762</v>
      </c>
      <c r="V9" s="76">
        <f>Z9</f>
        <v>10990</v>
      </c>
      <c r="W9" s="53">
        <f>IFERROR((VLOOKUP($B9,'Из ГУГЛа'!$B:$Z,W$1,0)+Y9)*X9,VLOOKUP($B9,'Из ГУГЛа'!$B:$Z,W$1,0))</f>
        <v>10990</v>
      </c>
      <c r="X9" s="53">
        <v>1</v>
      </c>
      <c r="Y9" s="53"/>
      <c r="Z9" s="45">
        <v>10990</v>
      </c>
      <c r="AA9" s="29" t="s">
        <v>51</v>
      </c>
      <c r="AB9" s="53">
        <f>IFERROR((VLOOKUP($B9,'Из ГУГЛа'!$B:$Z,AB$1,0)+AD9)*AC9,VLOOKUP($B9,'Из ГУГЛа'!$B:$Z,AB$1,0))</f>
        <v>13340</v>
      </c>
      <c r="AC9" s="53">
        <v>1</v>
      </c>
      <c r="AD9" s="53"/>
      <c r="AE9" s="42">
        <v>13340</v>
      </c>
      <c r="AF9" s="29" t="s">
        <v>162</v>
      </c>
    </row>
    <row r="10" spans="1:33" ht="31.5" thickTop="1" thickBot="1" x14ac:dyDescent="0.3">
      <c r="A10" s="18" t="str">
        <f>INDEX('Выгр Торг'!$A:$A,MATCH($B10,'Выгр Торг'!$B:$B,0))</f>
        <v>Установочный комплект ЭУР для Лада Нива 4х4</v>
      </c>
      <c r="B10" s="17">
        <v>264894</v>
      </c>
      <c r="C10" s="42">
        <f>VLOOKUP($B10,'Выгр Торг'!$B:$Q,C$1,0)</f>
        <v>208708</v>
      </c>
      <c r="D10" s="43" t="str">
        <f>VLOOKUP($B10,'Выгр Торг'!$B:$Q,D$1,0)</f>
        <v>Установочный комплект ЭУР для Лада Нива 4х4 (Карбюратор)</v>
      </c>
      <c r="E10" s="42" t="str">
        <f>VLOOKUP($B10,'Выгр Торг'!$B:$Q,E$1,0)</f>
        <v>Y</v>
      </c>
      <c r="F10" s="42" t="str">
        <f>VLOOKUP($B10,'Выгр Торг'!$B:$Q,F$1,0)</f>
        <v>1</v>
      </c>
      <c r="G10" s="42">
        <f>VLOOKUP($B10,'Выгр Торг'!$B:$Q,G$1,0)</f>
        <v>0</v>
      </c>
      <c r="H10" s="42"/>
      <c r="I10" s="35" t="s">
        <v>15</v>
      </c>
      <c r="J10" s="31">
        <f t="shared" si="1"/>
        <v>9700</v>
      </c>
      <c r="K10" s="1">
        <f>VLOOKUP(J10,Наценка!$A$1:$B$8,2,1)</f>
        <v>1.26</v>
      </c>
      <c r="L10" s="23">
        <f>V10*1.06</f>
        <v>12603.400000000001</v>
      </c>
      <c r="M10" s="50">
        <f t="shared" si="2"/>
        <v>12690</v>
      </c>
      <c r="N10" s="42">
        <f>VLOOKUP($B10,'Выгр Торг'!$B:$Q,N$1,0)</f>
        <v>9700</v>
      </c>
      <c r="O10" s="42">
        <f>VLOOKUP($B10,'Выгр Торг'!$B:$Q,O$1,0)</f>
        <v>12690</v>
      </c>
      <c r="P10" s="21">
        <f t="shared" si="3"/>
        <v>0</v>
      </c>
      <c r="Q10" s="21">
        <f t="shared" si="4"/>
        <v>0</v>
      </c>
      <c r="R10" s="52">
        <f t="shared" si="5"/>
        <v>11801.699999999999</v>
      </c>
      <c r="S10" s="44">
        <f>IFERROR(R10/J10-1,"")</f>
        <v>0.21667010309278334</v>
      </c>
      <c r="T10" s="44">
        <f>IFERROR((V10-R10)/V10,"")</f>
        <v>7.426408746846181E-3</v>
      </c>
      <c r="U10" s="44">
        <f>IFERROR(IF(V10="","",V10/J10-1),"")</f>
        <v>0.22577319587628875</v>
      </c>
      <c r="V10" s="76">
        <f>Z10</f>
        <v>11890</v>
      </c>
      <c r="W10" s="53">
        <f>IFERROR((VLOOKUP($B10,'Из ГУГЛа'!$B:$Z,W$1,0)+Y10)*X10,VLOOKUP($B10,'Из ГУГЛа'!$B:$Z,W$1,0))</f>
        <v>11890</v>
      </c>
      <c r="X10" s="53">
        <v>1</v>
      </c>
      <c r="Y10" s="53"/>
      <c r="Z10" s="45">
        <v>11890</v>
      </c>
      <c r="AA10" s="29" t="s">
        <v>52</v>
      </c>
      <c r="AB10" s="53">
        <f>IFERROR((VLOOKUP($B10,'Из ГУГЛа'!$B:$Z,AB$1,0)+AD10)*AC10,VLOOKUP($B10,'Из ГУГЛа'!$B:$Z,AB$1,0))</f>
        <v>13340</v>
      </c>
      <c r="AC10" s="53">
        <v>1</v>
      </c>
      <c r="AD10" s="53"/>
      <c r="AE10" s="42">
        <v>13340</v>
      </c>
      <c r="AF10" s="29" t="s">
        <v>161</v>
      </c>
    </row>
    <row r="11" spans="1:33" ht="15.75" thickTop="1" x14ac:dyDescent="0.25"/>
    <row r="12" spans="1:33" x14ac:dyDescent="0.25">
      <c r="L12" s="37">
        <f>J12*K12*100/95</f>
        <v>0</v>
      </c>
    </row>
    <row r="13" spans="1:33" x14ac:dyDescent="0.25">
      <c r="L13" s="24">
        <f>V13*1.03</f>
        <v>0</v>
      </c>
    </row>
    <row r="14" spans="1:33" x14ac:dyDescent="0.25">
      <c r="L14" s="25">
        <f>V14*1.05</f>
        <v>0</v>
      </c>
    </row>
    <row r="15" spans="1:33" x14ac:dyDescent="0.25">
      <c r="L15" s="23">
        <f>V15*1.06</f>
        <v>0</v>
      </c>
    </row>
    <row r="16" spans="1:33" x14ac:dyDescent="0.25">
      <c r="L16" s="22">
        <f>V16*1.07</f>
        <v>0</v>
      </c>
    </row>
    <row r="17" spans="12:12" x14ac:dyDescent="0.25">
      <c r="L17" s="26">
        <f>V17*1.1</f>
        <v>0</v>
      </c>
    </row>
  </sheetData>
  <autoFilter ref="A2:AG2" xr:uid="{A7C9037B-4F31-4E40-B5F9-BEEFAF583507}"/>
  <conditionalFormatting sqref="T3:T10">
    <cfRule type="cellIs" dxfId="7" priority="10" operator="lessThan">
      <formula>0</formula>
    </cfRule>
  </conditionalFormatting>
  <conditionalFormatting sqref="U3:U10 S3:S10">
    <cfRule type="cellIs" dxfId="6" priority="9" operator="lessThan">
      <formula>$R$1</formula>
    </cfRule>
  </conditionalFormatting>
  <conditionalFormatting sqref="D3:D10">
    <cfRule type="expression" dxfId="5" priority="4">
      <formula>OR(E3="N",F3="0")</formula>
    </cfRule>
  </conditionalFormatting>
  <conditionalFormatting sqref="B3:B10">
    <cfRule type="expression" dxfId="4" priority="3">
      <formula>AND(ROUNDDOWN($P3,0)=0,ROUNDDOWN($Q3,0)=0)</formula>
    </cfRule>
  </conditionalFormatting>
  <conditionalFormatting sqref="W3:W10">
    <cfRule type="expression" dxfId="3" priority="2">
      <formula>VALUE(W3)&lt;&gt;Z3</formula>
    </cfRule>
  </conditionalFormatting>
  <conditionalFormatting sqref="AB3:AB10">
    <cfRule type="expression" dxfId="2" priority="1">
      <formula>VALUE(AB3)&lt;&gt;AE3</formula>
    </cfRule>
  </conditionalFormatting>
  <hyperlinks>
    <hyperlink ref="Z10" r:id="rId1" display="https://motorring.ru/product/8508-ustanovochnyy-komplekt-elektrousilitelya-rulya-4x4" xr:uid="{99AE729D-AA78-4DAA-9A57-9FF623B232A3}"/>
    <hyperlink ref="Z8" r:id="rId2" display="https://motorring.ru/product/8508" xr:uid="{97EFDA4D-0027-41A9-928B-4A598E7E1C03}"/>
    <hyperlink ref="Z9" r:id="rId3" display="https://motorring.ru/product/8509-ustanovochnyy-komplekt-elektrousilitelya-rulya-bez-eura" xr:uid="{38288593-AC5C-4659-858A-499C38EF721C}"/>
    <hyperlink ref="Z7" r:id="rId4" display="https://motorring.ru/product/8509-ustanovochnyy-komplekt-elektrousilitelya-rulya-bez-eura" xr:uid="{349213DE-B5F4-4F25-96CD-D0250E9A6E4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B5BC-CA85-483A-AF61-BA436916A7EB}">
  <sheetPr codeName="Лист5"/>
  <dimension ref="A2:D11"/>
  <sheetViews>
    <sheetView workbookViewId="0">
      <selection activeCell="C12" sqref="C12"/>
    </sheetView>
  </sheetViews>
  <sheetFormatPr defaultRowHeight="15" x14ac:dyDescent="0.25"/>
  <sheetData>
    <row r="2" spans="1:4" x14ac:dyDescent="0.25">
      <c r="A2" s="12" t="s">
        <v>0</v>
      </c>
      <c r="B2" s="14" t="s">
        <v>20</v>
      </c>
      <c r="C2" s="14" t="s">
        <v>25</v>
      </c>
    </row>
    <row r="3" spans="1:4" x14ac:dyDescent="0.25">
      <c r="A3" s="10">
        <v>208719</v>
      </c>
      <c r="B3" s="5">
        <v>7200</v>
      </c>
      <c r="C3" s="19">
        <v>10490</v>
      </c>
    </row>
    <row r="4" spans="1:4" x14ac:dyDescent="0.25">
      <c r="A4" s="10">
        <v>208722</v>
      </c>
      <c r="B4" s="5">
        <v>7800</v>
      </c>
      <c r="C4" s="19">
        <v>11390</v>
      </c>
    </row>
    <row r="5" spans="1:4" x14ac:dyDescent="0.25">
      <c r="A5" s="10">
        <v>208703</v>
      </c>
      <c r="B5" s="5">
        <v>8000</v>
      </c>
      <c r="C5" s="19">
        <v>10490</v>
      </c>
    </row>
    <row r="6" spans="1:4" x14ac:dyDescent="0.25">
      <c r="A6" s="10">
        <v>208704</v>
      </c>
      <c r="B6" s="5">
        <v>8600</v>
      </c>
      <c r="C6" s="19">
        <v>11390</v>
      </c>
    </row>
    <row r="7" spans="1:4" ht="141" thickBot="1" x14ac:dyDescent="0.3">
      <c r="A7" s="10">
        <v>208716</v>
      </c>
      <c r="B7" s="5">
        <v>8600</v>
      </c>
      <c r="C7" s="19">
        <v>11790</v>
      </c>
      <c r="D7" s="6" t="s">
        <v>51</v>
      </c>
    </row>
    <row r="8" spans="1:4" ht="129" thickTop="1" thickBot="1" x14ac:dyDescent="0.3">
      <c r="A8" s="10">
        <v>208718</v>
      </c>
      <c r="B8" s="5">
        <v>9200</v>
      </c>
      <c r="C8" s="19">
        <v>12690</v>
      </c>
      <c r="D8" s="6" t="s">
        <v>52</v>
      </c>
    </row>
    <row r="9" spans="1:4" ht="141.75" thickTop="1" thickBot="1" x14ac:dyDescent="0.3">
      <c r="A9" s="10">
        <v>208706</v>
      </c>
      <c r="B9" s="5">
        <v>9100</v>
      </c>
      <c r="C9" s="19">
        <v>11790</v>
      </c>
      <c r="D9" s="6" t="s">
        <v>51</v>
      </c>
    </row>
    <row r="10" spans="1:4" ht="129" thickTop="1" thickBot="1" x14ac:dyDescent="0.3">
      <c r="A10" s="10">
        <v>208708</v>
      </c>
      <c r="B10" s="5">
        <v>9700</v>
      </c>
      <c r="C10" s="19">
        <v>12690</v>
      </c>
      <c r="D10" s="6" t="s">
        <v>52</v>
      </c>
    </row>
    <row r="11" spans="1:4" ht="15.75" thickTop="1" x14ac:dyDescent="0.25"/>
  </sheetData>
  <autoFilter ref="A2:C2" xr:uid="{F7F26830-CEC5-495B-86F2-4F65DFAC9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5A0-C0D7-48A2-B2D4-A8EE283B8356}">
  <sheetPr codeName="Лист2"/>
  <dimension ref="A1:F8"/>
  <sheetViews>
    <sheetView workbookViewId="0">
      <selection activeCell="B8" sqref="B8"/>
    </sheetView>
  </sheetViews>
  <sheetFormatPr defaultRowHeight="15" x14ac:dyDescent="0.25"/>
  <sheetData>
    <row r="1" spans="1:6" x14ac:dyDescent="0.25">
      <c r="A1" s="3">
        <v>0.1</v>
      </c>
      <c r="B1" s="3">
        <v>2</v>
      </c>
      <c r="E1" s="3">
        <v>0.1</v>
      </c>
      <c r="F1" s="3">
        <v>2</v>
      </c>
    </row>
    <row r="2" spans="1:6" x14ac:dyDescent="0.25">
      <c r="A2" s="3">
        <v>100</v>
      </c>
      <c r="B2" s="3">
        <v>1.8</v>
      </c>
      <c r="E2" s="3">
        <v>100</v>
      </c>
      <c r="F2" s="3">
        <v>1.8</v>
      </c>
    </row>
    <row r="3" spans="1:6" x14ac:dyDescent="0.25">
      <c r="A3" s="8">
        <v>500</v>
      </c>
      <c r="B3" s="8">
        <v>1.7</v>
      </c>
      <c r="E3" s="4">
        <v>300</v>
      </c>
      <c r="F3" s="4">
        <v>1.6</v>
      </c>
    </row>
    <row r="4" spans="1:6" x14ac:dyDescent="0.25">
      <c r="A4" s="8">
        <v>1000</v>
      </c>
      <c r="B4" s="7">
        <v>1.65</v>
      </c>
      <c r="E4" s="4">
        <v>500</v>
      </c>
      <c r="F4" s="4">
        <v>1.55</v>
      </c>
    </row>
    <row r="5" spans="1:6" x14ac:dyDescent="0.25">
      <c r="A5" s="8">
        <v>2000</v>
      </c>
      <c r="B5" s="7">
        <v>1.45</v>
      </c>
      <c r="E5" s="4">
        <v>1000</v>
      </c>
      <c r="F5" s="4">
        <v>1.5</v>
      </c>
    </row>
    <row r="6" spans="1:6" x14ac:dyDescent="0.25">
      <c r="A6" s="8">
        <v>5000</v>
      </c>
      <c r="B6" s="8">
        <v>1.6</v>
      </c>
      <c r="E6" s="4">
        <v>2000</v>
      </c>
      <c r="F6" s="4">
        <v>1.4</v>
      </c>
    </row>
    <row r="7" spans="1:6" x14ac:dyDescent="0.25">
      <c r="A7" s="8">
        <v>8000</v>
      </c>
      <c r="B7" s="7">
        <v>1.26</v>
      </c>
      <c r="E7" s="4">
        <v>5000</v>
      </c>
      <c r="F7" s="4">
        <v>1.35</v>
      </c>
    </row>
    <row r="8" spans="1:6" x14ac:dyDescent="0.25">
      <c r="A8" s="4">
        <v>10000</v>
      </c>
      <c r="B8" s="4">
        <v>1.3</v>
      </c>
      <c r="E8" s="4">
        <v>10000</v>
      </c>
      <c r="F8" s="4">
        <v>1.3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A1C21-6C8E-4033-B583-1395866525AC}">
  <sheetPr codeName="Лист3"/>
  <dimension ref="A1:O36"/>
  <sheetViews>
    <sheetView showGridLines="0" workbookViewId="0">
      <pane ySplit="1" topLeftCell="A35" activePane="bottomLeft" state="frozen"/>
      <selection pane="bottomLeft" activeCell="O35" sqref="O35"/>
    </sheetView>
  </sheetViews>
  <sheetFormatPr defaultRowHeight="15" x14ac:dyDescent="0.25"/>
  <cols>
    <col min="1" max="1" width="7" bestFit="1" customWidth="1"/>
    <col min="2" max="2" width="7" customWidth="1"/>
    <col min="3" max="3" width="36.5703125" customWidth="1"/>
    <col min="4" max="4" width="9.85546875" customWidth="1"/>
    <col min="5" max="5" width="36.5703125" customWidth="1"/>
    <col min="6" max="6" width="17.85546875" customWidth="1"/>
    <col min="7" max="7" width="9.85546875" customWidth="1"/>
    <col min="8" max="8" width="14.7109375" customWidth="1"/>
    <col min="9" max="9" width="14" customWidth="1"/>
    <col min="10" max="10" width="27" customWidth="1"/>
    <col min="11" max="11" width="12.28515625" customWidth="1"/>
    <col min="13" max="13" width="10.5703125" customWidth="1"/>
  </cols>
  <sheetData>
    <row r="1" spans="1:15" ht="30" x14ac:dyDescent="0.25">
      <c r="A1" s="67" t="s">
        <v>0</v>
      </c>
      <c r="B1" s="67" t="s">
        <v>117</v>
      </c>
      <c r="C1" s="67" t="s">
        <v>109</v>
      </c>
      <c r="D1" s="67" t="s">
        <v>118</v>
      </c>
      <c r="E1" s="67" t="s">
        <v>119</v>
      </c>
      <c r="F1" s="67" t="s">
        <v>120</v>
      </c>
      <c r="G1" s="67" t="s">
        <v>18</v>
      </c>
      <c r="H1" s="67" t="s">
        <v>20</v>
      </c>
      <c r="I1" s="67" t="s">
        <v>25</v>
      </c>
      <c r="J1" s="67" t="s">
        <v>121</v>
      </c>
      <c r="K1" s="67" t="s">
        <v>122</v>
      </c>
      <c r="L1" s="67" t="s">
        <v>123</v>
      </c>
      <c r="M1" s="67" t="s">
        <v>124</v>
      </c>
      <c r="N1" s="2" t="s">
        <v>116</v>
      </c>
      <c r="O1" s="2"/>
    </row>
    <row r="2" spans="1:15" ht="45" x14ac:dyDescent="0.25">
      <c r="A2" s="68">
        <v>202544</v>
      </c>
      <c r="B2" s="68">
        <v>15521</v>
      </c>
      <c r="C2" s="69" t="s">
        <v>145</v>
      </c>
      <c r="D2" s="69" t="s">
        <v>125</v>
      </c>
      <c r="E2" s="69"/>
      <c r="F2" s="69"/>
      <c r="G2" s="69" t="s">
        <v>15</v>
      </c>
      <c r="H2" s="70">
        <v>950</v>
      </c>
      <c r="I2" s="70">
        <v>2190</v>
      </c>
      <c r="J2" s="69"/>
      <c r="K2" s="69" t="s">
        <v>3</v>
      </c>
      <c r="L2" s="69"/>
      <c r="M2" s="69"/>
      <c r="N2" s="2" t="str">
        <f>_xlfn.CONCAT(K2,IF(L2&lt;&gt;"",_xlfn.CONCAT("ск",L2),""))</f>
        <v>1</v>
      </c>
      <c r="O2" s="2" t="str">
        <f>INDEX(Кат!$H:$H,MATCH($A2,Кат!$A:$A,0))</f>
        <v>саша эур</v>
      </c>
    </row>
    <row r="3" spans="1:15" ht="30" x14ac:dyDescent="0.25">
      <c r="A3" s="68">
        <v>243567</v>
      </c>
      <c r="B3" s="68">
        <v>169950</v>
      </c>
      <c r="C3" s="69" t="s">
        <v>108</v>
      </c>
      <c r="D3" s="69" t="s">
        <v>110</v>
      </c>
      <c r="E3" s="69" t="s">
        <v>31</v>
      </c>
      <c r="F3" s="69"/>
      <c r="G3" s="69" t="s">
        <v>15</v>
      </c>
      <c r="H3" s="70">
        <v>2000</v>
      </c>
      <c r="I3" s="70">
        <v>2890</v>
      </c>
      <c r="J3" s="69"/>
      <c r="K3" s="69" t="s">
        <v>3</v>
      </c>
      <c r="L3" s="69"/>
      <c r="M3" s="69"/>
      <c r="N3" s="2" t="str">
        <f t="shared" ref="N3:N36" si="0">_xlfn.CONCAT(K3,IF(L3&lt;&gt;"",_xlfn.CONCAT("ск",L3),""))</f>
        <v>1</v>
      </c>
      <c r="O3" s="2" t="str">
        <f>INDEX(Кат!$H:$H,MATCH($A3,Кат!$A:$A,0))</f>
        <v>саша эур</v>
      </c>
    </row>
    <row r="4" spans="1:15" ht="45" x14ac:dyDescent="0.25">
      <c r="A4" s="68">
        <v>141978</v>
      </c>
      <c r="B4" s="68">
        <v>875</v>
      </c>
      <c r="C4" s="69" t="s">
        <v>50</v>
      </c>
      <c r="D4" s="69" t="s">
        <v>110</v>
      </c>
      <c r="E4" s="69"/>
      <c r="F4" s="69"/>
      <c r="G4" s="69" t="s">
        <v>15</v>
      </c>
      <c r="H4" s="70">
        <v>650</v>
      </c>
      <c r="I4" s="70">
        <v>1190</v>
      </c>
      <c r="J4" s="69"/>
      <c r="K4" s="69" t="s">
        <v>3</v>
      </c>
      <c r="L4" s="69" t="s">
        <v>27</v>
      </c>
      <c r="M4" s="69"/>
      <c r="N4" s="2" t="str">
        <f t="shared" si="0"/>
        <v>1ск6</v>
      </c>
      <c r="O4" s="2" t="str">
        <f>INDEX(Кат!$H:$H,MATCH($A4,Кат!$A:$A,0))</f>
        <v>саша эур</v>
      </c>
    </row>
    <row r="5" spans="1:15" ht="30" x14ac:dyDescent="0.25">
      <c r="A5" s="68">
        <v>158546</v>
      </c>
      <c r="B5" s="68">
        <v>10515</v>
      </c>
      <c r="C5" s="69" t="s">
        <v>1</v>
      </c>
      <c r="D5" s="69" t="s">
        <v>125</v>
      </c>
      <c r="E5" s="69"/>
      <c r="F5" s="69"/>
      <c r="G5" s="69" t="s">
        <v>15</v>
      </c>
      <c r="H5" s="70">
        <v>5150</v>
      </c>
      <c r="I5" s="70">
        <v>8290</v>
      </c>
      <c r="J5" s="69"/>
      <c r="K5" s="69" t="s">
        <v>111</v>
      </c>
      <c r="L5" s="69"/>
      <c r="M5" s="69"/>
      <c r="N5" s="2" t="str">
        <f t="shared" si="0"/>
        <v>0</v>
      </c>
      <c r="O5" s="2" t="str">
        <f>INDEX(Кат!$H:$H,MATCH($A5,Кат!$A:$A,0))</f>
        <v>саша эур</v>
      </c>
    </row>
    <row r="6" spans="1:15" ht="30" x14ac:dyDescent="0.25">
      <c r="A6" s="68">
        <v>158547</v>
      </c>
      <c r="B6" s="68">
        <v>878</v>
      </c>
      <c r="C6" s="69" t="s">
        <v>28</v>
      </c>
      <c r="D6" s="69" t="s">
        <v>125</v>
      </c>
      <c r="E6" s="69"/>
      <c r="F6" s="69"/>
      <c r="G6" s="69" t="s">
        <v>15</v>
      </c>
      <c r="H6" s="70">
        <v>3800</v>
      </c>
      <c r="I6" s="70">
        <v>5590</v>
      </c>
      <c r="J6" s="69"/>
      <c r="K6" s="69" t="s">
        <v>111</v>
      </c>
      <c r="L6" s="69"/>
      <c r="M6" s="69"/>
      <c r="N6" s="2" t="str">
        <f t="shared" si="0"/>
        <v>0</v>
      </c>
      <c r="O6" s="2" t="str">
        <f>INDEX(Кат!$H:$H,MATCH($A6,Кат!$A:$A,0))</f>
        <v>саша эур</v>
      </c>
    </row>
    <row r="7" spans="1:15" ht="30" x14ac:dyDescent="0.25">
      <c r="A7" s="68">
        <v>158548</v>
      </c>
      <c r="B7" s="68">
        <v>13784</v>
      </c>
      <c r="C7" s="69" t="s">
        <v>2</v>
      </c>
      <c r="D7" s="69" t="s">
        <v>125</v>
      </c>
      <c r="E7" s="69"/>
      <c r="F7" s="69"/>
      <c r="G7" s="69" t="s">
        <v>15</v>
      </c>
      <c r="H7" s="70">
        <v>5150</v>
      </c>
      <c r="I7" s="70">
        <v>8290</v>
      </c>
      <c r="J7" s="69"/>
      <c r="K7" s="69" t="s">
        <v>111</v>
      </c>
      <c r="L7" s="69"/>
      <c r="M7" s="69"/>
      <c r="N7" s="2" t="str">
        <f t="shared" si="0"/>
        <v>0</v>
      </c>
      <c r="O7" s="2" t="str">
        <f>INDEX(Кат!$H:$H,MATCH($A7,Кат!$A:$A,0))</f>
        <v>саша эур</v>
      </c>
    </row>
    <row r="8" spans="1:15" ht="45" x14ac:dyDescent="0.25">
      <c r="A8" s="68">
        <v>158953</v>
      </c>
      <c r="B8" s="68">
        <v>32469</v>
      </c>
      <c r="C8" s="69" t="s">
        <v>4</v>
      </c>
      <c r="D8" s="69" t="s">
        <v>110</v>
      </c>
      <c r="E8" s="69"/>
      <c r="F8" s="69"/>
      <c r="G8" s="69" t="s">
        <v>15</v>
      </c>
      <c r="H8" s="70">
        <v>5474</v>
      </c>
      <c r="I8" s="70">
        <v>8790</v>
      </c>
      <c r="J8" s="69"/>
      <c r="K8" s="69" t="s">
        <v>3</v>
      </c>
      <c r="L8" s="69"/>
      <c r="M8" s="69"/>
      <c r="N8" s="2" t="str">
        <f t="shared" si="0"/>
        <v>1</v>
      </c>
      <c r="O8" s="2" t="str">
        <f>INDEX(Кат!$H:$H,MATCH($A8,Кат!$A:$A,0))</f>
        <v>саша эур</v>
      </c>
    </row>
    <row r="9" spans="1:15" ht="30" x14ac:dyDescent="0.25">
      <c r="A9" s="68">
        <v>162878</v>
      </c>
      <c r="B9" s="68">
        <v>847</v>
      </c>
      <c r="C9" s="69" t="s">
        <v>126</v>
      </c>
      <c r="D9" s="69" t="s">
        <v>110</v>
      </c>
      <c r="E9" s="69"/>
      <c r="F9" s="69"/>
      <c r="G9" s="69" t="s">
        <v>15</v>
      </c>
      <c r="H9" s="70">
        <v>450</v>
      </c>
      <c r="I9" s="70">
        <v>989</v>
      </c>
      <c r="J9" s="69"/>
      <c r="K9" s="69" t="s">
        <v>3</v>
      </c>
      <c r="L9" s="69" t="s">
        <v>26</v>
      </c>
      <c r="M9" s="69"/>
      <c r="N9" s="2" t="str">
        <f t="shared" si="0"/>
        <v>1ск4</v>
      </c>
      <c r="O9" s="2" t="str">
        <f>INDEX(Кат!$H:$H,MATCH($A9,Кат!$A:$A,0))</f>
        <v>саша эур</v>
      </c>
    </row>
    <row r="10" spans="1:15" ht="30" x14ac:dyDescent="0.25">
      <c r="A10" s="68">
        <v>160628</v>
      </c>
      <c r="B10" s="68">
        <v>24511</v>
      </c>
      <c r="C10" s="69" t="s">
        <v>5</v>
      </c>
      <c r="D10" s="69" t="s">
        <v>110</v>
      </c>
      <c r="E10" s="69"/>
      <c r="F10" s="69"/>
      <c r="G10" s="69" t="s">
        <v>15</v>
      </c>
      <c r="H10" s="70">
        <v>450</v>
      </c>
      <c r="I10" s="70">
        <v>809</v>
      </c>
      <c r="J10" s="69"/>
      <c r="K10" s="69" t="s">
        <v>3</v>
      </c>
      <c r="L10" s="69"/>
      <c r="M10" s="69"/>
      <c r="N10" s="2" t="str">
        <f t="shared" si="0"/>
        <v>1</v>
      </c>
      <c r="O10" s="2" t="str">
        <f>INDEX(Кат!$H:$H,MATCH($A10,Кат!$A:$A,0))</f>
        <v>саша эур</v>
      </c>
    </row>
    <row r="11" spans="1:15" ht="45" x14ac:dyDescent="0.25">
      <c r="A11" s="68">
        <v>160629</v>
      </c>
      <c r="B11" s="68">
        <v>880</v>
      </c>
      <c r="C11" s="69" t="s">
        <v>6</v>
      </c>
      <c r="D11" s="69" t="s">
        <v>110</v>
      </c>
      <c r="E11" s="69"/>
      <c r="F11" s="69"/>
      <c r="G11" s="69" t="s">
        <v>15</v>
      </c>
      <c r="H11" s="70">
        <v>500</v>
      </c>
      <c r="I11" s="70">
        <v>859</v>
      </c>
      <c r="J11" s="69"/>
      <c r="K11" s="69" t="s">
        <v>3</v>
      </c>
      <c r="L11" s="69" t="s">
        <v>26</v>
      </c>
      <c r="M11" s="69"/>
      <c r="N11" s="2" t="str">
        <f t="shared" si="0"/>
        <v>1ск4</v>
      </c>
      <c r="O11" s="2" t="str">
        <f>INDEX(Кат!$H:$H,MATCH($A11,Кат!$A:$A,0))</f>
        <v>саша эур</v>
      </c>
    </row>
    <row r="12" spans="1:15" ht="60" x14ac:dyDescent="0.25">
      <c r="A12" s="68">
        <v>160630</v>
      </c>
      <c r="B12" s="68">
        <v>882</v>
      </c>
      <c r="C12" s="69" t="s">
        <v>17</v>
      </c>
      <c r="D12" s="69" t="s">
        <v>110</v>
      </c>
      <c r="E12" s="69"/>
      <c r="F12" s="69"/>
      <c r="G12" s="69" t="s">
        <v>15</v>
      </c>
      <c r="H12" s="70">
        <v>500</v>
      </c>
      <c r="I12" s="70">
        <v>989</v>
      </c>
      <c r="J12" s="69"/>
      <c r="K12" s="69" t="s">
        <v>3</v>
      </c>
      <c r="L12" s="69" t="s">
        <v>26</v>
      </c>
      <c r="M12" s="69"/>
      <c r="N12" s="2" t="str">
        <f t="shared" si="0"/>
        <v>1ск4</v>
      </c>
      <c r="O12" s="2" t="str">
        <f>INDEX(Кат!$H:$H,MATCH($A12,Кат!$A:$A,0))</f>
        <v>саша эур</v>
      </c>
    </row>
    <row r="13" spans="1:15" ht="45" x14ac:dyDescent="0.25">
      <c r="A13" s="68">
        <v>160631</v>
      </c>
      <c r="B13" s="68">
        <v>883</v>
      </c>
      <c r="C13" s="69" t="s">
        <v>7</v>
      </c>
      <c r="D13" s="69" t="s">
        <v>110</v>
      </c>
      <c r="E13" s="69"/>
      <c r="F13" s="69"/>
      <c r="G13" s="69" t="s">
        <v>15</v>
      </c>
      <c r="H13" s="70">
        <v>300</v>
      </c>
      <c r="I13" s="70">
        <v>989</v>
      </c>
      <c r="J13" s="69"/>
      <c r="K13" s="69" t="s">
        <v>3</v>
      </c>
      <c r="L13" s="69"/>
      <c r="M13" s="69"/>
      <c r="N13" s="2" t="str">
        <f t="shared" si="0"/>
        <v>1</v>
      </c>
      <c r="O13" s="2" t="str">
        <f>INDEX(Кат!$H:$H,MATCH($A13,Кат!$A:$A,0))</f>
        <v>саша эур</v>
      </c>
    </row>
    <row r="14" spans="1:15" x14ac:dyDescent="0.25">
      <c r="A14" s="68">
        <v>162882</v>
      </c>
      <c r="B14" s="68">
        <v>848</v>
      </c>
      <c r="C14" s="69" t="s">
        <v>8</v>
      </c>
      <c r="D14" s="69" t="s">
        <v>110</v>
      </c>
      <c r="E14" s="69"/>
      <c r="F14" s="69"/>
      <c r="G14" s="69" t="s">
        <v>15</v>
      </c>
      <c r="H14" s="70">
        <v>700</v>
      </c>
      <c r="I14" s="70">
        <v>1490</v>
      </c>
      <c r="J14" s="69"/>
      <c r="K14" s="69" t="s">
        <v>3</v>
      </c>
      <c r="L14" s="69" t="s">
        <v>26</v>
      </c>
      <c r="M14" s="69"/>
      <c r="N14" s="2" t="str">
        <f t="shared" si="0"/>
        <v>1ск4</v>
      </c>
      <c r="O14" s="2" t="str">
        <f>INDEX(Кат!$H:$H,MATCH($A14,Кат!$A:$A,0))</f>
        <v>саша эур</v>
      </c>
    </row>
    <row r="15" spans="1:15" ht="30" x14ac:dyDescent="0.25">
      <c r="A15" s="68">
        <v>162884</v>
      </c>
      <c r="B15" s="68">
        <v>850</v>
      </c>
      <c r="C15" s="69" t="s">
        <v>106</v>
      </c>
      <c r="D15" s="69" t="s">
        <v>110</v>
      </c>
      <c r="E15" s="69"/>
      <c r="F15" s="69"/>
      <c r="G15" s="69" t="s">
        <v>15</v>
      </c>
      <c r="H15" s="70">
        <v>700</v>
      </c>
      <c r="I15" s="70">
        <v>1790</v>
      </c>
      <c r="J15" s="69"/>
      <c r="K15" s="69" t="s">
        <v>3</v>
      </c>
      <c r="L15" s="69" t="s">
        <v>26</v>
      </c>
      <c r="M15" s="69"/>
      <c r="N15" s="2" t="str">
        <f t="shared" si="0"/>
        <v>1ск4</v>
      </c>
      <c r="O15" s="2" t="str">
        <f>INDEX(Кат!$H:$H,MATCH($A15,Кат!$A:$A,0))</f>
        <v>саша эур</v>
      </c>
    </row>
    <row r="16" spans="1:15" ht="30" x14ac:dyDescent="0.25">
      <c r="A16" s="68">
        <v>162881</v>
      </c>
      <c r="B16" s="68">
        <v>851</v>
      </c>
      <c r="C16" s="69" t="s">
        <v>107</v>
      </c>
      <c r="D16" s="69" t="s">
        <v>110</v>
      </c>
      <c r="E16" s="69"/>
      <c r="F16" s="69"/>
      <c r="G16" s="69" t="s">
        <v>15</v>
      </c>
      <c r="H16" s="70">
        <v>750</v>
      </c>
      <c r="I16" s="70">
        <v>1790</v>
      </c>
      <c r="J16" s="69"/>
      <c r="K16" s="69" t="s">
        <v>3</v>
      </c>
      <c r="L16" s="69"/>
      <c r="M16" s="69"/>
      <c r="N16" s="2" t="str">
        <f t="shared" si="0"/>
        <v>1</v>
      </c>
      <c r="O16" s="2" t="str">
        <f>INDEX(Кат!$H:$H,MATCH($A16,Кат!$A:$A,0))</f>
        <v>саша эур</v>
      </c>
    </row>
    <row r="17" spans="1:15" ht="30" x14ac:dyDescent="0.25">
      <c r="A17" s="68">
        <v>193602</v>
      </c>
      <c r="B17" s="68">
        <v>885</v>
      </c>
      <c r="C17" s="69" t="s">
        <v>9</v>
      </c>
      <c r="D17" s="69" t="s">
        <v>110</v>
      </c>
      <c r="E17" s="69"/>
      <c r="F17" s="69"/>
      <c r="G17" s="69" t="s">
        <v>15</v>
      </c>
      <c r="H17" s="70">
        <v>500</v>
      </c>
      <c r="I17" s="70">
        <v>859</v>
      </c>
      <c r="J17" s="69"/>
      <c r="K17" s="69" t="s">
        <v>3</v>
      </c>
      <c r="L17" s="69"/>
      <c r="M17" s="69"/>
      <c r="N17" s="2" t="str">
        <f t="shared" si="0"/>
        <v>1</v>
      </c>
      <c r="O17" s="2" t="str">
        <f>INDEX(Кат!$H:$H,MATCH($A17,Кат!$A:$A,0))</f>
        <v>саша эур</v>
      </c>
    </row>
    <row r="18" spans="1:15" ht="45" x14ac:dyDescent="0.25">
      <c r="A18" s="68">
        <v>202542</v>
      </c>
      <c r="B18" s="68">
        <v>15523</v>
      </c>
      <c r="C18" s="69" t="s">
        <v>146</v>
      </c>
      <c r="D18" s="69" t="s">
        <v>110</v>
      </c>
      <c r="E18" s="69"/>
      <c r="F18" s="69"/>
      <c r="G18" s="69" t="s">
        <v>15</v>
      </c>
      <c r="H18" s="70">
        <v>1000</v>
      </c>
      <c r="I18" s="70">
        <v>1790</v>
      </c>
      <c r="J18" s="69"/>
      <c r="K18" s="69" t="s">
        <v>111</v>
      </c>
      <c r="L18" s="69"/>
      <c r="M18" s="69" t="s">
        <v>110</v>
      </c>
      <c r="N18" s="2" t="str">
        <f t="shared" si="0"/>
        <v>0</v>
      </c>
      <c r="O18" s="2" t="str">
        <f>INDEX(Кат!$H:$H,MATCH($A18,Кат!$A:$A,0))</f>
        <v>саша эур</v>
      </c>
    </row>
    <row r="19" spans="1:15" ht="30" x14ac:dyDescent="0.25">
      <c r="A19" s="68">
        <v>225778</v>
      </c>
      <c r="B19" s="68">
        <v>863</v>
      </c>
      <c r="C19" s="69" t="s">
        <v>112</v>
      </c>
      <c r="D19" s="69" t="s">
        <v>110</v>
      </c>
      <c r="E19" s="69"/>
      <c r="F19" s="69"/>
      <c r="G19" s="69" t="s">
        <v>15</v>
      </c>
      <c r="H19" s="70">
        <v>1300</v>
      </c>
      <c r="I19" s="70">
        <v>2190</v>
      </c>
      <c r="J19" s="69"/>
      <c r="K19" s="69" t="s">
        <v>3</v>
      </c>
      <c r="L19" s="69"/>
      <c r="M19" s="69" t="s">
        <v>110</v>
      </c>
      <c r="N19" s="2" t="str">
        <f t="shared" si="0"/>
        <v>1</v>
      </c>
      <c r="O19" s="2" t="str">
        <f>INDEX(Кат!$H:$H,MATCH($A19,Кат!$A:$A,0))</f>
        <v>саша эур</v>
      </c>
    </row>
    <row r="20" spans="1:15" ht="60" x14ac:dyDescent="0.25">
      <c r="A20" s="68">
        <v>225784</v>
      </c>
      <c r="B20" s="68">
        <v>36396</v>
      </c>
      <c r="C20" s="69" t="s">
        <v>127</v>
      </c>
      <c r="D20" s="69" t="s">
        <v>110</v>
      </c>
      <c r="E20" s="69"/>
      <c r="F20" s="69"/>
      <c r="G20" s="69" t="s">
        <v>15</v>
      </c>
      <c r="H20" s="70">
        <v>1300</v>
      </c>
      <c r="I20" s="70">
        <v>2190</v>
      </c>
      <c r="J20" s="69" t="s">
        <v>56</v>
      </c>
      <c r="K20" s="69" t="s">
        <v>3</v>
      </c>
      <c r="L20" s="69"/>
      <c r="M20" s="69"/>
      <c r="N20" s="2" t="str">
        <f t="shared" si="0"/>
        <v>1</v>
      </c>
      <c r="O20" s="2" t="str">
        <f>INDEX(Кат!$H:$H,MATCH($A20,Кат!$A:$A,0))</f>
        <v>саша эур</v>
      </c>
    </row>
    <row r="21" spans="1:15" ht="45" x14ac:dyDescent="0.25">
      <c r="A21" s="68">
        <v>225612</v>
      </c>
      <c r="B21" s="68">
        <v>922</v>
      </c>
      <c r="C21" s="69" t="s">
        <v>147</v>
      </c>
      <c r="D21" s="69" t="s">
        <v>110</v>
      </c>
      <c r="E21" s="69"/>
      <c r="F21" s="69"/>
      <c r="G21" s="69" t="s">
        <v>15</v>
      </c>
      <c r="H21" s="70">
        <v>3000</v>
      </c>
      <c r="I21" s="70">
        <v>6490</v>
      </c>
      <c r="J21" s="69"/>
      <c r="K21" s="69" t="s">
        <v>111</v>
      </c>
      <c r="L21" s="69"/>
      <c r="M21" s="69"/>
      <c r="N21" s="2" t="str">
        <f t="shared" si="0"/>
        <v>0</v>
      </c>
      <c r="O21" s="2" t="str">
        <f>INDEX(Кат!$H:$H,MATCH($A21,Кат!$A:$A,0))</f>
        <v>саша эур</v>
      </c>
    </row>
    <row r="22" spans="1:15" ht="30" x14ac:dyDescent="0.25">
      <c r="A22" s="68">
        <v>202545</v>
      </c>
      <c r="B22" s="68">
        <v>15525</v>
      </c>
      <c r="C22" s="69" t="s">
        <v>113</v>
      </c>
      <c r="D22" s="69" t="s">
        <v>110</v>
      </c>
      <c r="E22" s="69"/>
      <c r="F22" s="69"/>
      <c r="G22" s="69" t="s">
        <v>15</v>
      </c>
      <c r="H22" s="70">
        <v>3000</v>
      </c>
      <c r="I22" s="70">
        <v>4390</v>
      </c>
      <c r="J22" s="69"/>
      <c r="K22" s="69" t="s">
        <v>111</v>
      </c>
      <c r="L22" s="69"/>
      <c r="M22" s="69" t="s">
        <v>110</v>
      </c>
      <c r="N22" s="2" t="str">
        <f t="shared" si="0"/>
        <v>0</v>
      </c>
      <c r="O22" s="2" t="str">
        <f>INDEX(Кат!$H:$H,MATCH($A22,Кат!$A:$A,0))</f>
        <v>саша эур</v>
      </c>
    </row>
    <row r="23" spans="1:15" ht="30" x14ac:dyDescent="0.25">
      <c r="A23" s="68">
        <v>203140</v>
      </c>
      <c r="B23" s="68">
        <v>23496</v>
      </c>
      <c r="C23" s="69" t="s">
        <v>10</v>
      </c>
      <c r="D23" s="69" t="s">
        <v>110</v>
      </c>
      <c r="E23" s="69"/>
      <c r="F23" s="69"/>
      <c r="G23" s="69" t="s">
        <v>15</v>
      </c>
      <c r="H23" s="70">
        <v>9200</v>
      </c>
      <c r="I23" s="70">
        <v>11990</v>
      </c>
      <c r="J23" s="69"/>
      <c r="K23" s="69" t="s">
        <v>3</v>
      </c>
      <c r="L23" s="69" t="s">
        <v>26</v>
      </c>
      <c r="M23" s="69" t="s">
        <v>110</v>
      </c>
      <c r="N23" s="2" t="str">
        <f t="shared" si="0"/>
        <v>1ск4</v>
      </c>
      <c r="O23" s="2" t="str">
        <f>INDEX(Кат!$H:$H,MATCH($A23,Кат!$A:$A,0))</f>
        <v>саша эур</v>
      </c>
    </row>
    <row r="24" spans="1:15" ht="45" x14ac:dyDescent="0.25">
      <c r="A24" s="68">
        <v>211347</v>
      </c>
      <c r="B24" s="68">
        <v>17144</v>
      </c>
      <c r="C24" s="69" t="s">
        <v>11</v>
      </c>
      <c r="D24" s="69" t="s">
        <v>110</v>
      </c>
      <c r="E24" s="69"/>
      <c r="F24" s="69"/>
      <c r="G24" s="69" t="s">
        <v>15</v>
      </c>
      <c r="H24" s="70">
        <v>2500</v>
      </c>
      <c r="I24" s="70">
        <v>3790</v>
      </c>
      <c r="J24" s="69"/>
      <c r="K24" s="69" t="s">
        <v>3</v>
      </c>
      <c r="L24" s="69"/>
      <c r="M24" s="69"/>
      <c r="N24" s="2" t="str">
        <f t="shared" si="0"/>
        <v>1</v>
      </c>
      <c r="O24" s="2" t="str">
        <f>INDEX(Кат!$H:$H,MATCH($A24,Кат!$A:$A,0))</f>
        <v>саша эур</v>
      </c>
    </row>
    <row r="25" spans="1:15" ht="45" x14ac:dyDescent="0.25">
      <c r="A25" s="68">
        <v>211349</v>
      </c>
      <c r="B25" s="68">
        <v>886</v>
      </c>
      <c r="C25" s="69" t="s">
        <v>16</v>
      </c>
      <c r="D25" s="69" t="s">
        <v>110</v>
      </c>
      <c r="E25" s="69"/>
      <c r="F25" s="69"/>
      <c r="G25" s="69" t="s">
        <v>15</v>
      </c>
      <c r="H25" s="70">
        <v>1800</v>
      </c>
      <c r="I25" s="70">
        <v>2490</v>
      </c>
      <c r="J25" s="69"/>
      <c r="K25" s="69" t="s">
        <v>3</v>
      </c>
      <c r="L25" s="69" t="s">
        <v>26</v>
      </c>
      <c r="M25" s="69"/>
      <c r="N25" s="2" t="str">
        <f t="shared" si="0"/>
        <v>1ск4</v>
      </c>
      <c r="O25" s="2" t="str">
        <f>INDEX(Кат!$H:$H,MATCH($A25,Кат!$A:$A,0))</f>
        <v>саша эур</v>
      </c>
    </row>
    <row r="26" spans="1:15" ht="30" x14ac:dyDescent="0.25">
      <c r="A26" s="68">
        <v>211350</v>
      </c>
      <c r="B26" s="68">
        <v>13948</v>
      </c>
      <c r="C26" s="69" t="s">
        <v>12</v>
      </c>
      <c r="D26" s="69" t="s">
        <v>110</v>
      </c>
      <c r="E26" s="69" t="s">
        <v>30</v>
      </c>
      <c r="F26" s="69"/>
      <c r="G26" s="69" t="s">
        <v>15</v>
      </c>
      <c r="H26" s="70">
        <v>2241</v>
      </c>
      <c r="I26" s="70">
        <v>3290</v>
      </c>
      <c r="J26" s="69"/>
      <c r="K26" s="69" t="s">
        <v>3</v>
      </c>
      <c r="L26" s="69"/>
      <c r="M26" s="69"/>
      <c r="N26" s="2" t="str">
        <f t="shared" si="0"/>
        <v>1</v>
      </c>
      <c r="O26" s="2" t="str">
        <f>INDEX(Кат!$H:$H,MATCH($A26,Кат!$A:$A,0))</f>
        <v>саша эур</v>
      </c>
    </row>
    <row r="27" spans="1:15" ht="45" x14ac:dyDescent="0.25">
      <c r="A27" s="68">
        <v>211351</v>
      </c>
      <c r="B27" s="68">
        <v>889</v>
      </c>
      <c r="C27" s="69" t="s">
        <v>13</v>
      </c>
      <c r="D27" s="69" t="s">
        <v>110</v>
      </c>
      <c r="E27" s="69"/>
      <c r="F27" s="69"/>
      <c r="G27" s="69" t="s">
        <v>15</v>
      </c>
      <c r="H27" s="70">
        <v>2500</v>
      </c>
      <c r="I27" s="70">
        <v>3690</v>
      </c>
      <c r="J27" s="69"/>
      <c r="K27" s="69" t="s">
        <v>3</v>
      </c>
      <c r="L27" s="69" t="s">
        <v>26</v>
      </c>
      <c r="M27" s="69"/>
      <c r="N27" s="2" t="str">
        <f t="shared" si="0"/>
        <v>1ск4</v>
      </c>
      <c r="O27" s="2" t="str">
        <f>INDEX(Кат!$H:$H,MATCH($A27,Кат!$A:$A,0))</f>
        <v>саша эур</v>
      </c>
    </row>
    <row r="28" spans="1:15" ht="45" x14ac:dyDescent="0.25">
      <c r="A28" s="68">
        <v>211352</v>
      </c>
      <c r="B28" s="68">
        <v>29671</v>
      </c>
      <c r="C28" s="69" t="s">
        <v>14</v>
      </c>
      <c r="D28" s="69" t="s">
        <v>110</v>
      </c>
      <c r="E28" s="69"/>
      <c r="F28" s="69"/>
      <c r="G28" s="69" t="s">
        <v>15</v>
      </c>
      <c r="H28" s="70">
        <v>1800</v>
      </c>
      <c r="I28" s="70">
        <v>3090</v>
      </c>
      <c r="J28" s="69"/>
      <c r="K28" s="69" t="s">
        <v>3</v>
      </c>
      <c r="L28" s="69"/>
      <c r="M28" s="69"/>
      <c r="N28" s="2" t="str">
        <f t="shared" si="0"/>
        <v>1</v>
      </c>
      <c r="O28" s="2" t="str">
        <f>INDEX(Кат!$H:$H,MATCH($A28,Кат!$A:$A,0))</f>
        <v>саша эур</v>
      </c>
    </row>
    <row r="29" spans="1:15" ht="75" x14ac:dyDescent="0.25">
      <c r="A29" s="68">
        <v>225786</v>
      </c>
      <c r="B29" s="68">
        <v>894</v>
      </c>
      <c r="C29" s="69" t="s">
        <v>148</v>
      </c>
      <c r="D29" s="69" t="s">
        <v>110</v>
      </c>
      <c r="E29" s="69"/>
      <c r="F29" s="69"/>
      <c r="G29" s="69" t="s">
        <v>15</v>
      </c>
      <c r="H29" s="70">
        <v>1600</v>
      </c>
      <c r="I29" s="70">
        <v>3090</v>
      </c>
      <c r="J29" s="69"/>
      <c r="K29" s="69" t="s">
        <v>3</v>
      </c>
      <c r="L29" s="69"/>
      <c r="M29" s="69"/>
      <c r="N29" s="2" t="str">
        <f t="shared" si="0"/>
        <v>1</v>
      </c>
      <c r="O29" s="2" t="str">
        <f>INDEX(Кат!$H:$H,MATCH($A29,Кат!$A:$A,0))</f>
        <v>саша эур</v>
      </c>
    </row>
    <row r="30" spans="1:15" ht="60" x14ac:dyDescent="0.25">
      <c r="A30" s="68">
        <v>225785</v>
      </c>
      <c r="B30" s="68">
        <v>898</v>
      </c>
      <c r="C30" s="69" t="s">
        <v>29</v>
      </c>
      <c r="D30" s="69" t="s">
        <v>110</v>
      </c>
      <c r="E30" s="69"/>
      <c r="F30" s="69"/>
      <c r="G30" s="69" t="s">
        <v>15</v>
      </c>
      <c r="H30" s="70">
        <v>1700</v>
      </c>
      <c r="I30" s="70">
        <v>3090</v>
      </c>
      <c r="J30" s="69"/>
      <c r="K30" s="69" t="s">
        <v>111</v>
      </c>
      <c r="L30" s="69"/>
      <c r="M30" s="69"/>
      <c r="N30" s="2" t="str">
        <f t="shared" si="0"/>
        <v>0</v>
      </c>
      <c r="O30" s="2" t="str">
        <f>INDEX(Кат!$H:$H,MATCH($A30,Кат!$A:$A,0))</f>
        <v>саша эур</v>
      </c>
    </row>
    <row r="31" spans="1:15" ht="60" x14ac:dyDescent="0.25">
      <c r="A31" s="68">
        <v>227090</v>
      </c>
      <c r="B31" s="68">
        <v>869</v>
      </c>
      <c r="C31" s="69" t="s">
        <v>128</v>
      </c>
      <c r="D31" s="69" t="s">
        <v>110</v>
      </c>
      <c r="E31" s="69"/>
      <c r="F31" s="69"/>
      <c r="G31" s="69" t="s">
        <v>15</v>
      </c>
      <c r="H31" s="70">
        <v>42790</v>
      </c>
      <c r="I31" s="70">
        <v>58390</v>
      </c>
      <c r="J31" s="69" t="s">
        <v>73</v>
      </c>
      <c r="K31" s="69" t="s">
        <v>3</v>
      </c>
      <c r="L31" s="69"/>
      <c r="M31" s="69" t="s">
        <v>110</v>
      </c>
      <c r="N31" s="2" t="str">
        <f t="shared" si="0"/>
        <v>1</v>
      </c>
      <c r="O31" s="2" t="str">
        <f>INDEX(Кат!$H:$H,MATCH($A31,Кат!$A:$A,0))</f>
        <v>саша эур</v>
      </c>
    </row>
    <row r="32" spans="1:15" ht="60" x14ac:dyDescent="0.25">
      <c r="A32" s="68">
        <v>227087</v>
      </c>
      <c r="B32" s="68">
        <v>12496</v>
      </c>
      <c r="C32" s="69" t="s">
        <v>129</v>
      </c>
      <c r="D32" s="69" t="s">
        <v>110</v>
      </c>
      <c r="E32" s="69"/>
      <c r="F32" s="69"/>
      <c r="G32" s="69" t="s">
        <v>15</v>
      </c>
      <c r="H32" s="70">
        <v>42790</v>
      </c>
      <c r="I32" s="70">
        <v>57290</v>
      </c>
      <c r="J32" s="69" t="s">
        <v>64</v>
      </c>
      <c r="K32" s="69" t="s">
        <v>3</v>
      </c>
      <c r="L32" s="69"/>
      <c r="M32" s="69" t="s">
        <v>110</v>
      </c>
      <c r="N32" s="2" t="str">
        <f t="shared" si="0"/>
        <v>1</v>
      </c>
      <c r="O32" s="2" t="str">
        <f>INDEX(Кат!$H:$H,MATCH($A32,Кат!$A:$A,0))</f>
        <v>саша эур</v>
      </c>
    </row>
    <row r="33" spans="1:15" ht="60" x14ac:dyDescent="0.25">
      <c r="A33" s="68">
        <v>227089</v>
      </c>
      <c r="B33" s="68">
        <v>12495</v>
      </c>
      <c r="C33" s="69" t="s">
        <v>130</v>
      </c>
      <c r="D33" s="69" t="s">
        <v>110</v>
      </c>
      <c r="E33" s="69"/>
      <c r="F33" s="69"/>
      <c r="G33" s="69" t="s">
        <v>15</v>
      </c>
      <c r="H33" s="70">
        <v>43590</v>
      </c>
      <c r="I33" s="70">
        <v>59390</v>
      </c>
      <c r="J33" s="69" t="s">
        <v>63</v>
      </c>
      <c r="K33" s="69" t="s">
        <v>3</v>
      </c>
      <c r="L33" s="69"/>
      <c r="M33" s="69" t="s">
        <v>110</v>
      </c>
      <c r="N33" s="2" t="str">
        <f t="shared" si="0"/>
        <v>1</v>
      </c>
      <c r="O33" s="2" t="str">
        <f>INDEX(Кат!$H:$H,MATCH($A33,Кат!$A:$A,0))</f>
        <v>саша эур</v>
      </c>
    </row>
    <row r="34" spans="1:15" ht="60" x14ac:dyDescent="0.25">
      <c r="A34" s="68">
        <v>227086</v>
      </c>
      <c r="B34" s="68">
        <v>866</v>
      </c>
      <c r="C34" s="69" t="s">
        <v>131</v>
      </c>
      <c r="D34" s="69" t="s">
        <v>110</v>
      </c>
      <c r="E34" s="69"/>
      <c r="F34" s="69"/>
      <c r="G34" s="69" t="s">
        <v>15</v>
      </c>
      <c r="H34" s="70">
        <v>42790</v>
      </c>
      <c r="I34" s="70">
        <v>57290</v>
      </c>
      <c r="J34" s="69" t="s">
        <v>64</v>
      </c>
      <c r="K34" s="69" t="s">
        <v>3</v>
      </c>
      <c r="L34" s="69"/>
      <c r="M34" s="69" t="s">
        <v>110</v>
      </c>
      <c r="N34" s="2" t="str">
        <f t="shared" si="0"/>
        <v>1</v>
      </c>
      <c r="O34" s="2" t="str">
        <f>INDEX(Кат!$H:$H,MATCH($A34,Кат!$A:$A,0))</f>
        <v>саша эур</v>
      </c>
    </row>
    <row r="35" spans="1:15" ht="60" x14ac:dyDescent="0.25">
      <c r="A35" s="68">
        <v>227088</v>
      </c>
      <c r="B35" s="68">
        <v>867</v>
      </c>
      <c r="C35" s="69" t="s">
        <v>132</v>
      </c>
      <c r="D35" s="69" t="s">
        <v>110</v>
      </c>
      <c r="E35" s="69"/>
      <c r="F35" s="69"/>
      <c r="G35" s="69" t="s">
        <v>15</v>
      </c>
      <c r="H35" s="70">
        <v>43590</v>
      </c>
      <c r="I35" s="70">
        <v>58390</v>
      </c>
      <c r="J35" s="69" t="s">
        <v>62</v>
      </c>
      <c r="K35" s="69" t="s">
        <v>3</v>
      </c>
      <c r="L35" s="69"/>
      <c r="M35" s="69" t="s">
        <v>110</v>
      </c>
      <c r="N35" s="2" t="str">
        <f t="shared" si="0"/>
        <v>1</v>
      </c>
      <c r="O35" s="2" t="str">
        <f>INDEX(Кат!$H:$H,MATCH($A35,Кат!$A:$A,0))</f>
        <v>саша эур</v>
      </c>
    </row>
    <row r="36" spans="1:15" ht="60" x14ac:dyDescent="0.25">
      <c r="A36" s="68">
        <v>227091</v>
      </c>
      <c r="B36" s="68">
        <v>870</v>
      </c>
      <c r="C36" s="69" t="s">
        <v>133</v>
      </c>
      <c r="D36" s="69" t="s">
        <v>110</v>
      </c>
      <c r="E36" s="69"/>
      <c r="F36" s="69"/>
      <c r="G36" s="69" t="s">
        <v>15</v>
      </c>
      <c r="H36" s="70">
        <v>43590</v>
      </c>
      <c r="I36" s="70">
        <v>65890</v>
      </c>
      <c r="J36" s="69" t="s">
        <v>59</v>
      </c>
      <c r="K36" s="69" t="s">
        <v>3</v>
      </c>
      <c r="L36" s="69"/>
      <c r="M36" s="69" t="s">
        <v>110</v>
      </c>
      <c r="N36" s="2" t="str">
        <f t="shared" si="0"/>
        <v>1</v>
      </c>
      <c r="O36" s="2" t="str">
        <f>INDEX(Кат!$H:$H,MATCH($A36,Кат!$A:$A,0))</f>
        <v>саша эур</v>
      </c>
    </row>
  </sheetData>
  <autoFilter ref="A1:O36" xr:uid="{CEEA1C21-6C8E-4033-B583-1395866525AC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E07A1-552B-412C-99A0-B55898D14054}">
  <sheetPr codeName="Лист6">
    <outlinePr summaryBelow="0"/>
  </sheetPr>
  <dimension ref="A1:Q9"/>
  <sheetViews>
    <sheetView showRuler="0" zoomScaleNormal="100" workbookViewId="0">
      <pane ySplit="1" topLeftCell="A2" activePane="bottomLeft" state="frozen"/>
      <selection pane="bottomLeft" activeCell="M4" sqref="M4"/>
    </sheetView>
  </sheetViews>
  <sheetFormatPr defaultRowHeight="15" x14ac:dyDescent="0.25"/>
  <cols>
    <col min="1" max="1" width="22.28515625" style="9" customWidth="1"/>
    <col min="2" max="3" width="7.7109375" style="9" customWidth="1"/>
    <col min="4" max="4" width="22.28515625" style="9" customWidth="1"/>
    <col min="5" max="5" width="11.140625" style="9" customWidth="1"/>
    <col min="6" max="8" width="22.28515625" style="9" customWidth="1"/>
    <col min="9" max="10" width="8.85546875" style="9" customWidth="1"/>
    <col min="11" max="11" width="7.7109375" style="9" customWidth="1"/>
    <col min="12" max="12" width="22.5703125" style="9" customWidth="1"/>
    <col min="13" max="15" width="7.7109375" style="9" customWidth="1"/>
    <col min="16" max="16384" width="9.140625" style="9"/>
  </cols>
  <sheetData>
    <row r="1" spans="1:17" s="11" customFormat="1" ht="30" x14ac:dyDescent="0.25">
      <c r="A1" s="71" t="s">
        <v>134</v>
      </c>
      <c r="B1" s="71" t="s">
        <v>0</v>
      </c>
      <c r="C1" s="71" t="s">
        <v>135</v>
      </c>
      <c r="D1" s="71" t="s">
        <v>109</v>
      </c>
      <c r="E1" s="71" t="s">
        <v>118</v>
      </c>
      <c r="F1" s="71"/>
      <c r="G1" s="71" t="s">
        <v>119</v>
      </c>
      <c r="H1" s="71" t="s">
        <v>120</v>
      </c>
      <c r="I1" s="71" t="s">
        <v>18</v>
      </c>
      <c r="J1" s="71" t="s">
        <v>20</v>
      </c>
      <c r="K1" s="71" t="s">
        <v>25</v>
      </c>
      <c r="L1" s="71" t="s">
        <v>103</v>
      </c>
      <c r="M1" s="71" t="s">
        <v>122</v>
      </c>
      <c r="N1" s="71" t="s">
        <v>136</v>
      </c>
      <c r="O1" s="71" t="s">
        <v>124</v>
      </c>
      <c r="P1" s="2" t="s">
        <v>116</v>
      </c>
      <c r="Q1" s="2"/>
    </row>
    <row r="2" spans="1:17" ht="60" x14ac:dyDescent="0.25">
      <c r="A2" s="73" t="s">
        <v>42</v>
      </c>
      <c r="B2" s="72">
        <v>264887</v>
      </c>
      <c r="C2" s="72">
        <v>208719</v>
      </c>
      <c r="D2" s="73" t="s">
        <v>43</v>
      </c>
      <c r="E2" s="73" t="s">
        <v>110</v>
      </c>
      <c r="F2" s="73"/>
      <c r="G2" s="73"/>
      <c r="H2" s="73"/>
      <c r="I2" s="73" t="s">
        <v>15</v>
      </c>
      <c r="J2" s="74">
        <v>7200</v>
      </c>
      <c r="K2" s="74">
        <v>10490</v>
      </c>
      <c r="L2" s="73"/>
      <c r="M2" s="72">
        <v>1</v>
      </c>
      <c r="N2" s="72"/>
      <c r="O2" s="73"/>
      <c r="P2" s="2" t="str">
        <f>_xlfn.CONCAT(M2,IF(N2&lt;&gt;"",_xlfn.CONCAT("ск",N2),""))</f>
        <v>1</v>
      </c>
      <c r="Q2" s="2" t="str">
        <f>INDEX(Торг!$I:$I,MATCH($B2,Торг!$B:$B,0))</f>
        <v>саша эур</v>
      </c>
    </row>
    <row r="3" spans="1:17" ht="60" x14ac:dyDescent="0.25">
      <c r="A3" s="73" t="s">
        <v>42</v>
      </c>
      <c r="B3" s="72">
        <v>264888</v>
      </c>
      <c r="C3" s="72">
        <v>208722</v>
      </c>
      <c r="D3" s="73" t="s">
        <v>41</v>
      </c>
      <c r="E3" s="73" t="s">
        <v>110</v>
      </c>
      <c r="F3" s="73"/>
      <c r="G3" s="73"/>
      <c r="H3" s="73"/>
      <c r="I3" s="73" t="s">
        <v>15</v>
      </c>
      <c r="J3" s="74">
        <v>7800</v>
      </c>
      <c r="K3" s="74">
        <v>11390</v>
      </c>
      <c r="L3" s="73"/>
      <c r="M3" s="72">
        <v>1</v>
      </c>
      <c r="N3" s="72"/>
      <c r="O3" s="73"/>
      <c r="P3" s="2" t="str">
        <f t="shared" ref="P3:P9" si="0">_xlfn.CONCAT(M3,IF(N3&lt;&gt;"",_xlfn.CONCAT("ск",N3),""))</f>
        <v>1</v>
      </c>
      <c r="Q3" s="2" t="str">
        <f>INDEX(Торг!$I:$I,MATCH($B3,Торг!$B:$B,0))</f>
        <v>саша эур</v>
      </c>
    </row>
    <row r="4" spans="1:17" ht="60" x14ac:dyDescent="0.25">
      <c r="A4" s="73" t="s">
        <v>39</v>
      </c>
      <c r="B4" s="72">
        <v>264889</v>
      </c>
      <c r="C4" s="72">
        <v>208703</v>
      </c>
      <c r="D4" s="73" t="s">
        <v>40</v>
      </c>
      <c r="E4" s="73" t="s">
        <v>110</v>
      </c>
      <c r="F4" s="73"/>
      <c r="G4" s="73"/>
      <c r="H4" s="73"/>
      <c r="I4" s="73" t="s">
        <v>15</v>
      </c>
      <c r="J4" s="74">
        <v>8000</v>
      </c>
      <c r="K4" s="74">
        <v>10490</v>
      </c>
      <c r="L4" s="73"/>
      <c r="M4" s="72">
        <v>1</v>
      </c>
      <c r="N4" s="72"/>
      <c r="O4" s="73"/>
      <c r="P4" s="2" t="str">
        <f t="shared" si="0"/>
        <v>1</v>
      </c>
      <c r="Q4" s="2" t="str">
        <f>INDEX(Торг!$I:$I,MATCH($B4,Торг!$B:$B,0))</f>
        <v>саша эур</v>
      </c>
    </row>
    <row r="5" spans="1:17" ht="60" x14ac:dyDescent="0.25">
      <c r="A5" s="73" t="s">
        <v>39</v>
      </c>
      <c r="B5" s="72">
        <v>264890</v>
      </c>
      <c r="C5" s="72">
        <v>208704</v>
      </c>
      <c r="D5" s="73" t="s">
        <v>38</v>
      </c>
      <c r="E5" s="73" t="s">
        <v>110</v>
      </c>
      <c r="F5" s="73"/>
      <c r="G5" s="73"/>
      <c r="H5" s="73"/>
      <c r="I5" s="73" t="s">
        <v>15</v>
      </c>
      <c r="J5" s="74">
        <v>8600</v>
      </c>
      <c r="K5" s="74">
        <v>11390</v>
      </c>
      <c r="L5" s="73"/>
      <c r="M5" s="72">
        <v>1</v>
      </c>
      <c r="N5" s="72"/>
      <c r="O5" s="73"/>
      <c r="P5" s="2" t="str">
        <f t="shared" si="0"/>
        <v>1</v>
      </c>
      <c r="Q5" s="2" t="str">
        <f>INDEX(Торг!$I:$I,MATCH($B5,Торг!$B:$B,0))</f>
        <v>саша эур</v>
      </c>
    </row>
    <row r="6" spans="1:17" ht="45" x14ac:dyDescent="0.25">
      <c r="A6" s="73" t="s">
        <v>114</v>
      </c>
      <c r="B6" s="72">
        <v>264891</v>
      </c>
      <c r="C6" s="72">
        <v>208716</v>
      </c>
      <c r="D6" s="73" t="s">
        <v>37</v>
      </c>
      <c r="E6" s="73" t="s">
        <v>110</v>
      </c>
      <c r="F6" s="73"/>
      <c r="G6" s="73"/>
      <c r="H6" s="73"/>
      <c r="I6" s="73" t="s">
        <v>15</v>
      </c>
      <c r="J6" s="74">
        <v>8600</v>
      </c>
      <c r="K6" s="74">
        <v>11790</v>
      </c>
      <c r="L6" s="73"/>
      <c r="M6" s="72">
        <v>1</v>
      </c>
      <c r="N6" s="72">
        <v>4</v>
      </c>
      <c r="O6" s="73"/>
      <c r="P6" s="2" t="str">
        <f t="shared" si="0"/>
        <v>1ск4</v>
      </c>
      <c r="Q6" s="2" t="str">
        <f>INDEX(Торг!$I:$I,MATCH($B6,Торг!$B:$B,0))</f>
        <v>саша эур</v>
      </c>
    </row>
    <row r="7" spans="1:17" ht="60" x14ac:dyDescent="0.25">
      <c r="A7" s="73" t="s">
        <v>114</v>
      </c>
      <c r="B7" s="72">
        <v>264892</v>
      </c>
      <c r="C7" s="72">
        <v>208718</v>
      </c>
      <c r="D7" s="73" t="s">
        <v>36</v>
      </c>
      <c r="E7" s="73" t="s">
        <v>110</v>
      </c>
      <c r="F7" s="73"/>
      <c r="G7" s="73"/>
      <c r="H7" s="73"/>
      <c r="I7" s="73" t="s">
        <v>15</v>
      </c>
      <c r="J7" s="74">
        <v>9200</v>
      </c>
      <c r="K7" s="74">
        <v>12690</v>
      </c>
      <c r="L7" s="73"/>
      <c r="M7" s="72">
        <v>1</v>
      </c>
      <c r="N7" s="72"/>
      <c r="O7" s="73"/>
      <c r="P7" s="2" t="str">
        <f t="shared" si="0"/>
        <v>1</v>
      </c>
      <c r="Q7" s="2" t="str">
        <f>INDEX(Торг!$I:$I,MATCH($B7,Торг!$B:$B,0))</f>
        <v>саша эур</v>
      </c>
    </row>
    <row r="8" spans="1:17" ht="60" x14ac:dyDescent="0.25">
      <c r="A8" s="73" t="s">
        <v>115</v>
      </c>
      <c r="B8" s="72">
        <v>264893</v>
      </c>
      <c r="C8" s="72">
        <v>208706</v>
      </c>
      <c r="D8" s="73" t="s">
        <v>35</v>
      </c>
      <c r="E8" s="73" t="s">
        <v>110</v>
      </c>
      <c r="F8" s="73"/>
      <c r="G8" s="73"/>
      <c r="H8" s="73"/>
      <c r="I8" s="73" t="s">
        <v>15</v>
      </c>
      <c r="J8" s="74">
        <v>9100</v>
      </c>
      <c r="K8" s="74">
        <v>11790</v>
      </c>
      <c r="L8" s="73"/>
      <c r="M8" s="72">
        <v>1</v>
      </c>
      <c r="N8" s="72"/>
      <c r="O8" s="73"/>
      <c r="P8" s="2" t="str">
        <f t="shared" si="0"/>
        <v>1</v>
      </c>
      <c r="Q8" s="2" t="str">
        <f>INDEX(Торг!$I:$I,MATCH($B8,Торг!$B:$B,0))</f>
        <v>саша эур</v>
      </c>
    </row>
    <row r="9" spans="1:17" ht="60" x14ac:dyDescent="0.25">
      <c r="A9" s="73" t="s">
        <v>115</v>
      </c>
      <c r="B9" s="72">
        <v>264894</v>
      </c>
      <c r="C9" s="72">
        <v>208708</v>
      </c>
      <c r="D9" s="73" t="s">
        <v>34</v>
      </c>
      <c r="E9" s="73" t="s">
        <v>110</v>
      </c>
      <c r="F9" s="73"/>
      <c r="G9" s="73"/>
      <c r="H9" s="73"/>
      <c r="I9" s="73" t="s">
        <v>15</v>
      </c>
      <c r="J9" s="74">
        <v>9700</v>
      </c>
      <c r="K9" s="74">
        <v>12690</v>
      </c>
      <c r="L9" s="73"/>
      <c r="M9" s="72">
        <v>1</v>
      </c>
      <c r="N9" s="72"/>
      <c r="O9" s="73"/>
      <c r="P9" s="2" t="str">
        <f t="shared" si="0"/>
        <v>1</v>
      </c>
      <c r="Q9" s="2" t="str">
        <f>INDEX(Торг!$I:$I,MATCH($B9,Торг!$B:$B,0))</f>
        <v>саша эур</v>
      </c>
    </row>
  </sheetData>
  <sheetProtection formatCells="0" formatColumns="0" formatRows="0" insertColumns="0" insertRows="0" insertHyperlinks="0" deleteColumns="0" deleteRows="0" sort="0" autoFilter="0" pivotTables="0"/>
  <autoFilter ref="A1:Q9" xr:uid="{B7380EC4-4E6B-485F-A82B-736B6876ECDC}"/>
  <pageMargins left="0.7" right="0.7" top="0.75" bottom="0.75" header="0.3" footer="0.3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33CB2-E936-4D57-A194-4033413971E8}">
  <sheetPr codeName="Лист1">
    <tabColor rgb="FF92D050"/>
  </sheetPr>
  <dimension ref="A1:E47"/>
  <sheetViews>
    <sheetView topLeftCell="A15" workbookViewId="0">
      <selection activeCell="I29" sqref="I29"/>
    </sheetView>
  </sheetViews>
  <sheetFormatPr defaultRowHeight="15" x14ac:dyDescent="0.25"/>
  <cols>
    <col min="1" max="1" width="7" style="29" bestFit="1" customWidth="1"/>
    <col min="2" max="2" width="6.5703125" style="29" customWidth="1"/>
    <col min="3" max="3" width="5.140625" style="29" customWidth="1"/>
    <col min="4" max="5" width="9.140625" style="29"/>
  </cols>
  <sheetData>
    <row r="1" spans="1:5" x14ac:dyDescent="0.25">
      <c r="A1" s="27"/>
      <c r="B1" s="64">
        <v>0</v>
      </c>
      <c r="D1" s="65">
        <v>0</v>
      </c>
      <c r="E1" s="27"/>
    </row>
    <row r="2" spans="1:5" x14ac:dyDescent="0.25">
      <c r="A2" s="35" t="s">
        <v>0</v>
      </c>
      <c r="B2" s="40" t="s">
        <v>49</v>
      </c>
      <c r="C2" s="66" t="s">
        <v>49</v>
      </c>
      <c r="D2" s="40" t="s">
        <v>144</v>
      </c>
      <c r="E2" s="75" t="s">
        <v>144</v>
      </c>
    </row>
    <row r="3" spans="1:5" x14ac:dyDescent="0.25">
      <c r="A3" s="17">
        <v>158953</v>
      </c>
      <c r="B3" s="41"/>
      <c r="D3" s="42"/>
    </row>
    <row r="4" spans="1:5" x14ac:dyDescent="0.25">
      <c r="A4" s="17">
        <v>141978</v>
      </c>
      <c r="B4" s="41"/>
      <c r="D4" s="42"/>
    </row>
    <row r="5" spans="1:5" ht="15.75" thickBot="1" x14ac:dyDescent="0.3">
      <c r="A5" s="17">
        <v>160631</v>
      </c>
      <c r="B5" s="45">
        <v>990</v>
      </c>
      <c r="C5" s="29" t="s">
        <v>54</v>
      </c>
      <c r="D5" s="42">
        <v>475</v>
      </c>
      <c r="E5" s="29" t="s">
        <v>149</v>
      </c>
    </row>
    <row r="6" spans="1:5" ht="15.75" thickTop="1" x14ac:dyDescent="0.25">
      <c r="A6" s="17">
        <v>160628</v>
      </c>
      <c r="B6" s="41"/>
      <c r="D6" s="42"/>
    </row>
    <row r="7" spans="1:5" ht="15.75" thickBot="1" x14ac:dyDescent="0.3">
      <c r="A7" s="17">
        <v>162878</v>
      </c>
      <c r="B7" s="46">
        <v>969</v>
      </c>
      <c r="C7" s="29" t="s">
        <v>76</v>
      </c>
      <c r="D7" s="42">
        <v>700</v>
      </c>
      <c r="E7" s="29" t="s">
        <v>150</v>
      </c>
    </row>
    <row r="8" spans="1:5" ht="16.5" thickTop="1" thickBot="1" x14ac:dyDescent="0.3">
      <c r="A8" s="17">
        <v>193602</v>
      </c>
      <c r="B8" s="45">
        <v>790</v>
      </c>
      <c r="C8" s="29" t="s">
        <v>55</v>
      </c>
      <c r="D8" s="42">
        <v>820</v>
      </c>
      <c r="E8" s="29" t="s">
        <v>151</v>
      </c>
    </row>
    <row r="9" spans="1:5" ht="16.5" thickTop="1" thickBot="1" x14ac:dyDescent="0.3">
      <c r="A9" s="17">
        <v>160629</v>
      </c>
      <c r="B9" s="45">
        <v>790</v>
      </c>
      <c r="C9" s="29" t="s">
        <v>53</v>
      </c>
      <c r="D9" s="42">
        <v>750</v>
      </c>
      <c r="E9" s="29" t="s">
        <v>152</v>
      </c>
    </row>
    <row r="10" spans="1:5" ht="16.5" thickTop="1" thickBot="1" x14ac:dyDescent="0.3">
      <c r="A10" s="17">
        <v>160630</v>
      </c>
      <c r="B10" s="46">
        <v>990</v>
      </c>
      <c r="C10" s="29" t="s">
        <v>77</v>
      </c>
      <c r="D10" s="42"/>
    </row>
    <row r="11" spans="1:5" ht="16.5" thickTop="1" thickBot="1" x14ac:dyDescent="0.3">
      <c r="A11" s="17">
        <v>162882</v>
      </c>
      <c r="B11" s="45">
        <v>1390</v>
      </c>
      <c r="C11" s="29" t="s">
        <v>70</v>
      </c>
      <c r="D11" s="42"/>
    </row>
    <row r="12" spans="1:5" ht="16.5" thickTop="1" thickBot="1" x14ac:dyDescent="0.3">
      <c r="A12" s="17">
        <v>162884</v>
      </c>
      <c r="B12" s="45">
        <v>1690</v>
      </c>
      <c r="C12" s="29" t="s">
        <v>61</v>
      </c>
      <c r="D12" s="42">
        <v>975</v>
      </c>
      <c r="E12" s="29" t="s">
        <v>153</v>
      </c>
    </row>
    <row r="13" spans="1:5" ht="16.5" thickTop="1" thickBot="1" x14ac:dyDescent="0.3">
      <c r="A13" s="17">
        <v>162881</v>
      </c>
      <c r="B13" s="45">
        <v>1690</v>
      </c>
      <c r="C13" s="29" t="s">
        <v>69</v>
      </c>
      <c r="D13" s="42">
        <v>975</v>
      </c>
      <c r="E13" s="29" t="s">
        <v>154</v>
      </c>
    </row>
    <row r="14" spans="1:5" ht="16.5" thickTop="1" thickBot="1" x14ac:dyDescent="0.3">
      <c r="A14" s="17">
        <v>202544</v>
      </c>
      <c r="B14" s="45">
        <v>2090</v>
      </c>
      <c r="C14" s="29" t="s">
        <v>56</v>
      </c>
      <c r="D14" s="42"/>
    </row>
    <row r="15" spans="1:5" ht="16.5" thickTop="1" thickBot="1" x14ac:dyDescent="0.3">
      <c r="A15" s="17">
        <v>225778</v>
      </c>
      <c r="B15" s="45">
        <v>2090</v>
      </c>
      <c r="C15" s="29" t="s">
        <v>56</v>
      </c>
      <c r="D15" s="42">
        <v>1950</v>
      </c>
      <c r="E15" s="29" t="s">
        <v>155</v>
      </c>
    </row>
    <row r="16" spans="1:5" ht="16.5" thickTop="1" thickBot="1" x14ac:dyDescent="0.3">
      <c r="A16" s="17">
        <v>202542</v>
      </c>
      <c r="B16" s="45">
        <v>1690</v>
      </c>
      <c r="C16" s="29" t="s">
        <v>71</v>
      </c>
      <c r="D16" s="42"/>
    </row>
    <row r="17" spans="1:5" ht="16.5" thickTop="1" thickBot="1" x14ac:dyDescent="0.3">
      <c r="A17" s="17">
        <v>225786</v>
      </c>
      <c r="B17" s="45">
        <v>2890</v>
      </c>
      <c r="C17" s="29" t="s">
        <v>68</v>
      </c>
      <c r="D17" s="42"/>
    </row>
    <row r="18" spans="1:5" ht="16.5" thickTop="1" thickBot="1" x14ac:dyDescent="0.3">
      <c r="A18" s="17">
        <v>225785</v>
      </c>
      <c r="B18" s="45">
        <v>2890</v>
      </c>
      <c r="C18" s="29" t="s">
        <v>74</v>
      </c>
      <c r="D18" s="42"/>
    </row>
    <row r="19" spans="1:5" ht="16.5" thickTop="1" thickBot="1" x14ac:dyDescent="0.3">
      <c r="A19" s="17">
        <v>211349</v>
      </c>
      <c r="B19" s="45">
        <v>2190</v>
      </c>
      <c r="C19" s="29" t="s">
        <v>66</v>
      </c>
      <c r="D19" s="42">
        <v>1900</v>
      </c>
      <c r="E19" s="29" t="s">
        <v>156</v>
      </c>
    </row>
    <row r="20" spans="1:5" ht="16.5" thickTop="1" thickBot="1" x14ac:dyDescent="0.3">
      <c r="A20" s="17">
        <v>211352</v>
      </c>
      <c r="B20" s="45">
        <v>2890</v>
      </c>
      <c r="C20" s="29" t="s">
        <v>65</v>
      </c>
      <c r="D20" s="42">
        <v>2750</v>
      </c>
      <c r="E20" s="29" t="s">
        <v>159</v>
      </c>
    </row>
    <row r="21" spans="1:5" ht="16.5" thickTop="1" thickBot="1" x14ac:dyDescent="0.3">
      <c r="A21" s="17">
        <v>202545</v>
      </c>
      <c r="B21" s="45">
        <v>2990</v>
      </c>
      <c r="C21" s="29" t="s">
        <v>72</v>
      </c>
      <c r="D21" s="42"/>
    </row>
    <row r="22" spans="1:5" ht="27" thickTop="1" thickBot="1" x14ac:dyDescent="0.3">
      <c r="A22" s="17">
        <v>243567</v>
      </c>
      <c r="B22" s="45" t="s">
        <v>141</v>
      </c>
      <c r="C22" s="29" t="s">
        <v>75</v>
      </c>
      <c r="D22" s="42"/>
    </row>
    <row r="23" spans="1:5" ht="16.5" thickTop="1" thickBot="1" x14ac:dyDescent="0.3">
      <c r="A23" s="17">
        <v>225612</v>
      </c>
      <c r="B23" s="45">
        <v>5990</v>
      </c>
      <c r="C23" s="29" t="s">
        <v>60</v>
      </c>
      <c r="D23" s="42"/>
    </row>
    <row r="24" spans="1:5" ht="16.5" thickTop="1" thickBot="1" x14ac:dyDescent="0.3">
      <c r="A24" s="17">
        <v>211350</v>
      </c>
      <c r="B24" s="45">
        <v>2190</v>
      </c>
      <c r="C24" s="29" t="s">
        <v>57</v>
      </c>
      <c r="D24" s="42"/>
    </row>
    <row r="25" spans="1:5" ht="16.5" thickTop="1" thickBot="1" x14ac:dyDescent="0.3">
      <c r="A25" s="17">
        <v>211351</v>
      </c>
      <c r="B25" s="45" t="s">
        <v>32</v>
      </c>
      <c r="C25" s="29" t="s">
        <v>58</v>
      </c>
      <c r="D25" s="42">
        <v>2300</v>
      </c>
      <c r="E25" s="29" t="s">
        <v>158</v>
      </c>
    </row>
    <row r="26" spans="1:5" ht="16.5" thickTop="1" thickBot="1" x14ac:dyDescent="0.3">
      <c r="A26" s="17">
        <v>211347</v>
      </c>
      <c r="B26" s="45">
        <v>3490</v>
      </c>
      <c r="C26" s="29" t="s">
        <v>67</v>
      </c>
      <c r="D26" s="42">
        <v>3250</v>
      </c>
      <c r="E26" s="29" t="s">
        <v>157</v>
      </c>
    </row>
    <row r="27" spans="1:5" ht="15.75" thickTop="1" x14ac:dyDescent="0.25">
      <c r="A27" s="17">
        <v>158547</v>
      </c>
      <c r="B27" s="41"/>
      <c r="D27" s="42"/>
    </row>
    <row r="28" spans="1:5" x14ac:dyDescent="0.25">
      <c r="A28" s="17">
        <v>158546</v>
      </c>
      <c r="B28" s="41"/>
      <c r="D28" s="42"/>
    </row>
    <row r="29" spans="1:5" x14ac:dyDescent="0.25">
      <c r="A29" s="17">
        <v>158548</v>
      </c>
      <c r="B29" s="41"/>
      <c r="D29" s="42"/>
    </row>
    <row r="30" spans="1:5" x14ac:dyDescent="0.25">
      <c r="A30" s="17">
        <v>203140</v>
      </c>
      <c r="B30" s="41"/>
      <c r="D30" s="42"/>
    </row>
    <row r="31" spans="1:5" ht="15.75" thickBot="1" x14ac:dyDescent="0.3">
      <c r="A31" s="17">
        <v>227090</v>
      </c>
      <c r="B31" s="45">
        <v>53990</v>
      </c>
      <c r="C31" s="29" t="s">
        <v>73</v>
      </c>
      <c r="D31" s="42"/>
    </row>
    <row r="32" spans="1:5" ht="16.5" thickTop="1" thickBot="1" x14ac:dyDescent="0.3">
      <c r="A32" s="17">
        <v>227086</v>
      </c>
      <c r="B32" s="45">
        <v>52990</v>
      </c>
      <c r="C32" s="29" t="s">
        <v>64</v>
      </c>
      <c r="D32" s="42">
        <v>55000</v>
      </c>
      <c r="E32" s="29" t="s">
        <v>166</v>
      </c>
    </row>
    <row r="33" spans="1:5" ht="16.5" thickTop="1" thickBot="1" x14ac:dyDescent="0.3">
      <c r="A33" s="17">
        <v>227089</v>
      </c>
      <c r="B33" s="45">
        <v>54990</v>
      </c>
      <c r="C33" s="29" t="s">
        <v>63</v>
      </c>
      <c r="D33" s="42">
        <v>55000</v>
      </c>
    </row>
    <row r="34" spans="1:5" ht="16.5" thickTop="1" thickBot="1" x14ac:dyDescent="0.3">
      <c r="A34" s="17">
        <v>227091</v>
      </c>
      <c r="B34" s="45">
        <v>60990</v>
      </c>
      <c r="C34" s="29" t="s">
        <v>59</v>
      </c>
      <c r="D34" s="42">
        <v>55000</v>
      </c>
      <c r="E34" s="29" t="s">
        <v>164</v>
      </c>
    </row>
    <row r="35" spans="1:5" ht="16.5" thickTop="1" thickBot="1" x14ac:dyDescent="0.3">
      <c r="A35" s="17">
        <v>227087</v>
      </c>
      <c r="B35" s="45">
        <v>52990</v>
      </c>
      <c r="C35" s="29" t="s">
        <v>64</v>
      </c>
      <c r="D35" s="42">
        <v>55000</v>
      </c>
      <c r="E35" s="29" t="s">
        <v>165</v>
      </c>
    </row>
    <row r="36" spans="1:5" ht="16.5" thickTop="1" thickBot="1" x14ac:dyDescent="0.3">
      <c r="A36" s="17">
        <v>227088</v>
      </c>
      <c r="B36" s="45">
        <v>53990</v>
      </c>
      <c r="C36" s="29" t="s">
        <v>62</v>
      </c>
      <c r="D36" s="42">
        <v>55000</v>
      </c>
      <c r="E36" s="29" t="s">
        <v>163</v>
      </c>
    </row>
    <row r="37" spans="1:5" ht="16.5" thickTop="1" thickBot="1" x14ac:dyDescent="0.3">
      <c r="A37" s="17">
        <v>225784</v>
      </c>
      <c r="B37" s="45"/>
      <c r="D37" s="42"/>
    </row>
    <row r="38" spans="1:5" ht="15.75" thickTop="1" x14ac:dyDescent="0.25">
      <c r="A38" s="12" t="s">
        <v>0</v>
      </c>
      <c r="B38" s="40" t="s">
        <v>49</v>
      </c>
      <c r="D38" s="40" t="s">
        <v>144</v>
      </c>
      <c r="E38" s="75" t="s">
        <v>144</v>
      </c>
    </row>
    <row r="39" spans="1:5" ht="39" thickBot="1" x14ac:dyDescent="0.3">
      <c r="A39" s="17">
        <v>264887</v>
      </c>
      <c r="B39" s="45" t="s">
        <v>33</v>
      </c>
      <c r="D39" s="42"/>
    </row>
    <row r="40" spans="1:5" ht="39.75" thickTop="1" thickBot="1" x14ac:dyDescent="0.3">
      <c r="A40" s="17">
        <v>264888</v>
      </c>
      <c r="B40" s="45" t="s">
        <v>33</v>
      </c>
      <c r="D40" s="42"/>
    </row>
    <row r="41" spans="1:5" ht="39.75" thickTop="1" thickBot="1" x14ac:dyDescent="0.3">
      <c r="A41" s="17">
        <v>264889</v>
      </c>
      <c r="B41" s="45" t="s">
        <v>33</v>
      </c>
      <c r="D41" s="42"/>
    </row>
    <row r="42" spans="1:5" ht="39.75" thickTop="1" thickBot="1" x14ac:dyDescent="0.3">
      <c r="A42" s="17">
        <v>264890</v>
      </c>
      <c r="B42" s="45" t="s">
        <v>33</v>
      </c>
      <c r="D42" s="42"/>
    </row>
    <row r="43" spans="1:5" ht="16.5" thickTop="1" thickBot="1" x14ac:dyDescent="0.3">
      <c r="A43" s="17">
        <v>264891</v>
      </c>
      <c r="B43" s="45">
        <v>10990</v>
      </c>
      <c r="C43" s="29" t="s">
        <v>51</v>
      </c>
      <c r="D43" s="42">
        <v>13150</v>
      </c>
      <c r="E43" s="29" t="s">
        <v>160</v>
      </c>
    </row>
    <row r="44" spans="1:5" ht="16.5" thickTop="1" thickBot="1" x14ac:dyDescent="0.3">
      <c r="A44" s="17">
        <v>264892</v>
      </c>
      <c r="B44" s="45">
        <v>11890</v>
      </c>
      <c r="C44" s="29" t="s">
        <v>78</v>
      </c>
      <c r="D44" s="42"/>
    </row>
    <row r="45" spans="1:5" ht="16.5" thickTop="1" thickBot="1" x14ac:dyDescent="0.3">
      <c r="A45" s="17">
        <v>264893</v>
      </c>
      <c r="B45" s="45">
        <v>10990</v>
      </c>
      <c r="C45" s="29" t="s">
        <v>51</v>
      </c>
      <c r="D45" s="42">
        <v>13340</v>
      </c>
      <c r="E45" s="29" t="s">
        <v>162</v>
      </c>
    </row>
    <row r="46" spans="1:5" ht="16.5" thickTop="1" thickBot="1" x14ac:dyDescent="0.3">
      <c r="A46" s="17">
        <v>264894</v>
      </c>
      <c r="B46" s="45">
        <v>11890</v>
      </c>
      <c r="C46" s="29" t="s">
        <v>52</v>
      </c>
      <c r="D46" s="42">
        <v>13340</v>
      </c>
      <c r="E46" s="29" t="s">
        <v>161</v>
      </c>
    </row>
    <row r="47" spans="1:5" ht="15.75" thickTop="1" x14ac:dyDescent="0.25"/>
  </sheetData>
  <conditionalFormatting sqref="A3:A37">
    <cfRule type="expression" dxfId="1" priority="2">
      <formula>AND(ROUNDDOWN($P3,0)=0,ROUNDDOWN($O3,0)=0)</formula>
    </cfRule>
  </conditionalFormatting>
  <conditionalFormatting sqref="A39:A46">
    <cfRule type="expression" dxfId="0" priority="1">
      <formula>AND(ROUNDDOWN($P39,0)=0,ROUNDDOWN($Q39,0)=0)</formula>
    </cfRule>
  </conditionalFormatting>
  <hyperlinks>
    <hyperlink ref="B9" r:id="rId1" display="https://motorring.ru/product/18819-kronshteyn-dlya-ustanovki-elektrousilitelya-rulya-vaz" xr:uid="{2768CD6D-AC5F-40E3-B8D9-B1DED948DF3B}"/>
    <hyperlink ref="B5" r:id="rId2" display="https://motorring.ru/product/12739-kronshteyn-dlya-ustanovki-elektrousilitelya-rulya-eur-lada" xr:uid="{73BC086D-8FA3-49F4-82D4-815C86E02002}"/>
    <hyperlink ref="B8" r:id="rId3" display="https://motorring.ru/product/14798-perehodnik-dlya-podrulevyh-pereklyuchateley" xr:uid="{6FB81349-D62D-46F2-99B0-B0FA8221E77A}"/>
    <hyperlink ref="B15" r:id="rId4" display="https://motorring.ru/product/6848-shesternya-grm-razreznaya-odnoryadnaya-pod-datchik-faz" xr:uid="{63DC97AF-ACC3-47B4-9480-7A449FADA043}"/>
    <hyperlink ref="B24" r:id="rId5" display="https://motorring.ru/product/4687-promeghutochnyy-rulevoy-val-kardanchik-dlya-ustanovki-eur" xr:uid="{C2430D34-112B-4A57-BF15-9BFE3041907E}"/>
    <hyperlink ref="B25" r:id="rId6" display="https://motorring.ru/product/34018-promeghutochnyy-rulevoy-val-ustanovki-eur-vaz-2108-2115" xr:uid="{447097E0-245F-4257-AAC6-834BBDECB448}"/>
    <hyperlink ref="B34" r:id="rId7" display="https://motorring.ru/product/15768-elektrousilitely-rulya-kaluga-priory-komplektom-dlya" xr:uid="{F62BBB0B-74DA-4AEA-95AB-80C565533143}"/>
    <hyperlink ref="B23" r:id="rId8" display="https://motorring.ru/product/7525-shesterni-razreznye-grm-staly-datchikom-faz-16kl-lada" xr:uid="{9CA8769C-EEFA-495D-A1C6-4A1381DC4CA4}"/>
    <hyperlink ref="B12" r:id="rId9" display="https://motorring.ru/product/2308-kulisa-kpp-korotkohodnaya-vaz-2113-2114-2115" xr:uid="{EBF16BAF-5288-44B2-99AA-7434832CD9FA}"/>
    <hyperlink ref="B36" r:id="rId10" display="https://motorring.ru/product/15770-elektrousilitely-rulya-kaluga-priory-komplektom-dlya" xr:uid="{F9BC649B-AB0B-423A-9FA3-02E7C75064A6}"/>
    <hyperlink ref="B33" r:id="rId11" display="https://motorring.ru/product/40426-elektrousilitely-rulya-kaluga-komplektom-pod-01-reductor-2101" xr:uid="{19DCC06C-9EDE-4297-8ED9-EE59C07DE6EC}"/>
    <hyperlink ref="B35" r:id="rId12" display="https://motorring.ru/product/15769-elektrousilitely-rulya-kaluga-priory-komplektom-dlya" xr:uid="{DFE98F24-B6B1-40C0-ACFA-65BB8AF300F3}"/>
    <hyperlink ref="B32" r:id="rId13" display="https://motorring.ru/product/15769-elektrousilitely-rulya-kaluga-priory-komplektom-dlya" xr:uid="{EACC6326-1915-4C0E-B185-7E7A64443332}"/>
    <hyperlink ref="B20" r:id="rId14" display="https://motorring.ru/product/18811-promeghutochnyy-rulevoy-val-kardanchik-pod-reduktor-dlya" xr:uid="{5268E5ED-3BEF-4579-95C1-DC6D5DFE0240}"/>
    <hyperlink ref="B19" r:id="rId15" display="https://motorring.ru/product/18812-promeghutochnyy-rulevoy-val-kardanchik-dlya-ustanovki-eur" xr:uid="{AE629C11-25B2-45D5-AF54-9C49CCF577C6}"/>
    <hyperlink ref="B26" r:id="rId16" display="https://motorring.ru/product/28465-promeghutochnyy-rulevoy-val-kardanchik-dvustoronney" xr:uid="{6FF88197-EB8F-4B8E-BB4F-7DF9CC9D391B}"/>
    <hyperlink ref="B17" r:id="rId17" display="https://motorring.ru/product/5800-shesternya-razreznaya-grm-stalynaya-stupica-vaz-2108-21099" xr:uid="{77B06BEC-7993-467F-A17B-83F30B4778DB}"/>
    <hyperlink ref="B13" r:id="rId18" display="https://motorring.ru/product/2307-kulisa-kpp-korotkohodnaya-vaz-2110-2112-lada-priora" xr:uid="{5D1F4DA6-46E9-4C60-B58C-CA04E5A352C6}"/>
    <hyperlink ref="B11" r:id="rId19" display="https://motorring.ru/product/2310" xr:uid="{B75DFE78-03A8-48AF-B9B3-EEC9D651A16A}"/>
    <hyperlink ref="B16" r:id="rId20" display="https://motorring.ru/product/7532-razreznaya-shesternya-grm-staly-lada-priora-kalina-granta" xr:uid="{E461EA34-A48D-4C38-9965-759D88E8240E}"/>
    <hyperlink ref="B14" r:id="rId21" display="https://motorring.ru/product/6848-shesternya-grm-razreznaya-odnoryadnaya-pod-datchik-faz" xr:uid="{06D2DEFF-496F-4162-918C-802107D9D14A}"/>
    <hyperlink ref="B21" r:id="rId22" display="https://motorring.ru/product/7527-shesterni-razreznye-grm-sport-staly-datchikom-faz-16kl-vaz" xr:uid="{D21B9C1E-4454-4798-8C85-BA7FE4E8530A}"/>
    <hyperlink ref="B31" r:id="rId23" display="https://motorring.ru/product/15767-elektrousilitely-rulya-kaluga-priory-komplektom-dlya" xr:uid="{289C6A10-A07F-426B-B1CF-86F326110B1D}"/>
    <hyperlink ref="B18" r:id="rId24" display="https://motorring.ru/product/7530-shesternya-razreznaya-grm-sport-staly-vaz-2108-21099" xr:uid="{0C331F6B-FDBA-473F-AACE-E6D3F0254285}"/>
    <hyperlink ref="B22" r:id="rId25" display="снят" xr:uid="{2AF6EE54-A7B0-4C70-B9BF-0D84B893F3F9}"/>
    <hyperlink ref="B7" r:id="rId26" display="https://motorring.ru/product/10946-korotkohodnaya-kulisa-dlya-trosikovoy-kpp-lada-kalina" xr:uid="{6D78D3AF-47B3-4C86-BFB1-8C7D1F6A9974}"/>
    <hyperlink ref="B10" r:id="rId27" display="https://motorring.ru/product/4686-kronshteyn-dlya-ustanovki-elektrousilitelya-rulya-vaz" xr:uid="{E14ACBF8-238F-4CEB-9F49-3F782058EDF9}"/>
    <hyperlink ref="B46" r:id="rId28" display="https://motorring.ru/product/8508-ustanovochnyy-komplekt-elektrousilitelya-rulya-4x4" xr:uid="{4B71E123-3CE9-4A31-B5C9-9E2865DEC7A1}"/>
    <hyperlink ref="B44" r:id="rId29" display="https://motorring.ru/product/8508" xr:uid="{1154930F-57E6-45B8-A986-7AE232E7FB66}"/>
    <hyperlink ref="B45" r:id="rId30" display="https://motorring.ru/product/8509-ustanovochnyy-komplekt-elektrousilitelya-rulya-bez-eura" xr:uid="{F53C6507-699A-44E9-87F7-DDC1A394ABB0}"/>
    <hyperlink ref="B43" r:id="rId31" display="https://motorring.ru/product/8509-ustanovochnyy-komplekt-elektrousilitelya-rulya-bez-eura" xr:uid="{3F5BBE12-6FAF-4A43-81D3-DAEF4A7E9809}"/>
  </hyperlinks>
  <pageMargins left="0.7" right="0.7" top="0.75" bottom="0.75" header="0.3" footer="0.3"/>
  <pageSetup paperSize="9" orientation="portrait" r:id="rId32"/>
  <drawing r:id="rId33"/>
  <legacyDrawing r:id="rId34"/>
  <controls>
    <mc:AlternateContent xmlns:mc="http://schemas.openxmlformats.org/markup-compatibility/2006">
      <mc:Choice Requires="x14">
        <control shapeId="1025" r:id="rId35" name="CommandButton1">
          <controlPr defaultSize="0" autoLine="0" r:id="rId36">
            <anchor moveWithCells="1">
              <from>
                <xdr:col>7</xdr:col>
                <xdr:colOff>552450</xdr:colOff>
                <xdr:row>1</xdr:row>
                <xdr:rowOff>28575</xdr:rowOff>
              </from>
              <to>
                <xdr:col>13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1025" r:id="rId3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9F6E-6A05-41E0-9D9D-9D3EA2755066}">
  <sheetPr codeName="Лист7">
    <tabColor rgb="FF92D050"/>
  </sheetPr>
  <dimension ref="A1:T48"/>
  <sheetViews>
    <sheetView topLeftCell="A19" workbookViewId="0">
      <selection activeCell="D31" sqref="D31"/>
    </sheetView>
  </sheetViews>
  <sheetFormatPr defaultRowHeight="15" x14ac:dyDescent="0.25"/>
  <cols>
    <col min="1" max="2" width="11.140625" bestFit="1" customWidth="1"/>
    <col min="3" max="3" width="13.28515625" bestFit="1" customWidth="1"/>
    <col min="4" max="4" width="81.140625" bestFit="1" customWidth="1"/>
    <col min="5" max="5" width="28.28515625" bestFit="1" customWidth="1"/>
    <col min="6" max="6" width="81.140625" bestFit="1" customWidth="1"/>
    <col min="7" max="9" width="11.140625" bestFit="1" customWidth="1"/>
    <col min="10" max="20" width="12.140625" bestFit="1" customWidth="1"/>
  </cols>
  <sheetData>
    <row r="1" spans="1:20" x14ac:dyDescent="0.25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</row>
    <row r="2" spans="1:20" x14ac:dyDescent="0.25">
      <c r="E2" t="s">
        <v>99</v>
      </c>
      <c r="F2" t="s">
        <v>99</v>
      </c>
    </row>
    <row r="3" spans="1:20" x14ac:dyDescent="0.25">
      <c r="A3" t="s">
        <v>138</v>
      </c>
      <c r="B3" t="s">
        <v>139</v>
      </c>
      <c r="C3" t="s">
        <v>140</v>
      </c>
      <c r="D3" t="s">
        <v>100</v>
      </c>
      <c r="E3" t="s">
        <v>101</v>
      </c>
      <c r="F3" t="s">
        <v>102</v>
      </c>
    </row>
    <row r="4" spans="1:20" x14ac:dyDescent="0.25">
      <c r="B4" t="s">
        <v>0</v>
      </c>
      <c r="C4" t="s">
        <v>49</v>
      </c>
      <c r="D4" t="s">
        <v>49</v>
      </c>
      <c r="E4" t="s">
        <v>144</v>
      </c>
      <c r="F4" t="s">
        <v>144</v>
      </c>
      <c r="G4" t="s">
        <v>49</v>
      </c>
      <c r="H4" t="s">
        <v>144</v>
      </c>
    </row>
    <row r="5" spans="1:20" x14ac:dyDescent="0.25">
      <c r="A5" t="s">
        <v>15</v>
      </c>
      <c r="B5">
        <v>158953</v>
      </c>
      <c r="G5" t="s">
        <v>105</v>
      </c>
      <c r="H5" t="s">
        <v>105</v>
      </c>
    </row>
    <row r="6" spans="1:20" x14ac:dyDescent="0.25">
      <c r="A6" t="s">
        <v>15</v>
      </c>
      <c r="B6">
        <v>141978</v>
      </c>
      <c r="G6" t="s">
        <v>105</v>
      </c>
      <c r="H6" t="s">
        <v>105</v>
      </c>
    </row>
    <row r="7" spans="1:20" x14ac:dyDescent="0.25">
      <c r="A7" t="s">
        <v>15</v>
      </c>
      <c r="B7">
        <v>160631</v>
      </c>
      <c r="C7">
        <v>990</v>
      </c>
      <c r="D7" t="s">
        <v>54</v>
      </c>
      <c r="E7">
        <v>475</v>
      </c>
      <c r="F7" t="s">
        <v>149</v>
      </c>
      <c r="G7">
        <v>990</v>
      </c>
      <c r="H7">
        <v>475</v>
      </c>
    </row>
    <row r="8" spans="1:20" x14ac:dyDescent="0.25">
      <c r="A8" t="s">
        <v>15</v>
      </c>
      <c r="B8">
        <v>160628</v>
      </c>
      <c r="G8" t="s">
        <v>105</v>
      </c>
      <c r="H8" t="s">
        <v>105</v>
      </c>
    </row>
    <row r="9" spans="1:20" x14ac:dyDescent="0.25">
      <c r="A9" t="s">
        <v>15</v>
      </c>
      <c r="B9">
        <v>162878</v>
      </c>
      <c r="C9">
        <v>969</v>
      </c>
      <c r="D9" t="s">
        <v>76</v>
      </c>
      <c r="E9">
        <v>700</v>
      </c>
      <c r="F9" t="s">
        <v>150</v>
      </c>
      <c r="G9">
        <v>969</v>
      </c>
      <c r="H9">
        <v>700</v>
      </c>
    </row>
    <row r="10" spans="1:20" x14ac:dyDescent="0.25">
      <c r="A10" t="s">
        <v>15</v>
      </c>
      <c r="B10">
        <v>193602</v>
      </c>
      <c r="C10">
        <v>790</v>
      </c>
      <c r="D10" t="s">
        <v>55</v>
      </c>
      <c r="E10">
        <v>820</v>
      </c>
      <c r="F10" t="s">
        <v>151</v>
      </c>
      <c r="G10">
        <v>790</v>
      </c>
      <c r="H10">
        <v>820</v>
      </c>
    </row>
    <row r="11" spans="1:20" x14ac:dyDescent="0.25">
      <c r="A11" t="s">
        <v>15</v>
      </c>
      <c r="B11">
        <v>160629</v>
      </c>
      <c r="C11">
        <v>790</v>
      </c>
      <c r="D11" t="s">
        <v>53</v>
      </c>
      <c r="E11">
        <v>750</v>
      </c>
      <c r="F11" t="s">
        <v>152</v>
      </c>
      <c r="G11">
        <v>790</v>
      </c>
      <c r="H11">
        <v>750</v>
      </c>
    </row>
    <row r="12" spans="1:20" x14ac:dyDescent="0.25">
      <c r="A12" t="s">
        <v>15</v>
      </c>
      <c r="B12">
        <v>160630</v>
      </c>
      <c r="C12">
        <v>990</v>
      </c>
      <c r="D12" t="s">
        <v>77</v>
      </c>
      <c r="G12">
        <v>990</v>
      </c>
      <c r="H12" t="s">
        <v>105</v>
      </c>
    </row>
    <row r="13" spans="1:20" x14ac:dyDescent="0.25">
      <c r="A13" t="s">
        <v>15</v>
      </c>
      <c r="B13">
        <v>162882</v>
      </c>
      <c r="C13">
        <v>1390</v>
      </c>
      <c r="D13" t="s">
        <v>70</v>
      </c>
      <c r="G13">
        <v>1390</v>
      </c>
      <c r="H13" t="s">
        <v>105</v>
      </c>
    </row>
    <row r="14" spans="1:20" x14ac:dyDescent="0.25">
      <c r="A14" t="s">
        <v>15</v>
      </c>
      <c r="B14">
        <v>162884</v>
      </c>
      <c r="C14">
        <v>1690</v>
      </c>
      <c r="D14" t="s">
        <v>61</v>
      </c>
      <c r="E14">
        <v>975</v>
      </c>
      <c r="F14" t="s">
        <v>153</v>
      </c>
      <c r="G14">
        <v>1690</v>
      </c>
      <c r="H14">
        <v>975</v>
      </c>
    </row>
    <row r="15" spans="1:20" x14ac:dyDescent="0.25">
      <c r="A15" t="s">
        <v>15</v>
      </c>
      <c r="B15">
        <v>162881</v>
      </c>
      <c r="C15">
        <v>1690</v>
      </c>
      <c r="D15" t="s">
        <v>69</v>
      </c>
      <c r="E15">
        <v>975</v>
      </c>
      <c r="F15" t="s">
        <v>154</v>
      </c>
      <c r="G15">
        <v>1690</v>
      </c>
      <c r="H15">
        <v>975</v>
      </c>
    </row>
    <row r="16" spans="1:20" x14ac:dyDescent="0.25">
      <c r="A16" t="s">
        <v>15</v>
      </c>
      <c r="B16">
        <v>202544</v>
      </c>
      <c r="C16">
        <v>2090</v>
      </c>
      <c r="D16" t="s">
        <v>56</v>
      </c>
      <c r="G16">
        <v>2090</v>
      </c>
      <c r="H16" t="s">
        <v>105</v>
      </c>
    </row>
    <row r="17" spans="1:8" x14ac:dyDescent="0.25">
      <c r="A17" t="s">
        <v>15</v>
      </c>
      <c r="B17">
        <v>225778</v>
      </c>
      <c r="C17">
        <v>2090</v>
      </c>
      <c r="D17" t="s">
        <v>56</v>
      </c>
      <c r="E17">
        <v>1950</v>
      </c>
      <c r="F17" t="s">
        <v>155</v>
      </c>
      <c r="G17">
        <v>2090</v>
      </c>
      <c r="H17">
        <v>1950</v>
      </c>
    </row>
    <row r="18" spans="1:8" x14ac:dyDescent="0.25">
      <c r="A18" t="s">
        <v>15</v>
      </c>
      <c r="B18">
        <v>202542</v>
      </c>
      <c r="C18">
        <v>1690</v>
      </c>
      <c r="D18" t="s">
        <v>71</v>
      </c>
      <c r="G18">
        <v>1690</v>
      </c>
      <c r="H18" t="s">
        <v>105</v>
      </c>
    </row>
    <row r="19" spans="1:8" x14ac:dyDescent="0.25">
      <c r="A19" t="s">
        <v>15</v>
      </c>
      <c r="B19">
        <v>225786</v>
      </c>
      <c r="C19">
        <v>2890</v>
      </c>
      <c r="D19" t="s">
        <v>68</v>
      </c>
      <c r="G19">
        <v>2890</v>
      </c>
      <c r="H19" t="s">
        <v>105</v>
      </c>
    </row>
    <row r="20" spans="1:8" x14ac:dyDescent="0.25">
      <c r="A20" t="s">
        <v>15</v>
      </c>
      <c r="B20">
        <v>225785</v>
      </c>
      <c r="C20">
        <v>2890</v>
      </c>
      <c r="D20" t="s">
        <v>74</v>
      </c>
      <c r="G20">
        <v>2890</v>
      </c>
      <c r="H20" t="s">
        <v>105</v>
      </c>
    </row>
    <row r="21" spans="1:8" x14ac:dyDescent="0.25">
      <c r="A21" t="s">
        <v>15</v>
      </c>
      <c r="B21">
        <v>211349</v>
      </c>
      <c r="C21">
        <v>2190</v>
      </c>
      <c r="D21" t="s">
        <v>66</v>
      </c>
      <c r="E21">
        <v>1900</v>
      </c>
      <c r="F21" t="s">
        <v>156</v>
      </c>
      <c r="G21">
        <v>2190</v>
      </c>
      <c r="H21">
        <v>1900</v>
      </c>
    </row>
    <row r="22" spans="1:8" x14ac:dyDescent="0.25">
      <c r="A22" t="s">
        <v>15</v>
      </c>
      <c r="B22">
        <v>211352</v>
      </c>
      <c r="C22">
        <v>2890</v>
      </c>
      <c r="D22" t="s">
        <v>65</v>
      </c>
      <c r="E22">
        <v>2750</v>
      </c>
      <c r="F22" t="s">
        <v>159</v>
      </c>
      <c r="G22">
        <v>2890</v>
      </c>
      <c r="H22">
        <v>2750</v>
      </c>
    </row>
    <row r="23" spans="1:8" x14ac:dyDescent="0.25">
      <c r="A23" t="s">
        <v>15</v>
      </c>
      <c r="B23">
        <v>202545</v>
      </c>
      <c r="C23">
        <v>2990</v>
      </c>
      <c r="D23" t="s">
        <v>72</v>
      </c>
      <c r="G23">
        <v>2990</v>
      </c>
      <c r="H23" t="s">
        <v>105</v>
      </c>
    </row>
    <row r="24" spans="1:8" x14ac:dyDescent="0.25">
      <c r="A24" t="s">
        <v>15</v>
      </c>
      <c r="B24">
        <v>243567</v>
      </c>
      <c r="C24" t="s">
        <v>141</v>
      </c>
      <c r="D24" t="s">
        <v>75</v>
      </c>
      <c r="G24">
        <v>9990</v>
      </c>
      <c r="H24" t="s">
        <v>105</v>
      </c>
    </row>
    <row r="25" spans="1:8" x14ac:dyDescent="0.25">
      <c r="A25" t="s">
        <v>15</v>
      </c>
      <c r="B25">
        <v>225612</v>
      </c>
      <c r="C25">
        <v>5990</v>
      </c>
      <c r="D25" t="s">
        <v>60</v>
      </c>
      <c r="G25">
        <v>5990</v>
      </c>
      <c r="H25" t="s">
        <v>105</v>
      </c>
    </row>
    <row r="26" spans="1:8" x14ac:dyDescent="0.25">
      <c r="A26" t="s">
        <v>15</v>
      </c>
      <c r="B26">
        <v>211350</v>
      </c>
      <c r="C26">
        <v>2190</v>
      </c>
      <c r="D26" t="s">
        <v>57</v>
      </c>
      <c r="G26">
        <v>2190</v>
      </c>
      <c r="H26" t="s">
        <v>105</v>
      </c>
    </row>
    <row r="27" spans="1:8" x14ac:dyDescent="0.25">
      <c r="A27" t="s">
        <v>15</v>
      </c>
      <c r="B27">
        <v>211351</v>
      </c>
      <c r="C27" t="s">
        <v>32</v>
      </c>
      <c r="D27" t="s">
        <v>58</v>
      </c>
      <c r="E27">
        <v>2300</v>
      </c>
      <c r="F27" t="s">
        <v>158</v>
      </c>
      <c r="G27" t="s">
        <v>105</v>
      </c>
      <c r="H27">
        <v>2300</v>
      </c>
    </row>
    <row r="28" spans="1:8" x14ac:dyDescent="0.25">
      <c r="A28" t="s">
        <v>15</v>
      </c>
      <c r="B28">
        <v>211347</v>
      </c>
      <c r="C28">
        <v>3490</v>
      </c>
      <c r="D28" t="s">
        <v>67</v>
      </c>
      <c r="E28">
        <v>3250</v>
      </c>
      <c r="F28" t="s">
        <v>157</v>
      </c>
      <c r="G28">
        <v>3490</v>
      </c>
      <c r="H28">
        <v>3250</v>
      </c>
    </row>
    <row r="29" spans="1:8" x14ac:dyDescent="0.25">
      <c r="A29" t="s">
        <v>15</v>
      </c>
      <c r="B29">
        <v>158547</v>
      </c>
      <c r="G29" t="s">
        <v>105</v>
      </c>
      <c r="H29" t="s">
        <v>105</v>
      </c>
    </row>
    <row r="30" spans="1:8" x14ac:dyDescent="0.25">
      <c r="A30" t="s">
        <v>15</v>
      </c>
      <c r="B30">
        <v>158546</v>
      </c>
      <c r="G30" t="s">
        <v>105</v>
      </c>
      <c r="H30" t="s">
        <v>105</v>
      </c>
    </row>
    <row r="31" spans="1:8" x14ac:dyDescent="0.25">
      <c r="A31" t="s">
        <v>15</v>
      </c>
      <c r="B31">
        <v>158548</v>
      </c>
      <c r="G31" t="s">
        <v>105</v>
      </c>
      <c r="H31" t="s">
        <v>105</v>
      </c>
    </row>
    <row r="32" spans="1:8" x14ac:dyDescent="0.25">
      <c r="A32" t="s">
        <v>15</v>
      </c>
      <c r="B32">
        <v>203140</v>
      </c>
      <c r="G32" t="s">
        <v>105</v>
      </c>
      <c r="H32" t="s">
        <v>105</v>
      </c>
    </row>
    <row r="33" spans="1:8" x14ac:dyDescent="0.25">
      <c r="A33" t="s">
        <v>15</v>
      </c>
      <c r="B33">
        <v>227090</v>
      </c>
      <c r="C33">
        <v>53990</v>
      </c>
      <c r="D33" t="s">
        <v>73</v>
      </c>
      <c r="G33">
        <v>53990</v>
      </c>
      <c r="H33" t="s">
        <v>105</v>
      </c>
    </row>
    <row r="34" spans="1:8" x14ac:dyDescent="0.25">
      <c r="A34" t="s">
        <v>15</v>
      </c>
      <c r="B34">
        <v>227086</v>
      </c>
      <c r="C34">
        <v>52990</v>
      </c>
      <c r="D34" t="s">
        <v>64</v>
      </c>
      <c r="E34">
        <v>55000</v>
      </c>
      <c r="F34" t="s">
        <v>166</v>
      </c>
      <c r="G34">
        <v>52990</v>
      </c>
      <c r="H34">
        <v>55000</v>
      </c>
    </row>
    <row r="35" spans="1:8" x14ac:dyDescent="0.25">
      <c r="A35" t="s">
        <v>15</v>
      </c>
      <c r="B35">
        <v>227089</v>
      </c>
      <c r="C35">
        <v>54990</v>
      </c>
      <c r="D35" t="s">
        <v>63</v>
      </c>
      <c r="E35">
        <v>55000</v>
      </c>
      <c r="G35">
        <v>54990</v>
      </c>
      <c r="H35" t="s">
        <v>105</v>
      </c>
    </row>
    <row r="36" spans="1:8" x14ac:dyDescent="0.25">
      <c r="A36" t="s">
        <v>15</v>
      </c>
      <c r="B36">
        <v>227091</v>
      </c>
      <c r="C36">
        <v>60990</v>
      </c>
      <c r="D36" t="s">
        <v>59</v>
      </c>
      <c r="E36">
        <v>55000</v>
      </c>
      <c r="F36" t="s">
        <v>164</v>
      </c>
      <c r="G36">
        <v>60990</v>
      </c>
      <c r="H36">
        <v>55000</v>
      </c>
    </row>
    <row r="37" spans="1:8" x14ac:dyDescent="0.25">
      <c r="A37" t="s">
        <v>15</v>
      </c>
      <c r="B37">
        <v>227087</v>
      </c>
      <c r="C37">
        <v>52990</v>
      </c>
      <c r="D37" t="s">
        <v>64</v>
      </c>
      <c r="E37">
        <v>55000</v>
      </c>
      <c r="F37" t="s">
        <v>165</v>
      </c>
      <c r="G37">
        <v>52990</v>
      </c>
      <c r="H37">
        <v>55000</v>
      </c>
    </row>
    <row r="38" spans="1:8" x14ac:dyDescent="0.25">
      <c r="A38" t="s">
        <v>15</v>
      </c>
      <c r="B38">
        <v>227088</v>
      </c>
      <c r="C38">
        <v>53990</v>
      </c>
      <c r="D38" t="s">
        <v>62</v>
      </c>
      <c r="E38">
        <v>55000</v>
      </c>
      <c r="F38" t="s">
        <v>163</v>
      </c>
      <c r="G38">
        <v>53990</v>
      </c>
      <c r="H38">
        <v>55000</v>
      </c>
    </row>
    <row r="39" spans="1:8" x14ac:dyDescent="0.25">
      <c r="A39" t="s">
        <v>15</v>
      </c>
      <c r="B39">
        <v>225784</v>
      </c>
      <c r="G39" t="s">
        <v>105</v>
      </c>
      <c r="H39" t="s">
        <v>105</v>
      </c>
    </row>
    <row r="40" spans="1:8" x14ac:dyDescent="0.25">
      <c r="A40" t="s">
        <v>15</v>
      </c>
      <c r="B40" t="s">
        <v>0</v>
      </c>
      <c r="C40" t="s">
        <v>49</v>
      </c>
      <c r="E40" t="s">
        <v>144</v>
      </c>
      <c r="F40" t="s">
        <v>144</v>
      </c>
      <c r="G40" t="s">
        <v>104</v>
      </c>
      <c r="H40" t="s">
        <v>105</v>
      </c>
    </row>
    <row r="41" spans="1:8" x14ac:dyDescent="0.25">
      <c r="A41" t="s">
        <v>15</v>
      </c>
      <c r="B41">
        <v>264887</v>
      </c>
      <c r="C41" t="s">
        <v>33</v>
      </c>
      <c r="G41" t="s">
        <v>105</v>
      </c>
      <c r="H41" t="s">
        <v>105</v>
      </c>
    </row>
    <row r="42" spans="1:8" x14ac:dyDescent="0.25">
      <c r="A42" t="s">
        <v>15</v>
      </c>
      <c r="B42">
        <v>264888</v>
      </c>
      <c r="C42" t="s">
        <v>33</v>
      </c>
      <c r="G42" t="s">
        <v>105</v>
      </c>
      <c r="H42" t="s">
        <v>105</v>
      </c>
    </row>
    <row r="43" spans="1:8" x14ac:dyDescent="0.25">
      <c r="A43" t="s">
        <v>15</v>
      </c>
      <c r="B43">
        <v>264889</v>
      </c>
      <c r="C43" t="s">
        <v>33</v>
      </c>
      <c r="G43" t="s">
        <v>105</v>
      </c>
      <c r="H43" t="s">
        <v>105</v>
      </c>
    </row>
    <row r="44" spans="1:8" x14ac:dyDescent="0.25">
      <c r="A44" t="s">
        <v>15</v>
      </c>
      <c r="B44">
        <v>264890</v>
      </c>
      <c r="C44" t="s">
        <v>33</v>
      </c>
      <c r="G44" t="s">
        <v>105</v>
      </c>
      <c r="H44" t="s">
        <v>105</v>
      </c>
    </row>
    <row r="45" spans="1:8" x14ac:dyDescent="0.25">
      <c r="A45" t="s">
        <v>15</v>
      </c>
      <c r="B45">
        <v>264891</v>
      </c>
      <c r="C45">
        <v>10990</v>
      </c>
      <c r="D45" t="s">
        <v>51</v>
      </c>
      <c r="E45">
        <v>13150</v>
      </c>
      <c r="F45" t="s">
        <v>160</v>
      </c>
      <c r="G45">
        <v>10990</v>
      </c>
      <c r="H45">
        <v>13150</v>
      </c>
    </row>
    <row r="46" spans="1:8" x14ac:dyDescent="0.25">
      <c r="A46" t="s">
        <v>15</v>
      </c>
      <c r="B46">
        <v>264892</v>
      </c>
      <c r="C46">
        <v>11890</v>
      </c>
      <c r="D46" t="s">
        <v>78</v>
      </c>
      <c r="G46">
        <v>11890</v>
      </c>
      <c r="H46" t="s">
        <v>105</v>
      </c>
    </row>
    <row r="47" spans="1:8" x14ac:dyDescent="0.25">
      <c r="A47" t="s">
        <v>15</v>
      </c>
      <c r="B47">
        <v>264893</v>
      </c>
      <c r="C47">
        <v>10990</v>
      </c>
      <c r="D47" t="s">
        <v>51</v>
      </c>
      <c r="E47">
        <v>13340</v>
      </c>
      <c r="F47" t="s">
        <v>162</v>
      </c>
      <c r="G47">
        <v>10990</v>
      </c>
      <c r="H47">
        <v>13340</v>
      </c>
    </row>
    <row r="48" spans="1:8" x14ac:dyDescent="0.25">
      <c r="A48" t="s">
        <v>15</v>
      </c>
      <c r="B48">
        <v>264894</v>
      </c>
      <c r="C48">
        <v>11890</v>
      </c>
      <c r="D48" t="s">
        <v>52</v>
      </c>
      <c r="E48">
        <v>13340</v>
      </c>
      <c r="F48" t="s">
        <v>161</v>
      </c>
      <c r="G48">
        <v>11890</v>
      </c>
      <c r="H48">
        <v>13340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7667E8-9807-4381-8CF7-D52891A4C7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Кат</vt:lpstr>
      <vt:lpstr>Торг</vt:lpstr>
      <vt:lpstr>Импорт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2022-10-11T06:14:44Z</dcterms:created>
  <dcterms:modified xsi:type="dcterms:W3CDTF">2024-07-01T13:30:58Z</dcterms:modified>
</cp:coreProperties>
</file>