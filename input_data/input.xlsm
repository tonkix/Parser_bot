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00000000-0000-0000-0000-000000000000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tonk1x - NextCloud\TT data\Прайс-листы\"/>
    </mc:Choice>
  </mc:AlternateContent>
  <xr:revisionPtr revIDLastSave="0" documentId="13_ncr:1_{C7DF70D1-796B-4E0E-9A9F-EBB731BD5959}" xr6:coauthVersionLast="47" xr6:coauthVersionMax="47" xr10:uidLastSave="{00000000-0000-0000-0000-000000000000}"/>
  <bookViews>
    <workbookView xWindow="28680" yWindow="-120" windowWidth="29040" windowHeight="15990" activeTab="7" xr2:uid="{00000000-000D-0000-FFFF-FFFF00000000}"/>
  </bookViews>
  <sheets>
    <sheet name="Кат" sheetId="1" r:id="rId1"/>
    <sheet name="Торг" sheetId="8" r:id="rId2"/>
    <sheet name="Прайс" sheetId="2" r:id="rId3"/>
    <sheet name="НОВЫЕ" sheetId="6" r:id="rId4"/>
    <sheet name="Наценка" sheetId="3" r:id="rId5"/>
    <sheet name="Выгр Кат" sheetId="4" r:id="rId6"/>
    <sheet name="Выгр Торг" sheetId="7" r:id="rId7"/>
    <sheet name="Ссылки" sheetId="9" r:id="rId8"/>
    <sheet name="Из ГУГЛа" sheetId="10" r:id="rId9"/>
  </sheets>
  <definedNames>
    <definedName name="_xlnm._FilterDatabase" localSheetId="5" hidden="1">'Выгр Кат'!$A$1:$Q$136</definedName>
    <definedName name="_xlnm._FilterDatabase" localSheetId="6" hidden="1">'Выгр Торг'!$B$1:$R$60</definedName>
    <definedName name="_xlnm._FilterDatabase" localSheetId="0" hidden="1">Кат!$A$2:$AP$2</definedName>
    <definedName name="_xlnm._FilterDatabase" localSheetId="2" hidden="1">Прайс!$A$3:$F$3</definedName>
    <definedName name="_xlnm._FilterDatabase" localSheetId="1" hidden="1">Торг!$A$2:$AQ$2</definedName>
    <definedName name="ExternalData_1" localSheetId="8" hidden="1">'Из ГУГЛа'!$A$1:$X$197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G4" i="1" l="1"/>
  <c r="AL4" i="1"/>
  <c r="AG5" i="1"/>
  <c r="AL5" i="1"/>
  <c r="AG6" i="1"/>
  <c r="AL6" i="1"/>
  <c r="AG7" i="1"/>
  <c r="AL7" i="1"/>
  <c r="AG8" i="1"/>
  <c r="AL8" i="1"/>
  <c r="AG9" i="1"/>
  <c r="AL9" i="1"/>
  <c r="AG10" i="1"/>
  <c r="AL10" i="1"/>
  <c r="AG11" i="1"/>
  <c r="AL11" i="1"/>
  <c r="AG12" i="1"/>
  <c r="AL12" i="1"/>
  <c r="AG13" i="1"/>
  <c r="AL13" i="1"/>
  <c r="AG14" i="1"/>
  <c r="AL14" i="1"/>
  <c r="AG15" i="1"/>
  <c r="AL15" i="1"/>
  <c r="AG16" i="1"/>
  <c r="AL16" i="1"/>
  <c r="AG17" i="1"/>
  <c r="AL17" i="1"/>
  <c r="AG18" i="1"/>
  <c r="AL18" i="1"/>
  <c r="AG19" i="1"/>
  <c r="AL19" i="1"/>
  <c r="AG20" i="1"/>
  <c r="AL20" i="1"/>
  <c r="AG21" i="1"/>
  <c r="AL21" i="1"/>
  <c r="AG22" i="1"/>
  <c r="AL22" i="1"/>
  <c r="AG23" i="1"/>
  <c r="AL23" i="1"/>
  <c r="AG24" i="1"/>
  <c r="AL24" i="1"/>
  <c r="AG25" i="1"/>
  <c r="AL25" i="1"/>
  <c r="AG26" i="1"/>
  <c r="AL26" i="1"/>
  <c r="AG27" i="1"/>
  <c r="AL27" i="1"/>
  <c r="AG28" i="1"/>
  <c r="AL28" i="1"/>
  <c r="AG29" i="1"/>
  <c r="AL29" i="1"/>
  <c r="AG30" i="1"/>
  <c r="AL30" i="1"/>
  <c r="AG31" i="1"/>
  <c r="AL31" i="1"/>
  <c r="AG32" i="1"/>
  <c r="AL32" i="1"/>
  <c r="AG33" i="1"/>
  <c r="AL33" i="1"/>
  <c r="AG34" i="1"/>
  <c r="AL34" i="1"/>
  <c r="AG35" i="1"/>
  <c r="AL35" i="1"/>
  <c r="AG36" i="1"/>
  <c r="AL36" i="1"/>
  <c r="AG37" i="1"/>
  <c r="AL37" i="1"/>
  <c r="AG38" i="1"/>
  <c r="AL38" i="1"/>
  <c r="AG39" i="1"/>
  <c r="AL39" i="1"/>
  <c r="AG40" i="1"/>
  <c r="AL40" i="1"/>
  <c r="AG41" i="1"/>
  <c r="AL41" i="1"/>
  <c r="AG42" i="1"/>
  <c r="AL42" i="1"/>
  <c r="AG43" i="1"/>
  <c r="AL43" i="1"/>
  <c r="AG44" i="1"/>
  <c r="AL44" i="1"/>
  <c r="AG45" i="1"/>
  <c r="AL45" i="1"/>
  <c r="AG46" i="1"/>
  <c r="AL46" i="1"/>
  <c r="AG47" i="1"/>
  <c r="AL47" i="1"/>
  <c r="AG48" i="1"/>
  <c r="AL48" i="1"/>
  <c r="AG49" i="1"/>
  <c r="AL49" i="1"/>
  <c r="AG50" i="1"/>
  <c r="AL50" i="1"/>
  <c r="AG51" i="1"/>
  <c r="AL51" i="1"/>
  <c r="AG52" i="1"/>
  <c r="AL52" i="1"/>
  <c r="AG53" i="1"/>
  <c r="AL53" i="1"/>
  <c r="AG54" i="1"/>
  <c r="AL54" i="1"/>
  <c r="AG55" i="1"/>
  <c r="AL55" i="1"/>
  <c r="AG56" i="1"/>
  <c r="AL56" i="1"/>
  <c r="AG57" i="1"/>
  <c r="AL57" i="1"/>
  <c r="AG58" i="1"/>
  <c r="AL58" i="1"/>
  <c r="AG59" i="1"/>
  <c r="AL59" i="1"/>
  <c r="AG60" i="1"/>
  <c r="AL60" i="1"/>
  <c r="AG61" i="1"/>
  <c r="AL61" i="1"/>
  <c r="AG62" i="1"/>
  <c r="AL62" i="1"/>
  <c r="AG63" i="1"/>
  <c r="AL63" i="1"/>
  <c r="AG64" i="1"/>
  <c r="AL64" i="1"/>
  <c r="AG65" i="1"/>
  <c r="AL65" i="1"/>
  <c r="AG66" i="1"/>
  <c r="AL66" i="1"/>
  <c r="AG67" i="1"/>
  <c r="AL67" i="1"/>
  <c r="AG68" i="1"/>
  <c r="AL68" i="1"/>
  <c r="AG69" i="1"/>
  <c r="AL69" i="1"/>
  <c r="AG70" i="1"/>
  <c r="AL70" i="1"/>
  <c r="AG71" i="1"/>
  <c r="AL71" i="1"/>
  <c r="AG72" i="1"/>
  <c r="AL72" i="1"/>
  <c r="AG73" i="1"/>
  <c r="AL73" i="1"/>
  <c r="AG74" i="1"/>
  <c r="AL74" i="1"/>
  <c r="AG75" i="1"/>
  <c r="AL75" i="1"/>
  <c r="AG76" i="1"/>
  <c r="AL76" i="1"/>
  <c r="AG77" i="1"/>
  <c r="AL77" i="1"/>
  <c r="AG78" i="1"/>
  <c r="AL78" i="1"/>
  <c r="AG79" i="1"/>
  <c r="AL79" i="1"/>
  <c r="AG80" i="1"/>
  <c r="AL80" i="1"/>
  <c r="AG81" i="1"/>
  <c r="AL81" i="1"/>
  <c r="AG82" i="1"/>
  <c r="AL82" i="1"/>
  <c r="AG83" i="1"/>
  <c r="AL83" i="1"/>
  <c r="AG84" i="1"/>
  <c r="AL84" i="1"/>
  <c r="AG85" i="1"/>
  <c r="AL85" i="1"/>
  <c r="AG86" i="1"/>
  <c r="AL86" i="1"/>
  <c r="AG87" i="1"/>
  <c r="AL87" i="1"/>
  <c r="AG88" i="1"/>
  <c r="AL88" i="1"/>
  <c r="AG89" i="1"/>
  <c r="AL89" i="1"/>
  <c r="AG90" i="1"/>
  <c r="AL90" i="1"/>
  <c r="AG91" i="1"/>
  <c r="AL91" i="1"/>
  <c r="AG92" i="1"/>
  <c r="AL92" i="1"/>
  <c r="AG93" i="1"/>
  <c r="AL93" i="1"/>
  <c r="AG94" i="1"/>
  <c r="AL94" i="1"/>
  <c r="AG95" i="1"/>
  <c r="AL95" i="1"/>
  <c r="AG96" i="1"/>
  <c r="AL96" i="1"/>
  <c r="AG97" i="1"/>
  <c r="AL97" i="1"/>
  <c r="AG98" i="1"/>
  <c r="AL98" i="1"/>
  <c r="AG99" i="1"/>
  <c r="AL99" i="1"/>
  <c r="AG100" i="1"/>
  <c r="AL100" i="1"/>
  <c r="AG101" i="1"/>
  <c r="AL101" i="1"/>
  <c r="AG102" i="1"/>
  <c r="AL102" i="1"/>
  <c r="AG103" i="1"/>
  <c r="AL103" i="1"/>
  <c r="AG104" i="1"/>
  <c r="AL104" i="1"/>
  <c r="AG105" i="1"/>
  <c r="AL105" i="1"/>
  <c r="AG106" i="1"/>
  <c r="AL106" i="1"/>
  <c r="AG107" i="1"/>
  <c r="AL107" i="1"/>
  <c r="AG108" i="1"/>
  <c r="AL108" i="1"/>
  <c r="AG109" i="1"/>
  <c r="AL109" i="1"/>
  <c r="AG110" i="1"/>
  <c r="AL110" i="1"/>
  <c r="AG111" i="1"/>
  <c r="AL111" i="1"/>
  <c r="AG112" i="1"/>
  <c r="AL112" i="1"/>
  <c r="AG113" i="1"/>
  <c r="AL113" i="1"/>
  <c r="AG114" i="1"/>
  <c r="AL114" i="1"/>
  <c r="AG115" i="1"/>
  <c r="AL115" i="1"/>
  <c r="AG116" i="1"/>
  <c r="AL116" i="1"/>
  <c r="AG117" i="1"/>
  <c r="AL117" i="1"/>
  <c r="AG118" i="1"/>
  <c r="AL118" i="1"/>
  <c r="AG119" i="1"/>
  <c r="AL119" i="1"/>
  <c r="AG120" i="1"/>
  <c r="AL120" i="1"/>
  <c r="AG121" i="1"/>
  <c r="AL121" i="1"/>
  <c r="AG122" i="1"/>
  <c r="AL122" i="1"/>
  <c r="AG123" i="1"/>
  <c r="AL123" i="1"/>
  <c r="AG124" i="1"/>
  <c r="AL124" i="1"/>
  <c r="AG125" i="1"/>
  <c r="AL125" i="1"/>
  <c r="AG126" i="1"/>
  <c r="AL126" i="1"/>
  <c r="AG127" i="1"/>
  <c r="AL127" i="1"/>
  <c r="AG128" i="1"/>
  <c r="AL128" i="1"/>
  <c r="AG129" i="1"/>
  <c r="AL129" i="1"/>
  <c r="AG130" i="1"/>
  <c r="AL130" i="1"/>
  <c r="AG131" i="1"/>
  <c r="AL131" i="1"/>
  <c r="AG132" i="1"/>
  <c r="AL132" i="1"/>
  <c r="AG133" i="1"/>
  <c r="AL133" i="1"/>
  <c r="AG134" i="1"/>
  <c r="AL134" i="1"/>
  <c r="AG135" i="1"/>
  <c r="AL135" i="1"/>
  <c r="AG136" i="1"/>
  <c r="AL136" i="1"/>
  <c r="AG137" i="1"/>
  <c r="AL137" i="1"/>
  <c r="AL3" i="1"/>
  <c r="AG3" i="1"/>
  <c r="AN1" i="1"/>
  <c r="AI1" i="1"/>
  <c r="H1" i="9" a="1"/>
  <c r="H1" i="9" s="1"/>
  <c r="F1" i="9" a="1"/>
  <c r="F1" i="9" s="1"/>
  <c r="B1" i="9" a="1"/>
  <c r="B1" i="9" s="1"/>
  <c r="D1" i="9" a="1"/>
  <c r="D1" i="9" s="1"/>
  <c r="AM61" i="8"/>
  <c r="AM60" i="8"/>
  <c r="AM59" i="8"/>
  <c r="AM58" i="8"/>
  <c r="AM57" i="8"/>
  <c r="AM56" i="8"/>
  <c r="AM55" i="8"/>
  <c r="AM54" i="8"/>
  <c r="AM53" i="8"/>
  <c r="AM52" i="8"/>
  <c r="AM51" i="8"/>
  <c r="AM50" i="8"/>
  <c r="AM49" i="8"/>
  <c r="AM48" i="8"/>
  <c r="AM47" i="8"/>
  <c r="AM46" i="8"/>
  <c r="AM45" i="8"/>
  <c r="AM44" i="8"/>
  <c r="AM43" i="8"/>
  <c r="AM42" i="8"/>
  <c r="AM41" i="8"/>
  <c r="AM40" i="8"/>
  <c r="AM39" i="8"/>
  <c r="AM38" i="8"/>
  <c r="AM37" i="8"/>
  <c r="AM36" i="8"/>
  <c r="AM35" i="8"/>
  <c r="AM34" i="8"/>
  <c r="AM33" i="8"/>
  <c r="AM32" i="8"/>
  <c r="AM31" i="8"/>
  <c r="AM30" i="8"/>
  <c r="AM29" i="8"/>
  <c r="AM28" i="8"/>
  <c r="AM27" i="8"/>
  <c r="AM26" i="8"/>
  <c r="AM25" i="8"/>
  <c r="AM24" i="8"/>
  <c r="AM23" i="8"/>
  <c r="AM22" i="8"/>
  <c r="AM21" i="8"/>
  <c r="AM20" i="8"/>
  <c r="AM19" i="8"/>
  <c r="AM18" i="8"/>
  <c r="AM17" i="8"/>
  <c r="AM16" i="8"/>
  <c r="AM15" i="8"/>
  <c r="AM14" i="8"/>
  <c r="AM13" i="8"/>
  <c r="AM12" i="8"/>
  <c r="AM11" i="8"/>
  <c r="AM10" i="8"/>
  <c r="AM9" i="8"/>
  <c r="AM8" i="8"/>
  <c r="AM7" i="8"/>
  <c r="AM6" i="8"/>
  <c r="AM5" i="8"/>
  <c r="AM4" i="8"/>
  <c r="AM3" i="8"/>
  <c r="AO1" i="8"/>
  <c r="AH61" i="8"/>
  <c r="AH60" i="8"/>
  <c r="AH59" i="8"/>
  <c r="AH58" i="8"/>
  <c r="AH57" i="8"/>
  <c r="AH56" i="8"/>
  <c r="AH55" i="8"/>
  <c r="AH54" i="8"/>
  <c r="AH53" i="8"/>
  <c r="AH52" i="8"/>
  <c r="AH51" i="8"/>
  <c r="AH50" i="8"/>
  <c r="AH49" i="8"/>
  <c r="AH48" i="8"/>
  <c r="AH47" i="8"/>
  <c r="AH46" i="8"/>
  <c r="AH45" i="8"/>
  <c r="AH44" i="8"/>
  <c r="AH43" i="8"/>
  <c r="AH42" i="8"/>
  <c r="AH41" i="8"/>
  <c r="AH40" i="8"/>
  <c r="AH39" i="8"/>
  <c r="AH38" i="8"/>
  <c r="AH37" i="8"/>
  <c r="AH36" i="8"/>
  <c r="AH35" i="8"/>
  <c r="AH34" i="8"/>
  <c r="AH33" i="8"/>
  <c r="AH32" i="8"/>
  <c r="AH31" i="8"/>
  <c r="AH30" i="8"/>
  <c r="AH29" i="8"/>
  <c r="AH28" i="8"/>
  <c r="AH27" i="8"/>
  <c r="AH26" i="8"/>
  <c r="AH25" i="8"/>
  <c r="AH24" i="8"/>
  <c r="AH23" i="8"/>
  <c r="AH22" i="8"/>
  <c r="AH21" i="8"/>
  <c r="AH20" i="8"/>
  <c r="AH19" i="8"/>
  <c r="AH18" i="8"/>
  <c r="AH17" i="8"/>
  <c r="AH16" i="8"/>
  <c r="AH15" i="8"/>
  <c r="AH14" i="8"/>
  <c r="AH13" i="8"/>
  <c r="AH12" i="8"/>
  <c r="AH11" i="8"/>
  <c r="AH10" i="8"/>
  <c r="AH9" i="8"/>
  <c r="AH8" i="8"/>
  <c r="AH7" i="8"/>
  <c r="AH6" i="8"/>
  <c r="AH5" i="8"/>
  <c r="AH4" i="8"/>
  <c r="AH3" i="8"/>
  <c r="AJ1" i="8"/>
  <c r="H138" i="9" a="1"/>
  <c r="H138" i="9" s="1"/>
  <c r="F138" i="9" a="1"/>
  <c r="F138" i="9" s="1"/>
  <c r="B138" i="9" a="1"/>
  <c r="B138" i="9" s="1"/>
  <c r="D138" i="9" a="1"/>
  <c r="D138" i="9" s="1"/>
  <c r="A138" i="9" a="1"/>
  <c r="A138" i="9" s="1"/>
  <c r="A1" i="9" a="1"/>
  <c r="A1" i="9" s="1"/>
  <c r="B21" i="1"/>
  <c r="C21" i="1"/>
  <c r="D21" i="1"/>
  <c r="F21" i="1"/>
  <c r="N21" i="1"/>
  <c r="J21" i="1" s="1"/>
  <c r="K21" i="1" s="1"/>
  <c r="O21" i="1"/>
  <c r="W21" i="1"/>
  <c r="AB21" i="1"/>
  <c r="B22" i="1"/>
  <c r="C22" i="1"/>
  <c r="D22" i="1"/>
  <c r="E22" i="1"/>
  <c r="F22" i="1"/>
  <c r="N22" i="1"/>
  <c r="J22" i="1" s="1"/>
  <c r="K22" i="1" s="1"/>
  <c r="O22" i="1"/>
  <c r="W22" i="1"/>
  <c r="AB22" i="1"/>
  <c r="Q136" i="4"/>
  <c r="P136" i="4"/>
  <c r="Q135" i="4"/>
  <c r="P135" i="4"/>
  <c r="E21" i="1" s="1"/>
  <c r="AD1" i="1"/>
  <c r="V136" i="1"/>
  <c r="L136" i="1" s="1"/>
  <c r="V95" i="1"/>
  <c r="L95" i="1" s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AB4" i="1"/>
  <c r="AB5" i="1"/>
  <c r="AB6" i="1"/>
  <c r="AB7" i="1"/>
  <c r="AB8" i="1"/>
  <c r="AB9" i="1"/>
  <c r="AB10" i="1"/>
  <c r="AB11" i="1"/>
  <c r="AB12" i="1"/>
  <c r="AB13" i="1"/>
  <c r="AB14" i="1"/>
  <c r="AB15" i="1"/>
  <c r="AB16" i="1"/>
  <c r="AB17" i="1"/>
  <c r="AB18" i="1"/>
  <c r="AB19" i="1"/>
  <c r="AB20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3" i="1"/>
  <c r="W3" i="1"/>
  <c r="Y1" i="1"/>
  <c r="L21" i="1" l="1"/>
  <c r="M21" i="1" s="1"/>
  <c r="R21" i="1" s="1"/>
  <c r="S21" i="1" s="1"/>
  <c r="L22" i="1"/>
  <c r="M22" i="1" s="1"/>
  <c r="R22" i="1" s="1"/>
  <c r="S22" i="1" s="1"/>
  <c r="U22" i="1"/>
  <c r="P21" i="1"/>
  <c r="P22" i="1"/>
  <c r="U21" i="1"/>
  <c r="J81" i="1"/>
  <c r="J93" i="1"/>
  <c r="L93" i="1" s="1"/>
  <c r="J105" i="1"/>
  <c r="J115" i="1"/>
  <c r="J117" i="1"/>
  <c r="J129" i="1"/>
  <c r="L129" i="1" s="1"/>
  <c r="B70" i="1"/>
  <c r="C70" i="1"/>
  <c r="D70" i="1"/>
  <c r="F70" i="1"/>
  <c r="N70" i="1"/>
  <c r="J70" i="1" s="1"/>
  <c r="O70" i="1"/>
  <c r="B71" i="1"/>
  <c r="C71" i="1"/>
  <c r="D71" i="1"/>
  <c r="F71" i="1"/>
  <c r="J71" i="1"/>
  <c r="N71" i="1"/>
  <c r="O71" i="1"/>
  <c r="V71" i="1"/>
  <c r="B72" i="1"/>
  <c r="C72" i="1"/>
  <c r="D72" i="1"/>
  <c r="F72" i="1"/>
  <c r="J72" i="1"/>
  <c r="N72" i="1"/>
  <c r="O72" i="1"/>
  <c r="V72" i="1"/>
  <c r="L72" i="1" s="1"/>
  <c r="B73" i="1"/>
  <c r="C73" i="1"/>
  <c r="D73" i="1"/>
  <c r="F73" i="1"/>
  <c r="N73" i="1"/>
  <c r="J73" i="1" s="1"/>
  <c r="O73" i="1"/>
  <c r="V73" i="1"/>
  <c r="L73" i="1" s="1"/>
  <c r="B74" i="1"/>
  <c r="C74" i="1"/>
  <c r="D74" i="1"/>
  <c r="F74" i="1"/>
  <c r="J74" i="1"/>
  <c r="N74" i="1"/>
  <c r="O74" i="1"/>
  <c r="V74" i="1"/>
  <c r="L74" i="1" s="1"/>
  <c r="B75" i="1"/>
  <c r="C75" i="1"/>
  <c r="D75" i="1"/>
  <c r="F75" i="1"/>
  <c r="J75" i="1"/>
  <c r="N75" i="1"/>
  <c r="O75" i="1"/>
  <c r="V75" i="1"/>
  <c r="L75" i="1" s="1"/>
  <c r="B76" i="1"/>
  <c r="C76" i="1"/>
  <c r="D76" i="1"/>
  <c r="F76" i="1"/>
  <c r="N76" i="1"/>
  <c r="J76" i="1" s="1"/>
  <c r="O76" i="1"/>
  <c r="V76" i="1"/>
  <c r="L76" i="1" s="1"/>
  <c r="B77" i="1"/>
  <c r="C77" i="1"/>
  <c r="D77" i="1"/>
  <c r="F77" i="1"/>
  <c r="J77" i="1"/>
  <c r="N77" i="1"/>
  <c r="O77" i="1"/>
  <c r="V77" i="1"/>
  <c r="L77" i="1" s="1"/>
  <c r="B78" i="1"/>
  <c r="C78" i="1"/>
  <c r="D78" i="1"/>
  <c r="F78" i="1"/>
  <c r="J78" i="1"/>
  <c r="N78" i="1"/>
  <c r="O78" i="1"/>
  <c r="V78" i="1"/>
  <c r="L78" i="1" s="1"/>
  <c r="B79" i="1"/>
  <c r="C79" i="1"/>
  <c r="D79" i="1"/>
  <c r="F79" i="1"/>
  <c r="N79" i="1"/>
  <c r="J79" i="1" s="1"/>
  <c r="O79" i="1"/>
  <c r="V79" i="1"/>
  <c r="L79" i="1" s="1"/>
  <c r="B80" i="1"/>
  <c r="C80" i="1"/>
  <c r="D80" i="1"/>
  <c r="F80" i="1"/>
  <c r="J80" i="1"/>
  <c r="N80" i="1"/>
  <c r="O80" i="1"/>
  <c r="V80" i="1"/>
  <c r="L80" i="1" s="1"/>
  <c r="B81" i="1"/>
  <c r="C81" i="1"/>
  <c r="D81" i="1"/>
  <c r="F81" i="1"/>
  <c r="N81" i="1"/>
  <c r="O81" i="1"/>
  <c r="V81" i="1"/>
  <c r="L81" i="1" s="1"/>
  <c r="B82" i="1"/>
  <c r="C82" i="1"/>
  <c r="D82" i="1"/>
  <c r="F82" i="1"/>
  <c r="J82" i="1"/>
  <c r="N82" i="1"/>
  <c r="O82" i="1"/>
  <c r="V82" i="1"/>
  <c r="L82" i="1" s="1"/>
  <c r="B83" i="1"/>
  <c r="C83" i="1"/>
  <c r="D83" i="1"/>
  <c r="F83" i="1"/>
  <c r="J83" i="1"/>
  <c r="N83" i="1"/>
  <c r="O83" i="1"/>
  <c r="V83" i="1"/>
  <c r="L83" i="1" s="1"/>
  <c r="B84" i="1"/>
  <c r="C84" i="1"/>
  <c r="D84" i="1"/>
  <c r="F84" i="1"/>
  <c r="N84" i="1"/>
  <c r="J84" i="1" s="1"/>
  <c r="O84" i="1"/>
  <c r="B85" i="1"/>
  <c r="C85" i="1"/>
  <c r="D85" i="1"/>
  <c r="F85" i="1"/>
  <c r="N85" i="1"/>
  <c r="J85" i="1" s="1"/>
  <c r="O85" i="1"/>
  <c r="B86" i="1"/>
  <c r="C86" i="1"/>
  <c r="D86" i="1"/>
  <c r="F86" i="1"/>
  <c r="N86" i="1"/>
  <c r="J86" i="1" s="1"/>
  <c r="O86" i="1"/>
  <c r="B87" i="1"/>
  <c r="C87" i="1"/>
  <c r="D87" i="1"/>
  <c r="F87" i="1"/>
  <c r="J87" i="1"/>
  <c r="N87" i="1"/>
  <c r="O87" i="1"/>
  <c r="V87" i="1"/>
  <c r="L87" i="1" s="1"/>
  <c r="B88" i="1"/>
  <c r="C88" i="1"/>
  <c r="D88" i="1"/>
  <c r="F88" i="1"/>
  <c r="J88" i="1"/>
  <c r="N88" i="1"/>
  <c r="O88" i="1"/>
  <c r="V88" i="1"/>
  <c r="L88" i="1" s="1"/>
  <c r="B89" i="1"/>
  <c r="C89" i="1"/>
  <c r="D89" i="1"/>
  <c r="F89" i="1"/>
  <c r="N89" i="1"/>
  <c r="J89" i="1" s="1"/>
  <c r="O89" i="1"/>
  <c r="B90" i="1"/>
  <c r="C90" i="1"/>
  <c r="D90" i="1"/>
  <c r="F90" i="1"/>
  <c r="J90" i="1"/>
  <c r="N90" i="1"/>
  <c r="O90" i="1"/>
  <c r="V90" i="1"/>
  <c r="L90" i="1" s="1"/>
  <c r="B91" i="1"/>
  <c r="C91" i="1"/>
  <c r="D91" i="1"/>
  <c r="F91" i="1"/>
  <c r="J91" i="1"/>
  <c r="L91" i="1" s="1"/>
  <c r="N91" i="1"/>
  <c r="O91" i="1"/>
  <c r="V91" i="1"/>
  <c r="B92" i="1"/>
  <c r="C92" i="1"/>
  <c r="D92" i="1"/>
  <c r="F92" i="1"/>
  <c r="J92" i="1"/>
  <c r="N92" i="1"/>
  <c r="O92" i="1"/>
  <c r="V92" i="1"/>
  <c r="L92" i="1" s="1"/>
  <c r="B93" i="1"/>
  <c r="C93" i="1"/>
  <c r="D93" i="1"/>
  <c r="F93" i="1"/>
  <c r="N93" i="1"/>
  <c r="O93" i="1"/>
  <c r="V93" i="1"/>
  <c r="B94" i="1"/>
  <c r="C94" i="1"/>
  <c r="D94" i="1"/>
  <c r="F94" i="1"/>
  <c r="J94" i="1"/>
  <c r="N94" i="1"/>
  <c r="O94" i="1"/>
  <c r="V94" i="1"/>
  <c r="L94" i="1" s="1"/>
  <c r="B95" i="1"/>
  <c r="C95" i="1"/>
  <c r="D95" i="1"/>
  <c r="F95" i="1"/>
  <c r="J95" i="1"/>
  <c r="N95" i="1"/>
  <c r="O95" i="1"/>
  <c r="B96" i="1"/>
  <c r="C96" i="1"/>
  <c r="D96" i="1"/>
  <c r="F96" i="1"/>
  <c r="N96" i="1"/>
  <c r="J96" i="1" s="1"/>
  <c r="O96" i="1"/>
  <c r="B97" i="1"/>
  <c r="C97" i="1"/>
  <c r="D97" i="1"/>
  <c r="F97" i="1"/>
  <c r="N97" i="1"/>
  <c r="J97" i="1" s="1"/>
  <c r="O97" i="1"/>
  <c r="B98" i="1"/>
  <c r="C98" i="1"/>
  <c r="D98" i="1"/>
  <c r="F98" i="1"/>
  <c r="N98" i="1"/>
  <c r="J98" i="1" s="1"/>
  <c r="O98" i="1"/>
  <c r="B99" i="1"/>
  <c r="C99" i="1"/>
  <c r="D99" i="1"/>
  <c r="F99" i="1"/>
  <c r="J99" i="1"/>
  <c r="N99" i="1"/>
  <c r="O99" i="1"/>
  <c r="V99" i="1"/>
  <c r="B100" i="1"/>
  <c r="C100" i="1"/>
  <c r="D100" i="1"/>
  <c r="F100" i="1"/>
  <c r="J100" i="1"/>
  <c r="N100" i="1"/>
  <c r="O100" i="1"/>
  <c r="V100" i="1"/>
  <c r="L100" i="1" s="1"/>
  <c r="B101" i="1"/>
  <c r="C101" i="1"/>
  <c r="D101" i="1"/>
  <c r="F101" i="1"/>
  <c r="J101" i="1"/>
  <c r="N101" i="1"/>
  <c r="O101" i="1"/>
  <c r="B102" i="1"/>
  <c r="C102" i="1"/>
  <c r="D102" i="1"/>
  <c r="F102" i="1"/>
  <c r="J102" i="1"/>
  <c r="N102" i="1"/>
  <c r="O102" i="1"/>
  <c r="V102" i="1"/>
  <c r="L102" i="1" s="1"/>
  <c r="B103" i="1"/>
  <c r="C103" i="1"/>
  <c r="D103" i="1"/>
  <c r="F103" i="1"/>
  <c r="N103" i="1"/>
  <c r="J103" i="1" s="1"/>
  <c r="O103" i="1"/>
  <c r="V103" i="1"/>
  <c r="L103" i="1" s="1"/>
  <c r="B104" i="1"/>
  <c r="C104" i="1"/>
  <c r="D104" i="1"/>
  <c r="F104" i="1"/>
  <c r="J104" i="1"/>
  <c r="N104" i="1"/>
  <c r="O104" i="1"/>
  <c r="V104" i="1"/>
  <c r="L104" i="1" s="1"/>
  <c r="B105" i="1"/>
  <c r="C105" i="1"/>
  <c r="D105" i="1"/>
  <c r="F105" i="1"/>
  <c r="N105" i="1"/>
  <c r="O105" i="1"/>
  <c r="V105" i="1"/>
  <c r="L105" i="1" s="1"/>
  <c r="B106" i="1"/>
  <c r="C106" i="1"/>
  <c r="D106" i="1"/>
  <c r="F106" i="1"/>
  <c r="J106" i="1"/>
  <c r="N106" i="1"/>
  <c r="O106" i="1"/>
  <c r="V106" i="1"/>
  <c r="L106" i="1" s="1"/>
  <c r="B107" i="1"/>
  <c r="C107" i="1"/>
  <c r="D107" i="1"/>
  <c r="F107" i="1"/>
  <c r="J107" i="1"/>
  <c r="N107" i="1"/>
  <c r="O107" i="1"/>
  <c r="V107" i="1"/>
  <c r="L107" i="1" s="1"/>
  <c r="B108" i="1"/>
  <c r="C108" i="1"/>
  <c r="D108" i="1"/>
  <c r="F108" i="1"/>
  <c r="N108" i="1"/>
  <c r="J108" i="1" s="1"/>
  <c r="O108" i="1"/>
  <c r="V108" i="1"/>
  <c r="L108" i="1" s="1"/>
  <c r="B109" i="1"/>
  <c r="C109" i="1"/>
  <c r="D109" i="1"/>
  <c r="F109" i="1"/>
  <c r="J109" i="1"/>
  <c r="N109" i="1"/>
  <c r="O109" i="1"/>
  <c r="V109" i="1"/>
  <c r="L109" i="1" s="1"/>
  <c r="B110" i="1"/>
  <c r="C110" i="1"/>
  <c r="D110" i="1"/>
  <c r="F110" i="1"/>
  <c r="J110" i="1"/>
  <c r="N110" i="1"/>
  <c r="O110" i="1"/>
  <c r="V110" i="1"/>
  <c r="L110" i="1" s="1"/>
  <c r="B111" i="1"/>
  <c r="C111" i="1"/>
  <c r="D111" i="1"/>
  <c r="F111" i="1"/>
  <c r="J111" i="1"/>
  <c r="N111" i="1"/>
  <c r="O111" i="1"/>
  <c r="V111" i="1"/>
  <c r="L111" i="1" s="1"/>
  <c r="B112" i="1"/>
  <c r="C112" i="1"/>
  <c r="D112" i="1"/>
  <c r="F112" i="1"/>
  <c r="J112" i="1"/>
  <c r="N112" i="1"/>
  <c r="O112" i="1"/>
  <c r="V112" i="1"/>
  <c r="L112" i="1" s="1"/>
  <c r="B113" i="1"/>
  <c r="C113" i="1"/>
  <c r="D113" i="1"/>
  <c r="F113" i="1"/>
  <c r="N113" i="1"/>
  <c r="J113" i="1" s="1"/>
  <c r="O113" i="1"/>
  <c r="V113" i="1"/>
  <c r="L113" i="1" s="1"/>
  <c r="B114" i="1"/>
  <c r="C114" i="1"/>
  <c r="D114" i="1"/>
  <c r="F114" i="1"/>
  <c r="J114" i="1"/>
  <c r="N114" i="1"/>
  <c r="O114" i="1"/>
  <c r="V114" i="1"/>
  <c r="L114" i="1" s="1"/>
  <c r="B115" i="1"/>
  <c r="C115" i="1"/>
  <c r="D115" i="1"/>
  <c r="F115" i="1"/>
  <c r="N115" i="1"/>
  <c r="O115" i="1"/>
  <c r="V115" i="1"/>
  <c r="L115" i="1" s="1"/>
  <c r="B116" i="1"/>
  <c r="C116" i="1"/>
  <c r="D116" i="1"/>
  <c r="F116" i="1"/>
  <c r="J116" i="1"/>
  <c r="N116" i="1"/>
  <c r="O116" i="1"/>
  <c r="V116" i="1"/>
  <c r="L116" i="1" s="1"/>
  <c r="B117" i="1"/>
  <c r="C117" i="1"/>
  <c r="D117" i="1"/>
  <c r="F117" i="1"/>
  <c r="N117" i="1"/>
  <c r="O117" i="1"/>
  <c r="V117" i="1"/>
  <c r="L117" i="1" s="1"/>
  <c r="B118" i="1"/>
  <c r="C118" i="1"/>
  <c r="D118" i="1"/>
  <c r="F118" i="1"/>
  <c r="J118" i="1"/>
  <c r="N118" i="1"/>
  <c r="O118" i="1"/>
  <c r="V118" i="1"/>
  <c r="L118" i="1" s="1"/>
  <c r="B119" i="1"/>
  <c r="C119" i="1"/>
  <c r="D119" i="1"/>
  <c r="F119" i="1"/>
  <c r="J119" i="1"/>
  <c r="N119" i="1"/>
  <c r="O119" i="1"/>
  <c r="V119" i="1"/>
  <c r="L119" i="1" s="1"/>
  <c r="B120" i="1"/>
  <c r="C120" i="1"/>
  <c r="D120" i="1"/>
  <c r="F120" i="1"/>
  <c r="J120" i="1"/>
  <c r="N120" i="1"/>
  <c r="O120" i="1"/>
  <c r="V120" i="1"/>
  <c r="B121" i="1"/>
  <c r="C121" i="1"/>
  <c r="D121" i="1"/>
  <c r="F121" i="1"/>
  <c r="J121" i="1"/>
  <c r="N121" i="1"/>
  <c r="O121" i="1"/>
  <c r="V121" i="1"/>
  <c r="L121" i="1" s="1"/>
  <c r="B122" i="1"/>
  <c r="C122" i="1"/>
  <c r="D122" i="1"/>
  <c r="F122" i="1"/>
  <c r="N122" i="1"/>
  <c r="J122" i="1" s="1"/>
  <c r="O122" i="1"/>
  <c r="B123" i="1"/>
  <c r="C123" i="1"/>
  <c r="D123" i="1"/>
  <c r="F123" i="1"/>
  <c r="N123" i="1"/>
  <c r="J123" i="1" s="1"/>
  <c r="O123" i="1"/>
  <c r="B124" i="1"/>
  <c r="C124" i="1"/>
  <c r="D124" i="1"/>
  <c r="F124" i="1"/>
  <c r="J124" i="1"/>
  <c r="N124" i="1"/>
  <c r="O124" i="1"/>
  <c r="V124" i="1"/>
  <c r="L124" i="1" s="1"/>
  <c r="B125" i="1"/>
  <c r="C125" i="1"/>
  <c r="D125" i="1"/>
  <c r="F125" i="1"/>
  <c r="J125" i="1"/>
  <c r="N125" i="1"/>
  <c r="O125" i="1"/>
  <c r="V125" i="1"/>
  <c r="L125" i="1" s="1"/>
  <c r="B126" i="1"/>
  <c r="C126" i="1"/>
  <c r="D126" i="1"/>
  <c r="F126" i="1"/>
  <c r="J126" i="1"/>
  <c r="L126" i="1" s="1"/>
  <c r="N126" i="1"/>
  <c r="O126" i="1"/>
  <c r="V126" i="1"/>
  <c r="B127" i="1"/>
  <c r="C127" i="1"/>
  <c r="D127" i="1"/>
  <c r="F127" i="1"/>
  <c r="N127" i="1"/>
  <c r="J127" i="1" s="1"/>
  <c r="O127" i="1"/>
  <c r="B128" i="1"/>
  <c r="C128" i="1"/>
  <c r="D128" i="1"/>
  <c r="F128" i="1"/>
  <c r="J128" i="1"/>
  <c r="N128" i="1"/>
  <c r="O128" i="1"/>
  <c r="V128" i="1"/>
  <c r="L128" i="1" s="1"/>
  <c r="B129" i="1"/>
  <c r="C129" i="1"/>
  <c r="D129" i="1"/>
  <c r="F129" i="1"/>
  <c r="N129" i="1"/>
  <c r="O129" i="1"/>
  <c r="V129" i="1"/>
  <c r="B130" i="1"/>
  <c r="C130" i="1"/>
  <c r="D130" i="1"/>
  <c r="F130" i="1"/>
  <c r="J130" i="1"/>
  <c r="N130" i="1"/>
  <c r="O130" i="1"/>
  <c r="V130" i="1"/>
  <c r="L130" i="1" s="1"/>
  <c r="B131" i="1"/>
  <c r="C131" i="1"/>
  <c r="D131" i="1"/>
  <c r="F131" i="1"/>
  <c r="J131" i="1"/>
  <c r="N131" i="1"/>
  <c r="O131" i="1"/>
  <c r="V131" i="1"/>
  <c r="L131" i="1" s="1"/>
  <c r="B132" i="1"/>
  <c r="C132" i="1"/>
  <c r="D132" i="1"/>
  <c r="F132" i="1"/>
  <c r="J132" i="1"/>
  <c r="L132" i="1" s="1"/>
  <c r="N132" i="1"/>
  <c r="O132" i="1"/>
  <c r="V132" i="1"/>
  <c r="B133" i="1"/>
  <c r="C133" i="1"/>
  <c r="D133" i="1"/>
  <c r="F133" i="1"/>
  <c r="J133" i="1"/>
  <c r="N133" i="1"/>
  <c r="O133" i="1"/>
  <c r="V133" i="1"/>
  <c r="L133" i="1" s="1"/>
  <c r="B134" i="1"/>
  <c r="C134" i="1"/>
  <c r="D134" i="1"/>
  <c r="F134" i="1"/>
  <c r="J134" i="1"/>
  <c r="L134" i="1" s="1"/>
  <c r="N134" i="1"/>
  <c r="O134" i="1"/>
  <c r="V134" i="1"/>
  <c r="B135" i="1"/>
  <c r="C135" i="1"/>
  <c r="D135" i="1"/>
  <c r="F135" i="1"/>
  <c r="J135" i="1"/>
  <c r="N135" i="1"/>
  <c r="O135" i="1"/>
  <c r="V135" i="1"/>
  <c r="L135" i="1" s="1"/>
  <c r="B136" i="1"/>
  <c r="C136" i="1"/>
  <c r="D136" i="1"/>
  <c r="F136" i="1"/>
  <c r="J136" i="1"/>
  <c r="N136" i="1"/>
  <c r="O136" i="1"/>
  <c r="B137" i="1"/>
  <c r="C137" i="1"/>
  <c r="D137" i="1"/>
  <c r="F137" i="1"/>
  <c r="J137" i="1"/>
  <c r="N137" i="1"/>
  <c r="O137" i="1"/>
  <c r="B69" i="1"/>
  <c r="C69" i="1"/>
  <c r="D69" i="1"/>
  <c r="F69" i="1"/>
  <c r="N69" i="1"/>
  <c r="J69" i="1" s="1"/>
  <c r="O69" i="1"/>
  <c r="Q134" i="4"/>
  <c r="P134" i="4"/>
  <c r="Q133" i="4"/>
  <c r="P133" i="4"/>
  <c r="Q132" i="4"/>
  <c r="P132" i="4"/>
  <c r="Q131" i="4"/>
  <c r="P131" i="4"/>
  <c r="Q130" i="4"/>
  <c r="P130" i="4"/>
  <c r="Q129" i="4"/>
  <c r="P129" i="4"/>
  <c r="Q128" i="4"/>
  <c r="P128" i="4"/>
  <c r="E137" i="1" s="1"/>
  <c r="Q127" i="4"/>
  <c r="P127" i="4"/>
  <c r="E136" i="1" s="1"/>
  <c r="Q126" i="4"/>
  <c r="P126" i="4"/>
  <c r="E135" i="1" s="1"/>
  <c r="Q125" i="4"/>
  <c r="P125" i="4"/>
  <c r="E134" i="1" s="1"/>
  <c r="Q124" i="4"/>
  <c r="P124" i="4"/>
  <c r="E133" i="1" s="1"/>
  <c r="Q123" i="4"/>
  <c r="P123" i="4"/>
  <c r="E132" i="1" s="1"/>
  <c r="Q122" i="4"/>
  <c r="P122" i="4"/>
  <c r="E131" i="1" s="1"/>
  <c r="Q121" i="4"/>
  <c r="P121" i="4"/>
  <c r="E130" i="1" s="1"/>
  <c r="Q120" i="4"/>
  <c r="P120" i="4"/>
  <c r="E129" i="1" s="1"/>
  <c r="Q119" i="4"/>
  <c r="P119" i="4"/>
  <c r="E128" i="1" s="1"/>
  <c r="Q118" i="4"/>
  <c r="P118" i="4"/>
  <c r="E127" i="1" s="1"/>
  <c r="Q117" i="4"/>
  <c r="P117" i="4"/>
  <c r="E126" i="1" s="1"/>
  <c r="Q116" i="4"/>
  <c r="P116" i="4"/>
  <c r="E125" i="1" s="1"/>
  <c r="Q115" i="4"/>
  <c r="P115" i="4"/>
  <c r="E124" i="1" s="1"/>
  <c r="Q114" i="4"/>
  <c r="P114" i="4"/>
  <c r="Q113" i="4"/>
  <c r="P113" i="4"/>
  <c r="Q112" i="4"/>
  <c r="P112" i="4"/>
  <c r="Q111" i="4"/>
  <c r="P111" i="4"/>
  <c r="Q110" i="4"/>
  <c r="P110" i="4"/>
  <c r="Q109" i="4"/>
  <c r="P109" i="4"/>
  <c r="Q108" i="4"/>
  <c r="P108" i="4"/>
  <c r="E123" i="1" s="1"/>
  <c r="Q107" i="4"/>
  <c r="P107" i="4"/>
  <c r="Q106" i="4"/>
  <c r="P106" i="4"/>
  <c r="E122" i="1" s="1"/>
  <c r="Q105" i="4"/>
  <c r="P105" i="4"/>
  <c r="Q104" i="4"/>
  <c r="P104" i="4"/>
  <c r="Q103" i="4"/>
  <c r="P103" i="4"/>
  <c r="Q102" i="4"/>
  <c r="P102" i="4"/>
  <c r="Q101" i="4"/>
  <c r="P101" i="4"/>
  <c r="Q100" i="4"/>
  <c r="P100" i="4"/>
  <c r="Q99" i="4"/>
  <c r="P99" i="4"/>
  <c r="Q98" i="4"/>
  <c r="P98" i="4"/>
  <c r="Q97" i="4"/>
  <c r="P97" i="4"/>
  <c r="Q96" i="4"/>
  <c r="P96" i="4"/>
  <c r="Q95" i="4"/>
  <c r="P95" i="4"/>
  <c r="Q94" i="4"/>
  <c r="P94" i="4"/>
  <c r="Q93" i="4"/>
  <c r="P93" i="4"/>
  <c r="E121" i="1" s="1"/>
  <c r="Q92" i="4"/>
  <c r="P92" i="4"/>
  <c r="E120" i="1" s="1"/>
  <c r="Q91" i="4"/>
  <c r="P91" i="4"/>
  <c r="E119" i="1" s="1"/>
  <c r="Q90" i="4"/>
  <c r="P90" i="4"/>
  <c r="E118" i="1" s="1"/>
  <c r="Q89" i="4"/>
  <c r="P89" i="4"/>
  <c r="E117" i="1" s="1"/>
  <c r="Q88" i="4"/>
  <c r="P88" i="4"/>
  <c r="E116" i="1" s="1"/>
  <c r="Q87" i="4"/>
  <c r="P87" i="4"/>
  <c r="E115" i="1" s="1"/>
  <c r="Q86" i="4"/>
  <c r="P86" i="4"/>
  <c r="E114" i="1" s="1"/>
  <c r="Q85" i="4"/>
  <c r="P85" i="4"/>
  <c r="E113" i="1" s="1"/>
  <c r="Q84" i="4"/>
  <c r="P84" i="4"/>
  <c r="E112" i="1" s="1"/>
  <c r="Q83" i="4"/>
  <c r="P83" i="4"/>
  <c r="E111" i="1" s="1"/>
  <c r="Q82" i="4"/>
  <c r="P82" i="4"/>
  <c r="E110" i="1" s="1"/>
  <c r="Q81" i="4"/>
  <c r="P81" i="4"/>
  <c r="E109" i="1" s="1"/>
  <c r="Q80" i="4"/>
  <c r="P80" i="4"/>
  <c r="E108" i="1" s="1"/>
  <c r="Q79" i="4"/>
  <c r="P79" i="4"/>
  <c r="E107" i="1" s="1"/>
  <c r="Q78" i="4"/>
  <c r="P78" i="4"/>
  <c r="E106" i="1" s="1"/>
  <c r="Q77" i="4"/>
  <c r="P77" i="4"/>
  <c r="E105" i="1" s="1"/>
  <c r="Q76" i="4"/>
  <c r="P76" i="4"/>
  <c r="E104" i="1" s="1"/>
  <c r="Q75" i="4"/>
  <c r="P75" i="4"/>
  <c r="E103" i="1" s="1"/>
  <c r="Q74" i="4"/>
  <c r="P74" i="4"/>
  <c r="E102" i="1" s="1"/>
  <c r="Q73" i="4"/>
  <c r="P73" i="4"/>
  <c r="E101" i="1" s="1"/>
  <c r="Q72" i="4"/>
  <c r="P72" i="4"/>
  <c r="E100" i="1" s="1"/>
  <c r="Q71" i="4"/>
  <c r="P71" i="4"/>
  <c r="E99" i="1" s="1"/>
  <c r="Q70" i="4"/>
  <c r="P70" i="4"/>
  <c r="Q69" i="4"/>
  <c r="P69" i="4"/>
  <c r="Q68" i="4"/>
  <c r="P68" i="4"/>
  <c r="Q67" i="4"/>
  <c r="P67" i="4"/>
  <c r="Q66" i="4"/>
  <c r="P66" i="4"/>
  <c r="D4" i="8"/>
  <c r="D5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5" i="8"/>
  <c r="D56" i="8"/>
  <c r="D57" i="8"/>
  <c r="D58" i="8"/>
  <c r="D59" i="8"/>
  <c r="D60" i="8"/>
  <c r="D61" i="8"/>
  <c r="D3" i="8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3" i="1"/>
  <c r="T22" i="1" l="1"/>
  <c r="Q21" i="1"/>
  <c r="Q22" i="1"/>
  <c r="T21" i="1"/>
  <c r="K131" i="1"/>
  <c r="M131" i="1" s="1"/>
  <c r="R131" i="1" s="1"/>
  <c r="S131" i="1" s="1"/>
  <c r="K112" i="1"/>
  <c r="M112" i="1" s="1"/>
  <c r="R112" i="1" s="1"/>
  <c r="S112" i="1" s="1"/>
  <c r="K109" i="1"/>
  <c r="M109" i="1" s="1"/>
  <c r="K101" i="1"/>
  <c r="L101" i="1" s="1"/>
  <c r="M101" i="1" s="1"/>
  <c r="R101" i="1" s="1"/>
  <c r="S101" i="1" s="1"/>
  <c r="K84" i="1"/>
  <c r="L84" i="1" s="1"/>
  <c r="M84" i="1" s="1"/>
  <c r="R84" i="1" s="1"/>
  <c r="S84" i="1" s="1"/>
  <c r="K73" i="1"/>
  <c r="M73" i="1" s="1"/>
  <c r="R73" i="1" s="1"/>
  <c r="S73" i="1" s="1"/>
  <c r="K78" i="1"/>
  <c r="M78" i="1" s="1"/>
  <c r="R78" i="1" s="1"/>
  <c r="S78" i="1" s="1"/>
  <c r="K106" i="1"/>
  <c r="M106" i="1" s="1"/>
  <c r="K94" i="1"/>
  <c r="M94" i="1" s="1"/>
  <c r="R94" i="1" s="1"/>
  <c r="T94" i="1" s="1"/>
  <c r="K76" i="1"/>
  <c r="M76" i="1" s="1"/>
  <c r="K130" i="1"/>
  <c r="M130" i="1" s="1"/>
  <c r="R130" i="1" s="1"/>
  <c r="S130" i="1" s="1"/>
  <c r="K88" i="1"/>
  <c r="M88" i="1" s="1"/>
  <c r="R88" i="1" s="1"/>
  <c r="S88" i="1" s="1"/>
  <c r="K126" i="1"/>
  <c r="M126" i="1" s="1"/>
  <c r="R126" i="1" s="1"/>
  <c r="S126" i="1" s="1"/>
  <c r="K89" i="1"/>
  <c r="L89" i="1" s="1"/>
  <c r="M89" i="1" s="1"/>
  <c r="K79" i="1"/>
  <c r="M79" i="1" s="1"/>
  <c r="R79" i="1" s="1"/>
  <c r="S79" i="1" s="1"/>
  <c r="K135" i="1"/>
  <c r="M135" i="1" s="1"/>
  <c r="R135" i="1" s="1"/>
  <c r="S135" i="1" s="1"/>
  <c r="K121" i="1"/>
  <c r="M121" i="1" s="1"/>
  <c r="R121" i="1" s="1"/>
  <c r="S121" i="1" s="1"/>
  <c r="K118" i="1"/>
  <c r="M118" i="1" s="1"/>
  <c r="Q118" i="1" s="1"/>
  <c r="K107" i="1"/>
  <c r="M107" i="1" s="1"/>
  <c r="K113" i="1"/>
  <c r="M113" i="1" s="1"/>
  <c r="R113" i="1" s="1"/>
  <c r="K110" i="1"/>
  <c r="M110" i="1" s="1"/>
  <c r="R110" i="1" s="1"/>
  <c r="K99" i="1"/>
  <c r="L99" i="1" s="1"/>
  <c r="K97" i="1"/>
  <c r="L97" i="1" s="1"/>
  <c r="M97" i="1" s="1"/>
  <c r="Q97" i="1" s="1"/>
  <c r="K92" i="1"/>
  <c r="M92" i="1" s="1"/>
  <c r="R92" i="1" s="1"/>
  <c r="T92" i="1" s="1"/>
  <c r="K82" i="1"/>
  <c r="M82" i="1" s="1"/>
  <c r="K71" i="1"/>
  <c r="K96" i="1"/>
  <c r="L96" i="1" s="1"/>
  <c r="M96" i="1" s="1"/>
  <c r="R96" i="1" s="1"/>
  <c r="K70" i="1"/>
  <c r="L70" i="1" s="1"/>
  <c r="M70" i="1" s="1"/>
  <c r="K69" i="1"/>
  <c r="L69" i="1" s="1"/>
  <c r="M69" i="1" s="1"/>
  <c r="R69" i="1" s="1"/>
  <c r="S69" i="1" s="1"/>
  <c r="K74" i="1"/>
  <c r="M74" i="1" s="1"/>
  <c r="R74" i="1" s="1"/>
  <c r="K125" i="1"/>
  <c r="M125" i="1" s="1"/>
  <c r="K120" i="1"/>
  <c r="L120" i="1" s="1"/>
  <c r="M120" i="1" s="1"/>
  <c r="R120" i="1" s="1"/>
  <c r="S120" i="1" s="1"/>
  <c r="K127" i="1"/>
  <c r="L127" i="1" s="1"/>
  <c r="M127" i="1" s="1"/>
  <c r="R127" i="1" s="1"/>
  <c r="T127" i="1" s="1"/>
  <c r="K124" i="1"/>
  <c r="M124" i="1" s="1"/>
  <c r="R124" i="1" s="1"/>
  <c r="S124" i="1" s="1"/>
  <c r="K116" i="1"/>
  <c r="M116" i="1" s="1"/>
  <c r="R116" i="1" s="1"/>
  <c r="T116" i="1" s="1"/>
  <c r="K87" i="1"/>
  <c r="M87" i="1" s="1"/>
  <c r="R87" i="1" s="1"/>
  <c r="S87" i="1" s="1"/>
  <c r="K85" i="1"/>
  <c r="L85" i="1" s="1"/>
  <c r="M85" i="1" s="1"/>
  <c r="K77" i="1"/>
  <c r="M77" i="1" s="1"/>
  <c r="R77" i="1" s="1"/>
  <c r="K75" i="1"/>
  <c r="M75" i="1" s="1"/>
  <c r="R75" i="1" s="1"/>
  <c r="S75" i="1" s="1"/>
  <c r="K136" i="1"/>
  <c r="M136" i="1" s="1"/>
  <c r="R136" i="1" s="1"/>
  <c r="T136" i="1" s="1"/>
  <c r="K122" i="1"/>
  <c r="L122" i="1" s="1"/>
  <c r="M122" i="1" s="1"/>
  <c r="K119" i="1"/>
  <c r="M119" i="1" s="1"/>
  <c r="R119" i="1" s="1"/>
  <c r="K108" i="1"/>
  <c r="M108" i="1" s="1"/>
  <c r="K133" i="1"/>
  <c r="M133" i="1" s="1"/>
  <c r="R133" i="1" s="1"/>
  <c r="T133" i="1" s="1"/>
  <c r="K111" i="1"/>
  <c r="M111" i="1" s="1"/>
  <c r="R111" i="1" s="1"/>
  <c r="S111" i="1" s="1"/>
  <c r="K90" i="1"/>
  <c r="M90" i="1" s="1"/>
  <c r="K83" i="1"/>
  <c r="M83" i="1" s="1"/>
  <c r="K72" i="1"/>
  <c r="M72" i="1" s="1"/>
  <c r="R72" i="1" s="1"/>
  <c r="S72" i="1" s="1"/>
  <c r="P80" i="1"/>
  <c r="U95" i="1"/>
  <c r="U102" i="1"/>
  <c r="P75" i="1"/>
  <c r="U134" i="1"/>
  <c r="P123" i="1"/>
  <c r="P110" i="1"/>
  <c r="K134" i="1"/>
  <c r="M134" i="1" s="1"/>
  <c r="Q134" i="1" s="1"/>
  <c r="P78" i="1"/>
  <c r="U137" i="1"/>
  <c r="U128" i="1"/>
  <c r="U104" i="1"/>
  <c r="U123" i="1"/>
  <c r="U122" i="1"/>
  <c r="P122" i="1"/>
  <c r="U97" i="1"/>
  <c r="P86" i="1"/>
  <c r="U133" i="1"/>
  <c r="U132" i="1"/>
  <c r="P133" i="1"/>
  <c r="P132" i="1"/>
  <c r="P77" i="1"/>
  <c r="K137" i="1"/>
  <c r="U121" i="1"/>
  <c r="P108" i="1"/>
  <c r="P106" i="1"/>
  <c r="P79" i="1"/>
  <c r="P124" i="1"/>
  <c r="P83" i="1"/>
  <c r="P82" i="1"/>
  <c r="P125" i="1"/>
  <c r="U100" i="1"/>
  <c r="P84" i="1"/>
  <c r="K128" i="1"/>
  <c r="P87" i="1"/>
  <c r="P93" i="1"/>
  <c r="U93" i="1"/>
  <c r="K103" i="1"/>
  <c r="K105" i="1"/>
  <c r="U105" i="1"/>
  <c r="K129" i="1"/>
  <c r="P129" i="1"/>
  <c r="K117" i="1"/>
  <c r="K115" i="1"/>
  <c r="K81" i="1"/>
  <c r="K86" i="1"/>
  <c r="L86" i="1" s="1"/>
  <c r="P81" i="1"/>
  <c r="K80" i="1"/>
  <c r="U103" i="1"/>
  <c r="U130" i="1"/>
  <c r="U118" i="1"/>
  <c r="P102" i="1"/>
  <c r="P100" i="1"/>
  <c r="U99" i="1"/>
  <c r="P97" i="1"/>
  <c r="K132" i="1"/>
  <c r="P131" i="1"/>
  <c r="K123" i="1"/>
  <c r="L123" i="1" s="1"/>
  <c r="P121" i="1"/>
  <c r="U119" i="1"/>
  <c r="U116" i="1"/>
  <c r="U115" i="1"/>
  <c r="U94" i="1"/>
  <c r="U131" i="1"/>
  <c r="U136" i="1"/>
  <c r="P130" i="1"/>
  <c r="U127" i="1"/>
  <c r="P120" i="1"/>
  <c r="P118" i="1"/>
  <c r="K102" i="1"/>
  <c r="K100" i="1"/>
  <c r="P99" i="1"/>
  <c r="U96" i="1"/>
  <c r="P137" i="1"/>
  <c r="P117" i="1"/>
  <c r="P116" i="1"/>
  <c r="P115" i="1"/>
  <c r="P114" i="1"/>
  <c r="U112" i="1"/>
  <c r="P94" i="1"/>
  <c r="U71" i="1"/>
  <c r="P128" i="1"/>
  <c r="U113" i="1"/>
  <c r="U92" i="1"/>
  <c r="P70" i="1"/>
  <c r="P103" i="1"/>
  <c r="P127" i="1"/>
  <c r="U109" i="1"/>
  <c r="U89" i="1"/>
  <c r="U74" i="1"/>
  <c r="P71" i="1"/>
  <c r="P136" i="1"/>
  <c r="P126" i="1"/>
  <c r="U125" i="1"/>
  <c r="U124" i="1"/>
  <c r="P112" i="1"/>
  <c r="U110" i="1"/>
  <c r="P92" i="1"/>
  <c r="P91" i="1"/>
  <c r="P90" i="1"/>
  <c r="P88" i="1"/>
  <c r="U86" i="1"/>
  <c r="U80" i="1"/>
  <c r="U77" i="1"/>
  <c r="P73" i="1"/>
  <c r="P72" i="1"/>
  <c r="P135" i="1"/>
  <c r="K114" i="1"/>
  <c r="P111" i="1"/>
  <c r="P109" i="1"/>
  <c r="U108" i="1"/>
  <c r="U106" i="1"/>
  <c r="K91" i="1"/>
  <c r="P89" i="1"/>
  <c r="P85" i="1"/>
  <c r="U83" i="1"/>
  <c r="P76" i="1"/>
  <c r="P74" i="1"/>
  <c r="P134" i="1"/>
  <c r="P96" i="1"/>
  <c r="P105" i="1"/>
  <c r="P101" i="1"/>
  <c r="K98" i="1"/>
  <c r="P119" i="1"/>
  <c r="U129" i="1"/>
  <c r="U120" i="1"/>
  <c r="U111" i="1"/>
  <c r="U107" i="1"/>
  <c r="U98" i="1"/>
  <c r="P113" i="1"/>
  <c r="P104" i="1"/>
  <c r="P95" i="1"/>
  <c r="U114" i="1"/>
  <c r="U101" i="1"/>
  <c r="P107" i="1"/>
  <c r="K104" i="1"/>
  <c r="P98" i="1"/>
  <c r="K95" i="1"/>
  <c r="K93" i="1"/>
  <c r="U135" i="1"/>
  <c r="U126" i="1"/>
  <c r="U117" i="1"/>
  <c r="U90" i="1"/>
  <c r="U87" i="1"/>
  <c r="U84" i="1"/>
  <c r="U81" i="1"/>
  <c r="U78" i="1"/>
  <c r="U75" i="1"/>
  <c r="U72" i="1"/>
  <c r="U91" i="1"/>
  <c r="U88" i="1"/>
  <c r="U85" i="1"/>
  <c r="U82" i="1"/>
  <c r="U79" i="1"/>
  <c r="U76" i="1"/>
  <c r="U73" i="1"/>
  <c r="U70" i="1"/>
  <c r="P69" i="1"/>
  <c r="U69" i="1"/>
  <c r="R60" i="7"/>
  <c r="Q60" i="7"/>
  <c r="R59" i="7"/>
  <c r="Q59" i="7"/>
  <c r="F60" i="8" s="1"/>
  <c r="R58" i="7"/>
  <c r="Q58" i="7"/>
  <c r="R57" i="7"/>
  <c r="Q57" i="7"/>
  <c r="R56" i="7"/>
  <c r="Q56" i="7"/>
  <c r="R55" i="7"/>
  <c r="Q55" i="7"/>
  <c r="F51" i="8" s="1"/>
  <c r="R54" i="7"/>
  <c r="Q54" i="7"/>
  <c r="F50" i="8" s="1"/>
  <c r="R53" i="7"/>
  <c r="Q53" i="7"/>
  <c r="F49" i="8" s="1"/>
  <c r="R52" i="7"/>
  <c r="Q52" i="7"/>
  <c r="R51" i="7"/>
  <c r="Q51" i="7"/>
  <c r="R50" i="7"/>
  <c r="Q50" i="7"/>
  <c r="R49" i="7"/>
  <c r="Q49" i="7"/>
  <c r="F54" i="8" s="1"/>
  <c r="R48" i="7"/>
  <c r="Q48" i="7"/>
  <c r="F53" i="8" s="1"/>
  <c r="R47" i="7"/>
  <c r="Q47" i="7"/>
  <c r="F52" i="8" s="1"/>
  <c r="R46" i="7"/>
  <c r="Q46" i="7"/>
  <c r="R45" i="7"/>
  <c r="Q45" i="7"/>
  <c r="R44" i="7"/>
  <c r="Q44" i="7"/>
  <c r="F26" i="8" s="1"/>
  <c r="R43" i="7"/>
  <c r="Q43" i="7"/>
  <c r="F38" i="8" s="1"/>
  <c r="R42" i="7"/>
  <c r="Q42" i="7"/>
  <c r="F37" i="8" s="1"/>
  <c r="R41" i="7"/>
  <c r="Q41" i="7"/>
  <c r="F36" i="8" s="1"/>
  <c r="R40" i="7"/>
  <c r="Q40" i="7"/>
  <c r="R39" i="7"/>
  <c r="Q39" i="7"/>
  <c r="R38" i="7"/>
  <c r="Q38" i="7"/>
  <c r="R37" i="7"/>
  <c r="Q37" i="7"/>
  <c r="F32" i="8" s="1"/>
  <c r="R36" i="7"/>
  <c r="Q36" i="7"/>
  <c r="R35" i="7"/>
  <c r="Q35" i="7"/>
  <c r="F30" i="8" s="1"/>
  <c r="R34" i="7"/>
  <c r="Q34" i="7"/>
  <c r="R33" i="7"/>
  <c r="Q33" i="7"/>
  <c r="R32" i="7"/>
  <c r="Q32" i="7"/>
  <c r="F24" i="8" s="1"/>
  <c r="R31" i="7"/>
  <c r="Q31" i="7"/>
  <c r="R30" i="7"/>
  <c r="Q30" i="7"/>
  <c r="F22" i="8" s="1"/>
  <c r="R29" i="7"/>
  <c r="Q29" i="7"/>
  <c r="F21" i="8" s="1"/>
  <c r="R28" i="7"/>
  <c r="Q28" i="7"/>
  <c r="R27" i="7"/>
  <c r="Q27" i="7"/>
  <c r="R26" i="7"/>
  <c r="Q26" i="7"/>
  <c r="R25" i="7"/>
  <c r="Q25" i="7"/>
  <c r="F44" i="8" s="1"/>
  <c r="R24" i="7"/>
  <c r="Q24" i="7"/>
  <c r="R23" i="7"/>
  <c r="Q23" i="7"/>
  <c r="R22" i="7"/>
  <c r="Q22" i="7"/>
  <c r="R21" i="7"/>
  <c r="Q21" i="7"/>
  <c r="R20" i="7"/>
  <c r="Q20" i="7"/>
  <c r="F40" i="8" s="1"/>
  <c r="R19" i="7"/>
  <c r="Q19" i="7"/>
  <c r="F20" i="8" s="1"/>
  <c r="R18" i="7"/>
  <c r="Q18" i="7"/>
  <c r="F19" i="8" s="1"/>
  <c r="R17" i="7"/>
  <c r="Q17" i="7"/>
  <c r="F18" i="8" s="1"/>
  <c r="R16" i="7"/>
  <c r="Q16" i="7"/>
  <c r="R15" i="7"/>
  <c r="Q15" i="7"/>
  <c r="R14" i="7"/>
  <c r="Q14" i="7"/>
  <c r="F15" i="8" s="1"/>
  <c r="R13" i="7"/>
  <c r="Q13" i="7"/>
  <c r="F14" i="8" s="1"/>
  <c r="R12" i="7"/>
  <c r="Q12" i="7"/>
  <c r="F13" i="8" s="1"/>
  <c r="R11" i="7"/>
  <c r="Q11" i="7"/>
  <c r="F12" i="8" s="1"/>
  <c r="R10" i="7"/>
  <c r="Q10" i="7"/>
  <c r="R9" i="7"/>
  <c r="Q9" i="7"/>
  <c r="R8" i="7"/>
  <c r="Q8" i="7"/>
  <c r="F9" i="8" s="1"/>
  <c r="R7" i="7"/>
  <c r="Q7" i="7"/>
  <c r="F8" i="8" s="1"/>
  <c r="R6" i="7"/>
  <c r="Q6" i="7"/>
  <c r="R5" i="7"/>
  <c r="Q5" i="7"/>
  <c r="F6" i="8" s="1"/>
  <c r="R4" i="7"/>
  <c r="Q4" i="7"/>
  <c r="R3" i="7"/>
  <c r="Q3" i="7"/>
  <c r="R2" i="7"/>
  <c r="Q2" i="7"/>
  <c r="Q65" i="4"/>
  <c r="P65" i="4"/>
  <c r="E31" i="1" s="1"/>
  <c r="Q64" i="4"/>
  <c r="P64" i="4"/>
  <c r="Q63" i="4"/>
  <c r="P63" i="4"/>
  <c r="E35" i="1" s="1"/>
  <c r="Q62" i="4"/>
  <c r="P62" i="4"/>
  <c r="E98" i="1" s="1"/>
  <c r="Q61" i="4"/>
  <c r="P61" i="4"/>
  <c r="E97" i="1" s="1"/>
  <c r="Q60" i="4"/>
  <c r="P60" i="4"/>
  <c r="E96" i="1" s="1"/>
  <c r="Q59" i="4"/>
  <c r="P59" i="4"/>
  <c r="E58" i="1" s="1"/>
  <c r="Q58" i="4"/>
  <c r="P58" i="4"/>
  <c r="Q57" i="4"/>
  <c r="P57" i="4"/>
  <c r="E4" i="1" s="1"/>
  <c r="Q56" i="4"/>
  <c r="P56" i="4"/>
  <c r="Q55" i="4"/>
  <c r="P55" i="4"/>
  <c r="Q54" i="4"/>
  <c r="P54" i="4"/>
  <c r="Q53" i="4"/>
  <c r="P53" i="4"/>
  <c r="E12" i="1" s="1"/>
  <c r="Q52" i="4"/>
  <c r="P52" i="4"/>
  <c r="Q51" i="4"/>
  <c r="P51" i="4"/>
  <c r="E20" i="1" s="1"/>
  <c r="Q50" i="4"/>
  <c r="P50" i="4"/>
  <c r="E95" i="1" s="1"/>
  <c r="Q49" i="4"/>
  <c r="P49" i="4"/>
  <c r="E94" i="1" s="1"/>
  <c r="Q48" i="4"/>
  <c r="P48" i="4"/>
  <c r="E93" i="1" s="1"/>
  <c r="Q47" i="4"/>
  <c r="P47" i="4"/>
  <c r="E92" i="1" s="1"/>
  <c r="Q46" i="4"/>
  <c r="P46" i="4"/>
  <c r="E91" i="1" s="1"/>
  <c r="Q45" i="4"/>
  <c r="P45" i="4"/>
  <c r="E90" i="1" s="1"/>
  <c r="Q44" i="4"/>
  <c r="P44" i="4"/>
  <c r="E89" i="1" s="1"/>
  <c r="Q43" i="4"/>
  <c r="P43" i="4"/>
  <c r="E88" i="1" s="1"/>
  <c r="Q42" i="4"/>
  <c r="P42" i="4"/>
  <c r="E87" i="1" s="1"/>
  <c r="Q41" i="4"/>
  <c r="P41" i="4"/>
  <c r="E67" i="1" s="1"/>
  <c r="Q40" i="4"/>
  <c r="P40" i="4"/>
  <c r="Q39" i="4"/>
  <c r="P39" i="4"/>
  <c r="E63" i="1" s="1"/>
  <c r="Q38" i="4"/>
  <c r="P38" i="4"/>
  <c r="Q37" i="4"/>
  <c r="P37" i="4"/>
  <c r="Q36" i="4"/>
  <c r="P36" i="4"/>
  <c r="Q35" i="4"/>
  <c r="P35" i="4"/>
  <c r="E57" i="1" s="1"/>
  <c r="Q34" i="4"/>
  <c r="P34" i="4"/>
  <c r="E86" i="1" s="1"/>
  <c r="Q33" i="4"/>
  <c r="P33" i="4"/>
  <c r="E85" i="1" s="1"/>
  <c r="Q32" i="4"/>
  <c r="P32" i="4"/>
  <c r="E84" i="1" s="1"/>
  <c r="Q31" i="4"/>
  <c r="P31" i="4"/>
  <c r="E40" i="1" s="1"/>
  <c r="Q30" i="4"/>
  <c r="P30" i="4"/>
  <c r="Q29" i="4"/>
  <c r="P29" i="4"/>
  <c r="E27" i="1" s="1"/>
  <c r="Q28" i="4"/>
  <c r="P28" i="4"/>
  <c r="Q27" i="4"/>
  <c r="P27" i="4"/>
  <c r="E34" i="1" s="1"/>
  <c r="Q26" i="4"/>
  <c r="P26" i="4"/>
  <c r="Q25" i="4"/>
  <c r="P25" i="4"/>
  <c r="E38" i="1" s="1"/>
  <c r="Q24" i="4"/>
  <c r="P24" i="4"/>
  <c r="E83" i="1" s="1"/>
  <c r="Q23" i="4"/>
  <c r="P23" i="4"/>
  <c r="E82" i="1" s="1"/>
  <c r="Q22" i="4"/>
  <c r="P22" i="4"/>
  <c r="E81" i="1" s="1"/>
  <c r="Q21" i="4"/>
  <c r="P21" i="4"/>
  <c r="E80" i="1" s="1"/>
  <c r="Q20" i="4"/>
  <c r="P20" i="4"/>
  <c r="E79" i="1" s="1"/>
  <c r="Q19" i="4"/>
  <c r="P19" i="4"/>
  <c r="E78" i="1" s="1"/>
  <c r="Q18" i="4"/>
  <c r="P18" i="4"/>
  <c r="E77" i="1" s="1"/>
  <c r="Q17" i="4"/>
  <c r="P17" i="4"/>
  <c r="E76" i="1" s="1"/>
  <c r="Q16" i="4"/>
  <c r="P16" i="4"/>
  <c r="E75" i="1" s="1"/>
  <c r="Q15" i="4"/>
  <c r="P15" i="4"/>
  <c r="E74" i="1" s="1"/>
  <c r="Q14" i="4"/>
  <c r="P14" i="4"/>
  <c r="E73" i="1" s="1"/>
  <c r="Q13" i="4"/>
  <c r="P13" i="4"/>
  <c r="E72" i="1" s="1"/>
  <c r="Q12" i="4"/>
  <c r="P12" i="4"/>
  <c r="E71" i="1" s="1"/>
  <c r="Q11" i="4"/>
  <c r="P11" i="4"/>
  <c r="E52" i="1" s="1"/>
  <c r="Q10" i="4"/>
  <c r="P10" i="4"/>
  <c r="Q9" i="4"/>
  <c r="P9" i="4"/>
  <c r="E28" i="1" s="1"/>
  <c r="Q8" i="4"/>
  <c r="P8" i="4"/>
  <c r="Q7" i="4"/>
  <c r="P7" i="4"/>
  <c r="E33" i="1" s="1"/>
  <c r="Q6" i="4"/>
  <c r="P6" i="4"/>
  <c r="Q5" i="4"/>
  <c r="P5" i="4"/>
  <c r="E70" i="1" s="1"/>
  <c r="Q4" i="4"/>
  <c r="P4" i="4"/>
  <c r="E69" i="1" s="1"/>
  <c r="Q3" i="4"/>
  <c r="P3" i="4"/>
  <c r="E7" i="1" s="1"/>
  <c r="Q2" i="4"/>
  <c r="P2" i="4"/>
  <c r="F2" i="6"/>
  <c r="E2" i="6"/>
  <c r="D2" i="6"/>
  <c r="C2" i="6"/>
  <c r="E135" i="2"/>
  <c r="E134" i="2"/>
  <c r="E133" i="2"/>
  <c r="E132" i="2"/>
  <c r="E131" i="2"/>
  <c r="E130" i="2"/>
  <c r="E129" i="2"/>
  <c r="E128" i="2"/>
  <c r="E127" i="2"/>
  <c r="E126" i="2"/>
  <c r="E125" i="2"/>
  <c r="E124" i="2"/>
  <c r="E123" i="2"/>
  <c r="E122" i="2"/>
  <c r="E121" i="2"/>
  <c r="E120" i="2"/>
  <c r="E119" i="2"/>
  <c r="E118" i="2"/>
  <c r="E117" i="2"/>
  <c r="E116" i="2"/>
  <c r="E115" i="2"/>
  <c r="E114" i="2"/>
  <c r="E113" i="2"/>
  <c r="E112" i="2"/>
  <c r="E111" i="2"/>
  <c r="E110" i="2"/>
  <c r="E109" i="2"/>
  <c r="E108" i="2"/>
  <c r="E107" i="2"/>
  <c r="E106" i="2"/>
  <c r="E105" i="2"/>
  <c r="E104" i="2"/>
  <c r="E103" i="2"/>
  <c r="E102" i="2"/>
  <c r="E101" i="2"/>
  <c r="E100" i="2"/>
  <c r="E99" i="2"/>
  <c r="E98" i="2"/>
  <c r="E97" i="2"/>
  <c r="E96" i="2"/>
  <c r="E95" i="2"/>
  <c r="E94" i="2"/>
  <c r="E93" i="2"/>
  <c r="E92" i="2"/>
  <c r="E91" i="2"/>
  <c r="E90" i="2"/>
  <c r="E89" i="2"/>
  <c r="E88" i="2"/>
  <c r="E87" i="2"/>
  <c r="E86" i="2"/>
  <c r="E85" i="2"/>
  <c r="E84" i="2"/>
  <c r="E83" i="2"/>
  <c r="E82" i="2"/>
  <c r="E81" i="2"/>
  <c r="E80" i="2"/>
  <c r="E79" i="2"/>
  <c r="E78" i="2"/>
  <c r="E77" i="2"/>
  <c r="E76" i="2"/>
  <c r="E75" i="2"/>
  <c r="E74" i="2"/>
  <c r="E73" i="2"/>
  <c r="E72" i="2"/>
  <c r="E71" i="2"/>
  <c r="E70" i="2"/>
  <c r="E69" i="2"/>
  <c r="E68" i="2"/>
  <c r="E67" i="2"/>
  <c r="E66" i="2"/>
  <c r="E65" i="2"/>
  <c r="E64" i="2"/>
  <c r="E63" i="2"/>
  <c r="E62" i="2"/>
  <c r="E61" i="2"/>
  <c r="E60" i="2"/>
  <c r="E59" i="2"/>
  <c r="E58" i="2"/>
  <c r="E57" i="2"/>
  <c r="E56" i="2"/>
  <c r="E55" i="2"/>
  <c r="E54" i="2"/>
  <c r="E53" i="2"/>
  <c r="E52" i="2"/>
  <c r="E51" i="2"/>
  <c r="E50" i="2"/>
  <c r="E49" i="2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M73" i="8"/>
  <c r="M72" i="8"/>
  <c r="M71" i="8"/>
  <c r="M70" i="8"/>
  <c r="M69" i="8"/>
  <c r="M68" i="8"/>
  <c r="M67" i="8"/>
  <c r="M66" i="8"/>
  <c r="M65" i="8"/>
  <c r="AC61" i="8"/>
  <c r="X61" i="8"/>
  <c r="V61" i="8"/>
  <c r="P61" i="8"/>
  <c r="O61" i="8"/>
  <c r="K61" i="8"/>
  <c r="L61" i="8" s="1"/>
  <c r="M61" i="8" s="1"/>
  <c r="N61" i="8" s="1"/>
  <c r="S61" i="8" s="1"/>
  <c r="T61" i="8" s="1"/>
  <c r="G61" i="8"/>
  <c r="F61" i="8"/>
  <c r="E61" i="8"/>
  <c r="C61" i="8"/>
  <c r="A61" i="8"/>
  <c r="AC60" i="8"/>
  <c r="X60" i="8"/>
  <c r="W60" i="8"/>
  <c r="M60" i="8" s="1"/>
  <c r="P60" i="8"/>
  <c r="O60" i="8"/>
  <c r="K60" i="8"/>
  <c r="G60" i="8"/>
  <c r="E60" i="8"/>
  <c r="C60" i="8"/>
  <c r="A60" i="8"/>
  <c r="AC59" i="8"/>
  <c r="X59" i="8"/>
  <c r="W59" i="8"/>
  <c r="P59" i="8"/>
  <c r="O59" i="8"/>
  <c r="K59" i="8"/>
  <c r="M59" i="8" s="1"/>
  <c r="G59" i="8"/>
  <c r="F59" i="8"/>
  <c r="E59" i="8"/>
  <c r="C59" i="8"/>
  <c r="A59" i="8"/>
  <c r="AC58" i="8"/>
  <c r="X58" i="8"/>
  <c r="W58" i="8"/>
  <c r="P58" i="8"/>
  <c r="O58" i="8"/>
  <c r="K58" i="8"/>
  <c r="M58" i="8" s="1"/>
  <c r="G58" i="8"/>
  <c r="F58" i="8"/>
  <c r="E58" i="8"/>
  <c r="C58" i="8"/>
  <c r="A58" i="8"/>
  <c r="AC57" i="8"/>
  <c r="X57" i="8"/>
  <c r="W57" i="8"/>
  <c r="P57" i="8"/>
  <c r="O57" i="8"/>
  <c r="K57" i="8"/>
  <c r="G57" i="8"/>
  <c r="F57" i="8"/>
  <c r="E57" i="8"/>
  <c r="C57" i="8"/>
  <c r="A57" i="8"/>
  <c r="AC56" i="8"/>
  <c r="X56" i="8"/>
  <c r="W56" i="8"/>
  <c r="M56" i="8" s="1"/>
  <c r="P56" i="8"/>
  <c r="O56" i="8"/>
  <c r="K56" i="8"/>
  <c r="L56" i="8" s="1"/>
  <c r="G56" i="8"/>
  <c r="F56" i="8"/>
  <c r="E56" i="8"/>
  <c r="C56" i="8"/>
  <c r="A56" i="8"/>
  <c r="AC55" i="8"/>
  <c r="X55" i="8"/>
  <c r="W55" i="8"/>
  <c r="P55" i="8"/>
  <c r="O55" i="8"/>
  <c r="K55" i="8"/>
  <c r="G55" i="8"/>
  <c r="F55" i="8"/>
  <c r="E55" i="8"/>
  <c r="C55" i="8"/>
  <c r="A55" i="8"/>
  <c r="AC54" i="8"/>
  <c r="X54" i="8"/>
  <c r="W54" i="8"/>
  <c r="M54" i="8" s="1"/>
  <c r="P54" i="8"/>
  <c r="O54" i="8"/>
  <c r="K54" i="8"/>
  <c r="L54" i="8" s="1"/>
  <c r="G54" i="8"/>
  <c r="E54" i="8"/>
  <c r="C54" i="8"/>
  <c r="A54" i="8"/>
  <c r="AC53" i="8"/>
  <c r="X53" i="8"/>
  <c r="W53" i="8"/>
  <c r="P53" i="8"/>
  <c r="O53" i="8"/>
  <c r="K53" i="8"/>
  <c r="M53" i="8" s="1"/>
  <c r="G53" i="8"/>
  <c r="E53" i="8"/>
  <c r="C53" i="8"/>
  <c r="A53" i="8"/>
  <c r="AC52" i="8"/>
  <c r="X52" i="8"/>
  <c r="W52" i="8"/>
  <c r="P52" i="8"/>
  <c r="O52" i="8"/>
  <c r="K52" i="8"/>
  <c r="G52" i="8"/>
  <c r="E52" i="8"/>
  <c r="C52" i="8"/>
  <c r="A52" i="8"/>
  <c r="AC51" i="8"/>
  <c r="X51" i="8"/>
  <c r="W51" i="8"/>
  <c r="P51" i="8"/>
  <c r="O51" i="8"/>
  <c r="K51" i="8"/>
  <c r="M51" i="8" s="1"/>
  <c r="G51" i="8"/>
  <c r="E51" i="8"/>
  <c r="C51" i="8"/>
  <c r="A51" i="8"/>
  <c r="AC50" i="8"/>
  <c r="X50" i="8"/>
  <c r="W50" i="8"/>
  <c r="P50" i="8"/>
  <c r="O50" i="8"/>
  <c r="K50" i="8"/>
  <c r="M50" i="8" s="1"/>
  <c r="G50" i="8"/>
  <c r="E50" i="8"/>
  <c r="C50" i="8"/>
  <c r="A50" i="8"/>
  <c r="AC49" i="8"/>
  <c r="X49" i="8"/>
  <c r="V49" i="8"/>
  <c r="P49" i="8"/>
  <c r="O49" i="8"/>
  <c r="K49" i="8" s="1"/>
  <c r="G49" i="8"/>
  <c r="E49" i="8"/>
  <c r="C49" i="8"/>
  <c r="A49" i="8"/>
  <c r="AC48" i="8"/>
  <c r="X48" i="8"/>
  <c r="W48" i="8"/>
  <c r="M48" i="8" s="1"/>
  <c r="P48" i="8"/>
  <c r="O48" i="8"/>
  <c r="K48" i="8"/>
  <c r="G48" i="8"/>
  <c r="F48" i="8"/>
  <c r="E48" i="8"/>
  <c r="C48" i="8"/>
  <c r="A48" i="8"/>
  <c r="AC47" i="8"/>
  <c r="X47" i="8"/>
  <c r="W47" i="8"/>
  <c r="P47" i="8"/>
  <c r="O47" i="8"/>
  <c r="K47" i="8"/>
  <c r="G47" i="8"/>
  <c r="F47" i="8"/>
  <c r="E47" i="8"/>
  <c r="C47" i="8"/>
  <c r="A47" i="8"/>
  <c r="AC46" i="8"/>
  <c r="X46" i="8"/>
  <c r="W46" i="8"/>
  <c r="P46" i="8"/>
  <c r="O46" i="8"/>
  <c r="K46" i="8"/>
  <c r="G46" i="8"/>
  <c r="F46" i="8"/>
  <c r="E46" i="8"/>
  <c r="C46" i="8"/>
  <c r="A46" i="8"/>
  <c r="AC45" i="8"/>
  <c r="X45" i="8"/>
  <c r="V45" i="8"/>
  <c r="P45" i="8"/>
  <c r="O45" i="8"/>
  <c r="G45" i="8"/>
  <c r="F45" i="8"/>
  <c r="E45" i="8"/>
  <c r="C45" i="8"/>
  <c r="A45" i="8"/>
  <c r="AC44" i="8"/>
  <c r="X44" i="8"/>
  <c r="W44" i="8"/>
  <c r="P44" i="8"/>
  <c r="O44" i="8"/>
  <c r="K44" i="8"/>
  <c r="M44" i="8" s="1"/>
  <c r="G44" i="8"/>
  <c r="E44" i="8"/>
  <c r="C44" i="8"/>
  <c r="A44" i="8"/>
  <c r="AC43" i="8"/>
  <c r="X43" i="8"/>
  <c r="W43" i="8"/>
  <c r="M43" i="8" s="1"/>
  <c r="P43" i="8"/>
  <c r="O43" i="8"/>
  <c r="K43" i="8"/>
  <c r="G43" i="8"/>
  <c r="F43" i="8"/>
  <c r="E43" i="8"/>
  <c r="C43" i="8"/>
  <c r="A43" i="8"/>
  <c r="AC42" i="8"/>
  <c r="X42" i="8"/>
  <c r="W42" i="8"/>
  <c r="P42" i="8"/>
  <c r="O42" i="8"/>
  <c r="K42" i="8"/>
  <c r="G42" i="8"/>
  <c r="F42" i="8"/>
  <c r="E42" i="8"/>
  <c r="C42" i="8"/>
  <c r="A42" i="8"/>
  <c r="AC41" i="8"/>
  <c r="X41" i="8"/>
  <c r="W41" i="8"/>
  <c r="P41" i="8"/>
  <c r="O41" i="8"/>
  <c r="K41" i="8"/>
  <c r="G41" i="8"/>
  <c r="F41" i="8"/>
  <c r="E41" i="8"/>
  <c r="C41" i="8"/>
  <c r="A41" i="8"/>
  <c r="AC40" i="8"/>
  <c r="X40" i="8"/>
  <c r="W40" i="8"/>
  <c r="P40" i="8"/>
  <c r="O40" i="8"/>
  <c r="K40" i="8"/>
  <c r="G40" i="8"/>
  <c r="E40" i="8"/>
  <c r="C40" i="8"/>
  <c r="A40" i="8"/>
  <c r="AC39" i="8"/>
  <c r="X39" i="8"/>
  <c r="W39" i="8"/>
  <c r="P39" i="8"/>
  <c r="O39" i="8"/>
  <c r="K39" i="8"/>
  <c r="M39" i="8" s="1"/>
  <c r="G39" i="8"/>
  <c r="F39" i="8"/>
  <c r="E39" i="8"/>
  <c r="C39" i="8"/>
  <c r="A39" i="8"/>
  <c r="AC38" i="8"/>
  <c r="X38" i="8"/>
  <c r="W38" i="8"/>
  <c r="M38" i="8" s="1"/>
  <c r="P38" i="8"/>
  <c r="O38" i="8"/>
  <c r="K38" i="8"/>
  <c r="L38" i="8" s="1"/>
  <c r="G38" i="8"/>
  <c r="E38" i="8"/>
  <c r="C38" i="8"/>
  <c r="A38" i="8"/>
  <c r="AC37" i="8"/>
  <c r="X37" i="8"/>
  <c r="W37" i="8"/>
  <c r="M37" i="8" s="1"/>
  <c r="P37" i="8"/>
  <c r="O37" i="8"/>
  <c r="K37" i="8"/>
  <c r="G37" i="8"/>
  <c r="E37" i="8"/>
  <c r="C37" i="8"/>
  <c r="A37" i="8"/>
  <c r="AC36" i="8"/>
  <c r="X36" i="8"/>
  <c r="W36" i="8"/>
  <c r="M36" i="8" s="1"/>
  <c r="P36" i="8"/>
  <c r="O36" i="8"/>
  <c r="K36" i="8"/>
  <c r="L36" i="8" s="1"/>
  <c r="G36" i="8"/>
  <c r="E36" i="8"/>
  <c r="C36" i="8"/>
  <c r="A36" i="8"/>
  <c r="AC35" i="8"/>
  <c r="X35" i="8"/>
  <c r="W35" i="8"/>
  <c r="M35" i="8" s="1"/>
  <c r="P35" i="8"/>
  <c r="O35" i="8"/>
  <c r="K35" i="8"/>
  <c r="L35" i="8" s="1"/>
  <c r="G35" i="8"/>
  <c r="F35" i="8"/>
  <c r="E35" i="8"/>
  <c r="C35" i="8"/>
  <c r="A35" i="8"/>
  <c r="AC34" i="8"/>
  <c r="X34" i="8"/>
  <c r="W34" i="8"/>
  <c r="M34" i="8" s="1"/>
  <c r="P34" i="8"/>
  <c r="O34" i="8"/>
  <c r="K34" i="8"/>
  <c r="L34" i="8" s="1"/>
  <c r="G34" i="8"/>
  <c r="F34" i="8"/>
  <c r="E34" i="8"/>
  <c r="C34" i="8"/>
  <c r="A34" i="8"/>
  <c r="AC33" i="8"/>
  <c r="X33" i="8"/>
  <c r="V33" i="8"/>
  <c r="P33" i="8"/>
  <c r="O33" i="8"/>
  <c r="K33" i="8"/>
  <c r="L33" i="8" s="1"/>
  <c r="G33" i="8"/>
  <c r="F33" i="8"/>
  <c r="E33" i="8"/>
  <c r="C33" i="8"/>
  <c r="A33" i="8"/>
  <c r="AC32" i="8"/>
  <c r="X32" i="8"/>
  <c r="W32" i="8"/>
  <c r="P32" i="8"/>
  <c r="O32" i="8"/>
  <c r="K32" i="8"/>
  <c r="G32" i="8"/>
  <c r="E32" i="8"/>
  <c r="C32" i="8"/>
  <c r="A32" i="8"/>
  <c r="AC31" i="8"/>
  <c r="X31" i="8"/>
  <c r="W31" i="8"/>
  <c r="P31" i="8"/>
  <c r="O31" i="8"/>
  <c r="K31" i="8"/>
  <c r="M31" i="8" s="1"/>
  <c r="G31" i="8"/>
  <c r="F31" i="8"/>
  <c r="E31" i="8"/>
  <c r="C31" i="8"/>
  <c r="A31" i="8"/>
  <c r="AC30" i="8"/>
  <c r="X30" i="8"/>
  <c r="W30" i="8"/>
  <c r="P30" i="8"/>
  <c r="O30" i="8"/>
  <c r="K30" i="8"/>
  <c r="M30" i="8" s="1"/>
  <c r="G30" i="8"/>
  <c r="E30" i="8"/>
  <c r="C30" i="8"/>
  <c r="A30" i="8"/>
  <c r="AC29" i="8"/>
  <c r="X29" i="8"/>
  <c r="V29" i="8"/>
  <c r="P29" i="8"/>
  <c r="O29" i="8"/>
  <c r="K29" i="8"/>
  <c r="G29" i="8"/>
  <c r="F29" i="8"/>
  <c r="E29" i="8"/>
  <c r="C29" i="8"/>
  <c r="A29" i="8"/>
  <c r="AC28" i="8"/>
  <c r="X28" i="8"/>
  <c r="W28" i="8"/>
  <c r="M28" i="8" s="1"/>
  <c r="P28" i="8"/>
  <c r="O28" i="8"/>
  <c r="K28" i="8"/>
  <c r="L28" i="8" s="1"/>
  <c r="G28" i="8"/>
  <c r="F28" i="8"/>
  <c r="E28" i="8"/>
  <c r="C28" i="8"/>
  <c r="A28" i="8"/>
  <c r="AC27" i="8"/>
  <c r="X27" i="8"/>
  <c r="W27" i="8"/>
  <c r="M27" i="8" s="1"/>
  <c r="P27" i="8"/>
  <c r="O27" i="8"/>
  <c r="K27" i="8"/>
  <c r="G27" i="8"/>
  <c r="F27" i="8"/>
  <c r="E27" i="8"/>
  <c r="C27" i="8"/>
  <c r="A27" i="8"/>
  <c r="AC26" i="8"/>
  <c r="X26" i="8"/>
  <c r="W26" i="8"/>
  <c r="M26" i="8" s="1"/>
  <c r="P26" i="8"/>
  <c r="O26" i="8"/>
  <c r="K26" i="8"/>
  <c r="L26" i="8" s="1"/>
  <c r="G26" i="8"/>
  <c r="E26" i="8"/>
  <c r="C26" i="8"/>
  <c r="A26" i="8"/>
  <c r="AC25" i="8"/>
  <c r="X25" i="8"/>
  <c r="W25" i="8"/>
  <c r="M25" i="8" s="1"/>
  <c r="P25" i="8"/>
  <c r="O25" i="8"/>
  <c r="K25" i="8"/>
  <c r="G25" i="8"/>
  <c r="F25" i="8"/>
  <c r="E25" i="8"/>
  <c r="C25" i="8"/>
  <c r="A25" i="8"/>
  <c r="AC24" i="8"/>
  <c r="X24" i="8"/>
  <c r="W24" i="8"/>
  <c r="M24" i="8" s="1"/>
  <c r="P24" i="8"/>
  <c r="O24" i="8"/>
  <c r="K24" i="8"/>
  <c r="G24" i="8"/>
  <c r="E24" i="8"/>
  <c r="C24" i="8"/>
  <c r="A24" i="8"/>
  <c r="AC23" i="8"/>
  <c r="X23" i="8"/>
  <c r="W23" i="8"/>
  <c r="M23" i="8" s="1"/>
  <c r="P23" i="8"/>
  <c r="O23" i="8"/>
  <c r="K23" i="8"/>
  <c r="G23" i="8"/>
  <c r="F23" i="8"/>
  <c r="E23" i="8"/>
  <c r="C23" i="8"/>
  <c r="A23" i="8"/>
  <c r="AC22" i="8"/>
  <c r="X22" i="8"/>
  <c r="W22" i="8"/>
  <c r="M22" i="8" s="1"/>
  <c r="P22" i="8"/>
  <c r="O22" i="8"/>
  <c r="K22" i="8"/>
  <c r="G22" i="8"/>
  <c r="E22" i="8"/>
  <c r="C22" i="8"/>
  <c r="A22" i="8"/>
  <c r="AC21" i="8"/>
  <c r="X21" i="8"/>
  <c r="W21" i="8"/>
  <c r="M21" i="8" s="1"/>
  <c r="P21" i="8"/>
  <c r="O21" i="8"/>
  <c r="K21" i="8"/>
  <c r="L21" i="8" s="1"/>
  <c r="G21" i="8"/>
  <c r="E21" i="8"/>
  <c r="C21" i="8"/>
  <c r="A21" i="8"/>
  <c r="AC20" i="8"/>
  <c r="X20" i="8"/>
  <c r="W20" i="8"/>
  <c r="M20" i="8" s="1"/>
  <c r="P20" i="8"/>
  <c r="O20" i="8"/>
  <c r="K20" i="8"/>
  <c r="L20" i="8" s="1"/>
  <c r="G20" i="8"/>
  <c r="E20" i="8"/>
  <c r="C20" i="8"/>
  <c r="A20" i="8"/>
  <c r="AC19" i="8"/>
  <c r="X19" i="8"/>
  <c r="W19" i="8"/>
  <c r="M19" i="8" s="1"/>
  <c r="P19" i="8"/>
  <c r="O19" i="8"/>
  <c r="K19" i="8"/>
  <c r="G19" i="8"/>
  <c r="E19" i="8"/>
  <c r="C19" i="8"/>
  <c r="A19" i="8"/>
  <c r="AC18" i="8"/>
  <c r="X18" i="8"/>
  <c r="W18" i="8"/>
  <c r="M18" i="8" s="1"/>
  <c r="P18" i="8"/>
  <c r="O18" i="8"/>
  <c r="K18" i="8"/>
  <c r="G18" i="8"/>
  <c r="E18" i="8"/>
  <c r="C18" i="8"/>
  <c r="A18" i="8"/>
  <c r="AC17" i="8"/>
  <c r="X17" i="8"/>
  <c r="W17" i="8"/>
  <c r="M17" i="8" s="1"/>
  <c r="P17" i="8"/>
  <c r="O17" i="8"/>
  <c r="K17" i="8"/>
  <c r="L17" i="8" s="1"/>
  <c r="G17" i="8"/>
  <c r="F17" i="8"/>
  <c r="E17" i="8"/>
  <c r="C17" i="8"/>
  <c r="A17" i="8"/>
  <c r="AC16" i="8"/>
  <c r="X16" i="8"/>
  <c r="W16" i="8"/>
  <c r="M16" i="8" s="1"/>
  <c r="P16" i="8"/>
  <c r="O16" i="8"/>
  <c r="K16" i="8"/>
  <c r="G16" i="8"/>
  <c r="F16" i="8"/>
  <c r="E16" i="8"/>
  <c r="C16" i="8"/>
  <c r="A16" i="8"/>
  <c r="AC15" i="8"/>
  <c r="X15" i="8"/>
  <c r="W15" i="8"/>
  <c r="M15" i="8" s="1"/>
  <c r="P15" i="8"/>
  <c r="O15" i="8"/>
  <c r="K15" i="8"/>
  <c r="G15" i="8"/>
  <c r="E15" i="8"/>
  <c r="C15" i="8"/>
  <c r="A15" i="8"/>
  <c r="AC14" i="8"/>
  <c r="X14" i="8"/>
  <c r="W14" i="8"/>
  <c r="M14" i="8" s="1"/>
  <c r="P14" i="8"/>
  <c r="O14" i="8"/>
  <c r="K14" i="8"/>
  <c r="G14" i="8"/>
  <c r="E14" i="8"/>
  <c r="C14" i="8"/>
  <c r="A14" i="8"/>
  <c r="AC13" i="8"/>
  <c r="X13" i="8"/>
  <c r="W13" i="8"/>
  <c r="M13" i="8" s="1"/>
  <c r="P13" i="8"/>
  <c r="O13" i="8"/>
  <c r="K13" i="8"/>
  <c r="L13" i="8" s="1"/>
  <c r="G13" i="8"/>
  <c r="E13" i="8"/>
  <c r="C13" i="8"/>
  <c r="A13" i="8"/>
  <c r="AC12" i="8"/>
  <c r="X12" i="8"/>
  <c r="W12" i="8"/>
  <c r="M12" i="8" s="1"/>
  <c r="P12" i="8"/>
  <c r="O12" i="8"/>
  <c r="K12" i="8"/>
  <c r="G12" i="8"/>
  <c r="E12" i="8"/>
  <c r="C12" i="8"/>
  <c r="A12" i="8"/>
  <c r="AC11" i="8"/>
  <c r="X11" i="8"/>
  <c r="W11" i="8"/>
  <c r="M11" i="8" s="1"/>
  <c r="P11" i="8"/>
  <c r="O11" i="8"/>
  <c r="G11" i="8"/>
  <c r="F11" i="8"/>
  <c r="E11" i="8"/>
  <c r="C11" i="8"/>
  <c r="A11" i="8"/>
  <c r="AC10" i="8"/>
  <c r="X10" i="8"/>
  <c r="W10" i="8"/>
  <c r="M10" i="8" s="1"/>
  <c r="P10" i="8"/>
  <c r="O10" i="8"/>
  <c r="G10" i="8"/>
  <c r="F10" i="8"/>
  <c r="E10" i="8"/>
  <c r="C10" i="8"/>
  <c r="A10" i="8"/>
  <c r="AC9" i="8"/>
  <c r="X9" i="8"/>
  <c r="W9" i="8"/>
  <c r="M9" i="8" s="1"/>
  <c r="P9" i="8"/>
  <c r="O9" i="8"/>
  <c r="K9" i="8" s="1"/>
  <c r="L9" i="8" s="1"/>
  <c r="G9" i="8"/>
  <c r="E9" i="8"/>
  <c r="C9" i="8"/>
  <c r="A9" i="8"/>
  <c r="AC8" i="8"/>
  <c r="X8" i="8"/>
  <c r="V8" i="8"/>
  <c r="P8" i="8"/>
  <c r="O8" i="8"/>
  <c r="K8" i="8"/>
  <c r="L8" i="8" s="1"/>
  <c r="M8" i="8" s="1"/>
  <c r="N8" i="8" s="1"/>
  <c r="S8" i="8" s="1"/>
  <c r="G8" i="8"/>
  <c r="E8" i="8"/>
  <c r="C8" i="8"/>
  <c r="A8" i="8"/>
  <c r="AC7" i="8"/>
  <c r="X7" i="8"/>
  <c r="W7" i="8"/>
  <c r="M7" i="8" s="1"/>
  <c r="P7" i="8"/>
  <c r="O7" i="8"/>
  <c r="K7" i="8"/>
  <c r="L7" i="8" s="1"/>
  <c r="G7" i="8"/>
  <c r="F7" i="8"/>
  <c r="E7" i="8"/>
  <c r="C7" i="8"/>
  <c r="A7" i="8"/>
  <c r="AC6" i="8"/>
  <c r="X6" i="8"/>
  <c r="W6" i="8"/>
  <c r="M6" i="8" s="1"/>
  <c r="P6" i="8"/>
  <c r="O6" i="8"/>
  <c r="G6" i="8"/>
  <c r="E6" i="8"/>
  <c r="C6" i="8"/>
  <c r="A6" i="8"/>
  <c r="AC5" i="8"/>
  <c r="X5" i="8"/>
  <c r="W5" i="8"/>
  <c r="M5" i="8" s="1"/>
  <c r="P5" i="8"/>
  <c r="O5" i="8"/>
  <c r="G5" i="8"/>
  <c r="F5" i="8"/>
  <c r="E5" i="8"/>
  <c r="C5" i="8"/>
  <c r="A5" i="8"/>
  <c r="AC4" i="8"/>
  <c r="X4" i="8"/>
  <c r="W4" i="8"/>
  <c r="M4" i="8" s="1"/>
  <c r="P4" i="8"/>
  <c r="O4" i="8"/>
  <c r="K4" i="8" s="1"/>
  <c r="Q4" i="8" s="1"/>
  <c r="G4" i="8"/>
  <c r="F4" i="8"/>
  <c r="E4" i="8"/>
  <c r="C4" i="8"/>
  <c r="A4" i="8"/>
  <c r="AC3" i="8"/>
  <c r="X3" i="8"/>
  <c r="W3" i="8"/>
  <c r="M3" i="8" s="1"/>
  <c r="P3" i="8"/>
  <c r="O3" i="8"/>
  <c r="K3" i="8"/>
  <c r="L3" i="8" s="1"/>
  <c r="G3" i="8"/>
  <c r="F3" i="8"/>
  <c r="E3" i="8"/>
  <c r="C3" i="8"/>
  <c r="A3" i="8"/>
  <c r="AE1" i="8"/>
  <c r="Z1" i="8"/>
  <c r="K1" i="8"/>
  <c r="L150" i="1"/>
  <c r="L149" i="1"/>
  <c r="L148" i="1"/>
  <c r="L147" i="1"/>
  <c r="L146" i="1"/>
  <c r="L145" i="1"/>
  <c r="L144" i="1"/>
  <c r="L143" i="1"/>
  <c r="L142" i="1"/>
  <c r="V68" i="1"/>
  <c r="L68" i="1" s="1"/>
  <c r="O68" i="1"/>
  <c r="N68" i="1"/>
  <c r="J68" i="1"/>
  <c r="F68" i="1"/>
  <c r="E68" i="1"/>
  <c r="D68" i="1"/>
  <c r="B68" i="1"/>
  <c r="V67" i="1"/>
  <c r="L67" i="1" s="1"/>
  <c r="O67" i="1"/>
  <c r="N67" i="1"/>
  <c r="J67" i="1"/>
  <c r="F67" i="1"/>
  <c r="D67" i="1"/>
  <c r="B67" i="1"/>
  <c r="V66" i="1"/>
  <c r="L66" i="1" s="1"/>
  <c r="O66" i="1"/>
  <c r="N66" i="1"/>
  <c r="J66" i="1"/>
  <c r="F66" i="1"/>
  <c r="E66" i="1"/>
  <c r="D66" i="1"/>
  <c r="B66" i="1"/>
  <c r="U65" i="1"/>
  <c r="O65" i="1"/>
  <c r="N65" i="1"/>
  <c r="J65" i="1"/>
  <c r="F65" i="1"/>
  <c r="E65" i="1"/>
  <c r="D65" i="1"/>
  <c r="B65" i="1"/>
  <c r="V64" i="1"/>
  <c r="O64" i="1"/>
  <c r="N64" i="1"/>
  <c r="J64" i="1"/>
  <c r="L64" i="1" s="1"/>
  <c r="F64" i="1"/>
  <c r="E64" i="1"/>
  <c r="D64" i="1"/>
  <c r="B64" i="1"/>
  <c r="U63" i="1"/>
  <c r="O63" i="1"/>
  <c r="N63" i="1"/>
  <c r="J63" i="1"/>
  <c r="F63" i="1"/>
  <c r="D63" i="1"/>
  <c r="B63" i="1"/>
  <c r="V62" i="1"/>
  <c r="O62" i="1"/>
  <c r="N62" i="1"/>
  <c r="J62" i="1"/>
  <c r="L62" i="1" s="1"/>
  <c r="F62" i="1"/>
  <c r="E62" i="1"/>
  <c r="D62" i="1"/>
  <c r="B62" i="1"/>
  <c r="V61" i="1"/>
  <c r="O61" i="1"/>
  <c r="N61" i="1"/>
  <c r="J61" i="1"/>
  <c r="L61" i="1" s="1"/>
  <c r="F61" i="1"/>
  <c r="E61" i="1"/>
  <c r="D61" i="1"/>
  <c r="B61" i="1"/>
  <c r="U60" i="1"/>
  <c r="O60" i="1"/>
  <c r="N60" i="1"/>
  <c r="J60" i="1"/>
  <c r="F60" i="1"/>
  <c r="E60" i="1"/>
  <c r="D60" i="1"/>
  <c r="B60" i="1"/>
  <c r="U59" i="1"/>
  <c r="O59" i="1"/>
  <c r="N59" i="1"/>
  <c r="J59" i="1"/>
  <c r="F59" i="1"/>
  <c r="E59" i="1"/>
  <c r="D59" i="1"/>
  <c r="B59" i="1"/>
  <c r="U58" i="1"/>
  <c r="O58" i="1"/>
  <c r="N58" i="1"/>
  <c r="J58" i="1"/>
  <c r="F58" i="1"/>
  <c r="D58" i="1"/>
  <c r="B58" i="1"/>
  <c r="V57" i="1"/>
  <c r="O57" i="1"/>
  <c r="N57" i="1"/>
  <c r="J57" i="1"/>
  <c r="L57" i="1" s="1"/>
  <c r="F57" i="1"/>
  <c r="D57" i="1"/>
  <c r="B57" i="1"/>
  <c r="V56" i="1"/>
  <c r="L56" i="1" s="1"/>
  <c r="O56" i="1"/>
  <c r="N56" i="1"/>
  <c r="J56" i="1"/>
  <c r="F56" i="1"/>
  <c r="E56" i="1"/>
  <c r="D56" i="1"/>
  <c r="B56" i="1"/>
  <c r="V55" i="1"/>
  <c r="L55" i="1" s="1"/>
  <c r="O55" i="1"/>
  <c r="N55" i="1"/>
  <c r="J55" i="1" s="1"/>
  <c r="F55" i="1"/>
  <c r="E55" i="1"/>
  <c r="D55" i="1"/>
  <c r="B55" i="1"/>
  <c r="U54" i="1"/>
  <c r="O54" i="1"/>
  <c r="N54" i="1"/>
  <c r="J54" i="1"/>
  <c r="F54" i="1"/>
  <c r="E54" i="1"/>
  <c r="D54" i="1"/>
  <c r="B54" i="1"/>
  <c r="V53" i="1"/>
  <c r="L53" i="1" s="1"/>
  <c r="O53" i="1"/>
  <c r="N53" i="1"/>
  <c r="J53" i="1"/>
  <c r="F53" i="1"/>
  <c r="E53" i="1"/>
  <c r="D53" i="1"/>
  <c r="B53" i="1"/>
  <c r="V52" i="1"/>
  <c r="L52" i="1" s="1"/>
  <c r="O52" i="1"/>
  <c r="N52" i="1"/>
  <c r="J52" i="1"/>
  <c r="F52" i="1"/>
  <c r="D52" i="1"/>
  <c r="B52" i="1"/>
  <c r="V51" i="1"/>
  <c r="L51" i="1" s="1"/>
  <c r="O51" i="1"/>
  <c r="N51" i="1"/>
  <c r="J51" i="1"/>
  <c r="F51" i="1"/>
  <c r="E51" i="1"/>
  <c r="D51" i="1"/>
  <c r="B51" i="1"/>
  <c r="U50" i="1"/>
  <c r="O50" i="1"/>
  <c r="N50" i="1"/>
  <c r="J50" i="1"/>
  <c r="F50" i="1"/>
  <c r="E50" i="1"/>
  <c r="D50" i="1"/>
  <c r="B50" i="1"/>
  <c r="U49" i="1"/>
  <c r="O49" i="1"/>
  <c r="N49" i="1"/>
  <c r="J49" i="1"/>
  <c r="F49" i="1"/>
  <c r="E49" i="1"/>
  <c r="D49" i="1"/>
  <c r="B49" i="1"/>
  <c r="V48" i="1"/>
  <c r="L48" i="1" s="1"/>
  <c r="O48" i="1"/>
  <c r="N48" i="1"/>
  <c r="J48" i="1"/>
  <c r="F48" i="1"/>
  <c r="E48" i="1"/>
  <c r="D48" i="1"/>
  <c r="B48" i="1"/>
  <c r="V47" i="1"/>
  <c r="L47" i="1" s="1"/>
  <c r="O47" i="1"/>
  <c r="N47" i="1"/>
  <c r="F47" i="1"/>
  <c r="E47" i="1"/>
  <c r="D47" i="1"/>
  <c r="B47" i="1"/>
  <c r="U46" i="1"/>
  <c r="O46" i="1"/>
  <c r="N46" i="1"/>
  <c r="J46" i="1" s="1"/>
  <c r="F46" i="1"/>
  <c r="E46" i="1"/>
  <c r="D46" i="1"/>
  <c r="B46" i="1"/>
  <c r="V45" i="1"/>
  <c r="L45" i="1" s="1"/>
  <c r="O45" i="1"/>
  <c r="N45" i="1"/>
  <c r="F45" i="1"/>
  <c r="E45" i="1"/>
  <c r="D45" i="1"/>
  <c r="B45" i="1"/>
  <c r="U44" i="1"/>
  <c r="O44" i="1"/>
  <c r="N44" i="1"/>
  <c r="F44" i="1"/>
  <c r="E44" i="1"/>
  <c r="D44" i="1"/>
  <c r="B44" i="1"/>
  <c r="V43" i="1"/>
  <c r="L43" i="1" s="1"/>
  <c r="O43" i="1"/>
  <c r="N43" i="1"/>
  <c r="J43" i="1"/>
  <c r="F43" i="1"/>
  <c r="E43" i="1"/>
  <c r="D43" i="1"/>
  <c r="B43" i="1"/>
  <c r="V42" i="1"/>
  <c r="L42" i="1" s="1"/>
  <c r="O42" i="1"/>
  <c r="N42" i="1"/>
  <c r="J42" i="1" s="1"/>
  <c r="F42" i="1"/>
  <c r="E42" i="1"/>
  <c r="D42" i="1"/>
  <c r="B42" i="1"/>
  <c r="V41" i="1"/>
  <c r="L41" i="1" s="1"/>
  <c r="O41" i="1"/>
  <c r="N41" i="1"/>
  <c r="F41" i="1"/>
  <c r="E41" i="1"/>
  <c r="D41" i="1"/>
  <c r="B41" i="1"/>
  <c r="V40" i="1"/>
  <c r="O40" i="1"/>
  <c r="N40" i="1"/>
  <c r="J40" i="1"/>
  <c r="L40" i="1" s="1"/>
  <c r="F40" i="1"/>
  <c r="D40" i="1"/>
  <c r="B40" i="1"/>
  <c r="V39" i="1"/>
  <c r="O39" i="1"/>
  <c r="N39" i="1"/>
  <c r="J39" i="1"/>
  <c r="L39" i="1" s="1"/>
  <c r="F39" i="1"/>
  <c r="E39" i="1"/>
  <c r="D39" i="1"/>
  <c r="B39" i="1"/>
  <c r="V38" i="1"/>
  <c r="L38" i="1" s="1"/>
  <c r="O38" i="1"/>
  <c r="N38" i="1"/>
  <c r="J38" i="1" s="1"/>
  <c r="F38" i="1"/>
  <c r="D38" i="1"/>
  <c r="B38" i="1"/>
  <c r="V37" i="1"/>
  <c r="L37" i="1" s="1"/>
  <c r="O37" i="1"/>
  <c r="N37" i="1"/>
  <c r="J37" i="1"/>
  <c r="F37" i="1"/>
  <c r="E37" i="1"/>
  <c r="D37" i="1"/>
  <c r="B37" i="1"/>
  <c r="V36" i="1"/>
  <c r="L36" i="1" s="1"/>
  <c r="O36" i="1"/>
  <c r="N36" i="1"/>
  <c r="J36" i="1" s="1"/>
  <c r="F36" i="1"/>
  <c r="E36" i="1"/>
  <c r="D36" i="1"/>
  <c r="B36" i="1"/>
  <c r="V35" i="1"/>
  <c r="L35" i="1" s="1"/>
  <c r="O35" i="1"/>
  <c r="N35" i="1"/>
  <c r="J35" i="1"/>
  <c r="F35" i="1"/>
  <c r="D35" i="1"/>
  <c r="B35" i="1"/>
  <c r="U34" i="1"/>
  <c r="O34" i="1"/>
  <c r="N34" i="1"/>
  <c r="J34" i="1" s="1"/>
  <c r="F34" i="1"/>
  <c r="D34" i="1"/>
  <c r="B34" i="1"/>
  <c r="U33" i="1"/>
  <c r="O33" i="1"/>
  <c r="N33" i="1"/>
  <c r="J33" i="1" s="1"/>
  <c r="F33" i="1"/>
  <c r="D33" i="1"/>
  <c r="B33" i="1"/>
  <c r="U32" i="1"/>
  <c r="O32" i="1"/>
  <c r="N32" i="1"/>
  <c r="J32" i="1" s="1"/>
  <c r="F32" i="1"/>
  <c r="E32" i="1"/>
  <c r="D32" i="1"/>
  <c r="B32" i="1"/>
  <c r="U31" i="1"/>
  <c r="O31" i="1"/>
  <c r="N31" i="1"/>
  <c r="J31" i="1" s="1"/>
  <c r="F31" i="1"/>
  <c r="D31" i="1"/>
  <c r="B31" i="1"/>
  <c r="V30" i="1"/>
  <c r="L30" i="1" s="1"/>
  <c r="O30" i="1"/>
  <c r="N30" i="1"/>
  <c r="J30" i="1" s="1"/>
  <c r="F30" i="1"/>
  <c r="E30" i="1"/>
  <c r="D30" i="1"/>
  <c r="B30" i="1"/>
  <c r="V29" i="1"/>
  <c r="L29" i="1" s="1"/>
  <c r="O29" i="1"/>
  <c r="N29" i="1"/>
  <c r="J29" i="1"/>
  <c r="F29" i="1"/>
  <c r="E29" i="1"/>
  <c r="D29" i="1"/>
  <c r="B29" i="1"/>
  <c r="V28" i="1"/>
  <c r="L28" i="1" s="1"/>
  <c r="O28" i="1"/>
  <c r="N28" i="1"/>
  <c r="J28" i="1"/>
  <c r="F28" i="1"/>
  <c r="D28" i="1"/>
  <c r="B28" i="1"/>
  <c r="V27" i="1"/>
  <c r="L27" i="1" s="1"/>
  <c r="O27" i="1"/>
  <c r="N27" i="1"/>
  <c r="J27" i="1"/>
  <c r="F27" i="1"/>
  <c r="D27" i="1"/>
  <c r="B27" i="1"/>
  <c r="V26" i="1"/>
  <c r="L26" i="1" s="1"/>
  <c r="O26" i="1"/>
  <c r="N26" i="1"/>
  <c r="J26" i="1"/>
  <c r="F26" i="1"/>
  <c r="E26" i="1"/>
  <c r="D26" i="1"/>
  <c r="B26" i="1"/>
  <c r="V25" i="1"/>
  <c r="L25" i="1" s="1"/>
  <c r="O25" i="1"/>
  <c r="N25" i="1"/>
  <c r="J25" i="1" s="1"/>
  <c r="F25" i="1"/>
  <c r="E25" i="1"/>
  <c r="D25" i="1"/>
  <c r="B25" i="1"/>
  <c r="V24" i="1"/>
  <c r="O24" i="1"/>
  <c r="N24" i="1"/>
  <c r="F24" i="1"/>
  <c r="E24" i="1"/>
  <c r="D24" i="1"/>
  <c r="B24" i="1"/>
  <c r="V23" i="1"/>
  <c r="L23" i="1" s="1"/>
  <c r="O23" i="1"/>
  <c r="N23" i="1"/>
  <c r="J23" i="1"/>
  <c r="F23" i="1"/>
  <c r="E23" i="1"/>
  <c r="D23" i="1"/>
  <c r="B23" i="1"/>
  <c r="V20" i="1"/>
  <c r="L20" i="1" s="1"/>
  <c r="O20" i="1"/>
  <c r="N20" i="1"/>
  <c r="J20" i="1"/>
  <c r="F20" i="1"/>
  <c r="D20" i="1"/>
  <c r="B20" i="1"/>
  <c r="V19" i="1"/>
  <c r="L19" i="1" s="1"/>
  <c r="O19" i="1"/>
  <c r="N19" i="1"/>
  <c r="J19" i="1"/>
  <c r="F19" i="1"/>
  <c r="E19" i="1"/>
  <c r="D19" i="1"/>
  <c r="B19" i="1"/>
  <c r="V18" i="1"/>
  <c r="O18" i="1"/>
  <c r="N18" i="1"/>
  <c r="J18" i="1"/>
  <c r="L18" i="1" s="1"/>
  <c r="F18" i="1"/>
  <c r="E18" i="1"/>
  <c r="D18" i="1"/>
  <c r="B18" i="1"/>
  <c r="U17" i="1"/>
  <c r="O17" i="1"/>
  <c r="N17" i="1"/>
  <c r="J17" i="1"/>
  <c r="F17" i="1"/>
  <c r="E17" i="1"/>
  <c r="D17" i="1"/>
  <c r="B17" i="1"/>
  <c r="V16" i="1"/>
  <c r="O16" i="1"/>
  <c r="N16" i="1"/>
  <c r="J16" i="1"/>
  <c r="F16" i="1"/>
  <c r="E16" i="1"/>
  <c r="D16" i="1"/>
  <c r="B16" i="1"/>
  <c r="V15" i="1"/>
  <c r="L15" i="1" s="1"/>
  <c r="O15" i="1"/>
  <c r="N15" i="1"/>
  <c r="J15" i="1"/>
  <c r="F15" i="1"/>
  <c r="E15" i="1"/>
  <c r="D15" i="1"/>
  <c r="B15" i="1"/>
  <c r="V14" i="1"/>
  <c r="O14" i="1"/>
  <c r="N14" i="1"/>
  <c r="J14" i="1"/>
  <c r="F14" i="1"/>
  <c r="E14" i="1"/>
  <c r="D14" i="1"/>
  <c r="B14" i="1"/>
  <c r="V13" i="1"/>
  <c r="O13" i="1"/>
  <c r="N13" i="1"/>
  <c r="J13" i="1"/>
  <c r="L13" i="1" s="1"/>
  <c r="F13" i="1"/>
  <c r="E13" i="1"/>
  <c r="D13" i="1"/>
  <c r="B13" i="1"/>
  <c r="V12" i="1"/>
  <c r="L12" i="1" s="1"/>
  <c r="O12" i="1"/>
  <c r="N12" i="1"/>
  <c r="J12" i="1"/>
  <c r="F12" i="1"/>
  <c r="D12" i="1"/>
  <c r="B12" i="1"/>
  <c r="U11" i="1"/>
  <c r="O11" i="1"/>
  <c r="N11" i="1"/>
  <c r="J11" i="1"/>
  <c r="F11" i="1"/>
  <c r="E11" i="1"/>
  <c r="D11" i="1"/>
  <c r="B11" i="1"/>
  <c r="V10" i="1"/>
  <c r="O10" i="1"/>
  <c r="N10" i="1"/>
  <c r="J10" i="1"/>
  <c r="L10" i="1" s="1"/>
  <c r="F10" i="1"/>
  <c r="E10" i="1"/>
  <c r="D10" i="1"/>
  <c r="B10" i="1"/>
  <c r="V9" i="1"/>
  <c r="L9" i="1" s="1"/>
  <c r="O9" i="1"/>
  <c r="N9" i="1"/>
  <c r="J9" i="1"/>
  <c r="F9" i="1"/>
  <c r="E9" i="1"/>
  <c r="D9" i="1"/>
  <c r="B9" i="1"/>
  <c r="V8" i="1"/>
  <c r="L8" i="1" s="1"/>
  <c r="O8" i="1"/>
  <c r="N8" i="1"/>
  <c r="J8" i="1"/>
  <c r="F8" i="1"/>
  <c r="E8" i="1"/>
  <c r="D8" i="1"/>
  <c r="B8" i="1"/>
  <c r="V7" i="1"/>
  <c r="O7" i="1"/>
  <c r="N7" i="1"/>
  <c r="J7" i="1"/>
  <c r="L7" i="1" s="1"/>
  <c r="F7" i="1"/>
  <c r="D7" i="1"/>
  <c r="B7" i="1"/>
  <c r="V6" i="1"/>
  <c r="O6" i="1"/>
  <c r="N6" i="1"/>
  <c r="J6" i="1"/>
  <c r="L6" i="1" s="1"/>
  <c r="F6" i="1"/>
  <c r="E6" i="1"/>
  <c r="D6" i="1"/>
  <c r="B6" i="1"/>
  <c r="V5" i="1"/>
  <c r="O5" i="1"/>
  <c r="N5" i="1"/>
  <c r="J5" i="1"/>
  <c r="L5" i="1" s="1"/>
  <c r="F5" i="1"/>
  <c r="E5" i="1"/>
  <c r="D5" i="1"/>
  <c r="B5" i="1"/>
  <c r="V4" i="1"/>
  <c r="O4" i="1"/>
  <c r="N4" i="1"/>
  <c r="J4" i="1"/>
  <c r="L4" i="1" s="1"/>
  <c r="F4" i="1"/>
  <c r="D4" i="1"/>
  <c r="B4" i="1"/>
  <c r="V3" i="1"/>
  <c r="L3" i="1" s="1"/>
  <c r="O3" i="1"/>
  <c r="N3" i="1"/>
  <c r="J3" i="1"/>
  <c r="F3" i="1"/>
  <c r="E3" i="1"/>
  <c r="D3" i="1"/>
  <c r="B3" i="1"/>
  <c r="J1" i="1"/>
  <c r="L71" i="1" l="1"/>
  <c r="M71" i="1" s="1"/>
  <c r="M99" i="1"/>
  <c r="R90" i="1"/>
  <c r="Q90" i="1"/>
  <c r="Q106" i="1"/>
  <c r="R106" i="1"/>
  <c r="S106" i="1" s="1"/>
  <c r="R109" i="1"/>
  <c r="S109" i="1" s="1"/>
  <c r="Q109" i="1"/>
  <c r="K57" i="1"/>
  <c r="M57" i="1" s="1"/>
  <c r="Q57" i="1" s="1"/>
  <c r="M129" i="1"/>
  <c r="M91" i="1"/>
  <c r="M105" i="1"/>
  <c r="R105" i="1" s="1"/>
  <c r="L137" i="1"/>
  <c r="M137" i="1" s="1"/>
  <c r="K60" i="1"/>
  <c r="K43" i="1"/>
  <c r="M43" i="1" s="1"/>
  <c r="K65" i="1"/>
  <c r="L65" i="1" s="1"/>
  <c r="M65" i="1" s="1"/>
  <c r="M102" i="1"/>
  <c r="K54" i="1"/>
  <c r="L54" i="1" s="1"/>
  <c r="K35" i="1"/>
  <c r="M35" i="1" s="1"/>
  <c r="K14" i="1"/>
  <c r="K17" i="1"/>
  <c r="L17" i="1" s="1"/>
  <c r="M93" i="1"/>
  <c r="R93" i="1" s="1"/>
  <c r="M114" i="1"/>
  <c r="R114" i="1" s="1"/>
  <c r="K49" i="1"/>
  <c r="L49" i="1" s="1"/>
  <c r="M49" i="1" s="1"/>
  <c r="K27" i="1"/>
  <c r="M95" i="1"/>
  <c r="R95" i="1" s="1"/>
  <c r="S95" i="1" s="1"/>
  <c r="M80" i="1"/>
  <c r="R80" i="1" s="1"/>
  <c r="K32" i="1"/>
  <c r="L32" i="1" s="1"/>
  <c r="M32" i="1" s="1"/>
  <c r="K37" i="1"/>
  <c r="M37" i="1" s="1"/>
  <c r="K67" i="1"/>
  <c r="M67" i="1" s="1"/>
  <c r="M104" i="1"/>
  <c r="R104" i="1" s="1"/>
  <c r="T104" i="1" s="1"/>
  <c r="M123" i="1"/>
  <c r="Q123" i="1" s="1"/>
  <c r="M86" i="1"/>
  <c r="R86" i="1" s="1"/>
  <c r="M103" i="1"/>
  <c r="R103" i="1" s="1"/>
  <c r="K58" i="1"/>
  <c r="L58" i="1" s="1"/>
  <c r="M58" i="1" s="1"/>
  <c r="K61" i="1"/>
  <c r="M61" i="1" s="1"/>
  <c r="R61" i="1" s="1"/>
  <c r="S61" i="1" s="1"/>
  <c r="M81" i="1"/>
  <c r="R81" i="1" s="1"/>
  <c r="M128" i="1"/>
  <c r="R128" i="1" s="1"/>
  <c r="S128" i="1" s="1"/>
  <c r="K13" i="1"/>
  <c r="M13" i="1"/>
  <c r="K29" i="1"/>
  <c r="M29" i="1" s="1"/>
  <c r="M132" i="1"/>
  <c r="R132" i="1" s="1"/>
  <c r="S132" i="1" s="1"/>
  <c r="M115" i="1"/>
  <c r="Q115" i="1" s="1"/>
  <c r="M100" i="1"/>
  <c r="L98" i="1"/>
  <c r="M98" i="1" s="1"/>
  <c r="K63" i="1"/>
  <c r="L63" i="1" s="1"/>
  <c r="K50" i="1"/>
  <c r="K64" i="1"/>
  <c r="M64" i="1" s="1"/>
  <c r="R64" i="1" s="1"/>
  <c r="K16" i="1"/>
  <c r="K10" i="1"/>
  <c r="M10" i="1" s="1"/>
  <c r="K26" i="1"/>
  <c r="M26" i="1" s="1"/>
  <c r="R26" i="1" s="1"/>
  <c r="K55" i="1"/>
  <c r="M55" i="1" s="1"/>
  <c r="M117" i="1"/>
  <c r="R117" i="1" s="1"/>
  <c r="T121" i="1"/>
  <c r="R134" i="1"/>
  <c r="S134" i="1" s="1"/>
  <c r="Q79" i="1"/>
  <c r="T79" i="1"/>
  <c r="Q136" i="1"/>
  <c r="V51" i="8"/>
  <c r="T120" i="1"/>
  <c r="S136" i="1"/>
  <c r="T135" i="1"/>
  <c r="Q133" i="1"/>
  <c r="Q135" i="1"/>
  <c r="S133" i="1"/>
  <c r="R108" i="1"/>
  <c r="Q108" i="1"/>
  <c r="U57" i="1"/>
  <c r="T75" i="1"/>
  <c r="Q94" i="1"/>
  <c r="S94" i="1"/>
  <c r="Q75" i="1"/>
  <c r="Q78" i="1"/>
  <c r="R118" i="1"/>
  <c r="Q120" i="1"/>
  <c r="Q126" i="1"/>
  <c r="T126" i="1"/>
  <c r="R97" i="1"/>
  <c r="S97" i="1" s="1"/>
  <c r="Q87" i="1"/>
  <c r="Q124" i="1"/>
  <c r="T106" i="1"/>
  <c r="T124" i="1"/>
  <c r="T109" i="1"/>
  <c r="S127" i="1"/>
  <c r="Q127" i="1"/>
  <c r="T78" i="1"/>
  <c r="T72" i="1"/>
  <c r="Q112" i="1"/>
  <c r="T112" i="1"/>
  <c r="T87" i="1"/>
  <c r="R122" i="1"/>
  <c r="Q122" i="1"/>
  <c r="R99" i="1"/>
  <c r="Q99" i="1"/>
  <c r="R76" i="1"/>
  <c r="Q76" i="1"/>
  <c r="R85" i="1"/>
  <c r="Q85" i="1"/>
  <c r="R125" i="1"/>
  <c r="Q125" i="1"/>
  <c r="R89" i="1"/>
  <c r="Q89" i="1"/>
  <c r="R107" i="1"/>
  <c r="Q107" i="1"/>
  <c r="R102" i="1"/>
  <c r="Q102" i="1"/>
  <c r="R83" i="1"/>
  <c r="Q83" i="1"/>
  <c r="R82" i="1"/>
  <c r="Q82" i="1"/>
  <c r="T84" i="1"/>
  <c r="T88" i="1"/>
  <c r="Q131" i="1"/>
  <c r="Q88" i="1"/>
  <c r="Q111" i="1"/>
  <c r="T130" i="1"/>
  <c r="Q84" i="1"/>
  <c r="T131" i="1"/>
  <c r="T111" i="1"/>
  <c r="Q121" i="1"/>
  <c r="Q72" i="1"/>
  <c r="Q130" i="1"/>
  <c r="Q92" i="1"/>
  <c r="S116" i="1"/>
  <c r="Q73" i="1"/>
  <c r="Q116" i="1"/>
  <c r="S92" i="1"/>
  <c r="T73" i="1"/>
  <c r="Q96" i="1"/>
  <c r="Q101" i="1"/>
  <c r="S110" i="1"/>
  <c r="T110" i="1"/>
  <c r="S119" i="1"/>
  <c r="T119" i="1"/>
  <c r="Q70" i="1"/>
  <c r="R70" i="1"/>
  <c r="S113" i="1"/>
  <c r="T113" i="1"/>
  <c r="Q113" i="1"/>
  <c r="Q74" i="1"/>
  <c r="Q110" i="1"/>
  <c r="S74" i="1"/>
  <c r="T74" i="1"/>
  <c r="S77" i="1"/>
  <c r="T77" i="1"/>
  <c r="T101" i="1"/>
  <c r="Q77" i="1"/>
  <c r="S96" i="1"/>
  <c r="T96" i="1"/>
  <c r="Q119" i="1"/>
  <c r="Q69" i="1"/>
  <c r="T69" i="1"/>
  <c r="U61" i="1"/>
  <c r="U5" i="1"/>
  <c r="P17" i="1"/>
  <c r="P28" i="1"/>
  <c r="P16" i="1"/>
  <c r="U62" i="1"/>
  <c r="P19" i="1"/>
  <c r="P27" i="1"/>
  <c r="P51" i="1"/>
  <c r="P52" i="1"/>
  <c r="K19" i="1"/>
  <c r="K51" i="1"/>
  <c r="M51" i="1" s="1"/>
  <c r="U30" i="1"/>
  <c r="P35" i="1"/>
  <c r="K53" i="1"/>
  <c r="M53" i="1" s="1"/>
  <c r="R53" i="1" s="1"/>
  <c r="K56" i="1"/>
  <c r="M56" i="1" s="1"/>
  <c r="P14" i="1"/>
  <c r="P26" i="1"/>
  <c r="P37" i="1"/>
  <c r="K40" i="1"/>
  <c r="M40" i="1" s="1"/>
  <c r="U40" i="1"/>
  <c r="P56" i="1"/>
  <c r="P65" i="1"/>
  <c r="U25" i="1"/>
  <c r="U6" i="1"/>
  <c r="U10" i="1"/>
  <c r="U14" i="1"/>
  <c r="P40" i="1"/>
  <c r="U9" i="1"/>
  <c r="U43" i="1"/>
  <c r="U48" i="1"/>
  <c r="U26" i="1"/>
  <c r="U27" i="1"/>
  <c r="M27" i="1"/>
  <c r="U35" i="1"/>
  <c r="P20" i="1"/>
  <c r="P29" i="1"/>
  <c r="U36" i="1"/>
  <c r="K39" i="1"/>
  <c r="M39" i="1" s="1"/>
  <c r="U39" i="1"/>
  <c r="U51" i="1"/>
  <c r="P53" i="1"/>
  <c r="P63" i="1"/>
  <c r="U3" i="1"/>
  <c r="P5" i="1"/>
  <c r="U7" i="1"/>
  <c r="P9" i="1"/>
  <c r="U12" i="1"/>
  <c r="U19" i="1"/>
  <c r="U20" i="1"/>
  <c r="U37" i="1"/>
  <c r="U38" i="1"/>
  <c r="U42" i="1"/>
  <c r="P43" i="1"/>
  <c r="P57" i="1"/>
  <c r="P61" i="1"/>
  <c r="U68" i="1"/>
  <c r="U29" i="1"/>
  <c r="P39" i="1"/>
  <c r="U53" i="1"/>
  <c r="L46" i="8"/>
  <c r="M46" i="8"/>
  <c r="N46" i="8" s="1"/>
  <c r="L47" i="8"/>
  <c r="M47" i="8"/>
  <c r="N47" i="8" s="1"/>
  <c r="L52" i="8"/>
  <c r="M52" i="8"/>
  <c r="N52" i="8" s="1"/>
  <c r="L55" i="8"/>
  <c r="M55" i="8"/>
  <c r="N55" i="8" s="1"/>
  <c r="L32" i="8"/>
  <c r="M32" i="8"/>
  <c r="L40" i="8"/>
  <c r="M40" i="8"/>
  <c r="L41" i="8"/>
  <c r="M41" i="8"/>
  <c r="N41" i="8" s="1"/>
  <c r="L42" i="8"/>
  <c r="M42" i="8"/>
  <c r="N42" i="8" s="1"/>
  <c r="N3" i="8"/>
  <c r="N13" i="8"/>
  <c r="S13" i="8" s="1"/>
  <c r="T13" i="8" s="1"/>
  <c r="N17" i="8"/>
  <c r="S17" i="8" s="1"/>
  <c r="T17" i="8" s="1"/>
  <c r="N20" i="8"/>
  <c r="S20" i="8" s="1"/>
  <c r="N21" i="8"/>
  <c r="S21" i="8" s="1"/>
  <c r="U21" i="8" s="1"/>
  <c r="Q25" i="8"/>
  <c r="N26" i="8"/>
  <c r="S26" i="8" s="1"/>
  <c r="T26" i="8" s="1"/>
  <c r="Q30" i="8"/>
  <c r="N35" i="8"/>
  <c r="R35" i="8" s="1"/>
  <c r="N36" i="8"/>
  <c r="S36" i="8" s="1"/>
  <c r="U36" i="8" s="1"/>
  <c r="Q3" i="8"/>
  <c r="N7" i="8"/>
  <c r="S7" i="8" s="1"/>
  <c r="N9" i="8"/>
  <c r="S9" i="8" s="1"/>
  <c r="Q40" i="8"/>
  <c r="V43" i="8"/>
  <c r="Q46" i="8"/>
  <c r="V48" i="8"/>
  <c r="V53" i="8"/>
  <c r="N54" i="8"/>
  <c r="S54" i="8" s="1"/>
  <c r="T54" i="8" s="1"/>
  <c r="V37" i="8"/>
  <c r="Q41" i="8"/>
  <c r="Q47" i="8"/>
  <c r="V35" i="8"/>
  <c r="V57" i="8"/>
  <c r="M57" i="8"/>
  <c r="N57" i="8" s="1"/>
  <c r="R57" i="8" s="1"/>
  <c r="Q20" i="8"/>
  <c r="Q32" i="8"/>
  <c r="Q35" i="8"/>
  <c r="V16" i="8"/>
  <c r="V20" i="8"/>
  <c r="V23" i="8"/>
  <c r="V28" i="8"/>
  <c r="Q16" i="8"/>
  <c r="Q21" i="8"/>
  <c r="Q28" i="8"/>
  <c r="Q29" i="8"/>
  <c r="Q31" i="8"/>
  <c r="Q36" i="8"/>
  <c r="V39" i="8"/>
  <c r="Q7" i="8"/>
  <c r="Q8" i="8"/>
  <c r="V21" i="8"/>
  <c r="Q56" i="8"/>
  <c r="V7" i="8"/>
  <c r="Q9" i="8"/>
  <c r="Q26" i="8"/>
  <c r="Q34" i="8"/>
  <c r="Q39" i="8"/>
  <c r="Q43" i="8"/>
  <c r="Q61" i="8"/>
  <c r="L4" i="8"/>
  <c r="N4" i="8" s="1"/>
  <c r="S4" i="8" s="1"/>
  <c r="T4" i="8" s="1"/>
  <c r="V4" i="8"/>
  <c r="V9" i="8"/>
  <c r="L12" i="8"/>
  <c r="N12" i="8" s="1"/>
  <c r="Q12" i="8"/>
  <c r="Q13" i="8"/>
  <c r="Q17" i="8"/>
  <c r="L30" i="8"/>
  <c r="N30" i="8" s="1"/>
  <c r="S30" i="8" s="1"/>
  <c r="V30" i="8"/>
  <c r="Q33" i="8"/>
  <c r="N34" i="8"/>
  <c r="R34" i="8" s="1"/>
  <c r="V34" i="8"/>
  <c r="Q58" i="8"/>
  <c r="V3" i="8"/>
  <c r="V12" i="8"/>
  <c r="V17" i="8"/>
  <c r="Q22" i="8"/>
  <c r="L25" i="8"/>
  <c r="N25" i="8" s="1"/>
  <c r="S25" i="8" s="1"/>
  <c r="T25" i="8" s="1"/>
  <c r="V25" i="8"/>
  <c r="Q48" i="8"/>
  <c r="V54" i="8"/>
  <c r="R8" i="8"/>
  <c r="L16" i="8"/>
  <c r="N16" i="8" s="1"/>
  <c r="Q38" i="8"/>
  <c r="L39" i="8"/>
  <c r="N39" i="8" s="1"/>
  <c r="R39" i="8" s="1"/>
  <c r="Q42" i="8"/>
  <c r="L43" i="8"/>
  <c r="N43" i="8" s="1"/>
  <c r="S43" i="8" s="1"/>
  <c r="U43" i="8" s="1"/>
  <c r="L48" i="8"/>
  <c r="N48" i="8" s="1"/>
  <c r="S48" i="8" s="1"/>
  <c r="U48" i="8" s="1"/>
  <c r="L53" i="8"/>
  <c r="N53" i="8" s="1"/>
  <c r="S53" i="8" s="1"/>
  <c r="U53" i="8" s="1"/>
  <c r="Q53" i="8"/>
  <c r="L57" i="8"/>
  <c r="Q57" i="8"/>
  <c r="R21" i="8"/>
  <c r="L29" i="8"/>
  <c r="M29" i="8" s="1"/>
  <c r="N29" i="8" s="1"/>
  <c r="Q54" i="8"/>
  <c r="V56" i="8"/>
  <c r="P15" i="1"/>
  <c r="K5" i="8"/>
  <c r="Q5" i="8" s="1"/>
  <c r="K6" i="8"/>
  <c r="V6" i="8" s="1"/>
  <c r="K10" i="8"/>
  <c r="Q10" i="8" s="1"/>
  <c r="K11" i="8"/>
  <c r="V11" i="8" s="1"/>
  <c r="Q27" i="8"/>
  <c r="N28" i="8"/>
  <c r="R28" i="8" s="1"/>
  <c r="Q50" i="8"/>
  <c r="Q55" i="8"/>
  <c r="N56" i="8"/>
  <c r="R56" i="8" s="1"/>
  <c r="V59" i="8"/>
  <c r="U9" i="8"/>
  <c r="T9" i="8"/>
  <c r="S3" i="8"/>
  <c r="R3" i="8"/>
  <c r="U8" i="8"/>
  <c r="T8" i="8"/>
  <c r="V14" i="8"/>
  <c r="L19" i="8"/>
  <c r="N19" i="8" s="1"/>
  <c r="V26" i="8"/>
  <c r="V38" i="8"/>
  <c r="V41" i="8"/>
  <c r="L49" i="8"/>
  <c r="M49" i="8" s="1"/>
  <c r="N49" i="8" s="1"/>
  <c r="U61" i="8"/>
  <c r="L14" i="8"/>
  <c r="N14" i="8" s="1"/>
  <c r="L15" i="8"/>
  <c r="N15" i="8" s="1"/>
  <c r="V19" i="8"/>
  <c r="V46" i="8"/>
  <c r="Q49" i="8"/>
  <c r="V52" i="8"/>
  <c r="P55" i="1"/>
  <c r="L18" i="8"/>
  <c r="N18" i="8" s="1"/>
  <c r="Q19" i="8"/>
  <c r="L24" i="8"/>
  <c r="N24" i="8" s="1"/>
  <c r="V24" i="8"/>
  <c r="Q24" i="8"/>
  <c r="S34" i="8"/>
  <c r="T34" i="8" s="1"/>
  <c r="L37" i="8"/>
  <c r="N37" i="8" s="1"/>
  <c r="Q44" i="8"/>
  <c r="L44" i="8"/>
  <c r="N44" i="8" s="1"/>
  <c r="V55" i="8"/>
  <c r="L60" i="8"/>
  <c r="N60" i="8" s="1"/>
  <c r="V60" i="8"/>
  <c r="R61" i="8"/>
  <c r="P23" i="1"/>
  <c r="U55" i="1"/>
  <c r="V13" i="8"/>
  <c r="Q14" i="8"/>
  <c r="Q15" i="8"/>
  <c r="V15" i="8"/>
  <c r="Q18" i="8"/>
  <c r="V18" i="8"/>
  <c r="L22" i="8"/>
  <c r="N22" i="8" s="1"/>
  <c r="V22" i="8"/>
  <c r="V32" i="8"/>
  <c r="L51" i="8"/>
  <c r="N51" i="8" s="1"/>
  <c r="S51" i="8" s="1"/>
  <c r="T51" i="8" s="1"/>
  <c r="L58" i="8"/>
  <c r="N58" i="8" s="1"/>
  <c r="Q60" i="8"/>
  <c r="Q23" i="8"/>
  <c r="V27" i="8"/>
  <c r="V44" i="8"/>
  <c r="V58" i="8"/>
  <c r="Q59" i="8"/>
  <c r="L23" i="8"/>
  <c r="N23" i="8" s="1"/>
  <c r="L27" i="8"/>
  <c r="N27" i="8" s="1"/>
  <c r="L31" i="8"/>
  <c r="N31" i="8" s="1"/>
  <c r="V31" i="8"/>
  <c r="M33" i="8"/>
  <c r="N33" i="8" s="1"/>
  <c r="V40" i="8"/>
  <c r="V42" i="8"/>
  <c r="K45" i="8"/>
  <c r="V47" i="8"/>
  <c r="R26" i="8"/>
  <c r="N32" i="8"/>
  <c r="V36" i="8"/>
  <c r="Q37" i="8"/>
  <c r="N38" i="8"/>
  <c r="N40" i="8"/>
  <c r="S40" i="8" s="1"/>
  <c r="L50" i="8"/>
  <c r="N50" i="8" s="1"/>
  <c r="S50" i="8" s="1"/>
  <c r="V50" i="8"/>
  <c r="Q51" i="8"/>
  <c r="Q52" i="8"/>
  <c r="L59" i="8"/>
  <c r="N59" i="8" s="1"/>
  <c r="P31" i="1"/>
  <c r="K31" i="1"/>
  <c r="L31" i="1" s="1"/>
  <c r="I1" i="1"/>
  <c r="K12" i="1"/>
  <c r="M12" i="1" s="1"/>
  <c r="R12" i="1" s="1"/>
  <c r="S12" i="1" s="1"/>
  <c r="U18" i="1"/>
  <c r="P18" i="1"/>
  <c r="K18" i="1"/>
  <c r="M18" i="1" s="1"/>
  <c r="U23" i="1"/>
  <c r="K23" i="1"/>
  <c r="P36" i="1"/>
  <c r="P4" i="1"/>
  <c r="P8" i="1"/>
  <c r="P13" i="1"/>
  <c r="K28" i="1"/>
  <c r="U28" i="1"/>
  <c r="K36" i="1"/>
  <c r="K38" i="1"/>
  <c r="M38" i="1" s="1"/>
  <c r="Q38" i="1" s="1"/>
  <c r="P38" i="1"/>
  <c r="K42" i="1"/>
  <c r="P42" i="1"/>
  <c r="P50" i="1"/>
  <c r="K52" i="1"/>
  <c r="U52" i="1"/>
  <c r="P54" i="1"/>
  <c r="P58" i="1"/>
  <c r="K62" i="1"/>
  <c r="M62" i="1" s="1"/>
  <c r="R62" i="1" s="1"/>
  <c r="P62" i="1"/>
  <c r="P64" i="1"/>
  <c r="P25" i="1"/>
  <c r="K30" i="1"/>
  <c r="P30" i="1"/>
  <c r="P3" i="1"/>
  <c r="P7" i="1"/>
  <c r="P11" i="1"/>
  <c r="P12" i="1"/>
  <c r="K20" i="1"/>
  <c r="J24" i="1"/>
  <c r="L24" i="1" s="1"/>
  <c r="K25" i="1"/>
  <c r="J41" i="1"/>
  <c r="J44" i="1"/>
  <c r="U64" i="1"/>
  <c r="U4" i="1"/>
  <c r="P6" i="1"/>
  <c r="U8" i="1"/>
  <c r="P10" i="1"/>
  <c r="P48" i="1"/>
  <c r="P60" i="1"/>
  <c r="P67" i="1"/>
  <c r="K3" i="1"/>
  <c r="K4" i="1"/>
  <c r="M4" i="1" s="1"/>
  <c r="K5" i="1"/>
  <c r="M5" i="1" s="1"/>
  <c r="K6" i="1"/>
  <c r="M6" i="1" s="1"/>
  <c r="K7" i="1"/>
  <c r="M7" i="1" s="1"/>
  <c r="K8" i="1"/>
  <c r="K9" i="1"/>
  <c r="K11" i="1"/>
  <c r="L11" i="1" s="1"/>
  <c r="M11" i="1" s="1"/>
  <c r="U13" i="1"/>
  <c r="U15" i="1"/>
  <c r="U67" i="1"/>
  <c r="K68" i="1"/>
  <c r="J47" i="1"/>
  <c r="P32" i="1"/>
  <c r="P34" i="1"/>
  <c r="K34" i="1"/>
  <c r="K46" i="1"/>
  <c r="L46" i="1" s="1"/>
  <c r="P46" i="1"/>
  <c r="K15" i="1"/>
  <c r="K33" i="1"/>
  <c r="P59" i="1"/>
  <c r="P66" i="1"/>
  <c r="J45" i="1"/>
  <c r="P49" i="1"/>
  <c r="U56" i="1"/>
  <c r="U66" i="1"/>
  <c r="U16" i="1"/>
  <c r="P33" i="1"/>
  <c r="K48" i="1"/>
  <c r="K59" i="1"/>
  <c r="L59" i="1" s="1"/>
  <c r="K66" i="1"/>
  <c r="P68" i="1"/>
  <c r="T21" i="8" l="1"/>
  <c r="T36" i="8"/>
  <c r="S35" i="8"/>
  <c r="R7" i="8"/>
  <c r="R71" i="1"/>
  <c r="Q71" i="1"/>
  <c r="R123" i="1"/>
  <c r="L16" i="1"/>
  <c r="M16" i="1" s="1"/>
  <c r="L14" i="1"/>
  <c r="M14" i="1" s="1"/>
  <c r="Q81" i="1"/>
  <c r="Q128" i="1"/>
  <c r="T134" i="1"/>
  <c r="Q93" i="1"/>
  <c r="S104" i="1"/>
  <c r="T132" i="1"/>
  <c r="Q86" i="1"/>
  <c r="Q104" i="1"/>
  <c r="R115" i="1"/>
  <c r="T115" i="1" s="1"/>
  <c r="Q132" i="1"/>
  <c r="Q91" i="1"/>
  <c r="R91" i="1"/>
  <c r="S91" i="1" s="1"/>
  <c r="Q117" i="1"/>
  <c r="Q80" i="1"/>
  <c r="Q95" i="1"/>
  <c r="T95" i="1"/>
  <c r="Q105" i="1"/>
  <c r="Q114" i="1"/>
  <c r="S90" i="1"/>
  <c r="T90" i="1"/>
  <c r="Q137" i="1"/>
  <c r="R137" i="1"/>
  <c r="S137" i="1" s="1"/>
  <c r="R98" i="1"/>
  <c r="T98" i="1" s="1"/>
  <c r="Q98" i="1"/>
  <c r="Q55" i="1"/>
  <c r="R55" i="1"/>
  <c r="S55" i="1" s="1"/>
  <c r="R100" i="1"/>
  <c r="Q100" i="1"/>
  <c r="R129" i="1"/>
  <c r="S129" i="1" s="1"/>
  <c r="Q129" i="1"/>
  <c r="R18" i="1"/>
  <c r="Q18" i="1"/>
  <c r="Q6" i="1"/>
  <c r="R6" i="1"/>
  <c r="S6" i="1" s="1"/>
  <c r="Q7" i="1"/>
  <c r="R7" i="1"/>
  <c r="S7" i="1" s="1"/>
  <c r="R13" i="1"/>
  <c r="Q13" i="1"/>
  <c r="R43" i="1"/>
  <c r="S43" i="1" s="1"/>
  <c r="Q43" i="1"/>
  <c r="Q5" i="1"/>
  <c r="R5" i="1"/>
  <c r="S5" i="1" s="1"/>
  <c r="R39" i="1"/>
  <c r="Q39" i="1"/>
  <c r="Q4" i="1"/>
  <c r="R4" i="1"/>
  <c r="S4" i="1" s="1"/>
  <c r="M63" i="1"/>
  <c r="M17" i="1"/>
  <c r="M23" i="1"/>
  <c r="R23" i="1" s="1"/>
  <c r="T23" i="1" s="1"/>
  <c r="Q103" i="1"/>
  <c r="P47" i="1"/>
  <c r="M15" i="1"/>
  <c r="R15" i="1" s="1"/>
  <c r="S15" i="1" s="1"/>
  <c r="K44" i="1"/>
  <c r="L44" i="1" s="1"/>
  <c r="M30" i="1"/>
  <c r="Q30" i="1" s="1"/>
  <c r="K41" i="1"/>
  <c r="M68" i="1"/>
  <c r="Q68" i="1" s="1"/>
  <c r="M36" i="1"/>
  <c r="R36" i="1" s="1"/>
  <c r="T36" i="1" s="1"/>
  <c r="M66" i="1"/>
  <c r="Q66" i="1" s="1"/>
  <c r="M46" i="1"/>
  <c r="R46" i="1" s="1"/>
  <c r="M9" i="1"/>
  <c r="R9" i="1" s="1"/>
  <c r="M25" i="1"/>
  <c r="R25" i="1" s="1"/>
  <c r="S25" i="1" s="1"/>
  <c r="M42" i="1"/>
  <c r="R42" i="1" s="1"/>
  <c r="T42" i="1" s="1"/>
  <c r="M54" i="1"/>
  <c r="M59" i="1"/>
  <c r="R59" i="1" s="1"/>
  <c r="M8" i="1"/>
  <c r="Q8" i="1" s="1"/>
  <c r="M28" i="1"/>
  <c r="R28" i="1" s="1"/>
  <c r="T28" i="1" s="1"/>
  <c r="L34" i="1"/>
  <c r="M34" i="1" s="1"/>
  <c r="L33" i="1"/>
  <c r="M33" i="1" s="1"/>
  <c r="M31" i="1"/>
  <c r="R31" i="1" s="1"/>
  <c r="T31" i="1" s="1"/>
  <c r="L50" i="1"/>
  <c r="M50" i="1" s="1"/>
  <c r="L60" i="1"/>
  <c r="M60" i="1" s="1"/>
  <c r="Q26" i="1"/>
  <c r="M19" i="1"/>
  <c r="T128" i="1"/>
  <c r="R25" i="8"/>
  <c r="U17" i="8"/>
  <c r="R20" i="8"/>
  <c r="T43" i="8"/>
  <c r="R9" i="8"/>
  <c r="T97" i="1"/>
  <c r="R38" i="1"/>
  <c r="S38" i="1" s="1"/>
  <c r="S108" i="1"/>
  <c r="T108" i="1"/>
  <c r="S118" i="1"/>
  <c r="T118" i="1"/>
  <c r="S117" i="1"/>
  <c r="T117" i="1"/>
  <c r="S81" i="1"/>
  <c r="T81" i="1"/>
  <c r="S105" i="1"/>
  <c r="T105" i="1"/>
  <c r="S83" i="1"/>
  <c r="T83" i="1"/>
  <c r="T125" i="1"/>
  <c r="S125" i="1"/>
  <c r="S102" i="1"/>
  <c r="T102" i="1"/>
  <c r="S86" i="1"/>
  <c r="T86" i="1"/>
  <c r="S80" i="1"/>
  <c r="T80" i="1"/>
  <c r="S85" i="1"/>
  <c r="T85" i="1"/>
  <c r="S123" i="1"/>
  <c r="T123" i="1"/>
  <c r="S103" i="1"/>
  <c r="T103" i="1"/>
  <c r="S76" i="1"/>
  <c r="T76" i="1"/>
  <c r="S99" i="1"/>
  <c r="T99" i="1"/>
  <c r="S107" i="1"/>
  <c r="T107" i="1"/>
  <c r="S114" i="1"/>
  <c r="T114" i="1"/>
  <c r="S82" i="1"/>
  <c r="T82" i="1"/>
  <c r="S89" i="1"/>
  <c r="T89" i="1"/>
  <c r="S93" i="1"/>
  <c r="T93" i="1"/>
  <c r="S122" i="1"/>
  <c r="T122" i="1"/>
  <c r="S70" i="1"/>
  <c r="T70" i="1"/>
  <c r="M3" i="1"/>
  <c r="Q3" i="1" s="1"/>
  <c r="R57" i="1"/>
  <c r="S57" i="1" s="1"/>
  <c r="U25" i="8"/>
  <c r="U13" i="8"/>
  <c r="R36" i="8"/>
  <c r="R13" i="8"/>
  <c r="T48" i="8"/>
  <c r="R40" i="1"/>
  <c r="Q40" i="1"/>
  <c r="R35" i="1"/>
  <c r="Q35" i="1"/>
  <c r="M52" i="1"/>
  <c r="R52" i="1" s="1"/>
  <c r="S52" i="1" s="1"/>
  <c r="Q53" i="1"/>
  <c r="R37" i="1"/>
  <c r="Q37" i="1"/>
  <c r="R27" i="1"/>
  <c r="S27" i="1" s="1"/>
  <c r="Q27" i="1"/>
  <c r="M20" i="1"/>
  <c r="R20" i="1" s="1"/>
  <c r="T20" i="1" s="1"/>
  <c r="M48" i="1"/>
  <c r="Q48" i="1" s="1"/>
  <c r="T61" i="1"/>
  <c r="R51" i="1"/>
  <c r="Q51" i="1"/>
  <c r="R29" i="1"/>
  <c r="Q29" i="1"/>
  <c r="R47" i="8"/>
  <c r="S47" i="8"/>
  <c r="T47" i="8" s="1"/>
  <c r="S39" i="8"/>
  <c r="T39" i="8" s="1"/>
  <c r="R53" i="8"/>
  <c r="U54" i="8"/>
  <c r="L11" i="8"/>
  <c r="N11" i="8" s="1"/>
  <c r="R11" i="8" s="1"/>
  <c r="T53" i="8"/>
  <c r="R54" i="8"/>
  <c r="L10" i="8"/>
  <c r="N10" i="8" s="1"/>
  <c r="S10" i="8" s="1"/>
  <c r="U26" i="8"/>
  <c r="R17" i="8"/>
  <c r="U4" i="8"/>
  <c r="R30" i="8"/>
  <c r="S28" i="8"/>
  <c r="T28" i="8" s="1"/>
  <c r="R48" i="8"/>
  <c r="L5" i="8"/>
  <c r="N5" i="8" s="1"/>
  <c r="S5" i="8" s="1"/>
  <c r="R43" i="8"/>
  <c r="S57" i="8"/>
  <c r="U57" i="8" s="1"/>
  <c r="V10" i="8"/>
  <c r="P44" i="1"/>
  <c r="S12" i="8"/>
  <c r="T12" i="8" s="1"/>
  <c r="R12" i="8"/>
  <c r="S29" i="8"/>
  <c r="U29" i="8" s="1"/>
  <c r="R29" i="8"/>
  <c r="S16" i="8"/>
  <c r="R16" i="8"/>
  <c r="Q6" i="8"/>
  <c r="R4" i="8"/>
  <c r="V5" i="8"/>
  <c r="R50" i="8"/>
  <c r="L6" i="8"/>
  <c r="N6" i="8" s="1"/>
  <c r="S6" i="8" s="1"/>
  <c r="Q11" i="8"/>
  <c r="S56" i="8"/>
  <c r="S37" i="8"/>
  <c r="R37" i="8"/>
  <c r="S24" i="8"/>
  <c r="R24" i="8"/>
  <c r="S31" i="8"/>
  <c r="R31" i="8"/>
  <c r="R23" i="8"/>
  <c r="S23" i="8"/>
  <c r="S14" i="8"/>
  <c r="R14" i="8"/>
  <c r="S27" i="8"/>
  <c r="R27" i="8"/>
  <c r="S58" i="8"/>
  <c r="R58" i="8"/>
  <c r="S22" i="8"/>
  <c r="R22" i="8"/>
  <c r="S44" i="8"/>
  <c r="R44" i="8"/>
  <c r="S18" i="8"/>
  <c r="R18" i="8"/>
  <c r="S49" i="8"/>
  <c r="R49" i="8"/>
  <c r="S41" i="8"/>
  <c r="R41" i="8"/>
  <c r="R33" i="8"/>
  <c r="S33" i="8"/>
  <c r="R51" i="8"/>
  <c r="S15" i="8"/>
  <c r="R15" i="8"/>
  <c r="U40" i="8"/>
  <c r="T40" i="8"/>
  <c r="S32" i="8"/>
  <c r="R32" i="8"/>
  <c r="R42" i="8"/>
  <c r="S42" i="8"/>
  <c r="R40" i="8"/>
  <c r="S55" i="8"/>
  <c r="R55" i="8"/>
  <c r="S52" i="8"/>
  <c r="R52" i="8"/>
  <c r="S19" i="8"/>
  <c r="R19" i="8"/>
  <c r="S38" i="8"/>
  <c r="R38" i="8"/>
  <c r="U51" i="8"/>
  <c r="S60" i="8"/>
  <c r="R60" i="8"/>
  <c r="T57" i="8"/>
  <c r="R59" i="8"/>
  <c r="S59" i="8"/>
  <c r="S46" i="8"/>
  <c r="R46" i="8"/>
  <c r="U50" i="8"/>
  <c r="T50" i="8"/>
  <c r="L45" i="8"/>
  <c r="M45" i="8" s="1"/>
  <c r="N45" i="8" s="1"/>
  <c r="Q45" i="8"/>
  <c r="U34" i="8"/>
  <c r="U35" i="8"/>
  <c r="T35" i="8"/>
  <c r="T20" i="8"/>
  <c r="U20" i="8"/>
  <c r="T3" i="8"/>
  <c r="U3" i="8"/>
  <c r="U30" i="8"/>
  <c r="T30" i="8"/>
  <c r="T7" i="8"/>
  <c r="U7" i="8"/>
  <c r="S64" i="1"/>
  <c r="T64" i="1"/>
  <c r="K24" i="1"/>
  <c r="M24" i="1" s="1"/>
  <c r="U24" i="1"/>
  <c r="Q12" i="1"/>
  <c r="Q64" i="1"/>
  <c r="Q62" i="1"/>
  <c r="U41" i="1"/>
  <c r="P24" i="1"/>
  <c r="Q61" i="1"/>
  <c r="T12" i="1"/>
  <c r="P41" i="1"/>
  <c r="R32" i="1"/>
  <c r="Q32" i="1"/>
  <c r="Q11" i="1"/>
  <c r="R11" i="1"/>
  <c r="Q56" i="1"/>
  <c r="R56" i="1"/>
  <c r="K45" i="1"/>
  <c r="M45" i="1" s="1"/>
  <c r="T53" i="1"/>
  <c r="S53" i="1"/>
  <c r="T26" i="1"/>
  <c r="S26" i="1"/>
  <c r="T62" i="1"/>
  <c r="S62" i="1"/>
  <c r="P45" i="1"/>
  <c r="Q65" i="1"/>
  <c r="R65" i="1"/>
  <c r="U45" i="1"/>
  <c r="Q10" i="1"/>
  <c r="R10" i="1"/>
  <c r="R49" i="1"/>
  <c r="Q49" i="1"/>
  <c r="K47" i="1"/>
  <c r="U47" i="1"/>
  <c r="R67" i="1"/>
  <c r="Q67" i="1"/>
  <c r="Q58" i="1"/>
  <c r="R58" i="1"/>
  <c r="S115" i="1" l="1"/>
  <c r="U39" i="8"/>
  <c r="S98" i="1"/>
  <c r="S28" i="1"/>
  <c r="Q28" i="1"/>
  <c r="R16" i="1"/>
  <c r="Q16" i="1"/>
  <c r="R30" i="1"/>
  <c r="T30" i="1" s="1"/>
  <c r="Q14" i="1"/>
  <c r="R14" i="1"/>
  <c r="S14" i="1" s="1"/>
  <c r="T43" i="1"/>
  <c r="S23" i="1"/>
  <c r="S71" i="1"/>
  <c r="T71" i="1"/>
  <c r="Q36" i="1"/>
  <c r="S36" i="1"/>
  <c r="R68" i="1"/>
  <c r="S68" i="1" s="1"/>
  <c r="T4" i="1"/>
  <c r="R66" i="1"/>
  <c r="T66" i="1" s="1"/>
  <c r="T6" i="1"/>
  <c r="T55" i="1"/>
  <c r="T7" i="1"/>
  <c r="Q25" i="1"/>
  <c r="Q23" i="1"/>
  <c r="T137" i="1"/>
  <c r="T91" i="1"/>
  <c r="T25" i="1"/>
  <c r="T129" i="1"/>
  <c r="Q59" i="1"/>
  <c r="T5" i="1"/>
  <c r="Q15" i="1"/>
  <c r="T15" i="1"/>
  <c r="R8" i="1"/>
  <c r="S8" i="1" s="1"/>
  <c r="R33" i="1"/>
  <c r="T33" i="1" s="1"/>
  <c r="Q33" i="1"/>
  <c r="R60" i="1"/>
  <c r="Q60" i="1"/>
  <c r="Q34" i="1"/>
  <c r="R34" i="1"/>
  <c r="S34" i="1" s="1"/>
  <c r="Q46" i="1"/>
  <c r="T39" i="1"/>
  <c r="S39" i="1"/>
  <c r="Q9" i="1"/>
  <c r="Q31" i="1"/>
  <c r="T100" i="1"/>
  <c r="S100" i="1"/>
  <c r="R50" i="1"/>
  <c r="Q50" i="1"/>
  <c r="M41" i="1"/>
  <c r="T18" i="1"/>
  <c r="S18" i="1"/>
  <c r="Q42" i="1"/>
  <c r="R17" i="1"/>
  <c r="Q17" i="1"/>
  <c r="S13" i="1"/>
  <c r="T13" i="1"/>
  <c r="R63" i="1"/>
  <c r="Q63" i="1"/>
  <c r="R54" i="1"/>
  <c r="Q54" i="1"/>
  <c r="M44" i="1"/>
  <c r="S31" i="1"/>
  <c r="M47" i="1"/>
  <c r="R47" i="1" s="1"/>
  <c r="T38" i="1"/>
  <c r="S42" i="1"/>
  <c r="R19" i="1"/>
  <c r="Q19" i="1"/>
  <c r="S11" i="8"/>
  <c r="T11" i="8" s="1"/>
  <c r="U47" i="8"/>
  <c r="T29" i="8"/>
  <c r="U28" i="8"/>
  <c r="U12" i="8"/>
  <c r="R10" i="8"/>
  <c r="Q52" i="1"/>
  <c r="T27" i="1"/>
  <c r="R3" i="1"/>
  <c r="T3" i="1" s="1"/>
  <c r="Q20" i="1"/>
  <c r="T57" i="1"/>
  <c r="S20" i="1"/>
  <c r="T52" i="1"/>
  <c r="V1" i="8"/>
  <c r="T35" i="1"/>
  <c r="S35" i="1"/>
  <c r="R48" i="1"/>
  <c r="S48" i="1" s="1"/>
  <c r="T40" i="1"/>
  <c r="S40" i="1"/>
  <c r="S37" i="1"/>
  <c r="T37" i="1"/>
  <c r="S29" i="1"/>
  <c r="T29" i="1"/>
  <c r="T51" i="1"/>
  <c r="S51" i="1"/>
  <c r="R6" i="8"/>
  <c r="R5" i="8"/>
  <c r="T56" i="8"/>
  <c r="U56" i="8"/>
  <c r="T10" i="8"/>
  <c r="U10" i="8"/>
  <c r="T16" i="8"/>
  <c r="U16" i="8"/>
  <c r="S45" i="8"/>
  <c r="R45" i="8"/>
  <c r="T60" i="8"/>
  <c r="U60" i="8"/>
  <c r="T15" i="8"/>
  <c r="U15" i="8"/>
  <c r="T23" i="8"/>
  <c r="U23" i="8"/>
  <c r="T46" i="8"/>
  <c r="U46" i="8"/>
  <c r="T19" i="8"/>
  <c r="U19" i="8"/>
  <c r="T52" i="8"/>
  <c r="U52" i="8"/>
  <c r="T55" i="8"/>
  <c r="U55" i="8"/>
  <c r="T41" i="8"/>
  <c r="U41" i="8"/>
  <c r="T6" i="8"/>
  <c r="U6" i="8"/>
  <c r="T44" i="8"/>
  <c r="U44" i="8"/>
  <c r="T58" i="8"/>
  <c r="U58" i="8"/>
  <c r="T5" i="8"/>
  <c r="U5" i="8"/>
  <c r="T24" i="8"/>
  <c r="U24" i="8"/>
  <c r="T59" i="8"/>
  <c r="U59" i="8"/>
  <c r="T32" i="8"/>
  <c r="U32" i="8"/>
  <c r="T33" i="8"/>
  <c r="U33" i="8"/>
  <c r="T38" i="8"/>
  <c r="U38" i="8"/>
  <c r="T42" i="8"/>
  <c r="U42" i="8"/>
  <c r="T49" i="8"/>
  <c r="U49" i="8"/>
  <c r="T18" i="8"/>
  <c r="U18" i="8"/>
  <c r="T22" i="8"/>
  <c r="U22" i="8"/>
  <c r="T27" i="8"/>
  <c r="U27" i="8"/>
  <c r="T14" i="8"/>
  <c r="U14" i="8"/>
  <c r="U31" i="8"/>
  <c r="T31" i="8"/>
  <c r="T37" i="8"/>
  <c r="U37" i="8"/>
  <c r="S30" i="1"/>
  <c r="R24" i="1"/>
  <c r="Q24" i="1"/>
  <c r="T49" i="1"/>
  <c r="S49" i="1"/>
  <c r="U1" i="1"/>
  <c r="S9" i="1"/>
  <c r="T9" i="1"/>
  <c r="R45" i="1"/>
  <c r="Q45" i="1"/>
  <c r="T11" i="1"/>
  <c r="S11" i="1"/>
  <c r="S65" i="1"/>
  <c r="T65" i="1"/>
  <c r="S56" i="1"/>
  <c r="T56" i="1"/>
  <c r="S67" i="1"/>
  <c r="T67" i="1"/>
  <c r="S32" i="1"/>
  <c r="T32" i="1"/>
  <c r="T59" i="1"/>
  <c r="S59" i="1"/>
  <c r="S58" i="1"/>
  <c r="T58" i="1"/>
  <c r="S10" i="1"/>
  <c r="T10" i="1"/>
  <c r="S46" i="1"/>
  <c r="T46" i="1"/>
  <c r="S66" i="1" l="1"/>
  <c r="T8" i="1"/>
  <c r="U11" i="8"/>
  <c r="T14" i="1"/>
  <c r="T16" i="1"/>
  <c r="S16" i="1"/>
  <c r="T68" i="1"/>
  <c r="T34" i="1"/>
  <c r="S33" i="1"/>
  <c r="Q47" i="1"/>
  <c r="T63" i="1"/>
  <c r="S63" i="1"/>
  <c r="T17" i="1"/>
  <c r="S17" i="1"/>
  <c r="R44" i="1"/>
  <c r="Q44" i="1"/>
  <c r="R41" i="1"/>
  <c r="Q41" i="1"/>
  <c r="T60" i="1"/>
  <c r="S60" i="1"/>
  <c r="T54" i="1"/>
  <c r="S54" i="1"/>
  <c r="S50" i="1"/>
  <c r="T50" i="1"/>
  <c r="S3" i="1"/>
  <c r="S19" i="1"/>
  <c r="T19" i="1"/>
  <c r="T48" i="1"/>
  <c r="U45" i="8"/>
  <c r="U1" i="8" s="1"/>
  <c r="T45" i="8"/>
  <c r="T1" i="8" s="1"/>
  <c r="T24" i="1"/>
  <c r="S24" i="1"/>
  <c r="S45" i="1"/>
  <c r="T45" i="1"/>
  <c r="S47" i="1"/>
  <c r="T47" i="1"/>
  <c r="T44" i="1" l="1"/>
  <c r="S44" i="1"/>
  <c r="S41" i="1"/>
  <c r="T41" i="1"/>
  <c r="T1" i="1"/>
  <c r="S1" i="1" l="1"/>
  <c r="H3" i="3" s="1"/>
  <c r="H2" i="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CB49B41-CF53-405F-BADE-3A8A073A4E9A}" keepAlive="1" name="Запрос — ТЕХНОРЕССОР" description="Соединение с запросом &quot;ТЕХНОРЕССОР&quot; в книге." type="5" refreshedVersion="7" background="1" saveData="1">
    <dbPr connection="Provider=Microsoft.Mashup.OleDb.1;Data Source=$Workbook$;Location=ТЕХНОРЕССОР;Extended Properties=&quot;&quot;" command="SELECT * FROM [ТЕХНОРЕССОР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<sst xmlns="http://schemas.openxmlformats.org/spreadsheetml/2006/main" count="3151" uniqueCount="724">
  <si>
    <t>ID</t>
  </si>
  <si>
    <t>Производитель</t>
  </si>
  <si>
    <t>1</t>
  </si>
  <si>
    <t xml:space="preserve">                                                                Цены ФОБОС</t>
  </si>
  <si>
    <t>№</t>
  </si>
  <si>
    <t xml:space="preserve">                          Наименование товара</t>
  </si>
  <si>
    <t xml:space="preserve">Кронштейн растяжки 2108-099 ФОБОС усиленный втулка Балаково завод РТИ </t>
  </si>
  <si>
    <t>шт.</t>
  </si>
  <si>
    <t xml:space="preserve">Пружина  LADA Vesta ФОБОС задняя усиленная     </t>
  </si>
  <si>
    <t>компл.</t>
  </si>
  <si>
    <t xml:space="preserve">Пружина  LADA XRAY ФОБОС задняя уиленная       </t>
  </si>
  <si>
    <t xml:space="preserve">Пружина Лада Ларгус задняя усиленная (Dacia Logan MCV универсал)   </t>
  </si>
  <si>
    <t xml:space="preserve">Пружина Рено Логан 1,6 задние                                 </t>
  </si>
  <si>
    <t xml:space="preserve">Пружина Рено Логан 1,6 передние                              </t>
  </si>
  <si>
    <t xml:space="preserve">Пружины Daewoo Lanos 1.4-1.6 задние усиленные     </t>
  </si>
  <si>
    <t>компл</t>
  </si>
  <si>
    <t xml:space="preserve">Пружины Daewoo Nexia задние усиленные                 </t>
  </si>
  <si>
    <t xml:space="preserve">Пружины Люкс 2110 задние в коробке                        </t>
  </si>
  <si>
    <t xml:space="preserve">Пружины Люкс 2110 передние в коробке                     </t>
  </si>
  <si>
    <t xml:space="preserve">Пружины передние 2170                                              </t>
  </si>
  <si>
    <t xml:space="preserve">Пружины Переменный шаг задние 2101                      </t>
  </si>
  <si>
    <t xml:space="preserve">Пружины Переменный шаг задние 2102                       </t>
  </si>
  <si>
    <t xml:space="preserve">Пружины Переменный шаг задние 21099                    </t>
  </si>
  <si>
    <t xml:space="preserve">Пружины Переменный шаг задние 2110                       </t>
  </si>
  <si>
    <t xml:space="preserve">Пружины Переменный шаг задние 2111                       </t>
  </si>
  <si>
    <t xml:space="preserve">Пружины Переменный шаг задние 2121                      </t>
  </si>
  <si>
    <t xml:space="preserve">Пружины Переменный шаг передние 2101                  </t>
  </si>
  <si>
    <t xml:space="preserve">Пружины Переменный шаг передние 2112                  </t>
  </si>
  <si>
    <t xml:space="preserve">Пружины Переменный шаг передние 2121                  </t>
  </si>
  <si>
    <t xml:space="preserve">Пружины Спорт 2101 передние (-25 мм) в коробке           </t>
  </si>
  <si>
    <t xml:space="preserve">Пружины Спорт 2101 передние (-50 мм) в коробке        </t>
  </si>
  <si>
    <t xml:space="preserve">Пружины Спорт 2101 передние (-70 мм) в коробке         </t>
  </si>
  <si>
    <t xml:space="preserve">Пружины Спорт 2101задние ( -50мм) в коробке              </t>
  </si>
  <si>
    <t xml:space="preserve">Пружины Спорт 2101задние ( -70мм) в коробке              </t>
  </si>
  <si>
    <t xml:space="preserve">Пружины Спорт 2101задние (-25 мм) в коробке               </t>
  </si>
  <si>
    <t xml:space="preserve">Пружины Спорт 2108 передние (-40 мм) в коробке          </t>
  </si>
  <si>
    <t xml:space="preserve">Пружины Спорт 2108задние ( -40мм) в коробке                </t>
  </si>
  <si>
    <t xml:space="preserve">Пружины Спорт 2110 задние (-25мм) в коробке                 </t>
  </si>
  <si>
    <t xml:space="preserve">Пружины Спорт 2110 задние (-40мм) в коробке                  </t>
  </si>
  <si>
    <t xml:space="preserve">Пружины Спорт 2110 задние (-50мм) в коробке                  </t>
  </si>
  <si>
    <t xml:space="preserve">Пружины Спорт 2110 задние (-50мм) в ПЛЕНКЕ                  </t>
  </si>
  <si>
    <t xml:space="preserve">Пружины Спорт 2110 задние (-70мм) в коробке                   </t>
  </si>
  <si>
    <t xml:space="preserve">Пружины Спорт 2110 задние (-90мм) в коробке                   </t>
  </si>
  <si>
    <t xml:space="preserve">Пружины Спорт 2110 передние (-25мм) в коробке                </t>
  </si>
  <si>
    <t xml:space="preserve">Пружины Спорт 2110 передние (-40мм) в коробке                </t>
  </si>
  <si>
    <t xml:space="preserve">Пружины Спорт 2110 передние (-50мм) в коробке               </t>
  </si>
  <si>
    <t xml:space="preserve">Пружины Спорт 2110 передние (-50мм) в ПЛЕНКЕ             </t>
  </si>
  <si>
    <t xml:space="preserve">Пружины Спорт 2110 передние (-70мм) в коробке              </t>
  </si>
  <si>
    <t xml:space="preserve">Пружины Спорт 2110 передние (-90мм) в коробке               </t>
  </si>
  <si>
    <t xml:space="preserve">Пружины Спорт 2170"Приора" передние (-25,-40,-50,-70 мм) в коробке    </t>
  </si>
  <si>
    <t xml:space="preserve">Пружина Лада Ларгус Кросс задняя                                                      </t>
  </si>
  <si>
    <t xml:space="preserve">Пружина Веста SW кросс задние                                                          </t>
  </si>
  <si>
    <t xml:space="preserve">Пружина Рено Логан 2 передние   с 2014г.                                           </t>
  </si>
  <si>
    <t xml:space="preserve">Пружины Переменный шаг передние 2123                                             </t>
  </si>
  <si>
    <t xml:space="preserve">Пружины  передние 118 с/о                                                                   </t>
  </si>
  <si>
    <t xml:space="preserve">Пружины  передние Веста                                                                     </t>
  </si>
  <si>
    <t xml:space="preserve">Пружина Веста SW кросс задние усил.                                                        </t>
  </si>
  <si>
    <t xml:space="preserve">Пружина  LADA XRAY ФОБОС передняя уиленная       </t>
  </si>
  <si>
    <r>
      <t xml:space="preserve">                     </t>
    </r>
    <r>
      <rPr>
        <b/>
        <sz val="11"/>
        <rFont val="Arial"/>
        <family val="2"/>
        <charset val="204"/>
      </rPr>
      <t xml:space="preserve">       Технорессор</t>
    </r>
  </si>
  <si>
    <t>Гранта FL</t>
  </si>
  <si>
    <t>2170 усил.пер.</t>
  </si>
  <si>
    <t>01 дрифт</t>
  </si>
  <si>
    <t>название поставщика</t>
  </si>
  <si>
    <t xml:space="preserve">Пружина подвески Renault Duster 4x4 дв.1,6 ФОБОС 30988 задняя усил. </t>
  </si>
  <si>
    <t xml:space="preserve">Пружина подвески Renault Duster ФОБОС передняя усил. дв 1.6 </t>
  </si>
  <si>
    <t>ТЕХНОРЕССОР</t>
  </si>
  <si>
    <t>2112-2902712</t>
  </si>
  <si>
    <t>D2.1.25-15</t>
  </si>
  <si>
    <t>Под заказ</t>
  </si>
  <si>
    <t>Поставщик</t>
  </si>
  <si>
    <t>Артикул поставщика</t>
  </si>
  <si>
    <t>Цена рынок</t>
  </si>
  <si>
    <t xml:space="preserve">Пружина Рено Логан 1,4 задние                            </t>
  </si>
  <si>
    <t xml:space="preserve">Пружина Рено Логан 1,4 передние                              </t>
  </si>
  <si>
    <t>Пружины  1119 передние в коробке  (бочка)</t>
  </si>
  <si>
    <t xml:space="preserve">Пружины Переменный шаг задние 2123                                             </t>
  </si>
  <si>
    <t>Закуп</t>
  </si>
  <si>
    <t>Розница</t>
  </si>
  <si>
    <t>Наименование</t>
  </si>
  <si>
    <t>4</t>
  </si>
  <si>
    <t>25667</t>
  </si>
  <si>
    <t>Пружина Веста SW кросс задние</t>
  </si>
  <si>
    <t>Пружина Лада Ларгус задняя усиленная (Dacia Logan MCV универсал)</t>
  </si>
  <si>
    <t>Пружина Лада Ларгус Кросс задняя</t>
  </si>
  <si>
    <t>Пружины  передние 118 с/о</t>
  </si>
  <si>
    <t>Пружины  передние Веста</t>
  </si>
  <si>
    <t>Пружины Переменный шаг задние 2121</t>
  </si>
  <si>
    <t>Пружины Переменный шаг задние 2123</t>
  </si>
  <si>
    <t>Пружины Переменный шаг передние 2121</t>
  </si>
  <si>
    <t>Пружины Переменный шаг передние 2123</t>
  </si>
  <si>
    <t>Шеви (+30) (+50)</t>
  </si>
  <si>
    <t>10022-50</t>
  </si>
  <si>
    <t>2170 пер. с занижением</t>
  </si>
  <si>
    <t>2170 пер. стандарт</t>
  </si>
  <si>
    <t>Код производителя</t>
  </si>
  <si>
    <t>217051 / -50</t>
  </si>
  <si>
    <t>49558 / -40</t>
  </si>
  <si>
    <t>217025 / -25</t>
  </si>
  <si>
    <t>217071 / -70</t>
  </si>
  <si>
    <t>https://fobos-avto.ru/produkciya/vaz/zadniy-privod/pruzhiny-peremennyy-shag-2101-zadnie-v-plenke/</t>
  </si>
  <si>
    <t>https://fobos-avto.ru/produkciya/vaz/zadniy-privod/pruzhiny-peremennyy-shag-2102-zadnie-v-plenke/</t>
  </si>
  <si>
    <t>https://fobos-avto.ru/produkciya/vaz/peredniy-privod/pruzhiny-standart-2170-priora-pered/</t>
  </si>
  <si>
    <t>https://fobos-avto.ru/produkciya/vaz/peredniy-privod/pruzhiny-h-rey-zadnie-usilennye/</t>
  </si>
  <si>
    <t>https://fobos-avto.ru/produkciya/vaz/peredniy-privod/pruzhiny-lada-vesta-sv-kross-zadnie-usilennye/</t>
  </si>
  <si>
    <t>https://fobos-avto.ru/produkciya/vaz/peredniy-privod/pruzhiny-lada-vesta-sv-kross-zadnie/</t>
  </si>
  <si>
    <t>https://fobos-avto.ru/produkciya/vaz/peredniy-privod/pruzhiny-lada-vesta-zadnie-usilennye/</t>
  </si>
  <si>
    <t>https://fobos-avto.ru/produkciya/vaz/peredniy-privod/pruzhina-lada-largus-zadnyaya-usilennaya-dacia-logan-mcv-universal/</t>
  </si>
  <si>
    <t>https://fobos-avto.ru/produkciya/vaz/peredniy-privod/pruzhiny-lyuks-2110-zadnie/</t>
  </si>
  <si>
    <t>https://fobos-avto.ru/produkciya/vaz/peredniy-privod/pruzhiny-lyuks-2110-perednie/</t>
  </si>
  <si>
    <t>https://fobos-avto.ru/produkciya/vaz/peredniy-privod/pruzhiny-peremennyy-shag-2110-zadnie-v-plenke/</t>
  </si>
  <si>
    <t>https://fobos-avto.ru/produkciya/vaz/peredniy-privod/pruzhiny-standart-1117-perednie/</t>
  </si>
  <si>
    <t>https://fobos-avto.ru/produkciya/vaz/peredniy-privod/pruzhiny-standart-1119-kalina-perednie/</t>
  </si>
  <si>
    <t>https://fobos-avto.ru/produkciya/vaz/peredniy-privod/pruzhiny-sport-2170priora-pered-50mm-v-korobke/</t>
  </si>
  <si>
    <t>https://fobos-avto.ru/produkciya/vaz/peredniy-privod/pruzhiny-sport-2170priora-perednie--40mm/</t>
  </si>
  <si>
    <t>https://fobos-avto.ru/produkciya/vaz/peredniy-privod/pruzhiny-sport-2170priora-perednie--25mm-v-korobke/</t>
  </si>
  <si>
    <t>https://fobos-avto.ru/produkciya/vaz/peredniy-privod/pruzhiny-sport-2170priora-pered-70mm-v-korobke/</t>
  </si>
  <si>
    <t>https://fobos-avto.ru/produkciya/vaz/peredniy-privod/pruzhiny-sport-2110-perednie--90mm-v-korobke/</t>
  </si>
  <si>
    <t>https://fobos-avto.ru/produkciya/vaz/peredniy-privod/pruzhiny-sport-2110-perednie--70mm/</t>
  </si>
  <si>
    <t>https://fobos-avto.ru/produkciya/vaz/peredniy-privod/pruzhiny-sport-2110-perednie--40mm/</t>
  </si>
  <si>
    <t>https://fobos-avto.ru/produkciya/vaz/peredniy-privod/pruzhiny-sport-2110-perednie--25mm/</t>
  </si>
  <si>
    <t>https://fobos-avto.ru/produkciya/vaz/peredniy-privod/pruzhiny-sport-2110-zadnie--90mm-v-korobke/</t>
  </si>
  <si>
    <t>https://fobos-avto.ru/produkciya/vaz/peredniy-privod/pruzhiny-sport-2110-zadnie--70mm/</t>
  </si>
  <si>
    <t>https://fobos-avto.ru/produkciya/vaz/peredniy-privod/pruzhiny-sport-2110-zadnie--40mm/</t>
  </si>
  <si>
    <t>https://fobos-avto.ru/produkciya/vaz/peredniy-privod/pruzhiny-sport-2110-zadnie--25mm/</t>
  </si>
  <si>
    <t>https://fobos-avto.ru/produkciya/vaz/peredniy-privod/pruzhiny-sport-2108-perednie--40-mm/</t>
  </si>
  <si>
    <t>https://fobos-avto.ru/produkciya/vaz/peredniy-privod/pruzhiny-sport-2108zadnie---40mm/</t>
  </si>
  <si>
    <t>https://fobos-avto.ru/produkciya/vaz/peredniy-privod/pruzhiny-peremennyy-shag-2111zadnie-v-plenke/</t>
  </si>
  <si>
    <t>https://fobos-avto.ru/produkciya/vaz/peredniy-privod/pruzhiny-peremennyy-shag-2110-perednie-v-plenke/</t>
  </si>
  <si>
    <t>https://fobos-avto.ru/produkciya/vaz/zadniy-privod/pruzhiny-sport-2101zadnie---50mm/</t>
  </si>
  <si>
    <t>https://fobos-avto.ru/produkciya/vaz/zadniy-privod/pruzhiny-sport-2101zadnie--25-mm/</t>
  </si>
  <si>
    <t>https://fobos-avto.ru/produkciya/vaz/zadniy-privod/pruzhiny-sport-2101zadnie---70mm-v-korobke/</t>
  </si>
  <si>
    <t>https://fobos-avto.ru/produkciya/vaz/zadniy-privod/pruzhiny-sport-2101-perednie--25-mm/</t>
  </si>
  <si>
    <t>https://fobos-avto.ru/produkciya/vaz/zadniy-privod/pruzhiny-sport-2101-perednie--70-mm-v-korobke/</t>
  </si>
  <si>
    <t>https://fobos-avto.ru/produkciya/vaz/zadniy-privod/pruzhiny-peremennyy-shag-2101-perednie-v-plenke/</t>
  </si>
  <si>
    <t>https://fobos-avto.ru/produkciya/vaz/zadniy-privod/pruzhiny-sport-2101-perednie--50-mm/</t>
  </si>
  <si>
    <t>https://fobos-avto.ru/produkciya/vaz/polnyy-privod/pruzhiny-peremennyy-shag-2121-zadnie-v-plenke/</t>
  </si>
  <si>
    <t>https://fobos-avto.ru/produkciya/vaz/polnyy-privod/pruzhiny-peremennyy-shag-2123-zadnie-v-plenke/</t>
  </si>
  <si>
    <t>https://fobos-avto.ru/produkciya/vaz/polnyy-privod/pruzhiny-peremennyy-shag-2123-perednie-v-plenke/</t>
  </si>
  <si>
    <t>https://fobos-avto.ru/produkciya/vaz/polnyy-privod/pruzhiny-peremennyy-shag-2121perednie-v-plenke/</t>
  </si>
  <si>
    <t>https://fobos-avto.ru/produkciya/vaz/peredniy-privod/pruzhiny-sport-2110-zadnie--50mm/</t>
  </si>
  <si>
    <t>https://fobos-avto.ru/produkciya/vaz/peredniy-privod/pruzhiny-sport-2110-perednie--50mm/</t>
  </si>
  <si>
    <t>https://fobos-avto.ru/produkciya/vaz/peredniy-privod/pruzhiny-peremennyy-shag-21099-zadnie-v-plenke/</t>
  </si>
  <si>
    <t>https://fobos-avto.ru/produkciya/vaz/peredniy-privod/pruzhiny-lada-vesta-perednie/</t>
  </si>
  <si>
    <t>https://fobos-avto.ru/produkciya/vaz/peredniy-privod/pruzhiny-lada-largus-kross-zadnie/</t>
  </si>
  <si>
    <t>https://fobos-avto.ru/produkciya/vaz/peredniy-privod/pruzhiny-h-rey-perednie-usilennye/</t>
  </si>
  <si>
    <t>Ссылка</t>
  </si>
  <si>
    <t>ссылка</t>
  </si>
  <si>
    <t>Пружины Спорт 2110 задние (-25мм) в коробке</t>
  </si>
  <si>
    <t>Пружины Спорт 2110 задние (-40мм) в коробке</t>
  </si>
  <si>
    <t>Пружины Спорт 2110 задние (-50мм) в коробке</t>
  </si>
  <si>
    <t>Пружины Спорт 2110 задние (-70мм) в коробке</t>
  </si>
  <si>
    <t>Пружины Спорт 2110 задние (-90мм) в коробке</t>
  </si>
  <si>
    <t>Пружины Спорт 2101задние (-25 мм) в коробке</t>
  </si>
  <si>
    <t>Пружины Спорт 2101задние ( -50мм) в коробке</t>
  </si>
  <si>
    <t>Пружины Спорт 2101задние ( -70мм) в коробке</t>
  </si>
  <si>
    <t>Пружины Спорт 2101 передние (-25 мм) в коробке</t>
  </si>
  <si>
    <t>Пружины Спорт 2101 передние (-50 мм) в коробке</t>
  </si>
  <si>
    <t>Пружины Спорт 2101 передние (-70 мм) в коробке</t>
  </si>
  <si>
    <t>Пружины Спорт 2110 передние (-25мм) в коробке</t>
  </si>
  <si>
    <t>Пружины Спорт 2110 передние (-40мм) в коробке</t>
  </si>
  <si>
    <t>Пружины Спорт 2110 передние (-50мм) в коробке</t>
  </si>
  <si>
    <t>Пружины Спорт 2110 передние (-70мм) в коробке</t>
  </si>
  <si>
    <t>Пружины Спорт 2110 передние (-90мм) в коробке</t>
  </si>
  <si>
    <t>Пружины Спорт 2170"Приора" передние (-25,-40,-50,-70 мм) в коробке</t>
  </si>
  <si>
    <t>Мин</t>
  </si>
  <si>
    <t>Макс</t>
  </si>
  <si>
    <t>25585</t>
  </si>
  <si>
    <t>25637</t>
  </si>
  <si>
    <t>21391</t>
  </si>
  <si>
    <t>21426</t>
  </si>
  <si>
    <t>78564</t>
  </si>
  <si>
    <t>40500</t>
  </si>
  <si>
    <t>35861</t>
  </si>
  <si>
    <t>38169</t>
  </si>
  <si>
    <t>38167</t>
  </si>
  <si>
    <t>84510</t>
  </si>
  <si>
    <t>84500</t>
  </si>
  <si>
    <t>55040</t>
  </si>
  <si>
    <t>55043</t>
  </si>
  <si>
    <t>43585</t>
  </si>
  <si>
    <t>84520</t>
  </si>
  <si>
    <t>78611</t>
  </si>
  <si>
    <t>33467</t>
  </si>
  <si>
    <t>78606</t>
  </si>
  <si>
    <t>79477</t>
  </si>
  <si>
    <t>Ст З</t>
  </si>
  <si>
    <t>Ст Р</t>
  </si>
  <si>
    <t>Факт</t>
  </si>
  <si>
    <t>25585 / 2101-2902712</t>
  </si>
  <si>
    <t>2101 пер.и зад.</t>
  </si>
  <si>
    <t>%</t>
  </si>
  <si>
    <t>Рек</t>
  </si>
  <si>
    <t>MR</t>
  </si>
  <si>
    <t>не нашел</t>
  </si>
  <si>
    <t>Код</t>
  </si>
  <si>
    <t>Кат. Номер</t>
  </si>
  <si>
    <t>Разн</t>
  </si>
  <si>
    <t>Y / N</t>
  </si>
  <si>
    <t>Кол-во</t>
  </si>
  <si>
    <t>Y</t>
  </si>
  <si>
    <t>N</t>
  </si>
  <si>
    <t>0</t>
  </si>
  <si>
    <t>Элемент каталога</t>
  </si>
  <si>
    <t>Артикул: 24586</t>
  </si>
  <si>
    <t>Артикул: 49553</t>
  </si>
  <si>
    <t>Артикул: 210170</t>
  </si>
  <si>
    <t>Артикул: 24595</t>
  </si>
  <si>
    <t>Артикул: 49554</t>
  </si>
  <si>
    <t>Артикул: 210171</t>
  </si>
  <si>
    <t>Артикул: 30416</t>
  </si>
  <si>
    <t>Артикул: 21434</t>
  </si>
  <si>
    <t>Артикул: 49557</t>
  </si>
  <si>
    <t>Артикул: 564147</t>
  </si>
  <si>
    <t>Артикул: 211091</t>
  </si>
  <si>
    <t>Артикул: 217025</t>
  </si>
  <si>
    <t>Артикул: 49558</t>
  </si>
  <si>
    <t>Артикул: 217051</t>
  </si>
  <si>
    <t>Артикул: 217071</t>
  </si>
  <si>
    <t>Артикул: 217091</t>
  </si>
  <si>
    <t>Элемент</t>
  </si>
  <si>
    <t>Веста  пер.и зад с занижением</t>
  </si>
  <si>
    <t>2101 пер.и зад.усил.</t>
  </si>
  <si>
    <t>2110 зад. стандар.</t>
  </si>
  <si>
    <t>2110 зад. усил.</t>
  </si>
  <si>
    <t>2110 зад.с занижением</t>
  </si>
  <si>
    <t>2110 пер. стандар.</t>
  </si>
  <si>
    <t>2110 пер. усил.</t>
  </si>
  <si>
    <t>2110 пер.с занижением</t>
  </si>
  <si>
    <t>Веста  зад.и пер. станд.</t>
  </si>
  <si>
    <t>2390 снят</t>
  </si>
  <si>
    <t>3890 снят</t>
  </si>
  <si>
    <t>3990 снят</t>
  </si>
  <si>
    <t>3790 снят</t>
  </si>
  <si>
    <t>3690 снят</t>
  </si>
  <si>
    <t>2690 снят</t>
  </si>
  <si>
    <t>2990 снят</t>
  </si>
  <si>
    <t>https://motorring.ru/product/8701-prughiny-peredney-podveski-tehnoressor-bez-zanigheniya-2108</t>
  </si>
  <si>
    <t>https://motorring.ru/product/8702-prughiny-zadney-podveski-tehnoressor-bez-zanigheniya-dlya</t>
  </si>
  <si>
    <t>https://motorring.ru/product/8708-prughiny-zadney-podveski-tehnoressor-bez-zanigheniya-kalina</t>
  </si>
  <si>
    <t>https://motorring.ru/product/33814-prughiny-pered-podveski-tehnoressor-bez-zanij-vesta</t>
  </si>
  <si>
    <t>https://motorring.ru/product/33877-prughiny-zad-podveski-tehnoressor-standart-vesta</t>
  </si>
  <si>
    <t>https://motorring.ru/product/33878-usil-prughiny-zad-podveski-tehnoressor-bez-vesta</t>
  </si>
  <si>
    <t>https://motorring.ru/product/33807-prughiny-pered-podveski-tehnoressor-20-08-99</t>
  </si>
  <si>
    <t>https://motorring.ru/product/33823-prughiny-zadney-podveski-tehnoressor-zanigh-120-2101-07</t>
  </si>
  <si>
    <t>https://motorring.ru/product/33798-usilennye-prughiny-pered-podveski-tehnoressor-20-vaz-2101-07</t>
  </si>
  <si>
    <t>https://motorring.ru/product/24988-prughina-peredney-podveski-fobos-lada-iks-rey</t>
  </si>
  <si>
    <t>https://motorring.ru/product/16272-prughiny-perednie-fobos-standartnye-bez-zanigheniya-lada</t>
  </si>
  <si>
    <t>https://motorring.ru/product/4361-prughiny-perednie-fobos-standart-bez-zanigheniya-dlya-lada</t>
  </si>
  <si>
    <t>https://motorring.ru/product/4358-perednie-prughiny-fobos-standart-bez-zanigheniya-vaz</t>
  </si>
  <si>
    <t>https://motorring.ru/product/33805-prughiny-peredney-podveski-tehnoressor-50-shevy</t>
  </si>
  <si>
    <t>https://motorring.ru/product/33667-usilennye-prughiny-peredney-podveski-tehnoressor-lada-granta</t>
  </si>
  <si>
    <t>https://motorring.ru/product/33672-prughiny-peredney-podveski-tehnoressor-zavisheniem-20mm-2190</t>
  </si>
  <si>
    <t>https://motorring.ru/product/33684-usil-prughiny-peredney-podveski-tehnoressor-zavisheniem-20mm-2190</t>
  </si>
  <si>
    <t>https://motorring.ru/product/40190-usil-prughiny-peredney-podveski-tehnoressor-bez-zanigheniya-2110</t>
  </si>
  <si>
    <t>https://motorring.ru/product/33825-prughiny-zadney-podveski-tehnoressor-drift-2101-07</t>
  </si>
  <si>
    <t>https://motorring.ru/product/33802-prughiny-peredney-podveski-tehnoressor-drift-50-01-07</t>
  </si>
  <si>
    <t>https://motorring.ru/product/33824-prughiny-zadney-podveski-tehnoressor-standart-2101-07</t>
  </si>
  <si>
    <t>https://motorring.ru/product/28995-prughiny-zadney-podveski-tehnoressor-bez-zanigheniya-2101</t>
  </si>
  <si>
    <t>https://motorring.ru/product/33797-usilennye-prughiny-pered-podveski-tehnoressor-vaz-2101-07</t>
  </si>
  <si>
    <t>https://motorring.ru/product/28996-prughiny-peredney-podveski-tehnoressor-bez-zanigheniya-vaz</t>
  </si>
  <si>
    <t>https://motorring.ru/product/33826-prughiny-zadney-podveski-tehnoressor-zavish-20mm-2101-07</t>
  </si>
  <si>
    <t>https://motorring.ru/product/33879-prughiny-zad-podveski-tehnoressor-zavish-20-vesta</t>
  </si>
  <si>
    <t>https://motorring.ru/product/33815-prughiny-pered-podveski-tehnoressor-zavish-20-vesta</t>
  </si>
  <si>
    <t>https://motorring.ru/product/33796-prughiny-peredney-podveski-tehnoressor-zavysh-20mm-2190-fl</t>
  </si>
  <si>
    <t>https://motorring.ru/product/33892-prughiny-peredney-podveski-tehnoressor-30-2123</t>
  </si>
  <si>
    <t>https://motorring.ru/product/33909-prughiny-zad-podveski-tehnoressor-zanizh-30-shevy</t>
  </si>
  <si>
    <t>https://motorring.ru/product/33910-prughiny-zad-podveski-tehnoressor-zanizh-50-shevy</t>
  </si>
  <si>
    <t>https://motorring.ru/product/33795-prughiny-peredney-podveski-tehnoressor-standart-2190-fl</t>
  </si>
  <si>
    <t>https://motorring.ru/product/6628-prughiny-zadney-podveski-tehnoressor-90mm-vaz-2108-21099</t>
  </si>
  <si>
    <t>https://motorring.ru/product/6622-prughiny-zadney-podveski-tehnoressor-70mm-vaz-2108-21099</t>
  </si>
  <si>
    <t>https://motorring.ru/product/6624-prughiny-zadney-podveski-tehnoressor-50mm-vaz-2108-21099</t>
  </si>
  <si>
    <t>https://motorring.ru/product/6630-prughiny-zadney-podveski-tehnoressor-30mm-vaz-2108-21099</t>
  </si>
  <si>
    <t>https://motorring.ru/product/6626-prughiny-zadney-podveski-tehnoressor-120mm-vaz-2108-21099</t>
  </si>
  <si>
    <t>https://motorring.ru/product/6625-prughiny-peredney-podveski-tehnoressor-120mm-2108</t>
  </si>
  <si>
    <t>https://motorring.ru/product/6629-prughiny-peredney-podveski-tehnoressor-30mm-vaz-2108-21099</t>
  </si>
  <si>
    <t>https://motorring.ru/product/6623-prughiny-peredney-podveski-tehnoressor-50mm-vaz-2108-21099</t>
  </si>
  <si>
    <t>https://motorring.ru/product/6621-prughiny-peredney-podveski-tehnoressor-70mm-vaz-2108-21099</t>
  </si>
  <si>
    <t>https://motorring.ru/product/6627-prughiny-peredney-podveski-tehnoressor-90mm-vaz-2108-21099</t>
  </si>
  <si>
    <t>https://motorring.ru/product/33822-prughiny-zadney-podveski-tehnoressor-zanigh-120-2101-07</t>
  </si>
  <si>
    <t>https://motorring.ru/product/33817-prughiny-zadney-podveski-tehnoressor-zanigh-30-2101-07</t>
  </si>
  <si>
    <t>https://motorring.ru/product/33819-prughiny-zadney-podveski-tehnoressor-zanigh-50-2101-07</t>
  </si>
  <si>
    <t>https://motorring.ru/product/33821-prughiny-zadney-podveski-tehnoressor-zanigh-70-2101-07</t>
  </si>
  <si>
    <t>https://motorring.ru/product/33820-prughiny-zadney-podveski-tehnoressor-zanigh-90-2101-07</t>
  </si>
  <si>
    <t>https://motorring.ru/product/33880-prughiny-peredney-podveski-tehnoressor-drive-120-2101</t>
  </si>
  <si>
    <t>https://motorring.ru/product/33869-prughiny-peredney-podveski-tehnoressor-drive-30-2101</t>
  </si>
  <si>
    <t>https://motorring.ru/product/33871-prughiny-peredney-podveski-tehnoressor-drive-50-2101</t>
  </si>
  <si>
    <t>https://motorring.ru/product/33876-prughiny-peredney-podveski-tehnoressor-drive-70-2101</t>
  </si>
  <si>
    <t>https://motorring.ru/product/33873-prughiny-peredney-podveski-tehnoressor-drive-90-2101</t>
  </si>
  <si>
    <t>https://motorring.ru/product/10469-prughiny-zadney-podveski-tehnoressor-30-lada-vesta</t>
  </si>
  <si>
    <t>https://motorring.ru/product/10470-prughiny-zadney-podveski-tehnoressor-50-lada-vesta</t>
  </si>
  <si>
    <t>https://motorring.ru/product/33875-prughiny-zad-podveski-tehnoressor-zanij-70-vesta</t>
  </si>
  <si>
    <t>https://motorring.ru/product/10467-prughiny-peredney-podveski-tehnoressor-30-lada-vesta</t>
  </si>
  <si>
    <t>https://motorring.ru/product/10468-prughiny-peredney-podveski-tehnoressor-50mm-lada-vesta</t>
  </si>
  <si>
    <t>https://motorring.ru/product/33813-prughiny-pered-podveski-tehnoressor-zanij-70-vesta</t>
  </si>
  <si>
    <t>https://motorring.ru/product/33692-prughiny-peredney-podveski-tehnoressor-drive-30mm-2190-fl</t>
  </si>
  <si>
    <t>https://motorring.ru/product/33691-prughiny-peredney-podveski-tehnoressor-drive-50mm-2190-fl</t>
  </si>
  <si>
    <t>https://motorring.ru/product/33709-prughiny-peredney-podveski-tehnoressor-drive-70mm-2190-fl</t>
  </si>
  <si>
    <t>https://motorring.ru/product/33794-prughiny-peredney-podveski-tehnoressor-drive-90mm-2190-fl</t>
  </si>
  <si>
    <t>https://motorring.ru/product/6673-prughiny-peredney-podveski--120mm-dlya-lada-granta</t>
  </si>
  <si>
    <t>https://motorring.ru/product/6667-prughiny-peredney-podveski-tehnoressor-30-granta</t>
  </si>
  <si>
    <t>https://motorring.ru/product/6669-prughiny-peredney-podveski-tehnoressor-50-granta</t>
  </si>
  <si>
    <t>https://motorring.ru/product/6671-prughiny-peredney-podveski-tehnoressor-70mm-lada-granta</t>
  </si>
  <si>
    <t>https://motorring.ru/product/6675-prughiny-peredney-podveski-90mm-dlya-lada-granta</t>
  </si>
  <si>
    <t>Ряд</t>
  </si>
  <si>
    <t>32704</t>
  </si>
  <si>
    <t>30417</t>
  </si>
  <si>
    <t>49917</t>
  </si>
  <si>
    <t>331227</t>
  </si>
  <si>
    <t>211090</t>
  </si>
  <si>
    <t>https://motorring.ru/product/4356-zadnie-prughiny-fobos-standart-bez-zanigheniya-vaz</t>
  </si>
  <si>
    <t>https://motorring.ru/product/4567-zadnie-prughiny-fobos-standart-peremennyy-shag-kalina</t>
  </si>
  <si>
    <t>https://motorring.ru/product/16278-zadnie-prughiny-fobos-standart-bez-zanigheniya-granta</t>
  </si>
  <si>
    <t>https://motorring.ru/product/4357-zadnie-prughiny-fobos-standart-bez-zanigheniya-vaz</t>
  </si>
  <si>
    <t>https://motorring.ru/product/4359-prughiny-fobos-standart-vaz-2110-2112-perednie-bez</t>
  </si>
  <si>
    <t>https://motorring.ru/product/16263-prughiny-perednie-fobos-standart-bez-zanigheniya-dlya-vaz</t>
  </si>
  <si>
    <t>https://motorring.ru/product/16264</t>
  </si>
  <si>
    <t>https://motorring.ru/product/3343-perednie-prughiny-fobos-sport-zanighenie-25mm-2108-21099</t>
  </si>
  <si>
    <t>https://motorring.ru/product/3345-perednie-prughiny-fobos-sport-zanigheniem-40mm-dlya-vaz</t>
  </si>
  <si>
    <t>https://motorring.ru/product/3346-perednie-prughiny-fobos-sport-zanigheniem-50mm-vaz</t>
  </si>
  <si>
    <t>https://motorring.ru/product/16253-perednie-prughiny-fobos-sport-zanigheniem-vaz-2108-21099</t>
  </si>
  <si>
    <t>https://motorring.ru/product/3342-zadnie-prughiny-fobos-sport-zanighenie-25mm-vaz-2108</t>
  </si>
  <si>
    <t>https://motorring.ru/product/3344-zadnie-prughiny-fobos-sport-zanigheniem-40mm-vaz-2108</t>
  </si>
  <si>
    <t>https://motorring.ru/product/3347-zadnie-prughiny-fobos-sport-zanigheniem-vaz-2108-21099</t>
  </si>
  <si>
    <t>https://motorring.ru/product/16255-zadnie-prughiny-fobos-sport-zanigheniem-70-vaz-2108-21099</t>
  </si>
  <si>
    <t>нет размера</t>
  </si>
  <si>
    <t>https://motorring.ru/product/3338-prughiny-zadnie-dlya-vaz-2101-07-sport-zanighenie-25mm</t>
  </si>
  <si>
    <t>https://motorring.ru/product/3340-prughiny-zadnie-fobos-sport-zanigheniem-50-vaz-2101-2107</t>
  </si>
  <si>
    <t>https://motorring.ru/product/16266-prughiny-zadnie-fobos-sport-zanighenie-70mm-vaz-2101-2107</t>
  </si>
  <si>
    <t>https://motorring.ru/product/3339-perednie-prughiny-fobos-sport-zanighenie-25mm-vaz-2101-2107</t>
  </si>
  <si>
    <t>https://motorring.ru/product/3341-prughiny-perednie-fobos-sport-zanigheniem-50-vaz-2101-2107</t>
  </si>
  <si>
    <t>4590 снят</t>
  </si>
  <si>
    <t>https://motorring.ru/product/16262-prughiny-perednie-fobos-sport-zanigheniem-70mm-dlya-vaz</t>
  </si>
  <si>
    <t>https://motorring.ru/product/4560</t>
  </si>
  <si>
    <t>https://motorring.ru/product/4562-perednie-prughiny-fobos-sport-zanigheniem-40-lada-kalina</t>
  </si>
  <si>
    <t>https://motorring.ru/product/16247-prughiny-perednie-fobos-sport-zanigheniem-50-lada-kalina</t>
  </si>
  <si>
    <t>https://motorring.ru/product/16248</t>
  </si>
  <si>
    <t>https://motorring.ru/product/33809-prughiny-pered-podveski-tehnoressor-20-10-12</t>
  </si>
  <si>
    <t>https://motorring.ru/product/33828-prughiny-zadney-podveski-tehnoressor-zavish-20-2110-12</t>
  </si>
  <si>
    <t>РЦ</t>
  </si>
  <si>
    <t>ЗЦ</t>
  </si>
  <si>
    <t>Доп</t>
  </si>
  <si>
    <t>https://33sport.ru/catalog/podveska/pruzhiny_tekhnoressor/pruzhiny_tehnoressor_210107_zadnie_30/</t>
  </si>
  <si>
    <t>https://33sport.ru/catalog/podveska/pruzhiny_tekhnoressor/pruzhiny_tehnoressor_210107_zadnie_50/</t>
  </si>
  <si>
    <t>https://33sport.ru/catalog/podveska/pruzhiny_tekhnoressor/pruzhiny_tehnoressor_210107_zadnie_70/</t>
  </si>
  <si>
    <t>https://33sport.ru/catalog/podveska/pruzhiny_tekhnoressor/pruzhiny_tehnoressor_210107_perednie_30/</t>
  </si>
  <si>
    <t>https://33sport.ru/catalog/podveska/pruzhiny_tekhnoressor/pruzhiny_tehnoressor_210107_perednie_50/</t>
  </si>
  <si>
    <t>https://33sport.ru/catalog/podveska/pruzhiny_tekhnoressor/pruzhiny_tehnoressor_210107_perednie_70/</t>
  </si>
  <si>
    <t>33s</t>
  </si>
  <si>
    <t>https://33sport.ru/catalog/podveska/pruzhiny_tekhnoressor/pruzhiny_tehnoressor_210810priora_kalina_granta_zadnie_120/</t>
  </si>
  <si>
    <t>https://33sport.ru/catalog/podveska/pruzhiny_tekhnoressor/pruzhiny_tehnoressor_210810priora_kalina_granta_zadnie_30/</t>
  </si>
  <si>
    <t>https://33sport.ru/catalog/podveska/pruzhiny_tekhnoressor/pruzhiny_tehnoressor_210810priora_kalina_granta_zadnie_50/</t>
  </si>
  <si>
    <t>https://33sport.ru/catalog/podveska/pruzhiny_tekhnoressor/pruzhiny_tehnoressor_210810priora_kalina_granta_zadnie_70/</t>
  </si>
  <si>
    <t>https://33sport.ru/catalog/podveska/pruzhiny_tekhnoressor/pruzhiny_tehnoressor_210810priora_kalina_granta_zadnie_90/</t>
  </si>
  <si>
    <t>https://33sport.ru/catalog/podveska/pruzhiny_tekhnoressor/pruzhiny_tehnoressor_vaz_210810_perednie_120/</t>
  </si>
  <si>
    <t>https://33sport.ru/catalog/podveska/pruzhiny_tekhnoressor/pruzhiny_tehnoressor_vaz_210810_perednie_30/</t>
  </si>
  <si>
    <t>https://33sport.ru/catalog/podveska/pruzhiny_tekhnoressor/pruzhiny_tehnoressor_vaz_210810_perednie_50/</t>
  </si>
  <si>
    <t>https://33sport.ru/catalog/podveska/pruzhiny_tekhnoressor/pruzhiny_tehnoressor_vaz_210810_perednie_70/</t>
  </si>
  <si>
    <t>https://33sport.ru/catalog/podveska/pruzhiny_tekhnoressor/pruzhiny_tehnoressor_vaz_210810_perednie_90/</t>
  </si>
  <si>
    <t>https://33sport.ru/catalog/podveska/pruzhiny_tekhnoressor/pruzhiny_tehnoressor_priora_kalina_bochka_perednie_30/</t>
  </si>
  <si>
    <t>https://33sport.ru/catalog/podveska/pruzhiny_tekhnoressor/pruzhiny_tehnoressor_priora_kalina_bochka_perednie_50/</t>
  </si>
  <si>
    <t>https://33sport.ru/catalog/podveska/pruzhiny_tekhnoressor/pruzhiny_tehnoressor_priora_kalina_bochka_perednie_70/</t>
  </si>
  <si>
    <t>https://33sport.ru/catalog/podveska/pruzhiny_tekhnoressor/pruzhiny_tehnoressor_priora_kalina_bochka_perednie_90/</t>
  </si>
  <si>
    <t>https://33sport.ru/catalog/podveska/pruzhiny_tekhnoressor/pruzhiny_tekhnoressor_vesta_perednie_30/</t>
  </si>
  <si>
    <t>https://33sport.ru/catalog/podveska/pruzhiny_tekhnoressor/pruzhiny_tekhnoressor_vesta_perednie_50/</t>
  </si>
  <si>
    <t>https://33sport.ru/catalog/podveska/pruzhiny_tekhnoressor/pruzhiny_tekhnoressor_vesta_zadnie_50/</t>
  </si>
  <si>
    <t>https://33sport.ru/catalog/podveska/pruzhiny_tekhnoressor/pruzhiny_tekhnoressor_vesta_zadnie_30/</t>
  </si>
  <si>
    <t>https://33sport.ru/catalog/podveska/pruzhiny_tekhnoressor/pruzhiny_tekhnoressor_vaz_2101-07_zadnie_-120/</t>
  </si>
  <si>
    <t>https://33sport.ru/catalog/podveska/pruzhiny_tekhnoressor/pruzhiny_tekhnoressor_vaz_2101-2107_perednie-90/</t>
  </si>
  <si>
    <t>https://33sport.ru/catalog/podveska/pruzhiny_tekhnoressor/pruzhiny_tekhnoressor_priora-_kalina-_granta_-bochka-_perednie_-20/</t>
  </si>
  <si>
    <t>https://33sport.ru/catalog/podveska/pruzhiny_tekhnoressor/pruzhiny_tekhnoressor_na_shevrole_niva_2123_perednie_30/</t>
  </si>
  <si>
    <t>https://33sport.ru/catalog/podveska/pruzhiny_tekhnoressor/pruzhiny_tekhnoressor_na_shevrole_niva_2123_zadnie_30/</t>
  </si>
  <si>
    <t>https://33sport.ru/catalog/podveska/pruzhiny_tekhnoressor/pruzhiny_tekhnoressor_perednie_vaz_2123_shevrole_niva_50/</t>
  </si>
  <si>
    <t>https://33sport.ru/catalog/podveska/pruzhiny_tekhnoressor/pruzhiny_tekhnoressor_zadnie_shevrole_niva_50/</t>
  </si>
  <si>
    <t>https://33sport.ru/catalog/podveska/pruzhiny_tekhnoressor/pruzhiny_tekhnoressor_2108_10_priora_kalina_granta_zadnie_20/</t>
  </si>
  <si>
    <t>https://33sport.ru/catalog/podveska/pruzhiny_tekhnoressor/tekhnoressor_priora_kalina_bochka_perednie_bez_zanizheniya/</t>
  </si>
  <si>
    <t>https://33sport.ru/catalog/podveska/pruzhiny_tekhnoressor/pruzhiny_tekhnoressor_2108_10_priora_kalina_granta_zadnie_peremennyy_shag/</t>
  </si>
  <si>
    <t>https://33sport.ru/catalog/podveska/pruzhiny_tekhnoressor/pruzhiny_tekhnoresor_vaz_2101-07_zadnie_-drift-_fioletovyy_-50mm/</t>
  </si>
  <si>
    <t>https://33sport.ru/catalog/podveska/pruzhiny_tekhnoressor/pruzhiny_tekhnoresor_vaz_2101-07_perednie_-drift-_fioletovyy_-50mm/</t>
  </si>
  <si>
    <t>https://33sport.ru/catalog/avtomobili-zapchasti/vaz_2105-zapchasti/pruzhiny_podveski_vaz_2101_zadnie_fobos_sport_-25mm_-2101-2912712/</t>
  </si>
  <si>
    <t>https://33sport.ru/catalog/avtomobili-zapchasti/vaz_2105-zapchasti/pruzhiny_podveski_vaz_2101_zadnie_fobos_sport_-50mm_-2101-2912712/</t>
  </si>
  <si>
    <t>https://33sport.ru/catalog/avtomobili-zapchasti/vaz_2105-zapchasti/pruzhiny_podveski_vaz_2101_zadnie_fobos_sport_-70mm_-2101-2912712/</t>
  </si>
  <si>
    <t>https://33sport.ru/catalog/avtomobili-zapchasti/vaz_2105-zapchasti/pruzhiny_podveski_vaz_2101_perednie_fobos_sport_-25mm_-2101-2902712/</t>
  </si>
  <si>
    <t>3835 снят</t>
  </si>
  <si>
    <t>https://33sport.ru/catalog/avtomobili-zapchasti/vaz_2105-zapchasti/pruzhiny_podveski_vaz_2101_perednie_fobos_sport_-50mm_-2101-2902712/</t>
  </si>
  <si>
    <t>https://33sport.ru/catalog/avtomobili-zapchasti/vaz_2105-zapchasti/pruzhiny_podveski_vaz_2101_perednie_fobos_sport_-70mm_-2101-2902712/</t>
  </si>
  <si>
    <t>https://33sport.ru/catalog/podveska/pruzhiny_fobos/2110/pruzhiny_podveski_2110_zadnie_fobos_sport_70mm/</t>
  </si>
  <si>
    <t>https://33sport.ru/catalog/podveska/pruzhiny_fobos/2110/pruzhiny_podveski_2110_zadnie_fobos_sport_50mm/</t>
  </si>
  <si>
    <t>https://33sport.ru/catalog/podveska/pruzhiny_fobos/2110/pruzhiny_podveski_2110_zadnie_fobos_sport_40mm/</t>
  </si>
  <si>
    <t>https://33sport.ru/catalog/podveska/pruzhiny_fobos/2110/pruzhiny_podveski_2110_zadnie_fobos_sport_25mm/</t>
  </si>
  <si>
    <t>https://33sport.ru/catalog/podveska/pruzhiny_fobos/2110/pruzhiny_podveski_2110_zadnie_fobos_sport_90mm/</t>
  </si>
  <si>
    <t>https://33sport.ru/catalog/podveska/pruzhiny_fobos/2110/pruzhiny_podveski_2110_perednie_fobos_sport_25mm/</t>
  </si>
  <si>
    <t>https://33sport.ru/catalog/podveska/pruzhiny_fobos/2110/pruzhiny_podveski_2110_perednie_fobos_sport_40mm/</t>
  </si>
  <si>
    <t>https://33sport.ru/catalog/podveska/pruzhiny_fobos/2110/pruzhiny_podveski_2110_perednie_fobos_sport_50mm/</t>
  </si>
  <si>
    <t>https://33sport.ru/catalog/podveska/pruzhiny_fobos/2110/pruzhiny_podveski_2110_perednie_fobos_sport_70mm/</t>
  </si>
  <si>
    <t>https://33sport.ru/catalog/podveska/pruzhiny_fobos/2110/pruzhiny_podveski_2110_perednie_fobos_sport_90mm/</t>
  </si>
  <si>
    <t>https://33sport.ru/catalog/podveska/pruzhiny_fobos/2170/pruzhiny_fobos_priora_2170_perednie_25_mm/</t>
  </si>
  <si>
    <t>https://33sport.ru/catalog/podveska/pruzhiny_fobos/2170/pruzhiny_fobos_priora_2170_perednie_40_mm/</t>
  </si>
  <si>
    <t>https://33sport.ru/catalog/proizvoditeli/Fobos_r/pruzhiny_podveski_lada_xray_perednie_usilennye_fobos_-550209371r/</t>
  </si>
  <si>
    <t>https://33sport.ru/catalog/proizvoditeli/Fobos_r/pruzhiny_podveski_lada_vesta_zadnie_usilennye_fobos/</t>
  </si>
  <si>
    <t>https://33sport.ru/catalog/proizvoditeli/Fobos_r/pruzhiny_podveski_lada_vesta_perednie_fobos_-8450006725/</t>
  </si>
  <si>
    <t>https://33sport.ru/catalog/proizvoditeli/Fobos_r/pruzhiny_podveski_lada_vesta_sw_cross_zadnie_fobos_-8450031060/</t>
  </si>
  <si>
    <t>https://33sport.ru/catalog/proizvoditeli/Fobos_r/pruzhiny_podveski_lada_vesta_sw_cross_zadnie_usilennye_fobos_-8450031060/</t>
  </si>
  <si>
    <t>https://33sport.ru/catalog/avtomobili-zapchasti/vaz_2105-zapchasti/pruzhiny_podveski_vaz_2101_perednie_s_peremennym_shagom_fobos_-21010-2902712/</t>
  </si>
  <si>
    <t>https://33sport.ru/catalog/podveska/pruzhiny_fobos/niva/pruzhiny_fobos_vaz_2121_niva_peremennyj_shag_zadnie/</t>
  </si>
  <si>
    <t>https://33sport.ru/catalog/podveska/pruzhiny_fobos/2110/pruzhiny_fobos_vaz_2110_peremennyj_shag_zadnie/</t>
  </si>
  <si>
    <t>https://33sport.ru/catalog/podveska/pruzhiny_fobos/niva/pruzhiny_fobos_vaz_2121_niva_peremennyj_shag_perednie/</t>
  </si>
  <si>
    <t>https://33sport.ru/catalog/podveska/pruzhiny_fobos/2110/pruzhiny_fobos_vaz_2110_peremennyj_shag_perednie/</t>
  </si>
  <si>
    <t>Google</t>
  </si>
  <si>
    <t>Выбор</t>
  </si>
  <si>
    <t>01 перед.-30</t>
  </si>
  <si>
    <t>?</t>
  </si>
  <si>
    <t>01 перед. -50</t>
  </si>
  <si>
    <t>01 перед. -70</t>
  </si>
  <si>
    <t>08 перед.-30</t>
  </si>
  <si>
    <t>08 перед.-50</t>
  </si>
  <si>
    <t>08 перед.-70</t>
  </si>
  <si>
    <t>08 перед. -90</t>
  </si>
  <si>
    <t>2170 перед.-30</t>
  </si>
  <si>
    <t>2170 перед.-50</t>
  </si>
  <si>
    <t>2170 перед.-70</t>
  </si>
  <si>
    <t>2170 перед.-90</t>
  </si>
  <si>
    <t>2170 перед.-120</t>
  </si>
  <si>
    <t>2121 перед.+30</t>
  </si>
  <si>
    <t>2121 перед.+50</t>
  </si>
  <si>
    <t>Веста пер.-30</t>
  </si>
  <si>
    <t>Веста пер.-50</t>
  </si>
  <si>
    <t>Веста пер.-70</t>
  </si>
  <si>
    <t>Веста пер.+20</t>
  </si>
  <si>
    <t>Веста пер.</t>
  </si>
  <si>
    <t>Шеви пер.+30</t>
  </si>
  <si>
    <t>Шеви пер.+50</t>
  </si>
  <si>
    <t>Гранта FL -30</t>
  </si>
  <si>
    <t>Гранта FL -50</t>
  </si>
  <si>
    <t>Гранта FL -70</t>
  </si>
  <si>
    <t>Гранта FL -90</t>
  </si>
  <si>
    <t>08 зад.-30</t>
  </si>
  <si>
    <t>08 зад. -50</t>
  </si>
  <si>
    <t>08 зад. -70</t>
  </si>
  <si>
    <t>08 зад.-90</t>
  </si>
  <si>
    <t>01 зад. -30</t>
  </si>
  <si>
    <t>01 зад.-50</t>
  </si>
  <si>
    <t>01 зад.-70</t>
  </si>
  <si>
    <t>калина</t>
  </si>
  <si>
    <t>2121 зад.+30</t>
  </si>
  <si>
    <t>2121 зад.+50</t>
  </si>
  <si>
    <t>веста зад.-30</t>
  </si>
  <si>
    <t>веста зад.-50</t>
  </si>
  <si>
    <t>веста зад.-70</t>
  </si>
  <si>
    <t>веста зад. станд.</t>
  </si>
  <si>
    <t>веста зад.+20</t>
  </si>
  <si>
    <t>шеви зад.+30</t>
  </si>
  <si>
    <t>шеви зад.+50</t>
  </si>
  <si>
    <t>08 зад.-120</t>
  </si>
  <si>
    <t>08 перед.-120</t>
  </si>
  <si>
    <t>Артикул</t>
  </si>
  <si>
    <t>дубль Пружины Фобос стандарт Калина, передние без занижения</t>
  </si>
  <si>
    <t>дубль Пружины Фобос Стандартные Гранта, передние без занижения</t>
  </si>
  <si>
    <t>Пружины задней подвески Техно Рессор с завышением +50 мм, оранжевые усиленные для Лада Нива 4х4</t>
  </si>
  <si>
    <t>Пружины задней подвески Техно Рессор с занижением -50 мм, оранжевые усиленные для Лада Нива 4х4</t>
  </si>
  <si>
    <t>Пружины задней подвески Технорессор Драйв без занижения для ВАЗ 2101-2107</t>
  </si>
  <si>
    <t>Пружины задней подвески Технорессор Драйв с завышением 20 мм для ВАЗ 2101-2107</t>
  </si>
  <si>
    <t>Пружины задней подвески ТехноРессор Драйв с завышением 20 мм для ВАЗ 2108-21099, 2113-2115, 2110-2112, Лада Калина, Калина 2, Приора, Гранта, Гранта FL</t>
  </si>
  <si>
    <t>Пружины задней подвески Технорессор Драйв с завышением 20 мм для Лада Веста</t>
  </si>
  <si>
    <t>Пружины задней подвески Технорессор Драйв с завышением 30 мм для Шевроле Нива</t>
  </si>
  <si>
    <t>Пружины задней подвески Технорессор Драйв с завышением 50 мм для Шевроле Нива</t>
  </si>
  <si>
    <t>Пружины задней подвески Технорессор Драйв с занижением 120 мм для ВАЗ 2101-2107</t>
  </si>
  <si>
    <t>Пружины задней подвески ТехноРессор Драйв с занижением 120 мм для ВАЗ 2108-21099, 2113-2115, 2110-2112, Лада Калина, Калина 2, Приора, Гранта, Гранта FL</t>
  </si>
  <si>
    <t>Пружины задней подвески Технорессор Драйв с занижением 30 мм для ВАЗ 2101-2107</t>
  </si>
  <si>
    <t>Пружины задней подвески ТехноРессор Драйв с занижением 30 мм для ВАЗ 2108-21099, 2113-2115, 2110-2112, Лада Калина, Калина 2, Приора, Гранта, Гранта FL</t>
  </si>
  <si>
    <t>Пружины задней подвески Технорессор Драйв с занижением 30 мм для Лада Веста</t>
  </si>
  <si>
    <t>Пружины задней подвески Технорессор Драйв с занижением 50 мм для ВАЗ 2101-2107</t>
  </si>
  <si>
    <t>Пружины задней подвески ТехноРессор Драйв с занижением 50 мм для ВАЗ 2108-21099, 2113-2115, 2110-2112, Лада Калина, Калина 2, Приора, Гранта, Гранта FL</t>
  </si>
  <si>
    <t>Пружины задней подвески Технорессор Драйв с занижением 50 мм для Лада Веста</t>
  </si>
  <si>
    <t>Пружины задней подвески Технорессор Драйв с занижением 70 мм для ВАЗ 2101-2107</t>
  </si>
  <si>
    <t>Пружины задней подвески ТехноРессор Драйв с занижением 70 мм для ВАЗ 2108-21099, 2113-2115, 2110-2112, Лада Калина, Калина 2, Приора, Гранта, Гранта FL</t>
  </si>
  <si>
    <t>Пружины задней подвески Технорессор Драйв с занижением 70 мм для Лада Веста</t>
  </si>
  <si>
    <t>Пружины задней подвески Технорессор Драйв с занижением 90 мм для ВАЗ 2101-2107</t>
  </si>
  <si>
    <t>Пружины задней подвески ТехноРессор Драйв с занижением 90 мм для ВАЗ 2108-21099, 2113-2115, 2110-2112, Лада Калина, Калина 2, Приора, Гранта, Гранта FL</t>
  </si>
  <si>
    <t>Пружины задней подвески Технорессор Драйв усиленные для ВАЗ 2101-2107</t>
  </si>
  <si>
    <t>Пружины задней подвески Технорессор Драйв усиленные, без занижения для Лада Веста</t>
  </si>
  <si>
    <t>Пружины задней подвески Технорессор Драйв усиленные, с завышением 20 мм для ВАЗ 2101-2107</t>
  </si>
  <si>
    <t>Пружины задней подвески ТехноРессор Драйв, без занижения для ВАЗ 2108-21099, 2113-2115, 2110-2112, Лада Калина, Калина 2, Приора, Гранта, Гранта FL</t>
  </si>
  <si>
    <t>Пружины задней подвески Технорессор Драйв, без занижения для Лада Веста</t>
  </si>
  <si>
    <t>Пружины задней подвески Технорессор Драйв, с переменным шагом витков для ВАЗ 2108-21099, 2113-2115, 2110-2112, Лада Калина, Калина 2, Приора, Приора 2, Гранта, Гранта FL</t>
  </si>
  <si>
    <t>Пружины задней подвески Технорессор Дрифт с занижением 50 мм для ВАЗ 2101-2107</t>
  </si>
  <si>
    <t>Пружины задней подвески ТехноРессор с завышением 30 мм, усиленные для Лада Нива 4х4</t>
  </si>
  <si>
    <t>Пружины задней подвески ТехноРессор с занижением 30 мм, усиленные для Лада Нива 4х4</t>
  </si>
  <si>
    <t>Пружины задней подвески ТехноРессор стандарт, усиленные для Лада Нива 4х4</t>
  </si>
  <si>
    <t>Пружины задней подвески Фобос для Лада Веста SW Cross</t>
  </si>
  <si>
    <t>Пружины задней подвески Фобос для Лада Ларгус Кросс</t>
  </si>
  <si>
    <t>Пружины задней подвески Фобос Люкс стандарт для ВАЗ 2110-2112</t>
  </si>
  <si>
    <t>Пружины задней подвески Фобос с переменным шагом витка для Лада Нива 4х4</t>
  </si>
  <si>
    <t>Пружины задней подвески Фобос с переменным шагом витка для Шевроле Нива</t>
  </si>
  <si>
    <t>Пружины задней подвески Фобос с переменным шагом для ВАЗ 2110-2112</t>
  </si>
  <si>
    <t>Пружины задней подвески Фобос с переменным шагом для ВАЗ 2110-2112, Лада Приора</t>
  </si>
  <si>
    <t>Пружины задней подвески Фобос Спорт с занижением 25 мм для ВАЗ 2101-2107</t>
  </si>
  <si>
    <t>24586</t>
  </si>
  <si>
    <t>Пружины задней подвески Фобос Спорт с занижением 25 мм для ВАЗ 2108-21099, 2113-2115, 2110-2112, Лада Калина, Калина 2, Приора, Гранта, Гранта FL</t>
  </si>
  <si>
    <t>30417 / 2110-2912712</t>
  </si>
  <si>
    <t>Пружины задней подвески Фобос Спорт с занижением 40 мм для ВАЗ 2101-2107</t>
  </si>
  <si>
    <t>Пружины задней подвески Фобос Спорт с занижением 40 мм для ВАЗ 2108-21099, 2113-2115, 2110-2112, Лада Калина, Калина 2, Приора, Гранта, Гранта FL</t>
  </si>
  <si>
    <t>32704 / 2110-2912712</t>
  </si>
  <si>
    <t>Пружины задней подвески Фобос Спорт с занижением 50 мм для ВАЗ 2101-2107</t>
  </si>
  <si>
    <t>49553</t>
  </si>
  <si>
    <t>Пружины задней подвески Фобос Спорт с занижением 50 мм для ВАЗ 2108-21099, 2113-2115, 2110-2112, Лада Калина, Калина 2, Приора, Гранта, Гранта FL</t>
  </si>
  <si>
    <t>49917 / 2110-2912712</t>
  </si>
  <si>
    <t>Пружины задней подвески Фобос Спорт с занижением 70 мм для ВАЗ 2101-2107</t>
  </si>
  <si>
    <t>210170</t>
  </si>
  <si>
    <t>Пружины задней подвески Фобос Спорт с занижением 70 мм для ВАЗ 2108-21099, 2113-2115, 2110-2112, Лада Калина, Калина 2, Приора, Гранта, Гранта FL</t>
  </si>
  <si>
    <t>331227 / 2110-2912712</t>
  </si>
  <si>
    <t>Пружины задней подвески Фобос Спорт с занижением 90 мм для ВАЗ 2108-21099, 2113-2115, 2110-2112, Лада Калина, Калина 2, Приора, Гранта, Гранта FL</t>
  </si>
  <si>
    <t>211090 / 2110-2912712</t>
  </si>
  <si>
    <t>Пружины задней подвески Фобос Стандарт для ВАЗ 2101-2107</t>
  </si>
  <si>
    <t>Пружины задней подвески Фобос стандарт для ВАЗ 2108-21099, 2113-2115, 2110-2112, Лада Калина, Калина 2, Приора, Приора 2, Гранта, Гранта FL</t>
  </si>
  <si>
    <t>Пружины задней подвески Фобос стандарт для ВАЗ 2110-2112, Лада Калина, Приора, Гранта</t>
  </si>
  <si>
    <t>Пружины задней подвески Фобос Стандарт для Лада Гранта</t>
  </si>
  <si>
    <t>Пружины задней подвески Фобос Стандарт Люкс для Лада Приора</t>
  </si>
  <si>
    <t>Пружины задней подвески Фобос Стандарт усиленные для Лада XRAY</t>
  </si>
  <si>
    <t>Пружины задней подвески Фобос Стандарт усиленные для Лада Веста</t>
  </si>
  <si>
    <t>Пружины задней подвески Фобос Стандарт усиленные для Лада Веста Cross</t>
  </si>
  <si>
    <t>Пружины задней подвески Фобос усиленные для Лада Ларгус, Dacia Logan MCV</t>
  </si>
  <si>
    <t>Пружины передней подвески Техно Рессор с занижением 30 мм, усиленные для Лада Нива 4х4</t>
  </si>
  <si>
    <t>Пружины передней подвески Техно Рессор с занижением 50 мм, усиленные для Лада Нива 4х4</t>
  </si>
  <si>
    <t>Пружины передней подвески Техно Рессор стандарт, с переменным шагом для Лада Нива 4х4</t>
  </si>
  <si>
    <t>Пружины передней подвески Технорессор Драйв без занижения для ВАЗ 2101-2107</t>
  </si>
  <si>
    <t>Пружины передней подвески ТехноРессор Драйв для ВАЗ 2108-21099, 2113-2115, 2110-2112</t>
  </si>
  <si>
    <t>Пружины передней подвески Технорессор Драйв с завышением 20 мм для ВАЗ 2101-2107</t>
  </si>
  <si>
    <t>Пружины передней подвески ТехноРессор Драйв с завышением 20 мм для ВАЗ 2108-21099, 2113-2115, 2110-2112</t>
  </si>
  <si>
    <t>Пружины передней подвески Технорессор Драйв с завышением 20 мм для Лада Веста</t>
  </si>
  <si>
    <t>Пружины передней подвески Технорессор Драйв с завышением 20 мм для Лада Гранта FL</t>
  </si>
  <si>
    <t>Пружины передней подвески Технорессор Драйв с завышением 20 мм для Лада Калина, Калина 2, Приора, Гранта</t>
  </si>
  <si>
    <t>Пружины передней подвески Технорессор Драйв с завышением 30 мм для Шевроле Нива</t>
  </si>
  <si>
    <t>Пружины передней подвески Технорессор Драйв с занижением 120 мм для ВАЗ 2101-2107</t>
  </si>
  <si>
    <t>Пружины передней подвески ТехноРессор Драйв с занижением 120 мм для ВАЗ 2108-21099, 2113-2115, 2110-2112</t>
  </si>
  <si>
    <t>Пружины передней подвески Технорессор Драйв с занижением 120 мм для Лада Гранта FL</t>
  </si>
  <si>
    <t>Пружины передней подвески Технорессор Драйв с занижением 120 мм для Лада Калина, Калина 2, Приора, Гранта</t>
  </si>
  <si>
    <t>Пружины передней подвески Технорессор Драйв с занижением 30 мм для ВАЗ 2101-2107</t>
  </si>
  <si>
    <t>Пружины передней подвески ТехноРессор Драйв с занижением 30 мм для ВАЗ 2108-21099, 2113-2115, 2110-2112</t>
  </si>
  <si>
    <t>Пружины передней подвески Технорессор Драйв с занижением 30 мм для Лада Веста</t>
  </si>
  <si>
    <t>Пружины передней подвески Технорессор Драйв с занижением 30 мм для Лада Гранта FL</t>
  </si>
  <si>
    <t>Пружины передней подвески Технорессор Драйв с занижением 30 мм для Лада Калина, Калина 2, Приора, Гранта</t>
  </si>
  <si>
    <t>Пружины передней подвески Технорессор Драйв с занижением 50 мм для ВАЗ 2101-2107</t>
  </si>
  <si>
    <t>Пружины передней подвески ТехноРессор Драйв с занижением 50 мм для ВАЗ 2108-21099, 2113-2115, 2110-2112</t>
  </si>
  <si>
    <t>Пружины передней подвески Технорессор Драйв с занижением 50 мм для Лада Веста</t>
  </si>
  <si>
    <t>Пружины передней подвески Технорессор Драйв с занижением 50 мм для Лада Гранта FL</t>
  </si>
  <si>
    <t>Пружины передней подвески Технорессор Драйв с занижением 50 мм для Лада Калина, Калина 2, Приора, Гранта</t>
  </si>
  <si>
    <t>Пружины передней подвески Технорессор Драйв с занижением 70 мм для ВАЗ 2101-2107</t>
  </si>
  <si>
    <t>Пружины передней подвески ТехноРессор Драйв с занижением 70 мм для ВАЗ 2108-21099, 2113-2115, 2110-2112</t>
  </si>
  <si>
    <t>Пружины передней подвески Технорессор Драйв с занижением 70 мм для Лада Веста</t>
  </si>
  <si>
    <t>Пружины передней подвески Технорессор Драйв с занижением 70 мм для Лада Гранта FL</t>
  </si>
  <si>
    <t>Пружины передней подвески Технорессор Драйв с занижением 70 мм для Лада Калина, Калина 2, Приора, Гранта</t>
  </si>
  <si>
    <t>Пружины передней подвески Технорессор Драйв с занижением 90 мм для ВАЗ 2101-2107</t>
  </si>
  <si>
    <t>Пружины передней подвески ТехноРессор Драйв с занижением 90 мм для ВАЗ 2108-21099, 2113-2115, 2110-2112</t>
  </si>
  <si>
    <t>Пружины передней подвески Технорессор Драйв с занижением 90 мм для Лада Гранта FL</t>
  </si>
  <si>
    <t>Пружины передней подвески Технорессор Драйв с занижением 90 мм для Лада Калина, Калина 2, Приора, Гранта</t>
  </si>
  <si>
    <t>Пружины передней подвески Технорессор Драйв усиленные для ВАЗ 2101-2107</t>
  </si>
  <si>
    <t>Пружины передней подвески ТехноРессор Драйв усиленные для ВАЗ 2108-21099, 2113-2115, 2110-2112</t>
  </si>
  <si>
    <t>Пружины передней подвески Технорессор Драйв усиленные, без занижения для Лада Гранта FL</t>
  </si>
  <si>
    <t>Пружины передней подвески Технорессор Драйв усиленные, с завышением 20 мм для ВАЗ 2101-2107</t>
  </si>
  <si>
    <t>Пружины передней подвески ТехноРессор Драйв усиленные, с завышением 20 мм для ВАЗ 2108-21099, 2113-2115, 2110-2112</t>
  </si>
  <si>
    <t>Пружины передней подвески Технорессор Драйв усиленные, с завышением 20 мм для Лада Гранта FL</t>
  </si>
  <si>
    <t>Пружины передней подвески Технорессор Драйв усиленные, с завышением 20 мм для Лада Калина, Калина 2, Приора, Гранта</t>
  </si>
  <si>
    <t>Пружины передней подвески Технорессор Драйв, без занижения для Лада Веста</t>
  </si>
  <si>
    <t>Пружины передней подвески Технорессор Драйв, без занижения для Лада Гранта FL</t>
  </si>
  <si>
    <t>Пружины передней подвески Технорессор Драйв, без занижения для Лада Калина, Калина 2, Приора, Гранта</t>
  </si>
  <si>
    <t>Пружины передней подвески Технорессор Драйв, усиленные для Лада Калина, Калина 2, Приора, Гранта</t>
  </si>
  <si>
    <t>Пружины передней подвески Технорессор Дрифт с занижением 50 мм для ВАЗ 2101-2107</t>
  </si>
  <si>
    <t>Пружины передней подвески ТехноРессор с завышением 30 мм, усиленные для Лада Нива 4х4</t>
  </si>
  <si>
    <t>Пружины передней подвески ТехноРессор с завышением 50 мм для Шевроле Нива</t>
  </si>
  <si>
    <t>Пружины передней подвески ТехноРессор с завышением 50 мм, усиленные для Лада Нива 4х4</t>
  </si>
  <si>
    <t>Пружины передней подвески Фобос без занижения для Лада Веста</t>
  </si>
  <si>
    <t>Пружины передней подвески Фобос переменный шаг для ВАЗ 2108-21099, 2110-2112, 2113-2115</t>
  </si>
  <si>
    <t>Пружины передней подвески Фобос переменный шаг для ВАЗ 2110-2112 16-ти клапанный двигатель</t>
  </si>
  <si>
    <t>Пружины передней подвески Фобос с переменным шагом витка для ВАЗ 2101-2107</t>
  </si>
  <si>
    <t>Пружины передней подвески Фобос с переменным шагом витка для Лада Нива 4х4</t>
  </si>
  <si>
    <t>Пружины передней подвески Фобос с переменным шагом витка для Шевроле Нива</t>
  </si>
  <si>
    <t>Пружины передней подвески Фобос Спорт с занижением 25 мм для ВАЗ 2101-2107</t>
  </si>
  <si>
    <t>24595</t>
  </si>
  <si>
    <t>Пружины передней подвески Фобос Спорт с занижением 25 мм для ВАЗ 2108-21099, 2113-2115, 2110-2112</t>
  </si>
  <si>
    <t>30416 / 2112-2902712</t>
  </si>
  <si>
    <t>Пружины передней подвески Фобос Спорт с занижением 25 мм для Лада Калина, Калина 2, Приора, Гранта</t>
  </si>
  <si>
    <t>217025 / 2170-2902712</t>
  </si>
  <si>
    <t>Пружины передней подвески Фобос Спорт с занижением 40 мм для ВАЗ 2101-2107</t>
  </si>
  <si>
    <t>Пружины передней подвески Фобос Спорт с занижением 40 мм для ВАЗ 2108-21099, 2113-2115, 2110-2112</t>
  </si>
  <si>
    <t>21434 / 2112-2902712</t>
  </si>
  <si>
    <t>Пружины передней подвески Фобос Спорт с занижением 40 мм для Лада Калина, Калина 2, Приора, Гранта</t>
  </si>
  <si>
    <t>49558 / 2170-2902712</t>
  </si>
  <si>
    <t>Пружины передней подвески Фобос Спорт с занижением 50 мм для ВАЗ 2101-2107</t>
  </si>
  <si>
    <t>49554</t>
  </si>
  <si>
    <t>Пружины передней подвески Фобос Спорт с занижением 50 мм для ВАЗ 2108-21099, 2113-2115, 2110-2112</t>
  </si>
  <si>
    <t>49557 / 2112-2902712</t>
  </si>
  <si>
    <t>Пружины передней подвески Фобос Спорт с занижением 50 мм для Лада Калина, Калина 2, Приора, Гранта</t>
  </si>
  <si>
    <t>217051 / 2170-2902712</t>
  </si>
  <si>
    <t>Пружины передней подвески Фобос Спорт с занижением 70 мм для ВАЗ 2101-2107</t>
  </si>
  <si>
    <t>210171</t>
  </si>
  <si>
    <t>Пружины передней подвески Фобос Спорт с занижением 70 мм для ВАЗ 2108-21099, 2113-2115, 2110-2112</t>
  </si>
  <si>
    <t>564147 / 2112-2902712</t>
  </si>
  <si>
    <t>Пружины передней подвески Фобос Спорт с занижением 70 мм для Лада Калина, Калина 2, Приора, Гранта</t>
  </si>
  <si>
    <t>217071 / 2170-2902712</t>
  </si>
  <si>
    <t>Пружины передней подвески Фобос Спорт с занижением 90 мм для ВАЗ 2108-21099, 2113-2115, 2110-2112</t>
  </si>
  <si>
    <t>211091 / 2112-2902712</t>
  </si>
  <si>
    <t>Пружины передней подвески Фобос Спорт с занижением 90 мм для Лада Калина, Калина 2, Приора, Гранта</t>
  </si>
  <si>
    <t>217091 / 2170-2902712</t>
  </si>
  <si>
    <t>Пружины передней подвески Фобос стандарт ВАЗ 2108-21099, 2110-2112, 2113-2115</t>
  </si>
  <si>
    <t>Пружины передней подвески Фобос Стандарт для ВАЗ 2101-2107</t>
  </si>
  <si>
    <t>Пружины передней подвески Фобос стандарт для ВАЗ 2110-2112</t>
  </si>
  <si>
    <t>Пружины передней подвески Фобос Стандарт для Лада XRAY</t>
  </si>
  <si>
    <t>Пружины передней подвески Фобос Стандарт конус, без занижения для Лада Калина</t>
  </si>
  <si>
    <t>Пружины передние Фобос стандарт без занижения для Лада Калина, Калина 2, Приора, Гранта</t>
  </si>
  <si>
    <t>Задние пружины Технорессор Драйв с занижением 30 / 50 / 70 / 90 / 120 мм для ВАЗ 2101-2107</t>
  </si>
  <si>
    <t>Задние пружины Технорессор Драйв с занижением для ВАЗ 2101-2107 Занижение 120 мм</t>
  </si>
  <si>
    <t>Задние пружины Технорессор Драйв с занижением для ВАЗ 2101-2107 Занижение 30 мм</t>
  </si>
  <si>
    <t>Задние пружины Технорессор Драйв с занижением для ВАЗ 2101-2107 Занижение 50 мм</t>
  </si>
  <si>
    <t>Задние пружины Технорессор Драйв с занижением для ВАЗ 2101-2107 Занижение 70 мм</t>
  </si>
  <si>
    <t>Задние пружины Технорессор Драйв с занижением для ВАЗ 2101-2107 Занижение 90 мм</t>
  </si>
  <si>
    <t>Передние пружины Технорессор Драйв с занижением 30 / 50 / 70 / 90 / 120 мм для ВАЗ 2101-2107</t>
  </si>
  <si>
    <t>Передние пружины Технорессор Драйв с занижением для ВАЗ 2101-2107 Занижение 120 мм</t>
  </si>
  <si>
    <t>Передние пружины Технорессор Драйв с занижением для ВАЗ 2101-2107 Занижение 30 мм</t>
  </si>
  <si>
    <t>Передние пружины Технорессор Драйв с занижением для ВАЗ 2101-2107 Занижение 50 мм</t>
  </si>
  <si>
    <t>Передние пружины Технорессор Драйв с занижением для ВАЗ 2101-2107 Занижение 70 мм</t>
  </si>
  <si>
    <t>Передние пружины Технорессор Драйв с занижением для ВАЗ 2101-2107 Занижение 90 мм</t>
  </si>
  <si>
    <t>Пружины задней подвески Технорессор Драйв с занижением 30 / 50 / 70 / 90 / 120 мм для ВАЗ 2108-21099, 2113-2115, 2110-2112, Лада Калина, Калина 2, Приора, Приора 2, Гранта, Гранта FL</t>
  </si>
  <si>
    <t>Пружины задней подвески Технорессор Драйв с занижением для ВАЗ 2108-21099, 2113-2115, 2110-2112, Лада Калина, Калина 2, Приора, Приора 2, Гранта, Гранта FL Занижение 120 мм</t>
  </si>
  <si>
    <t>Пружины задней подвески Технорессор Драйв с занижением для ВАЗ 2108-21099, 2113-2115, 2110-2112, Лада Калина, Калина 2, Приора, Приора 2, Гранта, Гранта FL Занижение 30 мм</t>
  </si>
  <si>
    <t>Пружины задней подвески Технорессор Драйв с занижением для ВАЗ 2108-21099, 2113-2115, 2110-2112, Лада Калина, Калина 2, Приора, Приора 2, Гранта, Гранта FL Занижение 50 мм</t>
  </si>
  <si>
    <t>Пружины задней подвески Технорессор Драйв с занижением для ВАЗ 2108-21099, 2113-2115, 2110-2112, Лада Калина, Калина 2, Приора, Приора 2, Гранта, Гранта FL Занижение 70 мм</t>
  </si>
  <si>
    <t>Пружины задней подвески Технорессор Драйв с занижением для ВАЗ 2108-21099, 2113-2115, 2110-2112, Лада Калина, Калина 2, Приора, Приора 2, Гранта, Гранта FL Занижение 90 мм</t>
  </si>
  <si>
    <t>Пружины задней подвески Технорессор Драйв с занижением 30 / 50 / 70 мм для Лада Веста</t>
  </si>
  <si>
    <t>Пружины задней подвески Технорессор Драйв с занижением для Лада Веста Занижение 30 мм</t>
  </si>
  <si>
    <t>Пружины задней подвески Технорессор Драйв с занижением для Лада Веста Занижение 50 мм</t>
  </si>
  <si>
    <t>Пружины задней подвески Технорессор Драйв с занижением для Лада Веста Занижение 70 мм</t>
  </si>
  <si>
    <t>Пружины задние Фобос Спорт с занижением 25 / 40 / 50 / 70 / 90 мм для ВАЗ 2108-21099, 2113-2115, 2110-2112, Лада Калина, Калина 2, Приора, Приора 2, Гранта, Гранта FL</t>
  </si>
  <si>
    <t>Пружины задние Фобос Спорт с занижением -40 для ВАЗ 2108-21099, 2113-2115, 2110-2112, Лада Калина, Калина 2, Приора, Приора 2, Гранта, Гранта FL</t>
  </si>
  <si>
    <t>Пружины задние Фобос Спорт с занижением для ВАЗ 2108-21099, 2113-2115, 2110-2112, Лада Калина, Калина 2, Приора, Приора 2, Гранта, Гранта FL 25 мм</t>
  </si>
  <si>
    <t>Пружины задние Фобос Спорт с занижением для ВАЗ 2108-21099, 2113-2115, 2110-2112, Лада Калина, Калина 2, Приора, Приора 2, Гранта, Гранта FL 50 мм</t>
  </si>
  <si>
    <t>Пружины задние Фобос Спорт с занижением для ВАЗ 2108-21099, 2113-2115, 2110-2112, Лада Калина, Калина 2, Приора, Приора 2, Гранта, Гранта FL 70 мм</t>
  </si>
  <si>
    <t>Пружины задние Фобос Спорт с занижением для ВАЗ 2108-21099, 2113-2115, 2110-2112, Лада Калина, Калина 2, Приора, Приора 2, Гранта, Гранта FL 90 мм</t>
  </si>
  <si>
    <t>Пружины задние Фобос Спорт с занижением 25 / 40 / 50 / 70 мм для ВАЗ 2101-2107</t>
  </si>
  <si>
    <t>Пружины задние Фобос Спорт с занижением для ВАЗ 2101-2107 25 мм</t>
  </si>
  <si>
    <t>Пружины задние Фобос Спорт с занижением для ВАЗ 2101-2107 40 мм</t>
  </si>
  <si>
    <t>Пружины задние Фобос Спорт с занижением для ВАЗ 2101-2107 50 мм</t>
  </si>
  <si>
    <t>Пружины задние Фобос Спорт с занижением для ВАЗ 2101-2107 70 мм</t>
  </si>
  <si>
    <t>Пружины передней подвески Технорессор Драйв с занижением 30 / 50 / 70 / 90 / 120 мм для ВАЗ 2108-21099, 2113-2115, 2110-2112</t>
  </si>
  <si>
    <t>Пружины передней подвески Технорессор Драйв с занижением для ВАЗ 2108-21099, 2113-2115, 2110-2112 Занижение 120 мм</t>
  </si>
  <si>
    <t>Пружины передней подвески Технорессор Драйв с занижением для ВАЗ 2108-21099, 2113-2115, 2110-2112 Занижение 30 мм</t>
  </si>
  <si>
    <t>Пружины передней подвески Технорессор Драйв с занижением для ВАЗ 2108-21099, 2113-2115, 2110-2112 Занижение 50 мм</t>
  </si>
  <si>
    <t>Пружины передней подвески Технорессор Драйв с занижением для ВАЗ 2108-21099, 2113-2115, 2110-2112 Занижение 70 мм</t>
  </si>
  <si>
    <t>Пружины передней подвески Технорессор Драйв с занижением для ВАЗ 2108-21099, 2113-2115, 2110-2112 Занижение 90 мм</t>
  </si>
  <si>
    <t>Пружины передней подвески Технорессор Драйв с занижением 30 / 50 / 70 / 90 / 120 мм для Лада Гранта FL</t>
  </si>
  <si>
    <t>Пружины передней подвески Технорессор Драйв с занижением для Лада Гранта FL Занижение 120 мм</t>
  </si>
  <si>
    <t>Пружины передней подвески Технорессор Драйв с занижением для Лада Гранта FL Занижение 30 мм</t>
  </si>
  <si>
    <t>Пружины передней подвески Технорессор Драйв с занижением для Лада Гранта FL Занижение 50 мм</t>
  </si>
  <si>
    <t>Пружины передней подвески Технорессор Драйв с занижением для Лада Гранта FL Занижение 70 мм</t>
  </si>
  <si>
    <t>Пружины передней подвески Технорессор Драйв с занижением для Лада Гранта FL Занижение 90 мм</t>
  </si>
  <si>
    <t>Пружины передней подвески Технорессор Драйв с занижением 30 / 50 / 70 / 90 / 120 мм для Лада Калина, Калина 2, Приора, Приора 2, Гранта</t>
  </si>
  <si>
    <t>Пружины передней подвески Технорессор Драйв с занижением для Лада Калина, Калина 2, Приора, Приора 2, Гранта Занижение 120 мм</t>
  </si>
  <si>
    <t>Пружины передней подвески Технорессор Драйв с занижением для Лада Калина, Калина 2, Приора, Приора 2, Гранта Занижение 30 мм</t>
  </si>
  <si>
    <t>Пружины передней подвески Технорессор Драйв с занижением для Лада Калина, Калина 2, Приора, Приора 2, Гранта Занижение 50 мм</t>
  </si>
  <si>
    <t>Пружины передней подвески Технорессор Драйв с занижением для Лада Калина, Калина 2, Приора, Приора 2, Гранта Занижение 70 мм</t>
  </si>
  <si>
    <t>Пружины передней подвески Технорессор Драйв с занижением для Лада Калина, Калина 2, Приора, Приора 2, Гранта Занижение 90 мм</t>
  </si>
  <si>
    <t>Пружины передней подвески Технорессор Драйв с занижением 30 / 50 / 70 мм для Лада Веста</t>
  </si>
  <si>
    <t>Пружины передней подвески Технорессор Драйв с занижением для Лада Веста Занижение 30 мм</t>
  </si>
  <si>
    <t>Пружины передней подвески Технорессор Драйв с занижением для Лада Веста Занижение 50 мм</t>
  </si>
  <si>
    <t>Пружины передней подвески Технорессор Драйв с занижением для Лада Веста Занижение 70 мм</t>
  </si>
  <si>
    <t>Пружины передние Фобос Спорт с занижением 25 / 40 / 50 / 70 / 90 мм для ВАЗ 2108-21099, 2113-2115, 2110-2112</t>
  </si>
  <si>
    <t>Пружины передние Фобос Спорт с занижением для ВАЗ 2108-21099, 2113-2115, 2110-2112 25 мм</t>
  </si>
  <si>
    <t>Пружины передние Фобос Спорт с занижением для ВАЗ 2108-21099, 2113-2115, 2110-2112 40 мм</t>
  </si>
  <si>
    <t>Пружины передние Фобос Спорт с занижением для ВАЗ 2108-21099, 2113-2115, 2110-2112 50 мм</t>
  </si>
  <si>
    <t>Пружины передние Фобос Спорт с занижением для ВАЗ 2108-21099, 2113-2115, 2110-2112 70 мм</t>
  </si>
  <si>
    <t>Пружины передние Фобос Спорт с занижением для ВАЗ 2108-21099, 2113-2115, 2110-2112 90 мм</t>
  </si>
  <si>
    <t>Пружины передние Фобос Спорт с занижением 25 / 40 / 50 / 70 мм для ВАЗ 2101-2107</t>
  </si>
  <si>
    <t>Пружины передние Фобос Спорт с занижением для ВАЗ 2101-2107 25 мм</t>
  </si>
  <si>
    <t>Пружины передние Фобос Спорт с занижением для ВАЗ 2101-2107 40 мм</t>
  </si>
  <si>
    <t>Пружины передние Фобос Спорт с занижением для ВАЗ 2101-2107 50 мм</t>
  </si>
  <si>
    <t>Пружины передние Фобос Спорт с занижением для ВАЗ 2101-2107 70 мм</t>
  </si>
  <si>
    <t>Пружины передние Фобос Спорт с занижением 25 / 40 / 50 / 70 мм для Лада Калина, Калина 2, Приора, Приора 2, Гранта</t>
  </si>
  <si>
    <t>Пружины передние Фобос Спорт с занижением для Лада Калина, Калина 2, Приора, Приора 2, Гранта 25 мм</t>
  </si>
  <si>
    <t>Пружины передние Фобос Спорт с занижением для Лада Калина, Калина 2, Приора, Приора 2, Гранта 40 мм</t>
  </si>
  <si>
    <t>Пружины передние Фобос Спорт с занижением для Лада Калина, Калина 2, Приора, Приора 2, Гранта 50 мм</t>
  </si>
  <si>
    <t>Пружины передние Фобос Спорт с занижением для Лада Калина, Калина 2, Приора, Приора 2, Гранта 70 мм</t>
  </si>
  <si>
    <t>Пружины передние Фобос Спорт с занижением для Лада Калина, Калина 2, Приора, Приора 2, Гранта 90 мм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</si>
  <si>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</si>
  <si>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</si>
  <si>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</si>
  <si>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</si>
  <si>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</si>
  <si>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</si>
  <si>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</si>
  <si>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</si>
  <si>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</si>
  <si>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</si>
  <si>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</si>
  <si>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</si>
  <si>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</si>
  <si>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</si>
  <si>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</si>
  <si>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</si>
  <si>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</si>
  <si>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</si>
  <si>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</si>
  <si>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</si>
  <si>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СВОД</t>
  </si>
  <si>
    <t>Данные</t>
  </si>
  <si>
    <t>Переменные</t>
  </si>
  <si>
    <t>https://docs.google.com/spreadsheets/d/1f8_y-lcqVEuKpceVw_F97NEKzue5YmQtx8GIXUS_2B8/export?format=xlsx</t>
  </si>
  <si>
    <t/>
  </si>
  <si>
    <t>Наименование элемента</t>
  </si>
  <si>
    <t>OEM</t>
  </si>
  <si>
    <t>Ссылка на конкурентов</t>
  </si>
  <si>
    <t>Склад</t>
  </si>
  <si>
    <t>Пружины Фобос Стандарт задние для Шевроле Нива</t>
  </si>
  <si>
    <t>258 к-т</t>
  </si>
  <si>
    <t>2123-2912712</t>
  </si>
  <si>
    <t>Пружины Фобос Стандарт передние для Шевроле Нива</t>
  </si>
  <si>
    <t>257 к-т</t>
  </si>
  <si>
    <t>2123-2902712</t>
  </si>
  <si>
    <t>Код товара</t>
  </si>
  <si>
    <t>Column21</t>
  </si>
  <si>
    <t>Column22</t>
  </si>
  <si>
    <t>Column23</t>
  </si>
  <si>
    <t>Column24</t>
  </si>
  <si>
    <t>Кат/ номер</t>
  </si>
  <si>
    <t>Арт. пост.</t>
  </si>
  <si>
    <t>Кат. номер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</si>
</sst>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0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charset val="204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1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b/>
      <sz val="10"/>
      <name val="Arial"/>
      <family val="2"/>
      <charset val="204"/>
    </font>
    <font>
      <sz val="10"/>
      <name val="Arial"/>
      <family val="2"/>
      <charset val="204"/>
    </font>
    <font>
      <b/>
      <sz val="11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b/>
      <sz val="15"/>
      <color theme="3"/>
      <name val="Calibri"/>
      <family val="2"/>
      <charset val="204"/>
    </font>
    <font>
      <b/>
      <sz val="13"/>
      <color theme="3"/>
      <name val="Calibri"/>
      <family val="2"/>
      <charset val="204"/>
    </font>
    <font>
      <b/>
      <sz val="11"/>
      <color theme="3"/>
      <name val="Calibri"/>
      <family val="2"/>
      <charset val="204"/>
    </font>
    <font>
      <sz val="10"/>
      <color rgb="FF006100"/>
      <name val="Calibri"/>
      <family val="2"/>
      <charset val="204"/>
    </font>
    <font>
      <sz val="10"/>
      <color rgb="FF9C0006"/>
      <name val="Calibri"/>
      <family val="2"/>
      <charset val="204"/>
    </font>
    <font>
      <sz val="10"/>
      <color rgb="FF9C5700"/>
      <name val="Calibri"/>
      <family val="2"/>
      <charset val="204"/>
    </font>
    <font>
      <sz val="10"/>
      <color rgb="FF3F3F76"/>
      <name val="Calibri"/>
      <family val="2"/>
      <charset val="204"/>
    </font>
    <font>
      <b/>
      <sz val="10"/>
      <color rgb="FF3F3F3F"/>
      <name val="Calibri"/>
      <family val="2"/>
      <charset val="204"/>
    </font>
    <font>
      <b/>
      <sz val="10"/>
      <color rgb="FFFA7D00"/>
      <name val="Calibri"/>
      <family val="2"/>
      <charset val="204"/>
    </font>
    <font>
      <sz val="10"/>
      <color rgb="FFFA7D00"/>
      <name val="Calibri"/>
      <family val="2"/>
      <charset val="204"/>
    </font>
    <font>
      <b/>
      <sz val="10"/>
      <color theme="0"/>
      <name val="Calibri"/>
      <family val="2"/>
      <charset val="204"/>
    </font>
    <font>
      <sz val="10"/>
      <color rgb="FFFF0000"/>
      <name val="Calibri"/>
      <family val="2"/>
      <charset val="204"/>
    </font>
    <font>
      <i/>
      <sz val="10"/>
      <color rgb="FF7F7F7F"/>
      <name val="Calibri"/>
      <family val="2"/>
      <charset val="204"/>
    </font>
    <font>
      <b/>
      <sz val="10"/>
      <color theme="1"/>
      <name val="Calibri"/>
      <family val="2"/>
      <charset val="204"/>
    </font>
    <font>
      <sz val="10"/>
      <color theme="0"/>
      <name val="Calibri"/>
      <family val="2"/>
      <charset val="204"/>
    </font>
    <font>
      <b/>
      <sz val="11"/>
      <color theme="1"/>
      <name val="Calibri"/>
      <family val="1"/>
      <charset val="204"/>
    </font>
    <font>
      <b/>
      <sz val="10"/>
      <color theme="1"/>
      <name val="Calibri"/>
      <family val="2"/>
      <charset val="204"/>
      <scheme val="minor"/>
    </font>
    <font>
      <u/>
      <sz val="11"/>
      <color theme="11"/>
      <name val="Calibri"/>
      <family val="2"/>
      <scheme val="minor"/>
    </font>
    <font>
      <sz val="10"/>
      <color rgb="FFC00000"/>
      <name val="Calibri"/>
      <family val="2"/>
      <charset val="204"/>
    </font>
    <font>
      <sz val="10"/>
      <color rgb="FF7030A0"/>
      <name val="Calibri"/>
      <family val="2"/>
      <charset val="204"/>
    </font>
    <font>
      <sz val="10"/>
      <color theme="5" tint="-0.24994659260841701"/>
      <name val="Calibri"/>
      <family val="2"/>
      <charset val="204"/>
    </font>
    <font>
      <sz val="10"/>
      <name val="Calibri"/>
      <family val="2"/>
      <charset val="204"/>
    </font>
    <font>
      <sz val="10"/>
      <name val="Arial"/>
      <family val="2"/>
      <charset val="204"/>
    </font>
    <font>
      <sz val="11"/>
      <name val="Calibri"/>
      <family val="2"/>
      <charset val="204"/>
      <scheme val="minor"/>
    </font>
    <font>
      <sz val="11"/>
      <name val="Arial"/>
      <family val="2"/>
      <charset val="204"/>
    </font>
    <font>
      <sz val="8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0"/>
      <name val="Calibri"/>
      <family val="2"/>
    </font>
  </fonts>
  <fills count="4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FF0000"/>
      </right>
      <top/>
      <bottom style="double">
        <color rgb="FFFF0000"/>
      </bottom>
      <diagonal/>
    </border>
    <border>
      <left/>
      <right style="double">
        <color rgb="FF7030A0"/>
      </right>
      <top/>
      <bottom style="double">
        <color rgb="FF7030A0"/>
      </bottom>
      <diagonal/>
    </border>
    <border>
      <left/>
      <right style="double">
        <color theme="5" tint="-0.24994659260841701"/>
      </right>
      <top/>
      <bottom style="double">
        <color theme="5" tint="-0.24994659260841701"/>
      </bottom>
      <diagonal/>
    </border>
    <border diagonalUp="1" diagonalDown="1">
      <left/>
      <right/>
      <top/>
      <bottom/>
      <diagonal style="double">
        <color rgb="FFC00000"/>
      </diagonal>
    </border>
    <border>
      <left/>
      <right style="double">
        <color theme="0"/>
      </right>
      <top/>
      <bottom style="double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7">
    <xf numFmtId="0" fontId="0" fillId="0" borderId="0"/>
    <xf numFmtId="0" fontId="3" fillId="0" borderId="0" applyNumberFormat="0" applyFill="0" applyBorder="0" applyAlignment="0" applyProtection="0"/>
    <xf numFmtId="0" fontId="10" fillId="31" borderId="1" applyNumberFormat="0" applyFont="0" applyBorder="0" applyAlignment="0" applyProtection="0"/>
    <xf numFmtId="0" fontId="11" fillId="27" borderId="2" applyNumberFormat="0" applyFont="0" applyBorder="0" applyAlignment="0" applyProtection="0"/>
    <xf numFmtId="0" fontId="12" fillId="34" borderId="3" applyNumberFormat="0" applyFont="0" applyBorder="0" applyAlignment="0" applyProtection="0"/>
    <xf numFmtId="0" fontId="12" fillId="0" borderId="11" applyNumberFormat="0" applyFont="0" applyFill="0" applyAlignment="0" applyProtection="0"/>
    <xf numFmtId="0" fontId="13" fillId="2" borderId="0" applyNumberFormat="0" applyBorder="0" applyAlignment="0" applyProtection="0"/>
    <xf numFmtId="0" fontId="14" fillId="3" borderId="0" applyNumberFormat="0" applyBorder="0" applyAlignment="0" applyProtection="0"/>
    <xf numFmtId="0" fontId="15" fillId="4" borderId="0" applyNumberFormat="0" applyBorder="0" applyAlignment="0" applyProtection="0"/>
    <xf numFmtId="0" fontId="16" fillId="5" borderId="4" applyNumberFormat="0" applyAlignment="0" applyProtection="0"/>
    <xf numFmtId="0" fontId="17" fillId="6" borderId="5" applyNumberFormat="0" applyAlignment="0" applyProtection="0"/>
    <xf numFmtId="0" fontId="18" fillId="6" borderId="4" applyNumberFormat="0" applyAlignment="0" applyProtection="0"/>
    <xf numFmtId="0" fontId="19" fillId="0" borderId="6" applyNumberFormat="0" applyFill="0" applyAlignment="0" applyProtection="0"/>
    <xf numFmtId="0" fontId="20" fillId="7" borderId="7" applyNumberFormat="0" applyAlignment="0" applyProtection="0"/>
    <xf numFmtId="0" fontId="21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22" fillId="0" borderId="0" applyNumberFormat="0" applyFill="0" applyBorder="0" applyAlignment="0" applyProtection="0"/>
    <xf numFmtId="0" fontId="23" fillId="0" borderId="9" applyNumberFormat="0" applyFill="0" applyAlignment="0" applyProtection="0"/>
    <xf numFmtId="0" fontId="28" fillId="0" borderId="17" applyNumberFormat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29" fillId="0" borderId="18" applyNumberFormat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30" fillId="0" borderId="19" applyNumberFormat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28" fillId="32" borderId="20" applyNumberFormat="0" applyProtection="0">
      <alignment horizontal="center" vertical="center"/>
    </xf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24" fillId="33" borderId="21" applyNumberFormat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31" fillId="30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9" fontId="2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32" fillId="0" borderId="0"/>
    <xf numFmtId="0" fontId="36" fillId="0" borderId="0"/>
  </cellStyleXfs>
  <cellXfs count="128">
    <xf numFmtId="0" fontId="0" fillId="0" borderId="0" xfId="0"/>
    <xf numFmtId="49" fontId="5" fillId="0" borderId="10" xfId="0" applyNumberFormat="1" applyFont="1" applyBorder="1" applyAlignment="1">
      <alignment horizontal="left" wrapText="1"/>
    </xf>
    <xf numFmtId="0" fontId="0" fillId="0" borderId="11" xfId="0" applyBorder="1" applyAlignment="1">
      <alignment horizontal="left" vertical="center"/>
    </xf>
    <xf numFmtId="4" fontId="5" fillId="0" borderId="10" xfId="0" applyNumberFormat="1" applyFont="1" applyBorder="1" applyAlignment="1">
      <alignment horizontal="left" wrapText="1"/>
    </xf>
    <xf numFmtId="0" fontId="0" fillId="0" borderId="10" xfId="0" applyBorder="1" applyAlignment="1">
      <alignment horizontal="center"/>
    </xf>
    <xf numFmtId="0" fontId="0" fillId="0" borderId="12" xfId="0" applyBorder="1" applyAlignment="1">
      <alignment horizontal="center"/>
    </xf>
    <xf numFmtId="4" fontId="5" fillId="27" borderId="10" xfId="0" applyNumberFormat="1" applyFont="1" applyFill="1" applyBorder="1" applyAlignment="1">
      <alignment horizontal="left" wrapText="1"/>
    </xf>
    <xf numFmtId="0" fontId="0" fillId="29" borderId="11" xfId="0" applyFill="1" applyBorder="1"/>
    <xf numFmtId="0" fontId="0" fillId="27" borderId="12" xfId="0" applyFill="1" applyBorder="1" applyAlignment="1">
      <alignment horizontal="center"/>
    </xf>
    <xf numFmtId="0" fontId="7" fillId="0" borderId="11" xfId="0" applyFont="1" applyBorder="1" applyAlignment="1">
      <alignment vertical="top" wrapText="1"/>
    </xf>
    <xf numFmtId="0" fontId="9" fillId="0" borderId="0" xfId="43"/>
    <xf numFmtId="0" fontId="4" fillId="27" borderId="0" xfId="0" applyFont="1" applyFill="1" applyAlignment="1">
      <alignment horizontal="center"/>
    </xf>
    <xf numFmtId="0" fontId="0" fillId="0" borderId="11" xfId="0" applyBorder="1"/>
    <xf numFmtId="0" fontId="7" fillId="31" borderId="0" xfId="0" applyFont="1" applyFill="1" applyBorder="1" applyAlignment="1">
      <alignment vertical="top" wrapText="1"/>
    </xf>
    <xf numFmtId="0" fontId="6" fillId="0" borderId="11" xfId="0" applyFont="1" applyBorder="1" applyAlignment="1">
      <alignment horizontal="center" vertical="center"/>
    </xf>
    <xf numFmtId="0" fontId="6" fillId="0" borderId="11" xfId="0" applyFont="1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7" fillId="0" borderId="11" xfId="0" applyFont="1" applyBorder="1" applyAlignment="1">
      <alignment horizontal="center" vertical="top"/>
    </xf>
    <xf numFmtId="0" fontId="0" fillId="0" borderId="11" xfId="0" applyBorder="1" applyAlignment="1">
      <alignment vertical="center"/>
    </xf>
    <xf numFmtId="0" fontId="0" fillId="0" borderId="0" xfId="0" applyAlignment="1">
      <alignment vertical="center"/>
    </xf>
    <xf numFmtId="0" fontId="7" fillId="0" borderId="0" xfId="0" applyFont="1" applyAlignment="1">
      <alignment vertical="top" wrapText="1"/>
    </xf>
    <xf numFmtId="0" fontId="7" fillId="0" borderId="0" xfId="0" applyFont="1" applyAlignment="1">
      <alignment horizontal="center" vertical="top"/>
    </xf>
    <xf numFmtId="0" fontId="7" fillId="0" borderId="0" xfId="0" applyFont="1" applyAlignment="1">
      <alignment horizontal="right" vertical="top"/>
    </xf>
    <xf numFmtId="0" fontId="7" fillId="0" borderId="11" xfId="0" applyFont="1" applyBorder="1" applyAlignment="1">
      <alignment horizontal="right" vertical="top"/>
    </xf>
    <xf numFmtId="0" fontId="8" fillId="0" borderId="11" xfId="0" applyFont="1" applyBorder="1" applyAlignment="1">
      <alignment horizontal="center" vertical="top"/>
    </xf>
    <xf numFmtId="0" fontId="8" fillId="0" borderId="11" xfId="0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7" fillId="0" borderId="0" xfId="0" applyFont="1" applyAlignment="1">
      <alignment vertical="center"/>
    </xf>
    <xf numFmtId="0" fontId="0" fillId="0" borderId="0" xfId="0" applyAlignment="1">
      <alignment horizontal="right"/>
    </xf>
    <xf numFmtId="0" fontId="9" fillId="0" borderId="0" xfId="43" applyAlignment="1">
      <alignment horizontal="right"/>
    </xf>
    <xf numFmtId="0" fontId="0" fillId="0" borderId="0" xfId="0" applyAlignment="1">
      <alignment horizontal="left" vertical="top" wrapText="1"/>
    </xf>
    <xf numFmtId="0" fontId="25" fillId="0" borderId="0" xfId="0" applyFont="1" applyAlignment="1">
      <alignment horizontal="left" vertical="top" wrapText="1"/>
    </xf>
    <xf numFmtId="2" fontId="9" fillId="0" borderId="11" xfId="43" applyNumberFormat="1" applyBorder="1" applyAlignment="1">
      <alignment horizontal="left" wrapText="1"/>
    </xf>
    <xf numFmtId="0" fontId="7" fillId="0" borderId="16" xfId="0" applyFont="1" applyBorder="1" applyAlignment="1">
      <alignment horizontal="left" vertical="center" wrapText="1"/>
    </xf>
    <xf numFmtId="0" fontId="0" fillId="0" borderId="16" xfId="0" applyBorder="1" applyAlignment="1" applyProtection="1">
      <alignment horizontal="left" vertical="top" wrapText="1"/>
    </xf>
    <xf numFmtId="9" fontId="0" fillId="0" borderId="0" xfId="42" applyFont="1"/>
    <xf numFmtId="0" fontId="0" fillId="0" borderId="11" xfId="0" applyBorder="1" applyAlignment="1">
      <alignment horizontal="left" vertical="center" wrapText="1"/>
    </xf>
    <xf numFmtId="0" fontId="0" fillId="0" borderId="11" xfId="0" applyBorder="1" applyAlignment="1">
      <alignment horizontal="left"/>
    </xf>
    <xf numFmtId="0" fontId="7" fillId="0" borderId="11" xfId="0" applyFont="1" applyBorder="1" applyAlignment="1">
      <alignment horizontal="left" vertical="center" wrapText="1"/>
    </xf>
    <xf numFmtId="0" fontId="25" fillId="35" borderId="11" xfId="0" applyFont="1" applyFill="1" applyBorder="1" applyAlignment="1">
      <alignment horizontal="left" vertical="top" wrapText="1"/>
    </xf>
    <xf numFmtId="0" fontId="7" fillId="0" borderId="11" xfId="45" applyFont="1" applyBorder="1" applyAlignment="1">
      <alignment horizontal="left" vertical="top" wrapText="1"/>
    </xf>
    <xf numFmtId="0" fontId="32" fillId="0" borderId="11" xfId="45" applyBorder="1" applyAlignment="1">
      <alignment horizontal="left"/>
    </xf>
    <xf numFmtId="0" fontId="7" fillId="0" borderId="11" xfId="45" applyFont="1" applyBorder="1" applyAlignment="1">
      <alignment horizontal="left" vertical="center"/>
    </xf>
    <xf numFmtId="0" fontId="32" fillId="0" borderId="11" xfId="45" applyBorder="1" applyAlignment="1">
      <alignment horizontal="left" vertical="center"/>
    </xf>
    <xf numFmtId="0" fontId="7" fillId="0" borderId="11" xfId="45" applyFont="1" applyBorder="1" applyAlignment="1">
      <alignment horizontal="left" vertical="center" wrapText="1"/>
    </xf>
    <xf numFmtId="9" fontId="25" fillId="36" borderId="11" xfId="42" applyFont="1" applyFill="1" applyBorder="1" applyAlignment="1">
      <alignment horizontal="left" vertical="top" wrapText="1"/>
    </xf>
    <xf numFmtId="9" fontId="33" fillId="36" borderId="11" xfId="0" applyNumberFormat="1" applyFont="1" applyFill="1" applyBorder="1" applyAlignment="1">
      <alignment horizontal="left" vertical="center"/>
    </xf>
    <xf numFmtId="0" fontId="33" fillId="36" borderId="11" xfId="0" applyFont="1" applyFill="1" applyBorder="1" applyAlignment="1">
      <alignment horizontal="left" vertical="center"/>
    </xf>
    <xf numFmtId="1" fontId="25" fillId="28" borderId="11" xfId="0" applyNumberFormat="1" applyFont="1" applyFill="1" applyBorder="1" applyAlignment="1">
      <alignment horizontal="left" vertical="top" wrapText="1"/>
    </xf>
    <xf numFmtId="0" fontId="25" fillId="0" borderId="11" xfId="0" applyFont="1" applyBorder="1" applyAlignment="1">
      <alignment horizontal="left" vertical="top" wrapText="1"/>
    </xf>
    <xf numFmtId="0" fontId="7" fillId="0" borderId="11" xfId="45" applyFont="1" applyBorder="1" applyAlignment="1">
      <alignment vertical="center"/>
    </xf>
    <xf numFmtId="0" fontId="7" fillId="0" borderId="11" xfId="45" applyFont="1" applyBorder="1" applyAlignment="1">
      <alignment horizontal="center" vertical="top"/>
    </xf>
    <xf numFmtId="0" fontId="7" fillId="0" borderId="11" xfId="45" applyFont="1" applyBorder="1" applyAlignment="1">
      <alignment horizontal="left" vertical="top"/>
    </xf>
    <xf numFmtId="0" fontId="34" fillId="0" borderId="11" xfId="45" applyFont="1" applyBorder="1" applyAlignment="1">
      <alignment horizontal="center" vertical="top"/>
    </xf>
    <xf numFmtId="0" fontId="34" fillId="0" borderId="11" xfId="0" applyFont="1" applyBorder="1" applyAlignment="1">
      <alignment horizontal="center" vertical="center"/>
    </xf>
    <xf numFmtId="1" fontId="25" fillId="36" borderId="11" xfId="42" applyNumberFormat="1" applyFont="1" applyFill="1" applyBorder="1" applyAlignment="1">
      <alignment horizontal="left" vertical="top" wrapText="1"/>
    </xf>
    <xf numFmtId="0" fontId="0" fillId="0" borderId="11" xfId="0" applyBorder="1" applyAlignment="1" applyProtection="1">
      <alignment horizontal="left" vertical="top" wrapText="1"/>
    </xf>
    <xf numFmtId="2" fontId="5" fillId="0" borderId="10" xfId="0" applyNumberFormat="1" applyFont="1" applyBorder="1" applyAlignment="1">
      <alignment horizontal="left" wrapText="1"/>
    </xf>
    <xf numFmtId="1" fontId="14" fillId="3" borderId="10" xfId="7" applyNumberFormat="1" applyBorder="1" applyAlignment="1">
      <alignment horizontal="left" wrapText="1"/>
    </xf>
    <xf numFmtId="1" fontId="5" fillId="27" borderId="10" xfId="0" applyNumberFormat="1" applyFont="1" applyFill="1" applyBorder="1" applyAlignment="1">
      <alignment horizontal="left" wrapText="1"/>
    </xf>
    <xf numFmtId="1" fontId="5" fillId="0" borderId="10" xfId="0" applyNumberFormat="1" applyFont="1" applyBorder="1" applyAlignment="1">
      <alignment horizontal="left" wrapText="1"/>
    </xf>
    <xf numFmtId="0" fontId="0" fillId="0" borderId="0" xfId="0" applyAlignment="1">
      <alignment horizontal="left"/>
    </xf>
    <xf numFmtId="0" fontId="0" fillId="0" borderId="0" xfId="0" applyAlignment="1">
      <alignment horizontal="left" wrapText="1"/>
    </xf>
    <xf numFmtId="2" fontId="0" fillId="0" borderId="0" xfId="0" applyNumberFormat="1" applyAlignment="1">
      <alignment horizontal="left"/>
    </xf>
    <xf numFmtId="1" fontId="0" fillId="0" borderId="0" xfId="0" applyNumberFormat="1" applyAlignment="1">
      <alignment horizontal="left"/>
    </xf>
    <xf numFmtId="9" fontId="0" fillId="27" borderId="11" xfId="0" applyNumberFormat="1" applyFill="1" applyBorder="1" applyAlignment="1">
      <alignment horizontal="left"/>
    </xf>
    <xf numFmtId="1" fontId="0" fillId="27" borderId="0" xfId="0" applyNumberFormat="1" applyFill="1" applyAlignment="1">
      <alignment horizontal="left"/>
    </xf>
    <xf numFmtId="49" fontId="5" fillId="0" borderId="14" xfId="0" applyNumberFormat="1" applyFont="1" applyBorder="1" applyAlignment="1">
      <alignment horizontal="left" wrapText="1"/>
    </xf>
    <xf numFmtId="49" fontId="5" fillId="0" borderId="11" xfId="0" applyNumberFormat="1" applyFont="1" applyBorder="1" applyAlignment="1">
      <alignment horizontal="left" wrapText="1"/>
    </xf>
    <xf numFmtId="0" fontId="26" fillId="0" borderId="11" xfId="0" applyFont="1" applyBorder="1" applyAlignment="1">
      <alignment horizontal="left" vertical="center" wrapText="1"/>
    </xf>
    <xf numFmtId="1" fontId="26" fillId="0" borderId="11" xfId="0" applyNumberFormat="1" applyFont="1" applyBorder="1" applyAlignment="1">
      <alignment horizontal="left" vertical="center" wrapText="1"/>
    </xf>
    <xf numFmtId="0" fontId="0" fillId="0" borderId="11" xfId="0" applyBorder="1" applyAlignment="1">
      <alignment horizontal="left" wrapText="1"/>
    </xf>
    <xf numFmtId="9" fontId="2" fillId="0" borderId="11" xfId="42" applyFont="1" applyBorder="1" applyAlignment="1">
      <alignment horizontal="left" wrapText="1"/>
    </xf>
    <xf numFmtId="0" fontId="9" fillId="0" borderId="11" xfId="43" applyBorder="1" applyAlignment="1">
      <alignment horizontal="left"/>
    </xf>
    <xf numFmtId="4" fontId="0" fillId="0" borderId="0" xfId="0" applyNumberFormat="1" applyAlignment="1">
      <alignment horizontal="left"/>
    </xf>
    <xf numFmtId="1" fontId="33" fillId="36" borderId="11" xfId="0" applyNumberFormat="1" applyFont="1" applyFill="1" applyBorder="1" applyAlignment="1">
      <alignment horizontal="left" vertical="center"/>
    </xf>
    <xf numFmtId="9" fontId="0" fillId="0" borderId="0" xfId="42" applyFont="1" applyAlignment="1">
      <alignment horizontal="left"/>
    </xf>
    <xf numFmtId="2" fontId="0" fillId="27" borderId="0" xfId="0" applyNumberFormat="1" applyFill="1" applyAlignment="1">
      <alignment horizontal="left"/>
    </xf>
    <xf numFmtId="49" fontId="26" fillId="29" borderId="15" xfId="0" applyNumberFormat="1" applyFont="1" applyFill="1" applyBorder="1" applyAlignment="1">
      <alignment horizontal="left" vertical="center" wrapText="1"/>
    </xf>
    <xf numFmtId="2" fontId="26" fillId="0" borderId="11" xfId="0" applyNumberFormat="1" applyFont="1" applyBorder="1" applyAlignment="1">
      <alignment horizontal="left" vertical="center" wrapText="1"/>
    </xf>
    <xf numFmtId="0" fontId="0" fillId="0" borderId="13" xfId="0" applyBorder="1" applyAlignment="1">
      <alignment horizontal="left"/>
    </xf>
    <xf numFmtId="0" fontId="29" fillId="0" borderId="18" xfId="22" applyAlignment="1">
      <alignment horizontal="left"/>
    </xf>
    <xf numFmtId="0" fontId="28" fillId="0" borderId="17" xfId="18" applyAlignment="1">
      <alignment horizontal="left" vertical="center"/>
    </xf>
    <xf numFmtId="1" fontId="28" fillId="0" borderId="17" xfId="18" applyNumberFormat="1" applyAlignment="1">
      <alignment horizontal="left" vertical="center"/>
    </xf>
    <xf numFmtId="1" fontId="28" fillId="0" borderId="17" xfId="18" applyNumberFormat="1" applyAlignment="1">
      <alignment horizontal="left"/>
    </xf>
    <xf numFmtId="0" fontId="0" fillId="36" borderId="11" xfId="0" applyFill="1" applyBorder="1" applyAlignment="1">
      <alignment horizontal="left" vertical="center"/>
    </xf>
    <xf numFmtId="0" fontId="0" fillId="37" borderId="11" xfId="0" applyFill="1" applyBorder="1" applyAlignment="1">
      <alignment horizontal="left" vertical="center"/>
    </xf>
    <xf numFmtId="9" fontId="35" fillId="36" borderId="11" xfId="0" applyNumberFormat="1" applyFont="1" applyFill="1" applyBorder="1" applyAlignment="1">
      <alignment horizontal="left" vertical="center"/>
    </xf>
    <xf numFmtId="1" fontId="0" fillId="36" borderId="11" xfId="0" applyNumberFormat="1" applyFill="1" applyBorder="1" applyAlignment="1">
      <alignment horizontal="left" vertical="center"/>
    </xf>
    <xf numFmtId="1" fontId="0" fillId="37" borderId="11" xfId="0" applyNumberFormat="1" applyFill="1" applyBorder="1" applyAlignment="1">
      <alignment horizontal="left" vertical="center"/>
    </xf>
    <xf numFmtId="1" fontId="0" fillId="36" borderId="11" xfId="0" applyNumberFormat="1" applyFill="1" applyBorder="1" applyAlignment="1">
      <alignment horizontal="left"/>
    </xf>
    <xf numFmtId="1" fontId="0" fillId="38" borderId="11" xfId="0" applyNumberFormat="1" applyFill="1" applyBorder="1" applyAlignment="1">
      <alignment horizontal="left"/>
    </xf>
    <xf numFmtId="1" fontId="0" fillId="39" borderId="11" xfId="0" applyNumberFormat="1" applyFill="1" applyBorder="1" applyAlignment="1">
      <alignment horizontal="left"/>
    </xf>
    <xf numFmtId="1" fontId="0" fillId="40" borderId="11" xfId="0" applyNumberFormat="1" applyFill="1" applyBorder="1" applyAlignment="1">
      <alignment horizontal="left"/>
    </xf>
    <xf numFmtId="1" fontId="0" fillId="41" borderId="11" xfId="0" applyNumberFormat="1" applyFill="1" applyBorder="1" applyAlignment="1">
      <alignment horizontal="left"/>
    </xf>
    <xf numFmtId="1" fontId="5" fillId="34" borderId="11" xfId="0" applyNumberFormat="1" applyFont="1" applyFill="1" applyBorder="1" applyAlignment="1">
      <alignment horizontal="left" vertical="center"/>
    </xf>
    <xf numFmtId="1" fontId="5" fillId="42" borderId="11" xfId="0" applyNumberFormat="1" applyFont="1" applyFill="1" applyBorder="1" applyAlignment="1">
      <alignment horizontal="left" vertical="center"/>
    </xf>
    <xf numFmtId="0" fontId="36" fillId="0" borderId="0" xfId="0" applyFont="1" applyAlignment="1">
      <alignment horizontal="left" vertical="top" wrapText="1"/>
    </xf>
    <xf numFmtId="0" fontId="0" fillId="29" borderId="0" xfId="0" applyFill="1"/>
    <xf numFmtId="49" fontId="5" fillId="0" borderId="10" xfId="0" applyNumberFormat="1" applyFont="1" applyBorder="1" applyAlignment="1">
      <alignment horizontal="left"/>
    </xf>
    <xf numFmtId="0" fontId="7" fillId="0" borderId="11" xfId="0" applyFont="1" applyBorder="1" applyAlignment="1">
      <alignment horizontal="left" vertical="center"/>
    </xf>
    <xf numFmtId="0" fontId="7" fillId="0" borderId="11" xfId="0" applyFont="1" applyBorder="1" applyAlignment="1">
      <alignment horizontal="left" vertical="top"/>
    </xf>
    <xf numFmtId="0" fontId="0" fillId="0" borderId="11" xfId="0" applyBorder="1" applyAlignment="1">
      <alignment horizontal="left" vertical="top"/>
    </xf>
    <xf numFmtId="1" fontId="29" fillId="0" borderId="18" xfId="22" applyNumberFormat="1" applyAlignment="1">
      <alignment horizontal="left"/>
    </xf>
    <xf numFmtId="0" fontId="28" fillId="0" borderId="11" xfId="18" applyBorder="1" applyAlignment="1">
      <alignment horizontal="left" vertical="center"/>
    </xf>
    <xf numFmtId="0" fontId="28" fillId="0" borderId="17" xfId="18" applyAlignment="1">
      <alignment horizontal="left"/>
    </xf>
    <xf numFmtId="0" fontId="0" fillId="0" borderId="11" xfId="0" applyFill="1" applyBorder="1" applyAlignment="1">
      <alignment horizontal="left"/>
    </xf>
    <xf numFmtId="0" fontId="25" fillId="0" borderId="11" xfId="0" applyFont="1" applyBorder="1" applyAlignment="1" applyProtection="1">
      <alignment horizontal="left" vertical="top" wrapText="1"/>
    </xf>
    <xf numFmtId="1" fontId="0" fillId="0" borderId="11" xfId="0" applyNumberFormat="1" applyBorder="1" applyAlignment="1" applyProtection="1">
      <alignment horizontal="left" vertical="top" wrapText="1"/>
    </xf>
    <xf numFmtId="0" fontId="0" fillId="0" borderId="11" xfId="0" applyBorder="1" applyAlignment="1" applyProtection="1">
      <alignment horizontal="left" vertical="top" wrapText="1"/>
    </xf>
    <xf numFmtId="1" fontId="25" fillId="27" borderId="11" xfId="0" applyNumberFormat="1" applyFont="1" applyFill="1" applyBorder="1" applyAlignment="1" applyProtection="1">
      <alignment horizontal="left" vertical="top" wrapText="1"/>
    </xf>
    <xf numFmtId="0" fontId="25" fillId="0" borderId="11" xfId="0" applyFont="1" applyBorder="1" applyAlignment="1" applyProtection="1">
      <alignment horizontal="left" vertical="top" wrapText="1"/>
    </xf>
    <xf numFmtId="1" fontId="0" fillId="0" borderId="11" xfId="0" applyNumberFormat="1" applyBorder="1" applyAlignment="1" applyProtection="1">
      <alignment horizontal="left" vertical="top" wrapText="1"/>
    </xf>
    <xf numFmtId="0" fontId="0" fillId="0" borderId="11" xfId="0" applyBorder="1" applyAlignment="1" applyProtection="1">
      <alignment horizontal="left" vertical="top" wrapText="1"/>
    </xf>
    <xf numFmtId="1" fontId="25" fillId="27" borderId="11" xfId="0" applyNumberFormat="1" applyFont="1" applyFill="1" applyBorder="1" applyAlignment="1" applyProtection="1">
      <alignment horizontal="left" vertical="top" wrapText="1"/>
    </xf>
    <xf numFmtId="0" fontId="36" fillId="0" borderId="0" xfId="46"/>
    <xf numFmtId="0" fontId="36" fillId="43" borderId="0" xfId="46" applyFill="1"/>
    <xf numFmtId="0" fontId="38" fillId="0" borderId="11" xfId="0" applyFont="1" applyBorder="1" applyAlignment="1">
      <alignment horizontal="left"/>
    </xf>
    <xf numFmtId="9" fontId="37" fillId="36" borderId="11" xfId="0" applyNumberFormat="1" applyFont="1" applyFill="1" applyBorder="1" applyAlignment="1">
      <alignment horizontal="left" vertical="center"/>
    </xf>
    <xf numFmtId="9" fontId="38" fillId="36" borderId="11" xfId="0" applyNumberFormat="1" applyFont="1" applyFill="1" applyBorder="1" applyAlignment="1">
      <alignment horizontal="left" vertical="center"/>
    </xf>
    <xf numFmtId="1" fontId="38" fillId="36" borderId="11" xfId="0" applyNumberFormat="1" applyFont="1" applyFill="1" applyBorder="1" applyAlignment="1">
      <alignment horizontal="left" vertical="center"/>
    </xf>
    <xf numFmtId="0" fontId="38" fillId="36" borderId="11" xfId="0" applyFont="1" applyFill="1" applyBorder="1" applyAlignment="1">
      <alignment horizontal="left" vertical="center"/>
    </xf>
    <xf numFmtId="1" fontId="0" fillId="37" borderId="22" xfId="0" applyNumberFormat="1" applyFill="1" applyBorder="1" applyAlignment="1">
      <alignment horizontal="left" vertical="center"/>
    </xf>
    <xf numFmtId="0" fontId="39" fillId="0" borderId="11" xfId="22" applyFont="1" applyBorder="1" applyAlignment="1">
      <alignment horizontal="left"/>
    </xf>
  </cellXfs>
  <cellStyles count="47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Гиперссылка" xfId="43" builtinId="8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 customBuiltin="1"/>
    <cellStyle name="Обычный 6" xfId="46" xr:uid="{F94C45DE-A612-48C6-8076-6B03B64C7642}"/>
    <cellStyle name="Обычный_Лист1" xfId="45" xr:uid="{41BCF130-7382-4482-969E-CC9ECBA382BD}"/>
    <cellStyle name="Открывавшаяся гиперссылка" xfId="44" builtinId="9" customBuiltin="1"/>
    <cellStyle name="Плохой" xfId="7" builtinId="27" customBuiltin="1"/>
    <cellStyle name="Пояснение" xfId="16" builtinId="53" customBuiltin="1"/>
    <cellStyle name="Примечание" xfId="15" builtinId="10" customBuiltin="1"/>
    <cellStyle name="Процентный" xfId="42" builtinId="5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36">
    <dxf>
      <fill>
        <patternFill patternType="lightDown">
          <fgColor rgb="FFFF0000"/>
        </patternFill>
      </fill>
    </dxf>
    <dxf>
      <fill>
        <patternFill patternType="lightDown">
          <f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Down">
          <fgColor rgb="FFFF0000"/>
        </patternFill>
      </fill>
    </dxf>
    <dxf>
      <fill>
        <patternFill patternType="lightDown">
          <f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>
          <bgColor theme="3" tint="0.59996337778862885"/>
        </patternFill>
      </fill>
    </dxf>
    <dxf>
      <fill>
        <patternFill patternType="lightDown">
          <fgColor rgb="FFFF0000"/>
        </patternFill>
      </fill>
    </dxf>
    <dxf>
      <fill>
        <patternFill patternType="lightDown">
          <f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EAD618C7-A78A-4F9A-89DE-CC3C111AF794}" autoFormatId="16" applyNumberFormats="0" applyBorderFormats="0" applyFontFormats="0" applyPatternFormats="0" applyAlignmentFormats="0" applyWidthHeightFormats="0">
  <queryTableRefresh nextId="25">
    <queryTableFields count="24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  <queryTableField id="16" name="Column16" tableColumnId="16"/>
      <queryTableField id="17" name="Column17" tableColumnId="17"/>
      <queryTableField id="18" name="Column18" tableColumnId="18"/>
      <queryTableField id="19" name="Column19" tableColumnId="19"/>
      <queryTableField id="20" name="Column20" tableColumnId="20"/>
      <queryTableField id="21" name="Column21" tableColumnId="21"/>
      <queryTableField id="22" name="Column22" tableColumnId="22"/>
      <queryTableField id="23" name="Column23" tableColumnId="23"/>
      <queryTableField id="24" name="Column24" tableColumnId="2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3AE0639-DD36-4A60-B5D6-3F1BE181C709}" name="ТЕХНОРЕССОР" displayName="ТЕХНОРЕССОР" ref="A1:X197" tableType="queryTable" totalsRowShown="0">
  <autoFilter ref="A1:X197" xr:uid="{53AE0639-DD36-4A60-B5D6-3F1BE181C709}"/>
  <tableColumns count="24">
    <tableColumn id="1" xr3:uid="{F08317E5-DEE3-4356-AF38-F4F8CB4F7141}" uniqueName="1" name="Column1" queryTableFieldId="1"/>
    <tableColumn id="2" xr3:uid="{38A249A0-6B85-4D89-92CA-6A67EE73BC88}" uniqueName="2" name="Column2" queryTableFieldId="2"/>
    <tableColumn id="3" xr3:uid="{B2A01231-2C37-4DD3-9194-1F8AB64D36EE}" uniqueName="3" name="Column3" queryTableFieldId="3"/>
    <tableColumn id="4" xr3:uid="{ABBBA912-7E34-46C4-81E8-3CC8F62636CF}" uniqueName="4" name="Column4" queryTableFieldId="4"/>
    <tableColumn id="5" xr3:uid="{C7809190-D9D2-4362-B581-1DD98CB443EB}" uniqueName="5" name="Column5" queryTableFieldId="5"/>
    <tableColumn id="6" xr3:uid="{CD1AABED-2C41-4AC1-91FC-B84E06A29F93}" uniqueName="6" name="Column6" queryTableFieldId="6"/>
    <tableColumn id="7" xr3:uid="{54CD2224-E1D9-4A44-847A-AF1C0F9F6DD5}" uniqueName="7" name="Column7" queryTableFieldId="7"/>
    <tableColumn id="8" xr3:uid="{BCEAA372-C581-47A2-9C59-EE10A0549DD9}" uniqueName="8" name="Column8" queryTableFieldId="8"/>
    <tableColumn id="9" xr3:uid="{A659A03E-5F84-4813-AF0C-D48D492A5C95}" uniqueName="9" name="Column9" queryTableFieldId="9"/>
    <tableColumn id="10" xr3:uid="{97BF3A22-9339-4705-A588-AFDCD8DAC779}" uniqueName="10" name="Column10" queryTableFieldId="10"/>
    <tableColumn id="11" xr3:uid="{ACB491DE-197B-4789-849E-864A2CF7B481}" uniqueName="11" name="Column11" queryTableFieldId="11"/>
    <tableColumn id="12" xr3:uid="{68CF1C0D-DB41-44CB-B0D1-373401421C2E}" uniqueName="12" name="Column12" queryTableFieldId="12"/>
    <tableColumn id="13" xr3:uid="{6E57BF10-1C6B-46B0-BC9C-A068D1F5C8A4}" uniqueName="13" name="Column13" queryTableFieldId="13"/>
    <tableColumn id="14" xr3:uid="{A01813D8-4432-4DD6-81C9-CED63290002F}" uniqueName="14" name="Column14" queryTableFieldId="14"/>
    <tableColumn id="15" xr3:uid="{4B3341D6-E096-427E-8280-F60EB7480ECE}" uniqueName="15" name="Column15" queryTableFieldId="15"/>
    <tableColumn id="16" xr3:uid="{455A76B8-D4A1-4F07-952D-1122660FAC5B}" uniqueName="16" name="Column16" queryTableFieldId="16"/>
    <tableColumn id="17" xr3:uid="{6C1D4ADD-B7A9-4B7D-8446-8C228E16F8EA}" uniqueName="17" name="Column17" queryTableFieldId="17"/>
    <tableColumn id="18" xr3:uid="{8FE34978-F78A-4732-BF2F-D3D689496565}" uniqueName="18" name="Column18" queryTableFieldId="18"/>
    <tableColumn id="19" xr3:uid="{39D53A88-3FDE-4AFA-BE15-6ECE3BAD4564}" uniqueName="19" name="Column19" queryTableFieldId="19"/>
    <tableColumn id="20" xr3:uid="{15591BE7-0B3C-40A3-AE0B-B48C99AE38A2}" uniqueName="20" name="Column20" queryTableFieldId="20"/>
    <tableColumn id="21" xr3:uid="{CEB58358-B3D6-4622-ABFC-8F3709C013DA}" uniqueName="21" name="Column21" queryTableFieldId="21"/>
    <tableColumn id="22" xr3:uid="{1E403D33-1FF7-4321-A45B-B22E1E501914}" uniqueName="22" name="Column22" queryTableFieldId="22"/>
    <tableColumn id="23" xr3:uid="{23AA7BFC-E6FA-48EA-BA83-A55938D210AF}" uniqueName="23" name="Column23" queryTableFieldId="23"/>
    <tableColumn id="24" xr3:uid="{DED4DDE1-F44E-4EC1-BE40-45E28AC95348}" uniqueName="24" name="Column24" queryTableFieldId="2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fobos-avto.ru/produkciya/vaz/peredniy-privod/pruzhiny-peremennyy-shag-2110-zadnie-v-plenke/" TargetMode="External"/><Relationship Id="rId13" Type="http://schemas.openxmlformats.org/officeDocument/2006/relationships/hyperlink" Target="https://fobos-avto.ru/produkciya/vaz/peredniy-privod/pruzhiny-peremennyy-shag-2110-perednie-v-plenke/" TargetMode="External"/><Relationship Id="rId18" Type="http://schemas.openxmlformats.org/officeDocument/2006/relationships/hyperlink" Target="https://fobos-avto.ru/produkciya/vaz/zadniy-privod/pruzhiny-peremennyy-shag-2101-zadnie-v-plenke/" TargetMode="External"/><Relationship Id="rId26" Type="http://schemas.openxmlformats.org/officeDocument/2006/relationships/hyperlink" Target="https://fobos-avto.ru/produkciya/vaz/polnyy-privod/pruzhiny-peremennyy-shag-2123-zadnie-v-plenke/" TargetMode="External"/><Relationship Id="rId3" Type="http://schemas.openxmlformats.org/officeDocument/2006/relationships/hyperlink" Target="https://fobos-avto.ru/produkciya/vaz/peredniy-privod/pruzhiny-h-rey-perednie-usilennye/" TargetMode="External"/><Relationship Id="rId21" Type="http://schemas.openxmlformats.org/officeDocument/2006/relationships/hyperlink" Target="https://fobos-avto.ru/produkciya/vaz/peredniy-privod/pruzhina-lada-largus-zadnyaya-usilennaya-dacia-logan-mcv-universal/" TargetMode="External"/><Relationship Id="rId7" Type="http://schemas.openxmlformats.org/officeDocument/2006/relationships/hyperlink" Target="https://fobos-avto.ru/produkciya/vaz/peredniy-privod/pruzhiny-peremennyy-shag-2110-perednie-v-plenke/" TargetMode="External"/><Relationship Id="rId12" Type="http://schemas.openxmlformats.org/officeDocument/2006/relationships/hyperlink" Target="https://fobos-avto.ru/produkciya/vaz/peredniy-privod/pruzhiny-lyuks-2110-zadnie/" TargetMode="External"/><Relationship Id="rId17" Type="http://schemas.openxmlformats.org/officeDocument/2006/relationships/hyperlink" Target="https://fobos-avto.ru/produkciya/vaz/zadniy-privod/pruzhiny-peremennyy-shag-2101-perednie-v-plenke/" TargetMode="External"/><Relationship Id="rId25" Type="http://schemas.openxmlformats.org/officeDocument/2006/relationships/hyperlink" Target="https://fobos-avto.ru/produkciya/vaz/polnyy-privod/pruzhiny-peremennyy-shag-2121-zadnie-v-plenke/" TargetMode="External"/><Relationship Id="rId2" Type="http://schemas.openxmlformats.org/officeDocument/2006/relationships/hyperlink" Target="https://fobos-avto.ru/produkciya/vaz/peredniy-privod/pruzhiny-lada-vesta-zadnie-usilennye/" TargetMode="External"/><Relationship Id="rId16" Type="http://schemas.openxmlformats.org/officeDocument/2006/relationships/hyperlink" Target="https://fobos-avto.ru/produkciya/vaz/peredniy-privod/pruzhiny-peremennyy-shag-2110-zadnie-v-plenke/" TargetMode="External"/><Relationship Id="rId20" Type="http://schemas.openxmlformats.org/officeDocument/2006/relationships/hyperlink" Target="https://fobos-avto.ru/produkciya/vaz/peredniy-privod/pruzhiny-lada-vesta-sv-kross-zadnie/" TargetMode="External"/><Relationship Id="rId29" Type="http://schemas.openxmlformats.org/officeDocument/2006/relationships/printerSettings" Target="../printerSettings/printerSettings1.bin"/><Relationship Id="rId1" Type="http://schemas.openxmlformats.org/officeDocument/2006/relationships/hyperlink" Target="https://fobos-avto.ru/produkciya/vaz/peredniy-privod/pruzhiny-h-rey-zadnie-usilennye/" TargetMode="External"/><Relationship Id="rId6" Type="http://schemas.openxmlformats.org/officeDocument/2006/relationships/hyperlink" Target="https://fobos-avto.ru/produkciya/vaz/peredniy-privod/pruzhiny-standart-2170-priora-pered/" TargetMode="External"/><Relationship Id="rId11" Type="http://schemas.openxmlformats.org/officeDocument/2006/relationships/hyperlink" Target="https://fobos-avto.ru/produkciya/vaz/peredniy-privod/pruzhiny-peremennyy-shag-2110-zadnie-v-plenke/" TargetMode="External"/><Relationship Id="rId24" Type="http://schemas.openxmlformats.org/officeDocument/2006/relationships/hyperlink" Target="https://fobos-avto.ru/produkciya/vaz/peredniy-privod/pruzhiny-lada-vesta-perednie/" TargetMode="External"/><Relationship Id="rId5" Type="http://schemas.openxmlformats.org/officeDocument/2006/relationships/hyperlink" Target="https://fobos-avto.ru/produkciya/vaz/peredniy-privod/pruzhiny-standart-2170-priora-pered/" TargetMode="External"/><Relationship Id="rId15" Type="http://schemas.openxmlformats.org/officeDocument/2006/relationships/hyperlink" Target="https://fobos-avto.ru/produkciya/vaz/peredniy-privod/pruzhiny-lyuks-2110-zadnie/" TargetMode="External"/><Relationship Id="rId23" Type="http://schemas.openxmlformats.org/officeDocument/2006/relationships/hyperlink" Target="https://fobos-avto.ru/produkciya/vaz/peredniy-privod/pruzhiny-standart-1117-perednie/" TargetMode="External"/><Relationship Id="rId28" Type="http://schemas.openxmlformats.org/officeDocument/2006/relationships/hyperlink" Target="https://fobos-avto.ru/produkciya/vaz/polnyy-privod/pruzhiny-peremennyy-shag-2123-perednie-v-plenke/" TargetMode="External"/><Relationship Id="rId10" Type="http://schemas.openxmlformats.org/officeDocument/2006/relationships/hyperlink" Target="https://fobos-avto.ru/produkciya/vaz/peredniy-privod/pruzhiny-peremennyy-shag-2110-zadnie-v-plenke/" TargetMode="External"/><Relationship Id="rId19" Type="http://schemas.openxmlformats.org/officeDocument/2006/relationships/hyperlink" Target="https://fobos-avto.ru/produkciya/vaz/peredniy-privod/pruzhiny-peremennyy-shag-2110-perednie-v-plenke/" TargetMode="External"/><Relationship Id="rId4" Type="http://schemas.openxmlformats.org/officeDocument/2006/relationships/hyperlink" Target="https://fobos-avto.ru/produkciya/vaz/peredniy-privod/pruzhiny-lada-vesta-sv-kross-zadnie-usilennye/" TargetMode="External"/><Relationship Id="rId9" Type="http://schemas.openxmlformats.org/officeDocument/2006/relationships/hyperlink" Target="https://fobos-avto.ru/produkciya/vaz/peredniy-privod/pruzhiny-standart-2170-priora-pered/" TargetMode="External"/><Relationship Id="rId14" Type="http://schemas.openxmlformats.org/officeDocument/2006/relationships/hyperlink" Target="https://fobos-avto.ru/produkciya/vaz/peredniy-privod/pruzhiny-lyuks-2110-perednie/" TargetMode="External"/><Relationship Id="rId22" Type="http://schemas.openxmlformats.org/officeDocument/2006/relationships/hyperlink" Target="https://fobos-avto.ru/produkciya/vaz/peredniy-privod/pruzhiny-lada-largus-kross-zadnie/" TargetMode="External"/><Relationship Id="rId27" Type="http://schemas.openxmlformats.org/officeDocument/2006/relationships/hyperlink" Target="https://fobos-avto.ru/produkciya/vaz/polnyy-privod/pruzhiny-peremennyy-shag-2121perednie-v-plenke/" TargetMode="Externa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https://fobos-avto.ru/produkciya/vaz/zadniy-privod/pruzhiny-sport-2101zadnie---50mm/" TargetMode="External"/><Relationship Id="rId18" Type="http://schemas.openxmlformats.org/officeDocument/2006/relationships/hyperlink" Target="https://fobos-avto.ru/produkciya/vaz/peredniy-privod/pruzhiny-sport-2110-zadnie--50mm/" TargetMode="External"/><Relationship Id="rId26" Type="http://schemas.openxmlformats.org/officeDocument/2006/relationships/hyperlink" Target="https://motorring.ru/product/6625-prughiny-peredney-podveski-tehnoressor-120mm-2108" TargetMode="External"/><Relationship Id="rId39" Type="http://schemas.openxmlformats.org/officeDocument/2006/relationships/hyperlink" Target="https://motorring.ru/product/33876-prughiny-peredney-podveski-tehnoressor-drive-70-2101" TargetMode="External"/><Relationship Id="rId21" Type="http://schemas.openxmlformats.org/officeDocument/2006/relationships/hyperlink" Target="https://motorring.ru/product/6628-prughiny-zadney-podveski-tehnoressor-90mm-vaz-2108-21099" TargetMode="External"/><Relationship Id="rId34" Type="http://schemas.openxmlformats.org/officeDocument/2006/relationships/hyperlink" Target="https://motorring.ru/product/33821-prughiny-zadney-podveski-tehnoressor-zanigh-70-2101-07" TargetMode="External"/><Relationship Id="rId42" Type="http://schemas.openxmlformats.org/officeDocument/2006/relationships/hyperlink" Target="https://motorring.ru/product/10470-prughiny-zadney-podveski-tehnoressor-50-lada-vesta" TargetMode="External"/><Relationship Id="rId47" Type="http://schemas.openxmlformats.org/officeDocument/2006/relationships/hyperlink" Target="https://motorring.ru/product/33692-prughiny-peredney-podveski-tehnoressor-drive-30mm-2190-fl" TargetMode="External"/><Relationship Id="rId50" Type="http://schemas.openxmlformats.org/officeDocument/2006/relationships/hyperlink" Target="https://motorring.ru/product/33794-prughiny-peredney-podveski-tehnoressor-drive-90mm-2190-fl" TargetMode="External"/><Relationship Id="rId55" Type="http://schemas.openxmlformats.org/officeDocument/2006/relationships/hyperlink" Target="https://motorring.ru/product/6675-prughiny-peredney-podveski-90mm-dlya-lada-granta" TargetMode="External"/><Relationship Id="rId7" Type="http://schemas.openxmlformats.org/officeDocument/2006/relationships/hyperlink" Target="https://fobos-avto.ru/produkciya/vaz/peredniy-privod/pruzhiny-sport-2110-perednie--50mm/" TargetMode="External"/><Relationship Id="rId2" Type="http://schemas.openxmlformats.org/officeDocument/2006/relationships/hyperlink" Target="https://fobos-avto.ru/produkciya/vaz/peredniy-privod/pruzhiny-sport-2170priora-pered-70mm-v-korobke/" TargetMode="External"/><Relationship Id="rId16" Type="http://schemas.openxmlformats.org/officeDocument/2006/relationships/hyperlink" Target="https://fobos-avto.ru/produkciya/vaz/peredniy-privod/pruzhiny-sport-2110-zadnie--40mm/" TargetMode="External"/><Relationship Id="rId29" Type="http://schemas.openxmlformats.org/officeDocument/2006/relationships/hyperlink" Target="https://motorring.ru/product/6621-prughiny-peredney-podveski-tehnoressor-70mm-vaz-2108-21099" TargetMode="External"/><Relationship Id="rId11" Type="http://schemas.openxmlformats.org/officeDocument/2006/relationships/hyperlink" Target="https://fobos-avto.ru/produkciya/vaz/zadniy-privod/pruzhiny-sport-2101-perednie--50-mm/" TargetMode="External"/><Relationship Id="rId24" Type="http://schemas.openxmlformats.org/officeDocument/2006/relationships/hyperlink" Target="https://motorring.ru/product/6630-prughiny-zadney-podveski-tehnoressor-30mm-vaz-2108-21099" TargetMode="External"/><Relationship Id="rId32" Type="http://schemas.openxmlformats.org/officeDocument/2006/relationships/hyperlink" Target="https://motorring.ru/product/33817-prughiny-zadney-podveski-tehnoressor-zanigh-30-2101-07" TargetMode="External"/><Relationship Id="rId37" Type="http://schemas.openxmlformats.org/officeDocument/2006/relationships/hyperlink" Target="https://motorring.ru/product/33869-prughiny-peredney-podveski-tehnoressor-drive-30-2101" TargetMode="External"/><Relationship Id="rId40" Type="http://schemas.openxmlformats.org/officeDocument/2006/relationships/hyperlink" Target="https://motorring.ru/product/33873-prughiny-peredney-podveski-tehnoressor-drive-90-2101" TargetMode="External"/><Relationship Id="rId45" Type="http://schemas.openxmlformats.org/officeDocument/2006/relationships/hyperlink" Target="https://motorring.ru/product/10468-prughiny-peredney-podveski-tehnoressor-50mm-lada-vesta" TargetMode="External"/><Relationship Id="rId53" Type="http://schemas.openxmlformats.org/officeDocument/2006/relationships/hyperlink" Target="https://motorring.ru/product/6669-prughiny-peredney-podveski-tehnoressor-50-granta" TargetMode="External"/><Relationship Id="rId5" Type="http://schemas.openxmlformats.org/officeDocument/2006/relationships/hyperlink" Target="https://fobos-avto.ru/produkciya/vaz/peredniy-privod/pruzhiny-sport-2110-perednie--40mm/" TargetMode="External"/><Relationship Id="rId10" Type="http://schemas.openxmlformats.org/officeDocument/2006/relationships/hyperlink" Target="https://fobos-avto.ru/produkciya/vaz/zadniy-privod/pruzhiny-sport-2101-perednie--70-mm-v-korobke/" TargetMode="External"/><Relationship Id="rId19" Type="http://schemas.openxmlformats.org/officeDocument/2006/relationships/hyperlink" Target="https://fobos-avto.ru/produkciya/vaz/peredniy-privod/pruzhiny-sport-2110-zadnie--90mm-v-korobke/" TargetMode="External"/><Relationship Id="rId31" Type="http://schemas.openxmlformats.org/officeDocument/2006/relationships/hyperlink" Target="https://motorring.ru/product/33822-prughiny-zadney-podveski-tehnoressor-zanigh-120-2101-07" TargetMode="External"/><Relationship Id="rId44" Type="http://schemas.openxmlformats.org/officeDocument/2006/relationships/hyperlink" Target="https://motorring.ru/product/10467-prughiny-peredney-podveski-tehnoressor-30-lada-vesta" TargetMode="External"/><Relationship Id="rId52" Type="http://schemas.openxmlformats.org/officeDocument/2006/relationships/hyperlink" Target="https://motorring.ru/product/6667-prughiny-peredney-podveski-tehnoressor-30-granta" TargetMode="External"/><Relationship Id="rId4" Type="http://schemas.openxmlformats.org/officeDocument/2006/relationships/hyperlink" Target="https://fobos-avto.ru/produkciya/vaz/peredniy-privod/pruzhiny-sport-2170priora-perednie--40mm/" TargetMode="External"/><Relationship Id="rId9" Type="http://schemas.openxmlformats.org/officeDocument/2006/relationships/hyperlink" Target="https://fobos-avto.ru/produkciya/vaz/peredniy-privod/pruzhiny-sport-2110-perednie--70mm/" TargetMode="External"/><Relationship Id="rId14" Type="http://schemas.openxmlformats.org/officeDocument/2006/relationships/hyperlink" Target="https://fobos-avto.ru/produkciya/vaz/zadniy-privod/pruzhiny-sport-2101zadnie---70mm-v-korobke/" TargetMode="External"/><Relationship Id="rId22" Type="http://schemas.openxmlformats.org/officeDocument/2006/relationships/hyperlink" Target="https://motorring.ru/product/6622-prughiny-zadney-podveski-tehnoressor-70mm-vaz-2108-21099" TargetMode="External"/><Relationship Id="rId27" Type="http://schemas.openxmlformats.org/officeDocument/2006/relationships/hyperlink" Target="https://motorring.ru/product/6629-prughiny-peredney-podveski-tehnoressor-30mm-vaz-2108-21099" TargetMode="External"/><Relationship Id="rId30" Type="http://schemas.openxmlformats.org/officeDocument/2006/relationships/hyperlink" Target="https://motorring.ru/product/6627-prughiny-peredney-podveski-tehnoressor-90mm-vaz-2108-21099" TargetMode="External"/><Relationship Id="rId35" Type="http://schemas.openxmlformats.org/officeDocument/2006/relationships/hyperlink" Target="https://motorring.ru/product/33820-prughiny-zadney-podveski-tehnoressor-zanigh-90-2101-07" TargetMode="External"/><Relationship Id="rId43" Type="http://schemas.openxmlformats.org/officeDocument/2006/relationships/hyperlink" Target="https://motorring.ru/product/33875-prughiny-zad-podveski-tehnoressor-zanij-70-vesta" TargetMode="External"/><Relationship Id="rId48" Type="http://schemas.openxmlformats.org/officeDocument/2006/relationships/hyperlink" Target="https://motorring.ru/product/33691-prughiny-peredney-podveski-tehnoressor-drive-50mm-2190-fl" TargetMode="External"/><Relationship Id="rId56" Type="http://schemas.openxmlformats.org/officeDocument/2006/relationships/printerSettings" Target="../printerSettings/printerSettings2.bin"/><Relationship Id="rId8" Type="http://schemas.openxmlformats.org/officeDocument/2006/relationships/hyperlink" Target="https://fobos-avto.ru/produkciya/vaz/peredniy-privod/pruzhiny-sport-2110-perednie--90mm-v-korobke/" TargetMode="External"/><Relationship Id="rId51" Type="http://schemas.openxmlformats.org/officeDocument/2006/relationships/hyperlink" Target="https://motorring.ru/product/6673-prughiny-peredney-podveski--120mm-dlya-lada-granta" TargetMode="External"/><Relationship Id="rId3" Type="http://schemas.openxmlformats.org/officeDocument/2006/relationships/hyperlink" Target="https://fobos-avto.ru/produkciya/vaz/peredniy-privod/pruzhiny-sport-2170priora-pered-50mm-v-korobke/" TargetMode="External"/><Relationship Id="rId12" Type="http://schemas.openxmlformats.org/officeDocument/2006/relationships/hyperlink" Target="https://fobos-avto.ru/produkciya/vaz/zadniy-privod/pruzhiny-sport-2101-perednie--25-mm/" TargetMode="External"/><Relationship Id="rId17" Type="http://schemas.openxmlformats.org/officeDocument/2006/relationships/hyperlink" Target="https://fobos-avto.ru/produkciya/vaz/peredniy-privod/pruzhiny-sport-2110-zadnie--25mm/" TargetMode="External"/><Relationship Id="rId25" Type="http://schemas.openxmlformats.org/officeDocument/2006/relationships/hyperlink" Target="https://motorring.ru/product/6626-prughiny-zadney-podveski-tehnoressor-120mm-vaz-2108-21099" TargetMode="External"/><Relationship Id="rId33" Type="http://schemas.openxmlformats.org/officeDocument/2006/relationships/hyperlink" Target="https://motorring.ru/product/33819-prughiny-zadney-podveski-tehnoressor-zanigh-50-2101-07" TargetMode="External"/><Relationship Id="rId38" Type="http://schemas.openxmlformats.org/officeDocument/2006/relationships/hyperlink" Target="https://motorring.ru/product/33871-prughiny-peredney-podveski-tehnoressor-drive-50-2101" TargetMode="External"/><Relationship Id="rId46" Type="http://schemas.openxmlformats.org/officeDocument/2006/relationships/hyperlink" Target="https://motorring.ru/product/33813-prughiny-pered-podveski-tehnoressor-zanij-70-vesta" TargetMode="External"/><Relationship Id="rId20" Type="http://schemas.openxmlformats.org/officeDocument/2006/relationships/hyperlink" Target="https://fobos-avto.ru/produkciya/vaz/peredniy-privod/pruzhiny-sport-2110-zadnie--70mm/" TargetMode="External"/><Relationship Id="rId41" Type="http://schemas.openxmlformats.org/officeDocument/2006/relationships/hyperlink" Target="https://motorring.ru/product/10469-prughiny-zadney-podveski-tehnoressor-30-lada-vesta" TargetMode="External"/><Relationship Id="rId54" Type="http://schemas.openxmlformats.org/officeDocument/2006/relationships/hyperlink" Target="https://motorring.ru/product/6671-prughiny-peredney-podveski-tehnoressor-70mm-lada-granta" TargetMode="External"/><Relationship Id="rId1" Type="http://schemas.openxmlformats.org/officeDocument/2006/relationships/hyperlink" Target="https://fobos-avto.ru/produkciya/vaz/peredniy-privod/pruzhiny-sport-2170priora-perednie--25mm-v-korobke/" TargetMode="External"/><Relationship Id="rId6" Type="http://schemas.openxmlformats.org/officeDocument/2006/relationships/hyperlink" Target="https://fobos-avto.ru/produkciya/vaz/peredniy-privod/pruzhiny-sport-2110-perednie--25mm/" TargetMode="External"/><Relationship Id="rId15" Type="http://schemas.openxmlformats.org/officeDocument/2006/relationships/hyperlink" Target="https://fobos-avto.ru/produkciya/vaz/zadniy-privod/pruzhiny-sport-2101zadnie--25-mm/" TargetMode="External"/><Relationship Id="rId23" Type="http://schemas.openxmlformats.org/officeDocument/2006/relationships/hyperlink" Target="https://motorring.ru/product/6624-prughiny-zadney-podveski-tehnoressor-50mm-vaz-2108-21099" TargetMode="External"/><Relationship Id="rId28" Type="http://schemas.openxmlformats.org/officeDocument/2006/relationships/hyperlink" Target="https://motorring.ru/product/6623-prughiny-peredney-podveski-tehnoressor-50mm-vaz-2108-21099" TargetMode="External"/><Relationship Id="rId36" Type="http://schemas.openxmlformats.org/officeDocument/2006/relationships/hyperlink" Target="https://motorring.ru/product/33880-prughiny-peredney-podveski-tehnoressor-drive-120-2101" TargetMode="External"/><Relationship Id="rId49" Type="http://schemas.openxmlformats.org/officeDocument/2006/relationships/hyperlink" Target="https://motorring.ru/product/33709-prughiny-peredney-podveski-tehnoressor-drive-70mm-2190-fl" TargetMode="Externa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https://fobos-avto.ru/produkciya/vaz/peredniy-privod/pruzhiny-standart-1119-kalina-perednie/" TargetMode="External"/><Relationship Id="rId18" Type="http://schemas.openxmlformats.org/officeDocument/2006/relationships/hyperlink" Target="https://fobos-avto.ru/produkciya/vaz/peredniy-privod/pruzhiny-sport-2110-perednie--25mm/" TargetMode="External"/><Relationship Id="rId26" Type="http://schemas.openxmlformats.org/officeDocument/2006/relationships/hyperlink" Target="https://fobos-avto.ru/produkciya/vaz/peredniy-privod/pruzhiny-peremennyy-shag-2110-perednie-v-plenke/" TargetMode="External"/><Relationship Id="rId39" Type="http://schemas.openxmlformats.org/officeDocument/2006/relationships/hyperlink" Target="https://fobos-avto.ru/produkciya/vaz/peredniy-privod/pruzhiny-sport-2110-perednie--50mm/" TargetMode="External"/><Relationship Id="rId21" Type="http://schemas.openxmlformats.org/officeDocument/2006/relationships/hyperlink" Target="https://fobos-avto.ru/produkciya/vaz/peredniy-privod/pruzhiny-sport-2110-zadnie--40mm/" TargetMode="External"/><Relationship Id="rId34" Type="http://schemas.openxmlformats.org/officeDocument/2006/relationships/hyperlink" Target="https://fobos-avto.ru/produkciya/vaz/polnyy-privod/pruzhiny-peremennyy-shag-2121-zadnie-v-plenke/" TargetMode="External"/><Relationship Id="rId42" Type="http://schemas.openxmlformats.org/officeDocument/2006/relationships/hyperlink" Target="https://fobos-avto.ru/produkciya/vaz/peredniy-privod/pruzhiny-lada-largus-kross-zadnie/" TargetMode="External"/><Relationship Id="rId47" Type="http://schemas.openxmlformats.org/officeDocument/2006/relationships/printerSettings" Target="../printerSettings/printerSettings3.bin"/><Relationship Id="rId7" Type="http://schemas.openxmlformats.org/officeDocument/2006/relationships/hyperlink" Target="https://fobos-avto.ru/produkciya/vaz/peredniy-privod/pruzhiny-lada-vesta-zadnie-usilennye/" TargetMode="External"/><Relationship Id="rId2" Type="http://schemas.openxmlformats.org/officeDocument/2006/relationships/hyperlink" Target="https://fobos-avto.ru/produkciya/vaz/zadniy-privod/pruzhiny-peremennyy-shag-2102-zadnie-v-plenke/" TargetMode="External"/><Relationship Id="rId16" Type="http://schemas.openxmlformats.org/officeDocument/2006/relationships/hyperlink" Target="https://fobos-avto.ru/produkciya/vaz/peredniy-privod/pruzhiny-sport-2110-perednie--70mm/" TargetMode="External"/><Relationship Id="rId29" Type="http://schemas.openxmlformats.org/officeDocument/2006/relationships/hyperlink" Target="https://fobos-avto.ru/produkciya/vaz/zadniy-privod/pruzhiny-sport-2101zadnie---70mm-v-korobke/" TargetMode="External"/><Relationship Id="rId1" Type="http://schemas.openxmlformats.org/officeDocument/2006/relationships/hyperlink" Target="https://fobos-avto.ru/produkciya/vaz/zadniy-privod/pruzhiny-peremennyy-shag-2101-zadnie-v-plenke/" TargetMode="External"/><Relationship Id="rId6" Type="http://schemas.openxmlformats.org/officeDocument/2006/relationships/hyperlink" Target="https://fobos-avto.ru/produkciya/vaz/peredniy-privod/pruzhiny-lada-vesta-sv-kross-zadnie/" TargetMode="External"/><Relationship Id="rId11" Type="http://schemas.openxmlformats.org/officeDocument/2006/relationships/hyperlink" Target="https://fobos-avto.ru/produkciya/vaz/peredniy-privod/pruzhiny-peremennyy-shag-2110-zadnie-v-plenke/" TargetMode="External"/><Relationship Id="rId24" Type="http://schemas.openxmlformats.org/officeDocument/2006/relationships/hyperlink" Target="https://fobos-avto.ru/produkciya/vaz/peredniy-privod/pruzhiny-sport-2108zadnie---40mm/" TargetMode="External"/><Relationship Id="rId32" Type="http://schemas.openxmlformats.org/officeDocument/2006/relationships/hyperlink" Target="https://fobos-avto.ru/produkciya/vaz/zadniy-privod/pruzhiny-peremennyy-shag-2101-perednie-v-plenke/" TargetMode="External"/><Relationship Id="rId37" Type="http://schemas.openxmlformats.org/officeDocument/2006/relationships/hyperlink" Target="https://fobos-avto.ru/produkciya/vaz/polnyy-privod/pruzhiny-peremennyy-shag-2121perednie-v-plenke/" TargetMode="External"/><Relationship Id="rId40" Type="http://schemas.openxmlformats.org/officeDocument/2006/relationships/hyperlink" Target="https://fobos-avto.ru/produkciya/vaz/peredniy-privod/pruzhiny-peremennyy-shag-21099-zadnie-v-plenke/" TargetMode="External"/><Relationship Id="rId45" Type="http://schemas.openxmlformats.org/officeDocument/2006/relationships/hyperlink" Target="https://fobos-avto.ru/produkciya/vaz/peredniy-privod/pruzhiny-sport-2170priora-pered-50mm-v-korobke/" TargetMode="External"/><Relationship Id="rId5" Type="http://schemas.openxmlformats.org/officeDocument/2006/relationships/hyperlink" Target="https://fobos-avto.ru/produkciya/vaz/peredniy-privod/pruzhiny-lada-vesta-sv-kross-zadnie-usilennye/" TargetMode="External"/><Relationship Id="rId15" Type="http://schemas.openxmlformats.org/officeDocument/2006/relationships/hyperlink" Target="https://fobos-avto.ru/produkciya/vaz/peredniy-privod/pruzhiny-sport-2110-perednie--90mm-v-korobke/" TargetMode="External"/><Relationship Id="rId23" Type="http://schemas.openxmlformats.org/officeDocument/2006/relationships/hyperlink" Target="https://fobos-avto.ru/produkciya/vaz/peredniy-privod/pruzhiny-sport-2108-perednie--40-mm/" TargetMode="External"/><Relationship Id="rId28" Type="http://schemas.openxmlformats.org/officeDocument/2006/relationships/hyperlink" Target="https://fobos-avto.ru/produkciya/vaz/zadniy-privod/pruzhiny-sport-2101zadnie--25-mm/" TargetMode="External"/><Relationship Id="rId36" Type="http://schemas.openxmlformats.org/officeDocument/2006/relationships/hyperlink" Target="https://fobos-avto.ru/produkciya/vaz/polnyy-privod/pruzhiny-peremennyy-shag-2123-perednie-v-plenke/" TargetMode="External"/><Relationship Id="rId10" Type="http://schemas.openxmlformats.org/officeDocument/2006/relationships/hyperlink" Target="https://fobos-avto.ru/produkciya/vaz/peredniy-privod/pruzhiny-lyuks-2110-perednie/" TargetMode="External"/><Relationship Id="rId19" Type="http://schemas.openxmlformats.org/officeDocument/2006/relationships/hyperlink" Target="https://fobos-avto.ru/produkciya/vaz/peredniy-privod/pruzhiny-sport-2110-zadnie--90mm-v-korobke/" TargetMode="External"/><Relationship Id="rId31" Type="http://schemas.openxmlformats.org/officeDocument/2006/relationships/hyperlink" Target="https://fobos-avto.ru/produkciya/vaz/zadniy-privod/pruzhiny-sport-2101-perednie--70-mm-v-korobke/" TargetMode="External"/><Relationship Id="rId44" Type="http://schemas.openxmlformats.org/officeDocument/2006/relationships/hyperlink" Target="https://fobos-avto.ru/produkciya/vaz/peredniy-privod/pruzhiny-sport-2170priora-pered-70mm-v-korobke/" TargetMode="External"/><Relationship Id="rId4" Type="http://schemas.openxmlformats.org/officeDocument/2006/relationships/hyperlink" Target="https://fobos-avto.ru/produkciya/vaz/peredniy-privod/pruzhiny-h-rey-zadnie-usilennye/" TargetMode="External"/><Relationship Id="rId9" Type="http://schemas.openxmlformats.org/officeDocument/2006/relationships/hyperlink" Target="https://fobos-avto.ru/produkciya/vaz/peredniy-privod/pruzhiny-lyuks-2110-zadnie/" TargetMode="External"/><Relationship Id="rId14" Type="http://schemas.openxmlformats.org/officeDocument/2006/relationships/hyperlink" Target="https://fobos-avto.ru/produkciya/vaz/peredniy-privod/pruzhiny-sport-2170priora-perednie--25mm-v-korobke/" TargetMode="External"/><Relationship Id="rId22" Type="http://schemas.openxmlformats.org/officeDocument/2006/relationships/hyperlink" Target="https://fobos-avto.ru/produkciya/vaz/peredniy-privod/pruzhiny-sport-2110-zadnie--25mm/" TargetMode="External"/><Relationship Id="rId27" Type="http://schemas.openxmlformats.org/officeDocument/2006/relationships/hyperlink" Target="https://fobos-avto.ru/produkciya/vaz/zadniy-privod/pruzhiny-sport-2101zadnie---50mm/" TargetMode="External"/><Relationship Id="rId30" Type="http://schemas.openxmlformats.org/officeDocument/2006/relationships/hyperlink" Target="https://fobos-avto.ru/produkciya/vaz/zadniy-privod/pruzhiny-sport-2101-perednie--25-mm/" TargetMode="External"/><Relationship Id="rId35" Type="http://schemas.openxmlformats.org/officeDocument/2006/relationships/hyperlink" Target="https://fobos-avto.ru/produkciya/vaz/polnyy-privod/pruzhiny-peremennyy-shag-2123-zadnie-v-plenke/" TargetMode="External"/><Relationship Id="rId43" Type="http://schemas.openxmlformats.org/officeDocument/2006/relationships/hyperlink" Target="https://fobos-avto.ru/produkciya/vaz/peredniy-privod/pruzhiny-h-rey-perednie-usilennye/" TargetMode="External"/><Relationship Id="rId8" Type="http://schemas.openxmlformats.org/officeDocument/2006/relationships/hyperlink" Target="https://fobos-avto.ru/produkciya/vaz/peredniy-privod/pruzhina-lada-largus-zadnyaya-usilennaya-dacia-logan-mcv-universal/" TargetMode="External"/><Relationship Id="rId3" Type="http://schemas.openxmlformats.org/officeDocument/2006/relationships/hyperlink" Target="https://fobos-avto.ru/produkciya/vaz/peredniy-privod/pruzhiny-standart-2170-priora-pered/" TargetMode="External"/><Relationship Id="rId12" Type="http://schemas.openxmlformats.org/officeDocument/2006/relationships/hyperlink" Target="https://fobos-avto.ru/produkciya/vaz/peredniy-privod/pruzhiny-standart-1117-perednie/" TargetMode="External"/><Relationship Id="rId17" Type="http://schemas.openxmlformats.org/officeDocument/2006/relationships/hyperlink" Target="https://fobos-avto.ru/produkciya/vaz/peredniy-privod/pruzhiny-sport-2110-perednie--40mm/" TargetMode="External"/><Relationship Id="rId25" Type="http://schemas.openxmlformats.org/officeDocument/2006/relationships/hyperlink" Target="https://fobos-avto.ru/produkciya/vaz/peredniy-privod/pruzhiny-peremennyy-shag-2111zadnie-v-plenke/" TargetMode="External"/><Relationship Id="rId33" Type="http://schemas.openxmlformats.org/officeDocument/2006/relationships/hyperlink" Target="https://fobos-avto.ru/produkciya/vaz/zadniy-privod/pruzhiny-sport-2101-perednie--50-mm/" TargetMode="External"/><Relationship Id="rId38" Type="http://schemas.openxmlformats.org/officeDocument/2006/relationships/hyperlink" Target="https://fobos-avto.ru/produkciya/vaz/peredniy-privod/pruzhiny-sport-2110-zadnie--50mm/" TargetMode="External"/><Relationship Id="rId46" Type="http://schemas.openxmlformats.org/officeDocument/2006/relationships/hyperlink" Target="https://fobos-avto.ru/produkciya/vaz/peredniy-privod/pruzhiny-sport-2170priora-perednie--40mm/" TargetMode="External"/><Relationship Id="rId20" Type="http://schemas.openxmlformats.org/officeDocument/2006/relationships/hyperlink" Target="https://fobos-avto.ru/produkciya/vaz/peredniy-privod/pruzhiny-sport-2110-zadnie--70mm/" TargetMode="External"/><Relationship Id="rId41" Type="http://schemas.openxmlformats.org/officeDocument/2006/relationships/hyperlink" Target="https://fobos-avto.ru/produkciya/vaz/peredniy-privod/pruzhiny-lada-vesta-perednie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P150"/>
  <sheetViews>
    <sheetView showGridLines="0" topLeftCell="M1" workbookViewId="0">
      <pane ySplit="2" topLeftCell="A3" activePane="bottomLeft" state="frozen"/>
      <selection pane="bottomLeft" activeCell="AA2" sqref="AA2"/>
    </sheetView>
  </sheetViews>
  <sheetFormatPr defaultRowHeight="15" outlineLevelCol="1" x14ac:dyDescent="0.25"/>
  <cols>
    <col min="1" max="2" width="7" style="65" customWidth="1"/>
    <col min="3" max="3" width="36.42578125" style="65" bestFit="1" customWidth="1"/>
    <col min="4" max="4" width="2.42578125" style="65" bestFit="1" customWidth="1"/>
    <col min="5" max="5" width="4.85546875" style="65" bestFit="1" customWidth="1"/>
    <col min="6" max="6" width="13.5703125" style="65" bestFit="1" customWidth="1" outlineLevel="1"/>
    <col min="7" max="7" width="9" style="65" customWidth="1" outlineLevel="1"/>
    <col min="8" max="8" width="12.5703125" style="65" customWidth="1"/>
    <col min="9" max="9" width="12.28515625" style="65" bestFit="1" customWidth="1"/>
    <col min="10" max="10" width="5.28515625" style="68" bestFit="1" customWidth="1"/>
    <col min="11" max="11" width="4.85546875" style="67" bestFit="1" customWidth="1"/>
    <col min="12" max="13" width="6.42578125" style="68" bestFit="1" customWidth="1"/>
    <col min="14" max="14" width="6.7109375" style="78" bestFit="1" customWidth="1"/>
    <col min="15" max="15" width="6.85546875" style="78" bestFit="1" customWidth="1"/>
    <col min="16" max="17" width="7.5703125" style="65" bestFit="1" customWidth="1"/>
    <col min="18" max="18" width="5.85546875" style="68" bestFit="1" customWidth="1"/>
    <col min="19" max="19" width="7.28515625" style="65" bestFit="1" customWidth="1"/>
    <col min="20" max="21" width="8.85546875" style="65" bestFit="1" customWidth="1"/>
    <col min="22" max="22" width="8.5703125" style="65" bestFit="1" customWidth="1"/>
    <col min="23" max="23" width="7.42578125" style="68" bestFit="1" customWidth="1"/>
    <col min="24" max="24" width="3.85546875" style="65" customWidth="1"/>
    <col min="25" max="25" width="6" style="65" bestFit="1" customWidth="1"/>
    <col min="26" max="26" width="8.85546875" style="65" bestFit="1" customWidth="1"/>
    <col min="27" max="27" width="11.140625" style="65" customWidth="1"/>
    <col min="28" max="28" width="7.42578125" style="68" bestFit="1" customWidth="1"/>
    <col min="29" max="29" width="4.5703125" style="65" customWidth="1"/>
    <col min="30" max="30" width="6" style="65" bestFit="1" customWidth="1"/>
    <col min="31" max="31" width="8.42578125" style="65" bestFit="1" customWidth="1"/>
    <col min="32" max="32" width="9.140625" style="65"/>
    <col min="33" max="33" width="8" style="65" bestFit="1" customWidth="1"/>
    <col min="34" max="34" width="2" style="65" bestFit="1" customWidth="1"/>
    <col min="35" max="35" width="7" style="65" bestFit="1" customWidth="1"/>
    <col min="36" max="37" width="9.140625" style="65"/>
    <col min="38" max="38" width="8" style="65" bestFit="1" customWidth="1"/>
    <col min="39" max="39" width="2" style="65" bestFit="1" customWidth="1"/>
    <col min="40" max="40" width="7" style="65" bestFit="1" customWidth="1"/>
    <col min="41" max="16384" width="9.140625" style="65"/>
  </cols>
  <sheetData>
    <row r="1" spans="1:42" x14ac:dyDescent="0.25">
      <c r="B1" s="66">
        <v>2</v>
      </c>
      <c r="C1" s="66">
        <v>3</v>
      </c>
      <c r="D1" s="65">
        <v>4</v>
      </c>
      <c r="E1" s="65">
        <v>16</v>
      </c>
      <c r="F1" s="65">
        <v>6</v>
      </c>
      <c r="I1" s="80">
        <f>COUNT($V:$V,Торг!$W:$W)/COUNT(Торг!$B:$B,$A:$A)</f>
        <v>0.80412371134020622</v>
      </c>
      <c r="J1" s="62">
        <f>N1</f>
        <v>10</v>
      </c>
      <c r="N1" s="65">
        <v>10</v>
      </c>
      <c r="O1" s="65">
        <v>11</v>
      </c>
      <c r="P1" s="68"/>
      <c r="Q1" s="68"/>
      <c r="R1" s="80">
        <v>0.2</v>
      </c>
      <c r="S1" s="69" t="str">
        <f>_xlfn.CONCAT(ROUND(MIN(S3:S8971)*100,0),"-",ROUND(MAX(S3:S8971)*100,0),"%")</f>
        <v>20-63%</v>
      </c>
      <c r="T1" s="69" t="str">
        <f>_xlfn.CONCAT(ROUND(SUBTOTAL(5,T3:T8971)*100,0)," - ",ROUND(SUBTOTAL(4,T3:T8971)*100,0),"%")</f>
        <v>-62 - 4%</v>
      </c>
      <c r="U1" s="69" t="str">
        <f>_xlfn.CONCAT(ROUND(SUBTOTAL(5,U3:U89971)*100,0)," - ",ROUND(SUBTOTAL(4,U3:U89971)*100,0),"%")</f>
        <v>-24 - 67%</v>
      </c>
      <c r="V1" s="81"/>
      <c r="W1" s="65">
        <v>10</v>
      </c>
      <c r="Y1" s="89">
        <f>AC1</f>
        <v>0</v>
      </c>
      <c r="AB1" s="65">
        <v>11</v>
      </c>
      <c r="AD1" s="93">
        <f>AM1</f>
        <v>0</v>
      </c>
      <c r="AG1" s="65">
        <v>12</v>
      </c>
      <c r="AI1" s="93">
        <f>AR1</f>
        <v>0</v>
      </c>
      <c r="AL1" s="65">
        <v>13</v>
      </c>
      <c r="AN1" s="126">
        <f>AW1</f>
        <v>0</v>
      </c>
    </row>
    <row r="2" spans="1:42" x14ac:dyDescent="0.25">
      <c r="A2" s="1" t="s">
        <v>0</v>
      </c>
      <c r="B2" s="43" t="s">
        <v>194</v>
      </c>
      <c r="C2" s="43" t="s">
        <v>78</v>
      </c>
      <c r="D2" s="43"/>
      <c r="E2" s="43"/>
      <c r="F2" s="43" t="s">
        <v>195</v>
      </c>
      <c r="G2" s="82" t="s">
        <v>145</v>
      </c>
      <c r="H2" s="103" t="s">
        <v>62</v>
      </c>
      <c r="I2" s="1"/>
      <c r="J2" s="63" t="s">
        <v>339</v>
      </c>
      <c r="K2" s="61"/>
      <c r="L2" s="64"/>
      <c r="M2" s="63" t="s">
        <v>338</v>
      </c>
      <c r="N2" s="43"/>
      <c r="O2" s="43"/>
      <c r="P2" s="52"/>
      <c r="Q2" s="52"/>
      <c r="R2" s="49">
        <v>7.0000000000000007E-2</v>
      </c>
      <c r="S2" s="73" t="s">
        <v>187</v>
      </c>
      <c r="T2" s="73" t="s">
        <v>190</v>
      </c>
      <c r="U2" s="73" t="s">
        <v>191</v>
      </c>
      <c r="V2" s="74" t="s">
        <v>408</v>
      </c>
      <c r="W2" s="91" t="s">
        <v>407</v>
      </c>
      <c r="X2" s="50"/>
      <c r="Y2" s="91" t="s">
        <v>340</v>
      </c>
      <c r="Z2" s="83" t="s">
        <v>192</v>
      </c>
      <c r="AA2" s="83" t="s">
        <v>192</v>
      </c>
      <c r="AB2" s="91" t="s">
        <v>407</v>
      </c>
      <c r="AC2" s="50"/>
      <c r="AD2" s="91" t="s">
        <v>340</v>
      </c>
      <c r="AE2" s="41" t="s">
        <v>347</v>
      </c>
      <c r="AF2" s="65" t="s">
        <v>347</v>
      </c>
      <c r="AG2" s="91" t="s">
        <v>407</v>
      </c>
      <c r="AH2" s="50"/>
      <c r="AI2" s="50" t="s">
        <v>340</v>
      </c>
      <c r="AJ2" s="121">
        <v>3</v>
      </c>
      <c r="AK2" s="121">
        <v>3</v>
      </c>
      <c r="AL2" s="122" t="s">
        <v>407</v>
      </c>
      <c r="AM2" s="123"/>
      <c r="AN2" s="123" t="s">
        <v>340</v>
      </c>
      <c r="AO2" s="121">
        <v>4</v>
      </c>
      <c r="AP2" s="121">
        <v>4</v>
      </c>
    </row>
    <row r="3" spans="1:42" ht="30.75" thickBot="1" x14ac:dyDescent="0.3">
      <c r="A3" s="41">
        <v>201936</v>
      </c>
      <c r="B3" s="41">
        <f>VLOOKUP($A3,'Выгр Кат'!$A:$T,B$1,0)</f>
        <v>27099</v>
      </c>
      <c r="C3" s="75" t="str">
        <f>VLOOKUP($A3,'Выгр Кат'!$A:$T,C$1,0)</f>
        <v>Пружины задней подвески Фобос Стандарт усиленные для Лада XRAY</v>
      </c>
      <c r="D3" s="41" t="str">
        <f>VLOOKUP($A3,'Выгр Кат'!$A:$T,D$1,0)</f>
        <v>Y</v>
      </c>
      <c r="E3" s="41" t="str">
        <f>VLOOKUP($A3,'Выгр Кат'!$A:$T,E$1,0)</f>
        <v>0</v>
      </c>
      <c r="F3" s="41" t="str">
        <f>VLOOKUP($A3,'Выгр Кат'!$A:$T,F$1,0)</f>
        <v>38169</v>
      </c>
      <c r="G3" s="36" t="s">
        <v>146</v>
      </c>
      <c r="H3" s="104" t="s">
        <v>10</v>
      </c>
      <c r="I3" s="1" t="s">
        <v>65</v>
      </c>
      <c r="J3" s="63">
        <f>VLOOKUP(H3,Прайс!B:D,3,0)</f>
        <v>2150</v>
      </c>
      <c r="K3" s="61">
        <f>VLOOKUP(J3,Наценка!$A$1:$B$8,2,1)</f>
        <v>1.32</v>
      </c>
      <c r="L3" s="95">
        <f>V3*1.02</f>
        <v>3253.8</v>
      </c>
      <c r="M3" s="63">
        <f>ROUNDUP(L3,-2)-10</f>
        <v>3290</v>
      </c>
      <c r="N3" s="41">
        <f>VLOOKUP($A3,'Выгр Кат'!$A:$T,N$1,0)</f>
        <v>2150</v>
      </c>
      <c r="O3" s="41">
        <f>VLOOKUP($A3,'Выгр Кат'!$A:$T,O$1,0)</f>
        <v>3290</v>
      </c>
      <c r="P3" s="52">
        <f>N3-J3</f>
        <v>0</v>
      </c>
      <c r="Q3" s="52">
        <f>O3-M3</f>
        <v>0</v>
      </c>
      <c r="R3" s="59">
        <f>IFERROR(M3*(1-$R$2),"")</f>
        <v>3059.7</v>
      </c>
      <c r="S3" s="76">
        <f t="shared" ref="S3:S36" si="0">IFERROR(R3/J3-1,"")</f>
        <v>0.42311627906976734</v>
      </c>
      <c r="T3" s="76">
        <f t="shared" ref="T3:T36" si="1">IFERROR((V3-R3)/V3,"")</f>
        <v>4.0846394984326073E-2</v>
      </c>
      <c r="U3" s="76">
        <f t="shared" ref="U3:U36" si="2">IFERROR(IF(V3="","",V3/J3-1),"")</f>
        <v>0.48372093023255824</v>
      </c>
      <c r="V3" s="89">
        <f>Z3</f>
        <v>3190</v>
      </c>
      <c r="W3" s="79">
        <f>IFERROR(ROUND((VLOOKUP($A3,'Из ГУГЛа'!$B:$AD,W$1,0)+Y3)*X3,),VLOOKUP($A3,'Из ГУГЛа'!$B:$AD,W$1,0))</f>
        <v>3190</v>
      </c>
      <c r="X3" s="51">
        <v>1</v>
      </c>
      <c r="Y3" s="51">
        <v>0</v>
      </c>
      <c r="Z3" s="109">
        <v>3190</v>
      </c>
      <c r="AA3" s="65" t="s">
        <v>245</v>
      </c>
      <c r="AB3" s="79" t="str">
        <f>IFERROR(ROUND((VLOOKUP($A3,'Из ГУГЛа'!$B:$AD,AB$1,0)+AD3)*AC3,),VLOOKUP($A3,'Из ГУГЛа'!$B:$AD,AB$1,0))</f>
        <v/>
      </c>
      <c r="AC3" s="51">
        <v>1</v>
      </c>
      <c r="AD3" s="51">
        <v>0</v>
      </c>
      <c r="AE3" s="85" t="s">
        <v>193</v>
      </c>
      <c r="AG3" s="79" t="str">
        <f>IFERROR(ROUND((VLOOKUP($A3,'Из ГУГЛа'!$B:$AD,AG$1,0)+AI3)*AH3,),VLOOKUP($A3,'Из ГУГЛа'!$B:$AD,AG$1,0))</f>
        <v/>
      </c>
      <c r="AH3" s="51">
        <v>1</v>
      </c>
      <c r="AI3" s="51">
        <v>0</v>
      </c>
      <c r="AJ3" s="41"/>
      <c r="AK3" s="41"/>
      <c r="AL3" s="79" t="str">
        <f>IFERROR(ROUND((VLOOKUP($A3,'Из ГУГЛа'!$B:$AD,AL$1,0)+AN3)*AM3,),VLOOKUP($A3,'Из ГУГЛа'!$B:$AD,AL$1,0))</f>
        <v/>
      </c>
      <c r="AM3" s="51">
        <v>1</v>
      </c>
      <c r="AN3" s="51">
        <v>0</v>
      </c>
      <c r="AO3" s="41"/>
      <c r="AP3" s="41"/>
    </row>
    <row r="4" spans="1:42" ht="31.5" thickTop="1" thickBot="1" x14ac:dyDescent="0.3">
      <c r="A4" s="41">
        <v>201937</v>
      </c>
      <c r="B4" s="41">
        <f>VLOOKUP($A4,'Выгр Кат'!$A:$T,B$1,0)</f>
        <v>27097</v>
      </c>
      <c r="C4" s="75" t="str">
        <f>VLOOKUP($A4,'Выгр Кат'!$A:$T,C$1,0)</f>
        <v>Пружины задней подвески Фобос Стандарт усиленные для Лада Веста</v>
      </c>
      <c r="D4" s="41" t="str">
        <f>VLOOKUP($A4,'Выгр Кат'!$A:$T,D$1,0)</f>
        <v>Y</v>
      </c>
      <c r="E4" s="41" t="str">
        <f>VLOOKUP($A4,'Выгр Кат'!$A:$T,E$1,0)</f>
        <v>0</v>
      </c>
      <c r="F4" s="41" t="str">
        <f>VLOOKUP($A4,'Выгр Кат'!$A:$T,F$1,0)</f>
        <v>35861</v>
      </c>
      <c r="G4" s="36" t="s">
        <v>146</v>
      </c>
      <c r="H4" s="104" t="s">
        <v>8</v>
      </c>
      <c r="I4" s="1" t="s">
        <v>65</v>
      </c>
      <c r="J4" s="63">
        <f>VLOOKUP(H4,Прайс!B:D,3,0)</f>
        <v>2050</v>
      </c>
      <c r="K4" s="61">
        <f>VLOOKUP(J4,Наценка!$A$1:$B$8,2,1)</f>
        <v>1.32</v>
      </c>
      <c r="L4" s="100">
        <f t="shared" ref="L4:L7" si="3">J4*1.2*100/93</f>
        <v>2645.1612903225805</v>
      </c>
      <c r="M4" s="63">
        <f t="shared" ref="M4:M18" si="4">ROUNDUP(L4,-2)-10</f>
        <v>2690</v>
      </c>
      <c r="N4" s="41">
        <f>VLOOKUP($A4,'Выгр Кат'!$A:$T,N$1,0)</f>
        <v>2050</v>
      </c>
      <c r="O4" s="41">
        <f>VLOOKUP($A4,'Выгр Кат'!$A:$T,O$1,0)</f>
        <v>2690</v>
      </c>
      <c r="P4" s="52">
        <f t="shared" ref="P4:P54" si="5">N4-J4</f>
        <v>0</v>
      </c>
      <c r="Q4" s="52">
        <f t="shared" ref="Q4:Q54" si="6">O4-M4</f>
        <v>0</v>
      </c>
      <c r="R4" s="59">
        <f t="shared" ref="R4:R54" si="7">IFERROR(M4*(1-$R$2),"")</f>
        <v>2501.6999999999998</v>
      </c>
      <c r="S4" s="76">
        <f t="shared" si="0"/>
        <v>0.22034146341463412</v>
      </c>
      <c r="T4" s="76">
        <f t="shared" si="1"/>
        <v>-1.2834008097165919E-2</v>
      </c>
      <c r="U4" s="76">
        <f t="shared" si="2"/>
        <v>0.20487804878048776</v>
      </c>
      <c r="V4" s="90">
        <f>AE4</f>
        <v>2470</v>
      </c>
      <c r="W4" s="79" t="str">
        <f>IFERROR(ROUND((VLOOKUP($A4,'Из ГУГЛа'!$B:$AD,W$1,0)+Y4)*X4,),VLOOKUP($A4,'Из ГУГЛа'!$B:$AD,W$1,0))</f>
        <v/>
      </c>
      <c r="X4" s="51">
        <v>1</v>
      </c>
      <c r="Y4" s="51">
        <v>0</v>
      </c>
      <c r="Z4" s="86" t="s">
        <v>193</v>
      </c>
      <c r="AB4" s="79">
        <f>IFERROR(ROUND((VLOOKUP($A4,'Из ГУГЛа'!$B:$AD,AB$1,0)+AD4)*AC4,),VLOOKUP($A4,'Из ГУГЛа'!$B:$AD,AB$1,0))</f>
        <v>2470</v>
      </c>
      <c r="AC4" s="51">
        <v>1</v>
      </c>
      <c r="AD4" s="51">
        <v>0</v>
      </c>
      <c r="AE4" s="85">
        <v>2470</v>
      </c>
      <c r="AF4" s="65" t="s">
        <v>398</v>
      </c>
      <c r="AG4" s="79" t="str">
        <f>IFERROR(ROUND((VLOOKUP($A4,'Из ГУГЛа'!$B:$AD,AG$1,0)+AI4)*AH4,),VLOOKUP($A4,'Из ГУГЛа'!$B:$AD,AG$1,0))</f>
        <v/>
      </c>
      <c r="AH4" s="51">
        <v>1</v>
      </c>
      <c r="AI4" s="51">
        <v>0</v>
      </c>
      <c r="AJ4" s="41"/>
      <c r="AK4" s="41"/>
      <c r="AL4" s="79" t="str">
        <f>IFERROR(ROUND((VLOOKUP($A4,'Из ГУГЛа'!$B:$AD,AL$1,0)+AN4)*AM4,),VLOOKUP($A4,'Из ГУГЛа'!$B:$AD,AL$1,0))</f>
        <v/>
      </c>
      <c r="AM4" s="51">
        <v>1</v>
      </c>
      <c r="AN4" s="51">
        <v>0</v>
      </c>
      <c r="AO4" s="41"/>
      <c r="AP4" s="41"/>
    </row>
    <row r="5" spans="1:42" ht="31.5" thickTop="1" thickBot="1" x14ac:dyDescent="0.3">
      <c r="A5" s="41">
        <v>202028</v>
      </c>
      <c r="B5" s="41">
        <f>VLOOKUP($A5,'Выгр Кат'!$A:$T,B$1,0)</f>
        <v>27100</v>
      </c>
      <c r="C5" s="75" t="str">
        <f>VLOOKUP($A5,'Выгр Кат'!$A:$T,C$1,0)</f>
        <v>Пружины передней подвески Фобос Стандарт для Лада XRAY</v>
      </c>
      <c r="D5" s="41" t="str">
        <f>VLOOKUP($A5,'Выгр Кат'!$A:$T,D$1,0)</f>
        <v>Y</v>
      </c>
      <c r="E5" s="41" t="str">
        <f>VLOOKUP($A5,'Выгр Кат'!$A:$T,E$1,0)</f>
        <v>0</v>
      </c>
      <c r="F5" s="41" t="str">
        <f>VLOOKUP($A5,'Выгр Кат'!$A:$T,F$1,0)</f>
        <v>38167</v>
      </c>
      <c r="G5" s="36" t="s">
        <v>146</v>
      </c>
      <c r="H5" s="104" t="s">
        <v>57</v>
      </c>
      <c r="I5" s="1" t="s">
        <v>65</v>
      </c>
      <c r="J5" s="63">
        <f>VLOOKUP(H5,Прайс!B:D,3,0)</f>
        <v>2450</v>
      </c>
      <c r="K5" s="61">
        <f>VLOOKUP(J5,Наценка!$A$1:$B$8,2,1)</f>
        <v>1.32</v>
      </c>
      <c r="L5" s="100">
        <f t="shared" si="3"/>
        <v>3161.2903225806454</v>
      </c>
      <c r="M5" s="63">
        <f t="shared" si="4"/>
        <v>3190</v>
      </c>
      <c r="N5" s="41">
        <f>VLOOKUP($A5,'Выгр Кат'!$A:$T,N$1,0)</f>
        <v>2450</v>
      </c>
      <c r="O5" s="41">
        <f>VLOOKUP($A5,'Выгр Кат'!$A:$T,O$1,0)</f>
        <v>3190</v>
      </c>
      <c r="P5" s="52">
        <f t="shared" si="5"/>
        <v>0</v>
      </c>
      <c r="Q5" s="52">
        <f t="shared" si="6"/>
        <v>0</v>
      </c>
      <c r="R5" s="59">
        <f t="shared" si="7"/>
        <v>2966.7</v>
      </c>
      <c r="S5" s="76">
        <f t="shared" si="0"/>
        <v>0.21089795918367349</v>
      </c>
      <c r="T5" s="76">
        <f t="shared" si="1"/>
        <v>-8.6703296703296642E-2</v>
      </c>
      <c r="U5" s="76">
        <f t="shared" si="2"/>
        <v>0.11428571428571432</v>
      </c>
      <c r="V5" s="90">
        <f>AE5</f>
        <v>2730</v>
      </c>
      <c r="W5" s="79" t="str">
        <f>IFERROR(ROUND((VLOOKUP($A5,'Из ГУГЛа'!$B:$AD,W$1,0)+Y5)*X5,),VLOOKUP($A5,'Из ГУГЛа'!$B:$AD,W$1,0))</f>
        <v/>
      </c>
      <c r="X5" s="51">
        <v>1</v>
      </c>
      <c r="Y5" s="51">
        <v>0</v>
      </c>
      <c r="Z5" s="86" t="s">
        <v>193</v>
      </c>
      <c r="AB5" s="79">
        <f>IFERROR(ROUND((VLOOKUP($A5,'Из ГУГЛа'!$B:$AD,AB$1,0)+AD5)*AC5,),VLOOKUP($A5,'Из ГУГЛа'!$B:$AD,AB$1,0))</f>
        <v>2730</v>
      </c>
      <c r="AC5" s="51">
        <v>1</v>
      </c>
      <c r="AD5" s="51">
        <v>0</v>
      </c>
      <c r="AE5" s="85">
        <v>2730</v>
      </c>
      <c r="AF5" s="65" t="s">
        <v>397</v>
      </c>
      <c r="AG5" s="79" t="str">
        <f>IFERROR(ROUND((VLOOKUP($A5,'Из ГУГЛа'!$B:$AD,AG$1,0)+AI5)*AH5,),VLOOKUP($A5,'Из ГУГЛа'!$B:$AD,AG$1,0))</f>
        <v/>
      </c>
      <c r="AH5" s="51">
        <v>1</v>
      </c>
      <c r="AI5" s="51">
        <v>0</v>
      </c>
      <c r="AJ5" s="41"/>
      <c r="AK5" s="41"/>
      <c r="AL5" s="79" t="str">
        <f>IFERROR(ROUND((VLOOKUP($A5,'Из ГУГЛа'!$B:$AD,AL$1,0)+AN5)*AM5,),VLOOKUP($A5,'Из ГУГЛа'!$B:$AD,AL$1,0))</f>
        <v/>
      </c>
      <c r="AM5" s="51">
        <v>1</v>
      </c>
      <c r="AN5" s="51">
        <v>0</v>
      </c>
      <c r="AO5" s="41"/>
      <c r="AP5" s="41"/>
    </row>
    <row r="6" spans="1:42" ht="46.5" thickTop="1" thickBot="1" x14ac:dyDescent="0.3">
      <c r="A6" s="41">
        <v>201938</v>
      </c>
      <c r="B6" s="41">
        <f>VLOOKUP($A6,'Выгр Кат'!$A:$T,B$1,0)</f>
        <v>27101</v>
      </c>
      <c r="C6" s="75" t="str">
        <f>VLOOKUP($A6,'Выгр Кат'!$A:$T,C$1,0)</f>
        <v>Пружины задней подвески Фобос Стандарт усиленные для Лада Веста Cross</v>
      </c>
      <c r="D6" s="41" t="str">
        <f>VLOOKUP($A6,'Выгр Кат'!$A:$T,D$1,0)</f>
        <v>Y</v>
      </c>
      <c r="E6" s="41" t="str">
        <f>VLOOKUP($A6,'Выгр Кат'!$A:$T,E$1,0)</f>
        <v>0</v>
      </c>
      <c r="F6" s="41" t="str">
        <f>VLOOKUP($A6,'Выгр Кат'!$A:$T,F$1,0)</f>
        <v>84510</v>
      </c>
      <c r="G6" s="36" t="s">
        <v>146</v>
      </c>
      <c r="H6" s="105" t="s">
        <v>56</v>
      </c>
      <c r="I6" s="1" t="s">
        <v>65</v>
      </c>
      <c r="J6" s="63">
        <f>VLOOKUP(H6,Прайс!B:D,3,0)</f>
        <v>2500</v>
      </c>
      <c r="K6" s="61">
        <f>VLOOKUP(J6,Наценка!$A$1:$B$8,2,1)</f>
        <v>1.32</v>
      </c>
      <c r="L6" s="100">
        <f t="shared" si="3"/>
        <v>3225.8064516129034</v>
      </c>
      <c r="M6" s="63">
        <f t="shared" si="4"/>
        <v>3290</v>
      </c>
      <c r="N6" s="41">
        <f>VLOOKUP($A6,'Выгр Кат'!$A:$T,N$1,0)</f>
        <v>2500</v>
      </c>
      <c r="O6" s="41">
        <f>VLOOKUP($A6,'Выгр Кат'!$A:$T,O$1,0)</f>
        <v>3290</v>
      </c>
      <c r="P6" s="52">
        <f t="shared" si="5"/>
        <v>0</v>
      </c>
      <c r="Q6" s="52">
        <f t="shared" si="6"/>
        <v>0</v>
      </c>
      <c r="R6" s="59">
        <f t="shared" si="7"/>
        <v>3059.7</v>
      </c>
      <c r="S6" s="76">
        <f t="shared" si="0"/>
        <v>0.22387999999999986</v>
      </c>
      <c r="T6" s="76">
        <f t="shared" si="1"/>
        <v>-9.4704830053667199E-2</v>
      </c>
      <c r="U6" s="76">
        <f t="shared" si="2"/>
        <v>0.1180000000000001</v>
      </c>
      <c r="V6" s="90">
        <f>AE6</f>
        <v>2795</v>
      </c>
      <c r="W6" s="79" t="str">
        <f>IFERROR(ROUND((VLOOKUP($A6,'Из ГУГЛа'!$B:$AD,W$1,0)+Y6)*X6,),VLOOKUP($A6,'Из ГУГЛа'!$B:$AD,W$1,0))</f>
        <v/>
      </c>
      <c r="X6" s="51">
        <v>1</v>
      </c>
      <c r="Y6" s="51">
        <v>0</v>
      </c>
      <c r="Z6" s="86" t="s">
        <v>193</v>
      </c>
      <c r="AB6" s="79">
        <f>IFERROR(ROUND((VLOOKUP($A6,'Из ГУГЛа'!$B:$AD,AB$1,0)+AD6)*AC6,),VLOOKUP($A6,'Из ГУГЛа'!$B:$AD,AB$1,0))</f>
        <v>2795</v>
      </c>
      <c r="AC6" s="51">
        <v>1</v>
      </c>
      <c r="AD6" s="51">
        <v>0</v>
      </c>
      <c r="AE6" s="85">
        <v>2795</v>
      </c>
      <c r="AF6" s="65" t="s">
        <v>401</v>
      </c>
      <c r="AG6" s="79" t="str">
        <f>IFERROR(ROUND((VLOOKUP($A6,'Из ГУГЛа'!$B:$AD,AG$1,0)+AI6)*AH6,),VLOOKUP($A6,'Из ГУГЛа'!$B:$AD,AG$1,0))</f>
        <v/>
      </c>
      <c r="AH6" s="51">
        <v>1</v>
      </c>
      <c r="AI6" s="51">
        <v>0</v>
      </c>
      <c r="AJ6" s="41"/>
      <c r="AK6" s="41"/>
      <c r="AL6" s="79" t="str">
        <f>IFERROR(ROUND((VLOOKUP($A6,'Из ГУГЛа'!$B:$AD,AL$1,0)+AN6)*AM6,),VLOOKUP($A6,'Из ГУГЛа'!$B:$AD,AL$1,0))</f>
        <v/>
      </c>
      <c r="AM6" s="51">
        <v>1</v>
      </c>
      <c r="AN6" s="51">
        <v>0</v>
      </c>
      <c r="AO6" s="41"/>
      <c r="AP6" s="41"/>
    </row>
    <row r="7" spans="1:42" ht="31.5" thickTop="1" thickBot="1" x14ac:dyDescent="0.3">
      <c r="A7" s="41">
        <v>201873</v>
      </c>
      <c r="B7" s="41">
        <f>VLOOKUP($A7,'Выгр Кат'!$A:$T,B$1,0)</f>
        <v>3396</v>
      </c>
      <c r="C7" s="75" t="str">
        <f>VLOOKUP($A7,'Выгр Кат'!$A:$T,C$1,0)</f>
        <v>дубль Пружины Фобос Стандартные Гранта, передние без занижения</v>
      </c>
      <c r="D7" s="41" t="str">
        <f>VLOOKUP($A7,'Выгр Кат'!$A:$T,D$1,0)</f>
        <v>N</v>
      </c>
      <c r="E7" s="41" t="str">
        <f>VLOOKUP($A7,'Выгр Кат'!$A:$T,E$1,0)</f>
        <v>0</v>
      </c>
      <c r="F7" s="41" t="str">
        <f>VLOOKUP($A7,'Выгр Кат'!$A:$T,F$1,0)</f>
        <v>40500</v>
      </c>
      <c r="G7" s="36" t="s">
        <v>146</v>
      </c>
      <c r="H7" s="105" t="s">
        <v>19</v>
      </c>
      <c r="I7" s="1" t="s">
        <v>65</v>
      </c>
      <c r="J7" s="63">
        <f>VLOOKUP(H7,Прайс!B:D,3,0)</f>
        <v>2500</v>
      </c>
      <c r="K7" s="61">
        <f>VLOOKUP(J7,Наценка!$A$1:$B$8,2,1)</f>
        <v>1.32</v>
      </c>
      <c r="L7" s="100">
        <f t="shared" si="3"/>
        <v>3225.8064516129034</v>
      </c>
      <c r="M7" s="63">
        <f t="shared" si="4"/>
        <v>3290</v>
      </c>
      <c r="N7" s="41">
        <f>VLOOKUP($A7,'Выгр Кат'!$A:$T,N$1,0)</f>
        <v>2500</v>
      </c>
      <c r="O7" s="41">
        <f>VLOOKUP($A7,'Выгр Кат'!$A:$T,O$1,0)</f>
        <v>3290</v>
      </c>
      <c r="P7" s="52">
        <f t="shared" si="5"/>
        <v>0</v>
      </c>
      <c r="Q7" s="52">
        <f t="shared" si="6"/>
        <v>0</v>
      </c>
      <c r="R7" s="59">
        <f t="shared" si="7"/>
        <v>3059.7</v>
      </c>
      <c r="S7" s="76">
        <f t="shared" si="0"/>
        <v>0.22387999999999986</v>
      </c>
      <c r="T7" s="76">
        <f t="shared" si="1"/>
        <v>-5.8719723183390943E-2</v>
      </c>
      <c r="U7" s="76">
        <f t="shared" si="2"/>
        <v>0.15599999999999992</v>
      </c>
      <c r="V7" s="89">
        <f>Z7</f>
        <v>2890</v>
      </c>
      <c r="W7" s="79">
        <f>IFERROR(ROUND((VLOOKUP($A7,'Из ГУГЛа'!$B:$AD,W$1,0)+Y7)*X7,),VLOOKUP($A7,'Из ГУГЛа'!$B:$AD,W$1,0))</f>
        <v>2890</v>
      </c>
      <c r="X7" s="51">
        <v>1</v>
      </c>
      <c r="Y7" s="51">
        <v>0</v>
      </c>
      <c r="Z7" s="109">
        <v>2890</v>
      </c>
      <c r="AA7" s="65" t="s">
        <v>246</v>
      </c>
      <c r="AB7" s="79" t="str">
        <f>IFERROR(ROUND((VLOOKUP($A7,'Из ГУГЛа'!$B:$AD,AB$1,0)+AD7)*AC7,),VLOOKUP($A7,'Из ГУГЛа'!$B:$AD,AB$1,0))</f>
        <v/>
      </c>
      <c r="AC7" s="51">
        <v>1</v>
      </c>
      <c r="AD7" s="51">
        <v>0</v>
      </c>
      <c r="AE7" s="41"/>
      <c r="AG7" s="79" t="str">
        <f>IFERROR(ROUND((VLOOKUP($A7,'Из ГУГЛа'!$B:$AD,AG$1,0)+AI7)*AH7,),VLOOKUP($A7,'Из ГУГЛа'!$B:$AD,AG$1,0))</f>
        <v/>
      </c>
      <c r="AH7" s="51">
        <v>1</v>
      </c>
      <c r="AI7" s="51">
        <v>0</v>
      </c>
      <c r="AJ7" s="41"/>
      <c r="AK7" s="41"/>
      <c r="AL7" s="79" t="str">
        <f>IFERROR(ROUND((VLOOKUP($A7,'Из ГУГЛа'!$B:$AD,AL$1,0)+AN7)*AM7,),VLOOKUP($A7,'Из ГУГЛа'!$B:$AD,AL$1,0))</f>
        <v/>
      </c>
      <c r="AM7" s="51">
        <v>1</v>
      </c>
      <c r="AN7" s="51">
        <v>0</v>
      </c>
      <c r="AO7" s="41"/>
      <c r="AP7" s="41"/>
    </row>
    <row r="8" spans="1:42" ht="46.5" thickTop="1" thickBot="1" x14ac:dyDescent="0.3">
      <c r="A8" s="41">
        <v>201871</v>
      </c>
      <c r="B8" s="41">
        <f>VLOOKUP($A8,'Выгр Кат'!$A:$T,B$1,0)</f>
        <v>3383</v>
      </c>
      <c r="C8" s="75" t="str">
        <f>VLOOKUP($A8,'Выгр Кат'!$A:$T,C$1,0)</f>
        <v>Пружины передние Фобос стандарт без занижения для Лада Калина, Калина 2, Приора, Гранта</v>
      </c>
      <c r="D8" s="41" t="str">
        <f>VLOOKUP($A8,'Выгр Кат'!$A:$T,D$1,0)</f>
        <v>Y</v>
      </c>
      <c r="E8" s="41" t="str">
        <f>VLOOKUP($A8,'Выгр Кат'!$A:$T,E$1,0)</f>
        <v>1ск4</v>
      </c>
      <c r="F8" s="41" t="str">
        <f>VLOOKUP($A8,'Выгр Кат'!$A:$T,F$1,0)</f>
        <v>40500</v>
      </c>
      <c r="G8" s="36" t="s">
        <v>146</v>
      </c>
      <c r="H8" s="105" t="s">
        <v>19</v>
      </c>
      <c r="I8" s="1" t="s">
        <v>65</v>
      </c>
      <c r="J8" s="63">
        <f>VLOOKUP(H8,Прайс!B:D,3,0)</f>
        <v>2500</v>
      </c>
      <c r="K8" s="61">
        <f>VLOOKUP(J8,Наценка!$A$1:$B$8,2,1)</f>
        <v>1.32</v>
      </c>
      <c r="L8" s="95">
        <f t="shared" ref="L8:L9" si="8">V8*1.02</f>
        <v>3355.8</v>
      </c>
      <c r="M8" s="63">
        <f t="shared" si="4"/>
        <v>3390</v>
      </c>
      <c r="N8" s="41">
        <f>VLOOKUP($A8,'Выгр Кат'!$A:$T,N$1,0)</f>
        <v>2500</v>
      </c>
      <c r="O8" s="41">
        <f>VLOOKUP($A8,'Выгр Кат'!$A:$T,O$1,0)</f>
        <v>3390</v>
      </c>
      <c r="P8" s="52">
        <f t="shared" si="5"/>
        <v>0</v>
      </c>
      <c r="Q8" s="52">
        <f t="shared" si="6"/>
        <v>0</v>
      </c>
      <c r="R8" s="59">
        <f t="shared" si="7"/>
        <v>3152.7</v>
      </c>
      <c r="S8" s="76">
        <f t="shared" si="0"/>
        <v>0.26107999999999998</v>
      </c>
      <c r="T8" s="76">
        <f t="shared" si="1"/>
        <v>4.1732522796352638E-2</v>
      </c>
      <c r="U8" s="76">
        <f t="shared" si="2"/>
        <v>0.31600000000000006</v>
      </c>
      <c r="V8" s="89">
        <f>Z8</f>
        <v>3290</v>
      </c>
      <c r="W8" s="79">
        <f>IFERROR(ROUND((VLOOKUP($A8,'Из ГУГЛа'!$B:$AD,W$1,0)+Y8)*X8,),VLOOKUP($A8,'Из ГУГЛа'!$B:$AD,W$1,0))</f>
        <v>3290</v>
      </c>
      <c r="X8" s="51">
        <v>1</v>
      </c>
      <c r="Y8" s="51">
        <v>0</v>
      </c>
      <c r="Z8" s="109">
        <v>3290</v>
      </c>
      <c r="AA8" s="65" t="s">
        <v>247</v>
      </c>
      <c r="AB8" s="79" t="str">
        <f>IFERROR(ROUND((VLOOKUP($A8,'Из ГУГЛа'!$B:$AD,AB$1,0)+AD8)*AC8,),VLOOKUP($A8,'Из ГУГЛа'!$B:$AD,AB$1,0))</f>
        <v/>
      </c>
      <c r="AC8" s="51">
        <v>1</v>
      </c>
      <c r="AD8" s="51">
        <v>0</v>
      </c>
      <c r="AE8" s="41"/>
      <c r="AG8" s="79" t="str">
        <f>IFERROR(ROUND((VLOOKUP($A8,'Из ГУГЛа'!$B:$AD,AG$1,0)+AI8)*AH8,),VLOOKUP($A8,'Из ГУГЛа'!$B:$AD,AG$1,0))</f>
        <v/>
      </c>
      <c r="AH8" s="51">
        <v>1</v>
      </c>
      <c r="AI8" s="51">
        <v>0</v>
      </c>
      <c r="AJ8" s="41"/>
      <c r="AK8" s="41"/>
      <c r="AL8" s="79" t="str">
        <f>IFERROR(ROUND((VLOOKUP($A8,'Из ГУГЛа'!$B:$AD,AL$1,0)+AN8)*AM8,),VLOOKUP($A8,'Из ГУГЛа'!$B:$AD,AL$1,0))</f>
        <v/>
      </c>
      <c r="AM8" s="51">
        <v>1</v>
      </c>
      <c r="AN8" s="51">
        <v>0</v>
      </c>
      <c r="AO8" s="41"/>
      <c r="AP8" s="41"/>
    </row>
    <row r="9" spans="1:42" ht="46.5" thickTop="1" thickBot="1" x14ac:dyDescent="0.3">
      <c r="A9" s="41">
        <v>201858</v>
      </c>
      <c r="B9" s="41">
        <f>VLOOKUP($A9,'Выгр Кат'!$A:$T,B$1,0)</f>
        <v>19084</v>
      </c>
      <c r="C9" s="75" t="str">
        <f>VLOOKUP($A9,'Выгр Кат'!$A:$T,C$1,0)</f>
        <v>Пружины передней подвески Фобос переменный шаг для ВАЗ 2108-21099, 2110-2112, 2113-2115</v>
      </c>
      <c r="D9" s="41" t="str">
        <f>VLOOKUP($A9,'Выгр Кат'!$A:$T,D$1,0)</f>
        <v>Y</v>
      </c>
      <c r="E9" s="41" t="str">
        <f>VLOOKUP($A9,'Выгр Кат'!$A:$T,E$1,0)</f>
        <v>0</v>
      </c>
      <c r="F9" s="41" t="str">
        <f>VLOOKUP($A9,'Выгр Кат'!$A:$T,F$1,0)</f>
        <v>25667</v>
      </c>
      <c r="G9" s="36" t="s">
        <v>146</v>
      </c>
      <c r="H9" s="105" t="s">
        <v>27</v>
      </c>
      <c r="I9" s="1" t="s">
        <v>65</v>
      </c>
      <c r="J9" s="63">
        <f>VLOOKUP(H9,Прайс!B:D,3,0)</f>
        <v>2300</v>
      </c>
      <c r="K9" s="61">
        <f>VLOOKUP(J9,Наценка!$A$1:$B$8,2,1)</f>
        <v>1.32</v>
      </c>
      <c r="L9" s="95">
        <f t="shared" si="8"/>
        <v>2947.8</v>
      </c>
      <c r="M9" s="63">
        <f t="shared" si="4"/>
        <v>2990</v>
      </c>
      <c r="N9" s="41">
        <f>VLOOKUP($A9,'Выгр Кат'!$A:$T,N$1,0)</f>
        <v>2300</v>
      </c>
      <c r="O9" s="41">
        <f>VLOOKUP($A9,'Выгр Кат'!$A:$T,O$1,0)</f>
        <v>2990</v>
      </c>
      <c r="P9" s="52">
        <f t="shared" si="5"/>
        <v>0</v>
      </c>
      <c r="Q9" s="52">
        <f t="shared" si="6"/>
        <v>0</v>
      </c>
      <c r="R9" s="59">
        <f t="shared" si="7"/>
        <v>2780.7</v>
      </c>
      <c r="S9" s="76">
        <f t="shared" si="0"/>
        <v>0.20899999999999985</v>
      </c>
      <c r="T9" s="76">
        <f t="shared" si="1"/>
        <v>3.7820069204152311E-2</v>
      </c>
      <c r="U9" s="76">
        <f t="shared" si="2"/>
        <v>0.25652173913043486</v>
      </c>
      <c r="V9" s="89">
        <f>Z9</f>
        <v>2890</v>
      </c>
      <c r="W9" s="79">
        <f>IFERROR(ROUND((VLOOKUP($A9,'Из ГУГЛа'!$B:$AD,W$1,0)+Y9)*X9,),VLOOKUP($A9,'Из ГУГЛа'!$B:$AD,W$1,0))</f>
        <v>2890</v>
      </c>
      <c r="X9" s="51">
        <v>1</v>
      </c>
      <c r="Y9" s="51">
        <v>0</v>
      </c>
      <c r="Z9" s="109">
        <v>2890</v>
      </c>
      <c r="AA9" s="65" t="s">
        <v>248</v>
      </c>
      <c r="AB9" s="79" t="str">
        <f>IFERROR(ROUND((VLOOKUP($A9,'Из ГУГЛа'!$B:$AD,AB$1,0)+AD9)*AC9,),VLOOKUP($A9,'Из ГУГЛа'!$B:$AD,AB$1,0))</f>
        <v/>
      </c>
      <c r="AC9" s="51">
        <v>1</v>
      </c>
      <c r="AD9" s="51">
        <v>0</v>
      </c>
      <c r="AE9" s="41"/>
      <c r="AG9" s="79" t="str">
        <f>IFERROR(ROUND((VLOOKUP($A9,'Из ГУГЛа'!$B:$AD,AG$1,0)+AI9)*AH9,),VLOOKUP($A9,'Из ГУГЛа'!$B:$AD,AG$1,0))</f>
        <v/>
      </c>
      <c r="AH9" s="51">
        <v>1</v>
      </c>
      <c r="AI9" s="51">
        <v>0</v>
      </c>
      <c r="AJ9" s="41"/>
      <c r="AK9" s="41"/>
      <c r="AL9" s="79" t="str">
        <f>IFERROR(ROUND((VLOOKUP($A9,'Из ГУГЛа'!$B:$AD,AL$1,0)+AN9)*AM9,),VLOOKUP($A9,'Из ГУГЛа'!$B:$AD,AL$1,0))</f>
        <v/>
      </c>
      <c r="AM9" s="51">
        <v>1</v>
      </c>
      <c r="AN9" s="51">
        <v>0</v>
      </c>
      <c r="AO9" s="41"/>
      <c r="AP9" s="41"/>
    </row>
    <row r="10" spans="1:42" ht="46.5" thickTop="1" thickBot="1" x14ac:dyDescent="0.3">
      <c r="A10" s="41">
        <v>201874</v>
      </c>
      <c r="B10" s="41">
        <f>VLOOKUP($A10,'Выгр Кат'!$A:$T,B$1,0)</f>
        <v>19469</v>
      </c>
      <c r="C10" s="75" t="str">
        <f>VLOOKUP($A10,'Выгр Кат'!$A:$T,C$1,0)</f>
        <v>Пружины задней подвески Фобос с переменным шагом для ВАЗ 2110-2112</v>
      </c>
      <c r="D10" s="41" t="str">
        <f>VLOOKUP($A10,'Выгр Кат'!$A:$T,D$1,0)</f>
        <v>Y</v>
      </c>
      <c r="E10" s="41" t="str">
        <f>VLOOKUP($A10,'Выгр Кат'!$A:$T,E$1,0)</f>
        <v>0</v>
      </c>
      <c r="F10" s="41" t="str">
        <f>VLOOKUP($A10,'Выгр Кат'!$A:$T,F$1,0)</f>
        <v>78564</v>
      </c>
      <c r="G10" s="36" t="s">
        <v>146</v>
      </c>
      <c r="H10" s="105" t="s">
        <v>23</v>
      </c>
      <c r="I10" s="1" t="s">
        <v>65</v>
      </c>
      <c r="J10" s="63">
        <f>VLOOKUP(H10,Прайс!B:D,3,0)</f>
        <v>2200</v>
      </c>
      <c r="K10" s="61">
        <f>VLOOKUP(J10,Наценка!$A$1:$B$8,2,1)</f>
        <v>1.32</v>
      </c>
      <c r="L10" s="100">
        <f>J10*1.2*100/93</f>
        <v>2838.7096774193546</v>
      </c>
      <c r="M10" s="63">
        <f t="shared" si="4"/>
        <v>2890</v>
      </c>
      <c r="N10" s="41">
        <f>VLOOKUP($A10,'Выгр Кат'!$A:$T,N$1,0)</f>
        <v>2200</v>
      </c>
      <c r="O10" s="41">
        <f>VLOOKUP($A10,'Выгр Кат'!$A:$T,O$1,0)</f>
        <v>2890</v>
      </c>
      <c r="P10" s="52">
        <f t="shared" si="5"/>
        <v>0</v>
      </c>
      <c r="Q10" s="52">
        <f t="shared" si="6"/>
        <v>0</v>
      </c>
      <c r="R10" s="59">
        <f t="shared" si="7"/>
        <v>2687.7</v>
      </c>
      <c r="S10" s="76">
        <f t="shared" si="0"/>
        <v>0.22168181818181809</v>
      </c>
      <c r="T10" s="76">
        <f t="shared" si="1"/>
        <v>8.5501858736066242E-4</v>
      </c>
      <c r="U10" s="76">
        <f t="shared" si="2"/>
        <v>0.22272727272727266</v>
      </c>
      <c r="V10" s="89">
        <f>Z10</f>
        <v>2690</v>
      </c>
      <c r="W10" s="79">
        <f>IFERROR(ROUND((VLOOKUP($A10,'Из ГУГЛа'!$B:$AD,W$1,0)+Y10)*X10,),VLOOKUP($A10,'Из ГУГЛа'!$B:$AD,W$1,0))</f>
        <v>2690</v>
      </c>
      <c r="X10" s="51">
        <v>1</v>
      </c>
      <c r="Y10" s="51">
        <v>0</v>
      </c>
      <c r="Z10" s="86">
        <v>2690</v>
      </c>
      <c r="AA10" s="65" t="s">
        <v>309</v>
      </c>
      <c r="AB10" s="79" t="str">
        <f>IFERROR(ROUND((VLOOKUP($A10,'Из ГУГЛа'!$B:$AD,AB$1,0)+AD10)*AC10,),VLOOKUP($A10,'Из ГУГЛа'!$B:$AD,AB$1,0))</f>
        <v/>
      </c>
      <c r="AC10" s="51">
        <v>1</v>
      </c>
      <c r="AD10" s="51">
        <v>0</v>
      </c>
      <c r="AE10" s="41"/>
      <c r="AG10" s="79" t="str">
        <f>IFERROR(ROUND((VLOOKUP($A10,'Из ГУГЛа'!$B:$AD,AG$1,0)+AI10)*AH10,),VLOOKUP($A10,'Из ГУГЛа'!$B:$AD,AG$1,0))</f>
        <v/>
      </c>
      <c r="AH10" s="51">
        <v>1</v>
      </c>
      <c r="AI10" s="51">
        <v>0</v>
      </c>
      <c r="AJ10" s="41"/>
      <c r="AK10" s="41"/>
      <c r="AL10" s="79" t="str">
        <f>IFERROR(ROUND((VLOOKUP($A10,'Из ГУГЛа'!$B:$AD,AL$1,0)+AN10)*AM10,),VLOOKUP($A10,'Из ГУГЛа'!$B:$AD,AL$1,0))</f>
        <v/>
      </c>
      <c r="AM10" s="51">
        <v>1</v>
      </c>
      <c r="AN10" s="51">
        <v>0</v>
      </c>
      <c r="AO10" s="41"/>
      <c r="AP10" s="41"/>
    </row>
    <row r="11" spans="1:42" ht="31.5" thickTop="1" thickBot="1" x14ac:dyDescent="0.3">
      <c r="A11" s="41">
        <v>201870</v>
      </c>
      <c r="B11" s="41">
        <f>VLOOKUP($A11,'Выгр Кат'!$A:$T,B$1,0)</f>
        <v>3360</v>
      </c>
      <c r="C11" s="75" t="str">
        <f>VLOOKUP($A11,'Выгр Кат'!$A:$T,C$1,0)</f>
        <v>дубль Пружины Фобос стандарт Калина, передние без занижения</v>
      </c>
      <c r="D11" s="41" t="str">
        <f>VLOOKUP($A11,'Выгр Кат'!$A:$T,D$1,0)</f>
        <v>N</v>
      </c>
      <c r="E11" s="41" t="str">
        <f>VLOOKUP($A11,'Выгр Кат'!$A:$T,E$1,0)</f>
        <v>0</v>
      </c>
      <c r="F11" s="41" t="str">
        <f>VLOOKUP($A11,'Выгр Кат'!$A:$T,F$1,0)</f>
        <v>40500</v>
      </c>
      <c r="G11" s="36" t="s">
        <v>146</v>
      </c>
      <c r="H11" s="105" t="s">
        <v>19</v>
      </c>
      <c r="I11" s="1" t="s">
        <v>65</v>
      </c>
      <c r="J11" s="63">
        <f>VLOOKUP(H11,Прайс!B:D,3,0)</f>
        <v>2500</v>
      </c>
      <c r="K11" s="61">
        <f>VLOOKUP(J11,Наценка!$A$1:$B$8,2,1)</f>
        <v>1.32</v>
      </c>
      <c r="L11" s="64">
        <f>J11*K11</f>
        <v>3300</v>
      </c>
      <c r="M11" s="63">
        <f t="shared" si="4"/>
        <v>3290</v>
      </c>
      <c r="N11" s="41">
        <f>VLOOKUP($A11,'Выгр Кат'!$A:$T,N$1,0)</f>
        <v>2500</v>
      </c>
      <c r="O11" s="41">
        <f>VLOOKUP($A11,'Выгр Кат'!$A:$T,O$1,0)</f>
        <v>3290</v>
      </c>
      <c r="P11" s="52">
        <f t="shared" si="5"/>
        <v>0</v>
      </c>
      <c r="Q11" s="52">
        <f t="shared" si="6"/>
        <v>0</v>
      </c>
      <c r="R11" s="59">
        <f t="shared" si="7"/>
        <v>3059.7</v>
      </c>
      <c r="S11" s="76">
        <f t="shared" si="0"/>
        <v>0.22387999999999986</v>
      </c>
      <c r="T11" s="76" t="str">
        <f t="shared" si="1"/>
        <v/>
      </c>
      <c r="U11" s="76" t="str">
        <f t="shared" si="2"/>
        <v/>
      </c>
      <c r="V11" s="108"/>
      <c r="W11" s="79" t="str">
        <f>IFERROR(ROUND((VLOOKUP($A11,'Из ГУГЛа'!$B:$AD,W$1,0)+Y11)*X11,),VLOOKUP($A11,'Из ГУГЛа'!$B:$AD,W$1,0))</f>
        <v/>
      </c>
      <c r="X11" s="51">
        <v>1</v>
      </c>
      <c r="Y11" s="51">
        <v>0</v>
      </c>
      <c r="Z11" s="86" t="s">
        <v>193</v>
      </c>
      <c r="AB11" s="79" t="str">
        <f>IFERROR(ROUND((VLOOKUP($A11,'Из ГУГЛа'!$B:$AD,AB$1,0)+AD11)*AC11,),VLOOKUP($A11,'Из ГУГЛа'!$B:$AD,AB$1,0))</f>
        <v/>
      </c>
      <c r="AC11" s="51">
        <v>1</v>
      </c>
      <c r="AD11" s="51">
        <v>0</v>
      </c>
      <c r="AE11" s="41"/>
      <c r="AG11" s="79" t="str">
        <f>IFERROR(ROUND((VLOOKUP($A11,'Из ГУГЛа'!$B:$AD,AG$1,0)+AI11)*AH11,),VLOOKUP($A11,'Из ГУГЛа'!$B:$AD,AG$1,0))</f>
        <v/>
      </c>
      <c r="AH11" s="51">
        <v>1</v>
      </c>
      <c r="AI11" s="51">
        <v>0</v>
      </c>
      <c r="AJ11" s="41"/>
      <c r="AK11" s="41"/>
      <c r="AL11" s="79" t="str">
        <f>IFERROR(ROUND((VLOOKUP($A11,'Из ГУГЛа'!$B:$AD,AL$1,0)+AN11)*AM11,),VLOOKUP($A11,'Из ГУГЛа'!$B:$AD,AL$1,0))</f>
        <v/>
      </c>
      <c r="AM11" s="51">
        <v>1</v>
      </c>
      <c r="AN11" s="51">
        <v>0</v>
      </c>
      <c r="AO11" s="41"/>
      <c r="AP11" s="41"/>
    </row>
    <row r="12" spans="1:42" ht="46.5" thickTop="1" thickBot="1" x14ac:dyDescent="0.3">
      <c r="A12" s="41">
        <v>201869</v>
      </c>
      <c r="B12" s="41">
        <f>VLOOKUP($A12,'Выгр Кат'!$A:$T,B$1,0)</f>
        <v>3384</v>
      </c>
      <c r="C12" s="75" t="str">
        <f>VLOOKUP($A12,'Выгр Кат'!$A:$T,C$1,0)</f>
        <v>Пружины задней подвески Фобос стандарт для ВАЗ 2110-2112, Лада Калина, Приора, Гранта</v>
      </c>
      <c r="D12" s="41" t="str">
        <f>VLOOKUP($A12,'Выгр Кат'!$A:$T,D$1,0)</f>
        <v>Y</v>
      </c>
      <c r="E12" s="41" t="str">
        <f>VLOOKUP($A12,'Выгр Кат'!$A:$T,E$1,0)</f>
        <v>0</v>
      </c>
      <c r="F12" s="41" t="str">
        <f>VLOOKUP($A12,'Выгр Кат'!$A:$T,F$1,0)</f>
        <v>78564</v>
      </c>
      <c r="G12" s="36" t="s">
        <v>146</v>
      </c>
      <c r="H12" s="105" t="s">
        <v>23</v>
      </c>
      <c r="I12" s="1" t="s">
        <v>65</v>
      </c>
      <c r="J12" s="63">
        <f>VLOOKUP(H12,Прайс!B:D,3,0)</f>
        <v>2200</v>
      </c>
      <c r="K12" s="61">
        <f>VLOOKUP(J12,Наценка!$A$1:$B$8,2,1)</f>
        <v>1.32</v>
      </c>
      <c r="L12" s="95">
        <f>V12*1.02</f>
        <v>2947.8</v>
      </c>
      <c r="M12" s="63">
        <f t="shared" si="4"/>
        <v>2990</v>
      </c>
      <c r="N12" s="41">
        <f>VLOOKUP($A12,'Выгр Кат'!$A:$T,N$1,0)</f>
        <v>2200</v>
      </c>
      <c r="O12" s="41">
        <f>VLOOKUP($A12,'Выгр Кат'!$A:$T,O$1,0)</f>
        <v>2990</v>
      </c>
      <c r="P12" s="52">
        <f t="shared" si="5"/>
        <v>0</v>
      </c>
      <c r="Q12" s="52">
        <f t="shared" si="6"/>
        <v>0</v>
      </c>
      <c r="R12" s="59">
        <f t="shared" si="7"/>
        <v>2780.7</v>
      </c>
      <c r="S12" s="76">
        <f t="shared" si="0"/>
        <v>0.26395454545454533</v>
      </c>
      <c r="T12" s="76">
        <f t="shared" si="1"/>
        <v>3.7820069204152311E-2</v>
      </c>
      <c r="U12" s="76">
        <f t="shared" si="2"/>
        <v>0.31363636363636371</v>
      </c>
      <c r="V12" s="89">
        <f>Z12</f>
        <v>2890</v>
      </c>
      <c r="W12" s="79">
        <f>IFERROR(ROUND((VLOOKUP($A12,'Из ГУГЛа'!$B:$AD,W$1,0)+Y12)*X12,),VLOOKUP($A12,'Из ГУГЛа'!$B:$AD,W$1,0))</f>
        <v>2890</v>
      </c>
      <c r="X12" s="51">
        <v>1</v>
      </c>
      <c r="Y12" s="51">
        <v>0</v>
      </c>
      <c r="Z12" s="86">
        <v>2890</v>
      </c>
      <c r="AA12" s="65" t="s">
        <v>310</v>
      </c>
      <c r="AB12" s="79" t="str">
        <f>IFERROR(ROUND((VLOOKUP($A12,'Из ГУГЛа'!$B:$AD,AB$1,0)+AD12)*AC12,),VLOOKUP($A12,'Из ГУГЛа'!$B:$AD,AB$1,0))</f>
        <v/>
      </c>
      <c r="AC12" s="51">
        <v>1</v>
      </c>
      <c r="AD12" s="51">
        <v>0</v>
      </c>
      <c r="AE12" s="41"/>
      <c r="AG12" s="79" t="str">
        <f>IFERROR(ROUND((VLOOKUP($A12,'Из ГУГЛа'!$B:$AD,AG$1,0)+AI12)*AH12,),VLOOKUP($A12,'Из ГУГЛа'!$B:$AD,AG$1,0))</f>
        <v/>
      </c>
      <c r="AH12" s="51">
        <v>1</v>
      </c>
      <c r="AI12" s="51">
        <v>0</v>
      </c>
      <c r="AJ12" s="41"/>
      <c r="AK12" s="41"/>
      <c r="AL12" s="79" t="str">
        <f>IFERROR(ROUND((VLOOKUP($A12,'Из ГУГЛа'!$B:$AD,AL$1,0)+AN12)*AM12,),VLOOKUP($A12,'Из ГУГЛа'!$B:$AD,AL$1,0))</f>
        <v/>
      </c>
      <c r="AM12" s="51">
        <v>1</v>
      </c>
      <c r="AN12" s="51">
        <v>0</v>
      </c>
      <c r="AO12" s="41"/>
      <c r="AP12" s="41"/>
    </row>
    <row r="13" spans="1:42" ht="31.5" thickTop="1" thickBot="1" x14ac:dyDescent="0.3">
      <c r="A13" s="41">
        <v>201872</v>
      </c>
      <c r="B13" s="41">
        <f>VLOOKUP($A13,'Выгр Кат'!$A:$T,B$1,0)</f>
        <v>3397</v>
      </c>
      <c r="C13" s="75" t="str">
        <f>VLOOKUP($A13,'Выгр Кат'!$A:$T,C$1,0)</f>
        <v>Пружины задней подвески Фобос Стандарт для Лада Гранта</v>
      </c>
      <c r="D13" s="41" t="str">
        <f>VLOOKUP($A13,'Выгр Кат'!$A:$T,D$1,0)</f>
        <v>Y</v>
      </c>
      <c r="E13" s="41" t="str">
        <f>VLOOKUP($A13,'Выгр Кат'!$A:$T,E$1,0)</f>
        <v>0</v>
      </c>
      <c r="F13" s="41" t="str">
        <f>VLOOKUP($A13,'Выгр Кат'!$A:$T,F$1,0)</f>
        <v>78564</v>
      </c>
      <c r="G13" s="36" t="s">
        <v>146</v>
      </c>
      <c r="H13" s="105" t="s">
        <v>23</v>
      </c>
      <c r="I13" s="1" t="s">
        <v>65</v>
      </c>
      <c r="J13" s="63">
        <f>VLOOKUP(H13,Прайс!B:D,3,0)</f>
        <v>2200</v>
      </c>
      <c r="K13" s="61">
        <f>VLOOKUP(J13,Наценка!$A$1:$B$8,2,1)</f>
        <v>1.32</v>
      </c>
      <c r="L13" s="100">
        <f>J13*1.2*100/93</f>
        <v>2838.7096774193546</v>
      </c>
      <c r="M13" s="63">
        <f t="shared" si="4"/>
        <v>2890</v>
      </c>
      <c r="N13" s="41">
        <f>VLOOKUP($A13,'Выгр Кат'!$A:$T,N$1,0)</f>
        <v>2200</v>
      </c>
      <c r="O13" s="41">
        <f>VLOOKUP($A13,'Выгр Кат'!$A:$T,O$1,0)</f>
        <v>2890</v>
      </c>
      <c r="P13" s="52">
        <f t="shared" si="5"/>
        <v>0</v>
      </c>
      <c r="Q13" s="52">
        <f t="shared" si="6"/>
        <v>0</v>
      </c>
      <c r="R13" s="59">
        <f t="shared" si="7"/>
        <v>2687.7</v>
      </c>
      <c r="S13" s="76">
        <f t="shared" si="0"/>
        <v>0.22168181818181809</v>
      </c>
      <c r="T13" s="76">
        <f t="shared" si="1"/>
        <v>8.5501858736066242E-4</v>
      </c>
      <c r="U13" s="76">
        <f t="shared" si="2"/>
        <v>0.22272727272727266</v>
      </c>
      <c r="V13" s="89">
        <f>Z13</f>
        <v>2690</v>
      </c>
      <c r="W13" s="79">
        <f>IFERROR(ROUND((VLOOKUP($A13,'Из ГУГЛа'!$B:$AD,W$1,0)+Y13)*X13,),VLOOKUP($A13,'Из ГУГЛа'!$B:$AD,W$1,0))</f>
        <v>2690</v>
      </c>
      <c r="X13" s="51">
        <v>1</v>
      </c>
      <c r="Y13" s="51">
        <v>0</v>
      </c>
      <c r="Z13" s="86">
        <v>2690</v>
      </c>
      <c r="AA13" s="65" t="s">
        <v>311</v>
      </c>
      <c r="AB13" s="79" t="str">
        <f>IFERROR(ROUND((VLOOKUP($A13,'Из ГУГЛа'!$B:$AD,AB$1,0)+AD13)*AC13,),VLOOKUP($A13,'Из ГУГЛа'!$B:$AD,AB$1,0))</f>
        <v/>
      </c>
      <c r="AC13" s="51">
        <v>1</v>
      </c>
      <c r="AD13" s="51">
        <v>0</v>
      </c>
      <c r="AE13" s="41"/>
      <c r="AG13" s="79" t="str">
        <f>IFERROR(ROUND((VLOOKUP($A13,'Из ГУГЛа'!$B:$AD,AG$1,0)+AI13)*AH13,),VLOOKUP($A13,'Из ГУГЛа'!$B:$AD,AG$1,0))</f>
        <v/>
      </c>
      <c r="AH13" s="51">
        <v>1</v>
      </c>
      <c r="AI13" s="51">
        <v>0</v>
      </c>
      <c r="AJ13" s="41"/>
      <c r="AK13" s="41"/>
      <c r="AL13" s="79" t="str">
        <f>IFERROR(ROUND((VLOOKUP($A13,'Из ГУГЛа'!$B:$AD,AL$1,0)+AN13)*AM13,),VLOOKUP($A13,'Из ГУГЛа'!$B:$AD,AL$1,0))</f>
        <v/>
      </c>
      <c r="AM13" s="51">
        <v>1</v>
      </c>
      <c r="AN13" s="51">
        <v>0</v>
      </c>
      <c r="AO13" s="41"/>
      <c r="AP13" s="41"/>
    </row>
    <row r="14" spans="1:42" ht="61.5" thickTop="1" thickBot="1" x14ac:dyDescent="0.3">
      <c r="A14" s="41">
        <v>201865</v>
      </c>
      <c r="B14" s="41">
        <f>VLOOKUP($A14,'Выгр Кат'!$A:$T,B$1,0)</f>
        <v>3334</v>
      </c>
      <c r="C14" s="75" t="str">
        <f>VLOOKUP($A14,'Выгр Кат'!$A:$T,C$1,0)</f>
        <v>Пружины задней подвески Фобос стандарт для ВАЗ 2108-21099, 2113-2115, 2110-2112, Лада Калина, Калина 2, Приора, Приора 2, Гранта, Гранта FL</v>
      </c>
      <c r="D14" s="41" t="str">
        <f>VLOOKUP($A14,'Выгр Кат'!$A:$T,D$1,0)</f>
        <v>Y</v>
      </c>
      <c r="E14" s="41" t="str">
        <f>VLOOKUP($A14,'Выгр Кат'!$A:$T,E$1,0)</f>
        <v>0</v>
      </c>
      <c r="F14" s="41" t="str">
        <f>VLOOKUP($A14,'Выгр Кат'!$A:$T,F$1,0)</f>
        <v>21391</v>
      </c>
      <c r="G14" s="36" t="s">
        <v>146</v>
      </c>
      <c r="H14" s="105" t="s">
        <v>17</v>
      </c>
      <c r="I14" s="1" t="s">
        <v>65</v>
      </c>
      <c r="J14" s="63">
        <f>VLOOKUP(H14,Прайс!B:D,3,0)</f>
        <v>3550</v>
      </c>
      <c r="K14" s="61">
        <f>VLOOKUP(J14,Наценка!$A$1:$B$8,2,1)</f>
        <v>1.32</v>
      </c>
      <c r="L14" s="64">
        <f>J14*K14</f>
        <v>4686</v>
      </c>
      <c r="M14" s="63">
        <f t="shared" si="4"/>
        <v>4690</v>
      </c>
      <c r="N14" s="41">
        <f>VLOOKUP($A14,'Выгр Кат'!$A:$T,N$1,0)</f>
        <v>3550</v>
      </c>
      <c r="O14" s="41">
        <f>VLOOKUP($A14,'Выгр Кат'!$A:$T,O$1,0)</f>
        <v>4690</v>
      </c>
      <c r="P14" s="52">
        <f t="shared" si="5"/>
        <v>0</v>
      </c>
      <c r="Q14" s="52">
        <f t="shared" si="6"/>
        <v>0</v>
      </c>
      <c r="R14" s="59">
        <f t="shared" si="7"/>
        <v>4361.7</v>
      </c>
      <c r="S14" s="76">
        <f t="shared" si="0"/>
        <v>0.2286478873239437</v>
      </c>
      <c r="T14" s="76">
        <f t="shared" si="1"/>
        <v>-0.621449814126394</v>
      </c>
      <c r="U14" s="76">
        <f t="shared" si="2"/>
        <v>-0.24225352112676057</v>
      </c>
      <c r="V14" s="89">
        <f>Z14</f>
        <v>2690</v>
      </c>
      <c r="W14" s="79">
        <f>IFERROR(ROUND((VLOOKUP($A14,'Из ГУГЛа'!$B:$AD,W$1,0)+Y14)*X14,),VLOOKUP($A14,'Из ГУГЛа'!$B:$AD,W$1,0))</f>
        <v>2690</v>
      </c>
      <c r="X14" s="51">
        <v>1</v>
      </c>
      <c r="Y14" s="51">
        <v>0</v>
      </c>
      <c r="Z14" s="86">
        <v>2690</v>
      </c>
      <c r="AA14" s="65" t="s">
        <v>312</v>
      </c>
      <c r="AB14" s="79" t="str">
        <f>IFERROR(ROUND((VLOOKUP($A14,'Из ГУГЛа'!$B:$AD,AB$1,0)+AD14)*AC14,),VLOOKUP($A14,'Из ГУГЛа'!$B:$AD,AB$1,0))</f>
        <v/>
      </c>
      <c r="AC14" s="51">
        <v>1</v>
      </c>
      <c r="AD14" s="51">
        <v>0</v>
      </c>
      <c r="AE14" s="41"/>
      <c r="AG14" s="79" t="str">
        <f>IFERROR(ROUND((VLOOKUP($A14,'Из ГУГЛа'!$B:$AD,AG$1,0)+AI14)*AH14,),VLOOKUP($A14,'Из ГУГЛа'!$B:$AD,AG$1,0))</f>
        <v/>
      </c>
      <c r="AH14" s="51">
        <v>1</v>
      </c>
      <c r="AI14" s="51">
        <v>0</v>
      </c>
      <c r="AJ14" s="41"/>
      <c r="AK14" s="41"/>
      <c r="AL14" s="79" t="str">
        <f>IFERROR(ROUND((VLOOKUP($A14,'Из ГУГЛа'!$B:$AD,AL$1,0)+AN14)*AM14,),VLOOKUP($A14,'Из ГУГЛа'!$B:$AD,AL$1,0))</f>
        <v/>
      </c>
      <c r="AM14" s="51">
        <v>1</v>
      </c>
      <c r="AN14" s="51">
        <v>0</v>
      </c>
      <c r="AO14" s="41"/>
      <c r="AP14" s="41"/>
    </row>
    <row r="15" spans="1:42" ht="46.5" thickTop="1" thickBot="1" x14ac:dyDescent="0.3">
      <c r="A15" s="41">
        <v>201866</v>
      </c>
      <c r="B15" s="41">
        <f>VLOOKUP($A15,'Выгр Кат'!$A:$T,B$1,0)</f>
        <v>3338</v>
      </c>
      <c r="C15" s="75" t="str">
        <f>VLOOKUP($A15,'Выгр Кат'!$A:$T,C$1,0)</f>
        <v>Пружины передней подвески Фобос стандарт ВАЗ 2108-21099, 2110-2112, 2113-2115</v>
      </c>
      <c r="D15" s="41" t="str">
        <f>VLOOKUP($A15,'Выгр Кат'!$A:$T,D$1,0)</f>
        <v>Y</v>
      </c>
      <c r="E15" s="41" t="str">
        <f>VLOOKUP($A15,'Выгр Кат'!$A:$T,E$1,0)</f>
        <v>0</v>
      </c>
      <c r="F15" s="41" t="str">
        <f>VLOOKUP($A15,'Выгр Кат'!$A:$T,F$1,0)</f>
        <v>25667</v>
      </c>
      <c r="G15" s="36" t="s">
        <v>146</v>
      </c>
      <c r="H15" s="105" t="s">
        <v>27</v>
      </c>
      <c r="I15" s="1" t="s">
        <v>65</v>
      </c>
      <c r="J15" s="63">
        <f>VLOOKUP(H15,Прайс!B:D,3,0)</f>
        <v>2300</v>
      </c>
      <c r="K15" s="61">
        <f>VLOOKUP(J15,Наценка!$A$1:$B$8,2,1)</f>
        <v>1.32</v>
      </c>
      <c r="L15" s="95">
        <f t="shared" ref="L15" si="9">V15*1.02</f>
        <v>2947.8</v>
      </c>
      <c r="M15" s="63">
        <f t="shared" si="4"/>
        <v>2990</v>
      </c>
      <c r="N15" s="41">
        <f>VLOOKUP($A15,'Выгр Кат'!$A:$T,N$1,0)</f>
        <v>2300</v>
      </c>
      <c r="O15" s="41">
        <f>VLOOKUP($A15,'Выгр Кат'!$A:$T,O$1,0)</f>
        <v>2990</v>
      </c>
      <c r="P15" s="52">
        <f t="shared" si="5"/>
        <v>0</v>
      </c>
      <c r="Q15" s="52">
        <f t="shared" si="6"/>
        <v>0</v>
      </c>
      <c r="R15" s="59">
        <f t="shared" si="7"/>
        <v>2780.7</v>
      </c>
      <c r="S15" s="76">
        <f t="shared" si="0"/>
        <v>0.20899999999999985</v>
      </c>
      <c r="T15" s="76">
        <f t="shared" si="1"/>
        <v>3.7820069204152311E-2</v>
      </c>
      <c r="U15" s="76">
        <f t="shared" si="2"/>
        <v>0.25652173913043486</v>
      </c>
      <c r="V15" s="89">
        <f>Z15</f>
        <v>2890</v>
      </c>
      <c r="W15" s="79">
        <f>IFERROR(ROUND((VLOOKUP($A15,'Из ГУГЛа'!$B:$AD,W$1,0)+Y15)*X15,),VLOOKUP($A15,'Из ГУГЛа'!$B:$AD,W$1,0))</f>
        <v>2890</v>
      </c>
      <c r="X15" s="51">
        <v>1</v>
      </c>
      <c r="Y15" s="51">
        <v>0</v>
      </c>
      <c r="Z15" s="86">
        <v>2890</v>
      </c>
      <c r="AA15" s="65" t="s">
        <v>248</v>
      </c>
      <c r="AB15" s="79" t="str">
        <f>IFERROR(ROUND((VLOOKUP($A15,'Из ГУГЛа'!$B:$AD,AB$1,0)+AD15)*AC15,),VLOOKUP($A15,'Из ГУГЛа'!$B:$AD,AB$1,0))</f>
        <v/>
      </c>
      <c r="AC15" s="51">
        <v>1</v>
      </c>
      <c r="AD15" s="51">
        <v>0</v>
      </c>
      <c r="AE15" s="41"/>
      <c r="AG15" s="79" t="str">
        <f>IFERROR(ROUND((VLOOKUP($A15,'Из ГУГЛа'!$B:$AD,AG$1,0)+AI15)*AH15,),VLOOKUP($A15,'Из ГУГЛа'!$B:$AD,AG$1,0))</f>
        <v/>
      </c>
      <c r="AH15" s="51">
        <v>1</v>
      </c>
      <c r="AI15" s="51">
        <v>0</v>
      </c>
      <c r="AJ15" s="41"/>
      <c r="AK15" s="41"/>
      <c r="AL15" s="79" t="str">
        <f>IFERROR(ROUND((VLOOKUP($A15,'Из ГУГЛа'!$B:$AD,AL$1,0)+AN15)*AM15,),VLOOKUP($A15,'Из ГУГЛа'!$B:$AD,AL$1,0))</f>
        <v/>
      </c>
      <c r="AM15" s="51">
        <v>1</v>
      </c>
      <c r="AN15" s="51">
        <v>0</v>
      </c>
      <c r="AO15" s="41"/>
      <c r="AP15" s="41"/>
    </row>
    <row r="16" spans="1:42" ht="31.5" thickTop="1" thickBot="1" x14ac:dyDescent="0.3">
      <c r="A16" s="41">
        <v>201868</v>
      </c>
      <c r="B16" s="41">
        <f>VLOOKUP($A16,'Выгр Кат'!$A:$T,B$1,0)</f>
        <v>3356</v>
      </c>
      <c r="C16" s="75" t="str">
        <f>VLOOKUP($A16,'Выгр Кат'!$A:$T,C$1,0)</f>
        <v>Пружины передней подвески Фобос стандарт для ВАЗ 2110-2112</v>
      </c>
      <c r="D16" s="41" t="str">
        <f>VLOOKUP($A16,'Выгр Кат'!$A:$T,D$1,0)</f>
        <v>Y</v>
      </c>
      <c r="E16" s="41" t="str">
        <f>VLOOKUP($A16,'Выгр Кат'!$A:$T,E$1,0)</f>
        <v>0</v>
      </c>
      <c r="F16" s="41" t="str">
        <f>VLOOKUP($A16,'Выгр Кат'!$A:$T,F$1,0)</f>
        <v>21426</v>
      </c>
      <c r="G16" s="36" t="s">
        <v>146</v>
      </c>
      <c r="H16" s="105" t="s">
        <v>18</v>
      </c>
      <c r="I16" s="1" t="s">
        <v>65</v>
      </c>
      <c r="J16" s="63">
        <f>VLOOKUP(H16,Прайс!B:D,3,0)</f>
        <v>3650</v>
      </c>
      <c r="K16" s="61">
        <f>VLOOKUP(J16,Наценка!$A$1:$B$8,2,1)</f>
        <v>1.32</v>
      </c>
      <c r="L16" s="64">
        <f>J16*K16</f>
        <v>4818</v>
      </c>
      <c r="M16" s="63">
        <f t="shared" si="4"/>
        <v>4890</v>
      </c>
      <c r="N16" s="41">
        <f>VLOOKUP($A16,'Выгр Кат'!$A:$T,N$1,0)</f>
        <v>3650</v>
      </c>
      <c r="O16" s="41">
        <f>VLOOKUP($A16,'Выгр Кат'!$A:$T,O$1,0)</f>
        <v>4890</v>
      </c>
      <c r="P16" s="52">
        <f t="shared" si="5"/>
        <v>0</v>
      </c>
      <c r="Q16" s="52">
        <f t="shared" si="6"/>
        <v>0</v>
      </c>
      <c r="R16" s="59">
        <f t="shared" si="7"/>
        <v>4547.7</v>
      </c>
      <c r="S16" s="76">
        <f t="shared" si="0"/>
        <v>0.24594520547945198</v>
      </c>
      <c r="T16" s="76">
        <f t="shared" si="1"/>
        <v>-0.57359861591695493</v>
      </c>
      <c r="U16" s="76">
        <f t="shared" si="2"/>
        <v>-0.20821917808219181</v>
      </c>
      <c r="V16" s="89">
        <f>Z16</f>
        <v>2890</v>
      </c>
      <c r="W16" s="79">
        <f>IFERROR(ROUND((VLOOKUP($A16,'Из ГУГЛа'!$B:$AD,W$1,0)+Y16)*X16,),VLOOKUP($A16,'Из ГУГЛа'!$B:$AD,W$1,0))</f>
        <v>2890</v>
      </c>
      <c r="X16" s="51">
        <v>1</v>
      </c>
      <c r="Y16" s="51">
        <v>0</v>
      </c>
      <c r="Z16" s="86">
        <v>2890</v>
      </c>
      <c r="AA16" s="65" t="s">
        <v>313</v>
      </c>
      <c r="AB16" s="79" t="str">
        <f>IFERROR(ROUND((VLOOKUP($A16,'Из ГУГЛа'!$B:$AD,AB$1,0)+AD16)*AC16,),VLOOKUP($A16,'Из ГУГЛа'!$B:$AD,AB$1,0))</f>
        <v/>
      </c>
      <c r="AC16" s="51">
        <v>1</v>
      </c>
      <c r="AD16" s="51">
        <v>0</v>
      </c>
      <c r="AE16" s="41"/>
      <c r="AG16" s="79" t="str">
        <f>IFERROR(ROUND((VLOOKUP($A16,'Из ГУГЛа'!$B:$AD,AG$1,0)+AI16)*AH16,),VLOOKUP($A16,'Из ГУГЛа'!$B:$AD,AG$1,0))</f>
        <v/>
      </c>
      <c r="AH16" s="51">
        <v>1</v>
      </c>
      <c r="AI16" s="51">
        <v>0</v>
      </c>
      <c r="AJ16" s="41"/>
      <c r="AK16" s="41"/>
      <c r="AL16" s="79" t="str">
        <f>IFERROR(ROUND((VLOOKUP($A16,'Из ГУГЛа'!$B:$AD,AL$1,0)+AN16)*AM16,),VLOOKUP($A16,'Из ГУГЛа'!$B:$AD,AL$1,0))</f>
        <v/>
      </c>
      <c r="AM16" s="51">
        <v>1</v>
      </c>
      <c r="AN16" s="51">
        <v>0</v>
      </c>
      <c r="AO16" s="41"/>
      <c r="AP16" s="41"/>
    </row>
    <row r="17" spans="1:42" ht="31.5" thickTop="1" thickBot="1" x14ac:dyDescent="0.3">
      <c r="A17" s="41">
        <v>201867</v>
      </c>
      <c r="B17" s="41">
        <f>VLOOKUP($A17,'Выгр Кат'!$A:$T,B$1,0)</f>
        <v>3357</v>
      </c>
      <c r="C17" s="75" t="str">
        <f>VLOOKUP($A17,'Выгр Кат'!$A:$T,C$1,0)</f>
        <v>Пружины задней подвески Фобос Люкс стандарт для ВАЗ 2110-2112</v>
      </c>
      <c r="D17" s="41" t="str">
        <f>VLOOKUP($A17,'Выгр Кат'!$A:$T,D$1,0)</f>
        <v>Y</v>
      </c>
      <c r="E17" s="41" t="str">
        <f>VLOOKUP($A17,'Выгр Кат'!$A:$T,E$1,0)</f>
        <v>0</v>
      </c>
      <c r="F17" s="41" t="str">
        <f>VLOOKUP($A17,'Выгр Кат'!$A:$T,F$1,0)</f>
        <v>21391</v>
      </c>
      <c r="G17" s="36" t="s">
        <v>146</v>
      </c>
      <c r="H17" s="105" t="s">
        <v>17</v>
      </c>
      <c r="I17" s="1" t="s">
        <v>65</v>
      </c>
      <c r="J17" s="63">
        <f>VLOOKUP(H17,Прайс!B:D,3,0)</f>
        <v>3550</v>
      </c>
      <c r="K17" s="61">
        <f>VLOOKUP(J17,Наценка!$A$1:$B$8,2,1)</f>
        <v>1.32</v>
      </c>
      <c r="L17" s="64">
        <f t="shared" ref="L17:L70" si="10">J17*K17</f>
        <v>4686</v>
      </c>
      <c r="M17" s="63">
        <f t="shared" si="4"/>
        <v>4690</v>
      </c>
      <c r="N17" s="41">
        <f>VLOOKUP($A17,'Выгр Кат'!$A:$T,N$1,0)</f>
        <v>3550</v>
      </c>
      <c r="O17" s="41">
        <f>VLOOKUP($A17,'Выгр Кат'!$A:$T,O$1,0)</f>
        <v>4690</v>
      </c>
      <c r="P17" s="52">
        <f t="shared" si="5"/>
        <v>0</v>
      </c>
      <c r="Q17" s="52">
        <f t="shared" si="6"/>
        <v>0</v>
      </c>
      <c r="R17" s="59">
        <f t="shared" si="7"/>
        <v>4361.7</v>
      </c>
      <c r="S17" s="76">
        <f t="shared" si="0"/>
        <v>0.2286478873239437</v>
      </c>
      <c r="T17" s="76" t="str">
        <f t="shared" si="1"/>
        <v/>
      </c>
      <c r="U17" s="76" t="str">
        <f t="shared" si="2"/>
        <v/>
      </c>
      <c r="V17" s="108"/>
      <c r="W17" s="79" t="str">
        <f>IFERROR(ROUND((VLOOKUP($A17,'Из ГУГЛа'!$B:$AD,W$1,0)+Y17)*X17,),VLOOKUP($A17,'Из ГУГЛа'!$B:$AD,W$1,0))</f>
        <v/>
      </c>
      <c r="X17" s="51">
        <v>1</v>
      </c>
      <c r="Y17" s="51">
        <v>0</v>
      </c>
      <c r="Z17" s="86" t="s">
        <v>193</v>
      </c>
      <c r="AB17" s="79" t="str">
        <f>IFERROR(ROUND((VLOOKUP($A17,'Из ГУГЛа'!$B:$AD,AB$1,0)+AD17)*AC17,),VLOOKUP($A17,'Из ГУГЛа'!$B:$AD,AB$1,0))</f>
        <v/>
      </c>
      <c r="AC17" s="51">
        <v>1</v>
      </c>
      <c r="AD17" s="51">
        <v>0</v>
      </c>
      <c r="AE17" s="41"/>
      <c r="AG17" s="79" t="str">
        <f>IFERROR(ROUND((VLOOKUP($A17,'Из ГУГЛа'!$B:$AD,AG$1,0)+AI17)*AH17,),VLOOKUP($A17,'Из ГУГЛа'!$B:$AD,AG$1,0))</f>
        <v/>
      </c>
      <c r="AH17" s="51">
        <v>1</v>
      </c>
      <c r="AI17" s="51">
        <v>0</v>
      </c>
      <c r="AJ17" s="41"/>
      <c r="AK17" s="41"/>
      <c r="AL17" s="79" t="str">
        <f>IFERROR(ROUND((VLOOKUP($A17,'Из ГУГЛа'!$B:$AD,AL$1,0)+AN17)*AM17,),VLOOKUP($A17,'Из ГУГЛа'!$B:$AD,AL$1,0))</f>
        <v/>
      </c>
      <c r="AM17" s="51">
        <v>1</v>
      </c>
      <c r="AN17" s="51">
        <v>0</v>
      </c>
      <c r="AO17" s="41"/>
      <c r="AP17" s="41"/>
    </row>
    <row r="18" spans="1:42" ht="31.5" thickTop="1" thickBot="1" x14ac:dyDescent="0.3">
      <c r="A18" s="41">
        <v>145472</v>
      </c>
      <c r="B18" s="41">
        <f>VLOOKUP($A18,'Выгр Кат'!$A:$T,B$1,0)</f>
        <v>3359</v>
      </c>
      <c r="C18" s="75" t="str">
        <f>VLOOKUP($A18,'Выгр Кат'!$A:$T,C$1,0)</f>
        <v>Пружины задней подвески Фобос Стандарт Люкс для Лада Приора</v>
      </c>
      <c r="D18" s="41" t="str">
        <f>VLOOKUP($A18,'Выгр Кат'!$A:$T,D$1,0)</f>
        <v>Y</v>
      </c>
      <c r="E18" s="41" t="str">
        <f>VLOOKUP($A18,'Выгр Кат'!$A:$T,E$1,0)</f>
        <v>0</v>
      </c>
      <c r="F18" s="41" t="str">
        <f>VLOOKUP($A18,'Выгр Кат'!$A:$T,F$1,0)</f>
        <v>78564</v>
      </c>
      <c r="G18" s="36" t="s">
        <v>146</v>
      </c>
      <c r="H18" s="105" t="s">
        <v>23</v>
      </c>
      <c r="I18" s="1" t="s">
        <v>65</v>
      </c>
      <c r="J18" s="63">
        <f>VLOOKUP(H18,Прайс!B:D,3,0)</f>
        <v>2200</v>
      </c>
      <c r="K18" s="61">
        <f>VLOOKUP(J18,Наценка!$A$1:$B$8,2,1)</f>
        <v>1.32</v>
      </c>
      <c r="L18" s="100">
        <f>J18*1.2*100/93</f>
        <v>2838.7096774193546</v>
      </c>
      <c r="M18" s="63">
        <f t="shared" si="4"/>
        <v>2890</v>
      </c>
      <c r="N18" s="41">
        <f>VLOOKUP($A18,'Выгр Кат'!$A:$T,N$1,0)</f>
        <v>2200</v>
      </c>
      <c r="O18" s="41">
        <f>VLOOKUP($A18,'Выгр Кат'!$A:$T,O$1,0)</f>
        <v>2890</v>
      </c>
      <c r="P18" s="52">
        <f t="shared" si="5"/>
        <v>0</v>
      </c>
      <c r="Q18" s="52">
        <f t="shared" si="6"/>
        <v>0</v>
      </c>
      <c r="R18" s="59">
        <f t="shared" si="7"/>
        <v>2687.7</v>
      </c>
      <c r="S18" s="76">
        <f t="shared" si="0"/>
        <v>0.22168181818181809</v>
      </c>
      <c r="T18" s="76">
        <f t="shared" si="1"/>
        <v>8.5501858736066242E-4</v>
      </c>
      <c r="U18" s="76">
        <f t="shared" si="2"/>
        <v>0.22272727272727266</v>
      </c>
      <c r="V18" s="89">
        <f t="shared" ref="V18:V30" si="11">Z18</f>
        <v>2690</v>
      </c>
      <c r="W18" s="79">
        <f>IFERROR(ROUND((VLOOKUP($A18,'Из ГУГЛа'!$B:$AD,W$1,0)+Y18)*X18,),VLOOKUP($A18,'Из ГУГЛа'!$B:$AD,W$1,0))</f>
        <v>2690</v>
      </c>
      <c r="X18" s="51">
        <v>1</v>
      </c>
      <c r="Y18" s="51">
        <v>0</v>
      </c>
      <c r="Z18" s="86">
        <v>2690</v>
      </c>
      <c r="AA18" s="65" t="s">
        <v>309</v>
      </c>
      <c r="AB18" s="79" t="str">
        <f>IFERROR(ROUND((VLOOKUP($A18,'Из ГУГЛа'!$B:$AD,AB$1,0)+AD18)*AC18,),VLOOKUP($A18,'Из ГУГЛа'!$B:$AD,AB$1,0))</f>
        <v/>
      </c>
      <c r="AC18" s="51">
        <v>1</v>
      </c>
      <c r="AD18" s="51">
        <v>0</v>
      </c>
      <c r="AE18" s="41"/>
      <c r="AG18" s="79" t="str">
        <f>IFERROR(ROUND((VLOOKUP($A18,'Из ГУГЛа'!$B:$AD,AG$1,0)+AI18)*AH18,),VLOOKUP($A18,'Из ГУГЛа'!$B:$AD,AG$1,0))</f>
        <v/>
      </c>
      <c r="AH18" s="51">
        <v>1</v>
      </c>
      <c r="AI18" s="51">
        <v>0</v>
      </c>
      <c r="AJ18" s="41"/>
      <c r="AK18" s="41"/>
      <c r="AL18" s="79" t="str">
        <f>IFERROR(ROUND((VLOOKUP($A18,'Из ГУГЛа'!$B:$AD,AL$1,0)+AN18)*AM18,),VLOOKUP($A18,'Из ГУГЛа'!$B:$AD,AL$1,0))</f>
        <v/>
      </c>
      <c r="AM18" s="51">
        <v>1</v>
      </c>
      <c r="AN18" s="51">
        <v>0</v>
      </c>
      <c r="AO18" s="41"/>
      <c r="AP18" s="41"/>
    </row>
    <row r="19" spans="1:42" ht="31.5" thickTop="1" thickBot="1" x14ac:dyDescent="0.3">
      <c r="A19" s="41">
        <v>202027</v>
      </c>
      <c r="B19" s="41">
        <f>VLOOKUP($A19,'Выгр Кат'!$A:$T,B$1,0)</f>
        <v>3317</v>
      </c>
      <c r="C19" s="75" t="str">
        <f>VLOOKUP($A19,'Выгр Кат'!$A:$T,C$1,0)</f>
        <v>Пружины передней подвески Фобос Стандарт для ВАЗ 2101-2107</v>
      </c>
      <c r="D19" s="41" t="str">
        <f>VLOOKUP($A19,'Выгр Кат'!$A:$T,D$1,0)</f>
        <v>Y</v>
      </c>
      <c r="E19" s="41" t="str">
        <f>VLOOKUP($A19,'Выгр Кат'!$A:$T,E$1,0)</f>
        <v>0</v>
      </c>
      <c r="F19" s="41" t="str">
        <f>VLOOKUP($A19,'Выгр Кат'!$A:$T,F$1,0)</f>
        <v>25585</v>
      </c>
      <c r="G19" s="36" t="s">
        <v>146</v>
      </c>
      <c r="H19" s="105" t="s">
        <v>26</v>
      </c>
      <c r="I19" s="1" t="s">
        <v>65</v>
      </c>
      <c r="J19" s="63">
        <f>VLOOKUP(H19,Прайс!B:D,3,0)</f>
        <v>2250</v>
      </c>
      <c r="K19" s="61">
        <f>VLOOKUP(J19,Наценка!$A$1:$B$8,2,1)</f>
        <v>1.32</v>
      </c>
      <c r="L19" s="95">
        <f t="shared" ref="L19:L20" si="12">V19*1.02</f>
        <v>2947.8</v>
      </c>
      <c r="M19" s="63">
        <f>ROUNDUP(L19,-2)-10</f>
        <v>2990</v>
      </c>
      <c r="N19" s="41">
        <f>VLOOKUP($A19,'Выгр Кат'!$A:$T,N$1,0)</f>
        <v>2250</v>
      </c>
      <c r="O19" s="41">
        <f>VLOOKUP($A19,'Выгр Кат'!$A:$T,O$1,0)</f>
        <v>2990</v>
      </c>
      <c r="P19" s="52">
        <f t="shared" si="5"/>
        <v>0</v>
      </c>
      <c r="Q19" s="52">
        <f t="shared" si="6"/>
        <v>0</v>
      </c>
      <c r="R19" s="59">
        <f t="shared" si="7"/>
        <v>2780.7</v>
      </c>
      <c r="S19" s="76">
        <f t="shared" si="0"/>
        <v>0.23586666666666667</v>
      </c>
      <c r="T19" s="76">
        <f t="shared" si="1"/>
        <v>3.7820069204152311E-2</v>
      </c>
      <c r="U19" s="76">
        <f t="shared" si="2"/>
        <v>0.2844444444444445</v>
      </c>
      <c r="V19" s="89">
        <f t="shared" si="11"/>
        <v>2890</v>
      </c>
      <c r="W19" s="79">
        <f>IFERROR(ROUND((VLOOKUP($A19,'Из ГУГЛа'!$B:$AD,W$1,0)+Y19)*X19,),VLOOKUP($A19,'Из ГУГЛа'!$B:$AD,W$1,0))</f>
        <v>2890</v>
      </c>
      <c r="X19" s="51">
        <v>1</v>
      </c>
      <c r="Y19" s="51">
        <v>0</v>
      </c>
      <c r="Z19" s="86">
        <v>2890</v>
      </c>
      <c r="AA19" s="65" t="s">
        <v>314</v>
      </c>
      <c r="AB19" s="79" t="str">
        <f>IFERROR(ROUND((VLOOKUP($A19,'Из ГУГЛа'!$B:$AD,AB$1,0)+AD19)*AC19,),VLOOKUP($A19,'Из ГУГЛа'!$B:$AD,AB$1,0))</f>
        <v/>
      </c>
      <c r="AC19" s="51">
        <v>1</v>
      </c>
      <c r="AD19" s="51">
        <v>0</v>
      </c>
      <c r="AE19" s="41"/>
      <c r="AG19" s="79" t="str">
        <f>IFERROR(ROUND((VLOOKUP($A19,'Из ГУГЛа'!$B:$AD,AG$1,0)+AI19)*AH19,),VLOOKUP($A19,'Из ГУГЛа'!$B:$AD,AG$1,0))</f>
        <v/>
      </c>
      <c r="AH19" s="51">
        <v>1</v>
      </c>
      <c r="AI19" s="51">
        <v>0</v>
      </c>
      <c r="AJ19" s="41"/>
      <c r="AK19" s="41"/>
      <c r="AL19" s="79" t="str">
        <f>IFERROR(ROUND((VLOOKUP($A19,'Из ГУГЛа'!$B:$AD,AL$1,0)+AN19)*AM19,),VLOOKUP($A19,'Из ГУГЛа'!$B:$AD,AL$1,0))</f>
        <v/>
      </c>
      <c r="AM19" s="51">
        <v>1</v>
      </c>
      <c r="AN19" s="51">
        <v>0</v>
      </c>
      <c r="AO19" s="41"/>
      <c r="AP19" s="41"/>
    </row>
    <row r="20" spans="1:42" ht="31.5" thickTop="1" thickBot="1" x14ac:dyDescent="0.3">
      <c r="A20" s="41">
        <v>201935</v>
      </c>
      <c r="B20" s="41">
        <f>VLOOKUP($A20,'Выгр Кат'!$A:$T,B$1,0)</f>
        <v>3318</v>
      </c>
      <c r="C20" s="75" t="str">
        <f>VLOOKUP($A20,'Выгр Кат'!$A:$T,C$1,0)</f>
        <v>Пружины задней подвески Фобос Стандарт для ВАЗ 2101-2107</v>
      </c>
      <c r="D20" s="41" t="str">
        <f>VLOOKUP($A20,'Выгр Кат'!$A:$T,D$1,0)</f>
        <v>Y</v>
      </c>
      <c r="E20" s="41" t="str">
        <f>VLOOKUP($A20,'Выгр Кат'!$A:$T,E$1,0)</f>
        <v>0</v>
      </c>
      <c r="F20" s="41" t="str">
        <f>VLOOKUP($A20,'Выгр Кат'!$A:$T,F$1,0)</f>
        <v>25637</v>
      </c>
      <c r="G20" s="36" t="s">
        <v>146</v>
      </c>
      <c r="H20" s="105" t="s">
        <v>20</v>
      </c>
      <c r="I20" s="1" t="s">
        <v>65</v>
      </c>
      <c r="J20" s="63">
        <f>VLOOKUP(H20,Прайс!B:D,3,0)</f>
        <v>2450</v>
      </c>
      <c r="K20" s="61">
        <f>VLOOKUP(J20,Наценка!$A$1:$B$8,2,1)</f>
        <v>1.32</v>
      </c>
      <c r="L20" s="95">
        <f t="shared" si="12"/>
        <v>3253.8</v>
      </c>
      <c r="M20" s="63">
        <f>ROUNDUP(L20,-2)-10</f>
        <v>3290</v>
      </c>
      <c r="N20" s="41">
        <f>VLOOKUP($A20,'Выгр Кат'!$A:$T,N$1,0)</f>
        <v>2450</v>
      </c>
      <c r="O20" s="41">
        <f>VLOOKUP($A20,'Выгр Кат'!$A:$T,O$1,0)</f>
        <v>3290</v>
      </c>
      <c r="P20" s="52">
        <f t="shared" si="5"/>
        <v>0</v>
      </c>
      <c r="Q20" s="52">
        <f t="shared" si="6"/>
        <v>0</v>
      </c>
      <c r="R20" s="59">
        <f t="shared" si="7"/>
        <v>3059.7</v>
      </c>
      <c r="S20" s="76">
        <f t="shared" si="0"/>
        <v>0.24885714285714289</v>
      </c>
      <c r="T20" s="76">
        <f t="shared" si="1"/>
        <v>4.0846394984326073E-2</v>
      </c>
      <c r="U20" s="76">
        <f t="shared" si="2"/>
        <v>0.30204081632653068</v>
      </c>
      <c r="V20" s="89">
        <f t="shared" si="11"/>
        <v>3190</v>
      </c>
      <c r="W20" s="79">
        <f>IFERROR(ROUND((VLOOKUP($A20,'Из ГУГЛа'!$B:$AD,W$1,0)+Y20)*X20,),VLOOKUP($A20,'Из ГУГЛа'!$B:$AD,W$1,0))</f>
        <v>3190</v>
      </c>
      <c r="X20" s="51">
        <v>1</v>
      </c>
      <c r="Y20" s="51">
        <v>0</v>
      </c>
      <c r="Z20" s="86">
        <v>3190</v>
      </c>
      <c r="AA20" s="65" t="s">
        <v>315</v>
      </c>
      <c r="AB20" s="79" t="str">
        <f>IFERROR(ROUND((VLOOKUP($A20,'Из ГУГЛа'!$B:$AD,AB$1,0)+AD20)*AC20,),VLOOKUP($A20,'Из ГУГЛа'!$B:$AD,AB$1,0))</f>
        <v/>
      </c>
      <c r="AC20" s="51">
        <v>1</v>
      </c>
      <c r="AD20" s="51">
        <v>0</v>
      </c>
      <c r="AE20" s="41"/>
      <c r="AG20" s="79" t="str">
        <f>IFERROR(ROUND((VLOOKUP($A20,'Из ГУГЛа'!$B:$AD,AG$1,0)+AI20)*AH20,),VLOOKUP($A20,'Из ГУГЛа'!$B:$AD,AG$1,0))</f>
        <v/>
      </c>
      <c r="AH20" s="51">
        <v>1</v>
      </c>
      <c r="AI20" s="51">
        <v>0</v>
      </c>
      <c r="AJ20" s="41"/>
      <c r="AK20" s="41"/>
      <c r="AL20" s="79" t="str">
        <f>IFERROR(ROUND((VLOOKUP($A20,'Из ГУГЛа'!$B:$AD,AL$1,0)+AN20)*AM20,),VLOOKUP($A20,'Из ГУГЛа'!$B:$AD,AL$1,0))</f>
        <v/>
      </c>
      <c r="AM20" s="51">
        <v>1</v>
      </c>
      <c r="AN20" s="51">
        <v>0</v>
      </c>
      <c r="AO20" s="41"/>
      <c r="AP20" s="41"/>
    </row>
    <row r="21" spans="1:42" ht="31.5" thickTop="1" thickBot="1" x14ac:dyDescent="0.3">
      <c r="A21" s="41">
        <v>455507</v>
      </c>
      <c r="B21" s="41">
        <f>VLOOKUP($A21,'Выгр Кат'!$A:$T,B$1,0)</f>
        <v>455507</v>
      </c>
      <c r="C21" s="75" t="str">
        <f>VLOOKUP($A21,'Выгр Кат'!$A:$T,C$1,0)</f>
        <v>Пружины Фобос Стандарт задние для Шевроле Нива</v>
      </c>
      <c r="D21" s="41" t="str">
        <f>VLOOKUP($A21,'Выгр Кат'!$A:$T,D$1,0)</f>
        <v>Y</v>
      </c>
      <c r="E21" s="41" t="str">
        <f>VLOOKUP($A21,'Выгр Кат'!$A:$T,E$1,0)</f>
        <v>1ск4</v>
      </c>
      <c r="F21" s="41">
        <f>VLOOKUP($A21,'Выгр Кат'!$A:$T,F$1,0)</f>
        <v>0</v>
      </c>
      <c r="G21" s="36"/>
      <c r="H21" s="41"/>
      <c r="I21" s="1" t="s">
        <v>65</v>
      </c>
      <c r="J21" s="62">
        <f>N21</f>
        <v>2570</v>
      </c>
      <c r="K21" s="61">
        <f>VLOOKUP(J21,Наценка!$A$1:$B$8,2,1)</f>
        <v>1.32</v>
      </c>
      <c r="L21" s="64">
        <f t="shared" si="10"/>
        <v>3392.4</v>
      </c>
      <c r="M21" s="63">
        <f t="shared" ref="M21:M22" si="13">ROUNDUP(L21,-2)-10</f>
        <v>3390</v>
      </c>
      <c r="N21" s="41">
        <f>VLOOKUP($A21,'Выгр Кат'!$A:$T,N$1,0)</f>
        <v>2570</v>
      </c>
      <c r="O21" s="41">
        <f>VLOOKUP($A21,'Выгр Кат'!$A:$T,O$1,0)</f>
        <v>3390</v>
      </c>
      <c r="P21" s="52">
        <f t="shared" ref="P21:P22" si="14">N21-J21</f>
        <v>0</v>
      </c>
      <c r="Q21" s="52">
        <f t="shared" ref="Q21:Q22" si="15">O21-M21</f>
        <v>0</v>
      </c>
      <c r="R21" s="59">
        <f t="shared" ref="R21:R22" si="16">IFERROR(M21*(1-$R$2),"")</f>
        <v>3152.7</v>
      </c>
      <c r="S21" s="76">
        <f t="shared" ref="S21:S22" si="17">IFERROR(R21/J21-1,"")</f>
        <v>0.22673151750972753</v>
      </c>
      <c r="T21" s="76" t="str">
        <f t="shared" ref="T21:T22" si="18">IFERROR((V21-R21)/V21,"")</f>
        <v/>
      </c>
      <c r="U21" s="76" t="str">
        <f t="shared" ref="U21:U22" si="19">IFERROR(IF(V21="","",V21/J21-1),"")</f>
        <v/>
      </c>
      <c r="V21" s="108"/>
      <c r="W21" s="79" t="e">
        <f>IFERROR(ROUND((VLOOKUP($A21,'Из ГУГЛа'!$B:$AD,W$1,0)+Y21)*X21,),VLOOKUP($A21,'Из ГУГЛа'!$B:$AD,W$1,0))</f>
        <v>#N/A</v>
      </c>
      <c r="X21" s="51">
        <v>1</v>
      </c>
      <c r="Y21" s="51">
        <v>0</v>
      </c>
      <c r="Z21" s="109"/>
      <c r="AB21" s="79" t="e">
        <f>IFERROR(ROUND((VLOOKUP($A21,'Из ГУГЛа'!$B:$AD,AB$1,0)+AD21)*AC21,),VLOOKUP($A21,'Из ГУГЛа'!$B:$AD,AB$1,0))</f>
        <v>#N/A</v>
      </c>
      <c r="AC21" s="51">
        <v>1</v>
      </c>
      <c r="AD21" s="51">
        <v>0</v>
      </c>
      <c r="AE21" s="41"/>
      <c r="AG21" s="79" t="e">
        <f>IFERROR(ROUND((VLOOKUP($A21,'Из ГУГЛа'!$B:$AD,AG$1,0)+AI21)*AH21,),VLOOKUP($A21,'Из ГУГЛа'!$B:$AD,AG$1,0))</f>
        <v>#N/A</v>
      </c>
      <c r="AH21" s="51">
        <v>1</v>
      </c>
      <c r="AI21" s="51">
        <v>0</v>
      </c>
      <c r="AJ21" s="41"/>
      <c r="AK21" s="41"/>
      <c r="AL21" s="79" t="e">
        <f>IFERROR(ROUND((VLOOKUP($A21,'Из ГУГЛа'!$B:$AD,AL$1,0)+AN21)*AM21,),VLOOKUP($A21,'Из ГУГЛа'!$B:$AD,AL$1,0))</f>
        <v>#N/A</v>
      </c>
      <c r="AM21" s="51">
        <v>1</v>
      </c>
      <c r="AN21" s="51">
        <v>0</v>
      </c>
      <c r="AO21" s="41"/>
      <c r="AP21" s="41"/>
    </row>
    <row r="22" spans="1:42" ht="31.5" thickTop="1" thickBot="1" x14ac:dyDescent="0.3">
      <c r="A22" s="41">
        <v>455508</v>
      </c>
      <c r="B22" s="41">
        <f>VLOOKUP($A22,'Выгр Кат'!$A:$T,B$1,0)</f>
        <v>455508</v>
      </c>
      <c r="C22" s="75" t="str">
        <f>VLOOKUP($A22,'Выгр Кат'!$A:$T,C$1,0)</f>
        <v>Пружины Фобос Стандарт передние для Шевроле Нива</v>
      </c>
      <c r="D22" s="41" t="str">
        <f>VLOOKUP($A22,'Выгр Кат'!$A:$T,D$1,0)</f>
        <v>Y</v>
      </c>
      <c r="E22" s="41" t="str">
        <f>VLOOKUP($A22,'Выгр Кат'!$A:$T,E$1,0)</f>
        <v>1ск4</v>
      </c>
      <c r="F22" s="41">
        <f>VLOOKUP($A22,'Выгр Кат'!$A:$T,F$1,0)</f>
        <v>0</v>
      </c>
      <c r="G22" s="36"/>
      <c r="H22" s="41"/>
      <c r="I22" s="1" t="s">
        <v>65</v>
      </c>
      <c r="J22" s="62">
        <f>N22</f>
        <v>2461</v>
      </c>
      <c r="K22" s="61">
        <f>VLOOKUP(J22,Наценка!$A$1:$B$8,2,1)</f>
        <v>1.32</v>
      </c>
      <c r="L22" s="64">
        <f t="shared" si="10"/>
        <v>3248.52</v>
      </c>
      <c r="M22" s="63">
        <f t="shared" si="13"/>
        <v>3290</v>
      </c>
      <c r="N22" s="41">
        <f>VLOOKUP($A22,'Выгр Кат'!$A:$T,N$1,0)</f>
        <v>2461</v>
      </c>
      <c r="O22" s="41">
        <f>VLOOKUP($A22,'Выгр Кат'!$A:$T,O$1,0)</f>
        <v>3290</v>
      </c>
      <c r="P22" s="52">
        <f t="shared" si="14"/>
        <v>0</v>
      </c>
      <c r="Q22" s="52">
        <f t="shared" si="15"/>
        <v>0</v>
      </c>
      <c r="R22" s="59">
        <f t="shared" si="16"/>
        <v>3059.7</v>
      </c>
      <c r="S22" s="76">
        <f t="shared" si="17"/>
        <v>0.24327509142624937</v>
      </c>
      <c r="T22" s="76" t="str">
        <f t="shared" si="18"/>
        <v/>
      </c>
      <c r="U22" s="76" t="str">
        <f t="shared" si="19"/>
        <v/>
      </c>
      <c r="V22" s="108"/>
      <c r="W22" s="79" t="e">
        <f>IFERROR(ROUND((VLOOKUP($A22,'Из ГУГЛа'!$B:$AD,W$1,0)+Y22)*X22,),VLOOKUP($A22,'Из ГУГЛа'!$B:$AD,W$1,0))</f>
        <v>#N/A</v>
      </c>
      <c r="X22" s="51">
        <v>1</v>
      </c>
      <c r="Y22" s="51">
        <v>0</v>
      </c>
      <c r="Z22" s="109"/>
      <c r="AB22" s="79" t="e">
        <f>IFERROR(ROUND((VLOOKUP($A22,'Из ГУГЛа'!$B:$AD,AB$1,0)+AD22)*AC22,),VLOOKUP($A22,'Из ГУГЛа'!$B:$AD,AB$1,0))</f>
        <v>#N/A</v>
      </c>
      <c r="AC22" s="51">
        <v>1</v>
      </c>
      <c r="AD22" s="51">
        <v>0</v>
      </c>
      <c r="AE22" s="41"/>
      <c r="AG22" s="79" t="e">
        <f>IFERROR(ROUND((VLOOKUP($A22,'Из ГУГЛа'!$B:$AD,AG$1,0)+AI22)*AH22,),VLOOKUP($A22,'Из ГУГЛа'!$B:$AD,AG$1,0))</f>
        <v>#N/A</v>
      </c>
      <c r="AH22" s="51">
        <v>1</v>
      </c>
      <c r="AI22" s="51">
        <v>0</v>
      </c>
      <c r="AJ22" s="41"/>
      <c r="AK22" s="41"/>
      <c r="AL22" s="79" t="e">
        <f>IFERROR(ROUND((VLOOKUP($A22,'Из ГУГЛа'!$B:$AD,AL$1,0)+AN22)*AM22,),VLOOKUP($A22,'Из ГУГЛа'!$B:$AD,AL$1,0))</f>
        <v>#N/A</v>
      </c>
      <c r="AM22" s="51">
        <v>1</v>
      </c>
      <c r="AN22" s="51">
        <v>0</v>
      </c>
      <c r="AO22" s="41"/>
      <c r="AP22" s="41"/>
    </row>
    <row r="23" spans="1:42" ht="46.5" thickTop="1" thickBot="1" x14ac:dyDescent="0.3">
      <c r="A23" s="41">
        <v>201998</v>
      </c>
      <c r="B23" s="41">
        <f>VLOOKUP($A23,'Выгр Кат'!$A:$T,B$1,0)</f>
        <v>3409</v>
      </c>
      <c r="C23" s="75" t="str">
        <f>VLOOKUP($A23,'Выгр Кат'!$A:$T,C$1,0)</f>
        <v>Пружины передней подвески ТехноРессор Драйв для ВАЗ 2108-21099, 2113-2115, 2110-2112</v>
      </c>
      <c r="D23" s="41" t="str">
        <f>VLOOKUP($A23,'Выгр Кат'!$A:$T,D$1,0)</f>
        <v>Y</v>
      </c>
      <c r="E23" s="41" t="str">
        <f>VLOOKUP($A23,'Выгр Кат'!$A:$T,E$1,0)</f>
        <v>1</v>
      </c>
      <c r="F23" s="41">
        <f>VLOOKUP($A23,'Выгр Кат'!$A:$T,F$1,0)</f>
        <v>0</v>
      </c>
      <c r="G23" s="36"/>
      <c r="H23" s="41" t="s">
        <v>413</v>
      </c>
      <c r="I23" s="1" t="s">
        <v>65</v>
      </c>
      <c r="J23" s="63">
        <f>VLOOKUP(H23,Прайс!B:D,3,0)</f>
        <v>2650</v>
      </c>
      <c r="K23" s="61">
        <f>VLOOKUP(J23,Наценка!$A$1:$B$8,2,1)</f>
        <v>1.32</v>
      </c>
      <c r="L23" s="97">
        <f t="shared" ref="L23:L30" si="20">V23*1.05</f>
        <v>4189.5</v>
      </c>
      <c r="M23" s="63">
        <f>ROUNDUP(L23,-2)-10</f>
        <v>4190</v>
      </c>
      <c r="N23" s="41">
        <f>VLOOKUP($A23,'Выгр Кат'!$A:$T,N$1,0)</f>
        <v>2650</v>
      </c>
      <c r="O23" s="41">
        <f>VLOOKUP($A23,'Выгр Кат'!$A:$T,O$1,0)</f>
        <v>4190</v>
      </c>
      <c r="P23" s="52">
        <f t="shared" si="5"/>
        <v>0</v>
      </c>
      <c r="Q23" s="52">
        <f t="shared" si="6"/>
        <v>0</v>
      </c>
      <c r="R23" s="59">
        <f t="shared" si="7"/>
        <v>3896.7</v>
      </c>
      <c r="S23" s="76">
        <f t="shared" si="0"/>
        <v>0.47045283018867923</v>
      </c>
      <c r="T23" s="76">
        <f t="shared" si="1"/>
        <v>2.3383458646616586E-2</v>
      </c>
      <c r="U23" s="76">
        <f t="shared" si="2"/>
        <v>0.50566037735849068</v>
      </c>
      <c r="V23" s="89">
        <f t="shared" si="11"/>
        <v>3990</v>
      </c>
      <c r="W23" s="79">
        <f>IFERROR(ROUND((VLOOKUP($A23,'Из ГУГЛа'!$B:$AD,W$1,0)+Y23)*X23,),VLOOKUP($A23,'Из ГУГЛа'!$B:$AD,W$1,0))</f>
        <v>3990</v>
      </c>
      <c r="X23" s="51">
        <v>1</v>
      </c>
      <c r="Y23" s="51">
        <v>0</v>
      </c>
      <c r="Z23" s="109">
        <v>3990</v>
      </c>
      <c r="AA23" s="65" t="s">
        <v>236</v>
      </c>
      <c r="AB23" s="79" t="str">
        <f>IFERROR(ROUND((VLOOKUP($A23,'Из ГУГЛа'!$B:$AD,AB$1,0)+AD23)*AC23,),VLOOKUP($A23,'Из ГУГЛа'!$B:$AD,AB$1,0))</f>
        <v/>
      </c>
      <c r="AC23" s="51">
        <v>1</v>
      </c>
      <c r="AD23" s="51">
        <v>0</v>
      </c>
      <c r="AE23" s="41"/>
      <c r="AG23" s="79" t="str">
        <f>IFERROR(ROUND((VLOOKUP($A23,'Из ГУГЛа'!$B:$AD,AG$1,0)+AI23)*AH23,),VLOOKUP($A23,'Из ГУГЛа'!$B:$AD,AG$1,0))</f>
        <v/>
      </c>
      <c r="AH23" s="51">
        <v>1</v>
      </c>
      <c r="AI23" s="51">
        <v>0</v>
      </c>
      <c r="AJ23" s="41"/>
      <c r="AK23" s="41"/>
      <c r="AL23" s="79" t="str">
        <f>IFERROR(ROUND((VLOOKUP($A23,'Из ГУГЛа'!$B:$AD,AL$1,0)+AN23)*AM23,),VLOOKUP($A23,'Из ГУГЛа'!$B:$AD,AL$1,0))</f>
        <v/>
      </c>
      <c r="AM23" s="51">
        <v>1</v>
      </c>
      <c r="AN23" s="51">
        <v>0</v>
      </c>
      <c r="AO23" s="41"/>
      <c r="AP23" s="41"/>
    </row>
    <row r="24" spans="1:42" ht="61.5" thickTop="1" thickBot="1" x14ac:dyDescent="0.3">
      <c r="A24" s="41">
        <v>202001</v>
      </c>
      <c r="B24" s="41">
        <f>VLOOKUP($A24,'Выгр Кат'!$A:$T,B$1,0)</f>
        <v>3525</v>
      </c>
      <c r="C24" s="75" t="str">
        <f>VLOOKUP($A24,'Выгр Кат'!$A:$T,C$1,0)</f>
        <v>Пружины передней подвески Технорессор Драйв, без занижения для Лада Калина, Калина 2, Приора, Гранта</v>
      </c>
      <c r="D24" s="41" t="str">
        <f>VLOOKUP($A24,'Выгр Кат'!$A:$T,D$1,0)</f>
        <v>Y</v>
      </c>
      <c r="E24" s="41" t="str">
        <f>VLOOKUP($A24,'Выгр Кат'!$A:$T,E$1,0)</f>
        <v>1</v>
      </c>
      <c r="F24" s="41">
        <f>VLOOKUP($A24,'Выгр Кат'!$A:$T,F$1,0)</f>
        <v>0</v>
      </c>
      <c r="G24" s="36"/>
      <c r="H24" s="2" t="s">
        <v>417</v>
      </c>
      <c r="I24" s="1" t="s">
        <v>65</v>
      </c>
      <c r="J24" s="62">
        <f>N24</f>
        <v>3450</v>
      </c>
      <c r="K24" s="61">
        <f>VLOOKUP(J24,Наценка!$A$1:$B$8,2,1)</f>
        <v>1.32</v>
      </c>
      <c r="L24" s="100">
        <f>J24*1.2*100/93</f>
        <v>4451.6129032258068</v>
      </c>
      <c r="M24" s="63">
        <f>ROUNDUP(L24,-2)-10</f>
        <v>4490</v>
      </c>
      <c r="N24" s="41">
        <f>VLOOKUP($A24,'Выгр Кат'!$A:$T,N$1,0)</f>
        <v>3450</v>
      </c>
      <c r="O24" s="41">
        <f>VLOOKUP($A24,'Выгр Кат'!$A:$T,O$1,0)</f>
        <v>4490</v>
      </c>
      <c r="P24" s="52">
        <f t="shared" si="5"/>
        <v>0</v>
      </c>
      <c r="Q24" s="52">
        <f t="shared" si="6"/>
        <v>0</v>
      </c>
      <c r="R24" s="59">
        <f t="shared" si="7"/>
        <v>4175.7</v>
      </c>
      <c r="S24" s="76">
        <f t="shared" si="0"/>
        <v>0.21034782608695646</v>
      </c>
      <c r="T24" s="76">
        <f t="shared" si="1"/>
        <v>-4.6541353383458599E-2</v>
      </c>
      <c r="U24" s="76">
        <f t="shared" si="2"/>
        <v>0.15652173913043477</v>
      </c>
      <c r="V24" s="89">
        <f t="shared" si="11"/>
        <v>3990</v>
      </c>
      <c r="W24" s="79">
        <f>IFERROR(ROUND((VLOOKUP($A24,'Из ГУГЛа'!$B:$AD,W$1,0)+Y24)*X24,),VLOOKUP($A24,'Из ГУГЛа'!$B:$AD,W$1,0))</f>
        <v>3990</v>
      </c>
      <c r="X24" s="51">
        <v>1</v>
      </c>
      <c r="Y24" s="51">
        <v>0</v>
      </c>
      <c r="Z24" s="109">
        <v>3990</v>
      </c>
      <c r="AA24" s="65" t="s">
        <v>238</v>
      </c>
      <c r="AB24" s="79">
        <f>IFERROR(ROUND((VLOOKUP($A24,'Из ГУГЛа'!$B:$AD,AB$1,0)+AD24)*AC24,),VLOOKUP($A24,'Из ГУГЛа'!$B:$AD,AB$1,0))</f>
        <v>4680</v>
      </c>
      <c r="AC24" s="51">
        <v>1</v>
      </c>
      <c r="AD24" s="51">
        <v>0</v>
      </c>
      <c r="AE24" s="85">
        <v>4680</v>
      </c>
      <c r="AF24" s="65" t="s">
        <v>374</v>
      </c>
      <c r="AG24" s="79" t="str">
        <f>IFERROR(ROUND((VLOOKUP($A24,'Из ГУГЛа'!$B:$AD,AG$1,0)+AI24)*AH24,),VLOOKUP($A24,'Из ГУГЛа'!$B:$AD,AG$1,0))</f>
        <v/>
      </c>
      <c r="AH24" s="51">
        <v>1</v>
      </c>
      <c r="AI24" s="51">
        <v>0</v>
      </c>
      <c r="AJ24" s="41"/>
      <c r="AK24" s="41"/>
      <c r="AL24" s="79" t="str">
        <f>IFERROR(ROUND((VLOOKUP($A24,'Из ГУГЛа'!$B:$AD,AL$1,0)+AN24)*AM24,),VLOOKUP($A24,'Из ГУГЛа'!$B:$AD,AL$1,0))</f>
        <v/>
      </c>
      <c r="AM24" s="51">
        <v>1</v>
      </c>
      <c r="AN24" s="51">
        <v>0</v>
      </c>
      <c r="AO24" s="41"/>
      <c r="AP24" s="41"/>
    </row>
    <row r="25" spans="1:42" ht="76.5" thickTop="1" thickBot="1" x14ac:dyDescent="0.3">
      <c r="A25" s="41">
        <v>201916</v>
      </c>
      <c r="B25" s="41">
        <f>VLOOKUP($A25,'Выгр Кат'!$A:$T,B$1,0)</f>
        <v>3548</v>
      </c>
      <c r="C25" s="75" t="str">
        <f>VLOOKUP($A25,'Выгр Кат'!$A:$T,C$1,0)</f>
        <v>Пружины задней подвески ТехноРессор Драйв, без занижения для ВАЗ 2108-21099, 2113-2115, 2110-2112, Лада Калина, Калина 2, Приора, Гранта, Гранта FL</v>
      </c>
      <c r="D25" s="41" t="str">
        <f>VLOOKUP($A25,'Выгр Кат'!$A:$T,D$1,0)</f>
        <v>Y</v>
      </c>
      <c r="E25" s="41" t="str">
        <f>VLOOKUP($A25,'Выгр Кат'!$A:$T,E$1,0)</f>
        <v>1</v>
      </c>
      <c r="F25" s="41">
        <f>VLOOKUP($A25,'Выгр Кат'!$A:$T,F$1,0)</f>
        <v>0</v>
      </c>
      <c r="G25" s="36"/>
      <c r="H25" s="41" t="s">
        <v>222</v>
      </c>
      <c r="I25" s="1" t="s">
        <v>65</v>
      </c>
      <c r="J25" s="62">
        <f>N25</f>
        <v>2900</v>
      </c>
      <c r="K25" s="61">
        <f>VLOOKUP(J25,Наценка!$A$1:$B$8,2,1)</f>
        <v>1.32</v>
      </c>
      <c r="L25" s="96">
        <f>V25*1.04</f>
        <v>4461.6000000000004</v>
      </c>
      <c r="M25" s="63">
        <f t="shared" ref="M25:M42" si="21">ROUNDUP(L25,-2)-10</f>
        <v>4490</v>
      </c>
      <c r="N25" s="41">
        <f>VLOOKUP($A25,'Выгр Кат'!$A:$T,N$1,0)</f>
        <v>2900</v>
      </c>
      <c r="O25" s="41">
        <f>VLOOKUP($A25,'Выгр Кат'!$A:$T,O$1,0)</f>
        <v>4490</v>
      </c>
      <c r="P25" s="52">
        <f t="shared" si="5"/>
        <v>0</v>
      </c>
      <c r="Q25" s="52">
        <f t="shared" si="6"/>
        <v>0</v>
      </c>
      <c r="R25" s="59">
        <f t="shared" si="7"/>
        <v>4175.7</v>
      </c>
      <c r="S25" s="76">
        <f t="shared" si="0"/>
        <v>0.43989655172413777</v>
      </c>
      <c r="T25" s="76">
        <f t="shared" si="1"/>
        <v>2.6643356643356687E-2</v>
      </c>
      <c r="U25" s="76">
        <f t="shared" si="2"/>
        <v>0.47931034482758617</v>
      </c>
      <c r="V25" s="89">
        <f t="shared" si="11"/>
        <v>4290</v>
      </c>
      <c r="W25" s="79">
        <f>IFERROR(ROUND((VLOOKUP($A25,'Из ГУГЛа'!$B:$AD,W$1,0)+Y25)*X25,),VLOOKUP($A25,'Из ГУГЛа'!$B:$AD,W$1,0))</f>
        <v>4290</v>
      </c>
      <c r="X25" s="51">
        <v>1</v>
      </c>
      <c r="Y25" s="51">
        <v>0</v>
      </c>
      <c r="Z25" s="109">
        <v>4290</v>
      </c>
      <c r="AA25" s="65" t="s">
        <v>237</v>
      </c>
      <c r="AB25" s="79">
        <f>IFERROR(ROUND((VLOOKUP($A25,'Из ГУГЛа'!$B:$AD,AB$1,0)+AD25)*AC25,),VLOOKUP($A25,'Из ГУГЛа'!$B:$AD,AB$1,0))</f>
        <v>3500</v>
      </c>
      <c r="AC25" s="51">
        <v>1</v>
      </c>
      <c r="AD25" s="51">
        <v>0</v>
      </c>
      <c r="AE25" s="85">
        <v>3500</v>
      </c>
      <c r="AF25" s="65" t="s">
        <v>375</v>
      </c>
      <c r="AG25" s="79" t="str">
        <f>IFERROR(ROUND((VLOOKUP($A25,'Из ГУГЛа'!$B:$AD,AG$1,0)+AI25)*AH25,),VLOOKUP($A25,'Из ГУГЛа'!$B:$AD,AG$1,0))</f>
        <v/>
      </c>
      <c r="AH25" s="51">
        <v>1</v>
      </c>
      <c r="AI25" s="51">
        <v>0</v>
      </c>
      <c r="AJ25" s="41"/>
      <c r="AK25" s="41"/>
      <c r="AL25" s="79" t="str">
        <f>IFERROR(ROUND((VLOOKUP($A25,'Из ГУГЛа'!$B:$AD,AL$1,0)+AN25)*AM25,),VLOOKUP($A25,'Из ГУГЛа'!$B:$AD,AL$1,0))</f>
        <v/>
      </c>
      <c r="AM25" s="51">
        <v>1</v>
      </c>
      <c r="AN25" s="51">
        <v>0</v>
      </c>
      <c r="AO25" s="41"/>
      <c r="AP25" s="41"/>
    </row>
    <row r="26" spans="1:42" ht="46.5" thickTop="1" thickBot="1" x14ac:dyDescent="0.3">
      <c r="A26" s="41">
        <v>201999</v>
      </c>
      <c r="B26" s="41">
        <f>VLOOKUP($A26,'Выгр Кат'!$A:$T,B$1,0)</f>
        <v>9992</v>
      </c>
      <c r="C26" s="75" t="str">
        <f>VLOOKUP($A26,'Выгр Кат'!$A:$T,C$1,0)</f>
        <v>Пружины передней подвески Технорессор Драйв, без занижения для Лада Веста</v>
      </c>
      <c r="D26" s="41" t="str">
        <f>VLOOKUP($A26,'Выгр Кат'!$A:$T,D$1,0)</f>
        <v>Y</v>
      </c>
      <c r="E26" s="41" t="str">
        <f>VLOOKUP($A26,'Выгр Кат'!$A:$T,E$1,0)</f>
        <v>1</v>
      </c>
      <c r="F26" s="41">
        <f>VLOOKUP($A26,'Выгр Кат'!$A:$T,F$1,0)</f>
        <v>0</v>
      </c>
      <c r="G26" s="36"/>
      <c r="H26" s="106" t="s">
        <v>428</v>
      </c>
      <c r="I26" s="1" t="s">
        <v>65</v>
      </c>
      <c r="J26" s="63">
        <f>VLOOKUP(H26,Прайс!B:D,3,0)</f>
        <v>4000</v>
      </c>
      <c r="K26" s="61">
        <f>VLOOKUP(J26,Наценка!$A$1:$B$8,2,1)</f>
        <v>1.32</v>
      </c>
      <c r="L26" s="97">
        <f t="shared" si="20"/>
        <v>5974.5</v>
      </c>
      <c r="M26" s="63">
        <f t="shared" si="21"/>
        <v>5990</v>
      </c>
      <c r="N26" s="41">
        <f>VLOOKUP($A26,'Выгр Кат'!$A:$T,N$1,0)</f>
        <v>4000</v>
      </c>
      <c r="O26" s="41">
        <f>VLOOKUP($A26,'Выгр Кат'!$A:$T,O$1,0)</f>
        <v>5990</v>
      </c>
      <c r="P26" s="52">
        <f t="shared" si="5"/>
        <v>0</v>
      </c>
      <c r="Q26" s="52">
        <f t="shared" si="6"/>
        <v>0</v>
      </c>
      <c r="R26" s="59">
        <f t="shared" si="7"/>
        <v>5570.7</v>
      </c>
      <c r="S26" s="76">
        <f t="shared" si="0"/>
        <v>0.39267499999999989</v>
      </c>
      <c r="T26" s="76">
        <f t="shared" si="1"/>
        <v>2.0966608084358556E-2</v>
      </c>
      <c r="U26" s="76">
        <f t="shared" si="2"/>
        <v>0.4225000000000001</v>
      </c>
      <c r="V26" s="89">
        <f t="shared" si="11"/>
        <v>5690</v>
      </c>
      <c r="W26" s="79">
        <f>IFERROR(ROUND((VLOOKUP($A26,'Из ГУГЛа'!$B:$AD,W$1,0)+Y26)*X26,),VLOOKUP($A26,'Из ГУГЛа'!$B:$AD,W$1,0))</f>
        <v>5690</v>
      </c>
      <c r="X26" s="51">
        <v>1</v>
      </c>
      <c r="Y26" s="51">
        <v>0</v>
      </c>
      <c r="Z26" s="109">
        <v>5690</v>
      </c>
      <c r="AA26" s="65" t="s">
        <v>239</v>
      </c>
      <c r="AB26" s="79" t="str">
        <f>IFERROR(ROUND((VLOOKUP($A26,'Из ГУГЛа'!$B:$AD,AB$1,0)+AD26)*AC26,),VLOOKUP($A26,'Из ГУГЛа'!$B:$AD,AB$1,0))</f>
        <v/>
      </c>
      <c r="AC26" s="51">
        <v>1</v>
      </c>
      <c r="AD26" s="51">
        <v>0</v>
      </c>
      <c r="AE26" s="41"/>
      <c r="AG26" s="79" t="str">
        <f>IFERROR(ROUND((VLOOKUP($A26,'Из ГУГЛа'!$B:$AD,AG$1,0)+AI26)*AH26,),VLOOKUP($A26,'Из ГУГЛа'!$B:$AD,AG$1,0))</f>
        <v/>
      </c>
      <c r="AH26" s="51">
        <v>1</v>
      </c>
      <c r="AI26" s="51">
        <v>0</v>
      </c>
      <c r="AJ26" s="41"/>
      <c r="AK26" s="41"/>
      <c r="AL26" s="79" t="str">
        <f>IFERROR(ROUND((VLOOKUP($A26,'Из ГУГЛа'!$B:$AD,AL$1,0)+AN26)*AM26,),VLOOKUP($A26,'Из ГУГЛа'!$B:$AD,AL$1,0))</f>
        <v/>
      </c>
      <c r="AM26" s="51">
        <v>1</v>
      </c>
      <c r="AN26" s="51">
        <v>0</v>
      </c>
      <c r="AO26" s="41"/>
      <c r="AP26" s="41"/>
    </row>
    <row r="27" spans="1:42" ht="46.5" thickTop="1" thickBot="1" x14ac:dyDescent="0.3">
      <c r="A27" s="41">
        <v>201917</v>
      </c>
      <c r="B27" s="41">
        <f>VLOOKUP($A27,'Выгр Кат'!$A:$T,B$1,0)</f>
        <v>9993</v>
      </c>
      <c r="C27" s="75" t="str">
        <f>VLOOKUP($A27,'Выгр Кат'!$A:$T,C$1,0)</f>
        <v>Пружины задней подвески Технорессор Драйв, без занижения для Лада Веста</v>
      </c>
      <c r="D27" s="41" t="str">
        <f>VLOOKUP($A27,'Выгр Кат'!$A:$T,D$1,0)</f>
        <v>Y</v>
      </c>
      <c r="E27" s="41" t="str">
        <f>VLOOKUP($A27,'Выгр Кат'!$A:$T,E$1,0)</f>
        <v>1</v>
      </c>
      <c r="F27" s="41">
        <f>VLOOKUP($A27,'Выгр Кат'!$A:$T,F$1,0)</f>
        <v>0</v>
      </c>
      <c r="G27" s="36"/>
      <c r="H27" s="106" t="s">
        <v>448</v>
      </c>
      <c r="I27" s="1" t="s">
        <v>65</v>
      </c>
      <c r="J27" s="63">
        <f>VLOOKUP(H27,Прайс!B:D,3,0)</f>
        <v>4000</v>
      </c>
      <c r="K27" s="61">
        <f>VLOOKUP(J27,Наценка!$A$1:$B$8,2,1)</f>
        <v>1.32</v>
      </c>
      <c r="L27" s="97">
        <f t="shared" si="20"/>
        <v>6499.5</v>
      </c>
      <c r="M27" s="63">
        <f t="shared" si="21"/>
        <v>6490</v>
      </c>
      <c r="N27" s="41">
        <f>VLOOKUP($A27,'Выгр Кат'!$A:$T,N$1,0)</f>
        <v>4000</v>
      </c>
      <c r="O27" s="41">
        <f>VLOOKUP($A27,'Выгр Кат'!$A:$T,O$1,0)</f>
        <v>6490</v>
      </c>
      <c r="P27" s="52">
        <f t="shared" si="5"/>
        <v>0</v>
      </c>
      <c r="Q27" s="52">
        <f t="shared" si="6"/>
        <v>0</v>
      </c>
      <c r="R27" s="59">
        <f t="shared" si="7"/>
        <v>6035.7</v>
      </c>
      <c r="S27" s="76">
        <f t="shared" si="0"/>
        <v>0.50892499999999985</v>
      </c>
      <c r="T27" s="76">
        <f t="shared" si="1"/>
        <v>2.4927302100161579E-2</v>
      </c>
      <c r="U27" s="76">
        <f t="shared" si="2"/>
        <v>0.5475000000000001</v>
      </c>
      <c r="V27" s="89">
        <f t="shared" si="11"/>
        <v>6190</v>
      </c>
      <c r="W27" s="79">
        <f>IFERROR(ROUND((VLOOKUP($A27,'Из ГУГЛа'!$B:$AD,W$1,0)+Y27)*X27,),VLOOKUP($A27,'Из ГУГЛа'!$B:$AD,W$1,0))</f>
        <v>6190</v>
      </c>
      <c r="X27" s="51">
        <v>1</v>
      </c>
      <c r="Y27" s="51">
        <v>0</v>
      </c>
      <c r="Z27" s="109">
        <v>6190</v>
      </c>
      <c r="AA27" s="65" t="s">
        <v>240</v>
      </c>
      <c r="AB27" s="79" t="str">
        <f>IFERROR(ROUND((VLOOKUP($A27,'Из ГУГЛа'!$B:$AD,AB$1,0)+AD27)*AC27,),VLOOKUP($A27,'Из ГУГЛа'!$B:$AD,AB$1,0))</f>
        <v/>
      </c>
      <c r="AC27" s="51">
        <v>1</v>
      </c>
      <c r="AD27" s="51">
        <v>0</v>
      </c>
      <c r="AE27" s="41"/>
      <c r="AG27" s="79" t="str">
        <f>IFERROR(ROUND((VLOOKUP($A27,'Из ГУГЛа'!$B:$AD,AG$1,0)+AI27)*AH27,),VLOOKUP($A27,'Из ГУГЛа'!$B:$AD,AG$1,0))</f>
        <v/>
      </c>
      <c r="AH27" s="51">
        <v>1</v>
      </c>
      <c r="AI27" s="51">
        <v>0</v>
      </c>
      <c r="AJ27" s="41"/>
      <c r="AK27" s="41"/>
      <c r="AL27" s="79" t="str">
        <f>IFERROR(ROUND((VLOOKUP($A27,'Из ГУГЛа'!$B:$AD,AL$1,0)+AN27)*AM27,),VLOOKUP($A27,'Из ГУГЛа'!$B:$AD,AL$1,0))</f>
        <v/>
      </c>
      <c r="AM27" s="51">
        <v>1</v>
      </c>
      <c r="AN27" s="51">
        <v>0</v>
      </c>
      <c r="AO27" s="41"/>
      <c r="AP27" s="41"/>
    </row>
    <row r="28" spans="1:42" ht="46.5" thickTop="1" thickBot="1" x14ac:dyDescent="0.3">
      <c r="A28" s="41">
        <v>201900</v>
      </c>
      <c r="B28" s="41">
        <f>VLOOKUP($A28,'Выгр Кат'!$A:$T,B$1,0)</f>
        <v>9994</v>
      </c>
      <c r="C28" s="75" t="str">
        <f>VLOOKUP($A28,'Выгр Кат'!$A:$T,C$1,0)</f>
        <v>Пружины задней подвески Технорессор Драйв с завышением 20 мм для Лада Веста</v>
      </c>
      <c r="D28" s="41" t="str">
        <f>VLOOKUP($A28,'Выгр Кат'!$A:$T,D$1,0)</f>
        <v>Y</v>
      </c>
      <c r="E28" s="41" t="str">
        <f>VLOOKUP($A28,'Выгр Кат'!$A:$T,E$1,0)</f>
        <v>1</v>
      </c>
      <c r="F28" s="41">
        <f>VLOOKUP($A28,'Выгр Кат'!$A:$T,F$1,0)</f>
        <v>0</v>
      </c>
      <c r="G28" s="36"/>
      <c r="H28" s="106" t="s">
        <v>449</v>
      </c>
      <c r="I28" s="1" t="s">
        <v>65</v>
      </c>
      <c r="J28" s="63">
        <f>VLOOKUP(H28,Прайс!B:D,3,0)</f>
        <v>4000</v>
      </c>
      <c r="K28" s="61">
        <f>VLOOKUP(J28,Наценка!$A$1:$B$8,2,1)</f>
        <v>1.32</v>
      </c>
      <c r="L28" s="97">
        <f t="shared" si="20"/>
        <v>5974.5</v>
      </c>
      <c r="M28" s="63">
        <f t="shared" si="21"/>
        <v>5990</v>
      </c>
      <c r="N28" s="41">
        <f>VLOOKUP($A28,'Выгр Кат'!$A:$T,N$1,0)</f>
        <v>4000</v>
      </c>
      <c r="O28" s="41">
        <f>VLOOKUP($A28,'Выгр Кат'!$A:$T,O$1,0)</f>
        <v>5990</v>
      </c>
      <c r="P28" s="52">
        <f t="shared" si="5"/>
        <v>0</v>
      </c>
      <c r="Q28" s="52">
        <f t="shared" si="6"/>
        <v>0</v>
      </c>
      <c r="R28" s="59">
        <f t="shared" si="7"/>
        <v>5570.7</v>
      </c>
      <c r="S28" s="76">
        <f t="shared" si="0"/>
        <v>0.39267499999999989</v>
      </c>
      <c r="T28" s="76">
        <f t="shared" si="1"/>
        <v>2.0966608084358556E-2</v>
      </c>
      <c r="U28" s="76">
        <f t="shared" si="2"/>
        <v>0.4225000000000001</v>
      </c>
      <c r="V28" s="89">
        <f t="shared" si="11"/>
        <v>5690</v>
      </c>
      <c r="W28" s="79">
        <f>IFERROR(ROUND((VLOOKUP($A28,'Из ГУГЛа'!$B:$AD,W$1,0)+Y28)*X28,),VLOOKUP($A28,'Из ГУГЛа'!$B:$AD,W$1,0))</f>
        <v>5690</v>
      </c>
      <c r="X28" s="51">
        <v>1</v>
      </c>
      <c r="Y28" s="51">
        <v>0</v>
      </c>
      <c r="Z28" s="109">
        <v>5690</v>
      </c>
      <c r="AA28" s="65" t="s">
        <v>261</v>
      </c>
      <c r="AB28" s="79" t="str">
        <f>IFERROR(ROUND((VLOOKUP($A28,'Из ГУГЛа'!$B:$AD,AB$1,0)+AD28)*AC28,),VLOOKUP($A28,'Из ГУГЛа'!$B:$AD,AB$1,0))</f>
        <v/>
      </c>
      <c r="AC28" s="51">
        <v>1</v>
      </c>
      <c r="AD28" s="51">
        <v>0</v>
      </c>
      <c r="AE28" s="41"/>
      <c r="AG28" s="79" t="str">
        <f>IFERROR(ROUND((VLOOKUP($A28,'Из ГУГЛа'!$B:$AD,AG$1,0)+AI28)*AH28,),VLOOKUP($A28,'Из ГУГЛа'!$B:$AD,AG$1,0))</f>
        <v/>
      </c>
      <c r="AH28" s="51">
        <v>1</v>
      </c>
      <c r="AI28" s="51">
        <v>0</v>
      </c>
      <c r="AJ28" s="41"/>
      <c r="AK28" s="41"/>
      <c r="AL28" s="79" t="str">
        <f>IFERROR(ROUND((VLOOKUP($A28,'Из ГУГЛа'!$B:$AD,AL$1,0)+AN28)*AM28,),VLOOKUP($A28,'Из ГУГЛа'!$B:$AD,AL$1,0))</f>
        <v/>
      </c>
      <c r="AM28" s="51">
        <v>1</v>
      </c>
      <c r="AN28" s="51">
        <v>0</v>
      </c>
      <c r="AO28" s="41"/>
      <c r="AP28" s="41"/>
    </row>
    <row r="29" spans="1:42" ht="46.5" thickTop="1" thickBot="1" x14ac:dyDescent="0.3">
      <c r="A29" s="41">
        <v>201967</v>
      </c>
      <c r="B29" s="41">
        <f>VLOOKUP($A29,'Выгр Кат'!$A:$T,B$1,0)</f>
        <v>9995</v>
      </c>
      <c r="C29" s="75" t="str">
        <f>VLOOKUP($A29,'Выгр Кат'!$A:$T,C$1,0)</f>
        <v>Пружины передней подвески Технорессор Драйв с завышением 20 мм для Лада Веста</v>
      </c>
      <c r="D29" s="41" t="str">
        <f>VLOOKUP($A29,'Выгр Кат'!$A:$T,D$1,0)</f>
        <v>Y</v>
      </c>
      <c r="E29" s="41" t="str">
        <f>VLOOKUP($A29,'Выгр Кат'!$A:$T,E$1,0)</f>
        <v>1</v>
      </c>
      <c r="F29" s="41">
        <f>VLOOKUP($A29,'Выгр Кат'!$A:$T,F$1,0)</f>
        <v>0</v>
      </c>
      <c r="G29" s="36"/>
      <c r="H29" s="106" t="s">
        <v>427</v>
      </c>
      <c r="I29" s="1" t="s">
        <v>65</v>
      </c>
      <c r="J29" s="63">
        <f>VLOOKUP(H29,Прайс!B:D,3,0)</f>
        <v>4000</v>
      </c>
      <c r="K29" s="61">
        <f>VLOOKUP(J29,Наценка!$A$1:$B$8,2,1)</f>
        <v>1.32</v>
      </c>
      <c r="L29" s="97">
        <f t="shared" si="20"/>
        <v>5974.5</v>
      </c>
      <c r="M29" s="63">
        <f t="shared" si="21"/>
        <v>5990</v>
      </c>
      <c r="N29" s="41">
        <f>VLOOKUP($A29,'Выгр Кат'!$A:$T,N$1,0)</f>
        <v>4000</v>
      </c>
      <c r="O29" s="41">
        <f>VLOOKUP($A29,'Выгр Кат'!$A:$T,O$1,0)</f>
        <v>5990</v>
      </c>
      <c r="P29" s="52">
        <f t="shared" si="5"/>
        <v>0</v>
      </c>
      <c r="Q29" s="52">
        <f t="shared" si="6"/>
        <v>0</v>
      </c>
      <c r="R29" s="59">
        <f t="shared" si="7"/>
        <v>5570.7</v>
      </c>
      <c r="S29" s="76">
        <f t="shared" si="0"/>
        <v>0.39267499999999989</v>
      </c>
      <c r="T29" s="76">
        <f t="shared" si="1"/>
        <v>2.0966608084358556E-2</v>
      </c>
      <c r="U29" s="76">
        <f t="shared" si="2"/>
        <v>0.4225000000000001</v>
      </c>
      <c r="V29" s="89">
        <f t="shared" si="11"/>
        <v>5690</v>
      </c>
      <c r="W29" s="79">
        <f>IFERROR(ROUND((VLOOKUP($A29,'Из ГУГЛа'!$B:$AD,W$1,0)+Y29)*X29,),VLOOKUP($A29,'Из ГУГЛа'!$B:$AD,W$1,0))</f>
        <v>5690</v>
      </c>
      <c r="X29" s="51">
        <v>1</v>
      </c>
      <c r="Y29" s="51">
        <v>0</v>
      </c>
      <c r="Z29" s="109">
        <v>5690</v>
      </c>
      <c r="AA29" s="65" t="s">
        <v>262</v>
      </c>
      <c r="AB29" s="79" t="str">
        <f>IFERROR(ROUND((VLOOKUP($A29,'Из ГУГЛа'!$B:$AD,AB$1,0)+AD29)*AC29,),VLOOKUP($A29,'Из ГУГЛа'!$B:$AD,AB$1,0))</f>
        <v/>
      </c>
      <c r="AC29" s="51">
        <v>1</v>
      </c>
      <c r="AD29" s="51">
        <v>0</v>
      </c>
      <c r="AE29" s="41"/>
      <c r="AG29" s="79" t="str">
        <f>IFERROR(ROUND((VLOOKUP($A29,'Из ГУГЛа'!$B:$AD,AG$1,0)+AI29)*AH29,),VLOOKUP($A29,'Из ГУГЛа'!$B:$AD,AG$1,0))</f>
        <v/>
      </c>
      <c r="AH29" s="51">
        <v>1</v>
      </c>
      <c r="AI29" s="51">
        <v>0</v>
      </c>
      <c r="AJ29" s="41"/>
      <c r="AK29" s="41"/>
      <c r="AL29" s="79" t="str">
        <f>IFERROR(ROUND((VLOOKUP($A29,'Из ГУГЛа'!$B:$AD,AL$1,0)+AN29)*AM29,),VLOOKUP($A29,'Из ГУГЛа'!$B:$AD,AL$1,0))</f>
        <v/>
      </c>
      <c r="AM29" s="51">
        <v>1</v>
      </c>
      <c r="AN29" s="51">
        <v>0</v>
      </c>
      <c r="AO29" s="41"/>
      <c r="AP29" s="41"/>
    </row>
    <row r="30" spans="1:42" ht="61.5" thickTop="1" thickBot="1" x14ac:dyDescent="0.3">
      <c r="A30" s="41">
        <v>201995</v>
      </c>
      <c r="B30" s="41">
        <f>VLOOKUP($A30,'Выгр Кат'!$A:$T,B$1,0)</f>
        <v>10325</v>
      </c>
      <c r="C30" s="75" t="str">
        <f>VLOOKUP($A30,'Выгр Кат'!$A:$T,C$1,0)</f>
        <v>Пружины передней подвески ТехноРессор Драйв усиленные, с завышением 20 мм для ВАЗ 2108-21099, 2113-2115, 2110-2112</v>
      </c>
      <c r="D30" s="41" t="str">
        <f>VLOOKUP($A30,'Выгр Кат'!$A:$T,D$1,0)</f>
        <v>Y</v>
      </c>
      <c r="E30" s="41" t="str">
        <f>VLOOKUP($A30,'Выгр Кат'!$A:$T,E$1,0)</f>
        <v>0</v>
      </c>
      <c r="F30" s="41">
        <f>VLOOKUP($A30,'Выгр Кат'!$A:$T,F$1,0)</f>
        <v>0</v>
      </c>
      <c r="G30" s="36"/>
      <c r="H30" s="2" t="s">
        <v>226</v>
      </c>
      <c r="I30" s="1" t="s">
        <v>65</v>
      </c>
      <c r="J30" s="62">
        <f>N30</f>
        <v>2750</v>
      </c>
      <c r="K30" s="61">
        <f>VLOOKUP(J30,Наценка!$A$1:$B$8,2,1)</f>
        <v>1.32</v>
      </c>
      <c r="L30" s="97">
        <f t="shared" si="20"/>
        <v>4189.5</v>
      </c>
      <c r="M30" s="63">
        <f t="shared" si="21"/>
        <v>4190</v>
      </c>
      <c r="N30" s="41">
        <f>VLOOKUP($A30,'Выгр Кат'!$A:$T,N$1,0)</f>
        <v>2750</v>
      </c>
      <c r="O30" s="41">
        <f>VLOOKUP($A30,'Выгр Кат'!$A:$T,O$1,0)</f>
        <v>4190</v>
      </c>
      <c r="P30" s="52">
        <f t="shared" si="5"/>
        <v>0</v>
      </c>
      <c r="Q30" s="52">
        <f t="shared" si="6"/>
        <v>0</v>
      </c>
      <c r="R30" s="59">
        <f t="shared" si="7"/>
        <v>3896.7</v>
      </c>
      <c r="S30" s="76">
        <f t="shared" si="0"/>
        <v>0.41698181818181812</v>
      </c>
      <c r="T30" s="76">
        <f t="shared" si="1"/>
        <v>2.3383458646616586E-2</v>
      </c>
      <c r="U30" s="76">
        <f t="shared" si="2"/>
        <v>0.45090909090909093</v>
      </c>
      <c r="V30" s="89">
        <f t="shared" si="11"/>
        <v>3990</v>
      </c>
      <c r="W30" s="79">
        <f>IFERROR(ROUND((VLOOKUP($A30,'Из ГУГЛа'!$B:$AD,W$1,0)+Y30)*X30,),VLOOKUP($A30,'Из ГУГЛа'!$B:$AD,W$1,0))</f>
        <v>3990</v>
      </c>
      <c r="X30" s="51">
        <v>1</v>
      </c>
      <c r="Y30" s="51">
        <v>0</v>
      </c>
      <c r="Z30" s="86">
        <v>3990</v>
      </c>
      <c r="AA30" s="65" t="s">
        <v>336</v>
      </c>
      <c r="AB30" s="79" t="str">
        <f>IFERROR(ROUND((VLOOKUP($A30,'Из ГУГЛа'!$B:$AD,AB$1,0)+AD30)*AC30,),VLOOKUP($A30,'Из ГУГЛа'!$B:$AD,AB$1,0))</f>
        <v/>
      </c>
      <c r="AC30" s="51">
        <v>1</v>
      </c>
      <c r="AD30" s="51">
        <v>0</v>
      </c>
      <c r="AE30" s="41"/>
      <c r="AG30" s="79" t="str">
        <f>IFERROR(ROUND((VLOOKUP($A30,'Из ГУГЛа'!$B:$AD,AG$1,0)+AI30)*AH30,),VLOOKUP($A30,'Из ГУГЛа'!$B:$AD,AG$1,0))</f>
        <v/>
      </c>
      <c r="AH30" s="51">
        <v>1</v>
      </c>
      <c r="AI30" s="51">
        <v>0</v>
      </c>
      <c r="AJ30" s="41"/>
      <c r="AK30" s="41"/>
      <c r="AL30" s="79" t="str">
        <f>IFERROR(ROUND((VLOOKUP($A30,'Из ГУГЛа'!$B:$AD,AL$1,0)+AN30)*AM30,),VLOOKUP($A30,'Из ГУГЛа'!$B:$AD,AL$1,0))</f>
        <v/>
      </c>
      <c r="AM30" s="51">
        <v>1</v>
      </c>
      <c r="AN30" s="51">
        <v>0</v>
      </c>
      <c r="AO30" s="41"/>
      <c r="AP30" s="41"/>
    </row>
    <row r="31" spans="1:42" ht="46.5" thickTop="1" thickBot="1" x14ac:dyDescent="0.3">
      <c r="A31" s="41">
        <v>187444</v>
      </c>
      <c r="B31" s="41">
        <f>VLOOKUP($A31,'Выгр Кат'!$A:$T,B$1,0)</f>
        <v>16488</v>
      </c>
      <c r="C31" s="75" t="str">
        <f>VLOOKUP($A31,'Выгр Кат'!$A:$T,C$1,0)</f>
        <v>Пружины передней подвески Технорессор Драйв с завышением 20 мм для ВАЗ 2101-2107</v>
      </c>
      <c r="D31" s="41" t="str">
        <f>VLOOKUP($A31,'Выгр Кат'!$A:$T,D$1,0)</f>
        <v>Y</v>
      </c>
      <c r="E31" s="41" t="str">
        <f>VLOOKUP($A31,'Выгр Кат'!$A:$T,E$1,0)</f>
        <v>1</v>
      </c>
      <c r="F31" s="41">
        <f>VLOOKUP($A31,'Выгр Кат'!$A:$T,F$1,0)</f>
        <v>0</v>
      </c>
      <c r="G31" s="36"/>
      <c r="H31" s="45" t="s">
        <v>189</v>
      </c>
      <c r="I31" s="1" t="s">
        <v>65</v>
      </c>
      <c r="J31" s="62">
        <f>N31</f>
        <v>2650</v>
      </c>
      <c r="K31" s="61">
        <f>VLOOKUP(J31,Наценка!$A$1:$B$8,2,1)</f>
        <v>1.32</v>
      </c>
      <c r="L31" s="64">
        <f t="shared" si="10"/>
        <v>3498</v>
      </c>
      <c r="M31" s="63">
        <f t="shared" si="21"/>
        <v>3490</v>
      </c>
      <c r="N31" s="41">
        <f>VLOOKUP($A31,'Выгр Кат'!$A:$T,N$1,0)</f>
        <v>2650</v>
      </c>
      <c r="O31" s="41">
        <f>VLOOKUP($A31,'Выгр Кат'!$A:$T,O$1,0)</f>
        <v>3490</v>
      </c>
      <c r="P31" s="52">
        <f t="shared" si="5"/>
        <v>0</v>
      </c>
      <c r="Q31" s="52">
        <f t="shared" si="6"/>
        <v>0</v>
      </c>
      <c r="R31" s="59">
        <f t="shared" si="7"/>
        <v>3245.7</v>
      </c>
      <c r="S31" s="76">
        <f t="shared" si="0"/>
        <v>0.22479245283018856</v>
      </c>
      <c r="T31" s="76" t="str">
        <f t="shared" si="1"/>
        <v/>
      </c>
      <c r="U31" s="76" t="str">
        <f t="shared" si="2"/>
        <v/>
      </c>
      <c r="V31" s="108"/>
      <c r="W31" s="79">
        <f>IFERROR(ROUND((VLOOKUP($A31,'Из ГУГЛа'!$B:$AD,W$1,0)+Y31)*X31,),VLOOKUP($A31,'Из ГУГЛа'!$B:$AD,W$1,0))</f>
        <v>2690</v>
      </c>
      <c r="X31" s="51">
        <v>1</v>
      </c>
      <c r="Y31" s="51">
        <v>0</v>
      </c>
      <c r="Z31" s="109" t="s">
        <v>234</v>
      </c>
      <c r="AA31" s="65" t="s">
        <v>244</v>
      </c>
      <c r="AB31" s="79" t="str">
        <f>IFERROR(ROUND((VLOOKUP($A31,'Из ГУГЛа'!$B:$AD,AB$1,0)+AD31)*AC31,),VLOOKUP($A31,'Из ГУГЛа'!$B:$AD,AB$1,0))</f>
        <v/>
      </c>
      <c r="AC31" s="51">
        <v>1</v>
      </c>
      <c r="AD31" s="51">
        <v>0</v>
      </c>
      <c r="AE31" s="41"/>
      <c r="AG31" s="79" t="str">
        <f>IFERROR(ROUND((VLOOKUP($A31,'Из ГУГЛа'!$B:$AD,AG$1,0)+AI31)*AH31,),VLOOKUP($A31,'Из ГУГЛа'!$B:$AD,AG$1,0))</f>
        <v/>
      </c>
      <c r="AH31" s="51">
        <v>1</v>
      </c>
      <c r="AI31" s="51">
        <v>0</v>
      </c>
      <c r="AJ31" s="41"/>
      <c r="AK31" s="41"/>
      <c r="AL31" s="79" t="str">
        <f>IFERROR(ROUND((VLOOKUP($A31,'Из ГУГЛа'!$B:$AD,AL$1,0)+AN31)*AM31,),VLOOKUP($A31,'Из ГУГЛа'!$B:$AD,AL$1,0))</f>
        <v/>
      </c>
      <c r="AM31" s="51">
        <v>1</v>
      </c>
      <c r="AN31" s="51">
        <v>0</v>
      </c>
      <c r="AO31" s="41"/>
      <c r="AP31" s="41"/>
    </row>
    <row r="32" spans="1:42" ht="46.5" thickTop="1" thickBot="1" x14ac:dyDescent="0.3">
      <c r="A32" s="41">
        <v>187451</v>
      </c>
      <c r="B32" s="41">
        <f>VLOOKUP($A32,'Выгр Кат'!$A:$T,B$1,0)</f>
        <v>16489</v>
      </c>
      <c r="C32" s="75" t="str">
        <f>VLOOKUP($A32,'Выгр Кат'!$A:$T,C$1,0)</f>
        <v>Пружины передней подвески Технорессор Драйв усиленные, с завышением 20 мм для ВАЗ 2101-2107</v>
      </c>
      <c r="D32" s="41" t="str">
        <f>VLOOKUP($A32,'Выгр Кат'!$A:$T,D$1,0)</f>
        <v>Y</v>
      </c>
      <c r="E32" s="41" t="str">
        <f>VLOOKUP($A32,'Выгр Кат'!$A:$T,E$1,0)</f>
        <v>0</v>
      </c>
      <c r="F32" s="41">
        <f>VLOOKUP($A32,'Выгр Кат'!$A:$T,F$1,0)</f>
        <v>0</v>
      </c>
      <c r="G32" s="36"/>
      <c r="H32" s="2" t="s">
        <v>221</v>
      </c>
      <c r="I32" s="1" t="s">
        <v>65</v>
      </c>
      <c r="J32" s="62">
        <f>N32</f>
        <v>2650</v>
      </c>
      <c r="K32" s="61">
        <f>VLOOKUP(J32,Наценка!$A$1:$B$8,2,1)</f>
        <v>1.32</v>
      </c>
      <c r="L32" s="64">
        <f t="shared" si="10"/>
        <v>3498</v>
      </c>
      <c r="M32" s="63">
        <f t="shared" si="21"/>
        <v>3490</v>
      </c>
      <c r="N32" s="41">
        <f>VLOOKUP($A32,'Выгр Кат'!$A:$T,N$1,0)</f>
        <v>2650</v>
      </c>
      <c r="O32" s="41">
        <f>VLOOKUP($A32,'Выгр Кат'!$A:$T,O$1,0)</f>
        <v>3490</v>
      </c>
      <c r="P32" s="52">
        <f t="shared" si="5"/>
        <v>0</v>
      </c>
      <c r="Q32" s="52">
        <f t="shared" si="6"/>
        <v>0</v>
      </c>
      <c r="R32" s="59">
        <f t="shared" si="7"/>
        <v>3245.7</v>
      </c>
      <c r="S32" s="76">
        <f t="shared" si="0"/>
        <v>0.22479245283018856</v>
      </c>
      <c r="T32" s="76" t="str">
        <f t="shared" si="1"/>
        <v/>
      </c>
      <c r="U32" s="76" t="str">
        <f t="shared" si="2"/>
        <v/>
      </c>
      <c r="V32" s="108"/>
      <c r="W32" s="79">
        <f>IFERROR(ROUND((VLOOKUP($A32,'Из ГУГЛа'!$B:$AD,W$1,0)+Y32)*X32,),VLOOKUP($A32,'Из ГУГЛа'!$B:$AD,W$1,0))</f>
        <v>2690</v>
      </c>
      <c r="X32" s="51">
        <v>1</v>
      </c>
      <c r="Y32" s="51">
        <v>0</v>
      </c>
      <c r="Z32" s="109" t="s">
        <v>234</v>
      </c>
      <c r="AA32" s="65" t="s">
        <v>244</v>
      </c>
      <c r="AB32" s="79" t="str">
        <f>IFERROR(ROUND((VLOOKUP($A32,'Из ГУГЛа'!$B:$AD,AB$1,0)+AD32)*AC32,),VLOOKUP($A32,'Из ГУГЛа'!$B:$AD,AB$1,0))</f>
        <v/>
      </c>
      <c r="AC32" s="51">
        <v>1</v>
      </c>
      <c r="AD32" s="51">
        <v>0</v>
      </c>
      <c r="AE32" s="41"/>
      <c r="AG32" s="79" t="str">
        <f>IFERROR(ROUND((VLOOKUP($A32,'Из ГУГЛа'!$B:$AD,AG$1,0)+AI32)*AH32,),VLOOKUP($A32,'Из ГУГЛа'!$B:$AD,AG$1,0))</f>
        <v/>
      </c>
      <c r="AH32" s="51">
        <v>1</v>
      </c>
      <c r="AI32" s="51">
        <v>0</v>
      </c>
      <c r="AJ32" s="41"/>
      <c r="AK32" s="41"/>
      <c r="AL32" s="79" t="str">
        <f>IFERROR(ROUND((VLOOKUP($A32,'Из ГУГЛа'!$B:$AD,AL$1,0)+AN32)*AM32,),VLOOKUP($A32,'Из ГУГЛа'!$B:$AD,AL$1,0))</f>
        <v/>
      </c>
      <c r="AM32" s="51">
        <v>1</v>
      </c>
      <c r="AN32" s="51">
        <v>0</v>
      </c>
      <c r="AO32" s="41"/>
      <c r="AP32" s="41"/>
    </row>
    <row r="33" spans="1:42" ht="46.5" thickTop="1" thickBot="1" x14ac:dyDescent="0.3">
      <c r="A33" s="41">
        <v>145461</v>
      </c>
      <c r="B33" s="41">
        <f>VLOOKUP($A33,'Выгр Кат'!$A:$T,B$1,0)</f>
        <v>16490</v>
      </c>
      <c r="C33" s="75" t="str">
        <f>VLOOKUP($A33,'Выгр Кат'!$A:$T,C$1,0)</f>
        <v>Пружины задней подвески Технорессор Драйв с завышением 20 мм для ВАЗ 2101-2107</v>
      </c>
      <c r="D33" s="41" t="str">
        <f>VLOOKUP($A33,'Выгр Кат'!$A:$T,D$1,0)</f>
        <v>Y</v>
      </c>
      <c r="E33" s="41" t="str">
        <f>VLOOKUP($A33,'Выгр Кат'!$A:$T,E$1,0)</f>
        <v>1ск4</v>
      </c>
      <c r="F33" s="41">
        <f>VLOOKUP($A33,'Выгр Кат'!$A:$T,F$1,0)</f>
        <v>0</v>
      </c>
      <c r="G33" s="36"/>
      <c r="H33" s="45" t="s">
        <v>189</v>
      </c>
      <c r="I33" s="1" t="s">
        <v>65</v>
      </c>
      <c r="J33" s="62">
        <f>N33</f>
        <v>3200</v>
      </c>
      <c r="K33" s="61">
        <f>VLOOKUP(J33,Наценка!$A$1:$B$8,2,1)</f>
        <v>1.32</v>
      </c>
      <c r="L33" s="64">
        <f t="shared" si="10"/>
        <v>4224</v>
      </c>
      <c r="M33" s="63">
        <f t="shared" si="21"/>
        <v>4290</v>
      </c>
      <c r="N33" s="41">
        <f>VLOOKUP($A33,'Выгр Кат'!$A:$T,N$1,0)</f>
        <v>3200</v>
      </c>
      <c r="O33" s="41">
        <f>VLOOKUP($A33,'Выгр Кат'!$A:$T,O$1,0)</f>
        <v>4290</v>
      </c>
      <c r="P33" s="52">
        <f t="shared" si="5"/>
        <v>0</v>
      </c>
      <c r="Q33" s="52">
        <f t="shared" si="6"/>
        <v>0</v>
      </c>
      <c r="R33" s="59">
        <f t="shared" si="7"/>
        <v>3989.7</v>
      </c>
      <c r="S33" s="76">
        <f t="shared" si="0"/>
        <v>0.24678124999999995</v>
      </c>
      <c r="T33" s="76" t="str">
        <f t="shared" si="1"/>
        <v/>
      </c>
      <c r="U33" s="76" t="str">
        <f t="shared" si="2"/>
        <v/>
      </c>
      <c r="V33" s="108"/>
      <c r="W33" s="79">
        <f>IFERROR(ROUND((VLOOKUP($A33,'Из ГУГЛа'!$B:$AD,W$1,0)+Y33)*X33,),VLOOKUP($A33,'Из ГУГЛа'!$B:$AD,W$1,0))</f>
        <v>2690</v>
      </c>
      <c r="X33" s="51">
        <v>1</v>
      </c>
      <c r="Y33" s="51">
        <v>0</v>
      </c>
      <c r="Z33" s="109" t="s">
        <v>234</v>
      </c>
      <c r="AA33" s="65" t="s">
        <v>243</v>
      </c>
      <c r="AB33" s="79" t="str">
        <f>IFERROR(ROUND((VLOOKUP($A33,'Из ГУГЛа'!$B:$AD,AB$1,0)+AD33)*AC33,),VLOOKUP($A33,'Из ГУГЛа'!$B:$AD,AB$1,0))</f>
        <v/>
      </c>
      <c r="AC33" s="51">
        <v>1</v>
      </c>
      <c r="AD33" s="51">
        <v>0</v>
      </c>
      <c r="AE33" s="41"/>
      <c r="AG33" s="79" t="str">
        <f>IFERROR(ROUND((VLOOKUP($A33,'Из ГУГЛа'!$B:$AD,AG$1,0)+AI33)*AH33,),VLOOKUP($A33,'Из ГУГЛа'!$B:$AD,AG$1,0))</f>
        <v/>
      </c>
      <c r="AH33" s="51">
        <v>1</v>
      </c>
      <c r="AI33" s="51">
        <v>0</v>
      </c>
      <c r="AJ33" s="41"/>
      <c r="AK33" s="41"/>
      <c r="AL33" s="79" t="str">
        <f>IFERROR(ROUND((VLOOKUP($A33,'Из ГУГЛа'!$B:$AD,AL$1,0)+AN33)*AM33,),VLOOKUP($A33,'Из ГУГЛа'!$B:$AD,AL$1,0))</f>
        <v/>
      </c>
      <c r="AM33" s="51">
        <v>1</v>
      </c>
      <c r="AN33" s="51">
        <v>0</v>
      </c>
      <c r="AO33" s="41"/>
      <c r="AP33" s="41"/>
    </row>
    <row r="34" spans="1:42" ht="46.5" thickTop="1" thickBot="1" x14ac:dyDescent="0.3">
      <c r="A34" s="41">
        <v>145468</v>
      </c>
      <c r="B34" s="41">
        <f>VLOOKUP($A34,'Выгр Кат'!$A:$T,B$1,0)</f>
        <v>16491</v>
      </c>
      <c r="C34" s="75" t="str">
        <f>VLOOKUP($A34,'Выгр Кат'!$A:$T,C$1,0)</f>
        <v>Пружины задней подвески Технорессор Драйв усиленные, с завышением 20 мм для ВАЗ 2101-2107</v>
      </c>
      <c r="D34" s="41" t="str">
        <f>VLOOKUP($A34,'Выгр Кат'!$A:$T,D$1,0)</f>
        <v>Y</v>
      </c>
      <c r="E34" s="41" t="str">
        <f>VLOOKUP($A34,'Выгр Кат'!$A:$T,E$1,0)</f>
        <v>0</v>
      </c>
      <c r="F34" s="41">
        <f>VLOOKUP($A34,'Выгр Кат'!$A:$T,F$1,0)</f>
        <v>0</v>
      </c>
      <c r="G34" s="36"/>
      <c r="H34" s="2" t="s">
        <v>221</v>
      </c>
      <c r="I34" s="1" t="s">
        <v>65</v>
      </c>
      <c r="J34" s="62">
        <f>N34</f>
        <v>2650</v>
      </c>
      <c r="K34" s="61">
        <f>VLOOKUP(J34,Наценка!$A$1:$B$8,2,1)</f>
        <v>1.32</v>
      </c>
      <c r="L34" s="64">
        <f t="shared" si="10"/>
        <v>3498</v>
      </c>
      <c r="M34" s="63">
        <f t="shared" si="21"/>
        <v>3490</v>
      </c>
      <c r="N34" s="41">
        <f>VLOOKUP($A34,'Выгр Кат'!$A:$T,N$1,0)</f>
        <v>2650</v>
      </c>
      <c r="O34" s="41">
        <f>VLOOKUP($A34,'Выгр Кат'!$A:$T,O$1,0)</f>
        <v>3490</v>
      </c>
      <c r="P34" s="52">
        <f t="shared" si="5"/>
        <v>0</v>
      </c>
      <c r="Q34" s="52">
        <f t="shared" si="6"/>
        <v>0</v>
      </c>
      <c r="R34" s="59">
        <f t="shared" si="7"/>
        <v>3245.7</v>
      </c>
      <c r="S34" s="76">
        <f t="shared" si="0"/>
        <v>0.22479245283018856</v>
      </c>
      <c r="T34" s="76" t="str">
        <f t="shared" si="1"/>
        <v/>
      </c>
      <c r="U34" s="76" t="str">
        <f t="shared" si="2"/>
        <v/>
      </c>
      <c r="V34" s="108"/>
      <c r="W34" s="79">
        <f>IFERROR(ROUND((VLOOKUP($A34,'Из ГУГЛа'!$B:$AD,W$1,0)+Y34)*X34,),VLOOKUP($A34,'Из ГУГЛа'!$B:$AD,W$1,0))</f>
        <v>2690</v>
      </c>
      <c r="X34" s="51">
        <v>1</v>
      </c>
      <c r="Y34" s="51">
        <v>0</v>
      </c>
      <c r="Z34" s="109" t="s">
        <v>234</v>
      </c>
      <c r="AA34" s="65" t="s">
        <v>260</v>
      </c>
      <c r="AB34" s="79" t="str">
        <f>IFERROR(ROUND((VLOOKUP($A34,'Из ГУГЛа'!$B:$AD,AB$1,0)+AD34)*AC34,),VLOOKUP($A34,'Из ГУГЛа'!$B:$AD,AB$1,0))</f>
        <v/>
      </c>
      <c r="AC34" s="51">
        <v>1</v>
      </c>
      <c r="AD34" s="51">
        <v>0</v>
      </c>
      <c r="AE34" s="41"/>
      <c r="AG34" s="79" t="str">
        <f>IFERROR(ROUND((VLOOKUP($A34,'Из ГУГЛа'!$B:$AD,AG$1,0)+AI34)*AH34,),VLOOKUP($A34,'Из ГУГЛа'!$B:$AD,AG$1,0))</f>
        <v/>
      </c>
      <c r="AH34" s="51">
        <v>1</v>
      </c>
      <c r="AI34" s="51">
        <v>0</v>
      </c>
      <c r="AJ34" s="41"/>
      <c r="AK34" s="41"/>
      <c r="AL34" s="79" t="str">
        <f>IFERROR(ROUND((VLOOKUP($A34,'Из ГУГЛа'!$B:$AD,AL$1,0)+AN34)*AM34,),VLOOKUP($A34,'Из ГУГЛа'!$B:$AD,AL$1,0))</f>
        <v/>
      </c>
      <c r="AM34" s="51">
        <v>1</v>
      </c>
      <c r="AN34" s="51">
        <v>0</v>
      </c>
      <c r="AO34" s="41"/>
      <c r="AP34" s="41"/>
    </row>
    <row r="35" spans="1:42" ht="46.5" thickTop="1" thickBot="1" x14ac:dyDescent="0.3">
      <c r="A35" s="41">
        <v>187452</v>
      </c>
      <c r="B35" s="41">
        <f>VLOOKUP($A35,'Выгр Кат'!$A:$T,B$1,0)</f>
        <v>16492</v>
      </c>
      <c r="C35" s="75" t="str">
        <f>VLOOKUP($A35,'Выгр Кат'!$A:$T,C$1,0)</f>
        <v>Пружины передней подвески Технорессор Драйв без занижения для ВАЗ 2101-2107</v>
      </c>
      <c r="D35" s="41" t="str">
        <f>VLOOKUP($A35,'Выгр Кат'!$A:$T,D$1,0)</f>
        <v>Y</v>
      </c>
      <c r="E35" s="41" t="str">
        <f>VLOOKUP($A35,'Выгр Кат'!$A:$T,E$1,0)</f>
        <v>1</v>
      </c>
      <c r="F35" s="41">
        <f>VLOOKUP($A35,'Выгр Кат'!$A:$T,F$1,0)</f>
        <v>0</v>
      </c>
      <c r="G35" s="36"/>
      <c r="H35" s="45" t="s">
        <v>189</v>
      </c>
      <c r="I35" s="1" t="s">
        <v>65</v>
      </c>
      <c r="J35" s="63">
        <f>VLOOKUP(H35,Прайс!B:D,3,0)</f>
        <v>2550</v>
      </c>
      <c r="K35" s="61">
        <f>VLOOKUP(J35,Наценка!$A$1:$B$8,2,1)</f>
        <v>1.32</v>
      </c>
      <c r="L35" s="97">
        <f t="shared" ref="L35:L43" si="22">V35*1.05</f>
        <v>4399.5</v>
      </c>
      <c r="M35" s="63">
        <f t="shared" si="21"/>
        <v>4390</v>
      </c>
      <c r="N35" s="41">
        <f>VLOOKUP($A35,'Выгр Кат'!$A:$T,N$1,0)</f>
        <v>2550</v>
      </c>
      <c r="O35" s="41">
        <f>VLOOKUP($A35,'Выгр Кат'!$A:$T,O$1,0)</f>
        <v>4390</v>
      </c>
      <c r="P35" s="52">
        <f t="shared" si="5"/>
        <v>0</v>
      </c>
      <c r="Q35" s="52">
        <f t="shared" si="6"/>
        <v>0</v>
      </c>
      <c r="R35" s="59">
        <f t="shared" si="7"/>
        <v>4082.7</v>
      </c>
      <c r="S35" s="76">
        <f t="shared" si="0"/>
        <v>0.60105882352941165</v>
      </c>
      <c r="T35" s="76">
        <f t="shared" si="1"/>
        <v>2.5608591885441571E-2</v>
      </c>
      <c r="U35" s="76">
        <f t="shared" si="2"/>
        <v>0.64313725490196072</v>
      </c>
      <c r="V35" s="89">
        <f>Z35</f>
        <v>4190</v>
      </c>
      <c r="W35" s="79">
        <f>IFERROR(ROUND((VLOOKUP($A35,'Из ГУГЛа'!$B:$AD,W$1,0)+Y35)*X35,),VLOOKUP($A35,'Из ГУГЛа'!$B:$AD,W$1,0))</f>
        <v>4190</v>
      </c>
      <c r="X35" s="51">
        <v>1</v>
      </c>
      <c r="Y35" s="51">
        <v>0</v>
      </c>
      <c r="Z35" s="109">
        <v>4190</v>
      </c>
      <c r="AA35" s="65" t="s">
        <v>259</v>
      </c>
      <c r="AB35" s="79" t="str">
        <f>IFERROR(ROUND((VLOOKUP($A35,'Из ГУГЛа'!$B:$AD,AB$1,0)+AD35)*AC35,),VLOOKUP($A35,'Из ГУГЛа'!$B:$AD,AB$1,0))</f>
        <v/>
      </c>
      <c r="AC35" s="51">
        <v>1</v>
      </c>
      <c r="AD35" s="51">
        <v>0</v>
      </c>
      <c r="AE35" s="41"/>
      <c r="AG35" s="79" t="str">
        <f>IFERROR(ROUND((VLOOKUP($A35,'Из ГУГЛа'!$B:$AD,AG$1,0)+AI35)*AH35,),VLOOKUP($A35,'Из ГУГЛа'!$B:$AD,AG$1,0))</f>
        <v/>
      </c>
      <c r="AH35" s="51">
        <v>1</v>
      </c>
      <c r="AI35" s="51">
        <v>0</v>
      </c>
      <c r="AJ35" s="41"/>
      <c r="AK35" s="41"/>
      <c r="AL35" s="79" t="str">
        <f>IFERROR(ROUND((VLOOKUP($A35,'Из ГУГЛа'!$B:$AD,AL$1,0)+AN35)*AM35,),VLOOKUP($A35,'Из ГУГЛа'!$B:$AD,AL$1,0))</f>
        <v/>
      </c>
      <c r="AM35" s="51">
        <v>1</v>
      </c>
      <c r="AN35" s="51">
        <v>0</v>
      </c>
      <c r="AO35" s="41"/>
      <c r="AP35" s="41"/>
    </row>
    <row r="36" spans="1:42" ht="46.5" thickTop="1" thickBot="1" x14ac:dyDescent="0.3">
      <c r="A36" s="41">
        <v>187453</v>
      </c>
      <c r="B36" s="41">
        <f>VLOOKUP($A36,'Выгр Кат'!$A:$T,B$1,0)</f>
        <v>16493</v>
      </c>
      <c r="C36" s="75" t="str">
        <f>VLOOKUP($A36,'Выгр Кат'!$A:$T,C$1,0)</f>
        <v>Пружины передней подвески Технорессор Драйв усиленные для ВАЗ 2101-2107</v>
      </c>
      <c r="D36" s="41" t="str">
        <f>VLOOKUP($A36,'Выгр Кат'!$A:$T,D$1,0)</f>
        <v>Y</v>
      </c>
      <c r="E36" s="41" t="str">
        <f>VLOOKUP($A36,'Выгр Кат'!$A:$T,E$1,0)</f>
        <v>0</v>
      </c>
      <c r="F36" s="41">
        <f>VLOOKUP($A36,'Выгр Кат'!$A:$T,F$1,0)</f>
        <v>0</v>
      </c>
      <c r="G36" s="36"/>
      <c r="H36" s="2" t="s">
        <v>221</v>
      </c>
      <c r="I36" s="1" t="s">
        <v>65</v>
      </c>
      <c r="J36" s="62">
        <f>N36</f>
        <v>2650</v>
      </c>
      <c r="K36" s="61">
        <f>VLOOKUP(J36,Наценка!$A$1:$B$8,2,1)</f>
        <v>1.32</v>
      </c>
      <c r="L36" s="97">
        <f t="shared" si="22"/>
        <v>4189.5</v>
      </c>
      <c r="M36" s="63">
        <f t="shared" si="21"/>
        <v>4190</v>
      </c>
      <c r="N36" s="41">
        <f>VLOOKUP($A36,'Выгр Кат'!$A:$T,N$1,0)</f>
        <v>2650</v>
      </c>
      <c r="O36" s="41">
        <f>VLOOKUP($A36,'Выгр Кат'!$A:$T,O$1,0)</f>
        <v>4190</v>
      </c>
      <c r="P36" s="52">
        <f t="shared" si="5"/>
        <v>0</v>
      </c>
      <c r="Q36" s="52">
        <f t="shared" si="6"/>
        <v>0</v>
      </c>
      <c r="R36" s="59">
        <f t="shared" si="7"/>
        <v>3896.7</v>
      </c>
      <c r="S36" s="76">
        <f t="shared" si="0"/>
        <v>0.47045283018867923</v>
      </c>
      <c r="T36" s="76">
        <f t="shared" si="1"/>
        <v>2.3383458646616586E-2</v>
      </c>
      <c r="U36" s="76">
        <f t="shared" si="2"/>
        <v>0.50566037735849068</v>
      </c>
      <c r="V36" s="89">
        <f>Z36</f>
        <v>3990</v>
      </c>
      <c r="W36" s="79">
        <f>IFERROR(ROUND((VLOOKUP($A36,'Из ГУГЛа'!$B:$AD,W$1,0)+Y36)*X36,),VLOOKUP($A36,'Из ГУГЛа'!$B:$AD,W$1,0))</f>
        <v>3990</v>
      </c>
      <c r="X36" s="51">
        <v>1</v>
      </c>
      <c r="Y36" s="51">
        <v>0</v>
      </c>
      <c r="Z36" s="109">
        <v>3990</v>
      </c>
      <c r="AA36" s="65" t="s">
        <v>258</v>
      </c>
      <c r="AB36" s="79" t="str">
        <f>IFERROR(ROUND((VLOOKUP($A36,'Из ГУГЛа'!$B:$AD,AB$1,0)+AD36)*AC36,),VLOOKUP($A36,'Из ГУГЛа'!$B:$AD,AB$1,0))</f>
        <v/>
      </c>
      <c r="AC36" s="51">
        <v>1</v>
      </c>
      <c r="AD36" s="51">
        <v>0</v>
      </c>
      <c r="AE36" s="41"/>
      <c r="AG36" s="79" t="str">
        <f>IFERROR(ROUND((VLOOKUP($A36,'Из ГУГЛа'!$B:$AD,AG$1,0)+AI36)*AH36,),VLOOKUP($A36,'Из ГУГЛа'!$B:$AD,AG$1,0))</f>
        <v/>
      </c>
      <c r="AH36" s="51">
        <v>1</v>
      </c>
      <c r="AI36" s="51">
        <v>0</v>
      </c>
      <c r="AJ36" s="41"/>
      <c r="AK36" s="41"/>
      <c r="AL36" s="79" t="str">
        <f>IFERROR(ROUND((VLOOKUP($A36,'Из ГУГЛа'!$B:$AD,AL$1,0)+AN36)*AM36,),VLOOKUP($A36,'Из ГУГЛа'!$B:$AD,AL$1,0))</f>
        <v/>
      </c>
      <c r="AM36" s="51">
        <v>1</v>
      </c>
      <c r="AN36" s="51">
        <v>0</v>
      </c>
      <c r="AO36" s="41"/>
      <c r="AP36" s="41"/>
    </row>
    <row r="37" spans="1:42" ht="46.5" thickTop="1" thickBot="1" x14ac:dyDescent="0.3">
      <c r="A37" s="41">
        <v>145469</v>
      </c>
      <c r="B37" s="41">
        <f>VLOOKUP($A37,'Выгр Кат'!$A:$T,B$1,0)</f>
        <v>16494</v>
      </c>
      <c r="C37" s="75" t="str">
        <f>VLOOKUP($A37,'Выгр Кат'!$A:$T,C$1,0)</f>
        <v>Пружины задней подвески Технорессор Драйв без занижения для ВАЗ 2101-2107</v>
      </c>
      <c r="D37" s="41" t="str">
        <f>VLOOKUP($A37,'Выгр Кат'!$A:$T,D$1,0)</f>
        <v>Y</v>
      </c>
      <c r="E37" s="41" t="str">
        <f>VLOOKUP($A37,'Выгр Кат'!$A:$T,E$1,0)</f>
        <v>1</v>
      </c>
      <c r="F37" s="41">
        <f>VLOOKUP($A37,'Выгр Кат'!$A:$T,F$1,0)</f>
        <v>0</v>
      </c>
      <c r="G37" s="36"/>
      <c r="H37" s="45" t="s">
        <v>189</v>
      </c>
      <c r="I37" s="1" t="s">
        <v>65</v>
      </c>
      <c r="J37" s="63">
        <f>VLOOKUP(H37,Прайс!B:D,3,0)</f>
        <v>2550</v>
      </c>
      <c r="K37" s="61">
        <f>VLOOKUP(J37,Наценка!$A$1:$B$8,2,1)</f>
        <v>1.32</v>
      </c>
      <c r="L37" s="97">
        <f t="shared" si="22"/>
        <v>4399.5</v>
      </c>
      <c r="M37" s="63">
        <f t="shared" si="21"/>
        <v>4390</v>
      </c>
      <c r="N37" s="41">
        <f>VLOOKUP($A37,'Выгр Кат'!$A:$T,N$1,0)</f>
        <v>2550</v>
      </c>
      <c r="O37" s="41">
        <f>VLOOKUP($A37,'Выгр Кат'!$A:$T,O$1,0)</f>
        <v>4390</v>
      </c>
      <c r="P37" s="52">
        <f t="shared" si="5"/>
        <v>0</v>
      </c>
      <c r="Q37" s="52">
        <f t="shared" si="6"/>
        <v>0</v>
      </c>
      <c r="R37" s="59">
        <f t="shared" si="7"/>
        <v>4082.7</v>
      </c>
      <c r="S37" s="76">
        <f t="shared" ref="S37:S68" si="23">IFERROR(R37/J37-1,"")</f>
        <v>0.60105882352941165</v>
      </c>
      <c r="T37" s="76">
        <f t="shared" ref="T37:T68" si="24">IFERROR((V37-R37)/V37,"")</f>
        <v>2.5608591885441571E-2</v>
      </c>
      <c r="U37" s="76">
        <f t="shared" ref="U37:U68" si="25">IFERROR(IF(V37="","",V37/J37-1),"")</f>
        <v>0.64313725490196072</v>
      </c>
      <c r="V37" s="89">
        <f>Z37</f>
        <v>4190</v>
      </c>
      <c r="W37" s="79">
        <f>IFERROR(ROUND((VLOOKUP($A37,'Из ГУГЛа'!$B:$AD,W$1,0)+Y37)*X37,),VLOOKUP($A37,'Из ГУГЛа'!$B:$AD,W$1,0))</f>
        <v>4190</v>
      </c>
      <c r="X37" s="51">
        <v>1</v>
      </c>
      <c r="Y37" s="51">
        <v>0</v>
      </c>
      <c r="Z37" s="109">
        <v>4190</v>
      </c>
      <c r="AA37" s="65" t="s">
        <v>257</v>
      </c>
      <c r="AB37" s="79" t="str">
        <f>IFERROR(ROUND((VLOOKUP($A37,'Из ГУГЛа'!$B:$AD,AB$1,0)+AD37)*AC37,),VLOOKUP($A37,'Из ГУГЛа'!$B:$AD,AB$1,0))</f>
        <v/>
      </c>
      <c r="AC37" s="51">
        <v>1</v>
      </c>
      <c r="AD37" s="51">
        <v>0</v>
      </c>
      <c r="AE37" s="41"/>
      <c r="AG37" s="79" t="str">
        <f>IFERROR(ROUND((VLOOKUP($A37,'Из ГУГЛа'!$B:$AD,AG$1,0)+AI37)*AH37,),VLOOKUP($A37,'Из ГУГЛа'!$B:$AD,AG$1,0))</f>
        <v/>
      </c>
      <c r="AH37" s="51">
        <v>1</v>
      </c>
      <c r="AI37" s="51">
        <v>0</v>
      </c>
      <c r="AJ37" s="41"/>
      <c r="AK37" s="41"/>
      <c r="AL37" s="79" t="str">
        <f>IFERROR(ROUND((VLOOKUP($A37,'Из ГУГЛа'!$B:$AD,AL$1,0)+AN37)*AM37,),VLOOKUP($A37,'Из ГУГЛа'!$B:$AD,AL$1,0))</f>
        <v/>
      </c>
      <c r="AM37" s="51">
        <v>1</v>
      </c>
      <c r="AN37" s="51">
        <v>0</v>
      </c>
      <c r="AO37" s="41"/>
      <c r="AP37" s="41"/>
    </row>
    <row r="38" spans="1:42" ht="46.5" thickTop="1" thickBot="1" x14ac:dyDescent="0.3">
      <c r="A38" s="41">
        <v>145470</v>
      </c>
      <c r="B38" s="41">
        <f>VLOOKUP($A38,'Выгр Кат'!$A:$T,B$1,0)</f>
        <v>16495</v>
      </c>
      <c r="C38" s="75" t="str">
        <f>VLOOKUP($A38,'Выгр Кат'!$A:$T,C$1,0)</f>
        <v>Пружины задней подвески Технорессор Драйв усиленные для ВАЗ 2101-2107</v>
      </c>
      <c r="D38" s="41" t="str">
        <f>VLOOKUP($A38,'Выгр Кат'!$A:$T,D$1,0)</f>
        <v>Y</v>
      </c>
      <c r="E38" s="41" t="str">
        <f>VLOOKUP($A38,'Выгр Кат'!$A:$T,E$1,0)</f>
        <v>1</v>
      </c>
      <c r="F38" s="41">
        <f>VLOOKUP($A38,'Выгр Кат'!$A:$T,F$1,0)</f>
        <v>0</v>
      </c>
      <c r="G38" s="36"/>
      <c r="H38" s="2" t="s">
        <v>221</v>
      </c>
      <c r="I38" s="1" t="s">
        <v>65</v>
      </c>
      <c r="J38" s="62">
        <f>N38</f>
        <v>2650</v>
      </c>
      <c r="K38" s="61">
        <f>VLOOKUP(J38,Наценка!$A$1:$B$8,2,1)</f>
        <v>1.32</v>
      </c>
      <c r="L38" s="97">
        <f t="shared" si="22"/>
        <v>4189.5</v>
      </c>
      <c r="M38" s="63">
        <f t="shared" si="21"/>
        <v>4190</v>
      </c>
      <c r="N38" s="41">
        <f>VLOOKUP($A38,'Выгр Кат'!$A:$T,N$1,0)</f>
        <v>2650</v>
      </c>
      <c r="O38" s="41">
        <f>VLOOKUP($A38,'Выгр Кат'!$A:$T,O$1,0)</f>
        <v>4190</v>
      </c>
      <c r="P38" s="52">
        <f t="shared" si="5"/>
        <v>0</v>
      </c>
      <c r="Q38" s="52">
        <f t="shared" si="6"/>
        <v>0</v>
      </c>
      <c r="R38" s="59">
        <f t="shared" si="7"/>
        <v>3896.7</v>
      </c>
      <c r="S38" s="76">
        <f t="shared" si="23"/>
        <v>0.47045283018867923</v>
      </c>
      <c r="T38" s="76">
        <f t="shared" si="24"/>
        <v>2.3383458646616586E-2</v>
      </c>
      <c r="U38" s="76">
        <f t="shared" si="25"/>
        <v>0.50566037735849068</v>
      </c>
      <c r="V38" s="89">
        <f>Z38</f>
        <v>3990</v>
      </c>
      <c r="W38" s="79">
        <f>IFERROR(ROUND((VLOOKUP($A38,'Из ГУГЛа'!$B:$AD,W$1,0)+Y38)*X38,),VLOOKUP($A38,'Из ГУГЛа'!$B:$AD,W$1,0))</f>
        <v>3990</v>
      </c>
      <c r="X38" s="51">
        <v>1</v>
      </c>
      <c r="Y38" s="51">
        <v>0</v>
      </c>
      <c r="Z38" s="109">
        <v>3990</v>
      </c>
      <c r="AA38" s="65" t="s">
        <v>256</v>
      </c>
      <c r="AB38" s="79" t="str">
        <f>IFERROR(ROUND((VLOOKUP($A38,'Из ГУГЛа'!$B:$AD,AB$1,0)+AD38)*AC38,),VLOOKUP($A38,'Из ГУГЛа'!$B:$AD,AB$1,0))</f>
        <v/>
      </c>
      <c r="AC38" s="51">
        <v>1</v>
      </c>
      <c r="AD38" s="51">
        <v>0</v>
      </c>
      <c r="AE38" s="41"/>
      <c r="AG38" s="79" t="str">
        <f>IFERROR(ROUND((VLOOKUP($A38,'Из ГУГЛа'!$B:$AD,AG$1,0)+AI38)*AH38,),VLOOKUP($A38,'Из ГУГЛа'!$B:$AD,AG$1,0))</f>
        <v/>
      </c>
      <c r="AH38" s="51">
        <v>1</v>
      </c>
      <c r="AI38" s="51">
        <v>0</v>
      </c>
      <c r="AJ38" s="41"/>
      <c r="AK38" s="41"/>
      <c r="AL38" s="79" t="str">
        <f>IFERROR(ROUND((VLOOKUP($A38,'Из ГУГЛа'!$B:$AD,AL$1,0)+AN38)*AM38,),VLOOKUP($A38,'Из ГУГЛа'!$B:$AD,AL$1,0))</f>
        <v/>
      </c>
      <c r="AM38" s="51">
        <v>1</v>
      </c>
      <c r="AN38" s="51">
        <v>0</v>
      </c>
      <c r="AO38" s="41"/>
      <c r="AP38" s="41"/>
    </row>
    <row r="39" spans="1:42" ht="46.5" thickTop="1" thickBot="1" x14ac:dyDescent="0.3">
      <c r="A39" s="41">
        <v>187454</v>
      </c>
      <c r="B39" s="41">
        <f>VLOOKUP($A39,'Выгр Кат'!$A:$T,B$1,0)</f>
        <v>16496</v>
      </c>
      <c r="C39" s="75" t="str">
        <f>VLOOKUP($A39,'Выгр Кат'!$A:$T,C$1,0)</f>
        <v>Пружины передней подвески Технорессор Дрифт с занижением 50 мм для ВАЗ 2101-2107</v>
      </c>
      <c r="D39" s="41" t="str">
        <f>VLOOKUP($A39,'Выгр Кат'!$A:$T,D$1,0)</f>
        <v>Y</v>
      </c>
      <c r="E39" s="41" t="str">
        <f>VLOOKUP($A39,'Выгр Кат'!$A:$T,E$1,0)</f>
        <v>0</v>
      </c>
      <c r="F39" s="41">
        <f>VLOOKUP($A39,'Выгр Кат'!$A:$T,F$1,0)</f>
        <v>0</v>
      </c>
      <c r="G39" s="36"/>
      <c r="H39" s="41" t="s">
        <v>61</v>
      </c>
      <c r="I39" s="1" t="s">
        <v>65</v>
      </c>
      <c r="J39" s="63">
        <f>VLOOKUP(H39,Прайс!B:D,3,0)</f>
        <v>3950</v>
      </c>
      <c r="K39" s="61">
        <f>VLOOKUP(J39,Наценка!$A$1:$B$8,2,1)</f>
        <v>1.32</v>
      </c>
      <c r="L39" s="100">
        <f t="shared" ref="L39:L40" si="26">J39*1.2*100/93</f>
        <v>5096.7741935483873</v>
      </c>
      <c r="M39" s="63">
        <f t="shared" si="21"/>
        <v>5090</v>
      </c>
      <c r="N39" s="41">
        <f>VLOOKUP($A39,'Выгр Кат'!$A:$T,N$1,0)</f>
        <v>3950</v>
      </c>
      <c r="O39" s="41">
        <f>VLOOKUP($A39,'Выгр Кат'!$A:$T,O$1,0)</f>
        <v>5090</v>
      </c>
      <c r="P39" s="52">
        <f t="shared" si="5"/>
        <v>0</v>
      </c>
      <c r="Q39" s="52">
        <f t="shared" si="6"/>
        <v>0</v>
      </c>
      <c r="R39" s="59">
        <f t="shared" si="7"/>
        <v>4733.7</v>
      </c>
      <c r="S39" s="76">
        <f t="shared" si="23"/>
        <v>0.19840506329113916</v>
      </c>
      <c r="T39" s="76">
        <f t="shared" si="24"/>
        <v>-4.0373626373626334E-2</v>
      </c>
      <c r="U39" s="76">
        <f t="shared" si="25"/>
        <v>0.15189873417721511</v>
      </c>
      <c r="V39" s="90">
        <f>AE39</f>
        <v>4550</v>
      </c>
      <c r="W39" s="79">
        <f>IFERROR(ROUND((VLOOKUP($A39,'Из ГУГЛа'!$B:$AD,W$1,0)+Y39)*X39,),VLOOKUP($A39,'Из ГУГЛа'!$B:$AD,W$1,0))</f>
        <v>3690</v>
      </c>
      <c r="X39" s="51">
        <v>1</v>
      </c>
      <c r="Y39" s="51">
        <v>0</v>
      </c>
      <c r="Z39" s="109" t="s">
        <v>233</v>
      </c>
      <c r="AA39" s="65" t="s">
        <v>255</v>
      </c>
      <c r="AB39" s="79">
        <f>IFERROR(ROUND((VLOOKUP($A39,'Из ГУГЛа'!$B:$AD,AB$1,0)+AD39)*AC39,),VLOOKUP($A39,'Из ГУГЛа'!$B:$AD,AB$1,0))</f>
        <v>4550</v>
      </c>
      <c r="AC39" s="51">
        <v>1</v>
      </c>
      <c r="AD39" s="51">
        <v>0</v>
      </c>
      <c r="AE39" s="85">
        <v>4550</v>
      </c>
      <c r="AF39" s="65" t="s">
        <v>377</v>
      </c>
      <c r="AG39" s="79" t="str">
        <f>IFERROR(ROUND((VLOOKUP($A39,'Из ГУГЛа'!$B:$AD,AG$1,0)+AI39)*AH39,),VLOOKUP($A39,'Из ГУГЛа'!$B:$AD,AG$1,0))</f>
        <v/>
      </c>
      <c r="AH39" s="51">
        <v>1</v>
      </c>
      <c r="AI39" s="51">
        <v>0</v>
      </c>
      <c r="AJ39" s="41"/>
      <c r="AK39" s="41"/>
      <c r="AL39" s="79" t="str">
        <f>IFERROR(ROUND((VLOOKUP($A39,'Из ГУГЛа'!$B:$AD,AL$1,0)+AN39)*AM39,),VLOOKUP($A39,'Из ГУГЛа'!$B:$AD,AL$1,0))</f>
        <v/>
      </c>
      <c r="AM39" s="51">
        <v>1</v>
      </c>
      <c r="AN39" s="51">
        <v>0</v>
      </c>
      <c r="AO39" s="41"/>
      <c r="AP39" s="41"/>
    </row>
    <row r="40" spans="1:42" ht="46.5" thickTop="1" thickBot="1" x14ac:dyDescent="0.3">
      <c r="A40" s="41">
        <v>145471</v>
      </c>
      <c r="B40" s="41">
        <f>VLOOKUP($A40,'Выгр Кат'!$A:$T,B$1,0)</f>
        <v>16497</v>
      </c>
      <c r="C40" s="75" t="str">
        <f>VLOOKUP($A40,'Выгр Кат'!$A:$T,C$1,0)</f>
        <v>Пружины задней подвески Технорессор Дрифт с занижением 50 мм для ВАЗ 2101-2107</v>
      </c>
      <c r="D40" s="41" t="str">
        <f>VLOOKUP($A40,'Выгр Кат'!$A:$T,D$1,0)</f>
        <v>Y</v>
      </c>
      <c r="E40" s="41" t="str">
        <f>VLOOKUP($A40,'Выгр Кат'!$A:$T,E$1,0)</f>
        <v>1</v>
      </c>
      <c r="F40" s="41">
        <f>VLOOKUP($A40,'Выгр Кат'!$A:$T,F$1,0)</f>
        <v>0</v>
      </c>
      <c r="G40" s="36"/>
      <c r="H40" s="41" t="s">
        <v>61</v>
      </c>
      <c r="I40" s="1" t="s">
        <v>65</v>
      </c>
      <c r="J40" s="63">
        <f>VLOOKUP(H40,Прайс!B:D,3,0)</f>
        <v>3950</v>
      </c>
      <c r="K40" s="61">
        <f>VLOOKUP(J40,Наценка!$A$1:$B$8,2,1)</f>
        <v>1.32</v>
      </c>
      <c r="L40" s="100">
        <f t="shared" si="26"/>
        <v>5096.7741935483873</v>
      </c>
      <c r="M40" s="63">
        <f t="shared" si="21"/>
        <v>5090</v>
      </c>
      <c r="N40" s="41">
        <f>VLOOKUP($A40,'Выгр Кат'!$A:$T,N$1,0)</f>
        <v>3950</v>
      </c>
      <c r="O40" s="41">
        <f>VLOOKUP($A40,'Выгр Кат'!$A:$T,O$1,0)</f>
        <v>5090</v>
      </c>
      <c r="P40" s="52">
        <f t="shared" si="5"/>
        <v>0</v>
      </c>
      <c r="Q40" s="52">
        <f t="shared" si="6"/>
        <v>0</v>
      </c>
      <c r="R40" s="59">
        <f t="shared" si="7"/>
        <v>4733.7</v>
      </c>
      <c r="S40" s="76">
        <f t="shared" si="23"/>
        <v>0.19840506329113916</v>
      </c>
      <c r="T40" s="76">
        <f t="shared" si="24"/>
        <v>-4.0373626373626334E-2</v>
      </c>
      <c r="U40" s="76">
        <f t="shared" si="25"/>
        <v>0.15189873417721511</v>
      </c>
      <c r="V40" s="90">
        <f>AE40</f>
        <v>4550</v>
      </c>
      <c r="W40" s="79">
        <f>IFERROR(ROUND((VLOOKUP($A40,'Из ГУГЛа'!$B:$AD,W$1,0)+Y40)*X40,),VLOOKUP($A40,'Из ГУГЛа'!$B:$AD,W$1,0))</f>
        <v>3790</v>
      </c>
      <c r="X40" s="51">
        <v>1</v>
      </c>
      <c r="Y40" s="51">
        <v>0</v>
      </c>
      <c r="Z40" s="109" t="s">
        <v>232</v>
      </c>
      <c r="AA40" s="65" t="s">
        <v>254</v>
      </c>
      <c r="AB40" s="79">
        <f>IFERROR(ROUND((VLOOKUP($A40,'Из ГУГЛа'!$B:$AD,AB$1,0)+AD40)*AC40,),VLOOKUP($A40,'Из ГУГЛа'!$B:$AD,AB$1,0))</f>
        <v>4550</v>
      </c>
      <c r="AC40" s="51">
        <v>1</v>
      </c>
      <c r="AD40" s="51">
        <v>0</v>
      </c>
      <c r="AE40" s="85">
        <v>4550</v>
      </c>
      <c r="AF40" s="65" t="s">
        <v>376</v>
      </c>
      <c r="AG40" s="79" t="str">
        <f>IFERROR(ROUND((VLOOKUP($A40,'Из ГУГЛа'!$B:$AD,AG$1,0)+AI40)*AH40,),VLOOKUP($A40,'Из ГУГЛа'!$B:$AD,AG$1,0))</f>
        <v/>
      </c>
      <c r="AH40" s="51">
        <v>1</v>
      </c>
      <c r="AI40" s="51">
        <v>0</v>
      </c>
      <c r="AJ40" s="41"/>
      <c r="AK40" s="41"/>
      <c r="AL40" s="79" t="str">
        <f>IFERROR(ROUND((VLOOKUP($A40,'Из ГУГЛа'!$B:$AD,AL$1,0)+AN40)*AM40,),VLOOKUP($A40,'Из ГУГЛа'!$B:$AD,AL$1,0))</f>
        <v/>
      </c>
      <c r="AM40" s="51">
        <v>1</v>
      </c>
      <c r="AN40" s="51">
        <v>0</v>
      </c>
      <c r="AO40" s="41"/>
      <c r="AP40" s="41"/>
    </row>
    <row r="41" spans="1:42" ht="61.5" thickTop="1" thickBot="1" x14ac:dyDescent="0.3">
      <c r="A41" s="41">
        <v>201966</v>
      </c>
      <c r="B41" s="41">
        <f>VLOOKUP($A41,'Выгр Кат'!$A:$T,B$1,0)</f>
        <v>16533</v>
      </c>
      <c r="C41" s="75" t="str">
        <f>VLOOKUP($A41,'Выгр Кат'!$A:$T,C$1,0)</f>
        <v>Пружины передней подвески ТехноРессор Драйв с завышением 20 мм для ВАЗ 2108-21099, 2113-2115, 2110-2112</v>
      </c>
      <c r="D41" s="41" t="str">
        <f>VLOOKUP($A41,'Выгр Кат'!$A:$T,D$1,0)</f>
        <v>Y</v>
      </c>
      <c r="E41" s="41" t="str">
        <f>VLOOKUP($A41,'Выгр Кат'!$A:$T,E$1,0)</f>
        <v>1</v>
      </c>
      <c r="F41" s="41">
        <f>VLOOKUP($A41,'Выгр Кат'!$A:$T,F$1,0)</f>
        <v>0</v>
      </c>
      <c r="G41" s="36"/>
      <c r="H41" s="41" t="s">
        <v>227</v>
      </c>
      <c r="I41" s="1" t="s">
        <v>65</v>
      </c>
      <c r="J41" s="62">
        <f>N41</f>
        <v>2550</v>
      </c>
      <c r="K41" s="61">
        <f>VLOOKUP(J41,Наценка!$A$1:$B$8,2,1)</f>
        <v>1.32</v>
      </c>
      <c r="L41" s="97">
        <f t="shared" si="22"/>
        <v>4189.5</v>
      </c>
      <c r="M41" s="63">
        <f t="shared" si="21"/>
        <v>4190</v>
      </c>
      <c r="N41" s="41">
        <f>VLOOKUP($A41,'Выгр Кат'!$A:$T,N$1,0)</f>
        <v>2550</v>
      </c>
      <c r="O41" s="41">
        <f>VLOOKUP($A41,'Выгр Кат'!$A:$T,O$1,0)</f>
        <v>4190</v>
      </c>
      <c r="P41" s="52">
        <f t="shared" si="5"/>
        <v>0</v>
      </c>
      <c r="Q41" s="52">
        <f t="shared" si="6"/>
        <v>0</v>
      </c>
      <c r="R41" s="59">
        <f t="shared" si="7"/>
        <v>3896.7</v>
      </c>
      <c r="S41" s="76">
        <f t="shared" si="23"/>
        <v>0.52811764705882336</v>
      </c>
      <c r="T41" s="76">
        <f t="shared" si="24"/>
        <v>2.3383458646616586E-2</v>
      </c>
      <c r="U41" s="76">
        <f t="shared" si="25"/>
        <v>0.56470588235294117</v>
      </c>
      <c r="V41" s="89">
        <f>Z41</f>
        <v>3990</v>
      </c>
      <c r="W41" s="79">
        <f>IFERROR(ROUND((VLOOKUP($A41,'Из ГУГЛа'!$B:$AD,W$1,0)+Y41)*X41,),VLOOKUP($A41,'Из ГУГЛа'!$B:$AD,W$1,0))</f>
        <v>3990</v>
      </c>
      <c r="X41" s="51">
        <v>1</v>
      </c>
      <c r="Y41" s="51">
        <v>0</v>
      </c>
      <c r="Z41" s="109">
        <v>3990</v>
      </c>
      <c r="AA41" s="65" t="s">
        <v>242</v>
      </c>
      <c r="AB41" s="79" t="str">
        <f>IFERROR(ROUND((VLOOKUP($A41,'Из ГУГЛа'!$B:$AD,AB$1,0)+AD41)*AC41,),VLOOKUP($A41,'Из ГУГЛа'!$B:$AD,AB$1,0))</f>
        <v/>
      </c>
      <c r="AC41" s="51">
        <v>1</v>
      </c>
      <c r="AD41" s="51">
        <v>0</v>
      </c>
      <c r="AE41" s="41"/>
      <c r="AG41" s="79" t="str">
        <f>IFERROR(ROUND((VLOOKUP($A41,'Из ГУГЛа'!$B:$AD,AG$1,0)+AI41)*AH41,),VLOOKUP($A41,'Из ГУГЛа'!$B:$AD,AG$1,0))</f>
        <v/>
      </c>
      <c r="AH41" s="51">
        <v>1</v>
      </c>
      <c r="AI41" s="51">
        <v>0</v>
      </c>
      <c r="AJ41" s="41"/>
      <c r="AK41" s="41"/>
      <c r="AL41" s="79" t="str">
        <f>IFERROR(ROUND((VLOOKUP($A41,'Из ГУГЛа'!$B:$AD,AL$1,0)+AN41)*AM41,),VLOOKUP($A41,'Из ГУГЛа'!$B:$AD,AL$1,0))</f>
        <v/>
      </c>
      <c r="AM41" s="51">
        <v>1</v>
      </c>
      <c r="AN41" s="51">
        <v>0</v>
      </c>
      <c r="AO41" s="41"/>
      <c r="AP41" s="41"/>
    </row>
    <row r="42" spans="1:42" ht="46.5" thickTop="1" thickBot="1" x14ac:dyDescent="0.3">
      <c r="A42" s="41">
        <v>201993</v>
      </c>
      <c r="B42" s="41">
        <f>VLOOKUP($A42,'Выгр Кат'!$A:$T,B$1,0)</f>
        <v>16535</v>
      </c>
      <c r="C42" s="75" t="str">
        <f>VLOOKUP($A42,'Выгр Кат'!$A:$T,C$1,0)</f>
        <v>Пружины передней подвески ТехноРессор Драйв усиленные для ВАЗ 2108-21099, 2113-2115, 2110-2112</v>
      </c>
      <c r="D42" s="41" t="str">
        <f>VLOOKUP($A42,'Выгр Кат'!$A:$T,D$1,0)</f>
        <v>Y</v>
      </c>
      <c r="E42" s="41" t="str">
        <f>VLOOKUP($A42,'Выгр Кат'!$A:$T,E$1,0)</f>
        <v>1</v>
      </c>
      <c r="F42" s="41">
        <f>VLOOKUP($A42,'Выгр Кат'!$A:$T,F$1,0)</f>
        <v>0</v>
      </c>
      <c r="G42" s="36"/>
      <c r="H42" s="2" t="s">
        <v>226</v>
      </c>
      <c r="I42" s="1" t="s">
        <v>65</v>
      </c>
      <c r="J42" s="62">
        <f>N42</f>
        <v>2750</v>
      </c>
      <c r="K42" s="61">
        <f>VLOOKUP(J42,Наценка!$A$1:$B$8,2,1)</f>
        <v>1.32</v>
      </c>
      <c r="L42" s="97">
        <f t="shared" si="22"/>
        <v>4399.5</v>
      </c>
      <c r="M42" s="63">
        <f t="shared" si="21"/>
        <v>4390</v>
      </c>
      <c r="N42" s="41">
        <f>VLOOKUP($A42,'Выгр Кат'!$A:$T,N$1,0)</f>
        <v>2750</v>
      </c>
      <c r="O42" s="41">
        <f>VLOOKUP($A42,'Выгр Кат'!$A:$T,O$1,0)</f>
        <v>4390</v>
      </c>
      <c r="P42" s="52">
        <f t="shared" si="5"/>
        <v>0</v>
      </c>
      <c r="Q42" s="52">
        <f t="shared" si="6"/>
        <v>0</v>
      </c>
      <c r="R42" s="59">
        <f t="shared" si="7"/>
        <v>4082.7</v>
      </c>
      <c r="S42" s="76">
        <f t="shared" si="23"/>
        <v>0.48461818181818184</v>
      </c>
      <c r="T42" s="76">
        <f t="shared" si="24"/>
        <v>2.5608591885441571E-2</v>
      </c>
      <c r="U42" s="76">
        <f t="shared" si="25"/>
        <v>0.52363636363636368</v>
      </c>
      <c r="V42" s="89">
        <f>Z42</f>
        <v>4190</v>
      </c>
      <c r="W42" s="79">
        <f>IFERROR(ROUND((VLOOKUP($A42,'Из ГУГЛа'!$B:$AD,W$1,0)+Y42)*X42,),VLOOKUP($A42,'Из ГУГЛа'!$B:$AD,W$1,0))</f>
        <v>4190</v>
      </c>
      <c r="X42" s="51">
        <v>1</v>
      </c>
      <c r="Y42" s="51">
        <v>0</v>
      </c>
      <c r="Z42" s="109">
        <v>4190</v>
      </c>
      <c r="AA42" s="65" t="s">
        <v>253</v>
      </c>
      <c r="AB42" s="79" t="str">
        <f>IFERROR(ROUND((VLOOKUP($A42,'Из ГУГЛа'!$B:$AD,AB$1,0)+AD42)*AC42,),VLOOKUP($A42,'Из ГУГЛа'!$B:$AD,AB$1,0))</f>
        <v/>
      </c>
      <c r="AC42" s="51">
        <v>1</v>
      </c>
      <c r="AD42" s="51">
        <v>0</v>
      </c>
      <c r="AE42" s="41"/>
      <c r="AG42" s="79" t="str">
        <f>IFERROR(ROUND((VLOOKUP($A42,'Из ГУГЛа'!$B:$AD,AG$1,0)+AI42)*AH42,),VLOOKUP($A42,'Из ГУГЛа'!$B:$AD,AG$1,0))</f>
        <v/>
      </c>
      <c r="AH42" s="51">
        <v>1</v>
      </c>
      <c r="AI42" s="51">
        <v>0</v>
      </c>
      <c r="AJ42" s="41"/>
      <c r="AK42" s="41"/>
      <c r="AL42" s="79" t="str">
        <f>IFERROR(ROUND((VLOOKUP($A42,'Из ГУГЛа'!$B:$AD,AL$1,0)+AN42)*AM42,),VLOOKUP($A42,'Из ГУГЛа'!$B:$AD,AL$1,0))</f>
        <v/>
      </c>
      <c r="AM42" s="51">
        <v>1</v>
      </c>
      <c r="AN42" s="51">
        <v>0</v>
      </c>
      <c r="AO42" s="41"/>
      <c r="AP42" s="41"/>
    </row>
    <row r="43" spans="1:42" ht="46.5" thickTop="1" thickBot="1" x14ac:dyDescent="0.3">
      <c r="A43" s="41">
        <v>201914</v>
      </c>
      <c r="B43" s="41">
        <f>VLOOKUP($A43,'Выгр Кат'!$A:$T,B$1,0)</f>
        <v>16548</v>
      </c>
      <c r="C43" s="75" t="str">
        <f>VLOOKUP($A43,'Выгр Кат'!$A:$T,C$1,0)</f>
        <v>Пружины задней подвески Технорессор Драйв усиленные, без занижения для Лада Веста</v>
      </c>
      <c r="D43" s="41" t="str">
        <f>VLOOKUP($A43,'Выгр Кат'!$A:$T,D$1,0)</f>
        <v>Y</v>
      </c>
      <c r="E43" s="41" t="str">
        <f>VLOOKUP($A43,'Выгр Кат'!$A:$T,E$1,0)</f>
        <v>1</v>
      </c>
      <c r="F43" s="41">
        <f>VLOOKUP($A43,'Выгр Кат'!$A:$T,F$1,0)</f>
        <v>0</v>
      </c>
      <c r="G43" s="36"/>
      <c r="H43" s="106" t="s">
        <v>448</v>
      </c>
      <c r="I43" s="1" t="s">
        <v>65</v>
      </c>
      <c r="J43" s="63">
        <f>VLOOKUP(H43,Прайс!B:D,3,0)</f>
        <v>4000</v>
      </c>
      <c r="K43" s="61">
        <f>VLOOKUP(J43,Наценка!$A$1:$B$8,2,1)</f>
        <v>1.32</v>
      </c>
      <c r="L43" s="97">
        <f t="shared" si="22"/>
        <v>5974.5</v>
      </c>
      <c r="M43" s="63">
        <f t="shared" ref="M43:M54" si="27">ROUNDUP(L43,-2)-10</f>
        <v>5990</v>
      </c>
      <c r="N43" s="41">
        <f>VLOOKUP($A43,'Выгр Кат'!$A:$T,N$1,0)</f>
        <v>4000</v>
      </c>
      <c r="O43" s="41">
        <f>VLOOKUP($A43,'Выгр Кат'!$A:$T,O$1,0)</f>
        <v>5990</v>
      </c>
      <c r="P43" s="52">
        <f t="shared" si="5"/>
        <v>0</v>
      </c>
      <c r="Q43" s="52">
        <f t="shared" si="6"/>
        <v>0</v>
      </c>
      <c r="R43" s="59">
        <f t="shared" si="7"/>
        <v>5570.7</v>
      </c>
      <c r="S43" s="76">
        <f t="shared" si="23"/>
        <v>0.39267499999999989</v>
      </c>
      <c r="T43" s="76">
        <f t="shared" si="24"/>
        <v>2.0966608084358556E-2</v>
      </c>
      <c r="U43" s="76">
        <f t="shared" si="25"/>
        <v>0.4225000000000001</v>
      </c>
      <c r="V43" s="89">
        <f>Z43</f>
        <v>5690</v>
      </c>
      <c r="W43" s="79">
        <f>IFERROR(ROUND((VLOOKUP($A43,'Из ГУГЛа'!$B:$AD,W$1,0)+Y43)*X43,),VLOOKUP($A43,'Из ГУГЛа'!$B:$AD,W$1,0))</f>
        <v>5690</v>
      </c>
      <c r="X43" s="51">
        <v>1</v>
      </c>
      <c r="Y43" s="51">
        <v>0</v>
      </c>
      <c r="Z43" s="109">
        <v>5690</v>
      </c>
      <c r="AA43" s="65" t="s">
        <v>241</v>
      </c>
      <c r="AB43" s="79" t="str">
        <f>IFERROR(ROUND((VLOOKUP($A43,'Из ГУГЛа'!$B:$AD,AB$1,0)+AD43)*AC43,),VLOOKUP($A43,'Из ГУГЛа'!$B:$AD,AB$1,0))</f>
        <v/>
      </c>
      <c r="AC43" s="51">
        <v>1</v>
      </c>
      <c r="AD43" s="51">
        <v>0</v>
      </c>
      <c r="AE43" s="41"/>
      <c r="AG43" s="79" t="str">
        <f>IFERROR(ROUND((VLOOKUP($A43,'Из ГУГЛа'!$B:$AD,AG$1,0)+AI43)*AH43,),VLOOKUP($A43,'Из ГУГЛа'!$B:$AD,AG$1,0))</f>
        <v/>
      </c>
      <c r="AH43" s="51">
        <v>1</v>
      </c>
      <c r="AI43" s="51">
        <v>0</v>
      </c>
      <c r="AJ43" s="41"/>
      <c r="AK43" s="41"/>
      <c r="AL43" s="79" t="str">
        <f>IFERROR(ROUND((VLOOKUP($A43,'Из ГУГЛа'!$B:$AD,AL$1,0)+AN43)*AM43,),VLOOKUP($A43,'Из ГУГЛа'!$B:$AD,AL$1,0))</f>
        <v/>
      </c>
      <c r="AM43" s="51">
        <v>1</v>
      </c>
      <c r="AN43" s="51">
        <v>0</v>
      </c>
      <c r="AO43" s="41"/>
      <c r="AP43" s="41"/>
    </row>
    <row r="44" spans="1:42" ht="61.5" thickTop="1" thickBot="1" x14ac:dyDescent="0.3">
      <c r="A44" s="41">
        <v>201997</v>
      </c>
      <c r="B44" s="41">
        <f>VLOOKUP($A44,'Выгр Кат'!$A:$T,B$1,0)</f>
        <v>16634</v>
      </c>
      <c r="C44" s="75" t="str">
        <f>VLOOKUP($A44,'Выгр Кат'!$A:$T,C$1,0)</f>
        <v>Пружины передней подвески Технорессор Драйв усиленные, с завышением 20 мм для Лада Калина, Калина 2, Приора, Гранта</v>
      </c>
      <c r="D44" s="41" t="str">
        <f>VLOOKUP($A44,'Выгр Кат'!$A:$T,D$1,0)</f>
        <v>Y</v>
      </c>
      <c r="E44" s="41" t="str">
        <f>VLOOKUP($A44,'Выгр Кат'!$A:$T,E$1,0)</f>
        <v>0</v>
      </c>
      <c r="F44" s="41">
        <f>VLOOKUP($A44,'Выгр Кат'!$A:$T,F$1,0)</f>
        <v>0</v>
      </c>
      <c r="G44" s="36"/>
      <c r="H44" s="2" t="s">
        <v>60</v>
      </c>
      <c r="I44" s="1" t="s">
        <v>65</v>
      </c>
      <c r="J44" s="62">
        <f>N44</f>
        <v>3450</v>
      </c>
      <c r="K44" s="61">
        <f>VLOOKUP(J44,Наценка!$A$1:$B$8,2,1)</f>
        <v>1.32</v>
      </c>
      <c r="L44" s="64">
        <f t="shared" si="10"/>
        <v>4554</v>
      </c>
      <c r="M44" s="63">
        <f t="shared" si="27"/>
        <v>4590</v>
      </c>
      <c r="N44" s="41">
        <f>VLOOKUP($A44,'Выгр Кат'!$A:$T,N$1,0)</f>
        <v>3450</v>
      </c>
      <c r="O44" s="41">
        <f>VLOOKUP($A44,'Выгр Кат'!$A:$T,O$1,0)</f>
        <v>4590</v>
      </c>
      <c r="P44" s="52">
        <f t="shared" si="5"/>
        <v>0</v>
      </c>
      <c r="Q44" s="52">
        <f t="shared" si="6"/>
        <v>0</v>
      </c>
      <c r="R44" s="59">
        <f t="shared" si="7"/>
        <v>4268.7</v>
      </c>
      <c r="S44" s="76">
        <f t="shared" si="23"/>
        <v>0.237304347826087</v>
      </c>
      <c r="T44" s="76" t="str">
        <f t="shared" si="24"/>
        <v/>
      </c>
      <c r="U44" s="76" t="str">
        <f t="shared" si="25"/>
        <v/>
      </c>
      <c r="V44" s="108"/>
      <c r="W44" s="79">
        <f>IFERROR(ROUND((VLOOKUP($A44,'Из ГУГЛа'!$B:$AD,W$1,0)+Y44)*X44,),VLOOKUP($A44,'Из ГУГЛа'!$B:$AD,W$1,0))</f>
        <v>3990</v>
      </c>
      <c r="X44" s="51">
        <v>1</v>
      </c>
      <c r="Y44" s="51">
        <v>0</v>
      </c>
      <c r="Z44" s="109" t="s">
        <v>231</v>
      </c>
      <c r="AA44" s="65" t="s">
        <v>252</v>
      </c>
      <c r="AB44" s="79" t="str">
        <f>IFERROR(ROUND((VLOOKUP($A44,'Из ГУГЛа'!$B:$AD,AB$1,0)+AD44)*AC44,),VLOOKUP($A44,'Из ГУГЛа'!$B:$AD,AB$1,0))</f>
        <v/>
      </c>
      <c r="AC44" s="51">
        <v>1</v>
      </c>
      <c r="AD44" s="51">
        <v>0</v>
      </c>
      <c r="AE44" s="41"/>
      <c r="AG44" s="79" t="str">
        <f>IFERROR(ROUND((VLOOKUP($A44,'Из ГУГЛа'!$B:$AD,AG$1,0)+AI44)*AH44,),VLOOKUP($A44,'Из ГУГЛа'!$B:$AD,AG$1,0))</f>
        <v/>
      </c>
      <c r="AH44" s="51">
        <v>1</v>
      </c>
      <c r="AI44" s="51">
        <v>0</v>
      </c>
      <c r="AJ44" s="41"/>
      <c r="AK44" s="41"/>
      <c r="AL44" s="79" t="str">
        <f>IFERROR(ROUND((VLOOKUP($A44,'Из ГУГЛа'!$B:$AD,AL$1,0)+AN44)*AM44,),VLOOKUP($A44,'Из ГУГЛа'!$B:$AD,AL$1,0))</f>
        <v/>
      </c>
      <c r="AM44" s="51">
        <v>1</v>
      </c>
      <c r="AN44" s="51">
        <v>0</v>
      </c>
      <c r="AO44" s="41"/>
      <c r="AP44" s="41"/>
    </row>
    <row r="45" spans="1:42" ht="61.5" thickTop="1" thickBot="1" x14ac:dyDescent="0.3">
      <c r="A45" s="41">
        <v>201969</v>
      </c>
      <c r="B45" s="41">
        <f>VLOOKUP($A45,'Выгр Кат'!$A:$T,B$1,0)</f>
        <v>16647</v>
      </c>
      <c r="C45" s="75" t="str">
        <f>VLOOKUP($A45,'Выгр Кат'!$A:$T,C$1,0)</f>
        <v>Пружины передней подвески Технорессор Драйв с завышением 20 мм для Лада Калина, Калина 2, Приора, Гранта</v>
      </c>
      <c r="D45" s="41" t="str">
        <f>VLOOKUP($A45,'Выгр Кат'!$A:$T,D$1,0)</f>
        <v>Y</v>
      </c>
      <c r="E45" s="41" t="str">
        <f>VLOOKUP($A45,'Выгр Кат'!$A:$T,E$1,0)</f>
        <v>1</v>
      </c>
      <c r="F45" s="41">
        <f>VLOOKUP($A45,'Выгр Кат'!$A:$T,F$1,0)</f>
        <v>0</v>
      </c>
      <c r="G45" s="36"/>
      <c r="H45" s="2" t="s">
        <v>92</v>
      </c>
      <c r="I45" s="1" t="s">
        <v>65</v>
      </c>
      <c r="J45" s="62">
        <f>N45</f>
        <v>3350</v>
      </c>
      <c r="K45" s="61">
        <f>VLOOKUP(J45,Наценка!$A$1:$B$8,2,1)</f>
        <v>1.32</v>
      </c>
      <c r="L45" s="97">
        <f>V45*1.05</f>
        <v>5659.5</v>
      </c>
      <c r="M45" s="63">
        <f t="shared" si="27"/>
        <v>5690</v>
      </c>
      <c r="N45" s="41">
        <f>VLOOKUP($A45,'Выгр Кат'!$A:$T,N$1,0)</f>
        <v>3350</v>
      </c>
      <c r="O45" s="41">
        <f>VLOOKUP($A45,'Выгр Кат'!$A:$T,O$1,0)</f>
        <v>5690</v>
      </c>
      <c r="P45" s="52">
        <f t="shared" si="5"/>
        <v>0</v>
      </c>
      <c r="Q45" s="52">
        <f t="shared" si="6"/>
        <v>0</v>
      </c>
      <c r="R45" s="59">
        <f t="shared" si="7"/>
        <v>5291.7</v>
      </c>
      <c r="S45" s="76">
        <f t="shared" si="23"/>
        <v>0.57961194029850738</v>
      </c>
      <c r="T45" s="76">
        <f t="shared" si="24"/>
        <v>1.8237476808905414E-2</v>
      </c>
      <c r="U45" s="76">
        <f t="shared" si="25"/>
        <v>0.60895522388059709</v>
      </c>
      <c r="V45" s="89">
        <f>Z45</f>
        <v>5390</v>
      </c>
      <c r="W45" s="79">
        <f>IFERROR(ROUND((VLOOKUP($A45,'Из ГУГЛа'!$B:$AD,W$1,0)+Y45)*X45,),VLOOKUP($A45,'Из ГУГЛа'!$B:$AD,W$1,0))</f>
        <v>5390</v>
      </c>
      <c r="X45" s="51">
        <v>1</v>
      </c>
      <c r="Y45" s="51">
        <v>0</v>
      </c>
      <c r="Z45" s="109">
        <v>5390</v>
      </c>
      <c r="AA45" s="65" t="s">
        <v>251</v>
      </c>
      <c r="AB45" s="79">
        <f>IFERROR(ROUND((VLOOKUP($A45,'Из ГУГЛа'!$B:$AD,AB$1,0)+AD45)*AC45,),VLOOKUP($A45,'Из ГУГЛа'!$B:$AD,AB$1,0))</f>
        <v>4680</v>
      </c>
      <c r="AC45" s="51">
        <v>1</v>
      </c>
      <c r="AD45" s="51">
        <v>0</v>
      </c>
      <c r="AE45" s="85">
        <v>4680</v>
      </c>
      <c r="AF45" s="65" t="s">
        <v>368</v>
      </c>
      <c r="AG45" s="79" t="str">
        <f>IFERROR(ROUND((VLOOKUP($A45,'Из ГУГЛа'!$B:$AD,AG$1,0)+AI45)*AH45,),VLOOKUP($A45,'Из ГУГЛа'!$B:$AD,AG$1,0))</f>
        <v/>
      </c>
      <c r="AH45" s="51">
        <v>1</v>
      </c>
      <c r="AI45" s="51">
        <v>0</v>
      </c>
      <c r="AJ45" s="41"/>
      <c r="AK45" s="41"/>
      <c r="AL45" s="79" t="str">
        <f>IFERROR(ROUND((VLOOKUP($A45,'Из ГУГЛа'!$B:$AD,AL$1,0)+AN45)*AM45,),VLOOKUP($A45,'Из ГУГЛа'!$B:$AD,AL$1,0))</f>
        <v/>
      </c>
      <c r="AM45" s="51">
        <v>1</v>
      </c>
      <c r="AN45" s="51">
        <v>0</v>
      </c>
      <c r="AO45" s="41"/>
      <c r="AP45" s="41"/>
    </row>
    <row r="46" spans="1:42" ht="91.5" thickTop="1" thickBot="1" x14ac:dyDescent="0.3">
      <c r="A46" s="41">
        <v>201918</v>
      </c>
      <c r="B46" s="41">
        <f>VLOOKUP($A46,'Выгр Кат'!$A:$T,B$1,0)</f>
        <v>16651</v>
      </c>
      <c r="C46" s="75" t="str">
        <f>VLOOKUP($A46,'Выгр Кат'!$A:$T,C$1,0)</f>
        <v>Пружины задней подвески Технорессор Драйв, с переменным шагом витков для ВАЗ 2108-21099, 2113-2115, 2110-2112, Лада Калина, Калина 2, Приора, Приора 2, Гранта, Гранта FL</v>
      </c>
      <c r="D46" s="41" t="str">
        <f>VLOOKUP($A46,'Выгр Кат'!$A:$T,D$1,0)</f>
        <v>N</v>
      </c>
      <c r="E46" s="41" t="str">
        <f>VLOOKUP($A46,'Выгр Кат'!$A:$T,E$1,0)</f>
        <v>1</v>
      </c>
      <c r="F46" s="41">
        <f>VLOOKUP($A46,'Выгр Кат'!$A:$T,F$1,0)</f>
        <v>0</v>
      </c>
      <c r="G46" s="36"/>
      <c r="H46" s="41" t="s">
        <v>222</v>
      </c>
      <c r="I46" s="1" t="s">
        <v>65</v>
      </c>
      <c r="J46" s="62">
        <f>N46</f>
        <v>2900</v>
      </c>
      <c r="K46" s="61">
        <f>VLOOKUP(J46,Наценка!$A$1:$B$8,2,1)</f>
        <v>1.32</v>
      </c>
      <c r="L46" s="64">
        <f t="shared" si="10"/>
        <v>3828</v>
      </c>
      <c r="M46" s="63">
        <f t="shared" si="27"/>
        <v>3890</v>
      </c>
      <c r="N46" s="41">
        <f>VLOOKUP($A46,'Выгр Кат'!$A:$T,N$1,0)</f>
        <v>2900</v>
      </c>
      <c r="O46" s="41">
        <f>VLOOKUP($A46,'Выгр Кат'!$A:$T,O$1,0)</f>
        <v>3890</v>
      </c>
      <c r="P46" s="52">
        <f t="shared" si="5"/>
        <v>0</v>
      </c>
      <c r="Q46" s="52">
        <f t="shared" si="6"/>
        <v>0</v>
      </c>
      <c r="R46" s="59">
        <f t="shared" si="7"/>
        <v>3617.7</v>
      </c>
      <c r="S46" s="76">
        <f t="shared" si="23"/>
        <v>0.24748275862068958</v>
      </c>
      <c r="T46" s="76" t="str">
        <f t="shared" si="24"/>
        <v/>
      </c>
      <c r="U46" s="76" t="str">
        <f t="shared" si="25"/>
        <v/>
      </c>
      <c r="V46" s="108"/>
      <c r="W46" s="79" t="str">
        <f>IFERROR(ROUND((VLOOKUP($A46,'Из ГУГЛа'!$B:$AD,W$1,0)+Y46)*X46,),VLOOKUP($A46,'Из ГУГЛа'!$B:$AD,W$1,0))</f>
        <v/>
      </c>
      <c r="X46" s="51">
        <v>1</v>
      </c>
      <c r="Y46" s="51">
        <v>0</v>
      </c>
      <c r="Z46" s="86" t="s">
        <v>193</v>
      </c>
      <c r="AB46" s="79" t="str">
        <f>IFERROR(ROUND((VLOOKUP($A46,'Из ГУГЛа'!$B:$AD,AB$1,0)+AD46)*AC46,),VLOOKUP($A46,'Из ГУГЛа'!$B:$AD,AB$1,0))</f>
        <v/>
      </c>
      <c r="AC46" s="51">
        <v>1</v>
      </c>
      <c r="AD46" s="51">
        <v>0</v>
      </c>
      <c r="AE46" s="41"/>
      <c r="AG46" s="79" t="str">
        <f>IFERROR(ROUND((VLOOKUP($A46,'Из ГУГЛа'!$B:$AD,AG$1,0)+AI46)*AH46,),VLOOKUP($A46,'Из ГУГЛа'!$B:$AD,AG$1,0))</f>
        <v/>
      </c>
      <c r="AH46" s="51">
        <v>1</v>
      </c>
      <c r="AI46" s="51">
        <v>0</v>
      </c>
      <c r="AJ46" s="41"/>
      <c r="AK46" s="41"/>
      <c r="AL46" s="79" t="str">
        <f>IFERROR(ROUND((VLOOKUP($A46,'Из ГУГЛа'!$B:$AD,AL$1,0)+AN46)*AM46,),VLOOKUP($A46,'Из ГУГЛа'!$B:$AD,AL$1,0))</f>
        <v/>
      </c>
      <c r="AM46" s="51">
        <v>1</v>
      </c>
      <c r="AN46" s="51">
        <v>0</v>
      </c>
      <c r="AO46" s="41"/>
      <c r="AP46" s="41"/>
    </row>
    <row r="47" spans="1:42" ht="76.5" thickTop="1" thickBot="1" x14ac:dyDescent="0.3">
      <c r="A47" s="41">
        <v>201899</v>
      </c>
      <c r="B47" s="41">
        <f>VLOOKUP($A47,'Выгр Кат'!$A:$T,B$1,0)</f>
        <v>16659</v>
      </c>
      <c r="C47" s="75" t="str">
        <f>VLOOKUP($A47,'Выгр Кат'!$A:$T,C$1,0)</f>
        <v>Пружины задней подвески ТехноРессор Драйв с завышением 20 мм для ВАЗ 2108-21099, 2113-2115, 2110-2112, Лада Калина, Калина 2, Приора, Гранта, Гранта FL</v>
      </c>
      <c r="D47" s="41" t="str">
        <f>VLOOKUP($A47,'Выгр Кат'!$A:$T,D$1,0)</f>
        <v>Y</v>
      </c>
      <c r="E47" s="41" t="str">
        <f>VLOOKUP($A47,'Выгр Кат'!$A:$T,E$1,0)</f>
        <v>1</v>
      </c>
      <c r="F47" s="41">
        <f>VLOOKUP($A47,'Выгр Кат'!$A:$T,F$1,0)</f>
        <v>0</v>
      </c>
      <c r="G47" s="36"/>
      <c r="H47" s="41" t="s">
        <v>224</v>
      </c>
      <c r="I47" s="1" t="s">
        <v>65</v>
      </c>
      <c r="J47" s="62">
        <f>N47</f>
        <v>2800</v>
      </c>
      <c r="K47" s="61">
        <f>VLOOKUP(J47,Наценка!$A$1:$B$8,2,1)</f>
        <v>1.32</v>
      </c>
      <c r="L47" s="96">
        <f>V47*1.04</f>
        <v>4669.6000000000004</v>
      </c>
      <c r="M47" s="63">
        <f t="shared" si="27"/>
        <v>4690</v>
      </c>
      <c r="N47" s="41">
        <f>VLOOKUP($A47,'Выгр Кат'!$A:$T,N$1,0)</f>
        <v>2800</v>
      </c>
      <c r="O47" s="41">
        <f>VLOOKUP($A47,'Выгр Кат'!$A:$T,O$1,0)</f>
        <v>4690</v>
      </c>
      <c r="P47" s="52">
        <f t="shared" si="5"/>
        <v>0</v>
      </c>
      <c r="Q47" s="52">
        <f t="shared" si="6"/>
        <v>0</v>
      </c>
      <c r="R47" s="59">
        <f t="shared" si="7"/>
        <v>4361.7</v>
      </c>
      <c r="S47" s="76">
        <f t="shared" si="23"/>
        <v>0.55774999999999997</v>
      </c>
      <c r="T47" s="76">
        <f t="shared" si="24"/>
        <v>2.8574610244988904E-2</v>
      </c>
      <c r="U47" s="76">
        <f t="shared" si="25"/>
        <v>0.60357142857142865</v>
      </c>
      <c r="V47" s="89">
        <f>Z47</f>
        <v>4490</v>
      </c>
      <c r="W47" s="79">
        <f>IFERROR(ROUND((VLOOKUP($A47,'Из ГУГЛа'!$B:$AD,W$1,0)+Y47)*X47,),VLOOKUP($A47,'Из ГУГЛа'!$B:$AD,W$1,0))</f>
        <v>4490</v>
      </c>
      <c r="X47" s="51">
        <v>1</v>
      </c>
      <c r="Y47" s="51">
        <v>0</v>
      </c>
      <c r="Z47" s="109">
        <v>4490</v>
      </c>
      <c r="AA47" s="65" t="s">
        <v>337</v>
      </c>
      <c r="AB47" s="79">
        <f>IFERROR(ROUND((VLOOKUP($A47,'Из ГУГЛа'!$B:$AD,AB$1,0)+AD47)*AC47,),VLOOKUP($A47,'Из ГУГЛа'!$B:$AD,AB$1,0))</f>
        <v>3500</v>
      </c>
      <c r="AC47" s="51">
        <v>1</v>
      </c>
      <c r="AD47" s="51">
        <v>0</v>
      </c>
      <c r="AE47" s="85">
        <v>3500</v>
      </c>
      <c r="AF47" s="65" t="s">
        <v>373</v>
      </c>
      <c r="AG47" s="79" t="str">
        <f>IFERROR(ROUND((VLOOKUP($A47,'Из ГУГЛа'!$B:$AD,AG$1,0)+AI47)*AH47,),VLOOKUP($A47,'Из ГУГЛа'!$B:$AD,AG$1,0))</f>
        <v/>
      </c>
      <c r="AH47" s="51">
        <v>1</v>
      </c>
      <c r="AI47" s="51">
        <v>0</v>
      </c>
      <c r="AJ47" s="41"/>
      <c r="AK47" s="41"/>
      <c r="AL47" s="79" t="str">
        <f>IFERROR(ROUND((VLOOKUP($A47,'Из ГУГЛа'!$B:$AD,AL$1,0)+AN47)*AM47,),VLOOKUP($A47,'Из ГУГЛа'!$B:$AD,AL$1,0))</f>
        <v/>
      </c>
      <c r="AM47" s="51">
        <v>1</v>
      </c>
      <c r="AN47" s="51">
        <v>0</v>
      </c>
      <c r="AO47" s="41"/>
      <c r="AP47" s="41"/>
    </row>
    <row r="48" spans="1:42" ht="46.5" thickTop="1" thickBot="1" x14ac:dyDescent="0.3">
      <c r="A48" s="41">
        <v>202000</v>
      </c>
      <c r="B48" s="41">
        <f>VLOOKUP($A48,'Выгр Кат'!$A:$T,B$1,0)</f>
        <v>19733</v>
      </c>
      <c r="C48" s="75" t="str">
        <f>VLOOKUP($A48,'Выгр Кат'!$A:$T,C$1,0)</f>
        <v>Пружины передней подвески Технорессор Драйв, без занижения для Лада Гранта FL</v>
      </c>
      <c r="D48" s="41" t="str">
        <f>VLOOKUP($A48,'Выгр Кат'!$A:$T,D$1,0)</f>
        <v>Y</v>
      </c>
      <c r="E48" s="41" t="str">
        <f>VLOOKUP($A48,'Выгр Кат'!$A:$T,E$1,0)</f>
        <v>1</v>
      </c>
      <c r="F48" s="41">
        <f>VLOOKUP($A48,'Выгр Кат'!$A:$T,F$1,0)</f>
        <v>0</v>
      </c>
      <c r="G48" s="36"/>
      <c r="H48" s="41" t="s">
        <v>59</v>
      </c>
      <c r="I48" s="1" t="s">
        <v>65</v>
      </c>
      <c r="J48" s="63">
        <f>VLOOKUP(H48,Прайс!B:D,3,0)</f>
        <v>4000</v>
      </c>
      <c r="K48" s="61">
        <f>VLOOKUP(J48,Наценка!$A$1:$B$8,2,1)</f>
        <v>1.32</v>
      </c>
      <c r="L48" s="97">
        <f t="shared" ref="L48" si="28">V48*1.05</f>
        <v>6289.5</v>
      </c>
      <c r="M48" s="63">
        <f t="shared" si="27"/>
        <v>6290</v>
      </c>
      <c r="N48" s="41">
        <f>VLOOKUP($A48,'Выгр Кат'!$A:$T,N$1,0)</f>
        <v>4000</v>
      </c>
      <c r="O48" s="41">
        <f>VLOOKUP($A48,'Выгр Кат'!$A:$T,O$1,0)</f>
        <v>6290</v>
      </c>
      <c r="P48" s="52">
        <f t="shared" si="5"/>
        <v>0</v>
      </c>
      <c r="Q48" s="52">
        <f t="shared" si="6"/>
        <v>0</v>
      </c>
      <c r="R48" s="59">
        <f t="shared" si="7"/>
        <v>5849.7</v>
      </c>
      <c r="S48" s="76">
        <f t="shared" si="23"/>
        <v>0.46242499999999986</v>
      </c>
      <c r="T48" s="76">
        <f t="shared" si="24"/>
        <v>2.3422370617696191E-2</v>
      </c>
      <c r="U48" s="76">
        <f t="shared" si="25"/>
        <v>0.49750000000000005</v>
      </c>
      <c r="V48" s="89">
        <f>Z48</f>
        <v>5990</v>
      </c>
      <c r="W48" s="79">
        <f>IFERROR(ROUND((VLOOKUP($A48,'Из ГУГЛа'!$B:$AD,W$1,0)+Y48)*X48,),VLOOKUP($A48,'Из ГУГЛа'!$B:$AD,W$1,0))</f>
        <v>5990</v>
      </c>
      <c r="X48" s="51">
        <v>1</v>
      </c>
      <c r="Y48" s="51">
        <v>0</v>
      </c>
      <c r="Z48" s="109">
        <v>5990</v>
      </c>
      <c r="AA48" s="65" t="s">
        <v>267</v>
      </c>
      <c r="AB48" s="79" t="str">
        <f>IFERROR(ROUND((VLOOKUP($A48,'Из ГУГЛа'!$B:$AD,AB$1,0)+AD48)*AC48,),VLOOKUP($A48,'Из ГУГЛа'!$B:$AD,AB$1,0))</f>
        <v/>
      </c>
      <c r="AC48" s="51">
        <v>1</v>
      </c>
      <c r="AD48" s="51">
        <v>0</v>
      </c>
      <c r="AE48" s="41"/>
      <c r="AG48" s="79" t="str">
        <f>IFERROR(ROUND((VLOOKUP($A48,'Из ГУГЛа'!$B:$AD,AG$1,0)+AI48)*AH48,),VLOOKUP($A48,'Из ГУГЛа'!$B:$AD,AG$1,0))</f>
        <v/>
      </c>
      <c r="AH48" s="51">
        <v>1</v>
      </c>
      <c r="AI48" s="51">
        <v>0</v>
      </c>
      <c r="AJ48" s="41"/>
      <c r="AK48" s="41"/>
      <c r="AL48" s="79" t="str">
        <f>IFERROR(ROUND((VLOOKUP($A48,'Из ГУГЛа'!$B:$AD,AL$1,0)+AN48)*AM48,),VLOOKUP($A48,'Из ГУГЛа'!$B:$AD,AL$1,0))</f>
        <v/>
      </c>
      <c r="AM48" s="51">
        <v>1</v>
      </c>
      <c r="AN48" s="51">
        <v>0</v>
      </c>
      <c r="AO48" s="41"/>
      <c r="AP48" s="41"/>
    </row>
    <row r="49" spans="1:42" ht="46.5" thickTop="1" thickBot="1" x14ac:dyDescent="0.3">
      <c r="A49" s="41">
        <v>201994</v>
      </c>
      <c r="B49" s="41">
        <f>VLOOKUP($A49,'Выгр Кат'!$A:$T,B$1,0)</f>
        <v>19736</v>
      </c>
      <c r="C49" s="75" t="str">
        <f>VLOOKUP($A49,'Выгр Кат'!$A:$T,C$1,0)</f>
        <v>Пружины передней подвески Технорессор Драйв усиленные, без занижения для Лада Гранта FL</v>
      </c>
      <c r="D49" s="41" t="str">
        <f>VLOOKUP($A49,'Выгр Кат'!$A:$T,D$1,0)</f>
        <v>Y</v>
      </c>
      <c r="E49" s="41" t="str">
        <f>VLOOKUP($A49,'Выгр Кат'!$A:$T,E$1,0)</f>
        <v>1</v>
      </c>
      <c r="F49" s="41">
        <f>VLOOKUP($A49,'Выгр Кат'!$A:$T,F$1,0)</f>
        <v>0</v>
      </c>
      <c r="G49" s="36"/>
      <c r="H49" s="41" t="s">
        <v>59</v>
      </c>
      <c r="I49" s="1" t="s">
        <v>65</v>
      </c>
      <c r="J49" s="63">
        <f>VLOOKUP(H49,Прайс!B:D,3,0)</f>
        <v>4000</v>
      </c>
      <c r="K49" s="61">
        <f>VLOOKUP(J49,Наценка!$A$1:$B$8,2,1)</f>
        <v>1.32</v>
      </c>
      <c r="L49" s="64">
        <f t="shared" si="10"/>
        <v>5280</v>
      </c>
      <c r="M49" s="63">
        <f t="shared" si="27"/>
        <v>5290</v>
      </c>
      <c r="N49" s="41">
        <f>VLOOKUP($A49,'Выгр Кат'!$A:$T,N$1,0)</f>
        <v>4000</v>
      </c>
      <c r="O49" s="41">
        <f>VLOOKUP($A49,'Выгр Кат'!$A:$T,O$1,0)</f>
        <v>5290</v>
      </c>
      <c r="P49" s="52">
        <f t="shared" si="5"/>
        <v>0</v>
      </c>
      <c r="Q49" s="52">
        <f t="shared" si="6"/>
        <v>0</v>
      </c>
      <c r="R49" s="59">
        <f t="shared" si="7"/>
        <v>4919.7</v>
      </c>
      <c r="S49" s="76">
        <f t="shared" si="23"/>
        <v>0.22992499999999993</v>
      </c>
      <c r="T49" s="76" t="str">
        <f t="shared" si="24"/>
        <v/>
      </c>
      <c r="U49" s="76" t="str">
        <f t="shared" si="25"/>
        <v/>
      </c>
      <c r="V49" s="108"/>
      <c r="W49" s="79" t="str">
        <f>IFERROR(ROUND((VLOOKUP($A49,'Из ГУГЛа'!$B:$AD,W$1,0)+Y49)*X49,),VLOOKUP($A49,'Из ГУГЛа'!$B:$AD,W$1,0))</f>
        <v/>
      </c>
      <c r="X49" s="51">
        <v>1</v>
      </c>
      <c r="Y49" s="51">
        <v>0</v>
      </c>
      <c r="Z49" s="86" t="s">
        <v>193</v>
      </c>
      <c r="AB49" s="79" t="str">
        <f>IFERROR(ROUND((VLOOKUP($A49,'Из ГУГЛа'!$B:$AD,AB$1,0)+AD49)*AC49,),VLOOKUP($A49,'Из ГУГЛа'!$B:$AD,AB$1,0))</f>
        <v/>
      </c>
      <c r="AC49" s="51">
        <v>1</v>
      </c>
      <c r="AD49" s="51">
        <v>0</v>
      </c>
      <c r="AE49" s="41"/>
      <c r="AG49" s="79" t="str">
        <f>IFERROR(ROUND((VLOOKUP($A49,'Из ГУГЛа'!$B:$AD,AG$1,0)+AI49)*AH49,),VLOOKUP($A49,'Из ГУГЛа'!$B:$AD,AG$1,0))</f>
        <v/>
      </c>
      <c r="AH49" s="51">
        <v>1</v>
      </c>
      <c r="AI49" s="51">
        <v>0</v>
      </c>
      <c r="AJ49" s="41"/>
      <c r="AK49" s="41"/>
      <c r="AL49" s="79" t="str">
        <f>IFERROR(ROUND((VLOOKUP($A49,'Из ГУГЛа'!$B:$AD,AL$1,0)+AN49)*AM49,),VLOOKUP($A49,'Из ГУГЛа'!$B:$AD,AL$1,0))</f>
        <v/>
      </c>
      <c r="AM49" s="51">
        <v>1</v>
      </c>
      <c r="AN49" s="51">
        <v>0</v>
      </c>
      <c r="AO49" s="41"/>
      <c r="AP49" s="41"/>
    </row>
    <row r="50" spans="1:42" ht="61.5" thickTop="1" thickBot="1" x14ac:dyDescent="0.3">
      <c r="A50" s="41">
        <v>201996</v>
      </c>
      <c r="B50" s="41">
        <f>VLOOKUP($A50,'Выгр Кат'!$A:$T,B$1,0)</f>
        <v>19737</v>
      </c>
      <c r="C50" s="75" t="str">
        <f>VLOOKUP($A50,'Выгр Кат'!$A:$T,C$1,0)</f>
        <v>Пружины передней подвески Технорессор Драйв усиленные, с завышением 20 мм для Лада Гранта FL</v>
      </c>
      <c r="D50" s="41" t="str">
        <f>VLOOKUP($A50,'Выгр Кат'!$A:$T,D$1,0)</f>
        <v>Y</v>
      </c>
      <c r="E50" s="41" t="str">
        <f>VLOOKUP($A50,'Выгр Кат'!$A:$T,E$1,0)</f>
        <v>0</v>
      </c>
      <c r="F50" s="41">
        <f>VLOOKUP($A50,'Выгр Кат'!$A:$T,F$1,0)</f>
        <v>0</v>
      </c>
      <c r="G50" s="36"/>
      <c r="H50" s="41" t="s">
        <v>59</v>
      </c>
      <c r="I50" s="1" t="s">
        <v>65</v>
      </c>
      <c r="J50" s="63">
        <f>VLOOKUP(H50,Прайс!B:D,3,0)</f>
        <v>4000</v>
      </c>
      <c r="K50" s="61">
        <f>VLOOKUP(J50,Наценка!$A$1:$B$8,2,1)</f>
        <v>1.32</v>
      </c>
      <c r="L50" s="64">
        <f t="shared" si="10"/>
        <v>5280</v>
      </c>
      <c r="M50" s="63">
        <f t="shared" si="27"/>
        <v>5290</v>
      </c>
      <c r="N50" s="41">
        <f>VLOOKUP($A50,'Выгр Кат'!$A:$T,N$1,0)</f>
        <v>4000</v>
      </c>
      <c r="O50" s="41">
        <f>VLOOKUP($A50,'Выгр Кат'!$A:$T,O$1,0)</f>
        <v>5290</v>
      </c>
      <c r="P50" s="52">
        <f t="shared" si="5"/>
        <v>0</v>
      </c>
      <c r="Q50" s="52">
        <f t="shared" si="6"/>
        <v>0</v>
      </c>
      <c r="R50" s="59">
        <f t="shared" si="7"/>
        <v>4919.7</v>
      </c>
      <c r="S50" s="76">
        <f t="shared" si="23"/>
        <v>0.22992499999999993</v>
      </c>
      <c r="T50" s="76" t="str">
        <f t="shared" si="24"/>
        <v/>
      </c>
      <c r="U50" s="76" t="str">
        <f t="shared" si="25"/>
        <v/>
      </c>
      <c r="V50" s="108"/>
      <c r="W50" s="79">
        <f>IFERROR(ROUND((VLOOKUP($A50,'Из ГУГЛа'!$B:$AD,W$1,0)+Y50)*X50,),VLOOKUP($A50,'Из ГУГЛа'!$B:$AD,W$1,0))</f>
        <v>2990</v>
      </c>
      <c r="X50" s="51">
        <v>1</v>
      </c>
      <c r="Y50" s="51">
        <v>0</v>
      </c>
      <c r="Z50" s="86" t="s">
        <v>235</v>
      </c>
      <c r="AA50" s="65" t="s">
        <v>263</v>
      </c>
      <c r="AB50" s="79" t="str">
        <f>IFERROR(ROUND((VLOOKUP($A50,'Из ГУГЛа'!$B:$AD,AB$1,0)+AD50)*AC50,),VLOOKUP($A50,'Из ГУГЛа'!$B:$AD,AB$1,0))</f>
        <v/>
      </c>
      <c r="AC50" s="51">
        <v>1</v>
      </c>
      <c r="AD50" s="51">
        <v>0</v>
      </c>
      <c r="AE50" s="41"/>
      <c r="AG50" s="79" t="str">
        <f>IFERROR(ROUND((VLOOKUP($A50,'Из ГУГЛа'!$B:$AD,AG$1,0)+AI50)*AH50,),VLOOKUP($A50,'Из ГУГЛа'!$B:$AD,AG$1,0))</f>
        <v/>
      </c>
      <c r="AH50" s="51">
        <v>1</v>
      </c>
      <c r="AI50" s="51">
        <v>0</v>
      </c>
      <c r="AJ50" s="41"/>
      <c r="AK50" s="41"/>
      <c r="AL50" s="79" t="str">
        <f>IFERROR(ROUND((VLOOKUP($A50,'Из ГУГЛа'!$B:$AD,AL$1,0)+AN50)*AM50,),VLOOKUP($A50,'Из ГУГЛа'!$B:$AD,AL$1,0))</f>
        <v/>
      </c>
      <c r="AM50" s="51">
        <v>1</v>
      </c>
      <c r="AN50" s="51">
        <v>0</v>
      </c>
      <c r="AO50" s="41"/>
      <c r="AP50" s="41"/>
    </row>
    <row r="51" spans="1:42" ht="46.5" thickTop="1" thickBot="1" x14ac:dyDescent="0.3">
      <c r="A51" s="41">
        <v>201901</v>
      </c>
      <c r="B51" s="41">
        <f>VLOOKUP($A51,'Выгр Кат'!$A:$T,B$1,0)</f>
        <v>20135</v>
      </c>
      <c r="C51" s="75" t="str">
        <f>VLOOKUP($A51,'Выгр Кат'!$A:$T,C$1,0)</f>
        <v>Пружины задней подвески Технорессор Драйв с завышением 30 мм для Шевроле Нива</v>
      </c>
      <c r="D51" s="41" t="str">
        <f>VLOOKUP($A51,'Выгр Кат'!$A:$T,D$1,0)</f>
        <v>Y</v>
      </c>
      <c r="E51" s="41" t="str">
        <f>VLOOKUP($A51,'Выгр Кат'!$A:$T,E$1,0)</f>
        <v>1</v>
      </c>
      <c r="F51" s="41">
        <f>VLOOKUP($A51,'Выгр Кат'!$A:$T,F$1,0)</f>
        <v>0</v>
      </c>
      <c r="G51" s="36"/>
      <c r="H51" s="41" t="s">
        <v>450</v>
      </c>
      <c r="I51" s="1" t="s">
        <v>65</v>
      </c>
      <c r="J51" s="63">
        <f>VLOOKUP(H51,Прайс!B:D,3,0)</f>
        <v>3900</v>
      </c>
      <c r="K51" s="61">
        <f>VLOOKUP(J51,Наценка!$A$1:$B$8,2,1)</f>
        <v>1.32</v>
      </c>
      <c r="L51" s="97">
        <f t="shared" ref="L51:L53" si="29">V51*1.05</f>
        <v>5197.5</v>
      </c>
      <c r="M51" s="63">
        <f t="shared" si="27"/>
        <v>5190</v>
      </c>
      <c r="N51" s="41">
        <f>VLOOKUP($A51,'Выгр Кат'!$A:$T,N$1,0)</f>
        <v>3900</v>
      </c>
      <c r="O51" s="41">
        <f>VLOOKUP($A51,'Выгр Кат'!$A:$T,O$1,0)</f>
        <v>5190</v>
      </c>
      <c r="P51" s="52">
        <f t="shared" si="5"/>
        <v>0</v>
      </c>
      <c r="Q51" s="52">
        <f t="shared" si="6"/>
        <v>0</v>
      </c>
      <c r="R51" s="59">
        <f t="shared" si="7"/>
        <v>4826.7</v>
      </c>
      <c r="S51" s="76">
        <f t="shared" si="23"/>
        <v>0.23761538461538456</v>
      </c>
      <c r="T51" s="76">
        <f t="shared" si="24"/>
        <v>2.4909090909090947E-2</v>
      </c>
      <c r="U51" s="76">
        <f t="shared" si="25"/>
        <v>0.26923076923076916</v>
      </c>
      <c r="V51" s="90">
        <f>AE51</f>
        <v>4950</v>
      </c>
      <c r="W51" s="79">
        <f>IFERROR(ROUND((VLOOKUP($A51,'Из ГУГЛа'!$B:$AD,W$1,0)+Y51)*X51,),VLOOKUP($A51,'Из ГУГЛа'!$B:$AD,W$1,0))</f>
        <v>3890</v>
      </c>
      <c r="X51" s="51">
        <v>1</v>
      </c>
      <c r="Y51" s="51">
        <v>0</v>
      </c>
      <c r="Z51" s="109" t="s">
        <v>230</v>
      </c>
      <c r="AA51" s="65" t="s">
        <v>265</v>
      </c>
      <c r="AB51" s="79">
        <f>IFERROR(ROUND((VLOOKUP($A51,'Из ГУГЛа'!$B:$AD,AB$1,0)+AD51)*AC51,),VLOOKUP($A51,'Из ГУГЛа'!$B:$AD,AB$1,0))</f>
        <v>4950</v>
      </c>
      <c r="AC51" s="51">
        <v>1</v>
      </c>
      <c r="AD51" s="51">
        <v>0</v>
      </c>
      <c r="AE51" s="85">
        <v>4950</v>
      </c>
      <c r="AF51" s="65" t="s">
        <v>370</v>
      </c>
      <c r="AG51" s="79" t="str">
        <f>IFERROR(ROUND((VLOOKUP($A51,'Из ГУГЛа'!$B:$AD,AG$1,0)+AI51)*AH51,),VLOOKUP($A51,'Из ГУГЛа'!$B:$AD,AG$1,0))</f>
        <v/>
      </c>
      <c r="AH51" s="51">
        <v>1</v>
      </c>
      <c r="AI51" s="51">
        <v>0</v>
      </c>
      <c r="AJ51" s="41"/>
      <c r="AK51" s="41"/>
      <c r="AL51" s="79" t="str">
        <f>IFERROR(ROUND((VLOOKUP($A51,'Из ГУГЛа'!$B:$AD,AL$1,0)+AN51)*AM51,),VLOOKUP($A51,'Из ГУГЛа'!$B:$AD,AL$1,0))</f>
        <v/>
      </c>
      <c r="AM51" s="51">
        <v>1</v>
      </c>
      <c r="AN51" s="51">
        <v>0</v>
      </c>
      <c r="AO51" s="41"/>
      <c r="AP51" s="41"/>
    </row>
    <row r="52" spans="1:42" ht="46.5" thickTop="1" thickBot="1" x14ac:dyDescent="0.3">
      <c r="A52" s="41">
        <v>201902</v>
      </c>
      <c r="B52" s="41">
        <f>VLOOKUP($A52,'Выгр Кат'!$A:$T,B$1,0)</f>
        <v>20137</v>
      </c>
      <c r="C52" s="75" t="str">
        <f>VLOOKUP($A52,'Выгр Кат'!$A:$T,C$1,0)</f>
        <v>Пружины задней подвески Технорессор Драйв с завышением 50 мм для Шевроле Нива</v>
      </c>
      <c r="D52" s="41" t="str">
        <f>VLOOKUP($A52,'Выгр Кат'!$A:$T,D$1,0)</f>
        <v>Y</v>
      </c>
      <c r="E52" s="41" t="str">
        <f>VLOOKUP($A52,'Выгр Кат'!$A:$T,E$1,0)</f>
        <v>1</v>
      </c>
      <c r="F52" s="41">
        <f>VLOOKUP($A52,'Выгр Кат'!$A:$T,F$1,0)</f>
        <v>0</v>
      </c>
      <c r="G52" s="36"/>
      <c r="H52" s="41" t="s">
        <v>451</v>
      </c>
      <c r="I52" s="1" t="s">
        <v>65</v>
      </c>
      <c r="J52" s="63">
        <f>VLOOKUP(H52,Прайс!B:D,3,0)</f>
        <v>3900</v>
      </c>
      <c r="K52" s="61">
        <f>VLOOKUP(J52,Наценка!$A$1:$B$8,2,1)</f>
        <v>1.32</v>
      </c>
      <c r="L52" s="97">
        <f t="shared" si="29"/>
        <v>5197.5</v>
      </c>
      <c r="M52" s="63">
        <f t="shared" si="27"/>
        <v>5190</v>
      </c>
      <c r="N52" s="41">
        <f>VLOOKUP($A52,'Выгр Кат'!$A:$T,N$1,0)</f>
        <v>3900</v>
      </c>
      <c r="O52" s="41">
        <f>VLOOKUP($A52,'Выгр Кат'!$A:$T,O$1,0)</f>
        <v>5190</v>
      </c>
      <c r="P52" s="52">
        <f t="shared" si="5"/>
        <v>0</v>
      </c>
      <c r="Q52" s="52">
        <f t="shared" si="6"/>
        <v>0</v>
      </c>
      <c r="R52" s="59">
        <f t="shared" si="7"/>
        <v>4826.7</v>
      </c>
      <c r="S52" s="76">
        <f t="shared" si="23"/>
        <v>0.23761538461538456</v>
      </c>
      <c r="T52" s="76">
        <f t="shared" si="24"/>
        <v>2.4909090909090947E-2</v>
      </c>
      <c r="U52" s="76">
        <f t="shared" si="25"/>
        <v>0.26923076923076916</v>
      </c>
      <c r="V52" s="90">
        <f>AE52</f>
        <v>4950</v>
      </c>
      <c r="W52" s="79">
        <f>IFERROR(ROUND((VLOOKUP($A52,'Из ГУГЛа'!$B:$AD,W$1,0)+Y52)*X52,),VLOOKUP($A52,'Из ГУГЛа'!$B:$AD,W$1,0))</f>
        <v>3890</v>
      </c>
      <c r="X52" s="51">
        <v>1</v>
      </c>
      <c r="Y52" s="51">
        <v>0</v>
      </c>
      <c r="Z52" s="109" t="s">
        <v>230</v>
      </c>
      <c r="AA52" s="65" t="s">
        <v>266</v>
      </c>
      <c r="AB52" s="79">
        <f>IFERROR(ROUND((VLOOKUP($A52,'Из ГУГЛа'!$B:$AD,AB$1,0)+AD52)*AC52,),VLOOKUP($A52,'Из ГУГЛа'!$B:$AD,AB$1,0))</f>
        <v>4950</v>
      </c>
      <c r="AC52" s="51">
        <v>1</v>
      </c>
      <c r="AD52" s="51">
        <v>0</v>
      </c>
      <c r="AE52" s="85">
        <v>4950</v>
      </c>
      <c r="AF52" s="65" t="s">
        <v>372</v>
      </c>
      <c r="AG52" s="79" t="str">
        <f>IFERROR(ROUND((VLOOKUP($A52,'Из ГУГЛа'!$B:$AD,AG$1,0)+AI52)*AH52,),VLOOKUP($A52,'Из ГУГЛа'!$B:$AD,AG$1,0))</f>
        <v/>
      </c>
      <c r="AH52" s="51">
        <v>1</v>
      </c>
      <c r="AI52" s="51">
        <v>0</v>
      </c>
      <c r="AJ52" s="41"/>
      <c r="AK52" s="41"/>
      <c r="AL52" s="79" t="str">
        <f>IFERROR(ROUND((VLOOKUP($A52,'Из ГУГЛа'!$B:$AD,AL$1,0)+AN52)*AM52,),VLOOKUP($A52,'Из ГУГЛа'!$B:$AD,AL$1,0))</f>
        <v/>
      </c>
      <c r="AM52" s="51">
        <v>1</v>
      </c>
      <c r="AN52" s="51">
        <v>0</v>
      </c>
      <c r="AO52" s="41"/>
      <c r="AP52" s="41"/>
    </row>
    <row r="53" spans="1:42" ht="46.5" thickTop="1" thickBot="1" x14ac:dyDescent="0.3">
      <c r="A53" s="41">
        <v>201970</v>
      </c>
      <c r="B53" s="41">
        <f>VLOOKUP($A53,'Выгр Кат'!$A:$T,B$1,0)</f>
        <v>20138</v>
      </c>
      <c r="C53" s="75" t="str">
        <f>VLOOKUP($A53,'Выгр Кат'!$A:$T,C$1,0)</f>
        <v>Пружины передней подвески Технорессор Драйв с завышением 30 мм для Шевроле Нива</v>
      </c>
      <c r="D53" s="41" t="str">
        <f>VLOOKUP($A53,'Выгр Кат'!$A:$T,D$1,0)</f>
        <v>Y</v>
      </c>
      <c r="E53" s="41" t="str">
        <f>VLOOKUP($A53,'Выгр Кат'!$A:$T,E$1,0)</f>
        <v>1</v>
      </c>
      <c r="F53" s="41">
        <f>VLOOKUP($A53,'Выгр Кат'!$A:$T,F$1,0)</f>
        <v>0</v>
      </c>
      <c r="G53" s="36"/>
      <c r="H53" s="41" t="s">
        <v>429</v>
      </c>
      <c r="I53" s="1" t="s">
        <v>65</v>
      </c>
      <c r="J53" s="63">
        <f>VLOOKUP(H53,Прайс!B:D,3,0)</f>
        <v>3900</v>
      </c>
      <c r="K53" s="61">
        <f>VLOOKUP(J53,Наценка!$A$1:$B$8,2,1)</f>
        <v>1.32</v>
      </c>
      <c r="L53" s="97">
        <f t="shared" si="29"/>
        <v>5197.5</v>
      </c>
      <c r="M53" s="63">
        <f t="shared" si="27"/>
        <v>5190</v>
      </c>
      <c r="N53" s="41">
        <f>VLOOKUP($A53,'Выгр Кат'!$A:$T,N$1,0)</f>
        <v>3900</v>
      </c>
      <c r="O53" s="41">
        <f>VLOOKUP($A53,'Выгр Кат'!$A:$T,O$1,0)</f>
        <v>5190</v>
      </c>
      <c r="P53" s="52">
        <f t="shared" si="5"/>
        <v>0</v>
      </c>
      <c r="Q53" s="52">
        <f t="shared" si="6"/>
        <v>0</v>
      </c>
      <c r="R53" s="59">
        <f t="shared" si="7"/>
        <v>4826.7</v>
      </c>
      <c r="S53" s="76">
        <f t="shared" si="23"/>
        <v>0.23761538461538456</v>
      </c>
      <c r="T53" s="76">
        <f t="shared" si="24"/>
        <v>2.4909090909090947E-2</v>
      </c>
      <c r="U53" s="76">
        <f t="shared" si="25"/>
        <v>0.26923076923076916</v>
      </c>
      <c r="V53" s="90">
        <f>AE53</f>
        <v>4950</v>
      </c>
      <c r="W53" s="79">
        <f>IFERROR(ROUND((VLOOKUP($A53,'Из ГУГЛа'!$B:$AD,W$1,0)+Y53)*X53,),VLOOKUP($A53,'Из ГУГЛа'!$B:$AD,W$1,0))</f>
        <v>3890</v>
      </c>
      <c r="X53" s="51">
        <v>1</v>
      </c>
      <c r="Y53" s="51">
        <v>0</v>
      </c>
      <c r="Z53" s="109" t="s">
        <v>230</v>
      </c>
      <c r="AA53" s="65" t="s">
        <v>264</v>
      </c>
      <c r="AB53" s="79">
        <f>IFERROR(ROUND((VLOOKUP($A53,'Из ГУГЛа'!$B:$AD,AB$1,0)+AD53)*AC53,),VLOOKUP($A53,'Из ГУГЛа'!$B:$AD,AB$1,0))</f>
        <v>4950</v>
      </c>
      <c r="AC53" s="51">
        <v>1</v>
      </c>
      <c r="AD53" s="51">
        <v>0</v>
      </c>
      <c r="AE53" s="85">
        <v>4950</v>
      </c>
      <c r="AF53" s="65" t="s">
        <v>369</v>
      </c>
      <c r="AG53" s="79" t="str">
        <f>IFERROR(ROUND((VLOOKUP($A53,'Из ГУГЛа'!$B:$AD,AG$1,0)+AI53)*AH53,),VLOOKUP($A53,'Из ГУГЛа'!$B:$AD,AG$1,0))</f>
        <v/>
      </c>
      <c r="AH53" s="51">
        <v>1</v>
      </c>
      <c r="AI53" s="51">
        <v>0</v>
      </c>
      <c r="AJ53" s="41"/>
      <c r="AK53" s="41"/>
      <c r="AL53" s="79" t="str">
        <f>IFERROR(ROUND((VLOOKUP($A53,'Из ГУГЛа'!$B:$AD,AL$1,0)+AN53)*AM53,),VLOOKUP($A53,'Из ГУГЛа'!$B:$AD,AL$1,0))</f>
        <v/>
      </c>
      <c r="AM53" s="51">
        <v>1</v>
      </c>
      <c r="AN53" s="51">
        <v>0</v>
      </c>
      <c r="AO53" s="41"/>
      <c r="AP53" s="41"/>
    </row>
    <row r="54" spans="1:42" ht="46.5" thickTop="1" thickBot="1" x14ac:dyDescent="0.3">
      <c r="A54" s="41">
        <v>201968</v>
      </c>
      <c r="B54" s="41">
        <f>VLOOKUP($A54,'Выгр Кат'!$A:$T,B$1,0)</f>
        <v>24731</v>
      </c>
      <c r="C54" s="75" t="str">
        <f>VLOOKUP($A54,'Выгр Кат'!$A:$T,C$1,0)</f>
        <v>Пружины передней подвески Технорессор Драйв с завышением 20 мм для Лада Гранта FL</v>
      </c>
      <c r="D54" s="41" t="str">
        <f>VLOOKUP($A54,'Выгр Кат'!$A:$T,D$1,0)</f>
        <v>Y</v>
      </c>
      <c r="E54" s="41" t="str">
        <f>VLOOKUP($A54,'Выгр Кат'!$A:$T,E$1,0)</f>
        <v>1</v>
      </c>
      <c r="F54" s="41">
        <f>VLOOKUP($A54,'Выгр Кат'!$A:$T,F$1,0)</f>
        <v>0</v>
      </c>
      <c r="G54" s="36"/>
      <c r="H54" s="41" t="s">
        <v>59</v>
      </c>
      <c r="I54" s="1" t="s">
        <v>65</v>
      </c>
      <c r="J54" s="63">
        <f>VLOOKUP(H54,Прайс!B:D,3,0)</f>
        <v>4000</v>
      </c>
      <c r="K54" s="61">
        <f>VLOOKUP(J54,Наценка!$A$1:$B$8,2,1)</f>
        <v>1.32</v>
      </c>
      <c r="L54" s="64">
        <f t="shared" si="10"/>
        <v>5280</v>
      </c>
      <c r="M54" s="63">
        <f t="shared" si="27"/>
        <v>5290</v>
      </c>
      <c r="N54" s="41">
        <f>VLOOKUP($A54,'Выгр Кат'!$A:$T,N$1,0)</f>
        <v>4000</v>
      </c>
      <c r="O54" s="41">
        <f>VLOOKUP($A54,'Выгр Кат'!$A:$T,O$1,0)</f>
        <v>5290</v>
      </c>
      <c r="P54" s="52">
        <f t="shared" si="5"/>
        <v>0</v>
      </c>
      <c r="Q54" s="52">
        <f t="shared" si="6"/>
        <v>0</v>
      </c>
      <c r="R54" s="59">
        <f t="shared" si="7"/>
        <v>4919.7</v>
      </c>
      <c r="S54" s="76">
        <f t="shared" si="23"/>
        <v>0.22992499999999993</v>
      </c>
      <c r="T54" s="76" t="str">
        <f t="shared" si="24"/>
        <v/>
      </c>
      <c r="U54" s="76" t="str">
        <f t="shared" si="25"/>
        <v/>
      </c>
      <c r="V54" s="108"/>
      <c r="W54" s="79">
        <f>IFERROR(ROUND((VLOOKUP($A54,'Из ГУГЛа'!$B:$AD,W$1,0)+Y54)*X54,),VLOOKUP($A54,'Из ГУГЛа'!$B:$AD,W$1,0))</f>
        <v>2990</v>
      </c>
      <c r="X54" s="51">
        <v>1</v>
      </c>
      <c r="Y54" s="51">
        <v>0</v>
      </c>
      <c r="Z54" s="109" t="s">
        <v>235</v>
      </c>
      <c r="AA54" s="65" t="s">
        <v>263</v>
      </c>
      <c r="AB54" s="79" t="str">
        <f>IFERROR(ROUND((VLOOKUP($A54,'Из ГУГЛа'!$B:$AD,AB$1,0)+AD54)*AC54,),VLOOKUP($A54,'Из ГУГЛа'!$B:$AD,AB$1,0))</f>
        <v/>
      </c>
      <c r="AC54" s="51">
        <v>1</v>
      </c>
      <c r="AD54" s="51">
        <v>0</v>
      </c>
      <c r="AE54" s="41"/>
      <c r="AG54" s="79" t="str">
        <f>IFERROR(ROUND((VLOOKUP($A54,'Из ГУГЛа'!$B:$AD,AG$1,0)+AI54)*AH54,),VLOOKUP($A54,'Из ГУГЛа'!$B:$AD,AG$1,0))</f>
        <v/>
      </c>
      <c r="AH54" s="51">
        <v>1</v>
      </c>
      <c r="AI54" s="51">
        <v>0</v>
      </c>
      <c r="AJ54" s="41"/>
      <c r="AK54" s="41"/>
      <c r="AL54" s="79" t="str">
        <f>IFERROR(ROUND((VLOOKUP($A54,'Из ГУГЛа'!$B:$AD,AL$1,0)+AN54)*AM54,),VLOOKUP($A54,'Из ГУГЛа'!$B:$AD,AL$1,0))</f>
        <v/>
      </c>
      <c r="AM54" s="51">
        <v>1</v>
      </c>
      <c r="AN54" s="51">
        <v>0</v>
      </c>
      <c r="AO54" s="41"/>
      <c r="AP54" s="41"/>
    </row>
    <row r="55" spans="1:42" ht="61.5" thickTop="1" thickBot="1" x14ac:dyDescent="0.3">
      <c r="A55" s="41">
        <v>202003</v>
      </c>
      <c r="B55" s="41">
        <f>VLOOKUP($A55,'Выгр Кат'!$A:$T,B$1,0)</f>
        <v>16660</v>
      </c>
      <c r="C55" s="75" t="str">
        <f>VLOOKUP($A55,'Выгр Кат'!$A:$T,C$1,0)</f>
        <v>Пружины передней подвески Технорессор Драйв, усиленные для Лада Калина, Калина 2, Приора, Гранта</v>
      </c>
      <c r="D55" s="41" t="str">
        <f>VLOOKUP($A55,'Выгр Кат'!$A:$T,D$1,0)</f>
        <v>Y</v>
      </c>
      <c r="E55" s="41" t="str">
        <f>VLOOKUP($A55,'Выгр Кат'!$A:$T,E$1,0)</f>
        <v>1</v>
      </c>
      <c r="F55" s="41">
        <f>VLOOKUP($A55,'Выгр Кат'!$A:$T,F$1,0)</f>
        <v>0</v>
      </c>
      <c r="G55" s="36"/>
      <c r="H55" s="2" t="s">
        <v>60</v>
      </c>
      <c r="I55" s="1" t="s">
        <v>65</v>
      </c>
      <c r="J55" s="62">
        <f>N55</f>
        <v>3450</v>
      </c>
      <c r="K55" s="61">
        <f>VLOOKUP(J55,Наценка!$A$1:$B$8,2,1)</f>
        <v>1.32</v>
      </c>
      <c r="L55" s="97">
        <f t="shared" ref="L55" si="30">V55*1.05</f>
        <v>5449.5</v>
      </c>
      <c r="M55" s="63">
        <f>ROUNDUP(L55,-2)-10</f>
        <v>5490</v>
      </c>
      <c r="N55" s="41">
        <f>VLOOKUP($A55,'Выгр Кат'!$A:$T,N$1,0)</f>
        <v>3450</v>
      </c>
      <c r="O55" s="41">
        <f>VLOOKUP($A55,'Выгр Кат'!$A:$T,O$1,0)</f>
        <v>5490</v>
      </c>
      <c r="P55" s="52">
        <f t="shared" ref="P55:P68" si="31">N55-J55</f>
        <v>0</v>
      </c>
      <c r="Q55" s="52">
        <f t="shared" ref="Q55:Q68" si="32">O55-M55</f>
        <v>0</v>
      </c>
      <c r="R55" s="59">
        <f t="shared" ref="R55:R68" si="33">IFERROR(M55*(1-$R$2),"")</f>
        <v>5105.7</v>
      </c>
      <c r="S55" s="76">
        <f t="shared" si="23"/>
        <v>0.4799130434782608</v>
      </c>
      <c r="T55" s="76">
        <f t="shared" si="24"/>
        <v>1.6242774566474022E-2</v>
      </c>
      <c r="U55" s="76">
        <f t="shared" si="25"/>
        <v>0.5043478260869565</v>
      </c>
      <c r="V55" s="89">
        <f>Z55</f>
        <v>5190</v>
      </c>
      <c r="W55" s="79">
        <f>IFERROR(ROUND((VLOOKUP($A55,'Из ГУГЛа'!$B:$AD,W$1,0)+Y55)*X55,),VLOOKUP($A55,'Из ГУГЛа'!$B:$AD,W$1,0))</f>
        <v>5190</v>
      </c>
      <c r="X55" s="51">
        <v>1</v>
      </c>
      <c r="Y55" s="51">
        <v>0</v>
      </c>
      <c r="Z55" s="109">
        <v>5190</v>
      </c>
      <c r="AA55" s="65" t="s">
        <v>250</v>
      </c>
      <c r="AB55" s="79" t="str">
        <f>IFERROR(ROUND((VLOOKUP($A55,'Из ГУГЛа'!$B:$AD,AB$1,0)+AD55)*AC55,),VLOOKUP($A55,'Из ГУГЛа'!$B:$AD,AB$1,0))</f>
        <v/>
      </c>
      <c r="AC55" s="51">
        <v>1</v>
      </c>
      <c r="AD55" s="51">
        <v>0</v>
      </c>
      <c r="AE55" s="41"/>
      <c r="AG55" s="79" t="str">
        <f>IFERROR(ROUND((VLOOKUP($A55,'Из ГУГЛа'!$B:$AD,AG$1,0)+AI55)*AH55,),VLOOKUP($A55,'Из ГУГЛа'!$B:$AD,AG$1,0))</f>
        <v/>
      </c>
      <c r="AH55" s="51">
        <v>1</v>
      </c>
      <c r="AI55" s="51">
        <v>0</v>
      </c>
      <c r="AJ55" s="41"/>
      <c r="AK55" s="41"/>
      <c r="AL55" s="79" t="str">
        <f>IFERROR(ROUND((VLOOKUP($A55,'Из ГУГЛа'!$B:$AD,AL$1,0)+AN55)*AM55,),VLOOKUP($A55,'Из ГУГЛа'!$B:$AD,AL$1,0))</f>
        <v/>
      </c>
      <c r="AM55" s="51">
        <v>1</v>
      </c>
      <c r="AN55" s="51">
        <v>0</v>
      </c>
      <c r="AO55" s="41"/>
      <c r="AP55" s="41"/>
    </row>
    <row r="56" spans="1:42" ht="46.5" thickTop="1" thickBot="1" x14ac:dyDescent="0.3">
      <c r="A56" s="41">
        <v>202005</v>
      </c>
      <c r="B56" s="41">
        <f>VLOOKUP($A56,'Выгр Кат'!$A:$T,B$1,0)</f>
        <v>32522</v>
      </c>
      <c r="C56" s="75" t="str">
        <f>VLOOKUP($A56,'Выгр Кат'!$A:$T,C$1,0)</f>
        <v>Пружины передней подвески Фобос переменный шаг для ВАЗ 2110-2112 16-ти клапанный двигатель</v>
      </c>
      <c r="D56" s="41" t="str">
        <f>VLOOKUP($A56,'Выгр Кат'!$A:$T,D$1,0)</f>
        <v>Y</v>
      </c>
      <c r="E56" s="41" t="str">
        <f>VLOOKUP($A56,'Выгр Кат'!$A:$T,E$1,0)</f>
        <v>0</v>
      </c>
      <c r="F56" s="41" t="str">
        <f>VLOOKUP($A56,'Выгр Кат'!$A:$T,F$1,0)</f>
        <v>25667</v>
      </c>
      <c r="G56" s="36" t="s">
        <v>146</v>
      </c>
      <c r="H56" s="105" t="s">
        <v>27</v>
      </c>
      <c r="I56" s="1" t="s">
        <v>65</v>
      </c>
      <c r="J56" s="63">
        <f>VLOOKUP(H56,Прайс!B:D,3,0)</f>
        <v>2300</v>
      </c>
      <c r="K56" s="61">
        <f>VLOOKUP(J56,Наценка!$A$1:$B$8,2,1)</f>
        <v>1.32</v>
      </c>
      <c r="L56" s="95">
        <f>V56*1.02</f>
        <v>2947.8</v>
      </c>
      <c r="M56" s="63">
        <f t="shared" ref="M56:M65" si="34">ROUNDUP(L56,-2)-10</f>
        <v>2990</v>
      </c>
      <c r="N56" s="41">
        <f>VLOOKUP($A56,'Выгр Кат'!$A:$T,N$1,0)</f>
        <v>2300</v>
      </c>
      <c r="O56" s="41">
        <f>VLOOKUP($A56,'Выгр Кат'!$A:$T,O$1,0)</f>
        <v>2990</v>
      </c>
      <c r="P56" s="52">
        <f t="shared" si="31"/>
        <v>0</v>
      </c>
      <c r="Q56" s="52">
        <f t="shared" si="32"/>
        <v>0</v>
      </c>
      <c r="R56" s="59">
        <f t="shared" si="33"/>
        <v>2780.7</v>
      </c>
      <c r="S56" s="76">
        <f t="shared" si="23"/>
        <v>0.20899999999999985</v>
      </c>
      <c r="T56" s="76">
        <f t="shared" si="24"/>
        <v>3.7820069204152311E-2</v>
      </c>
      <c r="U56" s="76">
        <f t="shared" si="25"/>
        <v>0.25652173913043486</v>
      </c>
      <c r="V56" s="89">
        <f>Z56</f>
        <v>2890</v>
      </c>
      <c r="W56" s="79">
        <f>IFERROR(ROUND((VLOOKUP($A56,'Из ГУГЛа'!$B:$AD,W$1,0)+Y56)*X56,),VLOOKUP($A56,'Из ГУГЛа'!$B:$AD,W$1,0))</f>
        <v>2890</v>
      </c>
      <c r="X56" s="51">
        <v>1</v>
      </c>
      <c r="Y56" s="51">
        <v>0</v>
      </c>
      <c r="Z56" s="86">
        <v>2890</v>
      </c>
      <c r="AA56" s="65" t="s">
        <v>313</v>
      </c>
      <c r="AB56" s="79">
        <f>IFERROR(ROUND((VLOOKUP($A56,'Из ГУГЛа'!$B:$AD,AB$1,0)+AD56)*AC56,),VLOOKUP($A56,'Из ГУГЛа'!$B:$AD,AB$1,0))</f>
        <v>2535</v>
      </c>
      <c r="AC56" s="51">
        <v>1</v>
      </c>
      <c r="AD56" s="51">
        <v>0</v>
      </c>
      <c r="AE56" s="85">
        <v>2535</v>
      </c>
      <c r="AF56" s="65" t="s">
        <v>406</v>
      </c>
      <c r="AG56" s="79" t="str">
        <f>IFERROR(ROUND((VLOOKUP($A56,'Из ГУГЛа'!$B:$AD,AG$1,0)+AI56)*AH56,),VLOOKUP($A56,'Из ГУГЛа'!$B:$AD,AG$1,0))</f>
        <v/>
      </c>
      <c r="AH56" s="51">
        <v>1</v>
      </c>
      <c r="AI56" s="51">
        <v>0</v>
      </c>
      <c r="AJ56" s="41"/>
      <c r="AK56" s="41"/>
      <c r="AL56" s="79" t="str">
        <f>IFERROR(ROUND((VLOOKUP($A56,'Из ГУГЛа'!$B:$AD,AL$1,0)+AN56)*AM56,),VLOOKUP($A56,'Из ГУГЛа'!$B:$AD,AL$1,0))</f>
        <v/>
      </c>
      <c r="AM56" s="51">
        <v>1</v>
      </c>
      <c r="AN56" s="51">
        <v>0</v>
      </c>
      <c r="AO56" s="41"/>
      <c r="AP56" s="41"/>
    </row>
    <row r="57" spans="1:42" ht="31.5" thickTop="1" thickBot="1" x14ac:dyDescent="0.3">
      <c r="A57" s="41">
        <v>201919</v>
      </c>
      <c r="B57" s="41">
        <f>VLOOKUP($A57,'Выгр Кат'!$A:$T,B$1,0)</f>
        <v>57086</v>
      </c>
      <c r="C57" s="75" t="str">
        <f>VLOOKUP($A57,'Выгр Кат'!$A:$T,C$1,0)</f>
        <v>Пружины задней подвески Фобос для Лада Веста SW Cross</v>
      </c>
      <c r="D57" s="41" t="str">
        <f>VLOOKUP($A57,'Выгр Кат'!$A:$T,D$1,0)</f>
        <v>Y</v>
      </c>
      <c r="E57" s="41" t="str">
        <f>VLOOKUP($A57,'Выгр Кат'!$A:$T,E$1,0)</f>
        <v>0</v>
      </c>
      <c r="F57" s="41" t="str">
        <f>VLOOKUP($A57,'Выгр Кат'!$A:$T,F$1,0)</f>
        <v>84500</v>
      </c>
      <c r="G57" s="36" t="s">
        <v>146</v>
      </c>
      <c r="H57" s="41" t="s">
        <v>51</v>
      </c>
      <c r="I57" s="1" t="s">
        <v>65</v>
      </c>
      <c r="J57" s="63">
        <f>VLOOKUP(H57,Прайс!B:D,3,0)</f>
        <v>2100</v>
      </c>
      <c r="K57" s="61">
        <f>VLOOKUP(J57,Наценка!$A$1:$B$8,2,1)</f>
        <v>1.32</v>
      </c>
      <c r="L57" s="100">
        <f>J57*1.2*100/93</f>
        <v>2709.6774193548385</v>
      </c>
      <c r="M57" s="63">
        <f t="shared" si="34"/>
        <v>2790</v>
      </c>
      <c r="N57" s="41">
        <f>VLOOKUP($A57,'Выгр Кат'!$A:$T,N$1,0)</f>
        <v>2100</v>
      </c>
      <c r="O57" s="41">
        <f>VLOOKUP($A57,'Выгр Кат'!$A:$T,O$1,0)</f>
        <v>2790</v>
      </c>
      <c r="P57" s="52">
        <f t="shared" si="31"/>
        <v>0</v>
      </c>
      <c r="Q57" s="52">
        <f t="shared" si="32"/>
        <v>0</v>
      </c>
      <c r="R57" s="59">
        <f t="shared" si="33"/>
        <v>2594.6999999999998</v>
      </c>
      <c r="S57" s="76">
        <f t="shared" si="23"/>
        <v>0.23557142857142854</v>
      </c>
      <c r="T57" s="76">
        <f t="shared" si="24"/>
        <v>-5.0485829959514096E-2</v>
      </c>
      <c r="U57" s="76">
        <f t="shared" si="25"/>
        <v>0.17619047619047623</v>
      </c>
      <c r="V57" s="90">
        <f>AE57</f>
        <v>2470</v>
      </c>
      <c r="W57" s="79" t="str">
        <f>IFERROR(ROUND((VLOOKUP($A57,'Из ГУГЛа'!$B:$AD,W$1,0)+Y57)*X57,),VLOOKUP($A57,'Из ГУГЛа'!$B:$AD,W$1,0))</f>
        <v/>
      </c>
      <c r="X57" s="51">
        <v>1</v>
      </c>
      <c r="Y57" s="51">
        <v>0</v>
      </c>
      <c r="Z57" s="86" t="s">
        <v>193</v>
      </c>
      <c r="AB57" s="79">
        <f>IFERROR(ROUND((VLOOKUP($A57,'Из ГУГЛа'!$B:$AD,AB$1,0)+AD57)*AC57,),VLOOKUP($A57,'Из ГУГЛа'!$B:$AD,AB$1,0))</f>
        <v>2470</v>
      </c>
      <c r="AC57" s="51">
        <v>1</v>
      </c>
      <c r="AD57" s="51">
        <v>0</v>
      </c>
      <c r="AE57" s="85">
        <v>2470</v>
      </c>
      <c r="AF57" s="65" t="s">
        <v>400</v>
      </c>
      <c r="AG57" s="79" t="str">
        <f>IFERROR(ROUND((VLOOKUP($A57,'Из ГУГЛа'!$B:$AD,AG$1,0)+AI57)*AH57,),VLOOKUP($A57,'Из ГУГЛа'!$B:$AD,AG$1,0))</f>
        <v/>
      </c>
      <c r="AH57" s="51">
        <v>1</v>
      </c>
      <c r="AI57" s="51">
        <v>0</v>
      </c>
      <c r="AJ57" s="41"/>
      <c r="AK57" s="41"/>
      <c r="AL57" s="79" t="str">
        <f>IFERROR(ROUND((VLOOKUP($A57,'Из ГУГЛа'!$B:$AD,AL$1,0)+AN57)*AM57,),VLOOKUP($A57,'Из ГУГЛа'!$B:$AD,AL$1,0))</f>
        <v/>
      </c>
      <c r="AM57" s="51">
        <v>1</v>
      </c>
      <c r="AN57" s="51">
        <v>0</v>
      </c>
      <c r="AO57" s="41"/>
      <c r="AP57" s="41"/>
    </row>
    <row r="58" spans="1:42" ht="46.5" thickTop="1" thickBot="1" x14ac:dyDescent="0.3">
      <c r="A58" s="41">
        <v>201923</v>
      </c>
      <c r="B58" s="41">
        <f>VLOOKUP($A58,'Выгр Кат'!$A:$T,B$1,0)</f>
        <v>57092</v>
      </c>
      <c r="C58" s="75" t="str">
        <f>VLOOKUP($A58,'Выгр Кат'!$A:$T,C$1,0)</f>
        <v>Пружины задней подвески Фобос усиленные для Лада Ларгус, Dacia Logan MCV</v>
      </c>
      <c r="D58" s="41" t="str">
        <f>VLOOKUP($A58,'Выгр Кат'!$A:$T,D$1,0)</f>
        <v>Y</v>
      </c>
      <c r="E58" s="41" t="str">
        <f>VLOOKUP($A58,'Выгр Кат'!$A:$T,E$1,0)</f>
        <v>0</v>
      </c>
      <c r="F58" s="41" t="str">
        <f>VLOOKUP($A58,'Выгр Кат'!$A:$T,F$1,0)</f>
        <v>55040</v>
      </c>
      <c r="G58" s="36" t="s">
        <v>146</v>
      </c>
      <c r="H58" s="41" t="s">
        <v>11</v>
      </c>
      <c r="I58" s="1" t="s">
        <v>65</v>
      </c>
      <c r="J58" s="63">
        <f>VLOOKUP(H58,Прайс!B:D,3,0)</f>
        <v>2500</v>
      </c>
      <c r="K58" s="61">
        <f>VLOOKUP(J58,Наценка!$A$1:$B$8,2,1)</f>
        <v>1.32</v>
      </c>
      <c r="L58" s="64">
        <f t="shared" si="10"/>
        <v>3300</v>
      </c>
      <c r="M58" s="63">
        <f t="shared" si="34"/>
        <v>3290</v>
      </c>
      <c r="N58" s="41">
        <f>VLOOKUP($A58,'Выгр Кат'!$A:$T,N$1,0)</f>
        <v>2500</v>
      </c>
      <c r="O58" s="41">
        <f>VLOOKUP($A58,'Выгр Кат'!$A:$T,O$1,0)</f>
        <v>3290</v>
      </c>
      <c r="P58" s="52">
        <f t="shared" si="31"/>
        <v>0</v>
      </c>
      <c r="Q58" s="52">
        <f t="shared" si="32"/>
        <v>0</v>
      </c>
      <c r="R58" s="59">
        <f t="shared" si="33"/>
        <v>3059.7</v>
      </c>
      <c r="S58" s="76">
        <f t="shared" si="23"/>
        <v>0.22387999999999986</v>
      </c>
      <c r="T58" s="76" t="str">
        <f t="shared" si="24"/>
        <v/>
      </c>
      <c r="U58" s="76" t="str">
        <f t="shared" si="25"/>
        <v/>
      </c>
      <c r="V58" s="108"/>
      <c r="W58" s="79" t="str">
        <f>IFERROR(ROUND((VLOOKUP($A58,'Из ГУГЛа'!$B:$AD,W$1,0)+Y58)*X58,),VLOOKUP($A58,'Из ГУГЛа'!$B:$AD,W$1,0))</f>
        <v/>
      </c>
      <c r="X58" s="51">
        <v>1</v>
      </c>
      <c r="Y58" s="51">
        <v>0</v>
      </c>
      <c r="Z58" s="86" t="s">
        <v>193</v>
      </c>
      <c r="AB58" s="79" t="str">
        <f>IFERROR(ROUND((VLOOKUP($A58,'Из ГУГЛа'!$B:$AD,AB$1,0)+AD58)*AC58,),VLOOKUP($A58,'Из ГУГЛа'!$B:$AD,AB$1,0))</f>
        <v/>
      </c>
      <c r="AC58" s="51">
        <v>1</v>
      </c>
      <c r="AD58" s="51">
        <v>0</v>
      </c>
      <c r="AE58" s="85" t="s">
        <v>193</v>
      </c>
      <c r="AG58" s="79" t="str">
        <f>IFERROR(ROUND((VLOOKUP($A58,'Из ГУГЛа'!$B:$AD,AG$1,0)+AI58)*AH58,),VLOOKUP($A58,'Из ГУГЛа'!$B:$AD,AG$1,0))</f>
        <v/>
      </c>
      <c r="AH58" s="51">
        <v>1</v>
      </c>
      <c r="AI58" s="51">
        <v>0</v>
      </c>
      <c r="AJ58" s="41"/>
      <c r="AK58" s="41"/>
      <c r="AL58" s="79" t="str">
        <f>IFERROR(ROUND((VLOOKUP($A58,'Из ГУГЛа'!$B:$AD,AL$1,0)+AN58)*AM58,),VLOOKUP($A58,'Из ГУГЛа'!$B:$AD,AL$1,0))</f>
        <v/>
      </c>
      <c r="AM58" s="51">
        <v>1</v>
      </c>
      <c r="AN58" s="51">
        <v>0</v>
      </c>
      <c r="AO58" s="41"/>
      <c r="AP58" s="41"/>
    </row>
    <row r="59" spans="1:42" ht="31.5" thickTop="1" thickBot="1" x14ac:dyDescent="0.3">
      <c r="A59" s="41">
        <v>201920</v>
      </c>
      <c r="B59" s="41">
        <f>VLOOKUP($A59,'Выгр Кат'!$A:$T,B$1,0)</f>
        <v>57104</v>
      </c>
      <c r="C59" s="75" t="str">
        <f>VLOOKUP($A59,'Выгр Кат'!$A:$T,C$1,0)</f>
        <v>Пружины задней подвески Фобос для Лада Ларгус Кросс</v>
      </c>
      <c r="D59" s="41" t="str">
        <f>VLOOKUP($A59,'Выгр Кат'!$A:$T,D$1,0)</f>
        <v>Y</v>
      </c>
      <c r="E59" s="41" t="str">
        <f>VLOOKUP($A59,'Выгр Кат'!$A:$T,E$1,0)</f>
        <v>0</v>
      </c>
      <c r="F59" s="41" t="str">
        <f>VLOOKUP($A59,'Выгр Кат'!$A:$T,F$1,0)</f>
        <v>55043</v>
      </c>
      <c r="G59" s="36" t="s">
        <v>146</v>
      </c>
      <c r="H59" s="41" t="s">
        <v>50</v>
      </c>
      <c r="I59" s="1" t="s">
        <v>65</v>
      </c>
      <c r="J59" s="63">
        <f>VLOOKUP(H59,Прайс!B:D,3,0)</f>
        <v>2450</v>
      </c>
      <c r="K59" s="61">
        <f>VLOOKUP(J59,Наценка!$A$1:$B$8,2,1)</f>
        <v>1.32</v>
      </c>
      <c r="L59" s="64">
        <f t="shared" si="10"/>
        <v>3234</v>
      </c>
      <c r="M59" s="63">
        <f t="shared" si="34"/>
        <v>3290</v>
      </c>
      <c r="N59" s="41">
        <f>VLOOKUP($A59,'Выгр Кат'!$A:$T,N$1,0)</f>
        <v>2450</v>
      </c>
      <c r="O59" s="41">
        <f>VLOOKUP($A59,'Выгр Кат'!$A:$T,O$1,0)</f>
        <v>3290</v>
      </c>
      <c r="P59" s="52">
        <f t="shared" si="31"/>
        <v>0</v>
      </c>
      <c r="Q59" s="52">
        <f t="shared" si="32"/>
        <v>0</v>
      </c>
      <c r="R59" s="59">
        <f t="shared" si="33"/>
        <v>3059.7</v>
      </c>
      <c r="S59" s="76">
        <f t="shared" si="23"/>
        <v>0.24885714285714289</v>
      </c>
      <c r="T59" s="76" t="str">
        <f t="shared" si="24"/>
        <v/>
      </c>
      <c r="U59" s="76" t="str">
        <f t="shared" si="25"/>
        <v/>
      </c>
      <c r="V59" s="108"/>
      <c r="W59" s="79" t="str">
        <f>IFERROR(ROUND((VLOOKUP($A59,'Из ГУГЛа'!$B:$AD,W$1,0)+Y59)*X59,),VLOOKUP($A59,'Из ГУГЛа'!$B:$AD,W$1,0))</f>
        <v/>
      </c>
      <c r="X59" s="51">
        <v>1</v>
      </c>
      <c r="Y59" s="51">
        <v>0</v>
      </c>
      <c r="Z59" s="86" t="s">
        <v>193</v>
      </c>
      <c r="AB59" s="79" t="str">
        <f>IFERROR(ROUND((VLOOKUP($A59,'Из ГУГЛа'!$B:$AD,AB$1,0)+AD59)*AC59,),VLOOKUP($A59,'Из ГУГЛа'!$B:$AD,AB$1,0))</f>
        <v/>
      </c>
      <c r="AC59" s="51">
        <v>1</v>
      </c>
      <c r="AD59" s="51">
        <v>0</v>
      </c>
      <c r="AE59" s="85" t="s">
        <v>193</v>
      </c>
      <c r="AG59" s="79" t="str">
        <f>IFERROR(ROUND((VLOOKUP($A59,'Из ГУГЛа'!$B:$AD,AG$1,0)+AI59)*AH59,),VLOOKUP($A59,'Из ГУГЛа'!$B:$AD,AG$1,0))</f>
        <v/>
      </c>
      <c r="AH59" s="51">
        <v>1</v>
      </c>
      <c r="AI59" s="51">
        <v>0</v>
      </c>
      <c r="AJ59" s="41"/>
      <c r="AK59" s="41"/>
      <c r="AL59" s="79" t="str">
        <f>IFERROR(ROUND((VLOOKUP($A59,'Из ГУГЛа'!$B:$AD,AL$1,0)+AN59)*AM59,),VLOOKUP($A59,'Из ГУГЛа'!$B:$AD,AL$1,0))</f>
        <v/>
      </c>
      <c r="AM59" s="51">
        <v>1</v>
      </c>
      <c r="AN59" s="51">
        <v>0</v>
      </c>
      <c r="AO59" s="41"/>
      <c r="AP59" s="41"/>
    </row>
    <row r="60" spans="1:42" ht="46.5" thickTop="1" thickBot="1" x14ac:dyDescent="0.3">
      <c r="A60" s="41">
        <v>202008</v>
      </c>
      <c r="B60" s="41">
        <f>VLOOKUP($A60,'Выгр Кат'!$A:$T,B$1,0)</f>
        <v>57111</v>
      </c>
      <c r="C60" s="75" t="str">
        <f>VLOOKUP($A60,'Выгр Кат'!$A:$T,C$1,0)</f>
        <v>Пружины передней подвески Фобос Стандарт конус, без занижения для Лада Калина</v>
      </c>
      <c r="D60" s="41" t="str">
        <f>VLOOKUP($A60,'Выгр Кат'!$A:$T,D$1,0)</f>
        <v>Y</v>
      </c>
      <c r="E60" s="41" t="str">
        <f>VLOOKUP($A60,'Выгр Кат'!$A:$T,E$1,0)</f>
        <v>0</v>
      </c>
      <c r="F60" s="41" t="str">
        <f>VLOOKUP($A60,'Выгр Кат'!$A:$T,F$1,0)</f>
        <v>43585</v>
      </c>
      <c r="G60" s="36" t="s">
        <v>146</v>
      </c>
      <c r="H60" s="41" t="s">
        <v>54</v>
      </c>
      <c r="I60" s="1" t="s">
        <v>65</v>
      </c>
      <c r="J60" s="63">
        <f>VLOOKUP(H60,Прайс!B:D,3,0)</f>
        <v>3750</v>
      </c>
      <c r="K60" s="61">
        <f>VLOOKUP(J60,Наценка!$A$1:$B$8,2,1)</f>
        <v>1.32</v>
      </c>
      <c r="L60" s="64">
        <f t="shared" si="10"/>
        <v>4950</v>
      </c>
      <c r="M60" s="63">
        <f t="shared" si="34"/>
        <v>4990</v>
      </c>
      <c r="N60" s="41">
        <f>VLOOKUP($A60,'Выгр Кат'!$A:$T,N$1,0)</f>
        <v>3750</v>
      </c>
      <c r="O60" s="41">
        <f>VLOOKUP($A60,'Выгр Кат'!$A:$T,O$1,0)</f>
        <v>4990</v>
      </c>
      <c r="P60" s="52">
        <f t="shared" si="31"/>
        <v>0</v>
      </c>
      <c r="Q60" s="52">
        <f t="shared" si="32"/>
        <v>0</v>
      </c>
      <c r="R60" s="59">
        <f t="shared" si="33"/>
        <v>4640.7</v>
      </c>
      <c r="S60" s="76">
        <f t="shared" si="23"/>
        <v>0.23751999999999995</v>
      </c>
      <c r="T60" s="76" t="str">
        <f t="shared" si="24"/>
        <v/>
      </c>
      <c r="U60" s="76" t="str">
        <f t="shared" si="25"/>
        <v/>
      </c>
      <c r="V60" s="108"/>
      <c r="W60" s="79" t="str">
        <f>IFERROR(ROUND((VLOOKUP($A60,'Из ГУГЛа'!$B:$AD,W$1,0)+Y60)*X60,),VLOOKUP($A60,'Из ГУГЛа'!$B:$AD,W$1,0))</f>
        <v/>
      </c>
      <c r="X60" s="51">
        <v>1</v>
      </c>
      <c r="Y60" s="51">
        <v>0</v>
      </c>
      <c r="Z60" s="86" t="s">
        <v>193</v>
      </c>
      <c r="AB60" s="79" t="str">
        <f>IFERROR(ROUND((VLOOKUP($A60,'Из ГУГЛа'!$B:$AD,AB$1,0)+AD60)*AC60,),VLOOKUP($A60,'Из ГУГЛа'!$B:$AD,AB$1,0))</f>
        <v/>
      </c>
      <c r="AC60" s="51">
        <v>1</v>
      </c>
      <c r="AD60" s="51">
        <v>0</v>
      </c>
      <c r="AE60" s="85" t="s">
        <v>193</v>
      </c>
      <c r="AG60" s="79" t="str">
        <f>IFERROR(ROUND((VLOOKUP($A60,'Из ГУГЛа'!$B:$AD,AG$1,0)+AI60)*AH60,),VLOOKUP($A60,'Из ГУГЛа'!$B:$AD,AG$1,0))</f>
        <v/>
      </c>
      <c r="AH60" s="51">
        <v>1</v>
      </c>
      <c r="AI60" s="51">
        <v>0</v>
      </c>
      <c r="AJ60" s="41"/>
      <c r="AK60" s="41"/>
      <c r="AL60" s="79" t="str">
        <f>IFERROR(ROUND((VLOOKUP($A60,'Из ГУГЛа'!$B:$AD,AL$1,0)+AN60)*AM60,),VLOOKUP($A60,'Из ГУГЛа'!$B:$AD,AL$1,0))</f>
        <v/>
      </c>
      <c r="AM60" s="51">
        <v>1</v>
      </c>
      <c r="AN60" s="51">
        <v>0</v>
      </c>
      <c r="AO60" s="41"/>
      <c r="AP60" s="41"/>
    </row>
    <row r="61" spans="1:42" ht="31.5" thickTop="1" thickBot="1" x14ac:dyDescent="0.3">
      <c r="A61" s="41">
        <v>202004</v>
      </c>
      <c r="B61" s="41">
        <f>VLOOKUP($A61,'Выгр Кат'!$A:$T,B$1,0)</f>
        <v>57119</v>
      </c>
      <c r="C61" s="75" t="str">
        <f>VLOOKUP($A61,'Выгр Кат'!$A:$T,C$1,0)</f>
        <v>Пружины передней подвески Фобос без занижения для Лада Веста</v>
      </c>
      <c r="D61" s="41" t="str">
        <f>VLOOKUP($A61,'Выгр Кат'!$A:$T,D$1,0)</f>
        <v>Y</v>
      </c>
      <c r="E61" s="41" t="str">
        <f>VLOOKUP($A61,'Выгр Кат'!$A:$T,E$1,0)</f>
        <v>0</v>
      </c>
      <c r="F61" s="41" t="str">
        <f>VLOOKUP($A61,'Выгр Кат'!$A:$T,F$1,0)</f>
        <v>84520</v>
      </c>
      <c r="G61" s="36" t="s">
        <v>146</v>
      </c>
      <c r="H61" s="41" t="s">
        <v>55</v>
      </c>
      <c r="I61" s="1" t="s">
        <v>65</v>
      </c>
      <c r="J61" s="63">
        <f>VLOOKUP(H61,Прайс!B:D,3,0)</f>
        <v>2150</v>
      </c>
      <c r="K61" s="61">
        <f>VLOOKUP(J61,Наценка!$A$1:$B$8,2,1)</f>
        <v>1.32</v>
      </c>
      <c r="L61" s="100">
        <f t="shared" ref="L61:L62" si="35">J61*1.2*100/93</f>
        <v>2774.1935483870966</v>
      </c>
      <c r="M61" s="63">
        <f t="shared" si="34"/>
        <v>2790</v>
      </c>
      <c r="N61" s="41">
        <f>VLOOKUP($A61,'Выгр Кат'!$A:$T,N$1,0)</f>
        <v>2150</v>
      </c>
      <c r="O61" s="41">
        <f>VLOOKUP($A61,'Выгр Кат'!$A:$T,O$1,0)</f>
        <v>2790</v>
      </c>
      <c r="P61" s="52">
        <f t="shared" si="31"/>
        <v>0</v>
      </c>
      <c r="Q61" s="52">
        <f t="shared" si="32"/>
        <v>0</v>
      </c>
      <c r="R61" s="59">
        <f t="shared" si="33"/>
        <v>2594.6999999999998</v>
      </c>
      <c r="S61" s="76">
        <f t="shared" si="23"/>
        <v>0.20683720930232541</v>
      </c>
      <c r="T61" s="76">
        <f t="shared" si="24"/>
        <v>2.0384615384616083E-3</v>
      </c>
      <c r="U61" s="76">
        <f t="shared" si="25"/>
        <v>0.20930232558139528</v>
      </c>
      <c r="V61" s="90">
        <f>AE61</f>
        <v>2600</v>
      </c>
      <c r="W61" s="79" t="str">
        <f>IFERROR(ROUND((VLOOKUP($A61,'Из ГУГЛа'!$B:$AD,W$1,0)+Y61)*X61,),VLOOKUP($A61,'Из ГУГЛа'!$B:$AD,W$1,0))</f>
        <v/>
      </c>
      <c r="X61" s="51">
        <v>1</v>
      </c>
      <c r="Y61" s="51">
        <v>0</v>
      </c>
      <c r="Z61" s="86" t="s">
        <v>193</v>
      </c>
      <c r="AB61" s="79">
        <f>IFERROR(ROUND((VLOOKUP($A61,'Из ГУГЛа'!$B:$AD,AB$1,0)+AD61)*AC61,),VLOOKUP($A61,'Из ГУГЛа'!$B:$AD,AB$1,0))</f>
        <v>2600</v>
      </c>
      <c r="AC61" s="51">
        <v>1</v>
      </c>
      <c r="AD61" s="51">
        <v>0</v>
      </c>
      <c r="AE61" s="85">
        <v>2600</v>
      </c>
      <c r="AF61" s="65" t="s">
        <v>399</v>
      </c>
      <c r="AG61" s="79" t="str">
        <f>IFERROR(ROUND((VLOOKUP($A61,'Из ГУГЛа'!$B:$AD,AG$1,0)+AI61)*AH61,),VLOOKUP($A61,'Из ГУГЛа'!$B:$AD,AG$1,0))</f>
        <v/>
      </c>
      <c r="AH61" s="51">
        <v>1</v>
      </c>
      <c r="AI61" s="51">
        <v>0</v>
      </c>
      <c r="AJ61" s="41"/>
      <c r="AK61" s="41"/>
      <c r="AL61" s="79" t="str">
        <f>IFERROR(ROUND((VLOOKUP($A61,'Из ГУГЛа'!$B:$AD,AL$1,0)+AN61)*AM61,),VLOOKUP($A61,'Из ГУГЛа'!$B:$AD,AL$1,0))</f>
        <v/>
      </c>
      <c r="AM61" s="51">
        <v>1</v>
      </c>
      <c r="AN61" s="51">
        <v>0</v>
      </c>
      <c r="AO61" s="41"/>
      <c r="AP61" s="41"/>
    </row>
    <row r="62" spans="1:42" ht="46.5" thickTop="1" thickBot="1" x14ac:dyDescent="0.3">
      <c r="A62" s="41">
        <v>202006</v>
      </c>
      <c r="B62" s="41">
        <f>VLOOKUP($A62,'Выгр Кат'!$A:$T,B$1,0)</f>
        <v>57126</v>
      </c>
      <c r="C62" s="75" t="str">
        <f>VLOOKUP($A62,'Выгр Кат'!$A:$T,C$1,0)</f>
        <v>Пружины передней подвески Фобос с переменным шагом витка для Лада Нива 4х4</v>
      </c>
      <c r="D62" s="41" t="str">
        <f>VLOOKUP($A62,'Выгр Кат'!$A:$T,D$1,0)</f>
        <v>Y</v>
      </c>
      <c r="E62" s="41" t="str">
        <f>VLOOKUP($A62,'Выгр Кат'!$A:$T,E$1,0)</f>
        <v>0</v>
      </c>
      <c r="F62" s="41" t="str">
        <f>VLOOKUP($A62,'Выгр Кат'!$A:$T,F$1,0)</f>
        <v>78611</v>
      </c>
      <c r="G62" s="36" t="s">
        <v>146</v>
      </c>
      <c r="H62" s="41" t="s">
        <v>25</v>
      </c>
      <c r="I62" s="1" t="s">
        <v>65</v>
      </c>
      <c r="J62" s="63">
        <f>VLOOKUP(H62,Прайс!B:D,3,0)</f>
        <v>2500</v>
      </c>
      <c r="K62" s="61">
        <f>VLOOKUP(J62,Наценка!$A$1:$B$8,2,1)</f>
        <v>1.32</v>
      </c>
      <c r="L62" s="100">
        <f t="shared" si="35"/>
        <v>3225.8064516129034</v>
      </c>
      <c r="M62" s="63">
        <f t="shared" si="34"/>
        <v>3290</v>
      </c>
      <c r="N62" s="41">
        <f>VLOOKUP($A62,'Выгр Кат'!$A:$T,N$1,0)</f>
        <v>2500</v>
      </c>
      <c r="O62" s="41">
        <f>VLOOKUP($A62,'Выгр Кат'!$A:$T,O$1,0)</f>
        <v>3290</v>
      </c>
      <c r="P62" s="52">
        <f t="shared" si="31"/>
        <v>0</v>
      </c>
      <c r="Q62" s="52">
        <f t="shared" si="32"/>
        <v>0</v>
      </c>
      <c r="R62" s="59">
        <f t="shared" si="33"/>
        <v>3059.7</v>
      </c>
      <c r="S62" s="76">
        <f t="shared" si="23"/>
        <v>0.22387999999999986</v>
      </c>
      <c r="T62" s="76">
        <f t="shared" si="24"/>
        <v>-4.6051282051281991E-2</v>
      </c>
      <c r="U62" s="76">
        <f t="shared" si="25"/>
        <v>0.16999999999999993</v>
      </c>
      <c r="V62" s="90">
        <f>AE62</f>
        <v>2925</v>
      </c>
      <c r="W62" s="79" t="str">
        <f>IFERROR(ROUND((VLOOKUP($A62,'Из ГУГЛа'!$B:$AD,W$1,0)+Y62)*X62,),VLOOKUP($A62,'Из ГУГЛа'!$B:$AD,W$1,0))</f>
        <v/>
      </c>
      <c r="X62" s="51">
        <v>1</v>
      </c>
      <c r="Y62" s="51">
        <v>0</v>
      </c>
      <c r="Z62" s="86" t="s">
        <v>193</v>
      </c>
      <c r="AB62" s="79">
        <f>IFERROR(ROUND((VLOOKUP($A62,'Из ГУГЛа'!$B:$AD,AB$1,0)+AD62)*AC62,),VLOOKUP($A62,'Из ГУГЛа'!$B:$AD,AB$1,0))</f>
        <v>2925</v>
      </c>
      <c r="AC62" s="51">
        <v>1</v>
      </c>
      <c r="AD62" s="51">
        <v>0</v>
      </c>
      <c r="AE62" s="85">
        <v>2925</v>
      </c>
      <c r="AF62" s="65" t="s">
        <v>405</v>
      </c>
      <c r="AG62" s="79" t="str">
        <f>IFERROR(ROUND((VLOOKUP($A62,'Из ГУГЛа'!$B:$AD,AG$1,0)+AI62)*AH62,),VLOOKUP($A62,'Из ГУГЛа'!$B:$AD,AG$1,0))</f>
        <v/>
      </c>
      <c r="AH62" s="51">
        <v>1</v>
      </c>
      <c r="AI62" s="51">
        <v>0</v>
      </c>
      <c r="AJ62" s="41"/>
      <c r="AK62" s="41"/>
      <c r="AL62" s="79" t="str">
        <f>IFERROR(ROUND((VLOOKUP($A62,'Из ГУГЛа'!$B:$AD,AL$1,0)+AN62)*AM62,),VLOOKUP($A62,'Из ГУГЛа'!$B:$AD,AL$1,0))</f>
        <v/>
      </c>
      <c r="AM62" s="51">
        <v>1</v>
      </c>
      <c r="AN62" s="51">
        <v>0</v>
      </c>
      <c r="AO62" s="41"/>
      <c r="AP62" s="41"/>
    </row>
    <row r="63" spans="1:42" ht="46.5" thickTop="1" thickBot="1" x14ac:dyDescent="0.3">
      <c r="A63" s="41">
        <v>201922</v>
      </c>
      <c r="B63" s="41">
        <f>VLOOKUP($A63,'Выгр Кат'!$A:$T,B$1,0)</f>
        <v>57132</v>
      </c>
      <c r="C63" s="75" t="str">
        <f>VLOOKUP($A63,'Выгр Кат'!$A:$T,C$1,0)</f>
        <v>Пружины задней подвески Фобос с переменным шагом витка для Шевроле Нива</v>
      </c>
      <c r="D63" s="41" t="str">
        <f>VLOOKUP($A63,'Выгр Кат'!$A:$T,D$1,0)</f>
        <v>Y</v>
      </c>
      <c r="E63" s="41" t="str">
        <f>VLOOKUP($A63,'Выгр Кат'!$A:$T,E$1,0)</f>
        <v>0</v>
      </c>
      <c r="F63" s="41" t="str">
        <f>VLOOKUP($A63,'Выгр Кат'!$A:$T,F$1,0)</f>
        <v>33467</v>
      </c>
      <c r="G63" s="36" t="s">
        <v>146</v>
      </c>
      <c r="H63" s="41" t="s">
        <v>75</v>
      </c>
      <c r="I63" s="1" t="s">
        <v>65</v>
      </c>
      <c r="J63" s="63">
        <f>VLOOKUP(H63,Прайс!B:D,3,0)</f>
        <v>2650</v>
      </c>
      <c r="K63" s="61">
        <f>VLOOKUP(J63,Наценка!$A$1:$B$8,2,1)</f>
        <v>1.32</v>
      </c>
      <c r="L63" s="64">
        <f t="shared" si="10"/>
        <v>3498</v>
      </c>
      <c r="M63" s="63">
        <f t="shared" si="34"/>
        <v>3490</v>
      </c>
      <c r="N63" s="41">
        <f>VLOOKUP($A63,'Выгр Кат'!$A:$T,N$1,0)</f>
        <v>2650</v>
      </c>
      <c r="O63" s="41">
        <f>VLOOKUP($A63,'Выгр Кат'!$A:$T,O$1,0)</f>
        <v>3490</v>
      </c>
      <c r="P63" s="52">
        <f t="shared" si="31"/>
        <v>0</v>
      </c>
      <c r="Q63" s="52">
        <f t="shared" si="32"/>
        <v>0</v>
      </c>
      <c r="R63" s="59">
        <f t="shared" si="33"/>
        <v>3245.7</v>
      </c>
      <c r="S63" s="76">
        <f t="shared" si="23"/>
        <v>0.22479245283018856</v>
      </c>
      <c r="T63" s="76" t="str">
        <f t="shared" si="24"/>
        <v/>
      </c>
      <c r="U63" s="76" t="str">
        <f t="shared" si="25"/>
        <v/>
      </c>
      <c r="V63" s="108"/>
      <c r="W63" s="79" t="str">
        <f>IFERROR(ROUND((VLOOKUP($A63,'Из ГУГЛа'!$B:$AD,W$1,0)+Y63)*X63,),VLOOKUP($A63,'Из ГУГЛа'!$B:$AD,W$1,0))</f>
        <v/>
      </c>
      <c r="X63" s="51">
        <v>1</v>
      </c>
      <c r="Y63" s="51">
        <v>0</v>
      </c>
      <c r="Z63" s="86" t="s">
        <v>193</v>
      </c>
      <c r="AB63" s="79" t="str">
        <f>IFERROR(ROUND((VLOOKUP($A63,'Из ГУГЛа'!$B:$AD,AB$1,0)+AD63)*AC63,),VLOOKUP($A63,'Из ГУГЛа'!$B:$AD,AB$1,0))</f>
        <v/>
      </c>
      <c r="AC63" s="51">
        <v>1</v>
      </c>
      <c r="AD63" s="51">
        <v>0</v>
      </c>
      <c r="AE63" s="85" t="s">
        <v>193</v>
      </c>
      <c r="AG63" s="79" t="str">
        <f>IFERROR(ROUND((VLOOKUP($A63,'Из ГУГЛа'!$B:$AD,AG$1,0)+AI63)*AH63,),VLOOKUP($A63,'Из ГУГЛа'!$B:$AD,AG$1,0))</f>
        <v/>
      </c>
      <c r="AH63" s="51">
        <v>1</v>
      </c>
      <c r="AI63" s="51">
        <v>0</v>
      </c>
      <c r="AJ63" s="41"/>
      <c r="AK63" s="41"/>
      <c r="AL63" s="79" t="str">
        <f>IFERROR(ROUND((VLOOKUP($A63,'Из ГУГЛа'!$B:$AD,AL$1,0)+AN63)*AM63,),VLOOKUP($A63,'Из ГУГЛа'!$B:$AD,AL$1,0))</f>
        <v/>
      </c>
      <c r="AM63" s="51">
        <v>1</v>
      </c>
      <c r="AN63" s="51">
        <v>0</v>
      </c>
      <c r="AO63" s="41"/>
      <c r="AP63" s="41"/>
    </row>
    <row r="64" spans="1:42" ht="46.5" thickTop="1" thickBot="1" x14ac:dyDescent="0.3">
      <c r="A64" s="41">
        <v>201921</v>
      </c>
      <c r="B64" s="41">
        <f>VLOOKUP($A64,'Выгр Кат'!$A:$T,B$1,0)</f>
        <v>57147</v>
      </c>
      <c r="C64" s="75" t="str">
        <f>VLOOKUP($A64,'Выгр Кат'!$A:$T,C$1,0)</f>
        <v>Пружины задней подвески Фобос с переменным шагом витка для Лада Нива 4х4</v>
      </c>
      <c r="D64" s="41" t="str">
        <f>VLOOKUP($A64,'Выгр Кат'!$A:$T,D$1,0)</f>
        <v>Y</v>
      </c>
      <c r="E64" s="41" t="str">
        <f>VLOOKUP($A64,'Выгр Кат'!$A:$T,E$1,0)</f>
        <v>0</v>
      </c>
      <c r="F64" s="41" t="str">
        <f>VLOOKUP($A64,'Выгр Кат'!$A:$T,F$1,0)</f>
        <v>78606</v>
      </c>
      <c r="G64" s="36" t="s">
        <v>146</v>
      </c>
      <c r="H64" s="41" t="s">
        <v>28</v>
      </c>
      <c r="I64" s="1" t="s">
        <v>65</v>
      </c>
      <c r="J64" s="63">
        <f>VLOOKUP(H64,Прайс!B:D,3,0)</f>
        <v>2650</v>
      </c>
      <c r="K64" s="61">
        <f>VLOOKUP(J64,Наценка!$A$1:$B$8,2,1)</f>
        <v>1.32</v>
      </c>
      <c r="L64" s="100">
        <f>J64*1.2*100/93</f>
        <v>3419.3548387096776</v>
      </c>
      <c r="M64" s="63">
        <f t="shared" si="34"/>
        <v>3490</v>
      </c>
      <c r="N64" s="41">
        <f>VLOOKUP($A64,'Выгр Кат'!$A:$T,N$1,0)</f>
        <v>2650</v>
      </c>
      <c r="O64" s="41">
        <f>VLOOKUP($A64,'Выгр Кат'!$A:$T,O$1,0)</f>
        <v>3490</v>
      </c>
      <c r="P64" s="52">
        <f t="shared" si="31"/>
        <v>0</v>
      </c>
      <c r="Q64" s="52">
        <f t="shared" si="32"/>
        <v>0</v>
      </c>
      <c r="R64" s="59">
        <f t="shared" si="33"/>
        <v>3245.7</v>
      </c>
      <c r="S64" s="76">
        <f t="shared" si="23"/>
        <v>0.22479245283018856</v>
      </c>
      <c r="T64" s="76">
        <f t="shared" si="24"/>
        <v>-0.16125223613595699</v>
      </c>
      <c r="U64" s="76">
        <f t="shared" si="25"/>
        <v>5.4716981132075571E-2</v>
      </c>
      <c r="V64" s="90">
        <f>AE64</f>
        <v>2795</v>
      </c>
      <c r="W64" s="79" t="str">
        <f>IFERROR(ROUND((VLOOKUP($A64,'Из ГУГЛа'!$B:$AD,W$1,0)+Y64)*X64,),VLOOKUP($A64,'Из ГУГЛа'!$B:$AD,W$1,0))</f>
        <v/>
      </c>
      <c r="X64" s="51">
        <v>1</v>
      </c>
      <c r="Y64" s="51">
        <v>0</v>
      </c>
      <c r="Z64" s="86" t="s">
        <v>193</v>
      </c>
      <c r="AB64" s="79">
        <f>IFERROR(ROUND((VLOOKUP($A64,'Из ГУГЛа'!$B:$AD,AB$1,0)+AD64)*AC64,),VLOOKUP($A64,'Из ГУГЛа'!$B:$AD,AB$1,0))</f>
        <v>2795</v>
      </c>
      <c r="AC64" s="51">
        <v>1</v>
      </c>
      <c r="AD64" s="51">
        <v>0</v>
      </c>
      <c r="AE64" s="85">
        <v>2795</v>
      </c>
      <c r="AF64" s="65" t="s">
        <v>403</v>
      </c>
      <c r="AG64" s="79" t="str">
        <f>IFERROR(ROUND((VLOOKUP($A64,'Из ГУГЛа'!$B:$AD,AG$1,0)+AI64)*AH64,),VLOOKUP($A64,'Из ГУГЛа'!$B:$AD,AG$1,0))</f>
        <v/>
      </c>
      <c r="AH64" s="51">
        <v>1</v>
      </c>
      <c r="AI64" s="51">
        <v>0</v>
      </c>
      <c r="AJ64" s="41"/>
      <c r="AK64" s="41"/>
      <c r="AL64" s="79" t="str">
        <f>IFERROR(ROUND((VLOOKUP($A64,'Из ГУГЛа'!$B:$AD,AL$1,0)+AN64)*AM64,),VLOOKUP($A64,'Из ГУГЛа'!$B:$AD,AL$1,0))</f>
        <v/>
      </c>
      <c r="AM64" s="51">
        <v>1</v>
      </c>
      <c r="AN64" s="51">
        <v>0</v>
      </c>
      <c r="AO64" s="41"/>
      <c r="AP64" s="41"/>
    </row>
    <row r="65" spans="1:42" ht="46.5" thickTop="1" thickBot="1" x14ac:dyDescent="0.3">
      <c r="A65" s="41">
        <v>202007</v>
      </c>
      <c r="B65" s="41">
        <f>VLOOKUP($A65,'Выгр Кат'!$A:$T,B$1,0)</f>
        <v>57155</v>
      </c>
      <c r="C65" s="75" t="str">
        <f>VLOOKUP($A65,'Выгр Кат'!$A:$T,C$1,0)</f>
        <v>Пружины передней подвески Фобос с переменным шагом витка для Шевроле Нива</v>
      </c>
      <c r="D65" s="41" t="str">
        <f>VLOOKUP($A65,'Выгр Кат'!$A:$T,D$1,0)</f>
        <v>Y</v>
      </c>
      <c r="E65" s="41" t="str">
        <f>VLOOKUP($A65,'Выгр Кат'!$A:$T,E$1,0)</f>
        <v>0</v>
      </c>
      <c r="F65" s="41" t="str">
        <f>VLOOKUP($A65,'Выгр Кат'!$A:$T,F$1,0)</f>
        <v>79477</v>
      </c>
      <c r="G65" s="36" t="s">
        <v>146</v>
      </c>
      <c r="H65" s="41" t="s">
        <v>53</v>
      </c>
      <c r="I65" s="1" t="s">
        <v>65</v>
      </c>
      <c r="J65" s="63">
        <f>VLOOKUP(H65,Прайс!B:D,3,0)</f>
        <v>2700</v>
      </c>
      <c r="K65" s="61">
        <f>VLOOKUP(J65,Наценка!$A$1:$B$8,2,1)</f>
        <v>1.32</v>
      </c>
      <c r="L65" s="64">
        <f t="shared" si="10"/>
        <v>3564</v>
      </c>
      <c r="M65" s="63">
        <f t="shared" si="34"/>
        <v>3590</v>
      </c>
      <c r="N65" s="41">
        <f>VLOOKUP($A65,'Выгр Кат'!$A:$T,N$1,0)</f>
        <v>2700</v>
      </c>
      <c r="O65" s="41">
        <f>VLOOKUP($A65,'Выгр Кат'!$A:$T,O$1,0)</f>
        <v>3590</v>
      </c>
      <c r="P65" s="52">
        <f t="shared" si="31"/>
        <v>0</v>
      </c>
      <c r="Q65" s="52">
        <f t="shared" si="32"/>
        <v>0</v>
      </c>
      <c r="R65" s="59">
        <f t="shared" si="33"/>
        <v>3338.7</v>
      </c>
      <c r="S65" s="76">
        <f t="shared" si="23"/>
        <v>0.23655555555555541</v>
      </c>
      <c r="T65" s="76" t="str">
        <f t="shared" si="24"/>
        <v/>
      </c>
      <c r="U65" s="76" t="str">
        <f t="shared" si="25"/>
        <v/>
      </c>
      <c r="V65" s="108"/>
      <c r="W65" s="79" t="str">
        <f>IFERROR(ROUND((VLOOKUP($A65,'Из ГУГЛа'!$B:$AD,W$1,0)+Y65)*X65,),VLOOKUP($A65,'Из ГУГЛа'!$B:$AD,W$1,0))</f>
        <v/>
      </c>
      <c r="X65" s="51">
        <v>1</v>
      </c>
      <c r="Y65" s="51">
        <v>0</v>
      </c>
      <c r="Z65" s="86" t="s">
        <v>193</v>
      </c>
      <c r="AB65" s="79" t="str">
        <f>IFERROR(ROUND((VLOOKUP($A65,'Из ГУГЛа'!$B:$AD,AB$1,0)+AD65)*AC65,),VLOOKUP($A65,'Из ГУГЛа'!$B:$AD,AB$1,0))</f>
        <v/>
      </c>
      <c r="AC65" s="51">
        <v>1</v>
      </c>
      <c r="AD65" s="51">
        <v>0</v>
      </c>
      <c r="AE65" s="85" t="s">
        <v>193</v>
      </c>
      <c r="AG65" s="79" t="str">
        <f>IFERROR(ROUND((VLOOKUP($A65,'Из ГУГЛа'!$B:$AD,AG$1,0)+AI65)*AH65,),VLOOKUP($A65,'Из ГУГЛа'!$B:$AD,AG$1,0))</f>
        <v/>
      </c>
      <c r="AH65" s="51">
        <v>1</v>
      </c>
      <c r="AI65" s="51">
        <v>0</v>
      </c>
      <c r="AJ65" s="41"/>
      <c r="AK65" s="41"/>
      <c r="AL65" s="79" t="str">
        <f>IFERROR(ROUND((VLOOKUP($A65,'Из ГУГЛа'!$B:$AD,AL$1,0)+AN65)*AM65,),VLOOKUP($A65,'Из ГУГЛа'!$B:$AD,AL$1,0))</f>
        <v/>
      </c>
      <c r="AM65" s="51">
        <v>1</v>
      </c>
      <c r="AN65" s="51">
        <v>0</v>
      </c>
      <c r="AO65" s="41"/>
      <c r="AP65" s="41"/>
    </row>
    <row r="66" spans="1:42" ht="46.5" thickTop="1" thickBot="1" x14ac:dyDescent="0.3">
      <c r="A66" s="41">
        <v>201965</v>
      </c>
      <c r="B66" s="41">
        <f>VLOOKUP($A66,'Выгр Кат'!$A:$T,B$1,0)</f>
        <v>57618</v>
      </c>
      <c r="C66" s="75" t="str">
        <f>VLOOKUP($A66,'Выгр Кат'!$A:$T,C$1,0)</f>
        <v>Пружины передней подвески ТехноРессор с завышением 50 мм для Шевроле Нива</v>
      </c>
      <c r="D66" s="41" t="str">
        <f>VLOOKUP($A66,'Выгр Кат'!$A:$T,D$1,0)</f>
        <v>Y</v>
      </c>
      <c r="E66" s="41" t="str">
        <f>VLOOKUP($A66,'Выгр Кат'!$A:$T,E$1,0)</f>
        <v>1</v>
      </c>
      <c r="F66" s="41" t="str">
        <f>VLOOKUP($A66,'Выгр Кат'!$A:$T,F$1,0)</f>
        <v>10022-50</v>
      </c>
      <c r="G66" s="36"/>
      <c r="H66" s="84" t="s">
        <v>430</v>
      </c>
      <c r="I66" s="1" t="s">
        <v>65</v>
      </c>
      <c r="J66" s="63">
        <f>VLOOKUP(H66,Прайс!B:D,3,0)</f>
        <v>3900</v>
      </c>
      <c r="K66" s="61">
        <f>VLOOKUP(J66,Наценка!$A$1:$B$8,2,1)</f>
        <v>1.32</v>
      </c>
      <c r="L66" s="97">
        <f t="shared" ref="L66" si="36">V66*1.05</f>
        <v>5974.5</v>
      </c>
      <c r="M66" s="63">
        <f>ROUNDUP(L66,-2)-10</f>
        <v>5990</v>
      </c>
      <c r="N66" s="41">
        <f>VLOOKUP($A66,'Выгр Кат'!$A:$T,N$1,0)</f>
        <v>3900</v>
      </c>
      <c r="O66" s="41">
        <f>VLOOKUP($A66,'Выгр Кат'!$A:$T,O$1,0)</f>
        <v>5990</v>
      </c>
      <c r="P66" s="52">
        <f t="shared" si="31"/>
        <v>0</v>
      </c>
      <c r="Q66" s="52">
        <f t="shared" si="32"/>
        <v>0</v>
      </c>
      <c r="R66" s="59">
        <f t="shared" si="33"/>
        <v>5570.7</v>
      </c>
      <c r="S66" s="76">
        <f t="shared" si="23"/>
        <v>0.42838461538461536</v>
      </c>
      <c r="T66" s="76">
        <f t="shared" si="24"/>
        <v>2.0966608084358556E-2</v>
      </c>
      <c r="U66" s="76">
        <f t="shared" si="25"/>
        <v>0.4589743589743589</v>
      </c>
      <c r="V66" s="89">
        <f>Z66</f>
        <v>5690</v>
      </c>
      <c r="W66" s="79">
        <f>IFERROR(ROUND((VLOOKUP($A66,'Из ГУГЛа'!$B:$AD,W$1,0)+Y66)*X66,),VLOOKUP($A66,'Из ГУГЛа'!$B:$AD,W$1,0))</f>
        <v>5690</v>
      </c>
      <c r="X66" s="51">
        <v>1</v>
      </c>
      <c r="Y66" s="51">
        <v>0</v>
      </c>
      <c r="Z66" s="109">
        <v>5690</v>
      </c>
      <c r="AA66" s="65" t="s">
        <v>249</v>
      </c>
      <c r="AB66" s="79">
        <f>IFERROR(ROUND((VLOOKUP($A66,'Из ГУГЛа'!$B:$AD,AB$1,0)+AD66)*AC66,),VLOOKUP($A66,'Из ГУГЛа'!$B:$AD,AB$1,0))</f>
        <v>4950</v>
      </c>
      <c r="AC66" s="51">
        <v>1</v>
      </c>
      <c r="AD66" s="51">
        <v>0</v>
      </c>
      <c r="AE66" s="85">
        <v>4950</v>
      </c>
      <c r="AF66" s="65" t="s">
        <v>371</v>
      </c>
      <c r="AG66" s="79" t="str">
        <f>IFERROR(ROUND((VLOOKUP($A66,'Из ГУГЛа'!$B:$AD,AG$1,0)+AI66)*AH66,),VLOOKUP($A66,'Из ГУГЛа'!$B:$AD,AG$1,0))</f>
        <v/>
      </c>
      <c r="AH66" s="51">
        <v>1</v>
      </c>
      <c r="AI66" s="51">
        <v>0</v>
      </c>
      <c r="AJ66" s="41"/>
      <c r="AK66" s="41"/>
      <c r="AL66" s="79" t="str">
        <f>IFERROR(ROUND((VLOOKUP($A66,'Из ГУГЛа'!$B:$AD,AL$1,0)+AN66)*AM66,),VLOOKUP($A66,'Из ГУГЛа'!$B:$AD,AL$1,0))</f>
        <v/>
      </c>
      <c r="AM66" s="51">
        <v>1</v>
      </c>
      <c r="AN66" s="51">
        <v>0</v>
      </c>
      <c r="AO66" s="41"/>
      <c r="AP66" s="41"/>
    </row>
    <row r="67" spans="1:42" ht="46.5" thickTop="1" thickBot="1" x14ac:dyDescent="0.3">
      <c r="A67" s="41">
        <v>201875</v>
      </c>
      <c r="B67" s="41">
        <f>VLOOKUP($A67,'Выгр Кат'!$A:$T,B$1,0)</f>
        <v>167722</v>
      </c>
      <c r="C67" s="75" t="str">
        <f>VLOOKUP($A67,'Выгр Кат'!$A:$T,C$1,0)</f>
        <v>Пружины задней подвески Фобос с переменным шагом для ВАЗ 2110-2112, Лада Приора</v>
      </c>
      <c r="D67" s="41" t="str">
        <f>VLOOKUP($A67,'Выгр Кат'!$A:$T,D$1,0)</f>
        <v>Y</v>
      </c>
      <c r="E67" s="41" t="str">
        <f>VLOOKUP($A67,'Выгр Кат'!$A:$T,E$1,0)</f>
        <v>0</v>
      </c>
      <c r="F67" s="41" t="str">
        <f>VLOOKUP($A67,'Выгр Кат'!$A:$T,F$1,0)</f>
        <v>78564</v>
      </c>
      <c r="G67" s="36"/>
      <c r="H67" s="105" t="s">
        <v>23</v>
      </c>
      <c r="I67" s="1" t="s">
        <v>65</v>
      </c>
      <c r="J67" s="63">
        <f>VLOOKUP(H67,Прайс!B:D,3,0)</f>
        <v>2200</v>
      </c>
      <c r="K67" s="61">
        <f>VLOOKUP(J67,Наценка!$A$1:$B$8,2,1)</f>
        <v>1.32</v>
      </c>
      <c r="L67" s="95">
        <f t="shared" ref="L67:L68" si="37">V67*1.02</f>
        <v>2947.8</v>
      </c>
      <c r="M67" s="63">
        <f>ROUNDUP(L67,-2)-10</f>
        <v>2990</v>
      </c>
      <c r="N67" s="41">
        <f>VLOOKUP($A67,'Выгр Кат'!$A:$T,N$1,0)</f>
        <v>2200</v>
      </c>
      <c r="O67" s="41">
        <f>VLOOKUP($A67,'Выгр Кат'!$A:$T,O$1,0)</f>
        <v>2990</v>
      </c>
      <c r="P67" s="52">
        <f t="shared" si="31"/>
        <v>0</v>
      </c>
      <c r="Q67" s="52">
        <f t="shared" si="32"/>
        <v>0</v>
      </c>
      <c r="R67" s="59">
        <f t="shared" si="33"/>
        <v>2780.7</v>
      </c>
      <c r="S67" s="76">
        <f t="shared" si="23"/>
        <v>0.26395454545454533</v>
      </c>
      <c r="T67" s="76">
        <f t="shared" si="24"/>
        <v>3.7820069204152311E-2</v>
      </c>
      <c r="U67" s="76">
        <f t="shared" si="25"/>
        <v>0.31363636363636371</v>
      </c>
      <c r="V67" s="89">
        <f>Z67</f>
        <v>2890</v>
      </c>
      <c r="W67" s="79">
        <f>IFERROR(ROUND((VLOOKUP($A67,'Из ГУГЛа'!$B:$AD,W$1,0)+Y67)*X67,),VLOOKUP($A67,'Из ГУГЛа'!$B:$AD,W$1,0))</f>
        <v>2890</v>
      </c>
      <c r="X67" s="51">
        <v>1</v>
      </c>
      <c r="Y67" s="51">
        <v>0</v>
      </c>
      <c r="Z67" s="86">
        <v>2890</v>
      </c>
      <c r="AA67" s="65" t="s">
        <v>310</v>
      </c>
      <c r="AB67" s="79">
        <f>IFERROR(ROUND((VLOOKUP($A67,'Из ГУГЛа'!$B:$AD,AB$1,0)+AD67)*AC67,),VLOOKUP($A67,'Из ГУГЛа'!$B:$AD,AB$1,0))</f>
        <v>2405</v>
      </c>
      <c r="AC67" s="51">
        <v>1</v>
      </c>
      <c r="AD67" s="51">
        <v>0</v>
      </c>
      <c r="AE67" s="85">
        <v>2405</v>
      </c>
      <c r="AF67" s="65" t="s">
        <v>404</v>
      </c>
      <c r="AG67" s="79" t="str">
        <f>IFERROR(ROUND((VLOOKUP($A67,'Из ГУГЛа'!$B:$AD,AG$1,0)+AI67)*AH67,),VLOOKUP($A67,'Из ГУГЛа'!$B:$AD,AG$1,0))</f>
        <v/>
      </c>
      <c r="AH67" s="51">
        <v>1</v>
      </c>
      <c r="AI67" s="51">
        <v>0</v>
      </c>
      <c r="AJ67" s="41"/>
      <c r="AK67" s="41"/>
      <c r="AL67" s="79" t="str">
        <f>IFERROR(ROUND((VLOOKUP($A67,'Из ГУГЛа'!$B:$AD,AL$1,0)+AN67)*AM67,),VLOOKUP($A67,'Из ГУГЛа'!$B:$AD,AL$1,0))</f>
        <v/>
      </c>
      <c r="AM67" s="51">
        <v>1</v>
      </c>
      <c r="AN67" s="51">
        <v>0</v>
      </c>
      <c r="AO67" s="41"/>
      <c r="AP67" s="41"/>
    </row>
    <row r="68" spans="1:42" ht="46.5" thickTop="1" thickBot="1" x14ac:dyDescent="0.3">
      <c r="A68" s="41">
        <v>251661</v>
      </c>
      <c r="B68" s="41">
        <f>VLOOKUP($A68,'Выгр Кат'!$A:$T,B$1,0)</f>
        <v>198848</v>
      </c>
      <c r="C68" s="75" t="str">
        <f>VLOOKUP($A68,'Выгр Кат'!$A:$T,C$1,0)</f>
        <v>Пружины передней подвески Фобос с переменным шагом витка для ВАЗ 2101-2107</v>
      </c>
      <c r="D68" s="41" t="str">
        <f>VLOOKUP($A68,'Выгр Кат'!$A:$T,D$1,0)</f>
        <v>Y</v>
      </c>
      <c r="E68" s="41" t="str">
        <f>VLOOKUP($A68,'Выгр Кат'!$A:$T,E$1,0)</f>
        <v>0</v>
      </c>
      <c r="F68" s="41" t="str">
        <f>VLOOKUP($A68,'Выгр Кат'!$A:$T,F$1,0)</f>
        <v>25585</v>
      </c>
      <c r="G68" s="36"/>
      <c r="H68" s="105" t="s">
        <v>26</v>
      </c>
      <c r="I68" s="1" t="s">
        <v>65</v>
      </c>
      <c r="J68" s="63">
        <f>VLOOKUP(H68,Прайс!B:D,3,0)</f>
        <v>2250</v>
      </c>
      <c r="K68" s="61">
        <f>VLOOKUP(J68,Наценка!$A$1:$B$8,2,1)</f>
        <v>1.32</v>
      </c>
      <c r="L68" s="95">
        <f t="shared" si="37"/>
        <v>2947.8</v>
      </c>
      <c r="M68" s="63">
        <f>ROUNDUP(L68,-2)-10</f>
        <v>2990</v>
      </c>
      <c r="N68" s="41">
        <f>VLOOKUP($A68,'Выгр Кат'!$A:$T,N$1,0)</f>
        <v>2250</v>
      </c>
      <c r="O68" s="41">
        <f>VLOOKUP($A68,'Выгр Кат'!$A:$T,O$1,0)</f>
        <v>2990</v>
      </c>
      <c r="P68" s="52">
        <f t="shared" si="31"/>
        <v>0</v>
      </c>
      <c r="Q68" s="52">
        <f t="shared" si="32"/>
        <v>0</v>
      </c>
      <c r="R68" s="59">
        <f t="shared" si="33"/>
        <v>2780.7</v>
      </c>
      <c r="S68" s="76">
        <f t="shared" si="23"/>
        <v>0.23586666666666667</v>
      </c>
      <c r="T68" s="76">
        <f t="shared" si="24"/>
        <v>3.7820069204152311E-2</v>
      </c>
      <c r="U68" s="76">
        <f t="shared" si="25"/>
        <v>0.2844444444444445</v>
      </c>
      <c r="V68" s="89">
        <f>Z68</f>
        <v>2890</v>
      </c>
      <c r="W68" s="79">
        <f>IFERROR(ROUND((VLOOKUP($A68,'Из ГУГЛа'!$B:$AD,W$1,0)+Y68)*X68,),VLOOKUP($A68,'Из ГУГЛа'!$B:$AD,W$1,0))</f>
        <v>2890</v>
      </c>
      <c r="X68" s="51">
        <v>1</v>
      </c>
      <c r="Y68" s="51">
        <v>0</v>
      </c>
      <c r="Z68" s="86">
        <v>2890</v>
      </c>
      <c r="AA68" s="65" t="s">
        <v>314</v>
      </c>
      <c r="AB68" s="79">
        <f>IFERROR(ROUND((VLOOKUP($A68,'Из ГУГЛа'!$B:$AD,AB$1,0)+AD68)*AC68,),VLOOKUP($A68,'Из ГУГЛа'!$B:$AD,AB$1,0))</f>
        <v>2795</v>
      </c>
      <c r="AC68" s="51">
        <v>1</v>
      </c>
      <c r="AD68" s="51">
        <v>0</v>
      </c>
      <c r="AE68" s="85">
        <v>2795</v>
      </c>
      <c r="AF68" s="65" t="s">
        <v>402</v>
      </c>
      <c r="AG68" s="79" t="str">
        <f>IFERROR(ROUND((VLOOKUP($A68,'Из ГУГЛа'!$B:$AD,AG$1,0)+AI68)*AH68,),VLOOKUP($A68,'Из ГУГЛа'!$B:$AD,AG$1,0))</f>
        <v/>
      </c>
      <c r="AH68" s="51">
        <v>1</v>
      </c>
      <c r="AI68" s="51">
        <v>0</v>
      </c>
      <c r="AJ68" s="41"/>
      <c r="AK68" s="41"/>
      <c r="AL68" s="79" t="str">
        <f>IFERROR(ROUND((VLOOKUP($A68,'Из ГУГЛа'!$B:$AD,AL$1,0)+AN68)*AM68,),VLOOKUP($A68,'Из ГУГЛа'!$B:$AD,AL$1,0))</f>
        <v/>
      </c>
      <c r="AM68" s="51">
        <v>1</v>
      </c>
      <c r="AN68" s="51">
        <v>0</v>
      </c>
      <c r="AO68" s="41"/>
      <c r="AP68" s="41"/>
    </row>
    <row r="69" spans="1:42" ht="61.5" thickTop="1" thickBot="1" x14ac:dyDescent="0.3">
      <c r="A69" s="110">
        <v>444190</v>
      </c>
      <c r="B69" s="41">
        <f>VLOOKUP($A69,'Выгр Кат'!$A:$T,B$1,0)</f>
        <v>444190</v>
      </c>
      <c r="C69" s="75" t="str">
        <f>VLOOKUP($A69,'Выгр Кат'!$A:$T,C$1,0)</f>
        <v>Пружины задней подвески Техно Рессор с завышением +50 мм, оранжевые усиленные для Лада Нива 4х4</v>
      </c>
      <c r="D69" s="41" t="str">
        <f>VLOOKUP($A69,'Выгр Кат'!$A:$T,D$1,0)</f>
        <v>Y</v>
      </c>
      <c r="E69" s="41" t="str">
        <f>VLOOKUP($A69,'Выгр Кат'!$A:$T,E$1,0)</f>
        <v>1</v>
      </c>
      <c r="F69" s="41">
        <f>VLOOKUP($A69,'Выгр Кат'!$A:$T,F$1,0)</f>
        <v>0</v>
      </c>
      <c r="G69" s="36"/>
      <c r="H69" s="105"/>
      <c r="I69" s="1" t="s">
        <v>65</v>
      </c>
      <c r="J69" s="62">
        <f>N69</f>
        <v>3800</v>
      </c>
      <c r="K69" s="61">
        <f>VLOOKUP(J69,Наценка!$A$1:$B$8,2,1)</f>
        <v>1.32</v>
      </c>
      <c r="L69" s="64">
        <f t="shared" si="10"/>
        <v>5016</v>
      </c>
      <c r="M69" s="63">
        <f>ROUNDUP(L69,-2)-10</f>
        <v>5090</v>
      </c>
      <c r="N69" s="41">
        <f>VLOOKUP($A69,'Выгр Кат'!$A:$T,N$1,0)</f>
        <v>3800</v>
      </c>
      <c r="O69" s="41">
        <f>VLOOKUP($A69,'Выгр Кат'!$A:$T,O$1,0)</f>
        <v>5090</v>
      </c>
      <c r="P69" s="52">
        <f t="shared" ref="P69" si="38">N69-J69</f>
        <v>0</v>
      </c>
      <c r="Q69" s="52">
        <f t="shared" ref="Q69" si="39">O69-M69</f>
        <v>0</v>
      </c>
      <c r="R69" s="59">
        <f t="shared" ref="R69" si="40">IFERROR(M69*(1-$R$2),"")</f>
        <v>4733.7</v>
      </c>
      <c r="S69" s="76">
        <f t="shared" ref="S69" si="41">IFERROR(R69/J69-1,"")</f>
        <v>0.24571052631578949</v>
      </c>
      <c r="T69" s="76" t="str">
        <f t="shared" ref="T69" si="42">IFERROR((V69-R69)/V69,"")</f>
        <v/>
      </c>
      <c r="U69" s="76" t="str">
        <f t="shared" ref="U69" si="43">IFERROR(IF(V69="","",V69/J69-1),"")</f>
        <v/>
      </c>
      <c r="V69" s="108"/>
      <c r="W69" s="79" t="str">
        <f>IFERROR(ROUND((VLOOKUP($A69,'Из ГУГЛа'!$B:$AD,W$1,0)+Y69)*X69,),VLOOKUP($A69,'Из ГУГЛа'!$B:$AD,W$1,0))</f>
        <v/>
      </c>
      <c r="X69" s="51">
        <v>1</v>
      </c>
      <c r="Y69" s="51">
        <v>0</v>
      </c>
      <c r="Z69" s="108"/>
      <c r="AB69" s="79" t="str">
        <f>IFERROR(ROUND((VLOOKUP($A69,'Из ГУГЛа'!$B:$AD,AB$1,0)+AD69)*AC69,),VLOOKUP($A69,'Из ГУГЛа'!$B:$AD,AB$1,0))</f>
        <v/>
      </c>
      <c r="AC69" s="51">
        <v>1</v>
      </c>
      <c r="AD69" s="51">
        <v>0</v>
      </c>
      <c r="AE69" s="85"/>
      <c r="AG69" s="79" t="str">
        <f>IFERROR(ROUND((VLOOKUP($A69,'Из ГУГЛа'!$B:$AD,AG$1,0)+AI69)*AH69,),VLOOKUP($A69,'Из ГУГЛа'!$B:$AD,AG$1,0))</f>
        <v/>
      </c>
      <c r="AH69" s="51">
        <v>1</v>
      </c>
      <c r="AI69" s="51">
        <v>0</v>
      </c>
      <c r="AJ69" s="41"/>
      <c r="AK69" s="41"/>
      <c r="AL69" s="79" t="str">
        <f>IFERROR(ROUND((VLOOKUP($A69,'Из ГУГЛа'!$B:$AD,AL$1,0)+AN69)*AM69,),VLOOKUP($A69,'Из ГУГЛа'!$B:$AD,AL$1,0))</f>
        <v/>
      </c>
      <c r="AM69" s="51">
        <v>1</v>
      </c>
      <c r="AN69" s="51">
        <v>0</v>
      </c>
      <c r="AO69" s="41"/>
      <c r="AP69" s="41"/>
    </row>
    <row r="70" spans="1:42" ht="61.5" thickTop="1" thickBot="1" x14ac:dyDescent="0.3">
      <c r="A70" s="110">
        <v>444186</v>
      </c>
      <c r="B70" s="41">
        <f>VLOOKUP($A70,'Выгр Кат'!$A:$T,B$1,0)</f>
        <v>444186</v>
      </c>
      <c r="C70" s="75" t="str">
        <f>VLOOKUP($A70,'Выгр Кат'!$A:$T,C$1,0)</f>
        <v>Пружины задней подвески Техно Рессор с занижением -50 мм, оранжевые усиленные для Лада Нива 4х4</v>
      </c>
      <c r="D70" s="41" t="str">
        <f>VLOOKUP($A70,'Выгр Кат'!$A:$T,D$1,0)</f>
        <v>Y</v>
      </c>
      <c r="E70" s="41" t="str">
        <f>VLOOKUP($A70,'Выгр Кат'!$A:$T,E$1,0)</f>
        <v>1</v>
      </c>
      <c r="F70" s="41">
        <f>VLOOKUP($A70,'Выгр Кат'!$A:$T,F$1,0)</f>
        <v>0</v>
      </c>
      <c r="G70" s="36"/>
      <c r="H70" s="105"/>
      <c r="I70" s="1" t="s">
        <v>65</v>
      </c>
      <c r="J70" s="62">
        <f>N70</f>
        <v>3800</v>
      </c>
      <c r="K70" s="61">
        <f>VLOOKUP(J70,Наценка!$A$1:$B$8,2,1)</f>
        <v>1.32</v>
      </c>
      <c r="L70" s="64">
        <f t="shared" si="10"/>
        <v>5016</v>
      </c>
      <c r="M70" s="63">
        <f t="shared" ref="M70:M133" si="44">ROUNDUP(L70,-2)-10</f>
        <v>5090</v>
      </c>
      <c r="N70" s="41">
        <f>VLOOKUP($A70,'Выгр Кат'!$A:$T,N$1,0)</f>
        <v>3800</v>
      </c>
      <c r="O70" s="41">
        <f>VLOOKUP($A70,'Выгр Кат'!$A:$T,O$1,0)</f>
        <v>5090</v>
      </c>
      <c r="P70" s="52">
        <f t="shared" ref="P70:P133" si="45">N70-J70</f>
        <v>0</v>
      </c>
      <c r="Q70" s="52">
        <f t="shared" ref="Q70:Q133" si="46">O70-M70</f>
        <v>0</v>
      </c>
      <c r="R70" s="59">
        <f t="shared" ref="R70:R133" si="47">IFERROR(M70*(1-$R$2),"")</f>
        <v>4733.7</v>
      </c>
      <c r="S70" s="76">
        <f t="shared" ref="S70:S133" si="48">IFERROR(R70/J70-1,"")</f>
        <v>0.24571052631578949</v>
      </c>
      <c r="T70" s="76" t="str">
        <f t="shared" ref="T70:T133" si="49">IFERROR((V70-R70)/V70,"")</f>
        <v/>
      </c>
      <c r="U70" s="76" t="str">
        <f t="shared" ref="U70:U133" si="50">IFERROR(IF(V70="","",V70/J70-1),"")</f>
        <v/>
      </c>
      <c r="V70" s="108"/>
      <c r="W70" s="79" t="str">
        <f>IFERROR(ROUND((VLOOKUP($A70,'Из ГУГЛа'!$B:$AD,W$1,0)+Y70)*X70,),VLOOKUP($A70,'Из ГУГЛа'!$B:$AD,W$1,0))</f>
        <v/>
      </c>
      <c r="X70" s="51">
        <v>1</v>
      </c>
      <c r="Y70" s="51">
        <v>0</v>
      </c>
      <c r="Z70" s="108"/>
      <c r="AB70" s="79" t="str">
        <f>IFERROR(ROUND((VLOOKUP($A70,'Из ГУГЛа'!$B:$AD,AB$1,0)+AD70)*AC70,),VLOOKUP($A70,'Из ГУГЛа'!$B:$AD,AB$1,0))</f>
        <v/>
      </c>
      <c r="AC70" s="51">
        <v>1</v>
      </c>
      <c r="AD70" s="51">
        <v>0</v>
      </c>
      <c r="AE70" s="85"/>
      <c r="AG70" s="79" t="str">
        <f>IFERROR(ROUND((VLOOKUP($A70,'Из ГУГЛа'!$B:$AD,AG$1,0)+AI70)*AH70,),VLOOKUP($A70,'Из ГУГЛа'!$B:$AD,AG$1,0))</f>
        <v/>
      </c>
      <c r="AH70" s="51">
        <v>1</v>
      </c>
      <c r="AI70" s="51">
        <v>0</v>
      </c>
      <c r="AJ70" s="41"/>
      <c r="AK70" s="41"/>
      <c r="AL70" s="79" t="str">
        <f>IFERROR(ROUND((VLOOKUP($A70,'Из ГУГЛа'!$B:$AD,AL$1,0)+AN70)*AM70,),VLOOKUP($A70,'Из ГУГЛа'!$B:$AD,AL$1,0))</f>
        <v/>
      </c>
      <c r="AM70" s="51">
        <v>1</v>
      </c>
      <c r="AN70" s="51">
        <v>0</v>
      </c>
      <c r="AO70" s="41"/>
      <c r="AP70" s="41"/>
    </row>
    <row r="71" spans="1:42" ht="46.5" thickTop="1" thickBot="1" x14ac:dyDescent="0.3">
      <c r="A71" s="110">
        <v>443462</v>
      </c>
      <c r="B71" s="41">
        <f>VLOOKUP($A71,'Выгр Кат'!$A:$T,B$1,0)</f>
        <v>108577</v>
      </c>
      <c r="C71" s="75" t="str">
        <f>VLOOKUP($A71,'Выгр Кат'!$A:$T,C$1,0)</f>
        <v>Пружины задней подвески Технорессор Драйв с занижением 120 мм для ВАЗ 2101-2107</v>
      </c>
      <c r="D71" s="41" t="str">
        <f>VLOOKUP($A71,'Выгр Кат'!$A:$T,D$1,0)</f>
        <v>Y</v>
      </c>
      <c r="E71" s="41" t="str">
        <f>VLOOKUP($A71,'Выгр Кат'!$A:$T,E$1,0)</f>
        <v>0</v>
      </c>
      <c r="F71" s="41">
        <f>VLOOKUP($A71,'Выгр Кат'!$A:$T,F$1,0)</f>
        <v>0</v>
      </c>
      <c r="G71" s="36"/>
      <c r="H71" s="105" t="s">
        <v>189</v>
      </c>
      <c r="I71" s="1" t="s">
        <v>65</v>
      </c>
      <c r="J71" s="63">
        <f>VLOOKUP(H71,Прайс!B:D,3,0)</f>
        <v>2550</v>
      </c>
      <c r="K71" s="61">
        <f>VLOOKUP(J71,Наценка!$A$1:$B$8,2,1)</f>
        <v>1.32</v>
      </c>
      <c r="L71" s="64">
        <f>J71*K71</f>
        <v>3366</v>
      </c>
      <c r="M71" s="63">
        <f t="shared" si="44"/>
        <v>3390</v>
      </c>
      <c r="N71" s="41">
        <f>VLOOKUP($A71,'Выгр Кат'!$A:$T,N$1,0)</f>
        <v>2550</v>
      </c>
      <c r="O71" s="41">
        <f>VLOOKUP($A71,'Выгр Кат'!$A:$T,O$1,0)</f>
        <v>3390</v>
      </c>
      <c r="P71" s="52">
        <f t="shared" si="45"/>
        <v>0</v>
      </c>
      <c r="Q71" s="52">
        <f t="shared" si="46"/>
        <v>0</v>
      </c>
      <c r="R71" s="59">
        <f t="shared" si="47"/>
        <v>3152.7</v>
      </c>
      <c r="S71" s="76">
        <f t="shared" si="48"/>
        <v>0.23635294117647043</v>
      </c>
      <c r="T71" s="76">
        <f t="shared" si="49"/>
        <v>-0.31912133891213379</v>
      </c>
      <c r="U71" s="76">
        <f t="shared" si="50"/>
        <v>-6.2745098039215685E-2</v>
      </c>
      <c r="V71" s="89">
        <f t="shared" ref="V71:V133" si="51">Z71</f>
        <v>2390</v>
      </c>
      <c r="W71" s="79">
        <f>IFERROR(ROUND((VLOOKUP($A71,'Из ГУГЛа'!$B:$AD,W$1,0)+Y71)*X71,),VLOOKUP($A71,'Из ГУГЛа'!$B:$AD,W$1,0))</f>
        <v>2390</v>
      </c>
      <c r="X71" s="51">
        <v>1</v>
      </c>
      <c r="Y71" s="51">
        <v>0</v>
      </c>
      <c r="Z71" s="87">
        <v>2390</v>
      </c>
      <c r="AA71" s="65" t="s">
        <v>278</v>
      </c>
      <c r="AB71" s="79">
        <f>IFERROR(ROUND((VLOOKUP($A71,'Из ГУГЛа'!$B:$AD,AB$1,0)+AD71)*AC71,),VLOOKUP($A71,'Из ГУГЛа'!$B:$AD,AB$1,0))</f>
        <v>3400</v>
      </c>
      <c r="AC71" s="51">
        <v>1</v>
      </c>
      <c r="AD71" s="51">
        <v>0</v>
      </c>
      <c r="AE71" s="107">
        <v>3400</v>
      </c>
      <c r="AF71" s="65" t="s">
        <v>366</v>
      </c>
      <c r="AG71" s="79" t="str">
        <f>IFERROR(ROUND((VLOOKUP($A71,'Из ГУГЛа'!$B:$AD,AG$1,0)+AI71)*AH71,),VLOOKUP($A71,'Из ГУГЛа'!$B:$AD,AG$1,0))</f>
        <v/>
      </c>
      <c r="AH71" s="51">
        <v>1</v>
      </c>
      <c r="AI71" s="51">
        <v>0</v>
      </c>
      <c r="AJ71" s="41"/>
      <c r="AK71" s="41"/>
      <c r="AL71" s="79" t="str">
        <f>IFERROR(ROUND((VLOOKUP($A71,'Из ГУГЛа'!$B:$AD,AL$1,0)+AN71)*AM71,),VLOOKUP($A71,'Из ГУГЛа'!$B:$AD,AL$1,0))</f>
        <v/>
      </c>
      <c r="AM71" s="51">
        <v>1</v>
      </c>
      <c r="AN71" s="51">
        <v>0</v>
      </c>
      <c r="AO71" s="41"/>
      <c r="AP71" s="41"/>
    </row>
    <row r="72" spans="1:42" ht="76.5" thickTop="1" thickBot="1" x14ac:dyDescent="0.3">
      <c r="A72" s="110">
        <v>443575</v>
      </c>
      <c r="B72" s="41">
        <f>VLOOKUP($A72,'Выгр Кат'!$A:$T,B$1,0)</f>
        <v>108764</v>
      </c>
      <c r="C72" s="75" t="str">
        <f>VLOOKUP($A72,'Выгр Кат'!$A:$T,C$1,0)</f>
        <v>Пружины задней подвески ТехноРессор Драйв с занижением 120 мм для ВАЗ 2108-21099, 2113-2115, 2110-2112, Лада Калина, Калина 2, Приора, Гранта, Гранта FL</v>
      </c>
      <c r="D72" s="41" t="str">
        <f>VLOOKUP($A72,'Выгр Кат'!$A:$T,D$1,0)</f>
        <v>Y</v>
      </c>
      <c r="E72" s="41" t="str">
        <f>VLOOKUP($A72,'Выгр Кат'!$A:$T,E$1,0)</f>
        <v>1</v>
      </c>
      <c r="F72" s="41">
        <f>VLOOKUP($A72,'Выгр Кат'!$A:$T,F$1,0)</f>
        <v>0</v>
      </c>
      <c r="G72" s="36"/>
      <c r="H72" s="105" t="s">
        <v>452</v>
      </c>
      <c r="I72" s="1" t="s">
        <v>65</v>
      </c>
      <c r="J72" s="63">
        <f>VLOOKUP(H72,Прайс!B:D,3,0)</f>
        <v>2850</v>
      </c>
      <c r="K72" s="61">
        <f>VLOOKUP(J72,Наценка!$A$1:$B$8,2,1)</f>
        <v>1.32</v>
      </c>
      <c r="L72" s="97">
        <f t="shared" ref="L72:L83" si="52">V72*1.05</f>
        <v>4189.5</v>
      </c>
      <c r="M72" s="63">
        <f t="shared" si="44"/>
        <v>4190</v>
      </c>
      <c r="N72" s="41">
        <f>VLOOKUP($A72,'Выгр Кат'!$A:$T,N$1,0)</f>
        <v>2850</v>
      </c>
      <c r="O72" s="41">
        <f>VLOOKUP($A72,'Выгр Кат'!$A:$T,O$1,0)</f>
        <v>4190</v>
      </c>
      <c r="P72" s="52">
        <f t="shared" si="45"/>
        <v>0</v>
      </c>
      <c r="Q72" s="52">
        <f t="shared" si="46"/>
        <v>0</v>
      </c>
      <c r="R72" s="59">
        <f t="shared" si="47"/>
        <v>3896.7</v>
      </c>
      <c r="S72" s="76">
        <f t="shared" si="48"/>
        <v>0.36726315789473674</v>
      </c>
      <c r="T72" s="76">
        <f t="shared" si="49"/>
        <v>2.3383458646616586E-2</v>
      </c>
      <c r="U72" s="76">
        <f t="shared" si="50"/>
        <v>0.39999999999999991</v>
      </c>
      <c r="V72" s="89">
        <f t="shared" si="51"/>
        <v>3990</v>
      </c>
      <c r="W72" s="79">
        <f>IFERROR(ROUND((VLOOKUP($A72,'Из ГУГЛа'!$B:$AD,W$1,0)+Y72)*X72,),VLOOKUP($A72,'Из ГУГЛа'!$B:$AD,W$1,0))</f>
        <v>3990</v>
      </c>
      <c r="X72" s="51">
        <v>1</v>
      </c>
      <c r="Y72" s="51">
        <v>0</v>
      </c>
      <c r="Z72" s="87">
        <v>3990</v>
      </c>
      <c r="AA72" s="65" t="s">
        <v>272</v>
      </c>
      <c r="AB72" s="79">
        <f>IFERROR(ROUND((VLOOKUP($A72,'Из ГУГЛа'!$B:$AD,AB$1,0)+AD72)*AC72,),VLOOKUP($A72,'Из ГУГЛа'!$B:$AD,AB$1,0))</f>
        <v>3900</v>
      </c>
      <c r="AC72" s="51">
        <v>1</v>
      </c>
      <c r="AD72" s="51">
        <v>0</v>
      </c>
      <c r="AE72" s="107">
        <v>3900</v>
      </c>
      <c r="AF72" s="65" t="s">
        <v>348</v>
      </c>
      <c r="AG72" s="79" t="str">
        <f>IFERROR(ROUND((VLOOKUP($A72,'Из ГУГЛа'!$B:$AD,AG$1,0)+AI72)*AH72,),VLOOKUP($A72,'Из ГУГЛа'!$B:$AD,AG$1,0))</f>
        <v/>
      </c>
      <c r="AH72" s="51">
        <v>1</v>
      </c>
      <c r="AI72" s="51">
        <v>0</v>
      </c>
      <c r="AJ72" s="41"/>
      <c r="AK72" s="41"/>
      <c r="AL72" s="79" t="str">
        <f>IFERROR(ROUND((VLOOKUP($A72,'Из ГУГЛа'!$B:$AD,AL$1,0)+AN72)*AM72,),VLOOKUP($A72,'Из ГУГЛа'!$B:$AD,AL$1,0))</f>
        <v/>
      </c>
      <c r="AM72" s="51">
        <v>1</v>
      </c>
      <c r="AN72" s="51">
        <v>0</v>
      </c>
      <c r="AO72" s="41"/>
      <c r="AP72" s="41"/>
    </row>
    <row r="73" spans="1:42" ht="46.5" thickTop="1" thickBot="1" x14ac:dyDescent="0.3">
      <c r="A73" s="110">
        <v>443463</v>
      </c>
      <c r="B73" s="41">
        <f>VLOOKUP($A73,'Выгр Кат'!$A:$T,B$1,0)</f>
        <v>108573</v>
      </c>
      <c r="C73" s="75" t="str">
        <f>VLOOKUP($A73,'Выгр Кат'!$A:$T,C$1,0)</f>
        <v>Пружины задней подвески Технорессор Драйв с занижением 30 мм для ВАЗ 2101-2107</v>
      </c>
      <c r="D73" s="41" t="str">
        <f>VLOOKUP($A73,'Выгр Кат'!$A:$T,D$1,0)</f>
        <v>Y</v>
      </c>
      <c r="E73" s="41" t="str">
        <f>VLOOKUP($A73,'Выгр Кат'!$A:$T,E$1,0)</f>
        <v>1ск4</v>
      </c>
      <c r="F73" s="41">
        <f>VLOOKUP($A73,'Выгр Кат'!$A:$T,F$1,0)</f>
        <v>0</v>
      </c>
      <c r="G73" s="36"/>
      <c r="H73" s="105" t="s">
        <v>439</v>
      </c>
      <c r="I73" s="1" t="s">
        <v>65</v>
      </c>
      <c r="J73" s="62">
        <f>N73</f>
        <v>2550</v>
      </c>
      <c r="K73" s="61">
        <f>VLOOKUP(J73,Наценка!$A$1:$B$8,2,1)</f>
        <v>1.32</v>
      </c>
      <c r="L73" s="97">
        <f t="shared" si="52"/>
        <v>3874.5</v>
      </c>
      <c r="M73" s="63">
        <f t="shared" si="44"/>
        <v>3890</v>
      </c>
      <c r="N73" s="41">
        <f>VLOOKUP($A73,'Выгр Кат'!$A:$T,N$1,0)</f>
        <v>2550</v>
      </c>
      <c r="O73" s="41">
        <f>VLOOKUP($A73,'Выгр Кат'!$A:$T,O$1,0)</f>
        <v>3890</v>
      </c>
      <c r="P73" s="52">
        <f t="shared" si="45"/>
        <v>0</v>
      </c>
      <c r="Q73" s="52">
        <f t="shared" si="46"/>
        <v>0</v>
      </c>
      <c r="R73" s="59">
        <f t="shared" si="47"/>
        <v>3617.7</v>
      </c>
      <c r="S73" s="76">
        <f t="shared" si="48"/>
        <v>0.41870588235294104</v>
      </c>
      <c r="T73" s="76">
        <f t="shared" si="49"/>
        <v>1.9593495934959401E-2</v>
      </c>
      <c r="U73" s="76">
        <f t="shared" si="50"/>
        <v>0.44705882352941173</v>
      </c>
      <c r="V73" s="89">
        <f t="shared" si="51"/>
        <v>3690</v>
      </c>
      <c r="W73" s="79">
        <f>IFERROR(ROUND((VLOOKUP($A73,'Из ГУГЛа'!$B:$AD,W$1,0)+Y73)*X73,),VLOOKUP($A73,'Из ГУГЛа'!$B:$AD,W$1,0))</f>
        <v>3690</v>
      </c>
      <c r="X73" s="51">
        <v>1</v>
      </c>
      <c r="Y73" s="51">
        <v>0</v>
      </c>
      <c r="Z73" s="87">
        <v>3690</v>
      </c>
      <c r="AA73" s="65" t="s">
        <v>279</v>
      </c>
      <c r="AB73" s="79">
        <f>IFERROR(ROUND((VLOOKUP($A73,'Из ГУГЛа'!$B:$AD,AB$1,0)+AD73)*AC73,),VLOOKUP($A73,'Из ГУГЛа'!$B:$AD,AB$1,0))</f>
        <v>3500</v>
      </c>
      <c r="AC73" s="51">
        <v>1</v>
      </c>
      <c r="AD73" s="51">
        <v>0</v>
      </c>
      <c r="AE73" s="107">
        <v>3500</v>
      </c>
      <c r="AF73" s="65" t="s">
        <v>341</v>
      </c>
      <c r="AG73" s="79" t="str">
        <f>IFERROR(ROUND((VLOOKUP($A73,'Из ГУГЛа'!$B:$AD,AG$1,0)+AI73)*AH73,),VLOOKUP($A73,'Из ГУГЛа'!$B:$AD,AG$1,0))</f>
        <v/>
      </c>
      <c r="AH73" s="51">
        <v>1</v>
      </c>
      <c r="AI73" s="51">
        <v>0</v>
      </c>
      <c r="AJ73" s="41"/>
      <c r="AK73" s="41"/>
      <c r="AL73" s="79" t="str">
        <f>IFERROR(ROUND((VLOOKUP($A73,'Из ГУГЛа'!$B:$AD,AL$1,0)+AN73)*AM73,),VLOOKUP($A73,'Из ГУГЛа'!$B:$AD,AL$1,0))</f>
        <v/>
      </c>
      <c r="AM73" s="51">
        <v>1</v>
      </c>
      <c r="AN73" s="51">
        <v>0</v>
      </c>
      <c r="AO73" s="41"/>
      <c r="AP73" s="41"/>
    </row>
    <row r="74" spans="1:42" ht="76.5" thickTop="1" thickBot="1" x14ac:dyDescent="0.3">
      <c r="A74" s="110">
        <v>443576</v>
      </c>
      <c r="B74" s="41">
        <f>VLOOKUP($A74,'Выгр Кат'!$A:$T,B$1,0)</f>
        <v>108760</v>
      </c>
      <c r="C74" s="75" t="str">
        <f>VLOOKUP($A74,'Выгр Кат'!$A:$T,C$1,0)</f>
        <v>Пружины задней подвески ТехноРессор Драйв с занижением 30 мм для ВАЗ 2108-21099, 2113-2115, 2110-2112, Лада Калина, Калина 2, Приора, Гранта, Гранта FL</v>
      </c>
      <c r="D74" s="41" t="str">
        <f>VLOOKUP($A74,'Выгр Кат'!$A:$T,D$1,0)</f>
        <v>Y</v>
      </c>
      <c r="E74" s="41" t="str">
        <f>VLOOKUP($A74,'Выгр Кат'!$A:$T,E$1,0)</f>
        <v>1</v>
      </c>
      <c r="F74" s="41">
        <f>VLOOKUP($A74,'Выгр Кат'!$A:$T,F$1,0)</f>
        <v>0</v>
      </c>
      <c r="G74" s="36"/>
      <c r="H74" s="105" t="s">
        <v>435</v>
      </c>
      <c r="I74" s="1" t="s">
        <v>65</v>
      </c>
      <c r="J74" s="63">
        <f>VLOOKUP(H74,Прайс!B:D,3,0)</f>
        <v>2850</v>
      </c>
      <c r="K74" s="61">
        <f>VLOOKUP(J74,Наценка!$A$1:$B$8,2,1)</f>
        <v>1.32</v>
      </c>
      <c r="L74" s="97">
        <f t="shared" si="52"/>
        <v>4189.5</v>
      </c>
      <c r="M74" s="63">
        <f t="shared" si="44"/>
        <v>4190</v>
      </c>
      <c r="N74" s="41">
        <f>VLOOKUP($A74,'Выгр Кат'!$A:$T,N$1,0)</f>
        <v>2850</v>
      </c>
      <c r="O74" s="41">
        <f>VLOOKUP($A74,'Выгр Кат'!$A:$T,O$1,0)</f>
        <v>4190</v>
      </c>
      <c r="P74" s="52">
        <f t="shared" si="45"/>
        <v>0</v>
      </c>
      <c r="Q74" s="52">
        <f t="shared" si="46"/>
        <v>0</v>
      </c>
      <c r="R74" s="59">
        <f t="shared" si="47"/>
        <v>3896.7</v>
      </c>
      <c r="S74" s="76">
        <f t="shared" si="48"/>
        <v>0.36726315789473674</v>
      </c>
      <c r="T74" s="76">
        <f t="shared" si="49"/>
        <v>2.3383458646616586E-2</v>
      </c>
      <c r="U74" s="76">
        <f t="shared" si="50"/>
        <v>0.39999999999999991</v>
      </c>
      <c r="V74" s="89">
        <f t="shared" si="51"/>
        <v>3990</v>
      </c>
      <c r="W74" s="79">
        <f>IFERROR(ROUND((VLOOKUP($A74,'Из ГУГЛа'!$B:$AD,W$1,0)+Y74)*X74,),VLOOKUP($A74,'Из ГУГЛа'!$B:$AD,W$1,0))</f>
        <v>3990</v>
      </c>
      <c r="X74" s="51">
        <v>1</v>
      </c>
      <c r="Y74" s="51">
        <v>0</v>
      </c>
      <c r="Z74" s="87">
        <v>3990</v>
      </c>
      <c r="AA74" s="65" t="s">
        <v>271</v>
      </c>
      <c r="AB74" s="79">
        <f>IFERROR(ROUND((VLOOKUP($A74,'Из ГУГЛа'!$B:$AD,AB$1,0)+AD74)*AC74,),VLOOKUP($A74,'Из ГУГЛа'!$B:$AD,AB$1,0))</f>
        <v>3900</v>
      </c>
      <c r="AC74" s="51">
        <v>1</v>
      </c>
      <c r="AD74" s="51">
        <v>0</v>
      </c>
      <c r="AE74" s="107">
        <v>3900</v>
      </c>
      <c r="AF74" s="65" t="s">
        <v>349</v>
      </c>
      <c r="AG74" s="79" t="str">
        <f>IFERROR(ROUND((VLOOKUP($A74,'Из ГУГЛа'!$B:$AD,AG$1,0)+AI74)*AH74,),VLOOKUP($A74,'Из ГУГЛа'!$B:$AD,AG$1,0))</f>
        <v/>
      </c>
      <c r="AH74" s="51">
        <v>1</v>
      </c>
      <c r="AI74" s="51">
        <v>0</v>
      </c>
      <c r="AJ74" s="41"/>
      <c r="AK74" s="41"/>
      <c r="AL74" s="79" t="str">
        <f>IFERROR(ROUND((VLOOKUP($A74,'Из ГУГЛа'!$B:$AD,AL$1,0)+AN74)*AM74,),VLOOKUP($A74,'Из ГУГЛа'!$B:$AD,AL$1,0))</f>
        <v/>
      </c>
      <c r="AM74" s="51">
        <v>1</v>
      </c>
      <c r="AN74" s="51">
        <v>0</v>
      </c>
      <c r="AO74" s="41"/>
      <c r="AP74" s="41"/>
    </row>
    <row r="75" spans="1:42" ht="46.5" thickTop="1" thickBot="1" x14ac:dyDescent="0.3">
      <c r="A75" s="110">
        <v>443968</v>
      </c>
      <c r="B75" s="41">
        <f>VLOOKUP($A75,'Выгр Кат'!$A:$T,B$1,0)</f>
        <v>108810</v>
      </c>
      <c r="C75" s="75" t="str">
        <f>VLOOKUP($A75,'Выгр Кат'!$A:$T,C$1,0)</f>
        <v>Пружины задней подвески Технорессор Драйв с занижением 30 мм для Лада Веста</v>
      </c>
      <c r="D75" s="41" t="str">
        <f>VLOOKUP($A75,'Выгр Кат'!$A:$T,D$1,0)</f>
        <v>Y</v>
      </c>
      <c r="E75" s="41" t="str">
        <f>VLOOKUP($A75,'Выгр Кат'!$A:$T,E$1,0)</f>
        <v>1</v>
      </c>
      <c r="F75" s="41">
        <f>VLOOKUP($A75,'Выгр Кат'!$A:$T,F$1,0)</f>
        <v>0</v>
      </c>
      <c r="G75" s="36"/>
      <c r="H75" s="105" t="s">
        <v>445</v>
      </c>
      <c r="I75" s="1" t="s">
        <v>65</v>
      </c>
      <c r="J75" s="63">
        <f>VLOOKUP(H75,Прайс!B:D,3,0)</f>
        <v>4000</v>
      </c>
      <c r="K75" s="61">
        <f>VLOOKUP(J75,Наценка!$A$1:$B$8,2,1)</f>
        <v>1.32</v>
      </c>
      <c r="L75" s="97">
        <f t="shared" si="52"/>
        <v>6289.5</v>
      </c>
      <c r="M75" s="63">
        <f t="shared" si="44"/>
        <v>6290</v>
      </c>
      <c r="N75" s="41">
        <f>VLOOKUP($A75,'Выгр Кат'!$A:$T,N$1,0)</f>
        <v>4000</v>
      </c>
      <c r="O75" s="41">
        <f>VLOOKUP($A75,'Выгр Кат'!$A:$T,O$1,0)</f>
        <v>6290</v>
      </c>
      <c r="P75" s="52">
        <f t="shared" si="45"/>
        <v>0</v>
      </c>
      <c r="Q75" s="52">
        <f t="shared" si="46"/>
        <v>0</v>
      </c>
      <c r="R75" s="59">
        <f t="shared" si="47"/>
        <v>5849.7</v>
      </c>
      <c r="S75" s="76">
        <f t="shared" si="48"/>
        <v>0.46242499999999986</v>
      </c>
      <c r="T75" s="76">
        <f t="shared" si="49"/>
        <v>2.3422370617696191E-2</v>
      </c>
      <c r="U75" s="76">
        <f t="shared" si="50"/>
        <v>0.49750000000000005</v>
      </c>
      <c r="V75" s="89">
        <f t="shared" si="51"/>
        <v>5990</v>
      </c>
      <c r="W75" s="79">
        <f>IFERROR(ROUND((VLOOKUP($A75,'Из ГУГЛа'!$B:$AD,W$1,0)+Y75)*X75,),VLOOKUP($A75,'Из ГУГЛа'!$B:$AD,W$1,0))</f>
        <v>5990</v>
      </c>
      <c r="X75" s="51">
        <v>1</v>
      </c>
      <c r="Y75" s="51">
        <v>0</v>
      </c>
      <c r="Z75" s="87">
        <v>5990</v>
      </c>
      <c r="AA75" s="65" t="s">
        <v>288</v>
      </c>
      <c r="AB75" s="79">
        <f>IFERROR(ROUND((VLOOKUP($A75,'Из ГУГЛа'!$B:$AD,AB$1,0)+AD75)*AC75,),VLOOKUP($A75,'Из ГУГЛа'!$B:$AD,AB$1,0))</f>
        <v>5460</v>
      </c>
      <c r="AC75" s="51">
        <v>1</v>
      </c>
      <c r="AD75" s="51">
        <v>0</v>
      </c>
      <c r="AE75" s="107">
        <v>5460</v>
      </c>
      <c r="AF75" s="65" t="s">
        <v>365</v>
      </c>
      <c r="AG75" s="79" t="str">
        <f>IFERROR(ROUND((VLOOKUP($A75,'Из ГУГЛа'!$B:$AD,AG$1,0)+AI75)*AH75,),VLOOKUP($A75,'Из ГУГЛа'!$B:$AD,AG$1,0))</f>
        <v/>
      </c>
      <c r="AH75" s="51">
        <v>1</v>
      </c>
      <c r="AI75" s="51">
        <v>0</v>
      </c>
      <c r="AJ75" s="41"/>
      <c r="AK75" s="41"/>
      <c r="AL75" s="79" t="str">
        <f>IFERROR(ROUND((VLOOKUP($A75,'Из ГУГЛа'!$B:$AD,AL$1,0)+AN75)*AM75,),VLOOKUP($A75,'Из ГУГЛа'!$B:$AD,AL$1,0))</f>
        <v/>
      </c>
      <c r="AM75" s="51">
        <v>1</v>
      </c>
      <c r="AN75" s="51">
        <v>0</v>
      </c>
      <c r="AO75" s="41"/>
      <c r="AP75" s="41"/>
    </row>
    <row r="76" spans="1:42" ht="46.5" thickTop="1" thickBot="1" x14ac:dyDescent="0.3">
      <c r="A76" s="110">
        <v>443464</v>
      </c>
      <c r="B76" s="41">
        <f>VLOOKUP($A76,'Выгр Кат'!$A:$T,B$1,0)</f>
        <v>108574</v>
      </c>
      <c r="C76" s="75" t="str">
        <f>VLOOKUP($A76,'Выгр Кат'!$A:$T,C$1,0)</f>
        <v>Пружины задней подвески Технорессор Драйв с занижением 50 мм для ВАЗ 2101-2107</v>
      </c>
      <c r="D76" s="41" t="str">
        <f>VLOOKUP($A76,'Выгр Кат'!$A:$T,D$1,0)</f>
        <v>Y</v>
      </c>
      <c r="E76" s="41" t="str">
        <f>VLOOKUP($A76,'Выгр Кат'!$A:$T,E$1,0)</f>
        <v>1ск4</v>
      </c>
      <c r="F76" s="41">
        <f>VLOOKUP($A76,'Выгр Кат'!$A:$T,F$1,0)</f>
        <v>0</v>
      </c>
      <c r="G76" s="36"/>
      <c r="H76" s="105" t="s">
        <v>440</v>
      </c>
      <c r="I76" s="1" t="s">
        <v>65</v>
      </c>
      <c r="J76" s="62">
        <f>N76</f>
        <v>2550</v>
      </c>
      <c r="K76" s="61">
        <f>VLOOKUP(J76,Наценка!$A$1:$B$8,2,1)</f>
        <v>1.32</v>
      </c>
      <c r="L76" s="97">
        <f t="shared" si="52"/>
        <v>4084.5</v>
      </c>
      <c r="M76" s="63">
        <f t="shared" si="44"/>
        <v>4090</v>
      </c>
      <c r="N76" s="41">
        <f>VLOOKUP($A76,'Выгр Кат'!$A:$T,N$1,0)</f>
        <v>2550</v>
      </c>
      <c r="O76" s="41">
        <f>VLOOKUP($A76,'Выгр Кат'!$A:$T,O$1,0)</f>
        <v>4090</v>
      </c>
      <c r="P76" s="52">
        <f t="shared" si="45"/>
        <v>0</v>
      </c>
      <c r="Q76" s="52">
        <f t="shared" si="46"/>
        <v>0</v>
      </c>
      <c r="R76" s="59">
        <f t="shared" si="47"/>
        <v>3803.7</v>
      </c>
      <c r="S76" s="76">
        <f t="shared" si="48"/>
        <v>0.49164705882352933</v>
      </c>
      <c r="T76" s="76">
        <f t="shared" si="49"/>
        <v>2.2185089974293106E-2</v>
      </c>
      <c r="U76" s="76">
        <f t="shared" si="50"/>
        <v>0.52549019607843128</v>
      </c>
      <c r="V76" s="89">
        <f t="shared" si="51"/>
        <v>3890</v>
      </c>
      <c r="W76" s="79">
        <f>IFERROR(ROUND((VLOOKUP($A76,'Из ГУГЛа'!$B:$AD,W$1,0)+Y76)*X76,),VLOOKUP($A76,'Из ГУГЛа'!$B:$AD,W$1,0))</f>
        <v>3890</v>
      </c>
      <c r="X76" s="51">
        <v>1</v>
      </c>
      <c r="Y76" s="51">
        <v>0</v>
      </c>
      <c r="Z76" s="87">
        <v>3890</v>
      </c>
      <c r="AA76" s="65" t="s">
        <v>280</v>
      </c>
      <c r="AB76" s="79">
        <f>IFERROR(ROUND((VLOOKUP($A76,'Из ГУГЛа'!$B:$AD,AB$1,0)+AD76)*AC76,),VLOOKUP($A76,'Из ГУГЛа'!$B:$AD,AB$1,0))</f>
        <v>3500</v>
      </c>
      <c r="AC76" s="51">
        <v>1</v>
      </c>
      <c r="AD76" s="51">
        <v>0</v>
      </c>
      <c r="AE76" s="107">
        <v>3500</v>
      </c>
      <c r="AF76" s="65" t="s">
        <v>342</v>
      </c>
      <c r="AG76" s="79" t="str">
        <f>IFERROR(ROUND((VLOOKUP($A76,'Из ГУГЛа'!$B:$AD,AG$1,0)+AI76)*AH76,),VLOOKUP($A76,'Из ГУГЛа'!$B:$AD,AG$1,0))</f>
        <v/>
      </c>
      <c r="AH76" s="51">
        <v>1</v>
      </c>
      <c r="AI76" s="51">
        <v>0</v>
      </c>
      <c r="AJ76" s="41"/>
      <c r="AK76" s="41"/>
      <c r="AL76" s="79" t="str">
        <f>IFERROR(ROUND((VLOOKUP($A76,'Из ГУГЛа'!$B:$AD,AL$1,0)+AN76)*AM76,),VLOOKUP($A76,'Из ГУГЛа'!$B:$AD,AL$1,0))</f>
        <v/>
      </c>
      <c r="AM76" s="51">
        <v>1</v>
      </c>
      <c r="AN76" s="51">
        <v>0</v>
      </c>
      <c r="AO76" s="41"/>
      <c r="AP76" s="41"/>
    </row>
    <row r="77" spans="1:42" ht="76.5" thickTop="1" thickBot="1" x14ac:dyDescent="0.3">
      <c r="A77" s="110">
        <v>443577</v>
      </c>
      <c r="B77" s="41">
        <f>VLOOKUP($A77,'Выгр Кат'!$A:$T,B$1,0)</f>
        <v>108761</v>
      </c>
      <c r="C77" s="75" t="str">
        <f>VLOOKUP($A77,'Выгр Кат'!$A:$T,C$1,0)</f>
        <v>Пружины задней подвески ТехноРессор Драйв с занижением 50 мм для ВАЗ 2108-21099, 2113-2115, 2110-2112, Лада Калина, Калина 2, Приора, Гранта, Гранта FL</v>
      </c>
      <c r="D77" s="41" t="str">
        <f>VLOOKUP($A77,'Выгр Кат'!$A:$T,D$1,0)</f>
        <v>Y</v>
      </c>
      <c r="E77" s="41" t="str">
        <f>VLOOKUP($A77,'Выгр Кат'!$A:$T,E$1,0)</f>
        <v>1ск4</v>
      </c>
      <c r="F77" s="41">
        <f>VLOOKUP($A77,'Выгр Кат'!$A:$T,F$1,0)</f>
        <v>0</v>
      </c>
      <c r="G77" s="36"/>
      <c r="H77" s="105" t="s">
        <v>436</v>
      </c>
      <c r="I77" s="1" t="s">
        <v>65</v>
      </c>
      <c r="J77" s="63">
        <f>VLOOKUP(H77,Прайс!B:D,3,0)</f>
        <v>2850</v>
      </c>
      <c r="K77" s="61">
        <f>VLOOKUP(J77,Наценка!$A$1:$B$8,2,1)</f>
        <v>1.32</v>
      </c>
      <c r="L77" s="97">
        <f t="shared" si="52"/>
        <v>4084.5</v>
      </c>
      <c r="M77" s="63">
        <f t="shared" si="44"/>
        <v>4090</v>
      </c>
      <c r="N77" s="41">
        <f>VLOOKUP($A77,'Выгр Кат'!$A:$T,N$1,0)</f>
        <v>2850</v>
      </c>
      <c r="O77" s="41">
        <f>VLOOKUP($A77,'Выгр Кат'!$A:$T,O$1,0)</f>
        <v>4090</v>
      </c>
      <c r="P77" s="52">
        <f t="shared" si="45"/>
        <v>0</v>
      </c>
      <c r="Q77" s="52">
        <f t="shared" si="46"/>
        <v>0</v>
      </c>
      <c r="R77" s="59">
        <f t="shared" si="47"/>
        <v>3803.7</v>
      </c>
      <c r="S77" s="76">
        <f t="shared" si="48"/>
        <v>0.33463157894736839</v>
      </c>
      <c r="T77" s="76">
        <f t="shared" si="49"/>
        <v>2.2185089974293106E-2</v>
      </c>
      <c r="U77" s="76">
        <f t="shared" si="50"/>
        <v>0.36491228070175441</v>
      </c>
      <c r="V77" s="89">
        <f t="shared" si="51"/>
        <v>3890</v>
      </c>
      <c r="W77" s="79">
        <f>IFERROR(ROUND((VLOOKUP($A77,'Из ГУГЛа'!$B:$AD,W$1,0)+Y77)*X77,),VLOOKUP($A77,'Из ГУГЛа'!$B:$AD,W$1,0))</f>
        <v>3890</v>
      </c>
      <c r="X77" s="51">
        <v>1</v>
      </c>
      <c r="Y77" s="51">
        <v>0</v>
      </c>
      <c r="Z77" s="87">
        <v>3890</v>
      </c>
      <c r="AA77" s="65" t="s">
        <v>270</v>
      </c>
      <c r="AB77" s="79">
        <f>IFERROR(ROUND((VLOOKUP($A77,'Из ГУГЛа'!$B:$AD,AB$1,0)+AD77)*AC77,),VLOOKUP($A77,'Из ГУГЛа'!$B:$AD,AB$1,0))</f>
        <v>3900</v>
      </c>
      <c r="AC77" s="51">
        <v>1</v>
      </c>
      <c r="AD77" s="51">
        <v>0</v>
      </c>
      <c r="AE77" s="107">
        <v>3900</v>
      </c>
      <c r="AF77" s="65" t="s">
        <v>350</v>
      </c>
      <c r="AG77" s="79" t="str">
        <f>IFERROR(ROUND((VLOOKUP($A77,'Из ГУГЛа'!$B:$AD,AG$1,0)+AI77)*AH77,),VLOOKUP($A77,'Из ГУГЛа'!$B:$AD,AG$1,0))</f>
        <v/>
      </c>
      <c r="AH77" s="51">
        <v>1</v>
      </c>
      <c r="AI77" s="51">
        <v>0</v>
      </c>
      <c r="AJ77" s="41"/>
      <c r="AK77" s="41"/>
      <c r="AL77" s="79" t="str">
        <f>IFERROR(ROUND((VLOOKUP($A77,'Из ГУГЛа'!$B:$AD,AL$1,0)+AN77)*AM77,),VLOOKUP($A77,'Из ГУГЛа'!$B:$AD,AL$1,0))</f>
        <v/>
      </c>
      <c r="AM77" s="51">
        <v>1</v>
      </c>
      <c r="AN77" s="51">
        <v>0</v>
      </c>
      <c r="AO77" s="41"/>
      <c r="AP77" s="41"/>
    </row>
    <row r="78" spans="1:42" ht="46.5" thickTop="1" thickBot="1" x14ac:dyDescent="0.3">
      <c r="A78" s="110">
        <v>443969</v>
      </c>
      <c r="B78" s="41">
        <f>VLOOKUP($A78,'Выгр Кат'!$A:$T,B$1,0)</f>
        <v>108811</v>
      </c>
      <c r="C78" s="75" t="str">
        <f>VLOOKUP($A78,'Выгр Кат'!$A:$T,C$1,0)</f>
        <v>Пружины задней подвески Технорессор Драйв с занижением 50 мм для Лада Веста</v>
      </c>
      <c r="D78" s="41" t="str">
        <f>VLOOKUP($A78,'Выгр Кат'!$A:$T,D$1,0)</f>
        <v>Y</v>
      </c>
      <c r="E78" s="41" t="str">
        <f>VLOOKUP($A78,'Выгр Кат'!$A:$T,E$1,0)</f>
        <v>1</v>
      </c>
      <c r="F78" s="41">
        <f>VLOOKUP($A78,'Выгр Кат'!$A:$T,F$1,0)</f>
        <v>0</v>
      </c>
      <c r="G78" s="36"/>
      <c r="H78" s="105" t="s">
        <v>446</v>
      </c>
      <c r="I78" s="1" t="s">
        <v>65</v>
      </c>
      <c r="J78" s="63">
        <f>VLOOKUP(H78,Прайс!B:D,3,0)</f>
        <v>4000</v>
      </c>
      <c r="K78" s="61">
        <f>VLOOKUP(J78,Наценка!$A$1:$B$8,2,1)</f>
        <v>1.32</v>
      </c>
      <c r="L78" s="97">
        <f t="shared" si="52"/>
        <v>6394.5</v>
      </c>
      <c r="M78" s="63">
        <f t="shared" si="44"/>
        <v>6390</v>
      </c>
      <c r="N78" s="41">
        <f>VLOOKUP($A78,'Выгр Кат'!$A:$T,N$1,0)</f>
        <v>4000</v>
      </c>
      <c r="O78" s="41">
        <f>VLOOKUP($A78,'Выгр Кат'!$A:$T,O$1,0)</f>
        <v>6390</v>
      </c>
      <c r="P78" s="52">
        <f t="shared" si="45"/>
        <v>0</v>
      </c>
      <c r="Q78" s="52">
        <f t="shared" si="46"/>
        <v>0</v>
      </c>
      <c r="R78" s="59">
        <f t="shared" si="47"/>
        <v>5942.7</v>
      </c>
      <c r="S78" s="76">
        <f t="shared" si="48"/>
        <v>0.48567499999999986</v>
      </c>
      <c r="T78" s="76">
        <f t="shared" si="49"/>
        <v>2.418719211822663E-2</v>
      </c>
      <c r="U78" s="76">
        <f t="shared" si="50"/>
        <v>0.52249999999999996</v>
      </c>
      <c r="V78" s="89">
        <f t="shared" si="51"/>
        <v>6090</v>
      </c>
      <c r="W78" s="79">
        <f>IFERROR(ROUND((VLOOKUP($A78,'Из ГУГЛа'!$B:$AD,W$1,0)+Y78)*X78,),VLOOKUP($A78,'Из ГУГЛа'!$B:$AD,W$1,0))</f>
        <v>6090</v>
      </c>
      <c r="X78" s="51">
        <v>1</v>
      </c>
      <c r="Y78" s="51">
        <v>0</v>
      </c>
      <c r="Z78" s="87">
        <v>6090</v>
      </c>
      <c r="AA78" s="65" t="s">
        <v>289</v>
      </c>
      <c r="AB78" s="79">
        <f>IFERROR(ROUND((VLOOKUP($A78,'Из ГУГЛа'!$B:$AD,AB$1,0)+AD78)*AC78,),VLOOKUP($A78,'Из ГУГЛа'!$B:$AD,AB$1,0))</f>
        <v>5460</v>
      </c>
      <c r="AC78" s="51">
        <v>1</v>
      </c>
      <c r="AD78" s="51">
        <v>0</v>
      </c>
      <c r="AE78" s="107">
        <v>5460</v>
      </c>
      <c r="AF78" s="65" t="s">
        <v>364</v>
      </c>
      <c r="AG78" s="79" t="str">
        <f>IFERROR(ROUND((VLOOKUP($A78,'Из ГУГЛа'!$B:$AD,AG$1,0)+AI78)*AH78,),VLOOKUP($A78,'Из ГУГЛа'!$B:$AD,AG$1,0))</f>
        <v/>
      </c>
      <c r="AH78" s="51">
        <v>1</v>
      </c>
      <c r="AI78" s="51">
        <v>0</v>
      </c>
      <c r="AJ78" s="41"/>
      <c r="AK78" s="41"/>
      <c r="AL78" s="79" t="str">
        <f>IFERROR(ROUND((VLOOKUP($A78,'Из ГУГЛа'!$B:$AD,AL$1,0)+AN78)*AM78,),VLOOKUP($A78,'Из ГУГЛа'!$B:$AD,AL$1,0))</f>
        <v/>
      </c>
      <c r="AM78" s="51">
        <v>1</v>
      </c>
      <c r="AN78" s="51">
        <v>0</v>
      </c>
      <c r="AO78" s="41"/>
      <c r="AP78" s="41"/>
    </row>
    <row r="79" spans="1:42" ht="46.5" thickTop="1" thickBot="1" x14ac:dyDescent="0.3">
      <c r="A79" s="110">
        <v>443465</v>
      </c>
      <c r="B79" s="41">
        <f>VLOOKUP($A79,'Выгр Кат'!$A:$T,B$1,0)</f>
        <v>108575</v>
      </c>
      <c r="C79" s="75" t="str">
        <f>VLOOKUP($A79,'Выгр Кат'!$A:$T,C$1,0)</f>
        <v>Пружины задней подвески Технорессор Драйв с занижением 70 мм для ВАЗ 2101-2107</v>
      </c>
      <c r="D79" s="41" t="str">
        <f>VLOOKUP($A79,'Выгр Кат'!$A:$T,D$1,0)</f>
        <v>Y</v>
      </c>
      <c r="E79" s="41" t="str">
        <f>VLOOKUP($A79,'Выгр Кат'!$A:$T,E$1,0)</f>
        <v>1</v>
      </c>
      <c r="F79" s="41">
        <f>VLOOKUP($A79,'Выгр Кат'!$A:$T,F$1,0)</f>
        <v>0</v>
      </c>
      <c r="G79" s="36"/>
      <c r="H79" s="105" t="s">
        <v>441</v>
      </c>
      <c r="I79" s="1" t="s">
        <v>65</v>
      </c>
      <c r="J79" s="62">
        <f>N79</f>
        <v>2550</v>
      </c>
      <c r="K79" s="61">
        <f>VLOOKUP(J79,Наценка!$A$1:$B$8,2,1)</f>
        <v>1.32</v>
      </c>
      <c r="L79" s="97">
        <f t="shared" si="52"/>
        <v>4084.5</v>
      </c>
      <c r="M79" s="63">
        <f t="shared" si="44"/>
        <v>4090</v>
      </c>
      <c r="N79" s="41">
        <f>VLOOKUP($A79,'Выгр Кат'!$A:$T,N$1,0)</f>
        <v>2550</v>
      </c>
      <c r="O79" s="41">
        <f>VLOOKUP($A79,'Выгр Кат'!$A:$T,O$1,0)</f>
        <v>4090</v>
      </c>
      <c r="P79" s="52">
        <f t="shared" si="45"/>
        <v>0</v>
      </c>
      <c r="Q79" s="52">
        <f t="shared" si="46"/>
        <v>0</v>
      </c>
      <c r="R79" s="59">
        <f t="shared" si="47"/>
        <v>3803.7</v>
      </c>
      <c r="S79" s="76">
        <f t="shared" si="48"/>
        <v>0.49164705882352933</v>
      </c>
      <c r="T79" s="76">
        <f t="shared" si="49"/>
        <v>2.2185089974293106E-2</v>
      </c>
      <c r="U79" s="76">
        <f t="shared" si="50"/>
        <v>0.52549019607843128</v>
      </c>
      <c r="V79" s="89">
        <f t="shared" si="51"/>
        <v>3890</v>
      </c>
      <c r="W79" s="79">
        <f>IFERROR(ROUND((VLOOKUP($A79,'Из ГУГЛа'!$B:$AD,W$1,0)+Y79)*X79,),VLOOKUP($A79,'Из ГУГЛа'!$B:$AD,W$1,0))</f>
        <v>3890</v>
      </c>
      <c r="X79" s="51">
        <v>1</v>
      </c>
      <c r="Y79" s="51">
        <v>0</v>
      </c>
      <c r="Z79" s="87">
        <v>3890</v>
      </c>
      <c r="AA79" s="65" t="s">
        <v>281</v>
      </c>
      <c r="AB79" s="79">
        <f>IFERROR(ROUND((VLOOKUP($A79,'Из ГУГЛа'!$B:$AD,AB$1,0)+AD79)*AC79,),VLOOKUP($A79,'Из ГУГЛа'!$B:$AD,AB$1,0))</f>
        <v>3500</v>
      </c>
      <c r="AC79" s="51">
        <v>1</v>
      </c>
      <c r="AD79" s="51">
        <v>0</v>
      </c>
      <c r="AE79" s="107">
        <v>3500</v>
      </c>
      <c r="AF79" s="65" t="s">
        <v>343</v>
      </c>
      <c r="AG79" s="79" t="str">
        <f>IFERROR(ROUND((VLOOKUP($A79,'Из ГУГЛа'!$B:$AD,AG$1,0)+AI79)*AH79,),VLOOKUP($A79,'Из ГУГЛа'!$B:$AD,AG$1,0))</f>
        <v/>
      </c>
      <c r="AH79" s="51">
        <v>1</v>
      </c>
      <c r="AI79" s="51">
        <v>0</v>
      </c>
      <c r="AJ79" s="41"/>
      <c r="AK79" s="41"/>
      <c r="AL79" s="79" t="str">
        <f>IFERROR(ROUND((VLOOKUP($A79,'Из ГУГЛа'!$B:$AD,AL$1,0)+AN79)*AM79,),VLOOKUP($A79,'Из ГУГЛа'!$B:$AD,AL$1,0))</f>
        <v/>
      </c>
      <c r="AM79" s="51">
        <v>1</v>
      </c>
      <c r="AN79" s="51">
        <v>0</v>
      </c>
      <c r="AO79" s="41"/>
      <c r="AP79" s="41"/>
    </row>
    <row r="80" spans="1:42" ht="76.5" thickTop="1" thickBot="1" x14ac:dyDescent="0.3">
      <c r="A80" s="110">
        <v>443578</v>
      </c>
      <c r="B80" s="41">
        <f>VLOOKUP($A80,'Выгр Кат'!$A:$T,B$1,0)</f>
        <v>108762</v>
      </c>
      <c r="C80" s="75" t="str">
        <f>VLOOKUP($A80,'Выгр Кат'!$A:$T,C$1,0)</f>
        <v>Пружины задней подвески ТехноРессор Драйв с занижением 70 мм для ВАЗ 2108-21099, 2113-2115, 2110-2112, Лада Калина, Калина 2, Приора, Гранта, Гранта FL</v>
      </c>
      <c r="D80" s="41" t="str">
        <f>VLOOKUP($A80,'Выгр Кат'!$A:$T,D$1,0)</f>
        <v>Y</v>
      </c>
      <c r="E80" s="41" t="str">
        <f>VLOOKUP($A80,'Выгр Кат'!$A:$T,E$1,0)</f>
        <v>1</v>
      </c>
      <c r="F80" s="41">
        <f>VLOOKUP($A80,'Выгр Кат'!$A:$T,F$1,0)</f>
        <v>0</v>
      </c>
      <c r="G80" s="36"/>
      <c r="H80" s="105" t="s">
        <v>437</v>
      </c>
      <c r="I80" s="1" t="s">
        <v>65</v>
      </c>
      <c r="J80" s="63">
        <f>VLOOKUP(H80,Прайс!B:D,3,0)</f>
        <v>2850</v>
      </c>
      <c r="K80" s="61">
        <f>VLOOKUP(J80,Наценка!$A$1:$B$8,2,1)</f>
        <v>1.32</v>
      </c>
      <c r="L80" s="97">
        <f t="shared" si="52"/>
        <v>4084.5</v>
      </c>
      <c r="M80" s="63">
        <f t="shared" si="44"/>
        <v>4090</v>
      </c>
      <c r="N80" s="41">
        <f>VLOOKUP($A80,'Выгр Кат'!$A:$T,N$1,0)</f>
        <v>2850</v>
      </c>
      <c r="O80" s="41">
        <f>VLOOKUP($A80,'Выгр Кат'!$A:$T,O$1,0)</f>
        <v>4090</v>
      </c>
      <c r="P80" s="52">
        <f t="shared" si="45"/>
        <v>0</v>
      </c>
      <c r="Q80" s="52">
        <f t="shared" si="46"/>
        <v>0</v>
      </c>
      <c r="R80" s="59">
        <f t="shared" si="47"/>
        <v>3803.7</v>
      </c>
      <c r="S80" s="76">
        <f t="shared" si="48"/>
        <v>0.33463157894736839</v>
      </c>
      <c r="T80" s="76">
        <f t="shared" si="49"/>
        <v>2.2185089974293106E-2</v>
      </c>
      <c r="U80" s="76">
        <f t="shared" si="50"/>
        <v>0.36491228070175441</v>
      </c>
      <c r="V80" s="89">
        <f t="shared" si="51"/>
        <v>3890</v>
      </c>
      <c r="W80" s="79">
        <f>IFERROR(ROUND((VLOOKUP($A80,'Из ГУГЛа'!$B:$AD,W$1,0)+Y80)*X80,),VLOOKUP($A80,'Из ГУГЛа'!$B:$AD,W$1,0))</f>
        <v>3890</v>
      </c>
      <c r="X80" s="51">
        <v>1</v>
      </c>
      <c r="Y80" s="51">
        <v>0</v>
      </c>
      <c r="Z80" s="87">
        <v>3890</v>
      </c>
      <c r="AA80" s="65" t="s">
        <v>269</v>
      </c>
      <c r="AB80" s="79">
        <f>IFERROR(ROUND((VLOOKUP($A80,'Из ГУГЛа'!$B:$AD,AB$1,0)+AD80)*AC80,),VLOOKUP($A80,'Из ГУГЛа'!$B:$AD,AB$1,0))</f>
        <v>3900</v>
      </c>
      <c r="AC80" s="51">
        <v>1</v>
      </c>
      <c r="AD80" s="51">
        <v>0</v>
      </c>
      <c r="AE80" s="107">
        <v>3900</v>
      </c>
      <c r="AF80" s="65" t="s">
        <v>351</v>
      </c>
      <c r="AG80" s="79" t="str">
        <f>IFERROR(ROUND((VLOOKUP($A80,'Из ГУГЛа'!$B:$AD,AG$1,0)+AI80)*AH80,),VLOOKUP($A80,'Из ГУГЛа'!$B:$AD,AG$1,0))</f>
        <v/>
      </c>
      <c r="AH80" s="51">
        <v>1</v>
      </c>
      <c r="AI80" s="51">
        <v>0</v>
      </c>
      <c r="AJ80" s="41"/>
      <c r="AK80" s="41"/>
      <c r="AL80" s="79" t="str">
        <f>IFERROR(ROUND((VLOOKUP($A80,'Из ГУГЛа'!$B:$AD,AL$1,0)+AN80)*AM80,),VLOOKUP($A80,'Из ГУГЛа'!$B:$AD,AL$1,0))</f>
        <v/>
      </c>
      <c r="AM80" s="51">
        <v>1</v>
      </c>
      <c r="AN80" s="51">
        <v>0</v>
      </c>
      <c r="AO80" s="41"/>
      <c r="AP80" s="41"/>
    </row>
    <row r="81" spans="1:42" ht="46.5" thickTop="1" thickBot="1" x14ac:dyDescent="0.3">
      <c r="A81" s="110">
        <v>443970</v>
      </c>
      <c r="B81" s="41">
        <f>VLOOKUP($A81,'Выгр Кат'!$A:$T,B$1,0)</f>
        <v>108812</v>
      </c>
      <c r="C81" s="75" t="str">
        <f>VLOOKUP($A81,'Выгр Кат'!$A:$T,C$1,0)</f>
        <v>Пружины задней подвески Технорессор Драйв с занижением 70 мм для Лада Веста</v>
      </c>
      <c r="D81" s="41" t="str">
        <f>VLOOKUP($A81,'Выгр Кат'!$A:$T,D$1,0)</f>
        <v>Y</v>
      </c>
      <c r="E81" s="41" t="str">
        <f>VLOOKUP($A81,'Выгр Кат'!$A:$T,E$1,0)</f>
        <v>1</v>
      </c>
      <c r="F81" s="41">
        <f>VLOOKUP($A81,'Выгр Кат'!$A:$T,F$1,0)</f>
        <v>0</v>
      </c>
      <c r="G81" s="36"/>
      <c r="H81" s="105" t="s">
        <v>447</v>
      </c>
      <c r="I81" s="1" t="s">
        <v>65</v>
      </c>
      <c r="J81" s="63">
        <f>VLOOKUP(H81,Прайс!B:D,3,0)</f>
        <v>4000</v>
      </c>
      <c r="K81" s="61">
        <f>VLOOKUP(J81,Наценка!$A$1:$B$8,2,1)</f>
        <v>1.32</v>
      </c>
      <c r="L81" s="97">
        <f t="shared" si="52"/>
        <v>5659.5</v>
      </c>
      <c r="M81" s="63">
        <f t="shared" si="44"/>
        <v>5690</v>
      </c>
      <c r="N81" s="41">
        <f>VLOOKUP($A81,'Выгр Кат'!$A:$T,N$1,0)</f>
        <v>4000</v>
      </c>
      <c r="O81" s="41">
        <f>VLOOKUP($A81,'Выгр Кат'!$A:$T,O$1,0)</f>
        <v>5690</v>
      </c>
      <c r="P81" s="52">
        <f t="shared" si="45"/>
        <v>0</v>
      </c>
      <c r="Q81" s="52">
        <f t="shared" si="46"/>
        <v>0</v>
      </c>
      <c r="R81" s="59">
        <f t="shared" si="47"/>
        <v>5291.7</v>
      </c>
      <c r="S81" s="76">
        <f t="shared" si="48"/>
        <v>0.32292499999999991</v>
      </c>
      <c r="T81" s="76">
        <f t="shared" si="49"/>
        <v>1.8237476808905414E-2</v>
      </c>
      <c r="U81" s="76">
        <f t="shared" si="50"/>
        <v>0.34749999999999992</v>
      </c>
      <c r="V81" s="89">
        <f t="shared" si="51"/>
        <v>5390</v>
      </c>
      <c r="W81" s="79">
        <f>IFERROR(ROUND((VLOOKUP($A81,'Из ГУГЛа'!$B:$AD,W$1,0)+Y81)*X81,),VLOOKUP($A81,'Из ГУГЛа'!$B:$AD,W$1,0))</f>
        <v>5390</v>
      </c>
      <c r="X81" s="51">
        <v>1</v>
      </c>
      <c r="Y81" s="51">
        <v>0</v>
      </c>
      <c r="Z81" s="87">
        <v>5390</v>
      </c>
      <c r="AA81" s="65" t="s">
        <v>290</v>
      </c>
      <c r="AB81" s="79" t="str">
        <f>IFERROR(ROUND((VLOOKUP($A81,'Из ГУГЛа'!$B:$AD,AB$1,0)+AD81)*AC81,),VLOOKUP($A81,'Из ГУГЛа'!$B:$AD,AB$1,0))</f>
        <v/>
      </c>
      <c r="AC81" s="51">
        <v>1</v>
      </c>
      <c r="AD81" s="51">
        <v>0</v>
      </c>
      <c r="AE81" s="85"/>
      <c r="AG81" s="79" t="str">
        <f>IFERROR(ROUND((VLOOKUP($A81,'Из ГУГЛа'!$B:$AD,AG$1,0)+AI81)*AH81,),VLOOKUP($A81,'Из ГУГЛа'!$B:$AD,AG$1,0))</f>
        <v/>
      </c>
      <c r="AH81" s="51">
        <v>1</v>
      </c>
      <c r="AI81" s="51">
        <v>0</v>
      </c>
      <c r="AJ81" s="41"/>
      <c r="AK81" s="41"/>
      <c r="AL81" s="79" t="str">
        <f>IFERROR(ROUND((VLOOKUP($A81,'Из ГУГЛа'!$B:$AD,AL$1,0)+AN81)*AM81,),VLOOKUP($A81,'Из ГУГЛа'!$B:$AD,AL$1,0))</f>
        <v/>
      </c>
      <c r="AM81" s="51">
        <v>1</v>
      </c>
      <c r="AN81" s="51">
        <v>0</v>
      </c>
      <c r="AO81" s="41"/>
      <c r="AP81" s="41"/>
    </row>
    <row r="82" spans="1:42" ht="46.5" thickTop="1" thickBot="1" x14ac:dyDescent="0.3">
      <c r="A82" s="110">
        <v>443466</v>
      </c>
      <c r="B82" s="41">
        <f>VLOOKUP($A82,'Выгр Кат'!$A:$T,B$1,0)</f>
        <v>108576</v>
      </c>
      <c r="C82" s="75" t="str">
        <f>VLOOKUP($A82,'Выгр Кат'!$A:$T,C$1,0)</f>
        <v>Пружины задней подвески Технорессор Драйв с занижением 90 мм для ВАЗ 2101-2107</v>
      </c>
      <c r="D82" s="41" t="str">
        <f>VLOOKUP($A82,'Выгр Кат'!$A:$T,D$1,0)</f>
        <v>Y</v>
      </c>
      <c r="E82" s="41" t="str">
        <f>VLOOKUP($A82,'Выгр Кат'!$A:$T,E$1,0)</f>
        <v>1</v>
      </c>
      <c r="F82" s="41">
        <f>VLOOKUP($A82,'Выгр Кат'!$A:$T,F$1,0)</f>
        <v>0</v>
      </c>
      <c r="G82" s="36"/>
      <c r="H82" s="105" t="s">
        <v>189</v>
      </c>
      <c r="I82" s="1" t="s">
        <v>65</v>
      </c>
      <c r="J82" s="63">
        <f>VLOOKUP(H82,Прайс!B:D,3,0)</f>
        <v>2550</v>
      </c>
      <c r="K82" s="61">
        <f>VLOOKUP(J82,Наценка!$A$1:$B$8,2,1)</f>
        <v>1.32</v>
      </c>
      <c r="L82" s="97">
        <f t="shared" si="52"/>
        <v>4084.5</v>
      </c>
      <c r="M82" s="63">
        <f t="shared" si="44"/>
        <v>4090</v>
      </c>
      <c r="N82" s="41">
        <f>VLOOKUP($A82,'Выгр Кат'!$A:$T,N$1,0)</f>
        <v>2550</v>
      </c>
      <c r="O82" s="41">
        <f>VLOOKUP($A82,'Выгр Кат'!$A:$T,O$1,0)</f>
        <v>4090</v>
      </c>
      <c r="P82" s="52">
        <f t="shared" si="45"/>
        <v>0</v>
      </c>
      <c r="Q82" s="52">
        <f t="shared" si="46"/>
        <v>0</v>
      </c>
      <c r="R82" s="59">
        <f t="shared" si="47"/>
        <v>3803.7</v>
      </c>
      <c r="S82" s="76">
        <f t="shared" si="48"/>
        <v>0.49164705882352933</v>
      </c>
      <c r="T82" s="76">
        <f t="shared" si="49"/>
        <v>2.2185089974293106E-2</v>
      </c>
      <c r="U82" s="76">
        <f t="shared" si="50"/>
        <v>0.52549019607843128</v>
      </c>
      <c r="V82" s="89">
        <f t="shared" si="51"/>
        <v>3890</v>
      </c>
      <c r="W82" s="79">
        <f>IFERROR(ROUND((VLOOKUP($A82,'Из ГУГЛа'!$B:$AD,W$1,0)+Y82)*X82,),VLOOKUP($A82,'Из ГУГЛа'!$B:$AD,W$1,0))</f>
        <v>3890</v>
      </c>
      <c r="X82" s="51">
        <v>1</v>
      </c>
      <c r="Y82" s="51">
        <v>0</v>
      </c>
      <c r="Z82" s="87">
        <v>3890</v>
      </c>
      <c r="AA82" s="65" t="s">
        <v>282</v>
      </c>
      <c r="AB82" s="79" t="str">
        <f>IFERROR(ROUND((VLOOKUP($A82,'Из ГУГЛа'!$B:$AD,AB$1,0)+AD82)*AC82,),VLOOKUP($A82,'Из ГУГЛа'!$B:$AD,AB$1,0))</f>
        <v/>
      </c>
      <c r="AC82" s="51">
        <v>1</v>
      </c>
      <c r="AD82" s="51">
        <v>0</v>
      </c>
      <c r="AE82" s="85"/>
      <c r="AG82" s="79" t="str">
        <f>IFERROR(ROUND((VLOOKUP($A82,'Из ГУГЛа'!$B:$AD,AG$1,0)+AI82)*AH82,),VLOOKUP($A82,'Из ГУГЛа'!$B:$AD,AG$1,0))</f>
        <v/>
      </c>
      <c r="AH82" s="51">
        <v>1</v>
      </c>
      <c r="AI82" s="51">
        <v>0</v>
      </c>
      <c r="AJ82" s="41"/>
      <c r="AK82" s="41"/>
      <c r="AL82" s="79" t="str">
        <f>IFERROR(ROUND((VLOOKUP($A82,'Из ГУГЛа'!$B:$AD,AL$1,0)+AN82)*AM82,),VLOOKUP($A82,'Из ГУГЛа'!$B:$AD,AL$1,0))</f>
        <v/>
      </c>
      <c r="AM82" s="51">
        <v>1</v>
      </c>
      <c r="AN82" s="51">
        <v>0</v>
      </c>
      <c r="AO82" s="41"/>
      <c r="AP82" s="41"/>
    </row>
    <row r="83" spans="1:42" ht="76.5" thickTop="1" thickBot="1" x14ac:dyDescent="0.3">
      <c r="A83" s="110">
        <v>443579</v>
      </c>
      <c r="B83" s="41">
        <f>VLOOKUP($A83,'Выгр Кат'!$A:$T,B$1,0)</f>
        <v>108763</v>
      </c>
      <c r="C83" s="75" t="str">
        <f>VLOOKUP($A83,'Выгр Кат'!$A:$T,C$1,0)</f>
        <v>Пружины задней подвески ТехноРессор Драйв с занижением 90 мм для ВАЗ 2108-21099, 2113-2115, 2110-2112, Лада Калина, Калина 2, Приора, Гранта, Гранта FL</v>
      </c>
      <c r="D83" s="41" t="str">
        <f>VLOOKUP($A83,'Выгр Кат'!$A:$T,D$1,0)</f>
        <v>Y</v>
      </c>
      <c r="E83" s="41" t="str">
        <f>VLOOKUP($A83,'Выгр Кат'!$A:$T,E$1,0)</f>
        <v>1</v>
      </c>
      <c r="F83" s="41">
        <f>VLOOKUP($A83,'Выгр Кат'!$A:$T,F$1,0)</f>
        <v>0</v>
      </c>
      <c r="G83" s="36"/>
      <c r="H83" s="105" t="s">
        <v>438</v>
      </c>
      <c r="I83" s="1" t="s">
        <v>65</v>
      </c>
      <c r="J83" s="63">
        <f>VLOOKUP(H83,Прайс!B:D,3,0)</f>
        <v>2850</v>
      </c>
      <c r="K83" s="61">
        <f>VLOOKUP(J83,Наценка!$A$1:$B$8,2,1)</f>
        <v>1.32</v>
      </c>
      <c r="L83" s="97">
        <f t="shared" si="52"/>
        <v>4189.5</v>
      </c>
      <c r="M83" s="63">
        <f t="shared" si="44"/>
        <v>4190</v>
      </c>
      <c r="N83" s="41">
        <f>VLOOKUP($A83,'Выгр Кат'!$A:$T,N$1,0)</f>
        <v>2850</v>
      </c>
      <c r="O83" s="41">
        <f>VLOOKUP($A83,'Выгр Кат'!$A:$T,O$1,0)</f>
        <v>4190</v>
      </c>
      <c r="P83" s="52">
        <f t="shared" si="45"/>
        <v>0</v>
      </c>
      <c r="Q83" s="52">
        <f t="shared" si="46"/>
        <v>0</v>
      </c>
      <c r="R83" s="59">
        <f t="shared" si="47"/>
        <v>3896.7</v>
      </c>
      <c r="S83" s="76">
        <f t="shared" si="48"/>
        <v>0.36726315789473674</v>
      </c>
      <c r="T83" s="76">
        <f t="shared" si="49"/>
        <v>2.3383458646616586E-2</v>
      </c>
      <c r="U83" s="76">
        <f t="shared" si="50"/>
        <v>0.39999999999999991</v>
      </c>
      <c r="V83" s="89">
        <f t="shared" si="51"/>
        <v>3990</v>
      </c>
      <c r="W83" s="79">
        <f>IFERROR(ROUND((VLOOKUP($A83,'Из ГУГЛа'!$B:$AD,W$1,0)+Y83)*X83,),VLOOKUP($A83,'Из ГУГЛа'!$B:$AD,W$1,0))</f>
        <v>3990</v>
      </c>
      <c r="X83" s="51">
        <v>1</v>
      </c>
      <c r="Y83" s="51">
        <v>0</v>
      </c>
      <c r="Z83" s="87">
        <v>3990</v>
      </c>
      <c r="AA83" s="65" t="s">
        <v>268</v>
      </c>
      <c r="AB83" s="79">
        <f>IFERROR(ROUND((VLOOKUP($A83,'Из ГУГЛа'!$B:$AD,AB$1,0)+AD83)*AC83,),VLOOKUP($A83,'Из ГУГЛа'!$B:$AD,AB$1,0))</f>
        <v>3900</v>
      </c>
      <c r="AC83" s="51">
        <v>1</v>
      </c>
      <c r="AD83" s="51">
        <v>0</v>
      </c>
      <c r="AE83" s="107">
        <v>3900</v>
      </c>
      <c r="AF83" s="65" t="s">
        <v>352</v>
      </c>
      <c r="AG83" s="79" t="str">
        <f>IFERROR(ROUND((VLOOKUP($A83,'Из ГУГЛа'!$B:$AD,AG$1,0)+AI83)*AH83,),VLOOKUP($A83,'Из ГУГЛа'!$B:$AD,AG$1,0))</f>
        <v/>
      </c>
      <c r="AH83" s="51">
        <v>1</v>
      </c>
      <c r="AI83" s="51">
        <v>0</v>
      </c>
      <c r="AJ83" s="41"/>
      <c r="AK83" s="41"/>
      <c r="AL83" s="79" t="str">
        <f>IFERROR(ROUND((VLOOKUP($A83,'Из ГУГЛа'!$B:$AD,AL$1,0)+AN83)*AM83,),VLOOKUP($A83,'Из ГУГЛа'!$B:$AD,AL$1,0))</f>
        <v/>
      </c>
      <c r="AM83" s="51">
        <v>1</v>
      </c>
      <c r="AN83" s="51">
        <v>0</v>
      </c>
      <c r="AO83" s="41"/>
      <c r="AP83" s="41"/>
    </row>
    <row r="84" spans="1:42" ht="46.5" thickTop="1" thickBot="1" x14ac:dyDescent="0.3">
      <c r="A84" s="110">
        <v>444181</v>
      </c>
      <c r="B84" s="41">
        <f>VLOOKUP($A84,'Выгр Кат'!$A:$T,B$1,0)</f>
        <v>444181</v>
      </c>
      <c r="C84" s="75" t="str">
        <f>VLOOKUP($A84,'Выгр Кат'!$A:$T,C$1,0)</f>
        <v>Пружины задней подвески ТехноРессор с завышением 30 мм, усиленные для Лада Нива 4х4</v>
      </c>
      <c r="D84" s="41" t="str">
        <f>VLOOKUP($A84,'Выгр Кат'!$A:$T,D$1,0)</f>
        <v>Y</v>
      </c>
      <c r="E84" s="41" t="str">
        <f>VLOOKUP($A84,'Выгр Кат'!$A:$T,E$1,0)</f>
        <v>1</v>
      </c>
      <c r="F84" s="41">
        <f>VLOOKUP($A84,'Выгр Кат'!$A:$T,F$1,0)</f>
        <v>0</v>
      </c>
      <c r="G84" s="36"/>
      <c r="H84" s="105" t="s">
        <v>443</v>
      </c>
      <c r="I84" s="1" t="s">
        <v>65</v>
      </c>
      <c r="J84" s="62">
        <f>N84</f>
        <v>3800</v>
      </c>
      <c r="K84" s="61">
        <f>VLOOKUP(J84,Наценка!$A$1:$B$8,2,1)</f>
        <v>1.32</v>
      </c>
      <c r="L84" s="64">
        <f t="shared" ref="L84:L137" si="53">J84*K84</f>
        <v>5016</v>
      </c>
      <c r="M84" s="63">
        <f t="shared" si="44"/>
        <v>5090</v>
      </c>
      <c r="N84" s="41">
        <f>VLOOKUP($A84,'Выгр Кат'!$A:$T,N$1,0)</f>
        <v>3800</v>
      </c>
      <c r="O84" s="41">
        <f>VLOOKUP($A84,'Выгр Кат'!$A:$T,O$1,0)</f>
        <v>5090</v>
      </c>
      <c r="P84" s="52">
        <f t="shared" si="45"/>
        <v>0</v>
      </c>
      <c r="Q84" s="52">
        <f t="shared" si="46"/>
        <v>0</v>
      </c>
      <c r="R84" s="59">
        <f t="shared" si="47"/>
        <v>4733.7</v>
      </c>
      <c r="S84" s="76">
        <f t="shared" si="48"/>
        <v>0.24571052631578949</v>
      </c>
      <c r="T84" s="76" t="str">
        <f t="shared" si="49"/>
        <v/>
      </c>
      <c r="U84" s="76" t="str">
        <f t="shared" si="50"/>
        <v/>
      </c>
      <c r="V84" s="108"/>
      <c r="W84" s="79" t="str">
        <f>IFERROR(ROUND((VLOOKUP($A84,'Из ГУГЛа'!$B:$AD,W$1,0)+Y84)*X84,),VLOOKUP($A84,'Из ГУГЛа'!$B:$AD,W$1,0))</f>
        <v/>
      </c>
      <c r="X84" s="51">
        <v>1</v>
      </c>
      <c r="Y84" s="51">
        <v>0</v>
      </c>
      <c r="Z84" s="108"/>
      <c r="AB84" s="79" t="str">
        <f>IFERROR(ROUND((VLOOKUP($A84,'Из ГУГЛа'!$B:$AD,AB$1,0)+AD84)*AC84,),VLOOKUP($A84,'Из ГУГЛа'!$B:$AD,AB$1,0))</f>
        <v/>
      </c>
      <c r="AC84" s="51">
        <v>1</v>
      </c>
      <c r="AD84" s="51">
        <v>0</v>
      </c>
      <c r="AE84" s="85"/>
      <c r="AG84" s="79" t="str">
        <f>IFERROR(ROUND((VLOOKUP($A84,'Из ГУГЛа'!$B:$AD,AG$1,0)+AI84)*AH84,),VLOOKUP($A84,'Из ГУГЛа'!$B:$AD,AG$1,0))</f>
        <v/>
      </c>
      <c r="AH84" s="51">
        <v>1</v>
      </c>
      <c r="AI84" s="51">
        <v>0</v>
      </c>
      <c r="AJ84" s="41"/>
      <c r="AK84" s="41"/>
      <c r="AL84" s="79" t="str">
        <f>IFERROR(ROUND((VLOOKUP($A84,'Из ГУГЛа'!$B:$AD,AL$1,0)+AN84)*AM84,),VLOOKUP($A84,'Из ГУГЛа'!$B:$AD,AL$1,0))</f>
        <v/>
      </c>
      <c r="AM84" s="51">
        <v>1</v>
      </c>
      <c r="AN84" s="51">
        <v>0</v>
      </c>
      <c r="AO84" s="41"/>
      <c r="AP84" s="41"/>
    </row>
    <row r="85" spans="1:42" ht="46.5" thickTop="1" thickBot="1" x14ac:dyDescent="0.3">
      <c r="A85" s="110">
        <v>444168</v>
      </c>
      <c r="B85" s="41">
        <f>VLOOKUP($A85,'Выгр Кат'!$A:$T,B$1,0)</f>
        <v>444168</v>
      </c>
      <c r="C85" s="75" t="str">
        <f>VLOOKUP($A85,'Выгр Кат'!$A:$T,C$1,0)</f>
        <v>Пружины задней подвески ТехноРессор с занижением 30 мм, усиленные для Лада Нива 4х4</v>
      </c>
      <c r="D85" s="41" t="str">
        <f>VLOOKUP($A85,'Выгр Кат'!$A:$T,D$1,0)</f>
        <v>Y</v>
      </c>
      <c r="E85" s="41" t="str">
        <f>VLOOKUP($A85,'Выгр Кат'!$A:$T,E$1,0)</f>
        <v>1</v>
      </c>
      <c r="F85" s="41">
        <f>VLOOKUP($A85,'Выгр Кат'!$A:$T,F$1,0)</f>
        <v>0</v>
      </c>
      <c r="G85" s="36"/>
      <c r="H85" s="105" t="s">
        <v>444</v>
      </c>
      <c r="I85" s="1" t="s">
        <v>65</v>
      </c>
      <c r="J85" s="62">
        <f>N85</f>
        <v>3800</v>
      </c>
      <c r="K85" s="61">
        <f>VLOOKUP(J85,Наценка!$A$1:$B$8,2,1)</f>
        <v>1.32</v>
      </c>
      <c r="L85" s="64">
        <f t="shared" si="53"/>
        <v>5016</v>
      </c>
      <c r="M85" s="63">
        <f t="shared" si="44"/>
        <v>5090</v>
      </c>
      <c r="N85" s="41">
        <f>VLOOKUP($A85,'Выгр Кат'!$A:$T,N$1,0)</f>
        <v>3800</v>
      </c>
      <c r="O85" s="41">
        <f>VLOOKUP($A85,'Выгр Кат'!$A:$T,O$1,0)</f>
        <v>5090</v>
      </c>
      <c r="P85" s="52">
        <f t="shared" si="45"/>
        <v>0</v>
      </c>
      <c r="Q85" s="52">
        <f t="shared" si="46"/>
        <v>0</v>
      </c>
      <c r="R85" s="59">
        <f t="shared" si="47"/>
        <v>4733.7</v>
      </c>
      <c r="S85" s="76">
        <f t="shared" si="48"/>
        <v>0.24571052631578949</v>
      </c>
      <c r="T85" s="76" t="str">
        <f t="shared" si="49"/>
        <v/>
      </c>
      <c r="U85" s="76" t="str">
        <f t="shared" si="50"/>
        <v/>
      </c>
      <c r="V85" s="108"/>
      <c r="W85" s="79" t="str">
        <f>IFERROR(ROUND((VLOOKUP($A85,'Из ГУГЛа'!$B:$AD,W$1,0)+Y85)*X85,),VLOOKUP($A85,'Из ГУГЛа'!$B:$AD,W$1,0))</f>
        <v/>
      </c>
      <c r="X85" s="51">
        <v>1</v>
      </c>
      <c r="Y85" s="51">
        <v>0</v>
      </c>
      <c r="Z85" s="108"/>
      <c r="AB85" s="79" t="str">
        <f>IFERROR(ROUND((VLOOKUP($A85,'Из ГУГЛа'!$B:$AD,AB$1,0)+AD85)*AC85,),VLOOKUP($A85,'Из ГУГЛа'!$B:$AD,AB$1,0))</f>
        <v/>
      </c>
      <c r="AC85" s="51">
        <v>1</v>
      </c>
      <c r="AD85" s="51">
        <v>0</v>
      </c>
      <c r="AE85" s="85"/>
      <c r="AG85" s="79" t="str">
        <f>IFERROR(ROUND((VLOOKUP($A85,'Из ГУГЛа'!$B:$AD,AG$1,0)+AI85)*AH85,),VLOOKUP($A85,'Из ГУГЛа'!$B:$AD,AG$1,0))</f>
        <v/>
      </c>
      <c r="AH85" s="51">
        <v>1</v>
      </c>
      <c r="AI85" s="51">
        <v>0</v>
      </c>
      <c r="AJ85" s="41"/>
      <c r="AK85" s="41"/>
      <c r="AL85" s="79" t="str">
        <f>IFERROR(ROUND((VLOOKUP($A85,'Из ГУГЛа'!$B:$AD,AL$1,0)+AN85)*AM85,),VLOOKUP($A85,'Из ГУГЛа'!$B:$AD,AL$1,0))</f>
        <v/>
      </c>
      <c r="AM85" s="51">
        <v>1</v>
      </c>
      <c r="AN85" s="51">
        <v>0</v>
      </c>
      <c r="AO85" s="41"/>
      <c r="AP85" s="41"/>
    </row>
    <row r="86" spans="1:42" ht="46.5" thickTop="1" thickBot="1" x14ac:dyDescent="0.3">
      <c r="A86" s="110">
        <v>444163</v>
      </c>
      <c r="B86" s="41">
        <f>VLOOKUP($A86,'Выгр Кат'!$A:$T,B$1,0)</f>
        <v>444163</v>
      </c>
      <c r="C86" s="75" t="str">
        <f>VLOOKUP($A86,'Выгр Кат'!$A:$T,C$1,0)</f>
        <v>Пружины задней подвески ТехноРессор стандарт, усиленные для Лада Нива 4х4</v>
      </c>
      <c r="D86" s="41" t="str">
        <f>VLOOKUP($A86,'Выгр Кат'!$A:$T,D$1,0)</f>
        <v>Y</v>
      </c>
      <c r="E86" s="41" t="str">
        <f>VLOOKUP($A86,'Выгр Кат'!$A:$T,E$1,0)</f>
        <v>1</v>
      </c>
      <c r="F86" s="41">
        <f>VLOOKUP($A86,'Выгр Кат'!$A:$T,F$1,0)</f>
        <v>0</v>
      </c>
      <c r="G86" s="36"/>
      <c r="H86" s="105"/>
      <c r="I86" s="1" t="s">
        <v>65</v>
      </c>
      <c r="J86" s="62">
        <f>N86</f>
        <v>3800</v>
      </c>
      <c r="K86" s="61">
        <f>VLOOKUP(J86,Наценка!$A$1:$B$8,2,1)</f>
        <v>1.32</v>
      </c>
      <c r="L86" s="64">
        <f t="shared" si="53"/>
        <v>5016</v>
      </c>
      <c r="M86" s="63">
        <f t="shared" si="44"/>
        <v>5090</v>
      </c>
      <c r="N86" s="41">
        <f>VLOOKUP($A86,'Выгр Кат'!$A:$T,N$1,0)</f>
        <v>3800</v>
      </c>
      <c r="O86" s="41">
        <f>VLOOKUP($A86,'Выгр Кат'!$A:$T,O$1,0)</f>
        <v>5090</v>
      </c>
      <c r="P86" s="52">
        <f t="shared" si="45"/>
        <v>0</v>
      </c>
      <c r="Q86" s="52">
        <f t="shared" si="46"/>
        <v>0</v>
      </c>
      <c r="R86" s="59">
        <f t="shared" si="47"/>
        <v>4733.7</v>
      </c>
      <c r="S86" s="76">
        <f t="shared" si="48"/>
        <v>0.24571052631578949</v>
      </c>
      <c r="T86" s="76" t="str">
        <f t="shared" si="49"/>
        <v/>
      </c>
      <c r="U86" s="76" t="str">
        <f t="shared" si="50"/>
        <v/>
      </c>
      <c r="V86" s="108"/>
      <c r="W86" s="79" t="str">
        <f>IFERROR(ROUND((VLOOKUP($A86,'Из ГУГЛа'!$B:$AD,W$1,0)+Y86)*X86,),VLOOKUP($A86,'Из ГУГЛа'!$B:$AD,W$1,0))</f>
        <v/>
      </c>
      <c r="X86" s="51">
        <v>1</v>
      </c>
      <c r="Y86" s="51">
        <v>0</v>
      </c>
      <c r="Z86" s="108"/>
      <c r="AB86" s="79" t="str">
        <f>IFERROR(ROUND((VLOOKUP($A86,'Из ГУГЛа'!$B:$AD,AB$1,0)+AD86)*AC86,),VLOOKUP($A86,'Из ГУГЛа'!$B:$AD,AB$1,0))</f>
        <v/>
      </c>
      <c r="AC86" s="51">
        <v>1</v>
      </c>
      <c r="AD86" s="51">
        <v>0</v>
      </c>
      <c r="AE86" s="85"/>
      <c r="AG86" s="79" t="str">
        <f>IFERROR(ROUND((VLOOKUP($A86,'Из ГУГЛа'!$B:$AD,AG$1,0)+AI86)*AH86,),VLOOKUP($A86,'Из ГУГЛа'!$B:$AD,AG$1,0))</f>
        <v/>
      </c>
      <c r="AH86" s="51">
        <v>1</v>
      </c>
      <c r="AI86" s="51">
        <v>0</v>
      </c>
      <c r="AJ86" s="41"/>
      <c r="AK86" s="41"/>
      <c r="AL86" s="79" t="str">
        <f>IFERROR(ROUND((VLOOKUP($A86,'Из ГУГЛа'!$B:$AD,AL$1,0)+AN86)*AM86,),VLOOKUP($A86,'Из ГУГЛа'!$B:$AD,AL$1,0))</f>
        <v/>
      </c>
      <c r="AM86" s="51">
        <v>1</v>
      </c>
      <c r="AN86" s="51">
        <v>0</v>
      </c>
      <c r="AO86" s="41"/>
      <c r="AP86" s="41"/>
    </row>
    <row r="87" spans="1:42" ht="46.5" thickTop="1" thickBot="1" x14ac:dyDescent="0.3">
      <c r="A87" s="110">
        <v>443472</v>
      </c>
      <c r="B87" s="41">
        <f>VLOOKUP($A87,'Выгр Кат'!$A:$T,B$1,0)</f>
        <v>127031</v>
      </c>
      <c r="C87" s="75" t="str">
        <f>VLOOKUP($A87,'Выгр Кат'!$A:$T,C$1,0)</f>
        <v>Пружины задней подвески Фобос Спорт с занижением 25 мм для ВАЗ 2101-2107</v>
      </c>
      <c r="D87" s="41" t="str">
        <f>VLOOKUP($A87,'Выгр Кат'!$A:$T,D$1,0)</f>
        <v>Y</v>
      </c>
      <c r="E87" s="41" t="str">
        <f>VLOOKUP($A87,'Выгр Кат'!$A:$T,E$1,0)</f>
        <v>0</v>
      </c>
      <c r="F87" s="41" t="str">
        <f>VLOOKUP($A87,'Выгр Кат'!$A:$T,F$1,0)</f>
        <v>24586</v>
      </c>
      <c r="G87" s="36"/>
      <c r="H87" s="105" t="s">
        <v>34</v>
      </c>
      <c r="I87" s="1" t="s">
        <v>65</v>
      </c>
      <c r="J87" s="63">
        <f>VLOOKUP(H87,Прайс!B:D,3,0)</f>
        <v>3800</v>
      </c>
      <c r="K87" s="61">
        <f>VLOOKUP(J87,Наценка!$A$1:$B$8,2,1)</f>
        <v>1.32</v>
      </c>
      <c r="L87" s="96">
        <f>V87*1.04</f>
        <v>5085.6000000000004</v>
      </c>
      <c r="M87" s="63">
        <f t="shared" si="44"/>
        <v>5090</v>
      </c>
      <c r="N87" s="41">
        <f>VLOOKUP($A87,'Выгр Кат'!$A:$T,N$1,0)</f>
        <v>3800</v>
      </c>
      <c r="O87" s="41">
        <f>VLOOKUP($A87,'Выгр Кат'!$A:$T,O$1,0)</f>
        <v>5090</v>
      </c>
      <c r="P87" s="52">
        <f t="shared" si="45"/>
        <v>0</v>
      </c>
      <c r="Q87" s="52">
        <f t="shared" si="46"/>
        <v>0</v>
      </c>
      <c r="R87" s="59">
        <f t="shared" si="47"/>
        <v>4733.7</v>
      </c>
      <c r="S87" s="76">
        <f t="shared" si="48"/>
        <v>0.24571052631578949</v>
      </c>
      <c r="T87" s="76">
        <f t="shared" si="49"/>
        <v>3.1963190184049119E-2</v>
      </c>
      <c r="U87" s="76">
        <f t="shared" si="50"/>
        <v>0.28684210526315779</v>
      </c>
      <c r="V87" s="89">
        <f t="shared" si="51"/>
        <v>4890</v>
      </c>
      <c r="W87" s="79">
        <f>IFERROR(ROUND((VLOOKUP($A87,'Из ГУГЛа'!$B:$AD,W$1,0)+Y87)*X87,),VLOOKUP($A87,'Из ГУГЛа'!$B:$AD,W$1,0))</f>
        <v>4890</v>
      </c>
      <c r="X87" s="51">
        <v>1</v>
      </c>
      <c r="Y87" s="51">
        <v>0</v>
      </c>
      <c r="Z87" s="87">
        <v>4890</v>
      </c>
      <c r="AA87" s="65" t="s">
        <v>325</v>
      </c>
      <c r="AB87" s="79">
        <f>IFERROR(ROUND((VLOOKUP($A87,'Из ГУГЛа'!$B:$AD,AB$1,0)+AD87)*AC87,),VLOOKUP($A87,'Из ГУГЛа'!$B:$AD,AB$1,0))</f>
        <v>3900</v>
      </c>
      <c r="AC87" s="51">
        <v>1</v>
      </c>
      <c r="AD87" s="51">
        <v>0</v>
      </c>
      <c r="AE87" s="107">
        <v>3900</v>
      </c>
      <c r="AF87" s="65" t="s">
        <v>378</v>
      </c>
      <c r="AG87" s="79" t="str">
        <f>IFERROR(ROUND((VLOOKUP($A87,'Из ГУГЛа'!$B:$AD,AG$1,0)+AI87)*AH87,),VLOOKUP($A87,'Из ГУГЛа'!$B:$AD,AG$1,0))</f>
        <v/>
      </c>
      <c r="AH87" s="51">
        <v>1</v>
      </c>
      <c r="AI87" s="51">
        <v>0</v>
      </c>
      <c r="AJ87" s="41"/>
      <c r="AK87" s="41"/>
      <c r="AL87" s="79" t="str">
        <f>IFERROR(ROUND((VLOOKUP($A87,'Из ГУГЛа'!$B:$AD,AL$1,0)+AN87)*AM87,),VLOOKUP($A87,'Из ГУГЛа'!$B:$AD,AL$1,0))</f>
        <v/>
      </c>
      <c r="AM87" s="51">
        <v>1</v>
      </c>
      <c r="AN87" s="51">
        <v>0</v>
      </c>
      <c r="AO87" s="41"/>
      <c r="AP87" s="41"/>
    </row>
    <row r="88" spans="1:42" ht="76.5" thickTop="1" thickBot="1" x14ac:dyDescent="0.3">
      <c r="A88" s="110">
        <v>443581</v>
      </c>
      <c r="B88" s="41">
        <f>VLOOKUP($A88,'Выгр Кат'!$A:$T,B$1,0)</f>
        <v>127250</v>
      </c>
      <c r="C88" s="75" t="str">
        <f>VLOOKUP($A88,'Выгр Кат'!$A:$T,C$1,0)</f>
        <v>Пружины задней подвески Фобос Спорт с занижением 25 мм для ВАЗ 2108-21099, 2113-2115, 2110-2112, Лада Калина, Калина 2, Приора, Гранта, Гранта FL</v>
      </c>
      <c r="D88" s="41" t="str">
        <f>VLOOKUP($A88,'Выгр Кат'!$A:$T,D$1,0)</f>
        <v>Y</v>
      </c>
      <c r="E88" s="41" t="str">
        <f>VLOOKUP($A88,'Выгр Кат'!$A:$T,E$1,0)</f>
        <v>0</v>
      </c>
      <c r="F88" s="41" t="str">
        <f>VLOOKUP($A88,'Выгр Кат'!$A:$T,F$1,0)</f>
        <v>30417 / 2110-2912712</v>
      </c>
      <c r="G88" s="36"/>
      <c r="H88" s="105" t="s">
        <v>37</v>
      </c>
      <c r="I88" s="1" t="s">
        <v>65</v>
      </c>
      <c r="J88" s="63">
        <f>VLOOKUP(H88,Прайс!B:D,3,0)</f>
        <v>3200</v>
      </c>
      <c r="K88" s="61">
        <f>VLOOKUP(J88,Наценка!$A$1:$B$8,2,1)</f>
        <v>1.32</v>
      </c>
      <c r="L88" s="97">
        <f t="shared" ref="L88" si="54">V88*1.05</f>
        <v>4189.5</v>
      </c>
      <c r="M88" s="63">
        <f t="shared" si="44"/>
        <v>4190</v>
      </c>
      <c r="N88" s="41">
        <f>VLOOKUP($A88,'Выгр Кат'!$A:$T,N$1,0)</f>
        <v>3200</v>
      </c>
      <c r="O88" s="41">
        <f>VLOOKUP($A88,'Выгр Кат'!$A:$T,O$1,0)</f>
        <v>4190</v>
      </c>
      <c r="P88" s="52">
        <f t="shared" si="45"/>
        <v>0</v>
      </c>
      <c r="Q88" s="52">
        <f t="shared" si="46"/>
        <v>0</v>
      </c>
      <c r="R88" s="59">
        <f t="shared" si="47"/>
        <v>3896.7</v>
      </c>
      <c r="S88" s="76">
        <f t="shared" si="48"/>
        <v>0.21771874999999996</v>
      </c>
      <c r="T88" s="76">
        <f t="shared" si="49"/>
        <v>2.3383458646616586E-2</v>
      </c>
      <c r="U88" s="76">
        <f t="shared" si="50"/>
        <v>0.24687499999999996</v>
      </c>
      <c r="V88" s="89">
        <f t="shared" si="51"/>
        <v>3990</v>
      </c>
      <c r="W88" s="79">
        <f>IFERROR(ROUND((VLOOKUP($A88,'Из ГУГЛа'!$B:$AD,W$1,0)+Y88)*X88,),VLOOKUP($A88,'Из ГУГЛа'!$B:$AD,W$1,0))</f>
        <v>3990</v>
      </c>
      <c r="X88" s="51">
        <v>1</v>
      </c>
      <c r="Y88" s="51">
        <v>0</v>
      </c>
      <c r="Z88" s="87">
        <v>3990</v>
      </c>
      <c r="AA88" s="65" t="s">
        <v>320</v>
      </c>
      <c r="AB88" s="79">
        <f>IFERROR(ROUND((VLOOKUP($A88,'Из ГУГЛа'!$B:$AD,AB$1,0)+AD88)*AC88,),VLOOKUP($A88,'Из ГУГЛа'!$B:$AD,AB$1,0))</f>
        <v>3445</v>
      </c>
      <c r="AC88" s="51">
        <v>1</v>
      </c>
      <c r="AD88" s="51">
        <v>0</v>
      </c>
      <c r="AE88" s="107">
        <v>3445</v>
      </c>
      <c r="AF88" s="65" t="s">
        <v>388</v>
      </c>
      <c r="AG88" s="79" t="str">
        <f>IFERROR(ROUND((VLOOKUP($A88,'Из ГУГЛа'!$B:$AD,AG$1,0)+AI88)*AH88,),VLOOKUP($A88,'Из ГУГЛа'!$B:$AD,AG$1,0))</f>
        <v/>
      </c>
      <c r="AH88" s="51">
        <v>1</v>
      </c>
      <c r="AI88" s="51">
        <v>0</v>
      </c>
      <c r="AJ88" s="41"/>
      <c r="AK88" s="41"/>
      <c r="AL88" s="79" t="str">
        <f>IFERROR(ROUND((VLOOKUP($A88,'Из ГУГЛа'!$B:$AD,AL$1,0)+AN88)*AM88,),VLOOKUP($A88,'Из ГУГЛа'!$B:$AD,AL$1,0))</f>
        <v/>
      </c>
      <c r="AM88" s="51">
        <v>1</v>
      </c>
      <c r="AN88" s="51">
        <v>0</v>
      </c>
      <c r="AO88" s="41"/>
      <c r="AP88" s="41"/>
    </row>
    <row r="89" spans="1:42" ht="46.5" thickTop="1" thickBot="1" x14ac:dyDescent="0.3">
      <c r="A89" s="110">
        <v>443473</v>
      </c>
      <c r="B89" s="41">
        <f>VLOOKUP($A89,'Выгр Кат'!$A:$T,B$1,0)</f>
        <v>127032</v>
      </c>
      <c r="C89" s="75" t="str">
        <f>VLOOKUP($A89,'Выгр Кат'!$A:$T,C$1,0)</f>
        <v>Пружины задней подвески Фобос Спорт с занижением 40 мм для ВАЗ 2101-2107</v>
      </c>
      <c r="D89" s="41" t="str">
        <f>VLOOKUP($A89,'Выгр Кат'!$A:$T,D$1,0)</f>
        <v>Y</v>
      </c>
      <c r="E89" s="41" t="str">
        <f>VLOOKUP($A89,'Выгр Кат'!$A:$T,E$1,0)</f>
        <v>0</v>
      </c>
      <c r="F89" s="41">
        <f>VLOOKUP($A89,'Выгр Кат'!$A:$T,F$1,0)</f>
        <v>0</v>
      </c>
      <c r="G89" s="36"/>
      <c r="H89" s="105"/>
      <c r="I89" s="1" t="s">
        <v>65</v>
      </c>
      <c r="J89" s="62">
        <f>N89</f>
        <v>3550</v>
      </c>
      <c r="K89" s="61">
        <f>VLOOKUP(J89,Наценка!$A$1:$B$8,2,1)</f>
        <v>1.32</v>
      </c>
      <c r="L89" s="64">
        <f t="shared" si="53"/>
        <v>4686</v>
      </c>
      <c r="M89" s="63">
        <f t="shared" si="44"/>
        <v>4690</v>
      </c>
      <c r="N89" s="41">
        <f>VLOOKUP($A89,'Выгр Кат'!$A:$T,N$1,0)</f>
        <v>3550</v>
      </c>
      <c r="O89" s="41">
        <f>VLOOKUP($A89,'Выгр Кат'!$A:$T,O$1,0)</f>
        <v>4690</v>
      </c>
      <c r="P89" s="52">
        <f t="shared" si="45"/>
        <v>0</v>
      </c>
      <c r="Q89" s="52">
        <f t="shared" si="46"/>
        <v>0</v>
      </c>
      <c r="R89" s="59">
        <f t="shared" si="47"/>
        <v>4361.7</v>
      </c>
      <c r="S89" s="76">
        <f t="shared" si="48"/>
        <v>0.2286478873239437</v>
      </c>
      <c r="T89" s="76" t="str">
        <f t="shared" si="49"/>
        <v/>
      </c>
      <c r="U89" s="76" t="str">
        <f t="shared" si="50"/>
        <v/>
      </c>
      <c r="V89" s="108"/>
      <c r="W89" s="79" t="str">
        <f>IFERROR(ROUND((VLOOKUP($A89,'Из ГУГЛа'!$B:$AD,W$1,0)+Y89)*X89,),VLOOKUP($A89,'Из ГУГЛа'!$B:$AD,W$1,0))</f>
        <v/>
      </c>
      <c r="X89" s="51">
        <v>1</v>
      </c>
      <c r="Y89" s="51">
        <v>0</v>
      </c>
      <c r="Z89" s="108"/>
      <c r="AB89" s="79" t="str">
        <f>IFERROR(ROUND((VLOOKUP($A89,'Из ГУГЛа'!$B:$AD,AB$1,0)+AD89)*AC89,),VLOOKUP($A89,'Из ГУГЛа'!$B:$AD,AB$1,0))</f>
        <v/>
      </c>
      <c r="AC89" s="51">
        <v>1</v>
      </c>
      <c r="AD89" s="51">
        <v>0</v>
      </c>
      <c r="AE89" s="85"/>
      <c r="AG89" s="79" t="str">
        <f>IFERROR(ROUND((VLOOKUP($A89,'Из ГУГЛа'!$B:$AD,AG$1,0)+AI89)*AH89,),VLOOKUP($A89,'Из ГУГЛа'!$B:$AD,AG$1,0))</f>
        <v/>
      </c>
      <c r="AH89" s="51">
        <v>1</v>
      </c>
      <c r="AI89" s="51">
        <v>0</v>
      </c>
      <c r="AJ89" s="41"/>
      <c r="AK89" s="41"/>
      <c r="AL89" s="79" t="str">
        <f>IFERROR(ROUND((VLOOKUP($A89,'Из ГУГЛа'!$B:$AD,AL$1,0)+AN89)*AM89,),VLOOKUP($A89,'Из ГУГЛа'!$B:$AD,AL$1,0))</f>
        <v/>
      </c>
      <c r="AM89" s="51">
        <v>1</v>
      </c>
      <c r="AN89" s="51">
        <v>0</v>
      </c>
      <c r="AO89" s="41"/>
      <c r="AP89" s="41"/>
    </row>
    <row r="90" spans="1:42" ht="76.5" thickTop="1" thickBot="1" x14ac:dyDescent="0.3">
      <c r="A90" s="110">
        <v>443580</v>
      </c>
      <c r="B90" s="41">
        <f>VLOOKUP($A90,'Выгр Кат'!$A:$T,B$1,0)</f>
        <v>127251</v>
      </c>
      <c r="C90" s="75" t="str">
        <f>VLOOKUP($A90,'Выгр Кат'!$A:$T,C$1,0)</f>
        <v>Пружины задней подвески Фобос Спорт с занижением 40 мм для ВАЗ 2108-21099, 2113-2115, 2110-2112, Лада Калина, Калина 2, Приора, Гранта, Гранта FL</v>
      </c>
      <c r="D90" s="41" t="str">
        <f>VLOOKUP($A90,'Выгр Кат'!$A:$T,D$1,0)</f>
        <v>Y</v>
      </c>
      <c r="E90" s="41" t="str">
        <f>VLOOKUP($A90,'Выгр Кат'!$A:$T,E$1,0)</f>
        <v>0</v>
      </c>
      <c r="F90" s="41" t="str">
        <f>VLOOKUP($A90,'Выгр Кат'!$A:$T,F$1,0)</f>
        <v>32704 / 2110-2912712</v>
      </c>
      <c r="G90" s="36"/>
      <c r="H90" s="105" t="s">
        <v>38</v>
      </c>
      <c r="I90" s="1" t="s">
        <v>65</v>
      </c>
      <c r="J90" s="63">
        <f>VLOOKUP(H90,Прайс!B:D,3,0)</f>
        <v>3150</v>
      </c>
      <c r="K90" s="61">
        <f>VLOOKUP(J90,Наценка!$A$1:$B$8,2,1)</f>
        <v>1.32</v>
      </c>
      <c r="L90" s="97">
        <f t="shared" ref="L90:L94" si="55">V90*1.05</f>
        <v>4084.5</v>
      </c>
      <c r="M90" s="63">
        <f t="shared" si="44"/>
        <v>4090</v>
      </c>
      <c r="N90" s="41">
        <f>VLOOKUP($A90,'Выгр Кат'!$A:$T,N$1,0)</f>
        <v>3150</v>
      </c>
      <c r="O90" s="41">
        <f>VLOOKUP($A90,'Выгр Кат'!$A:$T,O$1,0)</f>
        <v>4090</v>
      </c>
      <c r="P90" s="52">
        <f t="shared" si="45"/>
        <v>0</v>
      </c>
      <c r="Q90" s="52">
        <f t="shared" si="46"/>
        <v>0</v>
      </c>
      <c r="R90" s="59">
        <f t="shared" si="47"/>
        <v>3803.7</v>
      </c>
      <c r="S90" s="76">
        <f t="shared" si="48"/>
        <v>0.20752380952380944</v>
      </c>
      <c r="T90" s="76">
        <f t="shared" si="49"/>
        <v>2.2185089974293106E-2</v>
      </c>
      <c r="U90" s="76">
        <f t="shared" si="50"/>
        <v>0.23492063492063497</v>
      </c>
      <c r="V90" s="89">
        <f t="shared" si="51"/>
        <v>3890</v>
      </c>
      <c r="W90" s="79">
        <f>IFERROR(ROUND((VLOOKUP($A90,'Из ГУГЛа'!$B:$AD,W$1,0)+Y90)*X90,),VLOOKUP($A90,'Из ГУГЛа'!$B:$AD,W$1,0))</f>
        <v>3890</v>
      </c>
      <c r="X90" s="51">
        <v>1</v>
      </c>
      <c r="Y90" s="51">
        <v>0</v>
      </c>
      <c r="Z90" s="87">
        <v>3890</v>
      </c>
      <c r="AA90" s="65" t="s">
        <v>321</v>
      </c>
      <c r="AB90" s="79">
        <f>IFERROR(ROUND((VLOOKUP($A90,'Из ГУГЛа'!$B:$AD,AB$1,0)+AD90)*AC90,),VLOOKUP($A90,'Из ГУГЛа'!$B:$AD,AB$1,0))</f>
        <v>3445</v>
      </c>
      <c r="AC90" s="51">
        <v>1</v>
      </c>
      <c r="AD90" s="51">
        <v>0</v>
      </c>
      <c r="AE90" s="107">
        <v>3445</v>
      </c>
      <c r="AF90" s="65" t="s">
        <v>387</v>
      </c>
      <c r="AG90" s="79" t="str">
        <f>IFERROR(ROUND((VLOOKUP($A90,'Из ГУГЛа'!$B:$AD,AG$1,0)+AI90)*AH90,),VLOOKUP($A90,'Из ГУГЛа'!$B:$AD,AG$1,0))</f>
        <v/>
      </c>
      <c r="AH90" s="51">
        <v>1</v>
      </c>
      <c r="AI90" s="51">
        <v>0</v>
      </c>
      <c r="AJ90" s="41"/>
      <c r="AK90" s="41"/>
      <c r="AL90" s="79" t="str">
        <f>IFERROR(ROUND((VLOOKUP($A90,'Из ГУГЛа'!$B:$AD,AL$1,0)+AN90)*AM90,),VLOOKUP($A90,'Из ГУГЛа'!$B:$AD,AL$1,0))</f>
        <v/>
      </c>
      <c r="AM90" s="51">
        <v>1</v>
      </c>
      <c r="AN90" s="51">
        <v>0</v>
      </c>
      <c r="AO90" s="41"/>
      <c r="AP90" s="41"/>
    </row>
    <row r="91" spans="1:42" ht="46.5" thickTop="1" thickBot="1" x14ac:dyDescent="0.3">
      <c r="A91" s="110">
        <v>443474</v>
      </c>
      <c r="B91" s="41">
        <f>VLOOKUP($A91,'Выгр Кат'!$A:$T,B$1,0)</f>
        <v>127033</v>
      </c>
      <c r="C91" s="75" t="str">
        <f>VLOOKUP($A91,'Выгр Кат'!$A:$T,C$1,0)</f>
        <v>Пружины задней подвески Фобос Спорт с занижением 50 мм для ВАЗ 2101-2107</v>
      </c>
      <c r="D91" s="41" t="str">
        <f>VLOOKUP($A91,'Выгр Кат'!$A:$T,D$1,0)</f>
        <v>Y</v>
      </c>
      <c r="E91" s="41" t="str">
        <f>VLOOKUP($A91,'Выгр Кат'!$A:$T,E$1,0)</f>
        <v>0</v>
      </c>
      <c r="F91" s="41" t="str">
        <f>VLOOKUP($A91,'Выгр Кат'!$A:$T,F$1,0)</f>
        <v>49553</v>
      </c>
      <c r="G91" s="36"/>
      <c r="H91" s="105" t="s">
        <v>32</v>
      </c>
      <c r="I91" s="1" t="s">
        <v>65</v>
      </c>
      <c r="J91" s="63">
        <f>VLOOKUP(H91,Прайс!B:D,3,0)</f>
        <v>3800</v>
      </c>
      <c r="K91" s="61">
        <f>VLOOKUP(J91,Наценка!$A$1:$B$8,2,1)</f>
        <v>1.32</v>
      </c>
      <c r="L91" s="100">
        <f>J91*1.2*100/93</f>
        <v>4903.2258064516127</v>
      </c>
      <c r="M91" s="63">
        <f t="shared" si="44"/>
        <v>4990</v>
      </c>
      <c r="N91" s="41">
        <f>VLOOKUP($A91,'Выгр Кат'!$A:$T,N$1,0)</f>
        <v>3800</v>
      </c>
      <c r="O91" s="41">
        <f>VLOOKUP($A91,'Выгр Кат'!$A:$T,O$1,0)</f>
        <v>4990</v>
      </c>
      <c r="P91" s="52">
        <f t="shared" si="45"/>
        <v>0</v>
      </c>
      <c r="Q91" s="52">
        <f t="shared" si="46"/>
        <v>0</v>
      </c>
      <c r="R91" s="59">
        <f t="shared" si="47"/>
        <v>4640.7</v>
      </c>
      <c r="S91" s="76">
        <f t="shared" si="48"/>
        <v>0.22123684210526307</v>
      </c>
      <c r="T91" s="76">
        <f t="shared" si="49"/>
        <v>-1.1045751633986889E-2</v>
      </c>
      <c r="U91" s="76">
        <f t="shared" si="50"/>
        <v>0.20789473684210535</v>
      </c>
      <c r="V91" s="89">
        <f t="shared" si="51"/>
        <v>4590</v>
      </c>
      <c r="W91" s="79">
        <f>IFERROR(ROUND((VLOOKUP($A91,'Из ГУГЛа'!$B:$AD,W$1,0)+Y91)*X91,),VLOOKUP($A91,'Из ГУГЛа'!$B:$AD,W$1,0))</f>
        <v>4590</v>
      </c>
      <c r="X91" s="51">
        <v>1</v>
      </c>
      <c r="Y91" s="51">
        <v>0</v>
      </c>
      <c r="Z91" s="87">
        <v>4590</v>
      </c>
      <c r="AA91" s="65" t="s">
        <v>326</v>
      </c>
      <c r="AB91" s="79">
        <f>IFERROR(ROUND((VLOOKUP($A91,'Из ГУГЛа'!$B:$AD,AB$1,0)+AD91)*AC91,),VLOOKUP($A91,'Из ГУГЛа'!$B:$AD,AB$1,0))</f>
        <v>3900</v>
      </c>
      <c r="AC91" s="51">
        <v>1</v>
      </c>
      <c r="AD91" s="51">
        <v>0</v>
      </c>
      <c r="AE91" s="107">
        <v>3900</v>
      </c>
      <c r="AF91" s="65" t="s">
        <v>379</v>
      </c>
      <c r="AG91" s="79" t="str">
        <f>IFERROR(ROUND((VLOOKUP($A91,'Из ГУГЛа'!$B:$AD,AG$1,0)+AI91)*AH91,),VLOOKUP($A91,'Из ГУГЛа'!$B:$AD,AG$1,0))</f>
        <v/>
      </c>
      <c r="AH91" s="51">
        <v>1</v>
      </c>
      <c r="AI91" s="51">
        <v>0</v>
      </c>
      <c r="AJ91" s="41"/>
      <c r="AK91" s="41"/>
      <c r="AL91" s="79" t="str">
        <f>IFERROR(ROUND((VLOOKUP($A91,'Из ГУГЛа'!$B:$AD,AL$1,0)+AN91)*AM91,),VLOOKUP($A91,'Из ГУГЛа'!$B:$AD,AL$1,0))</f>
        <v/>
      </c>
      <c r="AM91" s="51">
        <v>1</v>
      </c>
      <c r="AN91" s="51">
        <v>0</v>
      </c>
      <c r="AO91" s="41"/>
      <c r="AP91" s="41"/>
    </row>
    <row r="92" spans="1:42" ht="76.5" thickTop="1" thickBot="1" x14ac:dyDescent="0.3">
      <c r="A92" s="110">
        <v>443582</v>
      </c>
      <c r="B92" s="41">
        <f>VLOOKUP($A92,'Выгр Кат'!$A:$T,B$1,0)</f>
        <v>127252</v>
      </c>
      <c r="C92" s="75" t="str">
        <f>VLOOKUP($A92,'Выгр Кат'!$A:$T,C$1,0)</f>
        <v>Пружины задней подвески Фобос Спорт с занижением 50 мм для ВАЗ 2108-21099, 2113-2115, 2110-2112, Лада Калина, Калина 2, Приора, Гранта, Гранта FL</v>
      </c>
      <c r="D92" s="41" t="str">
        <f>VLOOKUP($A92,'Выгр Кат'!$A:$T,D$1,0)</f>
        <v>Y</v>
      </c>
      <c r="E92" s="41" t="str">
        <f>VLOOKUP($A92,'Выгр Кат'!$A:$T,E$1,0)</f>
        <v>0</v>
      </c>
      <c r="F92" s="41" t="str">
        <f>VLOOKUP($A92,'Выгр Кат'!$A:$T,F$1,0)</f>
        <v>49917 / 2110-2912712</v>
      </c>
      <c r="G92" s="36"/>
      <c r="H92" s="105" t="s">
        <v>39</v>
      </c>
      <c r="I92" s="1" t="s">
        <v>65</v>
      </c>
      <c r="J92" s="63">
        <f>VLOOKUP(H92,Прайс!B:D,3,0)</f>
        <v>3200</v>
      </c>
      <c r="K92" s="61">
        <f>VLOOKUP(J92,Наценка!$A$1:$B$8,2,1)</f>
        <v>1.32</v>
      </c>
      <c r="L92" s="97">
        <f t="shared" si="55"/>
        <v>4189.5</v>
      </c>
      <c r="M92" s="63">
        <f t="shared" si="44"/>
        <v>4190</v>
      </c>
      <c r="N92" s="41">
        <f>VLOOKUP($A92,'Выгр Кат'!$A:$T,N$1,0)</f>
        <v>3200</v>
      </c>
      <c r="O92" s="41">
        <f>VLOOKUP($A92,'Выгр Кат'!$A:$T,O$1,0)</f>
        <v>4190</v>
      </c>
      <c r="P92" s="52">
        <f t="shared" si="45"/>
        <v>0</v>
      </c>
      <c r="Q92" s="52">
        <f t="shared" si="46"/>
        <v>0</v>
      </c>
      <c r="R92" s="59">
        <f t="shared" si="47"/>
        <v>3896.7</v>
      </c>
      <c r="S92" s="76">
        <f t="shared" si="48"/>
        <v>0.21771874999999996</v>
      </c>
      <c r="T92" s="76">
        <f t="shared" si="49"/>
        <v>2.3383458646616586E-2</v>
      </c>
      <c r="U92" s="76">
        <f t="shared" si="50"/>
        <v>0.24687499999999996</v>
      </c>
      <c r="V92" s="89">
        <f t="shared" si="51"/>
        <v>3990</v>
      </c>
      <c r="W92" s="79">
        <f>IFERROR(ROUND((VLOOKUP($A92,'Из ГУГЛа'!$B:$AD,W$1,0)+Y92)*X92,),VLOOKUP($A92,'Из ГУГЛа'!$B:$AD,W$1,0))</f>
        <v>3990</v>
      </c>
      <c r="X92" s="51">
        <v>1</v>
      </c>
      <c r="Y92" s="51">
        <v>0</v>
      </c>
      <c r="Z92" s="87">
        <v>3990</v>
      </c>
      <c r="AA92" s="65" t="s">
        <v>322</v>
      </c>
      <c r="AB92" s="79">
        <f>IFERROR(ROUND((VLOOKUP($A92,'Из ГУГЛа'!$B:$AD,AB$1,0)+AD92)*AC92,),VLOOKUP($A92,'Из ГУГЛа'!$B:$AD,AB$1,0))</f>
        <v>3445</v>
      </c>
      <c r="AC92" s="51">
        <v>1</v>
      </c>
      <c r="AD92" s="51">
        <v>0</v>
      </c>
      <c r="AE92" s="107">
        <v>3445</v>
      </c>
      <c r="AF92" s="65" t="s">
        <v>386</v>
      </c>
      <c r="AG92" s="79" t="str">
        <f>IFERROR(ROUND((VLOOKUP($A92,'Из ГУГЛа'!$B:$AD,AG$1,0)+AI92)*AH92,),VLOOKUP($A92,'Из ГУГЛа'!$B:$AD,AG$1,0))</f>
        <v/>
      </c>
      <c r="AH92" s="51">
        <v>1</v>
      </c>
      <c r="AI92" s="51">
        <v>0</v>
      </c>
      <c r="AJ92" s="41"/>
      <c r="AK92" s="41"/>
      <c r="AL92" s="79" t="str">
        <f>IFERROR(ROUND((VLOOKUP($A92,'Из ГУГЛа'!$B:$AD,AL$1,0)+AN92)*AM92,),VLOOKUP($A92,'Из ГУГЛа'!$B:$AD,AL$1,0))</f>
        <v/>
      </c>
      <c r="AM92" s="51">
        <v>1</v>
      </c>
      <c r="AN92" s="51">
        <v>0</v>
      </c>
      <c r="AO92" s="41"/>
      <c r="AP92" s="41"/>
    </row>
    <row r="93" spans="1:42" ht="46.5" thickTop="1" thickBot="1" x14ac:dyDescent="0.3">
      <c r="A93" s="110">
        <v>443475</v>
      </c>
      <c r="B93" s="41">
        <f>VLOOKUP($A93,'Выгр Кат'!$A:$T,B$1,0)</f>
        <v>127034</v>
      </c>
      <c r="C93" s="75" t="str">
        <f>VLOOKUP($A93,'Выгр Кат'!$A:$T,C$1,0)</f>
        <v>Пружины задней подвески Фобос Спорт с занижением 70 мм для ВАЗ 2101-2107</v>
      </c>
      <c r="D93" s="41" t="str">
        <f>VLOOKUP($A93,'Выгр Кат'!$A:$T,D$1,0)</f>
        <v>Y</v>
      </c>
      <c r="E93" s="41" t="str">
        <f>VLOOKUP($A93,'Выгр Кат'!$A:$T,E$1,0)</f>
        <v>0</v>
      </c>
      <c r="F93" s="41" t="str">
        <f>VLOOKUP($A93,'Выгр Кат'!$A:$T,F$1,0)</f>
        <v>210170</v>
      </c>
      <c r="G93" s="36"/>
      <c r="H93" s="105" t="s">
        <v>33</v>
      </c>
      <c r="I93" s="1" t="s">
        <v>65</v>
      </c>
      <c r="J93" s="63">
        <f>VLOOKUP(H93,Прайс!B:D,3,0)</f>
        <v>3750</v>
      </c>
      <c r="K93" s="61">
        <f>VLOOKUP(J93,Наценка!$A$1:$B$8,2,1)</f>
        <v>1.32</v>
      </c>
      <c r="L93" s="100">
        <f>J93*1.2*100/93</f>
        <v>4838.7096774193551</v>
      </c>
      <c r="M93" s="63">
        <f t="shared" si="44"/>
        <v>4890</v>
      </c>
      <c r="N93" s="41">
        <f>VLOOKUP($A93,'Выгр Кат'!$A:$T,N$1,0)</f>
        <v>3750</v>
      </c>
      <c r="O93" s="41">
        <f>VLOOKUP($A93,'Выгр Кат'!$A:$T,O$1,0)</f>
        <v>4890</v>
      </c>
      <c r="P93" s="52">
        <f t="shared" si="45"/>
        <v>0</v>
      </c>
      <c r="Q93" s="52">
        <f t="shared" si="46"/>
        <v>0</v>
      </c>
      <c r="R93" s="59">
        <f t="shared" si="47"/>
        <v>4547.7</v>
      </c>
      <c r="S93" s="76">
        <f t="shared" si="48"/>
        <v>0.21272000000000002</v>
      </c>
      <c r="T93" s="76">
        <f t="shared" si="49"/>
        <v>9.2156862745098444E-3</v>
      </c>
      <c r="U93" s="76">
        <f t="shared" si="50"/>
        <v>0.22399999999999998</v>
      </c>
      <c r="V93" s="89">
        <f t="shared" si="51"/>
        <v>4590</v>
      </c>
      <c r="W93" s="79">
        <f>IFERROR(ROUND((VLOOKUP($A93,'Из ГУГЛа'!$B:$AD,W$1,0)+Y93)*X93,),VLOOKUP($A93,'Из ГУГЛа'!$B:$AD,W$1,0))</f>
        <v>4590</v>
      </c>
      <c r="X93" s="51">
        <v>1</v>
      </c>
      <c r="Y93" s="51">
        <v>0</v>
      </c>
      <c r="Z93" s="87">
        <v>4590</v>
      </c>
      <c r="AA93" s="65" t="s">
        <v>327</v>
      </c>
      <c r="AB93" s="79">
        <f>IFERROR(ROUND((VLOOKUP($A93,'Из ГУГЛа'!$B:$AD,AB$1,0)+AD93)*AC93,),VLOOKUP($A93,'Из ГУГЛа'!$B:$AD,AB$1,0))</f>
        <v>3900</v>
      </c>
      <c r="AC93" s="51">
        <v>1</v>
      </c>
      <c r="AD93" s="51">
        <v>0</v>
      </c>
      <c r="AE93" s="107">
        <v>3900</v>
      </c>
      <c r="AF93" s="65" t="s">
        <v>380</v>
      </c>
      <c r="AG93" s="79" t="str">
        <f>IFERROR(ROUND((VLOOKUP($A93,'Из ГУГЛа'!$B:$AD,AG$1,0)+AI93)*AH93,),VLOOKUP($A93,'Из ГУГЛа'!$B:$AD,AG$1,0))</f>
        <v/>
      </c>
      <c r="AH93" s="51">
        <v>1</v>
      </c>
      <c r="AI93" s="51">
        <v>0</v>
      </c>
      <c r="AJ93" s="41"/>
      <c r="AK93" s="41"/>
      <c r="AL93" s="79" t="str">
        <f>IFERROR(ROUND((VLOOKUP($A93,'Из ГУГЛа'!$B:$AD,AL$1,0)+AN93)*AM93,),VLOOKUP($A93,'Из ГУГЛа'!$B:$AD,AL$1,0))</f>
        <v/>
      </c>
      <c r="AM93" s="51">
        <v>1</v>
      </c>
      <c r="AN93" s="51">
        <v>0</v>
      </c>
      <c r="AO93" s="41"/>
      <c r="AP93" s="41"/>
    </row>
    <row r="94" spans="1:42" ht="76.5" thickTop="1" thickBot="1" x14ac:dyDescent="0.3">
      <c r="A94" s="110">
        <v>443583</v>
      </c>
      <c r="B94" s="41">
        <f>VLOOKUP($A94,'Выгр Кат'!$A:$T,B$1,0)</f>
        <v>127253</v>
      </c>
      <c r="C94" s="75" t="str">
        <f>VLOOKUP($A94,'Выгр Кат'!$A:$T,C$1,0)</f>
        <v>Пружины задней подвески Фобос Спорт с занижением 70 мм для ВАЗ 2108-21099, 2113-2115, 2110-2112, Лада Калина, Калина 2, Приора, Гранта, Гранта FL</v>
      </c>
      <c r="D94" s="41" t="str">
        <f>VLOOKUP($A94,'Выгр Кат'!$A:$T,D$1,0)</f>
        <v>Y</v>
      </c>
      <c r="E94" s="41" t="str">
        <f>VLOOKUP($A94,'Выгр Кат'!$A:$T,E$1,0)</f>
        <v>0</v>
      </c>
      <c r="F94" s="41" t="str">
        <f>VLOOKUP($A94,'Выгр Кат'!$A:$T,F$1,0)</f>
        <v>331227 / 2110-2912712</v>
      </c>
      <c r="G94" s="36"/>
      <c r="H94" s="105" t="s">
        <v>41</v>
      </c>
      <c r="I94" s="1" t="s">
        <v>65</v>
      </c>
      <c r="J94" s="63">
        <f>VLOOKUP(H94,Прайс!B:D,3,0)</f>
        <v>3200</v>
      </c>
      <c r="K94" s="61">
        <f>VLOOKUP(J94,Наценка!$A$1:$B$8,2,1)</f>
        <v>1.32</v>
      </c>
      <c r="L94" s="97">
        <f t="shared" si="55"/>
        <v>4189.5</v>
      </c>
      <c r="M94" s="63">
        <f t="shared" si="44"/>
        <v>4190</v>
      </c>
      <c r="N94" s="41">
        <f>VLOOKUP($A94,'Выгр Кат'!$A:$T,N$1,0)</f>
        <v>3200</v>
      </c>
      <c r="O94" s="41">
        <f>VLOOKUP($A94,'Выгр Кат'!$A:$T,O$1,0)</f>
        <v>4190</v>
      </c>
      <c r="P94" s="52">
        <f t="shared" si="45"/>
        <v>0</v>
      </c>
      <c r="Q94" s="52">
        <f t="shared" si="46"/>
        <v>0</v>
      </c>
      <c r="R94" s="59">
        <f t="shared" si="47"/>
        <v>3896.7</v>
      </c>
      <c r="S94" s="76">
        <f t="shared" si="48"/>
        <v>0.21771874999999996</v>
      </c>
      <c r="T94" s="76">
        <f t="shared" si="49"/>
        <v>2.3383458646616586E-2</v>
      </c>
      <c r="U94" s="76">
        <f t="shared" si="50"/>
        <v>0.24687499999999996</v>
      </c>
      <c r="V94" s="89">
        <f t="shared" si="51"/>
        <v>3990</v>
      </c>
      <c r="W94" s="79">
        <f>IFERROR(ROUND((VLOOKUP($A94,'Из ГУГЛа'!$B:$AD,W$1,0)+Y94)*X94,),VLOOKUP($A94,'Из ГУГЛа'!$B:$AD,W$1,0))</f>
        <v>3990</v>
      </c>
      <c r="X94" s="51">
        <v>1</v>
      </c>
      <c r="Y94" s="51">
        <v>0</v>
      </c>
      <c r="Z94" s="87">
        <v>3990</v>
      </c>
      <c r="AA94" s="65" t="s">
        <v>323</v>
      </c>
      <c r="AB94" s="79">
        <f>IFERROR(ROUND((VLOOKUP($A94,'Из ГУГЛа'!$B:$AD,AB$1,0)+AD94)*AC94,),VLOOKUP($A94,'Из ГУГЛа'!$B:$AD,AB$1,0))</f>
        <v>4500</v>
      </c>
      <c r="AC94" s="51">
        <v>1</v>
      </c>
      <c r="AD94" s="51">
        <v>0</v>
      </c>
      <c r="AE94" s="107">
        <v>4500</v>
      </c>
      <c r="AF94" s="65" t="s">
        <v>385</v>
      </c>
      <c r="AG94" s="79" t="str">
        <f>IFERROR(ROUND((VLOOKUP($A94,'Из ГУГЛа'!$B:$AD,AG$1,0)+AI94)*AH94,),VLOOKUP($A94,'Из ГУГЛа'!$B:$AD,AG$1,0))</f>
        <v/>
      </c>
      <c r="AH94" s="51">
        <v>1</v>
      </c>
      <c r="AI94" s="51">
        <v>0</v>
      </c>
      <c r="AJ94" s="41"/>
      <c r="AK94" s="41"/>
      <c r="AL94" s="79" t="str">
        <f>IFERROR(ROUND((VLOOKUP($A94,'Из ГУГЛа'!$B:$AD,AL$1,0)+AN94)*AM94,),VLOOKUP($A94,'Из ГУГЛа'!$B:$AD,AL$1,0))</f>
        <v/>
      </c>
      <c r="AM94" s="51">
        <v>1</v>
      </c>
      <c r="AN94" s="51">
        <v>0</v>
      </c>
      <c r="AO94" s="41"/>
      <c r="AP94" s="41"/>
    </row>
    <row r="95" spans="1:42" ht="76.5" thickTop="1" thickBot="1" x14ac:dyDescent="0.3">
      <c r="A95" s="110">
        <v>443584</v>
      </c>
      <c r="B95" s="41">
        <f>VLOOKUP($A95,'Выгр Кат'!$A:$T,B$1,0)</f>
        <v>127254</v>
      </c>
      <c r="C95" s="75" t="str">
        <f>VLOOKUP($A95,'Выгр Кат'!$A:$T,C$1,0)</f>
        <v>Пружины задней подвески Фобос Спорт с занижением 90 мм для ВАЗ 2108-21099, 2113-2115, 2110-2112, Лада Калина, Калина 2, Приора, Гранта, Гранта FL</v>
      </c>
      <c r="D95" s="41" t="str">
        <f>VLOOKUP($A95,'Выгр Кат'!$A:$T,D$1,0)</f>
        <v>Y</v>
      </c>
      <c r="E95" s="41" t="str">
        <f>VLOOKUP($A95,'Выгр Кат'!$A:$T,E$1,0)</f>
        <v>0</v>
      </c>
      <c r="F95" s="41" t="str">
        <f>VLOOKUP($A95,'Выгр Кат'!$A:$T,F$1,0)</f>
        <v>211090 / 2110-2912712</v>
      </c>
      <c r="G95" s="36"/>
      <c r="H95" s="105" t="s">
        <v>42</v>
      </c>
      <c r="I95" s="1" t="s">
        <v>65</v>
      </c>
      <c r="J95" s="63">
        <f>VLOOKUP(H95,Прайс!B:D,3,0)</f>
        <v>3200</v>
      </c>
      <c r="K95" s="61">
        <f>VLOOKUP(J95,Наценка!$A$1:$B$8,2,1)</f>
        <v>1.32</v>
      </c>
      <c r="L95" s="96">
        <f>V95*1.04</f>
        <v>5096</v>
      </c>
      <c r="M95" s="63">
        <f t="shared" si="44"/>
        <v>5090</v>
      </c>
      <c r="N95" s="41">
        <f>VLOOKUP($A95,'Выгр Кат'!$A:$T,N$1,0)</f>
        <v>3200</v>
      </c>
      <c r="O95" s="41">
        <f>VLOOKUP($A95,'Выгр Кат'!$A:$T,O$1,0)</f>
        <v>5090</v>
      </c>
      <c r="P95" s="52">
        <f t="shared" si="45"/>
        <v>0</v>
      </c>
      <c r="Q95" s="52">
        <f t="shared" si="46"/>
        <v>0</v>
      </c>
      <c r="R95" s="59">
        <f t="shared" si="47"/>
        <v>4733.7</v>
      </c>
      <c r="S95" s="76">
        <f t="shared" si="48"/>
        <v>0.47928124999999988</v>
      </c>
      <c r="T95" s="76">
        <f t="shared" si="49"/>
        <v>3.3938775510204119E-2</v>
      </c>
      <c r="U95" s="76">
        <f t="shared" si="50"/>
        <v>0.53125</v>
      </c>
      <c r="V95" s="93">
        <f>AE95</f>
        <v>4900</v>
      </c>
      <c r="W95" s="79" t="str">
        <f>IFERROR(ROUND((VLOOKUP($A95,'Из ГУГЛа'!$B:$AD,W$1,0)+Y95)*X95,),VLOOKUP($A95,'Из ГУГЛа'!$B:$AD,W$1,0))</f>
        <v/>
      </c>
      <c r="X95" s="51">
        <v>1</v>
      </c>
      <c r="Y95" s="51">
        <v>0</v>
      </c>
      <c r="Z95" s="108"/>
      <c r="AB95" s="79">
        <f>IFERROR(ROUND((VLOOKUP($A95,'Из ГУГЛа'!$B:$AD,AB$1,0)+AD95)*AC95,),VLOOKUP($A95,'Из ГУГЛа'!$B:$AD,AB$1,0))</f>
        <v>4900</v>
      </c>
      <c r="AC95" s="51">
        <v>1</v>
      </c>
      <c r="AD95" s="51">
        <v>0</v>
      </c>
      <c r="AE95" s="107">
        <v>4900</v>
      </c>
      <c r="AF95" s="65" t="s">
        <v>389</v>
      </c>
      <c r="AG95" s="79" t="str">
        <f>IFERROR(ROUND((VLOOKUP($A95,'Из ГУГЛа'!$B:$AD,AG$1,0)+AI95)*AH95,),VLOOKUP($A95,'Из ГУГЛа'!$B:$AD,AG$1,0))</f>
        <v/>
      </c>
      <c r="AH95" s="51">
        <v>1</v>
      </c>
      <c r="AI95" s="51">
        <v>0</v>
      </c>
      <c r="AJ95" s="41"/>
      <c r="AK95" s="41"/>
      <c r="AL95" s="79" t="str">
        <f>IFERROR(ROUND((VLOOKUP($A95,'Из ГУГЛа'!$B:$AD,AL$1,0)+AN95)*AM95,),VLOOKUP($A95,'Из ГУГЛа'!$B:$AD,AL$1,0))</f>
        <v/>
      </c>
      <c r="AM95" s="51">
        <v>1</v>
      </c>
      <c r="AN95" s="51">
        <v>0</v>
      </c>
      <c r="AO95" s="41"/>
      <c r="AP95" s="41"/>
    </row>
    <row r="96" spans="1:42" ht="46.5" thickTop="1" thickBot="1" x14ac:dyDescent="0.3">
      <c r="A96" s="110">
        <v>444130</v>
      </c>
      <c r="B96" s="41">
        <f>VLOOKUP($A96,'Выгр Кат'!$A:$T,B$1,0)</f>
        <v>444130</v>
      </c>
      <c r="C96" s="75" t="str">
        <f>VLOOKUP($A96,'Выгр Кат'!$A:$T,C$1,0)</f>
        <v>Пружины передней подвески Техно Рессор с занижением 30 мм, усиленные для Лада Нива 4х4</v>
      </c>
      <c r="D96" s="41" t="str">
        <f>VLOOKUP($A96,'Выгр Кат'!$A:$T,D$1,0)</f>
        <v>Y</v>
      </c>
      <c r="E96" s="41" t="str">
        <f>VLOOKUP($A96,'Выгр Кат'!$A:$T,E$1,0)</f>
        <v>1</v>
      </c>
      <c r="F96" s="41">
        <f>VLOOKUP($A96,'Выгр Кат'!$A:$T,F$1,0)</f>
        <v>0</v>
      </c>
      <c r="G96" s="36"/>
      <c r="H96" s="105"/>
      <c r="I96" s="1" t="s">
        <v>65</v>
      </c>
      <c r="J96" s="62">
        <f t="shared" ref="J96:J98" si="56">N96</f>
        <v>3800</v>
      </c>
      <c r="K96" s="61">
        <f>VLOOKUP(J96,Наценка!$A$1:$B$8,2,1)</f>
        <v>1.32</v>
      </c>
      <c r="L96" s="64">
        <f t="shared" si="53"/>
        <v>5016</v>
      </c>
      <c r="M96" s="63">
        <f t="shared" si="44"/>
        <v>5090</v>
      </c>
      <c r="N96" s="41">
        <f>VLOOKUP($A96,'Выгр Кат'!$A:$T,N$1,0)</f>
        <v>3800</v>
      </c>
      <c r="O96" s="41">
        <f>VLOOKUP($A96,'Выгр Кат'!$A:$T,O$1,0)</f>
        <v>5090</v>
      </c>
      <c r="P96" s="52">
        <f t="shared" si="45"/>
        <v>0</v>
      </c>
      <c r="Q96" s="52">
        <f t="shared" si="46"/>
        <v>0</v>
      </c>
      <c r="R96" s="59">
        <f t="shared" si="47"/>
        <v>4733.7</v>
      </c>
      <c r="S96" s="76">
        <f t="shared" si="48"/>
        <v>0.24571052631578949</v>
      </c>
      <c r="T96" s="76" t="str">
        <f t="shared" si="49"/>
        <v/>
      </c>
      <c r="U96" s="76" t="str">
        <f t="shared" si="50"/>
        <v/>
      </c>
      <c r="V96" s="108"/>
      <c r="W96" s="79" t="str">
        <f>IFERROR(ROUND((VLOOKUP($A96,'Из ГУГЛа'!$B:$AD,W$1,0)+Y96)*X96,),VLOOKUP($A96,'Из ГУГЛа'!$B:$AD,W$1,0))</f>
        <v/>
      </c>
      <c r="X96" s="51">
        <v>1</v>
      </c>
      <c r="Y96" s="51">
        <v>0</v>
      </c>
      <c r="Z96" s="108"/>
      <c r="AB96" s="79" t="str">
        <f>IFERROR(ROUND((VLOOKUP($A96,'Из ГУГЛа'!$B:$AD,AB$1,0)+AD96)*AC96,),VLOOKUP($A96,'Из ГУГЛа'!$B:$AD,AB$1,0))</f>
        <v/>
      </c>
      <c r="AC96" s="51">
        <v>1</v>
      </c>
      <c r="AD96" s="51">
        <v>0</v>
      </c>
      <c r="AE96" s="85"/>
      <c r="AG96" s="79" t="str">
        <f>IFERROR(ROUND((VLOOKUP($A96,'Из ГУГЛа'!$B:$AD,AG$1,0)+AI96)*AH96,),VLOOKUP($A96,'Из ГУГЛа'!$B:$AD,AG$1,0))</f>
        <v/>
      </c>
      <c r="AH96" s="51">
        <v>1</v>
      </c>
      <c r="AI96" s="51">
        <v>0</v>
      </c>
      <c r="AJ96" s="41"/>
      <c r="AK96" s="41"/>
      <c r="AL96" s="79" t="str">
        <f>IFERROR(ROUND((VLOOKUP($A96,'Из ГУГЛа'!$B:$AD,AL$1,0)+AN96)*AM96,),VLOOKUP($A96,'Из ГУГЛа'!$B:$AD,AL$1,0))</f>
        <v/>
      </c>
      <c r="AM96" s="51">
        <v>1</v>
      </c>
      <c r="AN96" s="51">
        <v>0</v>
      </c>
      <c r="AO96" s="41"/>
      <c r="AP96" s="41"/>
    </row>
    <row r="97" spans="1:42" ht="46.5" thickTop="1" thickBot="1" x14ac:dyDescent="0.3">
      <c r="A97" s="110">
        <v>444147</v>
      </c>
      <c r="B97" s="41">
        <f>VLOOKUP($A97,'Выгр Кат'!$A:$T,B$1,0)</f>
        <v>444147</v>
      </c>
      <c r="C97" s="75" t="str">
        <f>VLOOKUP($A97,'Выгр Кат'!$A:$T,C$1,0)</f>
        <v>Пружины передней подвески Техно Рессор с занижением 50 мм, усиленные для Лада Нива 4х4</v>
      </c>
      <c r="D97" s="41" t="str">
        <f>VLOOKUP($A97,'Выгр Кат'!$A:$T,D$1,0)</f>
        <v>Y</v>
      </c>
      <c r="E97" s="41" t="str">
        <f>VLOOKUP($A97,'Выгр Кат'!$A:$T,E$1,0)</f>
        <v>1</v>
      </c>
      <c r="F97" s="41">
        <f>VLOOKUP($A97,'Выгр Кат'!$A:$T,F$1,0)</f>
        <v>0</v>
      </c>
      <c r="G97" s="36"/>
      <c r="H97" s="105"/>
      <c r="I97" s="1" t="s">
        <v>65</v>
      </c>
      <c r="J97" s="62">
        <f t="shared" si="56"/>
        <v>3800</v>
      </c>
      <c r="K97" s="61">
        <f>VLOOKUP(J97,Наценка!$A$1:$B$8,2,1)</f>
        <v>1.32</v>
      </c>
      <c r="L97" s="64">
        <f t="shared" si="53"/>
        <v>5016</v>
      </c>
      <c r="M97" s="63">
        <f t="shared" si="44"/>
        <v>5090</v>
      </c>
      <c r="N97" s="41">
        <f>VLOOKUP($A97,'Выгр Кат'!$A:$T,N$1,0)</f>
        <v>3800</v>
      </c>
      <c r="O97" s="41">
        <f>VLOOKUP($A97,'Выгр Кат'!$A:$T,O$1,0)</f>
        <v>5090</v>
      </c>
      <c r="P97" s="52">
        <f t="shared" si="45"/>
        <v>0</v>
      </c>
      <c r="Q97" s="52">
        <f t="shared" si="46"/>
        <v>0</v>
      </c>
      <c r="R97" s="59">
        <f t="shared" si="47"/>
        <v>4733.7</v>
      </c>
      <c r="S97" s="76">
        <f t="shared" si="48"/>
        <v>0.24571052631578949</v>
      </c>
      <c r="T97" s="76" t="str">
        <f t="shared" si="49"/>
        <v/>
      </c>
      <c r="U97" s="76" t="str">
        <f t="shared" si="50"/>
        <v/>
      </c>
      <c r="V97" s="108"/>
      <c r="W97" s="79" t="str">
        <f>IFERROR(ROUND((VLOOKUP($A97,'Из ГУГЛа'!$B:$AD,W$1,0)+Y97)*X97,),VLOOKUP($A97,'Из ГУГЛа'!$B:$AD,W$1,0))</f>
        <v/>
      </c>
      <c r="X97" s="51">
        <v>1</v>
      </c>
      <c r="Y97" s="51">
        <v>0</v>
      </c>
      <c r="Z97" s="108"/>
      <c r="AB97" s="79" t="str">
        <f>IFERROR(ROUND((VLOOKUP($A97,'Из ГУГЛа'!$B:$AD,AB$1,0)+AD97)*AC97,),VLOOKUP($A97,'Из ГУГЛа'!$B:$AD,AB$1,0))</f>
        <v/>
      </c>
      <c r="AC97" s="51">
        <v>1</v>
      </c>
      <c r="AD97" s="51">
        <v>0</v>
      </c>
      <c r="AE97" s="85"/>
      <c r="AG97" s="79" t="str">
        <f>IFERROR(ROUND((VLOOKUP($A97,'Из ГУГЛа'!$B:$AD,AG$1,0)+AI97)*AH97,),VLOOKUP($A97,'Из ГУГЛа'!$B:$AD,AG$1,0))</f>
        <v/>
      </c>
      <c r="AH97" s="51">
        <v>1</v>
      </c>
      <c r="AI97" s="51">
        <v>0</v>
      </c>
      <c r="AJ97" s="41"/>
      <c r="AK97" s="41"/>
      <c r="AL97" s="79" t="str">
        <f>IFERROR(ROUND((VLOOKUP($A97,'Из ГУГЛа'!$B:$AD,AL$1,0)+AN97)*AM97,),VLOOKUP($A97,'Из ГУГЛа'!$B:$AD,AL$1,0))</f>
        <v/>
      </c>
      <c r="AM97" s="51">
        <v>1</v>
      </c>
      <c r="AN97" s="51">
        <v>0</v>
      </c>
      <c r="AO97" s="41"/>
      <c r="AP97" s="41"/>
    </row>
    <row r="98" spans="1:42" ht="46.5" thickTop="1" thickBot="1" x14ac:dyDescent="0.3">
      <c r="A98" s="110">
        <v>444160</v>
      </c>
      <c r="B98" s="41">
        <f>VLOOKUP($A98,'Выгр Кат'!$A:$T,B$1,0)</f>
        <v>444160</v>
      </c>
      <c r="C98" s="75" t="str">
        <f>VLOOKUP($A98,'Выгр Кат'!$A:$T,C$1,0)</f>
        <v>Пружины передней подвески Техно Рессор стандарт, с переменным шагом для Лада Нива 4х4</v>
      </c>
      <c r="D98" s="41" t="str">
        <f>VLOOKUP($A98,'Выгр Кат'!$A:$T,D$1,0)</f>
        <v>Y</v>
      </c>
      <c r="E98" s="41" t="str">
        <f>VLOOKUP($A98,'Выгр Кат'!$A:$T,E$1,0)</f>
        <v>1</v>
      </c>
      <c r="F98" s="41">
        <f>VLOOKUP($A98,'Выгр Кат'!$A:$T,F$1,0)</f>
        <v>0</v>
      </c>
      <c r="G98" s="36"/>
      <c r="H98" s="105"/>
      <c r="I98" s="1" t="s">
        <v>65</v>
      </c>
      <c r="J98" s="62">
        <f t="shared" si="56"/>
        <v>3800</v>
      </c>
      <c r="K98" s="61">
        <f>VLOOKUP(J98,Наценка!$A$1:$B$8,2,1)</f>
        <v>1.32</v>
      </c>
      <c r="L98" s="64">
        <f t="shared" si="53"/>
        <v>5016</v>
      </c>
      <c r="M98" s="63">
        <f t="shared" si="44"/>
        <v>5090</v>
      </c>
      <c r="N98" s="41">
        <f>VLOOKUP($A98,'Выгр Кат'!$A:$T,N$1,0)</f>
        <v>3800</v>
      </c>
      <c r="O98" s="41">
        <f>VLOOKUP($A98,'Выгр Кат'!$A:$T,O$1,0)</f>
        <v>5090</v>
      </c>
      <c r="P98" s="52">
        <f t="shared" si="45"/>
        <v>0</v>
      </c>
      <c r="Q98" s="52">
        <f t="shared" si="46"/>
        <v>0</v>
      </c>
      <c r="R98" s="59">
        <f t="shared" si="47"/>
        <v>4733.7</v>
      </c>
      <c r="S98" s="76">
        <f t="shared" si="48"/>
        <v>0.24571052631578949</v>
      </c>
      <c r="T98" s="76" t="str">
        <f t="shared" si="49"/>
        <v/>
      </c>
      <c r="U98" s="76" t="str">
        <f t="shared" si="50"/>
        <v/>
      </c>
      <c r="V98" s="108"/>
      <c r="W98" s="79" t="str">
        <f>IFERROR(ROUND((VLOOKUP($A98,'Из ГУГЛа'!$B:$AD,W$1,0)+Y98)*X98,),VLOOKUP($A98,'Из ГУГЛа'!$B:$AD,W$1,0))</f>
        <v/>
      </c>
      <c r="X98" s="51">
        <v>1</v>
      </c>
      <c r="Y98" s="51">
        <v>0</v>
      </c>
      <c r="Z98" s="108"/>
      <c r="AB98" s="79" t="str">
        <f>IFERROR(ROUND((VLOOKUP($A98,'Из ГУГЛа'!$B:$AD,AB$1,0)+AD98)*AC98,),VLOOKUP($A98,'Из ГУГЛа'!$B:$AD,AB$1,0))</f>
        <v/>
      </c>
      <c r="AC98" s="51">
        <v>1</v>
      </c>
      <c r="AD98" s="51">
        <v>0</v>
      </c>
      <c r="AE98" s="85"/>
      <c r="AG98" s="79" t="str">
        <f>IFERROR(ROUND((VLOOKUP($A98,'Из ГУГЛа'!$B:$AD,AG$1,0)+AI98)*AH98,),VLOOKUP($A98,'Из ГУГЛа'!$B:$AD,AG$1,0))</f>
        <v/>
      </c>
      <c r="AH98" s="51">
        <v>1</v>
      </c>
      <c r="AI98" s="51">
        <v>0</v>
      </c>
      <c r="AJ98" s="41"/>
      <c r="AK98" s="41"/>
      <c r="AL98" s="79" t="str">
        <f>IFERROR(ROUND((VLOOKUP($A98,'Из ГУГЛа'!$B:$AD,AL$1,0)+AN98)*AM98,),VLOOKUP($A98,'Из ГУГЛа'!$B:$AD,AL$1,0))</f>
        <v/>
      </c>
      <c r="AM98" s="51">
        <v>1</v>
      </c>
      <c r="AN98" s="51">
        <v>0</v>
      </c>
      <c r="AO98" s="41"/>
      <c r="AP98" s="41"/>
    </row>
    <row r="99" spans="1:42" ht="46.5" thickTop="1" thickBot="1" x14ac:dyDescent="0.3">
      <c r="A99" s="110">
        <v>443467</v>
      </c>
      <c r="B99" s="41">
        <f>VLOOKUP($A99,'Выгр Кат'!$A:$T,B$1,0)</f>
        <v>108587</v>
      </c>
      <c r="C99" s="75" t="str">
        <f>VLOOKUP($A99,'Выгр Кат'!$A:$T,C$1,0)</f>
        <v>Пружины передней подвески Технорессор Драйв с занижением 120 мм для ВАЗ 2101-2107</v>
      </c>
      <c r="D99" s="41" t="str">
        <f>VLOOKUP($A99,'Выгр Кат'!$A:$T,D$1,0)</f>
        <v>Y</v>
      </c>
      <c r="E99" s="41" t="str">
        <f>VLOOKUP($A99,'Выгр Кат'!$A:$T,E$1,0)</f>
        <v>1ск4</v>
      </c>
      <c r="F99" s="41">
        <f>VLOOKUP($A99,'Выгр Кат'!$A:$T,F$1,0)</f>
        <v>0</v>
      </c>
      <c r="G99" s="36"/>
      <c r="H99" s="105" t="s">
        <v>189</v>
      </c>
      <c r="I99" s="1" t="s">
        <v>65</v>
      </c>
      <c r="J99" s="63">
        <f>VLOOKUP(H99,Прайс!B:D,3,0)</f>
        <v>2550</v>
      </c>
      <c r="K99" s="61">
        <f>VLOOKUP(J99,Наценка!$A$1:$B$8,2,1)</f>
        <v>1.32</v>
      </c>
      <c r="L99" s="64">
        <f>J99*K99</f>
        <v>3366</v>
      </c>
      <c r="M99" s="63">
        <f t="shared" si="44"/>
        <v>3390</v>
      </c>
      <c r="N99" s="41">
        <f>VLOOKUP($A99,'Выгр Кат'!$A:$T,N$1,0)</f>
        <v>2550</v>
      </c>
      <c r="O99" s="41">
        <f>VLOOKUP($A99,'Выгр Кат'!$A:$T,O$1,0)</f>
        <v>3390</v>
      </c>
      <c r="P99" s="52">
        <f t="shared" si="45"/>
        <v>0</v>
      </c>
      <c r="Q99" s="52">
        <f t="shared" si="46"/>
        <v>0</v>
      </c>
      <c r="R99" s="59">
        <f t="shared" si="47"/>
        <v>3152.7</v>
      </c>
      <c r="S99" s="76">
        <f t="shared" si="48"/>
        <v>0.23635294117647043</v>
      </c>
      <c r="T99" s="76">
        <f t="shared" si="49"/>
        <v>-0.31912133891213379</v>
      </c>
      <c r="U99" s="76">
        <f t="shared" si="50"/>
        <v>-6.2745098039215685E-2</v>
      </c>
      <c r="V99" s="89">
        <f t="shared" si="51"/>
        <v>2390</v>
      </c>
      <c r="W99" s="79">
        <f>IFERROR(ROUND((VLOOKUP($A99,'Из ГУГЛа'!$B:$AD,W$1,0)+Y99)*X99,),VLOOKUP($A99,'Из ГУГЛа'!$B:$AD,W$1,0))</f>
        <v>2390</v>
      </c>
      <c r="X99" s="51">
        <v>1</v>
      </c>
      <c r="Y99" s="51">
        <v>0</v>
      </c>
      <c r="Z99" s="87">
        <v>2390</v>
      </c>
      <c r="AA99" s="65" t="s">
        <v>283</v>
      </c>
      <c r="AB99" s="79" t="str">
        <f>IFERROR(ROUND((VLOOKUP($A99,'Из ГУГЛа'!$B:$AD,AB$1,0)+AD99)*AC99,),VLOOKUP($A99,'Из ГУГЛа'!$B:$AD,AB$1,0))</f>
        <v/>
      </c>
      <c r="AC99" s="51">
        <v>1</v>
      </c>
      <c r="AD99" s="51">
        <v>0</v>
      </c>
      <c r="AE99" s="85"/>
      <c r="AG99" s="79" t="str">
        <f>IFERROR(ROUND((VLOOKUP($A99,'Из ГУГЛа'!$B:$AD,AG$1,0)+AI99)*AH99,),VLOOKUP($A99,'Из ГУГЛа'!$B:$AD,AG$1,0))</f>
        <v/>
      </c>
      <c r="AH99" s="51">
        <v>1</v>
      </c>
      <c r="AI99" s="51">
        <v>0</v>
      </c>
      <c r="AJ99" s="41"/>
      <c r="AK99" s="41"/>
      <c r="AL99" s="79" t="str">
        <f>IFERROR(ROUND((VLOOKUP($A99,'Из ГУГЛа'!$B:$AD,AL$1,0)+AN99)*AM99,),VLOOKUP($A99,'Из ГУГЛа'!$B:$AD,AL$1,0))</f>
        <v/>
      </c>
      <c r="AM99" s="51">
        <v>1</v>
      </c>
      <c r="AN99" s="51">
        <v>0</v>
      </c>
      <c r="AO99" s="41"/>
      <c r="AP99" s="41"/>
    </row>
    <row r="100" spans="1:42" ht="61.5" thickTop="1" thickBot="1" x14ac:dyDescent="0.3">
      <c r="A100" s="110">
        <v>443585</v>
      </c>
      <c r="B100" s="41">
        <f>VLOOKUP($A100,'Выгр Кат'!$A:$T,B$1,0)</f>
        <v>108757</v>
      </c>
      <c r="C100" s="75" t="str">
        <f>VLOOKUP($A100,'Выгр Кат'!$A:$T,C$1,0)</f>
        <v>Пружины передней подвески ТехноРессор Драйв с занижением 120 мм для ВАЗ 2108-21099, 2113-2115, 2110-2112</v>
      </c>
      <c r="D100" s="41" t="str">
        <f>VLOOKUP($A100,'Выгр Кат'!$A:$T,D$1,0)</f>
        <v>Y</v>
      </c>
      <c r="E100" s="41" t="str">
        <f>VLOOKUP($A100,'Выгр Кат'!$A:$T,E$1,0)</f>
        <v>1</v>
      </c>
      <c r="F100" s="41">
        <f>VLOOKUP($A100,'Выгр Кат'!$A:$T,F$1,0)</f>
        <v>0</v>
      </c>
      <c r="G100" s="36"/>
      <c r="H100" s="105" t="s">
        <v>453</v>
      </c>
      <c r="I100" s="1" t="s">
        <v>65</v>
      </c>
      <c r="J100" s="63">
        <f>VLOOKUP(H100,Прайс!B:D,3,0)</f>
        <v>2650</v>
      </c>
      <c r="K100" s="61">
        <f>VLOOKUP(J100,Наценка!$A$1:$B$8,2,1)</f>
        <v>1.32</v>
      </c>
      <c r="L100" s="97">
        <f t="shared" ref="L100" si="57">V100*1.05</f>
        <v>3874.5</v>
      </c>
      <c r="M100" s="63">
        <f t="shared" si="44"/>
        <v>3890</v>
      </c>
      <c r="N100" s="41">
        <f>VLOOKUP($A100,'Выгр Кат'!$A:$T,N$1,0)</f>
        <v>2650</v>
      </c>
      <c r="O100" s="41">
        <f>VLOOKUP($A100,'Выгр Кат'!$A:$T,O$1,0)</f>
        <v>3890</v>
      </c>
      <c r="P100" s="52">
        <f t="shared" si="45"/>
        <v>0</v>
      </c>
      <c r="Q100" s="52">
        <f t="shared" si="46"/>
        <v>0</v>
      </c>
      <c r="R100" s="59">
        <f t="shared" si="47"/>
        <v>3617.7</v>
      </c>
      <c r="S100" s="76">
        <f t="shared" si="48"/>
        <v>0.36516981132075466</v>
      </c>
      <c r="T100" s="76">
        <f t="shared" si="49"/>
        <v>1.9593495934959401E-2</v>
      </c>
      <c r="U100" s="76">
        <f t="shared" si="50"/>
        <v>0.39245283018867916</v>
      </c>
      <c r="V100" s="89">
        <f t="shared" si="51"/>
        <v>3690</v>
      </c>
      <c r="W100" s="79">
        <f>IFERROR(ROUND((VLOOKUP($A100,'Из ГУГЛа'!$B:$AD,W$1,0)+Y100)*X100,),VLOOKUP($A100,'Из ГУГЛа'!$B:$AD,W$1,0))</f>
        <v>3690</v>
      </c>
      <c r="X100" s="51">
        <v>1</v>
      </c>
      <c r="Y100" s="51">
        <v>0</v>
      </c>
      <c r="Z100" s="87">
        <v>3690</v>
      </c>
      <c r="AA100" s="65" t="s">
        <v>273</v>
      </c>
      <c r="AB100" s="79">
        <f>IFERROR(ROUND((VLOOKUP($A100,'Из ГУГЛа'!$B:$AD,AB$1,0)+AD100)*AC100,),VLOOKUP($A100,'Из ГУГЛа'!$B:$AD,AB$1,0))</f>
        <v>3500</v>
      </c>
      <c r="AC100" s="51">
        <v>1</v>
      </c>
      <c r="AD100" s="51">
        <v>0</v>
      </c>
      <c r="AE100" s="107">
        <v>3500</v>
      </c>
      <c r="AF100" s="65" t="s">
        <v>353</v>
      </c>
      <c r="AG100" s="79" t="str">
        <f>IFERROR(ROUND((VLOOKUP($A100,'Из ГУГЛа'!$B:$AD,AG$1,0)+AI100)*AH100,),VLOOKUP($A100,'Из ГУГЛа'!$B:$AD,AG$1,0))</f>
        <v/>
      </c>
      <c r="AH100" s="51">
        <v>1</v>
      </c>
      <c r="AI100" s="51">
        <v>0</v>
      </c>
      <c r="AJ100" s="41"/>
      <c r="AK100" s="41"/>
      <c r="AL100" s="79" t="str">
        <f>IFERROR(ROUND((VLOOKUP($A100,'Из ГУГЛа'!$B:$AD,AL$1,0)+AN100)*AM100,),VLOOKUP($A100,'Из ГУГЛа'!$B:$AD,AL$1,0))</f>
        <v/>
      </c>
      <c r="AM100" s="51">
        <v>1</v>
      </c>
      <c r="AN100" s="51">
        <v>0</v>
      </c>
      <c r="AO100" s="41"/>
      <c r="AP100" s="41"/>
    </row>
    <row r="101" spans="1:42" ht="46.5" thickTop="1" thickBot="1" x14ac:dyDescent="0.3">
      <c r="A101" s="110">
        <v>443723</v>
      </c>
      <c r="B101" s="41">
        <f>VLOOKUP($A101,'Выгр Кат'!$A:$T,B$1,0)</f>
        <v>108823</v>
      </c>
      <c r="C101" s="75" t="str">
        <f>VLOOKUP($A101,'Выгр Кат'!$A:$T,C$1,0)</f>
        <v>Пружины передней подвески Технорессор Драйв с занижением 120 мм для Лада Гранта FL</v>
      </c>
      <c r="D101" s="41" t="str">
        <f>VLOOKUP($A101,'Выгр Кат'!$A:$T,D$1,0)</f>
        <v>Y</v>
      </c>
      <c r="E101" s="41" t="str">
        <f>VLOOKUP($A101,'Выгр Кат'!$A:$T,E$1,0)</f>
        <v>1</v>
      </c>
      <c r="F101" s="41">
        <f>VLOOKUP($A101,'Выгр Кат'!$A:$T,F$1,0)</f>
        <v>0</v>
      </c>
      <c r="G101" s="36"/>
      <c r="H101" s="105" t="s">
        <v>59</v>
      </c>
      <c r="I101" s="1" t="s">
        <v>65</v>
      </c>
      <c r="J101" s="63">
        <f>VLOOKUP(H101,Прайс!B:D,3,0)</f>
        <v>4000</v>
      </c>
      <c r="K101" s="61">
        <f>VLOOKUP(J101,Наценка!$A$1:$B$8,2,1)</f>
        <v>1.32</v>
      </c>
      <c r="L101" s="64">
        <f t="shared" si="53"/>
        <v>5280</v>
      </c>
      <c r="M101" s="63">
        <f t="shared" si="44"/>
        <v>5290</v>
      </c>
      <c r="N101" s="41">
        <f>VLOOKUP($A101,'Выгр Кат'!$A:$T,N$1,0)</f>
        <v>4000</v>
      </c>
      <c r="O101" s="41">
        <f>VLOOKUP($A101,'Выгр Кат'!$A:$T,O$1,0)</f>
        <v>5290</v>
      </c>
      <c r="P101" s="52">
        <f t="shared" si="45"/>
        <v>0</v>
      </c>
      <c r="Q101" s="52">
        <f t="shared" si="46"/>
        <v>0</v>
      </c>
      <c r="R101" s="59">
        <f t="shared" si="47"/>
        <v>4919.7</v>
      </c>
      <c r="S101" s="76">
        <f t="shared" si="48"/>
        <v>0.22992499999999993</v>
      </c>
      <c r="T101" s="76" t="str">
        <f t="shared" si="49"/>
        <v/>
      </c>
      <c r="U101" s="76" t="str">
        <f t="shared" si="50"/>
        <v/>
      </c>
      <c r="V101" s="108"/>
      <c r="W101" s="79" t="str">
        <f>IFERROR(ROUND((VLOOKUP($A101,'Из ГУГЛа'!$B:$AD,W$1,0)+Y101)*X101,),VLOOKUP($A101,'Из ГУГЛа'!$B:$AD,W$1,0))</f>
        <v/>
      </c>
      <c r="X101" s="51">
        <v>1</v>
      </c>
      <c r="Y101" s="51">
        <v>0</v>
      </c>
      <c r="Z101" s="108"/>
      <c r="AB101" s="79" t="str">
        <f>IFERROR(ROUND((VLOOKUP($A101,'Из ГУГЛа'!$B:$AD,AB$1,0)+AD101)*AC101,),VLOOKUP($A101,'Из ГУГЛа'!$B:$AD,AB$1,0))</f>
        <v/>
      </c>
      <c r="AC101" s="51">
        <v>1</v>
      </c>
      <c r="AD101" s="51">
        <v>0</v>
      </c>
      <c r="AE101" s="85"/>
      <c r="AG101" s="79" t="str">
        <f>IFERROR(ROUND((VLOOKUP($A101,'Из ГУГЛа'!$B:$AD,AG$1,0)+AI101)*AH101,),VLOOKUP($A101,'Из ГУГЛа'!$B:$AD,AG$1,0))</f>
        <v/>
      </c>
      <c r="AH101" s="51">
        <v>1</v>
      </c>
      <c r="AI101" s="51">
        <v>0</v>
      </c>
      <c r="AJ101" s="41"/>
      <c r="AK101" s="41"/>
      <c r="AL101" s="79" t="str">
        <f>IFERROR(ROUND((VLOOKUP($A101,'Из ГУГЛа'!$B:$AD,AL$1,0)+AN101)*AM101,),VLOOKUP($A101,'Из ГУГЛа'!$B:$AD,AL$1,0))</f>
        <v/>
      </c>
      <c r="AM101" s="51">
        <v>1</v>
      </c>
      <c r="AN101" s="51">
        <v>0</v>
      </c>
      <c r="AO101" s="41"/>
      <c r="AP101" s="41"/>
    </row>
    <row r="102" spans="1:42" ht="61.5" thickTop="1" thickBot="1" x14ac:dyDescent="0.3">
      <c r="A102" s="110">
        <v>443689</v>
      </c>
      <c r="B102" s="41">
        <f>VLOOKUP($A102,'Выгр Кат'!$A:$T,B$1,0)</f>
        <v>108802</v>
      </c>
      <c r="C102" s="75" t="str">
        <f>VLOOKUP($A102,'Выгр Кат'!$A:$T,C$1,0)</f>
        <v>Пружины передней подвески Технорессор Драйв с занижением 120 мм для Лада Калина, Калина 2, Приора, Гранта</v>
      </c>
      <c r="D102" s="41" t="str">
        <f>VLOOKUP($A102,'Выгр Кат'!$A:$T,D$1,0)</f>
        <v>Y</v>
      </c>
      <c r="E102" s="41" t="str">
        <f>VLOOKUP($A102,'Выгр Кат'!$A:$T,E$1,0)</f>
        <v>1</v>
      </c>
      <c r="F102" s="41">
        <f>VLOOKUP($A102,'Выгр Кат'!$A:$T,F$1,0)</f>
        <v>0</v>
      </c>
      <c r="G102" s="36"/>
      <c r="H102" s="105" t="s">
        <v>421</v>
      </c>
      <c r="I102" s="1" t="s">
        <v>65</v>
      </c>
      <c r="J102" s="63">
        <f>VLOOKUP(H102,Прайс!B:D,3,0)</f>
        <v>3350</v>
      </c>
      <c r="K102" s="61">
        <f>VLOOKUP(J102,Наценка!$A$1:$B$8,2,1)</f>
        <v>1.32</v>
      </c>
      <c r="L102" s="96">
        <f>V102*1.04</f>
        <v>5085.6000000000004</v>
      </c>
      <c r="M102" s="63">
        <f t="shared" si="44"/>
        <v>5090</v>
      </c>
      <c r="N102" s="41">
        <f>VLOOKUP($A102,'Выгр Кат'!$A:$T,N$1,0)</f>
        <v>3350</v>
      </c>
      <c r="O102" s="41">
        <f>VLOOKUP($A102,'Выгр Кат'!$A:$T,O$1,0)</f>
        <v>5090</v>
      </c>
      <c r="P102" s="52">
        <f t="shared" si="45"/>
        <v>0</v>
      </c>
      <c r="Q102" s="52">
        <f t="shared" si="46"/>
        <v>0</v>
      </c>
      <c r="R102" s="59">
        <f t="shared" si="47"/>
        <v>4733.7</v>
      </c>
      <c r="S102" s="76">
        <f t="shared" si="48"/>
        <v>0.41304477611940293</v>
      </c>
      <c r="T102" s="76">
        <f t="shared" si="49"/>
        <v>3.1963190184049119E-2</v>
      </c>
      <c r="U102" s="76">
        <f t="shared" si="50"/>
        <v>0.45970149253731352</v>
      </c>
      <c r="V102" s="89">
        <f t="shared" si="51"/>
        <v>4890</v>
      </c>
      <c r="W102" s="79">
        <f>IFERROR(ROUND((VLOOKUP($A102,'Из ГУГЛа'!$B:$AD,W$1,0)+Y102)*X102,),VLOOKUP($A102,'Из ГУГЛа'!$B:$AD,W$1,0))</f>
        <v>4890</v>
      </c>
      <c r="X102" s="51">
        <v>1</v>
      </c>
      <c r="Y102" s="51">
        <v>0</v>
      </c>
      <c r="Z102" s="87">
        <v>4890</v>
      </c>
      <c r="AA102" s="65" t="s">
        <v>298</v>
      </c>
      <c r="AB102" s="79" t="str">
        <f>IFERROR(ROUND((VLOOKUP($A102,'Из ГУГЛа'!$B:$AD,AB$1,0)+AD102)*AC102,),VLOOKUP($A102,'Из ГУГЛа'!$B:$AD,AB$1,0))</f>
        <v/>
      </c>
      <c r="AC102" s="51">
        <v>1</v>
      </c>
      <c r="AD102" s="51">
        <v>0</v>
      </c>
      <c r="AE102" s="85"/>
      <c r="AG102" s="79" t="str">
        <f>IFERROR(ROUND((VLOOKUP($A102,'Из ГУГЛа'!$B:$AD,AG$1,0)+AI102)*AH102,),VLOOKUP($A102,'Из ГУГЛа'!$B:$AD,AG$1,0))</f>
        <v/>
      </c>
      <c r="AH102" s="51">
        <v>1</v>
      </c>
      <c r="AI102" s="51">
        <v>0</v>
      </c>
      <c r="AJ102" s="41"/>
      <c r="AK102" s="41"/>
      <c r="AL102" s="79" t="str">
        <f>IFERROR(ROUND((VLOOKUP($A102,'Из ГУГЛа'!$B:$AD,AL$1,0)+AN102)*AM102,),VLOOKUP($A102,'Из ГУГЛа'!$B:$AD,AL$1,0))</f>
        <v/>
      </c>
      <c r="AM102" s="51">
        <v>1</v>
      </c>
      <c r="AN102" s="51">
        <v>0</v>
      </c>
      <c r="AO102" s="41"/>
      <c r="AP102" s="41"/>
    </row>
    <row r="103" spans="1:42" ht="46.5" thickTop="1" thickBot="1" x14ac:dyDescent="0.3">
      <c r="A103" s="110">
        <v>443468</v>
      </c>
      <c r="B103" s="41">
        <f>VLOOKUP($A103,'Выгр Кат'!$A:$T,B$1,0)</f>
        <v>108583</v>
      </c>
      <c r="C103" s="75" t="str">
        <f>VLOOKUP($A103,'Выгр Кат'!$A:$T,C$1,0)</f>
        <v>Пружины передней подвески Технорессор Драйв с занижением 30 мм для ВАЗ 2101-2107</v>
      </c>
      <c r="D103" s="41" t="str">
        <f>VLOOKUP($A103,'Выгр Кат'!$A:$T,D$1,0)</f>
        <v>Y</v>
      </c>
      <c r="E103" s="41" t="str">
        <f>VLOOKUP($A103,'Выгр Кат'!$A:$T,E$1,0)</f>
        <v>1</v>
      </c>
      <c r="F103" s="41">
        <f>VLOOKUP($A103,'Выгр Кат'!$A:$T,F$1,0)</f>
        <v>0</v>
      </c>
      <c r="G103" s="36"/>
      <c r="H103" s="105" t="s">
        <v>409</v>
      </c>
      <c r="I103" s="1" t="s">
        <v>65</v>
      </c>
      <c r="J103" s="62">
        <f>N103</f>
        <v>2550</v>
      </c>
      <c r="K103" s="61">
        <f>VLOOKUP(J103,Наценка!$A$1:$B$8,2,1)</f>
        <v>1.32</v>
      </c>
      <c r="L103" s="97">
        <f t="shared" ref="L103:L119" si="58">V103*1.05</f>
        <v>3874.5</v>
      </c>
      <c r="M103" s="63">
        <f t="shared" si="44"/>
        <v>3890</v>
      </c>
      <c r="N103" s="41">
        <f>VLOOKUP($A103,'Выгр Кат'!$A:$T,N$1,0)</f>
        <v>2550</v>
      </c>
      <c r="O103" s="41">
        <f>VLOOKUP($A103,'Выгр Кат'!$A:$T,O$1,0)</f>
        <v>3890</v>
      </c>
      <c r="P103" s="52">
        <f t="shared" si="45"/>
        <v>0</v>
      </c>
      <c r="Q103" s="52">
        <f t="shared" si="46"/>
        <v>0</v>
      </c>
      <c r="R103" s="59">
        <f t="shared" si="47"/>
        <v>3617.7</v>
      </c>
      <c r="S103" s="76">
        <f t="shared" si="48"/>
        <v>0.41870588235294104</v>
      </c>
      <c r="T103" s="76">
        <f t="shared" si="49"/>
        <v>1.9593495934959401E-2</v>
      </c>
      <c r="U103" s="76">
        <f t="shared" si="50"/>
        <v>0.44705882352941173</v>
      </c>
      <c r="V103" s="89">
        <f t="shared" si="51"/>
        <v>3690</v>
      </c>
      <c r="W103" s="79">
        <f>IFERROR(ROUND((VLOOKUP($A103,'Из ГУГЛа'!$B:$AD,W$1,0)+Y103)*X103,),VLOOKUP($A103,'Из ГУГЛа'!$B:$AD,W$1,0))</f>
        <v>3690</v>
      </c>
      <c r="X103" s="51">
        <v>1</v>
      </c>
      <c r="Y103" s="51">
        <v>0</v>
      </c>
      <c r="Z103" s="87">
        <v>3690</v>
      </c>
      <c r="AA103" s="65" t="s">
        <v>284</v>
      </c>
      <c r="AB103" s="79">
        <f>IFERROR(ROUND((VLOOKUP($A103,'Из ГУГЛа'!$B:$AD,AB$1,0)+AD103)*AC103,),VLOOKUP($A103,'Из ГУГЛа'!$B:$AD,AB$1,0))</f>
        <v>3500</v>
      </c>
      <c r="AC103" s="51">
        <v>1</v>
      </c>
      <c r="AD103" s="51">
        <v>0</v>
      </c>
      <c r="AE103" s="107">
        <v>3500</v>
      </c>
      <c r="AF103" s="65" t="s">
        <v>344</v>
      </c>
      <c r="AG103" s="79" t="str">
        <f>IFERROR(ROUND((VLOOKUP($A103,'Из ГУГЛа'!$B:$AD,AG$1,0)+AI103)*AH103,),VLOOKUP($A103,'Из ГУГЛа'!$B:$AD,AG$1,0))</f>
        <v/>
      </c>
      <c r="AH103" s="51">
        <v>1</v>
      </c>
      <c r="AI103" s="51">
        <v>0</v>
      </c>
      <c r="AJ103" s="41"/>
      <c r="AK103" s="41"/>
      <c r="AL103" s="79" t="str">
        <f>IFERROR(ROUND((VLOOKUP($A103,'Из ГУГЛа'!$B:$AD,AL$1,0)+AN103)*AM103,),VLOOKUP($A103,'Из ГУГЛа'!$B:$AD,AL$1,0))</f>
        <v/>
      </c>
      <c r="AM103" s="51">
        <v>1</v>
      </c>
      <c r="AN103" s="51">
        <v>0</v>
      </c>
      <c r="AO103" s="41"/>
      <c r="AP103" s="41"/>
    </row>
    <row r="104" spans="1:42" ht="61.5" thickTop="1" thickBot="1" x14ac:dyDescent="0.3">
      <c r="A104" s="110">
        <v>443586</v>
      </c>
      <c r="B104" s="41">
        <f>VLOOKUP($A104,'Выгр Кат'!$A:$T,B$1,0)</f>
        <v>108753</v>
      </c>
      <c r="C104" s="75" t="str">
        <f>VLOOKUP($A104,'Выгр Кат'!$A:$T,C$1,0)</f>
        <v>Пружины передней подвески ТехноРессор Драйв с занижением 30 мм для ВАЗ 2108-21099, 2113-2115, 2110-2112</v>
      </c>
      <c r="D104" s="41" t="str">
        <f>VLOOKUP($A104,'Выгр Кат'!$A:$T,D$1,0)</f>
        <v>Y</v>
      </c>
      <c r="E104" s="41" t="str">
        <f>VLOOKUP($A104,'Выгр Кат'!$A:$T,E$1,0)</f>
        <v>1</v>
      </c>
      <c r="F104" s="41">
        <f>VLOOKUP($A104,'Выгр Кат'!$A:$T,F$1,0)</f>
        <v>0</v>
      </c>
      <c r="G104" s="36"/>
      <c r="H104" s="105" t="s">
        <v>413</v>
      </c>
      <c r="I104" s="1" t="s">
        <v>65</v>
      </c>
      <c r="J104" s="63">
        <f>VLOOKUP(H104,Прайс!B:D,3,0)</f>
        <v>2650</v>
      </c>
      <c r="K104" s="61">
        <f>VLOOKUP(J104,Наценка!$A$1:$B$8,2,1)</f>
        <v>1.32</v>
      </c>
      <c r="L104" s="97">
        <f t="shared" si="58"/>
        <v>4189.5</v>
      </c>
      <c r="M104" s="63">
        <f t="shared" si="44"/>
        <v>4190</v>
      </c>
      <c r="N104" s="41">
        <f>VLOOKUP($A104,'Выгр Кат'!$A:$T,N$1,0)</f>
        <v>2650</v>
      </c>
      <c r="O104" s="41">
        <f>VLOOKUP($A104,'Выгр Кат'!$A:$T,O$1,0)</f>
        <v>4190</v>
      </c>
      <c r="P104" s="52">
        <f t="shared" si="45"/>
        <v>0</v>
      </c>
      <c r="Q104" s="52">
        <f t="shared" si="46"/>
        <v>0</v>
      </c>
      <c r="R104" s="59">
        <f t="shared" si="47"/>
        <v>3896.7</v>
      </c>
      <c r="S104" s="76">
        <f t="shared" si="48"/>
        <v>0.47045283018867923</v>
      </c>
      <c r="T104" s="76">
        <f t="shared" si="49"/>
        <v>2.3383458646616586E-2</v>
      </c>
      <c r="U104" s="76">
        <f t="shared" si="50"/>
        <v>0.50566037735849068</v>
      </c>
      <c r="V104" s="89">
        <f t="shared" si="51"/>
        <v>3990</v>
      </c>
      <c r="W104" s="79">
        <f>IFERROR(ROUND((VLOOKUP($A104,'Из ГУГЛа'!$B:$AD,W$1,0)+Y104)*X104,),VLOOKUP($A104,'Из ГУГЛа'!$B:$AD,W$1,0))</f>
        <v>3990</v>
      </c>
      <c r="X104" s="51">
        <v>1</v>
      </c>
      <c r="Y104" s="51">
        <v>0</v>
      </c>
      <c r="Z104" s="87">
        <v>3990</v>
      </c>
      <c r="AA104" s="65" t="s">
        <v>274</v>
      </c>
      <c r="AB104" s="79">
        <f>IFERROR(ROUND((VLOOKUP($A104,'Из ГУГЛа'!$B:$AD,AB$1,0)+AD104)*AC104,),VLOOKUP($A104,'Из ГУГЛа'!$B:$AD,AB$1,0))</f>
        <v>3500</v>
      </c>
      <c r="AC104" s="51">
        <v>1</v>
      </c>
      <c r="AD104" s="51">
        <v>0</v>
      </c>
      <c r="AE104" s="107">
        <v>3500</v>
      </c>
      <c r="AF104" s="65" t="s">
        <v>354</v>
      </c>
      <c r="AG104" s="79" t="str">
        <f>IFERROR(ROUND((VLOOKUP($A104,'Из ГУГЛа'!$B:$AD,AG$1,0)+AI104)*AH104,),VLOOKUP($A104,'Из ГУГЛа'!$B:$AD,AG$1,0))</f>
        <v/>
      </c>
      <c r="AH104" s="51">
        <v>1</v>
      </c>
      <c r="AI104" s="51">
        <v>0</v>
      </c>
      <c r="AJ104" s="41"/>
      <c r="AK104" s="41"/>
      <c r="AL104" s="79" t="str">
        <f>IFERROR(ROUND((VLOOKUP($A104,'Из ГУГЛа'!$B:$AD,AL$1,0)+AN104)*AM104,),VLOOKUP($A104,'Из ГУГЛа'!$B:$AD,AL$1,0))</f>
        <v/>
      </c>
      <c r="AM104" s="51">
        <v>1</v>
      </c>
      <c r="AN104" s="51">
        <v>0</v>
      </c>
      <c r="AO104" s="41"/>
      <c r="AP104" s="41"/>
    </row>
    <row r="105" spans="1:42" ht="46.5" thickTop="1" thickBot="1" x14ac:dyDescent="0.3">
      <c r="A105" s="110">
        <v>443971</v>
      </c>
      <c r="B105" s="41">
        <f>VLOOKUP($A105,'Выгр Кат'!$A:$T,B$1,0)</f>
        <v>108803</v>
      </c>
      <c r="C105" s="75" t="str">
        <f>VLOOKUP($A105,'Выгр Кат'!$A:$T,C$1,0)</f>
        <v>Пружины передней подвески Технорессор Драйв с занижением 30 мм для Лада Веста</v>
      </c>
      <c r="D105" s="41" t="str">
        <f>VLOOKUP($A105,'Выгр Кат'!$A:$T,D$1,0)</f>
        <v>Y</v>
      </c>
      <c r="E105" s="41" t="str">
        <f>VLOOKUP($A105,'Выгр Кат'!$A:$T,E$1,0)</f>
        <v>1ск4</v>
      </c>
      <c r="F105" s="41">
        <f>VLOOKUP($A105,'Выгр Кат'!$A:$T,F$1,0)</f>
        <v>0</v>
      </c>
      <c r="G105" s="36"/>
      <c r="H105" s="105" t="s">
        <v>424</v>
      </c>
      <c r="I105" s="1" t="s">
        <v>65</v>
      </c>
      <c r="J105" s="63">
        <f>VLOOKUP(H105,Прайс!B:D,3,0)</f>
        <v>4000</v>
      </c>
      <c r="K105" s="61">
        <f>VLOOKUP(J105,Наценка!$A$1:$B$8,2,1)</f>
        <v>1.32</v>
      </c>
      <c r="L105" s="97">
        <f t="shared" si="58"/>
        <v>6289.5</v>
      </c>
      <c r="M105" s="63">
        <f t="shared" si="44"/>
        <v>6290</v>
      </c>
      <c r="N105" s="41">
        <f>VLOOKUP($A105,'Выгр Кат'!$A:$T,N$1,0)</f>
        <v>4000</v>
      </c>
      <c r="O105" s="41">
        <f>VLOOKUP($A105,'Выгр Кат'!$A:$T,O$1,0)</f>
        <v>6290</v>
      </c>
      <c r="P105" s="52">
        <f t="shared" si="45"/>
        <v>0</v>
      </c>
      <c r="Q105" s="52">
        <f t="shared" si="46"/>
        <v>0</v>
      </c>
      <c r="R105" s="59">
        <f t="shared" si="47"/>
        <v>5849.7</v>
      </c>
      <c r="S105" s="76">
        <f t="shared" si="48"/>
        <v>0.46242499999999986</v>
      </c>
      <c r="T105" s="76">
        <f t="shared" si="49"/>
        <v>2.3422370617696191E-2</v>
      </c>
      <c r="U105" s="76">
        <f t="shared" si="50"/>
        <v>0.49750000000000005</v>
      </c>
      <c r="V105" s="89">
        <f t="shared" si="51"/>
        <v>5990</v>
      </c>
      <c r="W105" s="79">
        <f>IFERROR(ROUND((VLOOKUP($A105,'Из ГУГЛа'!$B:$AD,W$1,0)+Y105)*X105,),VLOOKUP($A105,'Из ГУГЛа'!$B:$AD,W$1,0))</f>
        <v>5990</v>
      </c>
      <c r="X105" s="51">
        <v>1</v>
      </c>
      <c r="Y105" s="51">
        <v>0</v>
      </c>
      <c r="Z105" s="87">
        <v>5990</v>
      </c>
      <c r="AA105" s="65" t="s">
        <v>291</v>
      </c>
      <c r="AB105" s="79">
        <f>IFERROR(ROUND((VLOOKUP($A105,'Из ГУГЛа'!$B:$AD,AB$1,0)+AD105)*AC105,),VLOOKUP($A105,'Из ГУГЛа'!$B:$AD,AB$1,0))</f>
        <v>5850</v>
      </c>
      <c r="AC105" s="51">
        <v>1</v>
      </c>
      <c r="AD105" s="51">
        <v>0</v>
      </c>
      <c r="AE105" s="107">
        <v>5850</v>
      </c>
      <c r="AF105" s="65" t="s">
        <v>362</v>
      </c>
      <c r="AG105" s="79" t="str">
        <f>IFERROR(ROUND((VLOOKUP($A105,'Из ГУГЛа'!$B:$AD,AG$1,0)+AI105)*AH105,),VLOOKUP($A105,'Из ГУГЛа'!$B:$AD,AG$1,0))</f>
        <v/>
      </c>
      <c r="AH105" s="51">
        <v>1</v>
      </c>
      <c r="AI105" s="51">
        <v>0</v>
      </c>
      <c r="AJ105" s="41"/>
      <c r="AK105" s="41"/>
      <c r="AL105" s="79" t="str">
        <f>IFERROR(ROUND((VLOOKUP($A105,'Из ГУГЛа'!$B:$AD,AL$1,0)+AN105)*AM105,),VLOOKUP($A105,'Из ГУГЛа'!$B:$AD,AL$1,0))</f>
        <v/>
      </c>
      <c r="AM105" s="51">
        <v>1</v>
      </c>
      <c r="AN105" s="51">
        <v>0</v>
      </c>
      <c r="AO105" s="41"/>
      <c r="AP105" s="41"/>
    </row>
    <row r="106" spans="1:42" ht="46.5" thickTop="1" thickBot="1" x14ac:dyDescent="0.3">
      <c r="A106" s="110">
        <v>443724</v>
      </c>
      <c r="B106" s="41">
        <f>VLOOKUP($A106,'Выгр Кат'!$A:$T,B$1,0)</f>
        <v>108819</v>
      </c>
      <c r="C106" s="75" t="str">
        <f>VLOOKUP($A106,'Выгр Кат'!$A:$T,C$1,0)</f>
        <v>Пружины передней подвески Технорессор Драйв с занижением 30 мм для Лада Гранта FL</v>
      </c>
      <c r="D106" s="41" t="str">
        <f>VLOOKUP($A106,'Выгр Кат'!$A:$T,D$1,0)</f>
        <v>Y</v>
      </c>
      <c r="E106" s="41" t="str">
        <f>VLOOKUP($A106,'Выгр Кат'!$A:$T,E$1,0)</f>
        <v>1</v>
      </c>
      <c r="F106" s="41">
        <f>VLOOKUP($A106,'Выгр Кат'!$A:$T,F$1,0)</f>
        <v>0</v>
      </c>
      <c r="G106" s="36"/>
      <c r="H106" s="105" t="s">
        <v>431</v>
      </c>
      <c r="I106" s="1" t="s">
        <v>65</v>
      </c>
      <c r="J106" s="63">
        <f>VLOOKUP(H106,Прайс!B:D,3,0)</f>
        <v>4500</v>
      </c>
      <c r="K106" s="61">
        <f>VLOOKUP(J106,Наценка!$A$1:$B$8,2,1)</f>
        <v>1.32</v>
      </c>
      <c r="L106" s="97">
        <f t="shared" si="58"/>
        <v>6289.5</v>
      </c>
      <c r="M106" s="63">
        <f t="shared" si="44"/>
        <v>6290</v>
      </c>
      <c r="N106" s="41">
        <f>VLOOKUP($A106,'Выгр Кат'!$A:$T,N$1,0)</f>
        <v>4500</v>
      </c>
      <c r="O106" s="41">
        <f>VLOOKUP($A106,'Выгр Кат'!$A:$T,O$1,0)</f>
        <v>6290</v>
      </c>
      <c r="P106" s="52">
        <f t="shared" si="45"/>
        <v>0</v>
      </c>
      <c r="Q106" s="52">
        <f t="shared" si="46"/>
        <v>0</v>
      </c>
      <c r="R106" s="59">
        <f t="shared" si="47"/>
        <v>5849.7</v>
      </c>
      <c r="S106" s="76">
        <f t="shared" si="48"/>
        <v>0.29993333333333339</v>
      </c>
      <c r="T106" s="76">
        <f t="shared" si="49"/>
        <v>2.3422370617696191E-2</v>
      </c>
      <c r="U106" s="76">
        <f t="shared" si="50"/>
        <v>0.33111111111111113</v>
      </c>
      <c r="V106" s="89">
        <f t="shared" si="51"/>
        <v>5990</v>
      </c>
      <c r="W106" s="79">
        <f>IFERROR(ROUND((VLOOKUP($A106,'Из ГУГЛа'!$B:$AD,W$1,0)+Y106)*X106,),VLOOKUP($A106,'Из ГУГЛа'!$B:$AD,W$1,0))</f>
        <v>5990</v>
      </c>
      <c r="X106" s="51">
        <v>1</v>
      </c>
      <c r="Y106" s="51">
        <v>0</v>
      </c>
      <c r="Z106" s="87">
        <v>5990</v>
      </c>
      <c r="AA106" s="65" t="s">
        <v>294</v>
      </c>
      <c r="AB106" s="79" t="str">
        <f>IFERROR(ROUND((VLOOKUP($A106,'Из ГУГЛа'!$B:$AD,AB$1,0)+AD106)*AC106,),VLOOKUP($A106,'Из ГУГЛа'!$B:$AD,AB$1,0))</f>
        <v/>
      </c>
      <c r="AC106" s="51">
        <v>1</v>
      </c>
      <c r="AD106" s="51">
        <v>0</v>
      </c>
      <c r="AE106" s="85"/>
      <c r="AG106" s="79" t="str">
        <f>IFERROR(ROUND((VLOOKUP($A106,'Из ГУГЛа'!$B:$AD,AG$1,0)+AI106)*AH106,),VLOOKUP($A106,'Из ГУГЛа'!$B:$AD,AG$1,0))</f>
        <v/>
      </c>
      <c r="AH106" s="51">
        <v>1</v>
      </c>
      <c r="AI106" s="51">
        <v>0</v>
      </c>
      <c r="AJ106" s="41"/>
      <c r="AK106" s="41"/>
      <c r="AL106" s="79" t="str">
        <f>IFERROR(ROUND((VLOOKUP($A106,'Из ГУГЛа'!$B:$AD,AL$1,0)+AN106)*AM106,),VLOOKUP($A106,'Из ГУГЛа'!$B:$AD,AL$1,0))</f>
        <v/>
      </c>
      <c r="AM106" s="51">
        <v>1</v>
      </c>
      <c r="AN106" s="51">
        <v>0</v>
      </c>
      <c r="AO106" s="41"/>
      <c r="AP106" s="41"/>
    </row>
    <row r="107" spans="1:42" ht="61.5" thickTop="1" thickBot="1" x14ac:dyDescent="0.3">
      <c r="A107" s="110">
        <v>443690</v>
      </c>
      <c r="B107" s="41">
        <f>VLOOKUP($A107,'Выгр Кат'!$A:$T,B$1,0)</f>
        <v>108798</v>
      </c>
      <c r="C107" s="75" t="str">
        <f>VLOOKUP($A107,'Выгр Кат'!$A:$T,C$1,0)</f>
        <v>Пружины передней подвески Технорессор Драйв с занижением 30 мм для Лада Калина, Калина 2, Приора, Гранта</v>
      </c>
      <c r="D107" s="41" t="str">
        <f>VLOOKUP($A107,'Выгр Кат'!$A:$T,D$1,0)</f>
        <v>Y</v>
      </c>
      <c r="E107" s="41" t="str">
        <f>VLOOKUP($A107,'Выгр Кат'!$A:$T,E$1,0)</f>
        <v>1</v>
      </c>
      <c r="F107" s="41">
        <f>VLOOKUP($A107,'Выгр Кат'!$A:$T,F$1,0)</f>
        <v>0</v>
      </c>
      <c r="G107" s="36"/>
      <c r="H107" s="105" t="s">
        <v>417</v>
      </c>
      <c r="I107" s="1" t="s">
        <v>65</v>
      </c>
      <c r="J107" s="63">
        <f>VLOOKUP(H107,Прайс!B:D,3,0)</f>
        <v>3350</v>
      </c>
      <c r="K107" s="61">
        <f>VLOOKUP(J107,Наценка!$A$1:$B$8,2,1)</f>
        <v>1.32</v>
      </c>
      <c r="L107" s="96">
        <f>V107*1.04</f>
        <v>5085.6000000000004</v>
      </c>
      <c r="M107" s="63">
        <f t="shared" si="44"/>
        <v>5090</v>
      </c>
      <c r="N107" s="41">
        <f>VLOOKUP($A107,'Выгр Кат'!$A:$T,N$1,0)</f>
        <v>3350</v>
      </c>
      <c r="O107" s="41">
        <f>VLOOKUP($A107,'Выгр Кат'!$A:$T,O$1,0)</f>
        <v>5090</v>
      </c>
      <c r="P107" s="52">
        <f t="shared" si="45"/>
        <v>0</v>
      </c>
      <c r="Q107" s="52">
        <f t="shared" si="46"/>
        <v>0</v>
      </c>
      <c r="R107" s="59">
        <f t="shared" si="47"/>
        <v>4733.7</v>
      </c>
      <c r="S107" s="76">
        <f t="shared" si="48"/>
        <v>0.41304477611940293</v>
      </c>
      <c r="T107" s="76">
        <f t="shared" si="49"/>
        <v>3.1963190184049119E-2</v>
      </c>
      <c r="U107" s="76">
        <f t="shared" si="50"/>
        <v>0.45970149253731352</v>
      </c>
      <c r="V107" s="89">
        <f t="shared" si="51"/>
        <v>4890</v>
      </c>
      <c r="W107" s="79">
        <f>IFERROR(ROUND((VLOOKUP($A107,'Из ГУГЛа'!$B:$AD,W$1,0)+Y107)*X107,),VLOOKUP($A107,'Из ГУГЛа'!$B:$AD,W$1,0))</f>
        <v>4890</v>
      </c>
      <c r="X107" s="51">
        <v>1</v>
      </c>
      <c r="Y107" s="51">
        <v>0</v>
      </c>
      <c r="Z107" s="87">
        <v>4890</v>
      </c>
      <c r="AA107" s="65" t="s">
        <v>299</v>
      </c>
      <c r="AB107" s="79">
        <f>IFERROR(ROUND((VLOOKUP($A107,'Из ГУГЛа'!$B:$AD,AB$1,0)+AD107)*AC107,),VLOOKUP($A107,'Из ГУГЛа'!$B:$AD,AB$1,0))</f>
        <v>4550</v>
      </c>
      <c r="AC107" s="51">
        <v>1</v>
      </c>
      <c r="AD107" s="51">
        <v>0</v>
      </c>
      <c r="AE107" s="107">
        <v>4550</v>
      </c>
      <c r="AF107" s="65" t="s">
        <v>358</v>
      </c>
      <c r="AG107" s="79" t="str">
        <f>IFERROR(ROUND((VLOOKUP($A107,'Из ГУГЛа'!$B:$AD,AG$1,0)+AI107)*AH107,),VLOOKUP($A107,'Из ГУГЛа'!$B:$AD,AG$1,0))</f>
        <v/>
      </c>
      <c r="AH107" s="51">
        <v>1</v>
      </c>
      <c r="AI107" s="51">
        <v>0</v>
      </c>
      <c r="AJ107" s="41"/>
      <c r="AK107" s="41"/>
      <c r="AL107" s="79" t="str">
        <f>IFERROR(ROUND((VLOOKUP($A107,'Из ГУГЛа'!$B:$AD,AL$1,0)+AN107)*AM107,),VLOOKUP($A107,'Из ГУГЛа'!$B:$AD,AL$1,0))</f>
        <v/>
      </c>
      <c r="AM107" s="51">
        <v>1</v>
      </c>
      <c r="AN107" s="51">
        <v>0</v>
      </c>
      <c r="AO107" s="41"/>
      <c r="AP107" s="41"/>
    </row>
    <row r="108" spans="1:42" ht="46.5" thickTop="1" thickBot="1" x14ac:dyDescent="0.3">
      <c r="A108" s="110">
        <v>443469</v>
      </c>
      <c r="B108" s="41">
        <f>VLOOKUP($A108,'Выгр Кат'!$A:$T,B$1,0)</f>
        <v>108584</v>
      </c>
      <c r="C108" s="75" t="str">
        <f>VLOOKUP($A108,'Выгр Кат'!$A:$T,C$1,0)</f>
        <v>Пружины передней подвески Технорессор Драйв с занижением 50 мм для ВАЗ 2101-2107</v>
      </c>
      <c r="D108" s="41" t="str">
        <f>VLOOKUP($A108,'Выгр Кат'!$A:$T,D$1,0)</f>
        <v>Y</v>
      </c>
      <c r="E108" s="41" t="str">
        <f>VLOOKUP($A108,'Выгр Кат'!$A:$T,E$1,0)</f>
        <v>1</v>
      </c>
      <c r="F108" s="41">
        <f>VLOOKUP($A108,'Выгр Кат'!$A:$T,F$1,0)</f>
        <v>0</v>
      </c>
      <c r="G108" s="36"/>
      <c r="H108" s="105" t="s">
        <v>411</v>
      </c>
      <c r="I108" s="1" t="s">
        <v>65</v>
      </c>
      <c r="J108" s="62">
        <f>N108</f>
        <v>2550</v>
      </c>
      <c r="K108" s="61">
        <f>VLOOKUP(J108,Наценка!$A$1:$B$8,2,1)</f>
        <v>1.32</v>
      </c>
      <c r="L108" s="97">
        <f t="shared" si="58"/>
        <v>4084.5</v>
      </c>
      <c r="M108" s="63">
        <f t="shared" si="44"/>
        <v>4090</v>
      </c>
      <c r="N108" s="41">
        <f>VLOOKUP($A108,'Выгр Кат'!$A:$T,N$1,0)</f>
        <v>2550</v>
      </c>
      <c r="O108" s="41">
        <f>VLOOKUP($A108,'Выгр Кат'!$A:$T,O$1,0)</f>
        <v>4090</v>
      </c>
      <c r="P108" s="52">
        <f t="shared" si="45"/>
        <v>0</v>
      </c>
      <c r="Q108" s="52">
        <f t="shared" si="46"/>
        <v>0</v>
      </c>
      <c r="R108" s="59">
        <f t="shared" si="47"/>
        <v>3803.7</v>
      </c>
      <c r="S108" s="76">
        <f t="shared" si="48"/>
        <v>0.49164705882352933</v>
      </c>
      <c r="T108" s="76">
        <f t="shared" si="49"/>
        <v>2.2185089974293106E-2</v>
      </c>
      <c r="U108" s="76">
        <f t="shared" si="50"/>
        <v>0.52549019607843128</v>
      </c>
      <c r="V108" s="89">
        <f t="shared" si="51"/>
        <v>3890</v>
      </c>
      <c r="W108" s="79">
        <f>IFERROR(ROUND((VLOOKUP($A108,'Из ГУГЛа'!$B:$AD,W$1,0)+Y108)*X108,),VLOOKUP($A108,'Из ГУГЛа'!$B:$AD,W$1,0))</f>
        <v>3890</v>
      </c>
      <c r="X108" s="51">
        <v>1</v>
      </c>
      <c r="Y108" s="51">
        <v>0</v>
      </c>
      <c r="Z108" s="87">
        <v>3890</v>
      </c>
      <c r="AA108" s="65" t="s">
        <v>285</v>
      </c>
      <c r="AB108" s="79">
        <f>IFERROR(ROUND((VLOOKUP($A108,'Из ГУГЛа'!$B:$AD,AB$1,0)+AD108)*AC108,),VLOOKUP($A108,'Из ГУГЛа'!$B:$AD,AB$1,0))</f>
        <v>3500</v>
      </c>
      <c r="AC108" s="51">
        <v>1</v>
      </c>
      <c r="AD108" s="51">
        <v>0</v>
      </c>
      <c r="AE108" s="107">
        <v>3500</v>
      </c>
      <c r="AF108" s="65" t="s">
        <v>345</v>
      </c>
      <c r="AG108" s="79" t="str">
        <f>IFERROR(ROUND((VLOOKUP($A108,'Из ГУГЛа'!$B:$AD,AG$1,0)+AI108)*AH108,),VLOOKUP($A108,'Из ГУГЛа'!$B:$AD,AG$1,0))</f>
        <v/>
      </c>
      <c r="AH108" s="51">
        <v>1</v>
      </c>
      <c r="AI108" s="51">
        <v>0</v>
      </c>
      <c r="AJ108" s="41"/>
      <c r="AK108" s="41"/>
      <c r="AL108" s="79" t="str">
        <f>IFERROR(ROUND((VLOOKUP($A108,'Из ГУГЛа'!$B:$AD,AL$1,0)+AN108)*AM108,),VLOOKUP($A108,'Из ГУГЛа'!$B:$AD,AL$1,0))</f>
        <v/>
      </c>
      <c r="AM108" s="51">
        <v>1</v>
      </c>
      <c r="AN108" s="51">
        <v>0</v>
      </c>
      <c r="AO108" s="41"/>
      <c r="AP108" s="41"/>
    </row>
    <row r="109" spans="1:42" ht="61.5" thickTop="1" thickBot="1" x14ac:dyDescent="0.3">
      <c r="A109" s="110">
        <v>443587</v>
      </c>
      <c r="B109" s="41">
        <f>VLOOKUP($A109,'Выгр Кат'!$A:$T,B$1,0)</f>
        <v>108754</v>
      </c>
      <c r="C109" s="75" t="str">
        <f>VLOOKUP($A109,'Выгр Кат'!$A:$T,C$1,0)</f>
        <v>Пружины передней подвески ТехноРессор Драйв с занижением 50 мм для ВАЗ 2108-21099, 2113-2115, 2110-2112</v>
      </c>
      <c r="D109" s="41" t="str">
        <f>VLOOKUP($A109,'Выгр Кат'!$A:$T,D$1,0)</f>
        <v>Y</v>
      </c>
      <c r="E109" s="41" t="str">
        <f>VLOOKUP($A109,'Выгр Кат'!$A:$T,E$1,0)</f>
        <v>1ск4</v>
      </c>
      <c r="F109" s="41">
        <f>VLOOKUP($A109,'Выгр Кат'!$A:$T,F$1,0)</f>
        <v>0</v>
      </c>
      <c r="G109" s="36"/>
      <c r="H109" s="105" t="s">
        <v>414</v>
      </c>
      <c r="I109" s="1" t="s">
        <v>65</v>
      </c>
      <c r="J109" s="63">
        <f>VLOOKUP(H109,Прайс!B:D,3,0)</f>
        <v>2650</v>
      </c>
      <c r="K109" s="61">
        <f>VLOOKUP(J109,Наценка!$A$1:$B$8,2,1)</f>
        <v>1.32</v>
      </c>
      <c r="L109" s="97">
        <f t="shared" si="58"/>
        <v>3769.5</v>
      </c>
      <c r="M109" s="63">
        <f t="shared" si="44"/>
        <v>3790</v>
      </c>
      <c r="N109" s="41">
        <f>VLOOKUP($A109,'Выгр Кат'!$A:$T,N$1,0)</f>
        <v>2650</v>
      </c>
      <c r="O109" s="41">
        <f>VLOOKUP($A109,'Выгр Кат'!$A:$T,O$1,0)</f>
        <v>3790</v>
      </c>
      <c r="P109" s="52">
        <f t="shared" si="45"/>
        <v>0</v>
      </c>
      <c r="Q109" s="52">
        <f t="shared" si="46"/>
        <v>0</v>
      </c>
      <c r="R109" s="59">
        <f t="shared" si="47"/>
        <v>3524.7</v>
      </c>
      <c r="S109" s="76">
        <f t="shared" si="48"/>
        <v>0.33007547169811313</v>
      </c>
      <c r="T109" s="76">
        <f t="shared" si="49"/>
        <v>1.8189415041782779E-2</v>
      </c>
      <c r="U109" s="76">
        <f t="shared" si="50"/>
        <v>0.35471698113207539</v>
      </c>
      <c r="V109" s="89">
        <f t="shared" si="51"/>
        <v>3590</v>
      </c>
      <c r="W109" s="79">
        <f>IFERROR(ROUND((VLOOKUP($A109,'Из ГУГЛа'!$B:$AD,W$1,0)+Y109)*X109,),VLOOKUP($A109,'Из ГУГЛа'!$B:$AD,W$1,0))</f>
        <v>3590</v>
      </c>
      <c r="X109" s="51">
        <v>1</v>
      </c>
      <c r="Y109" s="51">
        <v>0</v>
      </c>
      <c r="Z109" s="87">
        <v>3590</v>
      </c>
      <c r="AA109" s="65" t="s">
        <v>275</v>
      </c>
      <c r="AB109" s="79">
        <f>IFERROR(ROUND((VLOOKUP($A109,'Из ГУГЛа'!$B:$AD,AB$1,0)+AD109)*AC109,),VLOOKUP($A109,'Из ГУГЛа'!$B:$AD,AB$1,0))</f>
        <v>3500</v>
      </c>
      <c r="AC109" s="51">
        <v>1</v>
      </c>
      <c r="AD109" s="51">
        <v>0</v>
      </c>
      <c r="AE109" s="107">
        <v>3500</v>
      </c>
      <c r="AF109" s="65" t="s">
        <v>355</v>
      </c>
      <c r="AG109" s="79" t="str">
        <f>IFERROR(ROUND((VLOOKUP($A109,'Из ГУГЛа'!$B:$AD,AG$1,0)+AI109)*AH109,),VLOOKUP($A109,'Из ГУГЛа'!$B:$AD,AG$1,0))</f>
        <v/>
      </c>
      <c r="AH109" s="51">
        <v>1</v>
      </c>
      <c r="AI109" s="51">
        <v>0</v>
      </c>
      <c r="AJ109" s="41"/>
      <c r="AK109" s="41"/>
      <c r="AL109" s="79" t="str">
        <f>IFERROR(ROUND((VLOOKUP($A109,'Из ГУГЛа'!$B:$AD,AL$1,0)+AN109)*AM109,),VLOOKUP($A109,'Из ГУГЛа'!$B:$AD,AL$1,0))</f>
        <v/>
      </c>
      <c r="AM109" s="51">
        <v>1</v>
      </c>
      <c r="AN109" s="51">
        <v>0</v>
      </c>
      <c r="AO109" s="41"/>
      <c r="AP109" s="41"/>
    </row>
    <row r="110" spans="1:42" ht="46.5" thickTop="1" thickBot="1" x14ac:dyDescent="0.3">
      <c r="A110" s="110">
        <v>443972</v>
      </c>
      <c r="B110" s="41">
        <f>VLOOKUP($A110,'Выгр Кат'!$A:$T,B$1,0)</f>
        <v>108804</v>
      </c>
      <c r="C110" s="75" t="str">
        <f>VLOOKUP($A110,'Выгр Кат'!$A:$T,C$1,0)</f>
        <v>Пружины передней подвески Технорессор Драйв с занижением 50 мм для Лада Веста</v>
      </c>
      <c r="D110" s="41" t="str">
        <f>VLOOKUP($A110,'Выгр Кат'!$A:$T,D$1,0)</f>
        <v>Y</v>
      </c>
      <c r="E110" s="41" t="str">
        <f>VLOOKUP($A110,'Выгр Кат'!$A:$T,E$1,0)</f>
        <v>1</v>
      </c>
      <c r="F110" s="41">
        <f>VLOOKUP($A110,'Выгр Кат'!$A:$T,F$1,0)</f>
        <v>0</v>
      </c>
      <c r="G110" s="36"/>
      <c r="H110" s="105" t="s">
        <v>425</v>
      </c>
      <c r="I110" s="1" t="s">
        <v>65</v>
      </c>
      <c r="J110" s="63">
        <f>VLOOKUP(H110,Прайс!B:D,3,0)</f>
        <v>4000</v>
      </c>
      <c r="K110" s="61">
        <f>VLOOKUP(J110,Наценка!$A$1:$B$8,2,1)</f>
        <v>1.32</v>
      </c>
      <c r="L110" s="96">
        <f>V110*1.04</f>
        <v>6957.6</v>
      </c>
      <c r="M110" s="63">
        <f t="shared" si="44"/>
        <v>6990</v>
      </c>
      <c r="N110" s="41">
        <f>VLOOKUP($A110,'Выгр Кат'!$A:$T,N$1,0)</f>
        <v>4000</v>
      </c>
      <c r="O110" s="41">
        <f>VLOOKUP($A110,'Выгр Кат'!$A:$T,O$1,0)</f>
        <v>6990</v>
      </c>
      <c r="P110" s="52">
        <f t="shared" si="45"/>
        <v>0</v>
      </c>
      <c r="Q110" s="52">
        <f t="shared" si="46"/>
        <v>0</v>
      </c>
      <c r="R110" s="59">
        <f t="shared" si="47"/>
        <v>6500.7</v>
      </c>
      <c r="S110" s="76">
        <f t="shared" si="48"/>
        <v>0.62517500000000004</v>
      </c>
      <c r="T110" s="76">
        <f t="shared" si="49"/>
        <v>2.8295964125560565E-2</v>
      </c>
      <c r="U110" s="76">
        <f t="shared" si="50"/>
        <v>0.6725000000000001</v>
      </c>
      <c r="V110" s="89">
        <f t="shared" si="51"/>
        <v>6690</v>
      </c>
      <c r="W110" s="79">
        <f>IFERROR(ROUND((VLOOKUP($A110,'Из ГУГЛа'!$B:$AD,W$1,0)+Y110)*X110,),VLOOKUP($A110,'Из ГУГЛа'!$B:$AD,W$1,0))</f>
        <v>6690</v>
      </c>
      <c r="X110" s="51">
        <v>1</v>
      </c>
      <c r="Y110" s="51">
        <v>0</v>
      </c>
      <c r="Z110" s="87">
        <v>6690</v>
      </c>
      <c r="AA110" s="65" t="s">
        <v>292</v>
      </c>
      <c r="AB110" s="79">
        <f>IFERROR(ROUND((VLOOKUP($A110,'Из ГУГЛа'!$B:$AD,AB$1,0)+AD110)*AC110,),VLOOKUP($A110,'Из ГУГЛа'!$B:$AD,AB$1,0))</f>
        <v>5460</v>
      </c>
      <c r="AC110" s="51">
        <v>1</v>
      </c>
      <c r="AD110" s="51">
        <v>0</v>
      </c>
      <c r="AE110" s="107">
        <v>5460</v>
      </c>
      <c r="AF110" s="65" t="s">
        <v>363</v>
      </c>
      <c r="AG110" s="79" t="str">
        <f>IFERROR(ROUND((VLOOKUP($A110,'Из ГУГЛа'!$B:$AD,AG$1,0)+AI110)*AH110,),VLOOKUP($A110,'Из ГУГЛа'!$B:$AD,AG$1,0))</f>
        <v/>
      </c>
      <c r="AH110" s="51">
        <v>1</v>
      </c>
      <c r="AI110" s="51">
        <v>0</v>
      </c>
      <c r="AJ110" s="41"/>
      <c r="AK110" s="41"/>
      <c r="AL110" s="79" t="str">
        <f>IFERROR(ROUND((VLOOKUP($A110,'Из ГУГЛа'!$B:$AD,AL$1,0)+AN110)*AM110,),VLOOKUP($A110,'Из ГУГЛа'!$B:$AD,AL$1,0))</f>
        <v/>
      </c>
      <c r="AM110" s="51">
        <v>1</v>
      </c>
      <c r="AN110" s="51">
        <v>0</v>
      </c>
      <c r="AO110" s="41"/>
      <c r="AP110" s="41"/>
    </row>
    <row r="111" spans="1:42" ht="46.5" thickTop="1" thickBot="1" x14ac:dyDescent="0.3">
      <c r="A111" s="110">
        <v>443725</v>
      </c>
      <c r="B111" s="41">
        <f>VLOOKUP($A111,'Выгр Кат'!$A:$T,B$1,0)</f>
        <v>108820</v>
      </c>
      <c r="C111" s="75" t="str">
        <f>VLOOKUP($A111,'Выгр Кат'!$A:$T,C$1,0)</f>
        <v>Пружины передней подвески Технорессор Драйв с занижением 50 мм для Лада Гранта FL</v>
      </c>
      <c r="D111" s="41" t="str">
        <f>VLOOKUP($A111,'Выгр Кат'!$A:$T,D$1,0)</f>
        <v>Y</v>
      </c>
      <c r="E111" s="41" t="str">
        <f>VLOOKUP($A111,'Выгр Кат'!$A:$T,E$1,0)</f>
        <v>1</v>
      </c>
      <c r="F111" s="41">
        <f>VLOOKUP($A111,'Выгр Кат'!$A:$T,F$1,0)</f>
        <v>0</v>
      </c>
      <c r="G111" s="36"/>
      <c r="H111" s="105" t="s">
        <v>432</v>
      </c>
      <c r="I111" s="1" t="s">
        <v>65</v>
      </c>
      <c r="J111" s="63">
        <f>VLOOKUP(H111,Прайс!B:D,3,0)</f>
        <v>4500</v>
      </c>
      <c r="K111" s="61">
        <f>VLOOKUP(J111,Наценка!$A$1:$B$8,2,1)</f>
        <v>1.32</v>
      </c>
      <c r="L111" s="97">
        <f t="shared" si="58"/>
        <v>6499.5</v>
      </c>
      <c r="M111" s="63">
        <f t="shared" si="44"/>
        <v>6490</v>
      </c>
      <c r="N111" s="41">
        <f>VLOOKUP($A111,'Выгр Кат'!$A:$T,N$1,0)</f>
        <v>4500</v>
      </c>
      <c r="O111" s="41">
        <f>VLOOKUP($A111,'Выгр Кат'!$A:$T,O$1,0)</f>
        <v>6490</v>
      </c>
      <c r="P111" s="52">
        <f t="shared" si="45"/>
        <v>0</v>
      </c>
      <c r="Q111" s="52">
        <f t="shared" si="46"/>
        <v>0</v>
      </c>
      <c r="R111" s="59">
        <f t="shared" si="47"/>
        <v>6035.7</v>
      </c>
      <c r="S111" s="76">
        <f t="shared" si="48"/>
        <v>0.34126666666666661</v>
      </c>
      <c r="T111" s="76">
        <f t="shared" si="49"/>
        <v>2.4927302100161579E-2</v>
      </c>
      <c r="U111" s="76">
        <f t="shared" si="50"/>
        <v>0.37555555555555564</v>
      </c>
      <c r="V111" s="89">
        <f t="shared" si="51"/>
        <v>6190</v>
      </c>
      <c r="W111" s="79">
        <f>IFERROR(ROUND((VLOOKUP($A111,'Из ГУГЛа'!$B:$AD,W$1,0)+Y111)*X111,),VLOOKUP($A111,'Из ГУГЛа'!$B:$AD,W$1,0))</f>
        <v>6190</v>
      </c>
      <c r="X111" s="51">
        <v>1</v>
      </c>
      <c r="Y111" s="51">
        <v>0</v>
      </c>
      <c r="Z111" s="87">
        <v>6190</v>
      </c>
      <c r="AA111" s="65" t="s">
        <v>295</v>
      </c>
      <c r="AB111" s="79" t="str">
        <f>IFERROR(ROUND((VLOOKUP($A111,'Из ГУГЛа'!$B:$AD,AB$1,0)+AD111)*AC111,),VLOOKUP($A111,'Из ГУГЛа'!$B:$AD,AB$1,0))</f>
        <v/>
      </c>
      <c r="AC111" s="51">
        <v>1</v>
      </c>
      <c r="AD111" s="51">
        <v>0</v>
      </c>
      <c r="AE111" s="85"/>
      <c r="AG111" s="79" t="str">
        <f>IFERROR(ROUND((VLOOKUP($A111,'Из ГУГЛа'!$B:$AD,AG$1,0)+AI111)*AH111,),VLOOKUP($A111,'Из ГУГЛа'!$B:$AD,AG$1,0))</f>
        <v/>
      </c>
      <c r="AH111" s="51">
        <v>1</v>
      </c>
      <c r="AI111" s="51">
        <v>0</v>
      </c>
      <c r="AJ111" s="41"/>
      <c r="AK111" s="41"/>
      <c r="AL111" s="79" t="str">
        <f>IFERROR(ROUND((VLOOKUP($A111,'Из ГУГЛа'!$B:$AD,AL$1,0)+AN111)*AM111,),VLOOKUP($A111,'Из ГУГЛа'!$B:$AD,AL$1,0))</f>
        <v/>
      </c>
      <c r="AM111" s="51">
        <v>1</v>
      </c>
      <c r="AN111" s="51">
        <v>0</v>
      </c>
      <c r="AO111" s="41"/>
      <c r="AP111" s="41"/>
    </row>
    <row r="112" spans="1:42" ht="61.5" thickTop="1" thickBot="1" x14ac:dyDescent="0.3">
      <c r="A112" s="110">
        <v>443691</v>
      </c>
      <c r="B112" s="41">
        <f>VLOOKUP($A112,'Выгр Кат'!$A:$T,B$1,0)</f>
        <v>108799</v>
      </c>
      <c r="C112" s="75" t="str">
        <f>VLOOKUP($A112,'Выгр Кат'!$A:$T,C$1,0)</f>
        <v>Пружины передней подвески Технорессор Драйв с занижением 50 мм для Лада Калина, Калина 2, Приора, Гранта</v>
      </c>
      <c r="D112" s="41" t="str">
        <f>VLOOKUP($A112,'Выгр Кат'!$A:$T,D$1,0)</f>
        <v>Y</v>
      </c>
      <c r="E112" s="41" t="str">
        <f>VLOOKUP($A112,'Выгр Кат'!$A:$T,E$1,0)</f>
        <v>1ск4</v>
      </c>
      <c r="F112" s="41">
        <f>VLOOKUP($A112,'Выгр Кат'!$A:$T,F$1,0)</f>
        <v>0</v>
      </c>
      <c r="G112" s="36"/>
      <c r="H112" s="105" t="s">
        <v>418</v>
      </c>
      <c r="I112" s="1" t="s">
        <v>65</v>
      </c>
      <c r="J112" s="63">
        <f>VLOOKUP(H112,Прайс!B:D,3,0)</f>
        <v>3350</v>
      </c>
      <c r="K112" s="61">
        <f>VLOOKUP(J112,Наценка!$A$1:$B$8,2,1)</f>
        <v>1.32</v>
      </c>
      <c r="L112" s="96">
        <f>V112*1.04</f>
        <v>4877.6000000000004</v>
      </c>
      <c r="M112" s="63">
        <f t="shared" si="44"/>
        <v>4890</v>
      </c>
      <c r="N112" s="41">
        <f>VLOOKUP($A112,'Выгр Кат'!$A:$T,N$1,0)</f>
        <v>3350</v>
      </c>
      <c r="O112" s="41">
        <f>VLOOKUP($A112,'Выгр Кат'!$A:$T,O$1,0)</f>
        <v>4890</v>
      </c>
      <c r="P112" s="52">
        <f t="shared" si="45"/>
        <v>0</v>
      </c>
      <c r="Q112" s="52">
        <f t="shared" si="46"/>
        <v>0</v>
      </c>
      <c r="R112" s="59">
        <f t="shared" si="47"/>
        <v>4547.7</v>
      </c>
      <c r="S112" s="76">
        <f t="shared" si="48"/>
        <v>0.35752238805970138</v>
      </c>
      <c r="T112" s="76">
        <f t="shared" si="49"/>
        <v>3.0341151385927544E-2</v>
      </c>
      <c r="U112" s="76">
        <f t="shared" si="50"/>
        <v>0.39999999999999991</v>
      </c>
      <c r="V112" s="89">
        <f t="shared" si="51"/>
        <v>4690</v>
      </c>
      <c r="W112" s="79">
        <f>IFERROR(ROUND((VLOOKUP($A112,'Из ГУГЛа'!$B:$AD,W$1,0)+Y112)*X112,),VLOOKUP($A112,'Из ГУГЛа'!$B:$AD,W$1,0))</f>
        <v>4690</v>
      </c>
      <c r="X112" s="51">
        <v>1</v>
      </c>
      <c r="Y112" s="51">
        <v>0</v>
      </c>
      <c r="Z112" s="87">
        <v>4690</v>
      </c>
      <c r="AA112" s="65" t="s">
        <v>300</v>
      </c>
      <c r="AB112" s="79">
        <f>IFERROR(ROUND((VLOOKUP($A112,'Из ГУГЛа'!$B:$AD,AB$1,0)+AD112)*AC112,),VLOOKUP($A112,'Из ГУГЛа'!$B:$AD,AB$1,0))</f>
        <v>4550</v>
      </c>
      <c r="AC112" s="51">
        <v>1</v>
      </c>
      <c r="AD112" s="51">
        <v>0</v>
      </c>
      <c r="AE112" s="107">
        <v>4550</v>
      </c>
      <c r="AF112" s="65" t="s">
        <v>359</v>
      </c>
      <c r="AG112" s="79" t="str">
        <f>IFERROR(ROUND((VLOOKUP($A112,'Из ГУГЛа'!$B:$AD,AG$1,0)+AI112)*AH112,),VLOOKUP($A112,'Из ГУГЛа'!$B:$AD,AG$1,0))</f>
        <v/>
      </c>
      <c r="AH112" s="51">
        <v>1</v>
      </c>
      <c r="AI112" s="51">
        <v>0</v>
      </c>
      <c r="AJ112" s="41"/>
      <c r="AK112" s="41"/>
      <c r="AL112" s="79" t="str">
        <f>IFERROR(ROUND((VLOOKUP($A112,'Из ГУГЛа'!$B:$AD,AL$1,0)+AN112)*AM112,),VLOOKUP($A112,'Из ГУГЛа'!$B:$AD,AL$1,0))</f>
        <v/>
      </c>
      <c r="AM112" s="51">
        <v>1</v>
      </c>
      <c r="AN112" s="51">
        <v>0</v>
      </c>
      <c r="AO112" s="41"/>
      <c r="AP112" s="41"/>
    </row>
    <row r="113" spans="1:42" ht="46.5" thickTop="1" thickBot="1" x14ac:dyDescent="0.3">
      <c r="A113" s="110">
        <v>443470</v>
      </c>
      <c r="B113" s="41">
        <f>VLOOKUP($A113,'Выгр Кат'!$A:$T,B$1,0)</f>
        <v>108585</v>
      </c>
      <c r="C113" s="75" t="str">
        <f>VLOOKUP($A113,'Выгр Кат'!$A:$T,C$1,0)</f>
        <v>Пружины передней подвески Технорессор Драйв с занижением 70 мм для ВАЗ 2101-2107</v>
      </c>
      <c r="D113" s="41" t="str">
        <f>VLOOKUP($A113,'Выгр Кат'!$A:$T,D$1,0)</f>
        <v>Y</v>
      </c>
      <c r="E113" s="41" t="str">
        <f>VLOOKUP($A113,'Выгр Кат'!$A:$T,E$1,0)</f>
        <v>1ск4</v>
      </c>
      <c r="F113" s="41">
        <f>VLOOKUP($A113,'Выгр Кат'!$A:$T,F$1,0)</f>
        <v>0</v>
      </c>
      <c r="G113" s="36"/>
      <c r="H113" s="105" t="s">
        <v>412</v>
      </c>
      <c r="I113" s="1" t="s">
        <v>65</v>
      </c>
      <c r="J113" s="62">
        <f>N113</f>
        <v>2550</v>
      </c>
      <c r="K113" s="61">
        <f>VLOOKUP(J113,Наценка!$A$1:$B$8,2,1)</f>
        <v>1.32</v>
      </c>
      <c r="L113" s="97">
        <f t="shared" si="58"/>
        <v>4084.5</v>
      </c>
      <c r="M113" s="63">
        <f t="shared" si="44"/>
        <v>4090</v>
      </c>
      <c r="N113" s="41">
        <f>VLOOKUP($A113,'Выгр Кат'!$A:$T,N$1,0)</f>
        <v>2550</v>
      </c>
      <c r="O113" s="41">
        <f>VLOOKUP($A113,'Выгр Кат'!$A:$T,O$1,0)</f>
        <v>4090</v>
      </c>
      <c r="P113" s="52">
        <f t="shared" si="45"/>
        <v>0</v>
      </c>
      <c r="Q113" s="52">
        <f t="shared" si="46"/>
        <v>0</v>
      </c>
      <c r="R113" s="59">
        <f t="shared" si="47"/>
        <v>3803.7</v>
      </c>
      <c r="S113" s="76">
        <f t="shared" si="48"/>
        <v>0.49164705882352933</v>
      </c>
      <c r="T113" s="76">
        <f t="shared" si="49"/>
        <v>2.2185089974293106E-2</v>
      </c>
      <c r="U113" s="76">
        <f t="shared" si="50"/>
        <v>0.52549019607843128</v>
      </c>
      <c r="V113" s="89">
        <f t="shared" si="51"/>
        <v>3890</v>
      </c>
      <c r="W113" s="79">
        <f>IFERROR(ROUND((VLOOKUP($A113,'Из ГУГЛа'!$B:$AD,W$1,0)+Y113)*X113,),VLOOKUP($A113,'Из ГУГЛа'!$B:$AD,W$1,0))</f>
        <v>3890</v>
      </c>
      <c r="X113" s="51">
        <v>1</v>
      </c>
      <c r="Y113" s="51">
        <v>0</v>
      </c>
      <c r="Z113" s="87">
        <v>3890</v>
      </c>
      <c r="AA113" s="65" t="s">
        <v>286</v>
      </c>
      <c r="AB113" s="79">
        <f>IFERROR(ROUND((VLOOKUP($A113,'Из ГУГЛа'!$B:$AD,AB$1,0)+AD113)*AC113,),VLOOKUP($A113,'Из ГУГЛа'!$B:$AD,AB$1,0))</f>
        <v>3500</v>
      </c>
      <c r="AC113" s="51">
        <v>1</v>
      </c>
      <c r="AD113" s="51">
        <v>0</v>
      </c>
      <c r="AE113" s="107">
        <v>3500</v>
      </c>
      <c r="AF113" s="65" t="s">
        <v>346</v>
      </c>
      <c r="AG113" s="79" t="str">
        <f>IFERROR(ROUND((VLOOKUP($A113,'Из ГУГЛа'!$B:$AD,AG$1,0)+AI113)*AH113,),VLOOKUP($A113,'Из ГУГЛа'!$B:$AD,AG$1,0))</f>
        <v/>
      </c>
      <c r="AH113" s="51">
        <v>1</v>
      </c>
      <c r="AI113" s="51">
        <v>0</v>
      </c>
      <c r="AJ113" s="41"/>
      <c r="AK113" s="41"/>
      <c r="AL113" s="79" t="str">
        <f>IFERROR(ROUND((VLOOKUP($A113,'Из ГУГЛа'!$B:$AD,AL$1,0)+AN113)*AM113,),VLOOKUP($A113,'Из ГУГЛа'!$B:$AD,AL$1,0))</f>
        <v/>
      </c>
      <c r="AM113" s="51">
        <v>1</v>
      </c>
      <c r="AN113" s="51">
        <v>0</v>
      </c>
      <c r="AO113" s="41"/>
      <c r="AP113" s="41"/>
    </row>
    <row r="114" spans="1:42" ht="61.5" thickTop="1" thickBot="1" x14ac:dyDescent="0.3">
      <c r="A114" s="110">
        <v>443588</v>
      </c>
      <c r="B114" s="41">
        <f>VLOOKUP($A114,'Выгр Кат'!$A:$T,B$1,0)</f>
        <v>108755</v>
      </c>
      <c r="C114" s="75" t="str">
        <f>VLOOKUP($A114,'Выгр Кат'!$A:$T,C$1,0)</f>
        <v>Пружины передней подвески ТехноРессор Драйв с занижением 70 мм для ВАЗ 2108-21099, 2113-2115, 2110-2112</v>
      </c>
      <c r="D114" s="41" t="str">
        <f>VLOOKUP($A114,'Выгр Кат'!$A:$T,D$1,0)</f>
        <v>Y</v>
      </c>
      <c r="E114" s="41" t="str">
        <f>VLOOKUP($A114,'Выгр Кат'!$A:$T,E$1,0)</f>
        <v>1</v>
      </c>
      <c r="F114" s="41">
        <f>VLOOKUP($A114,'Выгр Кат'!$A:$T,F$1,0)</f>
        <v>0</v>
      </c>
      <c r="G114" s="36"/>
      <c r="H114" s="105" t="s">
        <v>415</v>
      </c>
      <c r="I114" s="1" t="s">
        <v>65</v>
      </c>
      <c r="J114" s="63">
        <f>VLOOKUP(H114,Прайс!B:D,3,0)</f>
        <v>2650</v>
      </c>
      <c r="K114" s="61">
        <f>VLOOKUP(J114,Наценка!$A$1:$B$8,2,1)</f>
        <v>1.32</v>
      </c>
      <c r="L114" s="97">
        <f t="shared" si="58"/>
        <v>3769.5</v>
      </c>
      <c r="M114" s="63">
        <f t="shared" si="44"/>
        <v>3790</v>
      </c>
      <c r="N114" s="41">
        <f>VLOOKUP($A114,'Выгр Кат'!$A:$T,N$1,0)</f>
        <v>2650</v>
      </c>
      <c r="O114" s="41">
        <f>VLOOKUP($A114,'Выгр Кат'!$A:$T,O$1,0)</f>
        <v>3790</v>
      </c>
      <c r="P114" s="52">
        <f t="shared" si="45"/>
        <v>0</v>
      </c>
      <c r="Q114" s="52">
        <f t="shared" si="46"/>
        <v>0</v>
      </c>
      <c r="R114" s="59">
        <f t="shared" si="47"/>
        <v>3524.7</v>
      </c>
      <c r="S114" s="76">
        <f t="shared" si="48"/>
        <v>0.33007547169811313</v>
      </c>
      <c r="T114" s="76">
        <f t="shared" si="49"/>
        <v>1.8189415041782779E-2</v>
      </c>
      <c r="U114" s="76">
        <f t="shared" si="50"/>
        <v>0.35471698113207539</v>
      </c>
      <c r="V114" s="89">
        <f t="shared" si="51"/>
        <v>3590</v>
      </c>
      <c r="W114" s="79">
        <f>IFERROR(ROUND((VLOOKUP($A114,'Из ГУГЛа'!$B:$AD,W$1,0)+Y114)*X114,),VLOOKUP($A114,'Из ГУГЛа'!$B:$AD,W$1,0))</f>
        <v>3590</v>
      </c>
      <c r="X114" s="51">
        <v>1</v>
      </c>
      <c r="Y114" s="51">
        <v>0</v>
      </c>
      <c r="Z114" s="87">
        <v>3590</v>
      </c>
      <c r="AA114" s="65" t="s">
        <v>276</v>
      </c>
      <c r="AB114" s="79">
        <f>IFERROR(ROUND((VLOOKUP($A114,'Из ГУГЛа'!$B:$AD,AB$1,0)+AD114)*AC114,),VLOOKUP($A114,'Из ГУГЛа'!$B:$AD,AB$1,0))</f>
        <v>3500</v>
      </c>
      <c r="AC114" s="51">
        <v>1</v>
      </c>
      <c r="AD114" s="51">
        <v>0</v>
      </c>
      <c r="AE114" s="107">
        <v>3500</v>
      </c>
      <c r="AF114" s="65" t="s">
        <v>356</v>
      </c>
      <c r="AG114" s="79" t="str">
        <f>IFERROR(ROUND((VLOOKUP($A114,'Из ГУГЛа'!$B:$AD,AG$1,0)+AI114)*AH114,),VLOOKUP($A114,'Из ГУГЛа'!$B:$AD,AG$1,0))</f>
        <v/>
      </c>
      <c r="AH114" s="51">
        <v>1</v>
      </c>
      <c r="AI114" s="51">
        <v>0</v>
      </c>
      <c r="AJ114" s="41"/>
      <c r="AK114" s="41"/>
      <c r="AL114" s="79" t="str">
        <f>IFERROR(ROUND((VLOOKUP($A114,'Из ГУГЛа'!$B:$AD,AL$1,0)+AN114)*AM114,),VLOOKUP($A114,'Из ГУГЛа'!$B:$AD,AL$1,0))</f>
        <v/>
      </c>
      <c r="AM114" s="51">
        <v>1</v>
      </c>
      <c r="AN114" s="51">
        <v>0</v>
      </c>
      <c r="AO114" s="41"/>
      <c r="AP114" s="41"/>
    </row>
    <row r="115" spans="1:42" ht="46.5" thickTop="1" thickBot="1" x14ac:dyDescent="0.3">
      <c r="A115" s="110">
        <v>443973</v>
      </c>
      <c r="B115" s="41">
        <f>VLOOKUP($A115,'Выгр Кат'!$A:$T,B$1,0)</f>
        <v>108805</v>
      </c>
      <c r="C115" s="75" t="str">
        <f>VLOOKUP($A115,'Выгр Кат'!$A:$T,C$1,0)</f>
        <v>Пружины передней подвески Технорессор Драйв с занижением 70 мм для Лада Веста</v>
      </c>
      <c r="D115" s="41" t="str">
        <f>VLOOKUP($A115,'Выгр Кат'!$A:$T,D$1,0)</f>
        <v>Y</v>
      </c>
      <c r="E115" s="41" t="str">
        <f>VLOOKUP($A115,'Выгр Кат'!$A:$T,E$1,0)</f>
        <v>1</v>
      </c>
      <c r="F115" s="41">
        <f>VLOOKUP($A115,'Выгр Кат'!$A:$T,F$1,0)</f>
        <v>0</v>
      </c>
      <c r="G115" s="36"/>
      <c r="H115" s="105" t="s">
        <v>426</v>
      </c>
      <c r="I115" s="1" t="s">
        <v>65</v>
      </c>
      <c r="J115" s="63">
        <f>VLOOKUP(H115,Прайс!B:D,3,0)</f>
        <v>4000</v>
      </c>
      <c r="K115" s="61">
        <f>VLOOKUP(J115,Наценка!$A$1:$B$8,2,1)</f>
        <v>1.32</v>
      </c>
      <c r="L115" s="97">
        <f t="shared" si="58"/>
        <v>6499.5</v>
      </c>
      <c r="M115" s="63">
        <f t="shared" si="44"/>
        <v>6490</v>
      </c>
      <c r="N115" s="41">
        <f>VLOOKUP($A115,'Выгр Кат'!$A:$T,N$1,0)</f>
        <v>4000</v>
      </c>
      <c r="O115" s="41">
        <f>VLOOKUP($A115,'Выгр Кат'!$A:$T,O$1,0)</f>
        <v>6490</v>
      </c>
      <c r="P115" s="52">
        <f t="shared" si="45"/>
        <v>0</v>
      </c>
      <c r="Q115" s="52">
        <f t="shared" si="46"/>
        <v>0</v>
      </c>
      <c r="R115" s="59">
        <f t="shared" si="47"/>
        <v>6035.7</v>
      </c>
      <c r="S115" s="76">
        <f t="shared" si="48"/>
        <v>0.50892499999999985</v>
      </c>
      <c r="T115" s="76">
        <f t="shared" si="49"/>
        <v>2.4927302100161579E-2</v>
      </c>
      <c r="U115" s="76">
        <f t="shared" si="50"/>
        <v>0.5475000000000001</v>
      </c>
      <c r="V115" s="89">
        <f t="shared" si="51"/>
        <v>6190</v>
      </c>
      <c r="W115" s="79">
        <f>IFERROR(ROUND((VLOOKUP($A115,'Из ГУГЛа'!$B:$AD,W$1,0)+Y115)*X115,),VLOOKUP($A115,'Из ГУГЛа'!$B:$AD,W$1,0))</f>
        <v>6190</v>
      </c>
      <c r="X115" s="51">
        <v>1</v>
      </c>
      <c r="Y115" s="51">
        <v>0</v>
      </c>
      <c r="Z115" s="87">
        <v>6190</v>
      </c>
      <c r="AA115" s="65" t="s">
        <v>293</v>
      </c>
      <c r="AB115" s="79" t="str">
        <f>IFERROR(ROUND((VLOOKUP($A115,'Из ГУГЛа'!$B:$AD,AB$1,0)+AD115)*AC115,),VLOOKUP($A115,'Из ГУГЛа'!$B:$AD,AB$1,0))</f>
        <v/>
      </c>
      <c r="AC115" s="51">
        <v>1</v>
      </c>
      <c r="AD115" s="51">
        <v>0</v>
      </c>
      <c r="AE115" s="85"/>
      <c r="AG115" s="79" t="str">
        <f>IFERROR(ROUND((VLOOKUP($A115,'Из ГУГЛа'!$B:$AD,AG$1,0)+AI115)*AH115,),VLOOKUP($A115,'Из ГУГЛа'!$B:$AD,AG$1,0))</f>
        <v/>
      </c>
      <c r="AH115" s="51">
        <v>1</v>
      </c>
      <c r="AI115" s="51">
        <v>0</v>
      </c>
      <c r="AJ115" s="41"/>
      <c r="AK115" s="41"/>
      <c r="AL115" s="79" t="str">
        <f>IFERROR(ROUND((VLOOKUP($A115,'Из ГУГЛа'!$B:$AD,AL$1,0)+AN115)*AM115,),VLOOKUP($A115,'Из ГУГЛа'!$B:$AD,AL$1,0))</f>
        <v/>
      </c>
      <c r="AM115" s="51">
        <v>1</v>
      </c>
      <c r="AN115" s="51">
        <v>0</v>
      </c>
      <c r="AO115" s="41"/>
      <c r="AP115" s="41"/>
    </row>
    <row r="116" spans="1:42" ht="46.5" thickTop="1" thickBot="1" x14ac:dyDescent="0.3">
      <c r="A116" s="110">
        <v>443726</v>
      </c>
      <c r="B116" s="41">
        <f>VLOOKUP($A116,'Выгр Кат'!$A:$T,B$1,0)</f>
        <v>108821</v>
      </c>
      <c r="C116" s="75" t="str">
        <f>VLOOKUP($A116,'Выгр Кат'!$A:$T,C$1,0)</f>
        <v>Пружины передней подвески Технорессор Драйв с занижением 70 мм для Лада Гранта FL</v>
      </c>
      <c r="D116" s="41" t="str">
        <f>VLOOKUP($A116,'Выгр Кат'!$A:$T,D$1,0)</f>
        <v>Y</v>
      </c>
      <c r="E116" s="41" t="str">
        <f>VLOOKUP($A116,'Выгр Кат'!$A:$T,E$1,0)</f>
        <v>1</v>
      </c>
      <c r="F116" s="41">
        <f>VLOOKUP($A116,'Выгр Кат'!$A:$T,F$1,0)</f>
        <v>0</v>
      </c>
      <c r="G116" s="36"/>
      <c r="H116" s="105" t="s">
        <v>433</v>
      </c>
      <c r="I116" s="1" t="s">
        <v>65</v>
      </c>
      <c r="J116" s="63">
        <f>VLOOKUP(H116,Прайс!B:D,3,0)</f>
        <v>4500</v>
      </c>
      <c r="K116" s="61">
        <f>VLOOKUP(J116,Наценка!$A$1:$B$8,2,1)</f>
        <v>1.32</v>
      </c>
      <c r="L116" s="97">
        <f t="shared" si="58"/>
        <v>6499.5</v>
      </c>
      <c r="M116" s="63">
        <f t="shared" si="44"/>
        <v>6490</v>
      </c>
      <c r="N116" s="41">
        <f>VLOOKUP($A116,'Выгр Кат'!$A:$T,N$1,0)</f>
        <v>4500</v>
      </c>
      <c r="O116" s="41">
        <f>VLOOKUP($A116,'Выгр Кат'!$A:$T,O$1,0)</f>
        <v>6490</v>
      </c>
      <c r="P116" s="52">
        <f t="shared" si="45"/>
        <v>0</v>
      </c>
      <c r="Q116" s="52">
        <f t="shared" si="46"/>
        <v>0</v>
      </c>
      <c r="R116" s="59">
        <f t="shared" si="47"/>
        <v>6035.7</v>
      </c>
      <c r="S116" s="76">
        <f t="shared" si="48"/>
        <v>0.34126666666666661</v>
      </c>
      <c r="T116" s="76">
        <f t="shared" si="49"/>
        <v>2.4927302100161579E-2</v>
      </c>
      <c r="U116" s="76">
        <f t="shared" si="50"/>
        <v>0.37555555555555564</v>
      </c>
      <c r="V116" s="89">
        <f t="shared" si="51"/>
        <v>6190</v>
      </c>
      <c r="W116" s="79">
        <f>IFERROR(ROUND((VLOOKUP($A116,'Из ГУГЛа'!$B:$AD,W$1,0)+Y116)*X116,),VLOOKUP($A116,'Из ГУГЛа'!$B:$AD,W$1,0))</f>
        <v>6190</v>
      </c>
      <c r="X116" s="51">
        <v>1</v>
      </c>
      <c r="Y116" s="51">
        <v>0</v>
      </c>
      <c r="Z116" s="87">
        <v>6190</v>
      </c>
      <c r="AA116" s="65" t="s">
        <v>296</v>
      </c>
      <c r="AB116" s="79" t="str">
        <f>IFERROR(ROUND((VLOOKUP($A116,'Из ГУГЛа'!$B:$AD,AB$1,0)+AD116)*AC116,),VLOOKUP($A116,'Из ГУГЛа'!$B:$AD,AB$1,0))</f>
        <v/>
      </c>
      <c r="AC116" s="51">
        <v>1</v>
      </c>
      <c r="AD116" s="51">
        <v>0</v>
      </c>
      <c r="AE116" s="85"/>
      <c r="AG116" s="79" t="str">
        <f>IFERROR(ROUND((VLOOKUP($A116,'Из ГУГЛа'!$B:$AD,AG$1,0)+AI116)*AH116,),VLOOKUP($A116,'Из ГУГЛа'!$B:$AD,AG$1,0))</f>
        <v/>
      </c>
      <c r="AH116" s="51">
        <v>1</v>
      </c>
      <c r="AI116" s="51">
        <v>0</v>
      </c>
      <c r="AJ116" s="41"/>
      <c r="AK116" s="41"/>
      <c r="AL116" s="79" t="str">
        <f>IFERROR(ROUND((VLOOKUP($A116,'Из ГУГЛа'!$B:$AD,AL$1,0)+AN116)*AM116,),VLOOKUP($A116,'Из ГУГЛа'!$B:$AD,AL$1,0))</f>
        <v/>
      </c>
      <c r="AM116" s="51">
        <v>1</v>
      </c>
      <c r="AN116" s="51">
        <v>0</v>
      </c>
      <c r="AO116" s="41"/>
      <c r="AP116" s="41"/>
    </row>
    <row r="117" spans="1:42" ht="61.5" thickTop="1" thickBot="1" x14ac:dyDescent="0.3">
      <c r="A117" s="110">
        <v>443692</v>
      </c>
      <c r="B117" s="41">
        <f>VLOOKUP($A117,'Выгр Кат'!$A:$T,B$1,0)</f>
        <v>108800</v>
      </c>
      <c r="C117" s="75" t="str">
        <f>VLOOKUP($A117,'Выгр Кат'!$A:$T,C$1,0)</f>
        <v>Пружины передней подвески Технорессор Драйв с занижением 70 мм для Лада Калина, Калина 2, Приора, Гранта</v>
      </c>
      <c r="D117" s="41" t="str">
        <f>VLOOKUP($A117,'Выгр Кат'!$A:$T,D$1,0)</f>
        <v>Y</v>
      </c>
      <c r="E117" s="41" t="str">
        <f>VLOOKUP($A117,'Выгр Кат'!$A:$T,E$1,0)</f>
        <v>1</v>
      </c>
      <c r="F117" s="41">
        <f>VLOOKUP($A117,'Выгр Кат'!$A:$T,F$1,0)</f>
        <v>0</v>
      </c>
      <c r="G117" s="36"/>
      <c r="H117" s="105" t="s">
        <v>419</v>
      </c>
      <c r="I117" s="1" t="s">
        <v>65</v>
      </c>
      <c r="J117" s="63">
        <f>VLOOKUP(H117,Прайс!B:D,3,0)</f>
        <v>3350</v>
      </c>
      <c r="K117" s="61">
        <f>VLOOKUP(J117,Наценка!$A$1:$B$8,2,1)</f>
        <v>1.32</v>
      </c>
      <c r="L117" s="96">
        <f>V117*1.04</f>
        <v>4669.6000000000004</v>
      </c>
      <c r="M117" s="63">
        <f t="shared" si="44"/>
        <v>4690</v>
      </c>
      <c r="N117" s="41">
        <f>VLOOKUP($A117,'Выгр Кат'!$A:$T,N$1,0)</f>
        <v>3350</v>
      </c>
      <c r="O117" s="41">
        <f>VLOOKUP($A117,'Выгр Кат'!$A:$T,O$1,0)</f>
        <v>4690</v>
      </c>
      <c r="P117" s="52">
        <f t="shared" si="45"/>
        <v>0</v>
      </c>
      <c r="Q117" s="52">
        <f t="shared" si="46"/>
        <v>0</v>
      </c>
      <c r="R117" s="59">
        <f t="shared" si="47"/>
        <v>4361.7</v>
      </c>
      <c r="S117" s="76">
        <f t="shared" si="48"/>
        <v>0.30200000000000005</v>
      </c>
      <c r="T117" s="76">
        <f t="shared" si="49"/>
        <v>2.8574610244988904E-2</v>
      </c>
      <c r="U117" s="76">
        <f t="shared" si="50"/>
        <v>0.34029850746268653</v>
      </c>
      <c r="V117" s="89">
        <f t="shared" si="51"/>
        <v>4490</v>
      </c>
      <c r="W117" s="79">
        <f>IFERROR(ROUND((VLOOKUP($A117,'Из ГУГЛа'!$B:$AD,W$1,0)+Y117)*X117,),VLOOKUP($A117,'Из ГУГЛа'!$B:$AD,W$1,0))</f>
        <v>4490</v>
      </c>
      <c r="X117" s="51">
        <v>1</v>
      </c>
      <c r="Y117" s="51">
        <v>0</v>
      </c>
      <c r="Z117" s="87">
        <v>4490</v>
      </c>
      <c r="AA117" s="65" t="s">
        <v>301</v>
      </c>
      <c r="AB117" s="79">
        <f>IFERROR(ROUND((VLOOKUP($A117,'Из ГУГЛа'!$B:$AD,AB$1,0)+AD117)*AC117,),VLOOKUP($A117,'Из ГУГЛа'!$B:$AD,AB$1,0))</f>
        <v>4550</v>
      </c>
      <c r="AC117" s="51">
        <v>1</v>
      </c>
      <c r="AD117" s="51">
        <v>0</v>
      </c>
      <c r="AE117" s="107">
        <v>4550</v>
      </c>
      <c r="AF117" s="65" t="s">
        <v>360</v>
      </c>
      <c r="AG117" s="79" t="str">
        <f>IFERROR(ROUND((VLOOKUP($A117,'Из ГУГЛа'!$B:$AD,AG$1,0)+AI117)*AH117,),VLOOKUP($A117,'Из ГУГЛа'!$B:$AD,AG$1,0))</f>
        <v/>
      </c>
      <c r="AH117" s="51">
        <v>1</v>
      </c>
      <c r="AI117" s="51">
        <v>0</v>
      </c>
      <c r="AJ117" s="41"/>
      <c r="AK117" s="41"/>
      <c r="AL117" s="79" t="str">
        <f>IFERROR(ROUND((VLOOKUP($A117,'Из ГУГЛа'!$B:$AD,AL$1,0)+AN117)*AM117,),VLOOKUP($A117,'Из ГУГЛа'!$B:$AD,AL$1,0))</f>
        <v/>
      </c>
      <c r="AM117" s="51">
        <v>1</v>
      </c>
      <c r="AN117" s="51">
        <v>0</v>
      </c>
      <c r="AO117" s="41"/>
      <c r="AP117" s="41"/>
    </row>
    <row r="118" spans="1:42" ht="46.5" thickTop="1" thickBot="1" x14ac:dyDescent="0.3">
      <c r="A118" s="110">
        <v>443471</v>
      </c>
      <c r="B118" s="41">
        <f>VLOOKUP($A118,'Выгр Кат'!$A:$T,B$1,0)</f>
        <v>108586</v>
      </c>
      <c r="C118" s="75" t="str">
        <f>VLOOKUP($A118,'Выгр Кат'!$A:$T,C$1,0)</f>
        <v>Пружины передней подвески Технорессор Драйв с занижением 90 мм для ВАЗ 2101-2107</v>
      </c>
      <c r="D118" s="41" t="str">
        <f>VLOOKUP($A118,'Выгр Кат'!$A:$T,D$1,0)</f>
        <v>Y</v>
      </c>
      <c r="E118" s="41" t="str">
        <f>VLOOKUP($A118,'Выгр Кат'!$A:$T,E$1,0)</f>
        <v>1</v>
      </c>
      <c r="F118" s="41">
        <f>VLOOKUP($A118,'Выгр Кат'!$A:$T,F$1,0)</f>
        <v>0</v>
      </c>
      <c r="G118" s="36"/>
      <c r="H118" s="105" t="s">
        <v>189</v>
      </c>
      <c r="I118" s="1" t="s">
        <v>65</v>
      </c>
      <c r="J118" s="63">
        <f>VLOOKUP(H118,Прайс!B:D,3,0)</f>
        <v>2550</v>
      </c>
      <c r="K118" s="61">
        <f>VLOOKUP(J118,Наценка!$A$1:$B$8,2,1)</f>
        <v>1.32</v>
      </c>
      <c r="L118" s="97">
        <f t="shared" si="58"/>
        <v>4084.5</v>
      </c>
      <c r="M118" s="63">
        <f t="shared" si="44"/>
        <v>4090</v>
      </c>
      <c r="N118" s="41">
        <f>VLOOKUP($A118,'Выгр Кат'!$A:$T,N$1,0)</f>
        <v>2550</v>
      </c>
      <c r="O118" s="41">
        <f>VLOOKUP($A118,'Выгр Кат'!$A:$T,O$1,0)</f>
        <v>4090</v>
      </c>
      <c r="P118" s="52">
        <f t="shared" si="45"/>
        <v>0</v>
      </c>
      <c r="Q118" s="52">
        <f t="shared" si="46"/>
        <v>0</v>
      </c>
      <c r="R118" s="59">
        <f t="shared" si="47"/>
        <v>3803.7</v>
      </c>
      <c r="S118" s="76">
        <f t="shared" si="48"/>
        <v>0.49164705882352933</v>
      </c>
      <c r="T118" s="76">
        <f t="shared" si="49"/>
        <v>2.2185089974293106E-2</v>
      </c>
      <c r="U118" s="76">
        <f t="shared" si="50"/>
        <v>0.52549019607843128</v>
      </c>
      <c r="V118" s="89">
        <f t="shared" si="51"/>
        <v>3890</v>
      </c>
      <c r="W118" s="79">
        <f>IFERROR(ROUND((VLOOKUP($A118,'Из ГУГЛа'!$B:$AD,W$1,0)+Y118)*X118,),VLOOKUP($A118,'Из ГУГЛа'!$B:$AD,W$1,0))</f>
        <v>3890</v>
      </c>
      <c r="X118" s="51">
        <v>1</v>
      </c>
      <c r="Y118" s="51">
        <v>0</v>
      </c>
      <c r="Z118" s="87">
        <v>3890</v>
      </c>
      <c r="AA118" s="65" t="s">
        <v>287</v>
      </c>
      <c r="AB118" s="79">
        <f>IFERROR(ROUND((VLOOKUP($A118,'Из ГУГЛа'!$B:$AD,AB$1,0)+AD118)*AC118,),VLOOKUP($A118,'Из ГУГЛа'!$B:$AD,AB$1,0))</f>
        <v>3500</v>
      </c>
      <c r="AC118" s="51">
        <v>1</v>
      </c>
      <c r="AD118" s="51">
        <v>0</v>
      </c>
      <c r="AE118" s="107">
        <v>3500</v>
      </c>
      <c r="AF118" s="65" t="s">
        <v>367</v>
      </c>
      <c r="AG118" s="79" t="str">
        <f>IFERROR(ROUND((VLOOKUP($A118,'Из ГУГЛа'!$B:$AD,AG$1,0)+AI118)*AH118,),VLOOKUP($A118,'Из ГУГЛа'!$B:$AD,AG$1,0))</f>
        <v/>
      </c>
      <c r="AH118" s="51">
        <v>1</v>
      </c>
      <c r="AI118" s="51">
        <v>0</v>
      </c>
      <c r="AJ118" s="41"/>
      <c r="AK118" s="41"/>
      <c r="AL118" s="79" t="str">
        <f>IFERROR(ROUND((VLOOKUP($A118,'Из ГУГЛа'!$B:$AD,AL$1,0)+AN118)*AM118,),VLOOKUP($A118,'Из ГУГЛа'!$B:$AD,AL$1,0))</f>
        <v/>
      </c>
      <c r="AM118" s="51">
        <v>1</v>
      </c>
      <c r="AN118" s="51">
        <v>0</v>
      </c>
      <c r="AO118" s="41"/>
      <c r="AP118" s="41"/>
    </row>
    <row r="119" spans="1:42" ht="61.5" thickTop="1" thickBot="1" x14ac:dyDescent="0.3">
      <c r="A119" s="110">
        <v>443589</v>
      </c>
      <c r="B119" s="41">
        <f>VLOOKUP($A119,'Выгр Кат'!$A:$T,B$1,0)</f>
        <v>108756</v>
      </c>
      <c r="C119" s="75" t="str">
        <f>VLOOKUP($A119,'Выгр Кат'!$A:$T,C$1,0)</f>
        <v>Пружины передней подвески ТехноРессор Драйв с занижением 90 мм для ВАЗ 2108-21099, 2113-2115, 2110-2112</v>
      </c>
      <c r="D119" s="41" t="str">
        <f>VLOOKUP($A119,'Выгр Кат'!$A:$T,D$1,0)</f>
        <v>Y</v>
      </c>
      <c r="E119" s="41" t="str">
        <f>VLOOKUP($A119,'Выгр Кат'!$A:$T,E$1,0)</f>
        <v>1</v>
      </c>
      <c r="F119" s="41">
        <f>VLOOKUP($A119,'Выгр Кат'!$A:$T,F$1,0)</f>
        <v>0</v>
      </c>
      <c r="G119" s="36"/>
      <c r="H119" s="105" t="s">
        <v>416</v>
      </c>
      <c r="I119" s="1" t="s">
        <v>65</v>
      </c>
      <c r="J119" s="63">
        <f>VLOOKUP(H119,Прайс!B:D,3,0)</f>
        <v>2650</v>
      </c>
      <c r="K119" s="61">
        <f>VLOOKUP(J119,Наценка!$A$1:$B$8,2,1)</f>
        <v>1.32</v>
      </c>
      <c r="L119" s="97">
        <f t="shared" si="58"/>
        <v>3874.5</v>
      </c>
      <c r="M119" s="63">
        <f t="shared" si="44"/>
        <v>3890</v>
      </c>
      <c r="N119" s="41">
        <f>VLOOKUP($A119,'Выгр Кат'!$A:$T,N$1,0)</f>
        <v>2650</v>
      </c>
      <c r="O119" s="41">
        <f>VLOOKUP($A119,'Выгр Кат'!$A:$T,O$1,0)</f>
        <v>3890</v>
      </c>
      <c r="P119" s="52">
        <f t="shared" si="45"/>
        <v>0</v>
      </c>
      <c r="Q119" s="52">
        <f t="shared" si="46"/>
        <v>0</v>
      </c>
      <c r="R119" s="59">
        <f t="shared" si="47"/>
        <v>3617.7</v>
      </c>
      <c r="S119" s="76">
        <f t="shared" si="48"/>
        <v>0.36516981132075466</v>
      </c>
      <c r="T119" s="76">
        <f t="shared" si="49"/>
        <v>1.9593495934959401E-2</v>
      </c>
      <c r="U119" s="76">
        <f t="shared" si="50"/>
        <v>0.39245283018867916</v>
      </c>
      <c r="V119" s="89">
        <f t="shared" si="51"/>
        <v>3690</v>
      </c>
      <c r="W119" s="79">
        <f>IFERROR(ROUND((VLOOKUP($A119,'Из ГУГЛа'!$B:$AD,W$1,0)+Y119)*X119,),VLOOKUP($A119,'Из ГУГЛа'!$B:$AD,W$1,0))</f>
        <v>3690</v>
      </c>
      <c r="X119" s="51">
        <v>1</v>
      </c>
      <c r="Y119" s="51">
        <v>0</v>
      </c>
      <c r="Z119" s="87">
        <v>3690</v>
      </c>
      <c r="AA119" s="65" t="s">
        <v>277</v>
      </c>
      <c r="AB119" s="79">
        <f>IFERROR(ROUND((VLOOKUP($A119,'Из ГУГЛа'!$B:$AD,AB$1,0)+AD119)*AC119,),VLOOKUP($A119,'Из ГУГЛа'!$B:$AD,AB$1,0))</f>
        <v>3500</v>
      </c>
      <c r="AC119" s="51">
        <v>1</v>
      </c>
      <c r="AD119" s="51">
        <v>0</v>
      </c>
      <c r="AE119" s="107">
        <v>3500</v>
      </c>
      <c r="AF119" s="65" t="s">
        <v>357</v>
      </c>
      <c r="AG119" s="79" t="str">
        <f>IFERROR(ROUND((VLOOKUP($A119,'Из ГУГЛа'!$B:$AD,AG$1,0)+AI119)*AH119,),VLOOKUP($A119,'Из ГУГЛа'!$B:$AD,AG$1,0))</f>
        <v/>
      </c>
      <c r="AH119" s="51">
        <v>1</v>
      </c>
      <c r="AI119" s="51">
        <v>0</v>
      </c>
      <c r="AJ119" s="41"/>
      <c r="AK119" s="41"/>
      <c r="AL119" s="79" t="str">
        <f>IFERROR(ROUND((VLOOKUP($A119,'Из ГУГЛа'!$B:$AD,AL$1,0)+AN119)*AM119,),VLOOKUP($A119,'Из ГУГЛа'!$B:$AD,AL$1,0))</f>
        <v/>
      </c>
      <c r="AM119" s="51">
        <v>1</v>
      </c>
      <c r="AN119" s="51">
        <v>0</v>
      </c>
      <c r="AO119" s="41"/>
      <c r="AP119" s="41"/>
    </row>
    <row r="120" spans="1:42" ht="46.5" thickTop="1" thickBot="1" x14ac:dyDescent="0.3">
      <c r="A120" s="110">
        <v>443727</v>
      </c>
      <c r="B120" s="41">
        <f>VLOOKUP($A120,'Выгр Кат'!$A:$T,B$1,0)</f>
        <v>108822</v>
      </c>
      <c r="C120" s="75" t="str">
        <f>VLOOKUP($A120,'Выгр Кат'!$A:$T,C$1,0)</f>
        <v>Пружины передней подвески Технорессор Драйв с занижением 90 мм для Лада Гранта FL</v>
      </c>
      <c r="D120" s="41" t="str">
        <f>VLOOKUP($A120,'Выгр Кат'!$A:$T,D$1,0)</f>
        <v>Y</v>
      </c>
      <c r="E120" s="41" t="str">
        <f>VLOOKUP($A120,'Выгр Кат'!$A:$T,E$1,0)</f>
        <v>1</v>
      </c>
      <c r="F120" s="41">
        <f>VLOOKUP($A120,'Выгр Кат'!$A:$T,F$1,0)</f>
        <v>0</v>
      </c>
      <c r="G120" s="36"/>
      <c r="H120" s="105" t="s">
        <v>434</v>
      </c>
      <c r="I120" s="1" t="s">
        <v>65</v>
      </c>
      <c r="J120" s="63">
        <f>VLOOKUP(H120,Прайс!B:D,3,0)</f>
        <v>4500</v>
      </c>
      <c r="K120" s="61">
        <f>VLOOKUP(J120,Наценка!$A$1:$B$8,2,1)</f>
        <v>1.32</v>
      </c>
      <c r="L120" s="64">
        <f>J120*K120</f>
        <v>5940</v>
      </c>
      <c r="M120" s="63">
        <f t="shared" si="44"/>
        <v>5990</v>
      </c>
      <c r="N120" s="41">
        <f>VLOOKUP($A120,'Выгр Кат'!$A:$T,N$1,0)</f>
        <v>4500</v>
      </c>
      <c r="O120" s="41">
        <f>VLOOKUP($A120,'Выгр Кат'!$A:$T,O$1,0)</f>
        <v>5990</v>
      </c>
      <c r="P120" s="52">
        <f t="shared" si="45"/>
        <v>0</v>
      </c>
      <c r="Q120" s="52">
        <f t="shared" si="46"/>
        <v>0</v>
      </c>
      <c r="R120" s="59">
        <f t="shared" si="47"/>
        <v>5570.7</v>
      </c>
      <c r="S120" s="76">
        <f t="shared" si="48"/>
        <v>0.23793333333333333</v>
      </c>
      <c r="T120" s="76">
        <f t="shared" si="49"/>
        <v>-0.43205655526992282</v>
      </c>
      <c r="U120" s="76">
        <f t="shared" si="50"/>
        <v>-0.13555555555555554</v>
      </c>
      <c r="V120" s="89">
        <f t="shared" si="51"/>
        <v>3890</v>
      </c>
      <c r="W120" s="79">
        <f>IFERROR(ROUND((VLOOKUP($A120,'Из ГУГЛа'!$B:$AD,W$1,0)+Y120)*X120,),VLOOKUP($A120,'Из ГУГЛа'!$B:$AD,W$1,0))</f>
        <v>3890</v>
      </c>
      <c r="X120" s="51">
        <v>1</v>
      </c>
      <c r="Y120" s="51">
        <v>0</v>
      </c>
      <c r="Z120" s="87">
        <v>3890</v>
      </c>
      <c r="AA120" s="65" t="s">
        <v>297</v>
      </c>
      <c r="AB120" s="79" t="str">
        <f>IFERROR(ROUND((VLOOKUP($A120,'Из ГУГЛа'!$B:$AD,AB$1,0)+AD120)*AC120,),VLOOKUP($A120,'Из ГУГЛа'!$B:$AD,AB$1,0))</f>
        <v/>
      </c>
      <c r="AC120" s="51">
        <v>1</v>
      </c>
      <c r="AD120" s="51">
        <v>0</v>
      </c>
      <c r="AE120" s="85"/>
      <c r="AG120" s="79" t="str">
        <f>IFERROR(ROUND((VLOOKUP($A120,'Из ГУГЛа'!$B:$AD,AG$1,0)+AI120)*AH120,),VLOOKUP($A120,'Из ГУГЛа'!$B:$AD,AG$1,0))</f>
        <v/>
      </c>
      <c r="AH120" s="51">
        <v>1</v>
      </c>
      <c r="AI120" s="51">
        <v>0</v>
      </c>
      <c r="AJ120" s="41"/>
      <c r="AK120" s="41"/>
      <c r="AL120" s="79" t="str">
        <f>IFERROR(ROUND((VLOOKUP($A120,'Из ГУГЛа'!$B:$AD,AL$1,0)+AN120)*AM120,),VLOOKUP($A120,'Из ГУГЛа'!$B:$AD,AL$1,0))</f>
        <v/>
      </c>
      <c r="AM120" s="51">
        <v>1</v>
      </c>
      <c r="AN120" s="51">
        <v>0</v>
      </c>
      <c r="AO120" s="41"/>
      <c r="AP120" s="41"/>
    </row>
    <row r="121" spans="1:42" ht="61.5" thickTop="1" thickBot="1" x14ac:dyDescent="0.3">
      <c r="A121" s="110">
        <v>443693</v>
      </c>
      <c r="B121" s="41">
        <f>VLOOKUP($A121,'Выгр Кат'!$A:$T,B$1,0)</f>
        <v>108801</v>
      </c>
      <c r="C121" s="75" t="str">
        <f>VLOOKUP($A121,'Выгр Кат'!$A:$T,C$1,0)</f>
        <v>Пружины передней подвески Технорессор Драйв с занижением 90 мм для Лада Калина, Калина 2, Приора, Гранта</v>
      </c>
      <c r="D121" s="41" t="str">
        <f>VLOOKUP($A121,'Выгр Кат'!$A:$T,D$1,0)</f>
        <v>Y</v>
      </c>
      <c r="E121" s="41" t="str">
        <f>VLOOKUP($A121,'Выгр Кат'!$A:$T,E$1,0)</f>
        <v>1</v>
      </c>
      <c r="F121" s="41">
        <f>VLOOKUP($A121,'Выгр Кат'!$A:$T,F$1,0)</f>
        <v>0</v>
      </c>
      <c r="G121" s="36"/>
      <c r="H121" s="105" t="s">
        <v>420</v>
      </c>
      <c r="I121" s="1" t="s">
        <v>65</v>
      </c>
      <c r="J121" s="63">
        <f>VLOOKUP(H121,Прайс!B:D,3,0)</f>
        <v>3350</v>
      </c>
      <c r="K121" s="61">
        <f>VLOOKUP(J121,Наценка!$A$1:$B$8,2,1)</f>
        <v>1.32</v>
      </c>
      <c r="L121" s="96">
        <f>V121*1.04</f>
        <v>5085.6000000000004</v>
      </c>
      <c r="M121" s="63">
        <f t="shared" si="44"/>
        <v>5090</v>
      </c>
      <c r="N121" s="41">
        <f>VLOOKUP($A121,'Выгр Кат'!$A:$T,N$1,0)</f>
        <v>3350</v>
      </c>
      <c r="O121" s="41">
        <f>VLOOKUP($A121,'Выгр Кат'!$A:$T,O$1,0)</f>
        <v>5090</v>
      </c>
      <c r="P121" s="52">
        <f t="shared" si="45"/>
        <v>0</v>
      </c>
      <c r="Q121" s="52">
        <f t="shared" si="46"/>
        <v>0</v>
      </c>
      <c r="R121" s="59">
        <f t="shared" si="47"/>
        <v>4733.7</v>
      </c>
      <c r="S121" s="76">
        <f t="shared" si="48"/>
        <v>0.41304477611940293</v>
      </c>
      <c r="T121" s="76">
        <f t="shared" si="49"/>
        <v>3.1963190184049119E-2</v>
      </c>
      <c r="U121" s="76">
        <f t="shared" si="50"/>
        <v>0.45970149253731352</v>
      </c>
      <c r="V121" s="89">
        <f t="shared" si="51"/>
        <v>4890</v>
      </c>
      <c r="W121" s="79">
        <f>IFERROR(ROUND((VLOOKUP($A121,'Из ГУГЛа'!$B:$AD,W$1,0)+Y121)*X121,),VLOOKUP($A121,'Из ГУГЛа'!$B:$AD,W$1,0))</f>
        <v>4890</v>
      </c>
      <c r="X121" s="51">
        <v>1</v>
      </c>
      <c r="Y121" s="51">
        <v>0</v>
      </c>
      <c r="Z121" s="87">
        <v>4890</v>
      </c>
      <c r="AA121" s="65" t="s">
        <v>302</v>
      </c>
      <c r="AB121" s="79">
        <f>IFERROR(ROUND((VLOOKUP($A121,'Из ГУГЛа'!$B:$AD,AB$1,0)+AD121)*AC121,),VLOOKUP($A121,'Из ГУГЛа'!$B:$AD,AB$1,0))</f>
        <v>4550</v>
      </c>
      <c r="AC121" s="51">
        <v>1</v>
      </c>
      <c r="AD121" s="51">
        <v>0</v>
      </c>
      <c r="AE121" s="107">
        <v>4550</v>
      </c>
      <c r="AF121" s="65" t="s">
        <v>361</v>
      </c>
      <c r="AG121" s="79" t="str">
        <f>IFERROR(ROUND((VLOOKUP($A121,'Из ГУГЛа'!$B:$AD,AG$1,0)+AI121)*AH121,),VLOOKUP($A121,'Из ГУГЛа'!$B:$AD,AG$1,0))</f>
        <v/>
      </c>
      <c r="AH121" s="51">
        <v>1</v>
      </c>
      <c r="AI121" s="51">
        <v>0</v>
      </c>
      <c r="AJ121" s="41"/>
      <c r="AK121" s="41"/>
      <c r="AL121" s="79" t="str">
        <f>IFERROR(ROUND((VLOOKUP($A121,'Из ГУГЛа'!$B:$AD,AL$1,0)+AN121)*AM121,),VLOOKUP($A121,'Из ГУГЛа'!$B:$AD,AL$1,0))</f>
        <v/>
      </c>
      <c r="AM121" s="51">
        <v>1</v>
      </c>
      <c r="AN121" s="51">
        <v>0</v>
      </c>
      <c r="AO121" s="41"/>
      <c r="AP121" s="41"/>
    </row>
    <row r="122" spans="1:42" ht="46.5" thickTop="1" thickBot="1" x14ac:dyDescent="0.3">
      <c r="A122" s="110">
        <v>444136</v>
      </c>
      <c r="B122" s="41">
        <f>VLOOKUP($A122,'Выгр Кат'!$A:$T,B$1,0)</f>
        <v>444136</v>
      </c>
      <c r="C122" s="75" t="str">
        <f>VLOOKUP($A122,'Выгр Кат'!$A:$T,C$1,0)</f>
        <v>Пружины передней подвески ТехноРессор с завышением 30 мм, усиленные для Лада Нива 4х4</v>
      </c>
      <c r="D122" s="41" t="str">
        <f>VLOOKUP($A122,'Выгр Кат'!$A:$T,D$1,0)</f>
        <v>Y</v>
      </c>
      <c r="E122" s="41" t="str">
        <f>VLOOKUP($A122,'Выгр Кат'!$A:$T,E$1,0)</f>
        <v>1</v>
      </c>
      <c r="F122" s="41">
        <f>VLOOKUP($A122,'Выгр Кат'!$A:$T,F$1,0)</f>
        <v>0</v>
      </c>
      <c r="G122" s="36"/>
      <c r="H122" s="105" t="s">
        <v>422</v>
      </c>
      <c r="I122" s="1" t="s">
        <v>65</v>
      </c>
      <c r="J122" s="62">
        <f>N122</f>
        <v>3800</v>
      </c>
      <c r="K122" s="61">
        <f>VLOOKUP(J122,Наценка!$A$1:$B$8,2,1)</f>
        <v>1.32</v>
      </c>
      <c r="L122" s="64">
        <f t="shared" si="53"/>
        <v>5016</v>
      </c>
      <c r="M122" s="63">
        <f t="shared" si="44"/>
        <v>5090</v>
      </c>
      <c r="N122" s="41">
        <f>VLOOKUP($A122,'Выгр Кат'!$A:$T,N$1,0)</f>
        <v>3800</v>
      </c>
      <c r="O122" s="41">
        <f>VLOOKUP($A122,'Выгр Кат'!$A:$T,O$1,0)</f>
        <v>5090</v>
      </c>
      <c r="P122" s="52">
        <f t="shared" si="45"/>
        <v>0</v>
      </c>
      <c r="Q122" s="52">
        <f t="shared" si="46"/>
        <v>0</v>
      </c>
      <c r="R122" s="59">
        <f t="shared" si="47"/>
        <v>4733.7</v>
      </c>
      <c r="S122" s="76">
        <f t="shared" si="48"/>
        <v>0.24571052631578949</v>
      </c>
      <c r="T122" s="76" t="str">
        <f t="shared" si="49"/>
        <v/>
      </c>
      <c r="U122" s="76" t="str">
        <f t="shared" si="50"/>
        <v/>
      </c>
      <c r="V122" s="108"/>
      <c r="W122" s="79" t="str">
        <f>IFERROR(ROUND((VLOOKUP($A122,'Из ГУГЛа'!$B:$AD,W$1,0)+Y122)*X122,),VLOOKUP($A122,'Из ГУГЛа'!$B:$AD,W$1,0))</f>
        <v/>
      </c>
      <c r="X122" s="51">
        <v>1</v>
      </c>
      <c r="Y122" s="51">
        <v>0</v>
      </c>
      <c r="Z122" s="108"/>
      <c r="AB122" s="79" t="str">
        <f>IFERROR(ROUND((VLOOKUP($A122,'Из ГУГЛа'!$B:$AD,AB$1,0)+AD122)*AC122,),VLOOKUP($A122,'Из ГУГЛа'!$B:$AD,AB$1,0))</f>
        <v/>
      </c>
      <c r="AC122" s="51">
        <v>1</v>
      </c>
      <c r="AD122" s="51">
        <v>0</v>
      </c>
      <c r="AE122" s="85"/>
      <c r="AG122" s="79" t="str">
        <f>IFERROR(ROUND((VLOOKUP($A122,'Из ГУГЛа'!$B:$AD,AG$1,0)+AI122)*AH122,),VLOOKUP($A122,'Из ГУГЛа'!$B:$AD,AG$1,0))</f>
        <v/>
      </c>
      <c r="AH122" s="51">
        <v>1</v>
      </c>
      <c r="AI122" s="51">
        <v>0</v>
      </c>
      <c r="AJ122" s="41"/>
      <c r="AK122" s="41"/>
      <c r="AL122" s="79" t="str">
        <f>IFERROR(ROUND((VLOOKUP($A122,'Из ГУГЛа'!$B:$AD,AL$1,0)+AN122)*AM122,),VLOOKUP($A122,'Из ГУГЛа'!$B:$AD,AL$1,0))</f>
        <v/>
      </c>
      <c r="AM122" s="51">
        <v>1</v>
      </c>
      <c r="AN122" s="51">
        <v>0</v>
      </c>
      <c r="AO122" s="41"/>
      <c r="AP122" s="41"/>
    </row>
    <row r="123" spans="1:42" ht="46.5" thickTop="1" thickBot="1" x14ac:dyDescent="0.3">
      <c r="A123" s="110">
        <v>444158</v>
      </c>
      <c r="B123" s="41">
        <f>VLOOKUP($A123,'Выгр Кат'!$A:$T,B$1,0)</f>
        <v>444158</v>
      </c>
      <c r="C123" s="75" t="str">
        <f>VLOOKUP($A123,'Выгр Кат'!$A:$T,C$1,0)</f>
        <v>Пружины передней подвески ТехноРессор с завышением 50 мм, усиленные для Лада Нива 4х4</v>
      </c>
      <c r="D123" s="41" t="str">
        <f>VLOOKUP($A123,'Выгр Кат'!$A:$T,D$1,0)</f>
        <v>Y</v>
      </c>
      <c r="E123" s="41" t="str">
        <f>VLOOKUP($A123,'Выгр Кат'!$A:$T,E$1,0)</f>
        <v>1</v>
      </c>
      <c r="F123" s="41">
        <f>VLOOKUP($A123,'Выгр Кат'!$A:$T,F$1,0)</f>
        <v>0</v>
      </c>
      <c r="G123" s="36"/>
      <c r="H123" s="105" t="s">
        <v>423</v>
      </c>
      <c r="I123" s="1" t="s">
        <v>65</v>
      </c>
      <c r="J123" s="62">
        <f>N123</f>
        <v>3800</v>
      </c>
      <c r="K123" s="61">
        <f>VLOOKUP(J123,Наценка!$A$1:$B$8,2,1)</f>
        <v>1.32</v>
      </c>
      <c r="L123" s="64">
        <f t="shared" si="53"/>
        <v>5016</v>
      </c>
      <c r="M123" s="63">
        <f t="shared" si="44"/>
        <v>5090</v>
      </c>
      <c r="N123" s="41">
        <f>VLOOKUP($A123,'Выгр Кат'!$A:$T,N$1,0)</f>
        <v>3800</v>
      </c>
      <c r="O123" s="41">
        <f>VLOOKUP($A123,'Выгр Кат'!$A:$T,O$1,0)</f>
        <v>5090</v>
      </c>
      <c r="P123" s="52">
        <f t="shared" si="45"/>
        <v>0</v>
      </c>
      <c r="Q123" s="52">
        <f t="shared" si="46"/>
        <v>0</v>
      </c>
      <c r="R123" s="59">
        <f t="shared" si="47"/>
        <v>4733.7</v>
      </c>
      <c r="S123" s="76">
        <f t="shared" si="48"/>
        <v>0.24571052631578949</v>
      </c>
      <c r="T123" s="76" t="str">
        <f t="shared" si="49"/>
        <v/>
      </c>
      <c r="U123" s="76" t="str">
        <f t="shared" si="50"/>
        <v/>
      </c>
      <c r="V123" s="108"/>
      <c r="W123" s="79" t="str">
        <f>IFERROR(ROUND((VLOOKUP($A123,'Из ГУГЛа'!$B:$AD,W$1,0)+Y123)*X123,),VLOOKUP($A123,'Из ГУГЛа'!$B:$AD,W$1,0))</f>
        <v/>
      </c>
      <c r="X123" s="51">
        <v>1</v>
      </c>
      <c r="Y123" s="51">
        <v>0</v>
      </c>
      <c r="Z123" s="108"/>
      <c r="AB123" s="79" t="str">
        <f>IFERROR(ROUND((VLOOKUP($A123,'Из ГУГЛа'!$B:$AD,AB$1,0)+AD123)*AC123,),VLOOKUP($A123,'Из ГУГЛа'!$B:$AD,AB$1,0))</f>
        <v/>
      </c>
      <c r="AC123" s="51">
        <v>1</v>
      </c>
      <c r="AD123" s="51">
        <v>0</v>
      </c>
      <c r="AE123" s="85"/>
      <c r="AG123" s="79" t="str">
        <f>IFERROR(ROUND((VLOOKUP($A123,'Из ГУГЛа'!$B:$AD,AG$1,0)+AI123)*AH123,),VLOOKUP($A123,'Из ГУГЛа'!$B:$AD,AG$1,0))</f>
        <v/>
      </c>
      <c r="AH123" s="51">
        <v>1</v>
      </c>
      <c r="AI123" s="51">
        <v>0</v>
      </c>
      <c r="AJ123" s="41"/>
      <c r="AK123" s="41"/>
      <c r="AL123" s="79" t="str">
        <f>IFERROR(ROUND((VLOOKUP($A123,'Из ГУГЛа'!$B:$AD,AL$1,0)+AN123)*AM123,),VLOOKUP($A123,'Из ГУГЛа'!$B:$AD,AL$1,0))</f>
        <v/>
      </c>
      <c r="AM123" s="51">
        <v>1</v>
      </c>
      <c r="AN123" s="51">
        <v>0</v>
      </c>
      <c r="AO123" s="41"/>
      <c r="AP123" s="41"/>
    </row>
    <row r="124" spans="1:42" ht="46.5" thickTop="1" thickBot="1" x14ac:dyDescent="0.3">
      <c r="A124" s="110">
        <v>443476</v>
      </c>
      <c r="B124" s="41">
        <f>VLOOKUP($A124,'Выгр Кат'!$A:$T,B$1,0)</f>
        <v>127085</v>
      </c>
      <c r="C124" s="75" t="str">
        <f>VLOOKUP($A124,'Выгр Кат'!$A:$T,C$1,0)</f>
        <v>Пружины передней подвески Фобос Спорт с занижением 25 мм для ВАЗ 2101-2107</v>
      </c>
      <c r="D124" s="41" t="str">
        <f>VLOOKUP($A124,'Выгр Кат'!$A:$T,D$1,0)</f>
        <v>Y</v>
      </c>
      <c r="E124" s="41" t="str">
        <f>VLOOKUP($A124,'Выгр Кат'!$A:$T,E$1,0)</f>
        <v>0</v>
      </c>
      <c r="F124" s="41" t="str">
        <f>VLOOKUP($A124,'Выгр Кат'!$A:$T,F$1,0)</f>
        <v>24595</v>
      </c>
      <c r="G124" s="36"/>
      <c r="H124" s="105" t="s">
        <v>29</v>
      </c>
      <c r="I124" s="1" t="s">
        <v>65</v>
      </c>
      <c r="J124" s="63">
        <f>VLOOKUP(H124,Прайс!B:D,3,0)</f>
        <v>3550</v>
      </c>
      <c r="K124" s="61">
        <f>VLOOKUP(J124,Наценка!$A$1:$B$8,2,1)</f>
        <v>1.32</v>
      </c>
      <c r="L124" s="96">
        <f t="shared" ref="L124:L125" si="59">V124*1.04</f>
        <v>4773.6000000000004</v>
      </c>
      <c r="M124" s="63">
        <f t="shared" si="44"/>
        <v>4790</v>
      </c>
      <c r="N124" s="41">
        <f>VLOOKUP($A124,'Выгр Кат'!$A:$T,N$1,0)</f>
        <v>3550</v>
      </c>
      <c r="O124" s="41">
        <f>VLOOKUP($A124,'Выгр Кат'!$A:$T,O$1,0)</f>
        <v>4790</v>
      </c>
      <c r="P124" s="52">
        <f t="shared" si="45"/>
        <v>0</v>
      </c>
      <c r="Q124" s="52">
        <f t="shared" si="46"/>
        <v>0</v>
      </c>
      <c r="R124" s="59">
        <f t="shared" si="47"/>
        <v>4454.7</v>
      </c>
      <c r="S124" s="76">
        <f t="shared" si="48"/>
        <v>0.25484507042253512</v>
      </c>
      <c r="T124" s="76">
        <f t="shared" si="49"/>
        <v>2.9477124183006576E-2</v>
      </c>
      <c r="U124" s="76">
        <f t="shared" si="50"/>
        <v>0.29295774647887329</v>
      </c>
      <c r="V124" s="89">
        <f t="shared" si="51"/>
        <v>4590</v>
      </c>
      <c r="W124" s="79">
        <f>IFERROR(ROUND((VLOOKUP($A124,'Из ГУГЛа'!$B:$AD,W$1,0)+Y124)*X124,),VLOOKUP($A124,'Из ГУГЛа'!$B:$AD,W$1,0))</f>
        <v>4590</v>
      </c>
      <c r="X124" s="51">
        <v>1</v>
      </c>
      <c r="Y124" s="51">
        <v>0</v>
      </c>
      <c r="Z124" s="87">
        <v>4590</v>
      </c>
      <c r="AA124" s="65" t="s">
        <v>328</v>
      </c>
      <c r="AB124" s="79">
        <f>IFERROR(ROUND((VLOOKUP($A124,'Из ГУГЛа'!$B:$AD,AB$1,0)+AD124)*AC124,),VLOOKUP($A124,'Из ГУГЛа'!$B:$AD,AB$1,0))</f>
        <v>3835</v>
      </c>
      <c r="AC124" s="51">
        <v>1</v>
      </c>
      <c r="AD124" s="51">
        <v>0</v>
      </c>
      <c r="AE124" s="107">
        <v>3835</v>
      </c>
      <c r="AF124" s="65" t="s">
        <v>381</v>
      </c>
      <c r="AG124" s="79" t="str">
        <f>IFERROR(ROUND((VLOOKUP($A124,'Из ГУГЛа'!$B:$AD,AG$1,0)+AI124)*AH124,),VLOOKUP($A124,'Из ГУГЛа'!$B:$AD,AG$1,0))</f>
        <v/>
      </c>
      <c r="AH124" s="51">
        <v>1</v>
      </c>
      <c r="AI124" s="51">
        <v>0</v>
      </c>
      <c r="AJ124" s="41"/>
      <c r="AK124" s="41"/>
      <c r="AL124" s="79" t="str">
        <f>IFERROR(ROUND((VLOOKUP($A124,'Из ГУГЛа'!$B:$AD,AL$1,0)+AN124)*AM124,),VLOOKUP($A124,'Из ГУГЛа'!$B:$AD,AL$1,0))</f>
        <v/>
      </c>
      <c r="AM124" s="51">
        <v>1</v>
      </c>
      <c r="AN124" s="51">
        <v>0</v>
      </c>
      <c r="AO124" s="41"/>
      <c r="AP124" s="41"/>
    </row>
    <row r="125" spans="1:42" ht="46.5" thickTop="1" thickBot="1" x14ac:dyDescent="0.3">
      <c r="A125" s="110">
        <v>443590</v>
      </c>
      <c r="B125" s="41">
        <f>VLOOKUP($A125,'Выгр Кат'!$A:$T,B$1,0)</f>
        <v>127238</v>
      </c>
      <c r="C125" s="75" t="str">
        <f>VLOOKUP($A125,'Выгр Кат'!$A:$T,C$1,0)</f>
        <v>Пружины передней подвески Фобос Спорт с занижением 25 мм для ВАЗ 2108-21099, 2113-2115, 2110-2112</v>
      </c>
      <c r="D125" s="41" t="str">
        <f>VLOOKUP($A125,'Выгр Кат'!$A:$T,D$1,0)</f>
        <v>Y</v>
      </c>
      <c r="E125" s="41" t="str">
        <f>VLOOKUP($A125,'Выгр Кат'!$A:$T,E$1,0)</f>
        <v>0</v>
      </c>
      <c r="F125" s="41" t="str">
        <f>VLOOKUP($A125,'Выгр Кат'!$A:$T,F$1,0)</f>
        <v>30416 / 2112-2902712</v>
      </c>
      <c r="G125" s="36"/>
      <c r="H125" s="105" t="s">
        <v>43</v>
      </c>
      <c r="I125" s="1" t="s">
        <v>65</v>
      </c>
      <c r="J125" s="63">
        <f>VLOOKUP(H125,Прайс!B:D,3,0)</f>
        <v>3850</v>
      </c>
      <c r="K125" s="61">
        <f>VLOOKUP(J125,Наценка!$A$1:$B$8,2,1)</f>
        <v>1.32</v>
      </c>
      <c r="L125" s="96">
        <f t="shared" si="59"/>
        <v>4981.6000000000004</v>
      </c>
      <c r="M125" s="63">
        <f t="shared" si="44"/>
        <v>4990</v>
      </c>
      <c r="N125" s="41">
        <f>VLOOKUP($A125,'Выгр Кат'!$A:$T,N$1,0)</f>
        <v>3850</v>
      </c>
      <c r="O125" s="41">
        <f>VLOOKUP($A125,'Выгр Кат'!$A:$T,O$1,0)</f>
        <v>4990</v>
      </c>
      <c r="P125" s="52">
        <f t="shared" si="45"/>
        <v>0</v>
      </c>
      <c r="Q125" s="52">
        <f t="shared" si="46"/>
        <v>0</v>
      </c>
      <c r="R125" s="59">
        <f t="shared" si="47"/>
        <v>4640.7</v>
      </c>
      <c r="S125" s="76">
        <f t="shared" si="48"/>
        <v>0.20537662337662344</v>
      </c>
      <c r="T125" s="76">
        <f t="shared" si="49"/>
        <v>3.1169102296450979E-2</v>
      </c>
      <c r="U125" s="76">
        <f t="shared" si="50"/>
        <v>0.24415584415584424</v>
      </c>
      <c r="V125" s="89">
        <f t="shared" si="51"/>
        <v>4790</v>
      </c>
      <c r="W125" s="79">
        <f>IFERROR(ROUND((VLOOKUP($A125,'Из ГУГЛа'!$B:$AD,W$1,0)+Y125)*X125,),VLOOKUP($A125,'Из ГУГЛа'!$B:$AD,W$1,0))</f>
        <v>4790</v>
      </c>
      <c r="X125" s="51">
        <v>1</v>
      </c>
      <c r="Y125" s="51">
        <v>0</v>
      </c>
      <c r="Z125" s="87">
        <v>4790</v>
      </c>
      <c r="AA125" s="65" t="s">
        <v>316</v>
      </c>
      <c r="AB125" s="79">
        <f>IFERROR(ROUND((VLOOKUP($A125,'Из ГУГЛа'!$B:$AD,AB$1,0)+AD125)*AC125,),VLOOKUP($A125,'Из ГУГЛа'!$B:$AD,AB$1,0))</f>
        <v>4225</v>
      </c>
      <c r="AC125" s="51">
        <v>1</v>
      </c>
      <c r="AD125" s="51">
        <v>0</v>
      </c>
      <c r="AE125" s="107">
        <v>4225</v>
      </c>
      <c r="AF125" s="65" t="s">
        <v>390</v>
      </c>
      <c r="AG125" s="79" t="str">
        <f>IFERROR(ROUND((VLOOKUP($A125,'Из ГУГЛа'!$B:$AD,AG$1,0)+AI125)*AH125,),VLOOKUP($A125,'Из ГУГЛа'!$B:$AD,AG$1,0))</f>
        <v/>
      </c>
      <c r="AH125" s="51">
        <v>1</v>
      </c>
      <c r="AI125" s="51">
        <v>0</v>
      </c>
      <c r="AJ125" s="41"/>
      <c r="AK125" s="41"/>
      <c r="AL125" s="79" t="str">
        <f>IFERROR(ROUND((VLOOKUP($A125,'Из ГУГЛа'!$B:$AD,AL$1,0)+AN125)*AM125,),VLOOKUP($A125,'Из ГУГЛа'!$B:$AD,AL$1,0))</f>
        <v/>
      </c>
      <c r="AM125" s="51">
        <v>1</v>
      </c>
      <c r="AN125" s="51">
        <v>0</v>
      </c>
      <c r="AO125" s="41"/>
      <c r="AP125" s="41"/>
    </row>
    <row r="126" spans="1:42" ht="46.5" thickTop="1" thickBot="1" x14ac:dyDescent="0.3">
      <c r="A126" s="110">
        <v>443694</v>
      </c>
      <c r="B126" s="41">
        <f>VLOOKUP($A126,'Выгр Кат'!$A:$T,B$1,0)</f>
        <v>127314</v>
      </c>
      <c r="C126" s="75" t="str">
        <f>VLOOKUP($A126,'Выгр Кат'!$A:$T,C$1,0)</f>
        <v>Пружины передней подвески Фобос Спорт с занижением 25 мм для Лада Калина, Калина 2, Приора, Гранта</v>
      </c>
      <c r="D126" s="41" t="str">
        <f>VLOOKUP($A126,'Выгр Кат'!$A:$T,D$1,0)</f>
        <v>Y</v>
      </c>
      <c r="E126" s="41" t="str">
        <f>VLOOKUP($A126,'Выгр Кат'!$A:$T,E$1,0)</f>
        <v>0</v>
      </c>
      <c r="F126" s="41" t="str">
        <f>VLOOKUP($A126,'Выгр Кат'!$A:$T,F$1,0)</f>
        <v>217025 / 2170-2902712</v>
      </c>
      <c r="G126" s="36"/>
      <c r="H126" s="105" t="s">
        <v>49</v>
      </c>
      <c r="I126" s="1" t="s">
        <v>65</v>
      </c>
      <c r="J126" s="63">
        <f>VLOOKUP(H126,Прайс!B:D,3,0)</f>
        <v>3000</v>
      </c>
      <c r="K126" s="61">
        <f>VLOOKUP(J126,Наценка!$A$1:$B$8,2,1)</f>
        <v>1.32</v>
      </c>
      <c r="L126" s="100">
        <f>J126*1.2*100/93</f>
        <v>3870.9677419354839</v>
      </c>
      <c r="M126" s="63">
        <f t="shared" si="44"/>
        <v>3890</v>
      </c>
      <c r="N126" s="41">
        <f>VLOOKUP($A126,'Выгр Кат'!$A:$T,N$1,0)</f>
        <v>3000</v>
      </c>
      <c r="O126" s="41">
        <f>VLOOKUP($A126,'Выгр Кат'!$A:$T,O$1,0)</f>
        <v>3890</v>
      </c>
      <c r="P126" s="52">
        <f t="shared" si="45"/>
        <v>0</v>
      </c>
      <c r="Q126" s="52">
        <f t="shared" si="46"/>
        <v>0</v>
      </c>
      <c r="R126" s="59">
        <f t="shared" si="47"/>
        <v>3617.7</v>
      </c>
      <c r="S126" s="76">
        <f t="shared" si="48"/>
        <v>0.20589999999999997</v>
      </c>
      <c r="T126" s="76">
        <f t="shared" si="49"/>
        <v>-7.7158774373258547E-3</v>
      </c>
      <c r="U126" s="76">
        <f t="shared" si="50"/>
        <v>0.19666666666666677</v>
      </c>
      <c r="V126" s="89">
        <f t="shared" si="51"/>
        <v>3590</v>
      </c>
      <c r="W126" s="79">
        <f>IFERROR(ROUND((VLOOKUP($A126,'Из ГУГЛа'!$B:$AD,W$1,0)+Y126)*X126,),VLOOKUP($A126,'Из ГУГЛа'!$B:$AD,W$1,0))</f>
        <v>3590</v>
      </c>
      <c r="X126" s="51">
        <v>1</v>
      </c>
      <c r="Y126" s="51">
        <v>0</v>
      </c>
      <c r="Z126" s="87">
        <v>3590</v>
      </c>
      <c r="AA126" s="65" t="s">
        <v>332</v>
      </c>
      <c r="AB126" s="79">
        <f>IFERROR(ROUND((VLOOKUP($A126,'Из ГУГЛа'!$B:$AD,AB$1,0)+AD126)*AC126,),VLOOKUP($A126,'Из ГУГЛа'!$B:$AD,AB$1,0))</f>
        <v>3120</v>
      </c>
      <c r="AC126" s="51">
        <v>1</v>
      </c>
      <c r="AD126" s="51">
        <v>0</v>
      </c>
      <c r="AE126" s="107">
        <v>3120</v>
      </c>
      <c r="AF126" s="65" t="s">
        <v>395</v>
      </c>
      <c r="AG126" s="79" t="str">
        <f>IFERROR(ROUND((VLOOKUP($A126,'Из ГУГЛа'!$B:$AD,AG$1,0)+AI126)*AH126,),VLOOKUP($A126,'Из ГУГЛа'!$B:$AD,AG$1,0))</f>
        <v/>
      </c>
      <c r="AH126" s="51">
        <v>1</v>
      </c>
      <c r="AI126" s="51">
        <v>0</v>
      </c>
      <c r="AJ126" s="41"/>
      <c r="AK126" s="41"/>
      <c r="AL126" s="79" t="str">
        <f>IFERROR(ROUND((VLOOKUP($A126,'Из ГУГЛа'!$B:$AD,AL$1,0)+AN126)*AM126,),VLOOKUP($A126,'Из ГУГЛа'!$B:$AD,AL$1,0))</f>
        <v/>
      </c>
      <c r="AM126" s="51">
        <v>1</v>
      </c>
      <c r="AN126" s="51">
        <v>0</v>
      </c>
      <c r="AO126" s="41"/>
      <c r="AP126" s="41"/>
    </row>
    <row r="127" spans="1:42" ht="46.5" thickTop="1" thickBot="1" x14ac:dyDescent="0.3">
      <c r="A127" s="110">
        <v>443477</v>
      </c>
      <c r="B127" s="41">
        <f>VLOOKUP($A127,'Выгр Кат'!$A:$T,B$1,0)</f>
        <v>127086</v>
      </c>
      <c r="C127" s="75" t="str">
        <f>VLOOKUP($A127,'Выгр Кат'!$A:$T,C$1,0)</f>
        <v>Пружины передней подвески Фобос Спорт с занижением 40 мм для ВАЗ 2101-2107</v>
      </c>
      <c r="D127" s="41" t="str">
        <f>VLOOKUP($A127,'Выгр Кат'!$A:$T,D$1,0)</f>
        <v>Y</v>
      </c>
      <c r="E127" s="41" t="str">
        <f>VLOOKUP($A127,'Выгр Кат'!$A:$T,E$1,0)</f>
        <v>0</v>
      </c>
      <c r="F127" s="41">
        <f>VLOOKUP($A127,'Выгр Кат'!$A:$T,F$1,0)</f>
        <v>0</v>
      </c>
      <c r="G127" s="36"/>
      <c r="H127" s="105"/>
      <c r="I127" s="1" t="s">
        <v>65</v>
      </c>
      <c r="J127" s="62">
        <f>N127</f>
        <v>3500</v>
      </c>
      <c r="K127" s="61">
        <f>VLOOKUP(J127,Наценка!$A$1:$B$8,2,1)</f>
        <v>1.32</v>
      </c>
      <c r="L127" s="64">
        <f t="shared" si="53"/>
        <v>4620</v>
      </c>
      <c r="M127" s="63">
        <f t="shared" si="44"/>
        <v>4690</v>
      </c>
      <c r="N127" s="41">
        <f>VLOOKUP($A127,'Выгр Кат'!$A:$T,N$1,0)</f>
        <v>3500</v>
      </c>
      <c r="O127" s="41">
        <f>VLOOKUP($A127,'Выгр Кат'!$A:$T,O$1,0)</f>
        <v>4690</v>
      </c>
      <c r="P127" s="52">
        <f t="shared" si="45"/>
        <v>0</v>
      </c>
      <c r="Q127" s="52">
        <f t="shared" si="46"/>
        <v>0</v>
      </c>
      <c r="R127" s="59">
        <f t="shared" si="47"/>
        <v>4361.7</v>
      </c>
      <c r="S127" s="76">
        <f t="shared" si="48"/>
        <v>0.24619999999999997</v>
      </c>
      <c r="T127" s="76" t="str">
        <f t="shared" si="49"/>
        <v/>
      </c>
      <c r="U127" s="76" t="str">
        <f t="shared" si="50"/>
        <v/>
      </c>
      <c r="V127" s="108"/>
      <c r="W127" s="79" t="str">
        <f>IFERROR(ROUND((VLOOKUP($A127,'Из ГУГЛа'!$B:$AD,W$1,0)+Y127)*X127,),VLOOKUP($A127,'Из ГУГЛа'!$B:$AD,W$1,0))</f>
        <v/>
      </c>
      <c r="X127" s="51">
        <v>1</v>
      </c>
      <c r="Y127" s="51">
        <v>0</v>
      </c>
      <c r="Z127" s="108"/>
      <c r="AB127" s="79" t="str">
        <f>IFERROR(ROUND((VLOOKUP($A127,'Из ГУГЛа'!$B:$AD,AB$1,0)+AD127)*AC127,),VLOOKUP($A127,'Из ГУГЛа'!$B:$AD,AB$1,0))</f>
        <v/>
      </c>
      <c r="AC127" s="51">
        <v>1</v>
      </c>
      <c r="AD127" s="51">
        <v>0</v>
      </c>
      <c r="AE127" s="85"/>
      <c r="AG127" s="79" t="str">
        <f>IFERROR(ROUND((VLOOKUP($A127,'Из ГУГЛа'!$B:$AD,AG$1,0)+AI127)*AH127,),VLOOKUP($A127,'Из ГУГЛа'!$B:$AD,AG$1,0))</f>
        <v/>
      </c>
      <c r="AH127" s="51">
        <v>1</v>
      </c>
      <c r="AI127" s="51">
        <v>0</v>
      </c>
      <c r="AJ127" s="41"/>
      <c r="AK127" s="41"/>
      <c r="AL127" s="79" t="str">
        <f>IFERROR(ROUND((VLOOKUP($A127,'Из ГУГЛа'!$B:$AD,AL$1,0)+AN127)*AM127,),VLOOKUP($A127,'Из ГУГЛа'!$B:$AD,AL$1,0))</f>
        <v/>
      </c>
      <c r="AM127" s="51">
        <v>1</v>
      </c>
      <c r="AN127" s="51">
        <v>0</v>
      </c>
      <c r="AO127" s="41"/>
      <c r="AP127" s="41"/>
    </row>
    <row r="128" spans="1:42" ht="46.5" thickTop="1" thickBot="1" x14ac:dyDescent="0.3">
      <c r="A128" s="110">
        <v>443591</v>
      </c>
      <c r="B128" s="41">
        <f>VLOOKUP($A128,'Выгр Кат'!$A:$T,B$1,0)</f>
        <v>127239</v>
      </c>
      <c r="C128" s="75" t="str">
        <f>VLOOKUP($A128,'Выгр Кат'!$A:$T,C$1,0)</f>
        <v>Пружины передней подвески Фобос Спорт с занижением 40 мм для ВАЗ 2108-21099, 2113-2115, 2110-2112</v>
      </c>
      <c r="D128" s="41" t="str">
        <f>VLOOKUP($A128,'Выгр Кат'!$A:$T,D$1,0)</f>
        <v>Y</v>
      </c>
      <c r="E128" s="41" t="str">
        <f>VLOOKUP($A128,'Выгр Кат'!$A:$T,E$1,0)</f>
        <v>0</v>
      </c>
      <c r="F128" s="41" t="str">
        <f>VLOOKUP($A128,'Выгр Кат'!$A:$T,F$1,0)</f>
        <v>21434 / 2112-2902712</v>
      </c>
      <c r="G128" s="36"/>
      <c r="H128" s="105" t="s">
        <v>44</v>
      </c>
      <c r="I128" s="1" t="s">
        <v>65</v>
      </c>
      <c r="J128" s="63">
        <f>VLOOKUP(H128,Прайс!B:D,3,0)</f>
        <v>3500</v>
      </c>
      <c r="K128" s="61">
        <f>VLOOKUP(J128,Наценка!$A$1:$B$8,2,1)</f>
        <v>1.32</v>
      </c>
      <c r="L128" s="96">
        <f>V128*1.04</f>
        <v>4565.6000000000004</v>
      </c>
      <c r="M128" s="63">
        <f t="shared" si="44"/>
        <v>4590</v>
      </c>
      <c r="N128" s="41">
        <f>VLOOKUP($A128,'Выгр Кат'!$A:$T,N$1,0)</f>
        <v>3500</v>
      </c>
      <c r="O128" s="41">
        <f>VLOOKUP($A128,'Выгр Кат'!$A:$T,O$1,0)</f>
        <v>4590</v>
      </c>
      <c r="P128" s="52">
        <f t="shared" si="45"/>
        <v>0</v>
      </c>
      <c r="Q128" s="52">
        <f t="shared" si="46"/>
        <v>0</v>
      </c>
      <c r="R128" s="59">
        <f t="shared" si="47"/>
        <v>4268.7</v>
      </c>
      <c r="S128" s="76">
        <f t="shared" si="48"/>
        <v>0.21962857142857128</v>
      </c>
      <c r="T128" s="76">
        <f t="shared" si="49"/>
        <v>2.7630979498861088E-2</v>
      </c>
      <c r="U128" s="76">
        <f t="shared" si="50"/>
        <v>0.25428571428571423</v>
      </c>
      <c r="V128" s="89">
        <f t="shared" si="51"/>
        <v>4390</v>
      </c>
      <c r="W128" s="79">
        <f>IFERROR(ROUND((VLOOKUP($A128,'Из ГУГЛа'!$B:$AD,W$1,0)+Y128)*X128,),VLOOKUP($A128,'Из ГУГЛа'!$B:$AD,W$1,0))</f>
        <v>4390</v>
      </c>
      <c r="X128" s="51">
        <v>1</v>
      </c>
      <c r="Y128" s="51">
        <v>0</v>
      </c>
      <c r="Z128" s="87">
        <v>4390</v>
      </c>
      <c r="AA128" s="65" t="s">
        <v>317</v>
      </c>
      <c r="AB128" s="79">
        <f>IFERROR(ROUND((VLOOKUP($A128,'Из ГУГЛа'!$B:$AD,AB$1,0)+AD128)*AC128,),VLOOKUP($A128,'Из ГУГЛа'!$B:$AD,AB$1,0))</f>
        <v>4030</v>
      </c>
      <c r="AC128" s="51">
        <v>1</v>
      </c>
      <c r="AD128" s="51">
        <v>0</v>
      </c>
      <c r="AE128" s="107">
        <v>4030</v>
      </c>
      <c r="AF128" s="65" t="s">
        <v>391</v>
      </c>
      <c r="AG128" s="79" t="str">
        <f>IFERROR(ROUND((VLOOKUP($A128,'Из ГУГЛа'!$B:$AD,AG$1,0)+AI128)*AH128,),VLOOKUP($A128,'Из ГУГЛа'!$B:$AD,AG$1,0))</f>
        <v/>
      </c>
      <c r="AH128" s="51">
        <v>1</v>
      </c>
      <c r="AI128" s="51">
        <v>0</v>
      </c>
      <c r="AJ128" s="41"/>
      <c r="AK128" s="41"/>
      <c r="AL128" s="79" t="str">
        <f>IFERROR(ROUND((VLOOKUP($A128,'Из ГУГЛа'!$B:$AD,AL$1,0)+AN128)*AM128,),VLOOKUP($A128,'Из ГУГЛа'!$B:$AD,AL$1,0))</f>
        <v/>
      </c>
      <c r="AM128" s="51">
        <v>1</v>
      </c>
      <c r="AN128" s="51">
        <v>0</v>
      </c>
      <c r="AO128" s="41"/>
      <c r="AP128" s="41"/>
    </row>
    <row r="129" spans="1:42" ht="46.5" thickTop="1" thickBot="1" x14ac:dyDescent="0.3">
      <c r="A129" s="110">
        <v>443695</v>
      </c>
      <c r="B129" s="41">
        <f>VLOOKUP($A129,'Выгр Кат'!$A:$T,B$1,0)</f>
        <v>127315</v>
      </c>
      <c r="C129" s="75" t="str">
        <f>VLOOKUP($A129,'Выгр Кат'!$A:$T,C$1,0)</f>
        <v>Пружины передней подвески Фобос Спорт с занижением 40 мм для Лада Калина, Калина 2, Приора, Гранта</v>
      </c>
      <c r="D129" s="41" t="str">
        <f>VLOOKUP($A129,'Выгр Кат'!$A:$T,D$1,0)</f>
        <v>Y</v>
      </c>
      <c r="E129" s="41" t="str">
        <f>VLOOKUP($A129,'Выгр Кат'!$A:$T,E$1,0)</f>
        <v>0</v>
      </c>
      <c r="F129" s="41" t="str">
        <f>VLOOKUP($A129,'Выгр Кат'!$A:$T,F$1,0)</f>
        <v>49558 / 2170-2902712</v>
      </c>
      <c r="G129" s="36"/>
      <c r="H129" s="105" t="s">
        <v>49</v>
      </c>
      <c r="I129" s="1" t="s">
        <v>65</v>
      </c>
      <c r="J129" s="63">
        <f>VLOOKUP(H129,Прайс!B:D,3,0)</f>
        <v>3000</v>
      </c>
      <c r="K129" s="61">
        <f>VLOOKUP(J129,Наценка!$A$1:$B$8,2,1)</f>
        <v>1.32</v>
      </c>
      <c r="L129" s="100">
        <f>J129*1.2*100/93</f>
        <v>3870.9677419354839</v>
      </c>
      <c r="M129" s="63">
        <f t="shared" si="44"/>
        <v>3890</v>
      </c>
      <c r="N129" s="41">
        <f>VLOOKUP($A129,'Выгр Кат'!$A:$T,N$1,0)</f>
        <v>3000</v>
      </c>
      <c r="O129" s="41">
        <f>VLOOKUP($A129,'Выгр Кат'!$A:$T,O$1,0)</f>
        <v>3890</v>
      </c>
      <c r="P129" s="52">
        <f t="shared" si="45"/>
        <v>0</v>
      </c>
      <c r="Q129" s="52">
        <f t="shared" si="46"/>
        <v>0</v>
      </c>
      <c r="R129" s="59">
        <f t="shared" si="47"/>
        <v>3617.7</v>
      </c>
      <c r="S129" s="76">
        <f t="shared" si="48"/>
        <v>0.20589999999999997</v>
      </c>
      <c r="T129" s="76">
        <f t="shared" si="49"/>
        <v>-7.7158774373258547E-3</v>
      </c>
      <c r="U129" s="76">
        <f t="shared" si="50"/>
        <v>0.19666666666666677</v>
      </c>
      <c r="V129" s="89">
        <f t="shared" si="51"/>
        <v>3590</v>
      </c>
      <c r="W129" s="79">
        <f>IFERROR(ROUND((VLOOKUP($A129,'Из ГУГЛа'!$B:$AD,W$1,0)+Y129)*X129,),VLOOKUP($A129,'Из ГУГЛа'!$B:$AD,W$1,0))</f>
        <v>3590</v>
      </c>
      <c r="X129" s="51">
        <v>1</v>
      </c>
      <c r="Y129" s="51">
        <v>0</v>
      </c>
      <c r="Z129" s="87">
        <v>3590</v>
      </c>
      <c r="AA129" s="65" t="s">
        <v>333</v>
      </c>
      <c r="AB129" s="79">
        <f>IFERROR(ROUND((VLOOKUP($A129,'Из ГУГЛа'!$B:$AD,AB$1,0)+AD129)*AC129,),VLOOKUP($A129,'Из ГУГЛа'!$B:$AD,AB$1,0))</f>
        <v>3120</v>
      </c>
      <c r="AC129" s="51">
        <v>1</v>
      </c>
      <c r="AD129" s="51">
        <v>0</v>
      </c>
      <c r="AE129" s="107">
        <v>3120</v>
      </c>
      <c r="AF129" s="65" t="s">
        <v>396</v>
      </c>
      <c r="AG129" s="79" t="str">
        <f>IFERROR(ROUND((VLOOKUP($A129,'Из ГУГЛа'!$B:$AD,AG$1,0)+AI129)*AH129,),VLOOKUP($A129,'Из ГУГЛа'!$B:$AD,AG$1,0))</f>
        <v/>
      </c>
      <c r="AH129" s="51">
        <v>1</v>
      </c>
      <c r="AI129" s="51">
        <v>0</v>
      </c>
      <c r="AJ129" s="41"/>
      <c r="AK129" s="41"/>
      <c r="AL129" s="79" t="str">
        <f>IFERROR(ROUND((VLOOKUP($A129,'Из ГУГЛа'!$B:$AD,AL$1,0)+AN129)*AM129,),VLOOKUP($A129,'Из ГУГЛа'!$B:$AD,AL$1,0))</f>
        <v/>
      </c>
      <c r="AM129" s="51">
        <v>1</v>
      </c>
      <c r="AN129" s="51">
        <v>0</v>
      </c>
      <c r="AO129" s="41"/>
      <c r="AP129" s="41"/>
    </row>
    <row r="130" spans="1:42" ht="46.5" thickTop="1" thickBot="1" x14ac:dyDescent="0.3">
      <c r="A130" s="110">
        <v>443478</v>
      </c>
      <c r="B130" s="41">
        <f>VLOOKUP($A130,'Выгр Кат'!$A:$T,B$1,0)</f>
        <v>127087</v>
      </c>
      <c r="C130" s="75" t="str">
        <f>VLOOKUP($A130,'Выгр Кат'!$A:$T,C$1,0)</f>
        <v>Пружины передней подвески Фобос Спорт с занижением 50 мм для ВАЗ 2101-2107</v>
      </c>
      <c r="D130" s="41" t="str">
        <f>VLOOKUP($A130,'Выгр Кат'!$A:$T,D$1,0)</f>
        <v>Y</v>
      </c>
      <c r="E130" s="41" t="str">
        <f>VLOOKUP($A130,'Выгр Кат'!$A:$T,E$1,0)</f>
        <v>0</v>
      </c>
      <c r="F130" s="41" t="str">
        <f>VLOOKUP($A130,'Выгр Кат'!$A:$T,F$1,0)</f>
        <v>49554</v>
      </c>
      <c r="G130" s="36"/>
      <c r="H130" s="105" t="s">
        <v>30</v>
      </c>
      <c r="I130" s="1" t="s">
        <v>65</v>
      </c>
      <c r="J130" s="63">
        <f>VLOOKUP(H130,Прайс!B:D,3,0)</f>
        <v>3700</v>
      </c>
      <c r="K130" s="61">
        <f>VLOOKUP(J130,Наценка!$A$1:$B$8,2,1)</f>
        <v>1.32</v>
      </c>
      <c r="L130" s="96">
        <f>V130*1.04</f>
        <v>4773.6000000000004</v>
      </c>
      <c r="M130" s="63">
        <f t="shared" si="44"/>
        <v>4790</v>
      </c>
      <c r="N130" s="41">
        <f>VLOOKUP($A130,'Выгр Кат'!$A:$T,N$1,0)</f>
        <v>3700</v>
      </c>
      <c r="O130" s="41">
        <f>VLOOKUP($A130,'Выгр Кат'!$A:$T,O$1,0)</f>
        <v>4790</v>
      </c>
      <c r="P130" s="52">
        <f t="shared" si="45"/>
        <v>0</v>
      </c>
      <c r="Q130" s="52">
        <f t="shared" si="46"/>
        <v>0</v>
      </c>
      <c r="R130" s="59">
        <f t="shared" si="47"/>
        <v>4454.7</v>
      </c>
      <c r="S130" s="76">
        <f t="shared" si="48"/>
        <v>0.2039729729729729</v>
      </c>
      <c r="T130" s="76">
        <f t="shared" si="49"/>
        <v>2.9477124183006576E-2</v>
      </c>
      <c r="U130" s="76">
        <f t="shared" si="50"/>
        <v>0.24054054054054053</v>
      </c>
      <c r="V130" s="89">
        <f t="shared" si="51"/>
        <v>4590</v>
      </c>
      <c r="W130" s="79">
        <f>IFERROR(ROUND((VLOOKUP($A130,'Из ГУГЛа'!$B:$AD,W$1,0)+Y130)*X130,),VLOOKUP($A130,'Из ГУГЛа'!$B:$AD,W$1,0))</f>
        <v>4590</v>
      </c>
      <c r="X130" s="51">
        <v>1</v>
      </c>
      <c r="Y130" s="51">
        <v>0</v>
      </c>
      <c r="Z130" s="87">
        <v>4590</v>
      </c>
      <c r="AA130" s="65" t="s">
        <v>329</v>
      </c>
      <c r="AB130" s="79">
        <f>IFERROR(ROUND((VLOOKUP($A130,'Из ГУГЛа'!$B:$AD,AB$1,0)+AD130)*AC130,),VLOOKUP($A130,'Из ГУГЛа'!$B:$AD,AB$1,0))</f>
        <v>3835</v>
      </c>
      <c r="AC130" s="51">
        <v>1</v>
      </c>
      <c r="AD130" s="51">
        <v>0</v>
      </c>
      <c r="AE130" s="107">
        <v>3835</v>
      </c>
      <c r="AF130" s="65" t="s">
        <v>383</v>
      </c>
      <c r="AG130" s="79" t="str">
        <f>IFERROR(ROUND((VLOOKUP($A130,'Из ГУГЛа'!$B:$AD,AG$1,0)+AI130)*AH130,),VLOOKUP($A130,'Из ГУГЛа'!$B:$AD,AG$1,0))</f>
        <v/>
      </c>
      <c r="AH130" s="51">
        <v>1</v>
      </c>
      <c r="AI130" s="51">
        <v>0</v>
      </c>
      <c r="AJ130" s="41"/>
      <c r="AK130" s="41"/>
      <c r="AL130" s="79" t="str">
        <f>IFERROR(ROUND((VLOOKUP($A130,'Из ГУГЛа'!$B:$AD,AL$1,0)+AN130)*AM130,),VLOOKUP($A130,'Из ГУГЛа'!$B:$AD,AL$1,0))</f>
        <v/>
      </c>
      <c r="AM130" s="51">
        <v>1</v>
      </c>
      <c r="AN130" s="51">
        <v>0</v>
      </c>
      <c r="AO130" s="41"/>
      <c r="AP130" s="41"/>
    </row>
    <row r="131" spans="1:42" ht="46.5" thickTop="1" thickBot="1" x14ac:dyDescent="0.3">
      <c r="A131" s="110">
        <v>443592</v>
      </c>
      <c r="B131" s="41">
        <f>VLOOKUP($A131,'Выгр Кат'!$A:$T,B$1,0)</f>
        <v>127240</v>
      </c>
      <c r="C131" s="75" t="str">
        <f>VLOOKUP($A131,'Выгр Кат'!$A:$T,C$1,0)</f>
        <v>Пружины передней подвески Фобос Спорт с занижением 50 мм для ВАЗ 2108-21099, 2113-2115, 2110-2112</v>
      </c>
      <c r="D131" s="41" t="str">
        <f>VLOOKUP($A131,'Выгр Кат'!$A:$T,D$1,0)</f>
        <v>Y</v>
      </c>
      <c r="E131" s="41" t="str">
        <f>VLOOKUP($A131,'Выгр Кат'!$A:$T,E$1,0)</f>
        <v>0</v>
      </c>
      <c r="F131" s="41" t="str">
        <f>VLOOKUP($A131,'Выгр Кат'!$A:$T,F$1,0)</f>
        <v>49557 / 2112-2902712</v>
      </c>
      <c r="G131" s="36"/>
      <c r="H131" s="105" t="s">
        <v>45</v>
      </c>
      <c r="I131" s="1" t="s">
        <v>65</v>
      </c>
      <c r="J131" s="63">
        <f>VLOOKUP(H131,Прайс!B:D,3,0)</f>
        <v>4000</v>
      </c>
      <c r="K131" s="61">
        <f>VLOOKUP(J131,Наценка!$A$1:$B$8,2,1)</f>
        <v>1.32</v>
      </c>
      <c r="L131" s="97">
        <f t="shared" ref="L131:L135" si="60">V131*1.05</f>
        <v>5449.5</v>
      </c>
      <c r="M131" s="63">
        <f t="shared" si="44"/>
        <v>5490</v>
      </c>
      <c r="N131" s="41">
        <f>VLOOKUP($A131,'Выгр Кат'!$A:$T,N$1,0)</f>
        <v>4000</v>
      </c>
      <c r="O131" s="41">
        <f>VLOOKUP($A131,'Выгр Кат'!$A:$T,O$1,0)</f>
        <v>5490</v>
      </c>
      <c r="P131" s="52">
        <f t="shared" si="45"/>
        <v>0</v>
      </c>
      <c r="Q131" s="52">
        <f t="shared" si="46"/>
        <v>0</v>
      </c>
      <c r="R131" s="59">
        <f t="shared" si="47"/>
        <v>5105.7</v>
      </c>
      <c r="S131" s="76">
        <f t="shared" si="48"/>
        <v>0.27642499999999992</v>
      </c>
      <c r="T131" s="76">
        <f t="shared" si="49"/>
        <v>1.6242774566474022E-2</v>
      </c>
      <c r="U131" s="76">
        <f t="shared" si="50"/>
        <v>0.2975000000000001</v>
      </c>
      <c r="V131" s="89">
        <f t="shared" si="51"/>
        <v>5190</v>
      </c>
      <c r="W131" s="79">
        <f>IFERROR(ROUND((VLOOKUP($A131,'Из ГУГЛа'!$B:$AD,W$1,0)+Y131)*X131,),VLOOKUP($A131,'Из ГУГЛа'!$B:$AD,W$1,0))</f>
        <v>5190</v>
      </c>
      <c r="X131" s="51">
        <v>1</v>
      </c>
      <c r="Y131" s="51">
        <v>0</v>
      </c>
      <c r="Z131" s="87">
        <v>5190</v>
      </c>
      <c r="AA131" s="65" t="s">
        <v>318</v>
      </c>
      <c r="AB131" s="79">
        <f>IFERROR(ROUND((VLOOKUP($A131,'Из ГУГЛа'!$B:$AD,AB$1,0)+AD131)*AC131,),VLOOKUP($A131,'Из ГУГЛа'!$B:$AD,AB$1,0))</f>
        <v>4290</v>
      </c>
      <c r="AC131" s="51">
        <v>1</v>
      </c>
      <c r="AD131" s="51">
        <v>0</v>
      </c>
      <c r="AE131" s="107">
        <v>4290</v>
      </c>
      <c r="AF131" s="65" t="s">
        <v>392</v>
      </c>
      <c r="AG131" s="79" t="str">
        <f>IFERROR(ROUND((VLOOKUP($A131,'Из ГУГЛа'!$B:$AD,AG$1,0)+AI131)*AH131,),VLOOKUP($A131,'Из ГУГЛа'!$B:$AD,AG$1,0))</f>
        <v/>
      </c>
      <c r="AH131" s="51">
        <v>1</v>
      </c>
      <c r="AI131" s="51">
        <v>0</v>
      </c>
      <c r="AJ131" s="41"/>
      <c r="AK131" s="41"/>
      <c r="AL131" s="79" t="str">
        <f>IFERROR(ROUND((VLOOKUP($A131,'Из ГУГЛа'!$B:$AD,AL$1,0)+AN131)*AM131,),VLOOKUP($A131,'Из ГУГЛа'!$B:$AD,AL$1,0))</f>
        <v/>
      </c>
      <c r="AM131" s="51">
        <v>1</v>
      </c>
      <c r="AN131" s="51">
        <v>0</v>
      </c>
      <c r="AO131" s="41"/>
      <c r="AP131" s="41"/>
    </row>
    <row r="132" spans="1:42" ht="46.5" thickTop="1" thickBot="1" x14ac:dyDescent="0.3">
      <c r="A132" s="110">
        <v>443696</v>
      </c>
      <c r="B132" s="41">
        <f>VLOOKUP($A132,'Выгр Кат'!$A:$T,B$1,0)</f>
        <v>127316</v>
      </c>
      <c r="C132" s="75" t="str">
        <f>VLOOKUP($A132,'Выгр Кат'!$A:$T,C$1,0)</f>
        <v>Пружины передней подвески Фобос Спорт с занижением 50 мм для Лада Калина, Калина 2, Приора, Гранта</v>
      </c>
      <c r="D132" s="41" t="str">
        <f>VLOOKUP($A132,'Выгр Кат'!$A:$T,D$1,0)</f>
        <v>Y</v>
      </c>
      <c r="E132" s="41" t="str">
        <f>VLOOKUP($A132,'Выгр Кат'!$A:$T,E$1,0)</f>
        <v>0</v>
      </c>
      <c r="F132" s="41" t="str">
        <f>VLOOKUP($A132,'Выгр Кат'!$A:$T,F$1,0)</f>
        <v>217051 / 2170-2902712</v>
      </c>
      <c r="G132" s="36"/>
      <c r="H132" s="105" t="s">
        <v>49</v>
      </c>
      <c r="I132" s="1" t="s">
        <v>65</v>
      </c>
      <c r="J132" s="63">
        <f>VLOOKUP(H132,Прайс!B:D,3,0)</f>
        <v>3000</v>
      </c>
      <c r="K132" s="61">
        <f>VLOOKUP(J132,Наценка!$A$1:$B$8,2,1)</f>
        <v>1.32</v>
      </c>
      <c r="L132" s="100">
        <f>J132*1.2*100/93</f>
        <v>3870.9677419354839</v>
      </c>
      <c r="M132" s="63">
        <f t="shared" si="44"/>
        <v>3890</v>
      </c>
      <c r="N132" s="41">
        <f>VLOOKUP($A132,'Выгр Кат'!$A:$T,N$1,0)</f>
        <v>3000</v>
      </c>
      <c r="O132" s="41">
        <f>VLOOKUP($A132,'Выгр Кат'!$A:$T,O$1,0)</f>
        <v>3890</v>
      </c>
      <c r="P132" s="52">
        <f t="shared" si="45"/>
        <v>0</v>
      </c>
      <c r="Q132" s="52">
        <f t="shared" si="46"/>
        <v>0</v>
      </c>
      <c r="R132" s="59">
        <f t="shared" si="47"/>
        <v>3617.7</v>
      </c>
      <c r="S132" s="76">
        <f t="shared" si="48"/>
        <v>0.20589999999999997</v>
      </c>
      <c r="T132" s="76">
        <f t="shared" si="49"/>
        <v>-7.7158774373258547E-3</v>
      </c>
      <c r="U132" s="76">
        <f t="shared" si="50"/>
        <v>0.19666666666666677</v>
      </c>
      <c r="V132" s="89">
        <f t="shared" si="51"/>
        <v>3590</v>
      </c>
      <c r="W132" s="79">
        <f>IFERROR(ROUND((VLOOKUP($A132,'Из ГУГЛа'!$B:$AD,W$1,0)+Y132)*X132,),VLOOKUP($A132,'Из ГУГЛа'!$B:$AD,W$1,0))</f>
        <v>3590</v>
      </c>
      <c r="X132" s="51">
        <v>1</v>
      </c>
      <c r="Y132" s="51">
        <v>0</v>
      </c>
      <c r="Z132" s="87">
        <v>3590</v>
      </c>
      <c r="AA132" s="65" t="s">
        <v>334</v>
      </c>
      <c r="AB132" s="79" t="str">
        <f>IFERROR(ROUND((VLOOKUP($A132,'Из ГУГЛа'!$B:$AD,AB$1,0)+AD132)*AC132,),VLOOKUP($A132,'Из ГУГЛа'!$B:$AD,AB$1,0))</f>
        <v/>
      </c>
      <c r="AC132" s="51">
        <v>1</v>
      </c>
      <c r="AD132" s="51">
        <v>0</v>
      </c>
      <c r="AE132" s="85"/>
      <c r="AG132" s="79" t="str">
        <f>IFERROR(ROUND((VLOOKUP($A132,'Из ГУГЛа'!$B:$AD,AG$1,0)+AI132)*AH132,),VLOOKUP($A132,'Из ГУГЛа'!$B:$AD,AG$1,0))</f>
        <v/>
      </c>
      <c r="AH132" s="51">
        <v>1</v>
      </c>
      <c r="AI132" s="51">
        <v>0</v>
      </c>
      <c r="AJ132" s="41"/>
      <c r="AK132" s="41"/>
      <c r="AL132" s="79" t="str">
        <f>IFERROR(ROUND((VLOOKUP($A132,'Из ГУГЛа'!$B:$AD,AL$1,0)+AN132)*AM132,),VLOOKUP($A132,'Из ГУГЛа'!$B:$AD,AL$1,0))</f>
        <v/>
      </c>
      <c r="AM132" s="51">
        <v>1</v>
      </c>
      <c r="AN132" s="51">
        <v>0</v>
      </c>
      <c r="AO132" s="41"/>
      <c r="AP132" s="41"/>
    </row>
    <row r="133" spans="1:42" ht="46.5" thickTop="1" thickBot="1" x14ac:dyDescent="0.3">
      <c r="A133" s="110">
        <v>443479</v>
      </c>
      <c r="B133" s="41">
        <f>VLOOKUP($A133,'Выгр Кат'!$A:$T,B$1,0)</f>
        <v>127088</v>
      </c>
      <c r="C133" s="75" t="str">
        <f>VLOOKUP($A133,'Выгр Кат'!$A:$T,C$1,0)</f>
        <v>Пружины передней подвески Фобос Спорт с занижением 70 мм для ВАЗ 2101-2107</v>
      </c>
      <c r="D133" s="41" t="str">
        <f>VLOOKUP($A133,'Выгр Кат'!$A:$T,D$1,0)</f>
        <v>Y</v>
      </c>
      <c r="E133" s="41" t="str">
        <f>VLOOKUP($A133,'Выгр Кат'!$A:$T,E$1,0)</f>
        <v>0</v>
      </c>
      <c r="F133" s="41" t="str">
        <f>VLOOKUP($A133,'Выгр Кат'!$A:$T,F$1,0)</f>
        <v>210171</v>
      </c>
      <c r="G133" s="36"/>
      <c r="H133" s="105" t="s">
        <v>31</v>
      </c>
      <c r="I133" s="1" t="s">
        <v>65</v>
      </c>
      <c r="J133" s="63">
        <f>VLOOKUP(H133,Прайс!B:D,3,0)</f>
        <v>3650</v>
      </c>
      <c r="K133" s="61">
        <f>VLOOKUP(J133,Наценка!$A$1:$B$8,2,1)</f>
        <v>1.32</v>
      </c>
      <c r="L133" s="96">
        <f t="shared" ref="L133" si="61">V133*1.04</f>
        <v>4773.6000000000004</v>
      </c>
      <c r="M133" s="63">
        <f t="shared" si="44"/>
        <v>4790</v>
      </c>
      <c r="N133" s="41">
        <f>VLOOKUP($A133,'Выгр Кат'!$A:$T,N$1,0)</f>
        <v>3650</v>
      </c>
      <c r="O133" s="41">
        <f>VLOOKUP($A133,'Выгр Кат'!$A:$T,O$1,0)</f>
        <v>4790</v>
      </c>
      <c r="P133" s="52">
        <f t="shared" si="45"/>
        <v>0</v>
      </c>
      <c r="Q133" s="52">
        <f t="shared" si="46"/>
        <v>0</v>
      </c>
      <c r="R133" s="59">
        <f t="shared" si="47"/>
        <v>4454.7</v>
      </c>
      <c r="S133" s="76">
        <f t="shared" si="48"/>
        <v>0.22046575342465746</v>
      </c>
      <c r="T133" s="76">
        <f t="shared" si="49"/>
        <v>2.9477124183006576E-2</v>
      </c>
      <c r="U133" s="76">
        <f t="shared" si="50"/>
        <v>0.25753424657534252</v>
      </c>
      <c r="V133" s="89">
        <f t="shared" si="51"/>
        <v>4590</v>
      </c>
      <c r="W133" s="79">
        <f>IFERROR(ROUND((VLOOKUP($A133,'Из ГУГЛа'!$B:$AD,W$1,0)+Y133)*X133,),VLOOKUP($A133,'Из ГУГЛа'!$B:$AD,W$1,0))</f>
        <v>4590</v>
      </c>
      <c r="X133" s="51">
        <v>1</v>
      </c>
      <c r="Y133" s="51">
        <v>0</v>
      </c>
      <c r="Z133" s="87">
        <v>4590</v>
      </c>
      <c r="AA133" s="65" t="s">
        <v>331</v>
      </c>
      <c r="AB133" s="79">
        <f>IFERROR(ROUND((VLOOKUP($A133,'Из ГУГЛа'!$B:$AD,AB$1,0)+AD133)*AC133,),VLOOKUP($A133,'Из ГУГЛа'!$B:$AD,AB$1,0))</f>
        <v>3835</v>
      </c>
      <c r="AC133" s="51">
        <v>1</v>
      </c>
      <c r="AD133" s="51">
        <v>0</v>
      </c>
      <c r="AE133" s="107">
        <v>3835</v>
      </c>
      <c r="AF133" s="65" t="s">
        <v>384</v>
      </c>
      <c r="AG133" s="79" t="str">
        <f>IFERROR(ROUND((VLOOKUP($A133,'Из ГУГЛа'!$B:$AD,AG$1,0)+AI133)*AH133,),VLOOKUP($A133,'Из ГУГЛа'!$B:$AD,AG$1,0))</f>
        <v/>
      </c>
      <c r="AH133" s="51">
        <v>1</v>
      </c>
      <c r="AI133" s="51">
        <v>0</v>
      </c>
      <c r="AJ133" s="41"/>
      <c r="AK133" s="41"/>
      <c r="AL133" s="79" t="str">
        <f>IFERROR(ROUND((VLOOKUP($A133,'Из ГУГЛа'!$B:$AD,AL$1,0)+AN133)*AM133,),VLOOKUP($A133,'Из ГУГЛа'!$B:$AD,AL$1,0))</f>
        <v/>
      </c>
      <c r="AM133" s="51">
        <v>1</v>
      </c>
      <c r="AN133" s="51">
        <v>0</v>
      </c>
      <c r="AO133" s="41"/>
      <c r="AP133" s="41"/>
    </row>
    <row r="134" spans="1:42" ht="46.5" thickTop="1" thickBot="1" x14ac:dyDescent="0.3">
      <c r="A134" s="110">
        <v>443593</v>
      </c>
      <c r="B134" s="41">
        <f>VLOOKUP($A134,'Выгр Кат'!$A:$T,B$1,0)</f>
        <v>127241</v>
      </c>
      <c r="C134" s="75" t="str">
        <f>VLOOKUP($A134,'Выгр Кат'!$A:$T,C$1,0)</f>
        <v>Пружины передней подвески Фобос Спорт с занижением 70 мм для ВАЗ 2108-21099, 2113-2115, 2110-2112</v>
      </c>
      <c r="D134" s="41" t="str">
        <f>VLOOKUP($A134,'Выгр Кат'!$A:$T,D$1,0)</f>
        <v>Y</v>
      </c>
      <c r="E134" s="41" t="str">
        <f>VLOOKUP($A134,'Выгр Кат'!$A:$T,E$1,0)</f>
        <v>0</v>
      </c>
      <c r="F134" s="41" t="str">
        <f>VLOOKUP($A134,'Выгр Кат'!$A:$T,F$1,0)</f>
        <v>564147 / 2112-2902712</v>
      </c>
      <c r="G134" s="36"/>
      <c r="H134" s="105" t="s">
        <v>47</v>
      </c>
      <c r="I134" s="1" t="s">
        <v>65</v>
      </c>
      <c r="J134" s="63">
        <f>VLOOKUP(H134,Прайс!B:D,3,0)</f>
        <v>3600</v>
      </c>
      <c r="K134" s="61">
        <f>VLOOKUP(J134,Наценка!$A$1:$B$8,2,1)</f>
        <v>1.32</v>
      </c>
      <c r="L134" s="100">
        <f>J134*1.2*100/93</f>
        <v>4645.1612903225805</v>
      </c>
      <c r="M134" s="63">
        <f t="shared" ref="M134:M137" si="62">ROUNDUP(L134,-2)-10</f>
        <v>4690</v>
      </c>
      <c r="N134" s="41">
        <f>VLOOKUP($A134,'Выгр Кат'!$A:$T,N$1,0)</f>
        <v>3600</v>
      </c>
      <c r="O134" s="41">
        <f>VLOOKUP($A134,'Выгр Кат'!$A:$T,O$1,0)</f>
        <v>4690</v>
      </c>
      <c r="P134" s="52">
        <f t="shared" ref="P134:P137" si="63">N134-J134</f>
        <v>0</v>
      </c>
      <c r="Q134" s="52">
        <f t="shared" ref="Q134:Q137" si="64">O134-M134</f>
        <v>0</v>
      </c>
      <c r="R134" s="59">
        <f t="shared" ref="R134:R137" si="65">IFERROR(M134*(1-$R$2),"")</f>
        <v>4361.7</v>
      </c>
      <c r="S134" s="76">
        <f t="shared" ref="S134:S137" si="66">IFERROR(R134/J134-1,"")</f>
        <v>0.21158333333333323</v>
      </c>
      <c r="T134" s="76">
        <f t="shared" ref="T134:T137" si="67">IFERROR((V134-R134)/V134,"")</f>
        <v>6.4464692482916128E-3</v>
      </c>
      <c r="U134" s="76">
        <f t="shared" ref="U134:U137" si="68">IFERROR(IF(V134="","",V134/J134-1),"")</f>
        <v>0.21944444444444455</v>
      </c>
      <c r="V134" s="89">
        <f t="shared" ref="V134:V135" si="69">Z134</f>
        <v>4390</v>
      </c>
      <c r="W134" s="79">
        <f>IFERROR(ROUND((VLOOKUP($A134,'Из ГУГЛа'!$B:$AD,W$1,0)+Y134)*X134,),VLOOKUP($A134,'Из ГУГЛа'!$B:$AD,W$1,0))</f>
        <v>4390</v>
      </c>
      <c r="X134" s="51">
        <v>1</v>
      </c>
      <c r="Y134" s="51">
        <v>0</v>
      </c>
      <c r="Z134" s="87">
        <v>4390</v>
      </c>
      <c r="AA134" s="65" t="s">
        <v>319</v>
      </c>
      <c r="AB134" s="79">
        <f>IFERROR(ROUND((VLOOKUP($A134,'Из ГУГЛа'!$B:$AD,AB$1,0)+AD134)*AC134,),VLOOKUP($A134,'Из ГУГЛа'!$B:$AD,AB$1,0))</f>
        <v>4400</v>
      </c>
      <c r="AC134" s="51">
        <v>1</v>
      </c>
      <c r="AD134" s="51">
        <v>0</v>
      </c>
      <c r="AE134" s="107">
        <v>4400</v>
      </c>
      <c r="AF134" s="65" t="s">
        <v>393</v>
      </c>
      <c r="AG134" s="79" t="str">
        <f>IFERROR(ROUND((VLOOKUP($A134,'Из ГУГЛа'!$B:$AD,AG$1,0)+AI134)*AH134,),VLOOKUP($A134,'Из ГУГЛа'!$B:$AD,AG$1,0))</f>
        <v/>
      </c>
      <c r="AH134" s="51">
        <v>1</v>
      </c>
      <c r="AI134" s="51">
        <v>0</v>
      </c>
      <c r="AJ134" s="41"/>
      <c r="AK134" s="41"/>
      <c r="AL134" s="79" t="str">
        <f>IFERROR(ROUND((VLOOKUP($A134,'Из ГУГЛа'!$B:$AD,AL$1,0)+AN134)*AM134,),VLOOKUP($A134,'Из ГУГЛа'!$B:$AD,AL$1,0))</f>
        <v/>
      </c>
      <c r="AM134" s="51">
        <v>1</v>
      </c>
      <c r="AN134" s="51">
        <v>0</v>
      </c>
      <c r="AO134" s="41"/>
      <c r="AP134" s="41"/>
    </row>
    <row r="135" spans="1:42" ht="46.5" thickTop="1" thickBot="1" x14ac:dyDescent="0.3">
      <c r="A135" s="110">
        <v>443697</v>
      </c>
      <c r="B135" s="41">
        <f>VLOOKUP($A135,'Выгр Кат'!$A:$T,B$1,0)</f>
        <v>127317</v>
      </c>
      <c r="C135" s="75" t="str">
        <f>VLOOKUP($A135,'Выгр Кат'!$A:$T,C$1,0)</f>
        <v>Пружины передней подвески Фобос Спорт с занижением 70 мм для Лада Калина, Калина 2, Приора, Гранта</v>
      </c>
      <c r="D135" s="41" t="str">
        <f>VLOOKUP($A135,'Выгр Кат'!$A:$T,D$1,0)</f>
        <v>Y</v>
      </c>
      <c r="E135" s="41" t="str">
        <f>VLOOKUP($A135,'Выгр Кат'!$A:$T,E$1,0)</f>
        <v>0</v>
      </c>
      <c r="F135" s="41" t="str">
        <f>VLOOKUP($A135,'Выгр Кат'!$A:$T,F$1,0)</f>
        <v>217071 / 2170-2902712</v>
      </c>
      <c r="G135" s="36"/>
      <c r="H135" s="105" t="s">
        <v>49</v>
      </c>
      <c r="I135" s="1" t="s">
        <v>65</v>
      </c>
      <c r="J135" s="63">
        <f>VLOOKUP(H135,Прайс!B:D,3,0)</f>
        <v>3000</v>
      </c>
      <c r="K135" s="61">
        <f>VLOOKUP(J135,Наценка!$A$1:$B$8,2,1)</f>
        <v>1.32</v>
      </c>
      <c r="L135" s="97">
        <f t="shared" si="60"/>
        <v>4084.5</v>
      </c>
      <c r="M135" s="63">
        <f t="shared" si="62"/>
        <v>4090</v>
      </c>
      <c r="N135" s="41">
        <f>VLOOKUP($A135,'Выгр Кат'!$A:$T,N$1,0)</f>
        <v>3000</v>
      </c>
      <c r="O135" s="41">
        <f>VLOOKUP($A135,'Выгр Кат'!$A:$T,O$1,0)</f>
        <v>4090</v>
      </c>
      <c r="P135" s="52">
        <f t="shared" si="63"/>
        <v>0</v>
      </c>
      <c r="Q135" s="52">
        <f t="shared" si="64"/>
        <v>0</v>
      </c>
      <c r="R135" s="59">
        <f t="shared" si="65"/>
        <v>3803.7</v>
      </c>
      <c r="S135" s="76">
        <f t="shared" si="66"/>
        <v>0.26790000000000003</v>
      </c>
      <c r="T135" s="76">
        <f t="shared" si="67"/>
        <v>2.2185089974293106E-2</v>
      </c>
      <c r="U135" s="76">
        <f t="shared" si="68"/>
        <v>0.29666666666666663</v>
      </c>
      <c r="V135" s="89">
        <f t="shared" si="69"/>
        <v>3890</v>
      </c>
      <c r="W135" s="79">
        <f>IFERROR(ROUND((VLOOKUP($A135,'Из ГУГЛа'!$B:$AD,W$1,0)+Y135)*X135,),VLOOKUP($A135,'Из ГУГЛа'!$B:$AD,W$1,0))</f>
        <v>3890</v>
      </c>
      <c r="X135" s="51">
        <v>1</v>
      </c>
      <c r="Y135" s="51">
        <v>0</v>
      </c>
      <c r="Z135" s="87">
        <v>3890</v>
      </c>
      <c r="AA135" s="65" t="s">
        <v>335</v>
      </c>
      <c r="AB135" s="79" t="str">
        <f>IFERROR(ROUND((VLOOKUP($A135,'Из ГУГЛа'!$B:$AD,AB$1,0)+AD135)*AC135,),VLOOKUP($A135,'Из ГУГЛа'!$B:$AD,AB$1,0))</f>
        <v/>
      </c>
      <c r="AC135" s="51">
        <v>1</v>
      </c>
      <c r="AD135" s="51">
        <v>0</v>
      </c>
      <c r="AE135" s="85"/>
      <c r="AG135" s="79" t="str">
        <f>IFERROR(ROUND((VLOOKUP($A135,'Из ГУГЛа'!$B:$AD,AG$1,0)+AI135)*AH135,),VLOOKUP($A135,'Из ГУГЛа'!$B:$AD,AG$1,0))</f>
        <v/>
      </c>
      <c r="AH135" s="51">
        <v>1</v>
      </c>
      <c r="AI135" s="51">
        <v>0</v>
      </c>
      <c r="AJ135" s="41"/>
      <c r="AK135" s="41"/>
      <c r="AL135" s="79" t="str">
        <f>IFERROR(ROUND((VLOOKUP($A135,'Из ГУГЛа'!$B:$AD,AL$1,0)+AN135)*AM135,),VLOOKUP($A135,'Из ГУГЛа'!$B:$AD,AL$1,0))</f>
        <v/>
      </c>
      <c r="AM135" s="51">
        <v>1</v>
      </c>
      <c r="AN135" s="51">
        <v>0</v>
      </c>
      <c r="AO135" s="41"/>
      <c r="AP135" s="41"/>
    </row>
    <row r="136" spans="1:42" ht="46.5" thickTop="1" thickBot="1" x14ac:dyDescent="0.3">
      <c r="A136" s="110">
        <v>443594</v>
      </c>
      <c r="B136" s="41">
        <f>VLOOKUP($A136,'Выгр Кат'!$A:$T,B$1,0)</f>
        <v>127242</v>
      </c>
      <c r="C136" s="75" t="str">
        <f>VLOOKUP($A136,'Выгр Кат'!$A:$T,C$1,0)</f>
        <v>Пружины передней подвески Фобос Спорт с занижением 90 мм для ВАЗ 2108-21099, 2113-2115, 2110-2112</v>
      </c>
      <c r="D136" s="41" t="str">
        <f>VLOOKUP($A136,'Выгр Кат'!$A:$T,D$1,0)</f>
        <v>Y</v>
      </c>
      <c r="E136" s="41" t="str">
        <f>VLOOKUP($A136,'Выгр Кат'!$A:$T,E$1,0)</f>
        <v>0</v>
      </c>
      <c r="F136" s="41" t="str">
        <f>VLOOKUP($A136,'Выгр Кат'!$A:$T,F$1,0)</f>
        <v>211091 / 2112-2902712</v>
      </c>
      <c r="G136" s="36"/>
      <c r="H136" s="105" t="s">
        <v>48</v>
      </c>
      <c r="I136" s="1" t="s">
        <v>65</v>
      </c>
      <c r="J136" s="63">
        <f>VLOOKUP(H136,Прайс!B:D,3,0)</f>
        <v>3400</v>
      </c>
      <c r="K136" s="61">
        <f>VLOOKUP(J136,Наценка!$A$1:$B$8,2,1)</f>
        <v>1.32</v>
      </c>
      <c r="L136" s="96">
        <f>V136*1.04</f>
        <v>4576</v>
      </c>
      <c r="M136" s="63">
        <f t="shared" si="62"/>
        <v>4590</v>
      </c>
      <c r="N136" s="41">
        <f>VLOOKUP($A136,'Выгр Кат'!$A:$T,N$1,0)</f>
        <v>3400</v>
      </c>
      <c r="O136" s="41">
        <f>VLOOKUP($A136,'Выгр Кат'!$A:$T,O$1,0)</f>
        <v>4590</v>
      </c>
      <c r="P136" s="52">
        <f t="shared" si="63"/>
        <v>0</v>
      </c>
      <c r="Q136" s="52">
        <f t="shared" si="64"/>
        <v>0</v>
      </c>
      <c r="R136" s="59">
        <f t="shared" si="65"/>
        <v>4268.7</v>
      </c>
      <c r="S136" s="76">
        <f t="shared" si="66"/>
        <v>0.25549999999999984</v>
      </c>
      <c r="T136" s="76">
        <f t="shared" si="67"/>
        <v>2.9840909090909133E-2</v>
      </c>
      <c r="U136" s="76">
        <f t="shared" si="68"/>
        <v>0.29411764705882359</v>
      </c>
      <c r="V136" s="93">
        <f>AE136</f>
        <v>4400</v>
      </c>
      <c r="W136" s="79" t="str">
        <f>IFERROR(ROUND((VLOOKUP($A136,'Из ГУГЛа'!$B:$AD,W$1,0)+Y136)*X136,),VLOOKUP($A136,'Из ГУГЛа'!$B:$AD,W$1,0))</f>
        <v/>
      </c>
      <c r="X136" s="51">
        <v>1</v>
      </c>
      <c r="Y136" s="51">
        <v>0</v>
      </c>
      <c r="Z136" s="108"/>
      <c r="AB136" s="79">
        <f>IFERROR(ROUND((VLOOKUP($A136,'Из ГУГЛа'!$B:$AD,AB$1,0)+AD136)*AC136,),VLOOKUP($A136,'Из ГУГЛа'!$B:$AD,AB$1,0))</f>
        <v>4400</v>
      </c>
      <c r="AC136" s="51">
        <v>1</v>
      </c>
      <c r="AD136" s="51">
        <v>0</v>
      </c>
      <c r="AE136" s="107">
        <v>4400</v>
      </c>
      <c r="AF136" s="65" t="s">
        <v>394</v>
      </c>
      <c r="AG136" s="79" t="str">
        <f>IFERROR(ROUND((VLOOKUP($A136,'Из ГУГЛа'!$B:$AD,AG$1,0)+AI136)*AH136,),VLOOKUP($A136,'Из ГУГЛа'!$B:$AD,AG$1,0))</f>
        <v/>
      </c>
      <c r="AH136" s="51">
        <v>1</v>
      </c>
      <c r="AI136" s="51">
        <v>0</v>
      </c>
      <c r="AJ136" s="41"/>
      <c r="AK136" s="41"/>
      <c r="AL136" s="79" t="str">
        <f>IFERROR(ROUND((VLOOKUP($A136,'Из ГУГЛа'!$B:$AD,AL$1,0)+AN136)*AM136,),VLOOKUP($A136,'Из ГУГЛа'!$B:$AD,AL$1,0))</f>
        <v/>
      </c>
      <c r="AM136" s="51">
        <v>1</v>
      </c>
      <c r="AN136" s="51">
        <v>0</v>
      </c>
      <c r="AO136" s="41"/>
      <c r="AP136" s="41"/>
    </row>
    <row r="137" spans="1:42" ht="46.5" thickTop="1" thickBot="1" x14ac:dyDescent="0.3">
      <c r="A137" s="110">
        <v>443698</v>
      </c>
      <c r="B137" s="41">
        <f>VLOOKUP($A137,'Выгр Кат'!$A:$T,B$1,0)</f>
        <v>127318</v>
      </c>
      <c r="C137" s="75" t="str">
        <f>VLOOKUP($A137,'Выгр Кат'!$A:$T,C$1,0)</f>
        <v>Пружины передней подвески Фобос Спорт с занижением 90 мм для Лада Калина, Калина 2, Приора, Гранта</v>
      </c>
      <c r="D137" s="41" t="str">
        <f>VLOOKUP($A137,'Выгр Кат'!$A:$T,D$1,0)</f>
        <v>Y</v>
      </c>
      <c r="E137" s="41" t="str">
        <f>VLOOKUP($A137,'Выгр Кат'!$A:$T,E$1,0)</f>
        <v>0</v>
      </c>
      <c r="F137" s="41" t="str">
        <f>VLOOKUP($A137,'Выгр Кат'!$A:$T,F$1,0)</f>
        <v>217091 / 2170-2902712</v>
      </c>
      <c r="G137" s="36"/>
      <c r="H137" s="105" t="s">
        <v>49</v>
      </c>
      <c r="I137" s="1" t="s">
        <v>65</v>
      </c>
      <c r="J137" s="63">
        <f>VLOOKUP(H137,Прайс!B:D,3,0)</f>
        <v>3000</v>
      </c>
      <c r="K137" s="61">
        <f>VLOOKUP(J137,Наценка!$A$1:$B$8,2,1)</f>
        <v>1.32</v>
      </c>
      <c r="L137" s="64">
        <f t="shared" si="53"/>
        <v>3960</v>
      </c>
      <c r="M137" s="63">
        <f t="shared" si="62"/>
        <v>3990</v>
      </c>
      <c r="N137" s="41">
        <f>VLOOKUP($A137,'Выгр Кат'!$A:$T,N$1,0)</f>
        <v>3000</v>
      </c>
      <c r="O137" s="41">
        <f>VLOOKUP($A137,'Выгр Кат'!$A:$T,O$1,0)</f>
        <v>3990</v>
      </c>
      <c r="P137" s="52">
        <f t="shared" si="63"/>
        <v>0</v>
      </c>
      <c r="Q137" s="52">
        <f t="shared" si="64"/>
        <v>0</v>
      </c>
      <c r="R137" s="59">
        <f t="shared" si="65"/>
        <v>3710.7</v>
      </c>
      <c r="S137" s="76">
        <f t="shared" si="66"/>
        <v>0.23689999999999989</v>
      </c>
      <c r="T137" s="76" t="str">
        <f t="shared" si="67"/>
        <v/>
      </c>
      <c r="U137" s="76" t="str">
        <f t="shared" si="68"/>
        <v/>
      </c>
      <c r="V137" s="108"/>
      <c r="W137" s="79" t="str">
        <f>IFERROR(ROUND((VLOOKUP($A137,'Из ГУГЛа'!$B:$AD,W$1,0)+Y137)*X137,),VLOOKUP($A137,'Из ГУГЛа'!$B:$AD,W$1,0))</f>
        <v/>
      </c>
      <c r="X137" s="51">
        <v>1</v>
      </c>
      <c r="Y137" s="51">
        <v>0</v>
      </c>
      <c r="Z137" s="108"/>
      <c r="AB137" s="79" t="str">
        <f>IFERROR(ROUND((VLOOKUP($A137,'Из ГУГЛа'!$B:$AD,AB$1,0)+AD137)*AC137,),VLOOKUP($A137,'Из ГУГЛа'!$B:$AD,AB$1,0))</f>
        <v/>
      </c>
      <c r="AC137" s="51">
        <v>1</v>
      </c>
      <c r="AD137" s="51">
        <v>0</v>
      </c>
      <c r="AE137" s="85"/>
      <c r="AG137" s="79" t="str">
        <f>IFERROR(ROUND((VLOOKUP($A137,'Из ГУГЛа'!$B:$AD,AG$1,0)+AI137)*AH137,),VLOOKUP($A137,'Из ГУГЛа'!$B:$AD,AG$1,0))</f>
        <v/>
      </c>
      <c r="AH137" s="51">
        <v>1</v>
      </c>
      <c r="AI137" s="51">
        <v>0</v>
      </c>
      <c r="AJ137" s="41"/>
      <c r="AK137" s="41"/>
      <c r="AL137" s="79" t="str">
        <f>IFERROR(ROUND((VLOOKUP($A137,'Из ГУГЛа'!$B:$AD,AL$1,0)+AN137)*AM137,),VLOOKUP($A137,'Из ГУГЛа'!$B:$AD,AL$1,0))</f>
        <v/>
      </c>
      <c r="AM137" s="51">
        <v>1</v>
      </c>
      <c r="AN137" s="51">
        <v>0</v>
      </c>
      <c r="AO137" s="41"/>
      <c r="AP137" s="41"/>
    </row>
    <row r="138" spans="1:42" ht="15.75" thickTop="1" x14ac:dyDescent="0.25"/>
    <row r="142" spans="1:42" x14ac:dyDescent="0.25">
      <c r="L142" s="64">
        <f>J142*K142</f>
        <v>0</v>
      </c>
    </row>
    <row r="143" spans="1:42" x14ac:dyDescent="0.25">
      <c r="L143" s="94">
        <f>V143*1</f>
        <v>0</v>
      </c>
    </row>
    <row r="144" spans="1:42" x14ac:dyDescent="0.25">
      <c r="L144" s="95">
        <f>V144*1.02</f>
        <v>0</v>
      </c>
    </row>
    <row r="145" spans="12:12" x14ac:dyDescent="0.25">
      <c r="L145" s="96">
        <f>V145*1.04</f>
        <v>0</v>
      </c>
    </row>
    <row r="146" spans="12:12" x14ac:dyDescent="0.25">
      <c r="L146" s="97">
        <f>V146*1.05</f>
        <v>0</v>
      </c>
    </row>
    <row r="147" spans="12:12" x14ac:dyDescent="0.25">
      <c r="L147" s="97">
        <f>V147*1.06</f>
        <v>0</v>
      </c>
    </row>
    <row r="148" spans="12:12" x14ac:dyDescent="0.25">
      <c r="L148" s="98">
        <f>V148*1.07</f>
        <v>0</v>
      </c>
    </row>
    <row r="149" spans="12:12" x14ac:dyDescent="0.25">
      <c r="L149" s="99">
        <f>V149*1.08</f>
        <v>0</v>
      </c>
    </row>
    <row r="150" spans="12:12" x14ac:dyDescent="0.25">
      <c r="L150" s="100">
        <f>J150*1.2*100/93</f>
        <v>0</v>
      </c>
    </row>
  </sheetData>
  <autoFilter ref="A2:AP2" xr:uid="{00000000-0001-0000-0000-000000000000}"/>
  <conditionalFormatting sqref="S3:S137 U3:U137">
    <cfRule type="cellIs" dxfId="35" priority="15" operator="lessThan">
      <formula>$R$1</formula>
    </cfRule>
  </conditionalFormatting>
  <conditionalFormatting sqref="T3:T137">
    <cfRule type="cellIs" dxfId="34" priority="14" operator="lessThan">
      <formula>0</formula>
    </cfRule>
  </conditionalFormatting>
  <conditionalFormatting sqref="C3:C137">
    <cfRule type="expression" dxfId="33" priority="6">
      <formula>OR(D3="N",E3="0")</formula>
    </cfRule>
  </conditionalFormatting>
  <conditionalFormatting sqref="A3:A137">
    <cfRule type="expression" dxfId="32" priority="5">
      <formula>AND(ROUNDDOWN($P3,0)=0,ROUNDDOWN($Q3,0)=0)</formula>
    </cfRule>
  </conditionalFormatting>
  <conditionalFormatting sqref="W3:W137">
    <cfRule type="expression" dxfId="31" priority="4">
      <formula>VALUE(W3)&lt;&gt;Z3</formula>
    </cfRule>
  </conditionalFormatting>
  <conditionalFormatting sqref="AB3:AB137">
    <cfRule type="expression" dxfId="30" priority="3">
      <formula>VALUE(AB3)&lt;&gt;AE3</formula>
    </cfRule>
  </conditionalFormatting>
  <conditionalFormatting sqref="AG3:AG137">
    <cfRule type="expression" dxfId="29" priority="2">
      <formula>VALUE(AG3)&lt;&gt;AJ3</formula>
    </cfRule>
  </conditionalFormatting>
  <conditionalFormatting sqref="AL3:AL137">
    <cfRule type="expression" dxfId="28" priority="1">
      <formula>VALUE(AL3)&lt;&gt;AO3</formula>
    </cfRule>
  </conditionalFormatting>
  <hyperlinks>
    <hyperlink ref="G3" r:id="rId1" display="https://fobos-avto.ru/produkciya/vaz/peredniy-privod/pruzhiny-h-rey-zadnie-usilennye/" xr:uid="{88034D62-897C-4701-A841-A9D6D4DFABF3}"/>
    <hyperlink ref="G4" r:id="rId2" display="https://fobos-avto.ru/produkciya/vaz/peredniy-privod/pruzhiny-lada-vesta-zadnie-usilennye/" xr:uid="{E2C32AB2-1841-463B-AB49-5CB5AE6BEDD0}"/>
    <hyperlink ref="G5" r:id="rId3" display="https://fobos-avto.ru/produkciya/vaz/peredniy-privod/pruzhiny-h-rey-perednie-usilennye/" xr:uid="{983737AE-8CD6-4B81-AFCA-4F1B23D33E82}"/>
    <hyperlink ref="G6" r:id="rId4" display="https://fobos-avto.ru/produkciya/vaz/peredniy-privod/pruzhiny-lada-vesta-sv-kross-zadnie-usilennye/" xr:uid="{165F7C1E-361A-471A-A1D4-24656C9D0302}"/>
    <hyperlink ref="G7" r:id="rId5" display="https://fobos-avto.ru/produkciya/vaz/peredniy-privod/pruzhiny-standart-2170-priora-pered/" xr:uid="{FD43E6A5-BEC0-4546-B21D-0D207CEA86BA}"/>
    <hyperlink ref="G8" r:id="rId6" display="https://fobos-avto.ru/produkciya/vaz/peredniy-privod/pruzhiny-standart-2170-priora-pered/" xr:uid="{BEB267BF-EA9E-4981-8090-94F6DE8B7621}"/>
    <hyperlink ref="G9" r:id="rId7" display="https://fobos-avto.ru/produkciya/vaz/peredniy-privod/pruzhiny-peremennyy-shag-2110-perednie-v-plenke/" xr:uid="{16A78ADF-1EC8-4ED5-884F-90398B0FA3E3}"/>
    <hyperlink ref="G10" r:id="rId8" display="https://fobos-avto.ru/produkciya/vaz/peredniy-privod/pruzhiny-peremennyy-shag-2110-zadnie-v-plenke/" xr:uid="{A6142F24-9A36-4EA1-9512-D17830D5C405}"/>
    <hyperlink ref="G11" r:id="rId9" display="https://fobos-avto.ru/produkciya/vaz/peredniy-privod/pruzhiny-standart-2170-priora-pered/" xr:uid="{32929AE9-3563-4AB9-A356-55B145501732}"/>
    <hyperlink ref="G12" r:id="rId10" display="https://fobos-avto.ru/produkciya/vaz/peredniy-privod/pruzhiny-peremennyy-shag-2110-zadnie-v-plenke/" xr:uid="{EA16235B-BC7C-47C5-9315-0513C4C28849}"/>
    <hyperlink ref="G13" r:id="rId11" display="https://fobos-avto.ru/produkciya/vaz/peredniy-privod/pruzhiny-peremennyy-shag-2110-zadnie-v-plenke/" xr:uid="{ED813DAE-D3B0-45AC-B984-303C4C13384F}"/>
    <hyperlink ref="G14" r:id="rId12" display="https://fobos-avto.ru/produkciya/vaz/peredniy-privod/pruzhiny-lyuks-2110-zadnie/" xr:uid="{47974EDD-D438-44CC-8550-98648CE47466}"/>
    <hyperlink ref="G15" r:id="rId13" display="https://fobos-avto.ru/produkciya/vaz/peredniy-privod/pruzhiny-peremennyy-shag-2110-perednie-v-plenke/" xr:uid="{A0772AA9-84E5-4926-B60D-DAA40F5D6566}"/>
    <hyperlink ref="G16" r:id="rId14" display="https://fobos-avto.ru/produkciya/vaz/peredniy-privod/pruzhiny-lyuks-2110-perednie/" xr:uid="{BA62EB82-132F-41C5-822D-14D5818E7F8F}"/>
    <hyperlink ref="G17" r:id="rId15" display="https://fobos-avto.ru/produkciya/vaz/peredniy-privod/pruzhiny-lyuks-2110-zadnie/" xr:uid="{D28BAFFC-7FA8-4848-897C-DE923B1449F8}"/>
    <hyperlink ref="G18" r:id="rId16" display="https://fobos-avto.ru/produkciya/vaz/peredniy-privod/pruzhiny-peremennyy-shag-2110-zadnie-v-plenke/" xr:uid="{DBEA55A1-DDBD-44CB-A182-B94C79529337}"/>
    <hyperlink ref="G19" r:id="rId17" display="https://fobos-avto.ru/produkciya/vaz/zadniy-privod/pruzhiny-peremennyy-shag-2101-perednie-v-plenke/" xr:uid="{A1D11296-C649-4999-8754-E2CD57C7FE36}"/>
    <hyperlink ref="G20" r:id="rId18" display="https://fobos-avto.ru/produkciya/vaz/zadniy-privod/pruzhiny-peremennyy-shag-2101-zadnie-v-plenke/" xr:uid="{35CD6D3F-9114-4624-9385-D5B83A9CAD1D}"/>
    <hyperlink ref="G23" xr:uid="{1806739C-4951-485E-8B6E-30095D186647}"/>
    <hyperlink ref="G24" xr:uid="{3C5128BC-2C7B-478C-8315-435FCA9707D9}"/>
    <hyperlink ref="G25" xr:uid="{8FD6687C-62F8-4BAA-BE18-5CE19E02D9BD}"/>
    <hyperlink ref="G26" xr:uid="{6E4B44F9-2C0B-4AFF-89BF-628E150B3313}"/>
    <hyperlink ref="G27" xr:uid="{9B7380E6-A144-4DAA-BCA6-F21F799651B7}"/>
    <hyperlink ref="G28" xr:uid="{F6F83796-1C39-4A76-8E7D-4BA130848F19}"/>
    <hyperlink ref="G29" xr:uid="{05BAFFCB-20E3-4B90-9961-47154CDA5CE5}"/>
    <hyperlink ref="G30" xr:uid="{4C289127-5ADC-4C53-B4FB-264AB0E5E483}"/>
    <hyperlink ref="G31" xr:uid="{A34CC7C2-9666-4F3D-AA29-76363C612279}"/>
    <hyperlink ref="G32" xr:uid="{93A60D47-6F2F-4345-AB7D-E2DEF5D04FC0}"/>
    <hyperlink ref="G33" xr:uid="{64A1F61D-835A-4BC6-99C6-09525A417967}"/>
    <hyperlink ref="G34" xr:uid="{069A8DAB-2CAC-47AA-B6DA-38E922FACB23}"/>
    <hyperlink ref="G35" xr:uid="{BD2CDC56-26AC-4E86-AFA0-4045BDBCB1D3}"/>
    <hyperlink ref="G36" xr:uid="{48524936-5549-46A6-8A9C-F7620E8356A0}"/>
    <hyperlink ref="G37" xr:uid="{2F5E3BF7-70FC-4FEC-9DEF-1CBEC701FDCC}"/>
    <hyperlink ref="G38" xr:uid="{C07042F6-D23C-4981-BE75-8935237EE037}"/>
    <hyperlink ref="G39" xr:uid="{9EF7289A-0AED-411F-B7C6-2BB44BBAA627}"/>
    <hyperlink ref="G40" xr:uid="{B60F959E-552C-4913-9E61-ED9CB21D5A0D}"/>
    <hyperlink ref="G41" xr:uid="{1C8B8625-FA86-49A4-9CC0-8525D3D25DEC}"/>
    <hyperlink ref="G42" xr:uid="{2D0F07F4-F4BE-492A-808F-D5EE9EEE77D8}"/>
    <hyperlink ref="G43" xr:uid="{D905F215-38EB-41D8-BA67-F5662F23C1DB}"/>
    <hyperlink ref="G44" xr:uid="{6ABEA57B-AFCE-4E7E-8814-FE6A43FC2ADB}"/>
    <hyperlink ref="G45" xr:uid="{BD012410-FEBF-4C8E-88EF-99462379D442}"/>
    <hyperlink ref="G46" xr:uid="{E8C2C937-A5A7-407B-8923-D2431A13C1E1}"/>
    <hyperlink ref="G47" xr:uid="{86326A2E-8129-48B9-AB13-11B0DFD8E911}"/>
    <hyperlink ref="G48" xr:uid="{5A63B523-C387-46C6-9685-FC16083964F7}"/>
    <hyperlink ref="G49" xr:uid="{48CDE5B5-BF0F-4D0B-8433-530BEF14829F}"/>
    <hyperlink ref="G50" xr:uid="{71F5EA29-A90F-465B-9ECF-0185125E4DD9}"/>
    <hyperlink ref="G51" xr:uid="{E397D1BD-D949-4D25-AD06-8E203179A0C9}"/>
    <hyperlink ref="G52" xr:uid="{124663FF-CBE4-4D11-8A1E-D855818B55CE}"/>
    <hyperlink ref="G53" xr:uid="{B7DA1E32-016F-4F03-AC65-A0CA6E7E4961}"/>
    <hyperlink ref="G54" xr:uid="{D444E42C-17FF-43FE-B0AF-394CE9D49628}"/>
    <hyperlink ref="G55" xr:uid="{60B421E2-62EC-45C3-AC32-725D1F2A43C8}"/>
    <hyperlink ref="G56" r:id="rId19" display="https://fobos-avto.ru/produkciya/vaz/peredniy-privod/pruzhiny-peremennyy-shag-2110-perednie-v-plenke/" xr:uid="{C1F2A3DA-2B57-4F79-891D-2881D6314546}"/>
    <hyperlink ref="G57" r:id="rId20" display="https://fobos-avto.ru/produkciya/vaz/peredniy-privod/pruzhiny-lada-vesta-sv-kross-zadnie/" xr:uid="{0821459B-C2D8-4767-84CE-5D7019B35832}"/>
    <hyperlink ref="G58" r:id="rId21" display="https://fobos-avto.ru/produkciya/vaz/peredniy-privod/pruzhina-lada-largus-zadnyaya-usilennaya-dacia-logan-mcv-universal/" xr:uid="{E4C64A9C-E3C6-4323-94B9-0E5856808A34}"/>
    <hyperlink ref="G59" r:id="rId22" display="https://fobos-avto.ru/produkciya/vaz/peredniy-privod/pruzhiny-lada-largus-kross-zadnie/" xr:uid="{719B8742-A219-497E-B4AD-EA82D25116E9}"/>
    <hyperlink ref="G60" r:id="rId23" display="https://fobos-avto.ru/produkciya/vaz/peredniy-privod/pruzhiny-standart-1117-perednie/" xr:uid="{0806D6D5-9315-49D8-A580-1EB927F0432D}"/>
    <hyperlink ref="G61" r:id="rId24" display="https://fobos-avto.ru/produkciya/vaz/peredniy-privod/pruzhiny-lada-vesta-perednie/" xr:uid="{28DE0BA6-7CD3-4A88-9624-E713DBB05C41}"/>
    <hyperlink ref="G62" r:id="rId25" display="https://fobos-avto.ru/produkciya/vaz/polnyy-privod/pruzhiny-peremennyy-shag-2121-zadnie-v-plenke/" xr:uid="{6FAD0FCB-8426-4269-9BF1-CCD00FF2FEF4}"/>
    <hyperlink ref="G63" r:id="rId26" display="https://fobos-avto.ru/produkciya/vaz/polnyy-privod/pruzhiny-peremennyy-shag-2123-zadnie-v-plenke/" xr:uid="{95222A9A-9666-4BF2-B28A-5AF5EC5608A1}"/>
    <hyperlink ref="G64" r:id="rId27" display="https://fobos-avto.ru/produkciya/vaz/polnyy-privod/pruzhiny-peremennyy-shag-2121perednie-v-plenke/" xr:uid="{BB58C53A-D1BA-401D-BF20-C5E0EC2C56EA}"/>
    <hyperlink ref="G65" r:id="rId28" display="https://fobos-avto.ru/produkciya/vaz/polnyy-privod/pruzhiny-peremennyy-shag-2123-perednie-v-plenke/" xr:uid="{71A2AA68-4DC0-4B38-B9C5-2D888D158AFB}"/>
    <hyperlink ref="G66" xr:uid="{C1CF7A74-A126-4F4C-97A3-021D9446DFA7}"/>
    <hyperlink ref="G67" xr:uid="{CA85B6B8-72F7-41B7-85F3-2C33DA1D60C0}"/>
    <hyperlink ref="G68" xr:uid="{40BEA3CE-D7C0-4228-9B7D-748E33AD931A}"/>
    <hyperlink ref="G69" xr:uid="{05ACBA30-7914-48DD-B6CC-2A160BC833F9}"/>
    <hyperlink ref="G70" xr:uid="{D9CBA612-5A7B-45D9-93B5-FF7A73B2F466}"/>
    <hyperlink ref="G71" xr:uid="{BEC80E34-6D07-405A-8883-711E87840288}"/>
    <hyperlink ref="G72" xr:uid="{77EA5945-AA74-4712-ABB7-74C2D97D6F77}"/>
    <hyperlink ref="G73" xr:uid="{499AE930-B387-4D27-B1F3-517C83D003CB}"/>
    <hyperlink ref="G74" xr:uid="{251219AE-660A-4327-82A8-90516E9D1BE7}"/>
    <hyperlink ref="G75" xr:uid="{67A05D60-870B-4F4E-90B4-E1359F637F5C}"/>
    <hyperlink ref="G76" xr:uid="{FADC09C2-30FB-444E-A970-FE0541DEDA9F}"/>
    <hyperlink ref="G77" xr:uid="{20346F9F-D3FE-47D2-A304-F01D96A1CCF6}"/>
    <hyperlink ref="G78" xr:uid="{19F325C7-F2D5-4B27-957F-413AD6FC9196}"/>
    <hyperlink ref="G79" xr:uid="{313FFA83-169D-4785-A175-7A30CE90348D}"/>
    <hyperlink ref="G80" xr:uid="{BB608A21-1802-40DF-BD90-B7E0D37170E7}"/>
    <hyperlink ref="G81" xr:uid="{78A07262-59CE-45F5-A06E-EF3ED1B03C9D}"/>
    <hyperlink ref="G82" xr:uid="{6C44DD84-8000-406B-8A83-E38522BC2369}"/>
    <hyperlink ref="G83" xr:uid="{54E06E52-3929-4DBC-8D70-283DB45F481A}"/>
    <hyperlink ref="G84" xr:uid="{7FABA9C0-4533-4E35-8046-F9DCC318A469}"/>
    <hyperlink ref="G85" xr:uid="{A604C48C-11A3-4F18-B4BD-D061059FF288}"/>
    <hyperlink ref="G86" xr:uid="{70BC9028-C857-40EB-82F7-6D0E154AD308}"/>
    <hyperlink ref="G87" xr:uid="{CF533E00-0091-4456-BAD0-CA261CC98F38}"/>
    <hyperlink ref="G88" xr:uid="{16124334-F529-409F-AE48-5C3F2B9F30C2}"/>
    <hyperlink ref="G89" xr:uid="{D10C4CDF-4A5F-421A-B025-B3EEDCEBFA87}"/>
    <hyperlink ref="G90" xr:uid="{3C0B02F7-E71C-4AFF-B659-BCD003A9740B}"/>
    <hyperlink ref="G91" xr:uid="{C2238E9F-9EC8-4D48-A3B7-3E409F101817}"/>
    <hyperlink ref="G92" xr:uid="{9A47C8D7-695B-41AD-A1AD-A8642183C253}"/>
    <hyperlink ref="G93" xr:uid="{165FD35B-D80E-4491-B04A-03FC934826E9}"/>
    <hyperlink ref="G94" xr:uid="{0CAF1676-56AC-4E88-8E5B-0D7242BCDF8E}"/>
    <hyperlink ref="G95" xr:uid="{CDC0C53E-A631-4816-A94C-6DAD78F5E7E5}"/>
    <hyperlink ref="G96" xr:uid="{22DD6EEE-84D3-4444-8AB6-2C10A7EB7D4D}"/>
    <hyperlink ref="G97" xr:uid="{3B3AC7D4-8011-4FA9-9F0E-6FE8120A2382}"/>
    <hyperlink ref="G98" xr:uid="{58346113-A21F-4D9E-A978-3A8BD52D073A}"/>
    <hyperlink ref="G99" xr:uid="{E072A26C-9E07-4105-9123-A39C21748D9B}"/>
    <hyperlink ref="G100" xr:uid="{22D26327-5A39-447C-B48C-686F4677C35F}"/>
    <hyperlink ref="G101" xr:uid="{C69183E9-9064-4D9E-B53E-84FA0509745C}"/>
    <hyperlink ref="G102" xr:uid="{BBF609C4-17B3-4D3E-99D3-187575BC0211}"/>
    <hyperlink ref="G103" xr:uid="{7F93BF74-5CC5-47D1-ABE6-D486D0683B0A}"/>
    <hyperlink ref="G104" xr:uid="{2A3C632F-243A-4C98-A52F-23E9D466F01B}"/>
    <hyperlink ref="G105" xr:uid="{2F24A057-66F6-4EEF-9B9B-432612E49F88}"/>
    <hyperlink ref="G106" xr:uid="{3CC25A7A-BB69-43AD-B229-5653AFB6503A}"/>
    <hyperlink ref="G107" xr:uid="{E35853A1-BF63-4CBE-A1BA-6C9102AA576D}"/>
    <hyperlink ref="G108" xr:uid="{39CD4A64-E87C-4CC8-AFAE-F3C719CD4953}"/>
    <hyperlink ref="G109" xr:uid="{52FDC053-3BAB-4ED7-9FAF-364272212ECD}"/>
    <hyperlink ref="G110" xr:uid="{B83DEB9E-FF6C-460E-93F6-5922B117DFA4}"/>
    <hyperlink ref="G111" xr:uid="{F8CC8947-84EA-4308-A717-75D4654E6612}"/>
    <hyperlink ref="G112" xr:uid="{C71E2394-DCE0-44A2-A522-8225154437CB}"/>
    <hyperlink ref="G113" xr:uid="{605C6A79-8388-4AC5-9599-935A4AC39FB4}"/>
    <hyperlink ref="G114" xr:uid="{29327E45-D0F7-4B8F-B24D-0250B330A324}"/>
    <hyperlink ref="G115" xr:uid="{3749C509-FFD7-4E90-AD13-4743F5F885BD}"/>
    <hyperlink ref="G116" xr:uid="{485F01D0-574B-4BC0-830F-86FE18975CDF}"/>
    <hyperlink ref="G117" xr:uid="{C3049E98-8E36-41C6-A9E0-CC96827724D8}"/>
    <hyperlink ref="G118" xr:uid="{9C6248A3-9BFA-4DB1-BB04-C6A14B3A8D34}"/>
    <hyperlink ref="G119" xr:uid="{69AAFD19-A670-4D3E-8087-36220375D4DF}"/>
    <hyperlink ref="G120" xr:uid="{9C553501-E241-4F41-9A8F-C399C2F5D2EE}"/>
    <hyperlink ref="G121" xr:uid="{A0E1C802-625D-48F2-BC08-9943473DEADE}"/>
    <hyperlink ref="G122" xr:uid="{F583563B-DE33-40A8-86C4-E2FFB82E8703}"/>
    <hyperlink ref="G123" xr:uid="{B6EB0323-EA5A-433F-9850-B10E4F4B2136}"/>
    <hyperlink ref="G124" xr:uid="{A6122C75-8629-464B-BE18-60D603CB2912}"/>
    <hyperlink ref="G125" xr:uid="{4CB31511-6B03-4135-B251-FF9785B14E22}"/>
    <hyperlink ref="G126" xr:uid="{7A0D91AE-3140-4A0D-A371-522C8431E2CF}"/>
    <hyperlink ref="G127" xr:uid="{F87A9C87-E7B2-4082-A0CC-C2C3C880AB5A}"/>
    <hyperlink ref="G128" xr:uid="{302966D5-0CC1-4D7B-92BB-0EEEC64C4562}"/>
    <hyperlink ref="G129" xr:uid="{660C34FC-F070-4AE1-8916-511423B2C621}"/>
    <hyperlink ref="G130" xr:uid="{D8A68A9E-2DB8-464D-A64A-11EC2C13CB74}"/>
    <hyperlink ref="G131" xr:uid="{62C3FE5B-D750-419A-B94D-6BB937308602}"/>
    <hyperlink ref="G132" xr:uid="{227419D5-39D8-4DAB-A9B1-95C92F6FBCCA}"/>
    <hyperlink ref="G133" xr:uid="{85DA29CC-FFD0-4EA0-BFAF-7484B89A0476}"/>
    <hyperlink ref="G134" xr:uid="{49C3D300-BC16-48AB-BAEF-9A5894437F13}"/>
    <hyperlink ref="G135" xr:uid="{9004700F-5CBE-4D6D-8D31-F242DEB26A82}"/>
    <hyperlink ref="G136" xr:uid="{969E3B8D-E282-44DE-8C02-03FC5C396B7A}"/>
    <hyperlink ref="G137" xr:uid="{9A2D76AC-D281-4655-9A54-3514BB2FE1E0}"/>
    <hyperlink ref="G21" xr:uid="{9EF29B94-0837-4D12-AFC5-882F6D167579}"/>
    <hyperlink ref="G22" xr:uid="{14E684FF-01B3-477B-86C7-B680F352FA06}"/>
  </hyperlinks>
  <pageMargins left="0.75" right="0.75" top="1" bottom="1" header="0.5" footer="0.5"/>
  <pageSetup paperSize="9" orientation="portrait" r:id="rId29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53EE5-1622-406A-A4C9-737C2772B9E9}">
  <sheetPr codeName="Лист61"/>
  <dimension ref="A1:AQ73"/>
  <sheetViews>
    <sheetView showGridLines="0" topLeftCell="K1" zoomScaleNormal="100" workbookViewId="0">
      <selection activeCell="AA2" sqref="AA2"/>
    </sheetView>
  </sheetViews>
  <sheetFormatPr defaultRowHeight="15" outlineLevelCol="1" x14ac:dyDescent="0.25"/>
  <cols>
    <col min="1" max="1" width="26.7109375" style="65" hidden="1" customWidth="1" outlineLevel="1"/>
    <col min="2" max="2" width="7" style="65" bestFit="1" customWidth="1" collapsed="1"/>
    <col min="3" max="3" width="7" style="65" bestFit="1" customWidth="1"/>
    <col min="4" max="4" width="36.5703125" style="65" customWidth="1"/>
    <col min="5" max="5" width="2.42578125" style="65" bestFit="1" customWidth="1"/>
    <col min="6" max="6" width="4.85546875" style="65" bestFit="1" customWidth="1"/>
    <col min="7" max="7" width="15.7109375" style="65" bestFit="1" customWidth="1"/>
    <col min="8" max="8" width="14.85546875" style="65" customWidth="1"/>
    <col min="9" max="9" width="11.42578125" style="65" customWidth="1"/>
    <col min="10" max="10" width="15.7109375" style="65" bestFit="1" customWidth="1"/>
    <col min="11" max="11" width="5.28515625" style="68" bestFit="1" customWidth="1"/>
    <col min="12" max="12" width="4.42578125" style="67" bestFit="1" customWidth="1"/>
    <col min="13" max="13" width="5" style="68" bestFit="1" customWidth="1"/>
    <col min="14" max="14" width="5.42578125" style="68" bestFit="1" customWidth="1"/>
    <col min="15" max="15" width="6.7109375" style="78" bestFit="1" customWidth="1"/>
    <col min="16" max="16" width="6.85546875" style="78" bestFit="1" customWidth="1"/>
    <col min="17" max="18" width="7.42578125" style="65" bestFit="1" customWidth="1"/>
    <col min="19" max="19" width="5.85546875" style="68" bestFit="1" customWidth="1"/>
    <col min="20" max="20" width="7.28515625" style="65" bestFit="1" customWidth="1"/>
    <col min="21" max="21" width="7.85546875" style="65" bestFit="1" customWidth="1"/>
    <col min="22" max="22" width="8.140625" style="65" bestFit="1" customWidth="1"/>
    <col min="23" max="23" width="5.85546875" style="68" bestFit="1" customWidth="1"/>
    <col min="24" max="24" width="7.5703125" style="68" bestFit="1" customWidth="1"/>
    <col min="25" max="25" width="2" style="65" bestFit="1" customWidth="1"/>
    <col min="26" max="26" width="7" style="65" bestFit="1" customWidth="1"/>
    <col min="27" max="27" width="11" style="68" bestFit="1" customWidth="1"/>
    <col min="28" max="28" width="10.140625" style="65" customWidth="1"/>
    <col min="29" max="29" width="7.5703125" style="68" bestFit="1" customWidth="1"/>
    <col min="30" max="30" width="2" style="65" bestFit="1" customWidth="1"/>
    <col min="31" max="31" width="7" style="65" bestFit="1" customWidth="1"/>
    <col min="32" max="33" width="9.140625" style="65"/>
    <col min="34" max="34" width="7.5703125" style="68" bestFit="1" customWidth="1"/>
    <col min="35" max="35" width="2" style="65" bestFit="1" customWidth="1"/>
    <col min="36" max="36" width="7" style="65" bestFit="1" customWidth="1"/>
    <col min="37" max="38" width="9.140625" style="65"/>
    <col min="39" max="39" width="7.5703125" style="68" bestFit="1" customWidth="1"/>
    <col min="40" max="40" width="2" style="65" bestFit="1" customWidth="1"/>
    <col min="41" max="41" width="7" style="65" bestFit="1" customWidth="1"/>
    <col min="42" max="16384" width="9.140625" style="65"/>
  </cols>
  <sheetData>
    <row r="1" spans="1:43" x14ac:dyDescent="0.25">
      <c r="C1" s="66">
        <v>2</v>
      </c>
      <c r="D1" s="66">
        <v>3</v>
      </c>
      <c r="E1" s="65">
        <v>4</v>
      </c>
      <c r="F1" s="65">
        <v>16</v>
      </c>
      <c r="G1" s="65">
        <v>6</v>
      </c>
      <c r="K1" s="62">
        <f>O1</f>
        <v>10</v>
      </c>
      <c r="O1" s="65">
        <v>10</v>
      </c>
      <c r="P1" s="65">
        <v>11</v>
      </c>
      <c r="Q1" s="68"/>
      <c r="R1" s="68"/>
      <c r="S1" s="80">
        <v>0.2</v>
      </c>
      <c r="T1" s="69" t="str">
        <f>_xlfn.CONCAT(ROUND(MIN(T3:T8990)*100,0),"-",ROUND(MAX(T3:T8990)*100,0),"%")</f>
        <v>20-51%</v>
      </c>
      <c r="U1" s="69" t="str">
        <f>_xlfn.CONCAT(ROUND(SUBTOTAL(5,U3:U8990)*100,0)," - ",ROUND(SUBTOTAL(4,U3:U8990)*100,0),"%")</f>
        <v>-16 - 7%</v>
      </c>
      <c r="V1" s="69" t="str">
        <f>_xlfn.CONCAT(ROUND(SUBTOTAL(5,V3:V89990)*100,0)," - ",ROUND(SUBTOTAL(4,V3:V89990)*100,0),"%")</f>
        <v>4 - 62%</v>
      </c>
      <c r="W1" s="70"/>
      <c r="X1" s="65">
        <v>10</v>
      </c>
      <c r="Z1" s="92">
        <f>AD1</f>
        <v>0</v>
      </c>
      <c r="AA1" s="70"/>
      <c r="AC1" s="65">
        <v>11</v>
      </c>
      <c r="AE1" s="93">
        <f>AN1</f>
        <v>0</v>
      </c>
      <c r="AH1" s="65">
        <v>12</v>
      </c>
      <c r="AJ1" s="93">
        <f>AS1</f>
        <v>0</v>
      </c>
      <c r="AM1" s="65">
        <v>13</v>
      </c>
      <c r="AO1" s="126">
        <f>AX1</f>
        <v>0</v>
      </c>
    </row>
    <row r="2" spans="1:43" ht="26.25" x14ac:dyDescent="0.25">
      <c r="A2" s="53" t="s">
        <v>219</v>
      </c>
      <c r="B2" s="1" t="s">
        <v>0</v>
      </c>
      <c r="C2" s="43" t="s">
        <v>194</v>
      </c>
      <c r="D2" s="43" t="s">
        <v>78</v>
      </c>
      <c r="E2" s="43"/>
      <c r="F2" s="43"/>
      <c r="G2" s="43" t="s">
        <v>195</v>
      </c>
      <c r="H2" s="71" t="s">
        <v>62</v>
      </c>
      <c r="I2" s="72" t="s">
        <v>145</v>
      </c>
      <c r="J2" s="1" t="s">
        <v>1</v>
      </c>
      <c r="K2" s="63" t="s">
        <v>339</v>
      </c>
      <c r="L2" s="61"/>
      <c r="M2" s="64"/>
      <c r="N2" s="63" t="s">
        <v>338</v>
      </c>
      <c r="O2" s="43" t="s">
        <v>185</v>
      </c>
      <c r="P2" s="43" t="s">
        <v>186</v>
      </c>
      <c r="Q2" s="52" t="s">
        <v>196</v>
      </c>
      <c r="R2" s="52" t="s">
        <v>196</v>
      </c>
      <c r="S2" s="49">
        <v>7.0000000000000007E-2</v>
      </c>
      <c r="T2" s="73" t="s">
        <v>187</v>
      </c>
      <c r="U2" s="73" t="s">
        <v>190</v>
      </c>
      <c r="V2" s="73" t="s">
        <v>191</v>
      </c>
      <c r="W2" s="74" t="s">
        <v>408</v>
      </c>
      <c r="X2" s="91" t="s">
        <v>407</v>
      </c>
      <c r="Y2" s="50"/>
      <c r="Z2" s="50" t="s">
        <v>340</v>
      </c>
      <c r="AA2" s="74" t="s">
        <v>192</v>
      </c>
      <c r="AB2" s="74" t="s">
        <v>192</v>
      </c>
      <c r="AC2" s="91" t="s">
        <v>407</v>
      </c>
      <c r="AD2" s="50"/>
      <c r="AE2" s="50" t="s">
        <v>340</v>
      </c>
      <c r="AF2" s="41" t="s">
        <v>347</v>
      </c>
      <c r="AG2" s="65" t="s">
        <v>347</v>
      </c>
      <c r="AH2" s="91" t="s">
        <v>407</v>
      </c>
      <c r="AI2" s="50"/>
      <c r="AJ2" s="50" t="s">
        <v>340</v>
      </c>
      <c r="AK2" s="121">
        <v>3</v>
      </c>
      <c r="AL2" s="121">
        <v>3</v>
      </c>
      <c r="AM2" s="122" t="s">
        <v>407</v>
      </c>
      <c r="AN2" s="123"/>
      <c r="AO2" s="123" t="s">
        <v>340</v>
      </c>
      <c r="AP2" s="121">
        <v>4</v>
      </c>
      <c r="AQ2" s="121">
        <v>4</v>
      </c>
    </row>
    <row r="3" spans="1:43" ht="60.75" thickBot="1" x14ac:dyDescent="0.3">
      <c r="A3" s="75" t="str">
        <f>INDEX('Выгр Торг'!$A:$A,MATCH($B3,'Выгр Торг'!$B:$B,0))</f>
        <v>Задние пружины Технорессор Драйв с занижением 30 / 50 / 70 / 90 / 120 мм для ВАЗ 2101-2107</v>
      </c>
      <c r="B3" s="41">
        <v>145463</v>
      </c>
      <c r="C3" s="41">
        <f>VLOOKUP($B3,'Выгр Торг'!$B:$T,C$1,0)</f>
        <v>108577</v>
      </c>
      <c r="D3" s="75" t="str">
        <f>VLOOKUP($B3,'Выгр Торг'!$B:$S,D$1,0)</f>
        <v>Задние пружины Технорессор Драйв с занижением для ВАЗ 2101-2107 Занижение 120 мм</v>
      </c>
      <c r="E3" s="41" t="str">
        <f>VLOOKUP($B3,'Выгр Торг'!$B:$T,E$1,0)</f>
        <v>N</v>
      </c>
      <c r="F3" s="41" t="str">
        <f>VLOOKUP($B3,'Выгр Торг'!$B:$T,F$1,0)</f>
        <v>0</v>
      </c>
      <c r="G3" s="41">
        <f>VLOOKUP($B3,'Выгр Торг'!$B:$T,G$1,0)</f>
        <v>0</v>
      </c>
      <c r="H3" s="41" t="s">
        <v>189</v>
      </c>
      <c r="I3" s="41"/>
      <c r="J3" s="1" t="s">
        <v>65</v>
      </c>
      <c r="K3" s="63">
        <f>VLOOKUP(H3,Прайс!B:D,3,0)</f>
        <v>2550</v>
      </c>
      <c r="L3" s="61">
        <f>VLOOKUP(K3,Наценка!$A$1:$B$8,2,1)</f>
        <v>1.32</v>
      </c>
      <c r="M3" s="94">
        <f t="shared" ref="M3:M7" si="0">W3*1</f>
        <v>3400</v>
      </c>
      <c r="N3" s="63">
        <f>ROUNDUP(M3,-2)-10</f>
        <v>3390</v>
      </c>
      <c r="O3" s="41">
        <f>VLOOKUP($B3,'Выгр Торг'!$B:$T,O$1,0)</f>
        <v>2550</v>
      </c>
      <c r="P3" s="41">
        <f>VLOOKUP($B3,'Выгр Торг'!$B:$T,P$1,0)</f>
        <v>3690</v>
      </c>
      <c r="Q3" s="52">
        <f>O3-K3</f>
        <v>0</v>
      </c>
      <c r="R3" s="52">
        <f>P3-N3</f>
        <v>300</v>
      </c>
      <c r="S3" s="59">
        <f>IFERROR(N3*(1-$S$2),"")</f>
        <v>3152.7</v>
      </c>
      <c r="T3" s="76">
        <f t="shared" ref="T3:T34" si="1">IFERROR(S3/K3-1,"")</f>
        <v>0.23635294117647043</v>
      </c>
      <c r="U3" s="76">
        <f t="shared" ref="U3:U34" si="2">IFERROR((W3-S3)/W3,"")</f>
        <v>7.2735294117647106E-2</v>
      </c>
      <c r="V3" s="76">
        <f t="shared" ref="V3:V34" si="3">IFERROR(IF(W3="","",W3/K3-1),"")</f>
        <v>0.33333333333333326</v>
      </c>
      <c r="W3" s="93">
        <f>AF3</f>
        <v>3400</v>
      </c>
      <c r="X3" s="79">
        <f>IFERROR((VLOOKUP($B3,'Из ГУГЛа'!$B:$AD,X$1,0)+Z3)*Y3,VLOOKUP($B3,'Из ГУГЛа'!$B:$AD,X$1,0))</f>
        <v>2390</v>
      </c>
      <c r="Y3" s="51">
        <v>1</v>
      </c>
      <c r="Z3" s="51"/>
      <c r="AA3" s="87" t="s">
        <v>229</v>
      </c>
      <c r="AB3" s="65" t="s">
        <v>278</v>
      </c>
      <c r="AC3" s="79">
        <f>IFERROR((VLOOKUP($B3,'Из ГУГЛа'!$B:$AD,AC$1,0)+AE3)*AD3,VLOOKUP($B3,'Из ГУГЛа'!$B:$AD,AC$1,0))</f>
        <v>3400</v>
      </c>
      <c r="AD3" s="51">
        <v>1</v>
      </c>
      <c r="AE3" s="51"/>
      <c r="AF3" s="85">
        <v>3400</v>
      </c>
      <c r="AG3" s="65" t="s">
        <v>366</v>
      </c>
      <c r="AH3" s="79" t="str">
        <f>IFERROR((VLOOKUP($B3,'Из ГУГЛа'!$B:$AD,AH$1,0)+AJ3)*AI3,VLOOKUP($B3,'Из ГУГЛа'!$B:$AD,AH$1,0))</f>
        <v/>
      </c>
      <c r="AI3" s="51">
        <v>1</v>
      </c>
      <c r="AJ3" s="51"/>
      <c r="AK3" s="127"/>
      <c r="AL3" s="121"/>
      <c r="AM3" s="124" t="str">
        <f>IFERROR((VLOOKUP($B3,'Из ГУГЛа'!$B:$AD,AM$1,0)+AO3)*AN3,VLOOKUP($B3,'Из ГУГЛа'!$B:$AD,AM$1,0))</f>
        <v/>
      </c>
      <c r="AN3" s="125">
        <v>1</v>
      </c>
      <c r="AO3" s="125"/>
      <c r="AP3" s="127"/>
      <c r="AQ3" s="121"/>
    </row>
    <row r="4" spans="1:43" ht="61.5" thickTop="1" thickBot="1" x14ac:dyDescent="0.3">
      <c r="A4" s="75" t="str">
        <f>INDEX('Выгр Торг'!$A:$A,MATCH($B4,'Выгр Торг'!$B:$B,0))</f>
        <v>Задние пружины Технорессор Драйв с занижением 30 / 50 / 70 / 90 / 120 мм для ВАЗ 2101-2107</v>
      </c>
      <c r="B4" s="41">
        <v>145464</v>
      </c>
      <c r="C4" s="41">
        <f>VLOOKUP($B4,'Выгр Торг'!$B:$T,C$1,0)</f>
        <v>108573</v>
      </c>
      <c r="D4" s="75" t="str">
        <f>VLOOKUP($B4,'Выгр Торг'!$B:$S,D$1,0)</f>
        <v>Задние пружины Технорессор Драйв с занижением для ВАЗ 2101-2107 Занижение 30 мм</v>
      </c>
      <c r="E4" s="41" t="str">
        <f>VLOOKUP($B4,'Выгр Торг'!$B:$T,E$1,0)</f>
        <v>N</v>
      </c>
      <c r="F4" s="41" t="str">
        <f>VLOOKUP($B4,'Выгр Торг'!$B:$T,F$1,0)</f>
        <v>1ск4</v>
      </c>
      <c r="G4" s="41">
        <f>VLOOKUP($B4,'Выгр Торг'!$B:$T,G$1,0)</f>
        <v>0</v>
      </c>
      <c r="H4" s="41" t="s">
        <v>439</v>
      </c>
      <c r="I4" s="41"/>
      <c r="J4" s="1" t="s">
        <v>65</v>
      </c>
      <c r="K4" s="62">
        <f>O4</f>
        <v>2550</v>
      </c>
      <c r="L4" s="61">
        <f>VLOOKUP(K4,Наценка!$A$1:$B$8,2,1)</f>
        <v>1.32</v>
      </c>
      <c r="M4" s="94">
        <f t="shared" si="0"/>
        <v>3690</v>
      </c>
      <c r="N4" s="63">
        <f t="shared" ref="N4:N38" si="4">ROUNDUP(M4,-2)-10</f>
        <v>3690</v>
      </c>
      <c r="O4" s="41">
        <f>VLOOKUP($B4,'Выгр Торг'!$B:$T,O$1,0)</f>
        <v>2550</v>
      </c>
      <c r="P4" s="41">
        <f>VLOOKUP($B4,'Выгр Торг'!$B:$T,P$1,0)</f>
        <v>3690</v>
      </c>
      <c r="Q4" s="52">
        <f t="shared" ref="Q4:Q57" si="5">O4-K4</f>
        <v>0</v>
      </c>
      <c r="R4" s="52">
        <f t="shared" ref="R4:R57" si="6">P4-N4</f>
        <v>0</v>
      </c>
      <c r="S4" s="59">
        <f t="shared" ref="S4:S57" si="7">IFERROR(N4*(1-$S$2),"")</f>
        <v>3431.7</v>
      </c>
      <c r="T4" s="76">
        <f t="shared" si="1"/>
        <v>0.34576470588235297</v>
      </c>
      <c r="U4" s="76">
        <f t="shared" si="2"/>
        <v>7.0000000000000048E-2</v>
      </c>
      <c r="V4" s="76">
        <f t="shared" si="3"/>
        <v>0.44705882352941173</v>
      </c>
      <c r="W4" s="92">
        <f>AA4</f>
        <v>3690</v>
      </c>
      <c r="X4" s="79">
        <f>IFERROR((VLOOKUP($B4,'Из ГУГЛа'!$B:$AD,X$1,0)+Z4)*Y4,VLOOKUP($B4,'Из ГУГЛа'!$B:$AD,X$1,0))</f>
        <v>3690</v>
      </c>
      <c r="Y4" s="51">
        <v>1</v>
      </c>
      <c r="Z4" s="51"/>
      <c r="AA4" s="88">
        <v>3690</v>
      </c>
      <c r="AB4" s="65" t="s">
        <v>279</v>
      </c>
      <c r="AC4" s="79">
        <f>IFERROR((VLOOKUP($B4,'Из ГУГЛа'!$B:$AD,AC$1,0)+AE4)*AD4,VLOOKUP($B4,'Из ГУГЛа'!$B:$AD,AC$1,0))</f>
        <v>3500</v>
      </c>
      <c r="AD4" s="51">
        <v>1</v>
      </c>
      <c r="AE4" s="51"/>
      <c r="AF4" s="85">
        <v>3500</v>
      </c>
      <c r="AG4" s="65" t="s">
        <v>341</v>
      </c>
      <c r="AH4" s="79" t="str">
        <f>IFERROR((VLOOKUP($B4,'Из ГУГЛа'!$B:$AD,AH$1,0)+AJ4)*AI4,VLOOKUP($B4,'Из ГУГЛа'!$B:$AD,AH$1,0))</f>
        <v/>
      </c>
      <c r="AI4" s="51">
        <v>1</v>
      </c>
      <c r="AJ4" s="51"/>
      <c r="AK4" s="127"/>
      <c r="AL4" s="121"/>
      <c r="AM4" s="124" t="str">
        <f>IFERROR((VLOOKUP($B4,'Из ГУГЛа'!$B:$AD,AM$1,0)+AO4)*AN4,VLOOKUP($B4,'Из ГУГЛа'!$B:$AD,AM$1,0))</f>
        <v/>
      </c>
      <c r="AN4" s="125">
        <v>1</v>
      </c>
      <c r="AO4" s="125"/>
      <c r="AP4" s="127"/>
      <c r="AQ4" s="121"/>
    </row>
    <row r="5" spans="1:43" ht="61.5" thickTop="1" thickBot="1" x14ac:dyDescent="0.3">
      <c r="A5" s="75" t="str">
        <f>INDEX('Выгр Торг'!$A:$A,MATCH($B5,'Выгр Торг'!$B:$B,0))</f>
        <v>Задние пружины Технорессор Драйв с занижением 30 / 50 / 70 / 90 / 120 мм для ВАЗ 2101-2107</v>
      </c>
      <c r="B5" s="41">
        <v>145465</v>
      </c>
      <c r="C5" s="41">
        <f>VLOOKUP($B5,'Выгр Торг'!$B:$T,C$1,0)</f>
        <v>108574</v>
      </c>
      <c r="D5" s="75" t="str">
        <f>VLOOKUP($B5,'Выгр Торг'!$B:$S,D$1,0)</f>
        <v>Задние пружины Технорессор Драйв с занижением для ВАЗ 2101-2107 Занижение 50 мм</v>
      </c>
      <c r="E5" s="41" t="str">
        <f>VLOOKUP($B5,'Выгр Торг'!$B:$T,E$1,0)</f>
        <v>N</v>
      </c>
      <c r="F5" s="41" t="str">
        <f>VLOOKUP($B5,'Выгр Торг'!$B:$T,F$1,0)</f>
        <v>1</v>
      </c>
      <c r="G5" s="41">
        <f>VLOOKUP($B5,'Выгр Торг'!$B:$T,G$1,0)</f>
        <v>0</v>
      </c>
      <c r="H5" s="41" t="s">
        <v>440</v>
      </c>
      <c r="I5" s="41"/>
      <c r="J5" s="1" t="s">
        <v>65</v>
      </c>
      <c r="K5" s="62">
        <f>O5</f>
        <v>2550</v>
      </c>
      <c r="L5" s="61">
        <f>VLOOKUP(K5,Наценка!$A$1:$B$8,2,1)</f>
        <v>1.32</v>
      </c>
      <c r="M5" s="94">
        <f t="shared" si="0"/>
        <v>3690</v>
      </c>
      <c r="N5" s="63">
        <f t="shared" si="4"/>
        <v>3690</v>
      </c>
      <c r="O5" s="41">
        <f>VLOOKUP($B5,'Выгр Торг'!$B:$T,O$1,0)</f>
        <v>2550</v>
      </c>
      <c r="P5" s="41">
        <f>VLOOKUP($B5,'Выгр Торг'!$B:$T,P$1,0)</f>
        <v>3690</v>
      </c>
      <c r="Q5" s="52">
        <f t="shared" si="5"/>
        <v>0</v>
      </c>
      <c r="R5" s="52">
        <f t="shared" si="6"/>
        <v>0</v>
      </c>
      <c r="S5" s="59">
        <f t="shared" si="7"/>
        <v>3431.7</v>
      </c>
      <c r="T5" s="76">
        <f t="shared" si="1"/>
        <v>0.34576470588235297</v>
      </c>
      <c r="U5" s="76">
        <f t="shared" si="2"/>
        <v>7.0000000000000048E-2</v>
      </c>
      <c r="V5" s="76">
        <f t="shared" si="3"/>
        <v>0.44705882352941173</v>
      </c>
      <c r="W5" s="92">
        <f>AA5</f>
        <v>3690</v>
      </c>
      <c r="X5" s="79">
        <f>IFERROR((VLOOKUP($B5,'Из ГУГЛа'!$B:$AD,X$1,0)+Z5)*Y5,VLOOKUP($B5,'Из ГУГЛа'!$B:$AD,X$1,0))</f>
        <v>3890</v>
      </c>
      <c r="Y5" s="51">
        <v>1</v>
      </c>
      <c r="Z5" s="51"/>
      <c r="AA5" s="88">
        <v>3690</v>
      </c>
      <c r="AB5" s="65" t="s">
        <v>280</v>
      </c>
      <c r="AC5" s="79">
        <f>IFERROR((VLOOKUP($B5,'Из ГУГЛа'!$B:$AD,AC$1,0)+AE5)*AD5,VLOOKUP($B5,'Из ГУГЛа'!$B:$AD,AC$1,0))</f>
        <v>3500</v>
      </c>
      <c r="AD5" s="51">
        <v>1</v>
      </c>
      <c r="AE5" s="51"/>
      <c r="AF5" s="85">
        <v>3500</v>
      </c>
      <c r="AG5" s="65" t="s">
        <v>342</v>
      </c>
      <c r="AH5" s="79" t="str">
        <f>IFERROR((VLOOKUP($B5,'Из ГУГЛа'!$B:$AD,AH$1,0)+AJ5)*AI5,VLOOKUP($B5,'Из ГУГЛа'!$B:$AD,AH$1,0))</f>
        <v/>
      </c>
      <c r="AI5" s="51">
        <v>1</v>
      </c>
      <c r="AJ5" s="51"/>
      <c r="AK5" s="127"/>
      <c r="AL5" s="121"/>
      <c r="AM5" s="124" t="str">
        <f>IFERROR((VLOOKUP($B5,'Из ГУГЛа'!$B:$AD,AM$1,0)+AO5)*AN5,VLOOKUP($B5,'Из ГУГЛа'!$B:$AD,AM$1,0))</f>
        <v/>
      </c>
      <c r="AN5" s="125">
        <v>1</v>
      </c>
      <c r="AO5" s="125"/>
      <c r="AP5" s="127"/>
      <c r="AQ5" s="121"/>
    </row>
    <row r="6" spans="1:43" ht="61.5" thickTop="1" thickBot="1" x14ac:dyDescent="0.3">
      <c r="A6" s="75" t="str">
        <f>INDEX('Выгр Торг'!$A:$A,MATCH($B6,'Выгр Торг'!$B:$B,0))</f>
        <v>Задние пружины Технорессор Драйв с занижением 30 / 50 / 70 / 90 / 120 мм для ВАЗ 2101-2107</v>
      </c>
      <c r="B6" s="41">
        <v>145466</v>
      </c>
      <c r="C6" s="41">
        <f>VLOOKUP($B6,'Выгр Торг'!$B:$T,C$1,0)</f>
        <v>108575</v>
      </c>
      <c r="D6" s="75" t="str">
        <f>VLOOKUP($B6,'Выгр Торг'!$B:$S,D$1,0)</f>
        <v>Задние пружины Технорессор Драйв с занижением для ВАЗ 2101-2107 Занижение 70 мм</v>
      </c>
      <c r="E6" s="41" t="str">
        <f>VLOOKUP($B6,'Выгр Торг'!$B:$T,E$1,0)</f>
        <v>N</v>
      </c>
      <c r="F6" s="41" t="str">
        <f>VLOOKUP($B6,'Выгр Торг'!$B:$T,F$1,0)</f>
        <v>0</v>
      </c>
      <c r="G6" s="41">
        <f>VLOOKUP($B6,'Выгр Торг'!$B:$T,G$1,0)</f>
        <v>0</v>
      </c>
      <c r="H6" s="41" t="s">
        <v>441</v>
      </c>
      <c r="I6" s="41"/>
      <c r="J6" s="1" t="s">
        <v>65</v>
      </c>
      <c r="K6" s="62">
        <f>O6</f>
        <v>2550</v>
      </c>
      <c r="L6" s="61">
        <f>VLOOKUP(K6,Наценка!$A$1:$B$8,2,1)</f>
        <v>1.32</v>
      </c>
      <c r="M6" s="94">
        <f t="shared" si="0"/>
        <v>3590</v>
      </c>
      <c r="N6" s="63">
        <f t="shared" si="4"/>
        <v>3590</v>
      </c>
      <c r="O6" s="41">
        <f>VLOOKUP($B6,'Выгр Торг'!$B:$T,O$1,0)</f>
        <v>2550</v>
      </c>
      <c r="P6" s="41">
        <f>VLOOKUP($B6,'Выгр Торг'!$B:$T,P$1,0)</f>
        <v>3590</v>
      </c>
      <c r="Q6" s="52">
        <f t="shared" si="5"/>
        <v>0</v>
      </c>
      <c r="R6" s="52">
        <f t="shared" si="6"/>
        <v>0</v>
      </c>
      <c r="S6" s="59">
        <f t="shared" si="7"/>
        <v>3338.7</v>
      </c>
      <c r="T6" s="76">
        <f t="shared" si="1"/>
        <v>0.30929411764705872</v>
      </c>
      <c r="U6" s="76">
        <f t="shared" si="2"/>
        <v>7.0000000000000048E-2</v>
      </c>
      <c r="V6" s="76">
        <f t="shared" si="3"/>
        <v>0.40784313725490207</v>
      </c>
      <c r="W6" s="92">
        <f>AA6</f>
        <v>3590</v>
      </c>
      <c r="X6" s="79">
        <f>IFERROR((VLOOKUP($B6,'Из ГУГЛа'!$B:$AD,X$1,0)+Z6)*Y6,VLOOKUP($B6,'Из ГУГЛа'!$B:$AD,X$1,0))</f>
        <v>3890</v>
      </c>
      <c r="Y6" s="51">
        <v>1</v>
      </c>
      <c r="Z6" s="51"/>
      <c r="AA6" s="88">
        <v>3590</v>
      </c>
      <c r="AB6" s="65" t="s">
        <v>281</v>
      </c>
      <c r="AC6" s="79">
        <f>IFERROR((VLOOKUP($B6,'Из ГУГЛа'!$B:$AD,AC$1,0)+AE6)*AD6,VLOOKUP($B6,'Из ГУГЛа'!$B:$AD,AC$1,0))</f>
        <v>3500</v>
      </c>
      <c r="AD6" s="51">
        <v>1</v>
      </c>
      <c r="AE6" s="51"/>
      <c r="AF6" s="85">
        <v>3500</v>
      </c>
      <c r="AG6" s="65" t="s">
        <v>343</v>
      </c>
      <c r="AH6" s="79" t="str">
        <f>IFERROR((VLOOKUP($B6,'Из ГУГЛа'!$B:$AD,AH$1,0)+AJ6)*AI6,VLOOKUP($B6,'Из ГУГЛа'!$B:$AD,AH$1,0))</f>
        <v/>
      </c>
      <c r="AI6" s="51">
        <v>1</v>
      </c>
      <c r="AJ6" s="51"/>
      <c r="AK6" s="127"/>
      <c r="AL6" s="121"/>
      <c r="AM6" s="124" t="str">
        <f>IFERROR((VLOOKUP($B6,'Из ГУГЛа'!$B:$AD,AM$1,0)+AO6)*AN6,VLOOKUP($B6,'Из ГУГЛа'!$B:$AD,AM$1,0))</f>
        <v/>
      </c>
      <c r="AN6" s="125">
        <v>1</v>
      </c>
      <c r="AO6" s="125"/>
      <c r="AP6" s="127"/>
      <c r="AQ6" s="121"/>
    </row>
    <row r="7" spans="1:43" ht="61.5" thickTop="1" thickBot="1" x14ac:dyDescent="0.3">
      <c r="A7" s="75" t="str">
        <f>INDEX('Выгр Торг'!$A:$A,MATCH($B7,'Выгр Торг'!$B:$B,0))</f>
        <v>Задние пружины Технорессор Драйв с занижением 30 / 50 / 70 / 90 / 120 мм для ВАЗ 2101-2107</v>
      </c>
      <c r="B7" s="41">
        <v>145467</v>
      </c>
      <c r="C7" s="41">
        <f>VLOOKUP($B7,'Выгр Торг'!$B:$T,C$1,0)</f>
        <v>108576</v>
      </c>
      <c r="D7" s="75" t="str">
        <f>VLOOKUP($B7,'Выгр Торг'!$B:$S,D$1,0)</f>
        <v>Задние пружины Технорессор Драйв с занижением для ВАЗ 2101-2107 Занижение 90 мм</v>
      </c>
      <c r="E7" s="41" t="str">
        <f>VLOOKUP($B7,'Выгр Торг'!$B:$T,E$1,0)</f>
        <v>N</v>
      </c>
      <c r="F7" s="41" t="str">
        <f>VLOOKUP($B7,'Выгр Торг'!$B:$T,F$1,0)</f>
        <v>1</v>
      </c>
      <c r="G7" s="41">
        <f>VLOOKUP($B7,'Выгр Торг'!$B:$T,G$1,0)</f>
        <v>0</v>
      </c>
      <c r="H7" s="41" t="s">
        <v>189</v>
      </c>
      <c r="I7" s="41"/>
      <c r="J7" s="1" t="s">
        <v>65</v>
      </c>
      <c r="K7" s="63">
        <f>VLOOKUP(H7,Прайс!B:D,3,0)</f>
        <v>2550</v>
      </c>
      <c r="L7" s="61">
        <f>VLOOKUP(K7,Наценка!$A$1:$B$8,2,1)</f>
        <v>1.32</v>
      </c>
      <c r="M7" s="94">
        <f t="shared" si="0"/>
        <v>3690</v>
      </c>
      <c r="N7" s="63">
        <f t="shared" si="4"/>
        <v>3690</v>
      </c>
      <c r="O7" s="41">
        <f>VLOOKUP($B7,'Выгр Торг'!$B:$T,O$1,0)</f>
        <v>2550</v>
      </c>
      <c r="P7" s="41">
        <f>VLOOKUP($B7,'Выгр Торг'!$B:$T,P$1,0)</f>
        <v>3690</v>
      </c>
      <c r="Q7" s="52">
        <f t="shared" si="5"/>
        <v>0</v>
      </c>
      <c r="R7" s="52">
        <f t="shared" si="6"/>
        <v>0</v>
      </c>
      <c r="S7" s="59">
        <f t="shared" si="7"/>
        <v>3431.7</v>
      </c>
      <c r="T7" s="76">
        <f t="shared" si="1"/>
        <v>0.34576470588235297</v>
      </c>
      <c r="U7" s="76">
        <f t="shared" si="2"/>
        <v>7.0000000000000048E-2</v>
      </c>
      <c r="V7" s="76">
        <f t="shared" si="3"/>
        <v>0.44705882352941173</v>
      </c>
      <c r="W7" s="92">
        <f>AA7</f>
        <v>3690</v>
      </c>
      <c r="X7" s="79">
        <f>IFERROR((VLOOKUP($B7,'Из ГУГЛа'!$B:$AD,X$1,0)+Z7)*Y7,VLOOKUP($B7,'Из ГУГЛа'!$B:$AD,X$1,0))</f>
        <v>3890</v>
      </c>
      <c r="Y7" s="51">
        <v>1</v>
      </c>
      <c r="Z7" s="51"/>
      <c r="AA7" s="88">
        <v>3690</v>
      </c>
      <c r="AB7" s="65" t="s">
        <v>282</v>
      </c>
      <c r="AC7" s="79" t="str">
        <f>IFERROR((VLOOKUP($B7,'Из ГУГЛа'!$B:$AD,AC$1,0)+AE7)*AD7,VLOOKUP($B7,'Из ГУГЛа'!$B:$AD,AC$1,0))</f>
        <v/>
      </c>
      <c r="AD7" s="51">
        <v>1</v>
      </c>
      <c r="AE7" s="51"/>
      <c r="AF7" s="41"/>
      <c r="AH7" s="79" t="str">
        <f>IFERROR((VLOOKUP($B7,'Из ГУГЛа'!$B:$AD,AH$1,0)+AJ7)*AI7,VLOOKUP($B7,'Из ГУГЛа'!$B:$AD,AH$1,0))</f>
        <v/>
      </c>
      <c r="AI7" s="51">
        <v>1</v>
      </c>
      <c r="AJ7" s="51"/>
      <c r="AK7" s="121"/>
      <c r="AL7" s="121"/>
      <c r="AM7" s="124" t="str">
        <f>IFERROR((VLOOKUP($B7,'Из ГУГЛа'!$B:$AD,AM$1,0)+AO7)*AN7,VLOOKUP($B7,'Из ГУГЛа'!$B:$AD,AM$1,0))</f>
        <v/>
      </c>
      <c r="AN7" s="125">
        <v>1</v>
      </c>
      <c r="AO7" s="125"/>
      <c r="AP7" s="121"/>
      <c r="AQ7" s="121"/>
    </row>
    <row r="8" spans="1:43" ht="61.5" thickTop="1" thickBot="1" x14ac:dyDescent="0.3">
      <c r="A8" s="75" t="str">
        <f>INDEX('Выгр Торг'!$A:$A,MATCH($B8,'Выгр Торг'!$B:$B,0))</f>
        <v>Передние пружины Технорессор Драйв с занижением 30 / 50 / 70 / 90 / 120 мм для ВАЗ 2101-2107</v>
      </c>
      <c r="B8" s="41">
        <v>187446</v>
      </c>
      <c r="C8" s="41">
        <f>VLOOKUP($B8,'Выгр Торг'!$B:$T,C$1,0)</f>
        <v>108587</v>
      </c>
      <c r="D8" s="75" t="str">
        <f>VLOOKUP($B8,'Выгр Торг'!$B:$S,D$1,0)</f>
        <v>Передние пружины Технорессор Драйв с занижением для ВАЗ 2101-2107 Занижение 120 мм</v>
      </c>
      <c r="E8" s="41" t="str">
        <f>VLOOKUP($B8,'Выгр Торг'!$B:$T,E$1,0)</f>
        <v>N</v>
      </c>
      <c r="F8" s="41" t="str">
        <f>VLOOKUP($B8,'Выгр Торг'!$B:$T,F$1,0)</f>
        <v>1ск4</v>
      </c>
      <c r="G8" s="41">
        <f>VLOOKUP($B8,'Выгр Торг'!$B:$T,G$1,0)</f>
        <v>0</v>
      </c>
      <c r="H8" s="45" t="s">
        <v>189</v>
      </c>
      <c r="I8" s="42"/>
      <c r="J8" s="1" t="s">
        <v>65</v>
      </c>
      <c r="K8" s="63">
        <f>VLOOKUP(H8,Прайс!B:D,3,0)</f>
        <v>2550</v>
      </c>
      <c r="L8" s="61">
        <f>VLOOKUP(K8,Наценка!$A$1:$B$8,2,1)</f>
        <v>1.32</v>
      </c>
      <c r="M8" s="64">
        <f>K8*L8</f>
        <v>3366</v>
      </c>
      <c r="N8" s="63">
        <f t="shared" si="4"/>
        <v>3390</v>
      </c>
      <c r="O8" s="41">
        <f>VLOOKUP($B8,'Выгр Торг'!$B:$T,O$1,0)</f>
        <v>2550</v>
      </c>
      <c r="P8" s="41">
        <f>VLOOKUP($B8,'Выгр Торг'!$B:$T,P$1,0)</f>
        <v>3390</v>
      </c>
      <c r="Q8" s="52">
        <f t="shared" si="5"/>
        <v>0</v>
      </c>
      <c r="R8" s="52">
        <f t="shared" si="6"/>
        <v>0</v>
      </c>
      <c r="S8" s="59">
        <f t="shared" si="7"/>
        <v>3152.7</v>
      </c>
      <c r="T8" s="76">
        <f t="shared" si="1"/>
        <v>0.23635294117647043</v>
      </c>
      <c r="U8" s="76" t="str">
        <f t="shared" si="2"/>
        <v/>
      </c>
      <c r="V8" s="76" t="str">
        <f t="shared" si="3"/>
        <v/>
      </c>
      <c r="W8" s="74"/>
      <c r="X8" s="79">
        <f>IFERROR((VLOOKUP($B8,'Из ГУГЛа'!$B:$AD,X$1,0)+Z8)*Y8,VLOOKUP($B8,'Из ГУГЛа'!$B:$AD,X$1,0))</f>
        <v>2390</v>
      </c>
      <c r="Y8" s="51">
        <v>1</v>
      </c>
      <c r="Z8" s="51"/>
      <c r="AA8" s="88" t="s">
        <v>229</v>
      </c>
      <c r="AB8" s="65" t="s">
        <v>283</v>
      </c>
      <c r="AC8" s="79" t="str">
        <f>IFERROR((VLOOKUP($B8,'Из ГУГЛа'!$B:$AD,AC$1,0)+AE8)*AD8,VLOOKUP($B8,'Из ГУГЛа'!$B:$AD,AC$1,0))</f>
        <v/>
      </c>
      <c r="AD8" s="51">
        <v>1</v>
      </c>
      <c r="AE8" s="51"/>
      <c r="AF8" s="41"/>
      <c r="AH8" s="79" t="str">
        <f>IFERROR((VLOOKUP($B8,'Из ГУГЛа'!$B:$AD,AH$1,0)+AJ8)*AI8,VLOOKUP($B8,'Из ГУГЛа'!$B:$AD,AH$1,0))</f>
        <v/>
      </c>
      <c r="AI8" s="51">
        <v>1</v>
      </c>
      <c r="AJ8" s="51"/>
      <c r="AK8" s="121"/>
      <c r="AL8" s="121"/>
      <c r="AM8" s="124" t="str">
        <f>IFERROR((VLOOKUP($B8,'Из ГУГЛа'!$B:$AD,AM$1,0)+AO8)*AN8,VLOOKUP($B8,'Из ГУГЛа'!$B:$AD,AM$1,0))</f>
        <v/>
      </c>
      <c r="AN8" s="125">
        <v>1</v>
      </c>
      <c r="AO8" s="125"/>
      <c r="AP8" s="121"/>
      <c r="AQ8" s="121"/>
    </row>
    <row r="9" spans="1:43" ht="61.5" thickTop="1" thickBot="1" x14ac:dyDescent="0.3">
      <c r="A9" s="75" t="str">
        <f>INDEX('Выгр Торг'!$A:$A,MATCH($B9,'Выгр Торг'!$B:$B,0))</f>
        <v>Передние пружины Технорессор Драйв с занижением 30 / 50 / 70 / 90 / 120 мм для ВАЗ 2101-2107</v>
      </c>
      <c r="B9" s="41">
        <v>187447</v>
      </c>
      <c r="C9" s="41">
        <f>VLOOKUP($B9,'Выгр Торг'!$B:$T,C$1,0)</f>
        <v>108583</v>
      </c>
      <c r="D9" s="75" t="str">
        <f>VLOOKUP($B9,'Выгр Торг'!$B:$S,D$1,0)</f>
        <v>Передние пружины Технорессор Драйв с занижением для ВАЗ 2101-2107 Занижение 30 мм</v>
      </c>
      <c r="E9" s="41" t="str">
        <f>VLOOKUP($B9,'Выгр Торг'!$B:$T,E$1,0)</f>
        <v>N</v>
      </c>
      <c r="F9" s="41" t="str">
        <f>VLOOKUP($B9,'Выгр Торг'!$B:$T,F$1,0)</f>
        <v>1</v>
      </c>
      <c r="G9" s="41">
        <f>VLOOKUP($B9,'Выгр Торг'!$B:$T,G$1,0)</f>
        <v>0</v>
      </c>
      <c r="H9" s="45" t="s">
        <v>409</v>
      </c>
      <c r="I9" s="42"/>
      <c r="J9" s="1" t="s">
        <v>65</v>
      </c>
      <c r="K9" s="62">
        <f>O9</f>
        <v>2550</v>
      </c>
      <c r="L9" s="61">
        <f>VLOOKUP(K9,Наценка!$A$1:$B$8,2,1)</f>
        <v>1.32</v>
      </c>
      <c r="M9" s="94">
        <f t="shared" ref="M9:M28" si="8">W9*1</f>
        <v>3690</v>
      </c>
      <c r="N9" s="63">
        <f t="shared" si="4"/>
        <v>3690</v>
      </c>
      <c r="O9" s="41">
        <f>VLOOKUP($B9,'Выгр Торг'!$B:$T,O$1,0)</f>
        <v>2550</v>
      </c>
      <c r="P9" s="41">
        <f>VLOOKUP($B9,'Выгр Торг'!$B:$T,P$1,0)</f>
        <v>3690</v>
      </c>
      <c r="Q9" s="52">
        <f t="shared" si="5"/>
        <v>0</v>
      </c>
      <c r="R9" s="52">
        <f t="shared" si="6"/>
        <v>0</v>
      </c>
      <c r="S9" s="59">
        <f t="shared" si="7"/>
        <v>3431.7</v>
      </c>
      <c r="T9" s="76">
        <f t="shared" si="1"/>
        <v>0.34576470588235297</v>
      </c>
      <c r="U9" s="76">
        <f t="shared" si="2"/>
        <v>7.0000000000000048E-2</v>
      </c>
      <c r="V9" s="76">
        <f t="shared" si="3"/>
        <v>0.44705882352941173</v>
      </c>
      <c r="W9" s="92">
        <f t="shared" ref="W9:W28" si="9">AA9</f>
        <v>3690</v>
      </c>
      <c r="X9" s="79">
        <f>IFERROR((VLOOKUP($B9,'Из ГУГЛа'!$B:$AD,X$1,0)+Z9)*Y9,VLOOKUP($B9,'Из ГУГЛа'!$B:$AD,X$1,0))</f>
        <v>3690</v>
      </c>
      <c r="Y9" s="51">
        <v>1</v>
      </c>
      <c r="Z9" s="51"/>
      <c r="AA9" s="88">
        <v>3690</v>
      </c>
      <c r="AB9" s="65" t="s">
        <v>284</v>
      </c>
      <c r="AC9" s="79">
        <f>IFERROR((VLOOKUP($B9,'Из ГУГЛа'!$B:$AD,AC$1,0)+AE9)*AD9,VLOOKUP($B9,'Из ГУГЛа'!$B:$AD,AC$1,0))</f>
        <v>3500</v>
      </c>
      <c r="AD9" s="51">
        <v>1</v>
      </c>
      <c r="AE9" s="51"/>
      <c r="AF9" s="85">
        <v>3500</v>
      </c>
      <c r="AG9" s="65" t="s">
        <v>344</v>
      </c>
      <c r="AH9" s="79" t="str">
        <f>IFERROR((VLOOKUP($B9,'Из ГУГЛа'!$B:$AD,AH$1,0)+AJ9)*AI9,VLOOKUP($B9,'Из ГУГЛа'!$B:$AD,AH$1,0))</f>
        <v/>
      </c>
      <c r="AI9" s="51">
        <v>1</v>
      </c>
      <c r="AJ9" s="51"/>
      <c r="AK9" s="127"/>
      <c r="AL9" s="121"/>
      <c r="AM9" s="124" t="str">
        <f>IFERROR((VLOOKUP($B9,'Из ГУГЛа'!$B:$AD,AM$1,0)+AO9)*AN9,VLOOKUP($B9,'Из ГУГЛа'!$B:$AD,AM$1,0))</f>
        <v/>
      </c>
      <c r="AN9" s="125">
        <v>1</v>
      </c>
      <c r="AO9" s="125"/>
      <c r="AP9" s="127"/>
      <c r="AQ9" s="121"/>
    </row>
    <row r="10" spans="1:43" ht="61.5" thickTop="1" thickBot="1" x14ac:dyDescent="0.3">
      <c r="A10" s="75" t="str">
        <f>INDEX('Выгр Торг'!$A:$A,MATCH($B10,'Выгр Торг'!$B:$B,0))</f>
        <v>Передние пружины Технорессор Драйв с занижением 30 / 50 / 70 / 90 / 120 мм для ВАЗ 2101-2107</v>
      </c>
      <c r="B10" s="41">
        <v>187448</v>
      </c>
      <c r="C10" s="41">
        <f>VLOOKUP($B10,'Выгр Торг'!$B:$T,C$1,0)</f>
        <v>108584</v>
      </c>
      <c r="D10" s="75" t="str">
        <f>VLOOKUP($B10,'Выгр Торг'!$B:$S,D$1,0)</f>
        <v>Передние пружины Технорессор Драйв с занижением для ВАЗ 2101-2107 Занижение 50 мм</v>
      </c>
      <c r="E10" s="41" t="str">
        <f>VLOOKUP($B10,'Выгр Торг'!$B:$T,E$1,0)</f>
        <v>N</v>
      </c>
      <c r="F10" s="41" t="str">
        <f>VLOOKUP($B10,'Выгр Торг'!$B:$T,F$1,0)</f>
        <v>1ск4</v>
      </c>
      <c r="G10" s="41">
        <f>VLOOKUP($B10,'Выгр Торг'!$B:$T,G$1,0)</f>
        <v>0</v>
      </c>
      <c r="H10" s="45" t="s">
        <v>411</v>
      </c>
      <c r="I10" s="42"/>
      <c r="J10" s="1" t="s">
        <v>65</v>
      </c>
      <c r="K10" s="62">
        <f>O10</f>
        <v>2550</v>
      </c>
      <c r="L10" s="61">
        <f>VLOOKUP(K10,Наценка!$A$1:$B$8,2,1)</f>
        <v>1.32</v>
      </c>
      <c r="M10" s="94">
        <f t="shared" si="8"/>
        <v>3690</v>
      </c>
      <c r="N10" s="63">
        <f t="shared" si="4"/>
        <v>3690</v>
      </c>
      <c r="O10" s="41">
        <f>VLOOKUP($B10,'Выгр Торг'!$B:$T,O$1,0)</f>
        <v>2550</v>
      </c>
      <c r="P10" s="41">
        <f>VLOOKUP($B10,'Выгр Торг'!$B:$T,P$1,0)</f>
        <v>3690</v>
      </c>
      <c r="Q10" s="52">
        <f t="shared" si="5"/>
        <v>0</v>
      </c>
      <c r="R10" s="52">
        <f t="shared" si="6"/>
        <v>0</v>
      </c>
      <c r="S10" s="59">
        <f t="shared" si="7"/>
        <v>3431.7</v>
      </c>
      <c r="T10" s="76">
        <f t="shared" si="1"/>
        <v>0.34576470588235297</v>
      </c>
      <c r="U10" s="76">
        <f t="shared" si="2"/>
        <v>7.0000000000000048E-2</v>
      </c>
      <c r="V10" s="76">
        <f t="shared" si="3"/>
        <v>0.44705882352941173</v>
      </c>
      <c r="W10" s="92">
        <f t="shared" si="9"/>
        <v>3690</v>
      </c>
      <c r="X10" s="79">
        <f>IFERROR((VLOOKUP($B10,'Из ГУГЛа'!$B:$AD,X$1,0)+Z10)*Y10,VLOOKUP($B10,'Из ГУГЛа'!$B:$AD,X$1,0))</f>
        <v>3890</v>
      </c>
      <c r="Y10" s="51">
        <v>1</v>
      </c>
      <c r="Z10" s="51"/>
      <c r="AA10" s="88">
        <v>3690</v>
      </c>
      <c r="AB10" s="65" t="s">
        <v>285</v>
      </c>
      <c r="AC10" s="79">
        <f>IFERROR((VLOOKUP($B10,'Из ГУГЛа'!$B:$AD,AC$1,0)+AE10)*AD10,VLOOKUP($B10,'Из ГУГЛа'!$B:$AD,AC$1,0))</f>
        <v>3500</v>
      </c>
      <c r="AD10" s="51">
        <v>1</v>
      </c>
      <c r="AE10" s="51"/>
      <c r="AF10" s="85">
        <v>3500</v>
      </c>
      <c r="AG10" s="65" t="s">
        <v>345</v>
      </c>
      <c r="AH10" s="79" t="str">
        <f>IFERROR((VLOOKUP($B10,'Из ГУГЛа'!$B:$AD,AH$1,0)+AJ10)*AI10,VLOOKUP($B10,'Из ГУГЛа'!$B:$AD,AH$1,0))</f>
        <v/>
      </c>
      <c r="AI10" s="51">
        <v>1</v>
      </c>
      <c r="AJ10" s="51"/>
      <c r="AK10" s="127"/>
      <c r="AL10" s="121"/>
      <c r="AM10" s="124" t="str">
        <f>IFERROR((VLOOKUP($B10,'Из ГУГЛа'!$B:$AD,AM$1,0)+AO10)*AN10,VLOOKUP($B10,'Из ГУГЛа'!$B:$AD,AM$1,0))</f>
        <v/>
      </c>
      <c r="AN10" s="125">
        <v>1</v>
      </c>
      <c r="AO10" s="125"/>
      <c r="AP10" s="127"/>
      <c r="AQ10" s="121"/>
    </row>
    <row r="11" spans="1:43" ht="61.5" thickTop="1" thickBot="1" x14ac:dyDescent="0.3">
      <c r="A11" s="75" t="str">
        <f>INDEX('Выгр Торг'!$A:$A,MATCH($B11,'Выгр Торг'!$B:$B,0))</f>
        <v>Передние пружины Технорессор Драйв с занижением 30 / 50 / 70 / 90 / 120 мм для ВАЗ 2101-2107</v>
      </c>
      <c r="B11" s="41">
        <v>187449</v>
      </c>
      <c r="C11" s="41">
        <f>VLOOKUP($B11,'Выгр Торг'!$B:$T,C$1,0)</f>
        <v>108585</v>
      </c>
      <c r="D11" s="75" t="str">
        <f>VLOOKUP($B11,'Выгр Торг'!$B:$S,D$1,0)</f>
        <v>Передние пружины Технорессор Драйв с занижением для ВАЗ 2101-2107 Занижение 70 мм</v>
      </c>
      <c r="E11" s="41" t="str">
        <f>VLOOKUP($B11,'Выгр Торг'!$B:$T,E$1,0)</f>
        <v>N</v>
      </c>
      <c r="F11" s="41" t="str">
        <f>VLOOKUP($B11,'Выгр Торг'!$B:$T,F$1,0)</f>
        <v>1</v>
      </c>
      <c r="G11" s="41">
        <f>VLOOKUP($B11,'Выгр Торг'!$B:$T,G$1,0)</f>
        <v>0</v>
      </c>
      <c r="H11" s="45" t="s">
        <v>412</v>
      </c>
      <c r="I11" s="42"/>
      <c r="J11" s="1" t="s">
        <v>65</v>
      </c>
      <c r="K11" s="62">
        <f>O11</f>
        <v>2550</v>
      </c>
      <c r="L11" s="61">
        <f>VLOOKUP(K11,Наценка!$A$1:$B$8,2,1)</f>
        <v>1.32</v>
      </c>
      <c r="M11" s="94">
        <f t="shared" si="8"/>
        <v>3590</v>
      </c>
      <c r="N11" s="63">
        <f t="shared" si="4"/>
        <v>3590</v>
      </c>
      <c r="O11" s="41">
        <f>VLOOKUP($B11,'Выгр Торг'!$B:$T,O$1,0)</f>
        <v>2550</v>
      </c>
      <c r="P11" s="41">
        <f>VLOOKUP($B11,'Выгр Торг'!$B:$T,P$1,0)</f>
        <v>3590</v>
      </c>
      <c r="Q11" s="52">
        <f t="shared" si="5"/>
        <v>0</v>
      </c>
      <c r="R11" s="52">
        <f t="shared" si="6"/>
        <v>0</v>
      </c>
      <c r="S11" s="59">
        <f t="shared" si="7"/>
        <v>3338.7</v>
      </c>
      <c r="T11" s="76">
        <f t="shared" si="1"/>
        <v>0.30929411764705872</v>
      </c>
      <c r="U11" s="76">
        <f t="shared" si="2"/>
        <v>7.0000000000000048E-2</v>
      </c>
      <c r="V11" s="76">
        <f t="shared" si="3"/>
        <v>0.40784313725490207</v>
      </c>
      <c r="W11" s="92">
        <f t="shared" si="9"/>
        <v>3590</v>
      </c>
      <c r="X11" s="79">
        <f>IFERROR((VLOOKUP($B11,'Из ГУГЛа'!$B:$AD,X$1,0)+Z11)*Y11,VLOOKUP($B11,'Из ГУГЛа'!$B:$AD,X$1,0))</f>
        <v>3890</v>
      </c>
      <c r="Y11" s="51">
        <v>1</v>
      </c>
      <c r="Z11" s="51"/>
      <c r="AA11" s="88">
        <v>3590</v>
      </c>
      <c r="AB11" s="65" t="s">
        <v>286</v>
      </c>
      <c r="AC11" s="79">
        <f>IFERROR((VLOOKUP($B11,'Из ГУГЛа'!$B:$AD,AC$1,0)+AE11)*AD11,VLOOKUP($B11,'Из ГУГЛа'!$B:$AD,AC$1,0))</f>
        <v>3500</v>
      </c>
      <c r="AD11" s="51">
        <v>1</v>
      </c>
      <c r="AE11" s="51"/>
      <c r="AF11" s="85">
        <v>3500</v>
      </c>
      <c r="AG11" s="65" t="s">
        <v>346</v>
      </c>
      <c r="AH11" s="79" t="str">
        <f>IFERROR((VLOOKUP($B11,'Из ГУГЛа'!$B:$AD,AH$1,0)+AJ11)*AI11,VLOOKUP($B11,'Из ГУГЛа'!$B:$AD,AH$1,0))</f>
        <v/>
      </c>
      <c r="AI11" s="51">
        <v>1</v>
      </c>
      <c r="AJ11" s="51"/>
      <c r="AK11" s="127"/>
      <c r="AL11" s="121"/>
      <c r="AM11" s="124" t="str">
        <f>IFERROR((VLOOKUP($B11,'Из ГУГЛа'!$B:$AD,AM$1,0)+AO11)*AN11,VLOOKUP($B11,'Из ГУГЛа'!$B:$AD,AM$1,0))</f>
        <v/>
      </c>
      <c r="AN11" s="125">
        <v>1</v>
      </c>
      <c r="AO11" s="125"/>
      <c r="AP11" s="127"/>
      <c r="AQ11" s="121"/>
    </row>
    <row r="12" spans="1:43" ht="61.5" thickTop="1" thickBot="1" x14ac:dyDescent="0.3">
      <c r="A12" s="75" t="str">
        <f>INDEX('Выгр Торг'!$A:$A,MATCH($B12,'Выгр Торг'!$B:$B,0))</f>
        <v>Передние пружины Технорессор Драйв с занижением 30 / 50 / 70 / 90 / 120 мм для ВАЗ 2101-2107</v>
      </c>
      <c r="B12" s="41">
        <v>187450</v>
      </c>
      <c r="C12" s="41">
        <f>VLOOKUP($B12,'Выгр Торг'!$B:$T,C$1,0)</f>
        <v>108586</v>
      </c>
      <c r="D12" s="75" t="str">
        <f>VLOOKUP($B12,'Выгр Торг'!$B:$S,D$1,0)</f>
        <v>Передние пружины Технорессор Драйв с занижением для ВАЗ 2101-2107 Занижение 90 мм</v>
      </c>
      <c r="E12" s="41" t="str">
        <f>VLOOKUP($B12,'Выгр Торг'!$B:$T,E$1,0)</f>
        <v>N</v>
      </c>
      <c r="F12" s="41" t="str">
        <f>VLOOKUP($B12,'Выгр Торг'!$B:$T,F$1,0)</f>
        <v>1</v>
      </c>
      <c r="G12" s="41">
        <f>VLOOKUP($B12,'Выгр Торг'!$B:$T,G$1,0)</f>
        <v>0</v>
      </c>
      <c r="H12" s="45" t="s">
        <v>189</v>
      </c>
      <c r="I12" s="42"/>
      <c r="J12" s="1" t="s">
        <v>65</v>
      </c>
      <c r="K12" s="63">
        <f>VLOOKUP(H12,Прайс!B:D,3,0)</f>
        <v>2550</v>
      </c>
      <c r="L12" s="61">
        <f>VLOOKUP(K12,Наценка!$A$1:$B$8,2,1)</f>
        <v>1.32</v>
      </c>
      <c r="M12" s="94">
        <f t="shared" si="8"/>
        <v>3690</v>
      </c>
      <c r="N12" s="63">
        <f t="shared" si="4"/>
        <v>3690</v>
      </c>
      <c r="O12" s="41">
        <f>VLOOKUP($B12,'Выгр Торг'!$B:$T,O$1,0)</f>
        <v>2550</v>
      </c>
      <c r="P12" s="41">
        <f>VLOOKUP($B12,'Выгр Торг'!$B:$T,P$1,0)</f>
        <v>3690</v>
      </c>
      <c r="Q12" s="52">
        <f t="shared" si="5"/>
        <v>0</v>
      </c>
      <c r="R12" s="52">
        <f t="shared" si="6"/>
        <v>0</v>
      </c>
      <c r="S12" s="59">
        <f t="shared" si="7"/>
        <v>3431.7</v>
      </c>
      <c r="T12" s="76">
        <f t="shared" si="1"/>
        <v>0.34576470588235297</v>
      </c>
      <c r="U12" s="76">
        <f t="shared" si="2"/>
        <v>7.0000000000000048E-2</v>
      </c>
      <c r="V12" s="76">
        <f t="shared" si="3"/>
        <v>0.44705882352941173</v>
      </c>
      <c r="W12" s="92">
        <f t="shared" si="9"/>
        <v>3690</v>
      </c>
      <c r="X12" s="79">
        <f>IFERROR((VLOOKUP($B12,'Из ГУГЛа'!$B:$AD,X$1,0)+Z12)*Y12,VLOOKUP($B12,'Из ГУГЛа'!$B:$AD,X$1,0))</f>
        <v>3890</v>
      </c>
      <c r="Y12" s="51">
        <v>1</v>
      </c>
      <c r="Z12" s="51"/>
      <c r="AA12" s="88">
        <v>3690</v>
      </c>
      <c r="AB12" s="65" t="s">
        <v>287</v>
      </c>
      <c r="AC12" s="79">
        <f>IFERROR((VLOOKUP($B12,'Из ГУГЛа'!$B:$AD,AC$1,0)+AE12)*AD12,VLOOKUP($B12,'Из ГУГЛа'!$B:$AD,AC$1,0))</f>
        <v>3500</v>
      </c>
      <c r="AD12" s="51">
        <v>1</v>
      </c>
      <c r="AE12" s="51"/>
      <c r="AF12" s="85">
        <v>3500</v>
      </c>
      <c r="AG12" s="65" t="s">
        <v>367</v>
      </c>
      <c r="AH12" s="79" t="str">
        <f>IFERROR((VLOOKUP($B12,'Из ГУГЛа'!$B:$AD,AH$1,0)+AJ12)*AI12,VLOOKUP($B12,'Из ГУГЛа'!$B:$AD,AH$1,0))</f>
        <v/>
      </c>
      <c r="AI12" s="51">
        <v>1</v>
      </c>
      <c r="AJ12" s="51"/>
      <c r="AK12" s="127"/>
      <c r="AL12" s="121"/>
      <c r="AM12" s="124" t="str">
        <f>IFERROR((VLOOKUP($B12,'Из ГУГЛа'!$B:$AD,AM$1,0)+AO12)*AN12,VLOOKUP($B12,'Из ГУГЛа'!$B:$AD,AM$1,0))</f>
        <v/>
      </c>
      <c r="AN12" s="125">
        <v>1</v>
      </c>
      <c r="AO12" s="125"/>
      <c r="AP12" s="127"/>
      <c r="AQ12" s="121"/>
    </row>
    <row r="13" spans="1:43" ht="121.5" thickTop="1" thickBot="1" x14ac:dyDescent="0.3">
      <c r="A13" s="75" t="str">
        <f>INDEX('Выгр Торг'!$A:$A,MATCH($B13,'Выгр Торг'!$B:$B,0))</f>
        <v>Пружины задней подвески Технорессор Драйв с занижением 30 / 50 / 70 / 90 / 120 мм для ВАЗ 2108-21099, 2113-2115, 2110-2112, Лада Калина, Калина 2, Приора, Приора 2, Гранта, Гранта FL</v>
      </c>
      <c r="B13" s="41">
        <v>201904</v>
      </c>
      <c r="C13" s="41">
        <f>VLOOKUP($B13,'Выгр Торг'!$B:$T,C$1,0)</f>
        <v>108764</v>
      </c>
      <c r="D13" s="75" t="str">
        <f>VLOOKUP($B13,'Выгр Торг'!$B:$S,D$1,0)</f>
        <v>Пружины задней подвески Технорессор Драйв с занижением для ВАЗ 2108-21099, 2113-2115, 2110-2112, Лада Калина, Калина 2, Приора, Приора 2, Гранта, Гранта FL Занижение 120 мм</v>
      </c>
      <c r="E13" s="41" t="str">
        <f>VLOOKUP($B13,'Выгр Торг'!$B:$T,E$1,0)</f>
        <v>N</v>
      </c>
      <c r="F13" s="41" t="str">
        <f>VLOOKUP($B13,'Выгр Торг'!$B:$T,F$1,0)</f>
        <v>1</v>
      </c>
      <c r="G13" s="41">
        <f>VLOOKUP($B13,'Выгр Торг'!$B:$T,G$1,0)</f>
        <v>0</v>
      </c>
      <c r="H13" s="41" t="s">
        <v>452</v>
      </c>
      <c r="I13" s="42"/>
      <c r="J13" s="1" t="s">
        <v>65</v>
      </c>
      <c r="K13" s="63">
        <f>VLOOKUP(H13,Прайс!B:D,3,0)</f>
        <v>2850</v>
      </c>
      <c r="L13" s="61">
        <f>VLOOKUP(K13,Наценка!$A$1:$B$8,2,1)</f>
        <v>1.32</v>
      </c>
      <c r="M13" s="94">
        <f t="shared" si="8"/>
        <v>4290</v>
      </c>
      <c r="N13" s="63">
        <f t="shared" si="4"/>
        <v>4290</v>
      </c>
      <c r="O13" s="41">
        <f>VLOOKUP($B13,'Выгр Торг'!$B:$T,O$1,0)</f>
        <v>2850</v>
      </c>
      <c r="P13" s="41">
        <f>VLOOKUP($B13,'Выгр Торг'!$B:$T,P$1,0)</f>
        <v>4290</v>
      </c>
      <c r="Q13" s="52">
        <f t="shared" si="5"/>
        <v>0</v>
      </c>
      <c r="R13" s="52">
        <f t="shared" si="6"/>
        <v>0</v>
      </c>
      <c r="S13" s="59">
        <f t="shared" si="7"/>
        <v>3989.7</v>
      </c>
      <c r="T13" s="76">
        <f t="shared" si="1"/>
        <v>0.3998947368421053</v>
      </c>
      <c r="U13" s="76">
        <f t="shared" si="2"/>
        <v>7.0000000000000048E-2</v>
      </c>
      <c r="V13" s="76">
        <f t="shared" si="3"/>
        <v>0.50526315789473686</v>
      </c>
      <c r="W13" s="92">
        <f t="shared" si="9"/>
        <v>4290</v>
      </c>
      <c r="X13" s="79">
        <f>IFERROR((VLOOKUP($B13,'Из ГУГЛа'!$B:$AD,X$1,0)+Z13)*Y13,VLOOKUP($B13,'Из ГУГЛа'!$B:$AD,X$1,0))</f>
        <v>3990</v>
      </c>
      <c r="Y13" s="51">
        <v>1</v>
      </c>
      <c r="Z13" s="51"/>
      <c r="AA13" s="88">
        <v>4290</v>
      </c>
      <c r="AB13" s="65" t="s">
        <v>272</v>
      </c>
      <c r="AC13" s="79">
        <f>IFERROR((VLOOKUP($B13,'Из ГУГЛа'!$B:$AD,AC$1,0)+AE13)*AD13,VLOOKUP($B13,'Из ГУГЛа'!$B:$AD,AC$1,0))</f>
        <v>3900</v>
      </c>
      <c r="AD13" s="51">
        <v>1</v>
      </c>
      <c r="AE13" s="51"/>
      <c r="AF13" s="85">
        <v>3900</v>
      </c>
      <c r="AG13" s="65" t="s">
        <v>348</v>
      </c>
      <c r="AH13" s="79" t="str">
        <f>IFERROR((VLOOKUP($B13,'Из ГУГЛа'!$B:$AD,AH$1,0)+AJ13)*AI13,VLOOKUP($B13,'Из ГУГЛа'!$B:$AD,AH$1,0))</f>
        <v/>
      </c>
      <c r="AI13" s="51">
        <v>1</v>
      </c>
      <c r="AJ13" s="51"/>
      <c r="AK13" s="127"/>
      <c r="AL13" s="121"/>
      <c r="AM13" s="124" t="str">
        <f>IFERROR((VLOOKUP($B13,'Из ГУГЛа'!$B:$AD,AM$1,0)+AO13)*AN13,VLOOKUP($B13,'Из ГУГЛа'!$B:$AD,AM$1,0))</f>
        <v/>
      </c>
      <c r="AN13" s="125">
        <v>1</v>
      </c>
      <c r="AO13" s="125"/>
      <c r="AP13" s="127"/>
      <c r="AQ13" s="121"/>
    </row>
    <row r="14" spans="1:43" ht="121.5" thickTop="1" thickBot="1" x14ac:dyDescent="0.3">
      <c r="A14" s="75" t="str">
        <f>INDEX('Выгр Торг'!$A:$A,MATCH($B14,'Выгр Торг'!$B:$B,0))</f>
        <v>Пружины задней подвески Технорессор Драйв с занижением 30 / 50 / 70 / 90 / 120 мм для ВАЗ 2108-21099, 2113-2115, 2110-2112, Лада Калина, Калина 2, Приора, Приора 2, Гранта, Гранта FL</v>
      </c>
      <c r="B14" s="41">
        <v>201905</v>
      </c>
      <c r="C14" s="41">
        <f>VLOOKUP($B14,'Выгр Торг'!$B:$T,C$1,0)</f>
        <v>108760</v>
      </c>
      <c r="D14" s="75" t="str">
        <f>VLOOKUP($B14,'Выгр Торг'!$B:$S,D$1,0)</f>
        <v>Пружины задней подвески Технорессор Драйв с занижением для ВАЗ 2108-21099, 2113-2115, 2110-2112, Лада Калина, Калина 2, Приора, Приора 2, Гранта, Гранта FL Занижение 30 мм</v>
      </c>
      <c r="E14" s="41" t="str">
        <f>VLOOKUP($B14,'Выгр Торг'!$B:$T,E$1,0)</f>
        <v>N</v>
      </c>
      <c r="F14" s="41" t="str">
        <f>VLOOKUP($B14,'Выгр Торг'!$B:$T,F$1,0)</f>
        <v>1</v>
      </c>
      <c r="G14" s="41">
        <f>VLOOKUP($B14,'Выгр Торг'!$B:$T,G$1,0)</f>
        <v>0</v>
      </c>
      <c r="H14" s="41" t="s">
        <v>435</v>
      </c>
      <c r="I14" s="42"/>
      <c r="J14" s="1" t="s">
        <v>65</v>
      </c>
      <c r="K14" s="63">
        <f>VLOOKUP(H14,Прайс!B:D,3,0)</f>
        <v>2850</v>
      </c>
      <c r="L14" s="61">
        <f>VLOOKUP(K14,Наценка!$A$1:$B$8,2,1)</f>
        <v>1.32</v>
      </c>
      <c r="M14" s="94">
        <f t="shared" si="8"/>
        <v>4090</v>
      </c>
      <c r="N14" s="63">
        <f t="shared" si="4"/>
        <v>4090</v>
      </c>
      <c r="O14" s="41">
        <f>VLOOKUP($B14,'Выгр Торг'!$B:$T,O$1,0)</f>
        <v>2850</v>
      </c>
      <c r="P14" s="41">
        <f>VLOOKUP($B14,'Выгр Торг'!$B:$T,P$1,0)</f>
        <v>4090</v>
      </c>
      <c r="Q14" s="52">
        <f t="shared" si="5"/>
        <v>0</v>
      </c>
      <c r="R14" s="52">
        <f t="shared" si="6"/>
        <v>0</v>
      </c>
      <c r="S14" s="59">
        <f t="shared" si="7"/>
        <v>3803.7</v>
      </c>
      <c r="T14" s="76">
        <f t="shared" si="1"/>
        <v>0.33463157894736839</v>
      </c>
      <c r="U14" s="76">
        <f t="shared" si="2"/>
        <v>7.0000000000000048E-2</v>
      </c>
      <c r="V14" s="76">
        <f t="shared" si="3"/>
        <v>0.43508771929824563</v>
      </c>
      <c r="W14" s="92">
        <f t="shared" si="9"/>
        <v>4090</v>
      </c>
      <c r="X14" s="79">
        <f>IFERROR((VLOOKUP($B14,'Из ГУГЛа'!$B:$AD,X$1,0)+Z14)*Y14,VLOOKUP($B14,'Из ГУГЛа'!$B:$AD,X$1,0))</f>
        <v>3990</v>
      </c>
      <c r="Y14" s="51">
        <v>1</v>
      </c>
      <c r="Z14" s="51"/>
      <c r="AA14" s="88">
        <v>4090</v>
      </c>
      <c r="AB14" s="65" t="s">
        <v>271</v>
      </c>
      <c r="AC14" s="79">
        <f>IFERROR((VLOOKUP($B14,'Из ГУГЛа'!$B:$AD,AC$1,0)+AE14)*AD14,VLOOKUP($B14,'Из ГУГЛа'!$B:$AD,AC$1,0))</f>
        <v>3900</v>
      </c>
      <c r="AD14" s="51">
        <v>1</v>
      </c>
      <c r="AE14" s="51"/>
      <c r="AF14" s="85">
        <v>3900</v>
      </c>
      <c r="AG14" s="65" t="s">
        <v>349</v>
      </c>
      <c r="AH14" s="79" t="str">
        <f>IFERROR((VLOOKUP($B14,'Из ГУГЛа'!$B:$AD,AH$1,0)+AJ14)*AI14,VLOOKUP($B14,'Из ГУГЛа'!$B:$AD,AH$1,0))</f>
        <v/>
      </c>
      <c r="AI14" s="51">
        <v>1</v>
      </c>
      <c r="AJ14" s="51"/>
      <c r="AK14" s="127"/>
      <c r="AL14" s="121"/>
      <c r="AM14" s="124" t="str">
        <f>IFERROR((VLOOKUP($B14,'Из ГУГЛа'!$B:$AD,AM$1,0)+AO14)*AN14,VLOOKUP($B14,'Из ГУГЛа'!$B:$AD,AM$1,0))</f>
        <v/>
      </c>
      <c r="AN14" s="125">
        <v>1</v>
      </c>
      <c r="AO14" s="125"/>
      <c r="AP14" s="127"/>
      <c r="AQ14" s="121"/>
    </row>
    <row r="15" spans="1:43" ht="121.5" thickTop="1" thickBot="1" x14ac:dyDescent="0.3">
      <c r="A15" s="75" t="str">
        <f>INDEX('Выгр Торг'!$A:$A,MATCH($B15,'Выгр Торг'!$B:$B,0))</f>
        <v>Пружины задней подвески Технорессор Драйв с занижением 30 / 50 / 70 / 90 / 120 мм для ВАЗ 2108-21099, 2113-2115, 2110-2112, Лада Калина, Калина 2, Приора, Приора 2, Гранта, Гранта FL</v>
      </c>
      <c r="B15" s="41">
        <v>201906</v>
      </c>
      <c r="C15" s="41">
        <f>VLOOKUP($B15,'Выгр Торг'!$B:$T,C$1,0)</f>
        <v>108761</v>
      </c>
      <c r="D15" s="75" t="str">
        <f>VLOOKUP($B15,'Выгр Торг'!$B:$S,D$1,0)</f>
        <v>Пружины задней подвески Технорессор Драйв с занижением для ВАЗ 2108-21099, 2113-2115, 2110-2112, Лада Калина, Калина 2, Приора, Приора 2, Гранта, Гранта FL Занижение 50 мм</v>
      </c>
      <c r="E15" s="41" t="str">
        <f>VLOOKUP($B15,'Выгр Торг'!$B:$T,E$1,0)</f>
        <v>N</v>
      </c>
      <c r="F15" s="41" t="str">
        <f>VLOOKUP($B15,'Выгр Торг'!$B:$T,F$1,0)</f>
        <v>1ск4</v>
      </c>
      <c r="G15" s="41">
        <f>VLOOKUP($B15,'Выгр Торг'!$B:$T,G$1,0)</f>
        <v>0</v>
      </c>
      <c r="H15" s="41" t="s">
        <v>436</v>
      </c>
      <c r="I15" s="42"/>
      <c r="J15" s="1" t="s">
        <v>65</v>
      </c>
      <c r="K15" s="63">
        <f>VLOOKUP(H15,Прайс!B:D,3,0)</f>
        <v>2850</v>
      </c>
      <c r="L15" s="61">
        <f>VLOOKUP(K15,Наценка!$A$1:$B$8,2,1)</f>
        <v>1.32</v>
      </c>
      <c r="M15" s="94">
        <f t="shared" si="8"/>
        <v>4090</v>
      </c>
      <c r="N15" s="63">
        <f t="shared" si="4"/>
        <v>4090</v>
      </c>
      <c r="O15" s="41">
        <f>VLOOKUP($B15,'Выгр Торг'!$B:$T,O$1,0)</f>
        <v>2850</v>
      </c>
      <c r="P15" s="41">
        <f>VLOOKUP($B15,'Выгр Торг'!$B:$T,P$1,0)</f>
        <v>4090</v>
      </c>
      <c r="Q15" s="52">
        <f t="shared" si="5"/>
        <v>0</v>
      </c>
      <c r="R15" s="52">
        <f t="shared" si="6"/>
        <v>0</v>
      </c>
      <c r="S15" s="59">
        <f t="shared" si="7"/>
        <v>3803.7</v>
      </c>
      <c r="T15" s="76">
        <f t="shared" si="1"/>
        <v>0.33463157894736839</v>
      </c>
      <c r="U15" s="76">
        <f t="shared" si="2"/>
        <v>7.0000000000000048E-2</v>
      </c>
      <c r="V15" s="76">
        <f t="shared" si="3"/>
        <v>0.43508771929824563</v>
      </c>
      <c r="W15" s="92">
        <f t="shared" si="9"/>
        <v>4090</v>
      </c>
      <c r="X15" s="79">
        <f>IFERROR((VLOOKUP($B15,'Из ГУГЛа'!$B:$AD,X$1,0)+Z15)*Y15,VLOOKUP($B15,'Из ГУГЛа'!$B:$AD,X$1,0))</f>
        <v>3890</v>
      </c>
      <c r="Y15" s="51">
        <v>1</v>
      </c>
      <c r="Z15" s="51"/>
      <c r="AA15" s="88">
        <v>4090</v>
      </c>
      <c r="AB15" s="65" t="s">
        <v>270</v>
      </c>
      <c r="AC15" s="79">
        <f>IFERROR((VLOOKUP($B15,'Из ГУГЛа'!$B:$AD,AC$1,0)+AE15)*AD15,VLOOKUP($B15,'Из ГУГЛа'!$B:$AD,AC$1,0))</f>
        <v>3900</v>
      </c>
      <c r="AD15" s="51">
        <v>1</v>
      </c>
      <c r="AE15" s="51"/>
      <c r="AF15" s="85">
        <v>3900</v>
      </c>
      <c r="AG15" s="65" t="s">
        <v>350</v>
      </c>
      <c r="AH15" s="79" t="str">
        <f>IFERROR((VLOOKUP($B15,'Из ГУГЛа'!$B:$AD,AH$1,0)+AJ15)*AI15,VLOOKUP($B15,'Из ГУГЛа'!$B:$AD,AH$1,0))</f>
        <v/>
      </c>
      <c r="AI15" s="51">
        <v>1</v>
      </c>
      <c r="AJ15" s="51"/>
      <c r="AK15" s="127"/>
      <c r="AL15" s="121"/>
      <c r="AM15" s="124" t="str">
        <f>IFERROR((VLOOKUP($B15,'Из ГУГЛа'!$B:$AD,AM$1,0)+AO15)*AN15,VLOOKUP($B15,'Из ГУГЛа'!$B:$AD,AM$1,0))</f>
        <v/>
      </c>
      <c r="AN15" s="125">
        <v>1</v>
      </c>
      <c r="AO15" s="125"/>
      <c r="AP15" s="127"/>
      <c r="AQ15" s="121"/>
    </row>
    <row r="16" spans="1:43" ht="121.5" thickTop="1" thickBot="1" x14ac:dyDescent="0.3">
      <c r="A16" s="75" t="str">
        <f>INDEX('Выгр Торг'!$A:$A,MATCH($B16,'Выгр Торг'!$B:$B,0))</f>
        <v>Пружины задней подвески Технорессор Драйв с занижением 30 / 50 / 70 / 90 / 120 мм для ВАЗ 2108-21099, 2113-2115, 2110-2112, Лада Калина, Калина 2, Приора, Приора 2, Гранта, Гранта FL</v>
      </c>
      <c r="B16" s="41">
        <v>201907</v>
      </c>
      <c r="C16" s="41">
        <f>VLOOKUP($B16,'Выгр Торг'!$B:$T,C$1,0)</f>
        <v>108762</v>
      </c>
      <c r="D16" s="75" t="str">
        <f>VLOOKUP($B16,'Выгр Торг'!$B:$S,D$1,0)</f>
        <v>Пружины задней подвески Технорессор Драйв с занижением для ВАЗ 2108-21099, 2113-2115, 2110-2112, Лада Калина, Калина 2, Приора, Приора 2, Гранта, Гранта FL Занижение 70 мм</v>
      </c>
      <c r="E16" s="41" t="str">
        <f>VLOOKUP($B16,'Выгр Торг'!$B:$T,E$1,0)</f>
        <v>N</v>
      </c>
      <c r="F16" s="41" t="str">
        <f>VLOOKUP($B16,'Выгр Торг'!$B:$T,F$1,0)</f>
        <v>1</v>
      </c>
      <c r="G16" s="41">
        <f>VLOOKUP($B16,'Выгр Торг'!$B:$T,G$1,0)</f>
        <v>0</v>
      </c>
      <c r="H16" s="41" t="s">
        <v>437</v>
      </c>
      <c r="I16" s="42"/>
      <c r="J16" s="1" t="s">
        <v>65</v>
      </c>
      <c r="K16" s="63">
        <f>VLOOKUP(H16,Прайс!B:D,3,0)</f>
        <v>2850</v>
      </c>
      <c r="L16" s="61">
        <f>VLOOKUP(K16,Наценка!$A$1:$B$8,2,1)</f>
        <v>1.32</v>
      </c>
      <c r="M16" s="94">
        <f t="shared" si="8"/>
        <v>4190</v>
      </c>
      <c r="N16" s="63">
        <f t="shared" si="4"/>
        <v>4190</v>
      </c>
      <c r="O16" s="41">
        <f>VLOOKUP($B16,'Выгр Торг'!$B:$T,O$1,0)</f>
        <v>2850</v>
      </c>
      <c r="P16" s="41">
        <f>VLOOKUP($B16,'Выгр Торг'!$B:$T,P$1,0)</f>
        <v>4190</v>
      </c>
      <c r="Q16" s="52">
        <f t="shared" si="5"/>
        <v>0</v>
      </c>
      <c r="R16" s="52">
        <f t="shared" si="6"/>
        <v>0</v>
      </c>
      <c r="S16" s="59">
        <f t="shared" si="7"/>
        <v>3896.7</v>
      </c>
      <c r="T16" s="76">
        <f t="shared" si="1"/>
        <v>0.36726315789473674</v>
      </c>
      <c r="U16" s="76">
        <f t="shared" si="2"/>
        <v>7.0000000000000048E-2</v>
      </c>
      <c r="V16" s="76">
        <f t="shared" si="3"/>
        <v>0.47017543859649114</v>
      </c>
      <c r="W16" s="92">
        <f t="shared" si="9"/>
        <v>4190</v>
      </c>
      <c r="X16" s="79">
        <f>IFERROR((VLOOKUP($B16,'Из ГУГЛа'!$B:$AD,X$1,0)+Z16)*Y16,VLOOKUP($B16,'Из ГУГЛа'!$B:$AD,X$1,0))</f>
        <v>3890</v>
      </c>
      <c r="Y16" s="51">
        <v>1</v>
      </c>
      <c r="Z16" s="51"/>
      <c r="AA16" s="88">
        <v>4190</v>
      </c>
      <c r="AB16" s="65" t="s">
        <v>269</v>
      </c>
      <c r="AC16" s="79">
        <f>IFERROR((VLOOKUP($B16,'Из ГУГЛа'!$B:$AD,AC$1,0)+AE16)*AD16,VLOOKUP($B16,'Из ГУГЛа'!$B:$AD,AC$1,0))</f>
        <v>3900</v>
      </c>
      <c r="AD16" s="51">
        <v>1</v>
      </c>
      <c r="AE16" s="51"/>
      <c r="AF16" s="85">
        <v>3900</v>
      </c>
      <c r="AG16" s="65" t="s">
        <v>351</v>
      </c>
      <c r="AH16" s="79" t="str">
        <f>IFERROR((VLOOKUP($B16,'Из ГУГЛа'!$B:$AD,AH$1,0)+AJ16)*AI16,VLOOKUP($B16,'Из ГУГЛа'!$B:$AD,AH$1,0))</f>
        <v/>
      </c>
      <c r="AI16" s="51">
        <v>1</v>
      </c>
      <c r="AJ16" s="51"/>
      <c r="AK16" s="127"/>
      <c r="AL16" s="121"/>
      <c r="AM16" s="124" t="str">
        <f>IFERROR((VLOOKUP($B16,'Из ГУГЛа'!$B:$AD,AM$1,0)+AO16)*AN16,VLOOKUP($B16,'Из ГУГЛа'!$B:$AD,AM$1,0))</f>
        <v/>
      </c>
      <c r="AN16" s="125">
        <v>1</v>
      </c>
      <c r="AO16" s="125"/>
      <c r="AP16" s="127"/>
      <c r="AQ16" s="121"/>
    </row>
    <row r="17" spans="1:43" ht="121.5" thickTop="1" thickBot="1" x14ac:dyDescent="0.3">
      <c r="A17" s="75" t="str">
        <f>INDEX('Выгр Торг'!$A:$A,MATCH($B17,'Выгр Торг'!$B:$B,0))</f>
        <v>Пружины задней подвески Технорессор Драйв с занижением 30 / 50 / 70 / 90 / 120 мм для ВАЗ 2108-21099, 2113-2115, 2110-2112, Лада Калина, Калина 2, Приора, Приора 2, Гранта, Гранта FL</v>
      </c>
      <c r="B17" s="41">
        <v>201908</v>
      </c>
      <c r="C17" s="41">
        <f>VLOOKUP($B17,'Выгр Торг'!$B:$T,C$1,0)</f>
        <v>108763</v>
      </c>
      <c r="D17" s="75" t="str">
        <f>VLOOKUP($B17,'Выгр Торг'!$B:$S,D$1,0)</f>
        <v>Пружины задней подвески Технорессор Драйв с занижением для ВАЗ 2108-21099, 2113-2115, 2110-2112, Лада Калина, Калина 2, Приора, Приора 2, Гранта, Гранта FL Занижение 90 мм</v>
      </c>
      <c r="E17" s="41" t="str">
        <f>VLOOKUP($B17,'Выгр Торг'!$B:$T,E$1,0)</f>
        <v>N</v>
      </c>
      <c r="F17" s="41" t="str">
        <f>VLOOKUP($B17,'Выгр Торг'!$B:$T,F$1,0)</f>
        <v>1</v>
      </c>
      <c r="G17" s="41">
        <f>VLOOKUP($B17,'Выгр Торг'!$B:$T,G$1,0)</f>
        <v>0</v>
      </c>
      <c r="H17" s="41" t="s">
        <v>438</v>
      </c>
      <c r="I17" s="42"/>
      <c r="J17" s="1" t="s">
        <v>65</v>
      </c>
      <c r="K17" s="63">
        <f>VLOOKUP(H17,Прайс!B:D,3,0)</f>
        <v>2850</v>
      </c>
      <c r="L17" s="61">
        <f>VLOOKUP(K17,Наценка!$A$1:$B$8,2,1)</f>
        <v>1.32</v>
      </c>
      <c r="M17" s="94">
        <f t="shared" si="8"/>
        <v>4090</v>
      </c>
      <c r="N17" s="63">
        <f t="shared" si="4"/>
        <v>4090</v>
      </c>
      <c r="O17" s="41">
        <f>VLOOKUP($B17,'Выгр Торг'!$B:$T,O$1,0)</f>
        <v>2850</v>
      </c>
      <c r="P17" s="41">
        <f>VLOOKUP($B17,'Выгр Торг'!$B:$T,P$1,0)</f>
        <v>4090</v>
      </c>
      <c r="Q17" s="52">
        <f t="shared" si="5"/>
        <v>0</v>
      </c>
      <c r="R17" s="52">
        <f t="shared" si="6"/>
        <v>0</v>
      </c>
      <c r="S17" s="59">
        <f t="shared" si="7"/>
        <v>3803.7</v>
      </c>
      <c r="T17" s="76">
        <f t="shared" si="1"/>
        <v>0.33463157894736839</v>
      </c>
      <c r="U17" s="76">
        <f t="shared" si="2"/>
        <v>7.0000000000000048E-2</v>
      </c>
      <c r="V17" s="76">
        <f t="shared" si="3"/>
        <v>0.43508771929824563</v>
      </c>
      <c r="W17" s="92">
        <f t="shared" si="9"/>
        <v>4090</v>
      </c>
      <c r="X17" s="79">
        <f>IFERROR((VLOOKUP($B17,'Из ГУГЛа'!$B:$AD,X$1,0)+Z17)*Y17,VLOOKUP($B17,'Из ГУГЛа'!$B:$AD,X$1,0))</f>
        <v>3990</v>
      </c>
      <c r="Y17" s="51">
        <v>1</v>
      </c>
      <c r="Z17" s="51"/>
      <c r="AA17" s="88">
        <v>4090</v>
      </c>
      <c r="AB17" s="65" t="s">
        <v>268</v>
      </c>
      <c r="AC17" s="79">
        <f>IFERROR((VLOOKUP($B17,'Из ГУГЛа'!$B:$AD,AC$1,0)+AE17)*AD17,VLOOKUP($B17,'Из ГУГЛа'!$B:$AD,AC$1,0))</f>
        <v>3900</v>
      </c>
      <c r="AD17" s="51">
        <v>1</v>
      </c>
      <c r="AE17" s="51"/>
      <c r="AF17" s="85">
        <v>3900</v>
      </c>
      <c r="AG17" s="65" t="s">
        <v>352</v>
      </c>
      <c r="AH17" s="79" t="str">
        <f>IFERROR((VLOOKUP($B17,'Из ГУГЛа'!$B:$AD,AH$1,0)+AJ17)*AI17,VLOOKUP($B17,'Из ГУГЛа'!$B:$AD,AH$1,0))</f>
        <v/>
      </c>
      <c r="AI17" s="51">
        <v>1</v>
      </c>
      <c r="AJ17" s="51"/>
      <c r="AK17" s="127"/>
      <c r="AL17" s="121"/>
      <c r="AM17" s="124" t="str">
        <f>IFERROR((VLOOKUP($B17,'Из ГУГЛа'!$B:$AD,AM$1,0)+AO17)*AN17,VLOOKUP($B17,'Из ГУГЛа'!$B:$AD,AM$1,0))</f>
        <v/>
      </c>
      <c r="AN17" s="125">
        <v>1</v>
      </c>
      <c r="AO17" s="125"/>
      <c r="AP17" s="127"/>
      <c r="AQ17" s="121"/>
    </row>
    <row r="18" spans="1:43" ht="61.5" thickTop="1" thickBot="1" x14ac:dyDescent="0.3">
      <c r="A18" s="75" t="str">
        <f>INDEX('Выгр Торг'!$A:$A,MATCH($B18,'Выгр Торг'!$B:$B,0))</f>
        <v>Пружины задней подвески Технорессор Драйв с занижением 30 / 50 / 70 мм для Лада Веста</v>
      </c>
      <c r="B18" s="41">
        <v>201910</v>
      </c>
      <c r="C18" s="41">
        <f>VLOOKUP($B18,'Выгр Торг'!$B:$T,C$1,0)</f>
        <v>108810</v>
      </c>
      <c r="D18" s="75" t="str">
        <f>VLOOKUP($B18,'Выгр Торг'!$B:$S,D$1,0)</f>
        <v>Пружины задней подвески Технорессор Драйв с занижением для Лада Веста Занижение 30 мм</v>
      </c>
      <c r="E18" s="41" t="str">
        <f>VLOOKUP($B18,'Выгр Торг'!$B:$T,E$1,0)</f>
        <v>N</v>
      </c>
      <c r="F18" s="41" t="str">
        <f>VLOOKUP($B18,'Выгр Торг'!$B:$T,F$1,0)</f>
        <v>1</v>
      </c>
      <c r="G18" s="41">
        <f>VLOOKUP($B18,'Выгр Торг'!$B:$T,G$1,0)</f>
        <v>0</v>
      </c>
      <c r="H18" s="37" t="s">
        <v>445</v>
      </c>
      <c r="I18" s="42"/>
      <c r="J18" s="1" t="s">
        <v>65</v>
      </c>
      <c r="K18" s="63">
        <f>VLOOKUP(H18,Прайс!B:D,3,0)</f>
        <v>4000</v>
      </c>
      <c r="L18" s="61">
        <f>VLOOKUP(K18,Наценка!$A$1:$B$8,2,1)</f>
        <v>1.32</v>
      </c>
      <c r="M18" s="94">
        <f t="shared" si="8"/>
        <v>5590</v>
      </c>
      <c r="N18" s="63">
        <f t="shared" si="4"/>
        <v>5590</v>
      </c>
      <c r="O18" s="41">
        <f>VLOOKUP($B18,'Выгр Торг'!$B:$T,O$1,0)</f>
        <v>4000</v>
      </c>
      <c r="P18" s="41">
        <f>VLOOKUP($B18,'Выгр Торг'!$B:$T,P$1,0)</f>
        <v>5590</v>
      </c>
      <c r="Q18" s="52">
        <f t="shared" si="5"/>
        <v>0</v>
      </c>
      <c r="R18" s="52">
        <f t="shared" si="6"/>
        <v>0</v>
      </c>
      <c r="S18" s="59">
        <f t="shared" si="7"/>
        <v>5198.7</v>
      </c>
      <c r="T18" s="76">
        <f t="shared" si="1"/>
        <v>0.29967499999999991</v>
      </c>
      <c r="U18" s="76">
        <f t="shared" si="2"/>
        <v>7.0000000000000034E-2</v>
      </c>
      <c r="V18" s="76">
        <f t="shared" si="3"/>
        <v>0.39749999999999996</v>
      </c>
      <c r="W18" s="92">
        <f t="shared" si="9"/>
        <v>5590</v>
      </c>
      <c r="X18" s="79">
        <f>IFERROR((VLOOKUP($B18,'Из ГУГЛа'!$B:$AD,X$1,0)+Z18)*Y18,VLOOKUP($B18,'Из ГУГЛа'!$B:$AD,X$1,0))</f>
        <v>5990</v>
      </c>
      <c r="Y18" s="51">
        <v>1</v>
      </c>
      <c r="Z18" s="51"/>
      <c r="AA18" s="88">
        <v>5590</v>
      </c>
      <c r="AB18" s="65" t="s">
        <v>288</v>
      </c>
      <c r="AC18" s="79">
        <f>IFERROR((VLOOKUP($B18,'Из ГУГЛа'!$B:$AD,AC$1,0)+AE18)*AD18,VLOOKUP($B18,'Из ГУГЛа'!$B:$AD,AC$1,0))</f>
        <v>5460</v>
      </c>
      <c r="AD18" s="51">
        <v>1</v>
      </c>
      <c r="AE18" s="51"/>
      <c r="AF18" s="85">
        <v>5460</v>
      </c>
      <c r="AG18" s="65" t="s">
        <v>365</v>
      </c>
      <c r="AH18" s="79" t="str">
        <f>IFERROR((VLOOKUP($B18,'Из ГУГЛа'!$B:$AD,AH$1,0)+AJ18)*AI18,VLOOKUP($B18,'Из ГУГЛа'!$B:$AD,AH$1,0))</f>
        <v/>
      </c>
      <c r="AI18" s="51">
        <v>1</v>
      </c>
      <c r="AJ18" s="51"/>
      <c r="AK18" s="127"/>
      <c r="AL18" s="121"/>
      <c r="AM18" s="124" t="str">
        <f>IFERROR((VLOOKUP($B18,'Из ГУГЛа'!$B:$AD,AM$1,0)+AO18)*AN18,VLOOKUP($B18,'Из ГУГЛа'!$B:$AD,AM$1,0))</f>
        <v/>
      </c>
      <c r="AN18" s="125">
        <v>1</v>
      </c>
      <c r="AO18" s="125"/>
      <c r="AP18" s="127"/>
      <c r="AQ18" s="121"/>
    </row>
    <row r="19" spans="1:43" ht="61.5" thickTop="1" thickBot="1" x14ac:dyDescent="0.3">
      <c r="A19" s="75" t="str">
        <f>INDEX('Выгр Торг'!$A:$A,MATCH($B19,'Выгр Торг'!$B:$B,0))</f>
        <v>Пружины задней подвески Технорессор Драйв с занижением 30 / 50 / 70 мм для Лада Веста</v>
      </c>
      <c r="B19" s="41">
        <v>201911</v>
      </c>
      <c r="C19" s="41">
        <f>VLOOKUP($B19,'Выгр Торг'!$B:$T,C$1,0)</f>
        <v>108811</v>
      </c>
      <c r="D19" s="75" t="str">
        <f>VLOOKUP($B19,'Выгр Торг'!$B:$S,D$1,0)</f>
        <v>Пружины задней подвески Технорессор Драйв с занижением для Лада Веста Занижение 50 мм</v>
      </c>
      <c r="E19" s="41" t="str">
        <f>VLOOKUP($B19,'Выгр Торг'!$B:$T,E$1,0)</f>
        <v>N</v>
      </c>
      <c r="F19" s="41" t="str">
        <f>VLOOKUP($B19,'Выгр Торг'!$B:$T,F$1,0)</f>
        <v>1</v>
      </c>
      <c r="G19" s="41">
        <f>VLOOKUP($B19,'Выгр Торг'!$B:$T,G$1,0)</f>
        <v>0</v>
      </c>
      <c r="H19" s="37" t="s">
        <v>446</v>
      </c>
      <c r="I19" s="42"/>
      <c r="J19" s="1" t="s">
        <v>65</v>
      </c>
      <c r="K19" s="63">
        <f>VLOOKUP(H19,Прайс!B:D,3,0)</f>
        <v>4000</v>
      </c>
      <c r="L19" s="61">
        <f>VLOOKUP(K19,Наценка!$A$1:$B$8,2,1)</f>
        <v>1.32</v>
      </c>
      <c r="M19" s="94">
        <f t="shared" si="8"/>
        <v>5190</v>
      </c>
      <c r="N19" s="63">
        <f t="shared" si="4"/>
        <v>5190</v>
      </c>
      <c r="O19" s="41">
        <f>VLOOKUP($B19,'Выгр Торг'!$B:$T,O$1,0)</f>
        <v>4000</v>
      </c>
      <c r="P19" s="41">
        <f>VLOOKUP($B19,'Выгр Торг'!$B:$T,P$1,0)</f>
        <v>5190</v>
      </c>
      <c r="Q19" s="52">
        <f t="shared" si="5"/>
        <v>0</v>
      </c>
      <c r="R19" s="52">
        <f t="shared" si="6"/>
        <v>0</v>
      </c>
      <c r="S19" s="59">
        <f t="shared" si="7"/>
        <v>4826.7</v>
      </c>
      <c r="T19" s="76">
        <f t="shared" si="1"/>
        <v>0.20667499999999994</v>
      </c>
      <c r="U19" s="76">
        <f t="shared" si="2"/>
        <v>7.0000000000000034E-2</v>
      </c>
      <c r="V19" s="76">
        <f t="shared" si="3"/>
        <v>0.2975000000000001</v>
      </c>
      <c r="W19" s="92">
        <f t="shared" si="9"/>
        <v>5190</v>
      </c>
      <c r="X19" s="79">
        <f>IFERROR((VLOOKUP($B19,'Из ГУГЛа'!$B:$AD,X$1,0)+Z19)*Y19,VLOOKUP($B19,'Из ГУГЛа'!$B:$AD,X$1,0))</f>
        <v>6090</v>
      </c>
      <c r="Y19" s="51">
        <v>1</v>
      </c>
      <c r="Z19" s="51"/>
      <c r="AA19" s="88">
        <v>5190</v>
      </c>
      <c r="AB19" s="65" t="s">
        <v>289</v>
      </c>
      <c r="AC19" s="79">
        <f>IFERROR((VLOOKUP($B19,'Из ГУГЛа'!$B:$AD,AC$1,0)+AE19)*AD19,VLOOKUP($B19,'Из ГУГЛа'!$B:$AD,AC$1,0))</f>
        <v>5460</v>
      </c>
      <c r="AD19" s="51">
        <v>1</v>
      </c>
      <c r="AE19" s="51"/>
      <c r="AF19" s="85">
        <v>5460</v>
      </c>
      <c r="AG19" s="65" t="s">
        <v>364</v>
      </c>
      <c r="AH19" s="79" t="str">
        <f>IFERROR((VLOOKUP($B19,'Из ГУГЛа'!$B:$AD,AH$1,0)+AJ19)*AI19,VLOOKUP($B19,'Из ГУГЛа'!$B:$AD,AH$1,0))</f>
        <v/>
      </c>
      <c r="AI19" s="51">
        <v>1</v>
      </c>
      <c r="AJ19" s="51"/>
      <c r="AK19" s="127"/>
      <c r="AL19" s="121"/>
      <c r="AM19" s="124" t="str">
        <f>IFERROR((VLOOKUP($B19,'Из ГУГЛа'!$B:$AD,AM$1,0)+AO19)*AN19,VLOOKUP($B19,'Из ГУГЛа'!$B:$AD,AM$1,0))</f>
        <v/>
      </c>
      <c r="AN19" s="125">
        <v>1</v>
      </c>
      <c r="AO19" s="125"/>
      <c r="AP19" s="127"/>
      <c r="AQ19" s="121"/>
    </row>
    <row r="20" spans="1:43" ht="61.5" thickTop="1" thickBot="1" x14ac:dyDescent="0.3">
      <c r="A20" s="75" t="str">
        <f>INDEX('Выгр Торг'!$A:$A,MATCH($B20,'Выгр Торг'!$B:$B,0))</f>
        <v>Пружины задней подвески Технорессор Драйв с занижением 30 / 50 / 70 мм для Лада Веста</v>
      </c>
      <c r="B20" s="41">
        <v>201912</v>
      </c>
      <c r="C20" s="41">
        <f>VLOOKUP($B20,'Выгр Торг'!$B:$T,C$1,0)</f>
        <v>108812</v>
      </c>
      <c r="D20" s="75" t="str">
        <f>VLOOKUP($B20,'Выгр Торг'!$B:$S,D$1,0)</f>
        <v>Пружины задней подвески Технорессор Драйв с занижением для Лада Веста Занижение 70 мм</v>
      </c>
      <c r="E20" s="41" t="str">
        <f>VLOOKUP($B20,'Выгр Торг'!$B:$T,E$1,0)</f>
        <v>N</v>
      </c>
      <c r="F20" s="41" t="str">
        <f>VLOOKUP($B20,'Выгр Торг'!$B:$T,F$1,0)</f>
        <v>1</v>
      </c>
      <c r="G20" s="41">
        <f>VLOOKUP($B20,'Выгр Торг'!$B:$T,G$1,0)</f>
        <v>0</v>
      </c>
      <c r="H20" s="37" t="s">
        <v>447</v>
      </c>
      <c r="I20" s="42"/>
      <c r="J20" s="1" t="s">
        <v>65</v>
      </c>
      <c r="K20" s="63">
        <f>VLOOKUP(H20,Прайс!B:D,3,0)</f>
        <v>4000</v>
      </c>
      <c r="L20" s="61">
        <f>VLOOKUP(K20,Наценка!$A$1:$B$8,2,1)</f>
        <v>1.32</v>
      </c>
      <c r="M20" s="94">
        <f t="shared" si="8"/>
        <v>5190</v>
      </c>
      <c r="N20" s="63">
        <f t="shared" si="4"/>
        <v>5190</v>
      </c>
      <c r="O20" s="41">
        <f>VLOOKUP($B20,'Выгр Торг'!$B:$T,O$1,0)</f>
        <v>4000</v>
      </c>
      <c r="P20" s="41">
        <f>VLOOKUP($B20,'Выгр Торг'!$B:$T,P$1,0)</f>
        <v>5190</v>
      </c>
      <c r="Q20" s="52">
        <f t="shared" si="5"/>
        <v>0</v>
      </c>
      <c r="R20" s="52">
        <f t="shared" si="6"/>
        <v>0</v>
      </c>
      <c r="S20" s="59">
        <f t="shared" si="7"/>
        <v>4826.7</v>
      </c>
      <c r="T20" s="76">
        <f t="shared" si="1"/>
        <v>0.20667499999999994</v>
      </c>
      <c r="U20" s="76">
        <f t="shared" si="2"/>
        <v>7.0000000000000034E-2</v>
      </c>
      <c r="V20" s="76">
        <f t="shared" si="3"/>
        <v>0.2975000000000001</v>
      </c>
      <c r="W20" s="92">
        <f t="shared" si="9"/>
        <v>5190</v>
      </c>
      <c r="X20" s="79">
        <f>IFERROR((VLOOKUP($B20,'Из ГУГЛа'!$B:$AD,X$1,0)+Z20)*Y20,VLOOKUP($B20,'Из ГУГЛа'!$B:$AD,X$1,0))</f>
        <v>5390</v>
      </c>
      <c r="Y20" s="51">
        <v>1</v>
      </c>
      <c r="Z20" s="51"/>
      <c r="AA20" s="88">
        <v>5190</v>
      </c>
      <c r="AB20" s="65" t="s">
        <v>290</v>
      </c>
      <c r="AC20" s="79" t="str">
        <f>IFERROR((VLOOKUP($B20,'Из ГУГЛа'!$B:$AD,AC$1,0)+AE20)*AD20,VLOOKUP($B20,'Из ГУГЛа'!$B:$AD,AC$1,0))</f>
        <v/>
      </c>
      <c r="AD20" s="51">
        <v>1</v>
      </c>
      <c r="AE20" s="51"/>
      <c r="AF20" s="41"/>
      <c r="AH20" s="79" t="str">
        <f>IFERROR((VLOOKUP($B20,'Из ГУГЛа'!$B:$AD,AH$1,0)+AJ20)*AI20,VLOOKUP($B20,'Из ГУГЛа'!$B:$AD,AH$1,0))</f>
        <v/>
      </c>
      <c r="AI20" s="51">
        <v>1</v>
      </c>
      <c r="AJ20" s="51"/>
      <c r="AK20" s="121"/>
      <c r="AL20" s="121"/>
      <c r="AM20" s="124" t="str">
        <f>IFERROR((VLOOKUP($B20,'Из ГУГЛа'!$B:$AD,AM$1,0)+AO20)*AN20,VLOOKUP($B20,'Из ГУГЛа'!$B:$AD,AM$1,0))</f>
        <v/>
      </c>
      <c r="AN20" s="125">
        <v>1</v>
      </c>
      <c r="AO20" s="125"/>
      <c r="AP20" s="121"/>
      <c r="AQ20" s="121"/>
    </row>
    <row r="21" spans="1:43" ht="91.5" thickTop="1" thickBot="1" x14ac:dyDescent="0.3">
      <c r="A21" s="75" t="str">
        <f>INDEX('Выгр Торг'!$A:$A,MATCH($B21,'Выгр Торг'!$B:$B,0))</f>
        <v>Пружины передней подвески Технорессор Драйв с занижением 30 / 50 / 70 / 90 / 120 мм для ВАЗ 2108-21099, 2113-2115, 2110-2112</v>
      </c>
      <c r="B21" s="41">
        <v>201972</v>
      </c>
      <c r="C21" s="41">
        <f>VLOOKUP($B21,'Выгр Торг'!$B:$T,C$1,0)</f>
        <v>108757</v>
      </c>
      <c r="D21" s="75" t="str">
        <f>VLOOKUP($B21,'Выгр Торг'!$B:$S,D$1,0)</f>
        <v>Пружины передней подвески Технорессор Драйв с занижением для ВАЗ 2108-21099, 2113-2115, 2110-2112 Занижение 120 мм</v>
      </c>
      <c r="E21" s="41" t="str">
        <f>VLOOKUP($B21,'Выгр Торг'!$B:$T,E$1,0)</f>
        <v>N</v>
      </c>
      <c r="F21" s="41" t="str">
        <f>VLOOKUP($B21,'Выгр Торг'!$B:$T,F$1,0)</f>
        <v>1</v>
      </c>
      <c r="G21" s="41">
        <f>VLOOKUP($B21,'Выгр Торг'!$B:$T,G$1,0)</f>
        <v>0</v>
      </c>
      <c r="H21" s="41" t="s">
        <v>453</v>
      </c>
      <c r="I21" s="42"/>
      <c r="J21" s="1" t="s">
        <v>65</v>
      </c>
      <c r="K21" s="63">
        <f>VLOOKUP(H21,Прайс!B:D,3,0)</f>
        <v>2650</v>
      </c>
      <c r="L21" s="61">
        <f>VLOOKUP(K21,Наценка!$A$1:$B$8,2,1)</f>
        <v>1.32</v>
      </c>
      <c r="M21" s="94">
        <f t="shared" si="8"/>
        <v>4290</v>
      </c>
      <c r="N21" s="63">
        <f t="shared" si="4"/>
        <v>4290</v>
      </c>
      <c r="O21" s="41">
        <f>VLOOKUP($B21,'Выгр Торг'!$B:$T,O$1,0)</f>
        <v>2650</v>
      </c>
      <c r="P21" s="41">
        <f>VLOOKUP($B21,'Выгр Торг'!$B:$T,P$1,0)</f>
        <v>4290</v>
      </c>
      <c r="Q21" s="52">
        <f t="shared" si="5"/>
        <v>0</v>
      </c>
      <c r="R21" s="52">
        <f t="shared" si="6"/>
        <v>0</v>
      </c>
      <c r="S21" s="59">
        <f t="shared" si="7"/>
        <v>3989.7</v>
      </c>
      <c r="T21" s="76">
        <f t="shared" si="1"/>
        <v>0.50554716981132075</v>
      </c>
      <c r="U21" s="76">
        <f t="shared" si="2"/>
        <v>7.0000000000000048E-2</v>
      </c>
      <c r="V21" s="76">
        <f t="shared" si="3"/>
        <v>0.61886792452830197</v>
      </c>
      <c r="W21" s="92">
        <f t="shared" si="9"/>
        <v>4290</v>
      </c>
      <c r="X21" s="79">
        <f>IFERROR((VLOOKUP($B21,'Из ГУГЛа'!$B:$AD,X$1,0)+Z21)*Y21,VLOOKUP($B21,'Из ГУГЛа'!$B:$AD,X$1,0))</f>
        <v>3690</v>
      </c>
      <c r="Y21" s="51">
        <v>1</v>
      </c>
      <c r="Z21" s="51"/>
      <c r="AA21" s="88">
        <v>4290</v>
      </c>
      <c r="AB21" s="65" t="s">
        <v>273</v>
      </c>
      <c r="AC21" s="79">
        <f>IFERROR((VLOOKUP($B21,'Из ГУГЛа'!$B:$AD,AC$1,0)+AE21)*AD21,VLOOKUP($B21,'Из ГУГЛа'!$B:$AD,AC$1,0))</f>
        <v>3500</v>
      </c>
      <c r="AD21" s="51">
        <v>1</v>
      </c>
      <c r="AE21" s="51"/>
      <c r="AF21" s="85">
        <v>3500</v>
      </c>
      <c r="AG21" s="65" t="s">
        <v>353</v>
      </c>
      <c r="AH21" s="79" t="str">
        <f>IFERROR((VLOOKUP($B21,'Из ГУГЛа'!$B:$AD,AH$1,0)+AJ21)*AI21,VLOOKUP($B21,'Из ГУГЛа'!$B:$AD,AH$1,0))</f>
        <v/>
      </c>
      <c r="AI21" s="51">
        <v>1</v>
      </c>
      <c r="AJ21" s="51"/>
      <c r="AK21" s="127"/>
      <c r="AL21" s="121"/>
      <c r="AM21" s="124" t="str">
        <f>IFERROR((VLOOKUP($B21,'Из ГУГЛа'!$B:$AD,AM$1,0)+AO21)*AN21,VLOOKUP($B21,'Из ГУГЛа'!$B:$AD,AM$1,0))</f>
        <v/>
      </c>
      <c r="AN21" s="125">
        <v>1</v>
      </c>
      <c r="AO21" s="125"/>
      <c r="AP21" s="127"/>
      <c r="AQ21" s="121"/>
    </row>
    <row r="22" spans="1:43" ht="91.5" thickTop="1" thickBot="1" x14ac:dyDescent="0.3">
      <c r="A22" s="75" t="str">
        <f>INDEX('Выгр Торг'!$A:$A,MATCH($B22,'Выгр Торг'!$B:$B,0))</f>
        <v>Пружины передней подвески Технорессор Драйв с занижением 30 / 50 / 70 / 90 / 120 мм для ВАЗ 2108-21099, 2113-2115, 2110-2112</v>
      </c>
      <c r="B22" s="41">
        <v>201973</v>
      </c>
      <c r="C22" s="41">
        <f>VLOOKUP($B22,'Выгр Торг'!$B:$T,C$1,0)</f>
        <v>108753</v>
      </c>
      <c r="D22" s="75" t="str">
        <f>VLOOKUP($B22,'Выгр Торг'!$B:$S,D$1,0)</f>
        <v>Пружины передней подвески Технорессор Драйв с занижением для ВАЗ 2108-21099, 2113-2115, 2110-2112 Занижение 30 мм</v>
      </c>
      <c r="E22" s="41" t="str">
        <f>VLOOKUP($B22,'Выгр Торг'!$B:$T,E$1,0)</f>
        <v>N</v>
      </c>
      <c r="F22" s="41" t="str">
        <f>VLOOKUP($B22,'Выгр Торг'!$B:$T,F$1,0)</f>
        <v>1</v>
      </c>
      <c r="G22" s="41">
        <f>VLOOKUP($B22,'Выгр Торг'!$B:$T,G$1,0)</f>
        <v>0</v>
      </c>
      <c r="H22" s="41" t="s">
        <v>413</v>
      </c>
      <c r="I22" s="42"/>
      <c r="J22" s="1" t="s">
        <v>65</v>
      </c>
      <c r="K22" s="63">
        <f>VLOOKUP(H22,Прайс!B:D,3,0)</f>
        <v>2650</v>
      </c>
      <c r="L22" s="61">
        <f>VLOOKUP(K22,Наценка!$A$1:$B$8,2,1)</f>
        <v>1.32</v>
      </c>
      <c r="M22" s="94">
        <f t="shared" si="8"/>
        <v>3690</v>
      </c>
      <c r="N22" s="63">
        <f t="shared" si="4"/>
        <v>3690</v>
      </c>
      <c r="O22" s="41">
        <f>VLOOKUP($B22,'Выгр Торг'!$B:$T,O$1,0)</f>
        <v>2650</v>
      </c>
      <c r="P22" s="41">
        <f>VLOOKUP($B22,'Выгр Торг'!$B:$T,P$1,0)</f>
        <v>3690</v>
      </c>
      <c r="Q22" s="52">
        <f t="shared" si="5"/>
        <v>0</v>
      </c>
      <c r="R22" s="52">
        <f t="shared" si="6"/>
        <v>0</v>
      </c>
      <c r="S22" s="59">
        <f t="shared" si="7"/>
        <v>3431.7</v>
      </c>
      <c r="T22" s="76">
        <f t="shared" si="1"/>
        <v>0.29498113207547161</v>
      </c>
      <c r="U22" s="76">
        <f t="shared" si="2"/>
        <v>7.0000000000000048E-2</v>
      </c>
      <c r="V22" s="76">
        <f t="shared" si="3"/>
        <v>0.39245283018867916</v>
      </c>
      <c r="W22" s="92">
        <f t="shared" si="9"/>
        <v>3690</v>
      </c>
      <c r="X22" s="79">
        <f>IFERROR((VLOOKUP($B22,'Из ГУГЛа'!$B:$AD,X$1,0)+Z22)*Y22,VLOOKUP($B22,'Из ГУГЛа'!$B:$AD,X$1,0))</f>
        <v>3990</v>
      </c>
      <c r="Y22" s="51">
        <v>1</v>
      </c>
      <c r="Z22" s="51"/>
      <c r="AA22" s="88">
        <v>3690</v>
      </c>
      <c r="AB22" s="65" t="s">
        <v>274</v>
      </c>
      <c r="AC22" s="79">
        <f>IFERROR((VLOOKUP($B22,'Из ГУГЛа'!$B:$AD,AC$1,0)+AE22)*AD22,VLOOKUP($B22,'Из ГУГЛа'!$B:$AD,AC$1,0))</f>
        <v>3500</v>
      </c>
      <c r="AD22" s="51">
        <v>1</v>
      </c>
      <c r="AE22" s="51"/>
      <c r="AF22" s="85">
        <v>3500</v>
      </c>
      <c r="AG22" s="65" t="s">
        <v>354</v>
      </c>
      <c r="AH22" s="79" t="str">
        <f>IFERROR((VLOOKUP($B22,'Из ГУГЛа'!$B:$AD,AH$1,0)+AJ22)*AI22,VLOOKUP($B22,'Из ГУГЛа'!$B:$AD,AH$1,0))</f>
        <v/>
      </c>
      <c r="AI22" s="51">
        <v>1</v>
      </c>
      <c r="AJ22" s="51"/>
      <c r="AK22" s="127"/>
      <c r="AL22" s="121"/>
      <c r="AM22" s="124" t="str">
        <f>IFERROR((VLOOKUP($B22,'Из ГУГЛа'!$B:$AD,AM$1,0)+AO22)*AN22,VLOOKUP($B22,'Из ГУГЛа'!$B:$AD,AM$1,0))</f>
        <v/>
      </c>
      <c r="AN22" s="125">
        <v>1</v>
      </c>
      <c r="AO22" s="125"/>
      <c r="AP22" s="127"/>
      <c r="AQ22" s="121"/>
    </row>
    <row r="23" spans="1:43" ht="91.5" thickTop="1" thickBot="1" x14ac:dyDescent="0.3">
      <c r="A23" s="75" t="str">
        <f>INDEX('Выгр Торг'!$A:$A,MATCH($B23,'Выгр Торг'!$B:$B,0))</f>
        <v>Пружины передней подвески Технорессор Драйв с занижением 30 / 50 / 70 / 90 / 120 мм для ВАЗ 2108-21099, 2113-2115, 2110-2112</v>
      </c>
      <c r="B23" s="41">
        <v>201974</v>
      </c>
      <c r="C23" s="41">
        <f>VLOOKUP($B23,'Выгр Торг'!$B:$T,C$1,0)</f>
        <v>108754</v>
      </c>
      <c r="D23" s="75" t="str">
        <f>VLOOKUP($B23,'Выгр Торг'!$B:$S,D$1,0)</f>
        <v>Пружины передней подвески Технорессор Драйв с занижением для ВАЗ 2108-21099, 2113-2115, 2110-2112 Занижение 50 мм</v>
      </c>
      <c r="E23" s="41" t="str">
        <f>VLOOKUP($B23,'Выгр Торг'!$B:$T,E$1,0)</f>
        <v>N</v>
      </c>
      <c r="F23" s="41" t="str">
        <f>VLOOKUP($B23,'Выгр Торг'!$B:$T,F$1,0)</f>
        <v>1</v>
      </c>
      <c r="G23" s="41">
        <f>VLOOKUP($B23,'Выгр Торг'!$B:$T,G$1,0)</f>
        <v>0</v>
      </c>
      <c r="H23" s="41" t="s">
        <v>414</v>
      </c>
      <c r="I23" s="42"/>
      <c r="J23" s="1" t="s">
        <v>65</v>
      </c>
      <c r="K23" s="63">
        <f>VLOOKUP(H23,Прайс!B:D,3,0)</f>
        <v>2650</v>
      </c>
      <c r="L23" s="61">
        <f>VLOOKUP(K23,Наценка!$A$1:$B$8,2,1)</f>
        <v>1.32</v>
      </c>
      <c r="M23" s="94">
        <f t="shared" si="8"/>
        <v>3590</v>
      </c>
      <c r="N23" s="63">
        <f t="shared" si="4"/>
        <v>3590</v>
      </c>
      <c r="O23" s="41">
        <f>VLOOKUP($B23,'Выгр Торг'!$B:$T,O$1,0)</f>
        <v>2650</v>
      </c>
      <c r="P23" s="41">
        <f>VLOOKUP($B23,'Выгр Торг'!$B:$T,P$1,0)</f>
        <v>3590</v>
      </c>
      <c r="Q23" s="52">
        <f t="shared" si="5"/>
        <v>0</v>
      </c>
      <c r="R23" s="52">
        <f t="shared" si="6"/>
        <v>0</v>
      </c>
      <c r="S23" s="59">
        <f t="shared" si="7"/>
        <v>3338.7</v>
      </c>
      <c r="T23" s="76">
        <f t="shared" si="1"/>
        <v>0.25988679245283008</v>
      </c>
      <c r="U23" s="76">
        <f t="shared" si="2"/>
        <v>7.0000000000000048E-2</v>
      </c>
      <c r="V23" s="76">
        <f t="shared" si="3"/>
        <v>0.35471698113207539</v>
      </c>
      <c r="W23" s="92">
        <f t="shared" si="9"/>
        <v>3590</v>
      </c>
      <c r="X23" s="79">
        <f>IFERROR((VLOOKUP($B23,'Из ГУГЛа'!$B:$AD,X$1,0)+Z23)*Y23,VLOOKUP($B23,'Из ГУГЛа'!$B:$AD,X$1,0))</f>
        <v>3590</v>
      </c>
      <c r="Y23" s="51">
        <v>1</v>
      </c>
      <c r="Z23" s="51"/>
      <c r="AA23" s="88">
        <v>3590</v>
      </c>
      <c r="AB23" s="65" t="s">
        <v>275</v>
      </c>
      <c r="AC23" s="79">
        <f>IFERROR((VLOOKUP($B23,'Из ГУГЛа'!$B:$AD,AC$1,0)+AE23)*AD23,VLOOKUP($B23,'Из ГУГЛа'!$B:$AD,AC$1,0))</f>
        <v>3500</v>
      </c>
      <c r="AD23" s="51">
        <v>1</v>
      </c>
      <c r="AE23" s="51"/>
      <c r="AF23" s="85">
        <v>3500</v>
      </c>
      <c r="AG23" s="65" t="s">
        <v>355</v>
      </c>
      <c r="AH23" s="79" t="str">
        <f>IFERROR((VLOOKUP($B23,'Из ГУГЛа'!$B:$AD,AH$1,0)+AJ23)*AI23,VLOOKUP($B23,'Из ГУГЛа'!$B:$AD,AH$1,0))</f>
        <v/>
      </c>
      <c r="AI23" s="51">
        <v>1</v>
      </c>
      <c r="AJ23" s="51"/>
      <c r="AK23" s="127"/>
      <c r="AL23" s="121"/>
      <c r="AM23" s="124" t="str">
        <f>IFERROR((VLOOKUP($B23,'Из ГУГЛа'!$B:$AD,AM$1,0)+AO23)*AN23,VLOOKUP($B23,'Из ГУГЛа'!$B:$AD,AM$1,0))</f>
        <v/>
      </c>
      <c r="AN23" s="125">
        <v>1</v>
      </c>
      <c r="AO23" s="125"/>
      <c r="AP23" s="127"/>
      <c r="AQ23" s="121"/>
    </row>
    <row r="24" spans="1:43" ht="91.5" thickTop="1" thickBot="1" x14ac:dyDescent="0.3">
      <c r="A24" s="75" t="str">
        <f>INDEX('Выгр Торг'!$A:$A,MATCH($B24,'Выгр Торг'!$B:$B,0))</f>
        <v>Пружины передней подвески Технорессор Драйв с занижением 30 / 50 / 70 / 90 / 120 мм для ВАЗ 2108-21099, 2113-2115, 2110-2112</v>
      </c>
      <c r="B24" s="41">
        <v>201975</v>
      </c>
      <c r="C24" s="41">
        <f>VLOOKUP($B24,'Выгр Торг'!$B:$T,C$1,0)</f>
        <v>108755</v>
      </c>
      <c r="D24" s="75" t="str">
        <f>VLOOKUP($B24,'Выгр Торг'!$B:$S,D$1,0)</f>
        <v>Пружины передней подвески Технорессор Драйв с занижением для ВАЗ 2108-21099, 2113-2115, 2110-2112 Занижение 70 мм</v>
      </c>
      <c r="E24" s="41" t="str">
        <f>VLOOKUP($B24,'Выгр Торг'!$B:$T,E$1,0)</f>
        <v>N</v>
      </c>
      <c r="F24" s="41" t="str">
        <f>VLOOKUP($B24,'Выгр Торг'!$B:$T,F$1,0)</f>
        <v>1</v>
      </c>
      <c r="G24" s="41">
        <f>VLOOKUP($B24,'Выгр Торг'!$B:$T,G$1,0)</f>
        <v>0</v>
      </c>
      <c r="H24" s="41" t="s">
        <v>415</v>
      </c>
      <c r="I24" s="42"/>
      <c r="J24" s="1" t="s">
        <v>65</v>
      </c>
      <c r="K24" s="63">
        <f>VLOOKUP(H24,Прайс!B:D,3,0)</f>
        <v>2650</v>
      </c>
      <c r="L24" s="61">
        <f>VLOOKUP(K24,Наценка!$A$1:$B$8,2,1)</f>
        <v>1.32</v>
      </c>
      <c r="M24" s="94">
        <f t="shared" si="8"/>
        <v>3690</v>
      </c>
      <c r="N24" s="63">
        <f t="shared" si="4"/>
        <v>3690</v>
      </c>
      <c r="O24" s="41">
        <f>VLOOKUP($B24,'Выгр Торг'!$B:$T,O$1,0)</f>
        <v>2650</v>
      </c>
      <c r="P24" s="41">
        <f>VLOOKUP($B24,'Выгр Торг'!$B:$T,P$1,0)</f>
        <v>3690</v>
      </c>
      <c r="Q24" s="52">
        <f t="shared" si="5"/>
        <v>0</v>
      </c>
      <c r="R24" s="52">
        <f t="shared" si="6"/>
        <v>0</v>
      </c>
      <c r="S24" s="59">
        <f t="shared" si="7"/>
        <v>3431.7</v>
      </c>
      <c r="T24" s="76">
        <f t="shared" si="1"/>
        <v>0.29498113207547161</v>
      </c>
      <c r="U24" s="76">
        <f t="shared" si="2"/>
        <v>7.0000000000000048E-2</v>
      </c>
      <c r="V24" s="76">
        <f t="shared" si="3"/>
        <v>0.39245283018867916</v>
      </c>
      <c r="W24" s="92">
        <f t="shared" si="9"/>
        <v>3690</v>
      </c>
      <c r="X24" s="79">
        <f>IFERROR((VLOOKUP($B24,'Из ГУГЛа'!$B:$AD,X$1,0)+Z24)*Y24,VLOOKUP($B24,'Из ГУГЛа'!$B:$AD,X$1,0))</f>
        <v>3590</v>
      </c>
      <c r="Y24" s="51">
        <v>1</v>
      </c>
      <c r="Z24" s="51"/>
      <c r="AA24" s="88">
        <v>3690</v>
      </c>
      <c r="AB24" s="65" t="s">
        <v>276</v>
      </c>
      <c r="AC24" s="79">
        <f>IFERROR((VLOOKUP($B24,'Из ГУГЛа'!$B:$AD,AC$1,0)+AE24)*AD24,VLOOKUP($B24,'Из ГУГЛа'!$B:$AD,AC$1,0))</f>
        <v>3500</v>
      </c>
      <c r="AD24" s="51">
        <v>1</v>
      </c>
      <c r="AE24" s="51"/>
      <c r="AF24" s="85">
        <v>3500</v>
      </c>
      <c r="AG24" s="65" t="s">
        <v>356</v>
      </c>
      <c r="AH24" s="79" t="str">
        <f>IFERROR((VLOOKUP($B24,'Из ГУГЛа'!$B:$AD,AH$1,0)+AJ24)*AI24,VLOOKUP($B24,'Из ГУГЛа'!$B:$AD,AH$1,0))</f>
        <v/>
      </c>
      <c r="AI24" s="51">
        <v>1</v>
      </c>
      <c r="AJ24" s="51"/>
      <c r="AK24" s="127"/>
      <c r="AL24" s="121"/>
      <c r="AM24" s="124" t="str">
        <f>IFERROR((VLOOKUP($B24,'Из ГУГЛа'!$B:$AD,AM$1,0)+AO24)*AN24,VLOOKUP($B24,'Из ГУГЛа'!$B:$AD,AM$1,0))</f>
        <v/>
      </c>
      <c r="AN24" s="125">
        <v>1</v>
      </c>
      <c r="AO24" s="125"/>
      <c r="AP24" s="127"/>
      <c r="AQ24" s="121"/>
    </row>
    <row r="25" spans="1:43" ht="91.5" thickTop="1" thickBot="1" x14ac:dyDescent="0.3">
      <c r="A25" s="75" t="str">
        <f>INDEX('Выгр Торг'!$A:$A,MATCH($B25,'Выгр Торг'!$B:$B,0))</f>
        <v>Пружины передней подвески Технорессор Драйв с занижением 30 / 50 / 70 / 90 / 120 мм для ВАЗ 2108-21099, 2113-2115, 2110-2112</v>
      </c>
      <c r="B25" s="41">
        <v>201976</v>
      </c>
      <c r="C25" s="41">
        <f>VLOOKUP($B25,'Выгр Торг'!$B:$T,C$1,0)</f>
        <v>108756</v>
      </c>
      <c r="D25" s="75" t="str">
        <f>VLOOKUP($B25,'Выгр Торг'!$B:$S,D$1,0)</f>
        <v>Пружины передней подвески Технорессор Драйв с занижением для ВАЗ 2108-21099, 2113-2115, 2110-2112 Занижение 90 мм</v>
      </c>
      <c r="E25" s="41" t="str">
        <f>VLOOKUP($B25,'Выгр Торг'!$B:$T,E$1,0)</f>
        <v>N</v>
      </c>
      <c r="F25" s="41" t="str">
        <f>VLOOKUP($B25,'Выгр Торг'!$B:$T,F$1,0)</f>
        <v>1</v>
      </c>
      <c r="G25" s="41">
        <f>VLOOKUP($B25,'Выгр Торг'!$B:$T,G$1,0)</f>
        <v>0</v>
      </c>
      <c r="H25" s="41" t="s">
        <v>416</v>
      </c>
      <c r="I25" s="42"/>
      <c r="J25" s="1" t="s">
        <v>65</v>
      </c>
      <c r="K25" s="63">
        <f>VLOOKUP(H25,Прайс!B:D,3,0)</f>
        <v>2650</v>
      </c>
      <c r="L25" s="61">
        <f>VLOOKUP(K25,Наценка!$A$1:$B$8,2,1)</f>
        <v>1.32</v>
      </c>
      <c r="M25" s="94">
        <f t="shared" si="8"/>
        <v>3690</v>
      </c>
      <c r="N25" s="63">
        <f t="shared" si="4"/>
        <v>3690</v>
      </c>
      <c r="O25" s="41">
        <f>VLOOKUP($B25,'Выгр Торг'!$B:$T,O$1,0)</f>
        <v>2650</v>
      </c>
      <c r="P25" s="41">
        <f>VLOOKUP($B25,'Выгр Торг'!$B:$T,P$1,0)</f>
        <v>3690</v>
      </c>
      <c r="Q25" s="52">
        <f t="shared" si="5"/>
        <v>0</v>
      </c>
      <c r="R25" s="52">
        <f t="shared" si="6"/>
        <v>0</v>
      </c>
      <c r="S25" s="59">
        <f t="shared" si="7"/>
        <v>3431.7</v>
      </c>
      <c r="T25" s="76">
        <f t="shared" si="1"/>
        <v>0.29498113207547161</v>
      </c>
      <c r="U25" s="76">
        <f t="shared" si="2"/>
        <v>7.0000000000000048E-2</v>
      </c>
      <c r="V25" s="76">
        <f t="shared" si="3"/>
        <v>0.39245283018867916</v>
      </c>
      <c r="W25" s="92">
        <f t="shared" si="9"/>
        <v>3690</v>
      </c>
      <c r="X25" s="79">
        <f>IFERROR((VLOOKUP($B25,'Из ГУГЛа'!$B:$AD,X$1,0)+Z25)*Y25,VLOOKUP($B25,'Из ГУГЛа'!$B:$AD,X$1,0))</f>
        <v>3690</v>
      </c>
      <c r="Y25" s="51">
        <v>1</v>
      </c>
      <c r="Z25" s="51"/>
      <c r="AA25" s="88">
        <v>3690</v>
      </c>
      <c r="AB25" s="65" t="s">
        <v>277</v>
      </c>
      <c r="AC25" s="79">
        <f>IFERROR((VLOOKUP($B25,'Из ГУГЛа'!$B:$AD,AC$1,0)+AE25)*AD25,VLOOKUP($B25,'Из ГУГЛа'!$B:$AD,AC$1,0))</f>
        <v>3500</v>
      </c>
      <c r="AD25" s="51">
        <v>1</v>
      </c>
      <c r="AE25" s="51"/>
      <c r="AF25" s="85">
        <v>3500</v>
      </c>
      <c r="AG25" s="65" t="s">
        <v>357</v>
      </c>
      <c r="AH25" s="79" t="str">
        <f>IFERROR((VLOOKUP($B25,'Из ГУГЛа'!$B:$AD,AH$1,0)+AJ25)*AI25,VLOOKUP($B25,'Из ГУГЛа'!$B:$AD,AH$1,0))</f>
        <v/>
      </c>
      <c r="AI25" s="51">
        <v>1</v>
      </c>
      <c r="AJ25" s="51"/>
      <c r="AK25" s="127"/>
      <c r="AL25" s="121"/>
      <c r="AM25" s="124" t="str">
        <f>IFERROR((VLOOKUP($B25,'Из ГУГЛа'!$B:$AD,AM$1,0)+AO25)*AN25,VLOOKUP($B25,'Из ГУГЛа'!$B:$AD,AM$1,0))</f>
        <v/>
      </c>
      <c r="AN25" s="125">
        <v>1</v>
      </c>
      <c r="AO25" s="125"/>
      <c r="AP25" s="127"/>
      <c r="AQ25" s="121"/>
    </row>
    <row r="26" spans="1:43" ht="61.5" thickTop="1" thickBot="1" x14ac:dyDescent="0.3">
      <c r="A26" s="75" t="str">
        <f>INDEX('Выгр Торг'!$A:$A,MATCH($B26,'Выгр Торг'!$B:$B,0))</f>
        <v>Пружины передней подвески Технорессор Драйв с занижением 30 / 50 / 70 мм для Лада Веста</v>
      </c>
      <c r="B26" s="41">
        <v>201978</v>
      </c>
      <c r="C26" s="41">
        <f>VLOOKUP($B26,'Выгр Торг'!$B:$T,C$1,0)</f>
        <v>108803</v>
      </c>
      <c r="D26" s="75" t="str">
        <f>VLOOKUP($B26,'Выгр Торг'!$B:$S,D$1,0)</f>
        <v>Пружины передней подвески Технорессор Драйв с занижением для Лада Веста Занижение 30 мм</v>
      </c>
      <c r="E26" s="41" t="str">
        <f>VLOOKUP($B26,'Выгр Торг'!$B:$T,E$1,0)</f>
        <v>N</v>
      </c>
      <c r="F26" s="41" t="str">
        <f>VLOOKUP($B26,'Выгр Торг'!$B:$T,F$1,0)</f>
        <v>1ск4</v>
      </c>
      <c r="G26" s="41">
        <f>VLOOKUP($B26,'Выгр Торг'!$B:$T,G$1,0)</f>
        <v>0</v>
      </c>
      <c r="H26" s="37" t="s">
        <v>424</v>
      </c>
      <c r="I26" s="42"/>
      <c r="J26" s="1" t="s">
        <v>65</v>
      </c>
      <c r="K26" s="63">
        <f>VLOOKUP(H26,Прайс!B:D,3,0)</f>
        <v>4000</v>
      </c>
      <c r="L26" s="61">
        <f>VLOOKUP(K26,Наценка!$A$1:$B$8,2,1)</f>
        <v>1.32</v>
      </c>
      <c r="M26" s="94">
        <f t="shared" si="8"/>
        <v>5590</v>
      </c>
      <c r="N26" s="63">
        <f t="shared" si="4"/>
        <v>5590</v>
      </c>
      <c r="O26" s="41">
        <f>VLOOKUP($B26,'Выгр Торг'!$B:$T,O$1,0)</f>
        <v>4000</v>
      </c>
      <c r="P26" s="41">
        <f>VLOOKUP($B26,'Выгр Торг'!$B:$T,P$1,0)</f>
        <v>5590</v>
      </c>
      <c r="Q26" s="52">
        <f t="shared" si="5"/>
        <v>0</v>
      </c>
      <c r="R26" s="52">
        <f t="shared" si="6"/>
        <v>0</v>
      </c>
      <c r="S26" s="59">
        <f t="shared" si="7"/>
        <v>5198.7</v>
      </c>
      <c r="T26" s="76">
        <f t="shared" si="1"/>
        <v>0.29967499999999991</v>
      </c>
      <c r="U26" s="76">
        <f t="shared" si="2"/>
        <v>7.0000000000000034E-2</v>
      </c>
      <c r="V26" s="76">
        <f t="shared" si="3"/>
        <v>0.39749999999999996</v>
      </c>
      <c r="W26" s="92">
        <f t="shared" si="9"/>
        <v>5590</v>
      </c>
      <c r="X26" s="79">
        <f>IFERROR((VLOOKUP($B26,'Из ГУГЛа'!$B:$AD,X$1,0)+Z26)*Y26,VLOOKUP($B26,'Из ГУГЛа'!$B:$AD,X$1,0))</f>
        <v>5990</v>
      </c>
      <c r="Y26" s="51">
        <v>1</v>
      </c>
      <c r="Z26" s="51"/>
      <c r="AA26" s="88">
        <v>5590</v>
      </c>
      <c r="AB26" s="65" t="s">
        <v>291</v>
      </c>
      <c r="AC26" s="79">
        <f>IFERROR((VLOOKUP($B26,'Из ГУГЛа'!$B:$AD,AC$1,0)+AE26)*AD26,VLOOKUP($B26,'Из ГУГЛа'!$B:$AD,AC$1,0))</f>
        <v>5850</v>
      </c>
      <c r="AD26" s="51">
        <v>1</v>
      </c>
      <c r="AE26" s="51"/>
      <c r="AF26" s="85">
        <v>5850</v>
      </c>
      <c r="AG26" s="65" t="s">
        <v>362</v>
      </c>
      <c r="AH26" s="79" t="str">
        <f>IFERROR((VLOOKUP($B26,'Из ГУГЛа'!$B:$AD,AH$1,0)+AJ26)*AI26,VLOOKUP($B26,'Из ГУГЛа'!$B:$AD,AH$1,0))</f>
        <v/>
      </c>
      <c r="AI26" s="51">
        <v>1</v>
      </c>
      <c r="AJ26" s="51"/>
      <c r="AK26" s="127"/>
      <c r="AL26" s="121"/>
      <c r="AM26" s="124" t="str">
        <f>IFERROR((VLOOKUP($B26,'Из ГУГЛа'!$B:$AD,AM$1,0)+AO26)*AN26,VLOOKUP($B26,'Из ГУГЛа'!$B:$AD,AM$1,0))</f>
        <v/>
      </c>
      <c r="AN26" s="125">
        <v>1</v>
      </c>
      <c r="AO26" s="125"/>
      <c r="AP26" s="127"/>
      <c r="AQ26" s="121"/>
    </row>
    <row r="27" spans="1:43" ht="61.5" thickTop="1" thickBot="1" x14ac:dyDescent="0.3">
      <c r="A27" s="75" t="str">
        <f>INDEX('Выгр Торг'!$A:$A,MATCH($B27,'Выгр Торг'!$B:$B,0))</f>
        <v>Пружины передней подвески Технорессор Драйв с занижением 30 / 50 / 70 мм для Лада Веста</v>
      </c>
      <c r="B27" s="41">
        <v>201979</v>
      </c>
      <c r="C27" s="41">
        <f>VLOOKUP($B27,'Выгр Торг'!$B:$T,C$1,0)</f>
        <v>108804</v>
      </c>
      <c r="D27" s="75" t="str">
        <f>VLOOKUP($B27,'Выгр Торг'!$B:$S,D$1,0)</f>
        <v>Пружины передней подвески Технорессор Драйв с занижением для Лада Веста Занижение 50 мм</v>
      </c>
      <c r="E27" s="41" t="str">
        <f>VLOOKUP($B27,'Выгр Торг'!$B:$T,E$1,0)</f>
        <v>N</v>
      </c>
      <c r="F27" s="41" t="str">
        <f>VLOOKUP($B27,'Выгр Торг'!$B:$T,F$1,0)</f>
        <v>1</v>
      </c>
      <c r="G27" s="41">
        <f>VLOOKUP($B27,'Выгр Торг'!$B:$T,G$1,0)</f>
        <v>0</v>
      </c>
      <c r="H27" s="37" t="s">
        <v>425</v>
      </c>
      <c r="I27" s="42"/>
      <c r="J27" s="1" t="s">
        <v>65</v>
      </c>
      <c r="K27" s="63">
        <f>VLOOKUP(H27,Прайс!B:D,3,0)</f>
        <v>4000</v>
      </c>
      <c r="L27" s="61">
        <f>VLOOKUP(K27,Наценка!$A$1:$B$8,2,1)</f>
        <v>1.32</v>
      </c>
      <c r="M27" s="94">
        <f t="shared" si="8"/>
        <v>5590</v>
      </c>
      <c r="N27" s="63">
        <f t="shared" si="4"/>
        <v>5590</v>
      </c>
      <c r="O27" s="41">
        <f>VLOOKUP($B27,'Выгр Торг'!$B:$T,O$1,0)</f>
        <v>4000</v>
      </c>
      <c r="P27" s="41">
        <f>VLOOKUP($B27,'Выгр Торг'!$B:$T,P$1,0)</f>
        <v>5590</v>
      </c>
      <c r="Q27" s="52">
        <f t="shared" si="5"/>
        <v>0</v>
      </c>
      <c r="R27" s="52">
        <f t="shared" si="6"/>
        <v>0</v>
      </c>
      <c r="S27" s="59">
        <f t="shared" si="7"/>
        <v>5198.7</v>
      </c>
      <c r="T27" s="76">
        <f t="shared" si="1"/>
        <v>0.29967499999999991</v>
      </c>
      <c r="U27" s="76">
        <f t="shared" si="2"/>
        <v>7.0000000000000034E-2</v>
      </c>
      <c r="V27" s="76">
        <f t="shared" si="3"/>
        <v>0.39749999999999996</v>
      </c>
      <c r="W27" s="92">
        <f t="shared" si="9"/>
        <v>5590</v>
      </c>
      <c r="X27" s="79">
        <f>IFERROR((VLOOKUP($B27,'Из ГУГЛа'!$B:$AD,X$1,0)+Z27)*Y27,VLOOKUP($B27,'Из ГУГЛа'!$B:$AD,X$1,0))</f>
        <v>6690</v>
      </c>
      <c r="Y27" s="51">
        <v>1</v>
      </c>
      <c r="Z27" s="51"/>
      <c r="AA27" s="88">
        <v>5590</v>
      </c>
      <c r="AB27" s="65" t="s">
        <v>292</v>
      </c>
      <c r="AC27" s="79">
        <f>IFERROR((VLOOKUP($B27,'Из ГУГЛа'!$B:$AD,AC$1,0)+AE27)*AD27,VLOOKUP($B27,'Из ГУГЛа'!$B:$AD,AC$1,0))</f>
        <v>5460</v>
      </c>
      <c r="AD27" s="51">
        <v>1</v>
      </c>
      <c r="AE27" s="51"/>
      <c r="AF27" s="85">
        <v>5460</v>
      </c>
      <c r="AG27" s="65" t="s">
        <v>363</v>
      </c>
      <c r="AH27" s="79" t="str">
        <f>IFERROR((VLOOKUP($B27,'Из ГУГЛа'!$B:$AD,AH$1,0)+AJ27)*AI27,VLOOKUP($B27,'Из ГУГЛа'!$B:$AD,AH$1,0))</f>
        <v/>
      </c>
      <c r="AI27" s="51">
        <v>1</v>
      </c>
      <c r="AJ27" s="51"/>
      <c r="AK27" s="127"/>
      <c r="AL27" s="121"/>
      <c r="AM27" s="124" t="str">
        <f>IFERROR((VLOOKUP($B27,'Из ГУГЛа'!$B:$AD,AM$1,0)+AO27)*AN27,VLOOKUP($B27,'Из ГУГЛа'!$B:$AD,AM$1,0))</f>
        <v/>
      </c>
      <c r="AN27" s="125">
        <v>1</v>
      </c>
      <c r="AO27" s="125"/>
      <c r="AP27" s="127"/>
      <c r="AQ27" s="121"/>
    </row>
    <row r="28" spans="1:43" ht="61.5" thickTop="1" thickBot="1" x14ac:dyDescent="0.3">
      <c r="A28" s="75" t="str">
        <f>INDEX('Выгр Торг'!$A:$A,MATCH($B28,'Выгр Торг'!$B:$B,0))</f>
        <v>Пружины передней подвески Технорессор Драйв с занижением 30 / 50 / 70 мм для Лада Веста</v>
      </c>
      <c r="B28" s="41">
        <v>201980</v>
      </c>
      <c r="C28" s="41">
        <f>VLOOKUP($B28,'Выгр Торг'!$B:$T,C$1,0)</f>
        <v>108805</v>
      </c>
      <c r="D28" s="75" t="str">
        <f>VLOOKUP($B28,'Выгр Торг'!$B:$S,D$1,0)</f>
        <v>Пружины передней подвески Технорессор Драйв с занижением для Лада Веста Занижение 70 мм</v>
      </c>
      <c r="E28" s="41" t="str">
        <f>VLOOKUP($B28,'Выгр Торг'!$B:$T,E$1,0)</f>
        <v>N</v>
      </c>
      <c r="F28" s="41" t="str">
        <f>VLOOKUP($B28,'Выгр Торг'!$B:$T,F$1,0)</f>
        <v>1</v>
      </c>
      <c r="G28" s="41">
        <f>VLOOKUP($B28,'Выгр Торг'!$B:$T,G$1,0)</f>
        <v>0</v>
      </c>
      <c r="H28" s="37" t="s">
        <v>426</v>
      </c>
      <c r="I28" s="42"/>
      <c r="J28" s="1" t="s">
        <v>65</v>
      </c>
      <c r="K28" s="63">
        <f>VLOOKUP(H28,Прайс!B:D,3,0)</f>
        <v>4000</v>
      </c>
      <c r="L28" s="61">
        <f>VLOOKUP(K28,Наценка!$A$1:$B$8,2,1)</f>
        <v>1.32</v>
      </c>
      <c r="M28" s="94">
        <f t="shared" si="8"/>
        <v>5590</v>
      </c>
      <c r="N28" s="63">
        <f t="shared" si="4"/>
        <v>5590</v>
      </c>
      <c r="O28" s="41">
        <f>VLOOKUP($B28,'Выгр Торг'!$B:$T,O$1,0)</f>
        <v>4000</v>
      </c>
      <c r="P28" s="41">
        <f>VLOOKUP($B28,'Выгр Торг'!$B:$T,P$1,0)</f>
        <v>5590</v>
      </c>
      <c r="Q28" s="52">
        <f t="shared" si="5"/>
        <v>0</v>
      </c>
      <c r="R28" s="52">
        <f t="shared" si="6"/>
        <v>0</v>
      </c>
      <c r="S28" s="59">
        <f t="shared" si="7"/>
        <v>5198.7</v>
      </c>
      <c r="T28" s="76">
        <f t="shared" si="1"/>
        <v>0.29967499999999991</v>
      </c>
      <c r="U28" s="76">
        <f t="shared" si="2"/>
        <v>7.0000000000000034E-2</v>
      </c>
      <c r="V28" s="76">
        <f t="shared" si="3"/>
        <v>0.39749999999999996</v>
      </c>
      <c r="W28" s="92">
        <f t="shared" si="9"/>
        <v>5590</v>
      </c>
      <c r="X28" s="79">
        <f>IFERROR((VLOOKUP($B28,'Из ГУГЛа'!$B:$AD,X$1,0)+Z28)*Y28,VLOOKUP($B28,'Из ГУГЛа'!$B:$AD,X$1,0))</f>
        <v>6190</v>
      </c>
      <c r="Y28" s="51">
        <v>1</v>
      </c>
      <c r="Z28" s="51"/>
      <c r="AA28" s="88">
        <v>5590</v>
      </c>
      <c r="AB28" s="65" t="s">
        <v>293</v>
      </c>
      <c r="AC28" s="79" t="str">
        <f>IFERROR((VLOOKUP($B28,'Из ГУГЛа'!$B:$AD,AC$1,0)+AE28)*AD28,VLOOKUP($B28,'Из ГУГЛа'!$B:$AD,AC$1,0))</f>
        <v/>
      </c>
      <c r="AD28" s="51">
        <v>1</v>
      </c>
      <c r="AE28" s="51"/>
      <c r="AF28" s="41"/>
      <c r="AH28" s="79" t="str">
        <f>IFERROR((VLOOKUP($B28,'Из ГУГЛа'!$B:$AD,AH$1,0)+AJ28)*AI28,VLOOKUP($B28,'Из ГУГЛа'!$B:$AD,AH$1,0))</f>
        <v/>
      </c>
      <c r="AI28" s="51">
        <v>1</v>
      </c>
      <c r="AJ28" s="51"/>
      <c r="AK28" s="121"/>
      <c r="AL28" s="121"/>
      <c r="AM28" s="124" t="str">
        <f>IFERROR((VLOOKUP($B28,'Из ГУГЛа'!$B:$AD,AM$1,0)+AO28)*AN28,VLOOKUP($B28,'Из ГУГЛа'!$B:$AD,AM$1,0))</f>
        <v/>
      </c>
      <c r="AN28" s="125">
        <v>1</v>
      </c>
      <c r="AO28" s="125"/>
      <c r="AP28" s="121"/>
      <c r="AQ28" s="121"/>
    </row>
    <row r="29" spans="1:43" ht="76.5" thickTop="1" thickBot="1" x14ac:dyDescent="0.3">
      <c r="A29" s="75" t="str">
        <f>INDEX('Выгр Торг'!$A:$A,MATCH($B29,'Выгр Торг'!$B:$B,0))</f>
        <v>Пружины передней подвески Технорессор Драйв с занижением 30 / 50 / 70 / 90 / 120 мм для Лада Гранта FL</v>
      </c>
      <c r="B29" s="41">
        <v>201982</v>
      </c>
      <c r="C29" s="41">
        <f>VLOOKUP($B29,'Выгр Торг'!$B:$T,C$1,0)</f>
        <v>108823</v>
      </c>
      <c r="D29" s="75" t="str">
        <f>VLOOKUP($B29,'Выгр Торг'!$B:$S,D$1,0)</f>
        <v>Пружины передней подвески Технорессор Драйв с занижением для Лада Гранта FL Занижение 120 мм</v>
      </c>
      <c r="E29" s="41" t="str">
        <f>VLOOKUP($B29,'Выгр Торг'!$B:$T,E$1,0)</f>
        <v>Y</v>
      </c>
      <c r="F29" s="41" t="str">
        <f>VLOOKUP($B29,'Выгр Торг'!$B:$T,F$1,0)</f>
        <v>1</v>
      </c>
      <c r="G29" s="41">
        <f>VLOOKUP($B29,'Выгр Торг'!$B:$T,G$1,0)</f>
        <v>0</v>
      </c>
      <c r="H29" s="37" t="s">
        <v>59</v>
      </c>
      <c r="I29" s="42"/>
      <c r="J29" s="1" t="s">
        <v>65</v>
      </c>
      <c r="K29" s="63">
        <f>VLOOKUP(H29,Прайс!B:D,3,0)</f>
        <v>4000</v>
      </c>
      <c r="L29" s="61">
        <f>VLOOKUP(K29,Наценка!$A$1:$B$8,2,1)</f>
        <v>1.32</v>
      </c>
      <c r="M29" s="64">
        <f t="shared" ref="M29:M61" si="10">K29*L29</f>
        <v>5280</v>
      </c>
      <c r="N29" s="63">
        <f t="shared" si="4"/>
        <v>5290</v>
      </c>
      <c r="O29" s="41">
        <f>VLOOKUP($B29,'Выгр Торг'!$B:$T,O$1,0)</f>
        <v>4000</v>
      </c>
      <c r="P29" s="41">
        <f>VLOOKUP($B29,'Выгр Торг'!$B:$T,P$1,0)</f>
        <v>5290</v>
      </c>
      <c r="Q29" s="52">
        <f t="shared" si="5"/>
        <v>0</v>
      </c>
      <c r="R29" s="52">
        <f t="shared" si="6"/>
        <v>0</v>
      </c>
      <c r="S29" s="59">
        <f t="shared" si="7"/>
        <v>4919.7</v>
      </c>
      <c r="T29" s="76">
        <f t="shared" si="1"/>
        <v>0.22992499999999993</v>
      </c>
      <c r="U29" s="76" t="str">
        <f t="shared" si="2"/>
        <v/>
      </c>
      <c r="V29" s="76" t="str">
        <f t="shared" si="3"/>
        <v/>
      </c>
      <c r="W29" s="74"/>
      <c r="X29" s="79" t="str">
        <f>IFERROR((VLOOKUP($B29,'Из ГУГЛа'!$B:$AD,X$1,0)+Z29)*Y29,VLOOKUP($B29,'Из ГУГЛа'!$B:$AD,X$1,0))</f>
        <v/>
      </c>
      <c r="Y29" s="51">
        <v>1</v>
      </c>
      <c r="Z29" s="51"/>
      <c r="AA29" s="88" t="s">
        <v>193</v>
      </c>
      <c r="AC29" s="79" t="str">
        <f>IFERROR((VLOOKUP($B29,'Из ГУГЛа'!$B:$AD,AC$1,0)+AE29)*AD29,VLOOKUP($B29,'Из ГУГЛа'!$B:$AD,AC$1,0))</f>
        <v/>
      </c>
      <c r="AD29" s="51">
        <v>1</v>
      </c>
      <c r="AE29" s="51"/>
      <c r="AF29" s="41"/>
      <c r="AH29" s="79" t="str">
        <f>IFERROR((VLOOKUP($B29,'Из ГУГЛа'!$B:$AD,AH$1,0)+AJ29)*AI29,VLOOKUP($B29,'Из ГУГЛа'!$B:$AD,AH$1,0))</f>
        <v/>
      </c>
      <c r="AI29" s="51">
        <v>1</v>
      </c>
      <c r="AJ29" s="51"/>
      <c r="AK29" s="121"/>
      <c r="AL29" s="121"/>
      <c r="AM29" s="124" t="str">
        <f>IFERROR((VLOOKUP($B29,'Из ГУГЛа'!$B:$AD,AM$1,0)+AO29)*AN29,VLOOKUP($B29,'Из ГУГЛа'!$B:$AD,AM$1,0))</f>
        <v/>
      </c>
      <c r="AN29" s="125">
        <v>1</v>
      </c>
      <c r="AO29" s="125"/>
      <c r="AP29" s="121"/>
      <c r="AQ29" s="121"/>
    </row>
    <row r="30" spans="1:43" ht="76.5" thickTop="1" thickBot="1" x14ac:dyDescent="0.3">
      <c r="A30" s="75" t="str">
        <f>INDEX('Выгр Торг'!$A:$A,MATCH($B30,'Выгр Торг'!$B:$B,0))</f>
        <v>Пружины передней подвески Технорессор Драйв с занижением 30 / 50 / 70 / 90 / 120 мм для Лада Гранта FL</v>
      </c>
      <c r="B30" s="41">
        <v>201983</v>
      </c>
      <c r="C30" s="41">
        <f>VLOOKUP($B30,'Выгр Торг'!$B:$T,C$1,0)</f>
        <v>108819</v>
      </c>
      <c r="D30" s="75" t="str">
        <f>VLOOKUP($B30,'Выгр Торг'!$B:$S,D$1,0)</f>
        <v>Пружины передней подвески Технорессор Драйв с занижением для Лада Гранта FL Занижение 30 мм</v>
      </c>
      <c r="E30" s="41" t="str">
        <f>VLOOKUP($B30,'Выгр Торг'!$B:$T,E$1,0)</f>
        <v>Y</v>
      </c>
      <c r="F30" s="41" t="str">
        <f>VLOOKUP($B30,'Выгр Торг'!$B:$T,F$1,0)</f>
        <v>1</v>
      </c>
      <c r="G30" s="41">
        <f>VLOOKUP($B30,'Выгр Торг'!$B:$T,G$1,0)</f>
        <v>0</v>
      </c>
      <c r="H30" s="37" t="s">
        <v>431</v>
      </c>
      <c r="I30" s="42"/>
      <c r="J30" s="1" t="s">
        <v>65</v>
      </c>
      <c r="K30" s="63">
        <f>VLOOKUP(H30,Прайс!B:D,3,0)</f>
        <v>4500</v>
      </c>
      <c r="L30" s="61">
        <f>VLOOKUP(K30,Наценка!$A$1:$B$8,2,1)</f>
        <v>1.32</v>
      </c>
      <c r="M30" s="100">
        <f t="shared" ref="M30:M32" si="11">K30*1.2*100/93</f>
        <v>5806.4516129032254</v>
      </c>
      <c r="N30" s="63">
        <f t="shared" si="4"/>
        <v>5890</v>
      </c>
      <c r="O30" s="41">
        <f>VLOOKUP($B30,'Выгр Торг'!$B:$T,O$1,0)</f>
        <v>4500</v>
      </c>
      <c r="P30" s="41">
        <f>VLOOKUP($B30,'Выгр Торг'!$B:$T,P$1,0)</f>
        <v>5890</v>
      </c>
      <c r="Q30" s="52">
        <f t="shared" si="5"/>
        <v>0</v>
      </c>
      <c r="R30" s="52">
        <f t="shared" si="6"/>
        <v>0</v>
      </c>
      <c r="S30" s="59">
        <f t="shared" si="7"/>
        <v>5477.7</v>
      </c>
      <c r="T30" s="76">
        <f t="shared" si="1"/>
        <v>0.21726666666666672</v>
      </c>
      <c r="U30" s="76">
        <f t="shared" si="2"/>
        <v>3.7311072056239049E-2</v>
      </c>
      <c r="V30" s="76">
        <f t="shared" si="3"/>
        <v>0.26444444444444448</v>
      </c>
      <c r="W30" s="92">
        <f>AA30</f>
        <v>5690</v>
      </c>
      <c r="X30" s="79">
        <f>IFERROR((VLOOKUP($B30,'Из ГУГЛа'!$B:$AD,X$1,0)+Z30)*Y30,VLOOKUP($B30,'Из ГУГЛа'!$B:$AD,X$1,0))</f>
        <v>5990</v>
      </c>
      <c r="Y30" s="51">
        <v>1</v>
      </c>
      <c r="Z30" s="51"/>
      <c r="AA30" s="88">
        <v>5690</v>
      </c>
      <c r="AB30" s="65" t="s">
        <v>294</v>
      </c>
      <c r="AC30" s="79" t="str">
        <f>IFERROR((VLOOKUP($B30,'Из ГУГЛа'!$B:$AD,AC$1,0)+AE30)*AD30,VLOOKUP($B30,'Из ГУГЛа'!$B:$AD,AC$1,0))</f>
        <v/>
      </c>
      <c r="AD30" s="51">
        <v>1</v>
      </c>
      <c r="AE30" s="51"/>
      <c r="AF30" s="41"/>
      <c r="AH30" s="79" t="str">
        <f>IFERROR((VLOOKUP($B30,'Из ГУГЛа'!$B:$AD,AH$1,0)+AJ30)*AI30,VLOOKUP($B30,'Из ГУГЛа'!$B:$AD,AH$1,0))</f>
        <v/>
      </c>
      <c r="AI30" s="51">
        <v>1</v>
      </c>
      <c r="AJ30" s="51"/>
      <c r="AK30" s="121"/>
      <c r="AL30" s="121"/>
      <c r="AM30" s="124" t="str">
        <f>IFERROR((VLOOKUP($B30,'Из ГУГЛа'!$B:$AD,AM$1,0)+AO30)*AN30,VLOOKUP($B30,'Из ГУГЛа'!$B:$AD,AM$1,0))</f>
        <v/>
      </c>
      <c r="AN30" s="125">
        <v>1</v>
      </c>
      <c r="AO30" s="125"/>
      <c r="AP30" s="121"/>
      <c r="AQ30" s="121"/>
    </row>
    <row r="31" spans="1:43" ht="76.5" thickTop="1" thickBot="1" x14ac:dyDescent="0.3">
      <c r="A31" s="75" t="str">
        <f>INDEX('Выгр Торг'!$A:$A,MATCH($B31,'Выгр Торг'!$B:$B,0))</f>
        <v>Пружины передней подвески Технорессор Драйв с занижением 30 / 50 / 70 / 90 / 120 мм для Лада Гранта FL</v>
      </c>
      <c r="B31" s="41">
        <v>201984</v>
      </c>
      <c r="C31" s="41">
        <f>VLOOKUP($B31,'Выгр Торг'!$B:$T,C$1,0)</f>
        <v>108820</v>
      </c>
      <c r="D31" s="75" t="str">
        <f>VLOOKUP($B31,'Выгр Торг'!$B:$S,D$1,0)</f>
        <v>Пружины передней подвески Технорессор Драйв с занижением для Лада Гранта FL Занижение 50 мм</v>
      </c>
      <c r="E31" s="41" t="str">
        <f>VLOOKUP($B31,'Выгр Торг'!$B:$T,E$1,0)</f>
        <v>Y</v>
      </c>
      <c r="F31" s="41" t="str">
        <f>VLOOKUP($B31,'Выгр Торг'!$B:$T,F$1,0)</f>
        <v>1</v>
      </c>
      <c r="G31" s="41">
        <f>VLOOKUP($B31,'Выгр Торг'!$B:$T,G$1,0)</f>
        <v>0</v>
      </c>
      <c r="H31" s="37" t="s">
        <v>432</v>
      </c>
      <c r="I31" s="42"/>
      <c r="J31" s="1" t="s">
        <v>65</v>
      </c>
      <c r="K31" s="63">
        <f>VLOOKUP(H31,Прайс!B:D,3,0)</f>
        <v>4500</v>
      </c>
      <c r="L31" s="61">
        <f>VLOOKUP(K31,Наценка!$A$1:$B$8,2,1)</f>
        <v>1.32</v>
      </c>
      <c r="M31" s="100">
        <f t="shared" si="11"/>
        <v>5806.4516129032254</v>
      </c>
      <c r="N31" s="63">
        <f t="shared" si="4"/>
        <v>5890</v>
      </c>
      <c r="O31" s="41">
        <f>VLOOKUP($B31,'Выгр Торг'!$B:$T,O$1,0)</f>
        <v>4500</v>
      </c>
      <c r="P31" s="41">
        <f>VLOOKUP($B31,'Выгр Торг'!$B:$T,P$1,0)</f>
        <v>5890</v>
      </c>
      <c r="Q31" s="52">
        <f t="shared" si="5"/>
        <v>0</v>
      </c>
      <c r="R31" s="52">
        <f t="shared" si="6"/>
        <v>0</v>
      </c>
      <c r="S31" s="59">
        <f t="shared" si="7"/>
        <v>5477.7</v>
      </c>
      <c r="T31" s="76">
        <f t="shared" si="1"/>
        <v>0.21726666666666672</v>
      </c>
      <c r="U31" s="76">
        <f t="shared" si="2"/>
        <v>3.7311072056239049E-2</v>
      </c>
      <c r="V31" s="76">
        <f t="shared" si="3"/>
        <v>0.26444444444444448</v>
      </c>
      <c r="W31" s="92">
        <f>AA31</f>
        <v>5690</v>
      </c>
      <c r="X31" s="79">
        <f>IFERROR((VLOOKUP($B31,'Из ГУГЛа'!$B:$AD,X$1,0)+Z31)*Y31,VLOOKUP($B31,'Из ГУГЛа'!$B:$AD,X$1,0))</f>
        <v>6190</v>
      </c>
      <c r="Y31" s="51">
        <v>1</v>
      </c>
      <c r="Z31" s="51"/>
      <c r="AA31" s="88">
        <v>5690</v>
      </c>
      <c r="AB31" s="65" t="s">
        <v>295</v>
      </c>
      <c r="AC31" s="79" t="str">
        <f>IFERROR((VLOOKUP($B31,'Из ГУГЛа'!$B:$AD,AC$1,0)+AE31)*AD31,VLOOKUP($B31,'Из ГУГЛа'!$B:$AD,AC$1,0))</f>
        <v/>
      </c>
      <c r="AD31" s="51">
        <v>1</v>
      </c>
      <c r="AE31" s="51"/>
      <c r="AF31" s="41"/>
      <c r="AH31" s="79" t="str">
        <f>IFERROR((VLOOKUP($B31,'Из ГУГЛа'!$B:$AD,AH$1,0)+AJ31)*AI31,VLOOKUP($B31,'Из ГУГЛа'!$B:$AD,AH$1,0))</f>
        <v/>
      </c>
      <c r="AI31" s="51">
        <v>1</v>
      </c>
      <c r="AJ31" s="51"/>
      <c r="AK31" s="121"/>
      <c r="AL31" s="121"/>
      <c r="AM31" s="124" t="str">
        <f>IFERROR((VLOOKUP($B31,'Из ГУГЛа'!$B:$AD,AM$1,0)+AO31)*AN31,VLOOKUP($B31,'Из ГУГЛа'!$B:$AD,AM$1,0))</f>
        <v/>
      </c>
      <c r="AN31" s="125">
        <v>1</v>
      </c>
      <c r="AO31" s="125"/>
      <c r="AP31" s="121"/>
      <c r="AQ31" s="121"/>
    </row>
    <row r="32" spans="1:43" ht="76.5" thickTop="1" thickBot="1" x14ac:dyDescent="0.3">
      <c r="A32" s="75" t="str">
        <f>INDEX('Выгр Торг'!$A:$A,MATCH($B32,'Выгр Торг'!$B:$B,0))</f>
        <v>Пружины передней подвески Технорессор Драйв с занижением 30 / 50 / 70 / 90 / 120 мм для Лада Гранта FL</v>
      </c>
      <c r="B32" s="41">
        <v>201985</v>
      </c>
      <c r="C32" s="41">
        <f>VLOOKUP($B32,'Выгр Торг'!$B:$T,C$1,0)</f>
        <v>108821</v>
      </c>
      <c r="D32" s="75" t="str">
        <f>VLOOKUP($B32,'Выгр Торг'!$B:$S,D$1,0)</f>
        <v>Пружины передней подвески Технорессор Драйв с занижением для Лада Гранта FL Занижение 70 мм</v>
      </c>
      <c r="E32" s="41" t="str">
        <f>VLOOKUP($B32,'Выгр Торг'!$B:$T,E$1,0)</f>
        <v>Y</v>
      </c>
      <c r="F32" s="41" t="str">
        <f>VLOOKUP($B32,'Выгр Торг'!$B:$T,F$1,0)</f>
        <v>1</v>
      </c>
      <c r="G32" s="41">
        <f>VLOOKUP($B32,'Выгр Торг'!$B:$T,G$1,0)</f>
        <v>0</v>
      </c>
      <c r="H32" s="37" t="s">
        <v>433</v>
      </c>
      <c r="I32" s="42"/>
      <c r="J32" s="1" t="s">
        <v>65</v>
      </c>
      <c r="K32" s="63">
        <f>VLOOKUP(H32,Прайс!B:D,3,0)</f>
        <v>4500</v>
      </c>
      <c r="L32" s="61">
        <f>VLOOKUP(K32,Наценка!$A$1:$B$8,2,1)</f>
        <v>1.32</v>
      </c>
      <c r="M32" s="100">
        <f t="shared" si="11"/>
        <v>5806.4516129032254</v>
      </c>
      <c r="N32" s="63">
        <f t="shared" si="4"/>
        <v>5890</v>
      </c>
      <c r="O32" s="41">
        <f>VLOOKUP($B32,'Выгр Торг'!$B:$T,O$1,0)</f>
        <v>4500</v>
      </c>
      <c r="P32" s="41">
        <f>VLOOKUP($B32,'Выгр Торг'!$B:$T,P$1,0)</f>
        <v>5890</v>
      </c>
      <c r="Q32" s="52">
        <f t="shared" si="5"/>
        <v>0</v>
      </c>
      <c r="R32" s="52">
        <f t="shared" si="6"/>
        <v>0</v>
      </c>
      <c r="S32" s="59">
        <f t="shared" si="7"/>
        <v>5477.7</v>
      </c>
      <c r="T32" s="76">
        <f t="shared" si="1"/>
        <v>0.21726666666666672</v>
      </c>
      <c r="U32" s="76">
        <f t="shared" si="2"/>
        <v>3.7311072056239049E-2</v>
      </c>
      <c r="V32" s="76">
        <f t="shared" si="3"/>
        <v>0.26444444444444448</v>
      </c>
      <c r="W32" s="92">
        <f>AA32</f>
        <v>5690</v>
      </c>
      <c r="X32" s="79">
        <f>IFERROR((VLOOKUP($B32,'Из ГУГЛа'!$B:$AD,X$1,0)+Z32)*Y32,VLOOKUP($B32,'Из ГУГЛа'!$B:$AD,X$1,0))</f>
        <v>6190</v>
      </c>
      <c r="Y32" s="51">
        <v>1</v>
      </c>
      <c r="Z32" s="51"/>
      <c r="AA32" s="88">
        <v>5690</v>
      </c>
      <c r="AB32" s="65" t="s">
        <v>296</v>
      </c>
      <c r="AC32" s="79" t="str">
        <f>IFERROR((VLOOKUP($B32,'Из ГУГЛа'!$B:$AD,AC$1,0)+AE32)*AD32,VLOOKUP($B32,'Из ГУГЛа'!$B:$AD,AC$1,0))</f>
        <v/>
      </c>
      <c r="AD32" s="51">
        <v>1</v>
      </c>
      <c r="AE32" s="51"/>
      <c r="AF32" s="41"/>
      <c r="AH32" s="79" t="str">
        <f>IFERROR((VLOOKUP($B32,'Из ГУГЛа'!$B:$AD,AH$1,0)+AJ32)*AI32,VLOOKUP($B32,'Из ГУГЛа'!$B:$AD,AH$1,0))</f>
        <v/>
      </c>
      <c r="AI32" s="51">
        <v>1</v>
      </c>
      <c r="AJ32" s="51"/>
      <c r="AK32" s="121"/>
      <c r="AL32" s="121"/>
      <c r="AM32" s="124" t="str">
        <f>IFERROR((VLOOKUP($B32,'Из ГУГЛа'!$B:$AD,AM$1,0)+AO32)*AN32,VLOOKUP($B32,'Из ГУГЛа'!$B:$AD,AM$1,0))</f>
        <v/>
      </c>
      <c r="AN32" s="125">
        <v>1</v>
      </c>
      <c r="AO32" s="125"/>
      <c r="AP32" s="121"/>
      <c r="AQ32" s="121"/>
    </row>
    <row r="33" spans="1:43" ht="76.5" thickTop="1" thickBot="1" x14ac:dyDescent="0.3">
      <c r="A33" s="75" t="str">
        <f>INDEX('Выгр Торг'!$A:$A,MATCH($B33,'Выгр Торг'!$B:$B,0))</f>
        <v>Пружины передней подвески Технорессор Драйв с занижением 30 / 50 / 70 / 90 / 120 мм для Лада Гранта FL</v>
      </c>
      <c r="B33" s="41">
        <v>201986</v>
      </c>
      <c r="C33" s="41">
        <f>VLOOKUP($B33,'Выгр Торг'!$B:$T,C$1,0)</f>
        <v>108822</v>
      </c>
      <c r="D33" s="75" t="str">
        <f>VLOOKUP($B33,'Выгр Торг'!$B:$S,D$1,0)</f>
        <v>Пружины передней подвески Технорессор Драйв с занижением для Лада Гранта FL Занижение 90 мм</v>
      </c>
      <c r="E33" s="41" t="str">
        <f>VLOOKUP($B33,'Выгр Торг'!$B:$T,E$1,0)</f>
        <v>Y</v>
      </c>
      <c r="F33" s="41" t="str">
        <f>VLOOKUP($B33,'Выгр Торг'!$B:$T,F$1,0)</f>
        <v>1</v>
      </c>
      <c r="G33" s="41">
        <f>VLOOKUP($B33,'Выгр Торг'!$B:$T,G$1,0)</f>
        <v>0</v>
      </c>
      <c r="H33" s="37" t="s">
        <v>434</v>
      </c>
      <c r="I33" s="42"/>
      <c r="J33" s="1" t="s">
        <v>65</v>
      </c>
      <c r="K33" s="63">
        <f>VLOOKUP(H33,Прайс!B:D,3,0)</f>
        <v>4500</v>
      </c>
      <c r="L33" s="61">
        <f>VLOOKUP(K33,Наценка!$A$1:$B$8,2,1)</f>
        <v>1.32</v>
      </c>
      <c r="M33" s="64">
        <f t="shared" si="10"/>
        <v>5940</v>
      </c>
      <c r="N33" s="63">
        <f t="shared" si="4"/>
        <v>5990</v>
      </c>
      <c r="O33" s="41">
        <f>VLOOKUP($B33,'Выгр Торг'!$B:$T,O$1,0)</f>
        <v>4500</v>
      </c>
      <c r="P33" s="41">
        <f>VLOOKUP($B33,'Выгр Торг'!$B:$T,P$1,0)</f>
        <v>5990</v>
      </c>
      <c r="Q33" s="52">
        <f t="shared" si="5"/>
        <v>0</v>
      </c>
      <c r="R33" s="52">
        <f t="shared" si="6"/>
        <v>0</v>
      </c>
      <c r="S33" s="59">
        <f t="shared" si="7"/>
        <v>5570.7</v>
      </c>
      <c r="T33" s="76">
        <f t="shared" si="1"/>
        <v>0.23793333333333333</v>
      </c>
      <c r="U33" s="76" t="str">
        <f t="shared" si="2"/>
        <v/>
      </c>
      <c r="V33" s="76" t="str">
        <f t="shared" si="3"/>
        <v/>
      </c>
      <c r="W33" s="74"/>
      <c r="X33" s="79">
        <f>IFERROR((VLOOKUP($B33,'Из ГУГЛа'!$B:$AD,X$1,0)+Z33)*Y33,VLOOKUP($B33,'Из ГУГЛа'!$B:$AD,X$1,0))</f>
        <v>3890</v>
      </c>
      <c r="Y33" s="51">
        <v>1</v>
      </c>
      <c r="Z33" s="51"/>
      <c r="AA33" s="88" t="s">
        <v>230</v>
      </c>
      <c r="AB33" s="65" t="s">
        <v>297</v>
      </c>
      <c r="AC33" s="79" t="str">
        <f>IFERROR((VLOOKUP($B33,'Из ГУГЛа'!$B:$AD,AC$1,0)+AE33)*AD33,VLOOKUP($B33,'Из ГУГЛа'!$B:$AD,AC$1,0))</f>
        <v/>
      </c>
      <c r="AD33" s="51">
        <v>1</v>
      </c>
      <c r="AE33" s="51"/>
      <c r="AF33" s="41"/>
      <c r="AH33" s="79" t="str">
        <f>IFERROR((VLOOKUP($B33,'Из ГУГЛа'!$B:$AD,AH$1,0)+AJ33)*AI33,VLOOKUP($B33,'Из ГУГЛа'!$B:$AD,AH$1,0))</f>
        <v/>
      </c>
      <c r="AI33" s="51">
        <v>1</v>
      </c>
      <c r="AJ33" s="51"/>
      <c r="AK33" s="121"/>
      <c r="AL33" s="121"/>
      <c r="AM33" s="124" t="str">
        <f>IFERROR((VLOOKUP($B33,'Из ГУГЛа'!$B:$AD,AM$1,0)+AO33)*AN33,VLOOKUP($B33,'Из ГУГЛа'!$B:$AD,AM$1,0))</f>
        <v/>
      </c>
      <c r="AN33" s="125">
        <v>1</v>
      </c>
      <c r="AO33" s="125"/>
      <c r="AP33" s="121"/>
      <c r="AQ33" s="121"/>
    </row>
    <row r="34" spans="1:43" ht="91.5" thickTop="1" thickBot="1" x14ac:dyDescent="0.3">
      <c r="A34" s="75" t="str">
        <f>INDEX('Выгр Торг'!$A:$A,MATCH($B34,'Выгр Торг'!$B:$B,0))</f>
        <v>Пружины передней подвески Технорессор Драйв с занижением 30 / 50 / 70 / 90 / 120 мм для Лада Калина, Калина 2, Приора, Приора 2, Гранта</v>
      </c>
      <c r="B34" s="41">
        <v>201988</v>
      </c>
      <c r="C34" s="41">
        <f>VLOOKUP($B34,'Выгр Торг'!$B:$T,C$1,0)</f>
        <v>108802</v>
      </c>
      <c r="D34" s="75" t="str">
        <f>VLOOKUP($B34,'Выгр Торг'!$B:$S,D$1,0)</f>
        <v>Пружины передней подвески Технорессор Драйв с занижением для Лада Калина, Калина 2, Приора, Приора 2, Гранта Занижение 120 мм</v>
      </c>
      <c r="E34" s="41" t="str">
        <f>VLOOKUP($B34,'Выгр Торг'!$B:$T,E$1,0)</f>
        <v>N</v>
      </c>
      <c r="F34" s="41" t="str">
        <f>VLOOKUP($B34,'Выгр Торг'!$B:$T,F$1,0)</f>
        <v>1</v>
      </c>
      <c r="G34" s="41">
        <f>VLOOKUP($B34,'Выгр Торг'!$B:$T,G$1,0)</f>
        <v>0</v>
      </c>
      <c r="H34" s="37" t="s">
        <v>421</v>
      </c>
      <c r="I34" s="42"/>
      <c r="J34" s="1" t="s">
        <v>65</v>
      </c>
      <c r="K34" s="63">
        <f>VLOOKUP(H34,Прайс!B:D,3,0)</f>
        <v>3350</v>
      </c>
      <c r="L34" s="61">
        <f>VLOOKUP(K34,Наценка!$A$1:$B$8,2,1)</f>
        <v>1.32</v>
      </c>
      <c r="M34" s="94">
        <f t="shared" ref="M34:M43" si="12">W34*1</f>
        <v>4590</v>
      </c>
      <c r="N34" s="63">
        <f t="shared" si="4"/>
        <v>4590</v>
      </c>
      <c r="O34" s="41">
        <f>VLOOKUP($B34,'Выгр Торг'!$B:$T,O$1,0)</f>
        <v>3350</v>
      </c>
      <c r="P34" s="41">
        <f>VLOOKUP($B34,'Выгр Торг'!$B:$T,P$1,0)</f>
        <v>4590</v>
      </c>
      <c r="Q34" s="52">
        <f t="shared" si="5"/>
        <v>0</v>
      </c>
      <c r="R34" s="52">
        <f t="shared" si="6"/>
        <v>0</v>
      </c>
      <c r="S34" s="59">
        <f t="shared" si="7"/>
        <v>4268.7</v>
      </c>
      <c r="T34" s="76">
        <f t="shared" si="1"/>
        <v>0.27423880597014927</v>
      </c>
      <c r="U34" s="76">
        <f t="shared" si="2"/>
        <v>7.0000000000000034E-2</v>
      </c>
      <c r="V34" s="76">
        <f t="shared" si="3"/>
        <v>0.37014925373134333</v>
      </c>
      <c r="W34" s="92">
        <f t="shared" ref="W34:W42" si="13">AA34</f>
        <v>4590</v>
      </c>
      <c r="X34" s="79">
        <f>IFERROR((VLOOKUP($B34,'Из ГУГЛа'!$B:$AD,X$1,0)+Z34)*Y34,VLOOKUP($B34,'Из ГУГЛа'!$B:$AD,X$1,0))</f>
        <v>4890</v>
      </c>
      <c r="Y34" s="51">
        <v>1</v>
      </c>
      <c r="Z34" s="51"/>
      <c r="AA34" s="88">
        <v>4590</v>
      </c>
      <c r="AB34" s="65" t="s">
        <v>298</v>
      </c>
      <c r="AC34" s="79" t="str">
        <f>IFERROR((VLOOKUP($B34,'Из ГУГЛа'!$B:$AD,AC$1,0)+AE34)*AD34,VLOOKUP($B34,'Из ГУГЛа'!$B:$AD,AC$1,0))</f>
        <v/>
      </c>
      <c r="AD34" s="51">
        <v>1</v>
      </c>
      <c r="AE34" s="51"/>
      <c r="AF34" s="41"/>
      <c r="AH34" s="79" t="str">
        <f>IFERROR((VLOOKUP($B34,'Из ГУГЛа'!$B:$AD,AH$1,0)+AJ34)*AI34,VLOOKUP($B34,'Из ГУГЛа'!$B:$AD,AH$1,0))</f>
        <v/>
      </c>
      <c r="AI34" s="51">
        <v>1</v>
      </c>
      <c r="AJ34" s="51"/>
      <c r="AK34" s="121"/>
      <c r="AL34" s="121"/>
      <c r="AM34" s="124" t="str">
        <f>IFERROR((VLOOKUP($B34,'Из ГУГЛа'!$B:$AD,AM$1,0)+AO34)*AN34,VLOOKUP($B34,'Из ГУГЛа'!$B:$AD,AM$1,0))</f>
        <v/>
      </c>
      <c r="AN34" s="125">
        <v>1</v>
      </c>
      <c r="AO34" s="125"/>
      <c r="AP34" s="121"/>
      <c r="AQ34" s="121"/>
    </row>
    <row r="35" spans="1:43" ht="91.5" thickTop="1" thickBot="1" x14ac:dyDescent="0.3">
      <c r="A35" s="75" t="str">
        <f>INDEX('Выгр Торг'!$A:$A,MATCH($B35,'Выгр Торг'!$B:$B,0))</f>
        <v>Пружины передней подвески Технорессор Драйв с занижением 30 / 50 / 70 / 90 / 120 мм для Лада Калина, Калина 2, Приора, Приора 2, Гранта</v>
      </c>
      <c r="B35" s="41">
        <v>201989</v>
      </c>
      <c r="C35" s="41">
        <f>VLOOKUP($B35,'Выгр Торг'!$B:$T,C$1,0)</f>
        <v>108798</v>
      </c>
      <c r="D35" s="75" t="str">
        <f>VLOOKUP($B35,'Выгр Торг'!$B:$S,D$1,0)</f>
        <v>Пружины передней подвески Технорессор Драйв с занижением для Лада Калина, Калина 2, Приора, Приора 2, Гранта Занижение 30 мм</v>
      </c>
      <c r="E35" s="41" t="str">
        <f>VLOOKUP($B35,'Выгр Торг'!$B:$T,E$1,0)</f>
        <v>N</v>
      </c>
      <c r="F35" s="41" t="str">
        <f>VLOOKUP($B35,'Выгр Торг'!$B:$T,F$1,0)</f>
        <v>1</v>
      </c>
      <c r="G35" s="41">
        <f>VLOOKUP($B35,'Выгр Торг'!$B:$T,G$1,0)</f>
        <v>0</v>
      </c>
      <c r="H35" s="37" t="s">
        <v>417</v>
      </c>
      <c r="I35" s="42"/>
      <c r="J35" s="1" t="s">
        <v>65</v>
      </c>
      <c r="K35" s="63">
        <f>VLOOKUP(H35,Прайс!B:D,3,0)</f>
        <v>3350</v>
      </c>
      <c r="L35" s="61">
        <f>VLOOKUP(K35,Наценка!$A$1:$B$8,2,1)</f>
        <v>1.32</v>
      </c>
      <c r="M35" s="94">
        <f t="shared" si="12"/>
        <v>4790</v>
      </c>
      <c r="N35" s="63">
        <f t="shared" si="4"/>
        <v>4790</v>
      </c>
      <c r="O35" s="41">
        <f>VLOOKUP($B35,'Выгр Торг'!$B:$T,O$1,0)</f>
        <v>3350</v>
      </c>
      <c r="P35" s="41">
        <f>VLOOKUP($B35,'Выгр Торг'!$B:$T,P$1,0)</f>
        <v>4790</v>
      </c>
      <c r="Q35" s="52">
        <f t="shared" si="5"/>
        <v>0</v>
      </c>
      <c r="R35" s="52">
        <f t="shared" si="6"/>
        <v>0</v>
      </c>
      <c r="S35" s="59">
        <f t="shared" si="7"/>
        <v>4454.7</v>
      </c>
      <c r="T35" s="76">
        <f t="shared" ref="T35:T61" si="14">IFERROR(S35/K35-1,"")</f>
        <v>0.3297611940298506</v>
      </c>
      <c r="U35" s="76">
        <f t="shared" ref="U35:U61" si="15">IFERROR((W35-S35)/W35,"")</f>
        <v>7.0000000000000034E-2</v>
      </c>
      <c r="V35" s="76">
        <f t="shared" ref="V35:V61" si="16">IFERROR(IF(W35="","",W35/K35-1),"")</f>
        <v>0.42985074626865671</v>
      </c>
      <c r="W35" s="92">
        <f t="shared" si="13"/>
        <v>4790</v>
      </c>
      <c r="X35" s="79">
        <f>IFERROR((VLOOKUP($B35,'Из ГУГЛа'!$B:$AD,X$1,0)+Z35)*Y35,VLOOKUP($B35,'Из ГУГЛа'!$B:$AD,X$1,0))</f>
        <v>4890</v>
      </c>
      <c r="Y35" s="51">
        <v>1</v>
      </c>
      <c r="Z35" s="51"/>
      <c r="AA35" s="88">
        <v>4790</v>
      </c>
      <c r="AB35" s="65" t="s">
        <v>299</v>
      </c>
      <c r="AC35" s="79">
        <f>IFERROR((VLOOKUP($B35,'Из ГУГЛа'!$B:$AD,AC$1,0)+AE35)*AD35,VLOOKUP($B35,'Из ГУГЛа'!$B:$AD,AC$1,0))</f>
        <v>4550</v>
      </c>
      <c r="AD35" s="51">
        <v>1</v>
      </c>
      <c r="AE35" s="51"/>
      <c r="AF35" s="85">
        <v>4550</v>
      </c>
      <c r="AG35" s="65" t="s">
        <v>358</v>
      </c>
      <c r="AH35" s="79" t="str">
        <f>IFERROR((VLOOKUP($B35,'Из ГУГЛа'!$B:$AD,AH$1,0)+AJ35)*AI35,VLOOKUP($B35,'Из ГУГЛа'!$B:$AD,AH$1,0))</f>
        <v/>
      </c>
      <c r="AI35" s="51">
        <v>1</v>
      </c>
      <c r="AJ35" s="51"/>
      <c r="AK35" s="127"/>
      <c r="AL35" s="121"/>
      <c r="AM35" s="124" t="str">
        <f>IFERROR((VLOOKUP($B35,'Из ГУГЛа'!$B:$AD,AM$1,0)+AO35)*AN35,VLOOKUP($B35,'Из ГУГЛа'!$B:$AD,AM$1,0))</f>
        <v/>
      </c>
      <c r="AN35" s="125">
        <v>1</v>
      </c>
      <c r="AO35" s="125"/>
      <c r="AP35" s="127"/>
      <c r="AQ35" s="121"/>
    </row>
    <row r="36" spans="1:43" ht="91.5" thickTop="1" thickBot="1" x14ac:dyDescent="0.3">
      <c r="A36" s="75" t="str">
        <f>INDEX('Выгр Торг'!$A:$A,MATCH($B36,'Выгр Торг'!$B:$B,0))</f>
        <v>Пружины передней подвески Технорессор Драйв с занижением 30 / 50 / 70 / 90 / 120 мм для Лада Калина, Калина 2, Приора, Приора 2, Гранта</v>
      </c>
      <c r="B36" s="41">
        <v>201990</v>
      </c>
      <c r="C36" s="41">
        <f>VLOOKUP($B36,'Выгр Торг'!$B:$T,C$1,0)</f>
        <v>108799</v>
      </c>
      <c r="D36" s="75" t="str">
        <f>VLOOKUP($B36,'Выгр Торг'!$B:$S,D$1,0)</f>
        <v>Пружины передней подвески Технорессор Драйв с занижением для Лада Калина, Калина 2, Приора, Приора 2, Гранта Занижение 50 мм</v>
      </c>
      <c r="E36" s="41" t="str">
        <f>VLOOKUP($B36,'Выгр Торг'!$B:$T,E$1,0)</f>
        <v>N</v>
      </c>
      <c r="F36" s="41" t="str">
        <f>VLOOKUP($B36,'Выгр Торг'!$B:$T,F$1,0)</f>
        <v>1ск4</v>
      </c>
      <c r="G36" s="41">
        <f>VLOOKUP($B36,'Выгр Торг'!$B:$T,G$1,0)</f>
        <v>0</v>
      </c>
      <c r="H36" s="37" t="s">
        <v>418</v>
      </c>
      <c r="I36" s="42"/>
      <c r="J36" s="1" t="s">
        <v>65</v>
      </c>
      <c r="K36" s="63">
        <f>VLOOKUP(H36,Прайс!B:D,3,0)</f>
        <v>3350</v>
      </c>
      <c r="L36" s="61">
        <f>VLOOKUP(K36,Наценка!$A$1:$B$8,2,1)</f>
        <v>1.32</v>
      </c>
      <c r="M36" s="94">
        <f t="shared" si="12"/>
        <v>4790</v>
      </c>
      <c r="N36" s="63">
        <f t="shared" si="4"/>
        <v>4790</v>
      </c>
      <c r="O36" s="41">
        <f>VLOOKUP($B36,'Выгр Торг'!$B:$T,O$1,0)</f>
        <v>3350</v>
      </c>
      <c r="P36" s="41">
        <f>VLOOKUP($B36,'Выгр Торг'!$B:$T,P$1,0)</f>
        <v>4790</v>
      </c>
      <c r="Q36" s="52">
        <f t="shared" si="5"/>
        <v>0</v>
      </c>
      <c r="R36" s="52">
        <f t="shared" si="6"/>
        <v>0</v>
      </c>
      <c r="S36" s="59">
        <f t="shared" si="7"/>
        <v>4454.7</v>
      </c>
      <c r="T36" s="76">
        <f t="shared" si="14"/>
        <v>0.3297611940298506</v>
      </c>
      <c r="U36" s="76">
        <f t="shared" si="15"/>
        <v>7.0000000000000034E-2</v>
      </c>
      <c r="V36" s="76">
        <f t="shared" si="16"/>
        <v>0.42985074626865671</v>
      </c>
      <c r="W36" s="92">
        <f t="shared" si="13"/>
        <v>4790</v>
      </c>
      <c r="X36" s="79">
        <f>IFERROR((VLOOKUP($B36,'Из ГУГЛа'!$B:$AD,X$1,0)+Z36)*Y36,VLOOKUP($B36,'Из ГУГЛа'!$B:$AD,X$1,0))</f>
        <v>4690</v>
      </c>
      <c r="Y36" s="51">
        <v>1</v>
      </c>
      <c r="Z36" s="51"/>
      <c r="AA36" s="88">
        <v>4790</v>
      </c>
      <c r="AB36" s="65" t="s">
        <v>300</v>
      </c>
      <c r="AC36" s="79">
        <f>IFERROR((VLOOKUP($B36,'Из ГУГЛа'!$B:$AD,AC$1,0)+AE36)*AD36,VLOOKUP($B36,'Из ГУГЛа'!$B:$AD,AC$1,0))</f>
        <v>4550</v>
      </c>
      <c r="AD36" s="51">
        <v>1</v>
      </c>
      <c r="AE36" s="51"/>
      <c r="AF36" s="85">
        <v>4550</v>
      </c>
      <c r="AG36" s="65" t="s">
        <v>359</v>
      </c>
      <c r="AH36" s="79" t="str">
        <f>IFERROR((VLOOKUP($B36,'Из ГУГЛа'!$B:$AD,AH$1,0)+AJ36)*AI36,VLOOKUP($B36,'Из ГУГЛа'!$B:$AD,AH$1,0))</f>
        <v/>
      </c>
      <c r="AI36" s="51">
        <v>1</v>
      </c>
      <c r="AJ36" s="51"/>
      <c r="AK36" s="127"/>
      <c r="AL36" s="121"/>
      <c r="AM36" s="124" t="str">
        <f>IFERROR((VLOOKUP($B36,'Из ГУГЛа'!$B:$AD,AM$1,0)+AO36)*AN36,VLOOKUP($B36,'Из ГУГЛа'!$B:$AD,AM$1,0))</f>
        <v/>
      </c>
      <c r="AN36" s="125">
        <v>1</v>
      </c>
      <c r="AO36" s="125"/>
      <c r="AP36" s="127"/>
      <c r="AQ36" s="121"/>
    </row>
    <row r="37" spans="1:43" ht="91.5" thickTop="1" thickBot="1" x14ac:dyDescent="0.3">
      <c r="A37" s="75" t="str">
        <f>INDEX('Выгр Торг'!$A:$A,MATCH($B37,'Выгр Торг'!$B:$B,0))</f>
        <v>Пружины передней подвески Технорессор Драйв с занижением 30 / 50 / 70 / 90 / 120 мм для Лада Калина, Калина 2, Приора, Приора 2, Гранта</v>
      </c>
      <c r="B37" s="41">
        <v>201991</v>
      </c>
      <c r="C37" s="41">
        <f>VLOOKUP($B37,'Выгр Торг'!$B:$T,C$1,0)</f>
        <v>108800</v>
      </c>
      <c r="D37" s="75" t="str">
        <f>VLOOKUP($B37,'Выгр Торг'!$B:$S,D$1,0)</f>
        <v>Пружины передней подвески Технорессор Драйв с занижением для Лада Калина, Калина 2, Приора, Приора 2, Гранта Занижение 70 мм</v>
      </c>
      <c r="E37" s="41" t="str">
        <f>VLOOKUP($B37,'Выгр Торг'!$B:$T,E$1,0)</f>
        <v>N</v>
      </c>
      <c r="F37" s="41" t="str">
        <f>VLOOKUP($B37,'Выгр Торг'!$B:$T,F$1,0)</f>
        <v>1</v>
      </c>
      <c r="G37" s="41">
        <f>VLOOKUP($B37,'Выгр Торг'!$B:$T,G$1,0)</f>
        <v>0</v>
      </c>
      <c r="H37" s="37" t="s">
        <v>419</v>
      </c>
      <c r="I37" s="42"/>
      <c r="J37" s="1" t="s">
        <v>65</v>
      </c>
      <c r="K37" s="63">
        <f>VLOOKUP(H37,Прайс!B:D,3,0)</f>
        <v>3350</v>
      </c>
      <c r="L37" s="61">
        <f>VLOOKUP(K37,Наценка!$A$1:$B$8,2,1)</f>
        <v>1.32</v>
      </c>
      <c r="M37" s="94">
        <f t="shared" si="12"/>
        <v>4890</v>
      </c>
      <c r="N37" s="63">
        <f t="shared" si="4"/>
        <v>4890</v>
      </c>
      <c r="O37" s="41">
        <f>VLOOKUP($B37,'Выгр Торг'!$B:$T,O$1,0)</f>
        <v>3350</v>
      </c>
      <c r="P37" s="41">
        <f>VLOOKUP($B37,'Выгр Торг'!$B:$T,P$1,0)</f>
        <v>4890</v>
      </c>
      <c r="Q37" s="52">
        <f t="shared" si="5"/>
        <v>0</v>
      </c>
      <c r="R37" s="52">
        <f t="shared" si="6"/>
        <v>0</v>
      </c>
      <c r="S37" s="59">
        <f t="shared" si="7"/>
        <v>4547.7</v>
      </c>
      <c r="T37" s="76">
        <f t="shared" si="14"/>
        <v>0.35752238805970138</v>
      </c>
      <c r="U37" s="76">
        <f t="shared" si="15"/>
        <v>7.0000000000000034E-2</v>
      </c>
      <c r="V37" s="76">
        <f t="shared" si="16"/>
        <v>0.45970149253731352</v>
      </c>
      <c r="W37" s="92">
        <f t="shared" si="13"/>
        <v>4890</v>
      </c>
      <c r="X37" s="79">
        <f>IFERROR((VLOOKUP($B37,'Из ГУГЛа'!$B:$AD,X$1,0)+Z37)*Y37,VLOOKUP($B37,'Из ГУГЛа'!$B:$AD,X$1,0))</f>
        <v>4490</v>
      </c>
      <c r="Y37" s="51">
        <v>1</v>
      </c>
      <c r="Z37" s="51"/>
      <c r="AA37" s="88">
        <v>4890</v>
      </c>
      <c r="AB37" s="65" t="s">
        <v>301</v>
      </c>
      <c r="AC37" s="79">
        <f>IFERROR((VLOOKUP($B37,'Из ГУГЛа'!$B:$AD,AC$1,0)+AE37)*AD37,VLOOKUP($B37,'Из ГУГЛа'!$B:$AD,AC$1,0))</f>
        <v>4550</v>
      </c>
      <c r="AD37" s="51">
        <v>1</v>
      </c>
      <c r="AE37" s="51"/>
      <c r="AF37" s="85">
        <v>4550</v>
      </c>
      <c r="AG37" s="65" t="s">
        <v>360</v>
      </c>
      <c r="AH37" s="79" t="str">
        <f>IFERROR((VLOOKUP($B37,'Из ГУГЛа'!$B:$AD,AH$1,0)+AJ37)*AI37,VLOOKUP($B37,'Из ГУГЛа'!$B:$AD,AH$1,0))</f>
        <v/>
      </c>
      <c r="AI37" s="51">
        <v>1</v>
      </c>
      <c r="AJ37" s="51"/>
      <c r="AK37" s="127"/>
      <c r="AL37" s="121"/>
      <c r="AM37" s="124" t="str">
        <f>IFERROR((VLOOKUP($B37,'Из ГУГЛа'!$B:$AD,AM$1,0)+AO37)*AN37,VLOOKUP($B37,'Из ГУГЛа'!$B:$AD,AM$1,0))</f>
        <v/>
      </c>
      <c r="AN37" s="125">
        <v>1</v>
      </c>
      <c r="AO37" s="125"/>
      <c r="AP37" s="127"/>
      <c r="AQ37" s="121"/>
    </row>
    <row r="38" spans="1:43" ht="91.5" thickTop="1" thickBot="1" x14ac:dyDescent="0.3">
      <c r="A38" s="75" t="str">
        <f>INDEX('Выгр Торг'!$A:$A,MATCH($B38,'Выгр Торг'!$B:$B,0))</f>
        <v>Пружины передней подвески Технорессор Драйв с занижением 30 / 50 / 70 / 90 / 120 мм для Лада Калина, Калина 2, Приора, Приора 2, Гранта</v>
      </c>
      <c r="B38" s="41">
        <v>201992</v>
      </c>
      <c r="C38" s="41">
        <f>VLOOKUP($B38,'Выгр Торг'!$B:$T,C$1,0)</f>
        <v>108801</v>
      </c>
      <c r="D38" s="75" t="str">
        <f>VLOOKUP($B38,'Выгр Торг'!$B:$S,D$1,0)</f>
        <v>Пружины передней подвески Технорессор Драйв с занижением для Лада Калина, Калина 2, Приора, Приора 2, Гранта Занижение 90 мм</v>
      </c>
      <c r="E38" s="41" t="str">
        <f>VLOOKUP($B38,'Выгр Торг'!$B:$T,E$1,0)</f>
        <v>N</v>
      </c>
      <c r="F38" s="41" t="str">
        <f>VLOOKUP($B38,'Выгр Торг'!$B:$T,F$1,0)</f>
        <v>1</v>
      </c>
      <c r="G38" s="41">
        <f>VLOOKUP($B38,'Выгр Торг'!$B:$T,G$1,0)</f>
        <v>0</v>
      </c>
      <c r="H38" s="37" t="s">
        <v>420</v>
      </c>
      <c r="I38" s="42"/>
      <c r="J38" s="1" t="s">
        <v>65</v>
      </c>
      <c r="K38" s="63">
        <f>VLOOKUP(H38,Прайс!B:D,3,0)</f>
        <v>3350</v>
      </c>
      <c r="L38" s="61">
        <f>VLOOKUP(K38,Наценка!$A$1:$B$8,2,1)</f>
        <v>1.32</v>
      </c>
      <c r="M38" s="94">
        <f t="shared" si="12"/>
        <v>4990</v>
      </c>
      <c r="N38" s="63">
        <f t="shared" si="4"/>
        <v>4990</v>
      </c>
      <c r="O38" s="41">
        <f>VLOOKUP($B38,'Выгр Торг'!$B:$T,O$1,0)</f>
        <v>3350</v>
      </c>
      <c r="P38" s="41">
        <f>VLOOKUP($B38,'Выгр Торг'!$B:$T,P$1,0)</f>
        <v>4990</v>
      </c>
      <c r="Q38" s="52">
        <f t="shared" si="5"/>
        <v>0</v>
      </c>
      <c r="R38" s="52">
        <f t="shared" si="6"/>
        <v>0</v>
      </c>
      <c r="S38" s="59">
        <f t="shared" si="7"/>
        <v>4640.7</v>
      </c>
      <c r="T38" s="76">
        <f t="shared" si="14"/>
        <v>0.38528358208955216</v>
      </c>
      <c r="U38" s="76">
        <f t="shared" si="15"/>
        <v>7.0000000000000034E-2</v>
      </c>
      <c r="V38" s="76">
        <f t="shared" si="16"/>
        <v>0.4895522388059701</v>
      </c>
      <c r="W38" s="92">
        <f t="shared" si="13"/>
        <v>4990</v>
      </c>
      <c r="X38" s="79">
        <f>IFERROR((VLOOKUP($B38,'Из ГУГЛа'!$B:$AD,X$1,0)+Z38)*Y38,VLOOKUP($B38,'Из ГУГЛа'!$B:$AD,X$1,0))</f>
        <v>4890</v>
      </c>
      <c r="Y38" s="51">
        <v>1</v>
      </c>
      <c r="Z38" s="51"/>
      <c r="AA38" s="88">
        <v>4990</v>
      </c>
      <c r="AB38" s="65" t="s">
        <v>302</v>
      </c>
      <c r="AC38" s="79">
        <f>IFERROR((VLOOKUP($B38,'Из ГУГЛа'!$B:$AD,AC$1,0)+AE38)*AD38,VLOOKUP($B38,'Из ГУГЛа'!$B:$AD,AC$1,0))</f>
        <v>4550</v>
      </c>
      <c r="AD38" s="51">
        <v>1</v>
      </c>
      <c r="AE38" s="51"/>
      <c r="AF38" s="85">
        <v>4550</v>
      </c>
      <c r="AG38" s="65" t="s">
        <v>361</v>
      </c>
      <c r="AH38" s="79" t="str">
        <f>IFERROR((VLOOKUP($B38,'Из ГУГЛа'!$B:$AD,AH$1,0)+AJ38)*AI38,VLOOKUP($B38,'Из ГУГЛа'!$B:$AD,AH$1,0))</f>
        <v/>
      </c>
      <c r="AI38" s="51">
        <v>1</v>
      </c>
      <c r="AJ38" s="51"/>
      <c r="AK38" s="127"/>
      <c r="AL38" s="121"/>
      <c r="AM38" s="124" t="str">
        <f>IFERROR((VLOOKUP($B38,'Из ГУГЛа'!$B:$AD,AM$1,0)+AO38)*AN38,VLOOKUP($B38,'Из ГУГЛа'!$B:$AD,AM$1,0))</f>
        <v/>
      </c>
      <c r="AN38" s="125">
        <v>1</v>
      </c>
      <c r="AO38" s="125"/>
      <c r="AP38" s="127"/>
      <c r="AQ38" s="121"/>
    </row>
    <row r="39" spans="1:43" ht="106.5" thickTop="1" thickBot="1" x14ac:dyDescent="0.3">
      <c r="A39" s="75" t="str">
        <f>INDEX('Выгр Торг'!$A:$A,MATCH($B39,'Выгр Торг'!$B:$B,0))</f>
        <v>Пружины задние Фобос Спорт с занижением 25 / 40 / 50 / 70 / 90 мм для ВАЗ 2108-21099, 2113-2115, 2110-2112, Лада Калина, Калина 2, Приора, Приора 2, Гранта, Гранта FL</v>
      </c>
      <c r="B39" s="41">
        <v>201926</v>
      </c>
      <c r="C39" s="41">
        <f>VLOOKUP($B39,'Выгр Торг'!$B:$T,C$1,0)</f>
        <v>127250</v>
      </c>
      <c r="D39" s="75" t="str">
        <f>VLOOKUP($B39,'Выгр Торг'!$B:$S,D$1,0)</f>
        <v>Пружины задние Фобос Спорт с занижением для ВАЗ 2108-21099, 2113-2115, 2110-2112, Лада Калина, Калина 2, Приора, Приора 2, Гранта, Гранта FL 25 мм</v>
      </c>
      <c r="E39" s="41" t="str">
        <f>VLOOKUP($B39,'Выгр Торг'!$B:$T,E$1,0)</f>
        <v>N</v>
      </c>
      <c r="F39" s="41" t="str">
        <f>VLOOKUP($B39,'Выгр Торг'!$B:$T,F$1,0)</f>
        <v>1</v>
      </c>
      <c r="G39" s="41" t="str">
        <f>VLOOKUP($B39,'Выгр Торг'!$B:$T,G$1,0)</f>
        <v>30417</v>
      </c>
      <c r="H39" s="38" t="s">
        <v>37</v>
      </c>
      <c r="I39" s="77">
        <v>30417</v>
      </c>
      <c r="J39" s="1" t="s">
        <v>65</v>
      </c>
      <c r="K39" s="63">
        <f>VLOOKUP(H39,Прайс!B:D,3,0)</f>
        <v>3200</v>
      </c>
      <c r="L39" s="61">
        <f>VLOOKUP(K39,Наценка!$A$1:$B$8,2,1)</f>
        <v>1.32</v>
      </c>
      <c r="M39" s="100">
        <f t="shared" ref="M39:M42" si="17">K39*1.2*100/93</f>
        <v>4129.0322580645161</v>
      </c>
      <c r="N39" s="63">
        <f t="shared" ref="N39:N61" si="18">ROUNDUP(M39,-2)-10</f>
        <v>4190</v>
      </c>
      <c r="O39" s="41">
        <f>VLOOKUP($B39,'Выгр Торг'!$B:$T,O$1,0)</f>
        <v>3200</v>
      </c>
      <c r="P39" s="41">
        <f>VLOOKUP($B39,'Выгр Торг'!$B:$T,P$1,0)</f>
        <v>4190</v>
      </c>
      <c r="Q39" s="52">
        <f t="shared" si="5"/>
        <v>0</v>
      </c>
      <c r="R39" s="52">
        <f t="shared" si="6"/>
        <v>0</v>
      </c>
      <c r="S39" s="59">
        <f t="shared" si="7"/>
        <v>3896.7</v>
      </c>
      <c r="T39" s="76">
        <f t="shared" si="14"/>
        <v>0.21771874999999996</v>
      </c>
      <c r="U39" s="76">
        <f t="shared" si="15"/>
        <v>2.3383458646616586E-2</v>
      </c>
      <c r="V39" s="76">
        <f t="shared" si="16"/>
        <v>0.24687499999999996</v>
      </c>
      <c r="W39" s="92">
        <f t="shared" si="13"/>
        <v>3990</v>
      </c>
      <c r="X39" s="79">
        <f>IFERROR((VLOOKUP($B39,'Из ГУГЛа'!$B:$AD,X$1,0)+Z39)*Y39,VLOOKUP($B39,'Из ГУГЛа'!$B:$AD,X$1,0))</f>
        <v>3990</v>
      </c>
      <c r="Y39" s="51">
        <v>1</v>
      </c>
      <c r="Z39" s="51"/>
      <c r="AA39" s="88">
        <v>3990</v>
      </c>
      <c r="AB39" s="65" t="s">
        <v>320</v>
      </c>
      <c r="AC39" s="79">
        <f>IFERROR((VLOOKUP($B39,'Из ГУГЛа'!$B:$AD,AC$1,0)+AE39)*AD39,VLOOKUP($B39,'Из ГУГЛа'!$B:$AD,AC$1,0))</f>
        <v>3445</v>
      </c>
      <c r="AD39" s="51">
        <v>1</v>
      </c>
      <c r="AE39" s="51"/>
      <c r="AF39" s="85">
        <v>3445</v>
      </c>
      <c r="AG39" s="65" t="s">
        <v>388</v>
      </c>
      <c r="AH39" s="79" t="str">
        <f>IFERROR((VLOOKUP($B39,'Из ГУГЛа'!$B:$AD,AH$1,0)+AJ39)*AI39,VLOOKUP($B39,'Из ГУГЛа'!$B:$AD,AH$1,0))</f>
        <v/>
      </c>
      <c r="AI39" s="51">
        <v>1</v>
      </c>
      <c r="AJ39" s="51"/>
      <c r="AK39" s="127"/>
      <c r="AL39" s="121"/>
      <c r="AM39" s="124" t="str">
        <f>IFERROR((VLOOKUP($B39,'Из ГУГЛа'!$B:$AD,AM$1,0)+AO39)*AN39,VLOOKUP($B39,'Из ГУГЛа'!$B:$AD,AM$1,0))</f>
        <v/>
      </c>
      <c r="AN39" s="125">
        <v>1</v>
      </c>
      <c r="AO39" s="125"/>
      <c r="AP39" s="127"/>
      <c r="AQ39" s="121"/>
    </row>
    <row r="40" spans="1:43" ht="106.5" thickTop="1" thickBot="1" x14ac:dyDescent="0.3">
      <c r="A40" s="75" t="str">
        <f>INDEX('Выгр Торг'!$A:$A,MATCH($B40,'Выгр Торг'!$B:$B,0))</f>
        <v>Пружины задние Фобос Спорт с занижением 25 / 40 / 50 / 70 / 90 мм для ВАЗ 2108-21099, 2113-2115, 2110-2112, Лада Калина, Калина 2, Приора, Приора 2, Гранта, Гранта FL</v>
      </c>
      <c r="B40" s="41">
        <v>201925</v>
      </c>
      <c r="C40" s="41">
        <f>VLOOKUP($B40,'Выгр Торг'!$B:$T,C$1,0)</f>
        <v>127251</v>
      </c>
      <c r="D40" s="75" t="str">
        <f>VLOOKUP($B40,'Выгр Торг'!$B:$S,D$1,0)</f>
        <v>Пружины задние Фобос Спорт с занижением -40 для ВАЗ 2108-21099, 2113-2115, 2110-2112, Лада Калина, Калина 2, Приора, Приора 2, Гранта, Гранта FL</v>
      </c>
      <c r="E40" s="41" t="str">
        <f>VLOOKUP($B40,'Выгр Торг'!$B:$T,E$1,0)</f>
        <v>N</v>
      </c>
      <c r="F40" s="41" t="str">
        <f>VLOOKUP($B40,'Выгр Торг'!$B:$T,F$1,0)</f>
        <v>1</v>
      </c>
      <c r="G40" s="41" t="str">
        <f>VLOOKUP($B40,'Выгр Торг'!$B:$T,G$1,0)</f>
        <v>32704</v>
      </c>
      <c r="H40" s="38" t="s">
        <v>38</v>
      </c>
      <c r="I40" s="77">
        <v>32704</v>
      </c>
      <c r="J40" s="1" t="s">
        <v>65</v>
      </c>
      <c r="K40" s="63">
        <f>VLOOKUP(H40,Прайс!B:D,3,0)</f>
        <v>3150</v>
      </c>
      <c r="L40" s="61">
        <f>VLOOKUP(K40,Наценка!$A$1:$B$8,2,1)</f>
        <v>1.32</v>
      </c>
      <c r="M40" s="100">
        <f t="shared" si="17"/>
        <v>4064.516129032258</v>
      </c>
      <c r="N40" s="63">
        <f t="shared" si="18"/>
        <v>4090</v>
      </c>
      <c r="O40" s="41">
        <f>VLOOKUP($B40,'Выгр Торг'!$B:$T,O$1,0)</f>
        <v>3150</v>
      </c>
      <c r="P40" s="41">
        <f>VLOOKUP($B40,'Выгр Торг'!$B:$T,P$1,0)</f>
        <v>4090</v>
      </c>
      <c r="Q40" s="52">
        <f t="shared" si="5"/>
        <v>0</v>
      </c>
      <c r="R40" s="52">
        <f t="shared" si="6"/>
        <v>0</v>
      </c>
      <c r="S40" s="59">
        <f t="shared" si="7"/>
        <v>3803.7</v>
      </c>
      <c r="T40" s="76">
        <f t="shared" si="14"/>
        <v>0.20752380952380944</v>
      </c>
      <c r="U40" s="76">
        <f t="shared" si="15"/>
        <v>2.2185089974293106E-2</v>
      </c>
      <c r="V40" s="76">
        <f t="shared" si="16"/>
        <v>0.23492063492063497</v>
      </c>
      <c r="W40" s="92">
        <f t="shared" si="13"/>
        <v>3890</v>
      </c>
      <c r="X40" s="79">
        <f>IFERROR((VLOOKUP($B40,'Из ГУГЛа'!$B:$AD,X$1,0)+Z40)*Y40,VLOOKUP($B40,'Из ГУГЛа'!$B:$AD,X$1,0))</f>
        <v>3890</v>
      </c>
      <c r="Y40" s="51">
        <v>1</v>
      </c>
      <c r="Z40" s="51"/>
      <c r="AA40" s="88">
        <v>3890</v>
      </c>
      <c r="AB40" s="65" t="s">
        <v>321</v>
      </c>
      <c r="AC40" s="79">
        <f>IFERROR((VLOOKUP($B40,'Из ГУГЛа'!$B:$AD,AC$1,0)+AE40)*AD40,VLOOKUP($B40,'Из ГУГЛа'!$B:$AD,AC$1,0))</f>
        <v>3445</v>
      </c>
      <c r="AD40" s="51">
        <v>1</v>
      </c>
      <c r="AE40" s="51"/>
      <c r="AF40" s="85">
        <v>3445</v>
      </c>
      <c r="AG40" s="65" t="s">
        <v>387</v>
      </c>
      <c r="AH40" s="79" t="str">
        <f>IFERROR((VLOOKUP($B40,'Из ГУГЛа'!$B:$AD,AH$1,0)+AJ40)*AI40,VLOOKUP($B40,'Из ГУГЛа'!$B:$AD,AH$1,0))</f>
        <v/>
      </c>
      <c r="AI40" s="51">
        <v>1</v>
      </c>
      <c r="AJ40" s="51"/>
      <c r="AK40" s="127"/>
      <c r="AL40" s="121"/>
      <c r="AM40" s="124" t="str">
        <f>IFERROR((VLOOKUP($B40,'Из ГУГЛа'!$B:$AD,AM$1,0)+AO40)*AN40,VLOOKUP($B40,'Из ГУГЛа'!$B:$AD,AM$1,0))</f>
        <v/>
      </c>
      <c r="AN40" s="125">
        <v>1</v>
      </c>
      <c r="AO40" s="125"/>
      <c r="AP40" s="127"/>
      <c r="AQ40" s="121"/>
    </row>
    <row r="41" spans="1:43" ht="106.5" thickTop="1" thickBot="1" x14ac:dyDescent="0.3">
      <c r="A41" s="75" t="str">
        <f>INDEX('Выгр Торг'!$A:$A,MATCH($B41,'Выгр Торг'!$B:$B,0))</f>
        <v>Пружины задние Фобос Спорт с занижением 25 / 40 / 50 / 70 / 90 мм для ВАЗ 2108-21099, 2113-2115, 2110-2112, Лада Калина, Калина 2, Приора, Приора 2, Гранта, Гранта FL</v>
      </c>
      <c r="B41" s="41">
        <v>201927</v>
      </c>
      <c r="C41" s="41">
        <f>VLOOKUP($B41,'Выгр Торг'!$B:$T,C$1,0)</f>
        <v>127252</v>
      </c>
      <c r="D41" s="75" t="str">
        <f>VLOOKUP($B41,'Выгр Торг'!$B:$S,D$1,0)</f>
        <v>Пружины задние Фобос Спорт с занижением для ВАЗ 2108-21099, 2113-2115, 2110-2112, Лада Калина, Калина 2, Приора, Приора 2, Гранта, Гранта FL 50 мм</v>
      </c>
      <c r="E41" s="41" t="str">
        <f>VLOOKUP($B41,'Выгр Торг'!$B:$T,E$1,0)</f>
        <v>N</v>
      </c>
      <c r="F41" s="41" t="str">
        <f>VLOOKUP($B41,'Выгр Торг'!$B:$T,F$1,0)</f>
        <v>1</v>
      </c>
      <c r="G41" s="41" t="str">
        <f>VLOOKUP($B41,'Выгр Торг'!$B:$T,G$1,0)</f>
        <v>49917</v>
      </c>
      <c r="H41" s="38" t="s">
        <v>39</v>
      </c>
      <c r="I41" s="77">
        <v>49917</v>
      </c>
      <c r="J41" s="1" t="s">
        <v>65</v>
      </c>
      <c r="K41" s="63">
        <f>VLOOKUP(H41,Прайс!B:D,3,0)</f>
        <v>3200</v>
      </c>
      <c r="L41" s="61">
        <f>VLOOKUP(K41,Наценка!$A$1:$B$8,2,1)</f>
        <v>1.32</v>
      </c>
      <c r="M41" s="100">
        <f t="shared" si="17"/>
        <v>4129.0322580645161</v>
      </c>
      <c r="N41" s="63">
        <f t="shared" si="18"/>
        <v>4190</v>
      </c>
      <c r="O41" s="41">
        <f>VLOOKUP($B41,'Выгр Торг'!$B:$T,O$1,0)</f>
        <v>3200</v>
      </c>
      <c r="P41" s="41">
        <f>VLOOKUP($B41,'Выгр Торг'!$B:$T,P$1,0)</f>
        <v>4190</v>
      </c>
      <c r="Q41" s="52">
        <f t="shared" si="5"/>
        <v>0</v>
      </c>
      <c r="R41" s="52">
        <f t="shared" si="6"/>
        <v>0</v>
      </c>
      <c r="S41" s="59">
        <f t="shared" si="7"/>
        <v>3896.7</v>
      </c>
      <c r="T41" s="76">
        <f t="shared" si="14"/>
        <v>0.21771874999999996</v>
      </c>
      <c r="U41" s="76">
        <f t="shared" si="15"/>
        <v>2.3383458646616586E-2</v>
      </c>
      <c r="V41" s="76">
        <f t="shared" si="16"/>
        <v>0.24687499999999996</v>
      </c>
      <c r="W41" s="92">
        <f t="shared" si="13"/>
        <v>3990</v>
      </c>
      <c r="X41" s="79">
        <f>IFERROR((VLOOKUP($B41,'Из ГУГЛа'!$B:$AD,X$1,0)+Z41)*Y41,VLOOKUP($B41,'Из ГУГЛа'!$B:$AD,X$1,0))</f>
        <v>3990</v>
      </c>
      <c r="Y41" s="51">
        <v>1</v>
      </c>
      <c r="Z41" s="51"/>
      <c r="AA41" s="88">
        <v>3990</v>
      </c>
      <c r="AB41" s="65" t="s">
        <v>322</v>
      </c>
      <c r="AC41" s="79">
        <f>IFERROR((VLOOKUP($B41,'Из ГУГЛа'!$B:$AD,AC$1,0)+AE41)*AD41,VLOOKUP($B41,'Из ГУГЛа'!$B:$AD,AC$1,0))</f>
        <v>3445</v>
      </c>
      <c r="AD41" s="51">
        <v>1</v>
      </c>
      <c r="AE41" s="51"/>
      <c r="AF41" s="85">
        <v>3445</v>
      </c>
      <c r="AG41" s="65" t="s">
        <v>386</v>
      </c>
      <c r="AH41" s="79" t="str">
        <f>IFERROR((VLOOKUP($B41,'Из ГУГЛа'!$B:$AD,AH$1,0)+AJ41)*AI41,VLOOKUP($B41,'Из ГУГЛа'!$B:$AD,AH$1,0))</f>
        <v/>
      </c>
      <c r="AI41" s="51">
        <v>1</v>
      </c>
      <c r="AJ41" s="51"/>
      <c r="AK41" s="127"/>
      <c r="AL41" s="121"/>
      <c r="AM41" s="124" t="str">
        <f>IFERROR((VLOOKUP($B41,'Из ГУГЛа'!$B:$AD,AM$1,0)+AO41)*AN41,VLOOKUP($B41,'Из ГУГЛа'!$B:$AD,AM$1,0))</f>
        <v/>
      </c>
      <c r="AN41" s="125">
        <v>1</v>
      </c>
      <c r="AO41" s="125"/>
      <c r="AP41" s="127"/>
      <c r="AQ41" s="121"/>
    </row>
    <row r="42" spans="1:43" ht="106.5" thickTop="1" thickBot="1" x14ac:dyDescent="0.3">
      <c r="A42" s="75" t="str">
        <f>INDEX('Выгр Торг'!$A:$A,MATCH($B42,'Выгр Торг'!$B:$B,0))</f>
        <v>Пружины задние Фобос Спорт с занижением 25 / 40 / 50 / 70 / 90 мм для ВАЗ 2108-21099, 2113-2115, 2110-2112, Лада Калина, Калина 2, Приора, Приора 2, Гранта, Гранта FL</v>
      </c>
      <c r="B42" s="41">
        <v>201928</v>
      </c>
      <c r="C42" s="41">
        <f>VLOOKUP($B42,'Выгр Торг'!$B:$T,C$1,0)</f>
        <v>127253</v>
      </c>
      <c r="D42" s="75" t="str">
        <f>VLOOKUP($B42,'Выгр Торг'!$B:$S,D$1,0)</f>
        <v>Пружины задние Фобос Спорт с занижением для ВАЗ 2108-21099, 2113-2115, 2110-2112, Лада Калина, Калина 2, Приора, Приора 2, Гранта, Гранта FL 70 мм</v>
      </c>
      <c r="E42" s="41" t="str">
        <f>VLOOKUP($B42,'Выгр Торг'!$B:$T,E$1,0)</f>
        <v>N</v>
      </c>
      <c r="F42" s="41" t="str">
        <f>VLOOKUP($B42,'Выгр Торг'!$B:$T,F$1,0)</f>
        <v>0</v>
      </c>
      <c r="G42" s="41" t="str">
        <f>VLOOKUP($B42,'Выгр Торг'!$B:$T,G$1,0)</f>
        <v>331227</v>
      </c>
      <c r="H42" s="38" t="s">
        <v>41</v>
      </c>
      <c r="I42" s="77">
        <v>331227</v>
      </c>
      <c r="J42" s="1" t="s">
        <v>65</v>
      </c>
      <c r="K42" s="63">
        <f>VLOOKUP(H42,Прайс!B:D,3,0)</f>
        <v>3200</v>
      </c>
      <c r="L42" s="61">
        <f>VLOOKUP(K42,Наценка!$A$1:$B$8,2,1)</f>
        <v>1.32</v>
      </c>
      <c r="M42" s="100">
        <f t="shared" si="17"/>
        <v>4129.0322580645161</v>
      </c>
      <c r="N42" s="63">
        <f t="shared" si="18"/>
        <v>4190</v>
      </c>
      <c r="O42" s="41">
        <f>VLOOKUP($B42,'Выгр Торг'!$B:$T,O$1,0)</f>
        <v>3200</v>
      </c>
      <c r="P42" s="41">
        <f>VLOOKUP($B42,'Выгр Торг'!$B:$T,P$1,0)</f>
        <v>4190</v>
      </c>
      <c r="Q42" s="52">
        <f t="shared" si="5"/>
        <v>0</v>
      </c>
      <c r="R42" s="52">
        <f t="shared" si="6"/>
        <v>0</v>
      </c>
      <c r="S42" s="59">
        <f t="shared" si="7"/>
        <v>3896.7</v>
      </c>
      <c r="T42" s="76">
        <f t="shared" si="14"/>
        <v>0.21771874999999996</v>
      </c>
      <c r="U42" s="76">
        <f t="shared" si="15"/>
        <v>2.3383458646616586E-2</v>
      </c>
      <c r="V42" s="76">
        <f t="shared" si="16"/>
        <v>0.24687499999999996</v>
      </c>
      <c r="W42" s="92">
        <f t="shared" si="13"/>
        <v>3990</v>
      </c>
      <c r="X42" s="79">
        <f>IFERROR((VLOOKUP($B42,'Из ГУГЛа'!$B:$AD,X$1,0)+Z42)*Y42,VLOOKUP($B42,'Из ГУГЛа'!$B:$AD,X$1,0))</f>
        <v>3990</v>
      </c>
      <c r="Y42" s="51">
        <v>1</v>
      </c>
      <c r="Z42" s="51"/>
      <c r="AA42" s="88">
        <v>3990</v>
      </c>
      <c r="AB42" s="65" t="s">
        <v>323</v>
      </c>
      <c r="AC42" s="79">
        <f>IFERROR((VLOOKUP($B42,'Из ГУГЛа'!$B:$AD,AC$1,0)+AE42)*AD42,VLOOKUP($B42,'Из ГУГЛа'!$B:$AD,AC$1,0))</f>
        <v>4500</v>
      </c>
      <c r="AD42" s="51">
        <v>1</v>
      </c>
      <c r="AE42" s="51"/>
      <c r="AF42" s="85">
        <v>4500</v>
      </c>
      <c r="AG42" s="65" t="s">
        <v>385</v>
      </c>
      <c r="AH42" s="79" t="str">
        <f>IFERROR((VLOOKUP($B42,'Из ГУГЛа'!$B:$AD,AH$1,0)+AJ42)*AI42,VLOOKUP($B42,'Из ГУГЛа'!$B:$AD,AH$1,0))</f>
        <v/>
      </c>
      <c r="AI42" s="51">
        <v>1</v>
      </c>
      <c r="AJ42" s="51"/>
      <c r="AK42" s="127"/>
      <c r="AL42" s="121"/>
      <c r="AM42" s="124" t="str">
        <f>IFERROR((VLOOKUP($B42,'Из ГУГЛа'!$B:$AD,AM$1,0)+AO42)*AN42,VLOOKUP($B42,'Из ГУГЛа'!$B:$AD,AM$1,0))</f>
        <v/>
      </c>
      <c r="AN42" s="125">
        <v>1</v>
      </c>
      <c r="AO42" s="125"/>
      <c r="AP42" s="127"/>
      <c r="AQ42" s="121"/>
    </row>
    <row r="43" spans="1:43" ht="106.5" thickTop="1" thickBot="1" x14ac:dyDescent="0.3">
      <c r="A43" s="75" t="str">
        <f>INDEX('Выгр Торг'!$A:$A,MATCH($B43,'Выгр Торг'!$B:$B,0))</f>
        <v>Пружины задние Фобос Спорт с занижением 25 / 40 / 50 / 70 / 90 мм для ВАЗ 2108-21099, 2113-2115, 2110-2112, Лада Калина, Калина 2, Приора, Приора 2, Гранта, Гранта FL</v>
      </c>
      <c r="B43" s="41">
        <v>201929</v>
      </c>
      <c r="C43" s="41">
        <f>VLOOKUP($B43,'Выгр Торг'!$B:$T,C$1,0)</f>
        <v>127254</v>
      </c>
      <c r="D43" s="75" t="str">
        <f>VLOOKUP($B43,'Выгр Торг'!$B:$S,D$1,0)</f>
        <v>Пружины задние Фобос Спорт с занижением для ВАЗ 2108-21099, 2113-2115, 2110-2112, Лада Калина, Калина 2, Приора, Приора 2, Гранта, Гранта FL 90 мм</v>
      </c>
      <c r="E43" s="41" t="str">
        <f>VLOOKUP($B43,'Выгр Торг'!$B:$T,E$1,0)</f>
        <v>N</v>
      </c>
      <c r="F43" s="41" t="str">
        <f>VLOOKUP($B43,'Выгр Торг'!$B:$T,F$1,0)</f>
        <v>1</v>
      </c>
      <c r="G43" s="41" t="str">
        <f>VLOOKUP($B43,'Выгр Торг'!$B:$T,G$1,0)</f>
        <v>211090</v>
      </c>
      <c r="H43" s="38" t="s">
        <v>42</v>
      </c>
      <c r="I43" s="77">
        <v>211090</v>
      </c>
      <c r="J43" s="1" t="s">
        <v>65</v>
      </c>
      <c r="K43" s="63">
        <f>VLOOKUP(H43,Прайс!B:D,3,0)</f>
        <v>3200</v>
      </c>
      <c r="L43" s="61">
        <f>VLOOKUP(K43,Наценка!$A$1:$B$8,2,1)</f>
        <v>1.32</v>
      </c>
      <c r="M43" s="94">
        <f t="shared" si="12"/>
        <v>4900</v>
      </c>
      <c r="N43" s="63">
        <f t="shared" si="18"/>
        <v>4890</v>
      </c>
      <c r="O43" s="41">
        <f>VLOOKUP($B43,'Выгр Торг'!$B:$T,O$1,0)</f>
        <v>3200</v>
      </c>
      <c r="P43" s="41">
        <f>VLOOKUP($B43,'Выгр Торг'!$B:$T,P$1,0)</f>
        <v>4890</v>
      </c>
      <c r="Q43" s="52">
        <f t="shared" si="5"/>
        <v>0</v>
      </c>
      <c r="R43" s="52">
        <f t="shared" si="6"/>
        <v>0</v>
      </c>
      <c r="S43" s="59">
        <f t="shared" si="7"/>
        <v>4547.7</v>
      </c>
      <c r="T43" s="76">
        <f t="shared" si="14"/>
        <v>0.4211562499999999</v>
      </c>
      <c r="U43" s="76">
        <f t="shared" si="15"/>
        <v>7.1897959183673504E-2</v>
      </c>
      <c r="V43" s="76">
        <f t="shared" si="16"/>
        <v>0.53125</v>
      </c>
      <c r="W43" s="93">
        <f>AF43</f>
        <v>4900</v>
      </c>
      <c r="X43" s="79" t="str">
        <f>IFERROR((VLOOKUP($B43,'Из ГУГЛа'!$B:$AD,X$1,0)+Z43)*Y43,VLOOKUP($B43,'Из ГУГЛа'!$B:$AD,X$1,0))</f>
        <v/>
      </c>
      <c r="Y43" s="51">
        <v>1</v>
      </c>
      <c r="Z43" s="51"/>
      <c r="AA43" s="88" t="s">
        <v>324</v>
      </c>
      <c r="AC43" s="79">
        <f>IFERROR((VLOOKUP($B43,'Из ГУГЛа'!$B:$AD,AC$1,0)+AE43)*AD43,VLOOKUP($B43,'Из ГУГЛа'!$B:$AD,AC$1,0))</f>
        <v>4900</v>
      </c>
      <c r="AD43" s="51">
        <v>1</v>
      </c>
      <c r="AE43" s="51"/>
      <c r="AF43" s="85">
        <v>4900</v>
      </c>
      <c r="AG43" s="65" t="s">
        <v>389</v>
      </c>
      <c r="AH43" s="79" t="str">
        <f>IFERROR((VLOOKUP($B43,'Из ГУГЛа'!$B:$AD,AH$1,0)+AJ43)*AI43,VLOOKUP($B43,'Из ГУГЛа'!$B:$AD,AH$1,0))</f>
        <v/>
      </c>
      <c r="AI43" s="51">
        <v>1</v>
      </c>
      <c r="AJ43" s="51"/>
      <c r="AK43" s="127"/>
      <c r="AL43" s="121"/>
      <c r="AM43" s="124" t="str">
        <f>IFERROR((VLOOKUP($B43,'Из ГУГЛа'!$B:$AD,AM$1,0)+AO43)*AN43,VLOOKUP($B43,'Из ГУГЛа'!$B:$AD,AM$1,0))</f>
        <v/>
      </c>
      <c r="AN43" s="125">
        <v>1</v>
      </c>
      <c r="AO43" s="125"/>
      <c r="AP43" s="127"/>
      <c r="AQ43" s="121"/>
    </row>
    <row r="44" spans="1:43" ht="76.5" thickTop="1" thickBot="1" x14ac:dyDescent="0.3">
      <c r="A44" s="75" t="str">
        <f>INDEX('Выгр Торг'!$A:$A,MATCH($B44,'Выгр Торг'!$B:$B,0))</f>
        <v>Пружины задние Фобос Спорт с занижением 25 / 40 / 50 / 70 мм для ВАЗ 2101-2107</v>
      </c>
      <c r="B44" s="41">
        <v>201931</v>
      </c>
      <c r="C44" s="41">
        <f>VLOOKUP($B44,'Выгр Торг'!$B:$T,C$1,0)</f>
        <v>127031</v>
      </c>
      <c r="D44" s="75" t="str">
        <f>VLOOKUP($B44,'Выгр Торг'!$B:$S,D$1,0)</f>
        <v>Пружины задние Фобос Спорт с занижением для ВАЗ 2101-2107 25 мм</v>
      </c>
      <c r="E44" s="41" t="str">
        <f>VLOOKUP($B44,'Выгр Торг'!$B:$T,E$1,0)</f>
        <v>N</v>
      </c>
      <c r="F44" s="41" t="str">
        <f>VLOOKUP($B44,'Выгр Торг'!$B:$T,F$1,0)</f>
        <v>1</v>
      </c>
      <c r="G44" s="41" t="str">
        <f>VLOOKUP($B44,'Выгр Торг'!$B:$T,G$1,0)</f>
        <v>Артикул: 24586</v>
      </c>
      <c r="H44" s="38" t="s">
        <v>34</v>
      </c>
      <c r="I44" s="77">
        <v>24586</v>
      </c>
      <c r="J44" s="1" t="s">
        <v>65</v>
      </c>
      <c r="K44" s="63">
        <f>VLOOKUP(H44,Прайс!B:D,3,0)</f>
        <v>3800</v>
      </c>
      <c r="L44" s="61">
        <f>VLOOKUP(K44,Наценка!$A$1:$B$8,2,1)</f>
        <v>1.32</v>
      </c>
      <c r="M44" s="100">
        <f>K44*1.2*100/93</f>
        <v>4903.2258064516127</v>
      </c>
      <c r="N44" s="63">
        <f t="shared" si="18"/>
        <v>4990</v>
      </c>
      <c r="O44" s="41">
        <f>VLOOKUP($B44,'Выгр Торг'!$B:$T,O$1,0)</f>
        <v>3800</v>
      </c>
      <c r="P44" s="41">
        <f>VLOOKUP($B44,'Выгр Торг'!$B:$T,P$1,0)</f>
        <v>4990</v>
      </c>
      <c r="Q44" s="52">
        <f t="shared" si="5"/>
        <v>0</v>
      </c>
      <c r="R44" s="52">
        <f t="shared" si="6"/>
        <v>0</v>
      </c>
      <c r="S44" s="59">
        <f t="shared" si="7"/>
        <v>4640.7</v>
      </c>
      <c r="T44" s="76">
        <f t="shared" si="14"/>
        <v>0.22123684210526307</v>
      </c>
      <c r="U44" s="76">
        <f t="shared" si="15"/>
        <v>5.098159509202458E-2</v>
      </c>
      <c r="V44" s="76">
        <f t="shared" si="16"/>
        <v>0.28684210526315779</v>
      </c>
      <c r="W44" s="92">
        <f>AA44</f>
        <v>4890</v>
      </c>
      <c r="X44" s="79">
        <f>IFERROR((VLOOKUP($B44,'Из ГУГЛа'!$B:$AD,X$1,0)+Z44)*Y44,VLOOKUP($B44,'Из ГУГЛа'!$B:$AD,X$1,0))</f>
        <v>4890</v>
      </c>
      <c r="Y44" s="51">
        <v>1</v>
      </c>
      <c r="Z44" s="51"/>
      <c r="AA44" s="88">
        <v>4890</v>
      </c>
      <c r="AB44" s="65" t="s">
        <v>325</v>
      </c>
      <c r="AC44" s="79">
        <f>IFERROR((VLOOKUP($B44,'Из ГУГЛа'!$B:$AD,AC$1,0)+AE44)*AD44,VLOOKUP($B44,'Из ГУГЛа'!$B:$AD,AC$1,0))</f>
        <v>3900</v>
      </c>
      <c r="AD44" s="51">
        <v>1</v>
      </c>
      <c r="AE44" s="51"/>
      <c r="AF44" s="85">
        <v>3900</v>
      </c>
      <c r="AG44" s="65" t="s">
        <v>378</v>
      </c>
      <c r="AH44" s="79" t="str">
        <f>IFERROR((VLOOKUP($B44,'Из ГУГЛа'!$B:$AD,AH$1,0)+AJ44)*AI44,VLOOKUP($B44,'Из ГУГЛа'!$B:$AD,AH$1,0))</f>
        <v/>
      </c>
      <c r="AI44" s="51">
        <v>1</v>
      </c>
      <c r="AJ44" s="51"/>
      <c r="AK44" s="127"/>
      <c r="AL44" s="121"/>
      <c r="AM44" s="124" t="str">
        <f>IFERROR((VLOOKUP($B44,'Из ГУГЛа'!$B:$AD,AM$1,0)+AO44)*AN44,VLOOKUP($B44,'Из ГУГЛа'!$B:$AD,AM$1,0))</f>
        <v/>
      </c>
      <c r="AN44" s="125">
        <v>1</v>
      </c>
      <c r="AO44" s="125"/>
      <c r="AP44" s="127"/>
      <c r="AQ44" s="121"/>
    </row>
    <row r="45" spans="1:43" ht="61.5" thickTop="1" thickBot="1" x14ac:dyDescent="0.3">
      <c r="A45" s="75" t="str">
        <f>INDEX('Выгр Торг'!$A:$A,MATCH($B45,'Выгр Торг'!$B:$B,0))</f>
        <v>Пружины задние Фобос Спорт с занижением 25 / 40 / 50 / 70 мм для ВАЗ 2101-2107</v>
      </c>
      <c r="B45" s="41">
        <v>201932</v>
      </c>
      <c r="C45" s="41">
        <f>VLOOKUP($B45,'Выгр Торг'!$B:$T,C$1,0)</f>
        <v>127032</v>
      </c>
      <c r="D45" s="75" t="str">
        <f>VLOOKUP($B45,'Выгр Торг'!$B:$S,D$1,0)</f>
        <v>Пружины задние Фобос Спорт с занижением для ВАЗ 2101-2107 40 мм</v>
      </c>
      <c r="E45" s="41" t="str">
        <f>VLOOKUP($B45,'Выгр Торг'!$B:$T,E$1,0)</f>
        <v>N</v>
      </c>
      <c r="F45" s="41" t="str">
        <f>VLOOKUP($B45,'Выгр Торг'!$B:$T,F$1,0)</f>
        <v>1</v>
      </c>
      <c r="G45" s="41">
        <f>VLOOKUP($B45,'Выгр Торг'!$B:$T,G$1,0)</f>
        <v>0</v>
      </c>
      <c r="H45" s="41"/>
      <c r="I45" s="60"/>
      <c r="J45" s="1" t="s">
        <v>65</v>
      </c>
      <c r="K45" s="62">
        <f>O45</f>
        <v>3550</v>
      </c>
      <c r="L45" s="61">
        <f>VLOOKUP(K45,Наценка!$A$1:$B$8,2,1)</f>
        <v>1.32</v>
      </c>
      <c r="M45" s="64">
        <f t="shared" si="10"/>
        <v>4686</v>
      </c>
      <c r="N45" s="63">
        <f t="shared" si="18"/>
        <v>4690</v>
      </c>
      <c r="O45" s="41">
        <f>VLOOKUP($B45,'Выгр Торг'!$B:$T,O$1,0)</f>
        <v>3550</v>
      </c>
      <c r="P45" s="41">
        <f>VLOOKUP($B45,'Выгр Торг'!$B:$T,P$1,0)</f>
        <v>4690</v>
      </c>
      <c r="Q45" s="52">
        <f t="shared" si="5"/>
        <v>0</v>
      </c>
      <c r="R45" s="52">
        <f t="shared" si="6"/>
        <v>0</v>
      </c>
      <c r="S45" s="59">
        <f t="shared" si="7"/>
        <v>4361.7</v>
      </c>
      <c r="T45" s="76">
        <f t="shared" si="14"/>
        <v>0.2286478873239437</v>
      </c>
      <c r="U45" s="76" t="str">
        <f t="shared" si="15"/>
        <v/>
      </c>
      <c r="V45" s="76" t="str">
        <f t="shared" si="16"/>
        <v/>
      </c>
      <c r="W45" s="74"/>
      <c r="X45" s="79" t="str">
        <f>IFERROR((VLOOKUP($B45,'Из ГУГЛа'!$B:$AD,X$1,0)+Z45)*Y45,VLOOKUP($B45,'Из ГУГЛа'!$B:$AD,X$1,0))</f>
        <v/>
      </c>
      <c r="Y45" s="51">
        <v>1</v>
      </c>
      <c r="Z45" s="51"/>
      <c r="AA45" s="88" t="s">
        <v>324</v>
      </c>
      <c r="AC45" s="79" t="str">
        <f>IFERROR((VLOOKUP($B45,'Из ГУГЛа'!$B:$AD,AC$1,0)+AE45)*AD45,VLOOKUP($B45,'Из ГУГЛа'!$B:$AD,AC$1,0))</f>
        <v/>
      </c>
      <c r="AD45" s="51">
        <v>1</v>
      </c>
      <c r="AE45" s="51"/>
      <c r="AF45" s="41"/>
      <c r="AH45" s="79" t="str">
        <f>IFERROR((VLOOKUP($B45,'Из ГУГЛа'!$B:$AD,AH$1,0)+AJ45)*AI45,VLOOKUP($B45,'Из ГУГЛа'!$B:$AD,AH$1,0))</f>
        <v/>
      </c>
      <c r="AI45" s="51">
        <v>1</v>
      </c>
      <c r="AJ45" s="51"/>
      <c r="AK45" s="121"/>
      <c r="AL45" s="121"/>
      <c r="AM45" s="124" t="str">
        <f>IFERROR((VLOOKUP($B45,'Из ГУГЛа'!$B:$AD,AM$1,0)+AO45)*AN45,VLOOKUP($B45,'Из ГУГЛа'!$B:$AD,AM$1,0))</f>
        <v/>
      </c>
      <c r="AN45" s="125">
        <v>1</v>
      </c>
      <c r="AO45" s="125"/>
      <c r="AP45" s="121"/>
      <c r="AQ45" s="121"/>
    </row>
    <row r="46" spans="1:43" ht="76.5" thickTop="1" thickBot="1" x14ac:dyDescent="0.3">
      <c r="A46" s="75" t="str">
        <f>INDEX('Выгр Торг'!$A:$A,MATCH($B46,'Выгр Торг'!$B:$B,0))</f>
        <v>Пружины задние Фобос Спорт с занижением 25 / 40 / 50 / 70 мм для ВАЗ 2101-2107</v>
      </c>
      <c r="B46" s="41">
        <v>201933</v>
      </c>
      <c r="C46" s="41">
        <f>VLOOKUP($B46,'Выгр Торг'!$B:$T,C$1,0)</f>
        <v>127033</v>
      </c>
      <c r="D46" s="75" t="str">
        <f>VLOOKUP($B46,'Выгр Торг'!$B:$S,D$1,0)</f>
        <v>Пружины задние Фобос Спорт с занижением для ВАЗ 2101-2107 50 мм</v>
      </c>
      <c r="E46" s="41" t="str">
        <f>VLOOKUP($B46,'Выгр Торг'!$B:$T,E$1,0)</f>
        <v>N</v>
      </c>
      <c r="F46" s="41" t="str">
        <f>VLOOKUP($B46,'Выгр Торг'!$B:$T,F$1,0)</f>
        <v>1</v>
      </c>
      <c r="G46" s="41" t="str">
        <f>VLOOKUP($B46,'Выгр Торг'!$B:$T,G$1,0)</f>
        <v>Артикул: 49553</v>
      </c>
      <c r="H46" s="38" t="s">
        <v>32</v>
      </c>
      <c r="I46" s="77">
        <v>49553</v>
      </c>
      <c r="J46" s="1" t="s">
        <v>65</v>
      </c>
      <c r="K46" s="63">
        <f>VLOOKUP(H46,Прайс!B:D,3,0)</f>
        <v>3800</v>
      </c>
      <c r="L46" s="61">
        <f>VLOOKUP(K46,Наценка!$A$1:$B$8,2,1)</f>
        <v>1.32</v>
      </c>
      <c r="M46" s="100">
        <f t="shared" ref="M46:M47" si="19">K46*1.2*100/93</f>
        <v>4903.2258064516127</v>
      </c>
      <c r="N46" s="63">
        <f t="shared" si="18"/>
        <v>4990</v>
      </c>
      <c r="O46" s="41">
        <f>VLOOKUP($B46,'Выгр Торг'!$B:$T,O$1,0)</f>
        <v>3800</v>
      </c>
      <c r="P46" s="41">
        <f>VLOOKUP($B46,'Выгр Торг'!$B:$T,P$1,0)</f>
        <v>4990</v>
      </c>
      <c r="Q46" s="52">
        <f t="shared" si="5"/>
        <v>0</v>
      </c>
      <c r="R46" s="52">
        <f t="shared" si="6"/>
        <v>0</v>
      </c>
      <c r="S46" s="59">
        <f t="shared" si="7"/>
        <v>4640.7</v>
      </c>
      <c r="T46" s="76">
        <f t="shared" si="14"/>
        <v>0.22123684210526307</v>
      </c>
      <c r="U46" s="76">
        <f t="shared" si="15"/>
        <v>-1.1045751633986889E-2</v>
      </c>
      <c r="V46" s="76">
        <f t="shared" si="16"/>
        <v>0.20789473684210535</v>
      </c>
      <c r="W46" s="92">
        <f>AA46</f>
        <v>4590</v>
      </c>
      <c r="X46" s="79">
        <f>IFERROR((VLOOKUP($B46,'Из ГУГЛа'!$B:$AD,X$1,0)+Z46)*Y46,VLOOKUP($B46,'Из ГУГЛа'!$B:$AD,X$1,0))</f>
        <v>4590</v>
      </c>
      <c r="Y46" s="51">
        <v>1</v>
      </c>
      <c r="Z46" s="51"/>
      <c r="AA46" s="88">
        <v>4590</v>
      </c>
      <c r="AB46" s="65" t="s">
        <v>326</v>
      </c>
      <c r="AC46" s="79">
        <f>IFERROR((VLOOKUP($B46,'Из ГУГЛа'!$B:$AD,AC$1,0)+AE46)*AD46,VLOOKUP($B46,'Из ГУГЛа'!$B:$AD,AC$1,0))</f>
        <v>3900</v>
      </c>
      <c r="AD46" s="51">
        <v>1</v>
      </c>
      <c r="AE46" s="51"/>
      <c r="AF46" s="85">
        <v>3900</v>
      </c>
      <c r="AG46" s="65" t="s">
        <v>379</v>
      </c>
      <c r="AH46" s="79" t="str">
        <f>IFERROR((VLOOKUP($B46,'Из ГУГЛа'!$B:$AD,AH$1,0)+AJ46)*AI46,VLOOKUP($B46,'Из ГУГЛа'!$B:$AD,AH$1,0))</f>
        <v/>
      </c>
      <c r="AI46" s="51">
        <v>1</v>
      </c>
      <c r="AJ46" s="51"/>
      <c r="AK46" s="127"/>
      <c r="AL46" s="121"/>
      <c r="AM46" s="124" t="str">
        <f>IFERROR((VLOOKUP($B46,'Из ГУГЛа'!$B:$AD,AM$1,0)+AO46)*AN46,VLOOKUP($B46,'Из ГУГЛа'!$B:$AD,AM$1,0))</f>
        <v/>
      </c>
      <c r="AN46" s="125">
        <v>1</v>
      </c>
      <c r="AO46" s="125"/>
      <c r="AP46" s="127"/>
      <c r="AQ46" s="121"/>
    </row>
    <row r="47" spans="1:43" ht="76.5" thickTop="1" thickBot="1" x14ac:dyDescent="0.3">
      <c r="A47" s="75" t="str">
        <f>INDEX('Выгр Торг'!$A:$A,MATCH($B47,'Выгр Торг'!$B:$B,0))</f>
        <v>Пружины задние Фобос Спорт с занижением 25 / 40 / 50 / 70 мм для ВАЗ 2101-2107</v>
      </c>
      <c r="B47" s="41">
        <v>201934</v>
      </c>
      <c r="C47" s="41">
        <f>VLOOKUP($B47,'Выгр Торг'!$B:$T,C$1,0)</f>
        <v>127034</v>
      </c>
      <c r="D47" s="75" t="str">
        <f>VLOOKUP($B47,'Выгр Торг'!$B:$S,D$1,0)</f>
        <v>Пружины задние Фобос Спорт с занижением для ВАЗ 2101-2107 70 мм</v>
      </c>
      <c r="E47" s="41" t="str">
        <f>VLOOKUP($B47,'Выгр Торг'!$B:$T,E$1,0)</f>
        <v>N</v>
      </c>
      <c r="F47" s="41" t="str">
        <f>VLOOKUP($B47,'Выгр Торг'!$B:$T,F$1,0)</f>
        <v>0</v>
      </c>
      <c r="G47" s="41" t="str">
        <f>VLOOKUP($B47,'Выгр Торг'!$B:$T,G$1,0)</f>
        <v>Артикул: 210170</v>
      </c>
      <c r="H47" s="38" t="s">
        <v>33</v>
      </c>
      <c r="I47" s="77">
        <v>210170</v>
      </c>
      <c r="J47" s="1" t="s">
        <v>65</v>
      </c>
      <c r="K47" s="63">
        <f>VLOOKUP(H47,Прайс!B:D,3,0)</f>
        <v>3750</v>
      </c>
      <c r="L47" s="61">
        <f>VLOOKUP(K47,Наценка!$A$1:$B$8,2,1)</f>
        <v>1.32</v>
      </c>
      <c r="M47" s="100">
        <f t="shared" si="19"/>
        <v>4838.7096774193551</v>
      </c>
      <c r="N47" s="63">
        <f t="shared" si="18"/>
        <v>4890</v>
      </c>
      <c r="O47" s="41">
        <f>VLOOKUP($B47,'Выгр Торг'!$B:$T,O$1,0)</f>
        <v>3750</v>
      </c>
      <c r="P47" s="41">
        <f>VLOOKUP($B47,'Выгр Торг'!$B:$T,P$1,0)</f>
        <v>4890</v>
      </c>
      <c r="Q47" s="52">
        <f t="shared" si="5"/>
        <v>0</v>
      </c>
      <c r="R47" s="52">
        <f t="shared" si="6"/>
        <v>0</v>
      </c>
      <c r="S47" s="59">
        <f t="shared" si="7"/>
        <v>4547.7</v>
      </c>
      <c r="T47" s="76">
        <f t="shared" si="14"/>
        <v>0.21272000000000002</v>
      </c>
      <c r="U47" s="76">
        <f t="shared" si="15"/>
        <v>9.2156862745098444E-3</v>
      </c>
      <c r="V47" s="76">
        <f t="shared" si="16"/>
        <v>0.22399999999999998</v>
      </c>
      <c r="W47" s="92">
        <f>AA47</f>
        <v>4590</v>
      </c>
      <c r="X47" s="79">
        <f>IFERROR((VLOOKUP($B47,'Из ГУГЛа'!$B:$AD,X$1,0)+Z47)*Y47,VLOOKUP($B47,'Из ГУГЛа'!$B:$AD,X$1,0))</f>
        <v>4590</v>
      </c>
      <c r="Y47" s="51">
        <v>1</v>
      </c>
      <c r="Z47" s="51"/>
      <c r="AA47" s="88">
        <v>4590</v>
      </c>
      <c r="AB47" s="65" t="s">
        <v>327</v>
      </c>
      <c r="AC47" s="79">
        <f>IFERROR((VLOOKUP($B47,'Из ГУГЛа'!$B:$AD,AC$1,0)+AE47)*AD47,VLOOKUP($B47,'Из ГУГЛа'!$B:$AD,AC$1,0))</f>
        <v>3900</v>
      </c>
      <c r="AD47" s="51">
        <v>1</v>
      </c>
      <c r="AE47" s="51"/>
      <c r="AF47" s="85">
        <v>3900</v>
      </c>
      <c r="AG47" s="65" t="s">
        <v>380</v>
      </c>
      <c r="AH47" s="79" t="str">
        <f>IFERROR((VLOOKUP($B47,'Из ГУГЛа'!$B:$AD,AH$1,0)+AJ47)*AI47,VLOOKUP($B47,'Из ГУГЛа'!$B:$AD,AH$1,0))</f>
        <v/>
      </c>
      <c r="AI47" s="51">
        <v>1</v>
      </c>
      <c r="AJ47" s="51"/>
      <c r="AK47" s="127"/>
      <c r="AL47" s="121"/>
      <c r="AM47" s="124" t="str">
        <f>IFERROR((VLOOKUP($B47,'Из ГУГЛа'!$B:$AD,AM$1,0)+AO47)*AN47,VLOOKUP($B47,'Из ГУГЛа'!$B:$AD,AM$1,0))</f>
        <v/>
      </c>
      <c r="AN47" s="125">
        <v>1</v>
      </c>
      <c r="AO47" s="125"/>
      <c r="AP47" s="127"/>
      <c r="AQ47" s="121"/>
    </row>
    <row r="48" spans="1:43" ht="61.5" thickTop="1" thickBot="1" x14ac:dyDescent="0.3">
      <c r="A48" s="75" t="str">
        <f>INDEX('Выгр Торг'!$A:$A,MATCH($B48,'Выгр Торг'!$B:$B,0))</f>
        <v>Пружины передние Фобос Спорт с занижением 25 / 40 / 50 / 70 мм для ВАЗ 2101-2107</v>
      </c>
      <c r="B48" s="41">
        <v>202011</v>
      </c>
      <c r="C48" s="41">
        <f>VLOOKUP($B48,'Выгр Торг'!$B:$T,C$1,0)</f>
        <v>127085</v>
      </c>
      <c r="D48" s="75" t="str">
        <f>VLOOKUP($B48,'Выгр Торг'!$B:$S,D$1,0)</f>
        <v>Пружины передние Фобос Спорт с занижением для ВАЗ 2101-2107 25 мм</v>
      </c>
      <c r="E48" s="41" t="str">
        <f>VLOOKUP($B48,'Выгр Торг'!$B:$T,E$1,0)</f>
        <v>N</v>
      </c>
      <c r="F48" s="41" t="str">
        <f>VLOOKUP($B48,'Выгр Торг'!$B:$T,F$1,0)</f>
        <v>0</v>
      </c>
      <c r="G48" s="41" t="str">
        <f>VLOOKUP($B48,'Выгр Торг'!$B:$T,G$1,0)</f>
        <v>Артикул: 24595</v>
      </c>
      <c r="H48" s="38" t="s">
        <v>29</v>
      </c>
      <c r="I48" s="77">
        <v>24595</v>
      </c>
      <c r="J48" s="1" t="s">
        <v>65</v>
      </c>
      <c r="K48" s="63">
        <f>VLOOKUP(H48,Прайс!B:D,3,0)</f>
        <v>3550</v>
      </c>
      <c r="L48" s="61">
        <f>VLOOKUP(K48,Наценка!$A$1:$B$8,2,1)</f>
        <v>1.32</v>
      </c>
      <c r="M48" s="94">
        <f t="shared" ref="M48" si="20">W48*1</f>
        <v>4590</v>
      </c>
      <c r="N48" s="63">
        <f t="shared" si="18"/>
        <v>4590</v>
      </c>
      <c r="O48" s="41">
        <f>VLOOKUP($B48,'Выгр Торг'!$B:$T,O$1,0)</f>
        <v>3550</v>
      </c>
      <c r="P48" s="41">
        <f>VLOOKUP($B48,'Выгр Торг'!$B:$T,P$1,0)</f>
        <v>4590</v>
      </c>
      <c r="Q48" s="52">
        <f t="shared" si="5"/>
        <v>0</v>
      </c>
      <c r="R48" s="52">
        <f t="shared" si="6"/>
        <v>0</v>
      </c>
      <c r="S48" s="59">
        <f t="shared" si="7"/>
        <v>4268.7</v>
      </c>
      <c r="T48" s="76">
        <f t="shared" si="14"/>
        <v>0.20245070422535205</v>
      </c>
      <c r="U48" s="76">
        <f t="shared" si="15"/>
        <v>7.0000000000000034E-2</v>
      </c>
      <c r="V48" s="76">
        <f t="shared" si="16"/>
        <v>0.29295774647887329</v>
      </c>
      <c r="W48" s="92">
        <f>AA48</f>
        <v>4590</v>
      </c>
      <c r="X48" s="79">
        <f>IFERROR((VLOOKUP($B48,'Из ГУГЛа'!$B:$AD,X$1,0)+Z48)*Y48,VLOOKUP($B48,'Из ГУГЛа'!$B:$AD,X$1,0))</f>
        <v>4590</v>
      </c>
      <c r="Y48" s="51">
        <v>1</v>
      </c>
      <c r="Z48" s="51"/>
      <c r="AA48" s="88">
        <v>4590</v>
      </c>
      <c r="AB48" s="65" t="s">
        <v>328</v>
      </c>
      <c r="AC48" s="79">
        <f>IFERROR((VLOOKUP($B48,'Из ГУГЛа'!$B:$AD,AC$1,0)+AE48)*AD48,VLOOKUP($B48,'Из ГУГЛа'!$B:$AD,AC$1,0))</f>
        <v>3835</v>
      </c>
      <c r="AD48" s="51">
        <v>1</v>
      </c>
      <c r="AE48" s="51"/>
      <c r="AF48" s="85" t="s">
        <v>382</v>
      </c>
      <c r="AG48" s="65" t="s">
        <v>381</v>
      </c>
      <c r="AH48" s="79" t="str">
        <f>IFERROR((VLOOKUP($B48,'Из ГУГЛа'!$B:$AD,AH$1,0)+AJ48)*AI48,VLOOKUP($B48,'Из ГУГЛа'!$B:$AD,AH$1,0))</f>
        <v/>
      </c>
      <c r="AI48" s="51">
        <v>1</v>
      </c>
      <c r="AJ48" s="51"/>
      <c r="AK48" s="127"/>
      <c r="AL48" s="121"/>
      <c r="AM48" s="124" t="str">
        <f>IFERROR((VLOOKUP($B48,'Из ГУГЛа'!$B:$AD,AM$1,0)+AO48)*AN48,VLOOKUP($B48,'Из ГУГЛа'!$B:$AD,AM$1,0))</f>
        <v/>
      </c>
      <c r="AN48" s="125">
        <v>1</v>
      </c>
      <c r="AO48" s="125"/>
      <c r="AP48" s="127"/>
      <c r="AQ48" s="121"/>
    </row>
    <row r="49" spans="1:43" ht="61.5" thickTop="1" thickBot="1" x14ac:dyDescent="0.3">
      <c r="A49" s="75" t="str">
        <f>INDEX('Выгр Торг'!$A:$A,MATCH($B49,'Выгр Торг'!$B:$B,0))</f>
        <v>Пружины передние Фобос Спорт с занижением 25 / 40 / 50 / 70 мм для ВАЗ 2101-2107</v>
      </c>
      <c r="B49" s="41">
        <v>202012</v>
      </c>
      <c r="C49" s="41">
        <f>VLOOKUP($B49,'Выгр Торг'!$B:$T,C$1,0)</f>
        <v>127086</v>
      </c>
      <c r="D49" s="75" t="str">
        <f>VLOOKUP($B49,'Выгр Торг'!$B:$S,D$1,0)</f>
        <v>Пружины передние Фобос Спорт с занижением для ВАЗ 2101-2107 40 мм</v>
      </c>
      <c r="E49" s="41" t="str">
        <f>VLOOKUP($B49,'Выгр Торг'!$B:$T,E$1,0)</f>
        <v>N</v>
      </c>
      <c r="F49" s="41" t="str">
        <f>VLOOKUP($B49,'Выгр Торг'!$B:$T,F$1,0)</f>
        <v>0</v>
      </c>
      <c r="G49" s="41">
        <f>VLOOKUP($B49,'Выгр Торг'!$B:$T,G$1,0)</f>
        <v>0</v>
      </c>
      <c r="H49" s="41"/>
      <c r="I49" s="60"/>
      <c r="J49" s="1" t="s">
        <v>65</v>
      </c>
      <c r="K49" s="62">
        <f>O49</f>
        <v>3500</v>
      </c>
      <c r="L49" s="61">
        <f>VLOOKUP(K49,Наценка!$A$1:$B$8,2,1)</f>
        <v>1.32</v>
      </c>
      <c r="M49" s="64">
        <f t="shared" si="10"/>
        <v>4620</v>
      </c>
      <c r="N49" s="63">
        <f t="shared" si="18"/>
        <v>4690</v>
      </c>
      <c r="O49" s="41">
        <f>VLOOKUP($B49,'Выгр Торг'!$B:$T,O$1,0)</f>
        <v>3500</v>
      </c>
      <c r="P49" s="41">
        <f>VLOOKUP($B49,'Выгр Торг'!$B:$T,P$1,0)</f>
        <v>4690</v>
      </c>
      <c r="Q49" s="52">
        <f t="shared" si="5"/>
        <v>0</v>
      </c>
      <c r="R49" s="52">
        <f t="shared" si="6"/>
        <v>0</v>
      </c>
      <c r="S49" s="59">
        <f t="shared" si="7"/>
        <v>4361.7</v>
      </c>
      <c r="T49" s="76">
        <f t="shared" si="14"/>
        <v>0.24619999999999997</v>
      </c>
      <c r="U49" s="76" t="str">
        <f t="shared" si="15"/>
        <v/>
      </c>
      <c r="V49" s="76" t="str">
        <f t="shared" si="16"/>
        <v/>
      </c>
      <c r="W49" s="74"/>
      <c r="X49" s="79" t="str">
        <f>IFERROR((VLOOKUP($B49,'Из ГУГЛа'!$B:$AD,X$1,0)+Z49)*Y49,VLOOKUP($B49,'Из ГУГЛа'!$B:$AD,X$1,0))</f>
        <v/>
      </c>
      <c r="Y49" s="51">
        <v>1</v>
      </c>
      <c r="Z49" s="51"/>
      <c r="AA49" s="88" t="s">
        <v>324</v>
      </c>
      <c r="AC49" s="79" t="str">
        <f>IFERROR((VLOOKUP($B49,'Из ГУГЛа'!$B:$AD,AC$1,0)+AE49)*AD49,VLOOKUP($B49,'Из ГУГЛа'!$B:$AD,AC$1,0))</f>
        <v/>
      </c>
      <c r="AD49" s="51">
        <v>1</v>
      </c>
      <c r="AE49" s="51"/>
      <c r="AF49" s="41"/>
      <c r="AH49" s="79" t="str">
        <f>IFERROR((VLOOKUP($B49,'Из ГУГЛа'!$B:$AD,AH$1,0)+AJ49)*AI49,VLOOKUP($B49,'Из ГУГЛа'!$B:$AD,AH$1,0))</f>
        <v/>
      </c>
      <c r="AI49" s="51">
        <v>1</v>
      </c>
      <c r="AJ49" s="51"/>
      <c r="AK49" s="121"/>
      <c r="AL49" s="121"/>
      <c r="AM49" s="124" t="str">
        <f>IFERROR((VLOOKUP($B49,'Из ГУГЛа'!$B:$AD,AM$1,0)+AO49)*AN49,VLOOKUP($B49,'Из ГУГЛа'!$B:$AD,AM$1,0))</f>
        <v/>
      </c>
      <c r="AN49" s="125">
        <v>1</v>
      </c>
      <c r="AO49" s="125"/>
      <c r="AP49" s="121"/>
      <c r="AQ49" s="121"/>
    </row>
    <row r="50" spans="1:43" ht="61.5" thickTop="1" thickBot="1" x14ac:dyDescent="0.3">
      <c r="A50" s="75" t="str">
        <f>INDEX('Выгр Торг'!$A:$A,MATCH($B50,'Выгр Торг'!$B:$B,0))</f>
        <v>Пружины передние Фобос Спорт с занижением 25 / 40 / 50 / 70 мм для ВАЗ 2101-2107</v>
      </c>
      <c r="B50" s="41">
        <v>202013</v>
      </c>
      <c r="C50" s="41">
        <f>VLOOKUP($B50,'Выгр Торг'!$B:$T,C$1,0)</f>
        <v>127087</v>
      </c>
      <c r="D50" s="75" t="str">
        <f>VLOOKUP($B50,'Выгр Торг'!$B:$S,D$1,0)</f>
        <v>Пружины передние Фобос Спорт с занижением для ВАЗ 2101-2107 50 мм</v>
      </c>
      <c r="E50" s="41" t="str">
        <f>VLOOKUP($B50,'Выгр Торг'!$B:$T,E$1,0)</f>
        <v>N</v>
      </c>
      <c r="F50" s="41" t="str">
        <f>VLOOKUP($B50,'Выгр Торг'!$B:$T,F$1,0)</f>
        <v>0</v>
      </c>
      <c r="G50" s="41" t="str">
        <f>VLOOKUP($B50,'Выгр Торг'!$B:$T,G$1,0)</f>
        <v>Артикул: 49554</v>
      </c>
      <c r="H50" s="38" t="s">
        <v>30</v>
      </c>
      <c r="I50" s="77">
        <v>49554</v>
      </c>
      <c r="J50" s="1" t="s">
        <v>65</v>
      </c>
      <c r="K50" s="63">
        <f>VLOOKUP(H50,Прайс!B:D,3,0)</f>
        <v>3700</v>
      </c>
      <c r="L50" s="61">
        <f>VLOOKUP(K50,Наценка!$A$1:$B$8,2,1)</f>
        <v>1.32</v>
      </c>
      <c r="M50" s="100">
        <f>K50*1.2*100/93</f>
        <v>4774.1935483870966</v>
      </c>
      <c r="N50" s="63">
        <f t="shared" si="18"/>
        <v>4790</v>
      </c>
      <c r="O50" s="41">
        <f>VLOOKUP($B50,'Выгр Торг'!$B:$T,O$1,0)</f>
        <v>3700</v>
      </c>
      <c r="P50" s="41">
        <f>VLOOKUP($B50,'Выгр Торг'!$B:$T,P$1,0)</f>
        <v>4790</v>
      </c>
      <c r="Q50" s="52">
        <f t="shared" si="5"/>
        <v>0</v>
      </c>
      <c r="R50" s="52">
        <f t="shared" si="6"/>
        <v>0</v>
      </c>
      <c r="S50" s="59">
        <f t="shared" si="7"/>
        <v>4454.7</v>
      </c>
      <c r="T50" s="76">
        <f t="shared" si="14"/>
        <v>0.2039729729729729</v>
      </c>
      <c r="U50" s="76">
        <f t="shared" si="15"/>
        <v>-0.16159061277705342</v>
      </c>
      <c r="V50" s="76">
        <f t="shared" si="16"/>
        <v>3.6486486486486447E-2</v>
      </c>
      <c r="W50" s="93">
        <f>AF50</f>
        <v>3835</v>
      </c>
      <c r="X50" s="79">
        <f>IFERROR((VLOOKUP($B50,'Из ГУГЛа'!$B:$AD,X$1,0)+Z50)*Y50,VLOOKUP($B50,'Из ГУГЛа'!$B:$AD,X$1,0))</f>
        <v>4590</v>
      </c>
      <c r="Y50" s="51">
        <v>1</v>
      </c>
      <c r="Z50" s="51"/>
      <c r="AA50" s="88" t="s">
        <v>330</v>
      </c>
      <c r="AB50" s="65" t="s">
        <v>329</v>
      </c>
      <c r="AC50" s="79">
        <f>IFERROR((VLOOKUP($B50,'Из ГУГЛа'!$B:$AD,AC$1,0)+AE50)*AD50,VLOOKUP($B50,'Из ГУГЛа'!$B:$AD,AC$1,0))</f>
        <v>3835</v>
      </c>
      <c r="AD50" s="51">
        <v>1</v>
      </c>
      <c r="AE50" s="51"/>
      <c r="AF50" s="85">
        <v>3835</v>
      </c>
      <c r="AG50" s="65" t="s">
        <v>383</v>
      </c>
      <c r="AH50" s="79" t="str">
        <f>IFERROR((VLOOKUP($B50,'Из ГУГЛа'!$B:$AD,AH$1,0)+AJ50)*AI50,VLOOKUP($B50,'Из ГУГЛа'!$B:$AD,AH$1,0))</f>
        <v/>
      </c>
      <c r="AI50" s="51">
        <v>1</v>
      </c>
      <c r="AJ50" s="51"/>
      <c r="AK50" s="127"/>
      <c r="AL50" s="121"/>
      <c r="AM50" s="124" t="str">
        <f>IFERROR((VLOOKUP($B50,'Из ГУГЛа'!$B:$AD,AM$1,0)+AO50)*AN50,VLOOKUP($B50,'Из ГУГЛа'!$B:$AD,AM$1,0))</f>
        <v/>
      </c>
      <c r="AN50" s="125">
        <v>1</v>
      </c>
      <c r="AO50" s="125"/>
      <c r="AP50" s="127"/>
      <c r="AQ50" s="121"/>
    </row>
    <row r="51" spans="1:43" ht="61.5" thickTop="1" thickBot="1" x14ac:dyDescent="0.3">
      <c r="A51" s="75" t="str">
        <f>INDEX('Выгр Торг'!$A:$A,MATCH($B51,'Выгр Торг'!$B:$B,0))</f>
        <v>Пружины передние Фобос Спорт с занижением 25 / 40 / 50 / 70 мм для ВАЗ 2101-2107</v>
      </c>
      <c r="B51" s="41">
        <v>202014</v>
      </c>
      <c r="C51" s="41">
        <f>VLOOKUP($B51,'Выгр Торг'!$B:$T,C$1,0)</f>
        <v>127088</v>
      </c>
      <c r="D51" s="75" t="str">
        <f>VLOOKUP($B51,'Выгр Торг'!$B:$S,D$1,0)</f>
        <v>Пружины передние Фобос Спорт с занижением для ВАЗ 2101-2107 70 мм</v>
      </c>
      <c r="E51" s="41" t="str">
        <f>VLOOKUP($B51,'Выгр Торг'!$B:$T,E$1,0)</f>
        <v>N</v>
      </c>
      <c r="F51" s="41" t="str">
        <f>VLOOKUP($B51,'Выгр Торг'!$B:$T,F$1,0)</f>
        <v>0</v>
      </c>
      <c r="G51" s="41" t="str">
        <f>VLOOKUP($B51,'Выгр Торг'!$B:$T,G$1,0)</f>
        <v>Артикул: 210171</v>
      </c>
      <c r="H51" s="38" t="s">
        <v>31</v>
      </c>
      <c r="I51" s="77">
        <v>210171</v>
      </c>
      <c r="J51" s="1" t="s">
        <v>65</v>
      </c>
      <c r="K51" s="63">
        <f>VLOOKUP(H51,Прайс!B:D,3,0)</f>
        <v>3650</v>
      </c>
      <c r="L51" s="61">
        <f>VLOOKUP(K51,Наценка!$A$1:$B$8,2,1)</f>
        <v>1.32</v>
      </c>
      <c r="M51" s="100">
        <f t="shared" ref="M51:M53" si="21">K51*1.2*100/93</f>
        <v>4709.677419354839</v>
      </c>
      <c r="N51" s="63">
        <f t="shared" si="18"/>
        <v>4790</v>
      </c>
      <c r="O51" s="41">
        <f>VLOOKUP($B51,'Выгр Торг'!$B:$T,O$1,0)</f>
        <v>3650</v>
      </c>
      <c r="P51" s="41">
        <f>VLOOKUP($B51,'Выгр Торг'!$B:$T,P$1,0)</f>
        <v>4790</v>
      </c>
      <c r="Q51" s="52">
        <f t="shared" si="5"/>
        <v>0</v>
      </c>
      <c r="R51" s="52">
        <f t="shared" si="6"/>
        <v>0</v>
      </c>
      <c r="S51" s="59">
        <f t="shared" si="7"/>
        <v>4454.7</v>
      </c>
      <c r="T51" s="76">
        <f t="shared" si="14"/>
        <v>0.22046575342465746</v>
      </c>
      <c r="U51" s="76">
        <f t="shared" si="15"/>
        <v>2.9477124183006576E-2</v>
      </c>
      <c r="V51" s="76">
        <f t="shared" si="16"/>
        <v>0.25753424657534252</v>
      </c>
      <c r="W51" s="92">
        <f>AA51</f>
        <v>4590</v>
      </c>
      <c r="X51" s="79">
        <f>IFERROR((VLOOKUP($B51,'Из ГУГЛа'!$B:$AD,X$1,0)+Z51)*Y51,VLOOKUP($B51,'Из ГУГЛа'!$B:$AD,X$1,0))</f>
        <v>4590</v>
      </c>
      <c r="Y51" s="51">
        <v>1</v>
      </c>
      <c r="Z51" s="51"/>
      <c r="AA51" s="88">
        <v>4590</v>
      </c>
      <c r="AB51" s="65" t="s">
        <v>331</v>
      </c>
      <c r="AC51" s="79">
        <f>IFERROR((VLOOKUP($B51,'Из ГУГЛа'!$B:$AD,AC$1,0)+AE51)*AD51,VLOOKUP($B51,'Из ГУГЛа'!$B:$AD,AC$1,0))</f>
        <v>3835</v>
      </c>
      <c r="AD51" s="51">
        <v>1</v>
      </c>
      <c r="AE51" s="51"/>
      <c r="AF51" s="85">
        <v>3835</v>
      </c>
      <c r="AG51" s="65" t="s">
        <v>384</v>
      </c>
      <c r="AH51" s="79" t="str">
        <f>IFERROR((VLOOKUP($B51,'Из ГУГЛа'!$B:$AD,AH$1,0)+AJ51)*AI51,VLOOKUP($B51,'Из ГУГЛа'!$B:$AD,AH$1,0))</f>
        <v/>
      </c>
      <c r="AI51" s="51">
        <v>1</v>
      </c>
      <c r="AJ51" s="51"/>
      <c r="AK51" s="127"/>
      <c r="AL51" s="121"/>
      <c r="AM51" s="124" t="str">
        <f>IFERROR((VLOOKUP($B51,'Из ГУГЛа'!$B:$AD,AM$1,0)+AO51)*AN51,VLOOKUP($B51,'Из ГУГЛа'!$B:$AD,AM$1,0))</f>
        <v/>
      </c>
      <c r="AN51" s="125">
        <v>1</v>
      </c>
      <c r="AO51" s="125"/>
      <c r="AP51" s="127"/>
      <c r="AQ51" s="121"/>
    </row>
    <row r="52" spans="1:43" ht="76.5" thickTop="1" thickBot="1" x14ac:dyDescent="0.3">
      <c r="A52" s="75" t="str">
        <f>INDEX('Выгр Торг'!$A:$A,MATCH($B52,'Выгр Торг'!$B:$B,0))</f>
        <v>Пружины передние Фобос Спорт с занижением 25 / 40 / 50 / 70 / 90 мм для ВАЗ 2108-21099, 2113-2115, 2110-2112</v>
      </c>
      <c r="B52" s="41">
        <v>202016</v>
      </c>
      <c r="C52" s="41">
        <f>VLOOKUP($B52,'Выгр Торг'!$B:$T,C$1,0)</f>
        <v>127238</v>
      </c>
      <c r="D52" s="75" t="str">
        <f>VLOOKUP($B52,'Выгр Торг'!$B:$S,D$1,0)</f>
        <v>Пружины передние Фобос Спорт с занижением для ВАЗ 2108-21099, 2113-2115, 2110-2112 25 мм</v>
      </c>
      <c r="E52" s="41" t="str">
        <f>VLOOKUP($B52,'Выгр Торг'!$B:$T,E$1,0)</f>
        <v>N</v>
      </c>
      <c r="F52" s="41" t="str">
        <f>VLOOKUP($B52,'Выгр Торг'!$B:$T,F$1,0)</f>
        <v>1</v>
      </c>
      <c r="G52" s="41" t="str">
        <f>VLOOKUP($B52,'Выгр Торг'!$B:$T,G$1,0)</f>
        <v>Артикул: 30416</v>
      </c>
      <c r="H52" s="38" t="s">
        <v>43</v>
      </c>
      <c r="I52" s="77">
        <v>30416</v>
      </c>
      <c r="J52" s="1" t="s">
        <v>65</v>
      </c>
      <c r="K52" s="63">
        <f>VLOOKUP(H52,Прайс!B:D,3,0)</f>
        <v>3850</v>
      </c>
      <c r="L52" s="61">
        <f>VLOOKUP(K52,Наценка!$A$1:$B$8,2,1)</f>
        <v>1.32</v>
      </c>
      <c r="M52" s="100">
        <f t="shared" si="21"/>
        <v>4967.7419354838712</v>
      </c>
      <c r="N52" s="63">
        <f t="shared" si="18"/>
        <v>4990</v>
      </c>
      <c r="O52" s="41">
        <f>VLOOKUP($B52,'Выгр Торг'!$B:$T,O$1,0)</f>
        <v>3850</v>
      </c>
      <c r="P52" s="41">
        <f>VLOOKUP($B52,'Выгр Торг'!$B:$T,P$1,0)</f>
        <v>4990</v>
      </c>
      <c r="Q52" s="52">
        <f t="shared" si="5"/>
        <v>0</v>
      </c>
      <c r="R52" s="52">
        <f t="shared" si="6"/>
        <v>0</v>
      </c>
      <c r="S52" s="59">
        <f t="shared" si="7"/>
        <v>4640.7</v>
      </c>
      <c r="T52" s="76">
        <f t="shared" si="14"/>
        <v>0.20537662337662344</v>
      </c>
      <c r="U52" s="76">
        <f t="shared" si="15"/>
        <v>3.1169102296450979E-2</v>
      </c>
      <c r="V52" s="76">
        <f t="shared" si="16"/>
        <v>0.24415584415584424</v>
      </c>
      <c r="W52" s="92">
        <f>AA52</f>
        <v>4790</v>
      </c>
      <c r="X52" s="79">
        <f>IFERROR((VLOOKUP($B52,'Из ГУГЛа'!$B:$AD,X$1,0)+Z52)*Y52,VLOOKUP($B52,'Из ГУГЛа'!$B:$AD,X$1,0))</f>
        <v>4790</v>
      </c>
      <c r="Y52" s="51">
        <v>1</v>
      </c>
      <c r="Z52" s="51"/>
      <c r="AA52" s="88">
        <v>4790</v>
      </c>
      <c r="AB52" s="65" t="s">
        <v>316</v>
      </c>
      <c r="AC52" s="79">
        <f>IFERROR((VLOOKUP($B52,'Из ГУГЛа'!$B:$AD,AC$1,0)+AE52)*AD52,VLOOKUP($B52,'Из ГУГЛа'!$B:$AD,AC$1,0))</f>
        <v>4225</v>
      </c>
      <c r="AD52" s="51">
        <v>1</v>
      </c>
      <c r="AE52" s="51"/>
      <c r="AF52" s="85">
        <v>4225</v>
      </c>
      <c r="AG52" s="65" t="s">
        <v>390</v>
      </c>
      <c r="AH52" s="79" t="str">
        <f>IFERROR((VLOOKUP($B52,'Из ГУГЛа'!$B:$AD,AH$1,0)+AJ52)*AI52,VLOOKUP($B52,'Из ГУГЛа'!$B:$AD,AH$1,0))</f>
        <v/>
      </c>
      <c r="AI52" s="51">
        <v>1</v>
      </c>
      <c r="AJ52" s="51"/>
      <c r="AK52" s="127"/>
      <c r="AL52" s="121"/>
      <c r="AM52" s="124" t="str">
        <f>IFERROR((VLOOKUP($B52,'Из ГУГЛа'!$B:$AD,AM$1,0)+AO52)*AN52,VLOOKUP($B52,'Из ГУГЛа'!$B:$AD,AM$1,0))</f>
        <v/>
      </c>
      <c r="AN52" s="125">
        <v>1</v>
      </c>
      <c r="AO52" s="125"/>
      <c r="AP52" s="127"/>
      <c r="AQ52" s="121"/>
    </row>
    <row r="53" spans="1:43" ht="76.5" thickTop="1" thickBot="1" x14ac:dyDescent="0.3">
      <c r="A53" s="75" t="str">
        <f>INDEX('Выгр Торг'!$A:$A,MATCH($B53,'Выгр Торг'!$B:$B,0))</f>
        <v>Пружины передние Фобос Спорт с занижением 25 / 40 / 50 / 70 / 90 мм для ВАЗ 2108-21099, 2113-2115, 2110-2112</v>
      </c>
      <c r="B53" s="41">
        <v>202017</v>
      </c>
      <c r="C53" s="41">
        <f>VLOOKUP($B53,'Выгр Торг'!$B:$T,C$1,0)</f>
        <v>127239</v>
      </c>
      <c r="D53" s="75" t="str">
        <f>VLOOKUP($B53,'Выгр Торг'!$B:$S,D$1,0)</f>
        <v>Пружины передние Фобос Спорт с занижением для ВАЗ 2108-21099, 2113-2115, 2110-2112 40 мм</v>
      </c>
      <c r="E53" s="41" t="str">
        <f>VLOOKUP($B53,'Выгр Торг'!$B:$T,E$1,0)</f>
        <v>N</v>
      </c>
      <c r="F53" s="41" t="str">
        <f>VLOOKUP($B53,'Выгр Торг'!$B:$T,F$1,0)</f>
        <v>1</v>
      </c>
      <c r="G53" s="41" t="str">
        <f>VLOOKUP($B53,'Выгр Торг'!$B:$T,G$1,0)</f>
        <v>Артикул: 21434</v>
      </c>
      <c r="H53" s="38" t="s">
        <v>44</v>
      </c>
      <c r="I53" s="77">
        <v>21434</v>
      </c>
      <c r="J53" s="1" t="s">
        <v>65</v>
      </c>
      <c r="K53" s="63">
        <f>VLOOKUP(H53,Прайс!B:D,3,0)</f>
        <v>3500</v>
      </c>
      <c r="L53" s="61">
        <f>VLOOKUP(K53,Наценка!$A$1:$B$8,2,1)</f>
        <v>1.32</v>
      </c>
      <c r="M53" s="100">
        <f t="shared" si="21"/>
        <v>4516.1290322580644</v>
      </c>
      <c r="N53" s="63">
        <f t="shared" si="18"/>
        <v>4590</v>
      </c>
      <c r="O53" s="41">
        <f>VLOOKUP($B53,'Выгр Торг'!$B:$T,O$1,0)</f>
        <v>3500</v>
      </c>
      <c r="P53" s="41">
        <f>VLOOKUP($B53,'Выгр Торг'!$B:$T,P$1,0)</f>
        <v>4590</v>
      </c>
      <c r="Q53" s="52">
        <f t="shared" si="5"/>
        <v>0</v>
      </c>
      <c r="R53" s="52">
        <f t="shared" si="6"/>
        <v>0</v>
      </c>
      <c r="S53" s="59">
        <f t="shared" si="7"/>
        <v>4268.7</v>
      </c>
      <c r="T53" s="76">
        <f t="shared" si="14"/>
        <v>0.21962857142857128</v>
      </c>
      <c r="U53" s="76">
        <f t="shared" si="15"/>
        <v>2.7630979498861088E-2</v>
      </c>
      <c r="V53" s="76">
        <f t="shared" si="16"/>
        <v>0.25428571428571423</v>
      </c>
      <c r="W53" s="92">
        <f>AA53</f>
        <v>4390</v>
      </c>
      <c r="X53" s="79">
        <f>IFERROR((VLOOKUP($B53,'Из ГУГЛа'!$B:$AD,X$1,0)+Z53)*Y53,VLOOKUP($B53,'Из ГУГЛа'!$B:$AD,X$1,0))</f>
        <v>4390</v>
      </c>
      <c r="Y53" s="51">
        <v>1</v>
      </c>
      <c r="Z53" s="51"/>
      <c r="AA53" s="88">
        <v>4390</v>
      </c>
      <c r="AB53" s="65" t="s">
        <v>317</v>
      </c>
      <c r="AC53" s="79">
        <f>IFERROR((VLOOKUP($B53,'Из ГУГЛа'!$B:$AD,AC$1,0)+AE53)*AD53,VLOOKUP($B53,'Из ГУГЛа'!$B:$AD,AC$1,0))</f>
        <v>4030</v>
      </c>
      <c r="AD53" s="51">
        <v>1</v>
      </c>
      <c r="AE53" s="51"/>
      <c r="AF53" s="85">
        <v>4030</v>
      </c>
      <c r="AG53" s="65" t="s">
        <v>391</v>
      </c>
      <c r="AH53" s="79" t="str">
        <f>IFERROR((VLOOKUP($B53,'Из ГУГЛа'!$B:$AD,AH$1,0)+AJ53)*AI53,VLOOKUP($B53,'Из ГУГЛа'!$B:$AD,AH$1,0))</f>
        <v/>
      </c>
      <c r="AI53" s="51">
        <v>1</v>
      </c>
      <c r="AJ53" s="51"/>
      <c r="AK53" s="127"/>
      <c r="AL53" s="121"/>
      <c r="AM53" s="124" t="str">
        <f>IFERROR((VLOOKUP($B53,'Из ГУГЛа'!$B:$AD,AM$1,0)+AO53)*AN53,VLOOKUP($B53,'Из ГУГЛа'!$B:$AD,AM$1,0))</f>
        <v/>
      </c>
      <c r="AN53" s="125">
        <v>1</v>
      </c>
      <c r="AO53" s="125"/>
      <c r="AP53" s="127"/>
      <c r="AQ53" s="121"/>
    </row>
    <row r="54" spans="1:43" ht="76.5" thickTop="1" thickBot="1" x14ac:dyDescent="0.3">
      <c r="A54" s="75" t="str">
        <f>INDEX('Выгр Торг'!$A:$A,MATCH($B54,'Выгр Торг'!$B:$B,0))</f>
        <v>Пружины передние Фобос Спорт с занижением 25 / 40 / 50 / 70 / 90 мм для ВАЗ 2108-21099, 2113-2115, 2110-2112</v>
      </c>
      <c r="B54" s="41">
        <v>202018</v>
      </c>
      <c r="C54" s="41">
        <f>VLOOKUP($B54,'Выгр Торг'!$B:$T,C$1,0)</f>
        <v>127240</v>
      </c>
      <c r="D54" s="75" t="str">
        <f>VLOOKUP($B54,'Выгр Торг'!$B:$S,D$1,0)</f>
        <v>Пружины передние Фобос Спорт с занижением для ВАЗ 2108-21099, 2113-2115, 2110-2112 50 мм</v>
      </c>
      <c r="E54" s="41" t="str">
        <f>VLOOKUP($B54,'Выгр Торг'!$B:$T,E$1,0)</f>
        <v>N</v>
      </c>
      <c r="F54" s="41" t="str">
        <f>VLOOKUP($B54,'Выгр Торг'!$B:$T,F$1,0)</f>
        <v>1</v>
      </c>
      <c r="G54" s="41" t="str">
        <f>VLOOKUP($B54,'Выгр Торг'!$B:$T,G$1,0)</f>
        <v>Артикул: 49557</v>
      </c>
      <c r="H54" s="38" t="s">
        <v>45</v>
      </c>
      <c r="I54" s="77">
        <v>49557</v>
      </c>
      <c r="J54" s="1" t="s">
        <v>65</v>
      </c>
      <c r="K54" s="63">
        <f>VLOOKUP(H54,Прайс!B:D,3,0)</f>
        <v>4000</v>
      </c>
      <c r="L54" s="61">
        <f>VLOOKUP(K54,Наценка!$A$1:$B$8,2,1)</f>
        <v>1.32</v>
      </c>
      <c r="M54" s="94">
        <f t="shared" ref="M54:M56" si="22">W54*1</f>
        <v>5190</v>
      </c>
      <c r="N54" s="63">
        <f t="shared" si="18"/>
        <v>5190</v>
      </c>
      <c r="O54" s="41">
        <f>VLOOKUP($B54,'Выгр Торг'!$B:$T,O$1,0)</f>
        <v>4000</v>
      </c>
      <c r="P54" s="41">
        <f>VLOOKUP($B54,'Выгр Торг'!$B:$T,P$1,0)</f>
        <v>5190</v>
      </c>
      <c r="Q54" s="52">
        <f t="shared" si="5"/>
        <v>0</v>
      </c>
      <c r="R54" s="52">
        <f t="shared" si="6"/>
        <v>0</v>
      </c>
      <c r="S54" s="59">
        <f t="shared" si="7"/>
        <v>4826.7</v>
      </c>
      <c r="T54" s="76">
        <f t="shared" si="14"/>
        <v>0.20667499999999994</v>
      </c>
      <c r="U54" s="76">
        <f t="shared" si="15"/>
        <v>7.0000000000000034E-2</v>
      </c>
      <c r="V54" s="76">
        <f t="shared" si="16"/>
        <v>0.2975000000000001</v>
      </c>
      <c r="W54" s="92">
        <f>AA54</f>
        <v>5190</v>
      </c>
      <c r="X54" s="79">
        <f>IFERROR((VLOOKUP($B54,'Из ГУГЛа'!$B:$AD,X$1,0)+Z54)*Y54,VLOOKUP($B54,'Из ГУГЛа'!$B:$AD,X$1,0))</f>
        <v>5190</v>
      </c>
      <c r="Y54" s="51">
        <v>1</v>
      </c>
      <c r="Z54" s="51"/>
      <c r="AA54" s="88">
        <v>5190</v>
      </c>
      <c r="AB54" s="65" t="s">
        <v>318</v>
      </c>
      <c r="AC54" s="79">
        <f>IFERROR((VLOOKUP($B54,'Из ГУГЛа'!$B:$AD,AC$1,0)+AE54)*AD54,VLOOKUP($B54,'Из ГУГЛа'!$B:$AD,AC$1,0))</f>
        <v>4290</v>
      </c>
      <c r="AD54" s="51">
        <v>1</v>
      </c>
      <c r="AE54" s="51"/>
      <c r="AF54" s="85">
        <v>4290</v>
      </c>
      <c r="AG54" s="65" t="s">
        <v>392</v>
      </c>
      <c r="AH54" s="79" t="str">
        <f>IFERROR((VLOOKUP($B54,'Из ГУГЛа'!$B:$AD,AH$1,0)+AJ54)*AI54,VLOOKUP($B54,'Из ГУГЛа'!$B:$AD,AH$1,0))</f>
        <v/>
      </c>
      <c r="AI54" s="51">
        <v>1</v>
      </c>
      <c r="AJ54" s="51"/>
      <c r="AK54" s="127"/>
      <c r="AL54" s="121"/>
      <c r="AM54" s="124" t="str">
        <f>IFERROR((VLOOKUP($B54,'Из ГУГЛа'!$B:$AD,AM$1,0)+AO54)*AN54,VLOOKUP($B54,'Из ГУГЛа'!$B:$AD,AM$1,0))</f>
        <v/>
      </c>
      <c r="AN54" s="125">
        <v>1</v>
      </c>
      <c r="AO54" s="125"/>
      <c r="AP54" s="127"/>
      <c r="AQ54" s="121"/>
    </row>
    <row r="55" spans="1:43" ht="76.5" thickTop="1" thickBot="1" x14ac:dyDescent="0.3">
      <c r="A55" s="75" t="str">
        <f>INDEX('Выгр Торг'!$A:$A,MATCH($B55,'Выгр Торг'!$B:$B,0))</f>
        <v>Пружины передние Фобос Спорт с занижением 25 / 40 / 50 / 70 / 90 мм для ВАЗ 2108-21099, 2113-2115, 2110-2112</v>
      </c>
      <c r="B55" s="41">
        <v>202019</v>
      </c>
      <c r="C55" s="41">
        <f>VLOOKUP($B55,'Выгр Торг'!$B:$T,C$1,0)</f>
        <v>127241</v>
      </c>
      <c r="D55" s="75" t="str">
        <f>VLOOKUP($B55,'Выгр Торг'!$B:$S,D$1,0)</f>
        <v>Пружины передние Фобос Спорт с занижением для ВАЗ 2108-21099, 2113-2115, 2110-2112 70 мм</v>
      </c>
      <c r="E55" s="41" t="str">
        <f>VLOOKUP($B55,'Выгр Торг'!$B:$T,E$1,0)</f>
        <v>N</v>
      </c>
      <c r="F55" s="41" t="str">
        <f>VLOOKUP($B55,'Выгр Торг'!$B:$T,F$1,0)</f>
        <v>1</v>
      </c>
      <c r="G55" s="41" t="str">
        <f>VLOOKUP($B55,'Выгр Торг'!$B:$T,G$1,0)</f>
        <v>Артикул: 564147</v>
      </c>
      <c r="H55" s="38" t="s">
        <v>47</v>
      </c>
      <c r="I55" s="77">
        <v>564147</v>
      </c>
      <c r="J55" s="1" t="s">
        <v>65</v>
      </c>
      <c r="K55" s="63">
        <f>VLOOKUP(H55,Прайс!B:D,3,0)</f>
        <v>3600</v>
      </c>
      <c r="L55" s="61">
        <f>VLOOKUP(K55,Наценка!$A$1:$B$8,2,1)</f>
        <v>1.32</v>
      </c>
      <c r="M55" s="100">
        <f>K55*1.2*100/93</f>
        <v>4645.1612903225805</v>
      </c>
      <c r="N55" s="63">
        <f t="shared" si="18"/>
        <v>4690</v>
      </c>
      <c r="O55" s="41">
        <f>VLOOKUP($B55,'Выгр Торг'!$B:$T,O$1,0)</f>
        <v>3600</v>
      </c>
      <c r="P55" s="41">
        <f>VLOOKUP($B55,'Выгр Торг'!$B:$T,P$1,0)</f>
        <v>4690</v>
      </c>
      <c r="Q55" s="52">
        <f t="shared" si="5"/>
        <v>0</v>
      </c>
      <c r="R55" s="52">
        <f t="shared" si="6"/>
        <v>0</v>
      </c>
      <c r="S55" s="59">
        <f t="shared" si="7"/>
        <v>4361.7</v>
      </c>
      <c r="T55" s="76">
        <f t="shared" si="14"/>
        <v>0.21158333333333323</v>
      </c>
      <c r="U55" s="76">
        <f t="shared" si="15"/>
        <v>6.4464692482916128E-3</v>
      </c>
      <c r="V55" s="76">
        <f t="shared" si="16"/>
        <v>0.21944444444444455</v>
      </c>
      <c r="W55" s="92">
        <f>AA55</f>
        <v>4390</v>
      </c>
      <c r="X55" s="79">
        <f>IFERROR((VLOOKUP($B55,'Из ГУГЛа'!$B:$AD,X$1,0)+Z55)*Y55,VLOOKUP($B55,'Из ГУГЛа'!$B:$AD,X$1,0))</f>
        <v>4390</v>
      </c>
      <c r="Y55" s="51">
        <v>1</v>
      </c>
      <c r="Z55" s="51"/>
      <c r="AA55" s="88">
        <v>4390</v>
      </c>
      <c r="AB55" s="65" t="s">
        <v>319</v>
      </c>
      <c r="AC55" s="79">
        <f>IFERROR((VLOOKUP($B55,'Из ГУГЛа'!$B:$AD,AC$1,0)+AE55)*AD55,VLOOKUP($B55,'Из ГУГЛа'!$B:$AD,AC$1,0))</f>
        <v>4400</v>
      </c>
      <c r="AD55" s="51">
        <v>1</v>
      </c>
      <c r="AE55" s="51"/>
      <c r="AF55" s="85">
        <v>4400</v>
      </c>
      <c r="AG55" s="65" t="s">
        <v>393</v>
      </c>
      <c r="AH55" s="79" t="str">
        <f>IFERROR((VLOOKUP($B55,'Из ГУГЛа'!$B:$AD,AH$1,0)+AJ55)*AI55,VLOOKUP($B55,'Из ГУГЛа'!$B:$AD,AH$1,0))</f>
        <v/>
      </c>
      <c r="AI55" s="51">
        <v>1</v>
      </c>
      <c r="AJ55" s="51"/>
      <c r="AK55" s="127"/>
      <c r="AL55" s="121"/>
      <c r="AM55" s="124" t="str">
        <f>IFERROR((VLOOKUP($B55,'Из ГУГЛа'!$B:$AD,AM$1,0)+AO55)*AN55,VLOOKUP($B55,'Из ГУГЛа'!$B:$AD,AM$1,0))</f>
        <v/>
      </c>
      <c r="AN55" s="125">
        <v>1</v>
      </c>
      <c r="AO55" s="125"/>
      <c r="AP55" s="127"/>
      <c r="AQ55" s="121"/>
    </row>
    <row r="56" spans="1:43" ht="76.5" thickTop="1" thickBot="1" x14ac:dyDescent="0.3">
      <c r="A56" s="75" t="str">
        <f>INDEX('Выгр Торг'!$A:$A,MATCH($B56,'Выгр Торг'!$B:$B,0))</f>
        <v>Пружины передние Фобос Спорт с занижением 25 / 40 / 50 / 70 / 90 мм для ВАЗ 2108-21099, 2113-2115, 2110-2112</v>
      </c>
      <c r="B56" s="41">
        <v>202020</v>
      </c>
      <c r="C56" s="41">
        <f>VLOOKUP($B56,'Выгр Торг'!$B:$T,C$1,0)</f>
        <v>127242</v>
      </c>
      <c r="D56" s="75" t="str">
        <f>VLOOKUP($B56,'Выгр Торг'!$B:$S,D$1,0)</f>
        <v>Пружины передние Фобос Спорт с занижением для ВАЗ 2108-21099, 2113-2115, 2110-2112 90 мм</v>
      </c>
      <c r="E56" s="41" t="str">
        <f>VLOOKUP($B56,'Выгр Торг'!$B:$T,E$1,0)</f>
        <v>N</v>
      </c>
      <c r="F56" s="41" t="str">
        <f>VLOOKUP($B56,'Выгр Торг'!$B:$T,F$1,0)</f>
        <v>1</v>
      </c>
      <c r="G56" s="41" t="str">
        <f>VLOOKUP($B56,'Выгр Торг'!$B:$T,G$1,0)</f>
        <v>Артикул: 211091</v>
      </c>
      <c r="H56" s="38" t="s">
        <v>48</v>
      </c>
      <c r="I56" s="77">
        <v>211091</v>
      </c>
      <c r="J56" s="1" t="s">
        <v>65</v>
      </c>
      <c r="K56" s="63">
        <f>VLOOKUP(H56,Прайс!B:D,3,0)</f>
        <v>3400</v>
      </c>
      <c r="L56" s="61">
        <f>VLOOKUP(K56,Наценка!$A$1:$B$8,2,1)</f>
        <v>1.32</v>
      </c>
      <c r="M56" s="94">
        <f t="shared" si="22"/>
        <v>4400</v>
      </c>
      <c r="N56" s="63">
        <f t="shared" si="18"/>
        <v>4390</v>
      </c>
      <c r="O56" s="41">
        <f>VLOOKUP($B56,'Выгр Торг'!$B:$T,O$1,0)</f>
        <v>3400</v>
      </c>
      <c r="P56" s="41">
        <f>VLOOKUP($B56,'Выгр Торг'!$B:$T,P$1,0)</f>
        <v>4390</v>
      </c>
      <c r="Q56" s="52">
        <f t="shared" si="5"/>
        <v>0</v>
      </c>
      <c r="R56" s="52">
        <f t="shared" si="6"/>
        <v>0</v>
      </c>
      <c r="S56" s="59">
        <f t="shared" si="7"/>
        <v>4082.7</v>
      </c>
      <c r="T56" s="76">
        <f t="shared" si="14"/>
        <v>0.20079411764705868</v>
      </c>
      <c r="U56" s="76">
        <f t="shared" si="15"/>
        <v>7.2113636363636408E-2</v>
      </c>
      <c r="V56" s="76">
        <f t="shared" si="16"/>
        <v>0.29411764705882359</v>
      </c>
      <c r="W56" s="93">
        <f>AF56</f>
        <v>4400</v>
      </c>
      <c r="X56" s="79" t="str">
        <f>IFERROR((VLOOKUP($B56,'Из ГУГЛа'!$B:$AD,X$1,0)+Z56)*Y56,VLOOKUP($B56,'Из ГУГЛа'!$B:$AD,X$1,0))</f>
        <v/>
      </c>
      <c r="Y56" s="51">
        <v>1</v>
      </c>
      <c r="Z56" s="51"/>
      <c r="AA56" s="88" t="s">
        <v>324</v>
      </c>
      <c r="AC56" s="79">
        <f>IFERROR((VLOOKUP($B56,'Из ГУГЛа'!$B:$AD,AC$1,0)+AE56)*AD56,VLOOKUP($B56,'Из ГУГЛа'!$B:$AD,AC$1,0))</f>
        <v>4400</v>
      </c>
      <c r="AD56" s="51">
        <v>1</v>
      </c>
      <c r="AE56" s="51"/>
      <c r="AF56" s="85">
        <v>4400</v>
      </c>
      <c r="AG56" s="65" t="s">
        <v>394</v>
      </c>
      <c r="AH56" s="79" t="str">
        <f>IFERROR((VLOOKUP($B56,'Из ГУГЛа'!$B:$AD,AH$1,0)+AJ56)*AI56,VLOOKUP($B56,'Из ГУГЛа'!$B:$AD,AH$1,0))</f>
        <v/>
      </c>
      <c r="AI56" s="51">
        <v>1</v>
      </c>
      <c r="AJ56" s="51"/>
      <c r="AK56" s="127"/>
      <c r="AL56" s="121"/>
      <c r="AM56" s="124" t="str">
        <f>IFERROR((VLOOKUP($B56,'Из ГУГЛа'!$B:$AD,AM$1,0)+AO56)*AN56,VLOOKUP($B56,'Из ГУГЛа'!$B:$AD,AM$1,0))</f>
        <v/>
      </c>
      <c r="AN56" s="125">
        <v>1</v>
      </c>
      <c r="AO56" s="125"/>
      <c r="AP56" s="127"/>
      <c r="AQ56" s="121"/>
    </row>
    <row r="57" spans="1:43" ht="91.5" thickTop="1" thickBot="1" x14ac:dyDescent="0.3">
      <c r="A57" s="75" t="str">
        <f>INDEX('Выгр Торг'!$A:$A,MATCH($B57,'Выгр Торг'!$B:$B,0))</f>
        <v>Пружины передние Фобос Спорт с занижением 25 / 40 / 50 / 70 мм для Лада Калина, Калина 2, Приора, Приора 2, Гранта</v>
      </c>
      <c r="B57" s="41">
        <v>202022</v>
      </c>
      <c r="C57" s="41">
        <f>VLOOKUP($B57,'Выгр Торг'!$B:$T,C$1,0)</f>
        <v>127314</v>
      </c>
      <c r="D57" s="75" t="str">
        <f>VLOOKUP($B57,'Выгр Торг'!$B:$S,D$1,0)</f>
        <v>Пружины передние Фобос Спорт с занижением для Лада Калина, Калина 2, Приора, Приора 2, Гранта 25 мм</v>
      </c>
      <c r="E57" s="41" t="str">
        <f>VLOOKUP($B57,'Выгр Торг'!$B:$T,E$1,0)</f>
        <v>N</v>
      </c>
      <c r="F57" s="41" t="str">
        <f>VLOOKUP($B57,'Выгр Торг'!$B:$T,F$1,0)</f>
        <v>1</v>
      </c>
      <c r="G57" s="41" t="str">
        <f>VLOOKUP($B57,'Выгр Торг'!$B:$T,G$1,0)</f>
        <v>Артикул: 217025</v>
      </c>
      <c r="H57" s="38" t="s">
        <v>49</v>
      </c>
      <c r="I57" s="77" t="s">
        <v>97</v>
      </c>
      <c r="J57" s="1" t="s">
        <v>65</v>
      </c>
      <c r="K57" s="63">
        <f>VLOOKUP(H57,Прайс!B:D,3,0)</f>
        <v>3000</v>
      </c>
      <c r="L57" s="61">
        <f>VLOOKUP(K57,Наценка!$A$1:$B$8,2,1)</f>
        <v>1.32</v>
      </c>
      <c r="M57" s="100">
        <f t="shared" ref="M57:M59" si="23">K57*1.2*100/93</f>
        <v>3870.9677419354839</v>
      </c>
      <c r="N57" s="63">
        <f t="shared" si="18"/>
        <v>3890</v>
      </c>
      <c r="O57" s="41">
        <f>VLOOKUP($B57,'Выгр Торг'!$B:$T,O$1,0)</f>
        <v>3000</v>
      </c>
      <c r="P57" s="41">
        <f>VLOOKUP($B57,'Выгр Торг'!$B:$T,P$1,0)</f>
        <v>3890</v>
      </c>
      <c r="Q57" s="52">
        <f t="shared" si="5"/>
        <v>0</v>
      </c>
      <c r="R57" s="52">
        <f t="shared" si="6"/>
        <v>0</v>
      </c>
      <c r="S57" s="59">
        <f t="shared" si="7"/>
        <v>3617.7</v>
      </c>
      <c r="T57" s="76">
        <f t="shared" si="14"/>
        <v>0.20589999999999997</v>
      </c>
      <c r="U57" s="76">
        <f t="shared" si="15"/>
        <v>-7.7158774373258547E-3</v>
      </c>
      <c r="V57" s="76">
        <f t="shared" si="16"/>
        <v>0.19666666666666677</v>
      </c>
      <c r="W57" s="92">
        <f>AA57</f>
        <v>3590</v>
      </c>
      <c r="X57" s="79">
        <f>IFERROR((VLOOKUP($B57,'Из ГУГЛа'!$B:$AD,X$1,0)+Z57)*Y57,VLOOKUP($B57,'Из ГУГЛа'!$B:$AD,X$1,0))</f>
        <v>3590</v>
      </c>
      <c r="Y57" s="51">
        <v>1</v>
      </c>
      <c r="Z57" s="51"/>
      <c r="AA57" s="88">
        <v>3590</v>
      </c>
      <c r="AB57" s="65" t="s">
        <v>332</v>
      </c>
      <c r="AC57" s="79">
        <f>IFERROR((VLOOKUP($B57,'Из ГУГЛа'!$B:$AD,AC$1,0)+AE57)*AD57,VLOOKUP($B57,'Из ГУГЛа'!$B:$AD,AC$1,0))</f>
        <v>3120</v>
      </c>
      <c r="AD57" s="51">
        <v>1</v>
      </c>
      <c r="AE57" s="51"/>
      <c r="AF57" s="85">
        <v>3120</v>
      </c>
      <c r="AG57" s="65" t="s">
        <v>395</v>
      </c>
      <c r="AH57" s="79" t="str">
        <f>IFERROR((VLOOKUP($B57,'Из ГУГЛа'!$B:$AD,AH$1,0)+AJ57)*AI57,VLOOKUP($B57,'Из ГУГЛа'!$B:$AD,AH$1,0))</f>
        <v/>
      </c>
      <c r="AI57" s="51">
        <v>1</v>
      </c>
      <c r="AJ57" s="51"/>
      <c r="AK57" s="127"/>
      <c r="AL57" s="121"/>
      <c r="AM57" s="124" t="str">
        <f>IFERROR((VLOOKUP($B57,'Из ГУГЛа'!$B:$AD,AM$1,0)+AO57)*AN57,VLOOKUP($B57,'Из ГУГЛа'!$B:$AD,AM$1,0))</f>
        <v/>
      </c>
      <c r="AN57" s="125">
        <v>1</v>
      </c>
      <c r="AO57" s="125"/>
      <c r="AP57" s="127"/>
      <c r="AQ57" s="121"/>
    </row>
    <row r="58" spans="1:43" ht="91.5" thickTop="1" thickBot="1" x14ac:dyDescent="0.3">
      <c r="A58" s="75" t="str">
        <f>INDEX('Выгр Торг'!$A:$A,MATCH($B58,'Выгр Торг'!$B:$B,0))</f>
        <v>Пружины передние Фобос Спорт с занижением 25 / 40 / 50 / 70 мм для Лада Калина, Калина 2, Приора, Приора 2, Гранта</v>
      </c>
      <c r="B58" s="41">
        <v>202023</v>
      </c>
      <c r="C58" s="41">
        <f>VLOOKUP($B58,'Выгр Торг'!$B:$T,C$1,0)</f>
        <v>127315</v>
      </c>
      <c r="D58" s="75" t="str">
        <f>VLOOKUP($B58,'Выгр Торг'!$B:$S,D$1,0)</f>
        <v>Пружины передние Фобос Спорт с занижением для Лада Калина, Калина 2, Приора, Приора 2, Гранта 40 мм</v>
      </c>
      <c r="E58" s="41" t="str">
        <f>VLOOKUP($B58,'Выгр Торг'!$B:$T,E$1,0)</f>
        <v>N</v>
      </c>
      <c r="F58" s="41" t="str">
        <f>VLOOKUP($B58,'Выгр Торг'!$B:$T,F$1,0)</f>
        <v>1</v>
      </c>
      <c r="G58" s="41" t="str">
        <f>VLOOKUP($B58,'Выгр Торг'!$B:$T,G$1,0)</f>
        <v>Артикул: 49558</v>
      </c>
      <c r="H58" s="38" t="s">
        <v>49</v>
      </c>
      <c r="I58" s="77" t="s">
        <v>96</v>
      </c>
      <c r="J58" s="1" t="s">
        <v>65</v>
      </c>
      <c r="K58" s="63">
        <f>VLOOKUP(H58,Прайс!B:D,3,0)</f>
        <v>3000</v>
      </c>
      <c r="L58" s="61">
        <f>VLOOKUP(K58,Наценка!$A$1:$B$8,2,1)</f>
        <v>1.32</v>
      </c>
      <c r="M58" s="100">
        <f t="shared" si="23"/>
        <v>3870.9677419354839</v>
      </c>
      <c r="N58" s="63">
        <f t="shared" si="18"/>
        <v>3890</v>
      </c>
      <c r="O58" s="41">
        <f>VLOOKUP($B58,'Выгр Торг'!$B:$T,O$1,0)</f>
        <v>3000</v>
      </c>
      <c r="P58" s="41">
        <f>VLOOKUP($B58,'Выгр Торг'!$B:$T,P$1,0)</f>
        <v>3890</v>
      </c>
      <c r="Q58" s="52">
        <f>O58-K58</f>
        <v>0</v>
      </c>
      <c r="R58" s="52">
        <f>P58-N58</f>
        <v>0</v>
      </c>
      <c r="S58" s="59">
        <f>IFERROR(N58*(1-$S$2),"")</f>
        <v>3617.7</v>
      </c>
      <c r="T58" s="76">
        <f t="shared" si="14"/>
        <v>0.20589999999999997</v>
      </c>
      <c r="U58" s="76">
        <f t="shared" si="15"/>
        <v>-7.7158774373258547E-3</v>
      </c>
      <c r="V58" s="76">
        <f t="shared" si="16"/>
        <v>0.19666666666666677</v>
      </c>
      <c r="W58" s="92">
        <f>AA58</f>
        <v>3590</v>
      </c>
      <c r="X58" s="79">
        <f>IFERROR((VLOOKUP($B58,'Из ГУГЛа'!$B:$AD,X$1,0)+Z58)*Y58,VLOOKUP($B58,'Из ГУГЛа'!$B:$AD,X$1,0))</f>
        <v>3590</v>
      </c>
      <c r="Y58" s="51">
        <v>1</v>
      </c>
      <c r="Z58" s="51"/>
      <c r="AA58" s="88">
        <v>3590</v>
      </c>
      <c r="AB58" s="65" t="s">
        <v>333</v>
      </c>
      <c r="AC58" s="79">
        <f>IFERROR((VLOOKUP($B58,'Из ГУГЛа'!$B:$AD,AC$1,0)+AE58)*AD58,VLOOKUP($B58,'Из ГУГЛа'!$B:$AD,AC$1,0))</f>
        <v>3120</v>
      </c>
      <c r="AD58" s="51">
        <v>1</v>
      </c>
      <c r="AE58" s="51"/>
      <c r="AF58" s="85">
        <v>3120</v>
      </c>
      <c r="AG58" s="65" t="s">
        <v>396</v>
      </c>
      <c r="AH58" s="79" t="str">
        <f>IFERROR((VLOOKUP($B58,'Из ГУГЛа'!$B:$AD,AH$1,0)+AJ58)*AI58,VLOOKUP($B58,'Из ГУГЛа'!$B:$AD,AH$1,0))</f>
        <v/>
      </c>
      <c r="AI58" s="51">
        <v>1</v>
      </c>
      <c r="AJ58" s="51"/>
      <c r="AK58" s="127"/>
      <c r="AL58" s="121"/>
      <c r="AM58" s="124" t="str">
        <f>IFERROR((VLOOKUP($B58,'Из ГУГЛа'!$B:$AD,AM$1,0)+AO58)*AN58,VLOOKUP($B58,'Из ГУГЛа'!$B:$AD,AM$1,0))</f>
        <v/>
      </c>
      <c r="AN58" s="125">
        <v>1</v>
      </c>
      <c r="AO58" s="125"/>
      <c r="AP58" s="127"/>
      <c r="AQ58" s="121"/>
    </row>
    <row r="59" spans="1:43" ht="91.5" thickTop="1" thickBot="1" x14ac:dyDescent="0.3">
      <c r="A59" s="75" t="str">
        <f>INDEX('Выгр Торг'!$A:$A,MATCH($B59,'Выгр Торг'!$B:$B,0))</f>
        <v>Пружины передние Фобос Спорт с занижением 25 / 40 / 50 / 70 мм для Лада Калина, Калина 2, Приора, Приора 2, Гранта</v>
      </c>
      <c r="B59" s="41">
        <v>202024</v>
      </c>
      <c r="C59" s="41">
        <f>VLOOKUP($B59,'Выгр Торг'!$B:$T,C$1,0)</f>
        <v>127316</v>
      </c>
      <c r="D59" s="75" t="str">
        <f>VLOOKUP($B59,'Выгр Торг'!$B:$S,D$1,0)</f>
        <v>Пружины передние Фобос Спорт с занижением для Лада Калина, Калина 2, Приора, Приора 2, Гранта 50 мм</v>
      </c>
      <c r="E59" s="41" t="str">
        <f>VLOOKUP($B59,'Выгр Торг'!$B:$T,E$1,0)</f>
        <v>N</v>
      </c>
      <c r="F59" s="41" t="str">
        <f>VLOOKUP($B59,'Выгр Торг'!$B:$T,F$1,0)</f>
        <v>1</v>
      </c>
      <c r="G59" s="41" t="str">
        <f>VLOOKUP($B59,'Выгр Торг'!$B:$T,G$1,0)</f>
        <v>Артикул: 217051</v>
      </c>
      <c r="H59" s="38" t="s">
        <v>49</v>
      </c>
      <c r="I59" s="77" t="s">
        <v>95</v>
      </c>
      <c r="J59" s="1" t="s">
        <v>65</v>
      </c>
      <c r="K59" s="63">
        <f>VLOOKUP(H59,Прайс!B:D,3,0)</f>
        <v>3000</v>
      </c>
      <c r="L59" s="61">
        <f>VLOOKUP(K59,Наценка!$A$1:$B$8,2,1)</f>
        <v>1.32</v>
      </c>
      <c r="M59" s="100">
        <f t="shared" si="23"/>
        <v>3870.9677419354839</v>
      </c>
      <c r="N59" s="63">
        <f t="shared" si="18"/>
        <v>3890</v>
      </c>
      <c r="O59" s="41">
        <f>VLOOKUP($B59,'Выгр Торг'!$B:$T,O$1,0)</f>
        <v>3000</v>
      </c>
      <c r="P59" s="41">
        <f>VLOOKUP($B59,'Выгр Торг'!$B:$T,P$1,0)</f>
        <v>3890</v>
      </c>
      <c r="Q59" s="52">
        <f>O59-K59</f>
        <v>0</v>
      </c>
      <c r="R59" s="52">
        <f>P59-N59</f>
        <v>0</v>
      </c>
      <c r="S59" s="59">
        <f>IFERROR(N59*(1-$S$2),"")</f>
        <v>3617.7</v>
      </c>
      <c r="T59" s="76">
        <f t="shared" si="14"/>
        <v>0.20589999999999997</v>
      </c>
      <c r="U59" s="76">
        <f t="shared" si="15"/>
        <v>-7.7158774373258547E-3</v>
      </c>
      <c r="V59" s="76">
        <f t="shared" si="16"/>
        <v>0.19666666666666677</v>
      </c>
      <c r="W59" s="92">
        <f>AA59</f>
        <v>3590</v>
      </c>
      <c r="X59" s="79">
        <f>IFERROR((VLOOKUP($B59,'Из ГУГЛа'!$B:$AD,X$1,0)+Z59)*Y59,VLOOKUP($B59,'Из ГУГЛа'!$B:$AD,X$1,0))</f>
        <v>3590</v>
      </c>
      <c r="Y59" s="51">
        <v>1</v>
      </c>
      <c r="Z59" s="51"/>
      <c r="AA59" s="88">
        <v>3590</v>
      </c>
      <c r="AB59" s="65" t="s">
        <v>334</v>
      </c>
      <c r="AC59" s="79" t="str">
        <f>IFERROR((VLOOKUP($B59,'Из ГУГЛа'!$B:$AD,AC$1,0)+AE59)*AD59,VLOOKUP($B59,'Из ГУГЛа'!$B:$AD,AC$1,0))</f>
        <v/>
      </c>
      <c r="AD59" s="51">
        <v>1</v>
      </c>
      <c r="AE59" s="51"/>
      <c r="AF59" s="41"/>
      <c r="AH59" s="79" t="str">
        <f>IFERROR((VLOOKUP($B59,'Из ГУГЛа'!$B:$AD,AH$1,0)+AJ59)*AI59,VLOOKUP($B59,'Из ГУГЛа'!$B:$AD,AH$1,0))</f>
        <v/>
      </c>
      <c r="AI59" s="51">
        <v>1</v>
      </c>
      <c r="AJ59" s="51"/>
      <c r="AK59" s="121"/>
      <c r="AL59" s="121"/>
      <c r="AM59" s="124" t="str">
        <f>IFERROR((VLOOKUP($B59,'Из ГУГЛа'!$B:$AD,AM$1,0)+AO59)*AN59,VLOOKUP($B59,'Из ГУГЛа'!$B:$AD,AM$1,0))</f>
        <v/>
      </c>
      <c r="AN59" s="125">
        <v>1</v>
      </c>
      <c r="AO59" s="125"/>
      <c r="AP59" s="121"/>
      <c r="AQ59" s="121"/>
    </row>
    <row r="60" spans="1:43" ht="91.5" thickTop="1" thickBot="1" x14ac:dyDescent="0.3">
      <c r="A60" s="75" t="str">
        <f>INDEX('Выгр Торг'!$A:$A,MATCH($B60,'Выгр Торг'!$B:$B,0))</f>
        <v>Пружины передние Фобос Спорт с занижением 25 / 40 / 50 / 70 мм для Лада Калина, Калина 2, Приора, Приора 2, Гранта</v>
      </c>
      <c r="B60" s="41">
        <v>202025</v>
      </c>
      <c r="C60" s="41">
        <f>VLOOKUP($B60,'Выгр Торг'!$B:$T,C$1,0)</f>
        <v>127317</v>
      </c>
      <c r="D60" s="75" t="str">
        <f>VLOOKUP($B60,'Выгр Торг'!$B:$S,D$1,0)</f>
        <v>Пружины передние Фобос Спорт с занижением для Лада Калина, Калина 2, Приора, Приора 2, Гранта 70 мм</v>
      </c>
      <c r="E60" s="41" t="str">
        <f>VLOOKUP($B60,'Выгр Торг'!$B:$T,E$1,0)</f>
        <v>N</v>
      </c>
      <c r="F60" s="41" t="str">
        <f>VLOOKUP($B60,'Выгр Торг'!$B:$T,F$1,0)</f>
        <v>1</v>
      </c>
      <c r="G60" s="41" t="str">
        <f>VLOOKUP($B60,'Выгр Торг'!$B:$T,G$1,0)</f>
        <v>Артикул: 217071</v>
      </c>
      <c r="H60" s="38" t="s">
        <v>49</v>
      </c>
      <c r="I60" s="77" t="s">
        <v>98</v>
      </c>
      <c r="J60" s="1" t="s">
        <v>65</v>
      </c>
      <c r="K60" s="63">
        <f>VLOOKUP(H60,Прайс!B:D,3,0)</f>
        <v>3000</v>
      </c>
      <c r="L60" s="61">
        <f>VLOOKUP(K60,Наценка!$A$1:$B$8,2,1)</f>
        <v>1.32</v>
      </c>
      <c r="M60" s="94">
        <f>W60*1</f>
        <v>3890</v>
      </c>
      <c r="N60" s="63">
        <f t="shared" si="18"/>
        <v>3890</v>
      </c>
      <c r="O60" s="41">
        <f>VLOOKUP($B60,'Выгр Торг'!$B:$T,O$1,0)</f>
        <v>3000</v>
      </c>
      <c r="P60" s="41">
        <f>VLOOKUP($B60,'Выгр Торг'!$B:$T,P$1,0)</f>
        <v>3890</v>
      </c>
      <c r="Q60" s="52">
        <f>O60-K60</f>
        <v>0</v>
      </c>
      <c r="R60" s="52">
        <f>P60-N60</f>
        <v>0</v>
      </c>
      <c r="S60" s="59">
        <f>IFERROR(N60*(1-$S$2),"")</f>
        <v>3617.7</v>
      </c>
      <c r="T60" s="76">
        <f t="shared" si="14"/>
        <v>0.20589999999999997</v>
      </c>
      <c r="U60" s="76">
        <f t="shared" si="15"/>
        <v>7.0000000000000048E-2</v>
      </c>
      <c r="V60" s="76">
        <f t="shared" si="16"/>
        <v>0.29666666666666663</v>
      </c>
      <c r="W60" s="92">
        <f>AA60</f>
        <v>3890</v>
      </c>
      <c r="X60" s="79">
        <f>IFERROR((VLOOKUP($B60,'Из ГУГЛа'!$B:$AD,X$1,0)+Z60)*Y60,VLOOKUP($B60,'Из ГУГЛа'!$B:$AD,X$1,0))</f>
        <v>3890</v>
      </c>
      <c r="Y60" s="51">
        <v>1</v>
      </c>
      <c r="Z60" s="51"/>
      <c r="AA60" s="88">
        <v>3890</v>
      </c>
      <c r="AB60" s="65" t="s">
        <v>335</v>
      </c>
      <c r="AC60" s="79" t="str">
        <f>IFERROR((VLOOKUP($B60,'Из ГУГЛа'!$B:$AD,AC$1,0)+AE60)*AD60,VLOOKUP($B60,'Из ГУГЛа'!$B:$AD,AC$1,0))</f>
        <v/>
      </c>
      <c r="AD60" s="51">
        <v>1</v>
      </c>
      <c r="AE60" s="51"/>
      <c r="AF60" s="41"/>
      <c r="AH60" s="79" t="str">
        <f>IFERROR((VLOOKUP($B60,'Из ГУГЛа'!$B:$AD,AH$1,0)+AJ60)*AI60,VLOOKUP($B60,'Из ГУГЛа'!$B:$AD,AH$1,0))</f>
        <v/>
      </c>
      <c r="AI60" s="51">
        <v>1</v>
      </c>
      <c r="AJ60" s="51"/>
      <c r="AK60" s="121"/>
      <c r="AL60" s="121"/>
      <c r="AM60" s="124" t="str">
        <f>IFERROR((VLOOKUP($B60,'Из ГУГЛа'!$B:$AD,AM$1,0)+AO60)*AN60,VLOOKUP($B60,'Из ГУГЛа'!$B:$AD,AM$1,0))</f>
        <v/>
      </c>
      <c r="AN60" s="125">
        <v>1</v>
      </c>
      <c r="AO60" s="125"/>
      <c r="AP60" s="121"/>
      <c r="AQ60" s="121"/>
    </row>
    <row r="61" spans="1:43" ht="91.5" thickTop="1" thickBot="1" x14ac:dyDescent="0.3">
      <c r="A61" s="75" t="str">
        <f>INDEX('Выгр Торг'!$A:$A,MATCH($B61,'Выгр Торг'!$B:$B,0))</f>
        <v>Пружины передние Фобос Спорт с занижением 25 / 40 / 50 / 70 мм для Лада Калина, Калина 2, Приора, Приора 2, Гранта</v>
      </c>
      <c r="B61" s="41">
        <v>202026</v>
      </c>
      <c r="C61" s="41">
        <f>VLOOKUP($B61,'Выгр Торг'!$B:$T,C$1,0)</f>
        <v>127318</v>
      </c>
      <c r="D61" s="75" t="str">
        <f>VLOOKUP($B61,'Выгр Торг'!$B:$S,D$1,0)</f>
        <v>Пружины передние Фобос Спорт с занижением для Лада Калина, Калина 2, Приора, Приора 2, Гранта 90 мм</v>
      </c>
      <c r="E61" s="41" t="str">
        <f>VLOOKUP($B61,'Выгр Торг'!$B:$T,E$1,0)</f>
        <v>N</v>
      </c>
      <c r="F61" s="41" t="str">
        <f>VLOOKUP($B61,'Выгр Торг'!$B:$T,F$1,0)</f>
        <v>1</v>
      </c>
      <c r="G61" s="41" t="str">
        <f>VLOOKUP($B61,'Выгр Торг'!$B:$T,G$1,0)</f>
        <v>Артикул: 217091</v>
      </c>
      <c r="H61" s="38" t="s">
        <v>49</v>
      </c>
      <c r="I61" s="60"/>
      <c r="J61" s="1" t="s">
        <v>65</v>
      </c>
      <c r="K61" s="63">
        <f>VLOOKUP(H61,Прайс!B:D,3,0)</f>
        <v>3000</v>
      </c>
      <c r="L61" s="61">
        <f>VLOOKUP(K61,Наценка!$A$1:$B$8,2,1)</f>
        <v>1.32</v>
      </c>
      <c r="M61" s="64">
        <f t="shared" si="10"/>
        <v>3960</v>
      </c>
      <c r="N61" s="63">
        <f t="shared" si="18"/>
        <v>3990</v>
      </c>
      <c r="O61" s="41">
        <f>VLOOKUP($B61,'Выгр Торг'!$B:$T,O$1,0)</f>
        <v>3000</v>
      </c>
      <c r="P61" s="41">
        <f>VLOOKUP($B61,'Выгр Торг'!$B:$T,P$1,0)</f>
        <v>3990</v>
      </c>
      <c r="Q61" s="52">
        <f>O61-K61</f>
        <v>0</v>
      </c>
      <c r="R61" s="52">
        <f>P61-N61</f>
        <v>0</v>
      </c>
      <c r="S61" s="59">
        <f>IFERROR(N61*(1-$S$2),"")</f>
        <v>3710.7</v>
      </c>
      <c r="T61" s="76">
        <f t="shared" si="14"/>
        <v>0.23689999999999989</v>
      </c>
      <c r="U61" s="76" t="str">
        <f t="shared" si="15"/>
        <v/>
      </c>
      <c r="V61" s="76" t="str">
        <f t="shared" si="16"/>
        <v/>
      </c>
      <c r="W61" s="74"/>
      <c r="X61" s="79" t="str">
        <f>IFERROR((VLOOKUP($B61,'Из ГУГЛа'!$B:$AD,X$1,0)+Z61)*Y61,VLOOKUP($B61,'Из ГУГЛа'!$B:$AD,X$1,0))</f>
        <v/>
      </c>
      <c r="Y61" s="51">
        <v>1</v>
      </c>
      <c r="Z61" s="51"/>
      <c r="AA61" s="88" t="s">
        <v>324</v>
      </c>
      <c r="AC61" s="79" t="str">
        <f>IFERROR((VLOOKUP($B61,'Из ГУГЛа'!$B:$AD,AC$1,0)+AE61)*AD61,VLOOKUP($B61,'Из ГУГЛа'!$B:$AD,AC$1,0))</f>
        <v/>
      </c>
      <c r="AD61" s="51">
        <v>1</v>
      </c>
      <c r="AE61" s="51"/>
      <c r="AF61" s="41"/>
      <c r="AH61" s="79" t="str">
        <f>IFERROR((VLOOKUP($B61,'Из ГУГЛа'!$B:$AD,AH$1,0)+AJ61)*AI61,VLOOKUP($B61,'Из ГУГЛа'!$B:$AD,AH$1,0))</f>
        <v/>
      </c>
      <c r="AI61" s="51">
        <v>1</v>
      </c>
      <c r="AJ61" s="51"/>
      <c r="AK61" s="121"/>
      <c r="AL61" s="121"/>
      <c r="AM61" s="124" t="str">
        <f>IFERROR((VLOOKUP($B61,'Из ГУГЛа'!$B:$AD,AM$1,0)+AO61)*AN61,VLOOKUP($B61,'Из ГУГЛа'!$B:$AD,AM$1,0))</f>
        <v/>
      </c>
      <c r="AN61" s="125">
        <v>1</v>
      </c>
      <c r="AO61" s="125"/>
      <c r="AP61" s="121"/>
      <c r="AQ61" s="121"/>
    </row>
    <row r="62" spans="1:43" ht="15.75" thickTop="1" x14ac:dyDescent="0.25"/>
    <row r="65" spans="13:13" x14ac:dyDescent="0.25">
      <c r="M65" s="64">
        <f>K65*L65</f>
        <v>0</v>
      </c>
    </row>
    <row r="66" spans="13:13" x14ac:dyDescent="0.25">
      <c r="M66" s="94">
        <f>W66*1</f>
        <v>0</v>
      </c>
    </row>
    <row r="67" spans="13:13" x14ac:dyDescent="0.25">
      <c r="M67" s="95">
        <f>W67*1.02</f>
        <v>0</v>
      </c>
    </row>
    <row r="68" spans="13:13" x14ac:dyDescent="0.25">
      <c r="M68" s="96">
        <f>W68*1.04</f>
        <v>0</v>
      </c>
    </row>
    <row r="69" spans="13:13" x14ac:dyDescent="0.25">
      <c r="M69" s="97">
        <f>W69*1.05</f>
        <v>0</v>
      </c>
    </row>
    <row r="70" spans="13:13" x14ac:dyDescent="0.25">
      <c r="M70" s="97">
        <f>W70*1.06</f>
        <v>0</v>
      </c>
    </row>
    <row r="71" spans="13:13" x14ac:dyDescent="0.25">
      <c r="M71" s="98">
        <f>W71*1.07</f>
        <v>0</v>
      </c>
    </row>
    <row r="72" spans="13:13" x14ac:dyDescent="0.25">
      <c r="M72" s="99">
        <f>W72*1.08</f>
        <v>0</v>
      </c>
    </row>
    <row r="73" spans="13:13" x14ac:dyDescent="0.25">
      <c r="M73" s="100">
        <f>K73*1.2*100/93</f>
        <v>0</v>
      </c>
    </row>
  </sheetData>
  <autoFilter ref="A2:AQ2" xr:uid="{D1B53EE5-1622-406A-A4C9-737C2772B9E9}"/>
  <conditionalFormatting sqref="H3">
    <cfRule type="duplicateValues" dxfId="27" priority="44"/>
  </conditionalFormatting>
  <conditionalFormatting sqref="H21">
    <cfRule type="duplicateValues" dxfId="26" priority="34"/>
  </conditionalFormatting>
  <conditionalFormatting sqref="H22">
    <cfRule type="duplicateValues" dxfId="25" priority="33"/>
  </conditionalFormatting>
  <conditionalFormatting sqref="H23">
    <cfRule type="duplicateValues" dxfId="24" priority="32"/>
  </conditionalFormatting>
  <conditionalFormatting sqref="H24">
    <cfRule type="duplicateValues" dxfId="23" priority="31"/>
  </conditionalFormatting>
  <conditionalFormatting sqref="H25">
    <cfRule type="duplicateValues" dxfId="22" priority="30"/>
  </conditionalFormatting>
  <conditionalFormatting sqref="H45">
    <cfRule type="duplicateValues" dxfId="21" priority="29"/>
  </conditionalFormatting>
  <conditionalFormatting sqref="H49">
    <cfRule type="duplicateValues" dxfId="20" priority="28"/>
  </conditionalFormatting>
  <conditionalFormatting sqref="H13">
    <cfRule type="duplicateValues" dxfId="19" priority="27"/>
  </conditionalFormatting>
  <conditionalFormatting sqref="H14">
    <cfRule type="duplicateValues" dxfId="18" priority="26"/>
  </conditionalFormatting>
  <conditionalFormatting sqref="H15">
    <cfRule type="duplicateValues" dxfId="17" priority="25"/>
  </conditionalFormatting>
  <conditionalFormatting sqref="H16">
    <cfRule type="duplicateValues" dxfId="16" priority="24"/>
  </conditionalFormatting>
  <conditionalFormatting sqref="H17">
    <cfRule type="duplicateValues" dxfId="15" priority="23"/>
  </conditionalFormatting>
  <conditionalFormatting sqref="H4">
    <cfRule type="duplicateValues" dxfId="14" priority="21"/>
  </conditionalFormatting>
  <conditionalFormatting sqref="H5">
    <cfRule type="duplicateValues" dxfId="13" priority="20"/>
  </conditionalFormatting>
  <conditionalFormatting sqref="H6">
    <cfRule type="duplicateValues" dxfId="12" priority="19"/>
  </conditionalFormatting>
  <conditionalFormatting sqref="H7">
    <cfRule type="duplicateValues" dxfId="11" priority="18"/>
  </conditionalFormatting>
  <conditionalFormatting sqref="H8:H12">
    <cfRule type="duplicateValues" dxfId="10" priority="12"/>
  </conditionalFormatting>
  <conditionalFormatting sqref="T3:T61 V3:V61">
    <cfRule type="cellIs" dxfId="9" priority="11" operator="lessThan">
      <formula>$S$1</formula>
    </cfRule>
  </conditionalFormatting>
  <conditionalFormatting sqref="U3:U61">
    <cfRule type="cellIs" dxfId="8" priority="10" operator="lessThan">
      <formula>0</formula>
    </cfRule>
  </conditionalFormatting>
  <conditionalFormatting sqref="D3:D61">
    <cfRule type="expression" dxfId="7" priority="2">
      <formula>OR(E3="N",F3="0")</formula>
    </cfRule>
  </conditionalFormatting>
  <conditionalFormatting sqref="B3:B61">
    <cfRule type="expression" dxfId="6" priority="1">
      <formula>AND(ROUNDDOWN($R3,0)=0,ROUNDDOWN($Q3,0)=0)</formula>
    </cfRule>
  </conditionalFormatting>
  <hyperlinks>
    <hyperlink ref="I57" r:id="rId1" xr:uid="{7658DE39-517C-4A62-9729-2E751D4E4873}"/>
    <hyperlink ref="I60" r:id="rId2" xr:uid="{BB94A841-7812-44EC-BB94-DF13E1D2177F}"/>
    <hyperlink ref="I59" r:id="rId3" xr:uid="{5A57D781-C8B1-4615-823C-9DF80171D190}"/>
    <hyperlink ref="I58" r:id="rId4" xr:uid="{EAF18533-6FF0-46FD-8523-B054ED52203C}"/>
    <hyperlink ref="I53" r:id="rId5" display="https://fobos-avto.ru/produkciya/vaz/peredniy-privod/pruzhiny-sport-2110-perednie--40mm/" xr:uid="{53EBE34B-1FAE-4184-B469-921584E7AAB3}"/>
    <hyperlink ref="I52" r:id="rId6" display="https://fobos-avto.ru/produkciya/vaz/peredniy-privod/pruzhiny-sport-2110-perednie--25mm/" xr:uid="{A5293512-AFAA-41E4-8C45-72EA9993134C}"/>
    <hyperlink ref="I54" r:id="rId7" display="https://fobos-avto.ru/produkciya/vaz/peredniy-privod/pruzhiny-sport-2110-perednie--50mm/" xr:uid="{A5C58E70-FC78-4E28-82EE-5D779F13EC34}"/>
    <hyperlink ref="I56" r:id="rId8" display="https://fobos-avto.ru/produkciya/vaz/peredniy-privod/pruzhiny-sport-2110-perednie--90mm-v-korobke/" xr:uid="{DB6AB096-92D0-4F13-8F21-1C487C120F92}"/>
    <hyperlink ref="I55" r:id="rId9" display="https://fobos-avto.ru/produkciya/vaz/peredniy-privod/pruzhiny-sport-2110-perednie--70mm/" xr:uid="{398582ED-D0AF-4963-9275-8D75789CD6AD}"/>
    <hyperlink ref="I51" r:id="rId10" display="https://fobos-avto.ru/produkciya/vaz/zadniy-privod/pruzhiny-sport-2101-perednie--70-mm-v-korobke/" xr:uid="{8D97AE1A-9A27-4E2B-8866-A93010F347B6}"/>
    <hyperlink ref="I50" r:id="rId11" display="https://fobos-avto.ru/produkciya/vaz/zadniy-privod/pruzhiny-sport-2101-perednie--50-mm/" xr:uid="{FA538667-E15B-4509-9D9D-E12F18530FD4}"/>
    <hyperlink ref="I48" r:id="rId12" display="https://fobos-avto.ru/produkciya/vaz/zadniy-privod/pruzhiny-sport-2101-perednie--25-mm/" xr:uid="{20810BF6-2354-46A3-9B50-3F37B732D034}"/>
    <hyperlink ref="I46" r:id="rId13" display="https://fobos-avto.ru/produkciya/vaz/zadniy-privod/pruzhiny-sport-2101zadnie---50mm/" xr:uid="{67BBABF9-DEDD-4720-B0B6-59D8D2B13B05}"/>
    <hyperlink ref="I47" r:id="rId14" display="https://fobos-avto.ru/produkciya/vaz/zadniy-privod/pruzhiny-sport-2101zadnie---70mm-v-korobke/" xr:uid="{C3298514-983F-4190-A2FA-13C1150A600D}"/>
    <hyperlink ref="I44" r:id="rId15" display="https://fobos-avto.ru/produkciya/vaz/zadniy-privod/pruzhiny-sport-2101zadnie--25-mm/" xr:uid="{F1DA15C6-5EF7-4AFC-94C1-16DC21C6D5B5}"/>
    <hyperlink ref="I40" r:id="rId16" display="https://fobos-avto.ru/produkciya/vaz/peredniy-privod/pruzhiny-sport-2110-zadnie--40mm/" xr:uid="{CEA997F6-5178-4220-B99E-2369880C5448}"/>
    <hyperlink ref="I39" r:id="rId17" display="https://fobos-avto.ru/produkciya/vaz/peredniy-privod/pruzhiny-sport-2110-zadnie--25mm/" xr:uid="{020E56BF-324A-44FE-AC8A-8047CC61B15C}"/>
    <hyperlink ref="I41" r:id="rId18" display="https://fobos-avto.ru/produkciya/vaz/peredniy-privod/pruzhiny-sport-2110-zadnie--50mm/" xr:uid="{7025D3EE-219B-4A92-A745-01AD2F8E0C48}"/>
    <hyperlink ref="I43" r:id="rId19" display="https://fobos-avto.ru/produkciya/vaz/peredniy-privod/pruzhiny-sport-2110-zadnie--90mm-v-korobke/" xr:uid="{7A5E0C92-EC17-494D-AFAC-4D0D50399ED8}"/>
    <hyperlink ref="I42" r:id="rId20" display="https://fobos-avto.ru/produkciya/vaz/peredniy-privod/pruzhiny-sport-2110-zadnie--70mm/" xr:uid="{F0FA8FF1-9EFA-443E-80E6-62A102BCD0E8}"/>
    <hyperlink ref="AA17" r:id="rId21" display="https://motorring.ru/product/6628-prughiny-zadney-podveski-tehnoressor-90mm-vaz-2108-21099" xr:uid="{F1BFDBF6-BFD2-4BEE-9235-94E92A1581BE}"/>
    <hyperlink ref="AA16" r:id="rId22" display="https://motorring.ru/product/6622-prughiny-zadney-podveski-tehnoressor-70mm-vaz-2108-21099" xr:uid="{D5CAC7CF-7565-4639-88DF-F11F33AC1F47}"/>
    <hyperlink ref="AA15" r:id="rId23" display="https://motorring.ru/product/6624-prughiny-zadney-podveski-tehnoressor-50mm-vaz-2108-21099" xr:uid="{CE1167A7-EDCE-46B3-B890-0BF36E06031F}"/>
    <hyperlink ref="AA14" r:id="rId24" display="https://motorring.ru/product/6630-prughiny-zadney-podveski-tehnoressor-30mm-vaz-2108-21099" xr:uid="{DE4E54FD-83B9-42C8-84A0-87AA929D3357}"/>
    <hyperlink ref="AA13" r:id="rId25" display="https://motorring.ru/product/6626-prughiny-zadney-podveski-tehnoressor-120mm-vaz-2108-21099" xr:uid="{7A1851B8-3B62-4CFB-883E-24C3B3FE971A}"/>
    <hyperlink ref="AA21" r:id="rId26" display="https://motorring.ru/product/6625-prughiny-peredney-podveski-tehnoressor-120mm-2108" xr:uid="{CE2BC22F-3100-4B9A-B7D5-C71072552F5F}"/>
    <hyperlink ref="AA22" r:id="rId27" display="https://motorring.ru/product/6629-prughiny-peredney-podveski-tehnoressor-30mm-vaz-2108-21099" xr:uid="{5D24FA09-26BC-4722-ABC5-9F2AD35915FA}"/>
    <hyperlink ref="AA23" r:id="rId28" display="https://motorring.ru/product/6623-prughiny-peredney-podveski-tehnoressor-50mm-vaz-2108-21099" xr:uid="{2EB5B96F-ED11-4F30-9219-94871312651F}"/>
    <hyperlink ref="AA24" r:id="rId29" display="https://motorring.ru/product/6621-prughiny-peredney-podveski-tehnoressor-70mm-vaz-2108-21099" xr:uid="{931BEC16-A76E-45B0-AE4C-18D7C16056A8}"/>
    <hyperlink ref="AA25" r:id="rId30" display="https://motorring.ru/product/6627-prughiny-peredney-podveski-tehnoressor-90mm-vaz-2108-21099" xr:uid="{104652AB-F43E-4551-83DB-91EB8661099C}"/>
    <hyperlink ref="AA3" r:id="rId31" xr:uid="{4D2BD54A-28DC-45F5-8D03-4944DBE71FD1}"/>
    <hyperlink ref="AA4" r:id="rId32" display="https://motorring.ru/product/33817-prughiny-zadney-podveski-tehnoressor-zanigh-30-2101-07" xr:uid="{8C8E1BF7-3C84-467C-9A17-DACFF717F1CF}"/>
    <hyperlink ref="AA5" r:id="rId33" display="https://motorring.ru/product/33819-prughiny-zadney-podveski-tehnoressor-zanigh-50-2101-07" xr:uid="{0764E173-B381-46CC-B9F0-5C53A423E9E5}"/>
    <hyperlink ref="AA6" r:id="rId34" display="https://motorring.ru/product/33821-prughiny-zadney-podveski-tehnoressor-zanigh-70-2101-07" xr:uid="{146B63D3-768C-4742-98F2-436615E5B2B8}"/>
    <hyperlink ref="AA7" r:id="rId35" display="https://motorring.ru/product/33820-prughiny-zadney-podveski-tehnoressor-zanigh-90-2101-07" xr:uid="{FBB84C3D-CE3E-4A0C-B9F6-60157E6E84F4}"/>
    <hyperlink ref="AA8" r:id="rId36" display="https://motorring.ru/product/33880-prughiny-peredney-podveski-tehnoressor-drive-120-2101" xr:uid="{E4F9BFFD-4905-479A-B67A-826BC81BB4F1}"/>
    <hyperlink ref="AA9" r:id="rId37" display="https://motorring.ru/product/33869-prughiny-peredney-podveski-tehnoressor-drive-30-2101" xr:uid="{06C7F2F0-8562-4896-AF0C-DC6B4C808E74}"/>
    <hyperlink ref="AA10" r:id="rId38" display="https://motorring.ru/product/33871-prughiny-peredney-podveski-tehnoressor-drive-50-2101" xr:uid="{9CD91CB6-5407-4193-B98C-E63401D1624D}"/>
    <hyperlink ref="AA11" r:id="rId39" display="https://motorring.ru/product/33876-prughiny-peredney-podveski-tehnoressor-drive-70-2101" xr:uid="{429374CE-B9CB-4D19-87BF-7FD5FB9F35A8}"/>
    <hyperlink ref="AA12" r:id="rId40" display="https://motorring.ru/product/33873-prughiny-peredney-podveski-tehnoressor-drive-90-2101" xr:uid="{5C1B6058-9F33-43CA-9659-FB8C3DDDCE82}"/>
    <hyperlink ref="AA18" r:id="rId41" display="https://motorring.ru/product/10469-prughiny-zadney-podveski-tehnoressor-30-lada-vesta" xr:uid="{48318F0A-7A70-4388-903C-4E84B7B53DA8}"/>
    <hyperlink ref="AA19" r:id="rId42" display="https://motorring.ru/product/10470-prughiny-zadney-podveski-tehnoressor-50-lada-vesta" xr:uid="{8B18A570-A2FB-4D9F-A850-4A945D590452}"/>
    <hyperlink ref="AA20" r:id="rId43" display="https://motorring.ru/product/33875-prughiny-zad-podveski-tehnoressor-zanij-70-vesta" xr:uid="{7C3BC76E-4CE1-429E-96B1-6C1EEDECEB5C}"/>
    <hyperlink ref="AA26" r:id="rId44" display="https://motorring.ru/product/10467-prughiny-peredney-podveski-tehnoressor-30-lada-vesta" xr:uid="{A1B92E6C-00A9-4AFB-B3EC-7C1D6D393278}"/>
    <hyperlink ref="AA27" r:id="rId45" display="https://motorring.ru/product/10468-prughiny-peredney-podveski-tehnoressor-50mm-lada-vesta" xr:uid="{00934AAC-3705-44CF-9177-2043525A7429}"/>
    <hyperlink ref="AA28" r:id="rId46" display="https://motorring.ru/product/33813-prughiny-pered-podveski-tehnoressor-zanij-70-vesta" xr:uid="{387EDD0A-0FF0-4876-946D-A9D6B33750AF}"/>
    <hyperlink ref="AA30" r:id="rId47" display="https://motorring.ru/product/33692-prughiny-peredney-podveski-tehnoressor-drive-30mm-2190-fl" xr:uid="{D4347E7D-2187-4191-B985-0D98B189F310}"/>
    <hyperlink ref="AA31" r:id="rId48" display="https://motorring.ru/product/33691-prughiny-peredney-podveski-tehnoressor-drive-50mm-2190-fl" xr:uid="{EEBF75D3-78C3-499C-B1B1-99B47D5BD467}"/>
    <hyperlink ref="AA32" r:id="rId49" display="https://motorring.ru/product/33709-prughiny-peredney-podveski-tehnoressor-drive-70mm-2190-fl" xr:uid="{D1D7CE74-6CF8-4BF5-9E70-120004553493}"/>
    <hyperlink ref="AA33" r:id="rId50" xr:uid="{3661BD26-D198-427D-8733-9C6153B6FE3B}"/>
    <hyperlink ref="AA34" r:id="rId51" display="https://motorring.ru/product/6673-prughiny-peredney-podveski--120mm-dlya-lada-granta" xr:uid="{855CC67F-0BB0-4FA3-8A51-F1D76650F90F}"/>
    <hyperlink ref="AA35" r:id="rId52" display="https://motorring.ru/product/6667-prughiny-peredney-podveski-tehnoressor-30-granta" xr:uid="{65FD0F21-9EE6-478A-88DF-801317D3B5FD}"/>
    <hyperlink ref="AA36" r:id="rId53" display="https://motorring.ru/product/6669-prughiny-peredney-podveski-tehnoressor-50-granta" xr:uid="{49BBD023-78A3-4897-A065-23DEA7783D51}"/>
    <hyperlink ref="AA37" r:id="rId54" display="https://motorring.ru/product/6671-prughiny-peredney-podveski-tehnoressor-70mm-lada-granta" xr:uid="{E2A19A5C-48F7-4D29-9E26-334CDA0704C9}"/>
    <hyperlink ref="AA38" r:id="rId55" display="https://motorring.ru/product/6675-prughiny-peredney-podveski-90mm-dlya-lada-granta" xr:uid="{DBF4247D-EDDC-415E-A646-3AAB77E31D56}"/>
  </hyperlinks>
  <pageMargins left="0.75" right="0.75" top="1" bottom="1" header="0.5" footer="0.5"/>
  <pageSetup paperSize="9" orientation="portrait" r:id="rId5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2:J156"/>
  <sheetViews>
    <sheetView topLeftCell="A91" workbookViewId="0">
      <selection activeCell="B104" sqref="B104"/>
    </sheetView>
  </sheetViews>
  <sheetFormatPr defaultRowHeight="15" x14ac:dyDescent="0.25"/>
  <cols>
    <col min="1" max="1" width="4.85546875" style="19" customWidth="1"/>
    <col min="2" max="2" width="74.28515625" style="19" customWidth="1"/>
    <col min="3" max="3" width="6.7109375" style="19" customWidth="1"/>
    <col min="4" max="4" width="12.42578125" style="19" customWidth="1"/>
    <col min="5" max="5" width="14" customWidth="1"/>
    <col min="7" max="7" width="19.140625" style="32" customWidth="1"/>
    <col min="8" max="8" width="10.42578125" customWidth="1"/>
    <col min="9" max="10" width="11.42578125" customWidth="1"/>
  </cols>
  <sheetData>
    <row r="2" spans="1:9" x14ac:dyDescent="0.25">
      <c r="B2" s="26" t="s">
        <v>3</v>
      </c>
    </row>
    <row r="3" spans="1:9" x14ac:dyDescent="0.25">
      <c r="A3" s="14" t="s">
        <v>4</v>
      </c>
      <c r="B3" s="15" t="s">
        <v>5</v>
      </c>
      <c r="C3" s="15"/>
      <c r="D3" s="15" t="s">
        <v>71</v>
      </c>
      <c r="E3" s="102" t="str">
        <f>IFERROR(IFERROR(INDEX(Кат!$A:$A,MATCH($B3,Кат!$H:$H,0)),INDEX(Торг!$B:$B,MATCH($B3,Торг!$H:$H,0))),"")</f>
        <v/>
      </c>
      <c r="G3" s="32" t="s">
        <v>94</v>
      </c>
    </row>
    <row r="4" spans="1:9" x14ac:dyDescent="0.25">
      <c r="A4" s="16">
        <v>1</v>
      </c>
      <c r="B4" s="42" t="s">
        <v>6</v>
      </c>
      <c r="C4" s="16" t="s">
        <v>7</v>
      </c>
      <c r="D4" s="14">
        <v>210</v>
      </c>
      <c r="E4" s="102" t="str">
        <f>IFERROR(IFERROR(INDEX(Кат!$A:$A,MATCH($B4,Кат!$H:$H,0)),INDEX(Торг!$B:$B,MATCH($B4,Торг!$H:$H,0))),"")</f>
        <v/>
      </c>
    </row>
    <row r="5" spans="1:9" x14ac:dyDescent="0.25">
      <c r="A5" s="16">
        <v>2</v>
      </c>
      <c r="B5" s="42" t="s">
        <v>8</v>
      </c>
      <c r="C5" s="17" t="s">
        <v>9</v>
      </c>
      <c r="D5" s="14">
        <v>2050</v>
      </c>
      <c r="E5" s="102">
        <f>IFERROR(IFERROR(INDEX(Кат!$A:$A,MATCH($B5,Кат!$H:$H,0)),INDEX(Торг!$B:$B,MATCH($B5,Торг!$H:$H,0))),"")</f>
        <v>201937</v>
      </c>
      <c r="G5" s="33">
        <v>35861</v>
      </c>
      <c r="H5" t="s">
        <v>105</v>
      </c>
      <c r="I5" s="10"/>
    </row>
    <row r="6" spans="1:9" x14ac:dyDescent="0.25">
      <c r="A6" s="16">
        <v>3</v>
      </c>
      <c r="B6" s="42" t="s">
        <v>10</v>
      </c>
      <c r="C6" s="17" t="s">
        <v>9</v>
      </c>
      <c r="D6" s="14">
        <v>2150</v>
      </c>
      <c r="E6" s="102">
        <f>IFERROR(IFERROR(INDEX(Кат!$A:$A,MATCH($B6,Кат!$H:$H,0)),INDEX(Торг!$B:$B,MATCH($B6,Торг!$H:$H,0))),"")</f>
        <v>201936</v>
      </c>
      <c r="G6" s="33">
        <v>38169</v>
      </c>
      <c r="H6" t="s">
        <v>102</v>
      </c>
      <c r="I6" s="10"/>
    </row>
    <row r="7" spans="1:9" x14ac:dyDescent="0.25">
      <c r="A7" s="16">
        <v>4</v>
      </c>
      <c r="B7" s="42" t="s">
        <v>57</v>
      </c>
      <c r="C7" s="17" t="s">
        <v>9</v>
      </c>
      <c r="D7" s="14">
        <v>2450</v>
      </c>
      <c r="E7" s="102">
        <f>IFERROR(IFERROR(INDEX(Кат!$A:$A,MATCH($B7,Кат!$H:$H,0)),INDEX(Торг!$B:$B,MATCH($B7,Торг!$H:$H,0))),"")</f>
        <v>202028</v>
      </c>
      <c r="G7" s="33">
        <v>38167</v>
      </c>
      <c r="H7" t="s">
        <v>144</v>
      </c>
      <c r="I7" s="10"/>
    </row>
    <row r="8" spans="1:9" x14ac:dyDescent="0.25">
      <c r="A8" s="16">
        <v>5</v>
      </c>
      <c r="B8" s="9" t="s">
        <v>51</v>
      </c>
      <c r="C8" s="17" t="s">
        <v>9</v>
      </c>
      <c r="D8" s="14">
        <v>2100</v>
      </c>
      <c r="E8" s="102">
        <f>IFERROR(IFERROR(INDEX(Кат!$A:$A,MATCH($B8,Кат!$H:$H,0)),INDEX(Торг!$B:$B,MATCH($B8,Торг!$H:$H,0))),"")</f>
        <v>201919</v>
      </c>
      <c r="G8" s="33">
        <v>84500</v>
      </c>
      <c r="H8" t="s">
        <v>104</v>
      </c>
    </row>
    <row r="9" spans="1:9" x14ac:dyDescent="0.25">
      <c r="A9" s="16">
        <v>6</v>
      </c>
      <c r="B9" s="9" t="s">
        <v>56</v>
      </c>
      <c r="C9" s="17" t="s">
        <v>9</v>
      </c>
      <c r="D9" s="14">
        <v>2500</v>
      </c>
      <c r="E9" s="102">
        <f>IFERROR(IFERROR(INDEX(Кат!$A:$A,MATCH($B9,Кат!$H:$H,0)),INDEX(Торг!$B:$B,MATCH($B9,Торг!$H:$H,0))),"")</f>
        <v>201938</v>
      </c>
      <c r="G9" s="33">
        <v>84510</v>
      </c>
      <c r="H9" t="s">
        <v>103</v>
      </c>
    </row>
    <row r="10" spans="1:9" x14ac:dyDescent="0.25">
      <c r="A10" s="16">
        <v>7</v>
      </c>
      <c r="B10" s="9" t="s">
        <v>11</v>
      </c>
      <c r="C10" s="17" t="s">
        <v>9</v>
      </c>
      <c r="D10" s="14">
        <v>2500</v>
      </c>
      <c r="E10" s="102">
        <f>IFERROR(IFERROR(INDEX(Кат!$A:$A,MATCH($B10,Кат!$H:$H,0)),INDEX(Торг!$B:$B,MATCH($B10,Торг!$H:$H,0))),"")</f>
        <v>201923</v>
      </c>
      <c r="G10" s="33">
        <v>55040</v>
      </c>
      <c r="H10" t="s">
        <v>106</v>
      </c>
    </row>
    <row r="11" spans="1:9" x14ac:dyDescent="0.25">
      <c r="A11" s="16">
        <v>8</v>
      </c>
      <c r="B11" s="9" t="s">
        <v>50</v>
      </c>
      <c r="C11" s="17" t="s">
        <v>15</v>
      </c>
      <c r="D11" s="14">
        <v>2450</v>
      </c>
      <c r="E11" s="102">
        <f>IFERROR(IFERROR(INDEX(Кат!$A:$A,MATCH($B11,Кат!$H:$H,0)),INDEX(Торг!$B:$B,MATCH($B11,Торг!$H:$H,0))),"")</f>
        <v>201920</v>
      </c>
      <c r="G11" s="33">
        <v>55043</v>
      </c>
      <c r="H11" t="s">
        <v>143</v>
      </c>
    </row>
    <row r="12" spans="1:9" x14ac:dyDescent="0.25">
      <c r="A12" s="16">
        <v>9</v>
      </c>
      <c r="B12" s="40" t="s">
        <v>63</v>
      </c>
      <c r="C12" s="17" t="s">
        <v>9</v>
      </c>
      <c r="D12" s="14">
        <v>2850</v>
      </c>
      <c r="E12" s="102" t="str">
        <f>IFERROR(IFERROR(INDEX(Кат!$A:$A,MATCH($B12,Кат!$H:$H,0)),INDEX(Торг!$B:$B,MATCH($B12,Торг!$H:$H,0))),"")</f>
        <v/>
      </c>
    </row>
    <row r="13" spans="1:9" x14ac:dyDescent="0.25">
      <c r="A13" s="16">
        <v>10</v>
      </c>
      <c r="B13" s="40" t="s">
        <v>64</v>
      </c>
      <c r="C13" s="17" t="s">
        <v>9</v>
      </c>
      <c r="D13" s="14">
        <v>2850</v>
      </c>
      <c r="E13" s="102" t="str">
        <f>IFERROR(IFERROR(INDEX(Кат!$A:$A,MATCH($B13,Кат!$H:$H,0)),INDEX(Торг!$B:$B,MATCH($B13,Торг!$H:$H,0))),"")</f>
        <v/>
      </c>
    </row>
    <row r="14" spans="1:9" x14ac:dyDescent="0.25">
      <c r="A14" s="16">
        <v>11</v>
      </c>
      <c r="B14" s="9" t="s">
        <v>72</v>
      </c>
      <c r="C14" s="17" t="s">
        <v>15</v>
      </c>
      <c r="D14" s="14">
        <v>2100</v>
      </c>
      <c r="E14" s="102" t="str">
        <f>IFERROR(IFERROR(INDEX(Кат!$A:$A,MATCH($B14,Кат!$H:$H,0)),INDEX(Торг!$B:$B,MATCH($B14,Торг!$H:$H,0))),"")</f>
        <v/>
      </c>
      <c r="F14" s="10"/>
    </row>
    <row r="15" spans="1:9" x14ac:dyDescent="0.25">
      <c r="A15" s="16">
        <v>12</v>
      </c>
      <c r="B15" s="9" t="s">
        <v>73</v>
      </c>
      <c r="C15" s="17" t="s">
        <v>9</v>
      </c>
      <c r="D15" s="14">
        <v>2350</v>
      </c>
      <c r="E15" s="102" t="str">
        <f>IFERROR(IFERROR(INDEX(Кат!$A:$A,MATCH($B15,Кат!$H:$H,0)),INDEX(Торг!$B:$B,MATCH($B15,Торг!$H:$H,0))),"")</f>
        <v/>
      </c>
    </row>
    <row r="16" spans="1:9" x14ac:dyDescent="0.25">
      <c r="A16" s="16">
        <v>13</v>
      </c>
      <c r="B16" s="9" t="s">
        <v>12</v>
      </c>
      <c r="C16" s="17" t="s">
        <v>9</v>
      </c>
      <c r="D16" s="14">
        <v>2650</v>
      </c>
      <c r="E16" s="102" t="str">
        <f>IFERROR(IFERROR(INDEX(Кат!$A:$A,MATCH($B16,Кат!$H:$H,0)),INDEX(Торг!$B:$B,MATCH($B16,Торг!$H:$H,0))),"")</f>
        <v/>
      </c>
      <c r="F16" s="10"/>
    </row>
    <row r="17" spans="1:8" x14ac:dyDescent="0.25">
      <c r="A17" s="16">
        <v>14</v>
      </c>
      <c r="B17" s="9" t="s">
        <v>13</v>
      </c>
      <c r="C17" s="17" t="s">
        <v>9</v>
      </c>
      <c r="D17" s="14">
        <v>2800</v>
      </c>
      <c r="E17" s="102" t="str">
        <f>IFERROR(IFERROR(INDEX(Кат!$A:$A,MATCH($B17,Кат!$H:$H,0)),INDEX(Торг!$B:$B,MATCH($B17,Торг!$H:$H,0))),"")</f>
        <v/>
      </c>
      <c r="F17" s="10"/>
    </row>
    <row r="18" spans="1:8" x14ac:dyDescent="0.25">
      <c r="A18" s="16">
        <v>15</v>
      </c>
      <c r="B18" s="9" t="s">
        <v>52</v>
      </c>
      <c r="C18" s="17" t="s">
        <v>9</v>
      </c>
      <c r="D18" s="14">
        <v>2750</v>
      </c>
      <c r="E18" s="102" t="str">
        <f>IFERROR(IFERROR(INDEX(Кат!$A:$A,MATCH($B18,Кат!$H:$H,0)),INDEX(Торг!$B:$B,MATCH($B18,Торг!$H:$H,0))),"")</f>
        <v/>
      </c>
    </row>
    <row r="19" spans="1:8" x14ac:dyDescent="0.25">
      <c r="A19" s="16">
        <v>16</v>
      </c>
      <c r="B19" s="9" t="s">
        <v>74</v>
      </c>
      <c r="C19" s="17" t="s">
        <v>15</v>
      </c>
      <c r="D19" s="14">
        <v>2500</v>
      </c>
      <c r="E19" s="102" t="str">
        <f>IFERROR(IFERROR(INDEX(Кат!$A:$A,MATCH($B19,Кат!$H:$H,0)),INDEX(Торг!$B:$B,MATCH($B19,Торг!$H:$H,0))),"")</f>
        <v/>
      </c>
      <c r="G19" s="33">
        <v>75687</v>
      </c>
      <c r="H19" t="s">
        <v>111</v>
      </c>
    </row>
    <row r="20" spans="1:8" x14ac:dyDescent="0.25">
      <c r="A20" s="16">
        <v>17</v>
      </c>
      <c r="B20" s="9" t="s">
        <v>54</v>
      </c>
      <c r="C20" s="17" t="s">
        <v>9</v>
      </c>
      <c r="D20" s="14">
        <v>3750</v>
      </c>
      <c r="E20" s="102">
        <f>IFERROR(IFERROR(INDEX(Кат!$A:$A,MATCH($B20,Кат!$H:$H,0)),INDEX(Торг!$B:$B,MATCH($B20,Торг!$H:$H,0))),"")</f>
        <v>202008</v>
      </c>
      <c r="G20" s="33">
        <v>43585</v>
      </c>
      <c r="H20" t="s">
        <v>110</v>
      </c>
    </row>
    <row r="21" spans="1:8" x14ac:dyDescent="0.25">
      <c r="A21" s="16">
        <v>18</v>
      </c>
      <c r="B21" s="9" t="s">
        <v>55</v>
      </c>
      <c r="C21" s="17" t="s">
        <v>9</v>
      </c>
      <c r="D21" s="14">
        <v>2150</v>
      </c>
      <c r="E21" s="102">
        <f>IFERROR(IFERROR(INDEX(Кат!$A:$A,MATCH($B21,Кат!$H:$H,0)),INDEX(Торг!$B:$B,MATCH($B21,Торг!$H:$H,0))),"")</f>
        <v>202004</v>
      </c>
      <c r="G21" s="33">
        <v>84520</v>
      </c>
      <c r="H21" t="s">
        <v>142</v>
      </c>
    </row>
    <row r="22" spans="1:8" x14ac:dyDescent="0.25">
      <c r="A22" s="16">
        <v>19</v>
      </c>
      <c r="B22" s="9" t="s">
        <v>14</v>
      </c>
      <c r="C22" s="17" t="s">
        <v>15</v>
      </c>
      <c r="D22" s="14">
        <v>2800</v>
      </c>
      <c r="E22" s="102" t="str">
        <f>IFERROR(IFERROR(INDEX(Кат!$A:$A,MATCH($B22,Кат!$H:$H,0)),INDEX(Торг!$B:$B,MATCH($B22,Торг!$H:$H,0))),"")</f>
        <v/>
      </c>
    </row>
    <row r="23" spans="1:8" x14ac:dyDescent="0.25">
      <c r="A23" s="16">
        <v>20</v>
      </c>
      <c r="B23" s="9" t="s">
        <v>16</v>
      </c>
      <c r="C23" s="17" t="s">
        <v>15</v>
      </c>
      <c r="D23" s="14">
        <v>2900</v>
      </c>
      <c r="E23" s="102" t="str">
        <f>IFERROR(IFERROR(INDEX(Кат!$A:$A,MATCH($B23,Кат!$H:$H,0)),INDEX(Торг!$B:$B,MATCH($B23,Торг!$H:$H,0))),"")</f>
        <v/>
      </c>
    </row>
    <row r="24" spans="1:8" x14ac:dyDescent="0.25">
      <c r="A24" s="16">
        <v>21</v>
      </c>
      <c r="B24" s="9" t="s">
        <v>17</v>
      </c>
      <c r="C24" s="17" t="s">
        <v>15</v>
      </c>
      <c r="D24" s="14">
        <v>3550</v>
      </c>
      <c r="E24" s="102">
        <f>IFERROR(IFERROR(INDEX(Кат!$A:$A,MATCH($B24,Кат!$H:$H,0)),INDEX(Торг!$B:$B,MATCH($B24,Торг!$H:$H,0))),"")</f>
        <v>201865</v>
      </c>
      <c r="G24" s="33">
        <v>21391</v>
      </c>
      <c r="H24" t="s">
        <v>107</v>
      </c>
    </row>
    <row r="25" spans="1:8" x14ac:dyDescent="0.25">
      <c r="A25" s="16">
        <v>22</v>
      </c>
      <c r="B25" s="9" t="s">
        <v>18</v>
      </c>
      <c r="C25" s="17" t="s">
        <v>15</v>
      </c>
      <c r="D25" s="14">
        <v>3650</v>
      </c>
      <c r="E25" s="102">
        <f>IFERROR(IFERROR(INDEX(Кат!$A:$A,MATCH($B25,Кат!$H:$H,0)),INDEX(Торг!$B:$B,MATCH($B25,Торг!$H:$H,0))),"")</f>
        <v>201868</v>
      </c>
      <c r="G25" s="33">
        <v>21426</v>
      </c>
      <c r="H25" t="s">
        <v>108</v>
      </c>
    </row>
    <row r="26" spans="1:8" x14ac:dyDescent="0.25">
      <c r="A26" s="16">
        <v>23</v>
      </c>
      <c r="B26" s="9" t="s">
        <v>19</v>
      </c>
      <c r="C26" s="17" t="s">
        <v>9</v>
      </c>
      <c r="D26" s="14">
        <v>2500</v>
      </c>
      <c r="E26" s="102">
        <f>IFERROR(IFERROR(INDEX(Кат!$A:$A,MATCH($B26,Кат!$H:$H,0)),INDEX(Торг!$B:$B,MATCH($B26,Торг!$H:$H,0))),"")</f>
        <v>201873</v>
      </c>
      <c r="G26" s="33">
        <v>40500</v>
      </c>
      <c r="H26" t="s">
        <v>101</v>
      </c>
    </row>
    <row r="27" spans="1:8" x14ac:dyDescent="0.25">
      <c r="A27" s="16">
        <v>24</v>
      </c>
      <c r="B27" s="9" t="s">
        <v>20</v>
      </c>
      <c r="C27" s="17" t="s">
        <v>15</v>
      </c>
      <c r="D27" s="14">
        <v>2450</v>
      </c>
      <c r="E27" s="102">
        <f>IFERROR(IFERROR(INDEX(Кат!$A:$A,MATCH($B27,Кат!$H:$H,0)),INDEX(Торг!$B:$B,MATCH($B27,Торг!$H:$H,0))),"")</f>
        <v>201935</v>
      </c>
      <c r="G27" s="33">
        <v>25637</v>
      </c>
      <c r="H27" t="s">
        <v>99</v>
      </c>
    </row>
    <row r="28" spans="1:8" x14ac:dyDescent="0.25">
      <c r="A28" s="16">
        <v>25</v>
      </c>
      <c r="B28" s="9" t="s">
        <v>21</v>
      </c>
      <c r="C28" s="17" t="s">
        <v>15</v>
      </c>
      <c r="D28" s="14">
        <v>2450</v>
      </c>
      <c r="E28" s="102" t="str">
        <f>IFERROR(IFERROR(INDEX(Кат!$A:$A,MATCH($B28,Кат!$H:$H,0)),INDEX(Торг!$B:$B,MATCH($B28,Торг!$H:$H,0))),"")</f>
        <v/>
      </c>
      <c r="G28" s="33">
        <v>78608</v>
      </c>
      <c r="H28" t="s">
        <v>100</v>
      </c>
    </row>
    <row r="29" spans="1:8" x14ac:dyDescent="0.25">
      <c r="A29" s="16">
        <v>26</v>
      </c>
      <c r="B29" s="9" t="s">
        <v>22</v>
      </c>
      <c r="C29" s="17" t="s">
        <v>9</v>
      </c>
      <c r="D29" s="14">
        <v>2200</v>
      </c>
      <c r="E29" s="102" t="str">
        <f>IFERROR(IFERROR(INDEX(Кат!$A:$A,MATCH($B29,Кат!$H:$H,0)),INDEX(Торг!$B:$B,MATCH($B29,Торг!$H:$H,0))),"")</f>
        <v/>
      </c>
      <c r="F29" s="10"/>
      <c r="G29" s="33">
        <v>25619</v>
      </c>
      <c r="H29" t="s">
        <v>141</v>
      </c>
    </row>
    <row r="30" spans="1:8" x14ac:dyDescent="0.25">
      <c r="A30" s="16">
        <v>27</v>
      </c>
      <c r="B30" s="9" t="s">
        <v>23</v>
      </c>
      <c r="C30" s="17" t="s">
        <v>9</v>
      </c>
      <c r="D30" s="14">
        <v>2200</v>
      </c>
      <c r="E30" s="102">
        <f>IFERROR(IFERROR(INDEX(Кат!$A:$A,MATCH($B30,Кат!$H:$H,0)),INDEX(Торг!$B:$B,MATCH($B30,Торг!$H:$H,0))),"")</f>
        <v>201874</v>
      </c>
      <c r="F30" s="10"/>
      <c r="G30" s="33">
        <v>78564</v>
      </c>
      <c r="H30" t="s">
        <v>109</v>
      </c>
    </row>
    <row r="31" spans="1:8" x14ac:dyDescent="0.25">
      <c r="A31" s="16">
        <v>28</v>
      </c>
      <c r="B31" s="9" t="s">
        <v>24</v>
      </c>
      <c r="C31" s="17" t="s">
        <v>9</v>
      </c>
      <c r="D31" s="14">
        <v>2200</v>
      </c>
      <c r="E31" s="102" t="str">
        <f>IFERROR(IFERROR(INDEX(Кат!$A:$A,MATCH($B31,Кат!$H:$H,0)),INDEX(Торг!$B:$B,MATCH($B31,Торг!$H:$H,0))),"")</f>
        <v/>
      </c>
      <c r="G31" s="33">
        <v>78595</v>
      </c>
      <c r="H31" t="s">
        <v>126</v>
      </c>
    </row>
    <row r="32" spans="1:8" x14ac:dyDescent="0.25">
      <c r="A32" s="16">
        <v>29</v>
      </c>
      <c r="B32" s="9" t="s">
        <v>25</v>
      </c>
      <c r="C32" s="17" t="s">
        <v>9</v>
      </c>
      <c r="D32" s="14">
        <v>2500</v>
      </c>
      <c r="E32" s="102">
        <f>IFERROR(IFERROR(INDEX(Кат!$A:$A,MATCH($B32,Кат!$H:$H,0)),INDEX(Торг!$B:$B,MATCH($B32,Торг!$H:$H,0))),"")</f>
        <v>202006</v>
      </c>
      <c r="G32" s="33">
        <v>78611</v>
      </c>
      <c r="H32" t="s">
        <v>135</v>
      </c>
    </row>
    <row r="33" spans="1:8" x14ac:dyDescent="0.25">
      <c r="A33" s="16">
        <v>30</v>
      </c>
      <c r="B33" s="9" t="s">
        <v>75</v>
      </c>
      <c r="C33" s="17" t="s">
        <v>9</v>
      </c>
      <c r="D33" s="14">
        <v>2650</v>
      </c>
      <c r="E33" s="102">
        <f>IFERROR(IFERROR(INDEX(Кат!$A:$A,MATCH($B33,Кат!$H:$H,0)),INDEX(Торг!$B:$B,MATCH($B33,Торг!$H:$H,0))),"")</f>
        <v>201922</v>
      </c>
      <c r="G33" s="33">
        <v>33467</v>
      </c>
      <c r="H33" t="s">
        <v>136</v>
      </c>
    </row>
    <row r="34" spans="1:8" x14ac:dyDescent="0.25">
      <c r="A34" s="16">
        <v>31</v>
      </c>
      <c r="B34" s="9" t="s">
        <v>26</v>
      </c>
      <c r="C34" s="17" t="s">
        <v>9</v>
      </c>
      <c r="D34" s="14">
        <v>2250</v>
      </c>
      <c r="E34" s="102">
        <f>IFERROR(IFERROR(INDEX(Кат!$A:$A,MATCH($B34,Кат!$H:$H,0)),INDEX(Торг!$B:$B,MATCH($B34,Торг!$H:$H,0))),"")</f>
        <v>202027</v>
      </c>
      <c r="G34" s="33">
        <v>25585</v>
      </c>
      <c r="H34" t="s">
        <v>133</v>
      </c>
    </row>
    <row r="35" spans="1:8" x14ac:dyDescent="0.25">
      <c r="A35" s="16">
        <v>32</v>
      </c>
      <c r="B35" s="9" t="s">
        <v>27</v>
      </c>
      <c r="C35" s="17" t="s">
        <v>9</v>
      </c>
      <c r="D35" s="14">
        <v>2300</v>
      </c>
      <c r="E35" s="102">
        <f>IFERROR(IFERROR(INDEX(Кат!$A:$A,MATCH($B35,Кат!$H:$H,0)),INDEX(Торг!$B:$B,MATCH($B35,Торг!$H:$H,0))),"")</f>
        <v>201858</v>
      </c>
      <c r="G35" s="33">
        <v>25667</v>
      </c>
      <c r="H35" t="s">
        <v>127</v>
      </c>
    </row>
    <row r="36" spans="1:8" x14ac:dyDescent="0.25">
      <c r="A36" s="16">
        <v>33</v>
      </c>
      <c r="B36" s="9" t="s">
        <v>28</v>
      </c>
      <c r="C36" s="17" t="s">
        <v>15</v>
      </c>
      <c r="D36" s="14">
        <v>2650</v>
      </c>
      <c r="E36" s="102">
        <f>IFERROR(IFERROR(INDEX(Кат!$A:$A,MATCH($B36,Кат!$H:$H,0)),INDEX(Торг!$B:$B,MATCH($B36,Торг!$H:$H,0))),"")</f>
        <v>201921</v>
      </c>
      <c r="G36" s="33">
        <v>78606</v>
      </c>
      <c r="H36" t="s">
        <v>138</v>
      </c>
    </row>
    <row r="37" spans="1:8" x14ac:dyDescent="0.25">
      <c r="A37" s="16">
        <v>34</v>
      </c>
      <c r="B37" s="9" t="s">
        <v>53</v>
      </c>
      <c r="C37" s="17" t="s">
        <v>9</v>
      </c>
      <c r="D37" s="14">
        <v>2700</v>
      </c>
      <c r="E37" s="102">
        <f>IFERROR(IFERROR(INDEX(Кат!$A:$A,MATCH($B37,Кат!$H:$H,0)),INDEX(Торг!$B:$B,MATCH($B37,Торг!$H:$H,0))),"")</f>
        <v>202007</v>
      </c>
      <c r="G37" s="33">
        <v>79477</v>
      </c>
      <c r="H37" t="s">
        <v>137</v>
      </c>
    </row>
    <row r="38" spans="1:8" x14ac:dyDescent="0.25">
      <c r="A38" s="16">
        <v>35</v>
      </c>
      <c r="B38" s="9" t="s">
        <v>29</v>
      </c>
      <c r="C38" s="17" t="s">
        <v>9</v>
      </c>
      <c r="D38" s="14">
        <v>3550</v>
      </c>
      <c r="E38" s="102">
        <f>IFERROR(IFERROR(INDEX(Кат!$A:$A,MATCH($B38,Кат!$H:$H,0)),INDEX(Торг!$B:$B,MATCH($B38,Торг!$H:$H,0))),"")</f>
        <v>443476</v>
      </c>
      <c r="G38" s="33">
        <v>24595</v>
      </c>
      <c r="H38" t="s">
        <v>131</v>
      </c>
    </row>
    <row r="39" spans="1:8" x14ac:dyDescent="0.25">
      <c r="A39" s="16">
        <v>36</v>
      </c>
      <c r="B39" s="9" t="s">
        <v>30</v>
      </c>
      <c r="C39" s="17" t="s">
        <v>9</v>
      </c>
      <c r="D39" s="14">
        <v>3700</v>
      </c>
      <c r="E39" s="102">
        <f>IFERROR(IFERROR(INDEX(Кат!$A:$A,MATCH($B39,Кат!$H:$H,0)),INDEX(Торг!$B:$B,MATCH($B39,Торг!$H:$H,0))),"")</f>
        <v>443478</v>
      </c>
      <c r="G39" s="33">
        <v>49554</v>
      </c>
      <c r="H39" t="s">
        <v>134</v>
      </c>
    </row>
    <row r="40" spans="1:8" x14ac:dyDescent="0.25">
      <c r="A40" s="16">
        <v>37</v>
      </c>
      <c r="B40" s="9" t="s">
        <v>31</v>
      </c>
      <c r="C40" s="17" t="s">
        <v>9</v>
      </c>
      <c r="D40" s="14">
        <v>3650</v>
      </c>
      <c r="E40" s="102">
        <f>IFERROR(IFERROR(INDEX(Кат!$A:$A,MATCH($B40,Кат!$H:$H,0)),INDEX(Торг!$B:$B,MATCH($B40,Торг!$H:$H,0))),"")</f>
        <v>443479</v>
      </c>
      <c r="G40" s="33">
        <v>210171</v>
      </c>
      <c r="H40" t="s">
        <v>132</v>
      </c>
    </row>
    <row r="41" spans="1:8" x14ac:dyDescent="0.25">
      <c r="A41" s="16">
        <v>38</v>
      </c>
      <c r="B41" s="9" t="s">
        <v>32</v>
      </c>
      <c r="C41" s="17" t="s">
        <v>9</v>
      </c>
      <c r="D41" s="14">
        <v>3800</v>
      </c>
      <c r="E41" s="102">
        <f>IFERROR(IFERROR(INDEX(Кат!$A:$A,MATCH($B41,Кат!$H:$H,0)),INDEX(Торг!$B:$B,MATCH($B41,Торг!$H:$H,0))),"")</f>
        <v>443474</v>
      </c>
      <c r="F41" s="10"/>
      <c r="G41" s="33">
        <v>49553</v>
      </c>
      <c r="H41" t="s">
        <v>128</v>
      </c>
    </row>
    <row r="42" spans="1:8" x14ac:dyDescent="0.25">
      <c r="A42" s="16">
        <v>39</v>
      </c>
      <c r="B42" s="9" t="s">
        <v>33</v>
      </c>
      <c r="C42" s="17" t="s">
        <v>9</v>
      </c>
      <c r="D42" s="14">
        <v>3750</v>
      </c>
      <c r="E42" s="102">
        <f>IFERROR(IFERROR(INDEX(Кат!$A:$A,MATCH($B42,Кат!$H:$H,0)),INDEX(Торг!$B:$B,MATCH($B42,Торг!$H:$H,0))),"")</f>
        <v>443475</v>
      </c>
      <c r="F42" s="10"/>
      <c r="G42" s="33">
        <v>210170</v>
      </c>
      <c r="H42" t="s">
        <v>130</v>
      </c>
    </row>
    <row r="43" spans="1:8" x14ac:dyDescent="0.25">
      <c r="A43" s="16">
        <v>40</v>
      </c>
      <c r="B43" s="9" t="s">
        <v>34</v>
      </c>
      <c r="C43" s="17" t="s">
        <v>15</v>
      </c>
      <c r="D43" s="14">
        <v>3800</v>
      </c>
      <c r="E43" s="102">
        <f>IFERROR(IFERROR(INDEX(Кат!$A:$A,MATCH($B43,Кат!$H:$H,0)),INDEX(Торг!$B:$B,MATCH($B43,Торг!$H:$H,0))),"")</f>
        <v>443472</v>
      </c>
      <c r="G43" s="33">
        <v>24586</v>
      </c>
      <c r="H43" t="s">
        <v>129</v>
      </c>
    </row>
    <row r="44" spans="1:8" x14ac:dyDescent="0.25">
      <c r="A44" s="16">
        <v>41</v>
      </c>
      <c r="B44" s="9" t="s">
        <v>35</v>
      </c>
      <c r="C44" s="17" t="s">
        <v>15</v>
      </c>
      <c r="D44" s="14">
        <v>3550</v>
      </c>
      <c r="E44" s="102" t="str">
        <f>IFERROR(IFERROR(INDEX(Кат!$A:$A,MATCH($B44,Кат!$H:$H,0)),INDEX(Торг!$B:$B,MATCH($B44,Торг!$H:$H,0))),"")</f>
        <v/>
      </c>
      <c r="G44" s="33">
        <v>23432</v>
      </c>
      <c r="H44" t="s">
        <v>124</v>
      </c>
    </row>
    <row r="45" spans="1:8" x14ac:dyDescent="0.25">
      <c r="A45" s="16">
        <v>42</v>
      </c>
      <c r="B45" s="9" t="s">
        <v>36</v>
      </c>
      <c r="C45" s="17" t="s">
        <v>15</v>
      </c>
      <c r="D45" s="14">
        <v>3200</v>
      </c>
      <c r="E45" s="102" t="str">
        <f>IFERROR(IFERROR(INDEX(Кат!$A:$A,MATCH($B45,Кат!$H:$H,0)),INDEX(Торг!$B:$B,MATCH($B45,Торг!$H:$H,0))),"")</f>
        <v/>
      </c>
      <c r="F45" s="10"/>
      <c r="G45" s="33">
        <v>32703</v>
      </c>
      <c r="H45" t="s">
        <v>125</v>
      </c>
    </row>
    <row r="46" spans="1:8" x14ac:dyDescent="0.25">
      <c r="A46" s="16">
        <v>43</v>
      </c>
      <c r="B46" s="9" t="s">
        <v>37</v>
      </c>
      <c r="C46" s="17" t="s">
        <v>15</v>
      </c>
      <c r="D46" s="14">
        <v>3200</v>
      </c>
      <c r="E46" s="102">
        <f>IFERROR(IFERROR(INDEX(Кат!$A:$A,MATCH($B46,Кат!$H:$H,0)),INDEX(Торг!$B:$B,MATCH($B46,Торг!$H:$H,0))),"")</f>
        <v>443581</v>
      </c>
      <c r="F46" s="10"/>
      <c r="G46" s="33">
        <v>30417</v>
      </c>
      <c r="H46" t="s">
        <v>123</v>
      </c>
    </row>
    <row r="47" spans="1:8" x14ac:dyDescent="0.25">
      <c r="A47" s="16">
        <v>44</v>
      </c>
      <c r="B47" s="9" t="s">
        <v>38</v>
      </c>
      <c r="C47" s="17" t="s">
        <v>15</v>
      </c>
      <c r="D47" s="14">
        <v>3150</v>
      </c>
      <c r="E47" s="102">
        <f>IFERROR(IFERROR(INDEX(Кат!$A:$A,MATCH($B47,Кат!$H:$H,0)),INDEX(Торг!$B:$B,MATCH($B47,Торг!$H:$H,0))),"")</f>
        <v>443580</v>
      </c>
      <c r="G47" s="33">
        <v>32704</v>
      </c>
      <c r="H47" t="s">
        <v>122</v>
      </c>
    </row>
    <row r="48" spans="1:8" x14ac:dyDescent="0.25">
      <c r="A48" s="16">
        <v>45</v>
      </c>
      <c r="B48" s="9" t="s">
        <v>39</v>
      </c>
      <c r="C48" s="17" t="s">
        <v>9</v>
      </c>
      <c r="D48" s="14">
        <v>3200</v>
      </c>
      <c r="E48" s="102">
        <f>IFERROR(IFERROR(INDEX(Кат!$A:$A,MATCH($B48,Кат!$H:$H,0)),INDEX(Торг!$B:$B,MATCH($B48,Торг!$H:$H,0))),"")</f>
        <v>443582</v>
      </c>
      <c r="G48" s="33">
        <v>49917</v>
      </c>
      <c r="H48" t="s">
        <v>139</v>
      </c>
    </row>
    <row r="49" spans="1:10" x14ac:dyDescent="0.25">
      <c r="A49" s="16">
        <v>46</v>
      </c>
      <c r="B49" s="9" t="s">
        <v>40</v>
      </c>
      <c r="C49" s="17" t="s">
        <v>9</v>
      </c>
      <c r="D49" s="14"/>
      <c r="E49" s="102" t="str">
        <f>IFERROR(IFERROR(INDEX(Кат!$A:$A,MATCH($B49,Кат!$H:$H,0)),INDEX(Торг!$B:$B,MATCH($B49,Торг!$H:$H,0))),"")</f>
        <v/>
      </c>
      <c r="G49" s="33"/>
    </row>
    <row r="50" spans="1:10" x14ac:dyDescent="0.25">
      <c r="A50" s="16">
        <v>47</v>
      </c>
      <c r="B50" s="9" t="s">
        <v>41</v>
      </c>
      <c r="C50" s="17" t="s">
        <v>9</v>
      </c>
      <c r="D50" s="14">
        <v>3200</v>
      </c>
      <c r="E50" s="102">
        <f>IFERROR(IFERROR(INDEX(Кат!$A:$A,MATCH($B50,Кат!$H:$H,0)),INDEX(Торг!$B:$B,MATCH($B50,Торг!$H:$H,0))),"")</f>
        <v>443583</v>
      </c>
      <c r="G50" s="33">
        <v>331227</v>
      </c>
      <c r="H50" t="s">
        <v>121</v>
      </c>
    </row>
    <row r="51" spans="1:10" x14ac:dyDescent="0.25">
      <c r="A51" s="16">
        <v>48</v>
      </c>
      <c r="B51" s="9" t="s">
        <v>42</v>
      </c>
      <c r="C51" s="17" t="s">
        <v>9</v>
      </c>
      <c r="D51" s="14">
        <v>3200</v>
      </c>
      <c r="E51" s="102">
        <f>IFERROR(IFERROR(INDEX(Кат!$A:$A,MATCH($B51,Кат!$H:$H,0)),INDEX(Торг!$B:$B,MATCH($B51,Торг!$H:$H,0))),"")</f>
        <v>443584</v>
      </c>
      <c r="G51" s="33">
        <v>211090</v>
      </c>
      <c r="H51" t="s">
        <v>120</v>
      </c>
    </row>
    <row r="52" spans="1:10" x14ac:dyDescent="0.25">
      <c r="A52" s="16">
        <v>49</v>
      </c>
      <c r="B52" s="9" t="s">
        <v>43</v>
      </c>
      <c r="C52" s="17" t="s">
        <v>15</v>
      </c>
      <c r="D52" s="14">
        <v>3850</v>
      </c>
      <c r="E52" s="102">
        <f>IFERROR(IFERROR(INDEX(Кат!$A:$A,MATCH($B52,Кат!$H:$H,0)),INDEX(Торг!$B:$B,MATCH($B52,Торг!$H:$H,0))),"")</f>
        <v>443590</v>
      </c>
      <c r="G52" s="33">
        <v>30416</v>
      </c>
      <c r="H52" t="s">
        <v>119</v>
      </c>
    </row>
    <row r="53" spans="1:10" x14ac:dyDescent="0.25">
      <c r="A53" s="16">
        <v>50</v>
      </c>
      <c r="B53" s="9" t="s">
        <v>44</v>
      </c>
      <c r="C53" s="17" t="s">
        <v>15</v>
      </c>
      <c r="D53" s="14">
        <v>3500</v>
      </c>
      <c r="E53" s="102">
        <f>IFERROR(IFERROR(INDEX(Кат!$A:$A,MATCH($B53,Кат!$H:$H,0)),INDEX(Торг!$B:$B,MATCH($B53,Торг!$H:$H,0))),"")</f>
        <v>443591</v>
      </c>
      <c r="G53" s="33">
        <v>21434</v>
      </c>
      <c r="H53" t="s">
        <v>118</v>
      </c>
    </row>
    <row r="54" spans="1:10" x14ac:dyDescent="0.25">
      <c r="A54" s="16">
        <v>51</v>
      </c>
      <c r="B54" s="9" t="s">
        <v>45</v>
      </c>
      <c r="C54" s="17" t="s">
        <v>9</v>
      </c>
      <c r="D54" s="14">
        <v>4000</v>
      </c>
      <c r="E54" s="102">
        <f>IFERROR(IFERROR(INDEX(Кат!$A:$A,MATCH($B54,Кат!$H:$H,0)),INDEX(Торг!$B:$B,MATCH($B54,Торг!$H:$H,0))),"")</f>
        <v>443592</v>
      </c>
      <c r="G54" s="33">
        <v>49557</v>
      </c>
      <c r="H54" t="s">
        <v>140</v>
      </c>
    </row>
    <row r="55" spans="1:10" x14ac:dyDescent="0.25">
      <c r="A55" s="16">
        <v>52</v>
      </c>
      <c r="B55" s="9" t="s">
        <v>46</v>
      </c>
      <c r="C55" s="17" t="s">
        <v>9</v>
      </c>
      <c r="D55" s="14"/>
      <c r="E55" s="102" t="str">
        <f>IFERROR(IFERROR(INDEX(Кат!$A:$A,MATCH($B55,Кат!$H:$H,0)),INDEX(Торг!$B:$B,MATCH($B55,Торг!$H:$H,0))),"")</f>
        <v/>
      </c>
      <c r="G55" s="33"/>
    </row>
    <row r="56" spans="1:10" x14ac:dyDescent="0.25">
      <c r="A56" s="16">
        <v>53</v>
      </c>
      <c r="B56" s="9" t="s">
        <v>47</v>
      </c>
      <c r="C56" s="17" t="s">
        <v>9</v>
      </c>
      <c r="D56" s="14">
        <v>3600</v>
      </c>
      <c r="E56" s="102">
        <f>IFERROR(IFERROR(INDEX(Кат!$A:$A,MATCH($B56,Кат!$H:$H,0)),INDEX(Торг!$B:$B,MATCH($B56,Торг!$H:$H,0))),"")</f>
        <v>443593</v>
      </c>
      <c r="G56" s="33">
        <v>564147</v>
      </c>
      <c r="H56" t="s">
        <v>117</v>
      </c>
    </row>
    <row r="57" spans="1:10" x14ac:dyDescent="0.25">
      <c r="A57" s="16">
        <v>54</v>
      </c>
      <c r="B57" s="9" t="s">
        <v>48</v>
      </c>
      <c r="C57" s="17" t="s">
        <v>9</v>
      </c>
      <c r="D57" s="14">
        <v>3400</v>
      </c>
      <c r="E57" s="102">
        <f>IFERROR(IFERROR(INDEX(Кат!$A:$A,MATCH($B57,Кат!$H:$H,0)),INDEX(Торг!$B:$B,MATCH($B57,Торг!$H:$H,0))),"")</f>
        <v>443594</v>
      </c>
      <c r="G57" s="33">
        <v>211091</v>
      </c>
      <c r="H57" t="s">
        <v>116</v>
      </c>
    </row>
    <row r="58" spans="1:10" x14ac:dyDescent="0.25">
      <c r="A58" s="16">
        <v>55</v>
      </c>
      <c r="B58" s="9" t="s">
        <v>49</v>
      </c>
      <c r="C58" s="17" t="s">
        <v>9</v>
      </c>
      <c r="D58" s="14">
        <v>3000</v>
      </c>
      <c r="E58" s="102">
        <f>IFERROR(IFERROR(INDEX(Кат!$A:$A,MATCH($B58,Кат!$H:$H,0)),INDEX(Торг!$B:$B,MATCH($B58,Торг!$H:$H,0))),"")</f>
        <v>443694</v>
      </c>
      <c r="G58" s="33" t="s">
        <v>97</v>
      </c>
      <c r="H58" t="s">
        <v>114</v>
      </c>
      <c r="I58" s="10"/>
      <c r="J58" s="10"/>
    </row>
    <row r="59" spans="1:10" x14ac:dyDescent="0.25">
      <c r="A59" s="16">
        <v>56</v>
      </c>
      <c r="B59" s="9"/>
      <c r="C59" s="17"/>
      <c r="D59" s="14"/>
      <c r="E59" s="102" t="str">
        <f>IFERROR(IFERROR(INDEX(Кат!$A:$A,MATCH($B59,Кат!$H:$H,0)),INDEX(Торг!$B:$B,MATCH($B59,Торг!$H:$H,0))),"")</f>
        <v/>
      </c>
      <c r="G59" s="33" t="s">
        <v>96</v>
      </c>
      <c r="H59" t="s">
        <v>113</v>
      </c>
    </row>
    <row r="60" spans="1:10" x14ac:dyDescent="0.25">
      <c r="A60" s="16">
        <v>57</v>
      </c>
      <c r="B60" s="9"/>
      <c r="C60" s="17"/>
      <c r="D60" s="14"/>
      <c r="E60" s="102" t="str">
        <f>IFERROR(IFERROR(INDEX(Кат!$A:$A,MATCH($B60,Кат!$H:$H,0)),INDEX(Торг!$B:$B,MATCH($B60,Торг!$H:$H,0))),"")</f>
        <v/>
      </c>
      <c r="G60" s="33" t="s">
        <v>95</v>
      </c>
      <c r="H60" t="s">
        <v>112</v>
      </c>
    </row>
    <row r="61" spans="1:10" x14ac:dyDescent="0.25">
      <c r="A61" s="16">
        <v>58</v>
      </c>
      <c r="B61" s="9"/>
      <c r="C61" s="17"/>
      <c r="D61" s="14"/>
      <c r="E61" s="102" t="str">
        <f>IFERROR(IFERROR(INDEX(Кат!$A:$A,MATCH($B61,Кат!$H:$H,0)),INDEX(Торг!$B:$B,MATCH($B61,Торг!$H:$H,0))),"")</f>
        <v/>
      </c>
      <c r="G61" s="33" t="s">
        <v>98</v>
      </c>
      <c r="H61" t="s">
        <v>115</v>
      </c>
    </row>
    <row r="62" spans="1:10" x14ac:dyDescent="0.25">
      <c r="A62" s="16">
        <v>59</v>
      </c>
      <c r="B62" s="9"/>
      <c r="C62" s="17"/>
      <c r="D62" s="14"/>
      <c r="E62" s="102" t="str">
        <f>IFERROR(IFERROR(INDEX(Кат!$A:$A,MATCH($B62,Кат!$H:$H,0)),INDEX(Торг!$B:$B,MATCH($B62,Торг!$H:$H,0))),"")</f>
        <v/>
      </c>
    </row>
    <row r="63" spans="1:10" x14ac:dyDescent="0.25">
      <c r="A63" s="16">
        <v>60</v>
      </c>
      <c r="B63" s="9"/>
      <c r="C63" s="17"/>
      <c r="D63" s="14"/>
      <c r="E63" s="102" t="str">
        <f>IFERROR(IFERROR(INDEX(Кат!$A:$A,MATCH($B63,Кат!$H:$H,0)),INDEX(Торг!$B:$B,MATCH($B63,Торг!$H:$H,0))),"")</f>
        <v/>
      </c>
    </row>
    <row r="64" spans="1:10" x14ac:dyDescent="0.25">
      <c r="A64" s="16">
        <v>61</v>
      </c>
      <c r="B64" s="9"/>
      <c r="C64" s="17"/>
      <c r="D64" s="14"/>
      <c r="E64" s="102" t="str">
        <f>IFERROR(IFERROR(INDEX(Кат!$A:$A,MATCH($B64,Кат!$H:$H,0)),INDEX(Торг!$B:$B,MATCH($B64,Торг!$H:$H,0))),"")</f>
        <v/>
      </c>
    </row>
    <row r="65" spans="1:7" x14ac:dyDescent="0.25">
      <c r="A65" s="16">
        <v>62</v>
      </c>
      <c r="B65" s="9"/>
      <c r="C65" s="17"/>
      <c r="D65" s="14"/>
      <c r="E65" s="102" t="str">
        <f>IFERROR(IFERROR(INDEX(Кат!$A:$A,MATCH($B65,Кат!$H:$H,0)),INDEX(Торг!$B:$B,MATCH($B65,Торг!$H:$H,0))),"")</f>
        <v/>
      </c>
    </row>
    <row r="66" spans="1:7" x14ac:dyDescent="0.25">
      <c r="A66" s="16">
        <v>63</v>
      </c>
      <c r="B66" s="9"/>
      <c r="C66" s="17"/>
      <c r="D66" s="14"/>
      <c r="E66" s="102" t="str">
        <f>IFERROR(IFERROR(INDEX(Кат!$A:$A,MATCH($B66,Кат!$H:$H,0)),INDEX(Торг!$B:$B,MATCH($B66,Торг!$H:$H,0))),"")</f>
        <v/>
      </c>
    </row>
    <row r="67" spans="1:7" x14ac:dyDescent="0.25">
      <c r="A67" s="16">
        <v>64</v>
      </c>
      <c r="B67" s="9"/>
      <c r="C67" s="17"/>
      <c r="D67" s="14"/>
      <c r="E67" s="102" t="str">
        <f>IFERROR(IFERROR(INDEX(Кат!$A:$A,MATCH($B67,Кат!$H:$H,0)),INDEX(Торг!$B:$B,MATCH($B67,Торг!$H:$H,0))),"")</f>
        <v/>
      </c>
    </row>
    <row r="68" spans="1:7" x14ac:dyDescent="0.25">
      <c r="A68" s="18"/>
      <c r="B68" s="9"/>
      <c r="C68" s="17"/>
      <c r="D68" s="14"/>
      <c r="E68" s="102" t="str">
        <f>IFERROR(IFERROR(INDEX(Кат!$A:$A,MATCH($B68,Кат!$H:$H,0)),INDEX(Торг!$B:$B,MATCH($B68,Торг!$H:$H,0))),"")</f>
        <v/>
      </c>
    </row>
    <row r="69" spans="1:7" x14ac:dyDescent="0.25">
      <c r="B69" s="20"/>
      <c r="C69" s="21"/>
      <c r="D69" s="22"/>
      <c r="E69" s="102" t="str">
        <f>IFERROR(IFERROR(INDEX(Кат!$A:$A,MATCH($B69,Кат!$H:$H,0)),INDEX(Торг!$B:$B,MATCH($B69,Торг!$H:$H,0))),"")</f>
        <v/>
      </c>
    </row>
    <row r="70" spans="1:7" x14ac:dyDescent="0.25">
      <c r="B70" s="20"/>
      <c r="C70" s="21"/>
      <c r="D70" s="22"/>
      <c r="E70" s="102" t="str">
        <f>IFERROR(IFERROR(INDEX(Кат!$A:$A,MATCH($B70,Кат!$H:$H,0)),INDEX(Торг!$B:$B,MATCH($B70,Торг!$H:$H,0))),"")</f>
        <v/>
      </c>
    </row>
    <row r="71" spans="1:7" x14ac:dyDescent="0.25">
      <c r="B71" s="54" t="s">
        <v>58</v>
      </c>
      <c r="C71" s="55"/>
      <c r="D71" s="23"/>
      <c r="E71" s="102" t="str">
        <f>IFERROR(IFERROR(INDEX(Кат!$A:$A,MATCH($B71,Кат!$H:$H,0)),INDEX(Торг!$B:$B,MATCH($B71,Торг!$H:$H,0))),"")</f>
        <v/>
      </c>
    </row>
    <row r="72" spans="1:7" x14ac:dyDescent="0.25">
      <c r="B72" s="44" t="s">
        <v>220</v>
      </c>
      <c r="C72" s="56" t="s">
        <v>9</v>
      </c>
      <c r="D72" s="24"/>
      <c r="E72" s="102" t="str">
        <f>IFERROR(IFERROR(INDEX(Кат!$A:$A,MATCH($B72,Кат!$H:$H,0)),INDEX(Торг!$B:$B,MATCH($B72,Торг!$H:$H,0))),"")</f>
        <v/>
      </c>
      <c r="G72" s="32">
        <v>3900</v>
      </c>
    </row>
    <row r="73" spans="1:7" x14ac:dyDescent="0.25">
      <c r="B73" s="41" t="s">
        <v>61</v>
      </c>
      <c r="C73" s="57" t="s">
        <v>9</v>
      </c>
      <c r="D73" s="25">
        <v>3950</v>
      </c>
      <c r="E73" s="102">
        <f>IFERROR(IFERROR(INDEX(Кат!$A:$A,MATCH($B73,Кат!$H:$H,0)),INDEX(Торг!$B:$B,MATCH($B73,Торг!$H:$H,0))),"")</f>
        <v>187454</v>
      </c>
      <c r="G73" s="32">
        <v>3950</v>
      </c>
    </row>
    <row r="74" spans="1:7" x14ac:dyDescent="0.25">
      <c r="B74" s="45" t="s">
        <v>189</v>
      </c>
      <c r="C74" s="57" t="s">
        <v>9</v>
      </c>
      <c r="D74" s="25">
        <v>2550</v>
      </c>
      <c r="E74" s="102">
        <f>IFERROR(IFERROR(INDEX(Кат!$A:$A,MATCH($B74,Кат!$H:$H,0)),INDEX(Торг!$B:$B,MATCH($B74,Торг!$H:$H,0))),"")</f>
        <v>187444</v>
      </c>
      <c r="G74" s="32">
        <v>2550</v>
      </c>
    </row>
    <row r="75" spans="1:7" x14ac:dyDescent="0.25">
      <c r="B75" s="45" t="s">
        <v>221</v>
      </c>
      <c r="C75" s="57" t="s">
        <v>9</v>
      </c>
      <c r="D75" s="25"/>
      <c r="E75" s="102">
        <f>IFERROR(IFERROR(INDEX(Кат!$A:$A,MATCH($B75,Кат!$H:$H,0)),INDEX(Торг!$B:$B,MATCH($B75,Торг!$H:$H,0))),"")</f>
        <v>187451</v>
      </c>
      <c r="G75" s="32">
        <v>2650</v>
      </c>
    </row>
    <row r="76" spans="1:7" x14ac:dyDescent="0.25">
      <c r="B76" s="47" t="s">
        <v>222</v>
      </c>
      <c r="C76" s="57" t="s">
        <v>9</v>
      </c>
      <c r="D76" s="25"/>
      <c r="E76" s="102">
        <f>IFERROR(IFERROR(INDEX(Кат!$A:$A,MATCH($B76,Кат!$H:$H,0)),INDEX(Торг!$B:$B,MATCH($B76,Торг!$H:$H,0))),"")</f>
        <v>201916</v>
      </c>
      <c r="G76" s="32">
        <v>2900</v>
      </c>
    </row>
    <row r="77" spans="1:7" x14ac:dyDescent="0.25">
      <c r="B77" s="47" t="s">
        <v>223</v>
      </c>
      <c r="C77" s="57" t="s">
        <v>9</v>
      </c>
      <c r="D77" s="25"/>
      <c r="E77" s="102" t="str">
        <f>IFERROR(IFERROR(INDEX(Кат!$A:$A,MATCH($B77,Кат!$H:$H,0)),INDEX(Торг!$B:$B,MATCH($B77,Торг!$H:$H,0))),"")</f>
        <v/>
      </c>
      <c r="G77" s="32">
        <v>3000</v>
      </c>
    </row>
    <row r="78" spans="1:7" x14ac:dyDescent="0.25">
      <c r="B78" s="45" t="s">
        <v>224</v>
      </c>
      <c r="C78" s="58" t="s">
        <v>9</v>
      </c>
      <c r="D78" s="25"/>
      <c r="E78" s="102">
        <f>IFERROR(IFERROR(INDEX(Кат!$A:$A,MATCH($B78,Кат!$H:$H,0)),INDEX(Торг!$B:$B,MATCH($B78,Торг!$H:$H,0))),"")</f>
        <v>201899</v>
      </c>
      <c r="G78" s="32">
        <v>2800</v>
      </c>
    </row>
    <row r="79" spans="1:7" x14ac:dyDescent="0.25">
      <c r="B79" s="47" t="s">
        <v>225</v>
      </c>
      <c r="C79" s="58" t="s">
        <v>9</v>
      </c>
      <c r="D79" s="25"/>
      <c r="E79" s="102" t="str">
        <f>IFERROR(IFERROR(INDEX(Кат!$A:$A,MATCH($B79,Кат!$H:$H,0)),INDEX(Торг!$B:$B,MATCH($B79,Торг!$H:$H,0))),"")</f>
        <v/>
      </c>
      <c r="G79" s="32">
        <v>2650</v>
      </c>
    </row>
    <row r="80" spans="1:7" x14ac:dyDescent="0.25">
      <c r="B80" s="47" t="s">
        <v>226</v>
      </c>
      <c r="C80" s="58" t="s">
        <v>9</v>
      </c>
      <c r="D80" s="25"/>
      <c r="E80" s="102">
        <f>IFERROR(IFERROR(INDEX(Кат!$A:$A,MATCH($B80,Кат!$H:$H,0)),INDEX(Торг!$B:$B,MATCH($B80,Торг!$H:$H,0))),"")</f>
        <v>201995</v>
      </c>
      <c r="G80" s="32">
        <v>2750</v>
      </c>
    </row>
    <row r="81" spans="1:7" x14ac:dyDescent="0.25">
      <c r="B81" s="45" t="s">
        <v>227</v>
      </c>
      <c r="C81" s="58" t="s">
        <v>9</v>
      </c>
      <c r="D81" s="25"/>
      <c r="E81" s="102">
        <f>IFERROR(IFERROR(INDEX(Кат!$A:$A,MATCH($B81,Кат!$H:$H,0)),INDEX(Торг!$B:$B,MATCH($B81,Торг!$H:$H,0))),"")</f>
        <v>201966</v>
      </c>
      <c r="G81" s="32">
        <v>2550</v>
      </c>
    </row>
    <row r="82" spans="1:7" x14ac:dyDescent="0.25">
      <c r="B82" s="48" t="s">
        <v>92</v>
      </c>
      <c r="C82" s="57" t="s">
        <v>9</v>
      </c>
      <c r="D82" s="25"/>
      <c r="E82" s="102">
        <f>IFERROR(IFERROR(INDEX(Кат!$A:$A,MATCH($B82,Кат!$H:$H,0)),INDEX(Торг!$B:$B,MATCH($B82,Торг!$H:$H,0))),"")</f>
        <v>201969</v>
      </c>
      <c r="G82" s="32">
        <v>3350</v>
      </c>
    </row>
    <row r="83" spans="1:7" x14ac:dyDescent="0.25">
      <c r="B83" s="48" t="s">
        <v>93</v>
      </c>
      <c r="C83" s="25" t="s">
        <v>9</v>
      </c>
      <c r="D83" s="25"/>
      <c r="E83" s="102" t="str">
        <f>IFERROR(IFERROR(INDEX(Кат!$A:$A,MATCH($B83,Кат!$H:$H,0)),INDEX(Торг!$B:$B,MATCH($B83,Торг!$H:$H,0))),"")</f>
        <v/>
      </c>
      <c r="G83" s="32">
        <v>3450</v>
      </c>
    </row>
    <row r="84" spans="1:7" x14ac:dyDescent="0.25">
      <c r="B84" s="46" t="s">
        <v>60</v>
      </c>
      <c r="C84" s="57" t="s">
        <v>9</v>
      </c>
      <c r="D84" s="24"/>
      <c r="E84" s="102">
        <f>IFERROR(IFERROR(INDEX(Кат!$A:$A,MATCH($B84,Кат!$H:$H,0)),INDEX(Торг!$B:$B,MATCH($B84,Торг!$H:$H,0))),"")</f>
        <v>201997</v>
      </c>
      <c r="G84" s="32">
        <v>3450</v>
      </c>
    </row>
    <row r="85" spans="1:7" x14ac:dyDescent="0.25">
      <c r="B85" s="44" t="s">
        <v>228</v>
      </c>
      <c r="C85" s="57" t="s">
        <v>9</v>
      </c>
      <c r="D85" s="24"/>
      <c r="E85" s="102" t="str">
        <f>IFERROR(IFERROR(INDEX(Кат!$A:$A,MATCH($B85,Кат!$H:$H,0)),INDEX(Торг!$B:$B,MATCH($B85,Торг!$H:$H,0))),"")</f>
        <v/>
      </c>
      <c r="G85" s="32">
        <v>4000</v>
      </c>
    </row>
    <row r="86" spans="1:7" x14ac:dyDescent="0.25">
      <c r="B86" s="45" t="s">
        <v>59</v>
      </c>
      <c r="C86" s="57" t="s">
        <v>9</v>
      </c>
      <c r="D86" s="24">
        <v>4000</v>
      </c>
      <c r="E86" s="102">
        <f>IFERROR(IFERROR(INDEX(Кат!$A:$A,MATCH($B86,Кат!$H:$H,0)),INDEX(Торг!$B:$B,MATCH($B86,Торг!$H:$H,0))),"")</f>
        <v>202000</v>
      </c>
      <c r="G86" s="32">
        <v>4000</v>
      </c>
    </row>
    <row r="87" spans="1:7" x14ac:dyDescent="0.25">
      <c r="B87" s="41" t="s">
        <v>90</v>
      </c>
      <c r="C87" s="57" t="s">
        <v>9</v>
      </c>
      <c r="D87" s="25"/>
      <c r="E87" s="102" t="str">
        <f>IFERROR(IFERROR(INDEX(Кат!$A:$A,MATCH($B87,Кат!$H:$H,0)),INDEX(Торг!$B:$B,MATCH($B87,Торг!$H:$H,0))),"")</f>
        <v/>
      </c>
      <c r="G87" s="32">
        <v>3750</v>
      </c>
    </row>
    <row r="88" spans="1:7" x14ac:dyDescent="0.25">
      <c r="B88" s="15"/>
      <c r="C88" s="58"/>
      <c r="D88" s="58"/>
      <c r="E88" s="102" t="str">
        <f>IFERROR(IFERROR(INDEX(Кат!$A:$A,MATCH($B88,Кат!$H:$H,0)),INDEX(Торг!$B:$B,MATCH($B88,Торг!$H:$H,0))),"")</f>
        <v/>
      </c>
    </row>
    <row r="89" spans="1:7" x14ac:dyDescent="0.25">
      <c r="A89" s="27"/>
      <c r="B89" s="15"/>
      <c r="C89" s="25"/>
      <c r="D89" s="25"/>
      <c r="E89" s="102" t="str">
        <f>IFERROR(IFERROR(INDEX(Кат!$A:$A,MATCH($B89,Кат!$H:$H,0)),INDEX(Торг!$B:$B,MATCH($B89,Торг!$H:$H,0))),"")</f>
        <v/>
      </c>
    </row>
    <row r="90" spans="1:7" x14ac:dyDescent="0.25">
      <c r="A90" s="28"/>
      <c r="B90" s="29"/>
      <c r="C90" s="28"/>
      <c r="D90" s="27"/>
      <c r="E90" s="102" t="str">
        <f>IFERROR(IFERROR(INDEX(Кат!$A:$A,MATCH($B90,Кат!$H:$H,0)),INDEX(Торг!$B:$B,MATCH($B90,Торг!$H:$H,0))),"")</f>
        <v/>
      </c>
    </row>
    <row r="91" spans="1:7" x14ac:dyDescent="0.25">
      <c r="A91" s="28"/>
      <c r="B91" s="29" t="s">
        <v>409</v>
      </c>
      <c r="C91" s="21"/>
      <c r="D91" s="27" t="s">
        <v>410</v>
      </c>
      <c r="E91" s="102">
        <f>IFERROR(IFERROR(INDEX(Кат!$A:$A,MATCH($B91,Кат!$H:$H,0)),INDEX(Торг!$B:$B,MATCH($B91,Торг!$H:$H,0))),"")</f>
        <v>443468</v>
      </c>
    </row>
    <row r="92" spans="1:7" x14ac:dyDescent="0.25">
      <c r="A92" s="28"/>
      <c r="B92" s="29" t="s">
        <v>411</v>
      </c>
      <c r="C92" s="21"/>
      <c r="D92" s="27" t="s">
        <v>410</v>
      </c>
      <c r="E92" s="102">
        <f>IFERROR(IFERROR(INDEX(Кат!$A:$A,MATCH($B92,Кат!$H:$H,0)),INDEX(Торг!$B:$B,MATCH($B92,Торг!$H:$H,0))),"")</f>
        <v>443469</v>
      </c>
    </row>
    <row r="93" spans="1:7" x14ac:dyDescent="0.25">
      <c r="A93" s="28"/>
      <c r="B93" s="29" t="s">
        <v>412</v>
      </c>
      <c r="C93" s="21"/>
      <c r="D93" s="27" t="s">
        <v>410</v>
      </c>
      <c r="E93" s="102">
        <f>IFERROR(IFERROR(INDEX(Кат!$A:$A,MATCH($B93,Кат!$H:$H,0)),INDEX(Торг!$B:$B,MATCH($B93,Торг!$H:$H,0))),"")</f>
        <v>443470</v>
      </c>
    </row>
    <row r="94" spans="1:7" x14ac:dyDescent="0.25">
      <c r="A94" s="28"/>
      <c r="B94" s="20" t="s">
        <v>413</v>
      </c>
      <c r="C94" s="21"/>
      <c r="D94" s="27">
        <v>2650</v>
      </c>
      <c r="E94" s="102">
        <f>IFERROR(IFERROR(INDEX(Кат!$A:$A,MATCH($B94,Кат!$H:$H,0)),INDEX(Торг!$B:$B,MATCH($B94,Торг!$H:$H,0))),"")</f>
        <v>201998</v>
      </c>
    </row>
    <row r="95" spans="1:7" x14ac:dyDescent="0.25">
      <c r="A95" s="28"/>
      <c r="B95" s="20" t="s">
        <v>414</v>
      </c>
      <c r="C95" s="21"/>
      <c r="D95" s="27">
        <v>2650</v>
      </c>
      <c r="E95" s="102">
        <f>IFERROR(IFERROR(INDEX(Кат!$A:$A,MATCH($B95,Кат!$H:$H,0)),INDEX(Торг!$B:$B,MATCH($B95,Торг!$H:$H,0))),"")</f>
        <v>443587</v>
      </c>
    </row>
    <row r="96" spans="1:7" x14ac:dyDescent="0.25">
      <c r="A96" s="28"/>
      <c r="B96" s="20" t="s">
        <v>415</v>
      </c>
      <c r="C96" s="21"/>
      <c r="D96" s="27">
        <v>2650</v>
      </c>
      <c r="E96" s="102">
        <f>IFERROR(IFERROR(INDEX(Кат!$A:$A,MATCH($B96,Кат!$H:$H,0)),INDEX(Торг!$B:$B,MATCH($B96,Торг!$H:$H,0))),"")</f>
        <v>443588</v>
      </c>
    </row>
    <row r="97" spans="1:5" x14ac:dyDescent="0.25">
      <c r="A97" s="28"/>
      <c r="B97" s="20" t="s">
        <v>416</v>
      </c>
      <c r="C97" s="21"/>
      <c r="D97" s="27">
        <v>2650</v>
      </c>
      <c r="E97" s="102">
        <f>IFERROR(IFERROR(INDEX(Кат!$A:$A,MATCH($B97,Кат!$H:$H,0)),INDEX(Торг!$B:$B,MATCH($B97,Торг!$H:$H,0))),"")</f>
        <v>443589</v>
      </c>
    </row>
    <row r="98" spans="1:5" x14ac:dyDescent="0.25">
      <c r="A98" s="28"/>
      <c r="B98" s="30" t="s">
        <v>417</v>
      </c>
      <c r="C98" s="21"/>
      <c r="D98" s="27">
        <v>3350</v>
      </c>
      <c r="E98" s="102">
        <f>IFERROR(IFERROR(INDEX(Кат!$A:$A,MATCH($B98,Кат!$H:$H,0)),INDEX(Торг!$B:$B,MATCH($B98,Торг!$H:$H,0))),"")</f>
        <v>202001</v>
      </c>
    </row>
    <row r="99" spans="1:5" x14ac:dyDescent="0.25">
      <c r="A99" s="28"/>
      <c r="B99" s="30" t="s">
        <v>418</v>
      </c>
      <c r="C99" s="21"/>
      <c r="D99" s="27">
        <v>3350</v>
      </c>
      <c r="E99" s="102">
        <f>IFERROR(IFERROR(INDEX(Кат!$A:$A,MATCH($B99,Кат!$H:$H,0)),INDEX(Торг!$B:$B,MATCH($B99,Торг!$H:$H,0))),"")</f>
        <v>443691</v>
      </c>
    </row>
    <row r="100" spans="1:5" x14ac:dyDescent="0.25">
      <c r="A100" s="28"/>
      <c r="B100" s="20" t="s">
        <v>419</v>
      </c>
      <c r="C100" s="21"/>
      <c r="D100" s="27">
        <v>3350</v>
      </c>
      <c r="E100" s="102">
        <f>IFERROR(IFERROR(INDEX(Кат!$A:$A,MATCH($B100,Кат!$H:$H,0)),INDEX(Торг!$B:$B,MATCH($B100,Торг!$H:$H,0))),"")</f>
        <v>443692</v>
      </c>
    </row>
    <row r="101" spans="1:5" x14ac:dyDescent="0.25">
      <c r="A101" s="28"/>
      <c r="B101" s="20" t="s">
        <v>420</v>
      </c>
      <c r="C101" s="21"/>
      <c r="D101" s="27">
        <v>3350</v>
      </c>
      <c r="E101" s="102">
        <f>IFERROR(IFERROR(INDEX(Кат!$A:$A,MATCH($B101,Кат!$H:$H,0)),INDEX(Торг!$B:$B,MATCH($B101,Торг!$H:$H,0))),"")</f>
        <v>443693</v>
      </c>
    </row>
    <row r="102" spans="1:5" x14ac:dyDescent="0.25">
      <c r="A102" s="28"/>
      <c r="B102" s="20" t="s">
        <v>421</v>
      </c>
      <c r="C102" s="21"/>
      <c r="D102" s="27">
        <v>3350</v>
      </c>
      <c r="E102" s="102">
        <f>IFERROR(IFERROR(INDEX(Кат!$A:$A,MATCH($B102,Кат!$H:$H,0)),INDEX(Торг!$B:$B,MATCH($B102,Торг!$H:$H,0))),"")</f>
        <v>443689</v>
      </c>
    </row>
    <row r="103" spans="1:5" x14ac:dyDescent="0.25">
      <c r="A103" s="28"/>
      <c r="B103" s="20" t="s">
        <v>422</v>
      </c>
      <c r="C103" s="21"/>
      <c r="D103" s="27">
        <v>3900</v>
      </c>
      <c r="E103" s="102">
        <f>IFERROR(IFERROR(INDEX(Кат!$A:$A,MATCH($B103,Кат!$H:$H,0)),INDEX(Торг!$B:$B,MATCH($B103,Торг!$H:$H,0))),"")</f>
        <v>444136</v>
      </c>
    </row>
    <row r="104" spans="1:5" x14ac:dyDescent="0.25">
      <c r="A104" s="28"/>
      <c r="B104" s="20" t="s">
        <v>423</v>
      </c>
      <c r="C104" s="21"/>
      <c r="D104" s="27">
        <v>3900</v>
      </c>
      <c r="E104" s="102">
        <f>IFERROR(IFERROR(INDEX(Кат!$A:$A,MATCH($B104,Кат!$H:$H,0)),INDEX(Торг!$B:$B,MATCH($B104,Торг!$H:$H,0))),"")</f>
        <v>444158</v>
      </c>
    </row>
    <row r="105" spans="1:5" x14ac:dyDescent="0.25">
      <c r="A105" s="28"/>
      <c r="B105" s="20" t="s">
        <v>424</v>
      </c>
      <c r="C105" s="21"/>
      <c r="D105" s="27">
        <v>4000</v>
      </c>
      <c r="E105" s="102">
        <f>IFERROR(IFERROR(INDEX(Кат!$A:$A,MATCH($B105,Кат!$H:$H,0)),INDEX(Торг!$B:$B,MATCH($B105,Торг!$H:$H,0))),"")</f>
        <v>443971</v>
      </c>
    </row>
    <row r="106" spans="1:5" x14ac:dyDescent="0.25">
      <c r="A106" s="28"/>
      <c r="B106" s="20" t="s">
        <v>425</v>
      </c>
      <c r="C106" s="21"/>
      <c r="D106" s="27">
        <v>4000</v>
      </c>
      <c r="E106" s="102">
        <f>IFERROR(IFERROR(INDEX(Кат!$A:$A,MATCH($B106,Кат!$H:$H,0)),INDEX(Торг!$B:$B,MATCH($B106,Торг!$H:$H,0))),"")</f>
        <v>443972</v>
      </c>
    </row>
    <row r="107" spans="1:5" x14ac:dyDescent="0.25">
      <c r="A107" s="28"/>
      <c r="B107" s="20" t="s">
        <v>426</v>
      </c>
      <c r="C107" s="21"/>
      <c r="D107" s="27">
        <v>4000</v>
      </c>
      <c r="E107" s="102">
        <f>IFERROR(IFERROR(INDEX(Кат!$A:$A,MATCH($B107,Кат!$H:$H,0)),INDEX(Торг!$B:$B,MATCH($B107,Торг!$H:$H,0))),"")</f>
        <v>443973</v>
      </c>
    </row>
    <row r="108" spans="1:5" x14ac:dyDescent="0.25">
      <c r="A108" s="28"/>
      <c r="B108" s="20" t="s">
        <v>427</v>
      </c>
      <c r="C108" s="21"/>
      <c r="D108" s="27">
        <v>4000</v>
      </c>
      <c r="E108" s="102">
        <f>IFERROR(IFERROR(INDEX(Кат!$A:$A,MATCH($B108,Кат!$H:$H,0)),INDEX(Торг!$B:$B,MATCH($B108,Торг!$H:$H,0))),"")</f>
        <v>201967</v>
      </c>
    </row>
    <row r="109" spans="1:5" x14ac:dyDescent="0.25">
      <c r="A109" s="28"/>
      <c r="B109" s="20" t="s">
        <v>428</v>
      </c>
      <c r="C109" s="21"/>
      <c r="D109" s="27">
        <v>4000</v>
      </c>
      <c r="E109" s="102">
        <f>IFERROR(IFERROR(INDEX(Кат!$A:$A,MATCH($B109,Кат!$H:$H,0)),INDEX(Торг!$B:$B,MATCH($B109,Торг!$H:$H,0))),"")</f>
        <v>201999</v>
      </c>
    </row>
    <row r="110" spans="1:5" x14ac:dyDescent="0.25">
      <c r="A110" s="28"/>
      <c r="B110" s="20" t="s">
        <v>429</v>
      </c>
      <c r="C110" s="21"/>
      <c r="D110" s="27">
        <v>3900</v>
      </c>
      <c r="E110" s="102">
        <f>IFERROR(IFERROR(INDEX(Кат!$A:$A,MATCH($B110,Кат!$H:$H,0)),INDEX(Торг!$B:$B,MATCH($B110,Торг!$H:$H,0))),"")</f>
        <v>201970</v>
      </c>
    </row>
    <row r="111" spans="1:5" x14ac:dyDescent="0.25">
      <c r="A111" s="28"/>
      <c r="B111" s="20" t="s">
        <v>430</v>
      </c>
      <c r="C111" s="21"/>
      <c r="D111" s="27">
        <v>3900</v>
      </c>
      <c r="E111" s="102">
        <f>IFERROR(IFERROR(INDEX(Кат!$A:$A,MATCH($B111,Кат!$H:$H,0)),INDEX(Торг!$B:$B,MATCH($B111,Торг!$H:$H,0))),"")</f>
        <v>201965</v>
      </c>
    </row>
    <row r="112" spans="1:5" x14ac:dyDescent="0.25">
      <c r="A112" s="28"/>
      <c r="B112" s="20" t="s">
        <v>431</v>
      </c>
      <c r="C112" s="21"/>
      <c r="D112" s="27">
        <v>4500</v>
      </c>
      <c r="E112" s="102">
        <f>IFERROR(IFERROR(INDEX(Кат!$A:$A,MATCH($B112,Кат!$H:$H,0)),INDEX(Торг!$B:$B,MATCH($B112,Торг!$H:$H,0))),"")</f>
        <v>443724</v>
      </c>
    </row>
    <row r="113" spans="1:5" x14ac:dyDescent="0.25">
      <c r="A113" s="28"/>
      <c r="B113" s="20" t="s">
        <v>432</v>
      </c>
      <c r="C113" s="21"/>
      <c r="D113" s="27">
        <v>4500</v>
      </c>
      <c r="E113" s="102">
        <f>IFERROR(IFERROR(INDEX(Кат!$A:$A,MATCH($B113,Кат!$H:$H,0)),INDEX(Торг!$B:$B,MATCH($B113,Торг!$H:$H,0))),"")</f>
        <v>443725</v>
      </c>
    </row>
    <row r="114" spans="1:5" x14ac:dyDescent="0.25">
      <c r="A114" s="28"/>
      <c r="B114" s="20" t="s">
        <v>433</v>
      </c>
      <c r="C114" s="21"/>
      <c r="D114" s="27">
        <v>4500</v>
      </c>
      <c r="E114" s="102">
        <f>IFERROR(IFERROR(INDEX(Кат!$A:$A,MATCH($B114,Кат!$H:$H,0)),INDEX(Торг!$B:$B,MATCH($B114,Торг!$H:$H,0))),"")</f>
        <v>443726</v>
      </c>
    </row>
    <row r="115" spans="1:5" x14ac:dyDescent="0.25">
      <c r="A115" s="28"/>
      <c r="B115" s="20" t="s">
        <v>434</v>
      </c>
      <c r="C115" s="21"/>
      <c r="D115" s="27">
        <v>4500</v>
      </c>
      <c r="E115" s="102">
        <f>IFERROR(IFERROR(INDEX(Кат!$A:$A,MATCH($B115,Кат!$H:$H,0)),INDEX(Торг!$B:$B,MATCH($B115,Торг!$H:$H,0))),"")</f>
        <v>443727</v>
      </c>
    </row>
    <row r="116" spans="1:5" x14ac:dyDescent="0.25">
      <c r="A116" s="28"/>
      <c r="B116" s="20" t="s">
        <v>59</v>
      </c>
      <c r="C116" s="21"/>
      <c r="D116" s="27" t="s">
        <v>410</v>
      </c>
      <c r="E116" s="102">
        <f>IFERROR(IFERROR(INDEX(Кат!$A:$A,MATCH($B116,Кат!$H:$H,0)),INDEX(Торг!$B:$B,MATCH($B116,Торг!$H:$H,0))),"")</f>
        <v>202000</v>
      </c>
    </row>
    <row r="117" spans="1:5" x14ac:dyDescent="0.25">
      <c r="A117" s="28"/>
      <c r="B117" s="20" t="s">
        <v>435</v>
      </c>
      <c r="C117" s="21"/>
      <c r="D117" s="27">
        <v>2850</v>
      </c>
      <c r="E117" s="102">
        <f>IFERROR(IFERROR(INDEX(Кат!$A:$A,MATCH($B117,Кат!$H:$H,0)),INDEX(Торг!$B:$B,MATCH($B117,Торг!$H:$H,0))),"")</f>
        <v>443576</v>
      </c>
    </row>
    <row r="118" spans="1:5" x14ac:dyDescent="0.25">
      <c r="A118" s="28"/>
      <c r="B118" s="20" t="s">
        <v>436</v>
      </c>
      <c r="C118" s="21"/>
      <c r="D118" s="27">
        <v>2850</v>
      </c>
      <c r="E118" s="102">
        <f>IFERROR(IFERROR(INDEX(Кат!$A:$A,MATCH($B118,Кат!$H:$H,0)),INDEX(Торг!$B:$B,MATCH($B118,Торг!$H:$H,0))),"")</f>
        <v>443577</v>
      </c>
    </row>
    <row r="119" spans="1:5" x14ac:dyDescent="0.25">
      <c r="A119" s="28"/>
      <c r="B119" s="20" t="s">
        <v>437</v>
      </c>
      <c r="C119" s="21"/>
      <c r="D119" s="27">
        <v>2850</v>
      </c>
      <c r="E119" s="102">
        <f>IFERROR(IFERROR(INDEX(Кат!$A:$A,MATCH($B119,Кат!$H:$H,0)),INDEX(Торг!$B:$B,MATCH($B119,Торг!$H:$H,0))),"")</f>
        <v>443578</v>
      </c>
    </row>
    <row r="120" spans="1:5" x14ac:dyDescent="0.25">
      <c r="A120" s="28"/>
      <c r="B120" s="20" t="s">
        <v>438</v>
      </c>
      <c r="C120" s="21"/>
      <c r="D120" s="27">
        <v>2850</v>
      </c>
      <c r="E120" s="102">
        <f>IFERROR(IFERROR(INDEX(Кат!$A:$A,MATCH($B120,Кат!$H:$H,0)),INDEX(Торг!$B:$B,MATCH($B120,Торг!$H:$H,0))),"")</f>
        <v>443579</v>
      </c>
    </row>
    <row r="121" spans="1:5" x14ac:dyDescent="0.25">
      <c r="A121" s="28"/>
      <c r="B121" s="20" t="s">
        <v>439</v>
      </c>
      <c r="C121" s="21"/>
      <c r="D121" s="27" t="s">
        <v>410</v>
      </c>
      <c r="E121" s="102">
        <f>IFERROR(IFERROR(INDEX(Кат!$A:$A,MATCH($B121,Кат!$H:$H,0)),INDEX(Торг!$B:$B,MATCH($B121,Торг!$H:$H,0))),"")</f>
        <v>443463</v>
      </c>
    </row>
    <row r="122" spans="1:5" x14ac:dyDescent="0.25">
      <c r="A122" s="28"/>
      <c r="B122" s="20" t="s">
        <v>440</v>
      </c>
      <c r="C122" s="21"/>
      <c r="D122" s="27" t="s">
        <v>410</v>
      </c>
      <c r="E122" s="102">
        <f>IFERROR(IFERROR(INDEX(Кат!$A:$A,MATCH($B122,Кат!$H:$H,0)),INDEX(Торг!$B:$B,MATCH($B122,Торг!$H:$H,0))),"")</f>
        <v>443464</v>
      </c>
    </row>
    <row r="123" spans="1:5" x14ac:dyDescent="0.25">
      <c r="A123" s="28"/>
      <c r="B123" s="20" t="s">
        <v>441</v>
      </c>
      <c r="C123" s="21"/>
      <c r="D123" s="27" t="s">
        <v>410</v>
      </c>
      <c r="E123" s="102">
        <f>IFERROR(IFERROR(INDEX(Кат!$A:$A,MATCH($B123,Кат!$H:$H,0)),INDEX(Торг!$B:$B,MATCH($B123,Торг!$H:$H,0))),"")</f>
        <v>443465</v>
      </c>
    </row>
    <row r="124" spans="1:5" x14ac:dyDescent="0.25">
      <c r="A124" s="28"/>
      <c r="B124" s="20" t="s">
        <v>442</v>
      </c>
      <c r="C124" s="21"/>
      <c r="D124" s="27">
        <v>3500</v>
      </c>
      <c r="E124" s="102" t="str">
        <f>IFERROR(IFERROR(INDEX(Кат!$A:$A,MATCH($B124,Кат!$H:$H,0)),INDEX(Торг!$B:$B,MATCH($B124,Торг!$H:$H,0))),"")</f>
        <v/>
      </c>
    </row>
    <row r="125" spans="1:5" x14ac:dyDescent="0.25">
      <c r="A125" s="28"/>
      <c r="B125" s="20" t="s">
        <v>443</v>
      </c>
      <c r="C125" s="21"/>
      <c r="D125" s="27">
        <v>3900</v>
      </c>
      <c r="E125" s="102">
        <f>IFERROR(IFERROR(INDEX(Кат!$A:$A,MATCH($B125,Кат!$H:$H,0)),INDEX(Торг!$B:$B,MATCH($B125,Торг!$H:$H,0))),"")</f>
        <v>444181</v>
      </c>
    </row>
    <row r="126" spans="1:5" x14ac:dyDescent="0.25">
      <c r="A126" s="28"/>
      <c r="B126" s="20" t="s">
        <v>444</v>
      </c>
      <c r="C126" s="21"/>
      <c r="D126" s="27">
        <v>3900</v>
      </c>
      <c r="E126" s="102">
        <f>IFERROR(IFERROR(INDEX(Кат!$A:$A,MATCH($B126,Кат!$H:$H,0)),INDEX(Торг!$B:$B,MATCH($B126,Торг!$H:$H,0))),"")</f>
        <v>444168</v>
      </c>
    </row>
    <row r="127" spans="1:5" x14ac:dyDescent="0.25">
      <c r="A127" s="28"/>
      <c r="B127" s="20" t="s">
        <v>445</v>
      </c>
      <c r="C127" s="21"/>
      <c r="D127" s="27">
        <v>4000</v>
      </c>
      <c r="E127" s="102">
        <f>IFERROR(IFERROR(INDEX(Кат!$A:$A,MATCH($B127,Кат!$H:$H,0)),INDEX(Торг!$B:$B,MATCH($B127,Торг!$H:$H,0))),"")</f>
        <v>443968</v>
      </c>
    </row>
    <row r="128" spans="1:5" x14ac:dyDescent="0.25">
      <c r="A128" s="28"/>
      <c r="B128" s="20" t="s">
        <v>446</v>
      </c>
      <c r="C128" s="21"/>
      <c r="D128" s="27">
        <v>4000</v>
      </c>
      <c r="E128" s="102">
        <f>IFERROR(IFERROR(INDEX(Кат!$A:$A,MATCH($B128,Кат!$H:$H,0)),INDEX(Торг!$B:$B,MATCH($B128,Торг!$H:$H,0))),"")</f>
        <v>443969</v>
      </c>
    </row>
    <row r="129" spans="1:5" x14ac:dyDescent="0.25">
      <c r="A129" s="28"/>
      <c r="B129" s="20" t="s">
        <v>447</v>
      </c>
      <c r="C129" s="21"/>
      <c r="D129" s="27">
        <v>4000</v>
      </c>
      <c r="E129" s="102">
        <f>IFERROR(IFERROR(INDEX(Кат!$A:$A,MATCH($B129,Кат!$H:$H,0)),INDEX(Торг!$B:$B,MATCH($B129,Торг!$H:$H,0))),"")</f>
        <v>443970</v>
      </c>
    </row>
    <row r="130" spans="1:5" x14ac:dyDescent="0.25">
      <c r="A130" s="28"/>
      <c r="B130" s="20" t="s">
        <v>448</v>
      </c>
      <c r="C130" s="21"/>
      <c r="D130" s="27">
        <v>4000</v>
      </c>
      <c r="E130" s="102">
        <f>IFERROR(IFERROR(INDEX(Кат!$A:$A,MATCH($B130,Кат!$H:$H,0)),INDEX(Торг!$B:$B,MATCH($B130,Торг!$H:$H,0))),"")</f>
        <v>201917</v>
      </c>
    </row>
    <row r="131" spans="1:5" x14ac:dyDescent="0.25">
      <c r="A131" s="28"/>
      <c r="B131" s="20" t="s">
        <v>449</v>
      </c>
      <c r="C131" s="21"/>
      <c r="D131" s="27">
        <v>4000</v>
      </c>
      <c r="E131" s="102">
        <f>IFERROR(IFERROR(INDEX(Кат!$A:$A,MATCH($B131,Кат!$H:$H,0)),INDEX(Торг!$B:$B,MATCH($B131,Торг!$H:$H,0))),"")</f>
        <v>201900</v>
      </c>
    </row>
    <row r="132" spans="1:5" x14ac:dyDescent="0.25">
      <c r="A132" s="28"/>
      <c r="B132" s="20" t="s">
        <v>450</v>
      </c>
      <c r="C132" s="21"/>
      <c r="D132" s="27">
        <v>3900</v>
      </c>
      <c r="E132" s="102">
        <f>IFERROR(IFERROR(INDEX(Кат!$A:$A,MATCH($B132,Кат!$H:$H,0)),INDEX(Торг!$B:$B,MATCH($B132,Торг!$H:$H,0))),"")</f>
        <v>201901</v>
      </c>
    </row>
    <row r="133" spans="1:5" x14ac:dyDescent="0.25">
      <c r="A133" s="28"/>
      <c r="B133" s="20" t="s">
        <v>451</v>
      </c>
      <c r="C133" s="21"/>
      <c r="D133" s="27">
        <v>3900</v>
      </c>
      <c r="E133" s="102">
        <f>IFERROR(IFERROR(INDEX(Кат!$A:$A,MATCH($B133,Кат!$H:$H,0)),INDEX(Торг!$B:$B,MATCH($B133,Торг!$H:$H,0))),"")</f>
        <v>201902</v>
      </c>
    </row>
    <row r="134" spans="1:5" x14ac:dyDescent="0.25">
      <c r="A134" s="28"/>
      <c r="B134" s="20" t="s">
        <v>452</v>
      </c>
      <c r="C134" s="21"/>
      <c r="D134" s="27">
        <v>2850</v>
      </c>
      <c r="E134" s="102">
        <f>IFERROR(IFERROR(INDEX(Кат!$A:$A,MATCH($B134,Кат!$H:$H,0)),INDEX(Торг!$B:$B,MATCH($B134,Торг!$H:$H,0))),"")</f>
        <v>443575</v>
      </c>
    </row>
    <row r="135" spans="1:5" x14ac:dyDescent="0.25">
      <c r="A135" s="28"/>
      <c r="B135" s="20" t="s">
        <v>453</v>
      </c>
      <c r="C135" s="21"/>
      <c r="D135" s="27">
        <v>2650</v>
      </c>
      <c r="E135" s="102">
        <f>IFERROR(IFERROR(INDEX(Кат!$A:$A,MATCH($B135,Кат!$H:$H,0)),INDEX(Торг!$B:$B,MATCH($B135,Торг!$H:$H,0))),"")</f>
        <v>443585</v>
      </c>
    </row>
    <row r="136" spans="1:5" x14ac:dyDescent="0.25">
      <c r="A136" s="28"/>
      <c r="B136" s="20"/>
      <c r="C136" s="21"/>
      <c r="D136" s="27"/>
    </row>
    <row r="137" spans="1:5" x14ac:dyDescent="0.25">
      <c r="A137" s="28"/>
      <c r="B137" s="20"/>
      <c r="C137" s="21"/>
      <c r="D137" s="27"/>
    </row>
    <row r="138" spans="1:5" x14ac:dyDescent="0.25">
      <c r="A138" s="28"/>
      <c r="B138" s="20"/>
      <c r="C138" s="21"/>
      <c r="D138" s="27"/>
    </row>
    <row r="139" spans="1:5" x14ac:dyDescent="0.25">
      <c r="A139" s="28"/>
      <c r="B139" s="20"/>
      <c r="C139" s="21"/>
      <c r="D139" s="27"/>
    </row>
    <row r="140" spans="1:5" x14ac:dyDescent="0.25">
      <c r="A140" s="28"/>
      <c r="B140" s="20"/>
      <c r="C140" s="21"/>
      <c r="D140" s="27"/>
    </row>
    <row r="141" spans="1:5" x14ac:dyDescent="0.25">
      <c r="A141" s="28"/>
      <c r="B141" s="20"/>
      <c r="C141" s="21"/>
      <c r="D141" s="27"/>
    </row>
    <row r="142" spans="1:5" x14ac:dyDescent="0.25">
      <c r="A142" s="28"/>
      <c r="B142" s="20"/>
      <c r="C142" s="21"/>
      <c r="D142" s="27"/>
    </row>
    <row r="143" spans="1:5" x14ac:dyDescent="0.25">
      <c r="A143" s="28"/>
      <c r="B143" s="20"/>
      <c r="C143" s="21"/>
      <c r="D143" s="27"/>
    </row>
    <row r="144" spans="1:5" x14ac:dyDescent="0.25">
      <c r="A144" s="28"/>
      <c r="B144" s="20"/>
      <c r="C144" s="21"/>
      <c r="D144" s="27"/>
    </row>
    <row r="145" spans="1:4" x14ac:dyDescent="0.25">
      <c r="A145" s="28"/>
      <c r="B145" s="20"/>
      <c r="C145" s="21"/>
      <c r="D145" s="27"/>
    </row>
    <row r="146" spans="1:4" x14ac:dyDescent="0.25">
      <c r="A146" s="28"/>
      <c r="B146" s="20"/>
      <c r="C146" s="21"/>
      <c r="D146" s="27"/>
    </row>
    <row r="147" spans="1:4" x14ac:dyDescent="0.25">
      <c r="A147" s="28"/>
      <c r="B147" s="20"/>
      <c r="C147" s="21"/>
      <c r="D147" s="27"/>
    </row>
    <row r="148" spans="1:4" x14ac:dyDescent="0.25">
      <c r="A148" s="28"/>
      <c r="B148" s="20"/>
      <c r="C148" s="21"/>
      <c r="D148" s="27"/>
    </row>
    <row r="149" spans="1:4" x14ac:dyDescent="0.25">
      <c r="A149" s="28"/>
      <c r="B149" s="20"/>
      <c r="C149" s="21"/>
      <c r="D149" s="27"/>
    </row>
    <row r="150" spans="1:4" x14ac:dyDescent="0.25">
      <c r="A150" s="28"/>
      <c r="B150" s="20"/>
      <c r="C150" s="21"/>
      <c r="D150" s="27"/>
    </row>
    <row r="151" spans="1:4" x14ac:dyDescent="0.25">
      <c r="A151" s="28"/>
      <c r="B151" s="20"/>
      <c r="C151" s="21"/>
      <c r="D151" s="27"/>
    </row>
    <row r="152" spans="1:4" x14ac:dyDescent="0.25">
      <c r="A152" s="28"/>
      <c r="B152" s="20"/>
      <c r="C152" s="21"/>
      <c r="D152" s="27"/>
    </row>
    <row r="153" spans="1:4" x14ac:dyDescent="0.25">
      <c r="A153" s="28"/>
      <c r="B153" s="20"/>
      <c r="C153" s="21"/>
      <c r="D153" s="27"/>
    </row>
    <row r="154" spans="1:4" x14ac:dyDescent="0.25">
      <c r="B154" s="20"/>
      <c r="C154" s="21"/>
      <c r="D154" s="27"/>
    </row>
    <row r="155" spans="1:4" x14ac:dyDescent="0.25">
      <c r="B155" s="20"/>
      <c r="C155" s="21"/>
      <c r="D155" s="27"/>
    </row>
    <row r="156" spans="1:4" x14ac:dyDescent="0.25">
      <c r="B156" s="31"/>
      <c r="C156" s="21"/>
      <c r="D156" s="27"/>
    </row>
  </sheetData>
  <autoFilter ref="A3:F3" xr:uid="{B0350009-7224-46EC-AFE1-0E7B3B67B644}"/>
  <conditionalFormatting sqref="B1:B84 B86:B1048576">
    <cfRule type="duplicateValues" dxfId="5" priority="2"/>
  </conditionalFormatting>
  <conditionalFormatting sqref="B85">
    <cfRule type="duplicateValues" dxfId="4" priority="1"/>
  </conditionalFormatting>
  <hyperlinks>
    <hyperlink ref="G27" r:id="rId1" display="https://fobos-avto.ru/produkciya/vaz/zadniy-privod/pruzhiny-peremennyy-shag-2101-zadnie-v-plenke/" xr:uid="{D05126EB-1394-4C05-8114-A8EDB14974F5}"/>
    <hyperlink ref="G28" r:id="rId2" display="https://fobos-avto.ru/produkciya/vaz/zadniy-privod/pruzhiny-peremennyy-shag-2102-zadnie-v-plenke/" xr:uid="{38F98231-3DDC-4FC9-8E0F-56BCD933396B}"/>
    <hyperlink ref="G26" r:id="rId3" display="https://fobos-avto.ru/produkciya/vaz/peredniy-privod/pruzhiny-standart-2170-priora-pered/" xr:uid="{8345441B-F734-427E-B2DA-23E45FAAF7D6}"/>
    <hyperlink ref="G6" r:id="rId4" display="https://fobos-avto.ru/produkciya/vaz/peredniy-privod/pruzhiny-h-rey-zadnie-usilennye/" xr:uid="{268BEAF2-E86A-4FEE-8D2A-7C1F955B8F65}"/>
    <hyperlink ref="G9" r:id="rId5" display="https://fobos-avto.ru/produkciya/vaz/peredniy-privod/pruzhiny-lada-vesta-sv-kross-zadnie-usilennye/" xr:uid="{FBE42620-4C23-4525-92E6-33D6B8FA6BA0}"/>
    <hyperlink ref="G8" r:id="rId6" display="https://fobos-avto.ru/produkciya/vaz/peredniy-privod/pruzhiny-lada-vesta-sv-kross-zadnie/" xr:uid="{04AAD2C8-B335-4ADD-B90B-859BDAC0DACD}"/>
    <hyperlink ref="G5" r:id="rId7" display="https://fobos-avto.ru/produkciya/vaz/peredniy-privod/pruzhiny-lada-vesta-zadnie-usilennye/" xr:uid="{AB293CD4-0304-44E0-B741-ADC2DE614C4F}"/>
    <hyperlink ref="G10" r:id="rId8" display="https://fobos-avto.ru/produkciya/vaz/peredniy-privod/pruzhina-lada-largus-zadnyaya-usilennaya-dacia-logan-mcv-universal/" xr:uid="{1310714D-E66D-481B-A4E7-9C7A10D2B2D2}"/>
    <hyperlink ref="G24" r:id="rId9" display="https://fobos-avto.ru/produkciya/vaz/peredniy-privod/pruzhiny-lyuks-2110-zadnie/" xr:uid="{7C2B1EB5-2D07-4CDD-AA6F-8565E87CC259}"/>
    <hyperlink ref="G25" r:id="rId10" display="https://fobos-avto.ru/produkciya/vaz/peredniy-privod/pruzhiny-lyuks-2110-perednie/" xr:uid="{14FBFA75-F0BA-49DA-91E5-298C0F454B9C}"/>
    <hyperlink ref="G30" r:id="rId11" display="https://fobos-avto.ru/produkciya/vaz/peredniy-privod/pruzhiny-peremennyy-shag-2110-zadnie-v-plenke/" xr:uid="{86A4DE49-79F3-46F8-889E-1B4D45757843}"/>
    <hyperlink ref="G20" r:id="rId12" display="https://fobos-avto.ru/produkciya/vaz/peredniy-privod/pruzhiny-standart-1117-perednie/" xr:uid="{0625F9DA-5BEF-44D2-AC02-B9DE9D3EEA3F}"/>
    <hyperlink ref="G19" r:id="rId13" display="https://fobos-avto.ru/produkciya/vaz/peredniy-privod/pruzhiny-standart-1119-kalina-perednie/" xr:uid="{23F59D70-0F30-4C9F-8E6F-C7873B7AF1EE}"/>
    <hyperlink ref="G58" r:id="rId14" xr:uid="{AFD27A69-3B60-4164-83E7-CE2C19CB790A}"/>
    <hyperlink ref="G57" r:id="rId15" display="https://fobos-avto.ru/produkciya/vaz/peredniy-privod/pruzhiny-sport-2110-perednie--90mm-v-korobke/" xr:uid="{5777034B-C1B7-4EAA-BC11-8D51051E23F5}"/>
    <hyperlink ref="G56" r:id="rId16" display="https://fobos-avto.ru/produkciya/vaz/peredniy-privod/pruzhiny-sport-2110-perednie--70mm/" xr:uid="{C1402E6E-AD8A-43F5-AD21-34B8BD7FF851}"/>
    <hyperlink ref="G53" r:id="rId17" display="https://fobos-avto.ru/produkciya/vaz/peredniy-privod/pruzhiny-sport-2110-perednie--40mm/" xr:uid="{70AE8B88-EF47-4049-A09E-297AAF7EE9C9}"/>
    <hyperlink ref="G52" r:id="rId18" display="https://fobos-avto.ru/produkciya/vaz/peredniy-privod/pruzhiny-sport-2110-perednie--25mm/" xr:uid="{5E070210-8EB8-4F49-8311-42EBF38576A2}"/>
    <hyperlink ref="G51" r:id="rId19" display="https://fobos-avto.ru/produkciya/vaz/peredniy-privod/pruzhiny-sport-2110-zadnie--90mm-v-korobke/" xr:uid="{908C2BCD-DFDB-4341-BE05-EA3FA7E590D5}"/>
    <hyperlink ref="G50" r:id="rId20" display="https://fobos-avto.ru/produkciya/vaz/peredniy-privod/pruzhiny-sport-2110-zadnie--70mm/" xr:uid="{30F85906-A329-4B02-9EB3-731DF118C958}"/>
    <hyperlink ref="G47" r:id="rId21" display="https://fobos-avto.ru/produkciya/vaz/peredniy-privod/pruzhiny-sport-2110-zadnie--40mm/" xr:uid="{3E1714E0-3A91-4C19-83A7-FD4C0C10A1FB}"/>
    <hyperlink ref="G46" r:id="rId22" display="https://fobos-avto.ru/produkciya/vaz/peredniy-privod/pruzhiny-sport-2110-zadnie--25mm/" xr:uid="{AB47EFD4-FB4A-4FD5-BBA7-D3A25F8F024E}"/>
    <hyperlink ref="G44" r:id="rId23" display="https://fobos-avto.ru/produkciya/vaz/peredniy-privod/pruzhiny-sport-2108-perednie--40-mm/" xr:uid="{A8760584-3E50-4AE2-9454-7C6FD24867E8}"/>
    <hyperlink ref="G45" r:id="rId24" display="https://fobos-avto.ru/produkciya/vaz/peredniy-privod/pruzhiny-sport-2108zadnie---40mm/" xr:uid="{A935D84F-1A93-45F8-9D66-177558A031F3}"/>
    <hyperlink ref="G31" r:id="rId25" display="https://fobos-avto.ru/produkciya/vaz/peredniy-privod/pruzhiny-peremennyy-shag-2111zadnie-v-plenke/" xr:uid="{D08E43E6-E307-4CD8-AEE0-ACBB6DB4119D}"/>
    <hyperlink ref="G35" r:id="rId26" display="https://fobos-avto.ru/produkciya/vaz/peredniy-privod/pruzhiny-peremennyy-shag-2110-perednie-v-plenke/" xr:uid="{610C13D4-0E2F-4600-A601-F8A52578E091}"/>
    <hyperlink ref="G41" r:id="rId27" display="https://fobos-avto.ru/produkciya/vaz/zadniy-privod/pruzhiny-sport-2101zadnie---50mm/" xr:uid="{4F53983F-7C7C-4502-AAE9-2948BBA47408}"/>
    <hyperlink ref="G43" r:id="rId28" display="https://fobos-avto.ru/produkciya/vaz/zadniy-privod/pruzhiny-sport-2101zadnie--25-mm/" xr:uid="{F69FDBE7-C16F-4271-8492-86FA2570A745}"/>
    <hyperlink ref="G42" r:id="rId29" display="https://fobos-avto.ru/produkciya/vaz/zadniy-privod/pruzhiny-sport-2101zadnie---70mm-v-korobke/" xr:uid="{23710DDC-3561-4196-9EED-0ACC95330201}"/>
    <hyperlink ref="G38" r:id="rId30" display="https://fobos-avto.ru/produkciya/vaz/zadniy-privod/pruzhiny-sport-2101-perednie--25-mm/" xr:uid="{A326D933-F53A-46E0-AC36-D277A106AF61}"/>
    <hyperlink ref="G40" r:id="rId31" display="https://fobos-avto.ru/produkciya/vaz/zadniy-privod/pruzhiny-sport-2101-perednie--70-mm-v-korobke/" xr:uid="{7929F935-362F-42D0-9724-C769BDD51465}"/>
    <hyperlink ref="G34" r:id="rId32" display="https://fobos-avto.ru/produkciya/vaz/zadniy-privod/pruzhiny-peremennyy-shag-2101-perednie-v-plenke/" xr:uid="{FE217F93-111B-4D1B-ACBC-875263E78C29}"/>
    <hyperlink ref="G39" r:id="rId33" display="https://fobos-avto.ru/produkciya/vaz/zadniy-privod/pruzhiny-sport-2101-perednie--50-mm/" xr:uid="{B7DA4EA2-810B-47EC-9B78-C57338DBD3B2}"/>
    <hyperlink ref="G32" r:id="rId34" display="https://fobos-avto.ru/produkciya/vaz/polnyy-privod/pruzhiny-peremennyy-shag-2121-zadnie-v-plenke/" xr:uid="{89051D11-CDB0-4FB0-97AE-C1C69E14DD4C}"/>
    <hyperlink ref="G33" r:id="rId35" display="https://fobos-avto.ru/produkciya/vaz/polnyy-privod/pruzhiny-peremennyy-shag-2123-zadnie-v-plenke/" xr:uid="{043AE6D0-2FA7-49EA-B965-7400DF87886D}"/>
    <hyperlink ref="G37" r:id="rId36" display="https://fobos-avto.ru/produkciya/vaz/polnyy-privod/pruzhiny-peremennyy-shag-2123-perednie-v-plenke/" xr:uid="{55F318C0-54F3-40AE-B94F-E9551D427663}"/>
    <hyperlink ref="G36" r:id="rId37" display="https://fobos-avto.ru/produkciya/vaz/polnyy-privod/pruzhiny-peremennyy-shag-2121perednie-v-plenke/" xr:uid="{5D861B23-CC75-4042-ADE0-852F3A922DE6}"/>
    <hyperlink ref="G48" r:id="rId38" display="https://fobos-avto.ru/produkciya/vaz/peredniy-privod/pruzhiny-sport-2110-zadnie--50mm/" xr:uid="{9A82EC14-03C0-4CF1-BAFA-DD1A12BE71FA}"/>
    <hyperlink ref="G54" r:id="rId39" display="https://fobos-avto.ru/produkciya/vaz/peredniy-privod/pruzhiny-sport-2110-perednie--50mm/" xr:uid="{2E727D13-D3F0-45FD-8339-514F0EE6008E}"/>
    <hyperlink ref="G29" r:id="rId40" display="https://fobos-avto.ru/produkciya/vaz/peredniy-privod/pruzhiny-peremennyy-shag-21099-zadnie-v-plenke/" xr:uid="{1095551C-3BDA-47E2-9920-83A1441F07EB}"/>
    <hyperlink ref="G21" r:id="rId41" display="https://fobos-avto.ru/produkciya/vaz/peredniy-privod/pruzhiny-lada-vesta-perednie/" xr:uid="{E21D00C8-2AAA-4943-98F4-56526805A844}"/>
    <hyperlink ref="G11" r:id="rId42" display="https://fobos-avto.ru/produkciya/vaz/peredniy-privod/pruzhiny-lada-largus-kross-zadnie/" xr:uid="{6EBE3245-8F38-496E-ADFF-949A7C6E1165}"/>
    <hyperlink ref="G7" r:id="rId43" display="https://fobos-avto.ru/produkciya/vaz/peredniy-privod/pruzhiny-h-rey-perednie-usilennye/" xr:uid="{FB534339-CBE0-4A97-957B-A00374866B45}"/>
    <hyperlink ref="G61" r:id="rId44" xr:uid="{E74E1DAA-9315-4B48-BAB6-1A32A74863F7}"/>
    <hyperlink ref="G60" r:id="rId45" xr:uid="{CCC7856A-A974-4680-AD62-D55074A2639D}"/>
    <hyperlink ref="G59" r:id="rId46" xr:uid="{71DEC0F3-7156-4B17-A916-AF5FC3EB3B07}"/>
  </hyperlinks>
  <pageMargins left="0.7" right="0.7" top="0.75" bottom="0.75" header="0.3" footer="0.3"/>
  <pageSetup paperSize="9" orientation="portrait" verticalDpi="0" r:id="rId47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1D1D1F-7BF6-4864-A6B1-396141CEF364}">
  <sheetPr codeName="Лист3">
    <tabColor rgb="FF00B0F0"/>
  </sheetPr>
  <dimension ref="A1:H2"/>
  <sheetViews>
    <sheetView workbookViewId="0">
      <selection activeCell="G4" sqref="G4:G5"/>
    </sheetView>
  </sheetViews>
  <sheetFormatPr defaultRowHeight="15" x14ac:dyDescent="0.25"/>
  <cols>
    <col min="1" max="1" width="64.42578125" customWidth="1"/>
    <col min="2" max="2" width="20" customWidth="1"/>
    <col min="3" max="3" width="9" customWidth="1"/>
    <col min="4" max="4" width="4.42578125" customWidth="1"/>
    <col min="5" max="5" width="7.85546875" customWidth="1"/>
    <col min="6" max="6" width="8.5703125" customWidth="1"/>
    <col min="7" max="7" width="7.28515625" customWidth="1"/>
    <col min="8" max="8" width="77.5703125" customWidth="1"/>
  </cols>
  <sheetData>
    <row r="1" spans="1:8" x14ac:dyDescent="0.25">
      <c r="A1" s="11" t="s">
        <v>70</v>
      </c>
      <c r="B1" t="s">
        <v>70</v>
      </c>
      <c r="C1" s="11" t="s">
        <v>76</v>
      </c>
      <c r="F1" s="11" t="s">
        <v>77</v>
      </c>
    </row>
    <row r="2" spans="1:8" x14ac:dyDescent="0.25">
      <c r="A2" s="13"/>
      <c r="B2" s="12"/>
      <c r="C2" s="6" t="e">
        <f>VLOOKUP(B2,Прайс!B:D,3,0)</f>
        <v>#N/A</v>
      </c>
      <c r="D2" s="3" t="e">
        <f>VLOOKUP(C2,Наценка!$A$1:$B$8,2,1)</f>
        <v>#N/A</v>
      </c>
      <c r="E2" s="3" t="e">
        <f>C2*D2</f>
        <v>#N/A</v>
      </c>
      <c r="F2" s="6" t="e">
        <f>ROUNDUP(E2,-2)-10</f>
        <v>#N/A</v>
      </c>
      <c r="H2" s="10"/>
    </row>
  </sheetData>
  <conditionalFormatting sqref="A2">
    <cfRule type="duplicateValues" dxfId="3" priority="21"/>
  </conditionalFormatting>
  <conditionalFormatting sqref="B2">
    <cfRule type="duplicateValues" dxfId="2" priority="20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/>
  <dimension ref="A1:H8"/>
  <sheetViews>
    <sheetView workbookViewId="0">
      <selection activeCell="G10" sqref="G10"/>
    </sheetView>
  </sheetViews>
  <sheetFormatPr defaultRowHeight="15" x14ac:dyDescent="0.25"/>
  <sheetData>
    <row r="1" spans="1:8" x14ac:dyDescent="0.25">
      <c r="A1" s="4">
        <v>0.1</v>
      </c>
      <c r="B1" s="8">
        <v>1.32</v>
      </c>
      <c r="D1" s="4">
        <v>0.1</v>
      </c>
      <c r="E1" s="4">
        <v>2</v>
      </c>
    </row>
    <row r="2" spans="1:8" x14ac:dyDescent="0.25">
      <c r="A2" s="4">
        <v>100</v>
      </c>
      <c r="B2" s="8">
        <v>1.32</v>
      </c>
      <c r="D2" s="4">
        <v>100</v>
      </c>
      <c r="E2" s="4">
        <v>1.8</v>
      </c>
      <c r="G2" t="s">
        <v>164</v>
      </c>
      <c r="H2" s="39">
        <f>MIN(Кат!S:S,Торг!T:T)</f>
        <v>0.19840506329113916</v>
      </c>
    </row>
    <row r="3" spans="1:8" x14ac:dyDescent="0.25">
      <c r="A3" s="5">
        <v>300</v>
      </c>
      <c r="B3" s="8">
        <v>1.32</v>
      </c>
      <c r="D3" s="5">
        <v>300</v>
      </c>
      <c r="E3" s="5">
        <v>1.6</v>
      </c>
      <c r="G3" t="s">
        <v>165</v>
      </c>
      <c r="H3" s="39">
        <f>MAX(Кат!S:S,Торг!T:T)</f>
        <v>0.62517500000000004</v>
      </c>
    </row>
    <row r="4" spans="1:8" x14ac:dyDescent="0.25">
      <c r="A4" s="5">
        <v>500</v>
      </c>
      <c r="B4" s="8">
        <v>1.32</v>
      </c>
      <c r="D4" s="5">
        <v>500</v>
      </c>
      <c r="E4" s="5">
        <v>1.55</v>
      </c>
      <c r="H4" s="39"/>
    </row>
    <row r="5" spans="1:8" x14ac:dyDescent="0.25">
      <c r="A5" s="5">
        <v>1000</v>
      </c>
      <c r="B5" s="8">
        <v>1.32</v>
      </c>
      <c r="D5" s="5">
        <v>1000</v>
      </c>
      <c r="E5" s="5">
        <v>1.5</v>
      </c>
    </row>
    <row r="6" spans="1:8" x14ac:dyDescent="0.25">
      <c r="A6" s="5">
        <v>2000</v>
      </c>
      <c r="B6" s="8">
        <v>1.32</v>
      </c>
      <c r="D6" s="5">
        <v>2000</v>
      </c>
      <c r="E6" s="5">
        <v>1.4</v>
      </c>
    </row>
    <row r="7" spans="1:8" x14ac:dyDescent="0.25">
      <c r="A7" s="5">
        <v>5000</v>
      </c>
      <c r="B7" s="8">
        <v>1.32</v>
      </c>
      <c r="D7" s="5">
        <v>5000</v>
      </c>
      <c r="E7" s="5">
        <v>1.35</v>
      </c>
    </row>
    <row r="8" spans="1:8" x14ac:dyDescent="0.25">
      <c r="A8" s="5">
        <v>10000</v>
      </c>
      <c r="B8" s="8">
        <v>1.32</v>
      </c>
      <c r="D8" s="5">
        <v>10000</v>
      </c>
      <c r="E8" s="5">
        <v>1.3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D438FD-8CBA-4B0B-B684-8A1A6852F2DB}">
  <sheetPr codeName="Лист5"/>
  <dimension ref="A1:Q136"/>
  <sheetViews>
    <sheetView showGridLines="0" workbookViewId="0">
      <pane ySplit="1" topLeftCell="A131" activePane="bottomLeft" state="frozen"/>
      <selection pane="bottomLeft" activeCell="D146" sqref="D146"/>
    </sheetView>
  </sheetViews>
  <sheetFormatPr defaultRowHeight="15" x14ac:dyDescent="0.25"/>
  <cols>
    <col min="1" max="2" width="7.7109375" style="101" customWidth="1"/>
    <col min="3" max="3" width="33.28515625" style="101" customWidth="1"/>
    <col min="4" max="4" width="2.28515625" style="101" customWidth="1"/>
    <col min="5" max="8" width="22.28515625" style="101" customWidth="1"/>
    <col min="9" max="9" width="8.85546875" style="101" customWidth="1"/>
    <col min="10" max="11" width="7.7109375" style="101" customWidth="1"/>
    <col min="12" max="12" width="33.28515625" style="101" customWidth="1"/>
    <col min="13" max="15" width="5.5703125" style="101" customWidth="1"/>
    <col min="17" max="17" width="14" customWidth="1"/>
  </cols>
  <sheetData>
    <row r="1" spans="1:17" ht="45" x14ac:dyDescent="0.25">
      <c r="A1" s="111" t="s">
        <v>0</v>
      </c>
      <c r="B1" s="111" t="s">
        <v>194</v>
      </c>
      <c r="C1" s="111" t="s">
        <v>706</v>
      </c>
      <c r="D1" s="111" t="s">
        <v>197</v>
      </c>
      <c r="E1" s="111" t="s">
        <v>454</v>
      </c>
      <c r="F1" s="111" t="s">
        <v>721</v>
      </c>
      <c r="G1" s="111" t="s">
        <v>707</v>
      </c>
      <c r="H1" s="111" t="s">
        <v>722</v>
      </c>
      <c r="I1" s="111" t="s">
        <v>69</v>
      </c>
      <c r="J1" s="111" t="s">
        <v>339</v>
      </c>
      <c r="K1" s="111" t="s">
        <v>338</v>
      </c>
      <c r="L1" s="111" t="s">
        <v>145</v>
      </c>
      <c r="M1" s="111" t="s">
        <v>198</v>
      </c>
      <c r="N1" s="111" t="s">
        <v>709</v>
      </c>
      <c r="O1" s="111" t="s">
        <v>68</v>
      </c>
      <c r="P1" s="7"/>
      <c r="Q1" s="7"/>
    </row>
    <row r="2" spans="1:17" ht="30" x14ac:dyDescent="0.25">
      <c r="A2" s="112">
        <v>201870</v>
      </c>
      <c r="B2" s="112">
        <v>3360</v>
      </c>
      <c r="C2" s="113" t="s">
        <v>455</v>
      </c>
      <c r="D2" s="113" t="s">
        <v>200</v>
      </c>
      <c r="E2" s="113"/>
      <c r="F2" s="113" t="s">
        <v>171</v>
      </c>
      <c r="G2" s="113"/>
      <c r="H2" s="113"/>
      <c r="I2" s="113" t="s">
        <v>65</v>
      </c>
      <c r="J2" s="114">
        <v>2500</v>
      </c>
      <c r="K2" s="114">
        <v>3290</v>
      </c>
      <c r="L2" s="113"/>
      <c r="M2" s="113" t="s">
        <v>201</v>
      </c>
      <c r="N2" s="113"/>
      <c r="O2" s="113" t="s">
        <v>199</v>
      </c>
      <c r="P2" s="7" t="str">
        <f>_xlfn.CONCAT(M2,IF(N2&lt;&gt;"",_xlfn.CONCAT("ск",N2),""))</f>
        <v>0</v>
      </c>
      <c r="Q2" s="7" t="str">
        <f>INDEX(Кат!$I:$I,MATCH($A2,Кат!$A:$A,0))</f>
        <v>ТЕХНОРЕССОР</v>
      </c>
    </row>
    <row r="3" spans="1:17" ht="45" x14ac:dyDescent="0.25">
      <c r="A3" s="112">
        <v>201873</v>
      </c>
      <c r="B3" s="112">
        <v>3396</v>
      </c>
      <c r="C3" s="113" t="s">
        <v>456</v>
      </c>
      <c r="D3" s="113" t="s">
        <v>200</v>
      </c>
      <c r="E3" s="113"/>
      <c r="F3" s="113" t="s">
        <v>171</v>
      </c>
      <c r="G3" s="113"/>
      <c r="H3" s="113"/>
      <c r="I3" s="113" t="s">
        <v>65</v>
      </c>
      <c r="J3" s="114">
        <v>2500</v>
      </c>
      <c r="K3" s="114">
        <v>3290</v>
      </c>
      <c r="L3" s="113" t="s">
        <v>246</v>
      </c>
      <c r="M3" s="113" t="s">
        <v>201</v>
      </c>
      <c r="N3" s="113"/>
      <c r="O3" s="113" t="s">
        <v>199</v>
      </c>
      <c r="P3" s="7" t="str">
        <f t="shared" ref="P3:P65" si="0">_xlfn.CONCAT(M3,IF(N3&lt;&gt;"",_xlfn.CONCAT("ск",N3),""))</f>
        <v>0</v>
      </c>
      <c r="Q3" s="7" t="str">
        <f>INDEX(Кат!$I:$I,MATCH($A3,Кат!$A:$A,0))</f>
        <v>ТЕХНОРЕССОР</v>
      </c>
    </row>
    <row r="4" spans="1:17" ht="60" x14ac:dyDescent="0.25">
      <c r="A4" s="112">
        <v>444190</v>
      </c>
      <c r="B4" s="112">
        <v>444190</v>
      </c>
      <c r="C4" s="113" t="s">
        <v>457</v>
      </c>
      <c r="D4" s="113" t="s">
        <v>199</v>
      </c>
      <c r="E4" s="113"/>
      <c r="F4" s="113"/>
      <c r="G4" s="113"/>
      <c r="H4" s="113"/>
      <c r="I4" s="113" t="s">
        <v>65</v>
      </c>
      <c r="J4" s="114">
        <v>3800</v>
      </c>
      <c r="K4" s="114">
        <v>5090</v>
      </c>
      <c r="L4" s="113"/>
      <c r="M4" s="113" t="s">
        <v>2</v>
      </c>
      <c r="N4" s="113"/>
      <c r="O4" s="113"/>
      <c r="P4" s="7" t="str">
        <f t="shared" si="0"/>
        <v>1</v>
      </c>
      <c r="Q4" s="7" t="str">
        <f>INDEX(Кат!$I:$I,MATCH($A4,Кат!$A:$A,0))</f>
        <v>ТЕХНОРЕССОР</v>
      </c>
    </row>
    <row r="5" spans="1:17" ht="60" x14ac:dyDescent="0.25">
      <c r="A5" s="112">
        <v>444186</v>
      </c>
      <c r="B5" s="112">
        <v>444186</v>
      </c>
      <c r="C5" s="113" t="s">
        <v>458</v>
      </c>
      <c r="D5" s="113" t="s">
        <v>199</v>
      </c>
      <c r="E5" s="113"/>
      <c r="F5" s="113"/>
      <c r="G5" s="113"/>
      <c r="H5" s="113"/>
      <c r="I5" s="113" t="s">
        <v>65</v>
      </c>
      <c r="J5" s="114">
        <v>3800</v>
      </c>
      <c r="K5" s="114">
        <v>5090</v>
      </c>
      <c r="L5" s="113"/>
      <c r="M5" s="113" t="s">
        <v>2</v>
      </c>
      <c r="N5" s="113"/>
      <c r="O5" s="113"/>
      <c r="P5" s="7" t="str">
        <f t="shared" si="0"/>
        <v>1</v>
      </c>
      <c r="Q5" s="7" t="str">
        <f>INDEX(Кат!$I:$I,MATCH($A5,Кат!$A:$A,0))</f>
        <v>ТЕХНОРЕССОР</v>
      </c>
    </row>
    <row r="6" spans="1:17" ht="45" x14ac:dyDescent="0.25">
      <c r="A6" s="112">
        <v>145469</v>
      </c>
      <c r="B6" s="112">
        <v>16494</v>
      </c>
      <c r="C6" s="113" t="s">
        <v>459</v>
      </c>
      <c r="D6" s="113" t="s">
        <v>199</v>
      </c>
      <c r="E6" s="113"/>
      <c r="F6" s="113"/>
      <c r="G6" s="113"/>
      <c r="H6" s="113"/>
      <c r="I6" s="113" t="s">
        <v>65</v>
      </c>
      <c r="J6" s="114">
        <v>2550</v>
      </c>
      <c r="K6" s="114">
        <v>4390</v>
      </c>
      <c r="L6" s="113" t="s">
        <v>257</v>
      </c>
      <c r="M6" s="113" t="s">
        <v>2</v>
      </c>
      <c r="N6" s="113"/>
      <c r="O6" s="113"/>
      <c r="P6" s="7" t="str">
        <f t="shared" si="0"/>
        <v>1</v>
      </c>
      <c r="Q6" s="7" t="str">
        <f>INDEX(Кат!$I:$I,MATCH($A6,Кат!$A:$A,0))</f>
        <v>ТЕХНОРЕССОР</v>
      </c>
    </row>
    <row r="7" spans="1:17" ht="45" x14ac:dyDescent="0.25">
      <c r="A7" s="112">
        <v>145461</v>
      </c>
      <c r="B7" s="112">
        <v>16490</v>
      </c>
      <c r="C7" s="113" t="s">
        <v>460</v>
      </c>
      <c r="D7" s="113" t="s">
        <v>199</v>
      </c>
      <c r="E7" s="113"/>
      <c r="F7" s="113"/>
      <c r="G7" s="113"/>
      <c r="H7" s="113"/>
      <c r="I7" s="113" t="s">
        <v>65</v>
      </c>
      <c r="J7" s="114">
        <v>3200</v>
      </c>
      <c r="K7" s="114">
        <v>4290</v>
      </c>
      <c r="L7" s="113" t="s">
        <v>243</v>
      </c>
      <c r="M7" s="113" t="s">
        <v>2</v>
      </c>
      <c r="N7" s="113" t="s">
        <v>79</v>
      </c>
      <c r="O7" s="113"/>
      <c r="P7" s="7" t="str">
        <f t="shared" si="0"/>
        <v>1ск4</v>
      </c>
      <c r="Q7" s="7" t="str">
        <f>INDEX(Кат!$I:$I,MATCH($A7,Кат!$A:$A,0))</f>
        <v>ТЕХНОРЕССОР</v>
      </c>
    </row>
    <row r="8" spans="1:17" ht="90" x14ac:dyDescent="0.25">
      <c r="A8" s="112">
        <v>201899</v>
      </c>
      <c r="B8" s="112">
        <v>16659</v>
      </c>
      <c r="C8" s="113" t="s">
        <v>461</v>
      </c>
      <c r="D8" s="113" t="s">
        <v>199</v>
      </c>
      <c r="E8" s="113"/>
      <c r="F8" s="113"/>
      <c r="G8" s="113"/>
      <c r="H8" s="113"/>
      <c r="I8" s="113" t="s">
        <v>65</v>
      </c>
      <c r="J8" s="114">
        <v>2800</v>
      </c>
      <c r="K8" s="114">
        <v>4690</v>
      </c>
      <c r="L8" s="113"/>
      <c r="M8" s="113" t="s">
        <v>2</v>
      </c>
      <c r="N8" s="113"/>
      <c r="O8" s="113" t="s">
        <v>199</v>
      </c>
      <c r="P8" s="7" t="str">
        <f t="shared" si="0"/>
        <v>1</v>
      </c>
      <c r="Q8" s="7" t="str">
        <f>INDEX(Кат!$I:$I,MATCH($A8,Кат!$A:$A,0))</f>
        <v>ТЕХНОРЕССОР</v>
      </c>
    </row>
    <row r="9" spans="1:17" ht="45" x14ac:dyDescent="0.25">
      <c r="A9" s="112">
        <v>201900</v>
      </c>
      <c r="B9" s="112">
        <v>9994</v>
      </c>
      <c r="C9" s="113" t="s">
        <v>462</v>
      </c>
      <c r="D9" s="113" t="s">
        <v>199</v>
      </c>
      <c r="E9" s="113"/>
      <c r="F9" s="113"/>
      <c r="G9" s="113"/>
      <c r="H9" s="113"/>
      <c r="I9" s="113" t="s">
        <v>65</v>
      </c>
      <c r="J9" s="114">
        <v>4000</v>
      </c>
      <c r="K9" s="114">
        <v>5990</v>
      </c>
      <c r="L9" s="113" t="s">
        <v>261</v>
      </c>
      <c r="M9" s="113" t="s">
        <v>2</v>
      </c>
      <c r="N9" s="113"/>
      <c r="O9" s="113"/>
      <c r="P9" s="7" t="str">
        <f t="shared" si="0"/>
        <v>1</v>
      </c>
      <c r="Q9" s="7" t="str">
        <f>INDEX(Кат!$I:$I,MATCH($A9,Кат!$A:$A,0))</f>
        <v>ТЕХНОРЕССОР</v>
      </c>
    </row>
    <row r="10" spans="1:17" ht="45" x14ac:dyDescent="0.25">
      <c r="A10" s="112">
        <v>201901</v>
      </c>
      <c r="B10" s="112">
        <v>20135</v>
      </c>
      <c r="C10" s="113" t="s">
        <v>463</v>
      </c>
      <c r="D10" s="113" t="s">
        <v>199</v>
      </c>
      <c r="E10" s="113"/>
      <c r="F10" s="113"/>
      <c r="G10" s="113"/>
      <c r="H10" s="113"/>
      <c r="I10" s="113" t="s">
        <v>65</v>
      </c>
      <c r="J10" s="114">
        <v>3900</v>
      </c>
      <c r="K10" s="114">
        <v>5190</v>
      </c>
      <c r="L10" s="113" t="s">
        <v>265</v>
      </c>
      <c r="M10" s="113" t="s">
        <v>2</v>
      </c>
      <c r="N10" s="113"/>
      <c r="O10" s="113"/>
      <c r="P10" s="7" t="str">
        <f t="shared" si="0"/>
        <v>1</v>
      </c>
      <c r="Q10" s="7" t="str">
        <f>INDEX(Кат!$I:$I,MATCH($A10,Кат!$A:$A,0))</f>
        <v>ТЕХНОРЕССОР</v>
      </c>
    </row>
    <row r="11" spans="1:17" ht="45" x14ac:dyDescent="0.25">
      <c r="A11" s="112">
        <v>201902</v>
      </c>
      <c r="B11" s="112">
        <v>20137</v>
      </c>
      <c r="C11" s="113" t="s">
        <v>464</v>
      </c>
      <c r="D11" s="113" t="s">
        <v>199</v>
      </c>
      <c r="E11" s="113"/>
      <c r="F11" s="113"/>
      <c r="G11" s="113"/>
      <c r="H11" s="113"/>
      <c r="I11" s="113" t="s">
        <v>65</v>
      </c>
      <c r="J11" s="114">
        <v>3900</v>
      </c>
      <c r="K11" s="114">
        <v>5190</v>
      </c>
      <c r="L11" s="113" t="s">
        <v>266</v>
      </c>
      <c r="M11" s="113" t="s">
        <v>2</v>
      </c>
      <c r="N11" s="113"/>
      <c r="O11" s="113"/>
      <c r="P11" s="7" t="str">
        <f t="shared" si="0"/>
        <v>1</v>
      </c>
      <c r="Q11" s="7" t="str">
        <f>INDEX(Кат!$I:$I,MATCH($A11,Кат!$A:$A,0))</f>
        <v>ТЕХНОРЕССОР</v>
      </c>
    </row>
    <row r="12" spans="1:17" ht="45" x14ac:dyDescent="0.25">
      <c r="A12" s="112">
        <v>443462</v>
      </c>
      <c r="B12" s="112">
        <v>108577</v>
      </c>
      <c r="C12" s="113" t="s">
        <v>465</v>
      </c>
      <c r="D12" s="113" t="s">
        <v>199</v>
      </c>
      <c r="E12" s="113"/>
      <c r="F12" s="113"/>
      <c r="G12" s="113"/>
      <c r="H12" s="113"/>
      <c r="I12" s="113" t="s">
        <v>65</v>
      </c>
      <c r="J12" s="114">
        <v>2550</v>
      </c>
      <c r="K12" s="114">
        <v>3390</v>
      </c>
      <c r="L12" s="113" t="s">
        <v>278</v>
      </c>
      <c r="M12" s="113" t="s">
        <v>201</v>
      </c>
      <c r="N12" s="113"/>
      <c r="O12" s="113"/>
      <c r="P12" s="7" t="str">
        <f t="shared" si="0"/>
        <v>0</v>
      </c>
      <c r="Q12" s="7" t="str">
        <f>INDEX(Кат!$I:$I,MATCH($A12,Кат!$A:$A,0))</f>
        <v>ТЕХНОРЕССОР</v>
      </c>
    </row>
    <row r="13" spans="1:17" ht="90" x14ac:dyDescent="0.25">
      <c r="A13" s="112">
        <v>443575</v>
      </c>
      <c r="B13" s="112">
        <v>108764</v>
      </c>
      <c r="C13" s="113" t="s">
        <v>466</v>
      </c>
      <c r="D13" s="113" t="s">
        <v>199</v>
      </c>
      <c r="E13" s="113"/>
      <c r="F13" s="113"/>
      <c r="G13" s="113"/>
      <c r="H13" s="113"/>
      <c r="I13" s="113" t="s">
        <v>65</v>
      </c>
      <c r="J13" s="114">
        <v>2850</v>
      </c>
      <c r="K13" s="114">
        <v>4190</v>
      </c>
      <c r="L13" s="113" t="s">
        <v>272</v>
      </c>
      <c r="M13" s="113" t="s">
        <v>2</v>
      </c>
      <c r="N13" s="113"/>
      <c r="O13" s="113"/>
      <c r="P13" s="7" t="str">
        <f t="shared" si="0"/>
        <v>1</v>
      </c>
      <c r="Q13" s="7" t="str">
        <f>INDEX(Кат!$I:$I,MATCH($A13,Кат!$A:$A,0))</f>
        <v>ТЕХНОРЕССОР</v>
      </c>
    </row>
    <row r="14" spans="1:17" ht="45" x14ac:dyDescent="0.25">
      <c r="A14" s="112">
        <v>443463</v>
      </c>
      <c r="B14" s="112">
        <v>108573</v>
      </c>
      <c r="C14" s="113" t="s">
        <v>467</v>
      </c>
      <c r="D14" s="113" t="s">
        <v>199</v>
      </c>
      <c r="E14" s="113"/>
      <c r="F14" s="113"/>
      <c r="G14" s="113"/>
      <c r="H14" s="113"/>
      <c r="I14" s="113" t="s">
        <v>65</v>
      </c>
      <c r="J14" s="114">
        <v>2550</v>
      </c>
      <c r="K14" s="114">
        <v>3890</v>
      </c>
      <c r="L14" s="113" t="s">
        <v>279</v>
      </c>
      <c r="M14" s="113" t="s">
        <v>2</v>
      </c>
      <c r="N14" s="113" t="s">
        <v>79</v>
      </c>
      <c r="O14" s="113"/>
      <c r="P14" s="7" t="str">
        <f t="shared" si="0"/>
        <v>1ск4</v>
      </c>
      <c r="Q14" s="7" t="str">
        <f>INDEX(Кат!$I:$I,MATCH($A14,Кат!$A:$A,0))</f>
        <v>ТЕХНОРЕССОР</v>
      </c>
    </row>
    <row r="15" spans="1:17" ht="90" x14ac:dyDescent="0.25">
      <c r="A15" s="112">
        <v>443576</v>
      </c>
      <c r="B15" s="112">
        <v>108760</v>
      </c>
      <c r="C15" s="113" t="s">
        <v>468</v>
      </c>
      <c r="D15" s="113" t="s">
        <v>199</v>
      </c>
      <c r="E15" s="113"/>
      <c r="F15" s="113"/>
      <c r="G15" s="113"/>
      <c r="H15" s="113"/>
      <c r="I15" s="113" t="s">
        <v>65</v>
      </c>
      <c r="J15" s="114">
        <v>2850</v>
      </c>
      <c r="K15" s="114">
        <v>4190</v>
      </c>
      <c r="L15" s="113" t="s">
        <v>271</v>
      </c>
      <c r="M15" s="113" t="s">
        <v>2</v>
      </c>
      <c r="N15" s="113"/>
      <c r="O15" s="113"/>
      <c r="P15" s="7" t="str">
        <f t="shared" si="0"/>
        <v>1</v>
      </c>
      <c r="Q15" s="7" t="str">
        <f>INDEX(Кат!$I:$I,MATCH($A15,Кат!$A:$A,0))</f>
        <v>ТЕХНОРЕССОР</v>
      </c>
    </row>
    <row r="16" spans="1:17" ht="45" x14ac:dyDescent="0.25">
      <c r="A16" s="112">
        <v>443968</v>
      </c>
      <c r="B16" s="112">
        <v>108810</v>
      </c>
      <c r="C16" s="113" t="s">
        <v>469</v>
      </c>
      <c r="D16" s="113" t="s">
        <v>199</v>
      </c>
      <c r="E16" s="113"/>
      <c r="F16" s="113"/>
      <c r="G16" s="113"/>
      <c r="H16" s="113"/>
      <c r="I16" s="113" t="s">
        <v>65</v>
      </c>
      <c r="J16" s="114">
        <v>4000</v>
      </c>
      <c r="K16" s="114">
        <v>6290</v>
      </c>
      <c r="L16" s="113" t="s">
        <v>288</v>
      </c>
      <c r="M16" s="113" t="s">
        <v>2</v>
      </c>
      <c r="N16" s="113"/>
      <c r="O16" s="113"/>
      <c r="P16" s="7" t="str">
        <f t="shared" si="0"/>
        <v>1</v>
      </c>
      <c r="Q16" s="7" t="str">
        <f>INDEX(Кат!$I:$I,MATCH($A16,Кат!$A:$A,0))</f>
        <v>ТЕХНОРЕССОР</v>
      </c>
    </row>
    <row r="17" spans="1:17" ht="45" x14ac:dyDescent="0.25">
      <c r="A17" s="112">
        <v>443464</v>
      </c>
      <c r="B17" s="112">
        <v>108574</v>
      </c>
      <c r="C17" s="113" t="s">
        <v>470</v>
      </c>
      <c r="D17" s="113" t="s">
        <v>199</v>
      </c>
      <c r="E17" s="113"/>
      <c r="F17" s="113"/>
      <c r="G17" s="113"/>
      <c r="H17" s="113"/>
      <c r="I17" s="113" t="s">
        <v>65</v>
      </c>
      <c r="J17" s="114">
        <v>2550</v>
      </c>
      <c r="K17" s="114">
        <v>4090</v>
      </c>
      <c r="L17" s="113" t="s">
        <v>280</v>
      </c>
      <c r="M17" s="113" t="s">
        <v>2</v>
      </c>
      <c r="N17" s="113" t="s">
        <v>79</v>
      </c>
      <c r="O17" s="113"/>
      <c r="P17" s="7" t="str">
        <f t="shared" si="0"/>
        <v>1ск4</v>
      </c>
      <c r="Q17" s="7" t="str">
        <f>INDEX(Кат!$I:$I,MATCH($A17,Кат!$A:$A,0))</f>
        <v>ТЕХНОРЕССОР</v>
      </c>
    </row>
    <row r="18" spans="1:17" ht="90" x14ac:dyDescent="0.25">
      <c r="A18" s="112">
        <v>443577</v>
      </c>
      <c r="B18" s="112">
        <v>108761</v>
      </c>
      <c r="C18" s="113" t="s">
        <v>471</v>
      </c>
      <c r="D18" s="113" t="s">
        <v>199</v>
      </c>
      <c r="E18" s="113"/>
      <c r="F18" s="113"/>
      <c r="G18" s="113"/>
      <c r="H18" s="113"/>
      <c r="I18" s="113" t="s">
        <v>65</v>
      </c>
      <c r="J18" s="114">
        <v>2850</v>
      </c>
      <c r="K18" s="114">
        <v>4090</v>
      </c>
      <c r="L18" s="113" t="s">
        <v>270</v>
      </c>
      <c r="M18" s="113" t="s">
        <v>2</v>
      </c>
      <c r="N18" s="113" t="s">
        <v>79</v>
      </c>
      <c r="O18" s="113"/>
      <c r="P18" s="7" t="str">
        <f t="shared" si="0"/>
        <v>1ск4</v>
      </c>
      <c r="Q18" s="7" t="str">
        <f>INDEX(Кат!$I:$I,MATCH($A18,Кат!$A:$A,0))</f>
        <v>ТЕХНОРЕССОР</v>
      </c>
    </row>
    <row r="19" spans="1:17" ht="45" x14ac:dyDescent="0.25">
      <c r="A19" s="112">
        <v>443969</v>
      </c>
      <c r="B19" s="112">
        <v>108811</v>
      </c>
      <c r="C19" s="113" t="s">
        <v>472</v>
      </c>
      <c r="D19" s="113" t="s">
        <v>199</v>
      </c>
      <c r="E19" s="113"/>
      <c r="F19" s="113"/>
      <c r="G19" s="113"/>
      <c r="H19" s="113"/>
      <c r="I19" s="113" t="s">
        <v>65</v>
      </c>
      <c r="J19" s="114">
        <v>4000</v>
      </c>
      <c r="K19" s="114">
        <v>6390</v>
      </c>
      <c r="L19" s="113" t="s">
        <v>289</v>
      </c>
      <c r="M19" s="113" t="s">
        <v>2</v>
      </c>
      <c r="N19" s="113"/>
      <c r="O19" s="113"/>
      <c r="P19" s="7" t="str">
        <f t="shared" si="0"/>
        <v>1</v>
      </c>
      <c r="Q19" s="7" t="str">
        <f>INDEX(Кат!$I:$I,MATCH($A19,Кат!$A:$A,0))</f>
        <v>ТЕХНОРЕССОР</v>
      </c>
    </row>
    <row r="20" spans="1:17" ht="45" x14ac:dyDescent="0.25">
      <c r="A20" s="112">
        <v>443465</v>
      </c>
      <c r="B20" s="112">
        <v>108575</v>
      </c>
      <c r="C20" s="113" t="s">
        <v>473</v>
      </c>
      <c r="D20" s="113" t="s">
        <v>199</v>
      </c>
      <c r="E20" s="113"/>
      <c r="F20" s="113"/>
      <c r="G20" s="113"/>
      <c r="H20" s="113"/>
      <c r="I20" s="113" t="s">
        <v>65</v>
      </c>
      <c r="J20" s="114">
        <v>2550</v>
      </c>
      <c r="K20" s="114">
        <v>4090</v>
      </c>
      <c r="L20" s="113" t="s">
        <v>281</v>
      </c>
      <c r="M20" s="113" t="s">
        <v>2</v>
      </c>
      <c r="N20" s="113"/>
      <c r="O20" s="113"/>
      <c r="P20" s="7" t="str">
        <f t="shared" si="0"/>
        <v>1</v>
      </c>
      <c r="Q20" s="7" t="str">
        <f>INDEX(Кат!$I:$I,MATCH($A20,Кат!$A:$A,0))</f>
        <v>ТЕХНОРЕССОР</v>
      </c>
    </row>
    <row r="21" spans="1:17" ht="90" x14ac:dyDescent="0.25">
      <c r="A21" s="112">
        <v>443578</v>
      </c>
      <c r="B21" s="112">
        <v>108762</v>
      </c>
      <c r="C21" s="113" t="s">
        <v>474</v>
      </c>
      <c r="D21" s="113" t="s">
        <v>199</v>
      </c>
      <c r="E21" s="113"/>
      <c r="F21" s="113"/>
      <c r="G21" s="113"/>
      <c r="H21" s="113"/>
      <c r="I21" s="113" t="s">
        <v>65</v>
      </c>
      <c r="J21" s="114">
        <v>2850</v>
      </c>
      <c r="K21" s="114">
        <v>4090</v>
      </c>
      <c r="L21" s="113" t="s">
        <v>269</v>
      </c>
      <c r="M21" s="113" t="s">
        <v>2</v>
      </c>
      <c r="N21" s="113"/>
      <c r="O21" s="113"/>
      <c r="P21" s="7" t="str">
        <f t="shared" si="0"/>
        <v>1</v>
      </c>
      <c r="Q21" s="7" t="str">
        <f>INDEX(Кат!$I:$I,MATCH($A21,Кат!$A:$A,0))</f>
        <v>ТЕХНОРЕССОР</v>
      </c>
    </row>
    <row r="22" spans="1:17" ht="45" x14ac:dyDescent="0.25">
      <c r="A22" s="112">
        <v>443970</v>
      </c>
      <c r="B22" s="112">
        <v>108812</v>
      </c>
      <c r="C22" s="113" t="s">
        <v>475</v>
      </c>
      <c r="D22" s="113" t="s">
        <v>199</v>
      </c>
      <c r="E22" s="113"/>
      <c r="F22" s="113"/>
      <c r="G22" s="113"/>
      <c r="H22" s="113"/>
      <c r="I22" s="113" t="s">
        <v>65</v>
      </c>
      <c r="J22" s="114">
        <v>4000</v>
      </c>
      <c r="K22" s="114">
        <v>5690</v>
      </c>
      <c r="L22" s="113" t="s">
        <v>290</v>
      </c>
      <c r="M22" s="113" t="s">
        <v>2</v>
      </c>
      <c r="N22" s="113"/>
      <c r="O22" s="113"/>
      <c r="P22" s="7" t="str">
        <f t="shared" si="0"/>
        <v>1</v>
      </c>
      <c r="Q22" s="7" t="str">
        <f>INDEX(Кат!$I:$I,MATCH($A22,Кат!$A:$A,0))</f>
        <v>ТЕХНОРЕССОР</v>
      </c>
    </row>
    <row r="23" spans="1:17" ht="45" x14ac:dyDescent="0.25">
      <c r="A23" s="112">
        <v>443466</v>
      </c>
      <c r="B23" s="112">
        <v>108576</v>
      </c>
      <c r="C23" s="113" t="s">
        <v>476</v>
      </c>
      <c r="D23" s="113" t="s">
        <v>199</v>
      </c>
      <c r="E23" s="113"/>
      <c r="F23" s="113"/>
      <c r="G23" s="113"/>
      <c r="H23" s="113"/>
      <c r="I23" s="113" t="s">
        <v>65</v>
      </c>
      <c r="J23" s="114">
        <v>2550</v>
      </c>
      <c r="K23" s="114">
        <v>4090</v>
      </c>
      <c r="L23" s="113" t="s">
        <v>282</v>
      </c>
      <c r="M23" s="113" t="s">
        <v>2</v>
      </c>
      <c r="N23" s="113"/>
      <c r="O23" s="113"/>
      <c r="P23" s="7" t="str">
        <f t="shared" si="0"/>
        <v>1</v>
      </c>
      <c r="Q23" s="7" t="str">
        <f>INDEX(Кат!$I:$I,MATCH($A23,Кат!$A:$A,0))</f>
        <v>ТЕХНОРЕССОР</v>
      </c>
    </row>
    <row r="24" spans="1:17" ht="90" x14ac:dyDescent="0.25">
      <c r="A24" s="112">
        <v>443579</v>
      </c>
      <c r="B24" s="112">
        <v>108763</v>
      </c>
      <c r="C24" s="113" t="s">
        <v>477</v>
      </c>
      <c r="D24" s="113" t="s">
        <v>199</v>
      </c>
      <c r="E24" s="113"/>
      <c r="F24" s="113"/>
      <c r="G24" s="113"/>
      <c r="H24" s="113"/>
      <c r="I24" s="113" t="s">
        <v>65</v>
      </c>
      <c r="J24" s="114">
        <v>2850</v>
      </c>
      <c r="K24" s="114">
        <v>4190</v>
      </c>
      <c r="L24" s="113" t="s">
        <v>268</v>
      </c>
      <c r="M24" s="113" t="s">
        <v>2</v>
      </c>
      <c r="N24" s="113"/>
      <c r="O24" s="113"/>
      <c r="P24" s="7" t="str">
        <f t="shared" si="0"/>
        <v>1</v>
      </c>
      <c r="Q24" s="7" t="str">
        <f>INDEX(Кат!$I:$I,MATCH($A24,Кат!$A:$A,0))</f>
        <v>ТЕХНОРЕССОР</v>
      </c>
    </row>
    <row r="25" spans="1:17" ht="45" x14ac:dyDescent="0.25">
      <c r="A25" s="112">
        <v>145470</v>
      </c>
      <c r="B25" s="112">
        <v>16495</v>
      </c>
      <c r="C25" s="113" t="s">
        <v>478</v>
      </c>
      <c r="D25" s="113" t="s">
        <v>199</v>
      </c>
      <c r="E25" s="113"/>
      <c r="F25" s="113"/>
      <c r="G25" s="113"/>
      <c r="H25" s="113"/>
      <c r="I25" s="113" t="s">
        <v>65</v>
      </c>
      <c r="J25" s="114">
        <v>2650</v>
      </c>
      <c r="K25" s="114">
        <v>4190</v>
      </c>
      <c r="L25" s="113" t="s">
        <v>256</v>
      </c>
      <c r="M25" s="113" t="s">
        <v>2</v>
      </c>
      <c r="N25" s="113"/>
      <c r="O25" s="113"/>
      <c r="P25" s="7" t="str">
        <f t="shared" si="0"/>
        <v>1</v>
      </c>
      <c r="Q25" s="7" t="str">
        <f>INDEX(Кат!$I:$I,MATCH($A25,Кат!$A:$A,0))</f>
        <v>ТЕХНОРЕССОР</v>
      </c>
    </row>
    <row r="26" spans="1:17" ht="45" x14ac:dyDescent="0.25">
      <c r="A26" s="112">
        <v>201914</v>
      </c>
      <c r="B26" s="112">
        <v>16548</v>
      </c>
      <c r="C26" s="113" t="s">
        <v>479</v>
      </c>
      <c r="D26" s="113" t="s">
        <v>199</v>
      </c>
      <c r="E26" s="113"/>
      <c r="F26" s="113"/>
      <c r="G26" s="113"/>
      <c r="H26" s="113"/>
      <c r="I26" s="113" t="s">
        <v>65</v>
      </c>
      <c r="J26" s="114">
        <v>4000</v>
      </c>
      <c r="K26" s="114">
        <v>5990</v>
      </c>
      <c r="L26" s="113" t="s">
        <v>241</v>
      </c>
      <c r="M26" s="113" t="s">
        <v>2</v>
      </c>
      <c r="N26" s="113"/>
      <c r="O26" s="113"/>
      <c r="P26" s="7" t="str">
        <f t="shared" si="0"/>
        <v>1</v>
      </c>
      <c r="Q26" s="7" t="str">
        <f>INDEX(Кат!$I:$I,MATCH($A26,Кат!$A:$A,0))</f>
        <v>ТЕХНОРЕССОР</v>
      </c>
    </row>
    <row r="27" spans="1:17" ht="60" x14ac:dyDescent="0.25">
      <c r="A27" s="112">
        <v>145468</v>
      </c>
      <c r="B27" s="112">
        <v>16491</v>
      </c>
      <c r="C27" s="113" t="s">
        <v>480</v>
      </c>
      <c r="D27" s="113" t="s">
        <v>199</v>
      </c>
      <c r="E27" s="113"/>
      <c r="F27" s="113"/>
      <c r="G27" s="113"/>
      <c r="H27" s="113"/>
      <c r="I27" s="113" t="s">
        <v>65</v>
      </c>
      <c r="J27" s="114">
        <v>2650</v>
      </c>
      <c r="K27" s="114">
        <v>3490</v>
      </c>
      <c r="L27" s="113" t="s">
        <v>260</v>
      </c>
      <c r="M27" s="113" t="s">
        <v>201</v>
      </c>
      <c r="N27" s="113"/>
      <c r="O27" s="113"/>
      <c r="P27" s="7" t="str">
        <f t="shared" si="0"/>
        <v>0</v>
      </c>
      <c r="Q27" s="7" t="str">
        <f>INDEX(Кат!$I:$I,MATCH($A27,Кат!$A:$A,0))</f>
        <v>ТЕХНОРЕССОР</v>
      </c>
    </row>
    <row r="28" spans="1:17" ht="90" x14ac:dyDescent="0.25">
      <c r="A28" s="112">
        <v>201916</v>
      </c>
      <c r="B28" s="112">
        <v>3548</v>
      </c>
      <c r="C28" s="113" t="s">
        <v>481</v>
      </c>
      <c r="D28" s="113" t="s">
        <v>199</v>
      </c>
      <c r="E28" s="113"/>
      <c r="F28" s="113"/>
      <c r="G28" s="113"/>
      <c r="H28" s="113"/>
      <c r="I28" s="113" t="s">
        <v>65</v>
      </c>
      <c r="J28" s="114">
        <v>2900</v>
      </c>
      <c r="K28" s="114">
        <v>4490</v>
      </c>
      <c r="L28" s="113" t="s">
        <v>237</v>
      </c>
      <c r="M28" s="113" t="s">
        <v>2</v>
      </c>
      <c r="N28" s="113"/>
      <c r="O28" s="113"/>
      <c r="P28" s="7" t="str">
        <f t="shared" si="0"/>
        <v>1</v>
      </c>
      <c r="Q28" s="7" t="str">
        <f>INDEX(Кат!$I:$I,MATCH($A28,Кат!$A:$A,0))</f>
        <v>ТЕХНОРЕССОР</v>
      </c>
    </row>
    <row r="29" spans="1:17" ht="45" x14ac:dyDescent="0.25">
      <c r="A29" s="112">
        <v>201917</v>
      </c>
      <c r="B29" s="112">
        <v>9993</v>
      </c>
      <c r="C29" s="113" t="s">
        <v>482</v>
      </c>
      <c r="D29" s="113" t="s">
        <v>199</v>
      </c>
      <c r="E29" s="113"/>
      <c r="F29" s="113"/>
      <c r="G29" s="113"/>
      <c r="H29" s="113"/>
      <c r="I29" s="113" t="s">
        <v>65</v>
      </c>
      <c r="J29" s="114">
        <v>4000</v>
      </c>
      <c r="K29" s="114">
        <v>6490</v>
      </c>
      <c r="L29" s="113" t="s">
        <v>240</v>
      </c>
      <c r="M29" s="113" t="s">
        <v>2</v>
      </c>
      <c r="N29" s="113"/>
      <c r="O29" s="113"/>
      <c r="P29" s="7" t="str">
        <f t="shared" si="0"/>
        <v>1</v>
      </c>
      <c r="Q29" s="7" t="str">
        <f>INDEX(Кат!$I:$I,MATCH($A29,Кат!$A:$A,0))</f>
        <v>ТЕХНОРЕССОР</v>
      </c>
    </row>
    <row r="30" spans="1:17" ht="105" x14ac:dyDescent="0.25">
      <c r="A30" s="112">
        <v>201918</v>
      </c>
      <c r="B30" s="112">
        <v>16651</v>
      </c>
      <c r="C30" s="113" t="s">
        <v>483</v>
      </c>
      <c r="D30" s="113" t="s">
        <v>200</v>
      </c>
      <c r="E30" s="113"/>
      <c r="F30" s="113"/>
      <c r="G30" s="113"/>
      <c r="H30" s="113"/>
      <c r="I30" s="113" t="s">
        <v>65</v>
      </c>
      <c r="J30" s="114">
        <v>2900</v>
      </c>
      <c r="K30" s="114">
        <v>3890</v>
      </c>
      <c r="L30" s="113"/>
      <c r="M30" s="113" t="s">
        <v>2</v>
      </c>
      <c r="N30" s="113"/>
      <c r="O30" s="113"/>
      <c r="P30" s="7" t="str">
        <f t="shared" si="0"/>
        <v>1</v>
      </c>
      <c r="Q30" s="7" t="str">
        <f>INDEX(Кат!$I:$I,MATCH($A30,Кат!$A:$A,0))</f>
        <v>ТЕХНОРЕССОР</v>
      </c>
    </row>
    <row r="31" spans="1:17" ht="45" x14ac:dyDescent="0.25">
      <c r="A31" s="112">
        <v>145471</v>
      </c>
      <c r="B31" s="112">
        <v>16497</v>
      </c>
      <c r="C31" s="113" t="s">
        <v>484</v>
      </c>
      <c r="D31" s="113" t="s">
        <v>199</v>
      </c>
      <c r="E31" s="113"/>
      <c r="F31" s="113"/>
      <c r="G31" s="113"/>
      <c r="H31" s="113"/>
      <c r="I31" s="113" t="s">
        <v>65</v>
      </c>
      <c r="J31" s="114">
        <v>3950</v>
      </c>
      <c r="K31" s="114">
        <v>5090</v>
      </c>
      <c r="L31" s="113" t="s">
        <v>254</v>
      </c>
      <c r="M31" s="113" t="s">
        <v>2</v>
      </c>
      <c r="N31" s="113"/>
      <c r="O31" s="113" t="s">
        <v>199</v>
      </c>
      <c r="P31" s="7" t="str">
        <f t="shared" si="0"/>
        <v>1</v>
      </c>
      <c r="Q31" s="7" t="str">
        <f>INDEX(Кат!$I:$I,MATCH($A31,Кат!$A:$A,0))</f>
        <v>ТЕХНОРЕССОР</v>
      </c>
    </row>
    <row r="32" spans="1:17" ht="45" x14ac:dyDescent="0.25">
      <c r="A32" s="112">
        <v>444181</v>
      </c>
      <c r="B32" s="112">
        <v>444181</v>
      </c>
      <c r="C32" s="113" t="s">
        <v>485</v>
      </c>
      <c r="D32" s="113" t="s">
        <v>199</v>
      </c>
      <c r="E32" s="113"/>
      <c r="F32" s="113"/>
      <c r="G32" s="113"/>
      <c r="H32" s="113"/>
      <c r="I32" s="113" t="s">
        <v>65</v>
      </c>
      <c r="J32" s="114">
        <v>3800</v>
      </c>
      <c r="K32" s="114">
        <v>5090</v>
      </c>
      <c r="L32" s="113"/>
      <c r="M32" s="113" t="s">
        <v>2</v>
      </c>
      <c r="N32" s="113"/>
      <c r="O32" s="113"/>
      <c r="P32" s="7" t="str">
        <f t="shared" si="0"/>
        <v>1</v>
      </c>
      <c r="Q32" s="7" t="str">
        <f>INDEX(Кат!$I:$I,MATCH($A32,Кат!$A:$A,0))</f>
        <v>ТЕХНОРЕССОР</v>
      </c>
    </row>
    <row r="33" spans="1:17" ht="45" x14ac:dyDescent="0.25">
      <c r="A33" s="112">
        <v>444168</v>
      </c>
      <c r="B33" s="112">
        <v>444168</v>
      </c>
      <c r="C33" s="113" t="s">
        <v>486</v>
      </c>
      <c r="D33" s="113" t="s">
        <v>199</v>
      </c>
      <c r="E33" s="113"/>
      <c r="F33" s="113"/>
      <c r="G33" s="113"/>
      <c r="H33" s="113"/>
      <c r="I33" s="113" t="s">
        <v>65</v>
      </c>
      <c r="J33" s="114">
        <v>3800</v>
      </c>
      <c r="K33" s="114">
        <v>5090</v>
      </c>
      <c r="L33" s="113"/>
      <c r="M33" s="113" t="s">
        <v>2</v>
      </c>
      <c r="N33" s="113"/>
      <c r="O33" s="113" t="s">
        <v>199</v>
      </c>
      <c r="P33" s="7" t="str">
        <f t="shared" si="0"/>
        <v>1</v>
      </c>
      <c r="Q33" s="7" t="str">
        <f>INDEX(Кат!$I:$I,MATCH($A33,Кат!$A:$A,0))</f>
        <v>ТЕХНОРЕССОР</v>
      </c>
    </row>
    <row r="34" spans="1:17" ht="45" x14ac:dyDescent="0.25">
      <c r="A34" s="112">
        <v>444163</v>
      </c>
      <c r="B34" s="112">
        <v>444163</v>
      </c>
      <c r="C34" s="113" t="s">
        <v>487</v>
      </c>
      <c r="D34" s="113" t="s">
        <v>199</v>
      </c>
      <c r="E34" s="113"/>
      <c r="F34" s="113"/>
      <c r="G34" s="113"/>
      <c r="H34" s="113"/>
      <c r="I34" s="113" t="s">
        <v>65</v>
      </c>
      <c r="J34" s="114">
        <v>3800</v>
      </c>
      <c r="K34" s="114">
        <v>5090</v>
      </c>
      <c r="L34" s="113"/>
      <c r="M34" s="113" t="s">
        <v>2</v>
      </c>
      <c r="N34" s="113"/>
      <c r="O34" s="113"/>
      <c r="P34" s="7" t="str">
        <f t="shared" si="0"/>
        <v>1</v>
      </c>
      <c r="Q34" s="7" t="str">
        <f>INDEX(Кат!$I:$I,MATCH($A34,Кат!$A:$A,0))</f>
        <v>ТЕХНОРЕССОР</v>
      </c>
    </row>
    <row r="35" spans="1:17" ht="30" x14ac:dyDescent="0.25">
      <c r="A35" s="112">
        <v>201919</v>
      </c>
      <c r="B35" s="112">
        <v>57086</v>
      </c>
      <c r="C35" s="113" t="s">
        <v>488</v>
      </c>
      <c r="D35" s="113" t="s">
        <v>199</v>
      </c>
      <c r="E35" s="113"/>
      <c r="F35" s="113" t="s">
        <v>176</v>
      </c>
      <c r="G35" s="113"/>
      <c r="H35" s="113" t="s">
        <v>81</v>
      </c>
      <c r="I35" s="113" t="s">
        <v>65</v>
      </c>
      <c r="J35" s="114">
        <v>2100</v>
      </c>
      <c r="K35" s="114">
        <v>2790</v>
      </c>
      <c r="L35" s="113"/>
      <c r="M35" s="113" t="s">
        <v>201</v>
      </c>
      <c r="N35" s="113"/>
      <c r="O35" s="113" t="s">
        <v>199</v>
      </c>
      <c r="P35" s="7" t="str">
        <f t="shared" si="0"/>
        <v>0</v>
      </c>
      <c r="Q35" s="7" t="str">
        <f>INDEX(Кат!$I:$I,MATCH($A35,Кат!$A:$A,0))</f>
        <v>ТЕХНОРЕССОР</v>
      </c>
    </row>
    <row r="36" spans="1:17" ht="30" x14ac:dyDescent="0.25">
      <c r="A36" s="112">
        <v>201920</v>
      </c>
      <c r="B36" s="112">
        <v>57104</v>
      </c>
      <c r="C36" s="113" t="s">
        <v>489</v>
      </c>
      <c r="D36" s="113" t="s">
        <v>199</v>
      </c>
      <c r="E36" s="113"/>
      <c r="F36" s="113" t="s">
        <v>178</v>
      </c>
      <c r="G36" s="113"/>
      <c r="H36" s="113" t="s">
        <v>83</v>
      </c>
      <c r="I36" s="113" t="s">
        <v>65</v>
      </c>
      <c r="J36" s="114">
        <v>2450</v>
      </c>
      <c r="K36" s="114">
        <v>3290</v>
      </c>
      <c r="L36" s="113"/>
      <c r="M36" s="113" t="s">
        <v>201</v>
      </c>
      <c r="N36" s="113"/>
      <c r="O36" s="113" t="s">
        <v>199</v>
      </c>
      <c r="P36" s="7" t="str">
        <f t="shared" si="0"/>
        <v>0</v>
      </c>
      <c r="Q36" s="7" t="str">
        <f>INDEX(Кат!$I:$I,MATCH($A36,Кат!$A:$A,0))</f>
        <v>ТЕХНОРЕССОР</v>
      </c>
    </row>
    <row r="37" spans="1:17" ht="30" x14ac:dyDescent="0.25">
      <c r="A37" s="112">
        <v>201867</v>
      </c>
      <c r="B37" s="112">
        <v>3357</v>
      </c>
      <c r="C37" s="113" t="s">
        <v>490</v>
      </c>
      <c r="D37" s="113" t="s">
        <v>199</v>
      </c>
      <c r="E37" s="113"/>
      <c r="F37" s="113" t="s">
        <v>168</v>
      </c>
      <c r="G37" s="113"/>
      <c r="H37" s="113"/>
      <c r="I37" s="113" t="s">
        <v>65</v>
      </c>
      <c r="J37" s="114">
        <v>3550</v>
      </c>
      <c r="K37" s="114">
        <v>4690</v>
      </c>
      <c r="L37" s="113"/>
      <c r="M37" s="113" t="s">
        <v>201</v>
      </c>
      <c r="N37" s="113"/>
      <c r="O37" s="113" t="s">
        <v>199</v>
      </c>
      <c r="P37" s="7" t="str">
        <f t="shared" si="0"/>
        <v>0</v>
      </c>
      <c r="Q37" s="7" t="str">
        <f>INDEX(Кат!$I:$I,MATCH($A37,Кат!$A:$A,0))</f>
        <v>ТЕХНОРЕССОР</v>
      </c>
    </row>
    <row r="38" spans="1:17" ht="45" x14ac:dyDescent="0.25">
      <c r="A38" s="112">
        <v>201921</v>
      </c>
      <c r="B38" s="112">
        <v>57147</v>
      </c>
      <c r="C38" s="113" t="s">
        <v>491</v>
      </c>
      <c r="D38" s="113" t="s">
        <v>199</v>
      </c>
      <c r="E38" s="113"/>
      <c r="F38" s="113" t="s">
        <v>183</v>
      </c>
      <c r="G38" s="113"/>
      <c r="H38" s="113" t="s">
        <v>88</v>
      </c>
      <c r="I38" s="113" t="s">
        <v>65</v>
      </c>
      <c r="J38" s="114">
        <v>2650</v>
      </c>
      <c r="K38" s="114">
        <v>3490</v>
      </c>
      <c r="L38" s="113"/>
      <c r="M38" s="113" t="s">
        <v>201</v>
      </c>
      <c r="N38" s="113"/>
      <c r="O38" s="113" t="s">
        <v>199</v>
      </c>
      <c r="P38" s="7" t="str">
        <f t="shared" si="0"/>
        <v>0</v>
      </c>
      <c r="Q38" s="7" t="str">
        <f>INDEX(Кат!$I:$I,MATCH($A38,Кат!$A:$A,0))</f>
        <v>ТЕХНОРЕССОР</v>
      </c>
    </row>
    <row r="39" spans="1:17" ht="45" x14ac:dyDescent="0.25">
      <c r="A39" s="112">
        <v>201922</v>
      </c>
      <c r="B39" s="112">
        <v>57132</v>
      </c>
      <c r="C39" s="113" t="s">
        <v>492</v>
      </c>
      <c r="D39" s="113" t="s">
        <v>199</v>
      </c>
      <c r="E39" s="113"/>
      <c r="F39" s="113" t="s">
        <v>182</v>
      </c>
      <c r="G39" s="113"/>
      <c r="H39" s="113" t="s">
        <v>87</v>
      </c>
      <c r="I39" s="113" t="s">
        <v>65</v>
      </c>
      <c r="J39" s="114">
        <v>2650</v>
      </c>
      <c r="K39" s="114">
        <v>3490</v>
      </c>
      <c r="L39" s="113"/>
      <c r="M39" s="113" t="s">
        <v>201</v>
      </c>
      <c r="N39" s="113"/>
      <c r="O39" s="113" t="s">
        <v>199</v>
      </c>
      <c r="P39" s="7" t="str">
        <f t="shared" si="0"/>
        <v>0</v>
      </c>
      <c r="Q39" s="7" t="str">
        <f>INDEX(Кат!$I:$I,MATCH($A39,Кат!$A:$A,0))</f>
        <v>ТЕХНОРЕССОР</v>
      </c>
    </row>
    <row r="40" spans="1:17" ht="45" x14ac:dyDescent="0.25">
      <c r="A40" s="112">
        <v>201874</v>
      </c>
      <c r="B40" s="112">
        <v>19469</v>
      </c>
      <c r="C40" s="113" t="s">
        <v>493</v>
      </c>
      <c r="D40" s="113" t="s">
        <v>199</v>
      </c>
      <c r="E40" s="113"/>
      <c r="F40" s="113" t="s">
        <v>170</v>
      </c>
      <c r="G40" s="113"/>
      <c r="H40" s="113"/>
      <c r="I40" s="113" t="s">
        <v>65</v>
      </c>
      <c r="J40" s="114">
        <v>2200</v>
      </c>
      <c r="K40" s="114">
        <v>2890</v>
      </c>
      <c r="L40" s="113"/>
      <c r="M40" s="113" t="s">
        <v>201</v>
      </c>
      <c r="N40" s="113"/>
      <c r="O40" s="113" t="s">
        <v>199</v>
      </c>
      <c r="P40" s="7" t="str">
        <f t="shared" si="0"/>
        <v>0</v>
      </c>
      <c r="Q40" s="7" t="str">
        <f>INDEX(Кат!$I:$I,MATCH($A40,Кат!$A:$A,0))</f>
        <v>ТЕХНОРЕССОР</v>
      </c>
    </row>
    <row r="41" spans="1:17" ht="45" x14ac:dyDescent="0.25">
      <c r="A41" s="112">
        <v>201875</v>
      </c>
      <c r="B41" s="112">
        <v>167722</v>
      </c>
      <c r="C41" s="113" t="s">
        <v>494</v>
      </c>
      <c r="D41" s="113" t="s">
        <v>199</v>
      </c>
      <c r="E41" s="113"/>
      <c r="F41" s="113" t="s">
        <v>170</v>
      </c>
      <c r="G41" s="113"/>
      <c r="H41" s="113"/>
      <c r="I41" s="113" t="s">
        <v>65</v>
      </c>
      <c r="J41" s="114">
        <v>2200</v>
      </c>
      <c r="K41" s="114">
        <v>2990</v>
      </c>
      <c r="L41" s="113"/>
      <c r="M41" s="113" t="s">
        <v>201</v>
      </c>
      <c r="N41" s="113"/>
      <c r="O41" s="113"/>
      <c r="P41" s="7" t="str">
        <f t="shared" si="0"/>
        <v>0</v>
      </c>
      <c r="Q41" s="7" t="str">
        <f>INDEX(Кат!$I:$I,MATCH($A41,Кат!$A:$A,0))</f>
        <v>ТЕХНОРЕССОР</v>
      </c>
    </row>
    <row r="42" spans="1:17" ht="45" x14ac:dyDescent="0.25">
      <c r="A42" s="112">
        <v>443472</v>
      </c>
      <c r="B42" s="112">
        <v>127031</v>
      </c>
      <c r="C42" s="113" t="s">
        <v>495</v>
      </c>
      <c r="D42" s="113" t="s">
        <v>199</v>
      </c>
      <c r="E42" s="113"/>
      <c r="F42" s="113" t="s">
        <v>496</v>
      </c>
      <c r="G42" s="113"/>
      <c r="H42" s="113" t="s">
        <v>152</v>
      </c>
      <c r="I42" s="113" t="s">
        <v>65</v>
      </c>
      <c r="J42" s="114">
        <v>3800</v>
      </c>
      <c r="K42" s="114">
        <v>5090</v>
      </c>
      <c r="L42" s="113"/>
      <c r="M42" s="113" t="s">
        <v>201</v>
      </c>
      <c r="N42" s="113"/>
      <c r="O42" s="113"/>
      <c r="P42" s="7" t="str">
        <f t="shared" si="0"/>
        <v>0</v>
      </c>
      <c r="Q42" s="7" t="str">
        <f>INDEX(Кат!$I:$I,MATCH($A42,Кат!$A:$A,0))</f>
        <v>ТЕХНОРЕССОР</v>
      </c>
    </row>
    <row r="43" spans="1:17" ht="75" x14ac:dyDescent="0.25">
      <c r="A43" s="112">
        <v>443581</v>
      </c>
      <c r="B43" s="112">
        <v>127250</v>
      </c>
      <c r="C43" s="113" t="s">
        <v>497</v>
      </c>
      <c r="D43" s="113" t="s">
        <v>199</v>
      </c>
      <c r="E43" s="113"/>
      <c r="F43" s="113" t="s">
        <v>498</v>
      </c>
      <c r="G43" s="113"/>
      <c r="H43" s="113" t="s">
        <v>147</v>
      </c>
      <c r="I43" s="113" t="s">
        <v>65</v>
      </c>
      <c r="J43" s="114">
        <v>3200</v>
      </c>
      <c r="K43" s="114">
        <v>4190</v>
      </c>
      <c r="L43" s="113"/>
      <c r="M43" s="113" t="s">
        <v>201</v>
      </c>
      <c r="N43" s="113"/>
      <c r="O43" s="113"/>
      <c r="P43" s="7" t="str">
        <f t="shared" si="0"/>
        <v>0</v>
      </c>
      <c r="Q43" s="7" t="str">
        <f>INDEX(Кат!$I:$I,MATCH($A43,Кат!$A:$A,0))</f>
        <v>ТЕХНОРЕССОР</v>
      </c>
    </row>
    <row r="44" spans="1:17" ht="45" x14ac:dyDescent="0.25">
      <c r="A44" s="112">
        <v>443473</v>
      </c>
      <c r="B44" s="112">
        <v>127032</v>
      </c>
      <c r="C44" s="113" t="s">
        <v>499</v>
      </c>
      <c r="D44" s="113" t="s">
        <v>199</v>
      </c>
      <c r="E44" s="113"/>
      <c r="F44" s="113"/>
      <c r="G44" s="113"/>
      <c r="H44" s="113"/>
      <c r="I44" s="113" t="s">
        <v>65</v>
      </c>
      <c r="J44" s="114">
        <v>3550</v>
      </c>
      <c r="K44" s="114">
        <v>4690</v>
      </c>
      <c r="L44" s="113"/>
      <c r="M44" s="113" t="s">
        <v>201</v>
      </c>
      <c r="N44" s="113"/>
      <c r="O44" s="113"/>
      <c r="P44" s="7" t="str">
        <f t="shared" si="0"/>
        <v>0</v>
      </c>
      <c r="Q44" s="7" t="str">
        <f>INDEX(Кат!$I:$I,MATCH($A44,Кат!$A:$A,0))</f>
        <v>ТЕХНОРЕССОР</v>
      </c>
    </row>
    <row r="45" spans="1:17" ht="75" x14ac:dyDescent="0.25">
      <c r="A45" s="112">
        <v>443580</v>
      </c>
      <c r="B45" s="112">
        <v>127251</v>
      </c>
      <c r="C45" s="113" t="s">
        <v>500</v>
      </c>
      <c r="D45" s="113" t="s">
        <v>199</v>
      </c>
      <c r="E45" s="113"/>
      <c r="F45" s="113" t="s">
        <v>501</v>
      </c>
      <c r="G45" s="113"/>
      <c r="H45" s="113" t="s">
        <v>148</v>
      </c>
      <c r="I45" s="113" t="s">
        <v>65</v>
      </c>
      <c r="J45" s="114">
        <v>3150</v>
      </c>
      <c r="K45" s="114">
        <v>4090</v>
      </c>
      <c r="L45" s="113"/>
      <c r="M45" s="113" t="s">
        <v>201</v>
      </c>
      <c r="N45" s="113"/>
      <c r="O45" s="113"/>
      <c r="P45" s="7" t="str">
        <f t="shared" si="0"/>
        <v>0</v>
      </c>
      <c r="Q45" s="7" t="str">
        <f>INDEX(Кат!$I:$I,MATCH($A45,Кат!$A:$A,0))</f>
        <v>ТЕХНОРЕССОР</v>
      </c>
    </row>
    <row r="46" spans="1:17" ht="45" x14ac:dyDescent="0.25">
      <c r="A46" s="112">
        <v>443474</v>
      </c>
      <c r="B46" s="112">
        <v>127033</v>
      </c>
      <c r="C46" s="113" t="s">
        <v>502</v>
      </c>
      <c r="D46" s="113" t="s">
        <v>199</v>
      </c>
      <c r="E46" s="113"/>
      <c r="F46" s="113" t="s">
        <v>503</v>
      </c>
      <c r="G46" s="113"/>
      <c r="H46" s="113" t="s">
        <v>153</v>
      </c>
      <c r="I46" s="113" t="s">
        <v>65</v>
      </c>
      <c r="J46" s="114">
        <v>3800</v>
      </c>
      <c r="K46" s="114">
        <v>4990</v>
      </c>
      <c r="L46" s="113"/>
      <c r="M46" s="113" t="s">
        <v>201</v>
      </c>
      <c r="N46" s="113"/>
      <c r="O46" s="113"/>
      <c r="P46" s="7" t="str">
        <f t="shared" si="0"/>
        <v>0</v>
      </c>
      <c r="Q46" s="7" t="str">
        <f>INDEX(Кат!$I:$I,MATCH($A46,Кат!$A:$A,0))</f>
        <v>ТЕХНОРЕССОР</v>
      </c>
    </row>
    <row r="47" spans="1:17" ht="75" x14ac:dyDescent="0.25">
      <c r="A47" s="112">
        <v>443582</v>
      </c>
      <c r="B47" s="112">
        <v>127252</v>
      </c>
      <c r="C47" s="113" t="s">
        <v>504</v>
      </c>
      <c r="D47" s="113" t="s">
        <v>199</v>
      </c>
      <c r="E47" s="113"/>
      <c r="F47" s="113" t="s">
        <v>505</v>
      </c>
      <c r="G47" s="113"/>
      <c r="H47" s="113" t="s">
        <v>149</v>
      </c>
      <c r="I47" s="113" t="s">
        <v>65</v>
      </c>
      <c r="J47" s="114">
        <v>3200</v>
      </c>
      <c r="K47" s="114">
        <v>4190</v>
      </c>
      <c r="L47" s="113"/>
      <c r="M47" s="113" t="s">
        <v>201</v>
      </c>
      <c r="N47" s="113"/>
      <c r="O47" s="113"/>
      <c r="P47" s="7" t="str">
        <f t="shared" si="0"/>
        <v>0</v>
      </c>
      <c r="Q47" s="7" t="str">
        <f>INDEX(Кат!$I:$I,MATCH($A47,Кат!$A:$A,0))</f>
        <v>ТЕХНОРЕССОР</v>
      </c>
    </row>
    <row r="48" spans="1:17" ht="45" x14ac:dyDescent="0.25">
      <c r="A48" s="112">
        <v>443475</v>
      </c>
      <c r="B48" s="112">
        <v>127034</v>
      </c>
      <c r="C48" s="113" t="s">
        <v>506</v>
      </c>
      <c r="D48" s="113" t="s">
        <v>199</v>
      </c>
      <c r="E48" s="113"/>
      <c r="F48" s="113" t="s">
        <v>507</v>
      </c>
      <c r="G48" s="113"/>
      <c r="H48" s="113" t="s">
        <v>154</v>
      </c>
      <c r="I48" s="113" t="s">
        <v>65</v>
      </c>
      <c r="J48" s="114">
        <v>3750</v>
      </c>
      <c r="K48" s="114">
        <v>4890</v>
      </c>
      <c r="L48" s="113"/>
      <c r="M48" s="113" t="s">
        <v>201</v>
      </c>
      <c r="N48" s="113"/>
      <c r="O48" s="113"/>
      <c r="P48" s="7" t="str">
        <f t="shared" si="0"/>
        <v>0</v>
      </c>
      <c r="Q48" s="7" t="str">
        <f>INDEX(Кат!$I:$I,MATCH($A48,Кат!$A:$A,0))</f>
        <v>ТЕХНОРЕССОР</v>
      </c>
    </row>
    <row r="49" spans="1:17" ht="75" x14ac:dyDescent="0.25">
      <c r="A49" s="112">
        <v>443583</v>
      </c>
      <c r="B49" s="112">
        <v>127253</v>
      </c>
      <c r="C49" s="113" t="s">
        <v>508</v>
      </c>
      <c r="D49" s="113" t="s">
        <v>199</v>
      </c>
      <c r="E49" s="113"/>
      <c r="F49" s="113" t="s">
        <v>509</v>
      </c>
      <c r="G49" s="113"/>
      <c r="H49" s="113" t="s">
        <v>150</v>
      </c>
      <c r="I49" s="113" t="s">
        <v>65</v>
      </c>
      <c r="J49" s="114">
        <v>3200</v>
      </c>
      <c r="K49" s="114">
        <v>4190</v>
      </c>
      <c r="L49" s="113"/>
      <c r="M49" s="113" t="s">
        <v>201</v>
      </c>
      <c r="N49" s="113"/>
      <c r="O49" s="113"/>
      <c r="P49" s="7" t="str">
        <f t="shared" si="0"/>
        <v>0</v>
      </c>
      <c r="Q49" s="7" t="str">
        <f>INDEX(Кат!$I:$I,MATCH($A49,Кат!$A:$A,0))</f>
        <v>ТЕХНОРЕССОР</v>
      </c>
    </row>
    <row r="50" spans="1:17" ht="75" x14ac:dyDescent="0.25">
      <c r="A50" s="112">
        <v>443584</v>
      </c>
      <c r="B50" s="112">
        <v>127254</v>
      </c>
      <c r="C50" s="113" t="s">
        <v>510</v>
      </c>
      <c r="D50" s="113" t="s">
        <v>199</v>
      </c>
      <c r="E50" s="113"/>
      <c r="F50" s="113" t="s">
        <v>511</v>
      </c>
      <c r="G50" s="113"/>
      <c r="H50" s="113" t="s">
        <v>151</v>
      </c>
      <c r="I50" s="113" t="s">
        <v>65</v>
      </c>
      <c r="J50" s="114">
        <v>3200</v>
      </c>
      <c r="K50" s="114">
        <v>5090</v>
      </c>
      <c r="L50" s="113"/>
      <c r="M50" s="113" t="s">
        <v>201</v>
      </c>
      <c r="N50" s="113"/>
      <c r="O50" s="113"/>
      <c r="P50" s="7" t="str">
        <f t="shared" si="0"/>
        <v>0</v>
      </c>
      <c r="Q50" s="7" t="str">
        <f>INDEX(Кат!$I:$I,MATCH($A50,Кат!$A:$A,0))</f>
        <v>ТЕХНОРЕССОР</v>
      </c>
    </row>
    <row r="51" spans="1:17" ht="30" x14ac:dyDescent="0.25">
      <c r="A51" s="112">
        <v>201935</v>
      </c>
      <c r="B51" s="112">
        <v>3318</v>
      </c>
      <c r="C51" s="113" t="s">
        <v>512</v>
      </c>
      <c r="D51" s="113" t="s">
        <v>199</v>
      </c>
      <c r="E51" s="113"/>
      <c r="F51" s="113" t="s">
        <v>167</v>
      </c>
      <c r="G51" s="113"/>
      <c r="H51" s="113"/>
      <c r="I51" s="113" t="s">
        <v>65</v>
      </c>
      <c r="J51" s="114">
        <v>2450</v>
      </c>
      <c r="K51" s="114">
        <v>3290</v>
      </c>
      <c r="L51" s="113"/>
      <c r="M51" s="113" t="s">
        <v>201</v>
      </c>
      <c r="N51" s="113"/>
      <c r="O51" s="113" t="s">
        <v>199</v>
      </c>
      <c r="P51" s="7" t="str">
        <f t="shared" si="0"/>
        <v>0</v>
      </c>
      <c r="Q51" s="7" t="str">
        <f>INDEX(Кат!$I:$I,MATCH($A51,Кат!$A:$A,0))</f>
        <v>ТЕХНОРЕССОР</v>
      </c>
    </row>
    <row r="52" spans="1:17" ht="75" x14ac:dyDescent="0.25">
      <c r="A52" s="112">
        <v>201865</v>
      </c>
      <c r="B52" s="112">
        <v>3334</v>
      </c>
      <c r="C52" s="113" t="s">
        <v>513</v>
      </c>
      <c r="D52" s="113" t="s">
        <v>199</v>
      </c>
      <c r="E52" s="113"/>
      <c r="F52" s="113" t="s">
        <v>168</v>
      </c>
      <c r="G52" s="113"/>
      <c r="H52" s="113"/>
      <c r="I52" s="113" t="s">
        <v>65</v>
      </c>
      <c r="J52" s="114">
        <v>3550</v>
      </c>
      <c r="K52" s="114">
        <v>4690</v>
      </c>
      <c r="L52" s="113"/>
      <c r="M52" s="113" t="s">
        <v>201</v>
      </c>
      <c r="N52" s="113"/>
      <c r="O52" s="113" t="s">
        <v>199</v>
      </c>
      <c r="P52" s="7" t="str">
        <f t="shared" si="0"/>
        <v>0</v>
      </c>
      <c r="Q52" s="7" t="str">
        <f>INDEX(Кат!$I:$I,MATCH($A52,Кат!$A:$A,0))</f>
        <v>ТЕХНОРЕССОР</v>
      </c>
    </row>
    <row r="53" spans="1:17" ht="45" x14ac:dyDescent="0.25">
      <c r="A53" s="112">
        <v>201869</v>
      </c>
      <c r="B53" s="112">
        <v>3384</v>
      </c>
      <c r="C53" s="113" t="s">
        <v>514</v>
      </c>
      <c r="D53" s="113" t="s">
        <v>199</v>
      </c>
      <c r="E53" s="113"/>
      <c r="F53" s="113" t="s">
        <v>170</v>
      </c>
      <c r="G53" s="113"/>
      <c r="H53" s="113"/>
      <c r="I53" s="113" t="s">
        <v>65</v>
      </c>
      <c r="J53" s="114">
        <v>2200</v>
      </c>
      <c r="K53" s="114">
        <v>2990</v>
      </c>
      <c r="L53" s="113"/>
      <c r="M53" s="113" t="s">
        <v>201</v>
      </c>
      <c r="N53" s="113"/>
      <c r="O53" s="113" t="s">
        <v>199</v>
      </c>
      <c r="P53" s="7" t="str">
        <f t="shared" si="0"/>
        <v>0</v>
      </c>
      <c r="Q53" s="7" t="str">
        <f>INDEX(Кат!$I:$I,MATCH($A53,Кат!$A:$A,0))</f>
        <v>ТЕХНОРЕССОР</v>
      </c>
    </row>
    <row r="54" spans="1:17" ht="30" x14ac:dyDescent="0.25">
      <c r="A54" s="112">
        <v>201872</v>
      </c>
      <c r="B54" s="112">
        <v>3397</v>
      </c>
      <c r="C54" s="113" t="s">
        <v>515</v>
      </c>
      <c r="D54" s="113" t="s">
        <v>199</v>
      </c>
      <c r="E54" s="113"/>
      <c r="F54" s="113" t="s">
        <v>170</v>
      </c>
      <c r="G54" s="113"/>
      <c r="H54" s="113"/>
      <c r="I54" s="113" t="s">
        <v>65</v>
      </c>
      <c r="J54" s="114">
        <v>2200</v>
      </c>
      <c r="K54" s="114">
        <v>2890</v>
      </c>
      <c r="L54" s="113"/>
      <c r="M54" s="113" t="s">
        <v>201</v>
      </c>
      <c r="N54" s="113"/>
      <c r="O54" s="113" t="s">
        <v>199</v>
      </c>
      <c r="P54" s="7" t="str">
        <f t="shared" si="0"/>
        <v>0</v>
      </c>
      <c r="Q54" s="7" t="str">
        <f>INDEX(Кат!$I:$I,MATCH($A54,Кат!$A:$A,0))</f>
        <v>ТЕХНОРЕССОР</v>
      </c>
    </row>
    <row r="55" spans="1:17" ht="30" x14ac:dyDescent="0.25">
      <c r="A55" s="112">
        <v>145472</v>
      </c>
      <c r="B55" s="112">
        <v>3359</v>
      </c>
      <c r="C55" s="113" t="s">
        <v>516</v>
      </c>
      <c r="D55" s="113" t="s">
        <v>199</v>
      </c>
      <c r="E55" s="113"/>
      <c r="F55" s="113" t="s">
        <v>170</v>
      </c>
      <c r="G55" s="113"/>
      <c r="H55" s="113"/>
      <c r="I55" s="113" t="s">
        <v>65</v>
      </c>
      <c r="J55" s="114">
        <v>2200</v>
      </c>
      <c r="K55" s="114">
        <v>2890</v>
      </c>
      <c r="L55" s="113"/>
      <c r="M55" s="113" t="s">
        <v>201</v>
      </c>
      <c r="N55" s="113"/>
      <c r="O55" s="113" t="s">
        <v>199</v>
      </c>
      <c r="P55" s="7" t="str">
        <f t="shared" si="0"/>
        <v>0</v>
      </c>
      <c r="Q55" s="7" t="str">
        <f>INDEX(Кат!$I:$I,MATCH($A55,Кат!$A:$A,0))</f>
        <v>ТЕХНОРЕССОР</v>
      </c>
    </row>
    <row r="56" spans="1:17" ht="45" x14ac:dyDescent="0.25">
      <c r="A56" s="112">
        <v>201936</v>
      </c>
      <c r="B56" s="112">
        <v>27099</v>
      </c>
      <c r="C56" s="113" t="s">
        <v>517</v>
      </c>
      <c r="D56" s="113" t="s">
        <v>199</v>
      </c>
      <c r="E56" s="113"/>
      <c r="F56" s="113" t="s">
        <v>173</v>
      </c>
      <c r="G56" s="113"/>
      <c r="H56" s="113"/>
      <c r="I56" s="113" t="s">
        <v>65</v>
      </c>
      <c r="J56" s="114">
        <v>2150</v>
      </c>
      <c r="K56" s="114">
        <v>3290</v>
      </c>
      <c r="L56" s="113" t="s">
        <v>245</v>
      </c>
      <c r="M56" s="113" t="s">
        <v>201</v>
      </c>
      <c r="N56" s="113"/>
      <c r="O56" s="113" t="s">
        <v>199</v>
      </c>
      <c r="P56" s="7" t="str">
        <f t="shared" si="0"/>
        <v>0</v>
      </c>
      <c r="Q56" s="7" t="str">
        <f>INDEX(Кат!$I:$I,MATCH($A56,Кат!$A:$A,0))</f>
        <v>ТЕХНОРЕССОР</v>
      </c>
    </row>
    <row r="57" spans="1:17" ht="45" x14ac:dyDescent="0.25">
      <c r="A57" s="112">
        <v>201937</v>
      </c>
      <c r="B57" s="112">
        <v>27097</v>
      </c>
      <c r="C57" s="113" t="s">
        <v>518</v>
      </c>
      <c r="D57" s="113" t="s">
        <v>199</v>
      </c>
      <c r="E57" s="113"/>
      <c r="F57" s="113" t="s">
        <v>172</v>
      </c>
      <c r="G57" s="113"/>
      <c r="H57" s="113"/>
      <c r="I57" s="113" t="s">
        <v>65</v>
      </c>
      <c r="J57" s="114">
        <v>2050</v>
      </c>
      <c r="K57" s="114">
        <v>2690</v>
      </c>
      <c r="L57" s="113"/>
      <c r="M57" s="113" t="s">
        <v>201</v>
      </c>
      <c r="N57" s="113"/>
      <c r="O57" s="113" t="s">
        <v>199</v>
      </c>
      <c r="P57" s="7" t="str">
        <f t="shared" si="0"/>
        <v>0</v>
      </c>
      <c r="Q57" s="7" t="str">
        <f>INDEX(Кат!$I:$I,MATCH($A57,Кат!$A:$A,0))</f>
        <v>ТЕХНОРЕССОР</v>
      </c>
    </row>
    <row r="58" spans="1:17" ht="45" x14ac:dyDescent="0.25">
      <c r="A58" s="112">
        <v>201938</v>
      </c>
      <c r="B58" s="112">
        <v>27101</v>
      </c>
      <c r="C58" s="113" t="s">
        <v>519</v>
      </c>
      <c r="D58" s="113" t="s">
        <v>199</v>
      </c>
      <c r="E58" s="113"/>
      <c r="F58" s="113" t="s">
        <v>175</v>
      </c>
      <c r="G58" s="113"/>
      <c r="H58" s="113"/>
      <c r="I58" s="113" t="s">
        <v>65</v>
      </c>
      <c r="J58" s="114">
        <v>2500</v>
      </c>
      <c r="K58" s="114">
        <v>3290</v>
      </c>
      <c r="L58" s="113"/>
      <c r="M58" s="113" t="s">
        <v>201</v>
      </c>
      <c r="N58" s="113"/>
      <c r="O58" s="113" t="s">
        <v>199</v>
      </c>
      <c r="P58" s="7" t="str">
        <f t="shared" si="0"/>
        <v>0</v>
      </c>
      <c r="Q58" s="7" t="str">
        <f>INDEX(Кат!$I:$I,MATCH($A58,Кат!$A:$A,0))</f>
        <v>ТЕХНОРЕССОР</v>
      </c>
    </row>
    <row r="59" spans="1:17" ht="60" x14ac:dyDescent="0.25">
      <c r="A59" s="112">
        <v>201923</v>
      </c>
      <c r="B59" s="112">
        <v>57092</v>
      </c>
      <c r="C59" s="113" t="s">
        <v>520</v>
      </c>
      <c r="D59" s="113" t="s">
        <v>199</v>
      </c>
      <c r="E59" s="113"/>
      <c r="F59" s="113" t="s">
        <v>177</v>
      </c>
      <c r="G59" s="113"/>
      <c r="H59" s="113" t="s">
        <v>82</v>
      </c>
      <c r="I59" s="113" t="s">
        <v>65</v>
      </c>
      <c r="J59" s="114">
        <v>2500</v>
      </c>
      <c r="K59" s="114">
        <v>3290</v>
      </c>
      <c r="L59" s="113"/>
      <c r="M59" s="113" t="s">
        <v>201</v>
      </c>
      <c r="N59" s="113"/>
      <c r="O59" s="113" t="s">
        <v>199</v>
      </c>
      <c r="P59" s="7" t="str">
        <f t="shared" si="0"/>
        <v>0</v>
      </c>
      <c r="Q59" s="7" t="str">
        <f>INDEX(Кат!$I:$I,MATCH($A59,Кат!$A:$A,0))</f>
        <v>ТЕХНОРЕССОР</v>
      </c>
    </row>
    <row r="60" spans="1:17" ht="45" x14ac:dyDescent="0.25">
      <c r="A60" s="112">
        <v>444130</v>
      </c>
      <c r="B60" s="112">
        <v>444130</v>
      </c>
      <c r="C60" s="113" t="s">
        <v>521</v>
      </c>
      <c r="D60" s="113" t="s">
        <v>199</v>
      </c>
      <c r="E60" s="113"/>
      <c r="F60" s="113"/>
      <c r="G60" s="113"/>
      <c r="H60" s="113"/>
      <c r="I60" s="113" t="s">
        <v>65</v>
      </c>
      <c r="J60" s="114">
        <v>3800</v>
      </c>
      <c r="K60" s="114">
        <v>5090</v>
      </c>
      <c r="L60" s="113"/>
      <c r="M60" s="113" t="s">
        <v>2</v>
      </c>
      <c r="N60" s="113"/>
      <c r="O60" s="113" t="s">
        <v>199</v>
      </c>
      <c r="P60" s="7" t="str">
        <f t="shared" si="0"/>
        <v>1</v>
      </c>
      <c r="Q60" s="7" t="str">
        <f>INDEX(Кат!$I:$I,MATCH($A60,Кат!$A:$A,0))</f>
        <v>ТЕХНОРЕССОР</v>
      </c>
    </row>
    <row r="61" spans="1:17" ht="45" x14ac:dyDescent="0.25">
      <c r="A61" s="112">
        <v>444147</v>
      </c>
      <c r="B61" s="112">
        <v>444147</v>
      </c>
      <c r="C61" s="113" t="s">
        <v>522</v>
      </c>
      <c r="D61" s="113" t="s">
        <v>199</v>
      </c>
      <c r="E61" s="113"/>
      <c r="F61" s="113"/>
      <c r="G61" s="113"/>
      <c r="H61" s="113"/>
      <c r="I61" s="113" t="s">
        <v>65</v>
      </c>
      <c r="J61" s="114">
        <v>3800</v>
      </c>
      <c r="K61" s="114">
        <v>5090</v>
      </c>
      <c r="L61" s="113"/>
      <c r="M61" s="113" t="s">
        <v>2</v>
      </c>
      <c r="N61" s="113"/>
      <c r="O61" s="113"/>
      <c r="P61" s="7" t="str">
        <f t="shared" si="0"/>
        <v>1</v>
      </c>
      <c r="Q61" s="7" t="str">
        <f>INDEX(Кат!$I:$I,MATCH($A61,Кат!$A:$A,0))</f>
        <v>ТЕХНОРЕССОР</v>
      </c>
    </row>
    <row r="62" spans="1:17" ht="60" x14ac:dyDescent="0.25">
      <c r="A62" s="112">
        <v>444160</v>
      </c>
      <c r="B62" s="112">
        <v>444160</v>
      </c>
      <c r="C62" s="113" t="s">
        <v>523</v>
      </c>
      <c r="D62" s="113" t="s">
        <v>199</v>
      </c>
      <c r="E62" s="113"/>
      <c r="F62" s="113"/>
      <c r="G62" s="113"/>
      <c r="H62" s="113"/>
      <c r="I62" s="113" t="s">
        <v>65</v>
      </c>
      <c r="J62" s="114">
        <v>3800</v>
      </c>
      <c r="K62" s="114">
        <v>5090</v>
      </c>
      <c r="L62" s="113"/>
      <c r="M62" s="113" t="s">
        <v>2</v>
      </c>
      <c r="N62" s="113"/>
      <c r="O62" s="113"/>
      <c r="P62" s="7" t="str">
        <f t="shared" si="0"/>
        <v>1</v>
      </c>
      <c r="Q62" s="7" t="str">
        <f>INDEX(Кат!$I:$I,MATCH($A62,Кат!$A:$A,0))</f>
        <v>ТЕХНОРЕССОР</v>
      </c>
    </row>
    <row r="63" spans="1:17" ht="45" x14ac:dyDescent="0.25">
      <c r="A63" s="112">
        <v>187452</v>
      </c>
      <c r="B63" s="112">
        <v>16492</v>
      </c>
      <c r="C63" s="113" t="s">
        <v>524</v>
      </c>
      <c r="D63" s="113" t="s">
        <v>199</v>
      </c>
      <c r="E63" s="113"/>
      <c r="F63" s="113"/>
      <c r="G63" s="113"/>
      <c r="H63" s="113"/>
      <c r="I63" s="113" t="s">
        <v>65</v>
      </c>
      <c r="J63" s="114">
        <v>2550</v>
      </c>
      <c r="K63" s="114">
        <v>4390</v>
      </c>
      <c r="L63" s="113" t="s">
        <v>259</v>
      </c>
      <c r="M63" s="113" t="s">
        <v>2</v>
      </c>
      <c r="N63" s="113"/>
      <c r="O63" s="113"/>
      <c r="P63" s="7" t="str">
        <f t="shared" si="0"/>
        <v>1</v>
      </c>
      <c r="Q63" s="7" t="str">
        <f>INDEX(Кат!$I:$I,MATCH($A63,Кат!$A:$A,0))</f>
        <v>ТЕХНОРЕССОР</v>
      </c>
    </row>
    <row r="64" spans="1:17" ht="45" x14ac:dyDescent="0.25">
      <c r="A64" s="112">
        <v>201998</v>
      </c>
      <c r="B64" s="112">
        <v>3409</v>
      </c>
      <c r="C64" s="113" t="s">
        <v>525</v>
      </c>
      <c r="D64" s="113" t="s">
        <v>199</v>
      </c>
      <c r="E64" s="113"/>
      <c r="F64" s="113"/>
      <c r="G64" s="113"/>
      <c r="H64" s="113"/>
      <c r="I64" s="113" t="s">
        <v>65</v>
      </c>
      <c r="J64" s="114">
        <v>2650</v>
      </c>
      <c r="K64" s="114">
        <v>4190</v>
      </c>
      <c r="L64" s="113" t="s">
        <v>236</v>
      </c>
      <c r="M64" s="113" t="s">
        <v>2</v>
      </c>
      <c r="N64" s="113"/>
      <c r="O64" s="113"/>
      <c r="P64" s="7" t="str">
        <f t="shared" si="0"/>
        <v>1</v>
      </c>
      <c r="Q64" s="7" t="str">
        <f>INDEX(Кат!$I:$I,MATCH($A64,Кат!$A:$A,0))</f>
        <v>ТЕХНОРЕССОР</v>
      </c>
    </row>
    <row r="65" spans="1:17" ht="60" x14ac:dyDescent="0.25">
      <c r="A65" s="112">
        <v>187444</v>
      </c>
      <c r="B65" s="112">
        <v>16488</v>
      </c>
      <c r="C65" s="113" t="s">
        <v>526</v>
      </c>
      <c r="D65" s="113" t="s">
        <v>199</v>
      </c>
      <c r="E65" s="113"/>
      <c r="F65" s="113"/>
      <c r="G65" s="113"/>
      <c r="H65" s="113"/>
      <c r="I65" s="113" t="s">
        <v>65</v>
      </c>
      <c r="J65" s="114">
        <v>2650</v>
      </c>
      <c r="K65" s="114">
        <v>3490</v>
      </c>
      <c r="L65" s="113" t="s">
        <v>244</v>
      </c>
      <c r="M65" s="113" t="s">
        <v>2</v>
      </c>
      <c r="N65" s="113"/>
      <c r="O65" s="113"/>
      <c r="P65" s="7" t="str">
        <f t="shared" si="0"/>
        <v>1</v>
      </c>
      <c r="Q65" s="7" t="str">
        <f>INDEX(Кат!$I:$I,MATCH($A65,Кат!$A:$A,0))</f>
        <v>ТЕХНОРЕССОР</v>
      </c>
    </row>
    <row r="66" spans="1:17" ht="60" x14ac:dyDescent="0.25">
      <c r="A66" s="112">
        <v>201966</v>
      </c>
      <c r="B66" s="112">
        <v>16533</v>
      </c>
      <c r="C66" s="113" t="s">
        <v>527</v>
      </c>
      <c r="D66" s="113" t="s">
        <v>199</v>
      </c>
      <c r="E66" s="113"/>
      <c r="F66" s="113"/>
      <c r="G66" s="113"/>
      <c r="H66" s="113"/>
      <c r="I66" s="113" t="s">
        <v>65</v>
      </c>
      <c r="J66" s="114">
        <v>2550</v>
      </c>
      <c r="K66" s="114">
        <v>4190</v>
      </c>
      <c r="L66" s="113" t="s">
        <v>242</v>
      </c>
      <c r="M66" s="113" t="s">
        <v>2</v>
      </c>
      <c r="N66" s="113"/>
      <c r="O66" s="113"/>
      <c r="P66" s="7" t="str">
        <f t="shared" ref="P66:P129" si="1">_xlfn.CONCAT(M66,IF(N66&lt;&gt;"",_xlfn.CONCAT("ск",N66),""))</f>
        <v>1</v>
      </c>
      <c r="Q66" s="7" t="str">
        <f>INDEX(Кат!$I:$I,MATCH($A66,Кат!$A:$A,0))</f>
        <v>ТЕХНОРЕССОР</v>
      </c>
    </row>
    <row r="67" spans="1:17" ht="45" x14ac:dyDescent="0.25">
      <c r="A67" s="112">
        <v>201967</v>
      </c>
      <c r="B67" s="112">
        <v>9995</v>
      </c>
      <c r="C67" s="113" t="s">
        <v>528</v>
      </c>
      <c r="D67" s="113" t="s">
        <v>199</v>
      </c>
      <c r="E67" s="113"/>
      <c r="F67" s="113"/>
      <c r="G67" s="113"/>
      <c r="H67" s="113"/>
      <c r="I67" s="113" t="s">
        <v>65</v>
      </c>
      <c r="J67" s="114">
        <v>4000</v>
      </c>
      <c r="K67" s="114">
        <v>5990</v>
      </c>
      <c r="L67" s="113" t="s">
        <v>262</v>
      </c>
      <c r="M67" s="113" t="s">
        <v>2</v>
      </c>
      <c r="N67" s="113"/>
      <c r="O67" s="113"/>
      <c r="P67" s="7" t="str">
        <f t="shared" si="1"/>
        <v>1</v>
      </c>
      <c r="Q67" s="7" t="str">
        <f>INDEX(Кат!$I:$I,MATCH($A67,Кат!$A:$A,0))</f>
        <v>ТЕХНОРЕССОР</v>
      </c>
    </row>
    <row r="68" spans="1:17" ht="45" x14ac:dyDescent="0.25">
      <c r="A68" s="112">
        <v>201968</v>
      </c>
      <c r="B68" s="112">
        <v>24731</v>
      </c>
      <c r="C68" s="113" t="s">
        <v>529</v>
      </c>
      <c r="D68" s="113" t="s">
        <v>199</v>
      </c>
      <c r="E68" s="113"/>
      <c r="F68" s="113"/>
      <c r="G68" s="113"/>
      <c r="H68" s="113"/>
      <c r="I68" s="113" t="s">
        <v>65</v>
      </c>
      <c r="J68" s="114">
        <v>4000</v>
      </c>
      <c r="K68" s="114">
        <v>5290</v>
      </c>
      <c r="L68" s="113" t="s">
        <v>263</v>
      </c>
      <c r="M68" s="113" t="s">
        <v>2</v>
      </c>
      <c r="N68" s="113"/>
      <c r="O68" s="113"/>
      <c r="P68" s="7" t="str">
        <f t="shared" si="1"/>
        <v>1</v>
      </c>
      <c r="Q68" s="7" t="str">
        <f>INDEX(Кат!$I:$I,MATCH($A68,Кат!$A:$A,0))</f>
        <v>ТЕХНОРЕССОР</v>
      </c>
    </row>
    <row r="69" spans="1:17" ht="60" x14ac:dyDescent="0.25">
      <c r="A69" s="112">
        <v>201969</v>
      </c>
      <c r="B69" s="112">
        <v>16647</v>
      </c>
      <c r="C69" s="113" t="s">
        <v>530</v>
      </c>
      <c r="D69" s="113" t="s">
        <v>199</v>
      </c>
      <c r="E69" s="113"/>
      <c r="F69" s="113"/>
      <c r="G69" s="113"/>
      <c r="H69" s="113"/>
      <c r="I69" s="113" t="s">
        <v>65</v>
      </c>
      <c r="J69" s="114">
        <v>3350</v>
      </c>
      <c r="K69" s="114">
        <v>5690</v>
      </c>
      <c r="L69" s="113" t="s">
        <v>251</v>
      </c>
      <c r="M69" s="113" t="s">
        <v>2</v>
      </c>
      <c r="N69" s="113"/>
      <c r="O69" s="113"/>
      <c r="P69" s="7" t="str">
        <f t="shared" si="1"/>
        <v>1</v>
      </c>
      <c r="Q69" s="7" t="str">
        <f>INDEX(Кат!$I:$I,MATCH($A69,Кат!$A:$A,0))</f>
        <v>ТЕХНОРЕССОР</v>
      </c>
    </row>
    <row r="70" spans="1:17" ht="45" x14ac:dyDescent="0.25">
      <c r="A70" s="112">
        <v>201970</v>
      </c>
      <c r="B70" s="112">
        <v>20138</v>
      </c>
      <c r="C70" s="113" t="s">
        <v>531</v>
      </c>
      <c r="D70" s="113" t="s">
        <v>199</v>
      </c>
      <c r="E70" s="113"/>
      <c r="F70" s="113"/>
      <c r="G70" s="113"/>
      <c r="H70" s="113"/>
      <c r="I70" s="113" t="s">
        <v>65</v>
      </c>
      <c r="J70" s="114">
        <v>3900</v>
      </c>
      <c r="K70" s="114">
        <v>5190</v>
      </c>
      <c r="L70" s="113" t="s">
        <v>264</v>
      </c>
      <c r="M70" s="113" t="s">
        <v>2</v>
      </c>
      <c r="N70" s="113"/>
      <c r="O70" s="113"/>
      <c r="P70" s="7" t="str">
        <f t="shared" si="1"/>
        <v>1</v>
      </c>
      <c r="Q70" s="7" t="str">
        <f>INDEX(Кат!$I:$I,MATCH($A70,Кат!$A:$A,0))</f>
        <v>ТЕХНОРЕССОР</v>
      </c>
    </row>
    <row r="71" spans="1:17" ht="45" x14ac:dyDescent="0.25">
      <c r="A71" s="112">
        <v>443467</v>
      </c>
      <c r="B71" s="112">
        <v>108587</v>
      </c>
      <c r="C71" s="113" t="s">
        <v>532</v>
      </c>
      <c r="D71" s="113" t="s">
        <v>199</v>
      </c>
      <c r="E71" s="113"/>
      <c r="F71" s="113"/>
      <c r="G71" s="113"/>
      <c r="H71" s="113"/>
      <c r="I71" s="113" t="s">
        <v>65</v>
      </c>
      <c r="J71" s="114">
        <v>2550</v>
      </c>
      <c r="K71" s="114">
        <v>3390</v>
      </c>
      <c r="L71" s="113" t="s">
        <v>283</v>
      </c>
      <c r="M71" s="113" t="s">
        <v>2</v>
      </c>
      <c r="N71" s="113" t="s">
        <v>79</v>
      </c>
      <c r="O71" s="113"/>
      <c r="P71" s="7" t="str">
        <f t="shared" si="1"/>
        <v>1ск4</v>
      </c>
      <c r="Q71" s="7" t="str">
        <f>INDEX(Кат!$I:$I,MATCH($A71,Кат!$A:$A,0))</f>
        <v>ТЕХНОРЕССОР</v>
      </c>
    </row>
    <row r="72" spans="1:17" ht="60" x14ac:dyDescent="0.25">
      <c r="A72" s="112">
        <v>443585</v>
      </c>
      <c r="B72" s="112">
        <v>108757</v>
      </c>
      <c r="C72" s="113" t="s">
        <v>533</v>
      </c>
      <c r="D72" s="113" t="s">
        <v>199</v>
      </c>
      <c r="E72" s="113"/>
      <c r="F72" s="113"/>
      <c r="G72" s="113"/>
      <c r="H72" s="113"/>
      <c r="I72" s="113" t="s">
        <v>65</v>
      </c>
      <c r="J72" s="114">
        <v>2650</v>
      </c>
      <c r="K72" s="114">
        <v>3890</v>
      </c>
      <c r="L72" s="113" t="s">
        <v>273</v>
      </c>
      <c r="M72" s="113" t="s">
        <v>2</v>
      </c>
      <c r="N72" s="113"/>
      <c r="O72" s="113"/>
      <c r="P72" s="7" t="str">
        <f t="shared" si="1"/>
        <v>1</v>
      </c>
      <c r="Q72" s="7" t="str">
        <f>INDEX(Кат!$I:$I,MATCH($A72,Кат!$A:$A,0))</f>
        <v>ТЕХНОРЕССОР</v>
      </c>
    </row>
    <row r="73" spans="1:17" ht="45" x14ac:dyDescent="0.25">
      <c r="A73" s="112">
        <v>443723</v>
      </c>
      <c r="B73" s="112">
        <v>108823</v>
      </c>
      <c r="C73" s="113" t="s">
        <v>534</v>
      </c>
      <c r="D73" s="113" t="s">
        <v>199</v>
      </c>
      <c r="E73" s="113"/>
      <c r="F73" s="113"/>
      <c r="G73" s="113"/>
      <c r="H73" s="113"/>
      <c r="I73" s="113" t="s">
        <v>65</v>
      </c>
      <c r="J73" s="114">
        <v>4000</v>
      </c>
      <c r="K73" s="114">
        <v>5290</v>
      </c>
      <c r="L73" s="113"/>
      <c r="M73" s="113" t="s">
        <v>2</v>
      </c>
      <c r="N73" s="113"/>
      <c r="O73" s="113"/>
      <c r="P73" s="7" t="str">
        <f t="shared" si="1"/>
        <v>1</v>
      </c>
      <c r="Q73" s="7" t="str">
        <f>INDEX(Кат!$I:$I,MATCH($A73,Кат!$A:$A,0))</f>
        <v>ТЕХНОРЕССОР</v>
      </c>
    </row>
    <row r="74" spans="1:17" ht="60" x14ac:dyDescent="0.25">
      <c r="A74" s="112">
        <v>443689</v>
      </c>
      <c r="B74" s="112">
        <v>108802</v>
      </c>
      <c r="C74" s="113" t="s">
        <v>535</v>
      </c>
      <c r="D74" s="113" t="s">
        <v>199</v>
      </c>
      <c r="E74" s="113"/>
      <c r="F74" s="113"/>
      <c r="G74" s="113"/>
      <c r="H74" s="113"/>
      <c r="I74" s="113" t="s">
        <v>65</v>
      </c>
      <c r="J74" s="114">
        <v>3350</v>
      </c>
      <c r="K74" s="114">
        <v>5090</v>
      </c>
      <c r="L74" s="113" t="s">
        <v>298</v>
      </c>
      <c r="M74" s="113" t="s">
        <v>2</v>
      </c>
      <c r="N74" s="113"/>
      <c r="O74" s="113"/>
      <c r="P74" s="7" t="str">
        <f t="shared" si="1"/>
        <v>1</v>
      </c>
      <c r="Q74" s="7" t="str">
        <f>INDEX(Кат!$I:$I,MATCH($A74,Кат!$A:$A,0))</f>
        <v>ТЕХНОРЕССОР</v>
      </c>
    </row>
    <row r="75" spans="1:17" ht="45" x14ac:dyDescent="0.25">
      <c r="A75" s="112">
        <v>443468</v>
      </c>
      <c r="B75" s="112">
        <v>108583</v>
      </c>
      <c r="C75" s="113" t="s">
        <v>536</v>
      </c>
      <c r="D75" s="113" t="s">
        <v>199</v>
      </c>
      <c r="E75" s="113"/>
      <c r="F75" s="113"/>
      <c r="G75" s="113"/>
      <c r="H75" s="113"/>
      <c r="I75" s="113" t="s">
        <v>65</v>
      </c>
      <c r="J75" s="114">
        <v>2550</v>
      </c>
      <c r="K75" s="114">
        <v>3890</v>
      </c>
      <c r="L75" s="113" t="s">
        <v>284</v>
      </c>
      <c r="M75" s="113" t="s">
        <v>2</v>
      </c>
      <c r="N75" s="113"/>
      <c r="O75" s="113"/>
      <c r="P75" s="7" t="str">
        <f t="shared" si="1"/>
        <v>1</v>
      </c>
      <c r="Q75" s="7" t="str">
        <f>INDEX(Кат!$I:$I,MATCH($A75,Кат!$A:$A,0))</f>
        <v>ТЕХНОРЕССОР</v>
      </c>
    </row>
    <row r="76" spans="1:17" ht="60" x14ac:dyDescent="0.25">
      <c r="A76" s="112">
        <v>443586</v>
      </c>
      <c r="B76" s="112">
        <v>108753</v>
      </c>
      <c r="C76" s="113" t="s">
        <v>537</v>
      </c>
      <c r="D76" s="113" t="s">
        <v>199</v>
      </c>
      <c r="E76" s="113"/>
      <c r="F76" s="113"/>
      <c r="G76" s="113"/>
      <c r="H76" s="113"/>
      <c r="I76" s="113" t="s">
        <v>65</v>
      </c>
      <c r="J76" s="114">
        <v>2650</v>
      </c>
      <c r="K76" s="114">
        <v>4190</v>
      </c>
      <c r="L76" s="113" t="s">
        <v>274</v>
      </c>
      <c r="M76" s="113" t="s">
        <v>2</v>
      </c>
      <c r="N76" s="113"/>
      <c r="O76" s="113"/>
      <c r="P76" s="7" t="str">
        <f t="shared" si="1"/>
        <v>1</v>
      </c>
      <c r="Q76" s="7" t="str">
        <f>INDEX(Кат!$I:$I,MATCH($A76,Кат!$A:$A,0))</f>
        <v>ТЕХНОРЕССОР</v>
      </c>
    </row>
    <row r="77" spans="1:17" ht="45" x14ac:dyDescent="0.25">
      <c r="A77" s="112">
        <v>443971</v>
      </c>
      <c r="B77" s="112">
        <v>108803</v>
      </c>
      <c r="C77" s="113" t="s">
        <v>538</v>
      </c>
      <c r="D77" s="113" t="s">
        <v>199</v>
      </c>
      <c r="E77" s="113"/>
      <c r="F77" s="113"/>
      <c r="G77" s="113"/>
      <c r="H77" s="113"/>
      <c r="I77" s="113" t="s">
        <v>65</v>
      </c>
      <c r="J77" s="114">
        <v>4000</v>
      </c>
      <c r="K77" s="114">
        <v>6290</v>
      </c>
      <c r="L77" s="113" t="s">
        <v>291</v>
      </c>
      <c r="M77" s="113" t="s">
        <v>2</v>
      </c>
      <c r="N77" s="113" t="s">
        <v>79</v>
      </c>
      <c r="O77" s="113"/>
      <c r="P77" s="7" t="str">
        <f t="shared" si="1"/>
        <v>1ск4</v>
      </c>
      <c r="Q77" s="7" t="str">
        <f>INDEX(Кат!$I:$I,MATCH($A77,Кат!$A:$A,0))</f>
        <v>ТЕХНОРЕССОР</v>
      </c>
    </row>
    <row r="78" spans="1:17" ht="45" x14ac:dyDescent="0.25">
      <c r="A78" s="112">
        <v>443724</v>
      </c>
      <c r="B78" s="112">
        <v>108819</v>
      </c>
      <c r="C78" s="113" t="s">
        <v>539</v>
      </c>
      <c r="D78" s="113" t="s">
        <v>199</v>
      </c>
      <c r="E78" s="113"/>
      <c r="F78" s="113"/>
      <c r="G78" s="113"/>
      <c r="H78" s="113"/>
      <c r="I78" s="113" t="s">
        <v>65</v>
      </c>
      <c r="J78" s="114">
        <v>4500</v>
      </c>
      <c r="K78" s="114">
        <v>6290</v>
      </c>
      <c r="L78" s="113" t="s">
        <v>294</v>
      </c>
      <c r="M78" s="113" t="s">
        <v>2</v>
      </c>
      <c r="N78" s="113"/>
      <c r="O78" s="113"/>
      <c r="P78" s="7" t="str">
        <f t="shared" si="1"/>
        <v>1</v>
      </c>
      <c r="Q78" s="7" t="str">
        <f>INDEX(Кат!$I:$I,MATCH($A78,Кат!$A:$A,0))</f>
        <v>ТЕХНОРЕССОР</v>
      </c>
    </row>
    <row r="79" spans="1:17" ht="60" x14ac:dyDescent="0.25">
      <c r="A79" s="112">
        <v>443690</v>
      </c>
      <c r="B79" s="112">
        <v>108798</v>
      </c>
      <c r="C79" s="113" t="s">
        <v>540</v>
      </c>
      <c r="D79" s="113" t="s">
        <v>199</v>
      </c>
      <c r="E79" s="113"/>
      <c r="F79" s="113"/>
      <c r="G79" s="113"/>
      <c r="H79" s="113"/>
      <c r="I79" s="113" t="s">
        <v>65</v>
      </c>
      <c r="J79" s="114">
        <v>3350</v>
      </c>
      <c r="K79" s="114">
        <v>5090</v>
      </c>
      <c r="L79" s="113" t="s">
        <v>299</v>
      </c>
      <c r="M79" s="113" t="s">
        <v>2</v>
      </c>
      <c r="N79" s="113"/>
      <c r="O79" s="113"/>
      <c r="P79" s="7" t="str">
        <f t="shared" si="1"/>
        <v>1</v>
      </c>
      <c r="Q79" s="7" t="str">
        <f>INDEX(Кат!$I:$I,MATCH($A79,Кат!$A:$A,0))</f>
        <v>ТЕХНОРЕССОР</v>
      </c>
    </row>
    <row r="80" spans="1:17" ht="45" x14ac:dyDescent="0.25">
      <c r="A80" s="112">
        <v>443469</v>
      </c>
      <c r="B80" s="112">
        <v>108584</v>
      </c>
      <c r="C80" s="113" t="s">
        <v>541</v>
      </c>
      <c r="D80" s="113" t="s">
        <v>199</v>
      </c>
      <c r="E80" s="113"/>
      <c r="F80" s="113"/>
      <c r="G80" s="113"/>
      <c r="H80" s="113"/>
      <c r="I80" s="113" t="s">
        <v>65</v>
      </c>
      <c r="J80" s="114">
        <v>2550</v>
      </c>
      <c r="K80" s="114">
        <v>4090</v>
      </c>
      <c r="L80" s="113" t="s">
        <v>285</v>
      </c>
      <c r="M80" s="113" t="s">
        <v>2</v>
      </c>
      <c r="N80" s="113"/>
      <c r="O80" s="113"/>
      <c r="P80" s="7" t="str">
        <f t="shared" si="1"/>
        <v>1</v>
      </c>
      <c r="Q80" s="7" t="str">
        <f>INDEX(Кат!$I:$I,MATCH($A80,Кат!$A:$A,0))</f>
        <v>ТЕХНОРЕССОР</v>
      </c>
    </row>
    <row r="81" spans="1:17" ht="60" x14ac:dyDescent="0.25">
      <c r="A81" s="112">
        <v>443587</v>
      </c>
      <c r="B81" s="112">
        <v>108754</v>
      </c>
      <c r="C81" s="113" t="s">
        <v>542</v>
      </c>
      <c r="D81" s="113" t="s">
        <v>199</v>
      </c>
      <c r="E81" s="113"/>
      <c r="F81" s="113"/>
      <c r="G81" s="113"/>
      <c r="H81" s="113"/>
      <c r="I81" s="113" t="s">
        <v>65</v>
      </c>
      <c r="J81" s="114">
        <v>2650</v>
      </c>
      <c r="K81" s="114">
        <v>3790</v>
      </c>
      <c r="L81" s="113" t="s">
        <v>275</v>
      </c>
      <c r="M81" s="113" t="s">
        <v>2</v>
      </c>
      <c r="N81" s="113" t="s">
        <v>79</v>
      </c>
      <c r="O81" s="113"/>
      <c r="P81" s="7" t="str">
        <f t="shared" si="1"/>
        <v>1ск4</v>
      </c>
      <c r="Q81" s="7" t="str">
        <f>INDEX(Кат!$I:$I,MATCH($A81,Кат!$A:$A,0))</f>
        <v>ТЕХНОРЕССОР</v>
      </c>
    </row>
    <row r="82" spans="1:17" ht="45" x14ac:dyDescent="0.25">
      <c r="A82" s="112">
        <v>443972</v>
      </c>
      <c r="B82" s="112">
        <v>108804</v>
      </c>
      <c r="C82" s="113" t="s">
        <v>543</v>
      </c>
      <c r="D82" s="113" t="s">
        <v>199</v>
      </c>
      <c r="E82" s="113"/>
      <c r="F82" s="113"/>
      <c r="G82" s="113"/>
      <c r="H82" s="113"/>
      <c r="I82" s="113" t="s">
        <v>65</v>
      </c>
      <c r="J82" s="114">
        <v>4000</v>
      </c>
      <c r="K82" s="114">
        <v>6990</v>
      </c>
      <c r="L82" s="113" t="s">
        <v>292</v>
      </c>
      <c r="M82" s="113" t="s">
        <v>2</v>
      </c>
      <c r="N82" s="113"/>
      <c r="O82" s="113"/>
      <c r="P82" s="7" t="str">
        <f t="shared" si="1"/>
        <v>1</v>
      </c>
      <c r="Q82" s="7" t="str">
        <f>INDEX(Кат!$I:$I,MATCH($A82,Кат!$A:$A,0))</f>
        <v>ТЕХНОРЕССОР</v>
      </c>
    </row>
    <row r="83" spans="1:17" ht="45" x14ac:dyDescent="0.25">
      <c r="A83" s="112">
        <v>443725</v>
      </c>
      <c r="B83" s="112">
        <v>108820</v>
      </c>
      <c r="C83" s="113" t="s">
        <v>544</v>
      </c>
      <c r="D83" s="113" t="s">
        <v>199</v>
      </c>
      <c r="E83" s="113"/>
      <c r="F83" s="113"/>
      <c r="G83" s="113"/>
      <c r="H83" s="113"/>
      <c r="I83" s="113" t="s">
        <v>65</v>
      </c>
      <c r="J83" s="114">
        <v>4500</v>
      </c>
      <c r="K83" s="114">
        <v>6490</v>
      </c>
      <c r="L83" s="113" t="s">
        <v>295</v>
      </c>
      <c r="M83" s="113" t="s">
        <v>2</v>
      </c>
      <c r="N83" s="113"/>
      <c r="O83" s="113"/>
      <c r="P83" s="7" t="str">
        <f t="shared" si="1"/>
        <v>1</v>
      </c>
      <c r="Q83" s="7" t="str">
        <f>INDEX(Кат!$I:$I,MATCH($A83,Кат!$A:$A,0))</f>
        <v>ТЕХНОРЕССОР</v>
      </c>
    </row>
    <row r="84" spans="1:17" ht="60" x14ac:dyDescent="0.25">
      <c r="A84" s="112">
        <v>443691</v>
      </c>
      <c r="B84" s="112">
        <v>108799</v>
      </c>
      <c r="C84" s="113" t="s">
        <v>545</v>
      </c>
      <c r="D84" s="113" t="s">
        <v>199</v>
      </c>
      <c r="E84" s="113"/>
      <c r="F84" s="113"/>
      <c r="G84" s="113"/>
      <c r="H84" s="113"/>
      <c r="I84" s="113" t="s">
        <v>65</v>
      </c>
      <c r="J84" s="114">
        <v>3350</v>
      </c>
      <c r="K84" s="114">
        <v>4890</v>
      </c>
      <c r="L84" s="113" t="s">
        <v>300</v>
      </c>
      <c r="M84" s="113" t="s">
        <v>2</v>
      </c>
      <c r="N84" s="113" t="s">
        <v>79</v>
      </c>
      <c r="O84" s="113"/>
      <c r="P84" s="7" t="str">
        <f t="shared" si="1"/>
        <v>1ск4</v>
      </c>
      <c r="Q84" s="7" t="str">
        <f>INDEX(Кат!$I:$I,MATCH($A84,Кат!$A:$A,0))</f>
        <v>ТЕХНОРЕССОР</v>
      </c>
    </row>
    <row r="85" spans="1:17" ht="45" x14ac:dyDescent="0.25">
      <c r="A85" s="112">
        <v>443470</v>
      </c>
      <c r="B85" s="112">
        <v>108585</v>
      </c>
      <c r="C85" s="113" t="s">
        <v>546</v>
      </c>
      <c r="D85" s="113" t="s">
        <v>199</v>
      </c>
      <c r="E85" s="113"/>
      <c r="F85" s="113"/>
      <c r="G85" s="113"/>
      <c r="H85" s="113"/>
      <c r="I85" s="113" t="s">
        <v>65</v>
      </c>
      <c r="J85" s="114">
        <v>2550</v>
      </c>
      <c r="K85" s="114">
        <v>4090</v>
      </c>
      <c r="L85" s="113" t="s">
        <v>286</v>
      </c>
      <c r="M85" s="113" t="s">
        <v>2</v>
      </c>
      <c r="N85" s="113" t="s">
        <v>79</v>
      </c>
      <c r="O85" s="113"/>
      <c r="P85" s="7" t="str">
        <f t="shared" si="1"/>
        <v>1ск4</v>
      </c>
      <c r="Q85" s="7" t="str">
        <f>INDEX(Кат!$I:$I,MATCH($A85,Кат!$A:$A,0))</f>
        <v>ТЕХНОРЕССОР</v>
      </c>
    </row>
    <row r="86" spans="1:17" ht="60" x14ac:dyDescent="0.25">
      <c r="A86" s="112">
        <v>443588</v>
      </c>
      <c r="B86" s="112">
        <v>108755</v>
      </c>
      <c r="C86" s="113" t="s">
        <v>547</v>
      </c>
      <c r="D86" s="113" t="s">
        <v>199</v>
      </c>
      <c r="E86" s="113"/>
      <c r="F86" s="113"/>
      <c r="G86" s="113"/>
      <c r="H86" s="113"/>
      <c r="I86" s="113" t="s">
        <v>65</v>
      </c>
      <c r="J86" s="114">
        <v>2650</v>
      </c>
      <c r="K86" s="114">
        <v>3790</v>
      </c>
      <c r="L86" s="113" t="s">
        <v>276</v>
      </c>
      <c r="M86" s="113" t="s">
        <v>2</v>
      </c>
      <c r="N86" s="113"/>
      <c r="O86" s="113"/>
      <c r="P86" s="7" t="str">
        <f t="shared" si="1"/>
        <v>1</v>
      </c>
      <c r="Q86" s="7" t="str">
        <f>INDEX(Кат!$I:$I,MATCH($A86,Кат!$A:$A,0))</f>
        <v>ТЕХНОРЕССОР</v>
      </c>
    </row>
    <row r="87" spans="1:17" ht="45" x14ac:dyDescent="0.25">
      <c r="A87" s="112">
        <v>443973</v>
      </c>
      <c r="B87" s="112">
        <v>108805</v>
      </c>
      <c r="C87" s="113" t="s">
        <v>548</v>
      </c>
      <c r="D87" s="113" t="s">
        <v>199</v>
      </c>
      <c r="E87" s="113"/>
      <c r="F87" s="113"/>
      <c r="G87" s="113"/>
      <c r="H87" s="113"/>
      <c r="I87" s="113" t="s">
        <v>65</v>
      </c>
      <c r="J87" s="114">
        <v>4000</v>
      </c>
      <c r="K87" s="114">
        <v>6490</v>
      </c>
      <c r="L87" s="113" t="s">
        <v>293</v>
      </c>
      <c r="M87" s="113" t="s">
        <v>2</v>
      </c>
      <c r="N87" s="113"/>
      <c r="O87" s="113"/>
      <c r="P87" s="7" t="str">
        <f t="shared" si="1"/>
        <v>1</v>
      </c>
      <c r="Q87" s="7" t="str">
        <f>INDEX(Кат!$I:$I,MATCH($A87,Кат!$A:$A,0))</f>
        <v>ТЕХНОРЕССОР</v>
      </c>
    </row>
    <row r="88" spans="1:17" ht="45" x14ac:dyDescent="0.25">
      <c r="A88" s="112">
        <v>443726</v>
      </c>
      <c r="B88" s="112">
        <v>108821</v>
      </c>
      <c r="C88" s="113" t="s">
        <v>549</v>
      </c>
      <c r="D88" s="113" t="s">
        <v>199</v>
      </c>
      <c r="E88" s="113"/>
      <c r="F88" s="113"/>
      <c r="G88" s="113"/>
      <c r="H88" s="113"/>
      <c r="I88" s="113" t="s">
        <v>65</v>
      </c>
      <c r="J88" s="114">
        <v>4500</v>
      </c>
      <c r="K88" s="114">
        <v>6490</v>
      </c>
      <c r="L88" s="113" t="s">
        <v>296</v>
      </c>
      <c r="M88" s="113" t="s">
        <v>2</v>
      </c>
      <c r="N88" s="113"/>
      <c r="O88" s="113"/>
      <c r="P88" s="7" t="str">
        <f t="shared" si="1"/>
        <v>1</v>
      </c>
      <c r="Q88" s="7" t="str">
        <f>INDEX(Кат!$I:$I,MATCH($A88,Кат!$A:$A,0))</f>
        <v>ТЕХНОРЕССОР</v>
      </c>
    </row>
    <row r="89" spans="1:17" ht="60" x14ac:dyDescent="0.25">
      <c r="A89" s="112">
        <v>443692</v>
      </c>
      <c r="B89" s="112">
        <v>108800</v>
      </c>
      <c r="C89" s="113" t="s">
        <v>550</v>
      </c>
      <c r="D89" s="113" t="s">
        <v>199</v>
      </c>
      <c r="E89" s="113"/>
      <c r="F89" s="113"/>
      <c r="G89" s="113"/>
      <c r="H89" s="113"/>
      <c r="I89" s="113" t="s">
        <v>65</v>
      </c>
      <c r="J89" s="114">
        <v>3350</v>
      </c>
      <c r="K89" s="114">
        <v>4690</v>
      </c>
      <c r="L89" s="113" t="s">
        <v>301</v>
      </c>
      <c r="M89" s="113" t="s">
        <v>2</v>
      </c>
      <c r="N89" s="113"/>
      <c r="O89" s="113"/>
      <c r="P89" s="7" t="str">
        <f t="shared" si="1"/>
        <v>1</v>
      </c>
      <c r="Q89" s="7" t="str">
        <f>INDEX(Кат!$I:$I,MATCH($A89,Кат!$A:$A,0))</f>
        <v>ТЕХНОРЕССОР</v>
      </c>
    </row>
    <row r="90" spans="1:17" ht="45" x14ac:dyDescent="0.25">
      <c r="A90" s="112">
        <v>443471</v>
      </c>
      <c r="B90" s="112">
        <v>108586</v>
      </c>
      <c r="C90" s="113" t="s">
        <v>551</v>
      </c>
      <c r="D90" s="113" t="s">
        <v>199</v>
      </c>
      <c r="E90" s="113"/>
      <c r="F90" s="113"/>
      <c r="G90" s="113"/>
      <c r="H90" s="113"/>
      <c r="I90" s="113" t="s">
        <v>65</v>
      </c>
      <c r="J90" s="114">
        <v>2550</v>
      </c>
      <c r="K90" s="114">
        <v>4090</v>
      </c>
      <c r="L90" s="113" t="s">
        <v>287</v>
      </c>
      <c r="M90" s="113" t="s">
        <v>2</v>
      </c>
      <c r="N90" s="113"/>
      <c r="O90" s="113"/>
      <c r="P90" s="7" t="str">
        <f t="shared" si="1"/>
        <v>1</v>
      </c>
      <c r="Q90" s="7" t="str">
        <f>INDEX(Кат!$I:$I,MATCH($A90,Кат!$A:$A,0))</f>
        <v>ТЕХНОРЕССОР</v>
      </c>
    </row>
    <row r="91" spans="1:17" ht="60" x14ac:dyDescent="0.25">
      <c r="A91" s="112">
        <v>443589</v>
      </c>
      <c r="B91" s="112">
        <v>108756</v>
      </c>
      <c r="C91" s="113" t="s">
        <v>552</v>
      </c>
      <c r="D91" s="113" t="s">
        <v>199</v>
      </c>
      <c r="E91" s="113"/>
      <c r="F91" s="113"/>
      <c r="G91" s="113"/>
      <c r="H91" s="113"/>
      <c r="I91" s="113" t="s">
        <v>65</v>
      </c>
      <c r="J91" s="114">
        <v>2650</v>
      </c>
      <c r="K91" s="114">
        <v>3890</v>
      </c>
      <c r="L91" s="113" t="s">
        <v>277</v>
      </c>
      <c r="M91" s="113" t="s">
        <v>2</v>
      </c>
      <c r="N91" s="113"/>
      <c r="O91" s="113"/>
      <c r="P91" s="7" t="str">
        <f t="shared" si="1"/>
        <v>1</v>
      </c>
      <c r="Q91" s="7" t="str">
        <f>INDEX(Кат!$I:$I,MATCH($A91,Кат!$A:$A,0))</f>
        <v>ТЕХНОРЕССОР</v>
      </c>
    </row>
    <row r="92" spans="1:17" ht="45" x14ac:dyDescent="0.25">
      <c r="A92" s="112">
        <v>443727</v>
      </c>
      <c r="B92" s="112">
        <v>108822</v>
      </c>
      <c r="C92" s="113" t="s">
        <v>553</v>
      </c>
      <c r="D92" s="113" t="s">
        <v>199</v>
      </c>
      <c r="E92" s="113"/>
      <c r="F92" s="113"/>
      <c r="G92" s="113"/>
      <c r="H92" s="113"/>
      <c r="I92" s="113" t="s">
        <v>65</v>
      </c>
      <c r="J92" s="114">
        <v>4500</v>
      </c>
      <c r="K92" s="114">
        <v>5990</v>
      </c>
      <c r="L92" s="113" t="s">
        <v>297</v>
      </c>
      <c r="M92" s="113" t="s">
        <v>2</v>
      </c>
      <c r="N92" s="113"/>
      <c r="O92" s="113"/>
      <c r="P92" s="7" t="str">
        <f t="shared" si="1"/>
        <v>1</v>
      </c>
      <c r="Q92" s="7" t="str">
        <f>INDEX(Кат!$I:$I,MATCH($A92,Кат!$A:$A,0))</f>
        <v>ТЕХНОРЕССОР</v>
      </c>
    </row>
    <row r="93" spans="1:17" ht="60" x14ac:dyDescent="0.25">
      <c r="A93" s="112">
        <v>443693</v>
      </c>
      <c r="B93" s="112">
        <v>108801</v>
      </c>
      <c r="C93" s="113" t="s">
        <v>554</v>
      </c>
      <c r="D93" s="113" t="s">
        <v>199</v>
      </c>
      <c r="E93" s="113"/>
      <c r="F93" s="113"/>
      <c r="G93" s="113"/>
      <c r="H93" s="113"/>
      <c r="I93" s="113" t="s">
        <v>65</v>
      </c>
      <c r="J93" s="114">
        <v>3350</v>
      </c>
      <c r="K93" s="114">
        <v>5090</v>
      </c>
      <c r="L93" s="113" t="s">
        <v>302</v>
      </c>
      <c r="M93" s="113" t="s">
        <v>2</v>
      </c>
      <c r="N93" s="113"/>
      <c r="O93" s="113"/>
      <c r="P93" s="7" t="str">
        <f t="shared" si="1"/>
        <v>1</v>
      </c>
      <c r="Q93" s="7" t="str">
        <f>INDEX(Кат!$I:$I,MATCH($A93,Кат!$A:$A,0))</f>
        <v>ТЕХНОРЕССОР</v>
      </c>
    </row>
    <row r="94" spans="1:17" ht="45" x14ac:dyDescent="0.25">
      <c r="A94" s="112">
        <v>187453</v>
      </c>
      <c r="B94" s="112">
        <v>16493</v>
      </c>
      <c r="C94" s="113" t="s">
        <v>555</v>
      </c>
      <c r="D94" s="113" t="s">
        <v>199</v>
      </c>
      <c r="E94" s="113"/>
      <c r="F94" s="113"/>
      <c r="G94" s="113"/>
      <c r="H94" s="113"/>
      <c r="I94" s="113" t="s">
        <v>65</v>
      </c>
      <c r="J94" s="114">
        <v>2650</v>
      </c>
      <c r="K94" s="114">
        <v>4190</v>
      </c>
      <c r="L94" s="113" t="s">
        <v>258</v>
      </c>
      <c r="M94" s="113" t="s">
        <v>201</v>
      </c>
      <c r="N94" s="113"/>
      <c r="O94" s="113" t="s">
        <v>199</v>
      </c>
      <c r="P94" s="7" t="str">
        <f t="shared" si="1"/>
        <v>0</v>
      </c>
      <c r="Q94" s="7" t="str">
        <f>INDEX(Кат!$I:$I,MATCH($A94,Кат!$A:$A,0))</f>
        <v>ТЕХНОРЕССОР</v>
      </c>
    </row>
    <row r="95" spans="1:17" ht="60" x14ac:dyDescent="0.25">
      <c r="A95" s="112">
        <v>201993</v>
      </c>
      <c r="B95" s="112">
        <v>16535</v>
      </c>
      <c r="C95" s="113" t="s">
        <v>556</v>
      </c>
      <c r="D95" s="113" t="s">
        <v>199</v>
      </c>
      <c r="E95" s="113"/>
      <c r="F95" s="113"/>
      <c r="G95" s="113"/>
      <c r="H95" s="113"/>
      <c r="I95" s="113" t="s">
        <v>65</v>
      </c>
      <c r="J95" s="114">
        <v>2750</v>
      </c>
      <c r="K95" s="114">
        <v>4390</v>
      </c>
      <c r="L95" s="113" t="s">
        <v>253</v>
      </c>
      <c r="M95" s="113" t="s">
        <v>2</v>
      </c>
      <c r="N95" s="113"/>
      <c r="O95" s="113"/>
      <c r="P95" s="7" t="str">
        <f t="shared" si="1"/>
        <v>1</v>
      </c>
      <c r="Q95" s="7" t="str">
        <f>INDEX(Кат!$I:$I,MATCH($A95,Кат!$A:$A,0))</f>
        <v>ТЕХНОРЕССОР</v>
      </c>
    </row>
    <row r="96" spans="1:17" ht="45" x14ac:dyDescent="0.25">
      <c r="A96" s="112">
        <v>201994</v>
      </c>
      <c r="B96" s="112">
        <v>19736</v>
      </c>
      <c r="C96" s="113" t="s">
        <v>557</v>
      </c>
      <c r="D96" s="113" t="s">
        <v>199</v>
      </c>
      <c r="E96" s="113"/>
      <c r="F96" s="113"/>
      <c r="G96" s="113"/>
      <c r="H96" s="113"/>
      <c r="I96" s="113" t="s">
        <v>65</v>
      </c>
      <c r="J96" s="114">
        <v>4000</v>
      </c>
      <c r="K96" s="114">
        <v>5290</v>
      </c>
      <c r="L96" s="113"/>
      <c r="M96" s="113" t="s">
        <v>2</v>
      </c>
      <c r="N96" s="113"/>
      <c r="O96" s="113"/>
      <c r="P96" s="7" t="str">
        <f t="shared" si="1"/>
        <v>1</v>
      </c>
      <c r="Q96" s="7" t="str">
        <f>INDEX(Кат!$I:$I,MATCH($A96,Кат!$A:$A,0))</f>
        <v>ТЕХНОРЕССОР</v>
      </c>
    </row>
    <row r="97" spans="1:17" ht="60" x14ac:dyDescent="0.25">
      <c r="A97" s="112">
        <v>187451</v>
      </c>
      <c r="B97" s="112">
        <v>16489</v>
      </c>
      <c r="C97" s="113" t="s">
        <v>558</v>
      </c>
      <c r="D97" s="113" t="s">
        <v>199</v>
      </c>
      <c r="E97" s="113"/>
      <c r="F97" s="113"/>
      <c r="G97" s="113"/>
      <c r="H97" s="113"/>
      <c r="I97" s="113" t="s">
        <v>65</v>
      </c>
      <c r="J97" s="114">
        <v>2650</v>
      </c>
      <c r="K97" s="114">
        <v>3490</v>
      </c>
      <c r="L97" s="113" t="s">
        <v>244</v>
      </c>
      <c r="M97" s="113" t="s">
        <v>201</v>
      </c>
      <c r="N97" s="113"/>
      <c r="O97" s="113"/>
      <c r="P97" s="7" t="str">
        <f t="shared" si="1"/>
        <v>0</v>
      </c>
      <c r="Q97" s="7" t="str">
        <f>INDEX(Кат!$I:$I,MATCH($A97,Кат!$A:$A,0))</f>
        <v>ТЕХНОРЕССОР</v>
      </c>
    </row>
    <row r="98" spans="1:17" ht="60" x14ac:dyDescent="0.25">
      <c r="A98" s="112">
        <v>201995</v>
      </c>
      <c r="B98" s="112">
        <v>10325</v>
      </c>
      <c r="C98" s="113" t="s">
        <v>559</v>
      </c>
      <c r="D98" s="113" t="s">
        <v>199</v>
      </c>
      <c r="E98" s="113"/>
      <c r="F98" s="113"/>
      <c r="G98" s="113"/>
      <c r="H98" s="113"/>
      <c r="I98" s="113" t="s">
        <v>65</v>
      </c>
      <c r="J98" s="114">
        <v>2750</v>
      </c>
      <c r="K98" s="114">
        <v>4190</v>
      </c>
      <c r="L98" s="113"/>
      <c r="M98" s="113" t="s">
        <v>201</v>
      </c>
      <c r="N98" s="113"/>
      <c r="O98" s="113"/>
      <c r="P98" s="7" t="str">
        <f t="shared" si="1"/>
        <v>0</v>
      </c>
      <c r="Q98" s="7" t="str">
        <f>INDEX(Кат!$I:$I,MATCH($A98,Кат!$A:$A,0))</f>
        <v>ТЕХНОРЕССОР</v>
      </c>
    </row>
    <row r="99" spans="1:17" ht="60" x14ac:dyDescent="0.25">
      <c r="A99" s="112">
        <v>201996</v>
      </c>
      <c r="B99" s="112">
        <v>19737</v>
      </c>
      <c r="C99" s="113" t="s">
        <v>560</v>
      </c>
      <c r="D99" s="113" t="s">
        <v>199</v>
      </c>
      <c r="E99" s="113"/>
      <c r="F99" s="113"/>
      <c r="G99" s="113"/>
      <c r="H99" s="113"/>
      <c r="I99" s="113" t="s">
        <v>65</v>
      </c>
      <c r="J99" s="114">
        <v>4000</v>
      </c>
      <c r="K99" s="114">
        <v>5290</v>
      </c>
      <c r="L99" s="113"/>
      <c r="M99" s="113" t="s">
        <v>201</v>
      </c>
      <c r="N99" s="113"/>
      <c r="O99" s="113" t="s">
        <v>199</v>
      </c>
      <c r="P99" s="7" t="str">
        <f t="shared" si="1"/>
        <v>0</v>
      </c>
      <c r="Q99" s="7" t="str">
        <f>INDEX(Кат!$I:$I,MATCH($A99,Кат!$A:$A,0))</f>
        <v>ТЕХНОРЕССОР</v>
      </c>
    </row>
    <row r="100" spans="1:17" ht="60" x14ac:dyDescent="0.25">
      <c r="A100" s="112">
        <v>201997</v>
      </c>
      <c r="B100" s="112">
        <v>16634</v>
      </c>
      <c r="C100" s="113" t="s">
        <v>561</v>
      </c>
      <c r="D100" s="113" t="s">
        <v>199</v>
      </c>
      <c r="E100" s="113"/>
      <c r="F100" s="113"/>
      <c r="G100" s="113"/>
      <c r="H100" s="113"/>
      <c r="I100" s="113" t="s">
        <v>65</v>
      </c>
      <c r="J100" s="114">
        <v>3450</v>
      </c>
      <c r="K100" s="114">
        <v>4590</v>
      </c>
      <c r="L100" s="113" t="s">
        <v>252</v>
      </c>
      <c r="M100" s="113" t="s">
        <v>201</v>
      </c>
      <c r="N100" s="113"/>
      <c r="O100" s="113" t="s">
        <v>199</v>
      </c>
      <c r="P100" s="7" t="str">
        <f t="shared" si="1"/>
        <v>0</v>
      </c>
      <c r="Q100" s="7" t="str">
        <f>INDEX(Кат!$I:$I,MATCH($A100,Кат!$A:$A,0))</f>
        <v>ТЕХНОРЕССОР</v>
      </c>
    </row>
    <row r="101" spans="1:17" ht="45" x14ac:dyDescent="0.25">
      <c r="A101" s="112">
        <v>201999</v>
      </c>
      <c r="B101" s="112">
        <v>9992</v>
      </c>
      <c r="C101" s="113" t="s">
        <v>562</v>
      </c>
      <c r="D101" s="113" t="s">
        <v>199</v>
      </c>
      <c r="E101" s="113"/>
      <c r="F101" s="113"/>
      <c r="G101" s="113"/>
      <c r="H101" s="113"/>
      <c r="I101" s="113" t="s">
        <v>65</v>
      </c>
      <c r="J101" s="114">
        <v>4000</v>
      </c>
      <c r="K101" s="114">
        <v>5990</v>
      </c>
      <c r="L101" s="113" t="s">
        <v>239</v>
      </c>
      <c r="M101" s="113" t="s">
        <v>2</v>
      </c>
      <c r="N101" s="113"/>
      <c r="O101" s="113"/>
      <c r="P101" s="7" t="str">
        <f t="shared" si="1"/>
        <v>1</v>
      </c>
      <c r="Q101" s="7" t="str">
        <f>INDEX(Кат!$I:$I,MATCH($A101,Кат!$A:$A,0))</f>
        <v>ТЕХНОРЕССОР</v>
      </c>
    </row>
    <row r="102" spans="1:17" ht="45" x14ac:dyDescent="0.25">
      <c r="A102" s="112">
        <v>202000</v>
      </c>
      <c r="B102" s="112">
        <v>19733</v>
      </c>
      <c r="C102" s="113" t="s">
        <v>563</v>
      </c>
      <c r="D102" s="113" t="s">
        <v>199</v>
      </c>
      <c r="E102" s="113"/>
      <c r="F102" s="113"/>
      <c r="G102" s="113"/>
      <c r="H102" s="113"/>
      <c r="I102" s="113" t="s">
        <v>65</v>
      </c>
      <c r="J102" s="114">
        <v>4000</v>
      </c>
      <c r="K102" s="114">
        <v>6290</v>
      </c>
      <c r="L102" s="113" t="s">
        <v>267</v>
      </c>
      <c r="M102" s="113" t="s">
        <v>2</v>
      </c>
      <c r="N102" s="113"/>
      <c r="O102" s="113"/>
      <c r="P102" s="7" t="str">
        <f t="shared" si="1"/>
        <v>1</v>
      </c>
      <c r="Q102" s="7" t="str">
        <f>INDEX(Кат!$I:$I,MATCH($A102,Кат!$A:$A,0))</f>
        <v>ТЕХНОРЕССОР</v>
      </c>
    </row>
    <row r="103" spans="1:17" ht="60" x14ac:dyDescent="0.25">
      <c r="A103" s="112">
        <v>202001</v>
      </c>
      <c r="B103" s="112">
        <v>3525</v>
      </c>
      <c r="C103" s="113" t="s">
        <v>564</v>
      </c>
      <c r="D103" s="113" t="s">
        <v>199</v>
      </c>
      <c r="E103" s="113"/>
      <c r="F103" s="113"/>
      <c r="G103" s="113"/>
      <c r="H103" s="113"/>
      <c r="I103" s="113" t="s">
        <v>65</v>
      </c>
      <c r="J103" s="114">
        <v>3450</v>
      </c>
      <c r="K103" s="114">
        <v>4490</v>
      </c>
      <c r="L103" s="113" t="s">
        <v>238</v>
      </c>
      <c r="M103" s="113" t="s">
        <v>2</v>
      </c>
      <c r="N103" s="113"/>
      <c r="O103" s="113"/>
      <c r="P103" s="7" t="str">
        <f t="shared" si="1"/>
        <v>1</v>
      </c>
      <c r="Q103" s="7" t="str">
        <f>INDEX(Кат!$I:$I,MATCH($A103,Кат!$A:$A,0))</f>
        <v>ТЕХНОРЕССОР</v>
      </c>
    </row>
    <row r="104" spans="1:17" ht="60" x14ac:dyDescent="0.25">
      <c r="A104" s="112">
        <v>202003</v>
      </c>
      <c r="B104" s="112">
        <v>16660</v>
      </c>
      <c r="C104" s="113" t="s">
        <v>565</v>
      </c>
      <c r="D104" s="113" t="s">
        <v>199</v>
      </c>
      <c r="E104" s="113"/>
      <c r="F104" s="113"/>
      <c r="G104" s="113"/>
      <c r="H104" s="113" t="s">
        <v>67</v>
      </c>
      <c r="I104" s="113" t="s">
        <v>65</v>
      </c>
      <c r="J104" s="114">
        <v>3450</v>
      </c>
      <c r="K104" s="114">
        <v>5490</v>
      </c>
      <c r="L104" s="113" t="s">
        <v>250</v>
      </c>
      <c r="M104" s="113" t="s">
        <v>2</v>
      </c>
      <c r="N104" s="113"/>
      <c r="O104" s="113" t="s">
        <v>199</v>
      </c>
      <c r="P104" s="7" t="str">
        <f t="shared" si="1"/>
        <v>1</v>
      </c>
      <c r="Q104" s="7" t="str">
        <f>INDEX(Кат!$I:$I,MATCH($A104,Кат!$A:$A,0))</f>
        <v>ТЕХНОРЕССОР</v>
      </c>
    </row>
    <row r="105" spans="1:17" ht="45" x14ac:dyDescent="0.25">
      <c r="A105" s="112">
        <v>187454</v>
      </c>
      <c r="B105" s="112">
        <v>16496</v>
      </c>
      <c r="C105" s="113" t="s">
        <v>566</v>
      </c>
      <c r="D105" s="113" t="s">
        <v>199</v>
      </c>
      <c r="E105" s="113"/>
      <c r="F105" s="113"/>
      <c r="G105" s="113"/>
      <c r="H105" s="113"/>
      <c r="I105" s="113" t="s">
        <v>65</v>
      </c>
      <c r="J105" s="114">
        <v>3950</v>
      </c>
      <c r="K105" s="114">
        <v>5090</v>
      </c>
      <c r="L105" s="113" t="s">
        <v>255</v>
      </c>
      <c r="M105" s="113" t="s">
        <v>201</v>
      </c>
      <c r="N105" s="113"/>
      <c r="O105" s="113" t="s">
        <v>199</v>
      </c>
      <c r="P105" s="7" t="str">
        <f t="shared" si="1"/>
        <v>0</v>
      </c>
      <c r="Q105" s="7" t="str">
        <f>INDEX(Кат!$I:$I,MATCH($A105,Кат!$A:$A,0))</f>
        <v>ТЕХНОРЕССОР</v>
      </c>
    </row>
    <row r="106" spans="1:17" ht="45" x14ac:dyDescent="0.25">
      <c r="A106" s="112">
        <v>444136</v>
      </c>
      <c r="B106" s="112">
        <v>444136</v>
      </c>
      <c r="C106" s="113" t="s">
        <v>567</v>
      </c>
      <c r="D106" s="113" t="s">
        <v>199</v>
      </c>
      <c r="E106" s="113"/>
      <c r="F106" s="113"/>
      <c r="G106" s="113"/>
      <c r="H106" s="113"/>
      <c r="I106" s="113" t="s">
        <v>65</v>
      </c>
      <c r="J106" s="114">
        <v>3800</v>
      </c>
      <c r="K106" s="114">
        <v>5090</v>
      </c>
      <c r="L106" s="113"/>
      <c r="M106" s="113" t="s">
        <v>2</v>
      </c>
      <c r="N106" s="113"/>
      <c r="O106" s="113"/>
      <c r="P106" s="7" t="str">
        <f t="shared" si="1"/>
        <v>1</v>
      </c>
      <c r="Q106" s="7" t="str">
        <f>INDEX(Кат!$I:$I,MATCH($A106,Кат!$A:$A,0))</f>
        <v>ТЕХНОРЕССОР</v>
      </c>
    </row>
    <row r="107" spans="1:17" ht="45" x14ac:dyDescent="0.25">
      <c r="A107" s="112">
        <v>201965</v>
      </c>
      <c r="B107" s="112">
        <v>57618</v>
      </c>
      <c r="C107" s="113" t="s">
        <v>568</v>
      </c>
      <c r="D107" s="113" t="s">
        <v>199</v>
      </c>
      <c r="E107" s="113"/>
      <c r="F107" s="113" t="s">
        <v>91</v>
      </c>
      <c r="G107" s="113"/>
      <c r="H107" s="113" t="s">
        <v>90</v>
      </c>
      <c r="I107" s="113" t="s">
        <v>65</v>
      </c>
      <c r="J107" s="114">
        <v>3900</v>
      </c>
      <c r="K107" s="114">
        <v>5990</v>
      </c>
      <c r="L107" s="113" t="s">
        <v>249</v>
      </c>
      <c r="M107" s="113" t="s">
        <v>2</v>
      </c>
      <c r="N107" s="113"/>
      <c r="O107" s="113"/>
      <c r="P107" s="7" t="str">
        <f t="shared" si="1"/>
        <v>1</v>
      </c>
      <c r="Q107" s="7" t="str">
        <f>INDEX(Кат!$I:$I,MATCH($A107,Кат!$A:$A,0))</f>
        <v>ТЕХНОРЕССОР</v>
      </c>
    </row>
    <row r="108" spans="1:17" ht="45" x14ac:dyDescent="0.25">
      <c r="A108" s="112">
        <v>444158</v>
      </c>
      <c r="B108" s="112">
        <v>444158</v>
      </c>
      <c r="C108" s="113" t="s">
        <v>569</v>
      </c>
      <c r="D108" s="113" t="s">
        <v>199</v>
      </c>
      <c r="E108" s="113"/>
      <c r="F108" s="113"/>
      <c r="G108" s="113"/>
      <c r="H108" s="113"/>
      <c r="I108" s="113" t="s">
        <v>65</v>
      </c>
      <c r="J108" s="114">
        <v>3800</v>
      </c>
      <c r="K108" s="114">
        <v>5090</v>
      </c>
      <c r="L108" s="113"/>
      <c r="M108" s="113" t="s">
        <v>2</v>
      </c>
      <c r="N108" s="113"/>
      <c r="O108" s="113"/>
      <c r="P108" s="7" t="str">
        <f t="shared" si="1"/>
        <v>1</v>
      </c>
      <c r="Q108" s="7" t="str">
        <f>INDEX(Кат!$I:$I,MATCH($A108,Кат!$A:$A,0))</f>
        <v>ТЕХНОРЕССОР</v>
      </c>
    </row>
    <row r="109" spans="1:17" ht="45" x14ac:dyDescent="0.25">
      <c r="A109" s="112">
        <v>202004</v>
      </c>
      <c r="B109" s="112">
        <v>57119</v>
      </c>
      <c r="C109" s="113" t="s">
        <v>570</v>
      </c>
      <c r="D109" s="113" t="s">
        <v>199</v>
      </c>
      <c r="E109" s="113"/>
      <c r="F109" s="113" t="s">
        <v>180</v>
      </c>
      <c r="G109" s="113"/>
      <c r="H109" s="113" t="s">
        <v>85</v>
      </c>
      <c r="I109" s="113" t="s">
        <v>65</v>
      </c>
      <c r="J109" s="114">
        <v>2150</v>
      </c>
      <c r="K109" s="114">
        <v>2790</v>
      </c>
      <c r="L109" s="113"/>
      <c r="M109" s="113" t="s">
        <v>201</v>
      </c>
      <c r="N109" s="113"/>
      <c r="O109" s="113" t="s">
        <v>199</v>
      </c>
      <c r="P109" s="7" t="str">
        <f t="shared" si="1"/>
        <v>0</v>
      </c>
      <c r="Q109" s="7" t="str">
        <f>INDEX(Кат!$I:$I,MATCH($A109,Кат!$A:$A,0))</f>
        <v>ТЕХНОРЕССОР</v>
      </c>
    </row>
    <row r="110" spans="1:17" ht="45" x14ac:dyDescent="0.25">
      <c r="A110" s="112">
        <v>201858</v>
      </c>
      <c r="B110" s="112">
        <v>19084</v>
      </c>
      <c r="C110" s="113" t="s">
        <v>571</v>
      </c>
      <c r="D110" s="113" t="s">
        <v>199</v>
      </c>
      <c r="E110" s="113"/>
      <c r="F110" s="113" t="s">
        <v>80</v>
      </c>
      <c r="G110" s="113"/>
      <c r="H110" s="113"/>
      <c r="I110" s="113" t="s">
        <v>65</v>
      </c>
      <c r="J110" s="114">
        <v>2300</v>
      </c>
      <c r="K110" s="114">
        <v>2990</v>
      </c>
      <c r="L110" s="113" t="s">
        <v>248</v>
      </c>
      <c r="M110" s="113" t="s">
        <v>201</v>
      </c>
      <c r="N110" s="113"/>
      <c r="O110" s="113"/>
      <c r="P110" s="7" t="str">
        <f t="shared" si="1"/>
        <v>0</v>
      </c>
      <c r="Q110" s="7" t="str">
        <f>INDEX(Кат!$I:$I,MATCH($A110,Кат!$A:$A,0))</f>
        <v>ТЕХНОРЕССОР</v>
      </c>
    </row>
    <row r="111" spans="1:17" ht="60" x14ac:dyDescent="0.25">
      <c r="A111" s="112">
        <v>202005</v>
      </c>
      <c r="B111" s="112">
        <v>32522</v>
      </c>
      <c r="C111" s="113" t="s">
        <v>572</v>
      </c>
      <c r="D111" s="113" t="s">
        <v>199</v>
      </c>
      <c r="E111" s="113"/>
      <c r="F111" s="113" t="s">
        <v>80</v>
      </c>
      <c r="G111" s="113"/>
      <c r="H111" s="113" t="s">
        <v>66</v>
      </c>
      <c r="I111" s="113" t="s">
        <v>65</v>
      </c>
      <c r="J111" s="114">
        <v>2300</v>
      </c>
      <c r="K111" s="114">
        <v>2990</v>
      </c>
      <c r="L111" s="113"/>
      <c r="M111" s="113" t="s">
        <v>201</v>
      </c>
      <c r="N111" s="113"/>
      <c r="O111" s="113" t="s">
        <v>199</v>
      </c>
      <c r="P111" s="7" t="str">
        <f t="shared" si="1"/>
        <v>0</v>
      </c>
      <c r="Q111" s="7" t="str">
        <f>INDEX(Кат!$I:$I,MATCH($A111,Кат!$A:$A,0))</f>
        <v>ТЕХНОРЕССОР</v>
      </c>
    </row>
    <row r="112" spans="1:17" ht="45" x14ac:dyDescent="0.25">
      <c r="A112" s="112">
        <v>251661</v>
      </c>
      <c r="B112" s="112">
        <v>198848</v>
      </c>
      <c r="C112" s="113" t="s">
        <v>573</v>
      </c>
      <c r="D112" s="113" t="s">
        <v>199</v>
      </c>
      <c r="E112" s="113"/>
      <c r="F112" s="113" t="s">
        <v>166</v>
      </c>
      <c r="G112" s="113"/>
      <c r="H112" s="113" t="s">
        <v>188</v>
      </c>
      <c r="I112" s="113" t="s">
        <v>65</v>
      </c>
      <c r="J112" s="114">
        <v>2250</v>
      </c>
      <c r="K112" s="114">
        <v>2990</v>
      </c>
      <c r="L112" s="113"/>
      <c r="M112" s="113" t="s">
        <v>201</v>
      </c>
      <c r="N112" s="113"/>
      <c r="O112" s="113"/>
      <c r="P112" s="7" t="str">
        <f t="shared" si="1"/>
        <v>0</v>
      </c>
      <c r="Q112" s="7" t="str">
        <f>INDEX(Кат!$I:$I,MATCH($A112,Кат!$A:$A,0))</f>
        <v>ТЕХНОРЕССОР</v>
      </c>
    </row>
    <row r="113" spans="1:17" ht="45" x14ac:dyDescent="0.25">
      <c r="A113" s="112">
        <v>202006</v>
      </c>
      <c r="B113" s="112">
        <v>57126</v>
      </c>
      <c r="C113" s="113" t="s">
        <v>574</v>
      </c>
      <c r="D113" s="113" t="s">
        <v>199</v>
      </c>
      <c r="E113" s="113"/>
      <c r="F113" s="113" t="s">
        <v>181</v>
      </c>
      <c r="G113" s="113"/>
      <c r="H113" s="113" t="s">
        <v>86</v>
      </c>
      <c r="I113" s="113" t="s">
        <v>65</v>
      </c>
      <c r="J113" s="114">
        <v>2500</v>
      </c>
      <c r="K113" s="114">
        <v>3290</v>
      </c>
      <c r="L113" s="113"/>
      <c r="M113" s="113" t="s">
        <v>201</v>
      </c>
      <c r="N113" s="113"/>
      <c r="O113" s="113" t="s">
        <v>199</v>
      </c>
      <c r="P113" s="7" t="str">
        <f t="shared" si="1"/>
        <v>0</v>
      </c>
      <c r="Q113" s="7" t="str">
        <f>INDEX(Кат!$I:$I,MATCH($A113,Кат!$A:$A,0))</f>
        <v>ТЕХНОРЕССОР</v>
      </c>
    </row>
    <row r="114" spans="1:17" ht="45" x14ac:dyDescent="0.25">
      <c r="A114" s="112">
        <v>202007</v>
      </c>
      <c r="B114" s="112">
        <v>57155</v>
      </c>
      <c r="C114" s="113" t="s">
        <v>575</v>
      </c>
      <c r="D114" s="113" t="s">
        <v>199</v>
      </c>
      <c r="E114" s="113"/>
      <c r="F114" s="113" t="s">
        <v>184</v>
      </c>
      <c r="G114" s="113"/>
      <c r="H114" s="113" t="s">
        <v>89</v>
      </c>
      <c r="I114" s="113" t="s">
        <v>65</v>
      </c>
      <c r="J114" s="114">
        <v>2700</v>
      </c>
      <c r="K114" s="114">
        <v>3590</v>
      </c>
      <c r="L114" s="113"/>
      <c r="M114" s="113" t="s">
        <v>201</v>
      </c>
      <c r="N114" s="113"/>
      <c r="O114" s="113" t="s">
        <v>199</v>
      </c>
      <c r="P114" s="7" t="str">
        <f t="shared" si="1"/>
        <v>0</v>
      </c>
      <c r="Q114" s="7" t="str">
        <f>INDEX(Кат!$I:$I,MATCH($A114,Кат!$A:$A,0))</f>
        <v>ТЕХНОРЕССОР</v>
      </c>
    </row>
    <row r="115" spans="1:17" ht="45" x14ac:dyDescent="0.25">
      <c r="A115" s="112">
        <v>443476</v>
      </c>
      <c r="B115" s="112">
        <v>127085</v>
      </c>
      <c r="C115" s="113" t="s">
        <v>576</v>
      </c>
      <c r="D115" s="113" t="s">
        <v>199</v>
      </c>
      <c r="E115" s="113"/>
      <c r="F115" s="113" t="s">
        <v>577</v>
      </c>
      <c r="G115" s="113"/>
      <c r="H115" s="113" t="s">
        <v>155</v>
      </c>
      <c r="I115" s="113" t="s">
        <v>65</v>
      </c>
      <c r="J115" s="114">
        <v>3550</v>
      </c>
      <c r="K115" s="114">
        <v>4790</v>
      </c>
      <c r="L115" s="113"/>
      <c r="M115" s="113" t="s">
        <v>201</v>
      </c>
      <c r="N115" s="113"/>
      <c r="O115" s="113"/>
      <c r="P115" s="7" t="str">
        <f t="shared" si="1"/>
        <v>0</v>
      </c>
      <c r="Q115" s="7" t="str">
        <f>INDEX(Кат!$I:$I,MATCH($A115,Кат!$A:$A,0))</f>
        <v>ТЕХНОРЕССОР</v>
      </c>
    </row>
    <row r="116" spans="1:17" ht="60" x14ac:dyDescent="0.25">
      <c r="A116" s="112">
        <v>443590</v>
      </c>
      <c r="B116" s="112">
        <v>127238</v>
      </c>
      <c r="C116" s="113" t="s">
        <v>578</v>
      </c>
      <c r="D116" s="113" t="s">
        <v>199</v>
      </c>
      <c r="E116" s="113"/>
      <c r="F116" s="113" t="s">
        <v>579</v>
      </c>
      <c r="G116" s="113"/>
      <c r="H116" s="113" t="s">
        <v>158</v>
      </c>
      <c r="I116" s="113" t="s">
        <v>65</v>
      </c>
      <c r="J116" s="114">
        <v>3850</v>
      </c>
      <c r="K116" s="114">
        <v>4990</v>
      </c>
      <c r="L116" s="113"/>
      <c r="M116" s="113" t="s">
        <v>201</v>
      </c>
      <c r="N116" s="113"/>
      <c r="O116" s="113"/>
      <c r="P116" s="7" t="str">
        <f t="shared" si="1"/>
        <v>0</v>
      </c>
      <c r="Q116" s="7" t="str">
        <f>INDEX(Кат!$I:$I,MATCH($A116,Кат!$A:$A,0))</f>
        <v>ТЕХНОРЕССОР</v>
      </c>
    </row>
    <row r="117" spans="1:17" ht="60" x14ac:dyDescent="0.25">
      <c r="A117" s="112">
        <v>443694</v>
      </c>
      <c r="B117" s="112">
        <v>127314</v>
      </c>
      <c r="C117" s="113" t="s">
        <v>580</v>
      </c>
      <c r="D117" s="113" t="s">
        <v>199</v>
      </c>
      <c r="E117" s="113"/>
      <c r="F117" s="113" t="s">
        <v>581</v>
      </c>
      <c r="G117" s="113"/>
      <c r="H117" s="113" t="s">
        <v>163</v>
      </c>
      <c r="I117" s="113" t="s">
        <v>65</v>
      </c>
      <c r="J117" s="114">
        <v>3000</v>
      </c>
      <c r="K117" s="114">
        <v>3890</v>
      </c>
      <c r="L117" s="113"/>
      <c r="M117" s="113" t="s">
        <v>201</v>
      </c>
      <c r="N117" s="113"/>
      <c r="O117" s="113"/>
      <c r="P117" s="7" t="str">
        <f t="shared" si="1"/>
        <v>0</v>
      </c>
      <c r="Q117" s="7" t="str">
        <f>INDEX(Кат!$I:$I,MATCH($A117,Кат!$A:$A,0))</f>
        <v>ТЕХНОРЕССОР</v>
      </c>
    </row>
    <row r="118" spans="1:17" ht="45" x14ac:dyDescent="0.25">
      <c r="A118" s="112">
        <v>443477</v>
      </c>
      <c r="B118" s="112">
        <v>127086</v>
      </c>
      <c r="C118" s="113" t="s">
        <v>582</v>
      </c>
      <c r="D118" s="113" t="s">
        <v>199</v>
      </c>
      <c r="E118" s="113"/>
      <c r="F118" s="113"/>
      <c r="G118" s="113"/>
      <c r="H118" s="113"/>
      <c r="I118" s="113" t="s">
        <v>65</v>
      </c>
      <c r="J118" s="114">
        <v>3500</v>
      </c>
      <c r="K118" s="114">
        <v>4690</v>
      </c>
      <c r="L118" s="113"/>
      <c r="M118" s="113" t="s">
        <v>201</v>
      </c>
      <c r="N118" s="113"/>
      <c r="O118" s="113"/>
      <c r="P118" s="7" t="str">
        <f t="shared" si="1"/>
        <v>0</v>
      </c>
      <c r="Q118" s="7" t="str">
        <f>INDEX(Кат!$I:$I,MATCH($A118,Кат!$A:$A,0))</f>
        <v>ТЕХНОРЕССОР</v>
      </c>
    </row>
    <row r="119" spans="1:17" ht="60" x14ac:dyDescent="0.25">
      <c r="A119" s="112">
        <v>443591</v>
      </c>
      <c r="B119" s="112">
        <v>127239</v>
      </c>
      <c r="C119" s="113" t="s">
        <v>583</v>
      </c>
      <c r="D119" s="113" t="s">
        <v>199</v>
      </c>
      <c r="E119" s="113"/>
      <c r="F119" s="113" t="s">
        <v>584</v>
      </c>
      <c r="G119" s="113"/>
      <c r="H119" s="113" t="s">
        <v>159</v>
      </c>
      <c r="I119" s="113" t="s">
        <v>65</v>
      </c>
      <c r="J119" s="114">
        <v>3500</v>
      </c>
      <c r="K119" s="114">
        <v>4590</v>
      </c>
      <c r="L119" s="113"/>
      <c r="M119" s="113" t="s">
        <v>201</v>
      </c>
      <c r="N119" s="113"/>
      <c r="O119" s="113"/>
      <c r="P119" s="7" t="str">
        <f t="shared" si="1"/>
        <v>0</v>
      </c>
      <c r="Q119" s="7" t="str">
        <f>INDEX(Кат!$I:$I,MATCH($A119,Кат!$A:$A,0))</f>
        <v>ТЕХНОРЕССОР</v>
      </c>
    </row>
    <row r="120" spans="1:17" ht="60" x14ac:dyDescent="0.25">
      <c r="A120" s="112">
        <v>443695</v>
      </c>
      <c r="B120" s="112">
        <v>127315</v>
      </c>
      <c r="C120" s="113" t="s">
        <v>585</v>
      </c>
      <c r="D120" s="113" t="s">
        <v>199</v>
      </c>
      <c r="E120" s="113"/>
      <c r="F120" s="113" t="s">
        <v>586</v>
      </c>
      <c r="G120" s="113"/>
      <c r="H120" s="113" t="s">
        <v>163</v>
      </c>
      <c r="I120" s="113" t="s">
        <v>65</v>
      </c>
      <c r="J120" s="114">
        <v>3000</v>
      </c>
      <c r="K120" s="114">
        <v>3890</v>
      </c>
      <c r="L120" s="113"/>
      <c r="M120" s="113" t="s">
        <v>201</v>
      </c>
      <c r="N120" s="113"/>
      <c r="O120" s="113"/>
      <c r="P120" s="7" t="str">
        <f t="shared" si="1"/>
        <v>0</v>
      </c>
      <c r="Q120" s="7" t="str">
        <f>INDEX(Кат!$I:$I,MATCH($A120,Кат!$A:$A,0))</f>
        <v>ТЕХНОРЕССОР</v>
      </c>
    </row>
    <row r="121" spans="1:17" ht="45" x14ac:dyDescent="0.25">
      <c r="A121" s="112">
        <v>443478</v>
      </c>
      <c r="B121" s="112">
        <v>127087</v>
      </c>
      <c r="C121" s="113" t="s">
        <v>587</v>
      </c>
      <c r="D121" s="113" t="s">
        <v>199</v>
      </c>
      <c r="E121" s="113"/>
      <c r="F121" s="113" t="s">
        <v>588</v>
      </c>
      <c r="G121" s="113"/>
      <c r="H121" s="113" t="s">
        <v>156</v>
      </c>
      <c r="I121" s="113" t="s">
        <v>65</v>
      </c>
      <c r="J121" s="114">
        <v>3700</v>
      </c>
      <c r="K121" s="114">
        <v>4790</v>
      </c>
      <c r="L121" s="113"/>
      <c r="M121" s="113" t="s">
        <v>201</v>
      </c>
      <c r="N121" s="113"/>
      <c r="O121" s="113"/>
      <c r="P121" s="7" t="str">
        <f t="shared" si="1"/>
        <v>0</v>
      </c>
      <c r="Q121" s="7" t="str">
        <f>INDEX(Кат!$I:$I,MATCH($A121,Кат!$A:$A,0))</f>
        <v>ТЕХНОРЕССОР</v>
      </c>
    </row>
    <row r="122" spans="1:17" ht="60" x14ac:dyDescent="0.25">
      <c r="A122" s="112">
        <v>443592</v>
      </c>
      <c r="B122" s="112">
        <v>127240</v>
      </c>
      <c r="C122" s="113" t="s">
        <v>589</v>
      </c>
      <c r="D122" s="113" t="s">
        <v>199</v>
      </c>
      <c r="E122" s="113"/>
      <c r="F122" s="113" t="s">
        <v>590</v>
      </c>
      <c r="G122" s="113"/>
      <c r="H122" s="113" t="s">
        <v>160</v>
      </c>
      <c r="I122" s="113" t="s">
        <v>65</v>
      </c>
      <c r="J122" s="114">
        <v>4000</v>
      </c>
      <c r="K122" s="114">
        <v>5490</v>
      </c>
      <c r="L122" s="113"/>
      <c r="M122" s="113" t="s">
        <v>201</v>
      </c>
      <c r="N122" s="113"/>
      <c r="O122" s="113"/>
      <c r="P122" s="7" t="str">
        <f t="shared" si="1"/>
        <v>0</v>
      </c>
      <c r="Q122" s="7" t="str">
        <f>INDEX(Кат!$I:$I,MATCH($A122,Кат!$A:$A,0))</f>
        <v>ТЕХНОРЕССОР</v>
      </c>
    </row>
    <row r="123" spans="1:17" ht="60" x14ac:dyDescent="0.25">
      <c r="A123" s="112">
        <v>443696</v>
      </c>
      <c r="B123" s="112">
        <v>127316</v>
      </c>
      <c r="C123" s="113" t="s">
        <v>591</v>
      </c>
      <c r="D123" s="113" t="s">
        <v>199</v>
      </c>
      <c r="E123" s="113"/>
      <c r="F123" s="113" t="s">
        <v>592</v>
      </c>
      <c r="G123" s="113"/>
      <c r="H123" s="113" t="s">
        <v>163</v>
      </c>
      <c r="I123" s="113" t="s">
        <v>65</v>
      </c>
      <c r="J123" s="114">
        <v>3000</v>
      </c>
      <c r="K123" s="114">
        <v>3890</v>
      </c>
      <c r="L123" s="113"/>
      <c r="M123" s="113" t="s">
        <v>201</v>
      </c>
      <c r="N123" s="113"/>
      <c r="O123" s="113"/>
      <c r="P123" s="7" t="str">
        <f t="shared" si="1"/>
        <v>0</v>
      </c>
      <c r="Q123" s="7" t="str">
        <f>INDEX(Кат!$I:$I,MATCH($A123,Кат!$A:$A,0))</f>
        <v>ТЕХНОРЕССОР</v>
      </c>
    </row>
    <row r="124" spans="1:17" ht="45" x14ac:dyDescent="0.25">
      <c r="A124" s="112">
        <v>443479</v>
      </c>
      <c r="B124" s="112">
        <v>127088</v>
      </c>
      <c r="C124" s="113" t="s">
        <v>593</v>
      </c>
      <c r="D124" s="113" t="s">
        <v>199</v>
      </c>
      <c r="E124" s="113"/>
      <c r="F124" s="113" t="s">
        <v>594</v>
      </c>
      <c r="G124" s="113"/>
      <c r="H124" s="113" t="s">
        <v>157</v>
      </c>
      <c r="I124" s="113" t="s">
        <v>65</v>
      </c>
      <c r="J124" s="114">
        <v>3650</v>
      </c>
      <c r="K124" s="114">
        <v>4790</v>
      </c>
      <c r="L124" s="113"/>
      <c r="M124" s="113" t="s">
        <v>201</v>
      </c>
      <c r="N124" s="113"/>
      <c r="O124" s="113"/>
      <c r="P124" s="7" t="str">
        <f t="shared" si="1"/>
        <v>0</v>
      </c>
      <c r="Q124" s="7" t="str">
        <f>INDEX(Кат!$I:$I,MATCH($A124,Кат!$A:$A,0))</f>
        <v>ТЕХНОРЕССОР</v>
      </c>
    </row>
    <row r="125" spans="1:17" ht="60" x14ac:dyDescent="0.25">
      <c r="A125" s="112">
        <v>443593</v>
      </c>
      <c r="B125" s="112">
        <v>127241</v>
      </c>
      <c r="C125" s="113" t="s">
        <v>595</v>
      </c>
      <c r="D125" s="113" t="s">
        <v>199</v>
      </c>
      <c r="E125" s="113"/>
      <c r="F125" s="113" t="s">
        <v>596</v>
      </c>
      <c r="G125" s="113"/>
      <c r="H125" s="113" t="s">
        <v>161</v>
      </c>
      <c r="I125" s="113" t="s">
        <v>65</v>
      </c>
      <c r="J125" s="114">
        <v>3600</v>
      </c>
      <c r="K125" s="114">
        <v>4690</v>
      </c>
      <c r="L125" s="113"/>
      <c r="M125" s="113" t="s">
        <v>201</v>
      </c>
      <c r="N125" s="113"/>
      <c r="O125" s="113"/>
      <c r="P125" s="7" t="str">
        <f t="shared" si="1"/>
        <v>0</v>
      </c>
      <c r="Q125" s="7" t="str">
        <f>INDEX(Кат!$I:$I,MATCH($A125,Кат!$A:$A,0))</f>
        <v>ТЕХНОРЕССОР</v>
      </c>
    </row>
    <row r="126" spans="1:17" ht="60" x14ac:dyDescent="0.25">
      <c r="A126" s="112">
        <v>443697</v>
      </c>
      <c r="B126" s="112">
        <v>127317</v>
      </c>
      <c r="C126" s="113" t="s">
        <v>597</v>
      </c>
      <c r="D126" s="113" t="s">
        <v>199</v>
      </c>
      <c r="E126" s="113"/>
      <c r="F126" s="113" t="s">
        <v>598</v>
      </c>
      <c r="G126" s="113"/>
      <c r="H126" s="113" t="s">
        <v>163</v>
      </c>
      <c r="I126" s="113" t="s">
        <v>65</v>
      </c>
      <c r="J126" s="114">
        <v>3000</v>
      </c>
      <c r="K126" s="114">
        <v>4090</v>
      </c>
      <c r="L126" s="113"/>
      <c r="M126" s="113" t="s">
        <v>201</v>
      </c>
      <c r="N126" s="113"/>
      <c r="O126" s="113"/>
      <c r="P126" s="7" t="str">
        <f t="shared" si="1"/>
        <v>0</v>
      </c>
      <c r="Q126" s="7" t="str">
        <f>INDEX(Кат!$I:$I,MATCH($A126,Кат!$A:$A,0))</f>
        <v>ТЕХНОРЕССОР</v>
      </c>
    </row>
    <row r="127" spans="1:17" ht="60" x14ac:dyDescent="0.25">
      <c r="A127" s="112">
        <v>443594</v>
      </c>
      <c r="B127" s="112">
        <v>127242</v>
      </c>
      <c r="C127" s="113" t="s">
        <v>599</v>
      </c>
      <c r="D127" s="113" t="s">
        <v>199</v>
      </c>
      <c r="E127" s="113"/>
      <c r="F127" s="113" t="s">
        <v>600</v>
      </c>
      <c r="G127" s="113"/>
      <c r="H127" s="113" t="s">
        <v>162</v>
      </c>
      <c r="I127" s="113" t="s">
        <v>65</v>
      </c>
      <c r="J127" s="114">
        <v>3400</v>
      </c>
      <c r="K127" s="114">
        <v>4590</v>
      </c>
      <c r="L127" s="113"/>
      <c r="M127" s="113" t="s">
        <v>201</v>
      </c>
      <c r="N127" s="113"/>
      <c r="O127" s="113"/>
      <c r="P127" s="7" t="str">
        <f t="shared" si="1"/>
        <v>0</v>
      </c>
      <c r="Q127" s="7" t="str">
        <f>INDEX(Кат!$I:$I,MATCH($A127,Кат!$A:$A,0))</f>
        <v>ТЕХНОРЕССОР</v>
      </c>
    </row>
    <row r="128" spans="1:17" ht="60" x14ac:dyDescent="0.25">
      <c r="A128" s="112">
        <v>443698</v>
      </c>
      <c r="B128" s="112">
        <v>127318</v>
      </c>
      <c r="C128" s="113" t="s">
        <v>601</v>
      </c>
      <c r="D128" s="113" t="s">
        <v>199</v>
      </c>
      <c r="E128" s="113"/>
      <c r="F128" s="113" t="s">
        <v>602</v>
      </c>
      <c r="G128" s="113"/>
      <c r="H128" s="113" t="s">
        <v>163</v>
      </c>
      <c r="I128" s="113" t="s">
        <v>65</v>
      </c>
      <c r="J128" s="114">
        <v>3000</v>
      </c>
      <c r="K128" s="114">
        <v>3990</v>
      </c>
      <c r="L128" s="113"/>
      <c r="M128" s="113" t="s">
        <v>201</v>
      </c>
      <c r="N128" s="113"/>
      <c r="O128" s="113"/>
      <c r="P128" s="7" t="str">
        <f t="shared" si="1"/>
        <v>0</v>
      </c>
      <c r="Q128" s="7" t="str">
        <f>INDEX(Кат!$I:$I,MATCH($A128,Кат!$A:$A,0))</f>
        <v>ТЕХНОРЕССОР</v>
      </c>
    </row>
    <row r="129" spans="1:17" ht="45" x14ac:dyDescent="0.25">
      <c r="A129" s="112">
        <v>201866</v>
      </c>
      <c r="B129" s="112">
        <v>3338</v>
      </c>
      <c r="C129" s="113" t="s">
        <v>603</v>
      </c>
      <c r="D129" s="113" t="s">
        <v>199</v>
      </c>
      <c r="E129" s="113"/>
      <c r="F129" s="113" t="s">
        <v>80</v>
      </c>
      <c r="G129" s="113"/>
      <c r="H129" s="113"/>
      <c r="I129" s="113" t="s">
        <v>65</v>
      </c>
      <c r="J129" s="114">
        <v>2300</v>
      </c>
      <c r="K129" s="114">
        <v>2990</v>
      </c>
      <c r="L129" s="113"/>
      <c r="M129" s="113" t="s">
        <v>201</v>
      </c>
      <c r="N129" s="113"/>
      <c r="O129" s="113" t="s">
        <v>199</v>
      </c>
      <c r="P129" s="7" t="str">
        <f t="shared" si="1"/>
        <v>0</v>
      </c>
      <c r="Q129" s="7" t="str">
        <f>INDEX(Кат!$I:$I,MATCH($A129,Кат!$A:$A,0))</f>
        <v>ТЕХНОРЕССОР</v>
      </c>
    </row>
    <row r="130" spans="1:17" ht="30" x14ac:dyDescent="0.25">
      <c r="A130" s="112">
        <v>202027</v>
      </c>
      <c r="B130" s="112">
        <v>3317</v>
      </c>
      <c r="C130" s="113" t="s">
        <v>604</v>
      </c>
      <c r="D130" s="113" t="s">
        <v>199</v>
      </c>
      <c r="E130" s="113"/>
      <c r="F130" s="113" t="s">
        <v>166</v>
      </c>
      <c r="G130" s="113"/>
      <c r="H130" s="113"/>
      <c r="I130" s="113" t="s">
        <v>65</v>
      </c>
      <c r="J130" s="114">
        <v>2250</v>
      </c>
      <c r="K130" s="114">
        <v>2990</v>
      </c>
      <c r="L130" s="113"/>
      <c r="M130" s="113" t="s">
        <v>201</v>
      </c>
      <c r="N130" s="113"/>
      <c r="O130" s="113" t="s">
        <v>199</v>
      </c>
      <c r="P130" s="7" t="str">
        <f t="shared" ref="P130:P134" si="2">_xlfn.CONCAT(M130,IF(N130&lt;&gt;"",_xlfn.CONCAT("ск",N130),""))</f>
        <v>0</v>
      </c>
      <c r="Q130" s="7" t="str">
        <f>INDEX(Кат!$I:$I,MATCH($A130,Кат!$A:$A,0))</f>
        <v>ТЕХНОРЕССОР</v>
      </c>
    </row>
    <row r="131" spans="1:17" ht="30" x14ac:dyDescent="0.25">
      <c r="A131" s="112">
        <v>201868</v>
      </c>
      <c r="B131" s="112">
        <v>3356</v>
      </c>
      <c r="C131" s="113" t="s">
        <v>605</v>
      </c>
      <c r="D131" s="113" t="s">
        <v>199</v>
      </c>
      <c r="E131" s="113"/>
      <c r="F131" s="113" t="s">
        <v>169</v>
      </c>
      <c r="G131" s="113"/>
      <c r="H131" s="113"/>
      <c r="I131" s="113" t="s">
        <v>65</v>
      </c>
      <c r="J131" s="114">
        <v>3650</v>
      </c>
      <c r="K131" s="114">
        <v>4890</v>
      </c>
      <c r="L131" s="113"/>
      <c r="M131" s="113" t="s">
        <v>201</v>
      </c>
      <c r="N131" s="113"/>
      <c r="O131" s="113"/>
      <c r="P131" s="7" t="str">
        <f t="shared" si="2"/>
        <v>0</v>
      </c>
      <c r="Q131" s="7" t="str">
        <f>INDEX(Кат!$I:$I,MATCH($A131,Кат!$A:$A,0))</f>
        <v>ТЕХНОРЕССОР</v>
      </c>
    </row>
    <row r="132" spans="1:17" ht="30" x14ac:dyDescent="0.25">
      <c r="A132" s="112">
        <v>202028</v>
      </c>
      <c r="B132" s="112">
        <v>27100</v>
      </c>
      <c r="C132" s="113" t="s">
        <v>606</v>
      </c>
      <c r="D132" s="113" t="s">
        <v>199</v>
      </c>
      <c r="E132" s="113"/>
      <c r="F132" s="113" t="s">
        <v>174</v>
      </c>
      <c r="G132" s="113"/>
      <c r="H132" s="113"/>
      <c r="I132" s="113" t="s">
        <v>65</v>
      </c>
      <c r="J132" s="114">
        <v>2450</v>
      </c>
      <c r="K132" s="114">
        <v>3190</v>
      </c>
      <c r="L132" s="113"/>
      <c r="M132" s="113" t="s">
        <v>201</v>
      </c>
      <c r="N132" s="113"/>
      <c r="O132" s="113" t="s">
        <v>199</v>
      </c>
      <c r="P132" s="7" t="str">
        <f t="shared" si="2"/>
        <v>0</v>
      </c>
      <c r="Q132" s="7" t="str">
        <f>INDEX(Кат!$I:$I,MATCH($A132,Кат!$A:$A,0))</f>
        <v>ТЕХНОРЕССОР</v>
      </c>
    </row>
    <row r="133" spans="1:17" ht="45" x14ac:dyDescent="0.25">
      <c r="A133" s="112">
        <v>202008</v>
      </c>
      <c r="B133" s="112">
        <v>57111</v>
      </c>
      <c r="C133" s="113" t="s">
        <v>607</v>
      </c>
      <c r="D133" s="113" t="s">
        <v>199</v>
      </c>
      <c r="E133" s="113"/>
      <c r="F133" s="113" t="s">
        <v>179</v>
      </c>
      <c r="G133" s="113"/>
      <c r="H133" s="113" t="s">
        <v>84</v>
      </c>
      <c r="I133" s="113" t="s">
        <v>65</v>
      </c>
      <c r="J133" s="114">
        <v>3750</v>
      </c>
      <c r="K133" s="114">
        <v>4990</v>
      </c>
      <c r="L133" s="113"/>
      <c r="M133" s="113" t="s">
        <v>201</v>
      </c>
      <c r="N133" s="113"/>
      <c r="O133" s="113" t="s">
        <v>199</v>
      </c>
      <c r="P133" s="7" t="str">
        <f t="shared" si="2"/>
        <v>0</v>
      </c>
      <c r="Q133" s="7" t="str">
        <f>INDEX(Кат!$I:$I,MATCH($A133,Кат!$A:$A,0))</f>
        <v>ТЕХНОРЕССОР</v>
      </c>
    </row>
    <row r="134" spans="1:17" ht="45" x14ac:dyDescent="0.25">
      <c r="A134" s="112">
        <v>201871</v>
      </c>
      <c r="B134" s="112">
        <v>3383</v>
      </c>
      <c r="C134" s="113" t="s">
        <v>608</v>
      </c>
      <c r="D134" s="113" t="s">
        <v>199</v>
      </c>
      <c r="E134" s="113"/>
      <c r="F134" s="113" t="s">
        <v>171</v>
      </c>
      <c r="G134" s="113"/>
      <c r="H134" s="113"/>
      <c r="I134" s="113" t="s">
        <v>65</v>
      </c>
      <c r="J134" s="114">
        <v>2500</v>
      </c>
      <c r="K134" s="114">
        <v>3390</v>
      </c>
      <c r="L134" s="113" t="s">
        <v>247</v>
      </c>
      <c r="M134" s="113" t="s">
        <v>2</v>
      </c>
      <c r="N134" s="113" t="s">
        <v>79</v>
      </c>
      <c r="O134" s="113" t="s">
        <v>199</v>
      </c>
      <c r="P134" s="7" t="str">
        <f t="shared" si="2"/>
        <v>1ск4</v>
      </c>
      <c r="Q134" s="7" t="str">
        <f>INDEX(Кат!$I:$I,MATCH($A134,Кат!$A:$A,0))</f>
        <v>ТЕХНОРЕССОР</v>
      </c>
    </row>
    <row r="135" spans="1:17" ht="30" x14ac:dyDescent="0.25">
      <c r="A135" s="112">
        <v>455507</v>
      </c>
      <c r="B135" s="112">
        <v>455507</v>
      </c>
      <c r="C135" s="113" t="s">
        <v>710</v>
      </c>
      <c r="D135" s="113" t="s">
        <v>199</v>
      </c>
      <c r="E135" s="113" t="s">
        <v>711</v>
      </c>
      <c r="F135" s="113"/>
      <c r="G135" s="113" t="s">
        <v>712</v>
      </c>
      <c r="H135" s="113"/>
      <c r="I135" s="113" t="s">
        <v>65</v>
      </c>
      <c r="J135" s="114">
        <v>2570</v>
      </c>
      <c r="K135" s="114">
        <v>3390</v>
      </c>
      <c r="L135" s="113"/>
      <c r="M135" s="113" t="s">
        <v>2</v>
      </c>
      <c r="N135" s="113" t="s">
        <v>79</v>
      </c>
      <c r="O135" s="113"/>
      <c r="P135" s="7" t="str">
        <f t="shared" ref="P135:P136" si="3">_xlfn.CONCAT(M135,IF(N135&lt;&gt;"",_xlfn.CONCAT("ск",N135),""))</f>
        <v>1ск4</v>
      </c>
      <c r="Q135" s="7" t="str">
        <f>INDEX(Кат!$I:$I,MATCH($A135,Кат!$A:$A,0))</f>
        <v>ТЕХНОРЕССОР</v>
      </c>
    </row>
    <row r="136" spans="1:17" ht="30" x14ac:dyDescent="0.25">
      <c r="A136" s="112">
        <v>455508</v>
      </c>
      <c r="B136" s="112">
        <v>455508</v>
      </c>
      <c r="C136" s="113" t="s">
        <v>713</v>
      </c>
      <c r="D136" s="113" t="s">
        <v>199</v>
      </c>
      <c r="E136" s="113" t="s">
        <v>714</v>
      </c>
      <c r="F136" s="113"/>
      <c r="G136" s="113" t="s">
        <v>715</v>
      </c>
      <c r="H136" s="113"/>
      <c r="I136" s="113" t="s">
        <v>65</v>
      </c>
      <c r="J136" s="114">
        <v>2461</v>
      </c>
      <c r="K136" s="114">
        <v>3290</v>
      </c>
      <c r="L136" s="113"/>
      <c r="M136" s="113" t="s">
        <v>2</v>
      </c>
      <c r="N136" s="113" t="s">
        <v>79</v>
      </c>
      <c r="O136" s="113"/>
      <c r="P136" s="7" t="str">
        <f t="shared" si="3"/>
        <v>1ск4</v>
      </c>
      <c r="Q136" s="7" t="str">
        <f>INDEX(Кат!$I:$I,MATCH($A136,Кат!$A:$A,0))</f>
        <v>ТЕХНОРЕССОР</v>
      </c>
    </row>
  </sheetData>
  <autoFilter ref="A1:Q136" xr:uid="{89D438FD-8CBA-4B0B-B684-8A1A6852F2DB}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4B4B1-A9EE-4AF6-8F94-501C2747FF4A}">
  <sheetPr codeName="Лист7">
    <outlinePr summaryBelow="0"/>
  </sheetPr>
  <dimension ref="A1:R60"/>
  <sheetViews>
    <sheetView showRuler="0" zoomScaleNormal="100" workbookViewId="0">
      <pane ySplit="1" topLeftCell="A59" activePane="bottomLeft" state="frozen"/>
      <selection pane="bottomLeft" sqref="A1:P60"/>
    </sheetView>
  </sheetViews>
  <sheetFormatPr defaultRowHeight="15" x14ac:dyDescent="0.25"/>
  <cols>
    <col min="1" max="1" width="22.28515625" style="101" customWidth="1"/>
    <col min="2" max="3" width="7.7109375" style="101" customWidth="1"/>
    <col min="4" max="4" width="22.28515625" style="101" customWidth="1"/>
    <col min="5" max="5" width="2.28515625" style="101" customWidth="1"/>
    <col min="6" max="9" width="22.28515625" style="101" customWidth="1"/>
    <col min="10" max="10" width="8.85546875" style="101" customWidth="1"/>
    <col min="11" max="12" width="7.7109375" style="101" customWidth="1"/>
    <col min="13" max="13" width="33.28515625" style="101" customWidth="1"/>
    <col min="14" max="15" width="5.5703125" style="101" customWidth="1"/>
    <col min="16" max="16" width="7.7109375" style="101" customWidth="1"/>
    <col min="17" max="17" width="9.140625" style="34"/>
    <col min="18" max="18" width="13.5703125" style="34" customWidth="1"/>
    <col min="19" max="16384" width="9.140625" style="34"/>
  </cols>
  <sheetData>
    <row r="1" spans="1:18" s="35" customFormat="1" ht="45" x14ac:dyDescent="0.25">
      <c r="A1" s="115" t="s">
        <v>202</v>
      </c>
      <c r="B1" s="115" t="s">
        <v>0</v>
      </c>
      <c r="C1" s="115" t="s">
        <v>716</v>
      </c>
      <c r="D1" s="115" t="s">
        <v>706</v>
      </c>
      <c r="E1" s="115" t="s">
        <v>197</v>
      </c>
      <c r="F1" s="115" t="s">
        <v>454</v>
      </c>
      <c r="G1" s="115" t="s">
        <v>723</v>
      </c>
      <c r="H1" s="115" t="s">
        <v>707</v>
      </c>
      <c r="I1" s="115" t="s">
        <v>722</v>
      </c>
      <c r="J1" s="115" t="s">
        <v>69</v>
      </c>
      <c r="K1" s="115" t="s">
        <v>339</v>
      </c>
      <c r="L1" s="115" t="s">
        <v>338</v>
      </c>
      <c r="M1" s="115" t="s">
        <v>708</v>
      </c>
      <c r="N1" s="115" t="s">
        <v>198</v>
      </c>
      <c r="O1" s="115" t="s">
        <v>303</v>
      </c>
      <c r="P1" s="115" t="s">
        <v>68</v>
      </c>
      <c r="Q1" s="7"/>
      <c r="R1" s="7"/>
    </row>
    <row r="2" spans="1:18" ht="75" x14ac:dyDescent="0.25">
      <c r="A2" s="117" t="s">
        <v>609</v>
      </c>
      <c r="B2" s="116">
        <v>145463</v>
      </c>
      <c r="C2" s="116">
        <v>108577</v>
      </c>
      <c r="D2" s="117" t="s">
        <v>610</v>
      </c>
      <c r="E2" s="117" t="s">
        <v>200</v>
      </c>
      <c r="F2" s="117"/>
      <c r="G2" s="117"/>
      <c r="H2" s="117"/>
      <c r="I2" s="117"/>
      <c r="J2" s="117" t="s">
        <v>65</v>
      </c>
      <c r="K2" s="118">
        <v>2550</v>
      </c>
      <c r="L2" s="118">
        <v>3690</v>
      </c>
      <c r="M2" s="117" t="s">
        <v>278</v>
      </c>
      <c r="N2" s="116">
        <v>0</v>
      </c>
      <c r="O2" s="116"/>
      <c r="P2" s="117"/>
      <c r="Q2" s="7" t="str">
        <f>_xlfn.CONCAT(N2,IF(O2&lt;&gt;"",_xlfn.CONCAT("ск",O2),""))</f>
        <v>0</v>
      </c>
      <c r="R2" s="7" t="str">
        <f>INDEX(Торг!$J:$J,MATCH($B2,Торг!$B:$B,0))</f>
        <v>ТЕХНОРЕССОР</v>
      </c>
    </row>
    <row r="3" spans="1:18" ht="75" x14ac:dyDescent="0.25">
      <c r="A3" s="117" t="s">
        <v>609</v>
      </c>
      <c r="B3" s="116">
        <v>145464</v>
      </c>
      <c r="C3" s="116">
        <v>108573</v>
      </c>
      <c r="D3" s="117" t="s">
        <v>611</v>
      </c>
      <c r="E3" s="117" t="s">
        <v>200</v>
      </c>
      <c r="F3" s="117"/>
      <c r="G3" s="117"/>
      <c r="H3" s="117"/>
      <c r="I3" s="117"/>
      <c r="J3" s="117" t="s">
        <v>65</v>
      </c>
      <c r="K3" s="118">
        <v>2550</v>
      </c>
      <c r="L3" s="118">
        <v>3690</v>
      </c>
      <c r="M3" s="117" t="s">
        <v>279</v>
      </c>
      <c r="N3" s="116">
        <v>1</v>
      </c>
      <c r="O3" s="116">
        <v>4</v>
      </c>
      <c r="P3" s="117"/>
      <c r="Q3" s="7" t="str">
        <f t="shared" ref="Q3:Q60" si="0">_xlfn.CONCAT(N3,IF(O3&lt;&gt;"",_xlfn.CONCAT("ск",O3),""))</f>
        <v>1ск4</v>
      </c>
      <c r="R3" s="7" t="str">
        <f>INDEX(Торг!$J:$J,MATCH($B3,Торг!$B:$B,0))</f>
        <v>ТЕХНОРЕССОР</v>
      </c>
    </row>
    <row r="4" spans="1:18" ht="75" x14ac:dyDescent="0.25">
      <c r="A4" s="117" t="s">
        <v>609</v>
      </c>
      <c r="B4" s="116">
        <v>145465</v>
      </c>
      <c r="C4" s="116">
        <v>108574</v>
      </c>
      <c r="D4" s="117" t="s">
        <v>612</v>
      </c>
      <c r="E4" s="117" t="s">
        <v>200</v>
      </c>
      <c r="F4" s="117"/>
      <c r="G4" s="117"/>
      <c r="H4" s="117"/>
      <c r="I4" s="117"/>
      <c r="J4" s="117" t="s">
        <v>65</v>
      </c>
      <c r="K4" s="118">
        <v>2550</v>
      </c>
      <c r="L4" s="118">
        <v>3690</v>
      </c>
      <c r="M4" s="117" t="s">
        <v>280</v>
      </c>
      <c r="N4" s="116">
        <v>1</v>
      </c>
      <c r="O4" s="116"/>
      <c r="P4" s="117"/>
      <c r="Q4" s="7" t="str">
        <f t="shared" si="0"/>
        <v>1</v>
      </c>
      <c r="R4" s="7" t="str">
        <f>INDEX(Торг!$J:$J,MATCH($B4,Торг!$B:$B,0))</f>
        <v>ТЕХНОРЕССОР</v>
      </c>
    </row>
    <row r="5" spans="1:18" ht="75" x14ac:dyDescent="0.25">
      <c r="A5" s="117" t="s">
        <v>609</v>
      </c>
      <c r="B5" s="116">
        <v>145466</v>
      </c>
      <c r="C5" s="116">
        <v>108575</v>
      </c>
      <c r="D5" s="117" t="s">
        <v>613</v>
      </c>
      <c r="E5" s="117" t="s">
        <v>200</v>
      </c>
      <c r="F5" s="117"/>
      <c r="G5" s="117"/>
      <c r="H5" s="117"/>
      <c r="I5" s="117"/>
      <c r="J5" s="117" t="s">
        <v>65</v>
      </c>
      <c r="K5" s="118">
        <v>2550</v>
      </c>
      <c r="L5" s="118">
        <v>3590</v>
      </c>
      <c r="M5" s="117" t="s">
        <v>281</v>
      </c>
      <c r="N5" s="116">
        <v>0</v>
      </c>
      <c r="O5" s="116"/>
      <c r="P5" s="117"/>
      <c r="Q5" s="7" t="str">
        <f t="shared" si="0"/>
        <v>0</v>
      </c>
      <c r="R5" s="7" t="str">
        <f>INDEX(Торг!$J:$J,MATCH($B5,Торг!$B:$B,0))</f>
        <v>ТЕХНОРЕССОР</v>
      </c>
    </row>
    <row r="6" spans="1:18" ht="75" x14ac:dyDescent="0.25">
      <c r="A6" s="117" t="s">
        <v>609</v>
      </c>
      <c r="B6" s="116">
        <v>145467</v>
      </c>
      <c r="C6" s="116">
        <v>108576</v>
      </c>
      <c r="D6" s="117" t="s">
        <v>614</v>
      </c>
      <c r="E6" s="117" t="s">
        <v>200</v>
      </c>
      <c r="F6" s="117"/>
      <c r="G6" s="117"/>
      <c r="H6" s="117"/>
      <c r="I6" s="117"/>
      <c r="J6" s="117" t="s">
        <v>65</v>
      </c>
      <c r="K6" s="118">
        <v>2550</v>
      </c>
      <c r="L6" s="118">
        <v>3690</v>
      </c>
      <c r="M6" s="117" t="s">
        <v>282</v>
      </c>
      <c r="N6" s="116">
        <v>1</v>
      </c>
      <c r="O6" s="116"/>
      <c r="P6" s="117"/>
      <c r="Q6" s="7" t="str">
        <f t="shared" si="0"/>
        <v>1</v>
      </c>
      <c r="R6" s="7" t="str">
        <f>INDEX(Торг!$J:$J,MATCH($B6,Торг!$B:$B,0))</f>
        <v>ТЕХНОРЕССОР</v>
      </c>
    </row>
    <row r="7" spans="1:18" ht="75" x14ac:dyDescent="0.25">
      <c r="A7" s="117" t="s">
        <v>615</v>
      </c>
      <c r="B7" s="116">
        <v>187446</v>
      </c>
      <c r="C7" s="116">
        <v>108587</v>
      </c>
      <c r="D7" s="117" t="s">
        <v>616</v>
      </c>
      <c r="E7" s="117" t="s">
        <v>200</v>
      </c>
      <c r="F7" s="117"/>
      <c r="G7" s="117"/>
      <c r="H7" s="117"/>
      <c r="I7" s="117"/>
      <c r="J7" s="117" t="s">
        <v>65</v>
      </c>
      <c r="K7" s="118">
        <v>2550</v>
      </c>
      <c r="L7" s="118">
        <v>3390</v>
      </c>
      <c r="M7" s="117" t="s">
        <v>283</v>
      </c>
      <c r="N7" s="116">
        <v>1</v>
      </c>
      <c r="O7" s="116">
        <v>4</v>
      </c>
      <c r="P7" s="117"/>
      <c r="Q7" s="7" t="str">
        <f t="shared" si="0"/>
        <v>1ск4</v>
      </c>
      <c r="R7" s="7" t="str">
        <f>INDEX(Торг!$J:$J,MATCH($B7,Торг!$B:$B,0))</f>
        <v>ТЕХНОРЕССОР</v>
      </c>
    </row>
    <row r="8" spans="1:18" ht="75" x14ac:dyDescent="0.25">
      <c r="A8" s="117" t="s">
        <v>615</v>
      </c>
      <c r="B8" s="116">
        <v>187447</v>
      </c>
      <c r="C8" s="116">
        <v>108583</v>
      </c>
      <c r="D8" s="117" t="s">
        <v>617</v>
      </c>
      <c r="E8" s="117" t="s">
        <v>200</v>
      </c>
      <c r="F8" s="117"/>
      <c r="G8" s="117"/>
      <c r="H8" s="117"/>
      <c r="I8" s="117"/>
      <c r="J8" s="117" t="s">
        <v>65</v>
      </c>
      <c r="K8" s="118">
        <v>2550</v>
      </c>
      <c r="L8" s="118">
        <v>3690</v>
      </c>
      <c r="M8" s="117" t="s">
        <v>284</v>
      </c>
      <c r="N8" s="116">
        <v>1</v>
      </c>
      <c r="O8" s="116"/>
      <c r="P8" s="117"/>
      <c r="Q8" s="7" t="str">
        <f t="shared" si="0"/>
        <v>1</v>
      </c>
      <c r="R8" s="7" t="str">
        <f>INDEX(Торг!$J:$J,MATCH($B8,Торг!$B:$B,0))</f>
        <v>ТЕХНОРЕССОР</v>
      </c>
    </row>
    <row r="9" spans="1:18" ht="75" x14ac:dyDescent="0.25">
      <c r="A9" s="117" t="s">
        <v>615</v>
      </c>
      <c r="B9" s="116">
        <v>187448</v>
      </c>
      <c r="C9" s="116">
        <v>108584</v>
      </c>
      <c r="D9" s="117" t="s">
        <v>618</v>
      </c>
      <c r="E9" s="117" t="s">
        <v>200</v>
      </c>
      <c r="F9" s="117"/>
      <c r="G9" s="117"/>
      <c r="H9" s="117"/>
      <c r="I9" s="117"/>
      <c r="J9" s="117" t="s">
        <v>65</v>
      </c>
      <c r="K9" s="118">
        <v>2550</v>
      </c>
      <c r="L9" s="118">
        <v>3690</v>
      </c>
      <c r="M9" s="117" t="s">
        <v>285</v>
      </c>
      <c r="N9" s="116">
        <v>1</v>
      </c>
      <c r="O9" s="116">
        <v>4</v>
      </c>
      <c r="P9" s="117"/>
      <c r="Q9" s="7" t="str">
        <f t="shared" si="0"/>
        <v>1ск4</v>
      </c>
      <c r="R9" s="7" t="str">
        <f>INDEX(Торг!$J:$J,MATCH($B9,Торг!$B:$B,0))</f>
        <v>ТЕХНОРЕССОР</v>
      </c>
    </row>
    <row r="10" spans="1:18" ht="75" x14ac:dyDescent="0.25">
      <c r="A10" s="117" t="s">
        <v>615</v>
      </c>
      <c r="B10" s="116">
        <v>187449</v>
      </c>
      <c r="C10" s="116">
        <v>108585</v>
      </c>
      <c r="D10" s="117" t="s">
        <v>619</v>
      </c>
      <c r="E10" s="117" t="s">
        <v>200</v>
      </c>
      <c r="F10" s="117"/>
      <c r="G10" s="117"/>
      <c r="H10" s="117"/>
      <c r="I10" s="117"/>
      <c r="J10" s="117" t="s">
        <v>65</v>
      </c>
      <c r="K10" s="118">
        <v>2550</v>
      </c>
      <c r="L10" s="118">
        <v>3590</v>
      </c>
      <c r="M10" s="117" t="s">
        <v>286</v>
      </c>
      <c r="N10" s="116">
        <v>1</v>
      </c>
      <c r="O10" s="116"/>
      <c r="P10" s="117"/>
      <c r="Q10" s="7" t="str">
        <f t="shared" si="0"/>
        <v>1</v>
      </c>
      <c r="R10" s="7" t="str">
        <f>INDEX(Торг!$J:$J,MATCH($B10,Торг!$B:$B,0))</f>
        <v>ТЕХНОРЕССОР</v>
      </c>
    </row>
    <row r="11" spans="1:18" ht="75" x14ac:dyDescent="0.25">
      <c r="A11" s="117" t="s">
        <v>615</v>
      </c>
      <c r="B11" s="116">
        <v>187450</v>
      </c>
      <c r="C11" s="116">
        <v>108586</v>
      </c>
      <c r="D11" s="117" t="s">
        <v>620</v>
      </c>
      <c r="E11" s="117" t="s">
        <v>200</v>
      </c>
      <c r="F11" s="117"/>
      <c r="G11" s="117"/>
      <c r="H11" s="117"/>
      <c r="I11" s="117"/>
      <c r="J11" s="117" t="s">
        <v>65</v>
      </c>
      <c r="K11" s="118">
        <v>2550</v>
      </c>
      <c r="L11" s="118">
        <v>3690</v>
      </c>
      <c r="M11" s="117" t="s">
        <v>287</v>
      </c>
      <c r="N11" s="116">
        <v>1</v>
      </c>
      <c r="O11" s="116"/>
      <c r="P11" s="117"/>
      <c r="Q11" s="7" t="str">
        <f t="shared" si="0"/>
        <v>1</v>
      </c>
      <c r="R11" s="7" t="str">
        <f>INDEX(Торг!$J:$J,MATCH($B11,Торг!$B:$B,0))</f>
        <v>ТЕХНОРЕССОР</v>
      </c>
    </row>
    <row r="12" spans="1:18" ht="150" x14ac:dyDescent="0.25">
      <c r="A12" s="117" t="s">
        <v>621</v>
      </c>
      <c r="B12" s="116">
        <v>201904</v>
      </c>
      <c r="C12" s="116">
        <v>108764</v>
      </c>
      <c r="D12" s="117" t="s">
        <v>622</v>
      </c>
      <c r="E12" s="117" t="s">
        <v>200</v>
      </c>
      <c r="F12" s="117"/>
      <c r="G12" s="117"/>
      <c r="H12" s="117"/>
      <c r="I12" s="117"/>
      <c r="J12" s="117" t="s">
        <v>65</v>
      </c>
      <c r="K12" s="118">
        <v>2850</v>
      </c>
      <c r="L12" s="118">
        <v>4290</v>
      </c>
      <c r="M12" s="117" t="s">
        <v>272</v>
      </c>
      <c r="N12" s="116">
        <v>1</v>
      </c>
      <c r="O12" s="116"/>
      <c r="P12" s="117"/>
      <c r="Q12" s="7" t="str">
        <f t="shared" si="0"/>
        <v>1</v>
      </c>
      <c r="R12" s="7" t="str">
        <f>INDEX(Торг!$J:$J,MATCH($B12,Торг!$B:$B,0))</f>
        <v>ТЕХНОРЕССОР</v>
      </c>
    </row>
    <row r="13" spans="1:18" ht="150" x14ac:dyDescent="0.25">
      <c r="A13" s="117" t="s">
        <v>621</v>
      </c>
      <c r="B13" s="116">
        <v>201905</v>
      </c>
      <c r="C13" s="116">
        <v>108760</v>
      </c>
      <c r="D13" s="117" t="s">
        <v>623</v>
      </c>
      <c r="E13" s="117" t="s">
        <v>200</v>
      </c>
      <c r="F13" s="117"/>
      <c r="G13" s="117"/>
      <c r="H13" s="117"/>
      <c r="I13" s="117"/>
      <c r="J13" s="117" t="s">
        <v>65</v>
      </c>
      <c r="K13" s="118">
        <v>2850</v>
      </c>
      <c r="L13" s="118">
        <v>4090</v>
      </c>
      <c r="M13" s="117" t="s">
        <v>271</v>
      </c>
      <c r="N13" s="116">
        <v>1</v>
      </c>
      <c r="O13" s="116"/>
      <c r="P13" s="117"/>
      <c r="Q13" s="7" t="str">
        <f t="shared" si="0"/>
        <v>1</v>
      </c>
      <c r="R13" s="7" t="str">
        <f>INDEX(Торг!$J:$J,MATCH($B13,Торг!$B:$B,0))</f>
        <v>ТЕХНОРЕССОР</v>
      </c>
    </row>
    <row r="14" spans="1:18" ht="150" x14ac:dyDescent="0.25">
      <c r="A14" s="117" t="s">
        <v>621</v>
      </c>
      <c r="B14" s="116">
        <v>201906</v>
      </c>
      <c r="C14" s="116">
        <v>108761</v>
      </c>
      <c r="D14" s="117" t="s">
        <v>624</v>
      </c>
      <c r="E14" s="117" t="s">
        <v>200</v>
      </c>
      <c r="F14" s="117"/>
      <c r="G14" s="117"/>
      <c r="H14" s="117"/>
      <c r="I14" s="117"/>
      <c r="J14" s="117" t="s">
        <v>65</v>
      </c>
      <c r="K14" s="118">
        <v>2850</v>
      </c>
      <c r="L14" s="118">
        <v>4090</v>
      </c>
      <c r="M14" s="117" t="s">
        <v>270</v>
      </c>
      <c r="N14" s="116">
        <v>1</v>
      </c>
      <c r="O14" s="116">
        <v>4</v>
      </c>
      <c r="P14" s="117"/>
      <c r="Q14" s="7" t="str">
        <f t="shared" si="0"/>
        <v>1ск4</v>
      </c>
      <c r="R14" s="7" t="str">
        <f>INDEX(Торг!$J:$J,MATCH($B14,Торг!$B:$B,0))</f>
        <v>ТЕХНОРЕССОР</v>
      </c>
    </row>
    <row r="15" spans="1:18" ht="150" x14ac:dyDescent="0.25">
      <c r="A15" s="117" t="s">
        <v>621</v>
      </c>
      <c r="B15" s="116">
        <v>201907</v>
      </c>
      <c r="C15" s="116">
        <v>108762</v>
      </c>
      <c r="D15" s="117" t="s">
        <v>625</v>
      </c>
      <c r="E15" s="117" t="s">
        <v>200</v>
      </c>
      <c r="F15" s="117"/>
      <c r="G15" s="117"/>
      <c r="H15" s="117"/>
      <c r="I15" s="117"/>
      <c r="J15" s="117" t="s">
        <v>65</v>
      </c>
      <c r="K15" s="118">
        <v>2850</v>
      </c>
      <c r="L15" s="118">
        <v>4190</v>
      </c>
      <c r="M15" s="117" t="s">
        <v>269</v>
      </c>
      <c r="N15" s="116">
        <v>1</v>
      </c>
      <c r="O15" s="116"/>
      <c r="P15" s="117"/>
      <c r="Q15" s="7" t="str">
        <f t="shared" si="0"/>
        <v>1</v>
      </c>
      <c r="R15" s="7" t="str">
        <f>INDEX(Торг!$J:$J,MATCH($B15,Торг!$B:$B,0))</f>
        <v>ТЕХНОРЕССОР</v>
      </c>
    </row>
    <row r="16" spans="1:18" ht="150" x14ac:dyDescent="0.25">
      <c r="A16" s="117" t="s">
        <v>621</v>
      </c>
      <c r="B16" s="116">
        <v>201908</v>
      </c>
      <c r="C16" s="116">
        <v>108763</v>
      </c>
      <c r="D16" s="117" t="s">
        <v>626</v>
      </c>
      <c r="E16" s="117" t="s">
        <v>200</v>
      </c>
      <c r="F16" s="117"/>
      <c r="G16" s="117"/>
      <c r="H16" s="117"/>
      <c r="I16" s="117"/>
      <c r="J16" s="117" t="s">
        <v>65</v>
      </c>
      <c r="K16" s="118">
        <v>2850</v>
      </c>
      <c r="L16" s="118">
        <v>4090</v>
      </c>
      <c r="M16" s="117" t="s">
        <v>268</v>
      </c>
      <c r="N16" s="116">
        <v>1</v>
      </c>
      <c r="O16" s="116"/>
      <c r="P16" s="117"/>
      <c r="Q16" s="7" t="str">
        <f t="shared" si="0"/>
        <v>1</v>
      </c>
      <c r="R16" s="7" t="str">
        <f>INDEX(Торг!$J:$J,MATCH($B16,Торг!$B:$B,0))</f>
        <v>ТЕХНОРЕССОР</v>
      </c>
    </row>
    <row r="17" spans="1:18" ht="75" x14ac:dyDescent="0.25">
      <c r="A17" s="117" t="s">
        <v>627</v>
      </c>
      <c r="B17" s="116">
        <v>201910</v>
      </c>
      <c r="C17" s="116">
        <v>108810</v>
      </c>
      <c r="D17" s="117" t="s">
        <v>628</v>
      </c>
      <c r="E17" s="117" t="s">
        <v>200</v>
      </c>
      <c r="F17" s="117"/>
      <c r="G17" s="117"/>
      <c r="H17" s="117"/>
      <c r="I17" s="117"/>
      <c r="J17" s="117" t="s">
        <v>65</v>
      </c>
      <c r="K17" s="118">
        <v>4000</v>
      </c>
      <c r="L17" s="118">
        <v>5590</v>
      </c>
      <c r="M17" s="117" t="s">
        <v>288</v>
      </c>
      <c r="N17" s="116">
        <v>1</v>
      </c>
      <c r="O17" s="116"/>
      <c r="P17" s="117"/>
      <c r="Q17" s="7" t="str">
        <f t="shared" si="0"/>
        <v>1</v>
      </c>
      <c r="R17" s="7" t="str">
        <f>INDEX(Торг!$J:$J,MATCH($B17,Торг!$B:$B,0))</f>
        <v>ТЕХНОРЕССОР</v>
      </c>
    </row>
    <row r="18" spans="1:18" ht="75" x14ac:dyDescent="0.25">
      <c r="A18" s="117" t="s">
        <v>627</v>
      </c>
      <c r="B18" s="116">
        <v>201911</v>
      </c>
      <c r="C18" s="116">
        <v>108811</v>
      </c>
      <c r="D18" s="117" t="s">
        <v>629</v>
      </c>
      <c r="E18" s="117" t="s">
        <v>200</v>
      </c>
      <c r="F18" s="117"/>
      <c r="G18" s="117"/>
      <c r="H18" s="117"/>
      <c r="I18" s="117"/>
      <c r="J18" s="117" t="s">
        <v>65</v>
      </c>
      <c r="K18" s="118">
        <v>4000</v>
      </c>
      <c r="L18" s="118">
        <v>5190</v>
      </c>
      <c r="M18" s="117" t="s">
        <v>289</v>
      </c>
      <c r="N18" s="116">
        <v>1</v>
      </c>
      <c r="O18" s="116"/>
      <c r="P18" s="117"/>
      <c r="Q18" s="7" t="str">
        <f t="shared" si="0"/>
        <v>1</v>
      </c>
      <c r="R18" s="7" t="str">
        <f>INDEX(Торг!$J:$J,MATCH($B18,Торг!$B:$B,0))</f>
        <v>ТЕХНОРЕССОР</v>
      </c>
    </row>
    <row r="19" spans="1:18" ht="75" x14ac:dyDescent="0.25">
      <c r="A19" s="117" t="s">
        <v>627</v>
      </c>
      <c r="B19" s="116">
        <v>201912</v>
      </c>
      <c r="C19" s="116">
        <v>108812</v>
      </c>
      <c r="D19" s="117" t="s">
        <v>630</v>
      </c>
      <c r="E19" s="117" t="s">
        <v>200</v>
      </c>
      <c r="F19" s="117"/>
      <c r="G19" s="117"/>
      <c r="H19" s="117"/>
      <c r="I19" s="117"/>
      <c r="J19" s="117" t="s">
        <v>65</v>
      </c>
      <c r="K19" s="118">
        <v>4000</v>
      </c>
      <c r="L19" s="118">
        <v>5190</v>
      </c>
      <c r="M19" s="117" t="s">
        <v>290</v>
      </c>
      <c r="N19" s="116">
        <v>1</v>
      </c>
      <c r="O19" s="116"/>
      <c r="P19" s="117"/>
      <c r="Q19" s="7" t="str">
        <f t="shared" si="0"/>
        <v>1</v>
      </c>
      <c r="R19" s="7" t="str">
        <f>INDEX(Торг!$J:$J,MATCH($B19,Торг!$B:$B,0))</f>
        <v>ТЕХНОРЕССОР</v>
      </c>
    </row>
    <row r="20" spans="1:18" ht="135" x14ac:dyDescent="0.25">
      <c r="A20" s="117" t="s">
        <v>631</v>
      </c>
      <c r="B20" s="116">
        <v>201925</v>
      </c>
      <c r="C20" s="116">
        <v>127251</v>
      </c>
      <c r="D20" s="117" t="s">
        <v>632</v>
      </c>
      <c r="E20" s="117" t="s">
        <v>200</v>
      </c>
      <c r="F20" s="117"/>
      <c r="G20" s="117" t="s">
        <v>304</v>
      </c>
      <c r="H20" s="117"/>
      <c r="I20" s="117" t="s">
        <v>148</v>
      </c>
      <c r="J20" s="117" t="s">
        <v>65</v>
      </c>
      <c r="K20" s="118">
        <v>3150</v>
      </c>
      <c r="L20" s="118">
        <v>4090</v>
      </c>
      <c r="M20" s="117"/>
      <c r="N20" s="116">
        <v>1</v>
      </c>
      <c r="O20" s="116"/>
      <c r="P20" s="117"/>
      <c r="Q20" s="7" t="str">
        <f t="shared" si="0"/>
        <v>1</v>
      </c>
      <c r="R20" s="7" t="str">
        <f>INDEX(Торг!$J:$J,MATCH($B20,Торг!$B:$B,0))</f>
        <v>ТЕХНОРЕССОР</v>
      </c>
    </row>
    <row r="21" spans="1:18" ht="135" x14ac:dyDescent="0.25">
      <c r="A21" s="117" t="s">
        <v>631</v>
      </c>
      <c r="B21" s="116">
        <v>201926</v>
      </c>
      <c r="C21" s="116">
        <v>127250</v>
      </c>
      <c r="D21" s="117" t="s">
        <v>633</v>
      </c>
      <c r="E21" s="117" t="s">
        <v>200</v>
      </c>
      <c r="F21" s="117"/>
      <c r="G21" s="117" t="s">
        <v>305</v>
      </c>
      <c r="H21" s="117"/>
      <c r="I21" s="117" t="s">
        <v>147</v>
      </c>
      <c r="J21" s="117" t="s">
        <v>65</v>
      </c>
      <c r="K21" s="118">
        <v>3200</v>
      </c>
      <c r="L21" s="118">
        <v>4190</v>
      </c>
      <c r="M21" s="117"/>
      <c r="N21" s="116">
        <v>1</v>
      </c>
      <c r="O21" s="116"/>
      <c r="P21" s="117"/>
      <c r="Q21" s="7" t="str">
        <f t="shared" si="0"/>
        <v>1</v>
      </c>
      <c r="R21" s="7" t="str">
        <f>INDEX(Торг!$J:$J,MATCH($B21,Торг!$B:$B,0))</f>
        <v>ТЕХНОРЕССОР</v>
      </c>
    </row>
    <row r="22" spans="1:18" ht="135" x14ac:dyDescent="0.25">
      <c r="A22" s="117" t="s">
        <v>631</v>
      </c>
      <c r="B22" s="116">
        <v>201927</v>
      </c>
      <c r="C22" s="116">
        <v>127252</v>
      </c>
      <c r="D22" s="117" t="s">
        <v>634</v>
      </c>
      <c r="E22" s="117" t="s">
        <v>200</v>
      </c>
      <c r="F22" s="117"/>
      <c r="G22" s="117" t="s">
        <v>306</v>
      </c>
      <c r="H22" s="117"/>
      <c r="I22" s="117" t="s">
        <v>149</v>
      </c>
      <c r="J22" s="117" t="s">
        <v>65</v>
      </c>
      <c r="K22" s="118">
        <v>3200</v>
      </c>
      <c r="L22" s="118">
        <v>4190</v>
      </c>
      <c r="M22" s="117"/>
      <c r="N22" s="116">
        <v>1</v>
      </c>
      <c r="O22" s="116"/>
      <c r="P22" s="117"/>
      <c r="Q22" s="7" t="str">
        <f t="shared" si="0"/>
        <v>1</v>
      </c>
      <c r="R22" s="7" t="str">
        <f>INDEX(Торг!$J:$J,MATCH($B22,Торг!$B:$B,0))</f>
        <v>ТЕХНОРЕССОР</v>
      </c>
    </row>
    <row r="23" spans="1:18" ht="135" x14ac:dyDescent="0.25">
      <c r="A23" s="117" t="s">
        <v>631</v>
      </c>
      <c r="B23" s="116">
        <v>201928</v>
      </c>
      <c r="C23" s="116">
        <v>127253</v>
      </c>
      <c r="D23" s="117" t="s">
        <v>635</v>
      </c>
      <c r="E23" s="117" t="s">
        <v>200</v>
      </c>
      <c r="F23" s="117"/>
      <c r="G23" s="117" t="s">
        <v>307</v>
      </c>
      <c r="H23" s="117"/>
      <c r="I23" s="117" t="s">
        <v>150</v>
      </c>
      <c r="J23" s="117" t="s">
        <v>65</v>
      </c>
      <c r="K23" s="118">
        <v>3200</v>
      </c>
      <c r="L23" s="118">
        <v>4190</v>
      </c>
      <c r="M23" s="117"/>
      <c r="N23" s="116">
        <v>0</v>
      </c>
      <c r="O23" s="116"/>
      <c r="P23" s="117"/>
      <c r="Q23" s="7" t="str">
        <f t="shared" si="0"/>
        <v>0</v>
      </c>
      <c r="R23" s="7" t="str">
        <f>INDEX(Торг!$J:$J,MATCH($B23,Торг!$B:$B,0))</f>
        <v>ТЕХНОРЕССОР</v>
      </c>
    </row>
    <row r="24" spans="1:18" ht="135" x14ac:dyDescent="0.25">
      <c r="A24" s="117" t="s">
        <v>631</v>
      </c>
      <c r="B24" s="116">
        <v>201929</v>
      </c>
      <c r="C24" s="116">
        <v>127254</v>
      </c>
      <c r="D24" s="117" t="s">
        <v>636</v>
      </c>
      <c r="E24" s="117" t="s">
        <v>200</v>
      </c>
      <c r="F24" s="117"/>
      <c r="G24" s="117" t="s">
        <v>308</v>
      </c>
      <c r="H24" s="117"/>
      <c r="I24" s="117" t="s">
        <v>151</v>
      </c>
      <c r="J24" s="117" t="s">
        <v>65</v>
      </c>
      <c r="K24" s="118">
        <v>3200</v>
      </c>
      <c r="L24" s="118">
        <v>4890</v>
      </c>
      <c r="M24" s="117"/>
      <c r="N24" s="116">
        <v>1</v>
      </c>
      <c r="O24" s="116"/>
      <c r="P24" s="117"/>
      <c r="Q24" s="7" t="str">
        <f t="shared" si="0"/>
        <v>1</v>
      </c>
      <c r="R24" s="7" t="str">
        <f>INDEX(Торг!$J:$J,MATCH($B24,Торг!$B:$B,0))</f>
        <v>ТЕХНОРЕССОР</v>
      </c>
    </row>
    <row r="25" spans="1:18" ht="75" x14ac:dyDescent="0.25">
      <c r="A25" s="117" t="s">
        <v>637</v>
      </c>
      <c r="B25" s="116">
        <v>201931</v>
      </c>
      <c r="C25" s="116">
        <v>127031</v>
      </c>
      <c r="D25" s="117" t="s">
        <v>638</v>
      </c>
      <c r="E25" s="117" t="s">
        <v>200</v>
      </c>
      <c r="F25" s="117"/>
      <c r="G25" s="117" t="s">
        <v>203</v>
      </c>
      <c r="H25" s="117"/>
      <c r="I25" s="117" t="s">
        <v>152</v>
      </c>
      <c r="J25" s="117" t="s">
        <v>65</v>
      </c>
      <c r="K25" s="118">
        <v>3800</v>
      </c>
      <c r="L25" s="118">
        <v>4990</v>
      </c>
      <c r="M25" s="117"/>
      <c r="N25" s="116">
        <v>1</v>
      </c>
      <c r="O25" s="116"/>
      <c r="P25" s="117"/>
      <c r="Q25" s="7" t="str">
        <f t="shared" si="0"/>
        <v>1</v>
      </c>
      <c r="R25" s="7" t="str">
        <f>INDEX(Торг!$J:$J,MATCH($B25,Торг!$B:$B,0))</f>
        <v>ТЕХНОРЕССОР</v>
      </c>
    </row>
    <row r="26" spans="1:18" ht="75" x14ac:dyDescent="0.25">
      <c r="A26" s="117" t="s">
        <v>637</v>
      </c>
      <c r="B26" s="116">
        <v>201932</v>
      </c>
      <c r="C26" s="116">
        <v>127032</v>
      </c>
      <c r="D26" s="117" t="s">
        <v>639</v>
      </c>
      <c r="E26" s="117" t="s">
        <v>200</v>
      </c>
      <c r="F26" s="117"/>
      <c r="G26" s="117"/>
      <c r="H26" s="117"/>
      <c r="I26" s="117"/>
      <c r="J26" s="117" t="s">
        <v>65</v>
      </c>
      <c r="K26" s="118">
        <v>3550</v>
      </c>
      <c r="L26" s="118">
        <v>4690</v>
      </c>
      <c r="M26" s="117"/>
      <c r="N26" s="116">
        <v>1</v>
      </c>
      <c r="O26" s="116"/>
      <c r="P26" s="117"/>
      <c r="Q26" s="7" t="str">
        <f t="shared" si="0"/>
        <v>1</v>
      </c>
      <c r="R26" s="7" t="str">
        <f>INDEX(Торг!$J:$J,MATCH($B26,Торг!$B:$B,0))</f>
        <v>ТЕХНОРЕССОР</v>
      </c>
    </row>
    <row r="27" spans="1:18" ht="75" x14ac:dyDescent="0.25">
      <c r="A27" s="117" t="s">
        <v>637</v>
      </c>
      <c r="B27" s="116">
        <v>201933</v>
      </c>
      <c r="C27" s="116">
        <v>127033</v>
      </c>
      <c r="D27" s="117" t="s">
        <v>640</v>
      </c>
      <c r="E27" s="117" t="s">
        <v>200</v>
      </c>
      <c r="F27" s="117"/>
      <c r="G27" s="117" t="s">
        <v>204</v>
      </c>
      <c r="H27" s="117"/>
      <c r="I27" s="117" t="s">
        <v>153</v>
      </c>
      <c r="J27" s="117" t="s">
        <v>65</v>
      </c>
      <c r="K27" s="118">
        <v>3800</v>
      </c>
      <c r="L27" s="118">
        <v>4990</v>
      </c>
      <c r="M27" s="117"/>
      <c r="N27" s="116">
        <v>1</v>
      </c>
      <c r="O27" s="116"/>
      <c r="P27" s="117"/>
      <c r="Q27" s="7" t="str">
        <f t="shared" si="0"/>
        <v>1</v>
      </c>
      <c r="R27" s="7" t="str">
        <f>INDEX(Торг!$J:$J,MATCH($B27,Торг!$B:$B,0))</f>
        <v>ТЕХНОРЕССОР</v>
      </c>
    </row>
    <row r="28" spans="1:18" ht="75" x14ac:dyDescent="0.25">
      <c r="A28" s="117" t="s">
        <v>637</v>
      </c>
      <c r="B28" s="116">
        <v>201934</v>
      </c>
      <c r="C28" s="116">
        <v>127034</v>
      </c>
      <c r="D28" s="117" t="s">
        <v>641</v>
      </c>
      <c r="E28" s="117" t="s">
        <v>200</v>
      </c>
      <c r="F28" s="117"/>
      <c r="G28" s="117" t="s">
        <v>205</v>
      </c>
      <c r="H28" s="117"/>
      <c r="I28" s="117" t="s">
        <v>154</v>
      </c>
      <c r="J28" s="117" t="s">
        <v>65</v>
      </c>
      <c r="K28" s="118">
        <v>3750</v>
      </c>
      <c r="L28" s="118">
        <v>4890</v>
      </c>
      <c r="M28" s="117"/>
      <c r="N28" s="116">
        <v>0</v>
      </c>
      <c r="O28" s="116"/>
      <c r="P28" s="117"/>
      <c r="Q28" s="7" t="str">
        <f t="shared" si="0"/>
        <v>0</v>
      </c>
      <c r="R28" s="7" t="str">
        <f>INDEX(Торг!$J:$J,MATCH($B28,Торг!$B:$B,0))</f>
        <v>ТЕХНОРЕССОР</v>
      </c>
    </row>
    <row r="29" spans="1:18" ht="105" x14ac:dyDescent="0.25">
      <c r="A29" s="117" t="s">
        <v>642</v>
      </c>
      <c r="B29" s="116">
        <v>201972</v>
      </c>
      <c r="C29" s="116">
        <v>108757</v>
      </c>
      <c r="D29" s="117" t="s">
        <v>643</v>
      </c>
      <c r="E29" s="117" t="s">
        <v>200</v>
      </c>
      <c r="F29" s="117"/>
      <c r="G29" s="117"/>
      <c r="H29" s="117"/>
      <c r="I29" s="117"/>
      <c r="J29" s="117" t="s">
        <v>65</v>
      </c>
      <c r="K29" s="118">
        <v>2650</v>
      </c>
      <c r="L29" s="118">
        <v>4290</v>
      </c>
      <c r="M29" s="117" t="s">
        <v>273</v>
      </c>
      <c r="N29" s="116">
        <v>1</v>
      </c>
      <c r="O29" s="116"/>
      <c r="P29" s="117"/>
      <c r="Q29" s="7" t="str">
        <f t="shared" si="0"/>
        <v>1</v>
      </c>
      <c r="R29" s="7" t="str">
        <f>INDEX(Торг!$J:$J,MATCH($B29,Торг!$B:$B,0))</f>
        <v>ТЕХНОРЕССОР</v>
      </c>
    </row>
    <row r="30" spans="1:18" ht="105" x14ac:dyDescent="0.25">
      <c r="A30" s="117" t="s">
        <v>642</v>
      </c>
      <c r="B30" s="116">
        <v>201973</v>
      </c>
      <c r="C30" s="116">
        <v>108753</v>
      </c>
      <c r="D30" s="117" t="s">
        <v>644</v>
      </c>
      <c r="E30" s="117" t="s">
        <v>200</v>
      </c>
      <c r="F30" s="117"/>
      <c r="G30" s="117"/>
      <c r="H30" s="117"/>
      <c r="I30" s="117"/>
      <c r="J30" s="117" t="s">
        <v>65</v>
      </c>
      <c r="K30" s="118">
        <v>2650</v>
      </c>
      <c r="L30" s="118">
        <v>3690</v>
      </c>
      <c r="M30" s="117" t="s">
        <v>274</v>
      </c>
      <c r="N30" s="116">
        <v>1</v>
      </c>
      <c r="O30" s="116"/>
      <c r="P30" s="117"/>
      <c r="Q30" s="7" t="str">
        <f t="shared" si="0"/>
        <v>1</v>
      </c>
      <c r="R30" s="7" t="str">
        <f>INDEX(Торг!$J:$J,MATCH($B30,Торг!$B:$B,0))</f>
        <v>ТЕХНОРЕССОР</v>
      </c>
    </row>
    <row r="31" spans="1:18" ht="105" x14ac:dyDescent="0.25">
      <c r="A31" s="117" t="s">
        <v>642</v>
      </c>
      <c r="B31" s="116">
        <v>201974</v>
      </c>
      <c r="C31" s="116">
        <v>108754</v>
      </c>
      <c r="D31" s="117" t="s">
        <v>645</v>
      </c>
      <c r="E31" s="117" t="s">
        <v>200</v>
      </c>
      <c r="F31" s="117"/>
      <c r="G31" s="117"/>
      <c r="H31" s="117"/>
      <c r="I31" s="117"/>
      <c r="J31" s="117" t="s">
        <v>65</v>
      </c>
      <c r="K31" s="118">
        <v>2650</v>
      </c>
      <c r="L31" s="118">
        <v>3590</v>
      </c>
      <c r="M31" s="117" t="s">
        <v>275</v>
      </c>
      <c r="N31" s="116">
        <v>1</v>
      </c>
      <c r="O31" s="116"/>
      <c r="P31" s="117"/>
      <c r="Q31" s="7" t="str">
        <f t="shared" si="0"/>
        <v>1</v>
      </c>
      <c r="R31" s="7" t="str">
        <f>INDEX(Торг!$J:$J,MATCH($B31,Торг!$B:$B,0))</f>
        <v>ТЕХНОРЕССОР</v>
      </c>
    </row>
    <row r="32" spans="1:18" ht="105" x14ac:dyDescent="0.25">
      <c r="A32" s="117" t="s">
        <v>642</v>
      </c>
      <c r="B32" s="116">
        <v>201975</v>
      </c>
      <c r="C32" s="116">
        <v>108755</v>
      </c>
      <c r="D32" s="117" t="s">
        <v>646</v>
      </c>
      <c r="E32" s="117" t="s">
        <v>200</v>
      </c>
      <c r="F32" s="117"/>
      <c r="G32" s="117"/>
      <c r="H32" s="117"/>
      <c r="I32" s="117"/>
      <c r="J32" s="117" t="s">
        <v>65</v>
      </c>
      <c r="K32" s="118">
        <v>2650</v>
      </c>
      <c r="L32" s="118">
        <v>3690</v>
      </c>
      <c r="M32" s="117" t="s">
        <v>276</v>
      </c>
      <c r="N32" s="116">
        <v>1</v>
      </c>
      <c r="O32" s="116"/>
      <c r="P32" s="117"/>
      <c r="Q32" s="7" t="str">
        <f t="shared" si="0"/>
        <v>1</v>
      </c>
      <c r="R32" s="7" t="str">
        <f>INDEX(Торг!$J:$J,MATCH($B32,Торг!$B:$B,0))</f>
        <v>ТЕХНОРЕССОР</v>
      </c>
    </row>
    <row r="33" spans="1:18" ht="105" x14ac:dyDescent="0.25">
      <c r="A33" s="117" t="s">
        <v>642</v>
      </c>
      <c r="B33" s="116">
        <v>201976</v>
      </c>
      <c r="C33" s="116">
        <v>108756</v>
      </c>
      <c r="D33" s="117" t="s">
        <v>647</v>
      </c>
      <c r="E33" s="117" t="s">
        <v>200</v>
      </c>
      <c r="F33" s="117"/>
      <c r="G33" s="117"/>
      <c r="H33" s="117"/>
      <c r="I33" s="117"/>
      <c r="J33" s="117" t="s">
        <v>65</v>
      </c>
      <c r="K33" s="118">
        <v>2650</v>
      </c>
      <c r="L33" s="118">
        <v>3690</v>
      </c>
      <c r="M33" s="117" t="s">
        <v>277</v>
      </c>
      <c r="N33" s="116">
        <v>1</v>
      </c>
      <c r="O33" s="116"/>
      <c r="P33" s="117"/>
      <c r="Q33" s="7" t="str">
        <f t="shared" si="0"/>
        <v>1</v>
      </c>
      <c r="R33" s="7" t="str">
        <f>INDEX(Торг!$J:$J,MATCH($B33,Торг!$B:$B,0))</f>
        <v>ТЕХНОРЕССОР</v>
      </c>
    </row>
    <row r="34" spans="1:18" ht="75" x14ac:dyDescent="0.25">
      <c r="A34" s="117" t="s">
        <v>648</v>
      </c>
      <c r="B34" s="116">
        <v>201982</v>
      </c>
      <c r="C34" s="116">
        <v>108823</v>
      </c>
      <c r="D34" s="117" t="s">
        <v>649</v>
      </c>
      <c r="E34" s="117" t="s">
        <v>199</v>
      </c>
      <c r="F34" s="117"/>
      <c r="G34" s="117"/>
      <c r="H34" s="117"/>
      <c r="I34" s="117"/>
      <c r="J34" s="117" t="s">
        <v>65</v>
      </c>
      <c r="K34" s="118">
        <v>4000</v>
      </c>
      <c r="L34" s="118">
        <v>5290</v>
      </c>
      <c r="M34" s="117"/>
      <c r="N34" s="116">
        <v>1</v>
      </c>
      <c r="O34" s="116"/>
      <c r="P34" s="117"/>
      <c r="Q34" s="7" t="str">
        <f t="shared" si="0"/>
        <v>1</v>
      </c>
      <c r="R34" s="7" t="str">
        <f>INDEX(Торг!$J:$J,MATCH($B34,Торг!$B:$B,0))</f>
        <v>ТЕХНОРЕССОР</v>
      </c>
    </row>
    <row r="35" spans="1:18" ht="75" x14ac:dyDescent="0.25">
      <c r="A35" s="117" t="s">
        <v>648</v>
      </c>
      <c r="B35" s="116">
        <v>201983</v>
      </c>
      <c r="C35" s="116">
        <v>108819</v>
      </c>
      <c r="D35" s="117" t="s">
        <v>650</v>
      </c>
      <c r="E35" s="117" t="s">
        <v>199</v>
      </c>
      <c r="F35" s="117"/>
      <c r="G35" s="117"/>
      <c r="H35" s="117"/>
      <c r="I35" s="117"/>
      <c r="J35" s="117" t="s">
        <v>65</v>
      </c>
      <c r="K35" s="118">
        <v>4500</v>
      </c>
      <c r="L35" s="118">
        <v>5890</v>
      </c>
      <c r="M35" s="117" t="s">
        <v>294</v>
      </c>
      <c r="N35" s="116">
        <v>1</v>
      </c>
      <c r="O35" s="116"/>
      <c r="P35" s="117"/>
      <c r="Q35" s="7" t="str">
        <f t="shared" si="0"/>
        <v>1</v>
      </c>
      <c r="R35" s="7" t="str">
        <f>INDEX(Торг!$J:$J,MATCH($B35,Торг!$B:$B,0))</f>
        <v>ТЕХНОРЕССОР</v>
      </c>
    </row>
    <row r="36" spans="1:18" ht="75" x14ac:dyDescent="0.25">
      <c r="A36" s="117" t="s">
        <v>648</v>
      </c>
      <c r="B36" s="116">
        <v>201984</v>
      </c>
      <c r="C36" s="116">
        <v>108820</v>
      </c>
      <c r="D36" s="117" t="s">
        <v>651</v>
      </c>
      <c r="E36" s="117" t="s">
        <v>199</v>
      </c>
      <c r="F36" s="117"/>
      <c r="G36" s="117"/>
      <c r="H36" s="117"/>
      <c r="I36" s="117"/>
      <c r="J36" s="117" t="s">
        <v>65</v>
      </c>
      <c r="K36" s="118">
        <v>4500</v>
      </c>
      <c r="L36" s="118">
        <v>5890</v>
      </c>
      <c r="M36" s="117" t="s">
        <v>295</v>
      </c>
      <c r="N36" s="116">
        <v>1</v>
      </c>
      <c r="O36" s="116"/>
      <c r="P36" s="117"/>
      <c r="Q36" s="7" t="str">
        <f t="shared" si="0"/>
        <v>1</v>
      </c>
      <c r="R36" s="7" t="str">
        <f>INDEX(Торг!$J:$J,MATCH($B36,Торг!$B:$B,0))</f>
        <v>ТЕХНОРЕССОР</v>
      </c>
    </row>
    <row r="37" spans="1:18" ht="75" x14ac:dyDescent="0.25">
      <c r="A37" s="117" t="s">
        <v>648</v>
      </c>
      <c r="B37" s="116">
        <v>201985</v>
      </c>
      <c r="C37" s="116">
        <v>108821</v>
      </c>
      <c r="D37" s="117" t="s">
        <v>652</v>
      </c>
      <c r="E37" s="117" t="s">
        <v>199</v>
      </c>
      <c r="F37" s="117"/>
      <c r="G37" s="117"/>
      <c r="H37" s="117"/>
      <c r="I37" s="117"/>
      <c r="J37" s="117" t="s">
        <v>65</v>
      </c>
      <c r="K37" s="118">
        <v>4500</v>
      </c>
      <c r="L37" s="118">
        <v>5890</v>
      </c>
      <c r="M37" s="117" t="s">
        <v>296</v>
      </c>
      <c r="N37" s="116">
        <v>1</v>
      </c>
      <c r="O37" s="116"/>
      <c r="P37" s="117"/>
      <c r="Q37" s="7" t="str">
        <f t="shared" si="0"/>
        <v>1</v>
      </c>
      <c r="R37" s="7" t="str">
        <f>INDEX(Торг!$J:$J,MATCH($B37,Торг!$B:$B,0))</f>
        <v>ТЕХНОРЕССОР</v>
      </c>
    </row>
    <row r="38" spans="1:18" ht="75" x14ac:dyDescent="0.25">
      <c r="A38" s="117" t="s">
        <v>648</v>
      </c>
      <c r="B38" s="116">
        <v>201986</v>
      </c>
      <c r="C38" s="116">
        <v>108822</v>
      </c>
      <c r="D38" s="117" t="s">
        <v>653</v>
      </c>
      <c r="E38" s="117" t="s">
        <v>199</v>
      </c>
      <c r="F38" s="117"/>
      <c r="G38" s="117"/>
      <c r="H38" s="117"/>
      <c r="I38" s="117"/>
      <c r="J38" s="117" t="s">
        <v>65</v>
      </c>
      <c r="K38" s="118">
        <v>4500</v>
      </c>
      <c r="L38" s="118">
        <v>5990</v>
      </c>
      <c r="M38" s="117" t="s">
        <v>297</v>
      </c>
      <c r="N38" s="116">
        <v>1</v>
      </c>
      <c r="O38" s="116"/>
      <c r="P38" s="117"/>
      <c r="Q38" s="7" t="str">
        <f t="shared" si="0"/>
        <v>1</v>
      </c>
      <c r="R38" s="7" t="str">
        <f>INDEX(Торг!$J:$J,MATCH($B38,Торг!$B:$B,0))</f>
        <v>ТЕХНОРЕССОР</v>
      </c>
    </row>
    <row r="39" spans="1:18" ht="105" x14ac:dyDescent="0.25">
      <c r="A39" s="117" t="s">
        <v>654</v>
      </c>
      <c r="B39" s="116">
        <v>201988</v>
      </c>
      <c r="C39" s="116">
        <v>108802</v>
      </c>
      <c r="D39" s="117" t="s">
        <v>655</v>
      </c>
      <c r="E39" s="117" t="s">
        <v>200</v>
      </c>
      <c r="F39" s="117"/>
      <c r="G39" s="117"/>
      <c r="H39" s="117"/>
      <c r="I39" s="117"/>
      <c r="J39" s="117" t="s">
        <v>65</v>
      </c>
      <c r="K39" s="118">
        <v>3350</v>
      </c>
      <c r="L39" s="118">
        <v>4590</v>
      </c>
      <c r="M39" s="117" t="s">
        <v>298</v>
      </c>
      <c r="N39" s="116">
        <v>1</v>
      </c>
      <c r="O39" s="116"/>
      <c r="P39" s="117"/>
      <c r="Q39" s="7" t="str">
        <f t="shared" si="0"/>
        <v>1</v>
      </c>
      <c r="R39" s="7" t="str">
        <f>INDEX(Торг!$J:$J,MATCH($B39,Торг!$B:$B,0))</f>
        <v>ТЕХНОРЕССОР</v>
      </c>
    </row>
    <row r="40" spans="1:18" ht="105" x14ac:dyDescent="0.25">
      <c r="A40" s="117" t="s">
        <v>654</v>
      </c>
      <c r="B40" s="116">
        <v>201989</v>
      </c>
      <c r="C40" s="116">
        <v>108798</v>
      </c>
      <c r="D40" s="117" t="s">
        <v>656</v>
      </c>
      <c r="E40" s="117" t="s">
        <v>200</v>
      </c>
      <c r="F40" s="117"/>
      <c r="G40" s="117"/>
      <c r="H40" s="117"/>
      <c r="I40" s="117"/>
      <c r="J40" s="117" t="s">
        <v>65</v>
      </c>
      <c r="K40" s="118">
        <v>3350</v>
      </c>
      <c r="L40" s="118">
        <v>4790</v>
      </c>
      <c r="M40" s="117" t="s">
        <v>299</v>
      </c>
      <c r="N40" s="116">
        <v>1</v>
      </c>
      <c r="O40" s="116"/>
      <c r="P40" s="117"/>
      <c r="Q40" s="7" t="str">
        <f t="shared" si="0"/>
        <v>1</v>
      </c>
      <c r="R40" s="7" t="str">
        <f>INDEX(Торг!$J:$J,MATCH($B40,Торг!$B:$B,0))</f>
        <v>ТЕХНОРЕССОР</v>
      </c>
    </row>
    <row r="41" spans="1:18" ht="105" x14ac:dyDescent="0.25">
      <c r="A41" s="117" t="s">
        <v>654</v>
      </c>
      <c r="B41" s="116">
        <v>201990</v>
      </c>
      <c r="C41" s="116">
        <v>108799</v>
      </c>
      <c r="D41" s="117" t="s">
        <v>657</v>
      </c>
      <c r="E41" s="117" t="s">
        <v>200</v>
      </c>
      <c r="F41" s="117"/>
      <c r="G41" s="117"/>
      <c r="H41" s="117"/>
      <c r="I41" s="117"/>
      <c r="J41" s="117" t="s">
        <v>65</v>
      </c>
      <c r="K41" s="118">
        <v>3350</v>
      </c>
      <c r="L41" s="118">
        <v>4790</v>
      </c>
      <c r="M41" s="117" t="s">
        <v>300</v>
      </c>
      <c r="N41" s="116">
        <v>1</v>
      </c>
      <c r="O41" s="116">
        <v>4</v>
      </c>
      <c r="P41" s="117"/>
      <c r="Q41" s="7" t="str">
        <f t="shared" si="0"/>
        <v>1ск4</v>
      </c>
      <c r="R41" s="7" t="str">
        <f>INDEX(Торг!$J:$J,MATCH($B41,Торг!$B:$B,0))</f>
        <v>ТЕХНОРЕССОР</v>
      </c>
    </row>
    <row r="42" spans="1:18" ht="105" x14ac:dyDescent="0.25">
      <c r="A42" s="117" t="s">
        <v>654</v>
      </c>
      <c r="B42" s="116">
        <v>201991</v>
      </c>
      <c r="C42" s="116">
        <v>108800</v>
      </c>
      <c r="D42" s="117" t="s">
        <v>658</v>
      </c>
      <c r="E42" s="117" t="s">
        <v>200</v>
      </c>
      <c r="F42" s="117"/>
      <c r="G42" s="117"/>
      <c r="H42" s="117"/>
      <c r="I42" s="117"/>
      <c r="J42" s="117" t="s">
        <v>65</v>
      </c>
      <c r="K42" s="118">
        <v>3350</v>
      </c>
      <c r="L42" s="118">
        <v>4890</v>
      </c>
      <c r="M42" s="117" t="s">
        <v>301</v>
      </c>
      <c r="N42" s="116">
        <v>1</v>
      </c>
      <c r="O42" s="116"/>
      <c r="P42" s="117"/>
      <c r="Q42" s="7" t="str">
        <f t="shared" si="0"/>
        <v>1</v>
      </c>
      <c r="R42" s="7" t="str">
        <f>INDEX(Торг!$J:$J,MATCH($B42,Торг!$B:$B,0))</f>
        <v>ТЕХНОРЕССОР</v>
      </c>
    </row>
    <row r="43" spans="1:18" ht="105" x14ac:dyDescent="0.25">
      <c r="A43" s="117" t="s">
        <v>654</v>
      </c>
      <c r="B43" s="116">
        <v>201992</v>
      </c>
      <c r="C43" s="116">
        <v>108801</v>
      </c>
      <c r="D43" s="117" t="s">
        <v>659</v>
      </c>
      <c r="E43" s="117" t="s">
        <v>200</v>
      </c>
      <c r="F43" s="117"/>
      <c r="G43" s="117"/>
      <c r="H43" s="117"/>
      <c r="I43" s="117"/>
      <c r="J43" s="117" t="s">
        <v>65</v>
      </c>
      <c r="K43" s="118">
        <v>3350</v>
      </c>
      <c r="L43" s="118">
        <v>4990</v>
      </c>
      <c r="M43" s="117" t="s">
        <v>302</v>
      </c>
      <c r="N43" s="116">
        <v>1</v>
      </c>
      <c r="O43" s="116"/>
      <c r="P43" s="117"/>
      <c r="Q43" s="7" t="str">
        <f t="shared" si="0"/>
        <v>1</v>
      </c>
      <c r="R43" s="7" t="str">
        <f>INDEX(Торг!$J:$J,MATCH($B43,Торг!$B:$B,0))</f>
        <v>ТЕХНОРЕССОР</v>
      </c>
    </row>
    <row r="44" spans="1:18" ht="75" x14ac:dyDescent="0.25">
      <c r="A44" s="117" t="s">
        <v>660</v>
      </c>
      <c r="B44" s="116">
        <v>201978</v>
      </c>
      <c r="C44" s="116">
        <v>108803</v>
      </c>
      <c r="D44" s="117" t="s">
        <v>661</v>
      </c>
      <c r="E44" s="117" t="s">
        <v>200</v>
      </c>
      <c r="F44" s="117"/>
      <c r="G44" s="117"/>
      <c r="H44" s="117"/>
      <c r="I44" s="117"/>
      <c r="J44" s="117" t="s">
        <v>65</v>
      </c>
      <c r="K44" s="118">
        <v>4000</v>
      </c>
      <c r="L44" s="118">
        <v>5590</v>
      </c>
      <c r="M44" s="117" t="s">
        <v>291</v>
      </c>
      <c r="N44" s="116">
        <v>1</v>
      </c>
      <c r="O44" s="116">
        <v>4</v>
      </c>
      <c r="P44" s="117"/>
      <c r="Q44" s="7" t="str">
        <f t="shared" si="0"/>
        <v>1ск4</v>
      </c>
      <c r="R44" s="7" t="str">
        <f>INDEX(Торг!$J:$J,MATCH($B44,Торг!$B:$B,0))</f>
        <v>ТЕХНОРЕССОР</v>
      </c>
    </row>
    <row r="45" spans="1:18" ht="75" x14ac:dyDescent="0.25">
      <c r="A45" s="117" t="s">
        <v>660</v>
      </c>
      <c r="B45" s="116">
        <v>201979</v>
      </c>
      <c r="C45" s="116">
        <v>108804</v>
      </c>
      <c r="D45" s="117" t="s">
        <v>662</v>
      </c>
      <c r="E45" s="117" t="s">
        <v>200</v>
      </c>
      <c r="F45" s="117"/>
      <c r="G45" s="117"/>
      <c r="H45" s="117"/>
      <c r="I45" s="117"/>
      <c r="J45" s="117" t="s">
        <v>65</v>
      </c>
      <c r="K45" s="118">
        <v>4000</v>
      </c>
      <c r="L45" s="118">
        <v>5590</v>
      </c>
      <c r="M45" s="117" t="s">
        <v>292</v>
      </c>
      <c r="N45" s="116">
        <v>1</v>
      </c>
      <c r="O45" s="116"/>
      <c r="P45" s="117"/>
      <c r="Q45" s="7" t="str">
        <f t="shared" si="0"/>
        <v>1</v>
      </c>
      <c r="R45" s="7" t="str">
        <f>INDEX(Торг!$J:$J,MATCH($B45,Торг!$B:$B,0))</f>
        <v>ТЕХНОРЕССОР</v>
      </c>
    </row>
    <row r="46" spans="1:18" ht="75" x14ac:dyDescent="0.25">
      <c r="A46" s="117" t="s">
        <v>660</v>
      </c>
      <c r="B46" s="116">
        <v>201980</v>
      </c>
      <c r="C46" s="116">
        <v>108805</v>
      </c>
      <c r="D46" s="117" t="s">
        <v>663</v>
      </c>
      <c r="E46" s="117" t="s">
        <v>200</v>
      </c>
      <c r="F46" s="117"/>
      <c r="G46" s="117"/>
      <c r="H46" s="117"/>
      <c r="I46" s="117"/>
      <c r="J46" s="117" t="s">
        <v>65</v>
      </c>
      <c r="K46" s="118">
        <v>4000</v>
      </c>
      <c r="L46" s="118">
        <v>5590</v>
      </c>
      <c r="M46" s="117" t="s">
        <v>293</v>
      </c>
      <c r="N46" s="116">
        <v>1</v>
      </c>
      <c r="O46" s="116"/>
      <c r="P46" s="117"/>
      <c r="Q46" s="7" t="str">
        <f t="shared" si="0"/>
        <v>1</v>
      </c>
      <c r="R46" s="7" t="str">
        <f>INDEX(Торг!$J:$J,MATCH($B46,Торг!$B:$B,0))</f>
        <v>ТЕХНОРЕССОР</v>
      </c>
    </row>
    <row r="47" spans="1:18" ht="90" x14ac:dyDescent="0.25">
      <c r="A47" s="117" t="s">
        <v>664</v>
      </c>
      <c r="B47" s="116">
        <v>202016</v>
      </c>
      <c r="C47" s="116">
        <v>127238</v>
      </c>
      <c r="D47" s="117" t="s">
        <v>665</v>
      </c>
      <c r="E47" s="117" t="s">
        <v>200</v>
      </c>
      <c r="F47" s="117"/>
      <c r="G47" s="117" t="s">
        <v>209</v>
      </c>
      <c r="H47" s="117"/>
      <c r="I47" s="117" t="s">
        <v>158</v>
      </c>
      <c r="J47" s="117" t="s">
        <v>65</v>
      </c>
      <c r="K47" s="118">
        <v>3850</v>
      </c>
      <c r="L47" s="118">
        <v>4990</v>
      </c>
      <c r="M47" s="117"/>
      <c r="N47" s="116">
        <v>1</v>
      </c>
      <c r="O47" s="116"/>
      <c r="P47" s="117"/>
      <c r="Q47" s="7" t="str">
        <f t="shared" si="0"/>
        <v>1</v>
      </c>
      <c r="R47" s="7" t="str">
        <f>INDEX(Торг!$J:$J,MATCH($B47,Торг!$B:$B,0))</f>
        <v>ТЕХНОРЕССОР</v>
      </c>
    </row>
    <row r="48" spans="1:18" ht="90" x14ac:dyDescent="0.25">
      <c r="A48" s="117" t="s">
        <v>664</v>
      </c>
      <c r="B48" s="116">
        <v>202017</v>
      </c>
      <c r="C48" s="116">
        <v>127239</v>
      </c>
      <c r="D48" s="117" t="s">
        <v>666</v>
      </c>
      <c r="E48" s="117" t="s">
        <v>200</v>
      </c>
      <c r="F48" s="117"/>
      <c r="G48" s="117" t="s">
        <v>210</v>
      </c>
      <c r="H48" s="117"/>
      <c r="I48" s="117" t="s">
        <v>159</v>
      </c>
      <c r="J48" s="117" t="s">
        <v>65</v>
      </c>
      <c r="K48" s="118">
        <v>3500</v>
      </c>
      <c r="L48" s="118">
        <v>4590</v>
      </c>
      <c r="M48" s="117"/>
      <c r="N48" s="116">
        <v>1</v>
      </c>
      <c r="O48" s="116"/>
      <c r="P48" s="117"/>
      <c r="Q48" s="7" t="str">
        <f t="shared" si="0"/>
        <v>1</v>
      </c>
      <c r="R48" s="7" t="str">
        <f>INDEX(Торг!$J:$J,MATCH($B48,Торг!$B:$B,0))</f>
        <v>ТЕХНОРЕССОР</v>
      </c>
    </row>
    <row r="49" spans="1:18" ht="90" x14ac:dyDescent="0.25">
      <c r="A49" s="117" t="s">
        <v>664</v>
      </c>
      <c r="B49" s="116">
        <v>202018</v>
      </c>
      <c r="C49" s="116">
        <v>127240</v>
      </c>
      <c r="D49" s="117" t="s">
        <v>667</v>
      </c>
      <c r="E49" s="117" t="s">
        <v>200</v>
      </c>
      <c r="F49" s="117"/>
      <c r="G49" s="117" t="s">
        <v>211</v>
      </c>
      <c r="H49" s="117"/>
      <c r="I49" s="117" t="s">
        <v>160</v>
      </c>
      <c r="J49" s="117" t="s">
        <v>65</v>
      </c>
      <c r="K49" s="118">
        <v>4000</v>
      </c>
      <c r="L49" s="118">
        <v>5190</v>
      </c>
      <c r="M49" s="117"/>
      <c r="N49" s="116">
        <v>1</v>
      </c>
      <c r="O49" s="116"/>
      <c r="P49" s="117"/>
      <c r="Q49" s="7" t="str">
        <f t="shared" si="0"/>
        <v>1</v>
      </c>
      <c r="R49" s="7" t="str">
        <f>INDEX(Торг!$J:$J,MATCH($B49,Торг!$B:$B,0))</f>
        <v>ТЕХНОРЕССОР</v>
      </c>
    </row>
    <row r="50" spans="1:18" ht="90" x14ac:dyDescent="0.25">
      <c r="A50" s="117" t="s">
        <v>664</v>
      </c>
      <c r="B50" s="116">
        <v>202019</v>
      </c>
      <c r="C50" s="116">
        <v>127241</v>
      </c>
      <c r="D50" s="117" t="s">
        <v>668</v>
      </c>
      <c r="E50" s="117" t="s">
        <v>200</v>
      </c>
      <c r="F50" s="117"/>
      <c r="G50" s="117" t="s">
        <v>212</v>
      </c>
      <c r="H50" s="117"/>
      <c r="I50" s="117" t="s">
        <v>161</v>
      </c>
      <c r="J50" s="117" t="s">
        <v>65</v>
      </c>
      <c r="K50" s="118">
        <v>3600</v>
      </c>
      <c r="L50" s="118">
        <v>4690</v>
      </c>
      <c r="M50" s="117"/>
      <c r="N50" s="116">
        <v>1</v>
      </c>
      <c r="O50" s="116"/>
      <c r="P50" s="117"/>
      <c r="Q50" s="7" t="str">
        <f t="shared" si="0"/>
        <v>1</v>
      </c>
      <c r="R50" s="7" t="str">
        <f>INDEX(Торг!$J:$J,MATCH($B50,Торг!$B:$B,0))</f>
        <v>ТЕХНОРЕССОР</v>
      </c>
    </row>
    <row r="51" spans="1:18" ht="90" x14ac:dyDescent="0.25">
      <c r="A51" s="117" t="s">
        <v>664</v>
      </c>
      <c r="B51" s="116">
        <v>202020</v>
      </c>
      <c r="C51" s="116">
        <v>127242</v>
      </c>
      <c r="D51" s="117" t="s">
        <v>669</v>
      </c>
      <c r="E51" s="117" t="s">
        <v>200</v>
      </c>
      <c r="F51" s="117"/>
      <c r="G51" s="117" t="s">
        <v>213</v>
      </c>
      <c r="H51" s="117"/>
      <c r="I51" s="117" t="s">
        <v>162</v>
      </c>
      <c r="J51" s="117" t="s">
        <v>65</v>
      </c>
      <c r="K51" s="118">
        <v>3400</v>
      </c>
      <c r="L51" s="118">
        <v>4390</v>
      </c>
      <c r="M51" s="117"/>
      <c r="N51" s="116">
        <v>1</v>
      </c>
      <c r="O51" s="116"/>
      <c r="P51" s="117"/>
      <c r="Q51" s="7" t="str">
        <f t="shared" si="0"/>
        <v>1</v>
      </c>
      <c r="R51" s="7" t="str">
        <f>INDEX(Торг!$J:$J,MATCH($B51,Торг!$B:$B,0))</f>
        <v>ТЕХНОРЕССОР</v>
      </c>
    </row>
    <row r="52" spans="1:18" ht="75" x14ac:dyDescent="0.25">
      <c r="A52" s="117" t="s">
        <v>670</v>
      </c>
      <c r="B52" s="116">
        <v>202011</v>
      </c>
      <c r="C52" s="116">
        <v>127085</v>
      </c>
      <c r="D52" s="117" t="s">
        <v>671</v>
      </c>
      <c r="E52" s="117" t="s">
        <v>200</v>
      </c>
      <c r="F52" s="117"/>
      <c r="G52" s="117" t="s">
        <v>206</v>
      </c>
      <c r="H52" s="117"/>
      <c r="I52" s="117" t="s">
        <v>155</v>
      </c>
      <c r="J52" s="117" t="s">
        <v>65</v>
      </c>
      <c r="K52" s="118">
        <v>3550</v>
      </c>
      <c r="L52" s="118">
        <v>4590</v>
      </c>
      <c r="M52" s="117"/>
      <c r="N52" s="116">
        <v>0</v>
      </c>
      <c r="O52" s="116"/>
      <c r="P52" s="117"/>
      <c r="Q52" s="7" t="str">
        <f t="shared" si="0"/>
        <v>0</v>
      </c>
      <c r="R52" s="7" t="str">
        <f>INDEX(Торг!$J:$J,MATCH($B52,Торг!$B:$B,0))</f>
        <v>ТЕХНОРЕССОР</v>
      </c>
    </row>
    <row r="53" spans="1:18" ht="75" x14ac:dyDescent="0.25">
      <c r="A53" s="117" t="s">
        <v>670</v>
      </c>
      <c r="B53" s="116">
        <v>202012</v>
      </c>
      <c r="C53" s="116">
        <v>127086</v>
      </c>
      <c r="D53" s="117" t="s">
        <v>672</v>
      </c>
      <c r="E53" s="117" t="s">
        <v>200</v>
      </c>
      <c r="F53" s="117"/>
      <c r="G53" s="117"/>
      <c r="H53" s="117"/>
      <c r="I53" s="117"/>
      <c r="J53" s="117" t="s">
        <v>65</v>
      </c>
      <c r="K53" s="118">
        <v>3500</v>
      </c>
      <c r="L53" s="118">
        <v>4690</v>
      </c>
      <c r="M53" s="117"/>
      <c r="N53" s="116">
        <v>0</v>
      </c>
      <c r="O53" s="116"/>
      <c r="P53" s="117"/>
      <c r="Q53" s="7" t="str">
        <f t="shared" si="0"/>
        <v>0</v>
      </c>
      <c r="R53" s="7" t="str">
        <f>INDEX(Торг!$J:$J,MATCH($B53,Торг!$B:$B,0))</f>
        <v>ТЕХНОРЕССОР</v>
      </c>
    </row>
    <row r="54" spans="1:18" ht="75" x14ac:dyDescent="0.25">
      <c r="A54" s="117" t="s">
        <v>670</v>
      </c>
      <c r="B54" s="116">
        <v>202013</v>
      </c>
      <c r="C54" s="116">
        <v>127087</v>
      </c>
      <c r="D54" s="117" t="s">
        <v>673</v>
      </c>
      <c r="E54" s="117" t="s">
        <v>200</v>
      </c>
      <c r="F54" s="117"/>
      <c r="G54" s="117" t="s">
        <v>207</v>
      </c>
      <c r="H54" s="117"/>
      <c r="I54" s="117" t="s">
        <v>156</v>
      </c>
      <c r="J54" s="117" t="s">
        <v>65</v>
      </c>
      <c r="K54" s="118">
        <v>3700</v>
      </c>
      <c r="L54" s="118">
        <v>4790</v>
      </c>
      <c r="M54" s="117"/>
      <c r="N54" s="116">
        <v>0</v>
      </c>
      <c r="O54" s="116"/>
      <c r="P54" s="117"/>
      <c r="Q54" s="7" t="str">
        <f t="shared" si="0"/>
        <v>0</v>
      </c>
      <c r="R54" s="7" t="str">
        <f>INDEX(Торг!$J:$J,MATCH($B54,Торг!$B:$B,0))</f>
        <v>ТЕХНОРЕССОР</v>
      </c>
    </row>
    <row r="55" spans="1:18" ht="75" x14ac:dyDescent="0.25">
      <c r="A55" s="117" t="s">
        <v>670</v>
      </c>
      <c r="B55" s="116">
        <v>202014</v>
      </c>
      <c r="C55" s="116">
        <v>127088</v>
      </c>
      <c r="D55" s="117" t="s">
        <v>674</v>
      </c>
      <c r="E55" s="117" t="s">
        <v>200</v>
      </c>
      <c r="F55" s="117"/>
      <c r="G55" s="117" t="s">
        <v>208</v>
      </c>
      <c r="H55" s="117"/>
      <c r="I55" s="117" t="s">
        <v>157</v>
      </c>
      <c r="J55" s="117" t="s">
        <v>65</v>
      </c>
      <c r="K55" s="118">
        <v>3650</v>
      </c>
      <c r="L55" s="118">
        <v>4790</v>
      </c>
      <c r="M55" s="117"/>
      <c r="N55" s="116">
        <v>0</v>
      </c>
      <c r="O55" s="116"/>
      <c r="P55" s="117"/>
      <c r="Q55" s="7" t="str">
        <f t="shared" si="0"/>
        <v>0</v>
      </c>
      <c r="R55" s="7" t="str">
        <f>INDEX(Торг!$J:$J,MATCH($B55,Торг!$B:$B,0))</f>
        <v>ТЕХНОРЕССОР</v>
      </c>
    </row>
    <row r="56" spans="1:18" ht="105" x14ac:dyDescent="0.25">
      <c r="A56" s="117" t="s">
        <v>675</v>
      </c>
      <c r="B56" s="116">
        <v>202022</v>
      </c>
      <c r="C56" s="116">
        <v>127314</v>
      </c>
      <c r="D56" s="117" t="s">
        <v>676</v>
      </c>
      <c r="E56" s="117" t="s">
        <v>200</v>
      </c>
      <c r="F56" s="117"/>
      <c r="G56" s="117" t="s">
        <v>214</v>
      </c>
      <c r="H56" s="117"/>
      <c r="I56" s="117" t="s">
        <v>163</v>
      </c>
      <c r="J56" s="117" t="s">
        <v>65</v>
      </c>
      <c r="K56" s="118">
        <v>3000</v>
      </c>
      <c r="L56" s="118">
        <v>3890</v>
      </c>
      <c r="M56" s="117"/>
      <c r="N56" s="116">
        <v>1</v>
      </c>
      <c r="O56" s="116"/>
      <c r="P56" s="117"/>
      <c r="Q56" s="7" t="str">
        <f t="shared" si="0"/>
        <v>1</v>
      </c>
      <c r="R56" s="7" t="str">
        <f>INDEX(Торг!$J:$J,MATCH($B56,Торг!$B:$B,0))</f>
        <v>ТЕХНОРЕССОР</v>
      </c>
    </row>
    <row r="57" spans="1:18" ht="105" x14ac:dyDescent="0.25">
      <c r="A57" s="117" t="s">
        <v>675</v>
      </c>
      <c r="B57" s="116">
        <v>202023</v>
      </c>
      <c r="C57" s="116">
        <v>127315</v>
      </c>
      <c r="D57" s="117" t="s">
        <v>677</v>
      </c>
      <c r="E57" s="117" t="s">
        <v>200</v>
      </c>
      <c r="F57" s="117"/>
      <c r="G57" s="117" t="s">
        <v>215</v>
      </c>
      <c r="H57" s="117"/>
      <c r="I57" s="117" t="s">
        <v>163</v>
      </c>
      <c r="J57" s="117" t="s">
        <v>65</v>
      </c>
      <c r="K57" s="118">
        <v>3000</v>
      </c>
      <c r="L57" s="118">
        <v>3890</v>
      </c>
      <c r="M57" s="117"/>
      <c r="N57" s="116">
        <v>1</v>
      </c>
      <c r="O57" s="116"/>
      <c r="P57" s="117"/>
      <c r="Q57" s="7" t="str">
        <f t="shared" si="0"/>
        <v>1</v>
      </c>
      <c r="R57" s="7" t="str">
        <f>INDEX(Торг!$J:$J,MATCH($B57,Торг!$B:$B,0))</f>
        <v>ТЕХНОРЕССОР</v>
      </c>
    </row>
    <row r="58" spans="1:18" ht="105" x14ac:dyDescent="0.25">
      <c r="A58" s="117" t="s">
        <v>675</v>
      </c>
      <c r="B58" s="116">
        <v>202024</v>
      </c>
      <c r="C58" s="116">
        <v>127316</v>
      </c>
      <c r="D58" s="117" t="s">
        <v>678</v>
      </c>
      <c r="E58" s="117" t="s">
        <v>200</v>
      </c>
      <c r="F58" s="117"/>
      <c r="G58" s="117" t="s">
        <v>216</v>
      </c>
      <c r="H58" s="117"/>
      <c r="I58" s="117" t="s">
        <v>163</v>
      </c>
      <c r="J58" s="117" t="s">
        <v>65</v>
      </c>
      <c r="K58" s="118">
        <v>3000</v>
      </c>
      <c r="L58" s="118">
        <v>3890</v>
      </c>
      <c r="M58" s="117"/>
      <c r="N58" s="116">
        <v>1</v>
      </c>
      <c r="O58" s="116"/>
      <c r="P58" s="117"/>
      <c r="Q58" s="7" t="str">
        <f t="shared" si="0"/>
        <v>1</v>
      </c>
      <c r="R58" s="7" t="str">
        <f>INDEX(Торг!$J:$J,MATCH($B58,Торг!$B:$B,0))</f>
        <v>ТЕХНОРЕССОР</v>
      </c>
    </row>
    <row r="59" spans="1:18" ht="105" x14ac:dyDescent="0.25">
      <c r="A59" s="117" t="s">
        <v>675</v>
      </c>
      <c r="B59" s="116">
        <v>202025</v>
      </c>
      <c r="C59" s="116">
        <v>127317</v>
      </c>
      <c r="D59" s="117" t="s">
        <v>679</v>
      </c>
      <c r="E59" s="117" t="s">
        <v>200</v>
      </c>
      <c r="F59" s="117"/>
      <c r="G59" s="117" t="s">
        <v>217</v>
      </c>
      <c r="H59" s="117"/>
      <c r="I59" s="117" t="s">
        <v>163</v>
      </c>
      <c r="J59" s="117" t="s">
        <v>65</v>
      </c>
      <c r="K59" s="118">
        <v>3000</v>
      </c>
      <c r="L59" s="118">
        <v>3890</v>
      </c>
      <c r="M59" s="117"/>
      <c r="N59" s="116">
        <v>1</v>
      </c>
      <c r="O59" s="116"/>
      <c r="P59" s="117"/>
      <c r="Q59" s="7" t="str">
        <f t="shared" si="0"/>
        <v>1</v>
      </c>
      <c r="R59" s="7" t="str">
        <f>INDEX(Торг!$J:$J,MATCH($B59,Торг!$B:$B,0))</f>
        <v>ТЕХНОРЕССОР</v>
      </c>
    </row>
    <row r="60" spans="1:18" ht="105" x14ac:dyDescent="0.25">
      <c r="A60" s="117" t="s">
        <v>675</v>
      </c>
      <c r="B60" s="116">
        <v>202026</v>
      </c>
      <c r="C60" s="116">
        <v>127318</v>
      </c>
      <c r="D60" s="117" t="s">
        <v>680</v>
      </c>
      <c r="E60" s="117" t="s">
        <v>200</v>
      </c>
      <c r="F60" s="117"/>
      <c r="G60" s="117" t="s">
        <v>218</v>
      </c>
      <c r="H60" s="117"/>
      <c r="I60" s="117" t="s">
        <v>163</v>
      </c>
      <c r="J60" s="117" t="s">
        <v>65</v>
      </c>
      <c r="K60" s="118">
        <v>3000</v>
      </c>
      <c r="L60" s="118">
        <v>3990</v>
      </c>
      <c r="M60" s="117"/>
      <c r="N60" s="116">
        <v>1</v>
      </c>
      <c r="O60" s="116"/>
      <c r="P60" s="117"/>
      <c r="Q60" s="7" t="str">
        <f t="shared" si="0"/>
        <v>1</v>
      </c>
      <c r="R60" s="7" t="str">
        <f>INDEX(Торг!$J:$J,MATCH($B60,Торг!$B:$B,0))</f>
        <v>ТЕХНОРЕССОР</v>
      </c>
    </row>
  </sheetData>
  <sheetProtection formatCells="0" formatColumns="0" formatRows="0" insertColumns="0" insertRows="0" insertHyperlinks="0" deleteColumns="0" deleteRows="0" sort="0" autoFilter="0" pivotTables="0"/>
  <autoFilter ref="B1:R60" xr:uid="{50D6DFC3-39A9-46A6-BBCA-5E74A6AA16BC}"/>
  <pageMargins left="0.7" right="0.7" top="0.75" bottom="0.75" header="0.3" footer="0.3"/>
  <pageSetup orientation="portrait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C0C4E-3C03-47B4-8A76-F6ABBD576B90}">
  <sheetPr codeName="Лист6">
    <tabColor rgb="FF92D050"/>
  </sheetPr>
  <dimension ref="A1:I197"/>
  <sheetViews>
    <sheetView tabSelected="1" topLeftCell="A171" workbookViewId="0">
      <selection activeCell="A2" sqref="A2:I197"/>
    </sheetView>
  </sheetViews>
  <sheetFormatPr defaultRowHeight="15" x14ac:dyDescent="0.25"/>
  <cols>
    <col min="1" max="1" width="7" customWidth="1"/>
    <col min="2" max="2" width="11" bestFit="1" customWidth="1"/>
    <col min="3" max="3" width="11.140625" customWidth="1"/>
  </cols>
  <sheetData>
    <row r="1" spans="1:9" s="119" customFormat="1" ht="14.25" customHeight="1" x14ac:dyDescent="0.25">
      <c r="A1" t="str" cm="1">
        <f t="array" ref="A1:A136">_xlfn._xlws.FILTER(Кат!$A:$A,Кат!$A:$A&lt;&gt;"")</f>
        <v>ID</v>
      </c>
      <c r="B1" t="str" cm="1">
        <f t="array" ref="B1:C136">_xlfn._xlws.FILTER(Кат!Z:AA,Кат!$A:$A&lt;&gt;"")</f>
        <v>MR</v>
      </c>
      <c r="C1" t="str">
        <v>MR</v>
      </c>
      <c r="D1" t="str" cm="1">
        <f t="array" ref="D1:E136">_xlfn._xlws.FILTER(Кат!AE:AF,Кат!$A:$A&lt;&gt;"")</f>
        <v>33s</v>
      </c>
      <c r="E1" t="str">
        <v>33s</v>
      </c>
      <c r="F1" cm="1">
        <f t="array" ref="F1:G136">_xlfn._xlws.FILTER(Кат!AJ:AK,Кат!$A:$A&lt;&gt;"")</f>
        <v>3</v>
      </c>
      <c r="G1" s="119">
        <v>3</v>
      </c>
      <c r="H1" cm="1">
        <f t="array" ref="H1:I136">_xlfn._xlws.FILTER(Кат!AO:AP,Кат!$A:$A&lt;&gt;"")</f>
        <v>4</v>
      </c>
      <c r="I1" s="119">
        <v>4</v>
      </c>
    </row>
    <row r="2" spans="1:9" s="119" customFormat="1" x14ac:dyDescent="0.25">
      <c r="A2">
        <v>201936</v>
      </c>
      <c r="B2">
        <v>3190</v>
      </c>
      <c r="C2" t="str">
        <v>https://motorring.ru/product/24988-prughina-peredney-podveski-fobos-lada-iks-rey</v>
      </c>
      <c r="D2" t="str">
        <v>не нашел</v>
      </c>
      <c r="E2">
        <v>0</v>
      </c>
      <c r="F2" s="119">
        <v>0</v>
      </c>
      <c r="G2" s="119">
        <v>0</v>
      </c>
      <c r="H2" s="119">
        <v>0</v>
      </c>
      <c r="I2" s="119">
        <v>0</v>
      </c>
    </row>
    <row r="3" spans="1:9" s="119" customFormat="1" x14ac:dyDescent="0.25">
      <c r="A3" s="119">
        <v>201937</v>
      </c>
      <c r="B3" s="119" t="str">
        <v>не нашел</v>
      </c>
      <c r="C3" s="119">
        <v>0</v>
      </c>
      <c r="D3" s="119">
        <v>2470</v>
      </c>
      <c r="E3" s="119" t="str">
        <v>https://33sport.ru/catalog/proizvoditeli/Fobos_r/pruzhiny_podveski_lada_vesta_zadnie_usilennye_fobos/</v>
      </c>
      <c r="F3" s="119">
        <v>0</v>
      </c>
      <c r="G3" s="119">
        <v>0</v>
      </c>
      <c r="H3" s="119">
        <v>0</v>
      </c>
      <c r="I3" s="119">
        <v>0</v>
      </c>
    </row>
    <row r="4" spans="1:9" s="119" customFormat="1" x14ac:dyDescent="0.25">
      <c r="A4" s="119">
        <v>202028</v>
      </c>
      <c r="B4" s="119" t="str">
        <v>не нашел</v>
      </c>
      <c r="C4" s="119">
        <v>0</v>
      </c>
      <c r="D4" s="119">
        <v>2730</v>
      </c>
      <c r="E4" s="119" t="str">
        <v>https://33sport.ru/catalog/proizvoditeli/Fobos_r/pruzhiny_podveski_lada_xray_perednie_usilennye_fobos_-550209371r/</v>
      </c>
      <c r="F4" s="119">
        <v>0</v>
      </c>
      <c r="G4" s="119">
        <v>0</v>
      </c>
      <c r="H4" s="119">
        <v>0</v>
      </c>
      <c r="I4" s="119">
        <v>0</v>
      </c>
    </row>
    <row r="5" spans="1:9" s="119" customFormat="1" x14ac:dyDescent="0.25">
      <c r="A5" s="119">
        <v>201938</v>
      </c>
      <c r="B5" s="119" t="str">
        <v>не нашел</v>
      </c>
      <c r="C5" s="119">
        <v>0</v>
      </c>
      <c r="D5" s="119">
        <v>2795</v>
      </c>
      <c r="E5" s="119" t="str">
        <v>https://33sport.ru/catalog/proizvoditeli/Fobos_r/pruzhiny_podveski_lada_vesta_sw_cross_zadnie_usilennye_fobos_-8450031060/</v>
      </c>
      <c r="F5" s="119">
        <v>0</v>
      </c>
      <c r="G5" s="119">
        <v>0</v>
      </c>
      <c r="H5" s="119">
        <v>0</v>
      </c>
      <c r="I5" s="119">
        <v>0</v>
      </c>
    </row>
    <row r="6" spans="1:9" s="119" customFormat="1" x14ac:dyDescent="0.25">
      <c r="A6" s="119">
        <v>201873</v>
      </c>
      <c r="B6" s="119">
        <v>2890</v>
      </c>
      <c r="C6" s="119" t="str">
        <v>https://motorring.ru/product/16272-prughiny-perednie-fobos-standartnye-bez-zanigheniya-lada</v>
      </c>
      <c r="D6" s="119">
        <v>0</v>
      </c>
      <c r="E6" s="119">
        <v>0</v>
      </c>
      <c r="F6" s="119">
        <v>0</v>
      </c>
      <c r="G6" s="119">
        <v>0</v>
      </c>
      <c r="H6" s="119">
        <v>0</v>
      </c>
      <c r="I6" s="119">
        <v>0</v>
      </c>
    </row>
    <row r="7" spans="1:9" s="119" customFormat="1" x14ac:dyDescent="0.25">
      <c r="A7" s="119">
        <v>201871</v>
      </c>
      <c r="B7" s="119">
        <v>3290</v>
      </c>
      <c r="C7" s="119" t="str">
        <v>https://motorring.ru/product/4361-prughiny-perednie-fobos-standart-bez-zanigheniya-dlya-lada</v>
      </c>
      <c r="D7" s="119">
        <v>0</v>
      </c>
      <c r="E7" s="119">
        <v>0</v>
      </c>
      <c r="F7" s="119">
        <v>0</v>
      </c>
      <c r="G7" s="119">
        <v>0</v>
      </c>
      <c r="H7" s="119">
        <v>0</v>
      </c>
      <c r="I7" s="119">
        <v>0</v>
      </c>
    </row>
    <row r="8" spans="1:9" s="119" customFormat="1" x14ac:dyDescent="0.25">
      <c r="A8" s="119">
        <v>201858</v>
      </c>
      <c r="B8" s="119">
        <v>2890</v>
      </c>
      <c r="C8" s="119" t="str">
        <v>https://motorring.ru/product/4358-perednie-prughiny-fobos-standart-bez-zanigheniya-vaz</v>
      </c>
      <c r="D8" s="119">
        <v>0</v>
      </c>
      <c r="E8" s="119">
        <v>0</v>
      </c>
      <c r="F8" s="119">
        <v>0</v>
      </c>
      <c r="G8" s="119">
        <v>0</v>
      </c>
      <c r="H8" s="119">
        <v>0</v>
      </c>
      <c r="I8" s="119">
        <v>0</v>
      </c>
    </row>
    <row r="9" spans="1:9" s="119" customFormat="1" x14ac:dyDescent="0.25">
      <c r="A9" s="119">
        <v>201874</v>
      </c>
      <c r="B9" s="119">
        <v>2690</v>
      </c>
      <c r="C9" s="119" t="str">
        <v>https://motorring.ru/product/4356-zadnie-prughiny-fobos-standart-bez-zanigheniya-vaz</v>
      </c>
      <c r="D9" s="119">
        <v>0</v>
      </c>
      <c r="E9" s="119">
        <v>0</v>
      </c>
      <c r="F9" s="119">
        <v>0</v>
      </c>
      <c r="G9" s="119">
        <v>0</v>
      </c>
      <c r="H9" s="119">
        <v>0</v>
      </c>
      <c r="I9" s="119">
        <v>0</v>
      </c>
    </row>
    <row r="10" spans="1:9" s="119" customFormat="1" x14ac:dyDescent="0.25">
      <c r="A10" s="119">
        <v>201870</v>
      </c>
      <c r="B10" s="119" t="str">
        <v>не нашел</v>
      </c>
      <c r="C10" s="119">
        <v>0</v>
      </c>
      <c r="D10" s="119">
        <v>0</v>
      </c>
      <c r="E10" s="119">
        <v>0</v>
      </c>
      <c r="F10" s="119">
        <v>0</v>
      </c>
      <c r="G10" s="119">
        <v>0</v>
      </c>
      <c r="H10" s="119">
        <v>0</v>
      </c>
      <c r="I10" s="119">
        <v>0</v>
      </c>
    </row>
    <row r="11" spans="1:9" s="119" customFormat="1" x14ac:dyDescent="0.25">
      <c r="A11" s="119">
        <v>201869</v>
      </c>
      <c r="B11" s="119">
        <v>2890</v>
      </c>
      <c r="C11" s="119" t="str">
        <v>https://motorring.ru/product/4567-zadnie-prughiny-fobos-standart-peremennyy-shag-kalina</v>
      </c>
      <c r="D11" s="119">
        <v>0</v>
      </c>
      <c r="E11" s="119">
        <v>0</v>
      </c>
      <c r="F11" s="119">
        <v>0</v>
      </c>
      <c r="G11" s="119">
        <v>0</v>
      </c>
      <c r="H11" s="119">
        <v>0</v>
      </c>
      <c r="I11" s="119">
        <v>0</v>
      </c>
    </row>
    <row r="12" spans="1:9" s="119" customFormat="1" x14ac:dyDescent="0.25">
      <c r="A12" s="119">
        <v>201872</v>
      </c>
      <c r="B12" s="119">
        <v>2690</v>
      </c>
      <c r="C12" s="119" t="str">
        <v>https://motorring.ru/product/16278-zadnie-prughiny-fobos-standart-bez-zanigheniya-granta</v>
      </c>
      <c r="D12" s="119">
        <v>0</v>
      </c>
      <c r="E12" s="119">
        <v>0</v>
      </c>
      <c r="F12" s="119">
        <v>0</v>
      </c>
      <c r="G12" s="119">
        <v>0</v>
      </c>
      <c r="H12" s="119">
        <v>0</v>
      </c>
      <c r="I12" s="119">
        <v>0</v>
      </c>
    </row>
    <row r="13" spans="1:9" s="119" customFormat="1" x14ac:dyDescent="0.25">
      <c r="A13" s="119">
        <v>201865</v>
      </c>
      <c r="B13" s="119">
        <v>2690</v>
      </c>
      <c r="C13" s="119" t="str">
        <v>https://motorring.ru/product/4357-zadnie-prughiny-fobos-standart-bez-zanigheniya-vaz</v>
      </c>
      <c r="D13" s="119">
        <v>0</v>
      </c>
      <c r="E13" s="119">
        <v>0</v>
      </c>
      <c r="F13" s="119">
        <v>0</v>
      </c>
      <c r="G13" s="119">
        <v>0</v>
      </c>
      <c r="H13" s="119">
        <v>0</v>
      </c>
      <c r="I13" s="119">
        <v>0</v>
      </c>
    </row>
    <row r="14" spans="1:9" s="119" customFormat="1" x14ac:dyDescent="0.25">
      <c r="A14" s="119">
        <v>201866</v>
      </c>
      <c r="B14" s="119">
        <v>2890</v>
      </c>
      <c r="C14" s="119" t="str">
        <v>https://motorring.ru/product/4358-perednie-prughiny-fobos-standart-bez-zanigheniya-vaz</v>
      </c>
      <c r="D14" s="119">
        <v>0</v>
      </c>
      <c r="E14" s="119">
        <v>0</v>
      </c>
      <c r="F14" s="119">
        <v>0</v>
      </c>
      <c r="G14" s="119">
        <v>0</v>
      </c>
      <c r="H14" s="119">
        <v>0</v>
      </c>
      <c r="I14" s="119">
        <v>0</v>
      </c>
    </row>
    <row r="15" spans="1:9" s="119" customFormat="1" x14ac:dyDescent="0.25">
      <c r="A15" s="119">
        <v>201868</v>
      </c>
      <c r="B15" s="119">
        <v>2890</v>
      </c>
      <c r="C15" s="119" t="str">
        <v>https://motorring.ru/product/4359-prughiny-fobos-standart-vaz-2110-2112-perednie-bez</v>
      </c>
      <c r="D15" s="119">
        <v>0</v>
      </c>
      <c r="E15" s="119">
        <v>0</v>
      </c>
      <c r="F15" s="119">
        <v>0</v>
      </c>
      <c r="G15" s="119">
        <v>0</v>
      </c>
      <c r="H15" s="119">
        <v>0</v>
      </c>
      <c r="I15" s="119">
        <v>0</v>
      </c>
    </row>
    <row r="16" spans="1:9" s="119" customFormat="1" x14ac:dyDescent="0.25">
      <c r="A16" s="119">
        <v>201867</v>
      </c>
      <c r="B16" s="119" t="str">
        <v>не нашел</v>
      </c>
      <c r="C16" s="119">
        <v>0</v>
      </c>
      <c r="D16" s="119">
        <v>0</v>
      </c>
      <c r="E16" s="119">
        <v>0</v>
      </c>
      <c r="F16" s="119">
        <v>0</v>
      </c>
      <c r="G16" s="119">
        <v>0</v>
      </c>
      <c r="H16" s="119">
        <v>0</v>
      </c>
      <c r="I16" s="119">
        <v>0</v>
      </c>
    </row>
    <row r="17" spans="1:9" s="119" customFormat="1" x14ac:dyDescent="0.25">
      <c r="A17" s="119">
        <v>145472</v>
      </c>
      <c r="B17" s="119">
        <v>2690</v>
      </c>
      <c r="C17" s="119" t="str">
        <v>https://motorring.ru/product/4356-zadnie-prughiny-fobos-standart-bez-zanigheniya-vaz</v>
      </c>
      <c r="D17" s="119">
        <v>0</v>
      </c>
      <c r="E17" s="119">
        <v>0</v>
      </c>
      <c r="F17" s="119">
        <v>0</v>
      </c>
      <c r="G17" s="119">
        <v>0</v>
      </c>
      <c r="H17" s="119">
        <v>0</v>
      </c>
      <c r="I17" s="119">
        <v>0</v>
      </c>
    </row>
    <row r="18" spans="1:9" s="119" customFormat="1" x14ac:dyDescent="0.25">
      <c r="A18" s="119">
        <v>202027</v>
      </c>
      <c r="B18" s="119">
        <v>2890</v>
      </c>
      <c r="C18" s="119" t="str">
        <v>https://motorring.ru/product/16263-prughiny-perednie-fobos-standart-bez-zanigheniya-dlya-vaz</v>
      </c>
      <c r="D18" s="119">
        <v>0</v>
      </c>
      <c r="E18" s="119">
        <v>0</v>
      </c>
      <c r="F18" s="119">
        <v>0</v>
      </c>
      <c r="G18" s="119">
        <v>0</v>
      </c>
      <c r="H18" s="119">
        <v>0</v>
      </c>
      <c r="I18" s="119">
        <v>0</v>
      </c>
    </row>
    <row r="19" spans="1:9" s="119" customFormat="1" x14ac:dyDescent="0.25">
      <c r="A19" s="119">
        <v>201935</v>
      </c>
      <c r="B19" s="119">
        <v>3190</v>
      </c>
      <c r="C19" s="119" t="str">
        <v>https://motorring.ru/product/16264</v>
      </c>
      <c r="D19" s="119">
        <v>0</v>
      </c>
      <c r="E19" s="119">
        <v>0</v>
      </c>
      <c r="F19" s="119">
        <v>0</v>
      </c>
      <c r="G19" s="119">
        <v>0</v>
      </c>
      <c r="H19" s="119">
        <v>0</v>
      </c>
      <c r="I19" s="119">
        <v>0</v>
      </c>
    </row>
    <row r="20" spans="1:9" s="119" customFormat="1" x14ac:dyDescent="0.25">
      <c r="A20" s="119">
        <v>455507</v>
      </c>
      <c r="B20" s="119">
        <v>0</v>
      </c>
      <c r="C20" s="119">
        <v>0</v>
      </c>
      <c r="D20" s="119">
        <v>0</v>
      </c>
      <c r="E20" s="119">
        <v>0</v>
      </c>
      <c r="F20" s="119">
        <v>0</v>
      </c>
      <c r="G20" s="119">
        <v>0</v>
      </c>
      <c r="H20" s="119">
        <v>0</v>
      </c>
      <c r="I20" s="119">
        <v>0</v>
      </c>
    </row>
    <row r="21" spans="1:9" s="119" customFormat="1" x14ac:dyDescent="0.25">
      <c r="A21" s="119">
        <v>455508</v>
      </c>
      <c r="B21" s="119">
        <v>0</v>
      </c>
      <c r="C21" s="119">
        <v>0</v>
      </c>
      <c r="D21" s="119">
        <v>0</v>
      </c>
      <c r="E21" s="119">
        <v>0</v>
      </c>
      <c r="F21" s="119">
        <v>0</v>
      </c>
      <c r="G21" s="119">
        <v>0</v>
      </c>
      <c r="H21" s="119">
        <v>0</v>
      </c>
      <c r="I21" s="119">
        <v>0</v>
      </c>
    </row>
    <row r="22" spans="1:9" s="119" customFormat="1" x14ac:dyDescent="0.25">
      <c r="A22" s="119">
        <v>201998</v>
      </c>
      <c r="B22" s="119">
        <v>3990</v>
      </c>
      <c r="C22" s="119" t="str">
        <v>https://motorring.ru/product/8701-prughiny-peredney-podveski-tehnoressor-bez-zanigheniya-2108</v>
      </c>
      <c r="D22" s="119">
        <v>0</v>
      </c>
      <c r="E22" s="119">
        <v>0</v>
      </c>
      <c r="F22" s="119">
        <v>0</v>
      </c>
      <c r="G22" s="119">
        <v>0</v>
      </c>
      <c r="H22" s="119">
        <v>0</v>
      </c>
      <c r="I22" s="119">
        <v>0</v>
      </c>
    </row>
    <row r="23" spans="1:9" s="119" customFormat="1" x14ac:dyDescent="0.25">
      <c r="A23" s="119">
        <v>202001</v>
      </c>
      <c r="B23" s="119">
        <v>3990</v>
      </c>
      <c r="C23" s="119" t="str">
        <v>https://motorring.ru/product/8708-prughiny-zadney-podveski-tehnoressor-bez-zanigheniya-kalina</v>
      </c>
      <c r="D23" s="119">
        <v>4680</v>
      </c>
      <c r="E23" s="119" t="str">
        <v>https://33sport.ru/catalog/podveska/pruzhiny_tekhnoressor/tekhnoressor_priora_kalina_bochka_perednie_bez_zanizheniya/</v>
      </c>
      <c r="F23" s="119">
        <v>0</v>
      </c>
      <c r="G23" s="119">
        <v>0</v>
      </c>
      <c r="H23" s="119">
        <v>0</v>
      </c>
      <c r="I23" s="119">
        <v>0</v>
      </c>
    </row>
    <row r="24" spans="1:9" s="119" customFormat="1" x14ac:dyDescent="0.25">
      <c r="A24" s="119">
        <v>201916</v>
      </c>
      <c r="B24" s="119">
        <v>4290</v>
      </c>
      <c r="C24" s="119" t="str">
        <v>https://motorring.ru/product/8702-prughiny-zadney-podveski-tehnoressor-bez-zanigheniya-dlya</v>
      </c>
      <c r="D24" s="119">
        <v>3500</v>
      </c>
      <c r="E24" s="119" t="str">
        <v>https://33sport.ru/catalog/podveska/pruzhiny_tekhnoressor/pruzhiny_tekhnoressor_2108_10_priora_kalina_granta_zadnie_peremennyy_shag/</v>
      </c>
      <c r="F24" s="119">
        <v>0</v>
      </c>
      <c r="G24" s="119">
        <v>0</v>
      </c>
      <c r="H24" s="119">
        <v>0</v>
      </c>
      <c r="I24" s="119">
        <v>0</v>
      </c>
    </row>
    <row r="25" spans="1:9" s="119" customFormat="1" x14ac:dyDescent="0.25">
      <c r="A25" s="119">
        <v>201999</v>
      </c>
      <c r="B25" s="119">
        <v>5690</v>
      </c>
      <c r="C25" s="119" t="str">
        <v>https://motorring.ru/product/33814-prughiny-pered-podveski-tehnoressor-bez-zanij-vesta</v>
      </c>
      <c r="D25" s="119">
        <v>0</v>
      </c>
      <c r="E25" s="119">
        <v>0</v>
      </c>
      <c r="F25" s="119">
        <v>0</v>
      </c>
      <c r="G25" s="119">
        <v>0</v>
      </c>
      <c r="H25" s="119">
        <v>0</v>
      </c>
      <c r="I25" s="119">
        <v>0</v>
      </c>
    </row>
    <row r="26" spans="1:9" s="119" customFormat="1" x14ac:dyDescent="0.25">
      <c r="A26" s="119">
        <v>201917</v>
      </c>
      <c r="B26" s="119">
        <v>6190</v>
      </c>
      <c r="C26" s="119" t="str">
        <v>https://motorring.ru/product/33877-prughiny-zad-podveski-tehnoressor-standart-vesta</v>
      </c>
      <c r="D26" s="119">
        <v>0</v>
      </c>
      <c r="E26" s="119">
        <v>0</v>
      </c>
      <c r="F26" s="119">
        <v>0</v>
      </c>
      <c r="G26" s="119">
        <v>0</v>
      </c>
      <c r="H26" s="119">
        <v>0</v>
      </c>
      <c r="I26" s="119">
        <v>0</v>
      </c>
    </row>
    <row r="27" spans="1:9" s="119" customFormat="1" x14ac:dyDescent="0.25">
      <c r="A27" s="119">
        <v>201900</v>
      </c>
      <c r="B27" s="119">
        <v>5690</v>
      </c>
      <c r="C27" s="119" t="str">
        <v>https://motorring.ru/product/33879-prughiny-zad-podveski-tehnoressor-zavish-20-vesta</v>
      </c>
      <c r="D27" s="119">
        <v>0</v>
      </c>
      <c r="E27" s="119">
        <v>0</v>
      </c>
      <c r="F27" s="119">
        <v>0</v>
      </c>
      <c r="G27" s="119">
        <v>0</v>
      </c>
      <c r="H27" s="119">
        <v>0</v>
      </c>
      <c r="I27" s="119">
        <v>0</v>
      </c>
    </row>
    <row r="28" spans="1:9" s="119" customFormat="1" x14ac:dyDescent="0.25">
      <c r="A28" s="119">
        <v>201967</v>
      </c>
      <c r="B28" s="119">
        <v>5690</v>
      </c>
      <c r="C28" s="119" t="str">
        <v>https://motorring.ru/product/33815-prughiny-pered-podveski-tehnoressor-zavish-20-vesta</v>
      </c>
      <c r="D28" s="119">
        <v>0</v>
      </c>
      <c r="E28" s="119">
        <v>0</v>
      </c>
      <c r="F28" s="119">
        <v>0</v>
      </c>
      <c r="G28" s="119">
        <v>0</v>
      </c>
      <c r="H28" s="119">
        <v>0</v>
      </c>
      <c r="I28" s="119">
        <v>0</v>
      </c>
    </row>
    <row r="29" spans="1:9" s="119" customFormat="1" x14ac:dyDescent="0.25">
      <c r="A29" s="119">
        <v>201995</v>
      </c>
      <c r="B29" s="119">
        <v>3990</v>
      </c>
      <c r="C29" s="119" t="str">
        <v>https://motorring.ru/product/33809-prughiny-pered-podveski-tehnoressor-20-10-12</v>
      </c>
      <c r="D29" s="119">
        <v>0</v>
      </c>
      <c r="E29" s="119">
        <v>0</v>
      </c>
      <c r="F29" s="119">
        <v>0</v>
      </c>
      <c r="G29" s="119">
        <v>0</v>
      </c>
      <c r="H29" s="119">
        <v>0</v>
      </c>
      <c r="I29" s="119">
        <v>0</v>
      </c>
    </row>
    <row r="30" spans="1:9" s="119" customFormat="1" x14ac:dyDescent="0.25">
      <c r="A30" s="119">
        <v>187444</v>
      </c>
      <c r="B30" s="119" t="str">
        <v>2690 снят</v>
      </c>
      <c r="C30" s="119" t="str">
        <v>https://motorring.ru/product/33798-usilennye-prughiny-pered-podveski-tehnoressor-20-vaz-2101-07</v>
      </c>
      <c r="D30" s="119">
        <v>0</v>
      </c>
      <c r="E30" s="119">
        <v>0</v>
      </c>
      <c r="F30" s="119">
        <v>0</v>
      </c>
      <c r="G30" s="119">
        <v>0</v>
      </c>
      <c r="H30" s="119">
        <v>0</v>
      </c>
      <c r="I30" s="119">
        <v>0</v>
      </c>
    </row>
    <row r="31" spans="1:9" s="119" customFormat="1" x14ac:dyDescent="0.25">
      <c r="A31" s="119">
        <v>187451</v>
      </c>
      <c r="B31" s="119" t="str">
        <v>2690 снят</v>
      </c>
      <c r="C31" s="119" t="str">
        <v>https://motorring.ru/product/33798-usilennye-prughiny-pered-podveski-tehnoressor-20-vaz-2101-07</v>
      </c>
      <c r="D31" s="119">
        <v>0</v>
      </c>
      <c r="E31" s="119">
        <v>0</v>
      </c>
      <c r="F31" s="119">
        <v>0</v>
      </c>
      <c r="G31" s="119">
        <v>0</v>
      </c>
      <c r="H31" s="119">
        <v>0</v>
      </c>
      <c r="I31" s="119">
        <v>0</v>
      </c>
    </row>
    <row r="32" spans="1:9" s="119" customFormat="1" x14ac:dyDescent="0.25">
      <c r="A32" s="119">
        <v>145461</v>
      </c>
      <c r="B32" s="119" t="str">
        <v>2690 снят</v>
      </c>
      <c r="C32" s="119" t="str">
        <v>https://motorring.ru/product/33823-prughiny-zadney-podveski-tehnoressor-zanigh-120-2101-07</v>
      </c>
      <c r="D32" s="119">
        <v>0</v>
      </c>
      <c r="E32" s="119">
        <v>0</v>
      </c>
      <c r="F32" s="119">
        <v>0</v>
      </c>
      <c r="G32" s="119">
        <v>0</v>
      </c>
      <c r="H32" s="119">
        <v>0</v>
      </c>
      <c r="I32" s="119">
        <v>0</v>
      </c>
    </row>
    <row r="33" spans="1:9" s="119" customFormat="1" x14ac:dyDescent="0.25">
      <c r="A33" s="119">
        <v>145468</v>
      </c>
      <c r="B33" s="119" t="str">
        <v>2690 снят</v>
      </c>
      <c r="C33" s="119" t="str">
        <v>https://motorring.ru/product/33826-prughiny-zadney-podveski-tehnoressor-zavish-20mm-2101-07</v>
      </c>
      <c r="D33" s="119">
        <v>0</v>
      </c>
      <c r="E33" s="119">
        <v>0</v>
      </c>
      <c r="F33" s="119">
        <v>0</v>
      </c>
      <c r="G33" s="119">
        <v>0</v>
      </c>
      <c r="H33" s="119">
        <v>0</v>
      </c>
      <c r="I33" s="119">
        <v>0</v>
      </c>
    </row>
    <row r="34" spans="1:9" s="119" customFormat="1" x14ac:dyDescent="0.25">
      <c r="A34" s="119">
        <v>187452</v>
      </c>
      <c r="B34" s="119">
        <v>4190</v>
      </c>
      <c r="C34" s="119" t="str">
        <v>https://motorring.ru/product/28996-prughiny-peredney-podveski-tehnoressor-bez-zanigheniya-vaz</v>
      </c>
      <c r="D34" s="119">
        <v>0</v>
      </c>
      <c r="E34" s="119">
        <v>0</v>
      </c>
      <c r="F34" s="119">
        <v>0</v>
      </c>
      <c r="G34" s="119">
        <v>0</v>
      </c>
      <c r="H34" s="119">
        <v>0</v>
      </c>
      <c r="I34" s="119">
        <v>0</v>
      </c>
    </row>
    <row r="35" spans="1:9" s="119" customFormat="1" x14ac:dyDescent="0.25">
      <c r="A35" s="119">
        <v>187453</v>
      </c>
      <c r="B35" s="119">
        <v>3990</v>
      </c>
      <c r="C35" s="119" t="str">
        <v>https://motorring.ru/product/33797-usilennye-prughiny-pered-podveski-tehnoressor-vaz-2101-07</v>
      </c>
      <c r="D35" s="119">
        <v>0</v>
      </c>
      <c r="E35" s="119">
        <v>0</v>
      </c>
      <c r="F35" s="119">
        <v>0</v>
      </c>
      <c r="G35" s="119">
        <v>0</v>
      </c>
      <c r="H35" s="119">
        <v>0</v>
      </c>
      <c r="I35" s="119">
        <v>0</v>
      </c>
    </row>
    <row r="36" spans="1:9" s="119" customFormat="1" x14ac:dyDescent="0.25">
      <c r="A36" s="119">
        <v>145469</v>
      </c>
      <c r="B36" s="119">
        <v>4190</v>
      </c>
      <c r="C36" s="119" t="str">
        <v>https://motorring.ru/product/28995-prughiny-zadney-podveski-tehnoressor-bez-zanigheniya-2101</v>
      </c>
      <c r="D36" s="119">
        <v>0</v>
      </c>
      <c r="E36" s="119">
        <v>0</v>
      </c>
      <c r="F36" s="119">
        <v>0</v>
      </c>
      <c r="G36" s="119">
        <v>0</v>
      </c>
      <c r="H36" s="119">
        <v>0</v>
      </c>
      <c r="I36" s="119">
        <v>0</v>
      </c>
    </row>
    <row r="37" spans="1:9" s="119" customFormat="1" x14ac:dyDescent="0.25">
      <c r="A37" s="119">
        <v>145470</v>
      </c>
      <c r="B37" s="119">
        <v>3990</v>
      </c>
      <c r="C37" s="119" t="str">
        <v>https://motorring.ru/product/33824-prughiny-zadney-podveski-tehnoressor-standart-2101-07</v>
      </c>
      <c r="D37" s="119">
        <v>0</v>
      </c>
      <c r="E37" s="119">
        <v>0</v>
      </c>
      <c r="F37" s="119">
        <v>0</v>
      </c>
      <c r="G37" s="119">
        <v>0</v>
      </c>
      <c r="H37" s="119">
        <v>0</v>
      </c>
      <c r="I37" s="119">
        <v>0</v>
      </c>
    </row>
    <row r="38" spans="1:9" s="119" customFormat="1" x14ac:dyDescent="0.25">
      <c r="A38" s="119">
        <v>187454</v>
      </c>
      <c r="B38" s="119" t="str">
        <v>3690 снят</v>
      </c>
      <c r="C38" s="119" t="str">
        <v>https://motorring.ru/product/33802-prughiny-peredney-podveski-tehnoressor-drift-50-01-07</v>
      </c>
      <c r="D38" s="119">
        <v>4550</v>
      </c>
      <c r="E38" s="119" t="str">
        <v>https://33sport.ru/catalog/podveska/pruzhiny_tekhnoressor/pruzhiny_tekhnoresor_vaz_2101-07_perednie_-drift-_fioletovyy_-50mm/</v>
      </c>
      <c r="F38" s="119">
        <v>0</v>
      </c>
      <c r="G38" s="119">
        <v>0</v>
      </c>
      <c r="H38" s="119">
        <v>0</v>
      </c>
      <c r="I38" s="119">
        <v>0</v>
      </c>
    </row>
    <row r="39" spans="1:9" s="119" customFormat="1" x14ac:dyDescent="0.25">
      <c r="A39" s="119">
        <v>145471</v>
      </c>
      <c r="B39" s="119" t="str">
        <v>3790 снят</v>
      </c>
      <c r="C39" s="119" t="str">
        <v>https://motorring.ru/product/33825-prughiny-zadney-podveski-tehnoressor-drift-2101-07</v>
      </c>
      <c r="D39" s="119">
        <v>4550</v>
      </c>
      <c r="E39" s="119" t="str">
        <v>https://33sport.ru/catalog/podveska/pruzhiny_tekhnoressor/pruzhiny_tekhnoresor_vaz_2101-07_zadnie_-drift-_fioletovyy_-50mm/</v>
      </c>
      <c r="F39" s="119">
        <v>0</v>
      </c>
      <c r="G39" s="119">
        <v>0</v>
      </c>
      <c r="H39" s="119">
        <v>0</v>
      </c>
      <c r="I39" s="119">
        <v>0</v>
      </c>
    </row>
    <row r="40" spans="1:9" s="119" customFormat="1" x14ac:dyDescent="0.25">
      <c r="A40" s="119">
        <v>201966</v>
      </c>
      <c r="B40" s="119">
        <v>3990</v>
      </c>
      <c r="C40" s="119" t="str">
        <v>https://motorring.ru/product/33807-prughiny-pered-podveski-tehnoressor-20-08-99</v>
      </c>
      <c r="D40" s="119">
        <v>0</v>
      </c>
      <c r="E40" s="119">
        <v>0</v>
      </c>
      <c r="F40" s="119">
        <v>0</v>
      </c>
      <c r="G40" s="119">
        <v>0</v>
      </c>
      <c r="H40" s="119">
        <v>0</v>
      </c>
      <c r="I40" s="119">
        <v>0</v>
      </c>
    </row>
    <row r="41" spans="1:9" s="119" customFormat="1" x14ac:dyDescent="0.25">
      <c r="A41" s="119">
        <v>201993</v>
      </c>
      <c r="B41" s="119">
        <v>4190</v>
      </c>
      <c r="C41" s="119" t="str">
        <v>https://motorring.ru/product/40190-usil-prughiny-peredney-podveski-tehnoressor-bez-zanigheniya-2110</v>
      </c>
      <c r="D41" s="119">
        <v>0</v>
      </c>
      <c r="E41" s="119">
        <v>0</v>
      </c>
      <c r="F41" s="119">
        <v>0</v>
      </c>
      <c r="G41" s="119">
        <v>0</v>
      </c>
      <c r="H41" s="119">
        <v>0</v>
      </c>
      <c r="I41" s="119">
        <v>0</v>
      </c>
    </row>
    <row r="42" spans="1:9" s="119" customFormat="1" x14ac:dyDescent="0.25">
      <c r="A42" s="119">
        <v>201914</v>
      </c>
      <c r="B42" s="119">
        <v>5690</v>
      </c>
      <c r="C42" s="119" t="str">
        <v>https://motorring.ru/product/33878-usil-prughiny-zad-podveski-tehnoressor-bez-vesta</v>
      </c>
      <c r="D42" s="119">
        <v>0</v>
      </c>
      <c r="E42" s="119">
        <v>0</v>
      </c>
      <c r="F42" s="119">
        <v>0</v>
      </c>
      <c r="G42" s="119">
        <v>0</v>
      </c>
      <c r="H42" s="119">
        <v>0</v>
      </c>
      <c r="I42" s="119">
        <v>0</v>
      </c>
    </row>
    <row r="43" spans="1:9" s="119" customFormat="1" x14ac:dyDescent="0.25">
      <c r="A43" s="119">
        <v>201997</v>
      </c>
      <c r="B43" s="119" t="str">
        <v>3990 снят</v>
      </c>
      <c r="C43" s="119" t="str">
        <v>https://motorring.ru/product/33684-usil-prughiny-peredney-podveski-tehnoressor-zavisheniem-20mm-2190</v>
      </c>
      <c r="D43" s="119">
        <v>0</v>
      </c>
      <c r="E43" s="119">
        <v>0</v>
      </c>
      <c r="F43" s="119">
        <v>0</v>
      </c>
      <c r="G43" s="119">
        <v>0</v>
      </c>
      <c r="H43" s="119">
        <v>0</v>
      </c>
      <c r="I43" s="119">
        <v>0</v>
      </c>
    </row>
    <row r="44" spans="1:9" s="119" customFormat="1" x14ac:dyDescent="0.25">
      <c r="A44" s="119">
        <v>201969</v>
      </c>
      <c r="B44" s="119">
        <v>5390</v>
      </c>
      <c r="C44" s="119" t="str">
        <v>https://motorring.ru/product/33672-prughiny-peredney-podveski-tehnoressor-zavisheniem-20mm-2190</v>
      </c>
      <c r="D44" s="119">
        <v>4680</v>
      </c>
      <c r="E44" s="119" t="str">
        <v>https://33sport.ru/catalog/podveska/pruzhiny_tekhnoressor/pruzhiny_tekhnoressor_priora-_kalina-_granta_-bochka-_perednie_-20/</v>
      </c>
      <c r="F44" s="119">
        <v>0</v>
      </c>
      <c r="G44" s="119">
        <v>0</v>
      </c>
      <c r="H44" s="119">
        <v>0</v>
      </c>
      <c r="I44" s="119">
        <v>0</v>
      </c>
    </row>
    <row r="45" spans="1:9" s="119" customFormat="1" x14ac:dyDescent="0.25">
      <c r="A45" s="119">
        <v>201918</v>
      </c>
      <c r="B45" s="119" t="str">
        <v>не нашел</v>
      </c>
      <c r="C45" s="119">
        <v>0</v>
      </c>
      <c r="D45" s="119">
        <v>0</v>
      </c>
      <c r="E45" s="119">
        <v>0</v>
      </c>
      <c r="F45" s="119">
        <v>0</v>
      </c>
      <c r="G45" s="119">
        <v>0</v>
      </c>
      <c r="H45" s="119">
        <v>0</v>
      </c>
      <c r="I45" s="119">
        <v>0</v>
      </c>
    </row>
    <row r="46" spans="1:9" s="119" customFormat="1" x14ac:dyDescent="0.25">
      <c r="A46" s="119">
        <v>201899</v>
      </c>
      <c r="B46" s="119">
        <v>4490</v>
      </c>
      <c r="C46" s="119" t="str">
        <v>https://motorring.ru/product/33828-prughiny-zadney-podveski-tehnoressor-zavish-20-2110-12</v>
      </c>
      <c r="D46" s="119">
        <v>3500</v>
      </c>
      <c r="E46" s="119" t="str">
        <v>https://33sport.ru/catalog/podveska/pruzhiny_tekhnoressor/pruzhiny_tekhnoressor_2108_10_priora_kalina_granta_zadnie_20/</v>
      </c>
      <c r="F46" s="119">
        <v>0</v>
      </c>
      <c r="G46" s="119">
        <v>0</v>
      </c>
      <c r="H46" s="119">
        <v>0</v>
      </c>
      <c r="I46" s="119">
        <v>0</v>
      </c>
    </row>
    <row r="47" spans="1:9" s="119" customFormat="1" x14ac:dyDescent="0.25">
      <c r="A47" s="119">
        <v>202000</v>
      </c>
      <c r="B47" s="119">
        <v>5990</v>
      </c>
      <c r="C47" s="119" t="str">
        <v>https://motorring.ru/product/33795-prughiny-peredney-podveski-tehnoressor-standart-2190-fl</v>
      </c>
      <c r="D47" s="119">
        <v>0</v>
      </c>
      <c r="E47" s="119">
        <v>0</v>
      </c>
      <c r="F47" s="119">
        <v>0</v>
      </c>
      <c r="G47" s="119">
        <v>0</v>
      </c>
      <c r="H47" s="119">
        <v>0</v>
      </c>
      <c r="I47" s="119">
        <v>0</v>
      </c>
    </row>
    <row r="48" spans="1:9" s="119" customFormat="1" x14ac:dyDescent="0.25">
      <c r="A48" s="119">
        <v>201994</v>
      </c>
      <c r="B48" s="119" t="str">
        <v>не нашел</v>
      </c>
      <c r="C48" s="119">
        <v>0</v>
      </c>
      <c r="D48" s="119">
        <v>0</v>
      </c>
      <c r="E48" s="119">
        <v>0</v>
      </c>
      <c r="F48" s="119">
        <v>0</v>
      </c>
      <c r="G48" s="119">
        <v>0</v>
      </c>
      <c r="H48" s="119">
        <v>0</v>
      </c>
      <c r="I48" s="119">
        <v>0</v>
      </c>
    </row>
    <row r="49" spans="1:9" s="119" customFormat="1" x14ac:dyDescent="0.25">
      <c r="A49" s="119">
        <v>201996</v>
      </c>
      <c r="B49" s="119" t="str">
        <v>2990 снят</v>
      </c>
      <c r="C49" s="119" t="str">
        <v>https://motorring.ru/product/33796-prughiny-peredney-podveski-tehnoressor-zavysh-20mm-2190-fl</v>
      </c>
      <c r="D49" s="119">
        <v>0</v>
      </c>
      <c r="E49" s="119">
        <v>0</v>
      </c>
      <c r="F49" s="119">
        <v>0</v>
      </c>
      <c r="G49" s="119">
        <v>0</v>
      </c>
      <c r="H49" s="119">
        <v>0</v>
      </c>
      <c r="I49" s="119">
        <v>0</v>
      </c>
    </row>
    <row r="50" spans="1:9" s="119" customFormat="1" x14ac:dyDescent="0.25">
      <c r="A50" s="119">
        <v>201901</v>
      </c>
      <c r="B50" s="119" t="str">
        <v>3890 снят</v>
      </c>
      <c r="C50" s="119" t="str">
        <v>https://motorring.ru/product/33909-prughiny-zad-podveski-tehnoressor-zanizh-30-shevy</v>
      </c>
      <c r="D50" s="119">
        <v>4950</v>
      </c>
      <c r="E50" s="119" t="str">
        <v>https://33sport.ru/catalog/podveska/pruzhiny_tekhnoressor/pruzhiny_tekhnoressor_na_shevrole_niva_2123_zadnie_30/</v>
      </c>
      <c r="F50" s="119">
        <v>0</v>
      </c>
      <c r="G50" s="119">
        <v>0</v>
      </c>
      <c r="H50" s="119">
        <v>0</v>
      </c>
      <c r="I50" s="119">
        <v>0</v>
      </c>
    </row>
    <row r="51" spans="1:9" s="119" customFormat="1" x14ac:dyDescent="0.25">
      <c r="A51" s="119">
        <v>201902</v>
      </c>
      <c r="B51" s="119" t="str">
        <v>3890 снят</v>
      </c>
      <c r="C51" s="119" t="str">
        <v>https://motorring.ru/product/33910-prughiny-zad-podveski-tehnoressor-zanizh-50-shevy</v>
      </c>
      <c r="D51" s="119">
        <v>4950</v>
      </c>
      <c r="E51" s="119" t="str">
        <v>https://33sport.ru/catalog/podveska/pruzhiny_tekhnoressor/pruzhiny_tekhnoressor_zadnie_shevrole_niva_50/</v>
      </c>
      <c r="F51" s="119">
        <v>0</v>
      </c>
      <c r="G51" s="119">
        <v>0</v>
      </c>
      <c r="H51" s="119">
        <v>0</v>
      </c>
      <c r="I51" s="119">
        <v>0</v>
      </c>
    </row>
    <row r="52" spans="1:9" s="119" customFormat="1" x14ac:dyDescent="0.25">
      <c r="A52" s="119">
        <v>201970</v>
      </c>
      <c r="B52" s="119" t="str">
        <v>3890 снят</v>
      </c>
      <c r="C52" s="119" t="str">
        <v>https://motorring.ru/product/33892-prughiny-peredney-podveski-tehnoressor-30-2123</v>
      </c>
      <c r="D52" s="119">
        <v>4950</v>
      </c>
      <c r="E52" s="119" t="str">
        <v>https://33sport.ru/catalog/podveska/pruzhiny_tekhnoressor/pruzhiny_tekhnoressor_na_shevrole_niva_2123_perednie_30/</v>
      </c>
      <c r="F52" s="119">
        <v>0</v>
      </c>
      <c r="G52" s="119">
        <v>0</v>
      </c>
      <c r="H52" s="119">
        <v>0</v>
      </c>
      <c r="I52" s="119">
        <v>0</v>
      </c>
    </row>
    <row r="53" spans="1:9" s="119" customFormat="1" x14ac:dyDescent="0.25">
      <c r="A53" s="119">
        <v>201968</v>
      </c>
      <c r="B53" s="119" t="str">
        <v>2990 снят</v>
      </c>
      <c r="C53" s="119" t="str">
        <v>https://motorring.ru/product/33796-prughiny-peredney-podveski-tehnoressor-zavysh-20mm-2190-fl</v>
      </c>
      <c r="D53" s="119">
        <v>0</v>
      </c>
      <c r="E53" s="119">
        <v>0</v>
      </c>
      <c r="F53" s="119">
        <v>0</v>
      </c>
      <c r="G53" s="119">
        <v>0</v>
      </c>
      <c r="H53" s="119">
        <v>0</v>
      </c>
      <c r="I53" s="119">
        <v>0</v>
      </c>
    </row>
    <row r="54" spans="1:9" s="119" customFormat="1" x14ac:dyDescent="0.25">
      <c r="A54" s="119">
        <v>202003</v>
      </c>
      <c r="B54" s="119">
        <v>5190</v>
      </c>
      <c r="C54" s="119" t="str">
        <v>https://motorring.ru/product/33667-usilennye-prughiny-peredney-podveski-tehnoressor-lada-granta</v>
      </c>
      <c r="D54" s="119">
        <v>0</v>
      </c>
      <c r="E54" s="119">
        <v>0</v>
      </c>
      <c r="F54" s="119">
        <v>0</v>
      </c>
      <c r="G54" s="119">
        <v>0</v>
      </c>
      <c r="H54" s="119">
        <v>0</v>
      </c>
      <c r="I54" s="119">
        <v>0</v>
      </c>
    </row>
    <row r="55" spans="1:9" s="119" customFormat="1" x14ac:dyDescent="0.25">
      <c r="A55" s="119">
        <v>202005</v>
      </c>
      <c r="B55" s="119">
        <v>2890</v>
      </c>
      <c r="C55" s="119" t="str">
        <v>https://motorring.ru/product/4359-prughiny-fobos-standart-vaz-2110-2112-perednie-bez</v>
      </c>
      <c r="D55" s="119">
        <v>2535</v>
      </c>
      <c r="E55" s="119" t="str">
        <v>https://33sport.ru/catalog/podveska/pruzhiny_fobos/2110/pruzhiny_fobos_vaz_2110_peremennyj_shag_perednie/</v>
      </c>
      <c r="F55" s="119">
        <v>0</v>
      </c>
      <c r="G55" s="119">
        <v>0</v>
      </c>
      <c r="H55" s="119">
        <v>0</v>
      </c>
      <c r="I55" s="119">
        <v>0</v>
      </c>
    </row>
    <row r="56" spans="1:9" s="119" customFormat="1" x14ac:dyDescent="0.25">
      <c r="A56" s="119">
        <v>201919</v>
      </c>
      <c r="B56" s="119" t="str">
        <v>не нашел</v>
      </c>
      <c r="C56" s="119">
        <v>0</v>
      </c>
      <c r="D56" s="119">
        <v>2470</v>
      </c>
      <c r="E56" s="119" t="str">
        <v>https://33sport.ru/catalog/proizvoditeli/Fobos_r/pruzhiny_podveski_lada_vesta_sw_cross_zadnie_fobos_-8450031060/</v>
      </c>
      <c r="F56" s="119">
        <v>0</v>
      </c>
      <c r="G56" s="119">
        <v>0</v>
      </c>
      <c r="H56" s="119">
        <v>0</v>
      </c>
      <c r="I56" s="119">
        <v>0</v>
      </c>
    </row>
    <row r="57" spans="1:9" s="119" customFormat="1" x14ac:dyDescent="0.25">
      <c r="A57" s="119">
        <v>201923</v>
      </c>
      <c r="B57" s="119" t="str">
        <v>не нашел</v>
      </c>
      <c r="C57" s="119">
        <v>0</v>
      </c>
      <c r="D57" s="119" t="str">
        <v>не нашел</v>
      </c>
      <c r="E57" s="119">
        <v>0</v>
      </c>
      <c r="F57" s="119">
        <v>0</v>
      </c>
      <c r="G57" s="119">
        <v>0</v>
      </c>
      <c r="H57" s="119">
        <v>0</v>
      </c>
      <c r="I57" s="119">
        <v>0</v>
      </c>
    </row>
    <row r="58" spans="1:9" s="119" customFormat="1" x14ac:dyDescent="0.25">
      <c r="A58" s="119">
        <v>201920</v>
      </c>
      <c r="B58" s="119" t="str">
        <v>не нашел</v>
      </c>
      <c r="C58" s="119">
        <v>0</v>
      </c>
      <c r="D58" s="119" t="str">
        <v>не нашел</v>
      </c>
      <c r="E58" s="119">
        <v>0</v>
      </c>
      <c r="F58" s="119">
        <v>0</v>
      </c>
      <c r="G58" s="119">
        <v>0</v>
      </c>
      <c r="H58" s="119">
        <v>0</v>
      </c>
      <c r="I58" s="119">
        <v>0</v>
      </c>
    </row>
    <row r="59" spans="1:9" s="119" customFormat="1" x14ac:dyDescent="0.25">
      <c r="A59" s="119">
        <v>202008</v>
      </c>
      <c r="B59" s="119" t="str">
        <v>не нашел</v>
      </c>
      <c r="C59" s="119">
        <v>0</v>
      </c>
      <c r="D59" s="119" t="str">
        <v>не нашел</v>
      </c>
      <c r="E59" s="119">
        <v>0</v>
      </c>
      <c r="F59" s="119">
        <v>0</v>
      </c>
      <c r="G59" s="119">
        <v>0</v>
      </c>
      <c r="H59" s="119">
        <v>0</v>
      </c>
      <c r="I59" s="119">
        <v>0</v>
      </c>
    </row>
    <row r="60" spans="1:9" s="119" customFormat="1" x14ac:dyDescent="0.25">
      <c r="A60" s="119">
        <v>202004</v>
      </c>
      <c r="B60" s="119" t="str">
        <v>не нашел</v>
      </c>
      <c r="C60" s="119">
        <v>0</v>
      </c>
      <c r="D60" s="119">
        <v>2600</v>
      </c>
      <c r="E60" s="119" t="str">
        <v>https://33sport.ru/catalog/proizvoditeli/Fobos_r/pruzhiny_podveski_lada_vesta_perednie_fobos_-8450006725/</v>
      </c>
      <c r="F60" s="119">
        <v>0</v>
      </c>
      <c r="G60" s="119">
        <v>0</v>
      </c>
      <c r="H60" s="119">
        <v>0</v>
      </c>
      <c r="I60" s="119">
        <v>0</v>
      </c>
    </row>
    <row r="61" spans="1:9" s="119" customFormat="1" x14ac:dyDescent="0.25">
      <c r="A61" s="119">
        <v>202006</v>
      </c>
      <c r="B61" s="119" t="str">
        <v>не нашел</v>
      </c>
      <c r="C61" s="119">
        <v>0</v>
      </c>
      <c r="D61" s="119">
        <v>2925</v>
      </c>
      <c r="E61" s="119" t="str">
        <v>https://33sport.ru/catalog/podveska/pruzhiny_fobos/niva/pruzhiny_fobos_vaz_2121_niva_peremennyj_shag_perednie/</v>
      </c>
      <c r="F61" s="119">
        <v>0</v>
      </c>
      <c r="G61" s="119">
        <v>0</v>
      </c>
      <c r="H61" s="119">
        <v>0</v>
      </c>
      <c r="I61" s="119">
        <v>0</v>
      </c>
    </row>
    <row r="62" spans="1:9" s="119" customFormat="1" x14ac:dyDescent="0.25">
      <c r="A62" s="119">
        <v>201922</v>
      </c>
      <c r="B62" s="119" t="str">
        <v>не нашел</v>
      </c>
      <c r="C62" s="119">
        <v>0</v>
      </c>
      <c r="D62" s="119" t="str">
        <v>не нашел</v>
      </c>
      <c r="E62" s="119">
        <v>0</v>
      </c>
      <c r="F62" s="119">
        <v>0</v>
      </c>
      <c r="G62" s="119">
        <v>0</v>
      </c>
      <c r="H62" s="119">
        <v>0</v>
      </c>
      <c r="I62" s="119">
        <v>0</v>
      </c>
    </row>
    <row r="63" spans="1:9" s="119" customFormat="1" x14ac:dyDescent="0.25">
      <c r="A63" s="119">
        <v>201921</v>
      </c>
      <c r="B63" s="119" t="str">
        <v>не нашел</v>
      </c>
      <c r="C63" s="119">
        <v>0</v>
      </c>
      <c r="D63" s="119">
        <v>2795</v>
      </c>
      <c r="E63" s="119" t="str">
        <v>https://33sport.ru/catalog/podveska/pruzhiny_fobos/niva/pruzhiny_fobos_vaz_2121_niva_peremennyj_shag_zadnie/</v>
      </c>
      <c r="F63" s="119">
        <v>0</v>
      </c>
      <c r="G63" s="119">
        <v>0</v>
      </c>
      <c r="H63" s="119">
        <v>0</v>
      </c>
      <c r="I63" s="119">
        <v>0</v>
      </c>
    </row>
    <row r="64" spans="1:9" s="119" customFormat="1" x14ac:dyDescent="0.25">
      <c r="A64" s="119">
        <v>202007</v>
      </c>
      <c r="B64" s="119" t="str">
        <v>не нашел</v>
      </c>
      <c r="C64" s="119">
        <v>0</v>
      </c>
      <c r="D64" s="119" t="str">
        <v>не нашел</v>
      </c>
      <c r="E64" s="119">
        <v>0</v>
      </c>
      <c r="F64" s="119">
        <v>0</v>
      </c>
      <c r="G64" s="119">
        <v>0</v>
      </c>
      <c r="H64" s="119">
        <v>0</v>
      </c>
      <c r="I64" s="119">
        <v>0</v>
      </c>
    </row>
    <row r="65" spans="1:9" s="119" customFormat="1" x14ac:dyDescent="0.25">
      <c r="A65" s="119">
        <v>201965</v>
      </c>
      <c r="B65" s="119">
        <v>5690</v>
      </c>
      <c r="C65" s="119" t="str">
        <v>https://motorring.ru/product/33805-prughiny-peredney-podveski-tehnoressor-50-shevy</v>
      </c>
      <c r="D65" s="119">
        <v>4950</v>
      </c>
      <c r="E65" s="119" t="str">
        <v>https://33sport.ru/catalog/podveska/pruzhiny_tekhnoressor/pruzhiny_tekhnoressor_perednie_vaz_2123_shevrole_niva_50/</v>
      </c>
      <c r="F65" s="119">
        <v>0</v>
      </c>
      <c r="G65" s="119">
        <v>0</v>
      </c>
      <c r="H65" s="119">
        <v>0</v>
      </c>
      <c r="I65" s="119">
        <v>0</v>
      </c>
    </row>
    <row r="66" spans="1:9" s="119" customFormat="1" x14ac:dyDescent="0.25">
      <c r="A66" s="119">
        <v>201875</v>
      </c>
      <c r="B66" s="119">
        <v>2890</v>
      </c>
      <c r="C66" s="119" t="str">
        <v>https://motorring.ru/product/4567-zadnie-prughiny-fobos-standart-peremennyy-shag-kalina</v>
      </c>
      <c r="D66" s="119">
        <v>2405</v>
      </c>
      <c r="E66" s="119" t="str">
        <v>https://33sport.ru/catalog/podveska/pruzhiny_fobos/2110/pruzhiny_fobos_vaz_2110_peremennyj_shag_zadnie/</v>
      </c>
      <c r="F66" s="119">
        <v>0</v>
      </c>
      <c r="G66" s="119">
        <v>0</v>
      </c>
      <c r="H66" s="119">
        <v>0</v>
      </c>
      <c r="I66" s="119">
        <v>0</v>
      </c>
    </row>
    <row r="67" spans="1:9" s="119" customFormat="1" x14ac:dyDescent="0.25">
      <c r="A67" s="119">
        <v>251661</v>
      </c>
      <c r="B67" s="119">
        <v>2890</v>
      </c>
      <c r="C67" s="119" t="str">
        <v>https://motorring.ru/product/16263-prughiny-perednie-fobos-standart-bez-zanigheniya-dlya-vaz</v>
      </c>
      <c r="D67" s="119">
        <v>2795</v>
      </c>
      <c r="E67" s="119" t="str">
        <v>https://33sport.ru/catalog/avtomobili-zapchasti/vaz_2105-zapchasti/pruzhiny_podveski_vaz_2101_perednie_s_peremennym_shagom_fobos_-21010-2902712/</v>
      </c>
      <c r="F67" s="119">
        <v>0</v>
      </c>
      <c r="G67" s="119">
        <v>0</v>
      </c>
      <c r="H67" s="119">
        <v>0</v>
      </c>
      <c r="I67" s="119">
        <v>0</v>
      </c>
    </row>
    <row r="68" spans="1:9" s="119" customFormat="1" x14ac:dyDescent="0.25">
      <c r="A68" s="119">
        <v>444190</v>
      </c>
      <c r="B68" s="119">
        <v>0</v>
      </c>
      <c r="C68" s="119">
        <v>0</v>
      </c>
      <c r="D68" s="119">
        <v>0</v>
      </c>
      <c r="E68" s="119">
        <v>0</v>
      </c>
      <c r="F68" s="119">
        <v>0</v>
      </c>
      <c r="G68" s="119">
        <v>0</v>
      </c>
      <c r="H68" s="119">
        <v>0</v>
      </c>
      <c r="I68" s="119">
        <v>0</v>
      </c>
    </row>
    <row r="69" spans="1:9" s="119" customFormat="1" x14ac:dyDescent="0.25">
      <c r="A69" s="119">
        <v>444186</v>
      </c>
      <c r="B69" s="119">
        <v>0</v>
      </c>
      <c r="C69" s="119">
        <v>0</v>
      </c>
      <c r="D69" s="119">
        <v>0</v>
      </c>
      <c r="E69" s="119">
        <v>0</v>
      </c>
      <c r="F69" s="119">
        <v>0</v>
      </c>
      <c r="G69" s="119">
        <v>0</v>
      </c>
      <c r="H69" s="119">
        <v>0</v>
      </c>
      <c r="I69" s="119">
        <v>0</v>
      </c>
    </row>
    <row r="70" spans="1:9" s="119" customFormat="1" x14ac:dyDescent="0.25">
      <c r="A70" s="119">
        <v>443462</v>
      </c>
      <c r="B70" s="119">
        <v>2390</v>
      </c>
      <c r="C70" s="119" t="str">
        <v>https://motorring.ru/product/33822-prughiny-zadney-podveski-tehnoressor-zanigh-120-2101-07</v>
      </c>
      <c r="D70" s="119">
        <v>3400</v>
      </c>
      <c r="E70" s="119" t="str">
        <v>https://33sport.ru/catalog/podveska/pruzhiny_tekhnoressor/pruzhiny_tekhnoressor_vaz_2101-07_zadnie_-120/</v>
      </c>
      <c r="F70" s="119">
        <v>0</v>
      </c>
      <c r="G70" s="119">
        <v>0</v>
      </c>
      <c r="H70" s="119">
        <v>0</v>
      </c>
      <c r="I70" s="119">
        <v>0</v>
      </c>
    </row>
    <row r="71" spans="1:9" s="119" customFormat="1" x14ac:dyDescent="0.25">
      <c r="A71" s="119">
        <v>443575</v>
      </c>
      <c r="B71" s="119">
        <v>3990</v>
      </c>
      <c r="C71" s="119" t="str">
        <v>https://motorring.ru/product/6626-prughiny-zadney-podveski-tehnoressor-120mm-vaz-2108-21099</v>
      </c>
      <c r="D71" s="119">
        <v>3900</v>
      </c>
      <c r="E71" s="119" t="str">
        <v>https://33sport.ru/catalog/podveska/pruzhiny_tekhnoressor/pruzhiny_tehnoressor_210810priora_kalina_granta_zadnie_120/</v>
      </c>
      <c r="F71" s="119">
        <v>0</v>
      </c>
      <c r="G71" s="119">
        <v>0</v>
      </c>
      <c r="H71" s="119">
        <v>0</v>
      </c>
      <c r="I71" s="119">
        <v>0</v>
      </c>
    </row>
    <row r="72" spans="1:9" s="119" customFormat="1" x14ac:dyDescent="0.25">
      <c r="A72" s="119">
        <v>443463</v>
      </c>
      <c r="B72" s="119">
        <v>3690</v>
      </c>
      <c r="C72" s="119" t="str">
        <v>https://motorring.ru/product/33817-prughiny-zadney-podveski-tehnoressor-zanigh-30-2101-07</v>
      </c>
      <c r="D72" s="119">
        <v>3500</v>
      </c>
      <c r="E72" s="119" t="str">
        <v>https://33sport.ru/catalog/podveska/pruzhiny_tekhnoressor/pruzhiny_tehnoressor_210107_zadnie_30/</v>
      </c>
      <c r="F72" s="119">
        <v>0</v>
      </c>
      <c r="G72" s="119">
        <v>0</v>
      </c>
      <c r="H72" s="119">
        <v>0</v>
      </c>
      <c r="I72" s="119">
        <v>0</v>
      </c>
    </row>
    <row r="73" spans="1:9" s="119" customFormat="1" x14ac:dyDescent="0.25">
      <c r="A73" s="119">
        <v>443576</v>
      </c>
      <c r="B73" s="119">
        <v>3990</v>
      </c>
      <c r="C73" s="119" t="str">
        <v>https://motorring.ru/product/6630-prughiny-zadney-podveski-tehnoressor-30mm-vaz-2108-21099</v>
      </c>
      <c r="D73" s="119">
        <v>3900</v>
      </c>
      <c r="E73" s="119" t="str">
        <v>https://33sport.ru/catalog/podveska/pruzhiny_tekhnoressor/pruzhiny_tehnoressor_210810priora_kalina_granta_zadnie_30/</v>
      </c>
      <c r="F73" s="119">
        <v>0</v>
      </c>
      <c r="G73" s="119">
        <v>0</v>
      </c>
      <c r="H73" s="119">
        <v>0</v>
      </c>
      <c r="I73" s="119">
        <v>0</v>
      </c>
    </row>
    <row r="74" spans="1:9" s="119" customFormat="1" x14ac:dyDescent="0.25">
      <c r="A74" s="119">
        <v>443968</v>
      </c>
      <c r="B74" s="119">
        <v>5990</v>
      </c>
      <c r="C74" s="119" t="str">
        <v>https://motorring.ru/product/10469-prughiny-zadney-podveski-tehnoressor-30-lada-vesta</v>
      </c>
      <c r="D74" s="119">
        <v>5460</v>
      </c>
      <c r="E74" s="119" t="str">
        <v>https://33sport.ru/catalog/podveska/pruzhiny_tekhnoressor/pruzhiny_tekhnoressor_vesta_zadnie_30/</v>
      </c>
      <c r="F74" s="119">
        <v>0</v>
      </c>
      <c r="G74" s="119">
        <v>0</v>
      </c>
      <c r="H74" s="119">
        <v>0</v>
      </c>
      <c r="I74" s="119">
        <v>0</v>
      </c>
    </row>
    <row r="75" spans="1:9" s="119" customFormat="1" x14ac:dyDescent="0.25">
      <c r="A75" s="119">
        <v>443464</v>
      </c>
      <c r="B75" s="119">
        <v>3890</v>
      </c>
      <c r="C75" s="119" t="str">
        <v>https://motorring.ru/product/33819-prughiny-zadney-podveski-tehnoressor-zanigh-50-2101-07</v>
      </c>
      <c r="D75" s="119">
        <v>3500</v>
      </c>
      <c r="E75" s="119" t="str">
        <v>https://33sport.ru/catalog/podveska/pruzhiny_tekhnoressor/pruzhiny_tehnoressor_210107_zadnie_50/</v>
      </c>
      <c r="F75" s="119">
        <v>0</v>
      </c>
      <c r="G75" s="119">
        <v>0</v>
      </c>
      <c r="H75" s="119">
        <v>0</v>
      </c>
      <c r="I75" s="119">
        <v>0</v>
      </c>
    </row>
    <row r="76" spans="1:9" s="119" customFormat="1" x14ac:dyDescent="0.25">
      <c r="A76" s="119">
        <v>443577</v>
      </c>
      <c r="B76" s="119">
        <v>3890</v>
      </c>
      <c r="C76" s="119" t="str">
        <v>https://motorring.ru/product/6624-prughiny-zadney-podveski-tehnoressor-50mm-vaz-2108-21099</v>
      </c>
      <c r="D76" s="119">
        <v>3900</v>
      </c>
      <c r="E76" s="119" t="str">
        <v>https://33sport.ru/catalog/podveska/pruzhiny_tekhnoressor/pruzhiny_tehnoressor_210810priora_kalina_granta_zadnie_50/</v>
      </c>
      <c r="F76" s="119">
        <v>0</v>
      </c>
      <c r="G76" s="119">
        <v>0</v>
      </c>
      <c r="H76" s="119">
        <v>0</v>
      </c>
      <c r="I76" s="119">
        <v>0</v>
      </c>
    </row>
    <row r="77" spans="1:9" s="119" customFormat="1" x14ac:dyDescent="0.25">
      <c r="A77" s="119">
        <v>443969</v>
      </c>
      <c r="B77" s="119">
        <v>6090</v>
      </c>
      <c r="C77" s="119" t="str">
        <v>https://motorring.ru/product/10470-prughiny-zadney-podveski-tehnoressor-50-lada-vesta</v>
      </c>
      <c r="D77" s="119">
        <v>5460</v>
      </c>
      <c r="E77" s="119" t="str">
        <v>https://33sport.ru/catalog/podveska/pruzhiny_tekhnoressor/pruzhiny_tekhnoressor_vesta_zadnie_50/</v>
      </c>
      <c r="F77" s="119">
        <v>0</v>
      </c>
      <c r="G77" s="119">
        <v>0</v>
      </c>
      <c r="H77" s="119">
        <v>0</v>
      </c>
      <c r="I77" s="119">
        <v>0</v>
      </c>
    </row>
    <row r="78" spans="1:9" s="119" customFormat="1" x14ac:dyDescent="0.25">
      <c r="A78" s="119">
        <v>443465</v>
      </c>
      <c r="B78" s="119">
        <v>3890</v>
      </c>
      <c r="C78" s="119" t="str">
        <v>https://motorring.ru/product/33821-prughiny-zadney-podveski-tehnoressor-zanigh-70-2101-07</v>
      </c>
      <c r="D78" s="119">
        <v>3500</v>
      </c>
      <c r="E78" s="119" t="str">
        <v>https://33sport.ru/catalog/podveska/pruzhiny_tekhnoressor/pruzhiny_tehnoressor_210107_zadnie_70/</v>
      </c>
      <c r="F78" s="119">
        <v>0</v>
      </c>
      <c r="G78" s="119">
        <v>0</v>
      </c>
      <c r="H78" s="119">
        <v>0</v>
      </c>
      <c r="I78" s="119">
        <v>0</v>
      </c>
    </row>
    <row r="79" spans="1:9" s="119" customFormat="1" x14ac:dyDescent="0.25">
      <c r="A79" s="119">
        <v>443578</v>
      </c>
      <c r="B79" s="119">
        <v>3890</v>
      </c>
      <c r="C79" s="119" t="str">
        <v>https://motorring.ru/product/6622-prughiny-zadney-podveski-tehnoressor-70mm-vaz-2108-21099</v>
      </c>
      <c r="D79" s="119">
        <v>3900</v>
      </c>
      <c r="E79" s="119" t="str">
        <v>https://33sport.ru/catalog/podveska/pruzhiny_tekhnoressor/pruzhiny_tehnoressor_210810priora_kalina_granta_zadnie_70/</v>
      </c>
      <c r="F79" s="119">
        <v>0</v>
      </c>
      <c r="G79" s="119">
        <v>0</v>
      </c>
      <c r="H79" s="119">
        <v>0</v>
      </c>
      <c r="I79" s="119">
        <v>0</v>
      </c>
    </row>
    <row r="80" spans="1:9" s="119" customFormat="1" x14ac:dyDescent="0.25">
      <c r="A80" s="119">
        <v>443970</v>
      </c>
      <c r="B80" s="119">
        <v>5390</v>
      </c>
      <c r="C80" s="119" t="str">
        <v>https://motorring.ru/product/33875-prughiny-zad-podveski-tehnoressor-zanij-70-vesta</v>
      </c>
      <c r="D80" s="119">
        <v>0</v>
      </c>
      <c r="E80" s="119">
        <v>0</v>
      </c>
      <c r="F80" s="119">
        <v>0</v>
      </c>
      <c r="G80" s="119">
        <v>0</v>
      </c>
      <c r="H80" s="119">
        <v>0</v>
      </c>
      <c r="I80" s="119">
        <v>0</v>
      </c>
    </row>
    <row r="81" spans="1:9" s="119" customFormat="1" x14ac:dyDescent="0.25">
      <c r="A81" s="119">
        <v>443466</v>
      </c>
      <c r="B81" s="119">
        <v>3890</v>
      </c>
      <c r="C81" s="119" t="str">
        <v>https://motorring.ru/product/33820-prughiny-zadney-podveski-tehnoressor-zanigh-90-2101-07</v>
      </c>
      <c r="D81" s="119">
        <v>0</v>
      </c>
      <c r="E81" s="119">
        <v>0</v>
      </c>
      <c r="F81" s="119">
        <v>0</v>
      </c>
      <c r="G81" s="119">
        <v>0</v>
      </c>
      <c r="H81" s="119">
        <v>0</v>
      </c>
      <c r="I81" s="119">
        <v>0</v>
      </c>
    </row>
    <row r="82" spans="1:9" s="119" customFormat="1" x14ac:dyDescent="0.25">
      <c r="A82" s="119">
        <v>443579</v>
      </c>
      <c r="B82" s="119">
        <v>3990</v>
      </c>
      <c r="C82" s="119" t="str">
        <v>https://motorring.ru/product/6628-prughiny-zadney-podveski-tehnoressor-90mm-vaz-2108-21099</v>
      </c>
      <c r="D82" s="119">
        <v>3900</v>
      </c>
      <c r="E82" s="119" t="str">
        <v>https://33sport.ru/catalog/podveska/pruzhiny_tekhnoressor/pruzhiny_tehnoressor_210810priora_kalina_granta_zadnie_90/</v>
      </c>
      <c r="F82" s="119">
        <v>0</v>
      </c>
      <c r="G82" s="119">
        <v>0</v>
      </c>
      <c r="H82" s="119">
        <v>0</v>
      </c>
      <c r="I82" s="119">
        <v>0</v>
      </c>
    </row>
    <row r="83" spans="1:9" s="119" customFormat="1" x14ac:dyDescent="0.25">
      <c r="A83" s="119">
        <v>444181</v>
      </c>
      <c r="B83" s="119">
        <v>0</v>
      </c>
      <c r="C83" s="119">
        <v>0</v>
      </c>
      <c r="D83" s="119">
        <v>0</v>
      </c>
      <c r="E83" s="119">
        <v>0</v>
      </c>
      <c r="F83" s="119">
        <v>0</v>
      </c>
      <c r="G83" s="119">
        <v>0</v>
      </c>
      <c r="H83" s="119">
        <v>0</v>
      </c>
      <c r="I83" s="119">
        <v>0</v>
      </c>
    </row>
    <row r="84" spans="1:9" s="119" customFormat="1" x14ac:dyDescent="0.25">
      <c r="A84" s="119">
        <v>444168</v>
      </c>
      <c r="B84" s="119">
        <v>0</v>
      </c>
      <c r="C84" s="119">
        <v>0</v>
      </c>
      <c r="D84" s="119">
        <v>0</v>
      </c>
      <c r="E84" s="119">
        <v>0</v>
      </c>
      <c r="F84" s="119">
        <v>0</v>
      </c>
      <c r="G84" s="119">
        <v>0</v>
      </c>
      <c r="H84" s="119">
        <v>0</v>
      </c>
      <c r="I84" s="119">
        <v>0</v>
      </c>
    </row>
    <row r="85" spans="1:9" s="119" customFormat="1" x14ac:dyDescent="0.25">
      <c r="A85" s="119">
        <v>444163</v>
      </c>
      <c r="B85" s="119">
        <v>0</v>
      </c>
      <c r="C85" s="119">
        <v>0</v>
      </c>
      <c r="D85" s="119">
        <v>0</v>
      </c>
      <c r="E85" s="119">
        <v>0</v>
      </c>
      <c r="F85" s="119">
        <v>0</v>
      </c>
      <c r="G85" s="119">
        <v>0</v>
      </c>
      <c r="H85" s="119">
        <v>0</v>
      </c>
      <c r="I85" s="119">
        <v>0</v>
      </c>
    </row>
    <row r="86" spans="1:9" s="119" customFormat="1" x14ac:dyDescent="0.25">
      <c r="A86" s="119">
        <v>443472</v>
      </c>
      <c r="B86" s="119">
        <v>4890</v>
      </c>
      <c r="C86" s="119" t="str">
        <v>https://motorring.ru/product/3338-prughiny-zadnie-dlya-vaz-2101-07-sport-zanighenie-25mm</v>
      </c>
      <c r="D86" s="119">
        <v>3900</v>
      </c>
      <c r="E86" s="119" t="str">
        <v>https://33sport.ru/catalog/avtomobili-zapchasti/vaz_2105-zapchasti/pruzhiny_podveski_vaz_2101_zadnie_fobos_sport_-25mm_-2101-2912712/</v>
      </c>
      <c r="F86" s="119">
        <v>0</v>
      </c>
      <c r="G86" s="119">
        <v>0</v>
      </c>
      <c r="H86" s="119">
        <v>0</v>
      </c>
      <c r="I86" s="119">
        <v>0</v>
      </c>
    </row>
    <row r="87" spans="1:9" s="119" customFormat="1" x14ac:dyDescent="0.25">
      <c r="A87" s="119">
        <v>443581</v>
      </c>
      <c r="B87" s="119">
        <v>3990</v>
      </c>
      <c r="C87" s="119" t="str">
        <v>https://motorring.ru/product/3342-zadnie-prughiny-fobos-sport-zanighenie-25mm-vaz-2108</v>
      </c>
      <c r="D87" s="119">
        <v>3445</v>
      </c>
      <c r="E87" s="119" t="str">
        <v>https://33sport.ru/catalog/podveska/pruzhiny_fobos/2110/pruzhiny_podveski_2110_zadnie_fobos_sport_25mm/</v>
      </c>
      <c r="F87" s="119">
        <v>0</v>
      </c>
      <c r="G87" s="119">
        <v>0</v>
      </c>
      <c r="H87" s="119">
        <v>0</v>
      </c>
      <c r="I87" s="119">
        <v>0</v>
      </c>
    </row>
    <row r="88" spans="1:9" s="119" customFormat="1" x14ac:dyDescent="0.25">
      <c r="A88" s="119">
        <v>443473</v>
      </c>
      <c r="B88" s="119">
        <v>0</v>
      </c>
      <c r="C88" s="119">
        <v>0</v>
      </c>
      <c r="D88" s="119">
        <v>0</v>
      </c>
      <c r="E88" s="119">
        <v>0</v>
      </c>
      <c r="F88" s="119">
        <v>0</v>
      </c>
      <c r="G88" s="119">
        <v>0</v>
      </c>
      <c r="H88" s="119">
        <v>0</v>
      </c>
      <c r="I88" s="119">
        <v>0</v>
      </c>
    </row>
    <row r="89" spans="1:9" s="119" customFormat="1" x14ac:dyDescent="0.25">
      <c r="A89" s="119">
        <v>443580</v>
      </c>
      <c r="B89" s="119">
        <v>3890</v>
      </c>
      <c r="C89" s="119" t="str">
        <v>https://motorring.ru/product/3344-zadnie-prughiny-fobos-sport-zanigheniem-40mm-vaz-2108</v>
      </c>
      <c r="D89" s="119">
        <v>3445</v>
      </c>
      <c r="E89" s="119" t="str">
        <v>https://33sport.ru/catalog/podveska/pruzhiny_fobos/2110/pruzhiny_podveski_2110_zadnie_fobos_sport_40mm/</v>
      </c>
      <c r="F89" s="119">
        <v>0</v>
      </c>
      <c r="G89" s="119">
        <v>0</v>
      </c>
      <c r="H89" s="119">
        <v>0</v>
      </c>
      <c r="I89" s="119">
        <v>0</v>
      </c>
    </row>
    <row r="90" spans="1:9" s="119" customFormat="1" x14ac:dyDescent="0.25">
      <c r="A90" s="119">
        <v>443474</v>
      </c>
      <c r="B90" s="119">
        <v>4590</v>
      </c>
      <c r="C90" s="119" t="str">
        <v>https://motorring.ru/product/3340-prughiny-zadnie-fobos-sport-zanigheniem-50-vaz-2101-2107</v>
      </c>
      <c r="D90" s="119">
        <v>3900</v>
      </c>
      <c r="E90" s="119" t="str">
        <v>https://33sport.ru/catalog/avtomobili-zapchasti/vaz_2105-zapchasti/pruzhiny_podveski_vaz_2101_zadnie_fobos_sport_-50mm_-2101-2912712/</v>
      </c>
      <c r="F90" s="119">
        <v>0</v>
      </c>
      <c r="G90" s="119">
        <v>0</v>
      </c>
      <c r="H90" s="119">
        <v>0</v>
      </c>
      <c r="I90" s="119">
        <v>0</v>
      </c>
    </row>
    <row r="91" spans="1:9" s="119" customFormat="1" x14ac:dyDescent="0.25">
      <c r="A91" s="119">
        <v>443582</v>
      </c>
      <c r="B91" s="119">
        <v>3990</v>
      </c>
      <c r="C91" s="119" t="str">
        <v>https://motorring.ru/product/3347-zadnie-prughiny-fobos-sport-zanigheniem-vaz-2108-21099</v>
      </c>
      <c r="D91" s="119">
        <v>3445</v>
      </c>
      <c r="E91" s="119" t="str">
        <v>https://33sport.ru/catalog/podveska/pruzhiny_fobos/2110/pruzhiny_podveski_2110_zadnie_fobos_sport_50mm/</v>
      </c>
      <c r="F91" s="119">
        <v>0</v>
      </c>
      <c r="G91" s="119">
        <v>0</v>
      </c>
      <c r="H91" s="119">
        <v>0</v>
      </c>
      <c r="I91" s="119">
        <v>0</v>
      </c>
    </row>
    <row r="92" spans="1:9" s="119" customFormat="1" x14ac:dyDescent="0.25">
      <c r="A92" s="119">
        <v>443475</v>
      </c>
      <c r="B92" s="119">
        <v>4590</v>
      </c>
      <c r="C92" s="119" t="str">
        <v>https://motorring.ru/product/16266-prughiny-zadnie-fobos-sport-zanighenie-70mm-vaz-2101-2107</v>
      </c>
      <c r="D92" s="119">
        <v>3900</v>
      </c>
      <c r="E92" s="119" t="str">
        <v>https://33sport.ru/catalog/avtomobili-zapchasti/vaz_2105-zapchasti/pruzhiny_podveski_vaz_2101_zadnie_fobos_sport_-70mm_-2101-2912712/</v>
      </c>
      <c r="F92" s="119">
        <v>0</v>
      </c>
      <c r="G92" s="119">
        <v>0</v>
      </c>
      <c r="H92" s="119">
        <v>0</v>
      </c>
      <c r="I92" s="119">
        <v>0</v>
      </c>
    </row>
    <row r="93" spans="1:9" s="119" customFormat="1" x14ac:dyDescent="0.25">
      <c r="A93" s="119">
        <v>443583</v>
      </c>
      <c r="B93" s="119">
        <v>3990</v>
      </c>
      <c r="C93" s="119" t="str">
        <v>https://motorring.ru/product/16255-zadnie-prughiny-fobos-sport-zanigheniem-70-vaz-2108-21099</v>
      </c>
      <c r="D93" s="119">
        <v>4500</v>
      </c>
      <c r="E93" s="119" t="str">
        <v>https://33sport.ru/catalog/podveska/pruzhiny_fobos/2110/pruzhiny_podveski_2110_zadnie_fobos_sport_70mm/</v>
      </c>
      <c r="F93" s="119">
        <v>0</v>
      </c>
      <c r="G93" s="119">
        <v>0</v>
      </c>
      <c r="H93" s="119">
        <v>0</v>
      </c>
      <c r="I93" s="119">
        <v>0</v>
      </c>
    </row>
    <row r="94" spans="1:9" s="119" customFormat="1" x14ac:dyDescent="0.25">
      <c r="A94" s="119">
        <v>443584</v>
      </c>
      <c r="B94" s="119">
        <v>0</v>
      </c>
      <c r="C94" s="119">
        <v>0</v>
      </c>
      <c r="D94" s="119">
        <v>4900</v>
      </c>
      <c r="E94" s="119" t="str">
        <v>https://33sport.ru/catalog/podveska/pruzhiny_fobos/2110/pruzhiny_podveski_2110_zadnie_fobos_sport_90mm/</v>
      </c>
      <c r="F94" s="119">
        <v>0</v>
      </c>
      <c r="G94" s="119">
        <v>0</v>
      </c>
      <c r="H94" s="119">
        <v>0</v>
      </c>
      <c r="I94" s="119">
        <v>0</v>
      </c>
    </row>
    <row r="95" spans="1:9" s="119" customFormat="1" x14ac:dyDescent="0.25">
      <c r="A95" s="119">
        <v>444130</v>
      </c>
      <c r="B95" s="119">
        <v>0</v>
      </c>
      <c r="C95" s="119">
        <v>0</v>
      </c>
      <c r="D95" s="119">
        <v>0</v>
      </c>
      <c r="E95" s="119">
        <v>0</v>
      </c>
      <c r="F95" s="119">
        <v>0</v>
      </c>
      <c r="G95" s="119">
        <v>0</v>
      </c>
      <c r="H95" s="119">
        <v>0</v>
      </c>
      <c r="I95" s="119">
        <v>0</v>
      </c>
    </row>
    <row r="96" spans="1:9" s="119" customFormat="1" x14ac:dyDescent="0.25">
      <c r="A96" s="119">
        <v>444147</v>
      </c>
      <c r="B96" s="119">
        <v>0</v>
      </c>
      <c r="C96" s="119">
        <v>0</v>
      </c>
      <c r="D96" s="119">
        <v>0</v>
      </c>
      <c r="E96" s="119">
        <v>0</v>
      </c>
      <c r="F96" s="119">
        <v>0</v>
      </c>
      <c r="G96" s="119">
        <v>0</v>
      </c>
      <c r="H96" s="119">
        <v>0</v>
      </c>
      <c r="I96" s="119">
        <v>0</v>
      </c>
    </row>
    <row r="97" spans="1:9" s="119" customFormat="1" x14ac:dyDescent="0.25">
      <c r="A97" s="119">
        <v>444160</v>
      </c>
      <c r="B97" s="119">
        <v>0</v>
      </c>
      <c r="C97" s="119">
        <v>0</v>
      </c>
      <c r="D97" s="119">
        <v>0</v>
      </c>
      <c r="E97" s="119">
        <v>0</v>
      </c>
      <c r="F97" s="119">
        <v>0</v>
      </c>
      <c r="G97" s="119">
        <v>0</v>
      </c>
      <c r="H97" s="119">
        <v>0</v>
      </c>
      <c r="I97" s="119">
        <v>0</v>
      </c>
    </row>
    <row r="98" spans="1:9" s="119" customFormat="1" x14ac:dyDescent="0.25">
      <c r="A98" s="119">
        <v>443467</v>
      </c>
      <c r="B98" s="119">
        <v>2390</v>
      </c>
      <c r="C98" s="119" t="str">
        <v>https://motorring.ru/product/33880-prughiny-peredney-podveski-tehnoressor-drive-120-2101</v>
      </c>
      <c r="D98" s="119">
        <v>0</v>
      </c>
      <c r="E98" s="119">
        <v>0</v>
      </c>
      <c r="F98" s="119">
        <v>0</v>
      </c>
      <c r="G98" s="119">
        <v>0</v>
      </c>
      <c r="H98" s="119">
        <v>0</v>
      </c>
      <c r="I98" s="119">
        <v>0</v>
      </c>
    </row>
    <row r="99" spans="1:9" s="119" customFormat="1" x14ac:dyDescent="0.25">
      <c r="A99" s="119">
        <v>443585</v>
      </c>
      <c r="B99" s="119">
        <v>3690</v>
      </c>
      <c r="C99" s="119" t="str">
        <v>https://motorring.ru/product/6625-prughiny-peredney-podveski-tehnoressor-120mm-2108</v>
      </c>
      <c r="D99" s="119">
        <v>3500</v>
      </c>
      <c r="E99" s="119" t="str">
        <v>https://33sport.ru/catalog/podveska/pruzhiny_tekhnoressor/pruzhiny_tehnoressor_vaz_210810_perednie_120/</v>
      </c>
      <c r="F99" s="119">
        <v>0</v>
      </c>
      <c r="G99" s="119">
        <v>0</v>
      </c>
      <c r="H99" s="119">
        <v>0</v>
      </c>
      <c r="I99" s="119">
        <v>0</v>
      </c>
    </row>
    <row r="100" spans="1:9" s="119" customFormat="1" x14ac:dyDescent="0.25">
      <c r="A100" s="119">
        <v>443723</v>
      </c>
      <c r="B100" s="119">
        <v>0</v>
      </c>
      <c r="C100" s="119">
        <v>0</v>
      </c>
      <c r="D100" s="119">
        <v>0</v>
      </c>
      <c r="E100" s="119">
        <v>0</v>
      </c>
      <c r="F100" s="119">
        <v>0</v>
      </c>
      <c r="G100" s="119">
        <v>0</v>
      </c>
      <c r="H100" s="119">
        <v>0</v>
      </c>
      <c r="I100" s="119">
        <v>0</v>
      </c>
    </row>
    <row r="101" spans="1:9" s="119" customFormat="1" x14ac:dyDescent="0.25">
      <c r="A101" s="119">
        <v>443689</v>
      </c>
      <c r="B101" s="119">
        <v>4890</v>
      </c>
      <c r="C101" s="119" t="str">
        <v>https://motorring.ru/product/6673-prughiny-peredney-podveski--120mm-dlya-lada-granta</v>
      </c>
      <c r="D101" s="119">
        <v>0</v>
      </c>
      <c r="E101" s="119">
        <v>0</v>
      </c>
      <c r="F101" s="119">
        <v>0</v>
      </c>
      <c r="G101" s="119">
        <v>0</v>
      </c>
      <c r="H101" s="119">
        <v>0</v>
      </c>
      <c r="I101" s="119">
        <v>0</v>
      </c>
    </row>
    <row r="102" spans="1:9" s="119" customFormat="1" x14ac:dyDescent="0.25">
      <c r="A102" s="119">
        <v>443468</v>
      </c>
      <c r="B102" s="119">
        <v>3690</v>
      </c>
      <c r="C102" s="119" t="str">
        <v>https://motorring.ru/product/33869-prughiny-peredney-podveski-tehnoressor-drive-30-2101</v>
      </c>
      <c r="D102" s="119">
        <v>3500</v>
      </c>
      <c r="E102" s="119" t="str">
        <v>https://33sport.ru/catalog/podveska/pruzhiny_tekhnoressor/pruzhiny_tehnoressor_210107_perednie_30/</v>
      </c>
      <c r="F102" s="119">
        <v>0</v>
      </c>
      <c r="G102" s="119">
        <v>0</v>
      </c>
      <c r="H102" s="119">
        <v>0</v>
      </c>
      <c r="I102" s="119">
        <v>0</v>
      </c>
    </row>
    <row r="103" spans="1:9" s="119" customFormat="1" x14ac:dyDescent="0.25">
      <c r="A103" s="119">
        <v>443586</v>
      </c>
      <c r="B103" s="119">
        <v>3990</v>
      </c>
      <c r="C103" s="119" t="str">
        <v>https://motorring.ru/product/6629-prughiny-peredney-podveski-tehnoressor-30mm-vaz-2108-21099</v>
      </c>
      <c r="D103" s="119">
        <v>3500</v>
      </c>
      <c r="E103" s="119" t="str">
        <v>https://33sport.ru/catalog/podveska/pruzhiny_tekhnoressor/pruzhiny_tehnoressor_vaz_210810_perednie_30/</v>
      </c>
      <c r="F103" s="119">
        <v>0</v>
      </c>
      <c r="G103" s="119">
        <v>0</v>
      </c>
      <c r="H103" s="119">
        <v>0</v>
      </c>
      <c r="I103" s="119">
        <v>0</v>
      </c>
    </row>
    <row r="104" spans="1:9" s="119" customFormat="1" x14ac:dyDescent="0.25">
      <c r="A104" s="119">
        <v>443971</v>
      </c>
      <c r="B104" s="119">
        <v>5990</v>
      </c>
      <c r="C104" s="119" t="str">
        <v>https://motorring.ru/product/10467-prughiny-peredney-podveski-tehnoressor-30-lada-vesta</v>
      </c>
      <c r="D104" s="119">
        <v>5850</v>
      </c>
      <c r="E104" s="119" t="str">
        <v>https://33sport.ru/catalog/podveska/pruzhiny_tekhnoressor/pruzhiny_tekhnoressor_vesta_perednie_30/</v>
      </c>
      <c r="F104" s="119">
        <v>0</v>
      </c>
      <c r="G104" s="119">
        <v>0</v>
      </c>
      <c r="H104" s="119">
        <v>0</v>
      </c>
      <c r="I104" s="119">
        <v>0</v>
      </c>
    </row>
    <row r="105" spans="1:9" s="119" customFormat="1" x14ac:dyDescent="0.25">
      <c r="A105" s="119">
        <v>443724</v>
      </c>
      <c r="B105" s="119">
        <v>5990</v>
      </c>
      <c r="C105" s="119" t="str">
        <v>https://motorring.ru/product/33692-prughiny-peredney-podveski-tehnoressor-drive-30mm-2190-fl</v>
      </c>
      <c r="D105" s="119">
        <v>0</v>
      </c>
      <c r="E105" s="119">
        <v>0</v>
      </c>
      <c r="F105" s="119">
        <v>0</v>
      </c>
      <c r="G105" s="119">
        <v>0</v>
      </c>
      <c r="H105" s="119">
        <v>0</v>
      </c>
      <c r="I105" s="119">
        <v>0</v>
      </c>
    </row>
    <row r="106" spans="1:9" s="119" customFormat="1" x14ac:dyDescent="0.25">
      <c r="A106" s="119">
        <v>443690</v>
      </c>
      <c r="B106" s="119">
        <v>4890</v>
      </c>
      <c r="C106" s="119" t="str">
        <v>https://motorring.ru/product/6667-prughiny-peredney-podveski-tehnoressor-30-granta</v>
      </c>
      <c r="D106" s="119">
        <v>4550</v>
      </c>
      <c r="E106" s="119" t="str">
        <v>https://33sport.ru/catalog/podveska/pruzhiny_tekhnoressor/pruzhiny_tehnoressor_priora_kalina_bochka_perednie_30/</v>
      </c>
      <c r="F106" s="119">
        <v>0</v>
      </c>
      <c r="G106" s="119">
        <v>0</v>
      </c>
      <c r="H106" s="119">
        <v>0</v>
      </c>
      <c r="I106" s="119">
        <v>0</v>
      </c>
    </row>
    <row r="107" spans="1:9" s="119" customFormat="1" x14ac:dyDescent="0.25">
      <c r="A107" s="119">
        <v>443469</v>
      </c>
      <c r="B107" s="119">
        <v>3890</v>
      </c>
      <c r="C107" s="119" t="str">
        <v>https://motorring.ru/product/33871-prughiny-peredney-podveski-tehnoressor-drive-50-2101</v>
      </c>
      <c r="D107" s="119">
        <v>3500</v>
      </c>
      <c r="E107" s="119" t="str">
        <v>https://33sport.ru/catalog/podveska/pruzhiny_tekhnoressor/pruzhiny_tehnoressor_210107_perednie_50/</v>
      </c>
      <c r="F107" s="119">
        <v>0</v>
      </c>
      <c r="G107" s="119">
        <v>0</v>
      </c>
      <c r="H107" s="119">
        <v>0</v>
      </c>
      <c r="I107" s="119">
        <v>0</v>
      </c>
    </row>
    <row r="108" spans="1:9" s="119" customFormat="1" x14ac:dyDescent="0.25">
      <c r="A108" s="119">
        <v>443587</v>
      </c>
      <c r="B108" s="119">
        <v>3590</v>
      </c>
      <c r="C108" s="119" t="str">
        <v>https://motorring.ru/product/6623-prughiny-peredney-podveski-tehnoressor-50mm-vaz-2108-21099</v>
      </c>
      <c r="D108" s="119">
        <v>3500</v>
      </c>
      <c r="E108" s="119" t="str">
        <v>https://33sport.ru/catalog/podveska/pruzhiny_tekhnoressor/pruzhiny_tehnoressor_vaz_210810_perednie_50/</v>
      </c>
      <c r="F108" s="119">
        <v>0</v>
      </c>
      <c r="G108" s="119">
        <v>0</v>
      </c>
      <c r="H108" s="119">
        <v>0</v>
      </c>
      <c r="I108" s="119">
        <v>0</v>
      </c>
    </row>
    <row r="109" spans="1:9" s="119" customFormat="1" x14ac:dyDescent="0.25">
      <c r="A109" s="119">
        <v>443972</v>
      </c>
      <c r="B109" s="119">
        <v>6690</v>
      </c>
      <c r="C109" s="119" t="str">
        <v>https://motorring.ru/product/10468-prughiny-peredney-podveski-tehnoressor-50mm-lada-vesta</v>
      </c>
      <c r="D109" s="119">
        <v>5460</v>
      </c>
      <c r="E109" s="119" t="str">
        <v>https://33sport.ru/catalog/podveska/pruzhiny_tekhnoressor/pruzhiny_tekhnoressor_vesta_perednie_50/</v>
      </c>
      <c r="F109" s="119">
        <v>0</v>
      </c>
      <c r="G109" s="119">
        <v>0</v>
      </c>
      <c r="H109" s="119">
        <v>0</v>
      </c>
      <c r="I109" s="119">
        <v>0</v>
      </c>
    </row>
    <row r="110" spans="1:9" s="119" customFormat="1" x14ac:dyDescent="0.25">
      <c r="A110" s="119">
        <v>443725</v>
      </c>
      <c r="B110" s="119">
        <v>6190</v>
      </c>
      <c r="C110" s="119" t="str">
        <v>https://motorring.ru/product/33691-prughiny-peredney-podveski-tehnoressor-drive-50mm-2190-fl</v>
      </c>
      <c r="D110" s="119">
        <v>0</v>
      </c>
      <c r="E110" s="119">
        <v>0</v>
      </c>
      <c r="F110" s="119">
        <v>0</v>
      </c>
      <c r="G110" s="119">
        <v>0</v>
      </c>
      <c r="H110" s="119">
        <v>0</v>
      </c>
      <c r="I110" s="119">
        <v>0</v>
      </c>
    </row>
    <row r="111" spans="1:9" s="119" customFormat="1" x14ac:dyDescent="0.25">
      <c r="A111" s="119">
        <v>443691</v>
      </c>
      <c r="B111" s="119">
        <v>4690</v>
      </c>
      <c r="C111" s="119" t="str">
        <v>https://motorring.ru/product/6669-prughiny-peredney-podveski-tehnoressor-50-granta</v>
      </c>
      <c r="D111" s="119">
        <v>4550</v>
      </c>
      <c r="E111" s="119" t="str">
        <v>https://33sport.ru/catalog/podveska/pruzhiny_tekhnoressor/pruzhiny_tehnoressor_priora_kalina_bochka_perednie_50/</v>
      </c>
      <c r="F111" s="119">
        <v>0</v>
      </c>
      <c r="G111" s="119">
        <v>0</v>
      </c>
      <c r="H111" s="119">
        <v>0</v>
      </c>
      <c r="I111" s="119">
        <v>0</v>
      </c>
    </row>
    <row r="112" spans="1:9" s="119" customFormat="1" x14ac:dyDescent="0.25">
      <c r="A112" s="119">
        <v>443470</v>
      </c>
      <c r="B112" s="119">
        <v>3890</v>
      </c>
      <c r="C112" s="119" t="str">
        <v>https://motorring.ru/product/33876-prughiny-peredney-podveski-tehnoressor-drive-70-2101</v>
      </c>
      <c r="D112" s="119">
        <v>3500</v>
      </c>
      <c r="E112" s="119" t="str">
        <v>https://33sport.ru/catalog/podveska/pruzhiny_tekhnoressor/pruzhiny_tehnoressor_210107_perednie_70/</v>
      </c>
      <c r="F112" s="119">
        <v>0</v>
      </c>
      <c r="G112" s="119">
        <v>0</v>
      </c>
      <c r="H112" s="119">
        <v>0</v>
      </c>
      <c r="I112" s="119">
        <v>0</v>
      </c>
    </row>
    <row r="113" spans="1:9" s="119" customFormat="1" x14ac:dyDescent="0.25">
      <c r="A113" s="119">
        <v>443588</v>
      </c>
      <c r="B113" s="119">
        <v>3590</v>
      </c>
      <c r="C113" s="119" t="str">
        <v>https://motorring.ru/product/6621-prughiny-peredney-podveski-tehnoressor-70mm-vaz-2108-21099</v>
      </c>
      <c r="D113" s="119">
        <v>3500</v>
      </c>
      <c r="E113" s="119" t="str">
        <v>https://33sport.ru/catalog/podveska/pruzhiny_tekhnoressor/pruzhiny_tehnoressor_vaz_210810_perednie_70/</v>
      </c>
      <c r="F113" s="119">
        <v>0</v>
      </c>
      <c r="G113" s="119">
        <v>0</v>
      </c>
      <c r="H113" s="119">
        <v>0</v>
      </c>
      <c r="I113" s="119">
        <v>0</v>
      </c>
    </row>
    <row r="114" spans="1:9" s="119" customFormat="1" x14ac:dyDescent="0.25">
      <c r="A114" s="119">
        <v>443973</v>
      </c>
      <c r="B114" s="119">
        <v>6190</v>
      </c>
      <c r="C114" s="119" t="str">
        <v>https://motorring.ru/product/33813-prughiny-pered-podveski-tehnoressor-zanij-70-vesta</v>
      </c>
      <c r="D114" s="119">
        <v>0</v>
      </c>
      <c r="E114" s="119">
        <v>0</v>
      </c>
      <c r="F114" s="119">
        <v>0</v>
      </c>
      <c r="G114" s="119">
        <v>0</v>
      </c>
      <c r="H114" s="119">
        <v>0</v>
      </c>
      <c r="I114" s="119">
        <v>0</v>
      </c>
    </row>
    <row r="115" spans="1:9" s="119" customFormat="1" x14ac:dyDescent="0.25">
      <c r="A115" s="119">
        <v>443726</v>
      </c>
      <c r="B115" s="119">
        <v>6190</v>
      </c>
      <c r="C115" s="119" t="str">
        <v>https://motorring.ru/product/33709-prughiny-peredney-podveski-tehnoressor-drive-70mm-2190-fl</v>
      </c>
      <c r="D115" s="119">
        <v>0</v>
      </c>
      <c r="E115" s="119">
        <v>0</v>
      </c>
      <c r="F115" s="119">
        <v>0</v>
      </c>
      <c r="G115" s="119">
        <v>0</v>
      </c>
      <c r="H115" s="119">
        <v>0</v>
      </c>
      <c r="I115" s="119">
        <v>0</v>
      </c>
    </row>
    <row r="116" spans="1:9" s="119" customFormat="1" x14ac:dyDescent="0.25">
      <c r="A116" s="119">
        <v>443692</v>
      </c>
      <c r="B116" s="119">
        <v>4490</v>
      </c>
      <c r="C116" s="119" t="str">
        <v>https://motorring.ru/product/6671-prughiny-peredney-podveski-tehnoressor-70mm-lada-granta</v>
      </c>
      <c r="D116" s="119">
        <v>4550</v>
      </c>
      <c r="E116" s="119" t="str">
        <v>https://33sport.ru/catalog/podveska/pruzhiny_tekhnoressor/pruzhiny_tehnoressor_priora_kalina_bochka_perednie_70/</v>
      </c>
      <c r="F116" s="119">
        <v>0</v>
      </c>
      <c r="G116" s="119">
        <v>0</v>
      </c>
      <c r="H116" s="119">
        <v>0</v>
      </c>
      <c r="I116" s="119">
        <v>0</v>
      </c>
    </row>
    <row r="117" spans="1:9" s="119" customFormat="1" x14ac:dyDescent="0.25">
      <c r="A117" s="119">
        <v>443471</v>
      </c>
      <c r="B117" s="119">
        <v>3890</v>
      </c>
      <c r="C117" s="119" t="str">
        <v>https://motorring.ru/product/33873-prughiny-peredney-podveski-tehnoressor-drive-90-2101</v>
      </c>
      <c r="D117" s="119">
        <v>3500</v>
      </c>
      <c r="E117" s="119" t="str">
        <v>https://33sport.ru/catalog/podveska/pruzhiny_tekhnoressor/pruzhiny_tekhnoressor_vaz_2101-2107_perednie-90/</v>
      </c>
      <c r="F117" s="119">
        <v>0</v>
      </c>
      <c r="G117" s="119">
        <v>0</v>
      </c>
      <c r="H117" s="119">
        <v>0</v>
      </c>
      <c r="I117" s="119">
        <v>0</v>
      </c>
    </row>
    <row r="118" spans="1:9" s="119" customFormat="1" x14ac:dyDescent="0.25">
      <c r="A118" s="119">
        <v>443589</v>
      </c>
      <c r="B118" s="119">
        <v>3690</v>
      </c>
      <c r="C118" s="119" t="str">
        <v>https://motorring.ru/product/6627-prughiny-peredney-podveski-tehnoressor-90mm-vaz-2108-21099</v>
      </c>
      <c r="D118" s="119">
        <v>3500</v>
      </c>
      <c r="E118" s="119" t="str">
        <v>https://33sport.ru/catalog/podveska/pruzhiny_tekhnoressor/pruzhiny_tehnoressor_vaz_210810_perednie_90/</v>
      </c>
      <c r="F118" s="119">
        <v>0</v>
      </c>
      <c r="G118" s="119">
        <v>0</v>
      </c>
      <c r="H118" s="119">
        <v>0</v>
      </c>
      <c r="I118" s="119">
        <v>0</v>
      </c>
    </row>
    <row r="119" spans="1:9" s="119" customFormat="1" x14ac:dyDescent="0.25">
      <c r="A119" s="119">
        <v>443727</v>
      </c>
      <c r="B119" s="119">
        <v>3890</v>
      </c>
      <c r="C119" s="119" t="str">
        <v>https://motorring.ru/product/33794-prughiny-peredney-podveski-tehnoressor-drive-90mm-2190-fl</v>
      </c>
      <c r="D119" s="119">
        <v>0</v>
      </c>
      <c r="E119" s="119">
        <v>0</v>
      </c>
      <c r="F119" s="119">
        <v>0</v>
      </c>
      <c r="G119" s="119">
        <v>0</v>
      </c>
      <c r="H119" s="119">
        <v>0</v>
      </c>
      <c r="I119" s="119">
        <v>0</v>
      </c>
    </row>
    <row r="120" spans="1:9" s="119" customFormat="1" x14ac:dyDescent="0.25">
      <c r="A120" s="119">
        <v>443693</v>
      </c>
      <c r="B120" s="119">
        <v>4890</v>
      </c>
      <c r="C120" s="119" t="str">
        <v>https://motorring.ru/product/6675-prughiny-peredney-podveski-90mm-dlya-lada-granta</v>
      </c>
      <c r="D120" s="119">
        <v>4550</v>
      </c>
      <c r="E120" s="119" t="str">
        <v>https://33sport.ru/catalog/podveska/pruzhiny_tekhnoressor/pruzhiny_tehnoressor_priora_kalina_bochka_perednie_90/</v>
      </c>
      <c r="F120" s="119">
        <v>0</v>
      </c>
      <c r="G120" s="119">
        <v>0</v>
      </c>
      <c r="H120" s="119">
        <v>0</v>
      </c>
      <c r="I120" s="119">
        <v>0</v>
      </c>
    </row>
    <row r="121" spans="1:9" s="119" customFormat="1" x14ac:dyDescent="0.25">
      <c r="A121" s="119">
        <v>444136</v>
      </c>
      <c r="B121" s="119">
        <v>0</v>
      </c>
      <c r="C121" s="119">
        <v>0</v>
      </c>
      <c r="D121" s="119">
        <v>0</v>
      </c>
      <c r="E121" s="119">
        <v>0</v>
      </c>
      <c r="F121" s="119">
        <v>0</v>
      </c>
      <c r="G121" s="119">
        <v>0</v>
      </c>
      <c r="H121" s="119">
        <v>0</v>
      </c>
      <c r="I121" s="119">
        <v>0</v>
      </c>
    </row>
    <row r="122" spans="1:9" s="119" customFormat="1" x14ac:dyDescent="0.25">
      <c r="A122" s="119">
        <v>444158</v>
      </c>
      <c r="B122" s="119">
        <v>0</v>
      </c>
      <c r="C122" s="119">
        <v>0</v>
      </c>
      <c r="D122" s="119">
        <v>0</v>
      </c>
      <c r="E122" s="119">
        <v>0</v>
      </c>
      <c r="F122" s="119">
        <v>0</v>
      </c>
      <c r="G122" s="119">
        <v>0</v>
      </c>
      <c r="H122" s="119">
        <v>0</v>
      </c>
      <c r="I122" s="119">
        <v>0</v>
      </c>
    </row>
    <row r="123" spans="1:9" s="119" customFormat="1" x14ac:dyDescent="0.25">
      <c r="A123" s="119">
        <v>443476</v>
      </c>
      <c r="B123" s="119">
        <v>4590</v>
      </c>
      <c r="C123" s="119" t="str">
        <v>https://motorring.ru/product/3339-perednie-prughiny-fobos-sport-zanighenie-25mm-vaz-2101-2107</v>
      </c>
      <c r="D123" s="119">
        <v>3835</v>
      </c>
      <c r="E123" s="119" t="str">
        <v>https://33sport.ru/catalog/avtomobili-zapchasti/vaz_2105-zapchasti/pruzhiny_podveski_vaz_2101_perednie_fobos_sport_-25mm_-2101-2902712/</v>
      </c>
      <c r="F123" s="119">
        <v>0</v>
      </c>
      <c r="G123" s="119">
        <v>0</v>
      </c>
      <c r="H123" s="119">
        <v>0</v>
      </c>
      <c r="I123" s="119">
        <v>0</v>
      </c>
    </row>
    <row r="124" spans="1:9" s="119" customFormat="1" x14ac:dyDescent="0.25">
      <c r="A124" s="119">
        <v>443590</v>
      </c>
      <c r="B124" s="119">
        <v>4790</v>
      </c>
      <c r="C124" s="119" t="str">
        <v>https://motorring.ru/product/3343-perednie-prughiny-fobos-sport-zanighenie-25mm-2108-21099</v>
      </c>
      <c r="D124" s="119">
        <v>4225</v>
      </c>
      <c r="E124" s="119" t="str">
        <v>https://33sport.ru/catalog/podveska/pruzhiny_fobos/2110/pruzhiny_podveski_2110_perednie_fobos_sport_25mm/</v>
      </c>
      <c r="F124" s="119">
        <v>0</v>
      </c>
      <c r="G124" s="119">
        <v>0</v>
      </c>
      <c r="H124" s="119">
        <v>0</v>
      </c>
      <c r="I124" s="119">
        <v>0</v>
      </c>
    </row>
    <row r="125" spans="1:9" s="119" customFormat="1" x14ac:dyDescent="0.25">
      <c r="A125" s="119">
        <v>443694</v>
      </c>
      <c r="B125" s="119">
        <v>3590</v>
      </c>
      <c r="C125" s="119" t="str">
        <v>https://motorring.ru/product/4560</v>
      </c>
      <c r="D125" s="119">
        <v>3120</v>
      </c>
      <c r="E125" s="119" t="str">
        <v>https://33sport.ru/catalog/podveska/pruzhiny_fobos/2170/pruzhiny_fobos_priora_2170_perednie_25_mm/</v>
      </c>
      <c r="F125" s="119">
        <v>0</v>
      </c>
      <c r="G125" s="119">
        <v>0</v>
      </c>
      <c r="H125" s="119">
        <v>0</v>
      </c>
      <c r="I125" s="119">
        <v>0</v>
      </c>
    </row>
    <row r="126" spans="1:9" s="119" customFormat="1" x14ac:dyDescent="0.25">
      <c r="A126" s="119">
        <v>443477</v>
      </c>
      <c r="B126" s="119">
        <v>0</v>
      </c>
      <c r="C126" s="119">
        <v>0</v>
      </c>
      <c r="D126" s="119">
        <v>0</v>
      </c>
      <c r="E126" s="119">
        <v>0</v>
      </c>
      <c r="F126" s="119">
        <v>0</v>
      </c>
      <c r="G126" s="119">
        <v>0</v>
      </c>
      <c r="H126" s="119">
        <v>0</v>
      </c>
      <c r="I126" s="119">
        <v>0</v>
      </c>
    </row>
    <row r="127" spans="1:9" s="119" customFormat="1" x14ac:dyDescent="0.25">
      <c r="A127" s="119">
        <v>443591</v>
      </c>
      <c r="B127" s="119">
        <v>4390</v>
      </c>
      <c r="C127" s="119" t="str">
        <v>https://motorring.ru/product/3345-perednie-prughiny-fobos-sport-zanigheniem-40mm-dlya-vaz</v>
      </c>
      <c r="D127" s="119">
        <v>4030</v>
      </c>
      <c r="E127" s="119" t="str">
        <v>https://33sport.ru/catalog/podveska/pruzhiny_fobos/2110/pruzhiny_podveski_2110_perednie_fobos_sport_40mm/</v>
      </c>
      <c r="F127" s="119">
        <v>0</v>
      </c>
      <c r="G127" s="119">
        <v>0</v>
      </c>
      <c r="H127" s="119">
        <v>0</v>
      </c>
      <c r="I127" s="119">
        <v>0</v>
      </c>
    </row>
    <row r="128" spans="1:9" s="119" customFormat="1" x14ac:dyDescent="0.25">
      <c r="A128" s="119">
        <v>443695</v>
      </c>
      <c r="B128" s="119">
        <v>3590</v>
      </c>
      <c r="C128" s="119" t="str">
        <v>https://motorring.ru/product/4562-perednie-prughiny-fobos-sport-zanigheniem-40-lada-kalina</v>
      </c>
      <c r="D128" s="119">
        <v>3120</v>
      </c>
      <c r="E128" s="119" t="str">
        <v>https://33sport.ru/catalog/podveska/pruzhiny_fobos/2170/pruzhiny_fobos_priora_2170_perednie_40_mm/</v>
      </c>
      <c r="F128" s="119">
        <v>0</v>
      </c>
      <c r="G128" s="119">
        <v>0</v>
      </c>
      <c r="H128" s="119">
        <v>0</v>
      </c>
      <c r="I128" s="119">
        <v>0</v>
      </c>
    </row>
    <row r="129" spans="1:9" s="119" customFormat="1" x14ac:dyDescent="0.25">
      <c r="A129" s="119">
        <v>443478</v>
      </c>
      <c r="B129" s="119">
        <v>4590</v>
      </c>
      <c r="C129" s="119" t="str">
        <v>https://motorring.ru/product/3341-prughiny-perednie-fobos-sport-zanigheniem-50-vaz-2101-2107</v>
      </c>
      <c r="D129" s="119">
        <v>3835</v>
      </c>
      <c r="E129" s="119" t="str">
        <v>https://33sport.ru/catalog/avtomobili-zapchasti/vaz_2105-zapchasti/pruzhiny_podveski_vaz_2101_perednie_fobos_sport_-50mm_-2101-2902712/</v>
      </c>
      <c r="F129" s="119">
        <v>0</v>
      </c>
      <c r="G129" s="119">
        <v>0</v>
      </c>
      <c r="H129" s="119">
        <v>0</v>
      </c>
      <c r="I129" s="119">
        <v>0</v>
      </c>
    </row>
    <row r="130" spans="1:9" s="119" customFormat="1" x14ac:dyDescent="0.25">
      <c r="A130" s="119">
        <v>443592</v>
      </c>
      <c r="B130" s="119">
        <v>5190</v>
      </c>
      <c r="C130" s="119" t="str">
        <v>https://motorring.ru/product/3346-perednie-prughiny-fobos-sport-zanigheniem-50mm-vaz</v>
      </c>
      <c r="D130" s="119">
        <v>4290</v>
      </c>
      <c r="E130" s="119" t="str">
        <v>https://33sport.ru/catalog/podveska/pruzhiny_fobos/2110/pruzhiny_podveski_2110_perednie_fobos_sport_50mm/</v>
      </c>
      <c r="F130" s="119">
        <v>0</v>
      </c>
      <c r="G130" s="119">
        <v>0</v>
      </c>
      <c r="H130" s="119">
        <v>0</v>
      </c>
      <c r="I130" s="119">
        <v>0</v>
      </c>
    </row>
    <row r="131" spans="1:9" s="119" customFormat="1" x14ac:dyDescent="0.25">
      <c r="A131" s="119">
        <v>443696</v>
      </c>
      <c r="B131" s="119">
        <v>3590</v>
      </c>
      <c r="C131" s="119" t="str">
        <v>https://motorring.ru/product/16247-prughiny-perednie-fobos-sport-zanigheniem-50-lada-kalina</v>
      </c>
      <c r="D131" s="119">
        <v>0</v>
      </c>
      <c r="E131" s="119">
        <v>0</v>
      </c>
      <c r="F131" s="119">
        <v>0</v>
      </c>
      <c r="G131" s="119">
        <v>0</v>
      </c>
      <c r="H131" s="119">
        <v>0</v>
      </c>
      <c r="I131" s="119">
        <v>0</v>
      </c>
    </row>
    <row r="132" spans="1:9" s="119" customFormat="1" x14ac:dyDescent="0.25">
      <c r="A132" s="119">
        <v>443479</v>
      </c>
      <c r="B132" s="119">
        <v>4590</v>
      </c>
      <c r="C132" s="119" t="str">
        <v>https://motorring.ru/product/16262-prughiny-perednie-fobos-sport-zanigheniem-70mm-dlya-vaz</v>
      </c>
      <c r="D132" s="119">
        <v>3835</v>
      </c>
      <c r="E132" s="119" t="str">
        <v>https://33sport.ru/catalog/avtomobili-zapchasti/vaz_2105-zapchasti/pruzhiny_podveski_vaz_2101_perednie_fobos_sport_-70mm_-2101-2902712/</v>
      </c>
      <c r="F132" s="119">
        <v>0</v>
      </c>
      <c r="G132" s="119">
        <v>0</v>
      </c>
      <c r="H132" s="119">
        <v>0</v>
      </c>
      <c r="I132" s="119">
        <v>0</v>
      </c>
    </row>
    <row r="133" spans="1:9" s="119" customFormat="1" x14ac:dyDescent="0.25">
      <c r="A133" s="119">
        <v>443593</v>
      </c>
      <c r="B133" s="119">
        <v>4390</v>
      </c>
      <c r="C133" s="119" t="str">
        <v>https://motorring.ru/product/16253-perednie-prughiny-fobos-sport-zanigheniem-vaz-2108-21099</v>
      </c>
      <c r="D133" s="119">
        <v>4400</v>
      </c>
      <c r="E133" s="119" t="str">
        <v>https://33sport.ru/catalog/podveska/pruzhiny_fobos/2110/pruzhiny_podveski_2110_perednie_fobos_sport_70mm/</v>
      </c>
      <c r="F133" s="119">
        <v>0</v>
      </c>
      <c r="G133" s="119">
        <v>0</v>
      </c>
      <c r="H133" s="119">
        <v>0</v>
      </c>
      <c r="I133" s="119">
        <v>0</v>
      </c>
    </row>
    <row r="134" spans="1:9" s="119" customFormat="1" x14ac:dyDescent="0.25">
      <c r="A134" s="119">
        <v>443697</v>
      </c>
      <c r="B134" s="119">
        <v>3890</v>
      </c>
      <c r="C134" s="119" t="str">
        <v>https://motorring.ru/product/16248</v>
      </c>
      <c r="D134" s="119">
        <v>0</v>
      </c>
      <c r="E134" s="119">
        <v>0</v>
      </c>
      <c r="F134" s="119">
        <v>0</v>
      </c>
      <c r="G134" s="119">
        <v>0</v>
      </c>
      <c r="H134" s="119">
        <v>0</v>
      </c>
      <c r="I134" s="119">
        <v>0</v>
      </c>
    </row>
    <row r="135" spans="1:9" s="119" customFormat="1" x14ac:dyDescent="0.25">
      <c r="A135" s="119">
        <v>443594</v>
      </c>
      <c r="B135" s="119">
        <v>0</v>
      </c>
      <c r="C135" s="119">
        <v>0</v>
      </c>
      <c r="D135" s="119">
        <v>4400</v>
      </c>
      <c r="E135" s="119" t="str">
        <v>https://33sport.ru/catalog/podveska/pruzhiny_fobos/2110/pruzhiny_podveski_2110_perednie_fobos_sport_90mm/</v>
      </c>
      <c r="F135" s="119">
        <v>0</v>
      </c>
      <c r="G135" s="119">
        <v>0</v>
      </c>
      <c r="H135" s="119">
        <v>0</v>
      </c>
      <c r="I135" s="119">
        <v>0</v>
      </c>
    </row>
    <row r="136" spans="1:9" s="119" customFormat="1" x14ac:dyDescent="0.25">
      <c r="A136" s="119">
        <v>443698</v>
      </c>
      <c r="B136" s="119">
        <v>0</v>
      </c>
      <c r="C136" s="119">
        <v>0</v>
      </c>
      <c r="D136" s="119">
        <v>0</v>
      </c>
      <c r="E136" s="119">
        <v>0</v>
      </c>
      <c r="F136" s="119">
        <v>0</v>
      </c>
      <c r="G136" s="119">
        <v>0</v>
      </c>
      <c r="H136" s="119">
        <v>0</v>
      </c>
      <c r="I136" s="119">
        <v>0</v>
      </c>
    </row>
    <row r="137" spans="1:9" s="120" customFormat="1" x14ac:dyDescent="0.25"/>
    <row r="138" spans="1:9" s="119" customFormat="1" x14ac:dyDescent="0.25">
      <c r="A138" t="str" cm="1">
        <f t="array" ref="A138:A197">_xlfn._xlws.FILTER(Торг!$B:$B,Торг!$B:$B&lt;&gt;"")</f>
        <v>ID</v>
      </c>
      <c r="B138" t="str" cm="1">
        <f t="array" ref="B138:C197">_xlfn._xlws.FILTER(Торг!AA:AB,Торг!$B:$B&lt;&gt;"")</f>
        <v>MR</v>
      </c>
      <c r="C138" t="str">
        <v>MR</v>
      </c>
      <c r="D138" t="str" cm="1">
        <f t="array" ref="D138:E197">_xlfn._xlws.FILTER(Торг!AF:AG,Торг!$B:$B&lt;&gt;"")</f>
        <v>33s</v>
      </c>
      <c r="E138" t="str">
        <v>33s</v>
      </c>
      <c r="F138" cm="1">
        <f t="array" ref="F138:G197">_xlfn._xlws.FILTER(Торг!AK:AL,Торг!$B:$B&lt;&gt;"")</f>
        <v>3</v>
      </c>
      <c r="G138" s="119">
        <v>3</v>
      </c>
      <c r="H138" cm="1">
        <f t="array" ref="H138:I197">_xlfn._xlws.FILTER(Торг!AP:AQ,Торг!$B:$B&lt;&gt;"")</f>
        <v>4</v>
      </c>
      <c r="I138" s="119">
        <v>4</v>
      </c>
    </row>
    <row r="139" spans="1:9" x14ac:dyDescent="0.25">
      <c r="A139">
        <v>145463</v>
      </c>
      <c r="B139" t="str">
        <v>2390 снят</v>
      </c>
      <c r="C139" t="str">
        <v>https://motorring.ru/product/33822-prughiny-zadney-podveski-tehnoressor-zanigh-120-2101-07</v>
      </c>
      <c r="D139">
        <v>3400</v>
      </c>
      <c r="E139" t="str">
        <v>https://33sport.ru/catalog/podveska/pruzhiny_tekhnoressor/pruzhiny_tekhnoressor_vaz_2101-07_zadnie_-120/</v>
      </c>
      <c r="F139">
        <v>0</v>
      </c>
      <c r="G139">
        <v>0</v>
      </c>
      <c r="H139">
        <v>0</v>
      </c>
      <c r="I139">
        <v>0</v>
      </c>
    </row>
    <row r="140" spans="1:9" x14ac:dyDescent="0.25">
      <c r="A140">
        <v>145464</v>
      </c>
      <c r="B140">
        <v>3690</v>
      </c>
      <c r="C140" t="str">
        <v>https://motorring.ru/product/33817-prughiny-zadney-podveski-tehnoressor-zanigh-30-2101-07</v>
      </c>
      <c r="D140">
        <v>3500</v>
      </c>
      <c r="E140" t="str">
        <v>https://33sport.ru/catalog/podveska/pruzhiny_tekhnoressor/pruzhiny_tehnoressor_210107_zadnie_30/</v>
      </c>
      <c r="F140">
        <v>0</v>
      </c>
      <c r="G140">
        <v>0</v>
      </c>
      <c r="H140">
        <v>0</v>
      </c>
      <c r="I140">
        <v>0</v>
      </c>
    </row>
    <row r="141" spans="1:9" x14ac:dyDescent="0.25">
      <c r="A141">
        <v>145465</v>
      </c>
      <c r="B141">
        <v>3690</v>
      </c>
      <c r="C141" t="str">
        <v>https://motorring.ru/product/33819-prughiny-zadney-podveski-tehnoressor-zanigh-50-2101-07</v>
      </c>
      <c r="D141">
        <v>3500</v>
      </c>
      <c r="E141" t="str">
        <v>https://33sport.ru/catalog/podveska/pruzhiny_tekhnoressor/pruzhiny_tehnoressor_210107_zadnie_50/</v>
      </c>
      <c r="F141">
        <v>0</v>
      </c>
      <c r="G141">
        <v>0</v>
      </c>
      <c r="H141">
        <v>0</v>
      </c>
      <c r="I141">
        <v>0</v>
      </c>
    </row>
    <row r="142" spans="1:9" x14ac:dyDescent="0.25">
      <c r="A142">
        <v>145466</v>
      </c>
      <c r="B142">
        <v>3590</v>
      </c>
      <c r="C142" t="str">
        <v>https://motorring.ru/product/33821-prughiny-zadney-podveski-tehnoressor-zanigh-70-2101-07</v>
      </c>
      <c r="D142">
        <v>3500</v>
      </c>
      <c r="E142" t="str">
        <v>https://33sport.ru/catalog/podveska/pruzhiny_tekhnoressor/pruzhiny_tehnoressor_210107_zadnie_70/</v>
      </c>
      <c r="F142">
        <v>0</v>
      </c>
      <c r="G142">
        <v>0</v>
      </c>
      <c r="H142">
        <v>0</v>
      </c>
      <c r="I142">
        <v>0</v>
      </c>
    </row>
    <row r="143" spans="1:9" x14ac:dyDescent="0.25">
      <c r="A143">
        <v>145467</v>
      </c>
      <c r="B143">
        <v>3690</v>
      </c>
      <c r="C143" t="str">
        <v>https://motorring.ru/product/33820-prughiny-zadney-podveski-tehnoressor-zanigh-90-2101-07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</row>
    <row r="144" spans="1:9" x14ac:dyDescent="0.25">
      <c r="A144">
        <v>187446</v>
      </c>
      <c r="B144" t="str">
        <v>2390 снят</v>
      </c>
      <c r="C144" t="str">
        <v>https://motorring.ru/product/33880-prughiny-peredney-podveski-tehnoressor-drive-120-2101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</row>
    <row r="145" spans="1:9" x14ac:dyDescent="0.25">
      <c r="A145">
        <v>187447</v>
      </c>
      <c r="B145">
        <v>3690</v>
      </c>
      <c r="C145" t="str">
        <v>https://motorring.ru/product/33869-prughiny-peredney-podveski-tehnoressor-drive-30-2101</v>
      </c>
      <c r="D145">
        <v>3500</v>
      </c>
      <c r="E145" t="str">
        <v>https://33sport.ru/catalog/podveska/pruzhiny_tekhnoressor/pruzhiny_tehnoressor_210107_perednie_30/</v>
      </c>
      <c r="F145">
        <v>0</v>
      </c>
      <c r="G145">
        <v>0</v>
      </c>
      <c r="H145">
        <v>0</v>
      </c>
      <c r="I145">
        <v>0</v>
      </c>
    </row>
    <row r="146" spans="1:9" x14ac:dyDescent="0.25">
      <c r="A146">
        <v>187448</v>
      </c>
      <c r="B146">
        <v>3690</v>
      </c>
      <c r="C146" t="str">
        <v>https://motorring.ru/product/33871-prughiny-peredney-podveski-tehnoressor-drive-50-2101</v>
      </c>
      <c r="D146">
        <v>3500</v>
      </c>
      <c r="E146" t="str">
        <v>https://33sport.ru/catalog/podveska/pruzhiny_tekhnoressor/pruzhiny_tehnoressor_210107_perednie_50/</v>
      </c>
      <c r="F146">
        <v>0</v>
      </c>
      <c r="G146">
        <v>0</v>
      </c>
      <c r="H146">
        <v>0</v>
      </c>
      <c r="I146">
        <v>0</v>
      </c>
    </row>
    <row r="147" spans="1:9" x14ac:dyDescent="0.25">
      <c r="A147">
        <v>187449</v>
      </c>
      <c r="B147">
        <v>3590</v>
      </c>
      <c r="C147" t="str">
        <v>https://motorring.ru/product/33876-prughiny-peredney-podveski-tehnoressor-drive-70-2101</v>
      </c>
      <c r="D147">
        <v>3500</v>
      </c>
      <c r="E147" t="str">
        <v>https://33sport.ru/catalog/podveska/pruzhiny_tekhnoressor/pruzhiny_tehnoressor_210107_perednie_70/</v>
      </c>
      <c r="F147">
        <v>0</v>
      </c>
      <c r="G147">
        <v>0</v>
      </c>
      <c r="H147">
        <v>0</v>
      </c>
      <c r="I147">
        <v>0</v>
      </c>
    </row>
    <row r="148" spans="1:9" x14ac:dyDescent="0.25">
      <c r="A148">
        <v>187450</v>
      </c>
      <c r="B148">
        <v>3690</v>
      </c>
      <c r="C148" t="str">
        <v>https://motorring.ru/product/33873-prughiny-peredney-podveski-tehnoressor-drive-90-2101</v>
      </c>
      <c r="D148">
        <v>3500</v>
      </c>
      <c r="E148" t="str">
        <v>https://33sport.ru/catalog/podveska/pruzhiny_tekhnoressor/pruzhiny_tekhnoressor_vaz_2101-2107_perednie-90/</v>
      </c>
      <c r="F148">
        <v>0</v>
      </c>
      <c r="G148">
        <v>0</v>
      </c>
      <c r="H148">
        <v>0</v>
      </c>
      <c r="I148">
        <v>0</v>
      </c>
    </row>
    <row r="149" spans="1:9" x14ac:dyDescent="0.25">
      <c r="A149">
        <v>201904</v>
      </c>
      <c r="B149">
        <v>4290</v>
      </c>
      <c r="C149" t="str">
        <v>https://motorring.ru/product/6626-prughiny-zadney-podveski-tehnoressor-120mm-vaz-2108-21099</v>
      </c>
      <c r="D149">
        <v>3900</v>
      </c>
      <c r="E149" t="str">
        <v>https://33sport.ru/catalog/podveska/pruzhiny_tekhnoressor/pruzhiny_tehnoressor_210810priora_kalina_granta_zadnie_120/</v>
      </c>
      <c r="F149">
        <v>0</v>
      </c>
      <c r="G149">
        <v>0</v>
      </c>
      <c r="H149">
        <v>0</v>
      </c>
      <c r="I149">
        <v>0</v>
      </c>
    </row>
    <row r="150" spans="1:9" x14ac:dyDescent="0.25">
      <c r="A150">
        <v>201905</v>
      </c>
      <c r="B150">
        <v>4090</v>
      </c>
      <c r="C150" t="str">
        <v>https://motorring.ru/product/6630-prughiny-zadney-podveski-tehnoressor-30mm-vaz-2108-21099</v>
      </c>
      <c r="D150">
        <v>3900</v>
      </c>
      <c r="E150" t="str">
        <v>https://33sport.ru/catalog/podveska/pruzhiny_tekhnoressor/pruzhiny_tehnoressor_210810priora_kalina_granta_zadnie_30/</v>
      </c>
      <c r="F150">
        <v>0</v>
      </c>
      <c r="G150">
        <v>0</v>
      </c>
      <c r="H150">
        <v>0</v>
      </c>
      <c r="I150">
        <v>0</v>
      </c>
    </row>
    <row r="151" spans="1:9" x14ac:dyDescent="0.25">
      <c r="A151">
        <v>201906</v>
      </c>
      <c r="B151">
        <v>4090</v>
      </c>
      <c r="C151" t="str">
        <v>https://motorring.ru/product/6624-prughiny-zadney-podveski-tehnoressor-50mm-vaz-2108-21099</v>
      </c>
      <c r="D151">
        <v>3900</v>
      </c>
      <c r="E151" t="str">
        <v>https://33sport.ru/catalog/podveska/pruzhiny_tekhnoressor/pruzhiny_tehnoressor_210810priora_kalina_granta_zadnie_50/</v>
      </c>
      <c r="F151">
        <v>0</v>
      </c>
      <c r="G151">
        <v>0</v>
      </c>
      <c r="H151">
        <v>0</v>
      </c>
      <c r="I151">
        <v>0</v>
      </c>
    </row>
    <row r="152" spans="1:9" x14ac:dyDescent="0.25">
      <c r="A152">
        <v>201907</v>
      </c>
      <c r="B152">
        <v>4190</v>
      </c>
      <c r="C152" t="str">
        <v>https://motorring.ru/product/6622-prughiny-zadney-podveski-tehnoressor-70mm-vaz-2108-21099</v>
      </c>
      <c r="D152">
        <v>3900</v>
      </c>
      <c r="E152" t="str">
        <v>https://33sport.ru/catalog/podveska/pruzhiny_tekhnoressor/pruzhiny_tehnoressor_210810priora_kalina_granta_zadnie_70/</v>
      </c>
      <c r="F152">
        <v>0</v>
      </c>
      <c r="G152">
        <v>0</v>
      </c>
      <c r="H152">
        <v>0</v>
      </c>
      <c r="I152">
        <v>0</v>
      </c>
    </row>
    <row r="153" spans="1:9" x14ac:dyDescent="0.25">
      <c r="A153">
        <v>201908</v>
      </c>
      <c r="B153">
        <v>4090</v>
      </c>
      <c r="C153" t="str">
        <v>https://motorring.ru/product/6628-prughiny-zadney-podveski-tehnoressor-90mm-vaz-2108-21099</v>
      </c>
      <c r="D153">
        <v>3900</v>
      </c>
      <c r="E153" t="str">
        <v>https://33sport.ru/catalog/podveska/pruzhiny_tekhnoressor/pruzhiny_tehnoressor_210810priora_kalina_granta_zadnie_90/</v>
      </c>
      <c r="F153">
        <v>0</v>
      </c>
      <c r="G153">
        <v>0</v>
      </c>
      <c r="H153">
        <v>0</v>
      </c>
      <c r="I153">
        <v>0</v>
      </c>
    </row>
    <row r="154" spans="1:9" x14ac:dyDescent="0.25">
      <c r="A154">
        <v>201910</v>
      </c>
      <c r="B154">
        <v>5590</v>
      </c>
      <c r="C154" t="str">
        <v>https://motorring.ru/product/10469-prughiny-zadney-podveski-tehnoressor-30-lada-vesta</v>
      </c>
      <c r="D154">
        <v>5460</v>
      </c>
      <c r="E154" t="str">
        <v>https://33sport.ru/catalog/podveska/pruzhiny_tekhnoressor/pruzhiny_tekhnoressor_vesta_zadnie_30/</v>
      </c>
      <c r="F154">
        <v>0</v>
      </c>
      <c r="G154">
        <v>0</v>
      </c>
      <c r="H154">
        <v>0</v>
      </c>
      <c r="I154">
        <v>0</v>
      </c>
    </row>
    <row r="155" spans="1:9" x14ac:dyDescent="0.25">
      <c r="A155">
        <v>201911</v>
      </c>
      <c r="B155">
        <v>5190</v>
      </c>
      <c r="C155" t="str">
        <v>https://motorring.ru/product/10470-prughiny-zadney-podveski-tehnoressor-50-lada-vesta</v>
      </c>
      <c r="D155">
        <v>5460</v>
      </c>
      <c r="E155" t="str">
        <v>https://33sport.ru/catalog/podveska/pruzhiny_tekhnoressor/pruzhiny_tekhnoressor_vesta_zadnie_50/</v>
      </c>
      <c r="F155">
        <v>0</v>
      </c>
      <c r="G155">
        <v>0</v>
      </c>
      <c r="H155">
        <v>0</v>
      </c>
      <c r="I155">
        <v>0</v>
      </c>
    </row>
    <row r="156" spans="1:9" x14ac:dyDescent="0.25">
      <c r="A156">
        <v>201912</v>
      </c>
      <c r="B156">
        <v>5190</v>
      </c>
      <c r="C156" t="str">
        <v>https://motorring.ru/product/33875-prughiny-zad-podveski-tehnoressor-zanij-70-vesta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</row>
    <row r="157" spans="1:9" x14ac:dyDescent="0.25">
      <c r="A157">
        <v>201972</v>
      </c>
      <c r="B157">
        <v>4290</v>
      </c>
      <c r="C157" t="str">
        <v>https://motorring.ru/product/6625-prughiny-peredney-podveski-tehnoressor-120mm-2108</v>
      </c>
      <c r="D157">
        <v>3500</v>
      </c>
      <c r="E157" t="str">
        <v>https://33sport.ru/catalog/podveska/pruzhiny_tekhnoressor/pruzhiny_tehnoressor_vaz_210810_perednie_120/</v>
      </c>
      <c r="F157">
        <v>0</v>
      </c>
      <c r="G157">
        <v>0</v>
      </c>
      <c r="H157">
        <v>0</v>
      </c>
      <c r="I157">
        <v>0</v>
      </c>
    </row>
    <row r="158" spans="1:9" x14ac:dyDescent="0.25">
      <c r="A158">
        <v>201973</v>
      </c>
      <c r="B158">
        <v>3690</v>
      </c>
      <c r="C158" t="str">
        <v>https://motorring.ru/product/6629-prughiny-peredney-podveski-tehnoressor-30mm-vaz-2108-21099</v>
      </c>
      <c r="D158">
        <v>3500</v>
      </c>
      <c r="E158" t="str">
        <v>https://33sport.ru/catalog/podveska/pruzhiny_tekhnoressor/pruzhiny_tehnoressor_vaz_210810_perednie_30/</v>
      </c>
      <c r="F158">
        <v>0</v>
      </c>
      <c r="G158">
        <v>0</v>
      </c>
      <c r="H158">
        <v>0</v>
      </c>
      <c r="I158">
        <v>0</v>
      </c>
    </row>
    <row r="159" spans="1:9" x14ac:dyDescent="0.25">
      <c r="A159">
        <v>201974</v>
      </c>
      <c r="B159">
        <v>3590</v>
      </c>
      <c r="C159" t="str">
        <v>https://motorring.ru/product/6623-prughiny-peredney-podveski-tehnoressor-50mm-vaz-2108-21099</v>
      </c>
      <c r="D159">
        <v>3500</v>
      </c>
      <c r="E159" t="str">
        <v>https://33sport.ru/catalog/podveska/pruzhiny_tekhnoressor/pruzhiny_tehnoressor_vaz_210810_perednie_50/</v>
      </c>
      <c r="F159">
        <v>0</v>
      </c>
      <c r="G159">
        <v>0</v>
      </c>
      <c r="H159">
        <v>0</v>
      </c>
      <c r="I159">
        <v>0</v>
      </c>
    </row>
    <row r="160" spans="1:9" x14ac:dyDescent="0.25">
      <c r="A160">
        <v>201975</v>
      </c>
      <c r="B160">
        <v>3690</v>
      </c>
      <c r="C160" t="str">
        <v>https://motorring.ru/product/6621-prughiny-peredney-podveski-tehnoressor-70mm-vaz-2108-21099</v>
      </c>
      <c r="D160">
        <v>3500</v>
      </c>
      <c r="E160" t="str">
        <v>https://33sport.ru/catalog/podveska/pruzhiny_tekhnoressor/pruzhiny_tehnoressor_vaz_210810_perednie_70/</v>
      </c>
      <c r="F160">
        <v>0</v>
      </c>
      <c r="G160">
        <v>0</v>
      </c>
      <c r="H160">
        <v>0</v>
      </c>
      <c r="I160">
        <v>0</v>
      </c>
    </row>
    <row r="161" spans="1:9" x14ac:dyDescent="0.25">
      <c r="A161">
        <v>201976</v>
      </c>
      <c r="B161">
        <v>3690</v>
      </c>
      <c r="C161" t="str">
        <v>https://motorring.ru/product/6627-prughiny-peredney-podveski-tehnoressor-90mm-vaz-2108-21099</v>
      </c>
      <c r="D161">
        <v>3500</v>
      </c>
      <c r="E161" t="str">
        <v>https://33sport.ru/catalog/podveska/pruzhiny_tekhnoressor/pruzhiny_tehnoressor_vaz_210810_perednie_90/</v>
      </c>
      <c r="F161">
        <v>0</v>
      </c>
      <c r="G161">
        <v>0</v>
      </c>
      <c r="H161">
        <v>0</v>
      </c>
      <c r="I161">
        <v>0</v>
      </c>
    </row>
    <row r="162" spans="1:9" x14ac:dyDescent="0.25">
      <c r="A162">
        <v>201978</v>
      </c>
      <c r="B162">
        <v>5590</v>
      </c>
      <c r="C162" t="str">
        <v>https://motorring.ru/product/10467-prughiny-peredney-podveski-tehnoressor-30-lada-vesta</v>
      </c>
      <c r="D162">
        <v>5850</v>
      </c>
      <c r="E162" t="str">
        <v>https://33sport.ru/catalog/podveska/pruzhiny_tekhnoressor/pruzhiny_tekhnoressor_vesta_perednie_30/</v>
      </c>
      <c r="F162">
        <v>0</v>
      </c>
      <c r="G162">
        <v>0</v>
      </c>
      <c r="H162">
        <v>0</v>
      </c>
      <c r="I162">
        <v>0</v>
      </c>
    </row>
    <row r="163" spans="1:9" x14ac:dyDescent="0.25">
      <c r="A163">
        <v>201979</v>
      </c>
      <c r="B163">
        <v>5590</v>
      </c>
      <c r="C163" t="str">
        <v>https://motorring.ru/product/10468-prughiny-peredney-podveski-tehnoressor-50mm-lada-vesta</v>
      </c>
      <c r="D163">
        <v>5460</v>
      </c>
      <c r="E163" t="str">
        <v>https://33sport.ru/catalog/podveska/pruzhiny_tekhnoressor/pruzhiny_tekhnoressor_vesta_perednie_50/</v>
      </c>
      <c r="F163">
        <v>0</v>
      </c>
      <c r="G163">
        <v>0</v>
      </c>
      <c r="H163">
        <v>0</v>
      </c>
      <c r="I163">
        <v>0</v>
      </c>
    </row>
    <row r="164" spans="1:9" x14ac:dyDescent="0.25">
      <c r="A164">
        <v>201980</v>
      </c>
      <c r="B164">
        <v>5590</v>
      </c>
      <c r="C164" t="str">
        <v>https://motorring.ru/product/33813-prughiny-pered-podveski-tehnoressor-zanij-70-vesta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</row>
    <row r="165" spans="1:9" x14ac:dyDescent="0.25">
      <c r="A165">
        <v>201982</v>
      </c>
      <c r="B165" t="str">
        <v>не нашел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</row>
    <row r="166" spans="1:9" x14ac:dyDescent="0.25">
      <c r="A166">
        <v>201983</v>
      </c>
      <c r="B166">
        <v>5690</v>
      </c>
      <c r="C166" t="str">
        <v>https://motorring.ru/product/33692-prughiny-peredney-podveski-tehnoressor-drive-30mm-2190-fl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</row>
    <row r="167" spans="1:9" x14ac:dyDescent="0.25">
      <c r="A167">
        <v>201984</v>
      </c>
      <c r="B167">
        <v>5690</v>
      </c>
      <c r="C167" t="str">
        <v>https://motorring.ru/product/33691-prughiny-peredney-podveski-tehnoressor-drive-50mm-2190-fl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</row>
    <row r="168" spans="1:9" x14ac:dyDescent="0.25">
      <c r="A168">
        <v>201985</v>
      </c>
      <c r="B168">
        <v>5690</v>
      </c>
      <c r="C168" t="str">
        <v>https://motorring.ru/product/33709-prughiny-peredney-podveski-tehnoressor-drive-70mm-2190-fl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</row>
    <row r="169" spans="1:9" x14ac:dyDescent="0.25">
      <c r="A169">
        <v>201986</v>
      </c>
      <c r="B169" t="str">
        <v>3890 снят</v>
      </c>
      <c r="C169" t="str">
        <v>https://motorring.ru/product/33794-prughiny-peredney-podveski-tehnoressor-drive-90mm-2190-fl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</row>
    <row r="170" spans="1:9" x14ac:dyDescent="0.25">
      <c r="A170">
        <v>201988</v>
      </c>
      <c r="B170">
        <v>4590</v>
      </c>
      <c r="C170" t="str">
        <v>https://motorring.ru/product/6673-prughiny-peredney-podveski--120mm-dlya-lada-granta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</row>
    <row r="171" spans="1:9" x14ac:dyDescent="0.25">
      <c r="A171">
        <v>201989</v>
      </c>
      <c r="B171">
        <v>4790</v>
      </c>
      <c r="C171" t="str">
        <v>https://motorring.ru/product/6667-prughiny-peredney-podveski-tehnoressor-30-granta</v>
      </c>
      <c r="D171">
        <v>4550</v>
      </c>
      <c r="E171" t="str">
        <v>https://33sport.ru/catalog/podveska/pruzhiny_tekhnoressor/pruzhiny_tehnoressor_priora_kalina_bochka_perednie_30/</v>
      </c>
      <c r="F171">
        <v>0</v>
      </c>
      <c r="G171">
        <v>0</v>
      </c>
      <c r="H171">
        <v>0</v>
      </c>
      <c r="I171">
        <v>0</v>
      </c>
    </row>
    <row r="172" spans="1:9" x14ac:dyDescent="0.25">
      <c r="A172">
        <v>201990</v>
      </c>
      <c r="B172">
        <v>4790</v>
      </c>
      <c r="C172" t="str">
        <v>https://motorring.ru/product/6669-prughiny-peredney-podveski-tehnoressor-50-granta</v>
      </c>
      <c r="D172">
        <v>4550</v>
      </c>
      <c r="E172" t="str">
        <v>https://33sport.ru/catalog/podveska/pruzhiny_tekhnoressor/pruzhiny_tehnoressor_priora_kalina_bochka_perednie_50/</v>
      </c>
      <c r="F172">
        <v>0</v>
      </c>
      <c r="G172">
        <v>0</v>
      </c>
      <c r="H172">
        <v>0</v>
      </c>
      <c r="I172">
        <v>0</v>
      </c>
    </row>
    <row r="173" spans="1:9" x14ac:dyDescent="0.25">
      <c r="A173">
        <v>201991</v>
      </c>
      <c r="B173">
        <v>4890</v>
      </c>
      <c r="C173" t="str">
        <v>https://motorring.ru/product/6671-prughiny-peredney-podveski-tehnoressor-70mm-lada-granta</v>
      </c>
      <c r="D173">
        <v>4550</v>
      </c>
      <c r="E173" t="str">
        <v>https://33sport.ru/catalog/podveska/pruzhiny_tekhnoressor/pruzhiny_tehnoressor_priora_kalina_bochka_perednie_70/</v>
      </c>
      <c r="F173">
        <v>0</v>
      </c>
      <c r="G173">
        <v>0</v>
      </c>
      <c r="H173">
        <v>0</v>
      </c>
      <c r="I173">
        <v>0</v>
      </c>
    </row>
    <row r="174" spans="1:9" x14ac:dyDescent="0.25">
      <c r="A174">
        <v>201992</v>
      </c>
      <c r="B174">
        <v>4990</v>
      </c>
      <c r="C174" t="str">
        <v>https://motorring.ru/product/6675-prughiny-peredney-podveski-90mm-dlya-lada-granta</v>
      </c>
      <c r="D174">
        <v>4550</v>
      </c>
      <c r="E174" t="str">
        <v>https://33sport.ru/catalog/podveska/pruzhiny_tekhnoressor/pruzhiny_tehnoressor_priora_kalina_bochka_perednie_90/</v>
      </c>
      <c r="F174">
        <v>0</v>
      </c>
      <c r="G174">
        <v>0</v>
      </c>
      <c r="H174">
        <v>0</v>
      </c>
      <c r="I174">
        <v>0</v>
      </c>
    </row>
    <row r="175" spans="1:9" x14ac:dyDescent="0.25">
      <c r="A175">
        <v>201926</v>
      </c>
      <c r="B175">
        <v>3990</v>
      </c>
      <c r="C175" t="str">
        <v>https://motorring.ru/product/3342-zadnie-prughiny-fobos-sport-zanighenie-25mm-vaz-2108</v>
      </c>
      <c r="D175">
        <v>3445</v>
      </c>
      <c r="E175" t="str">
        <v>https://33sport.ru/catalog/podveska/pruzhiny_fobos/2110/pruzhiny_podveski_2110_zadnie_fobos_sport_25mm/</v>
      </c>
      <c r="F175">
        <v>0</v>
      </c>
      <c r="G175">
        <v>0</v>
      </c>
      <c r="H175">
        <v>0</v>
      </c>
      <c r="I175">
        <v>0</v>
      </c>
    </row>
    <row r="176" spans="1:9" x14ac:dyDescent="0.25">
      <c r="A176">
        <v>201925</v>
      </c>
      <c r="B176">
        <v>3890</v>
      </c>
      <c r="C176" t="str">
        <v>https://motorring.ru/product/3344-zadnie-prughiny-fobos-sport-zanigheniem-40mm-vaz-2108</v>
      </c>
      <c r="D176">
        <v>3445</v>
      </c>
      <c r="E176" t="str">
        <v>https://33sport.ru/catalog/podveska/pruzhiny_fobos/2110/pruzhiny_podveski_2110_zadnie_fobos_sport_40mm/</v>
      </c>
      <c r="F176">
        <v>0</v>
      </c>
      <c r="G176">
        <v>0</v>
      </c>
      <c r="H176">
        <v>0</v>
      </c>
      <c r="I176">
        <v>0</v>
      </c>
    </row>
    <row r="177" spans="1:9" x14ac:dyDescent="0.25">
      <c r="A177">
        <v>201927</v>
      </c>
      <c r="B177">
        <v>3990</v>
      </c>
      <c r="C177" t="str">
        <v>https://motorring.ru/product/3347-zadnie-prughiny-fobos-sport-zanigheniem-vaz-2108-21099</v>
      </c>
      <c r="D177">
        <v>3445</v>
      </c>
      <c r="E177" t="str">
        <v>https://33sport.ru/catalog/podveska/pruzhiny_fobos/2110/pruzhiny_podveski_2110_zadnie_fobos_sport_50mm/</v>
      </c>
      <c r="F177">
        <v>0</v>
      </c>
      <c r="G177">
        <v>0</v>
      </c>
      <c r="H177">
        <v>0</v>
      </c>
      <c r="I177">
        <v>0</v>
      </c>
    </row>
    <row r="178" spans="1:9" x14ac:dyDescent="0.25">
      <c r="A178">
        <v>201928</v>
      </c>
      <c r="B178">
        <v>3990</v>
      </c>
      <c r="C178" t="str">
        <v>https://motorring.ru/product/16255-zadnie-prughiny-fobos-sport-zanigheniem-70-vaz-2108-21099</v>
      </c>
      <c r="D178">
        <v>4500</v>
      </c>
      <c r="E178" t="str">
        <v>https://33sport.ru/catalog/podveska/pruzhiny_fobos/2110/pruzhiny_podveski_2110_zadnie_fobos_sport_70mm/</v>
      </c>
      <c r="F178">
        <v>0</v>
      </c>
      <c r="G178">
        <v>0</v>
      </c>
      <c r="H178">
        <v>0</v>
      </c>
      <c r="I178">
        <v>0</v>
      </c>
    </row>
    <row r="179" spans="1:9" x14ac:dyDescent="0.25">
      <c r="A179">
        <v>201929</v>
      </c>
      <c r="B179" t="str">
        <v>нет размера</v>
      </c>
      <c r="C179">
        <v>0</v>
      </c>
      <c r="D179">
        <v>4900</v>
      </c>
      <c r="E179" t="str">
        <v>https://33sport.ru/catalog/podveska/pruzhiny_fobos/2110/pruzhiny_podveski_2110_zadnie_fobos_sport_90mm/</v>
      </c>
      <c r="F179">
        <v>0</v>
      </c>
      <c r="G179">
        <v>0</v>
      </c>
      <c r="H179">
        <v>0</v>
      </c>
      <c r="I179">
        <v>0</v>
      </c>
    </row>
    <row r="180" spans="1:9" x14ac:dyDescent="0.25">
      <c r="A180">
        <v>201931</v>
      </c>
      <c r="B180">
        <v>4890</v>
      </c>
      <c r="C180" t="str">
        <v>https://motorring.ru/product/3338-prughiny-zadnie-dlya-vaz-2101-07-sport-zanighenie-25mm</v>
      </c>
      <c r="D180">
        <v>3900</v>
      </c>
      <c r="E180" t="str">
        <v>https://33sport.ru/catalog/avtomobili-zapchasti/vaz_2105-zapchasti/pruzhiny_podveski_vaz_2101_zadnie_fobos_sport_-25mm_-2101-2912712/</v>
      </c>
      <c r="F180">
        <v>0</v>
      </c>
      <c r="G180">
        <v>0</v>
      </c>
      <c r="H180">
        <v>0</v>
      </c>
      <c r="I180">
        <v>0</v>
      </c>
    </row>
    <row r="181" spans="1:9" x14ac:dyDescent="0.25">
      <c r="A181">
        <v>201932</v>
      </c>
      <c r="B181" t="str">
        <v>нет размера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</row>
    <row r="182" spans="1:9" x14ac:dyDescent="0.25">
      <c r="A182">
        <v>201933</v>
      </c>
      <c r="B182">
        <v>4590</v>
      </c>
      <c r="C182" t="str">
        <v>https://motorring.ru/product/3340-prughiny-zadnie-fobos-sport-zanigheniem-50-vaz-2101-2107</v>
      </c>
      <c r="D182">
        <v>3900</v>
      </c>
      <c r="E182" t="str">
        <v>https://33sport.ru/catalog/avtomobili-zapchasti/vaz_2105-zapchasti/pruzhiny_podveski_vaz_2101_zadnie_fobos_sport_-50mm_-2101-2912712/</v>
      </c>
      <c r="F182">
        <v>0</v>
      </c>
      <c r="G182">
        <v>0</v>
      </c>
      <c r="H182">
        <v>0</v>
      </c>
      <c r="I182">
        <v>0</v>
      </c>
    </row>
    <row r="183" spans="1:9" x14ac:dyDescent="0.25">
      <c r="A183">
        <v>201934</v>
      </c>
      <c r="B183">
        <v>4590</v>
      </c>
      <c r="C183" t="str">
        <v>https://motorring.ru/product/16266-prughiny-zadnie-fobos-sport-zanighenie-70mm-vaz-2101-2107</v>
      </c>
      <c r="D183">
        <v>3900</v>
      </c>
      <c r="E183" t="str">
        <v>https://33sport.ru/catalog/avtomobili-zapchasti/vaz_2105-zapchasti/pruzhiny_podveski_vaz_2101_zadnie_fobos_sport_-70mm_-2101-2912712/</v>
      </c>
      <c r="F183">
        <v>0</v>
      </c>
      <c r="G183">
        <v>0</v>
      </c>
      <c r="H183">
        <v>0</v>
      </c>
      <c r="I183">
        <v>0</v>
      </c>
    </row>
    <row r="184" spans="1:9" x14ac:dyDescent="0.25">
      <c r="A184">
        <v>202011</v>
      </c>
      <c r="B184">
        <v>4590</v>
      </c>
      <c r="C184" t="str">
        <v>https://motorring.ru/product/3339-perednie-prughiny-fobos-sport-zanighenie-25mm-vaz-2101-2107</v>
      </c>
      <c r="D184" t="str">
        <v>3835 снят</v>
      </c>
      <c r="E184" t="str">
        <v>https://33sport.ru/catalog/avtomobili-zapchasti/vaz_2105-zapchasti/pruzhiny_podveski_vaz_2101_perednie_fobos_sport_-25mm_-2101-2902712/</v>
      </c>
      <c r="F184">
        <v>0</v>
      </c>
      <c r="G184">
        <v>0</v>
      </c>
      <c r="H184">
        <v>0</v>
      </c>
      <c r="I184">
        <v>0</v>
      </c>
    </row>
    <row r="185" spans="1:9" x14ac:dyDescent="0.25">
      <c r="A185">
        <v>202012</v>
      </c>
      <c r="B185" t="str">
        <v>нет размера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</row>
    <row r="186" spans="1:9" x14ac:dyDescent="0.25">
      <c r="A186">
        <v>202013</v>
      </c>
      <c r="B186" t="str">
        <v>4590 снят</v>
      </c>
      <c r="C186" t="str">
        <v>https://motorring.ru/product/3341-prughiny-perednie-fobos-sport-zanigheniem-50-vaz-2101-2107</v>
      </c>
      <c r="D186">
        <v>3835</v>
      </c>
      <c r="E186" t="str">
        <v>https://33sport.ru/catalog/avtomobili-zapchasti/vaz_2105-zapchasti/pruzhiny_podveski_vaz_2101_perednie_fobos_sport_-50mm_-2101-2902712/</v>
      </c>
      <c r="F186">
        <v>0</v>
      </c>
      <c r="G186">
        <v>0</v>
      </c>
      <c r="H186">
        <v>0</v>
      </c>
      <c r="I186">
        <v>0</v>
      </c>
    </row>
    <row r="187" spans="1:9" x14ac:dyDescent="0.25">
      <c r="A187">
        <v>202014</v>
      </c>
      <c r="B187">
        <v>4590</v>
      </c>
      <c r="C187" t="str">
        <v>https://motorring.ru/product/16262-prughiny-perednie-fobos-sport-zanigheniem-70mm-dlya-vaz</v>
      </c>
      <c r="D187">
        <v>3835</v>
      </c>
      <c r="E187" t="str">
        <v>https://33sport.ru/catalog/avtomobili-zapchasti/vaz_2105-zapchasti/pruzhiny_podveski_vaz_2101_perednie_fobos_sport_-70mm_-2101-2902712/</v>
      </c>
      <c r="F187">
        <v>0</v>
      </c>
      <c r="G187">
        <v>0</v>
      </c>
      <c r="H187">
        <v>0</v>
      </c>
      <c r="I187">
        <v>0</v>
      </c>
    </row>
    <row r="188" spans="1:9" x14ac:dyDescent="0.25">
      <c r="A188">
        <v>202016</v>
      </c>
      <c r="B188">
        <v>4790</v>
      </c>
      <c r="C188" t="str">
        <v>https://motorring.ru/product/3343-perednie-prughiny-fobos-sport-zanighenie-25mm-2108-21099</v>
      </c>
      <c r="D188">
        <v>4225</v>
      </c>
      <c r="E188" t="str">
        <v>https://33sport.ru/catalog/podveska/pruzhiny_fobos/2110/pruzhiny_podveski_2110_perednie_fobos_sport_25mm/</v>
      </c>
      <c r="F188">
        <v>0</v>
      </c>
      <c r="G188">
        <v>0</v>
      </c>
      <c r="H188">
        <v>0</v>
      </c>
      <c r="I188">
        <v>0</v>
      </c>
    </row>
    <row r="189" spans="1:9" x14ac:dyDescent="0.25">
      <c r="A189">
        <v>202017</v>
      </c>
      <c r="B189">
        <v>4390</v>
      </c>
      <c r="C189" t="str">
        <v>https://motorring.ru/product/3345-perednie-prughiny-fobos-sport-zanigheniem-40mm-dlya-vaz</v>
      </c>
      <c r="D189">
        <v>4030</v>
      </c>
      <c r="E189" t="str">
        <v>https://33sport.ru/catalog/podveska/pruzhiny_fobos/2110/pruzhiny_podveski_2110_perednie_fobos_sport_40mm/</v>
      </c>
      <c r="F189">
        <v>0</v>
      </c>
      <c r="G189">
        <v>0</v>
      </c>
      <c r="H189">
        <v>0</v>
      </c>
      <c r="I189">
        <v>0</v>
      </c>
    </row>
    <row r="190" spans="1:9" x14ac:dyDescent="0.25">
      <c r="A190">
        <v>202018</v>
      </c>
      <c r="B190">
        <v>5190</v>
      </c>
      <c r="C190" t="str">
        <v>https://motorring.ru/product/3346-perednie-prughiny-fobos-sport-zanigheniem-50mm-vaz</v>
      </c>
      <c r="D190">
        <v>4290</v>
      </c>
      <c r="E190" t="str">
        <v>https://33sport.ru/catalog/podveska/pruzhiny_fobos/2110/pruzhiny_podveski_2110_perednie_fobos_sport_50mm/</v>
      </c>
      <c r="F190">
        <v>0</v>
      </c>
      <c r="G190">
        <v>0</v>
      </c>
      <c r="H190">
        <v>0</v>
      </c>
      <c r="I190">
        <v>0</v>
      </c>
    </row>
    <row r="191" spans="1:9" x14ac:dyDescent="0.25">
      <c r="A191">
        <v>202019</v>
      </c>
      <c r="B191">
        <v>4390</v>
      </c>
      <c r="C191" t="str">
        <v>https://motorring.ru/product/16253-perednie-prughiny-fobos-sport-zanigheniem-vaz-2108-21099</v>
      </c>
      <c r="D191">
        <v>4400</v>
      </c>
      <c r="E191" t="str">
        <v>https://33sport.ru/catalog/podveska/pruzhiny_fobos/2110/pruzhiny_podveski_2110_perednie_fobos_sport_70mm/</v>
      </c>
      <c r="F191">
        <v>0</v>
      </c>
      <c r="G191">
        <v>0</v>
      </c>
      <c r="H191">
        <v>0</v>
      </c>
      <c r="I191">
        <v>0</v>
      </c>
    </row>
    <row r="192" spans="1:9" x14ac:dyDescent="0.25">
      <c r="A192">
        <v>202020</v>
      </c>
      <c r="B192" t="str">
        <v>нет размера</v>
      </c>
      <c r="C192">
        <v>0</v>
      </c>
      <c r="D192">
        <v>4400</v>
      </c>
      <c r="E192" t="str">
        <v>https://33sport.ru/catalog/podveska/pruzhiny_fobos/2110/pruzhiny_podveski_2110_perednie_fobos_sport_90mm/</v>
      </c>
      <c r="F192">
        <v>0</v>
      </c>
      <c r="G192">
        <v>0</v>
      </c>
      <c r="H192">
        <v>0</v>
      </c>
      <c r="I192">
        <v>0</v>
      </c>
    </row>
    <row r="193" spans="1:9" x14ac:dyDescent="0.25">
      <c r="A193">
        <v>202022</v>
      </c>
      <c r="B193">
        <v>3590</v>
      </c>
      <c r="C193" t="str">
        <v>https://motorring.ru/product/4560</v>
      </c>
      <c r="D193">
        <v>3120</v>
      </c>
      <c r="E193" t="str">
        <v>https://33sport.ru/catalog/podveska/pruzhiny_fobos/2170/pruzhiny_fobos_priora_2170_perednie_25_mm/</v>
      </c>
      <c r="F193">
        <v>0</v>
      </c>
      <c r="G193">
        <v>0</v>
      </c>
      <c r="H193">
        <v>0</v>
      </c>
      <c r="I193">
        <v>0</v>
      </c>
    </row>
    <row r="194" spans="1:9" x14ac:dyDescent="0.25">
      <c r="A194">
        <v>202023</v>
      </c>
      <c r="B194">
        <v>3590</v>
      </c>
      <c r="C194" t="str">
        <v>https://motorring.ru/product/4562-perednie-prughiny-fobos-sport-zanigheniem-40-lada-kalina</v>
      </c>
      <c r="D194">
        <v>3120</v>
      </c>
      <c r="E194" t="str">
        <v>https://33sport.ru/catalog/podveska/pruzhiny_fobos/2170/pruzhiny_fobos_priora_2170_perednie_40_mm/</v>
      </c>
      <c r="F194">
        <v>0</v>
      </c>
      <c r="G194">
        <v>0</v>
      </c>
      <c r="H194">
        <v>0</v>
      </c>
      <c r="I194">
        <v>0</v>
      </c>
    </row>
    <row r="195" spans="1:9" x14ac:dyDescent="0.25">
      <c r="A195">
        <v>202024</v>
      </c>
      <c r="B195">
        <v>3590</v>
      </c>
      <c r="C195" t="str">
        <v>https://motorring.ru/product/16247-prughiny-perednie-fobos-sport-zanigheniem-50-lada-kalina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</row>
    <row r="196" spans="1:9" x14ac:dyDescent="0.25">
      <c r="A196">
        <v>202025</v>
      </c>
      <c r="B196">
        <v>3890</v>
      </c>
      <c r="C196" t="str">
        <v>https://motorring.ru/product/16248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</row>
    <row r="197" spans="1:9" x14ac:dyDescent="0.25">
      <c r="A197">
        <v>202026</v>
      </c>
      <c r="B197" t="str">
        <v>нет размера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B80DFB-6C6C-4960-B783-ED6304389793}">
  <sheetPr codeName="Лист71">
    <tabColor rgb="FF92D050"/>
  </sheetPr>
  <dimension ref="A1:X197"/>
  <sheetViews>
    <sheetView workbookViewId="0"/>
  </sheetViews>
  <sheetFormatPr defaultRowHeight="15" x14ac:dyDescent="0.25"/>
  <cols>
    <col min="1" max="1" width="14" bestFit="1" customWidth="1"/>
    <col min="2" max="2" width="11.140625" bestFit="1" customWidth="1"/>
    <col min="3" max="3" width="13.28515625" bestFit="1" customWidth="1"/>
    <col min="4" max="4" width="81.140625" bestFit="1" customWidth="1"/>
    <col min="5" max="5" width="11.140625" bestFit="1" customWidth="1"/>
    <col min="6" max="6" width="81.140625" bestFit="1" customWidth="1"/>
    <col min="7" max="9" width="11.140625" bestFit="1" customWidth="1"/>
    <col min="10" max="20" width="12.140625" bestFit="1" customWidth="1"/>
    <col min="21" max="24" width="12.140625" customWidth="1"/>
  </cols>
  <sheetData>
    <row r="1" spans="1:24" x14ac:dyDescent="0.25">
      <c r="A1" t="s">
        <v>681</v>
      </c>
      <c r="B1" t="s">
        <v>682</v>
      </c>
      <c r="C1" t="s">
        <v>683</v>
      </c>
      <c r="D1" t="s">
        <v>684</v>
      </c>
      <c r="E1" t="s">
        <v>685</v>
      </c>
      <c r="F1" t="s">
        <v>686</v>
      </c>
      <c r="G1" t="s">
        <v>687</v>
      </c>
      <c r="H1" t="s">
        <v>688</v>
      </c>
      <c r="I1" t="s">
        <v>689</v>
      </c>
      <c r="J1" t="s">
        <v>690</v>
      </c>
      <c r="K1" t="s">
        <v>691</v>
      </c>
      <c r="L1" t="s">
        <v>692</v>
      </c>
      <c r="M1" t="s">
        <v>693</v>
      </c>
      <c r="N1" t="s">
        <v>694</v>
      </c>
      <c r="O1" t="s">
        <v>695</v>
      </c>
      <c r="P1" t="s">
        <v>696</v>
      </c>
      <c r="Q1" t="s">
        <v>697</v>
      </c>
      <c r="R1" t="s">
        <v>698</v>
      </c>
      <c r="S1" t="s">
        <v>699</v>
      </c>
      <c r="T1" t="s">
        <v>700</v>
      </c>
      <c r="U1" t="s">
        <v>717</v>
      </c>
      <c r="V1" t="s">
        <v>718</v>
      </c>
      <c r="W1" t="s">
        <v>719</v>
      </c>
      <c r="X1" t="s">
        <v>720</v>
      </c>
    </row>
    <row r="3" spans="1:24" x14ac:dyDescent="0.25">
      <c r="K3">
        <v>0.80208333330000003</v>
      </c>
      <c r="L3">
        <v>0.5625</v>
      </c>
      <c r="M3">
        <v>0</v>
      </c>
      <c r="N3">
        <v>0</v>
      </c>
      <c r="O3">
        <v>0.859375</v>
      </c>
    </row>
    <row r="4" spans="1:24" x14ac:dyDescent="0.25">
      <c r="A4" t="s">
        <v>701</v>
      </c>
      <c r="B4" t="s">
        <v>702</v>
      </c>
      <c r="C4" t="s">
        <v>703</v>
      </c>
      <c r="D4" t="s">
        <v>704</v>
      </c>
    </row>
    <row r="5" spans="1:24" x14ac:dyDescent="0.25">
      <c r="B5" t="s">
        <v>0</v>
      </c>
      <c r="C5" t="s">
        <v>192</v>
      </c>
      <c r="D5" t="s">
        <v>192</v>
      </c>
      <c r="E5">
        <v>2</v>
      </c>
      <c r="F5">
        <v>2</v>
      </c>
      <c r="G5">
        <v>3</v>
      </c>
      <c r="H5">
        <v>3</v>
      </c>
      <c r="I5">
        <v>4</v>
      </c>
      <c r="J5">
        <v>4</v>
      </c>
      <c r="K5" t="s">
        <v>192</v>
      </c>
      <c r="L5">
        <v>2</v>
      </c>
      <c r="M5">
        <v>3</v>
      </c>
      <c r="N5">
        <v>4</v>
      </c>
    </row>
    <row r="6" spans="1:24" x14ac:dyDescent="0.25">
      <c r="A6" t="s">
        <v>65</v>
      </c>
      <c r="B6">
        <v>201936</v>
      </c>
      <c r="C6">
        <v>3190</v>
      </c>
      <c r="D6" t="s">
        <v>245</v>
      </c>
      <c r="E6" t="s">
        <v>193</v>
      </c>
      <c r="K6">
        <v>3190</v>
      </c>
      <c r="L6" t="s">
        <v>705</v>
      </c>
      <c r="M6" t="s">
        <v>705</v>
      </c>
      <c r="N6" t="s">
        <v>705</v>
      </c>
      <c r="O6" t="b">
        <v>1</v>
      </c>
    </row>
    <row r="7" spans="1:24" x14ac:dyDescent="0.25">
      <c r="A7" t="s">
        <v>65</v>
      </c>
      <c r="B7">
        <v>201937</v>
      </c>
      <c r="C7" t="s">
        <v>193</v>
      </c>
      <c r="E7">
        <v>2470</v>
      </c>
      <c r="F7" t="s">
        <v>398</v>
      </c>
      <c r="K7" t="s">
        <v>705</v>
      </c>
      <c r="L7">
        <v>2470</v>
      </c>
      <c r="M7" t="s">
        <v>705</v>
      </c>
      <c r="N7" t="s">
        <v>705</v>
      </c>
      <c r="O7" t="b">
        <v>1</v>
      </c>
    </row>
    <row r="8" spans="1:24" x14ac:dyDescent="0.25">
      <c r="A8" t="s">
        <v>65</v>
      </c>
      <c r="B8">
        <v>202028</v>
      </c>
      <c r="C8" t="s">
        <v>193</v>
      </c>
      <c r="E8">
        <v>2730</v>
      </c>
      <c r="F8" t="s">
        <v>397</v>
      </c>
      <c r="K8" t="s">
        <v>705</v>
      </c>
      <c r="L8">
        <v>2730</v>
      </c>
      <c r="M8" t="s">
        <v>705</v>
      </c>
      <c r="N8" t="s">
        <v>705</v>
      </c>
      <c r="O8" t="b">
        <v>1</v>
      </c>
    </row>
    <row r="9" spans="1:24" x14ac:dyDescent="0.25">
      <c r="A9" t="s">
        <v>65</v>
      </c>
      <c r="B9">
        <v>201938</v>
      </c>
      <c r="C9" t="s">
        <v>193</v>
      </c>
      <c r="E9">
        <v>2795</v>
      </c>
      <c r="F9" t="s">
        <v>401</v>
      </c>
      <c r="K9" t="s">
        <v>705</v>
      </c>
      <c r="L9">
        <v>2795</v>
      </c>
      <c r="M9" t="s">
        <v>705</v>
      </c>
      <c r="N9" t="s">
        <v>705</v>
      </c>
      <c r="O9" t="b">
        <v>1</v>
      </c>
    </row>
    <row r="10" spans="1:24" x14ac:dyDescent="0.25">
      <c r="A10" t="s">
        <v>65</v>
      </c>
      <c r="B10">
        <v>201873</v>
      </c>
      <c r="C10">
        <v>2890</v>
      </c>
      <c r="D10" t="s">
        <v>246</v>
      </c>
      <c r="K10">
        <v>2890</v>
      </c>
      <c r="L10" t="s">
        <v>705</v>
      </c>
      <c r="M10" t="s">
        <v>705</v>
      </c>
      <c r="N10" t="s">
        <v>705</v>
      </c>
      <c r="O10" t="b">
        <v>1</v>
      </c>
    </row>
    <row r="11" spans="1:24" x14ac:dyDescent="0.25">
      <c r="A11" t="s">
        <v>65</v>
      </c>
      <c r="B11">
        <v>201871</v>
      </c>
      <c r="C11">
        <v>3290</v>
      </c>
      <c r="D11" t="s">
        <v>247</v>
      </c>
      <c r="K11">
        <v>3290</v>
      </c>
      <c r="L11" t="s">
        <v>705</v>
      </c>
      <c r="M11" t="s">
        <v>705</v>
      </c>
      <c r="N11" t="s">
        <v>705</v>
      </c>
      <c r="O11" t="b">
        <v>1</v>
      </c>
    </row>
    <row r="12" spans="1:24" x14ac:dyDescent="0.25">
      <c r="A12" t="s">
        <v>65</v>
      </c>
      <c r="B12">
        <v>201858</v>
      </c>
      <c r="C12">
        <v>2890</v>
      </c>
      <c r="D12" t="s">
        <v>248</v>
      </c>
      <c r="K12">
        <v>2890</v>
      </c>
      <c r="L12" t="s">
        <v>705</v>
      </c>
      <c r="M12" t="s">
        <v>705</v>
      </c>
      <c r="N12" t="s">
        <v>705</v>
      </c>
      <c r="O12" t="b">
        <v>1</v>
      </c>
    </row>
    <row r="13" spans="1:24" x14ac:dyDescent="0.25">
      <c r="A13" t="s">
        <v>65</v>
      </c>
      <c r="B13">
        <v>201874</v>
      </c>
      <c r="C13">
        <v>2690</v>
      </c>
      <c r="D13" t="s">
        <v>309</v>
      </c>
      <c r="K13">
        <v>2690</v>
      </c>
      <c r="L13" t="s">
        <v>705</v>
      </c>
      <c r="M13" t="s">
        <v>705</v>
      </c>
      <c r="N13" t="s">
        <v>705</v>
      </c>
      <c r="O13" t="b">
        <v>1</v>
      </c>
    </row>
    <row r="14" spans="1:24" x14ac:dyDescent="0.25">
      <c r="A14" t="s">
        <v>65</v>
      </c>
      <c r="B14">
        <v>201870</v>
      </c>
      <c r="C14" t="s">
        <v>193</v>
      </c>
      <c r="K14" t="s">
        <v>705</v>
      </c>
      <c r="L14" t="s">
        <v>705</v>
      </c>
      <c r="M14" t="s">
        <v>705</v>
      </c>
      <c r="N14" t="s">
        <v>705</v>
      </c>
      <c r="O14" t="b">
        <v>0</v>
      </c>
    </row>
    <row r="15" spans="1:24" x14ac:dyDescent="0.25">
      <c r="A15" t="s">
        <v>65</v>
      </c>
      <c r="B15">
        <v>201869</v>
      </c>
      <c r="C15">
        <v>2890</v>
      </c>
      <c r="D15" t="s">
        <v>310</v>
      </c>
      <c r="K15">
        <v>2890</v>
      </c>
      <c r="L15" t="s">
        <v>705</v>
      </c>
      <c r="M15" t="s">
        <v>705</v>
      </c>
      <c r="N15" t="s">
        <v>705</v>
      </c>
      <c r="O15" t="b">
        <v>1</v>
      </c>
    </row>
    <row r="16" spans="1:24" x14ac:dyDescent="0.25">
      <c r="A16" t="s">
        <v>65</v>
      </c>
      <c r="B16">
        <v>201872</v>
      </c>
      <c r="C16">
        <v>2690</v>
      </c>
      <c r="D16" t="s">
        <v>311</v>
      </c>
      <c r="K16">
        <v>2690</v>
      </c>
      <c r="L16" t="s">
        <v>705</v>
      </c>
      <c r="M16" t="s">
        <v>705</v>
      </c>
      <c r="N16" t="s">
        <v>705</v>
      </c>
      <c r="O16" t="b">
        <v>1</v>
      </c>
    </row>
    <row r="17" spans="1:15" x14ac:dyDescent="0.25">
      <c r="A17" t="s">
        <v>65</v>
      </c>
      <c r="B17">
        <v>201865</v>
      </c>
      <c r="C17">
        <v>2690</v>
      </c>
      <c r="D17" t="s">
        <v>312</v>
      </c>
      <c r="K17">
        <v>2690</v>
      </c>
      <c r="L17" t="s">
        <v>705</v>
      </c>
      <c r="M17" t="s">
        <v>705</v>
      </c>
      <c r="N17" t="s">
        <v>705</v>
      </c>
      <c r="O17" t="b">
        <v>1</v>
      </c>
    </row>
    <row r="18" spans="1:15" x14ac:dyDescent="0.25">
      <c r="A18" t="s">
        <v>65</v>
      </c>
      <c r="B18">
        <v>201866</v>
      </c>
      <c r="C18">
        <v>2890</v>
      </c>
      <c r="D18" t="s">
        <v>248</v>
      </c>
      <c r="K18">
        <v>2890</v>
      </c>
      <c r="L18" t="s">
        <v>705</v>
      </c>
      <c r="M18" t="s">
        <v>705</v>
      </c>
      <c r="N18" t="s">
        <v>705</v>
      </c>
      <c r="O18" t="b">
        <v>1</v>
      </c>
    </row>
    <row r="19" spans="1:15" x14ac:dyDescent="0.25">
      <c r="A19" t="s">
        <v>65</v>
      </c>
      <c r="B19">
        <v>201868</v>
      </c>
      <c r="C19">
        <v>2890</v>
      </c>
      <c r="D19" t="s">
        <v>313</v>
      </c>
      <c r="K19">
        <v>2890</v>
      </c>
      <c r="L19" t="s">
        <v>705</v>
      </c>
      <c r="M19" t="s">
        <v>705</v>
      </c>
      <c r="N19" t="s">
        <v>705</v>
      </c>
      <c r="O19" t="b">
        <v>1</v>
      </c>
    </row>
    <row r="20" spans="1:15" x14ac:dyDescent="0.25">
      <c r="A20" t="s">
        <v>65</v>
      </c>
      <c r="B20">
        <v>201867</v>
      </c>
      <c r="C20" t="s">
        <v>193</v>
      </c>
      <c r="K20" t="s">
        <v>705</v>
      </c>
      <c r="L20" t="s">
        <v>705</v>
      </c>
      <c r="M20" t="s">
        <v>705</v>
      </c>
      <c r="N20" t="s">
        <v>705</v>
      </c>
      <c r="O20" t="b">
        <v>0</v>
      </c>
    </row>
    <row r="21" spans="1:15" x14ac:dyDescent="0.25">
      <c r="A21" t="s">
        <v>65</v>
      </c>
      <c r="B21">
        <v>145472</v>
      </c>
      <c r="C21">
        <v>2690</v>
      </c>
      <c r="D21" t="s">
        <v>309</v>
      </c>
      <c r="K21">
        <v>2690</v>
      </c>
      <c r="L21" t="s">
        <v>705</v>
      </c>
      <c r="M21" t="s">
        <v>705</v>
      </c>
      <c r="N21" t="s">
        <v>705</v>
      </c>
      <c r="O21" t="b">
        <v>1</v>
      </c>
    </row>
    <row r="22" spans="1:15" x14ac:dyDescent="0.25">
      <c r="A22" t="s">
        <v>65</v>
      </c>
      <c r="B22">
        <v>202027</v>
      </c>
      <c r="C22">
        <v>2890</v>
      </c>
      <c r="D22" t="s">
        <v>314</v>
      </c>
      <c r="K22">
        <v>2890</v>
      </c>
      <c r="L22" t="s">
        <v>705</v>
      </c>
      <c r="M22" t="s">
        <v>705</v>
      </c>
      <c r="N22" t="s">
        <v>705</v>
      </c>
      <c r="O22" t="b">
        <v>1</v>
      </c>
    </row>
    <row r="23" spans="1:15" x14ac:dyDescent="0.25">
      <c r="A23" t="s">
        <v>65</v>
      </c>
      <c r="B23">
        <v>201935</v>
      </c>
      <c r="C23">
        <v>3190</v>
      </c>
      <c r="D23" t="s">
        <v>315</v>
      </c>
      <c r="K23">
        <v>3190</v>
      </c>
      <c r="L23" t="s">
        <v>705</v>
      </c>
      <c r="M23" t="s">
        <v>705</v>
      </c>
      <c r="N23" t="s">
        <v>705</v>
      </c>
      <c r="O23" t="b">
        <v>1</v>
      </c>
    </row>
    <row r="24" spans="1:15" x14ac:dyDescent="0.25">
      <c r="A24" t="s">
        <v>65</v>
      </c>
      <c r="B24">
        <v>201998</v>
      </c>
      <c r="C24">
        <v>3890</v>
      </c>
      <c r="D24" t="s">
        <v>236</v>
      </c>
      <c r="K24">
        <v>3990</v>
      </c>
      <c r="L24" t="s">
        <v>705</v>
      </c>
      <c r="M24" t="s">
        <v>705</v>
      </c>
      <c r="N24" t="s">
        <v>705</v>
      </c>
      <c r="O24" t="b">
        <v>1</v>
      </c>
    </row>
    <row r="25" spans="1:15" x14ac:dyDescent="0.25">
      <c r="A25" t="s">
        <v>65</v>
      </c>
      <c r="B25">
        <v>202001</v>
      </c>
      <c r="C25">
        <v>3990</v>
      </c>
      <c r="D25" t="s">
        <v>238</v>
      </c>
      <c r="E25">
        <v>4680</v>
      </c>
      <c r="F25" t="s">
        <v>374</v>
      </c>
      <c r="K25">
        <v>3990</v>
      </c>
      <c r="L25">
        <v>4680</v>
      </c>
      <c r="M25" t="s">
        <v>705</v>
      </c>
      <c r="N25" t="s">
        <v>705</v>
      </c>
      <c r="O25" t="b">
        <v>1</v>
      </c>
    </row>
    <row r="26" spans="1:15" x14ac:dyDescent="0.25">
      <c r="A26" t="s">
        <v>65</v>
      </c>
      <c r="B26">
        <v>201916</v>
      </c>
      <c r="C26">
        <v>4090</v>
      </c>
      <c r="D26" t="s">
        <v>237</v>
      </c>
      <c r="E26">
        <v>3500</v>
      </c>
      <c r="F26" t="s">
        <v>375</v>
      </c>
      <c r="K26">
        <v>4290</v>
      </c>
      <c r="L26">
        <v>3500</v>
      </c>
      <c r="M26" t="s">
        <v>705</v>
      </c>
      <c r="N26" t="s">
        <v>705</v>
      </c>
      <c r="O26" t="b">
        <v>1</v>
      </c>
    </row>
    <row r="27" spans="1:15" x14ac:dyDescent="0.25">
      <c r="A27" t="s">
        <v>65</v>
      </c>
      <c r="B27">
        <v>201999</v>
      </c>
      <c r="C27">
        <v>5390</v>
      </c>
      <c r="D27" t="s">
        <v>239</v>
      </c>
      <c r="K27">
        <v>5690</v>
      </c>
      <c r="L27" t="s">
        <v>705</v>
      </c>
      <c r="M27" t="s">
        <v>705</v>
      </c>
      <c r="N27" t="s">
        <v>705</v>
      </c>
      <c r="O27" t="b">
        <v>1</v>
      </c>
    </row>
    <row r="28" spans="1:15" x14ac:dyDescent="0.25">
      <c r="A28" t="s">
        <v>65</v>
      </c>
      <c r="B28">
        <v>201917</v>
      </c>
      <c r="C28">
        <v>5390</v>
      </c>
      <c r="D28" t="s">
        <v>240</v>
      </c>
      <c r="K28">
        <v>6190</v>
      </c>
      <c r="L28" t="s">
        <v>705</v>
      </c>
      <c r="M28" t="s">
        <v>705</v>
      </c>
      <c r="N28" t="s">
        <v>705</v>
      </c>
      <c r="O28" t="b">
        <v>1</v>
      </c>
    </row>
    <row r="29" spans="1:15" x14ac:dyDescent="0.25">
      <c r="A29" t="s">
        <v>65</v>
      </c>
      <c r="B29">
        <v>201900</v>
      </c>
      <c r="C29">
        <v>5390</v>
      </c>
      <c r="D29" t="s">
        <v>261</v>
      </c>
      <c r="K29">
        <v>5690</v>
      </c>
      <c r="L29" t="s">
        <v>705</v>
      </c>
      <c r="M29" t="s">
        <v>705</v>
      </c>
      <c r="N29" t="s">
        <v>705</v>
      </c>
      <c r="O29" t="b">
        <v>1</v>
      </c>
    </row>
    <row r="30" spans="1:15" x14ac:dyDescent="0.25">
      <c r="A30" t="s">
        <v>65</v>
      </c>
      <c r="B30">
        <v>201967</v>
      </c>
      <c r="C30">
        <v>5390</v>
      </c>
      <c r="D30" t="s">
        <v>262</v>
      </c>
      <c r="K30">
        <v>5690</v>
      </c>
      <c r="L30" t="s">
        <v>705</v>
      </c>
      <c r="M30" t="s">
        <v>705</v>
      </c>
      <c r="N30" t="s">
        <v>705</v>
      </c>
      <c r="O30" t="b">
        <v>1</v>
      </c>
    </row>
    <row r="31" spans="1:15" x14ac:dyDescent="0.25">
      <c r="A31" t="s">
        <v>65</v>
      </c>
      <c r="B31">
        <v>201995</v>
      </c>
      <c r="C31">
        <v>3890</v>
      </c>
      <c r="D31" t="s">
        <v>336</v>
      </c>
      <c r="K31">
        <v>3990</v>
      </c>
      <c r="L31" t="s">
        <v>705</v>
      </c>
      <c r="M31" t="s">
        <v>705</v>
      </c>
      <c r="N31" t="s">
        <v>705</v>
      </c>
      <c r="O31" t="b">
        <v>1</v>
      </c>
    </row>
    <row r="32" spans="1:15" x14ac:dyDescent="0.25">
      <c r="A32" t="s">
        <v>65</v>
      </c>
      <c r="B32">
        <v>187444</v>
      </c>
      <c r="C32" t="s">
        <v>234</v>
      </c>
      <c r="D32" t="s">
        <v>244</v>
      </c>
      <c r="K32">
        <v>2690</v>
      </c>
      <c r="L32" t="s">
        <v>705</v>
      </c>
      <c r="M32" t="s">
        <v>705</v>
      </c>
      <c r="N32" t="s">
        <v>705</v>
      </c>
      <c r="O32" t="b">
        <v>1</v>
      </c>
    </row>
    <row r="33" spans="1:15" x14ac:dyDescent="0.25">
      <c r="A33" t="s">
        <v>65</v>
      </c>
      <c r="B33">
        <v>187451</v>
      </c>
      <c r="C33" t="s">
        <v>234</v>
      </c>
      <c r="D33" t="s">
        <v>244</v>
      </c>
      <c r="K33">
        <v>2690</v>
      </c>
      <c r="L33" t="s">
        <v>705</v>
      </c>
      <c r="M33" t="s">
        <v>705</v>
      </c>
      <c r="N33" t="s">
        <v>705</v>
      </c>
      <c r="O33" t="b">
        <v>1</v>
      </c>
    </row>
    <row r="34" spans="1:15" x14ac:dyDescent="0.25">
      <c r="A34" t="s">
        <v>65</v>
      </c>
      <c r="B34">
        <v>145461</v>
      </c>
      <c r="C34" t="s">
        <v>234</v>
      </c>
      <c r="D34" t="s">
        <v>243</v>
      </c>
      <c r="K34">
        <v>2690</v>
      </c>
      <c r="L34" t="s">
        <v>705</v>
      </c>
      <c r="M34" t="s">
        <v>705</v>
      </c>
      <c r="N34" t="s">
        <v>705</v>
      </c>
      <c r="O34" t="b">
        <v>1</v>
      </c>
    </row>
    <row r="35" spans="1:15" x14ac:dyDescent="0.25">
      <c r="A35" t="s">
        <v>65</v>
      </c>
      <c r="B35">
        <v>145468</v>
      </c>
      <c r="C35" t="s">
        <v>234</v>
      </c>
      <c r="D35" t="s">
        <v>260</v>
      </c>
      <c r="K35">
        <v>2690</v>
      </c>
      <c r="L35" t="s">
        <v>705</v>
      </c>
      <c r="M35" t="s">
        <v>705</v>
      </c>
      <c r="N35" t="s">
        <v>705</v>
      </c>
      <c r="O35" t="b">
        <v>1</v>
      </c>
    </row>
    <row r="36" spans="1:15" x14ac:dyDescent="0.25">
      <c r="A36" t="s">
        <v>65</v>
      </c>
      <c r="B36">
        <v>187452</v>
      </c>
      <c r="C36">
        <v>3690</v>
      </c>
      <c r="D36" t="s">
        <v>259</v>
      </c>
      <c r="K36">
        <v>4190</v>
      </c>
      <c r="L36" t="s">
        <v>705</v>
      </c>
      <c r="M36" t="s">
        <v>705</v>
      </c>
      <c r="N36" t="s">
        <v>705</v>
      </c>
      <c r="O36" t="b">
        <v>1</v>
      </c>
    </row>
    <row r="37" spans="1:15" x14ac:dyDescent="0.25">
      <c r="A37" t="s">
        <v>65</v>
      </c>
      <c r="B37">
        <v>187453</v>
      </c>
      <c r="C37">
        <v>3390</v>
      </c>
      <c r="D37" t="s">
        <v>258</v>
      </c>
      <c r="K37">
        <v>3990</v>
      </c>
      <c r="L37" t="s">
        <v>705</v>
      </c>
      <c r="M37" t="s">
        <v>705</v>
      </c>
      <c r="N37" t="s">
        <v>705</v>
      </c>
      <c r="O37" t="b">
        <v>1</v>
      </c>
    </row>
    <row r="38" spans="1:15" x14ac:dyDescent="0.25">
      <c r="A38" t="s">
        <v>65</v>
      </c>
      <c r="B38">
        <v>145469</v>
      </c>
      <c r="C38">
        <v>3690</v>
      </c>
      <c r="D38" t="s">
        <v>257</v>
      </c>
      <c r="K38">
        <v>4190</v>
      </c>
      <c r="L38" t="s">
        <v>705</v>
      </c>
      <c r="M38" t="s">
        <v>705</v>
      </c>
      <c r="N38" t="s">
        <v>705</v>
      </c>
      <c r="O38" t="b">
        <v>1</v>
      </c>
    </row>
    <row r="39" spans="1:15" x14ac:dyDescent="0.25">
      <c r="A39" t="s">
        <v>65</v>
      </c>
      <c r="B39">
        <v>145470</v>
      </c>
      <c r="C39">
        <v>3690</v>
      </c>
      <c r="D39" t="s">
        <v>256</v>
      </c>
      <c r="K39">
        <v>3990</v>
      </c>
      <c r="L39" t="s">
        <v>705</v>
      </c>
      <c r="M39" t="s">
        <v>705</v>
      </c>
      <c r="N39" t="s">
        <v>705</v>
      </c>
      <c r="O39" t="b">
        <v>1</v>
      </c>
    </row>
    <row r="40" spans="1:15" x14ac:dyDescent="0.25">
      <c r="A40" t="s">
        <v>65</v>
      </c>
      <c r="B40">
        <v>187454</v>
      </c>
      <c r="C40" t="s">
        <v>233</v>
      </c>
      <c r="D40" t="s">
        <v>255</v>
      </c>
      <c r="E40">
        <v>4550</v>
      </c>
      <c r="F40" t="s">
        <v>377</v>
      </c>
      <c r="K40">
        <v>3690</v>
      </c>
      <c r="L40">
        <v>4550</v>
      </c>
      <c r="M40" t="s">
        <v>705</v>
      </c>
      <c r="N40" t="s">
        <v>705</v>
      </c>
      <c r="O40" t="b">
        <v>1</v>
      </c>
    </row>
    <row r="41" spans="1:15" x14ac:dyDescent="0.25">
      <c r="A41" t="s">
        <v>65</v>
      </c>
      <c r="B41">
        <v>145471</v>
      </c>
      <c r="C41" t="s">
        <v>232</v>
      </c>
      <c r="D41" t="s">
        <v>254</v>
      </c>
      <c r="E41">
        <v>4550</v>
      </c>
      <c r="F41" t="s">
        <v>376</v>
      </c>
      <c r="K41">
        <v>3790</v>
      </c>
      <c r="L41">
        <v>4550</v>
      </c>
      <c r="M41" t="s">
        <v>705</v>
      </c>
      <c r="N41" t="s">
        <v>705</v>
      </c>
      <c r="O41" t="b">
        <v>1</v>
      </c>
    </row>
    <row r="42" spans="1:15" x14ac:dyDescent="0.25">
      <c r="A42" t="s">
        <v>65</v>
      </c>
      <c r="B42">
        <v>201966</v>
      </c>
      <c r="C42">
        <v>3890</v>
      </c>
      <c r="D42" t="s">
        <v>242</v>
      </c>
      <c r="K42">
        <v>3990</v>
      </c>
      <c r="L42" t="s">
        <v>705</v>
      </c>
      <c r="M42" t="s">
        <v>705</v>
      </c>
      <c r="N42" t="s">
        <v>705</v>
      </c>
      <c r="O42" t="b">
        <v>1</v>
      </c>
    </row>
    <row r="43" spans="1:15" x14ac:dyDescent="0.25">
      <c r="A43" t="s">
        <v>65</v>
      </c>
      <c r="B43">
        <v>201993</v>
      </c>
      <c r="C43">
        <v>3990</v>
      </c>
      <c r="D43" t="s">
        <v>253</v>
      </c>
      <c r="K43">
        <v>4190</v>
      </c>
      <c r="L43" t="s">
        <v>705</v>
      </c>
      <c r="M43" t="s">
        <v>705</v>
      </c>
      <c r="N43" t="s">
        <v>705</v>
      </c>
      <c r="O43" t="b">
        <v>1</v>
      </c>
    </row>
    <row r="44" spans="1:15" x14ac:dyDescent="0.25">
      <c r="A44" t="s">
        <v>65</v>
      </c>
      <c r="B44">
        <v>201914</v>
      </c>
      <c r="C44">
        <v>5390</v>
      </c>
      <c r="D44" t="s">
        <v>241</v>
      </c>
      <c r="K44">
        <v>5690</v>
      </c>
      <c r="L44" t="s">
        <v>705</v>
      </c>
      <c r="M44" t="s">
        <v>705</v>
      </c>
      <c r="N44" t="s">
        <v>705</v>
      </c>
      <c r="O44" t="b">
        <v>1</v>
      </c>
    </row>
    <row r="45" spans="1:15" x14ac:dyDescent="0.25">
      <c r="A45" t="s">
        <v>65</v>
      </c>
      <c r="B45">
        <v>201997</v>
      </c>
      <c r="C45" t="s">
        <v>231</v>
      </c>
      <c r="D45" t="s">
        <v>252</v>
      </c>
      <c r="K45">
        <v>3990</v>
      </c>
      <c r="L45" t="s">
        <v>705</v>
      </c>
      <c r="M45" t="s">
        <v>705</v>
      </c>
      <c r="N45" t="s">
        <v>705</v>
      </c>
      <c r="O45" t="b">
        <v>1</v>
      </c>
    </row>
    <row r="46" spans="1:15" x14ac:dyDescent="0.25">
      <c r="A46" t="s">
        <v>65</v>
      </c>
      <c r="B46">
        <v>201969</v>
      </c>
      <c r="C46">
        <v>4590</v>
      </c>
      <c r="D46" t="s">
        <v>251</v>
      </c>
      <c r="E46">
        <v>4680</v>
      </c>
      <c r="F46" t="s">
        <v>368</v>
      </c>
      <c r="K46">
        <v>5390</v>
      </c>
      <c r="L46">
        <v>4680</v>
      </c>
      <c r="M46" t="s">
        <v>705</v>
      </c>
      <c r="N46" t="s">
        <v>705</v>
      </c>
      <c r="O46" t="b">
        <v>1</v>
      </c>
    </row>
    <row r="47" spans="1:15" x14ac:dyDescent="0.25">
      <c r="A47" t="s">
        <v>65</v>
      </c>
      <c r="B47">
        <v>201918</v>
      </c>
      <c r="C47" t="s">
        <v>193</v>
      </c>
      <c r="K47" t="s">
        <v>705</v>
      </c>
      <c r="L47" t="s">
        <v>705</v>
      </c>
      <c r="M47" t="s">
        <v>705</v>
      </c>
      <c r="N47" t="s">
        <v>705</v>
      </c>
      <c r="O47" t="b">
        <v>0</v>
      </c>
    </row>
    <row r="48" spans="1:15" x14ac:dyDescent="0.25">
      <c r="A48" t="s">
        <v>65</v>
      </c>
      <c r="B48">
        <v>201899</v>
      </c>
      <c r="C48">
        <v>4390</v>
      </c>
      <c r="D48" t="s">
        <v>337</v>
      </c>
      <c r="E48">
        <v>3500</v>
      </c>
      <c r="F48" t="s">
        <v>373</v>
      </c>
      <c r="K48">
        <v>4490</v>
      </c>
      <c r="L48">
        <v>3500</v>
      </c>
      <c r="M48" t="s">
        <v>705</v>
      </c>
      <c r="N48" t="s">
        <v>705</v>
      </c>
      <c r="O48" t="b">
        <v>1</v>
      </c>
    </row>
    <row r="49" spans="1:15" x14ac:dyDescent="0.25">
      <c r="A49" t="s">
        <v>65</v>
      </c>
      <c r="B49">
        <v>202000</v>
      </c>
      <c r="C49">
        <v>5690</v>
      </c>
      <c r="D49" t="s">
        <v>267</v>
      </c>
      <c r="K49">
        <v>5990</v>
      </c>
      <c r="L49" t="s">
        <v>705</v>
      </c>
      <c r="M49" t="s">
        <v>705</v>
      </c>
      <c r="N49" t="s">
        <v>705</v>
      </c>
      <c r="O49" t="b">
        <v>1</v>
      </c>
    </row>
    <row r="50" spans="1:15" x14ac:dyDescent="0.25">
      <c r="A50" t="s">
        <v>65</v>
      </c>
      <c r="B50">
        <v>201994</v>
      </c>
      <c r="C50" t="s">
        <v>193</v>
      </c>
      <c r="K50" t="s">
        <v>705</v>
      </c>
      <c r="L50" t="s">
        <v>705</v>
      </c>
      <c r="M50" t="s">
        <v>705</v>
      </c>
      <c r="N50" t="s">
        <v>705</v>
      </c>
      <c r="O50" t="b">
        <v>0</v>
      </c>
    </row>
    <row r="51" spans="1:15" x14ac:dyDescent="0.25">
      <c r="A51" t="s">
        <v>65</v>
      </c>
      <c r="B51">
        <v>201996</v>
      </c>
      <c r="C51" t="s">
        <v>235</v>
      </c>
      <c r="D51" t="s">
        <v>263</v>
      </c>
      <c r="K51">
        <v>2990</v>
      </c>
      <c r="L51" t="s">
        <v>705</v>
      </c>
      <c r="M51" t="s">
        <v>705</v>
      </c>
      <c r="N51" t="s">
        <v>705</v>
      </c>
      <c r="O51" t="b">
        <v>1</v>
      </c>
    </row>
    <row r="52" spans="1:15" x14ac:dyDescent="0.25">
      <c r="A52" t="s">
        <v>65</v>
      </c>
      <c r="B52">
        <v>201901</v>
      </c>
      <c r="C52" t="s">
        <v>230</v>
      </c>
      <c r="D52" t="s">
        <v>265</v>
      </c>
      <c r="E52">
        <v>4950</v>
      </c>
      <c r="F52" t="s">
        <v>370</v>
      </c>
      <c r="K52">
        <v>3890</v>
      </c>
      <c r="L52">
        <v>4950</v>
      </c>
      <c r="M52" t="s">
        <v>705</v>
      </c>
      <c r="N52" t="s">
        <v>705</v>
      </c>
      <c r="O52" t="b">
        <v>1</v>
      </c>
    </row>
    <row r="53" spans="1:15" x14ac:dyDescent="0.25">
      <c r="A53" t="s">
        <v>65</v>
      </c>
      <c r="B53">
        <v>201902</v>
      </c>
      <c r="C53" t="s">
        <v>230</v>
      </c>
      <c r="D53" t="s">
        <v>266</v>
      </c>
      <c r="E53">
        <v>4950</v>
      </c>
      <c r="F53" t="s">
        <v>372</v>
      </c>
      <c r="K53">
        <v>3890</v>
      </c>
      <c r="L53">
        <v>4950</v>
      </c>
      <c r="M53" t="s">
        <v>705</v>
      </c>
      <c r="N53" t="s">
        <v>705</v>
      </c>
      <c r="O53" t="b">
        <v>1</v>
      </c>
    </row>
    <row r="54" spans="1:15" x14ac:dyDescent="0.25">
      <c r="A54" t="s">
        <v>65</v>
      </c>
      <c r="B54">
        <v>201970</v>
      </c>
      <c r="C54" t="s">
        <v>230</v>
      </c>
      <c r="D54" t="s">
        <v>264</v>
      </c>
      <c r="E54">
        <v>4950</v>
      </c>
      <c r="F54" t="s">
        <v>369</v>
      </c>
      <c r="K54">
        <v>3890</v>
      </c>
      <c r="L54">
        <v>4950</v>
      </c>
      <c r="M54" t="s">
        <v>705</v>
      </c>
      <c r="N54" t="s">
        <v>705</v>
      </c>
      <c r="O54" t="b">
        <v>1</v>
      </c>
    </row>
    <row r="55" spans="1:15" x14ac:dyDescent="0.25">
      <c r="A55" t="s">
        <v>65</v>
      </c>
      <c r="B55">
        <v>201968</v>
      </c>
      <c r="C55" t="s">
        <v>235</v>
      </c>
      <c r="D55" t="s">
        <v>263</v>
      </c>
      <c r="K55">
        <v>2990</v>
      </c>
      <c r="L55" t="s">
        <v>705</v>
      </c>
      <c r="M55" t="s">
        <v>705</v>
      </c>
      <c r="N55" t="s">
        <v>705</v>
      </c>
      <c r="O55" t="b">
        <v>1</v>
      </c>
    </row>
    <row r="56" spans="1:15" x14ac:dyDescent="0.25">
      <c r="A56" t="s">
        <v>65</v>
      </c>
      <c r="B56">
        <v>202003</v>
      </c>
      <c r="C56">
        <v>4990</v>
      </c>
      <c r="D56" t="s">
        <v>250</v>
      </c>
      <c r="K56">
        <v>5190</v>
      </c>
      <c r="L56" t="s">
        <v>705</v>
      </c>
      <c r="M56" t="s">
        <v>705</v>
      </c>
      <c r="N56" t="s">
        <v>705</v>
      </c>
      <c r="O56" t="b">
        <v>1</v>
      </c>
    </row>
    <row r="57" spans="1:15" x14ac:dyDescent="0.25">
      <c r="A57" t="s">
        <v>65</v>
      </c>
      <c r="B57">
        <v>202005</v>
      </c>
      <c r="C57">
        <v>2890</v>
      </c>
      <c r="D57" t="s">
        <v>313</v>
      </c>
      <c r="E57">
        <v>2535</v>
      </c>
      <c r="F57" t="s">
        <v>406</v>
      </c>
      <c r="K57">
        <v>2890</v>
      </c>
      <c r="L57">
        <v>2535</v>
      </c>
      <c r="M57" t="s">
        <v>705</v>
      </c>
      <c r="N57" t="s">
        <v>705</v>
      </c>
      <c r="O57" t="b">
        <v>1</v>
      </c>
    </row>
    <row r="58" spans="1:15" x14ac:dyDescent="0.25">
      <c r="A58" t="s">
        <v>65</v>
      </c>
      <c r="B58">
        <v>201919</v>
      </c>
      <c r="C58" t="s">
        <v>193</v>
      </c>
      <c r="E58">
        <v>2470</v>
      </c>
      <c r="F58" t="s">
        <v>400</v>
      </c>
      <c r="K58" t="s">
        <v>705</v>
      </c>
      <c r="L58">
        <v>2470</v>
      </c>
      <c r="M58" t="s">
        <v>705</v>
      </c>
      <c r="N58" t="s">
        <v>705</v>
      </c>
      <c r="O58" t="b">
        <v>1</v>
      </c>
    </row>
    <row r="59" spans="1:15" x14ac:dyDescent="0.25">
      <c r="A59" t="s">
        <v>65</v>
      </c>
      <c r="B59">
        <v>201923</v>
      </c>
      <c r="C59" t="s">
        <v>193</v>
      </c>
      <c r="E59" t="s">
        <v>193</v>
      </c>
      <c r="K59" t="s">
        <v>705</v>
      </c>
      <c r="L59" t="s">
        <v>705</v>
      </c>
      <c r="M59" t="s">
        <v>705</v>
      </c>
      <c r="N59" t="s">
        <v>705</v>
      </c>
      <c r="O59" t="b">
        <v>0</v>
      </c>
    </row>
    <row r="60" spans="1:15" x14ac:dyDescent="0.25">
      <c r="A60" t="s">
        <v>65</v>
      </c>
      <c r="B60">
        <v>201920</v>
      </c>
      <c r="C60" t="s">
        <v>193</v>
      </c>
      <c r="E60" t="s">
        <v>193</v>
      </c>
      <c r="K60" t="s">
        <v>705</v>
      </c>
      <c r="L60" t="s">
        <v>705</v>
      </c>
      <c r="M60" t="s">
        <v>705</v>
      </c>
      <c r="N60" t="s">
        <v>705</v>
      </c>
      <c r="O60" t="b">
        <v>0</v>
      </c>
    </row>
    <row r="61" spans="1:15" x14ac:dyDescent="0.25">
      <c r="A61" t="s">
        <v>65</v>
      </c>
      <c r="B61">
        <v>202008</v>
      </c>
      <c r="C61" t="s">
        <v>193</v>
      </c>
      <c r="E61" t="s">
        <v>193</v>
      </c>
      <c r="K61" t="s">
        <v>705</v>
      </c>
      <c r="L61" t="s">
        <v>705</v>
      </c>
      <c r="M61" t="s">
        <v>705</v>
      </c>
      <c r="N61" t="s">
        <v>705</v>
      </c>
      <c r="O61" t="b">
        <v>0</v>
      </c>
    </row>
    <row r="62" spans="1:15" x14ac:dyDescent="0.25">
      <c r="A62" t="s">
        <v>65</v>
      </c>
      <c r="B62">
        <v>202004</v>
      </c>
      <c r="C62" t="s">
        <v>193</v>
      </c>
      <c r="E62">
        <v>2600</v>
      </c>
      <c r="F62" t="s">
        <v>399</v>
      </c>
      <c r="K62" t="s">
        <v>705</v>
      </c>
      <c r="L62">
        <v>2600</v>
      </c>
      <c r="M62" t="s">
        <v>705</v>
      </c>
      <c r="N62" t="s">
        <v>705</v>
      </c>
      <c r="O62" t="b">
        <v>1</v>
      </c>
    </row>
    <row r="63" spans="1:15" x14ac:dyDescent="0.25">
      <c r="A63" t="s">
        <v>65</v>
      </c>
      <c r="B63">
        <v>202006</v>
      </c>
      <c r="C63" t="s">
        <v>193</v>
      </c>
      <c r="E63">
        <v>2925</v>
      </c>
      <c r="F63" t="s">
        <v>405</v>
      </c>
      <c r="K63" t="s">
        <v>705</v>
      </c>
      <c r="L63">
        <v>2925</v>
      </c>
      <c r="M63" t="s">
        <v>705</v>
      </c>
      <c r="N63" t="s">
        <v>705</v>
      </c>
      <c r="O63" t="b">
        <v>1</v>
      </c>
    </row>
    <row r="64" spans="1:15" x14ac:dyDescent="0.25">
      <c r="A64" t="s">
        <v>65</v>
      </c>
      <c r="B64">
        <v>201922</v>
      </c>
      <c r="C64" t="s">
        <v>193</v>
      </c>
      <c r="E64" t="s">
        <v>193</v>
      </c>
      <c r="K64" t="s">
        <v>705</v>
      </c>
      <c r="L64" t="s">
        <v>705</v>
      </c>
      <c r="M64" t="s">
        <v>705</v>
      </c>
      <c r="N64" t="s">
        <v>705</v>
      </c>
      <c r="O64" t="b">
        <v>0</v>
      </c>
    </row>
    <row r="65" spans="1:15" x14ac:dyDescent="0.25">
      <c r="A65" t="s">
        <v>65</v>
      </c>
      <c r="B65">
        <v>201921</v>
      </c>
      <c r="C65" t="s">
        <v>193</v>
      </c>
      <c r="E65">
        <v>2795</v>
      </c>
      <c r="F65" t="s">
        <v>403</v>
      </c>
      <c r="K65" t="s">
        <v>705</v>
      </c>
      <c r="L65">
        <v>2795</v>
      </c>
      <c r="M65" t="s">
        <v>705</v>
      </c>
      <c r="N65" t="s">
        <v>705</v>
      </c>
      <c r="O65" t="b">
        <v>1</v>
      </c>
    </row>
    <row r="66" spans="1:15" x14ac:dyDescent="0.25">
      <c r="A66" t="s">
        <v>65</v>
      </c>
      <c r="B66">
        <v>202007</v>
      </c>
      <c r="C66" t="s">
        <v>193</v>
      </c>
      <c r="E66" t="s">
        <v>193</v>
      </c>
      <c r="K66" t="s">
        <v>705</v>
      </c>
      <c r="L66" t="s">
        <v>705</v>
      </c>
      <c r="M66" t="s">
        <v>705</v>
      </c>
      <c r="N66" t="s">
        <v>705</v>
      </c>
      <c r="O66" t="b">
        <v>0</v>
      </c>
    </row>
    <row r="67" spans="1:15" x14ac:dyDescent="0.25">
      <c r="A67" t="s">
        <v>65</v>
      </c>
      <c r="B67">
        <v>201965</v>
      </c>
      <c r="C67">
        <v>5190</v>
      </c>
      <c r="D67" t="s">
        <v>249</v>
      </c>
      <c r="E67">
        <v>4950</v>
      </c>
      <c r="F67" t="s">
        <v>371</v>
      </c>
      <c r="K67">
        <v>5690</v>
      </c>
      <c r="L67">
        <v>4950</v>
      </c>
      <c r="M67" t="s">
        <v>705</v>
      </c>
      <c r="N67" t="s">
        <v>705</v>
      </c>
      <c r="O67" t="b">
        <v>1</v>
      </c>
    </row>
    <row r="68" spans="1:15" x14ac:dyDescent="0.25">
      <c r="A68" t="s">
        <v>65</v>
      </c>
      <c r="B68">
        <v>201875</v>
      </c>
      <c r="C68">
        <v>2890</v>
      </c>
      <c r="D68" t="s">
        <v>310</v>
      </c>
      <c r="E68">
        <v>2405</v>
      </c>
      <c r="F68" t="s">
        <v>404</v>
      </c>
      <c r="K68">
        <v>2890</v>
      </c>
      <c r="L68">
        <v>2405</v>
      </c>
      <c r="M68" t="s">
        <v>705</v>
      </c>
      <c r="N68" t="s">
        <v>705</v>
      </c>
      <c r="O68" t="b">
        <v>1</v>
      </c>
    </row>
    <row r="69" spans="1:15" x14ac:dyDescent="0.25">
      <c r="A69" t="s">
        <v>65</v>
      </c>
      <c r="B69">
        <v>251661</v>
      </c>
      <c r="C69">
        <v>2890</v>
      </c>
      <c r="D69" t="s">
        <v>314</v>
      </c>
      <c r="E69">
        <v>2795</v>
      </c>
      <c r="F69" t="s">
        <v>402</v>
      </c>
      <c r="K69">
        <v>2890</v>
      </c>
      <c r="L69">
        <v>2795</v>
      </c>
      <c r="M69" t="s">
        <v>705</v>
      </c>
      <c r="N69" t="s">
        <v>705</v>
      </c>
      <c r="O69" t="b">
        <v>1</v>
      </c>
    </row>
    <row r="70" spans="1:15" x14ac:dyDescent="0.25">
      <c r="A70" t="s">
        <v>65</v>
      </c>
      <c r="B70">
        <v>444190</v>
      </c>
      <c r="K70" t="s">
        <v>705</v>
      </c>
      <c r="L70" t="s">
        <v>705</v>
      </c>
      <c r="M70" t="s">
        <v>705</v>
      </c>
      <c r="N70" t="s">
        <v>705</v>
      </c>
      <c r="O70" t="b">
        <v>0</v>
      </c>
    </row>
    <row r="71" spans="1:15" x14ac:dyDescent="0.25">
      <c r="A71" t="s">
        <v>65</v>
      </c>
      <c r="B71">
        <v>444186</v>
      </c>
      <c r="K71" t="s">
        <v>705</v>
      </c>
      <c r="L71" t="s">
        <v>705</v>
      </c>
      <c r="M71" t="s">
        <v>705</v>
      </c>
      <c r="N71" t="s">
        <v>705</v>
      </c>
      <c r="O71" t="b">
        <v>0</v>
      </c>
    </row>
    <row r="72" spans="1:15" x14ac:dyDescent="0.25">
      <c r="A72" t="s">
        <v>65</v>
      </c>
      <c r="B72">
        <v>443462</v>
      </c>
      <c r="D72" t="s">
        <v>278</v>
      </c>
      <c r="F72" t="s">
        <v>366</v>
      </c>
      <c r="K72">
        <v>2390</v>
      </c>
      <c r="L72">
        <v>3400</v>
      </c>
      <c r="M72" t="s">
        <v>705</v>
      </c>
      <c r="N72" t="s">
        <v>705</v>
      </c>
      <c r="O72" t="b">
        <v>1</v>
      </c>
    </row>
    <row r="73" spans="1:15" x14ac:dyDescent="0.25">
      <c r="A73" t="s">
        <v>65</v>
      </c>
      <c r="B73">
        <v>443575</v>
      </c>
      <c r="D73" t="s">
        <v>272</v>
      </c>
      <c r="F73" t="s">
        <v>348</v>
      </c>
      <c r="K73">
        <v>3990</v>
      </c>
      <c r="L73">
        <v>3900</v>
      </c>
      <c r="M73" t="s">
        <v>705</v>
      </c>
      <c r="N73" t="s">
        <v>705</v>
      </c>
      <c r="O73" t="b">
        <v>1</v>
      </c>
    </row>
    <row r="74" spans="1:15" x14ac:dyDescent="0.25">
      <c r="A74" t="s">
        <v>65</v>
      </c>
      <c r="B74">
        <v>443463</v>
      </c>
      <c r="D74" t="s">
        <v>279</v>
      </c>
      <c r="F74" t="s">
        <v>341</v>
      </c>
      <c r="K74">
        <v>3690</v>
      </c>
      <c r="L74">
        <v>3500</v>
      </c>
      <c r="M74" t="s">
        <v>705</v>
      </c>
      <c r="N74" t="s">
        <v>705</v>
      </c>
      <c r="O74" t="b">
        <v>1</v>
      </c>
    </row>
    <row r="75" spans="1:15" x14ac:dyDescent="0.25">
      <c r="A75" t="s">
        <v>65</v>
      </c>
      <c r="B75">
        <v>443576</v>
      </c>
      <c r="D75" t="s">
        <v>271</v>
      </c>
      <c r="F75" t="s">
        <v>349</v>
      </c>
      <c r="K75">
        <v>3990</v>
      </c>
      <c r="L75">
        <v>3900</v>
      </c>
      <c r="M75" t="s">
        <v>705</v>
      </c>
      <c r="N75" t="s">
        <v>705</v>
      </c>
      <c r="O75" t="b">
        <v>1</v>
      </c>
    </row>
    <row r="76" spans="1:15" x14ac:dyDescent="0.25">
      <c r="A76" t="s">
        <v>65</v>
      </c>
      <c r="B76">
        <v>443968</v>
      </c>
      <c r="D76" t="s">
        <v>288</v>
      </c>
      <c r="F76" t="s">
        <v>365</v>
      </c>
      <c r="K76">
        <v>5990</v>
      </c>
      <c r="L76">
        <v>5460</v>
      </c>
      <c r="M76" t="s">
        <v>705</v>
      </c>
      <c r="N76" t="s">
        <v>705</v>
      </c>
      <c r="O76" t="b">
        <v>1</v>
      </c>
    </row>
    <row r="77" spans="1:15" x14ac:dyDescent="0.25">
      <c r="A77" t="s">
        <v>65</v>
      </c>
      <c r="B77">
        <v>443464</v>
      </c>
      <c r="D77" t="s">
        <v>280</v>
      </c>
      <c r="F77" t="s">
        <v>342</v>
      </c>
      <c r="K77">
        <v>3890</v>
      </c>
      <c r="L77">
        <v>3500</v>
      </c>
      <c r="M77" t="s">
        <v>705</v>
      </c>
      <c r="N77" t="s">
        <v>705</v>
      </c>
      <c r="O77" t="b">
        <v>1</v>
      </c>
    </row>
    <row r="78" spans="1:15" x14ac:dyDescent="0.25">
      <c r="A78" t="s">
        <v>65</v>
      </c>
      <c r="B78">
        <v>443577</v>
      </c>
      <c r="D78" t="s">
        <v>270</v>
      </c>
      <c r="F78" t="s">
        <v>350</v>
      </c>
      <c r="K78">
        <v>3890</v>
      </c>
      <c r="L78">
        <v>3900</v>
      </c>
      <c r="M78" t="s">
        <v>705</v>
      </c>
      <c r="N78" t="s">
        <v>705</v>
      </c>
      <c r="O78" t="b">
        <v>1</v>
      </c>
    </row>
    <row r="79" spans="1:15" x14ac:dyDescent="0.25">
      <c r="A79" t="s">
        <v>65</v>
      </c>
      <c r="B79">
        <v>443969</v>
      </c>
      <c r="D79" t="s">
        <v>289</v>
      </c>
      <c r="F79" t="s">
        <v>364</v>
      </c>
      <c r="K79">
        <v>6090</v>
      </c>
      <c r="L79">
        <v>5460</v>
      </c>
      <c r="M79" t="s">
        <v>705</v>
      </c>
      <c r="N79" t="s">
        <v>705</v>
      </c>
      <c r="O79" t="b">
        <v>1</v>
      </c>
    </row>
    <row r="80" spans="1:15" x14ac:dyDescent="0.25">
      <c r="A80" t="s">
        <v>65</v>
      </c>
      <c r="B80">
        <v>443465</v>
      </c>
      <c r="D80" t="s">
        <v>281</v>
      </c>
      <c r="F80" t="s">
        <v>343</v>
      </c>
      <c r="K80">
        <v>3890</v>
      </c>
      <c r="L80">
        <v>3500</v>
      </c>
      <c r="M80" t="s">
        <v>705</v>
      </c>
      <c r="N80" t="s">
        <v>705</v>
      </c>
      <c r="O80" t="b">
        <v>1</v>
      </c>
    </row>
    <row r="81" spans="1:15" x14ac:dyDescent="0.25">
      <c r="A81" t="s">
        <v>65</v>
      </c>
      <c r="B81">
        <v>443578</v>
      </c>
      <c r="D81" t="s">
        <v>269</v>
      </c>
      <c r="F81" t="s">
        <v>351</v>
      </c>
      <c r="K81">
        <v>3890</v>
      </c>
      <c r="L81">
        <v>3900</v>
      </c>
      <c r="M81" t="s">
        <v>705</v>
      </c>
      <c r="N81" t="s">
        <v>705</v>
      </c>
      <c r="O81" t="b">
        <v>1</v>
      </c>
    </row>
    <row r="82" spans="1:15" x14ac:dyDescent="0.25">
      <c r="A82" t="s">
        <v>65</v>
      </c>
      <c r="B82">
        <v>443970</v>
      </c>
      <c r="D82" t="s">
        <v>290</v>
      </c>
      <c r="K82">
        <v>5390</v>
      </c>
      <c r="L82" t="s">
        <v>705</v>
      </c>
      <c r="M82" t="s">
        <v>705</v>
      </c>
      <c r="N82" t="s">
        <v>705</v>
      </c>
      <c r="O82" t="b">
        <v>1</v>
      </c>
    </row>
    <row r="83" spans="1:15" x14ac:dyDescent="0.25">
      <c r="A83" t="s">
        <v>65</v>
      </c>
      <c r="B83">
        <v>443466</v>
      </c>
      <c r="D83" t="s">
        <v>282</v>
      </c>
      <c r="K83">
        <v>3890</v>
      </c>
      <c r="L83" t="s">
        <v>705</v>
      </c>
      <c r="M83" t="s">
        <v>705</v>
      </c>
      <c r="N83" t="s">
        <v>705</v>
      </c>
      <c r="O83" t="b">
        <v>1</v>
      </c>
    </row>
    <row r="84" spans="1:15" x14ac:dyDescent="0.25">
      <c r="A84" t="s">
        <v>65</v>
      </c>
      <c r="B84">
        <v>443579</v>
      </c>
      <c r="D84" t="s">
        <v>268</v>
      </c>
      <c r="F84" t="s">
        <v>352</v>
      </c>
      <c r="K84">
        <v>3990</v>
      </c>
      <c r="L84">
        <v>3900</v>
      </c>
      <c r="M84" t="s">
        <v>705</v>
      </c>
      <c r="N84" t="s">
        <v>705</v>
      </c>
      <c r="O84" t="b">
        <v>1</v>
      </c>
    </row>
    <row r="85" spans="1:15" x14ac:dyDescent="0.25">
      <c r="A85" t="s">
        <v>65</v>
      </c>
      <c r="B85">
        <v>444181</v>
      </c>
      <c r="K85" t="s">
        <v>705</v>
      </c>
      <c r="L85" t="s">
        <v>705</v>
      </c>
      <c r="M85" t="s">
        <v>705</v>
      </c>
      <c r="N85" t="s">
        <v>705</v>
      </c>
      <c r="O85" t="b">
        <v>0</v>
      </c>
    </row>
    <row r="86" spans="1:15" x14ac:dyDescent="0.25">
      <c r="A86" t="s">
        <v>65</v>
      </c>
      <c r="B86">
        <v>444168</v>
      </c>
      <c r="K86" t="s">
        <v>705</v>
      </c>
      <c r="L86" t="s">
        <v>705</v>
      </c>
      <c r="M86" t="s">
        <v>705</v>
      </c>
      <c r="N86" t="s">
        <v>705</v>
      </c>
      <c r="O86" t="b">
        <v>0</v>
      </c>
    </row>
    <row r="87" spans="1:15" x14ac:dyDescent="0.25">
      <c r="A87" t="s">
        <v>65</v>
      </c>
      <c r="B87">
        <v>444163</v>
      </c>
      <c r="K87" t="s">
        <v>705</v>
      </c>
      <c r="L87" t="s">
        <v>705</v>
      </c>
      <c r="M87" t="s">
        <v>705</v>
      </c>
      <c r="N87" t="s">
        <v>705</v>
      </c>
      <c r="O87" t="b">
        <v>0</v>
      </c>
    </row>
    <row r="88" spans="1:15" x14ac:dyDescent="0.25">
      <c r="A88" t="s">
        <v>65</v>
      </c>
      <c r="B88">
        <v>443472</v>
      </c>
      <c r="D88" t="s">
        <v>325</v>
      </c>
      <c r="F88" t="s">
        <v>378</v>
      </c>
      <c r="K88">
        <v>4890</v>
      </c>
      <c r="L88">
        <v>3900</v>
      </c>
      <c r="M88" t="s">
        <v>705</v>
      </c>
      <c r="N88" t="s">
        <v>705</v>
      </c>
      <c r="O88" t="b">
        <v>1</v>
      </c>
    </row>
    <row r="89" spans="1:15" x14ac:dyDescent="0.25">
      <c r="A89" t="s">
        <v>65</v>
      </c>
      <c r="B89">
        <v>443581</v>
      </c>
      <c r="D89" t="s">
        <v>320</v>
      </c>
      <c r="F89" t="s">
        <v>388</v>
      </c>
      <c r="K89">
        <v>3990</v>
      </c>
      <c r="L89">
        <v>3445</v>
      </c>
      <c r="M89" t="s">
        <v>705</v>
      </c>
      <c r="N89" t="s">
        <v>705</v>
      </c>
      <c r="O89" t="b">
        <v>1</v>
      </c>
    </row>
    <row r="90" spans="1:15" x14ac:dyDescent="0.25">
      <c r="A90" t="s">
        <v>65</v>
      </c>
      <c r="B90">
        <v>443473</v>
      </c>
      <c r="K90" t="s">
        <v>705</v>
      </c>
      <c r="L90" t="s">
        <v>705</v>
      </c>
      <c r="M90" t="s">
        <v>705</v>
      </c>
      <c r="N90" t="s">
        <v>705</v>
      </c>
      <c r="O90" t="b">
        <v>0</v>
      </c>
    </row>
    <row r="91" spans="1:15" x14ac:dyDescent="0.25">
      <c r="A91" t="s">
        <v>65</v>
      </c>
      <c r="B91">
        <v>443580</v>
      </c>
      <c r="D91" t="s">
        <v>321</v>
      </c>
      <c r="F91" t="s">
        <v>387</v>
      </c>
      <c r="K91">
        <v>3890</v>
      </c>
      <c r="L91">
        <v>3445</v>
      </c>
      <c r="M91" t="s">
        <v>705</v>
      </c>
      <c r="N91" t="s">
        <v>705</v>
      </c>
      <c r="O91" t="b">
        <v>1</v>
      </c>
    </row>
    <row r="92" spans="1:15" x14ac:dyDescent="0.25">
      <c r="A92" t="s">
        <v>65</v>
      </c>
      <c r="B92">
        <v>443474</v>
      </c>
      <c r="D92" t="s">
        <v>326</v>
      </c>
      <c r="F92" t="s">
        <v>379</v>
      </c>
      <c r="K92">
        <v>4590</v>
      </c>
      <c r="L92">
        <v>3900</v>
      </c>
      <c r="M92" t="s">
        <v>705</v>
      </c>
      <c r="N92" t="s">
        <v>705</v>
      </c>
      <c r="O92" t="b">
        <v>1</v>
      </c>
    </row>
    <row r="93" spans="1:15" x14ac:dyDescent="0.25">
      <c r="A93" t="s">
        <v>65</v>
      </c>
      <c r="B93">
        <v>443582</v>
      </c>
      <c r="D93" t="s">
        <v>322</v>
      </c>
      <c r="F93" t="s">
        <v>386</v>
      </c>
      <c r="K93">
        <v>3990</v>
      </c>
      <c r="L93">
        <v>3445</v>
      </c>
      <c r="M93" t="s">
        <v>705</v>
      </c>
      <c r="N93" t="s">
        <v>705</v>
      </c>
      <c r="O93" t="b">
        <v>1</v>
      </c>
    </row>
    <row r="94" spans="1:15" x14ac:dyDescent="0.25">
      <c r="A94" t="s">
        <v>65</v>
      </c>
      <c r="B94">
        <v>443475</v>
      </c>
      <c r="D94" t="s">
        <v>327</v>
      </c>
      <c r="F94" t="s">
        <v>380</v>
      </c>
      <c r="K94">
        <v>4590</v>
      </c>
      <c r="L94">
        <v>3900</v>
      </c>
      <c r="M94" t="s">
        <v>705</v>
      </c>
      <c r="N94" t="s">
        <v>705</v>
      </c>
      <c r="O94" t="b">
        <v>1</v>
      </c>
    </row>
    <row r="95" spans="1:15" x14ac:dyDescent="0.25">
      <c r="A95" t="s">
        <v>65</v>
      </c>
      <c r="B95">
        <v>443583</v>
      </c>
      <c r="D95" t="s">
        <v>323</v>
      </c>
      <c r="F95" t="s">
        <v>385</v>
      </c>
      <c r="K95">
        <v>3990</v>
      </c>
      <c r="L95">
        <v>4500</v>
      </c>
      <c r="M95" t="s">
        <v>705</v>
      </c>
      <c r="N95" t="s">
        <v>705</v>
      </c>
      <c r="O95" t="b">
        <v>1</v>
      </c>
    </row>
    <row r="96" spans="1:15" x14ac:dyDescent="0.25">
      <c r="A96" t="s">
        <v>65</v>
      </c>
      <c r="B96">
        <v>443584</v>
      </c>
      <c r="F96" t="s">
        <v>389</v>
      </c>
      <c r="K96" t="s">
        <v>705</v>
      </c>
      <c r="L96">
        <v>4900</v>
      </c>
      <c r="M96" t="s">
        <v>705</v>
      </c>
      <c r="N96" t="s">
        <v>705</v>
      </c>
      <c r="O96" t="b">
        <v>1</v>
      </c>
    </row>
    <row r="97" spans="1:15" x14ac:dyDescent="0.25">
      <c r="A97" t="s">
        <v>65</v>
      </c>
      <c r="B97">
        <v>444130</v>
      </c>
      <c r="K97" t="s">
        <v>705</v>
      </c>
      <c r="L97" t="s">
        <v>705</v>
      </c>
      <c r="M97" t="s">
        <v>705</v>
      </c>
      <c r="N97" t="s">
        <v>705</v>
      </c>
      <c r="O97" t="b">
        <v>0</v>
      </c>
    </row>
    <row r="98" spans="1:15" x14ac:dyDescent="0.25">
      <c r="A98" t="s">
        <v>65</v>
      </c>
      <c r="B98">
        <v>444147</v>
      </c>
      <c r="K98" t="s">
        <v>705</v>
      </c>
      <c r="L98" t="s">
        <v>705</v>
      </c>
      <c r="M98" t="s">
        <v>705</v>
      </c>
      <c r="N98" t="s">
        <v>705</v>
      </c>
      <c r="O98" t="b">
        <v>0</v>
      </c>
    </row>
    <row r="99" spans="1:15" x14ac:dyDescent="0.25">
      <c r="A99" t="s">
        <v>65</v>
      </c>
      <c r="B99">
        <v>444160</v>
      </c>
      <c r="K99" t="s">
        <v>705</v>
      </c>
      <c r="L99" t="s">
        <v>705</v>
      </c>
      <c r="M99" t="s">
        <v>705</v>
      </c>
      <c r="N99" t="s">
        <v>705</v>
      </c>
      <c r="O99" t="b">
        <v>0</v>
      </c>
    </row>
    <row r="100" spans="1:15" x14ac:dyDescent="0.25">
      <c r="A100" t="s">
        <v>65</v>
      </c>
      <c r="B100">
        <v>443467</v>
      </c>
      <c r="D100" t="s">
        <v>283</v>
      </c>
      <c r="K100">
        <v>2390</v>
      </c>
      <c r="L100" t="s">
        <v>705</v>
      </c>
      <c r="M100" t="s">
        <v>705</v>
      </c>
      <c r="N100" t="s">
        <v>705</v>
      </c>
      <c r="O100" t="b">
        <v>1</v>
      </c>
    </row>
    <row r="101" spans="1:15" x14ac:dyDescent="0.25">
      <c r="A101" t="s">
        <v>65</v>
      </c>
      <c r="B101">
        <v>443585</v>
      </c>
      <c r="D101" t="s">
        <v>273</v>
      </c>
      <c r="F101" t="s">
        <v>353</v>
      </c>
      <c r="K101">
        <v>3690</v>
      </c>
      <c r="L101">
        <v>3500</v>
      </c>
      <c r="M101" t="s">
        <v>705</v>
      </c>
      <c r="N101" t="s">
        <v>705</v>
      </c>
      <c r="O101" t="b">
        <v>1</v>
      </c>
    </row>
    <row r="102" spans="1:15" x14ac:dyDescent="0.25">
      <c r="A102" t="s">
        <v>65</v>
      </c>
      <c r="B102">
        <v>443723</v>
      </c>
      <c r="K102" t="s">
        <v>705</v>
      </c>
      <c r="L102" t="s">
        <v>705</v>
      </c>
      <c r="M102" t="s">
        <v>705</v>
      </c>
      <c r="N102" t="s">
        <v>705</v>
      </c>
      <c r="O102" t="b">
        <v>0</v>
      </c>
    </row>
    <row r="103" spans="1:15" x14ac:dyDescent="0.25">
      <c r="A103" t="s">
        <v>65</v>
      </c>
      <c r="B103">
        <v>443689</v>
      </c>
      <c r="D103" t="s">
        <v>298</v>
      </c>
      <c r="K103">
        <v>4890</v>
      </c>
      <c r="L103" t="s">
        <v>705</v>
      </c>
      <c r="M103" t="s">
        <v>705</v>
      </c>
      <c r="N103" t="s">
        <v>705</v>
      </c>
      <c r="O103" t="b">
        <v>1</v>
      </c>
    </row>
    <row r="104" spans="1:15" x14ac:dyDescent="0.25">
      <c r="A104" t="s">
        <v>65</v>
      </c>
      <c r="B104">
        <v>443468</v>
      </c>
      <c r="D104" t="s">
        <v>284</v>
      </c>
      <c r="F104" t="s">
        <v>344</v>
      </c>
      <c r="K104">
        <v>3690</v>
      </c>
      <c r="L104">
        <v>3500</v>
      </c>
      <c r="M104" t="s">
        <v>705</v>
      </c>
      <c r="N104" t="s">
        <v>705</v>
      </c>
      <c r="O104" t="b">
        <v>1</v>
      </c>
    </row>
    <row r="105" spans="1:15" x14ac:dyDescent="0.25">
      <c r="A105" t="s">
        <v>65</v>
      </c>
      <c r="B105">
        <v>443586</v>
      </c>
      <c r="D105" t="s">
        <v>274</v>
      </c>
      <c r="F105" t="s">
        <v>354</v>
      </c>
      <c r="K105">
        <v>3990</v>
      </c>
      <c r="L105">
        <v>3500</v>
      </c>
      <c r="M105" t="s">
        <v>705</v>
      </c>
      <c r="N105" t="s">
        <v>705</v>
      </c>
      <c r="O105" t="b">
        <v>1</v>
      </c>
    </row>
    <row r="106" spans="1:15" x14ac:dyDescent="0.25">
      <c r="A106" t="s">
        <v>65</v>
      </c>
      <c r="B106">
        <v>443971</v>
      </c>
      <c r="D106" t="s">
        <v>291</v>
      </c>
      <c r="F106" t="s">
        <v>362</v>
      </c>
      <c r="K106">
        <v>5990</v>
      </c>
      <c r="L106">
        <v>5850</v>
      </c>
      <c r="M106" t="s">
        <v>705</v>
      </c>
      <c r="N106" t="s">
        <v>705</v>
      </c>
      <c r="O106" t="b">
        <v>1</v>
      </c>
    </row>
    <row r="107" spans="1:15" x14ac:dyDescent="0.25">
      <c r="A107" t="s">
        <v>65</v>
      </c>
      <c r="B107">
        <v>443724</v>
      </c>
      <c r="D107" t="s">
        <v>294</v>
      </c>
      <c r="K107">
        <v>5990</v>
      </c>
      <c r="L107" t="s">
        <v>705</v>
      </c>
      <c r="M107" t="s">
        <v>705</v>
      </c>
      <c r="N107" t="s">
        <v>705</v>
      </c>
      <c r="O107" t="b">
        <v>1</v>
      </c>
    </row>
    <row r="108" spans="1:15" x14ac:dyDescent="0.25">
      <c r="A108" t="s">
        <v>65</v>
      </c>
      <c r="B108">
        <v>443690</v>
      </c>
      <c r="D108" t="s">
        <v>299</v>
      </c>
      <c r="F108" t="s">
        <v>358</v>
      </c>
      <c r="K108">
        <v>4890</v>
      </c>
      <c r="L108">
        <v>4550</v>
      </c>
      <c r="M108" t="s">
        <v>705</v>
      </c>
      <c r="N108" t="s">
        <v>705</v>
      </c>
      <c r="O108" t="b">
        <v>1</v>
      </c>
    </row>
    <row r="109" spans="1:15" x14ac:dyDescent="0.25">
      <c r="A109" t="s">
        <v>65</v>
      </c>
      <c r="B109">
        <v>443469</v>
      </c>
      <c r="D109" t="s">
        <v>285</v>
      </c>
      <c r="F109" t="s">
        <v>345</v>
      </c>
      <c r="K109">
        <v>3890</v>
      </c>
      <c r="L109">
        <v>3500</v>
      </c>
      <c r="M109" t="s">
        <v>705</v>
      </c>
      <c r="N109" t="s">
        <v>705</v>
      </c>
      <c r="O109" t="b">
        <v>1</v>
      </c>
    </row>
    <row r="110" spans="1:15" x14ac:dyDescent="0.25">
      <c r="A110" t="s">
        <v>65</v>
      </c>
      <c r="B110">
        <v>443587</v>
      </c>
      <c r="D110" t="s">
        <v>275</v>
      </c>
      <c r="F110" t="s">
        <v>355</v>
      </c>
      <c r="K110">
        <v>3590</v>
      </c>
      <c r="L110">
        <v>3500</v>
      </c>
      <c r="M110" t="s">
        <v>705</v>
      </c>
      <c r="N110" t="s">
        <v>705</v>
      </c>
      <c r="O110" t="b">
        <v>1</v>
      </c>
    </row>
    <row r="111" spans="1:15" x14ac:dyDescent="0.25">
      <c r="A111" t="s">
        <v>65</v>
      </c>
      <c r="B111">
        <v>443972</v>
      </c>
      <c r="D111" t="s">
        <v>292</v>
      </c>
      <c r="F111" t="s">
        <v>363</v>
      </c>
      <c r="K111">
        <v>6690</v>
      </c>
      <c r="L111">
        <v>5460</v>
      </c>
      <c r="M111" t="s">
        <v>705</v>
      </c>
      <c r="N111" t="s">
        <v>705</v>
      </c>
      <c r="O111" t="b">
        <v>1</v>
      </c>
    </row>
    <row r="112" spans="1:15" x14ac:dyDescent="0.25">
      <c r="A112" t="s">
        <v>65</v>
      </c>
      <c r="B112">
        <v>443725</v>
      </c>
      <c r="D112" t="s">
        <v>295</v>
      </c>
      <c r="K112">
        <v>6190</v>
      </c>
      <c r="L112" t="s">
        <v>705</v>
      </c>
      <c r="M112" t="s">
        <v>705</v>
      </c>
      <c r="N112" t="s">
        <v>705</v>
      </c>
      <c r="O112" t="b">
        <v>1</v>
      </c>
    </row>
    <row r="113" spans="1:15" x14ac:dyDescent="0.25">
      <c r="A113" t="s">
        <v>65</v>
      </c>
      <c r="B113">
        <v>443691</v>
      </c>
      <c r="D113" t="s">
        <v>300</v>
      </c>
      <c r="F113" t="s">
        <v>359</v>
      </c>
      <c r="K113">
        <v>4690</v>
      </c>
      <c r="L113">
        <v>4550</v>
      </c>
      <c r="M113" t="s">
        <v>705</v>
      </c>
      <c r="N113" t="s">
        <v>705</v>
      </c>
      <c r="O113" t="b">
        <v>1</v>
      </c>
    </row>
    <row r="114" spans="1:15" x14ac:dyDescent="0.25">
      <c r="A114" t="s">
        <v>65</v>
      </c>
      <c r="B114">
        <v>443470</v>
      </c>
      <c r="D114" t="s">
        <v>286</v>
      </c>
      <c r="F114" t="s">
        <v>346</v>
      </c>
      <c r="K114">
        <v>3890</v>
      </c>
      <c r="L114">
        <v>3500</v>
      </c>
      <c r="M114" t="s">
        <v>705</v>
      </c>
      <c r="N114" t="s">
        <v>705</v>
      </c>
      <c r="O114" t="b">
        <v>1</v>
      </c>
    </row>
    <row r="115" spans="1:15" x14ac:dyDescent="0.25">
      <c r="A115" t="s">
        <v>65</v>
      </c>
      <c r="B115">
        <v>443588</v>
      </c>
      <c r="D115" t="s">
        <v>276</v>
      </c>
      <c r="F115" t="s">
        <v>356</v>
      </c>
      <c r="K115">
        <v>3590</v>
      </c>
      <c r="L115">
        <v>3500</v>
      </c>
      <c r="M115" t="s">
        <v>705</v>
      </c>
      <c r="N115" t="s">
        <v>705</v>
      </c>
      <c r="O115" t="b">
        <v>1</v>
      </c>
    </row>
    <row r="116" spans="1:15" x14ac:dyDescent="0.25">
      <c r="A116" t="s">
        <v>65</v>
      </c>
      <c r="B116">
        <v>443973</v>
      </c>
      <c r="D116" t="s">
        <v>293</v>
      </c>
      <c r="K116">
        <v>6190</v>
      </c>
      <c r="L116" t="s">
        <v>705</v>
      </c>
      <c r="M116" t="s">
        <v>705</v>
      </c>
      <c r="N116" t="s">
        <v>705</v>
      </c>
      <c r="O116" t="b">
        <v>1</v>
      </c>
    </row>
    <row r="117" spans="1:15" x14ac:dyDescent="0.25">
      <c r="A117" t="s">
        <v>65</v>
      </c>
      <c r="B117">
        <v>443726</v>
      </c>
      <c r="D117" t="s">
        <v>296</v>
      </c>
      <c r="K117">
        <v>6190</v>
      </c>
      <c r="L117" t="s">
        <v>705</v>
      </c>
      <c r="M117" t="s">
        <v>705</v>
      </c>
      <c r="N117" t="s">
        <v>705</v>
      </c>
      <c r="O117" t="b">
        <v>1</v>
      </c>
    </row>
    <row r="118" spans="1:15" x14ac:dyDescent="0.25">
      <c r="A118" t="s">
        <v>65</v>
      </c>
      <c r="B118">
        <v>443692</v>
      </c>
      <c r="D118" t="s">
        <v>301</v>
      </c>
      <c r="F118" t="s">
        <v>360</v>
      </c>
      <c r="K118">
        <v>4490</v>
      </c>
      <c r="L118">
        <v>4550</v>
      </c>
      <c r="M118" t="s">
        <v>705</v>
      </c>
      <c r="N118" t="s">
        <v>705</v>
      </c>
      <c r="O118" t="b">
        <v>1</v>
      </c>
    </row>
    <row r="119" spans="1:15" x14ac:dyDescent="0.25">
      <c r="A119" t="s">
        <v>65</v>
      </c>
      <c r="B119">
        <v>443471</v>
      </c>
      <c r="D119" t="s">
        <v>287</v>
      </c>
      <c r="F119" t="s">
        <v>367</v>
      </c>
      <c r="K119">
        <v>3890</v>
      </c>
      <c r="L119">
        <v>3500</v>
      </c>
      <c r="M119" t="s">
        <v>705</v>
      </c>
      <c r="N119" t="s">
        <v>705</v>
      </c>
      <c r="O119" t="b">
        <v>1</v>
      </c>
    </row>
    <row r="120" spans="1:15" x14ac:dyDescent="0.25">
      <c r="A120" t="s">
        <v>65</v>
      </c>
      <c r="B120">
        <v>443589</v>
      </c>
      <c r="D120" t="s">
        <v>277</v>
      </c>
      <c r="F120" t="s">
        <v>357</v>
      </c>
      <c r="K120">
        <v>3690</v>
      </c>
      <c r="L120">
        <v>3500</v>
      </c>
      <c r="M120" t="s">
        <v>705</v>
      </c>
      <c r="N120" t="s">
        <v>705</v>
      </c>
      <c r="O120" t="b">
        <v>1</v>
      </c>
    </row>
    <row r="121" spans="1:15" x14ac:dyDescent="0.25">
      <c r="A121" t="s">
        <v>65</v>
      </c>
      <c r="B121">
        <v>443727</v>
      </c>
      <c r="D121" t="s">
        <v>297</v>
      </c>
      <c r="K121">
        <v>3890</v>
      </c>
      <c r="L121" t="s">
        <v>705</v>
      </c>
      <c r="M121" t="s">
        <v>705</v>
      </c>
      <c r="N121" t="s">
        <v>705</v>
      </c>
      <c r="O121" t="b">
        <v>1</v>
      </c>
    </row>
    <row r="122" spans="1:15" x14ac:dyDescent="0.25">
      <c r="A122" t="s">
        <v>65</v>
      </c>
      <c r="B122">
        <v>443693</v>
      </c>
      <c r="D122" t="s">
        <v>302</v>
      </c>
      <c r="F122" t="s">
        <v>361</v>
      </c>
      <c r="K122">
        <v>4890</v>
      </c>
      <c r="L122">
        <v>4550</v>
      </c>
      <c r="M122" t="s">
        <v>705</v>
      </c>
      <c r="N122" t="s">
        <v>705</v>
      </c>
      <c r="O122" t="b">
        <v>1</v>
      </c>
    </row>
    <row r="123" spans="1:15" x14ac:dyDescent="0.25">
      <c r="A123" t="s">
        <v>65</v>
      </c>
      <c r="B123">
        <v>444136</v>
      </c>
      <c r="K123" t="s">
        <v>705</v>
      </c>
      <c r="L123" t="s">
        <v>705</v>
      </c>
      <c r="M123" t="s">
        <v>705</v>
      </c>
      <c r="N123" t="s">
        <v>705</v>
      </c>
      <c r="O123" t="b">
        <v>0</v>
      </c>
    </row>
    <row r="124" spans="1:15" x14ac:dyDescent="0.25">
      <c r="A124" t="s">
        <v>65</v>
      </c>
      <c r="B124">
        <v>444158</v>
      </c>
      <c r="K124" t="s">
        <v>705</v>
      </c>
      <c r="L124" t="s">
        <v>705</v>
      </c>
      <c r="M124" t="s">
        <v>705</v>
      </c>
      <c r="N124" t="s">
        <v>705</v>
      </c>
      <c r="O124" t="b">
        <v>0</v>
      </c>
    </row>
    <row r="125" spans="1:15" x14ac:dyDescent="0.25">
      <c r="A125" t="s">
        <v>65</v>
      </c>
      <c r="B125">
        <v>443476</v>
      </c>
      <c r="D125" t="s">
        <v>328</v>
      </c>
      <c r="F125" t="s">
        <v>381</v>
      </c>
      <c r="K125">
        <v>4590</v>
      </c>
      <c r="L125">
        <v>3835</v>
      </c>
      <c r="M125" t="s">
        <v>705</v>
      </c>
      <c r="N125" t="s">
        <v>705</v>
      </c>
      <c r="O125" t="b">
        <v>1</v>
      </c>
    </row>
    <row r="126" spans="1:15" x14ac:dyDescent="0.25">
      <c r="A126" t="s">
        <v>65</v>
      </c>
      <c r="B126">
        <v>443590</v>
      </c>
      <c r="D126" t="s">
        <v>316</v>
      </c>
      <c r="F126" t="s">
        <v>390</v>
      </c>
      <c r="K126">
        <v>4790</v>
      </c>
      <c r="L126">
        <v>4225</v>
      </c>
      <c r="M126" t="s">
        <v>705</v>
      </c>
      <c r="N126" t="s">
        <v>705</v>
      </c>
      <c r="O126" t="b">
        <v>1</v>
      </c>
    </row>
    <row r="127" spans="1:15" x14ac:dyDescent="0.25">
      <c r="A127" t="s">
        <v>65</v>
      </c>
      <c r="B127">
        <v>443694</v>
      </c>
      <c r="D127" t="s">
        <v>332</v>
      </c>
      <c r="F127" t="s">
        <v>395</v>
      </c>
      <c r="K127">
        <v>3590</v>
      </c>
      <c r="L127">
        <v>3120</v>
      </c>
      <c r="M127" t="s">
        <v>705</v>
      </c>
      <c r="N127" t="s">
        <v>705</v>
      </c>
      <c r="O127" t="b">
        <v>1</v>
      </c>
    </row>
    <row r="128" spans="1:15" x14ac:dyDescent="0.25">
      <c r="A128" t="s">
        <v>65</v>
      </c>
      <c r="B128">
        <v>443477</v>
      </c>
      <c r="K128" t="s">
        <v>705</v>
      </c>
      <c r="L128" t="s">
        <v>705</v>
      </c>
      <c r="M128" t="s">
        <v>705</v>
      </c>
      <c r="N128" t="s">
        <v>705</v>
      </c>
      <c r="O128" t="b">
        <v>0</v>
      </c>
    </row>
    <row r="129" spans="1:15" x14ac:dyDescent="0.25">
      <c r="A129" t="s">
        <v>65</v>
      </c>
      <c r="B129">
        <v>443591</v>
      </c>
      <c r="D129" t="s">
        <v>317</v>
      </c>
      <c r="F129" t="s">
        <v>391</v>
      </c>
      <c r="K129">
        <v>4390</v>
      </c>
      <c r="L129">
        <v>4030</v>
      </c>
      <c r="M129" t="s">
        <v>705</v>
      </c>
      <c r="N129" t="s">
        <v>705</v>
      </c>
      <c r="O129" t="b">
        <v>1</v>
      </c>
    </row>
    <row r="130" spans="1:15" x14ac:dyDescent="0.25">
      <c r="A130" t="s">
        <v>65</v>
      </c>
      <c r="B130">
        <v>443695</v>
      </c>
      <c r="D130" t="s">
        <v>333</v>
      </c>
      <c r="F130" t="s">
        <v>396</v>
      </c>
      <c r="K130">
        <v>3590</v>
      </c>
      <c r="L130">
        <v>3120</v>
      </c>
      <c r="M130" t="s">
        <v>705</v>
      </c>
      <c r="N130" t="s">
        <v>705</v>
      </c>
      <c r="O130" t="b">
        <v>1</v>
      </c>
    </row>
    <row r="131" spans="1:15" x14ac:dyDescent="0.25">
      <c r="A131" t="s">
        <v>65</v>
      </c>
      <c r="B131">
        <v>443478</v>
      </c>
      <c r="D131" t="s">
        <v>329</v>
      </c>
      <c r="F131" t="s">
        <v>383</v>
      </c>
      <c r="K131">
        <v>4590</v>
      </c>
      <c r="L131">
        <v>3835</v>
      </c>
      <c r="M131" t="s">
        <v>705</v>
      </c>
      <c r="N131" t="s">
        <v>705</v>
      </c>
      <c r="O131" t="b">
        <v>1</v>
      </c>
    </row>
    <row r="132" spans="1:15" x14ac:dyDescent="0.25">
      <c r="A132" t="s">
        <v>65</v>
      </c>
      <c r="B132">
        <v>443592</v>
      </c>
      <c r="D132" t="s">
        <v>318</v>
      </c>
      <c r="F132" t="s">
        <v>392</v>
      </c>
      <c r="K132">
        <v>5190</v>
      </c>
      <c r="L132">
        <v>4290</v>
      </c>
      <c r="M132" t="s">
        <v>705</v>
      </c>
      <c r="N132" t="s">
        <v>705</v>
      </c>
      <c r="O132" t="b">
        <v>1</v>
      </c>
    </row>
    <row r="133" spans="1:15" x14ac:dyDescent="0.25">
      <c r="A133" t="s">
        <v>65</v>
      </c>
      <c r="B133">
        <v>443696</v>
      </c>
      <c r="D133" t="s">
        <v>334</v>
      </c>
      <c r="K133">
        <v>3590</v>
      </c>
      <c r="L133" t="s">
        <v>705</v>
      </c>
      <c r="M133" t="s">
        <v>705</v>
      </c>
      <c r="N133" t="s">
        <v>705</v>
      </c>
      <c r="O133" t="b">
        <v>1</v>
      </c>
    </row>
    <row r="134" spans="1:15" x14ac:dyDescent="0.25">
      <c r="A134" t="s">
        <v>65</v>
      </c>
      <c r="B134">
        <v>443479</v>
      </c>
      <c r="D134" t="s">
        <v>331</v>
      </c>
      <c r="F134" t="s">
        <v>384</v>
      </c>
      <c r="K134">
        <v>4590</v>
      </c>
      <c r="L134">
        <v>3835</v>
      </c>
      <c r="M134" t="s">
        <v>705</v>
      </c>
      <c r="N134" t="s">
        <v>705</v>
      </c>
      <c r="O134" t="b">
        <v>1</v>
      </c>
    </row>
    <row r="135" spans="1:15" x14ac:dyDescent="0.25">
      <c r="A135" t="s">
        <v>65</v>
      </c>
      <c r="B135">
        <v>443593</v>
      </c>
      <c r="D135" t="s">
        <v>319</v>
      </c>
      <c r="F135" t="s">
        <v>393</v>
      </c>
      <c r="K135">
        <v>4390</v>
      </c>
      <c r="L135">
        <v>4400</v>
      </c>
      <c r="M135" t="s">
        <v>705</v>
      </c>
      <c r="N135" t="s">
        <v>705</v>
      </c>
      <c r="O135" t="b">
        <v>1</v>
      </c>
    </row>
    <row r="136" spans="1:15" x14ac:dyDescent="0.25">
      <c r="A136" t="s">
        <v>65</v>
      </c>
      <c r="B136">
        <v>443697</v>
      </c>
      <c r="D136" t="s">
        <v>335</v>
      </c>
      <c r="K136">
        <v>3890</v>
      </c>
      <c r="L136" t="s">
        <v>705</v>
      </c>
      <c r="M136" t="s">
        <v>705</v>
      </c>
      <c r="N136" t="s">
        <v>705</v>
      </c>
      <c r="O136" t="b">
        <v>1</v>
      </c>
    </row>
    <row r="137" spans="1:15" x14ac:dyDescent="0.25">
      <c r="A137" t="s">
        <v>65</v>
      </c>
      <c r="B137">
        <v>443594</v>
      </c>
      <c r="F137" t="s">
        <v>394</v>
      </c>
      <c r="K137" t="s">
        <v>705</v>
      </c>
      <c r="L137">
        <v>4400</v>
      </c>
      <c r="M137" t="s">
        <v>705</v>
      </c>
      <c r="N137" t="s">
        <v>705</v>
      </c>
      <c r="O137" t="b">
        <v>1</v>
      </c>
    </row>
    <row r="138" spans="1:15" x14ac:dyDescent="0.25">
      <c r="A138" t="s">
        <v>65</v>
      </c>
      <c r="B138">
        <v>443698</v>
      </c>
      <c r="K138" t="s">
        <v>705</v>
      </c>
      <c r="L138" t="s">
        <v>705</v>
      </c>
      <c r="M138" t="s">
        <v>705</v>
      </c>
      <c r="N138" t="s">
        <v>705</v>
      </c>
      <c r="O138" t="b">
        <v>0</v>
      </c>
    </row>
    <row r="139" spans="1:15" x14ac:dyDescent="0.25">
      <c r="A139" t="s">
        <v>65</v>
      </c>
      <c r="B139">
        <v>145463</v>
      </c>
      <c r="C139" t="s">
        <v>229</v>
      </c>
      <c r="D139" t="s">
        <v>278</v>
      </c>
      <c r="E139">
        <v>3400</v>
      </c>
      <c r="F139" t="s">
        <v>366</v>
      </c>
      <c r="K139">
        <v>2390</v>
      </c>
      <c r="L139">
        <v>3400</v>
      </c>
      <c r="M139" t="s">
        <v>705</v>
      </c>
      <c r="N139" t="s">
        <v>705</v>
      </c>
      <c r="O139" t="b">
        <v>1</v>
      </c>
    </row>
    <row r="140" spans="1:15" x14ac:dyDescent="0.25">
      <c r="A140" t="s">
        <v>65</v>
      </c>
      <c r="B140">
        <v>145464</v>
      </c>
      <c r="C140">
        <v>3690</v>
      </c>
      <c r="D140" t="s">
        <v>279</v>
      </c>
      <c r="E140">
        <v>3500</v>
      </c>
      <c r="F140" t="s">
        <v>341</v>
      </c>
      <c r="K140">
        <v>3690</v>
      </c>
      <c r="L140">
        <v>3500</v>
      </c>
      <c r="M140" t="s">
        <v>705</v>
      </c>
      <c r="N140" t="s">
        <v>705</v>
      </c>
      <c r="O140" t="b">
        <v>1</v>
      </c>
    </row>
    <row r="141" spans="1:15" x14ac:dyDescent="0.25">
      <c r="A141" t="s">
        <v>65</v>
      </c>
      <c r="B141">
        <v>145465</v>
      </c>
      <c r="C141">
        <v>3690</v>
      </c>
      <c r="D141" t="s">
        <v>280</v>
      </c>
      <c r="E141">
        <v>3500</v>
      </c>
      <c r="F141" t="s">
        <v>342</v>
      </c>
      <c r="K141">
        <v>3890</v>
      </c>
      <c r="L141">
        <v>3500</v>
      </c>
      <c r="M141" t="s">
        <v>705</v>
      </c>
      <c r="N141" t="s">
        <v>705</v>
      </c>
      <c r="O141" t="b">
        <v>1</v>
      </c>
    </row>
    <row r="142" spans="1:15" x14ac:dyDescent="0.25">
      <c r="A142" t="s">
        <v>65</v>
      </c>
      <c r="B142">
        <v>145466</v>
      </c>
      <c r="C142">
        <v>3590</v>
      </c>
      <c r="D142" t="s">
        <v>281</v>
      </c>
      <c r="E142">
        <v>3500</v>
      </c>
      <c r="F142" t="s">
        <v>343</v>
      </c>
      <c r="K142">
        <v>3890</v>
      </c>
      <c r="L142">
        <v>3500</v>
      </c>
      <c r="M142" t="s">
        <v>705</v>
      </c>
      <c r="N142" t="s">
        <v>705</v>
      </c>
      <c r="O142" t="b">
        <v>1</v>
      </c>
    </row>
    <row r="143" spans="1:15" x14ac:dyDescent="0.25">
      <c r="A143" t="s">
        <v>65</v>
      </c>
      <c r="B143">
        <v>145467</v>
      </c>
      <c r="C143">
        <v>3690</v>
      </c>
      <c r="D143" t="s">
        <v>282</v>
      </c>
      <c r="K143">
        <v>3890</v>
      </c>
      <c r="L143" t="s">
        <v>705</v>
      </c>
      <c r="M143" t="s">
        <v>705</v>
      </c>
      <c r="N143" t="s">
        <v>705</v>
      </c>
      <c r="O143" t="b">
        <v>1</v>
      </c>
    </row>
    <row r="144" spans="1:15" x14ac:dyDescent="0.25">
      <c r="A144" t="s">
        <v>65</v>
      </c>
      <c r="B144">
        <v>187446</v>
      </c>
      <c r="C144" t="s">
        <v>229</v>
      </c>
      <c r="D144" t="s">
        <v>283</v>
      </c>
      <c r="K144">
        <v>2390</v>
      </c>
      <c r="L144" t="s">
        <v>705</v>
      </c>
      <c r="M144" t="s">
        <v>705</v>
      </c>
      <c r="N144" t="s">
        <v>705</v>
      </c>
      <c r="O144" t="b">
        <v>1</v>
      </c>
    </row>
    <row r="145" spans="1:15" x14ac:dyDescent="0.25">
      <c r="A145" t="s">
        <v>65</v>
      </c>
      <c r="B145">
        <v>187447</v>
      </c>
      <c r="C145">
        <v>3690</v>
      </c>
      <c r="D145" t="s">
        <v>284</v>
      </c>
      <c r="E145">
        <v>3500</v>
      </c>
      <c r="F145" t="s">
        <v>344</v>
      </c>
      <c r="K145">
        <v>3690</v>
      </c>
      <c r="L145">
        <v>3500</v>
      </c>
      <c r="M145" t="s">
        <v>705</v>
      </c>
      <c r="N145" t="s">
        <v>705</v>
      </c>
      <c r="O145" t="b">
        <v>1</v>
      </c>
    </row>
    <row r="146" spans="1:15" x14ac:dyDescent="0.25">
      <c r="A146" t="s">
        <v>65</v>
      </c>
      <c r="B146">
        <v>187448</v>
      </c>
      <c r="C146">
        <v>3690</v>
      </c>
      <c r="D146" t="s">
        <v>285</v>
      </c>
      <c r="E146">
        <v>3500</v>
      </c>
      <c r="F146" t="s">
        <v>345</v>
      </c>
      <c r="K146">
        <v>3890</v>
      </c>
      <c r="L146">
        <v>3500</v>
      </c>
      <c r="M146" t="s">
        <v>705</v>
      </c>
      <c r="N146" t="s">
        <v>705</v>
      </c>
      <c r="O146" t="b">
        <v>1</v>
      </c>
    </row>
    <row r="147" spans="1:15" x14ac:dyDescent="0.25">
      <c r="A147" t="s">
        <v>65</v>
      </c>
      <c r="B147">
        <v>187449</v>
      </c>
      <c r="C147">
        <v>3590</v>
      </c>
      <c r="D147" t="s">
        <v>286</v>
      </c>
      <c r="E147">
        <v>3500</v>
      </c>
      <c r="F147" t="s">
        <v>346</v>
      </c>
      <c r="K147">
        <v>3890</v>
      </c>
      <c r="L147">
        <v>3500</v>
      </c>
      <c r="M147" t="s">
        <v>705</v>
      </c>
      <c r="N147" t="s">
        <v>705</v>
      </c>
      <c r="O147" t="b">
        <v>1</v>
      </c>
    </row>
    <row r="148" spans="1:15" x14ac:dyDescent="0.25">
      <c r="A148" t="s">
        <v>65</v>
      </c>
      <c r="B148">
        <v>187450</v>
      </c>
      <c r="C148">
        <v>3690</v>
      </c>
      <c r="D148" t="s">
        <v>287</v>
      </c>
      <c r="E148">
        <v>3500</v>
      </c>
      <c r="F148" t="s">
        <v>367</v>
      </c>
      <c r="K148">
        <v>3890</v>
      </c>
      <c r="L148">
        <v>3500</v>
      </c>
      <c r="M148" t="s">
        <v>705</v>
      </c>
      <c r="N148" t="s">
        <v>705</v>
      </c>
      <c r="O148" t="b">
        <v>1</v>
      </c>
    </row>
    <row r="149" spans="1:15" x14ac:dyDescent="0.25">
      <c r="A149" t="s">
        <v>65</v>
      </c>
      <c r="B149">
        <v>201904</v>
      </c>
      <c r="C149">
        <v>4290</v>
      </c>
      <c r="D149" t="s">
        <v>272</v>
      </c>
      <c r="E149">
        <v>3900</v>
      </c>
      <c r="F149" t="s">
        <v>348</v>
      </c>
      <c r="K149">
        <v>3990</v>
      </c>
      <c r="L149">
        <v>3900</v>
      </c>
      <c r="M149" t="s">
        <v>705</v>
      </c>
      <c r="N149" t="s">
        <v>705</v>
      </c>
      <c r="O149" t="b">
        <v>1</v>
      </c>
    </row>
    <row r="150" spans="1:15" x14ac:dyDescent="0.25">
      <c r="A150" t="s">
        <v>65</v>
      </c>
      <c r="B150">
        <v>201905</v>
      </c>
      <c r="C150">
        <v>4090</v>
      </c>
      <c r="D150" t="s">
        <v>271</v>
      </c>
      <c r="E150">
        <v>3900</v>
      </c>
      <c r="F150" t="s">
        <v>349</v>
      </c>
      <c r="K150">
        <v>3990</v>
      </c>
      <c r="L150">
        <v>3900</v>
      </c>
      <c r="M150" t="s">
        <v>705</v>
      </c>
      <c r="N150" t="s">
        <v>705</v>
      </c>
      <c r="O150" t="b">
        <v>1</v>
      </c>
    </row>
    <row r="151" spans="1:15" x14ac:dyDescent="0.25">
      <c r="A151" t="s">
        <v>65</v>
      </c>
      <c r="B151">
        <v>201906</v>
      </c>
      <c r="C151">
        <v>4090</v>
      </c>
      <c r="D151" t="s">
        <v>270</v>
      </c>
      <c r="E151">
        <v>3900</v>
      </c>
      <c r="F151" t="s">
        <v>350</v>
      </c>
      <c r="K151">
        <v>3890</v>
      </c>
      <c r="L151">
        <v>3900</v>
      </c>
      <c r="M151" t="s">
        <v>705</v>
      </c>
      <c r="N151" t="s">
        <v>705</v>
      </c>
      <c r="O151" t="b">
        <v>1</v>
      </c>
    </row>
    <row r="152" spans="1:15" x14ac:dyDescent="0.25">
      <c r="A152" t="s">
        <v>65</v>
      </c>
      <c r="B152">
        <v>201907</v>
      </c>
      <c r="C152">
        <v>4190</v>
      </c>
      <c r="D152" t="s">
        <v>269</v>
      </c>
      <c r="E152">
        <v>3900</v>
      </c>
      <c r="F152" t="s">
        <v>351</v>
      </c>
      <c r="K152">
        <v>3890</v>
      </c>
      <c r="L152">
        <v>3900</v>
      </c>
      <c r="M152" t="s">
        <v>705</v>
      </c>
      <c r="N152" t="s">
        <v>705</v>
      </c>
      <c r="O152" t="b">
        <v>1</v>
      </c>
    </row>
    <row r="153" spans="1:15" x14ac:dyDescent="0.25">
      <c r="A153" t="s">
        <v>65</v>
      </c>
      <c r="B153">
        <v>201908</v>
      </c>
      <c r="C153">
        <v>4090</v>
      </c>
      <c r="D153" t="s">
        <v>268</v>
      </c>
      <c r="E153">
        <v>3900</v>
      </c>
      <c r="F153" t="s">
        <v>352</v>
      </c>
      <c r="K153">
        <v>3990</v>
      </c>
      <c r="L153">
        <v>3900</v>
      </c>
      <c r="M153" t="s">
        <v>705</v>
      </c>
      <c r="N153" t="s">
        <v>705</v>
      </c>
      <c r="O153" t="b">
        <v>1</v>
      </c>
    </row>
    <row r="154" spans="1:15" x14ac:dyDescent="0.25">
      <c r="A154" t="s">
        <v>65</v>
      </c>
      <c r="B154">
        <v>201910</v>
      </c>
      <c r="C154">
        <v>5590</v>
      </c>
      <c r="D154" t="s">
        <v>288</v>
      </c>
      <c r="E154">
        <v>5460</v>
      </c>
      <c r="F154" t="s">
        <v>365</v>
      </c>
      <c r="K154">
        <v>5990</v>
      </c>
      <c r="L154">
        <v>5460</v>
      </c>
      <c r="M154" t="s">
        <v>705</v>
      </c>
      <c r="N154" t="s">
        <v>705</v>
      </c>
      <c r="O154" t="b">
        <v>1</v>
      </c>
    </row>
    <row r="155" spans="1:15" x14ac:dyDescent="0.25">
      <c r="A155" t="s">
        <v>65</v>
      </c>
      <c r="B155">
        <v>201911</v>
      </c>
      <c r="C155">
        <v>5190</v>
      </c>
      <c r="D155" t="s">
        <v>289</v>
      </c>
      <c r="E155">
        <v>5460</v>
      </c>
      <c r="F155" t="s">
        <v>364</v>
      </c>
      <c r="K155">
        <v>6090</v>
      </c>
      <c r="L155">
        <v>5460</v>
      </c>
      <c r="M155" t="s">
        <v>705</v>
      </c>
      <c r="N155" t="s">
        <v>705</v>
      </c>
      <c r="O155" t="b">
        <v>1</v>
      </c>
    </row>
    <row r="156" spans="1:15" x14ac:dyDescent="0.25">
      <c r="A156" t="s">
        <v>65</v>
      </c>
      <c r="B156">
        <v>201912</v>
      </c>
      <c r="C156">
        <v>5190</v>
      </c>
      <c r="D156" t="s">
        <v>290</v>
      </c>
      <c r="K156">
        <v>5390</v>
      </c>
      <c r="L156" t="s">
        <v>705</v>
      </c>
      <c r="M156" t="s">
        <v>705</v>
      </c>
      <c r="N156" t="s">
        <v>705</v>
      </c>
      <c r="O156" t="b">
        <v>1</v>
      </c>
    </row>
    <row r="157" spans="1:15" x14ac:dyDescent="0.25">
      <c r="A157" t="s">
        <v>65</v>
      </c>
      <c r="B157">
        <v>201972</v>
      </c>
      <c r="C157">
        <v>4290</v>
      </c>
      <c r="D157" t="s">
        <v>273</v>
      </c>
      <c r="E157">
        <v>3500</v>
      </c>
      <c r="F157" t="s">
        <v>353</v>
      </c>
      <c r="K157">
        <v>3690</v>
      </c>
      <c r="L157">
        <v>3500</v>
      </c>
      <c r="M157" t="s">
        <v>705</v>
      </c>
      <c r="N157" t="s">
        <v>705</v>
      </c>
      <c r="O157" t="b">
        <v>1</v>
      </c>
    </row>
    <row r="158" spans="1:15" x14ac:dyDescent="0.25">
      <c r="A158" t="s">
        <v>65</v>
      </c>
      <c r="B158">
        <v>201973</v>
      </c>
      <c r="C158">
        <v>3690</v>
      </c>
      <c r="D158" t="s">
        <v>274</v>
      </c>
      <c r="E158">
        <v>3500</v>
      </c>
      <c r="F158" t="s">
        <v>354</v>
      </c>
      <c r="K158">
        <v>3990</v>
      </c>
      <c r="L158">
        <v>3500</v>
      </c>
      <c r="M158" t="s">
        <v>705</v>
      </c>
      <c r="N158" t="s">
        <v>705</v>
      </c>
      <c r="O158" t="b">
        <v>1</v>
      </c>
    </row>
    <row r="159" spans="1:15" x14ac:dyDescent="0.25">
      <c r="A159" t="s">
        <v>65</v>
      </c>
      <c r="B159">
        <v>201974</v>
      </c>
      <c r="C159">
        <v>3590</v>
      </c>
      <c r="D159" t="s">
        <v>275</v>
      </c>
      <c r="E159">
        <v>3500</v>
      </c>
      <c r="F159" t="s">
        <v>355</v>
      </c>
      <c r="K159">
        <v>3590</v>
      </c>
      <c r="L159">
        <v>3500</v>
      </c>
      <c r="M159" t="s">
        <v>705</v>
      </c>
      <c r="N159" t="s">
        <v>705</v>
      </c>
      <c r="O159" t="b">
        <v>1</v>
      </c>
    </row>
    <row r="160" spans="1:15" x14ac:dyDescent="0.25">
      <c r="A160" t="s">
        <v>65</v>
      </c>
      <c r="B160">
        <v>201975</v>
      </c>
      <c r="C160">
        <v>3690</v>
      </c>
      <c r="D160" t="s">
        <v>276</v>
      </c>
      <c r="E160">
        <v>3500</v>
      </c>
      <c r="F160" t="s">
        <v>356</v>
      </c>
      <c r="K160">
        <v>3590</v>
      </c>
      <c r="L160">
        <v>3500</v>
      </c>
      <c r="M160" t="s">
        <v>705</v>
      </c>
      <c r="N160" t="s">
        <v>705</v>
      </c>
      <c r="O160" t="b">
        <v>1</v>
      </c>
    </row>
    <row r="161" spans="1:15" x14ac:dyDescent="0.25">
      <c r="A161" t="s">
        <v>65</v>
      </c>
      <c r="B161">
        <v>201976</v>
      </c>
      <c r="C161">
        <v>3690</v>
      </c>
      <c r="D161" t="s">
        <v>277</v>
      </c>
      <c r="E161">
        <v>3500</v>
      </c>
      <c r="F161" t="s">
        <v>357</v>
      </c>
      <c r="K161">
        <v>3690</v>
      </c>
      <c r="L161">
        <v>3500</v>
      </c>
      <c r="M161" t="s">
        <v>705</v>
      </c>
      <c r="N161" t="s">
        <v>705</v>
      </c>
      <c r="O161" t="b">
        <v>1</v>
      </c>
    </row>
    <row r="162" spans="1:15" x14ac:dyDescent="0.25">
      <c r="A162" t="s">
        <v>65</v>
      </c>
      <c r="B162">
        <v>201978</v>
      </c>
      <c r="C162">
        <v>5590</v>
      </c>
      <c r="D162" t="s">
        <v>291</v>
      </c>
      <c r="E162">
        <v>5850</v>
      </c>
      <c r="F162" t="s">
        <v>362</v>
      </c>
      <c r="K162">
        <v>5990</v>
      </c>
      <c r="L162">
        <v>5850</v>
      </c>
      <c r="M162" t="s">
        <v>705</v>
      </c>
      <c r="N162" t="s">
        <v>705</v>
      </c>
      <c r="O162" t="b">
        <v>1</v>
      </c>
    </row>
    <row r="163" spans="1:15" x14ac:dyDescent="0.25">
      <c r="A163" t="s">
        <v>65</v>
      </c>
      <c r="B163">
        <v>201979</v>
      </c>
      <c r="C163">
        <v>5590</v>
      </c>
      <c r="D163" t="s">
        <v>292</v>
      </c>
      <c r="E163">
        <v>5460</v>
      </c>
      <c r="F163" t="s">
        <v>363</v>
      </c>
      <c r="K163">
        <v>6690</v>
      </c>
      <c r="L163">
        <v>5460</v>
      </c>
      <c r="M163" t="s">
        <v>705</v>
      </c>
      <c r="N163" t="s">
        <v>705</v>
      </c>
      <c r="O163" t="b">
        <v>1</v>
      </c>
    </row>
    <row r="164" spans="1:15" x14ac:dyDescent="0.25">
      <c r="A164" t="s">
        <v>65</v>
      </c>
      <c r="B164">
        <v>201980</v>
      </c>
      <c r="C164">
        <v>5590</v>
      </c>
      <c r="D164" t="s">
        <v>293</v>
      </c>
      <c r="K164">
        <v>6190</v>
      </c>
      <c r="L164" t="s">
        <v>705</v>
      </c>
      <c r="M164" t="s">
        <v>705</v>
      </c>
      <c r="N164" t="s">
        <v>705</v>
      </c>
      <c r="O164" t="b">
        <v>1</v>
      </c>
    </row>
    <row r="165" spans="1:15" x14ac:dyDescent="0.25">
      <c r="A165" t="s">
        <v>65</v>
      </c>
      <c r="B165">
        <v>201982</v>
      </c>
      <c r="C165" t="s">
        <v>193</v>
      </c>
      <c r="K165" t="s">
        <v>705</v>
      </c>
      <c r="L165" t="s">
        <v>705</v>
      </c>
      <c r="M165" t="s">
        <v>705</v>
      </c>
      <c r="N165" t="s">
        <v>705</v>
      </c>
      <c r="O165" t="b">
        <v>0</v>
      </c>
    </row>
    <row r="166" spans="1:15" x14ac:dyDescent="0.25">
      <c r="A166" t="s">
        <v>65</v>
      </c>
      <c r="B166">
        <v>201983</v>
      </c>
      <c r="C166">
        <v>5690</v>
      </c>
      <c r="D166" t="s">
        <v>294</v>
      </c>
      <c r="K166">
        <v>5990</v>
      </c>
      <c r="L166" t="s">
        <v>705</v>
      </c>
      <c r="M166" t="s">
        <v>705</v>
      </c>
      <c r="N166" t="s">
        <v>705</v>
      </c>
      <c r="O166" t="b">
        <v>1</v>
      </c>
    </row>
    <row r="167" spans="1:15" x14ac:dyDescent="0.25">
      <c r="A167" t="s">
        <v>65</v>
      </c>
      <c r="B167">
        <v>201984</v>
      </c>
      <c r="C167">
        <v>5690</v>
      </c>
      <c r="D167" t="s">
        <v>295</v>
      </c>
      <c r="K167">
        <v>6190</v>
      </c>
      <c r="L167" t="s">
        <v>705</v>
      </c>
      <c r="M167" t="s">
        <v>705</v>
      </c>
      <c r="N167" t="s">
        <v>705</v>
      </c>
      <c r="O167" t="b">
        <v>1</v>
      </c>
    </row>
    <row r="168" spans="1:15" x14ac:dyDescent="0.25">
      <c r="A168" t="s">
        <v>65</v>
      </c>
      <c r="B168">
        <v>201985</v>
      </c>
      <c r="C168">
        <v>5690</v>
      </c>
      <c r="D168" t="s">
        <v>296</v>
      </c>
      <c r="K168">
        <v>6190</v>
      </c>
      <c r="L168" t="s">
        <v>705</v>
      </c>
      <c r="M168" t="s">
        <v>705</v>
      </c>
      <c r="N168" t="s">
        <v>705</v>
      </c>
      <c r="O168" t="b">
        <v>1</v>
      </c>
    </row>
    <row r="169" spans="1:15" x14ac:dyDescent="0.25">
      <c r="A169" t="s">
        <v>65</v>
      </c>
      <c r="B169">
        <v>201986</v>
      </c>
      <c r="C169" t="s">
        <v>230</v>
      </c>
      <c r="D169" t="s">
        <v>297</v>
      </c>
      <c r="K169">
        <v>3890</v>
      </c>
      <c r="L169" t="s">
        <v>705</v>
      </c>
      <c r="M169" t="s">
        <v>705</v>
      </c>
      <c r="N169" t="s">
        <v>705</v>
      </c>
      <c r="O169" t="b">
        <v>1</v>
      </c>
    </row>
    <row r="170" spans="1:15" x14ac:dyDescent="0.25">
      <c r="A170" t="s">
        <v>65</v>
      </c>
      <c r="B170">
        <v>201988</v>
      </c>
      <c r="C170">
        <v>4590</v>
      </c>
      <c r="D170" t="s">
        <v>298</v>
      </c>
      <c r="K170">
        <v>4890</v>
      </c>
      <c r="L170" t="s">
        <v>705</v>
      </c>
      <c r="M170" t="s">
        <v>705</v>
      </c>
      <c r="N170" t="s">
        <v>705</v>
      </c>
      <c r="O170" t="b">
        <v>1</v>
      </c>
    </row>
    <row r="171" spans="1:15" x14ac:dyDescent="0.25">
      <c r="A171" t="s">
        <v>65</v>
      </c>
      <c r="B171">
        <v>201989</v>
      </c>
      <c r="C171">
        <v>4790</v>
      </c>
      <c r="D171" t="s">
        <v>299</v>
      </c>
      <c r="E171">
        <v>4550</v>
      </c>
      <c r="F171" t="s">
        <v>358</v>
      </c>
      <c r="K171">
        <v>4890</v>
      </c>
      <c r="L171">
        <v>4550</v>
      </c>
      <c r="M171" t="s">
        <v>705</v>
      </c>
      <c r="N171" t="s">
        <v>705</v>
      </c>
      <c r="O171" t="b">
        <v>1</v>
      </c>
    </row>
    <row r="172" spans="1:15" x14ac:dyDescent="0.25">
      <c r="A172" t="s">
        <v>65</v>
      </c>
      <c r="B172">
        <v>201990</v>
      </c>
      <c r="C172">
        <v>4790</v>
      </c>
      <c r="D172" t="s">
        <v>300</v>
      </c>
      <c r="E172">
        <v>4550</v>
      </c>
      <c r="F172" t="s">
        <v>359</v>
      </c>
      <c r="K172">
        <v>4690</v>
      </c>
      <c r="L172">
        <v>4550</v>
      </c>
      <c r="M172" t="s">
        <v>705</v>
      </c>
      <c r="N172" t="s">
        <v>705</v>
      </c>
      <c r="O172" t="b">
        <v>1</v>
      </c>
    </row>
    <row r="173" spans="1:15" x14ac:dyDescent="0.25">
      <c r="A173" t="s">
        <v>65</v>
      </c>
      <c r="B173">
        <v>201991</v>
      </c>
      <c r="C173">
        <v>4890</v>
      </c>
      <c r="D173" t="s">
        <v>301</v>
      </c>
      <c r="E173">
        <v>4550</v>
      </c>
      <c r="F173" t="s">
        <v>360</v>
      </c>
      <c r="K173">
        <v>4490</v>
      </c>
      <c r="L173">
        <v>4550</v>
      </c>
      <c r="M173" t="s">
        <v>705</v>
      </c>
      <c r="N173" t="s">
        <v>705</v>
      </c>
      <c r="O173" t="b">
        <v>1</v>
      </c>
    </row>
    <row r="174" spans="1:15" x14ac:dyDescent="0.25">
      <c r="A174" t="s">
        <v>65</v>
      </c>
      <c r="B174">
        <v>201992</v>
      </c>
      <c r="C174">
        <v>4990</v>
      </c>
      <c r="D174" t="s">
        <v>302</v>
      </c>
      <c r="E174">
        <v>4550</v>
      </c>
      <c r="F174" t="s">
        <v>361</v>
      </c>
      <c r="K174">
        <v>4890</v>
      </c>
      <c r="L174">
        <v>4550</v>
      </c>
      <c r="M174" t="s">
        <v>705</v>
      </c>
      <c r="N174" t="s">
        <v>705</v>
      </c>
      <c r="O174" t="b">
        <v>1</v>
      </c>
    </row>
    <row r="175" spans="1:15" x14ac:dyDescent="0.25">
      <c r="A175" t="s">
        <v>65</v>
      </c>
      <c r="B175">
        <v>201926</v>
      </c>
      <c r="C175">
        <v>3990</v>
      </c>
      <c r="D175" t="s">
        <v>320</v>
      </c>
      <c r="E175">
        <v>3445</v>
      </c>
      <c r="F175" t="s">
        <v>388</v>
      </c>
      <c r="K175">
        <v>3990</v>
      </c>
      <c r="L175">
        <v>3445</v>
      </c>
      <c r="M175" t="s">
        <v>705</v>
      </c>
      <c r="N175" t="s">
        <v>705</v>
      </c>
      <c r="O175" t="b">
        <v>1</v>
      </c>
    </row>
    <row r="176" spans="1:15" x14ac:dyDescent="0.25">
      <c r="A176" t="s">
        <v>65</v>
      </c>
      <c r="B176">
        <v>201925</v>
      </c>
      <c r="C176">
        <v>3890</v>
      </c>
      <c r="D176" t="s">
        <v>321</v>
      </c>
      <c r="E176">
        <v>3445</v>
      </c>
      <c r="F176" t="s">
        <v>387</v>
      </c>
      <c r="K176">
        <v>3890</v>
      </c>
      <c r="L176">
        <v>3445</v>
      </c>
      <c r="M176" t="s">
        <v>705</v>
      </c>
      <c r="N176" t="s">
        <v>705</v>
      </c>
      <c r="O176" t="b">
        <v>1</v>
      </c>
    </row>
    <row r="177" spans="1:15" x14ac:dyDescent="0.25">
      <c r="A177" t="s">
        <v>65</v>
      </c>
      <c r="B177">
        <v>201927</v>
      </c>
      <c r="C177">
        <v>3990</v>
      </c>
      <c r="D177" t="s">
        <v>322</v>
      </c>
      <c r="E177">
        <v>3445</v>
      </c>
      <c r="F177" t="s">
        <v>386</v>
      </c>
      <c r="K177">
        <v>3990</v>
      </c>
      <c r="L177">
        <v>3445</v>
      </c>
      <c r="M177" t="s">
        <v>705</v>
      </c>
      <c r="N177" t="s">
        <v>705</v>
      </c>
      <c r="O177" t="b">
        <v>1</v>
      </c>
    </row>
    <row r="178" spans="1:15" x14ac:dyDescent="0.25">
      <c r="A178" t="s">
        <v>65</v>
      </c>
      <c r="B178">
        <v>201928</v>
      </c>
      <c r="C178">
        <v>3990</v>
      </c>
      <c r="D178" t="s">
        <v>323</v>
      </c>
      <c r="E178">
        <v>4500</v>
      </c>
      <c r="F178" t="s">
        <v>385</v>
      </c>
      <c r="K178">
        <v>3990</v>
      </c>
      <c r="L178">
        <v>4500</v>
      </c>
      <c r="M178" t="s">
        <v>705</v>
      </c>
      <c r="N178" t="s">
        <v>705</v>
      </c>
      <c r="O178" t="b">
        <v>1</v>
      </c>
    </row>
    <row r="179" spans="1:15" x14ac:dyDescent="0.25">
      <c r="A179" t="s">
        <v>65</v>
      </c>
      <c r="B179">
        <v>201929</v>
      </c>
      <c r="C179" t="s">
        <v>324</v>
      </c>
      <c r="E179">
        <v>4900</v>
      </c>
      <c r="F179" t="s">
        <v>389</v>
      </c>
      <c r="K179" t="s">
        <v>705</v>
      </c>
      <c r="L179">
        <v>4900</v>
      </c>
      <c r="M179" t="s">
        <v>705</v>
      </c>
      <c r="N179" t="s">
        <v>705</v>
      </c>
      <c r="O179" t="b">
        <v>1</v>
      </c>
    </row>
    <row r="180" spans="1:15" x14ac:dyDescent="0.25">
      <c r="A180" t="s">
        <v>65</v>
      </c>
      <c r="B180">
        <v>201931</v>
      </c>
      <c r="C180">
        <v>4890</v>
      </c>
      <c r="D180" t="s">
        <v>325</v>
      </c>
      <c r="E180">
        <v>3900</v>
      </c>
      <c r="F180" t="s">
        <v>378</v>
      </c>
      <c r="K180">
        <v>4890</v>
      </c>
      <c r="L180">
        <v>3900</v>
      </c>
      <c r="M180" t="s">
        <v>705</v>
      </c>
      <c r="N180" t="s">
        <v>705</v>
      </c>
      <c r="O180" t="b">
        <v>1</v>
      </c>
    </row>
    <row r="181" spans="1:15" x14ac:dyDescent="0.25">
      <c r="A181" t="s">
        <v>65</v>
      </c>
      <c r="B181">
        <v>201932</v>
      </c>
      <c r="C181" t="s">
        <v>324</v>
      </c>
      <c r="K181" t="s">
        <v>705</v>
      </c>
      <c r="L181" t="s">
        <v>705</v>
      </c>
      <c r="M181" t="s">
        <v>705</v>
      </c>
      <c r="N181" t="s">
        <v>705</v>
      </c>
      <c r="O181" t="b">
        <v>0</v>
      </c>
    </row>
    <row r="182" spans="1:15" x14ac:dyDescent="0.25">
      <c r="A182" t="s">
        <v>65</v>
      </c>
      <c r="B182">
        <v>201933</v>
      </c>
      <c r="C182">
        <v>4590</v>
      </c>
      <c r="D182" t="s">
        <v>326</v>
      </c>
      <c r="E182">
        <v>3900</v>
      </c>
      <c r="F182" t="s">
        <v>379</v>
      </c>
      <c r="K182">
        <v>4590</v>
      </c>
      <c r="L182">
        <v>3900</v>
      </c>
      <c r="M182" t="s">
        <v>705</v>
      </c>
      <c r="N182" t="s">
        <v>705</v>
      </c>
      <c r="O182" t="b">
        <v>1</v>
      </c>
    </row>
    <row r="183" spans="1:15" x14ac:dyDescent="0.25">
      <c r="A183" t="s">
        <v>65</v>
      </c>
      <c r="B183">
        <v>201934</v>
      </c>
      <c r="C183">
        <v>4590</v>
      </c>
      <c r="D183" t="s">
        <v>327</v>
      </c>
      <c r="E183">
        <v>3900</v>
      </c>
      <c r="F183" t="s">
        <v>380</v>
      </c>
      <c r="K183">
        <v>4590</v>
      </c>
      <c r="L183">
        <v>3900</v>
      </c>
      <c r="M183" t="s">
        <v>705</v>
      </c>
      <c r="N183" t="s">
        <v>705</v>
      </c>
      <c r="O183" t="b">
        <v>1</v>
      </c>
    </row>
    <row r="184" spans="1:15" x14ac:dyDescent="0.25">
      <c r="A184" t="s">
        <v>65</v>
      </c>
      <c r="B184">
        <v>202011</v>
      </c>
      <c r="C184">
        <v>4590</v>
      </c>
      <c r="D184" t="s">
        <v>328</v>
      </c>
      <c r="E184" t="s">
        <v>382</v>
      </c>
      <c r="F184" t="s">
        <v>381</v>
      </c>
      <c r="K184">
        <v>4590</v>
      </c>
      <c r="L184">
        <v>3835</v>
      </c>
      <c r="M184" t="s">
        <v>705</v>
      </c>
      <c r="N184" t="s">
        <v>705</v>
      </c>
      <c r="O184" t="b">
        <v>1</v>
      </c>
    </row>
    <row r="185" spans="1:15" x14ac:dyDescent="0.25">
      <c r="A185" t="s">
        <v>65</v>
      </c>
      <c r="B185">
        <v>202012</v>
      </c>
      <c r="C185" t="s">
        <v>324</v>
      </c>
      <c r="K185" t="s">
        <v>705</v>
      </c>
      <c r="L185" t="s">
        <v>705</v>
      </c>
      <c r="M185" t="s">
        <v>705</v>
      </c>
      <c r="N185" t="s">
        <v>705</v>
      </c>
      <c r="O185" t="b">
        <v>0</v>
      </c>
    </row>
    <row r="186" spans="1:15" x14ac:dyDescent="0.25">
      <c r="A186" t="s">
        <v>65</v>
      </c>
      <c r="B186">
        <v>202013</v>
      </c>
      <c r="C186" t="s">
        <v>330</v>
      </c>
      <c r="D186" t="s">
        <v>329</v>
      </c>
      <c r="E186">
        <v>3835</v>
      </c>
      <c r="F186" t="s">
        <v>383</v>
      </c>
      <c r="K186">
        <v>4590</v>
      </c>
      <c r="L186">
        <v>3835</v>
      </c>
      <c r="M186" t="s">
        <v>705</v>
      </c>
      <c r="N186" t="s">
        <v>705</v>
      </c>
      <c r="O186" t="b">
        <v>1</v>
      </c>
    </row>
    <row r="187" spans="1:15" x14ac:dyDescent="0.25">
      <c r="A187" t="s">
        <v>65</v>
      </c>
      <c r="B187">
        <v>202014</v>
      </c>
      <c r="C187">
        <v>4590</v>
      </c>
      <c r="D187" t="s">
        <v>331</v>
      </c>
      <c r="E187">
        <v>3835</v>
      </c>
      <c r="F187" t="s">
        <v>384</v>
      </c>
      <c r="K187">
        <v>4590</v>
      </c>
      <c r="L187">
        <v>3835</v>
      </c>
      <c r="M187" t="s">
        <v>705</v>
      </c>
      <c r="N187" t="s">
        <v>705</v>
      </c>
      <c r="O187" t="b">
        <v>1</v>
      </c>
    </row>
    <row r="188" spans="1:15" x14ac:dyDescent="0.25">
      <c r="A188" t="s">
        <v>65</v>
      </c>
      <c r="B188">
        <v>202016</v>
      </c>
      <c r="C188">
        <v>4790</v>
      </c>
      <c r="D188" t="s">
        <v>316</v>
      </c>
      <c r="E188">
        <v>4225</v>
      </c>
      <c r="F188" t="s">
        <v>390</v>
      </c>
      <c r="K188">
        <v>4790</v>
      </c>
      <c r="L188">
        <v>4225</v>
      </c>
      <c r="M188" t="s">
        <v>705</v>
      </c>
      <c r="N188" t="s">
        <v>705</v>
      </c>
      <c r="O188" t="b">
        <v>1</v>
      </c>
    </row>
    <row r="189" spans="1:15" x14ac:dyDescent="0.25">
      <c r="A189" t="s">
        <v>65</v>
      </c>
      <c r="B189">
        <v>202017</v>
      </c>
      <c r="C189">
        <v>4390</v>
      </c>
      <c r="D189" t="s">
        <v>317</v>
      </c>
      <c r="E189">
        <v>4030</v>
      </c>
      <c r="F189" t="s">
        <v>391</v>
      </c>
      <c r="K189">
        <v>4390</v>
      </c>
      <c r="L189">
        <v>4030</v>
      </c>
      <c r="M189" t="s">
        <v>705</v>
      </c>
      <c r="N189" t="s">
        <v>705</v>
      </c>
      <c r="O189" t="b">
        <v>1</v>
      </c>
    </row>
    <row r="190" spans="1:15" x14ac:dyDescent="0.25">
      <c r="A190" t="s">
        <v>65</v>
      </c>
      <c r="B190">
        <v>202018</v>
      </c>
      <c r="C190">
        <v>5190</v>
      </c>
      <c r="D190" t="s">
        <v>318</v>
      </c>
      <c r="E190">
        <v>4290</v>
      </c>
      <c r="F190" t="s">
        <v>392</v>
      </c>
      <c r="K190">
        <v>5190</v>
      </c>
      <c r="L190">
        <v>4290</v>
      </c>
      <c r="M190" t="s">
        <v>705</v>
      </c>
      <c r="N190" t="s">
        <v>705</v>
      </c>
      <c r="O190" t="b">
        <v>1</v>
      </c>
    </row>
    <row r="191" spans="1:15" x14ac:dyDescent="0.25">
      <c r="A191" t="s">
        <v>65</v>
      </c>
      <c r="B191">
        <v>202019</v>
      </c>
      <c r="C191">
        <v>4390</v>
      </c>
      <c r="D191" t="s">
        <v>319</v>
      </c>
      <c r="E191">
        <v>4400</v>
      </c>
      <c r="F191" t="s">
        <v>393</v>
      </c>
      <c r="K191">
        <v>4390</v>
      </c>
      <c r="L191">
        <v>4400</v>
      </c>
      <c r="M191" t="s">
        <v>705</v>
      </c>
      <c r="N191" t="s">
        <v>705</v>
      </c>
      <c r="O191" t="b">
        <v>1</v>
      </c>
    </row>
    <row r="192" spans="1:15" x14ac:dyDescent="0.25">
      <c r="A192" t="s">
        <v>65</v>
      </c>
      <c r="B192">
        <v>202020</v>
      </c>
      <c r="C192" t="s">
        <v>324</v>
      </c>
      <c r="E192">
        <v>4400</v>
      </c>
      <c r="F192" t="s">
        <v>394</v>
      </c>
      <c r="K192" t="s">
        <v>705</v>
      </c>
      <c r="L192">
        <v>4400</v>
      </c>
      <c r="M192" t="s">
        <v>705</v>
      </c>
      <c r="N192" t="s">
        <v>705</v>
      </c>
      <c r="O192" t="b">
        <v>1</v>
      </c>
    </row>
    <row r="193" spans="1:15" x14ac:dyDescent="0.25">
      <c r="A193" t="s">
        <v>65</v>
      </c>
      <c r="B193">
        <v>202022</v>
      </c>
      <c r="C193">
        <v>3590</v>
      </c>
      <c r="D193" t="s">
        <v>332</v>
      </c>
      <c r="E193">
        <v>3120</v>
      </c>
      <c r="F193" t="s">
        <v>395</v>
      </c>
      <c r="K193">
        <v>3590</v>
      </c>
      <c r="L193">
        <v>3120</v>
      </c>
      <c r="M193" t="s">
        <v>705</v>
      </c>
      <c r="N193" t="s">
        <v>705</v>
      </c>
      <c r="O193" t="b">
        <v>1</v>
      </c>
    </row>
    <row r="194" spans="1:15" x14ac:dyDescent="0.25">
      <c r="A194" t="s">
        <v>65</v>
      </c>
      <c r="B194">
        <v>202023</v>
      </c>
      <c r="C194">
        <v>3590</v>
      </c>
      <c r="D194" t="s">
        <v>333</v>
      </c>
      <c r="E194">
        <v>3120</v>
      </c>
      <c r="F194" t="s">
        <v>396</v>
      </c>
      <c r="K194">
        <v>3590</v>
      </c>
      <c r="L194">
        <v>3120</v>
      </c>
      <c r="M194" t="s">
        <v>705</v>
      </c>
      <c r="N194" t="s">
        <v>705</v>
      </c>
      <c r="O194" t="b">
        <v>1</v>
      </c>
    </row>
    <row r="195" spans="1:15" x14ac:dyDescent="0.25">
      <c r="A195" t="s">
        <v>65</v>
      </c>
      <c r="B195">
        <v>202024</v>
      </c>
      <c r="C195">
        <v>3590</v>
      </c>
      <c r="D195" t="s">
        <v>334</v>
      </c>
      <c r="K195">
        <v>3590</v>
      </c>
      <c r="L195" t="s">
        <v>705</v>
      </c>
      <c r="M195" t="s">
        <v>705</v>
      </c>
      <c r="N195" t="s">
        <v>705</v>
      </c>
      <c r="O195" t="b">
        <v>1</v>
      </c>
    </row>
    <row r="196" spans="1:15" x14ac:dyDescent="0.25">
      <c r="A196" t="s">
        <v>65</v>
      </c>
      <c r="B196">
        <v>202025</v>
      </c>
      <c r="C196">
        <v>3890</v>
      </c>
      <c r="D196" t="s">
        <v>335</v>
      </c>
      <c r="K196">
        <v>3890</v>
      </c>
      <c r="L196" t="s">
        <v>705</v>
      </c>
      <c r="M196" t="s">
        <v>705</v>
      </c>
      <c r="N196" t="s">
        <v>705</v>
      </c>
      <c r="O196" t="b">
        <v>1</v>
      </c>
    </row>
    <row r="197" spans="1:15" x14ac:dyDescent="0.25">
      <c r="A197" t="s">
        <v>65</v>
      </c>
      <c r="B197">
        <v>202026</v>
      </c>
      <c r="C197" t="s">
        <v>324</v>
      </c>
      <c r="K197" t="s">
        <v>705</v>
      </c>
      <c r="L197" t="s">
        <v>705</v>
      </c>
      <c r="M197" t="s">
        <v>705</v>
      </c>
      <c r="N197" t="s">
        <v>705</v>
      </c>
      <c r="O197" t="b">
        <v>0</v>
      </c>
    </row>
  </sheetData>
  <phoneticPr fontId="37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F027703-F5E7-4350-87D8-88281B0E22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9</vt:i4>
      </vt:variant>
    </vt:vector>
  </HeadingPairs>
  <TitlesOfParts>
    <vt:vector size="9" baseType="lpstr">
      <vt:lpstr>Кат</vt:lpstr>
      <vt:lpstr>Торг</vt:lpstr>
      <vt:lpstr>Прайс</vt:lpstr>
      <vt:lpstr>НОВЫЕ</vt:lpstr>
      <vt:lpstr>Наценка</vt:lpstr>
      <vt:lpstr>Выгр Кат</vt:lpstr>
      <vt:lpstr>Выгр Торг</vt:lpstr>
      <vt:lpstr>Ссылки</vt:lpstr>
      <vt:lpstr>Из ГУГЛа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Admin</dc:creator>
  <cp:lastModifiedBy>Snab TimeTurbo</cp:lastModifiedBy>
  <dcterms:created xsi:type="dcterms:W3CDTF">2022-02-02T12:49:26Z</dcterms:created>
  <dcterms:modified xsi:type="dcterms:W3CDTF">2024-12-27T12:21:56Z</dcterms:modified>
</cp:coreProperties>
</file>