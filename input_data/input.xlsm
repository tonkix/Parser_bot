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dmin\tonk1x\TT data\Прайс-листы\"/>
    </mc:Choice>
  </mc:AlternateContent>
  <xr:revisionPtr revIDLastSave="0" documentId="13_ncr:1_{461F615B-63F9-43DE-A3B4-82B3361D6215}" xr6:coauthVersionLast="47" xr6:coauthVersionMax="47" xr10:uidLastSave="{00000000-0000-0000-0000-000000000000}"/>
  <bookViews>
    <workbookView xWindow="28680" yWindow="-120" windowWidth="29040" windowHeight="15990" activeTab="5" xr2:uid="{00000000-000D-0000-FFFF-FFFF00000000}"/>
  </bookViews>
  <sheets>
    <sheet name="Кат" sheetId="2" r:id="rId1"/>
    <sheet name="Торг" sheetId="8" r:id="rId2"/>
    <sheet name="Наценка" sheetId="3" r:id="rId3"/>
    <sheet name="Выгр Кат" sheetId="1" r:id="rId4"/>
    <sheet name="Выгр Торг" sheetId="6" r:id="rId5"/>
    <sheet name="Ссылки" sheetId="9" r:id="rId6"/>
    <sheet name="Из ГУГЛа" sheetId="10" r:id="rId7"/>
  </sheets>
  <definedNames>
    <definedName name="_xlnm._FilterDatabase" localSheetId="3" hidden="1">'Выгр Кат'!$A$1:$O$77</definedName>
    <definedName name="_xlnm._FilterDatabase" localSheetId="4" hidden="1">'Выгр Торг'!$A$1:$Q$1</definedName>
    <definedName name="_xlnm._FilterDatabase" localSheetId="0" hidden="1">Кат!$A$2:$AI$78</definedName>
    <definedName name="_xlnm._FilterDatabase" localSheetId="1" hidden="1">Торг!$A$2:$AF$2</definedName>
    <definedName name="ExternalData_1" localSheetId="6" hidden="1">'Из ГУГЛа'!$A$1:$S$582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B3" i="2" l="1"/>
  <c r="AB4" i="8"/>
  <c r="AB5" i="8"/>
  <c r="AB6" i="8"/>
  <c r="AB7" i="8"/>
  <c r="AB8" i="8"/>
  <c r="AB9" i="8"/>
  <c r="AB10" i="8"/>
  <c r="AB11" i="8"/>
  <c r="AB12" i="8"/>
  <c r="AB13" i="8"/>
  <c r="AB14" i="8"/>
  <c r="AB15" i="8"/>
  <c r="AB16" i="8"/>
  <c r="AB17" i="8"/>
  <c r="W4" i="8"/>
  <c r="W5" i="8"/>
  <c r="W6" i="8"/>
  <c r="W7" i="8"/>
  <c r="W8" i="8"/>
  <c r="W9" i="8"/>
  <c r="W10" i="8"/>
  <c r="W11" i="8"/>
  <c r="W12" i="8"/>
  <c r="W13" i="8"/>
  <c r="W14" i="8"/>
  <c r="W15" i="8"/>
  <c r="W16" i="8"/>
  <c r="W17" i="8"/>
  <c r="W3" i="8"/>
  <c r="AB3" i="8"/>
  <c r="AD1" i="8"/>
  <c r="AB78" i="2"/>
  <c r="AB77" i="2"/>
  <c r="AB76" i="2"/>
  <c r="AB75" i="2"/>
  <c r="AB74" i="2"/>
  <c r="AB73" i="2"/>
  <c r="AB72" i="2"/>
  <c r="AB71" i="2"/>
  <c r="AB70" i="2"/>
  <c r="AB69" i="2"/>
  <c r="AB68" i="2"/>
  <c r="AB67" i="2"/>
  <c r="AB66" i="2"/>
  <c r="AB65" i="2"/>
  <c r="AB64" i="2"/>
  <c r="AB63" i="2"/>
  <c r="AB62" i="2"/>
  <c r="AB61" i="2"/>
  <c r="AB60" i="2"/>
  <c r="AB59" i="2"/>
  <c r="AB58" i="2"/>
  <c r="AB57" i="2"/>
  <c r="AB56" i="2"/>
  <c r="AB55" i="2"/>
  <c r="AB54" i="2"/>
  <c r="AB53" i="2"/>
  <c r="AB52" i="2"/>
  <c r="AB51" i="2"/>
  <c r="AB50" i="2"/>
  <c r="AB49" i="2"/>
  <c r="AB48" i="2"/>
  <c r="AB47" i="2"/>
  <c r="AB46" i="2"/>
  <c r="AB45" i="2"/>
  <c r="AB44" i="2"/>
  <c r="AB43" i="2"/>
  <c r="AB42" i="2"/>
  <c r="AB41" i="2"/>
  <c r="AB40" i="2"/>
  <c r="AB39" i="2"/>
  <c r="AB38" i="2"/>
  <c r="AB37" i="2"/>
  <c r="AB36" i="2"/>
  <c r="AB35" i="2"/>
  <c r="AB34" i="2"/>
  <c r="AB33" i="2"/>
  <c r="AB32" i="2"/>
  <c r="AB31" i="2"/>
  <c r="AB30" i="2"/>
  <c r="AB29" i="2"/>
  <c r="AB28" i="2"/>
  <c r="AB27" i="2"/>
  <c r="AB26" i="2"/>
  <c r="AB25" i="2"/>
  <c r="AB24" i="2"/>
  <c r="AB23" i="2"/>
  <c r="AB22" i="2"/>
  <c r="AB21" i="2"/>
  <c r="AB20" i="2"/>
  <c r="AB19" i="2"/>
  <c r="AB18" i="2"/>
  <c r="AB17" i="2"/>
  <c r="AB16" i="2"/>
  <c r="AB15" i="2"/>
  <c r="AB14" i="2"/>
  <c r="AB13" i="2"/>
  <c r="AB12" i="2"/>
  <c r="AB11" i="2"/>
  <c r="AB10" i="2"/>
  <c r="AB9" i="2"/>
  <c r="AB8" i="2"/>
  <c r="AB7" i="2"/>
  <c r="AB6" i="2"/>
  <c r="AB5" i="2"/>
  <c r="AB4" i="2"/>
  <c r="AD1" i="2"/>
  <c r="W4" i="2"/>
  <c r="W5" i="2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3" i="2"/>
  <c r="Y1" i="2"/>
  <c r="L57" i="2"/>
  <c r="L22" i="2"/>
  <c r="L19" i="2"/>
  <c r="L18" i="2"/>
  <c r="L3" i="2"/>
  <c r="L75" i="2"/>
  <c r="L20" i="2"/>
  <c r="L5" i="2"/>
  <c r="L59" i="2"/>
  <c r="L74" i="2"/>
  <c r="L72" i="2"/>
  <c r="L67" i="2"/>
  <c r="L66" i="2"/>
  <c r="L78" i="2"/>
  <c r="L77" i="2"/>
  <c r="L71" i="2"/>
  <c r="L70" i="2"/>
  <c r="L64" i="2"/>
  <c r="L63" i="2"/>
  <c r="L45" i="2"/>
  <c r="L39" i="2"/>
  <c r="L32" i="2"/>
  <c r="L31" i="2"/>
  <c r="L30" i="2"/>
  <c r="L28" i="2"/>
  <c r="L24" i="2"/>
  <c r="L23" i="2"/>
  <c r="L15" i="2"/>
  <c r="L14" i="2"/>
  <c r="L12" i="2"/>
  <c r="L11" i="2"/>
  <c r="L9" i="2"/>
  <c r="L1" i="2"/>
  <c r="L14" i="8"/>
  <c r="L13" i="8"/>
  <c r="L12" i="8"/>
  <c r="L11" i="8"/>
  <c r="L10" i="8"/>
  <c r="L9" i="8"/>
  <c r="L17" i="8"/>
  <c r="L16" i="8"/>
  <c r="L15" i="8"/>
  <c r="L25" i="8"/>
  <c r="L22" i="8"/>
  <c r="L21" i="8"/>
  <c r="L29" i="8"/>
  <c r="L28" i="8"/>
  <c r="L27" i="8"/>
  <c r="L26" i="8"/>
  <c r="L24" i="8"/>
  <c r="L23" i="8"/>
  <c r="L85" i="2"/>
  <c r="L82" i="2"/>
  <c r="L89" i="2"/>
  <c r="L88" i="2"/>
  <c r="L87" i="2"/>
  <c r="L86" i="2"/>
  <c r="L84" i="2"/>
  <c r="L83" i="2"/>
  <c r="U4" i="8"/>
  <c r="U5" i="8"/>
  <c r="U6" i="8"/>
  <c r="U7" i="8"/>
  <c r="U8" i="8"/>
  <c r="U3" i="8"/>
  <c r="U4" i="2"/>
  <c r="U6" i="2"/>
  <c r="U8" i="2"/>
  <c r="U10" i="2"/>
  <c r="U13" i="2"/>
  <c r="U16" i="2"/>
  <c r="U17" i="2"/>
  <c r="U21" i="2"/>
  <c r="U25" i="2"/>
  <c r="U26" i="2"/>
  <c r="U27" i="2"/>
  <c r="U29" i="2"/>
  <c r="U33" i="2"/>
  <c r="U34" i="2"/>
  <c r="U35" i="2"/>
  <c r="U36" i="2"/>
  <c r="U37" i="2"/>
  <c r="U38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8" i="2"/>
  <c r="U60" i="2"/>
  <c r="U61" i="2"/>
  <c r="U62" i="2"/>
  <c r="U65" i="2"/>
  <c r="U68" i="2"/>
  <c r="U69" i="2"/>
  <c r="U73" i="2"/>
  <c r="U76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3" i="2"/>
  <c r="F14" i="2"/>
  <c r="F26" i="2"/>
  <c r="F32" i="2"/>
  <c r="F38" i="2"/>
  <c r="F40" i="2"/>
  <c r="N50" i="2"/>
  <c r="N52" i="2"/>
  <c r="C62" i="2"/>
  <c r="O64" i="2"/>
  <c r="N74" i="2"/>
  <c r="N76" i="2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3" i="8"/>
  <c r="A4" i="8"/>
  <c r="A5" i="8"/>
  <c r="A6" i="8"/>
  <c r="A7" i="8"/>
  <c r="A8" i="8"/>
  <c r="A9" i="8"/>
  <c r="A10" i="8"/>
  <c r="A11" i="8"/>
  <c r="A12" i="8"/>
  <c r="A13" i="8"/>
  <c r="A14" i="8"/>
  <c r="A15" i="8"/>
  <c r="A16" i="8"/>
  <c r="A17" i="8"/>
  <c r="A3" i="8"/>
  <c r="D4" i="8"/>
  <c r="G5" i="8"/>
  <c r="N6" i="8"/>
  <c r="P6" i="8" s="1"/>
  <c r="D7" i="8"/>
  <c r="G8" i="8"/>
  <c r="D9" i="8"/>
  <c r="D13" i="8"/>
  <c r="D14" i="8"/>
  <c r="E16" i="8"/>
  <c r="E3" i="8"/>
  <c r="D5" i="8"/>
  <c r="E5" i="8"/>
  <c r="G6" i="8"/>
  <c r="E7" i="8"/>
  <c r="G7" i="8"/>
  <c r="D8" i="8"/>
  <c r="E8" i="8"/>
  <c r="G9" i="8"/>
  <c r="D10" i="8"/>
  <c r="E10" i="8"/>
  <c r="G10" i="8"/>
  <c r="D11" i="8"/>
  <c r="E11" i="8"/>
  <c r="G11" i="8"/>
  <c r="D12" i="8"/>
  <c r="E12" i="8"/>
  <c r="G12" i="8"/>
  <c r="D15" i="8"/>
  <c r="E15" i="8"/>
  <c r="G15" i="8"/>
  <c r="D16" i="8"/>
  <c r="D17" i="8"/>
  <c r="E17" i="8"/>
  <c r="G17" i="8"/>
  <c r="N4" i="8"/>
  <c r="O4" i="8"/>
  <c r="N5" i="8"/>
  <c r="O5" i="8"/>
  <c r="N7" i="8"/>
  <c r="P7" i="8" s="1"/>
  <c r="O7" i="8"/>
  <c r="N8" i="8"/>
  <c r="P8" i="8" s="1"/>
  <c r="O8" i="8"/>
  <c r="O9" i="8"/>
  <c r="N10" i="8"/>
  <c r="O10" i="8"/>
  <c r="N11" i="8"/>
  <c r="O11" i="8"/>
  <c r="N12" i="8"/>
  <c r="O12" i="8"/>
  <c r="N15" i="8"/>
  <c r="O15" i="8"/>
  <c r="N16" i="8"/>
  <c r="O16" i="8"/>
  <c r="N17" i="8"/>
  <c r="O17" i="8"/>
  <c r="N3" i="8"/>
  <c r="G3" i="8"/>
  <c r="C4" i="2"/>
  <c r="D4" i="2"/>
  <c r="F4" i="2"/>
  <c r="C5" i="2"/>
  <c r="D5" i="2"/>
  <c r="F5" i="2"/>
  <c r="C6" i="2"/>
  <c r="D6" i="2"/>
  <c r="F6" i="2"/>
  <c r="C7" i="2"/>
  <c r="D7" i="2"/>
  <c r="F7" i="2"/>
  <c r="C8" i="2"/>
  <c r="D8" i="2"/>
  <c r="F8" i="2"/>
  <c r="C9" i="2"/>
  <c r="D9" i="2"/>
  <c r="F9" i="2"/>
  <c r="C10" i="2"/>
  <c r="D10" i="2"/>
  <c r="F10" i="2"/>
  <c r="C11" i="2"/>
  <c r="D11" i="2"/>
  <c r="F11" i="2"/>
  <c r="C12" i="2"/>
  <c r="D12" i="2"/>
  <c r="F12" i="2"/>
  <c r="C13" i="2"/>
  <c r="D13" i="2"/>
  <c r="F13" i="2"/>
  <c r="C15" i="2"/>
  <c r="D15" i="2"/>
  <c r="F15" i="2"/>
  <c r="C16" i="2"/>
  <c r="D16" i="2"/>
  <c r="F16" i="2"/>
  <c r="C17" i="2"/>
  <c r="D17" i="2"/>
  <c r="F17" i="2"/>
  <c r="C18" i="2"/>
  <c r="D18" i="2"/>
  <c r="F18" i="2"/>
  <c r="C19" i="2"/>
  <c r="D19" i="2"/>
  <c r="F19" i="2"/>
  <c r="C20" i="2"/>
  <c r="D20" i="2"/>
  <c r="F20" i="2"/>
  <c r="C21" i="2"/>
  <c r="D21" i="2"/>
  <c r="F21" i="2"/>
  <c r="C22" i="2"/>
  <c r="D22" i="2"/>
  <c r="F22" i="2"/>
  <c r="C23" i="2"/>
  <c r="D23" i="2"/>
  <c r="F23" i="2"/>
  <c r="C24" i="2"/>
  <c r="D24" i="2"/>
  <c r="F24" i="2"/>
  <c r="C25" i="2"/>
  <c r="D25" i="2"/>
  <c r="F25" i="2"/>
  <c r="C27" i="2"/>
  <c r="D27" i="2"/>
  <c r="F27" i="2"/>
  <c r="C28" i="2"/>
  <c r="D28" i="2"/>
  <c r="F28" i="2"/>
  <c r="C29" i="2"/>
  <c r="D29" i="2"/>
  <c r="F29" i="2"/>
  <c r="C30" i="2"/>
  <c r="D30" i="2"/>
  <c r="F30" i="2"/>
  <c r="C31" i="2"/>
  <c r="D31" i="2"/>
  <c r="E31" i="2"/>
  <c r="F31" i="2"/>
  <c r="C33" i="2"/>
  <c r="D33" i="2"/>
  <c r="F33" i="2"/>
  <c r="C34" i="2"/>
  <c r="D34" i="2"/>
  <c r="F34" i="2"/>
  <c r="C35" i="2"/>
  <c r="D35" i="2"/>
  <c r="E35" i="2"/>
  <c r="F35" i="2"/>
  <c r="C36" i="2"/>
  <c r="D36" i="2"/>
  <c r="F36" i="2"/>
  <c r="C37" i="2"/>
  <c r="D37" i="2"/>
  <c r="F37" i="2"/>
  <c r="C39" i="2"/>
  <c r="D39" i="2"/>
  <c r="F39" i="2"/>
  <c r="C41" i="2"/>
  <c r="D41" i="2"/>
  <c r="F41" i="2"/>
  <c r="C42" i="2"/>
  <c r="D42" i="2"/>
  <c r="F42" i="2"/>
  <c r="C43" i="2"/>
  <c r="D43" i="2"/>
  <c r="F43" i="2"/>
  <c r="C44" i="2"/>
  <c r="D44" i="2"/>
  <c r="F44" i="2"/>
  <c r="C45" i="2"/>
  <c r="D45" i="2"/>
  <c r="F45" i="2"/>
  <c r="C46" i="2"/>
  <c r="D46" i="2"/>
  <c r="E46" i="2"/>
  <c r="F46" i="2"/>
  <c r="C47" i="2"/>
  <c r="D47" i="2"/>
  <c r="F47" i="2"/>
  <c r="C48" i="2"/>
  <c r="D48" i="2"/>
  <c r="F48" i="2"/>
  <c r="C49" i="2"/>
  <c r="D49" i="2"/>
  <c r="E49" i="2"/>
  <c r="F49" i="2"/>
  <c r="C51" i="2"/>
  <c r="D51" i="2"/>
  <c r="F51" i="2"/>
  <c r="C53" i="2"/>
  <c r="D53" i="2"/>
  <c r="F53" i="2"/>
  <c r="C54" i="2"/>
  <c r="D54" i="2"/>
  <c r="E54" i="2"/>
  <c r="F54" i="2"/>
  <c r="C55" i="2"/>
  <c r="D55" i="2"/>
  <c r="F55" i="2"/>
  <c r="C56" i="2"/>
  <c r="D56" i="2"/>
  <c r="F56" i="2"/>
  <c r="C57" i="2"/>
  <c r="D57" i="2"/>
  <c r="E57" i="2"/>
  <c r="F57" i="2"/>
  <c r="C58" i="2"/>
  <c r="D58" i="2"/>
  <c r="F58" i="2"/>
  <c r="C59" i="2"/>
  <c r="D59" i="2"/>
  <c r="F59" i="2"/>
  <c r="C60" i="2"/>
  <c r="D60" i="2"/>
  <c r="E60" i="2"/>
  <c r="F60" i="2"/>
  <c r="C61" i="2"/>
  <c r="D61" i="2"/>
  <c r="F61" i="2"/>
  <c r="C63" i="2"/>
  <c r="D63" i="2"/>
  <c r="F63" i="2"/>
  <c r="C65" i="2"/>
  <c r="D65" i="2"/>
  <c r="E65" i="2"/>
  <c r="F65" i="2"/>
  <c r="C66" i="2"/>
  <c r="D66" i="2"/>
  <c r="F66" i="2"/>
  <c r="C67" i="2"/>
  <c r="D67" i="2"/>
  <c r="F67" i="2"/>
  <c r="C68" i="2"/>
  <c r="D68" i="2"/>
  <c r="E68" i="2"/>
  <c r="F68" i="2"/>
  <c r="C69" i="2"/>
  <c r="D69" i="2"/>
  <c r="F69" i="2"/>
  <c r="C70" i="2"/>
  <c r="D70" i="2"/>
  <c r="F70" i="2"/>
  <c r="C71" i="2"/>
  <c r="D71" i="2"/>
  <c r="E71" i="2"/>
  <c r="F71" i="2"/>
  <c r="C72" i="2"/>
  <c r="D72" i="2"/>
  <c r="F72" i="2"/>
  <c r="C73" i="2"/>
  <c r="D73" i="2"/>
  <c r="F73" i="2"/>
  <c r="D74" i="2"/>
  <c r="C75" i="2"/>
  <c r="D75" i="2"/>
  <c r="F75" i="2"/>
  <c r="C77" i="2"/>
  <c r="D77" i="2"/>
  <c r="F77" i="2"/>
  <c r="C78" i="2"/>
  <c r="D78" i="2"/>
  <c r="F78" i="2"/>
  <c r="N4" i="2"/>
  <c r="O4" i="2"/>
  <c r="L4" i="2" s="1"/>
  <c r="N5" i="2"/>
  <c r="O5" i="2"/>
  <c r="N6" i="2"/>
  <c r="O6" i="2"/>
  <c r="N7" i="2"/>
  <c r="O7" i="2"/>
  <c r="N8" i="2"/>
  <c r="O8" i="2"/>
  <c r="N9" i="2"/>
  <c r="O9" i="2"/>
  <c r="N10" i="2"/>
  <c r="O10" i="2"/>
  <c r="N11" i="2"/>
  <c r="O11" i="2"/>
  <c r="N12" i="2"/>
  <c r="O12" i="2"/>
  <c r="N13" i="2"/>
  <c r="O13" i="2"/>
  <c r="N15" i="2"/>
  <c r="O15" i="2"/>
  <c r="N16" i="2"/>
  <c r="O16" i="2"/>
  <c r="N17" i="2"/>
  <c r="O17" i="2"/>
  <c r="N18" i="2"/>
  <c r="O18" i="2"/>
  <c r="N19" i="2"/>
  <c r="O19" i="2"/>
  <c r="N20" i="2"/>
  <c r="O20" i="2"/>
  <c r="N21" i="2"/>
  <c r="O21" i="2"/>
  <c r="N22" i="2"/>
  <c r="O22" i="2"/>
  <c r="N23" i="2"/>
  <c r="O23" i="2"/>
  <c r="N24" i="2"/>
  <c r="O24" i="2"/>
  <c r="N25" i="2"/>
  <c r="O25" i="2"/>
  <c r="N27" i="2"/>
  <c r="O27" i="2"/>
  <c r="N28" i="2"/>
  <c r="O28" i="2"/>
  <c r="N29" i="2"/>
  <c r="O29" i="2"/>
  <c r="N30" i="2"/>
  <c r="O30" i="2"/>
  <c r="N31" i="2"/>
  <c r="O31" i="2"/>
  <c r="N33" i="2"/>
  <c r="O33" i="2"/>
  <c r="N34" i="2"/>
  <c r="O34" i="2"/>
  <c r="N35" i="2"/>
  <c r="O35" i="2"/>
  <c r="N36" i="2"/>
  <c r="O36" i="2"/>
  <c r="N37" i="2"/>
  <c r="O37" i="2"/>
  <c r="N39" i="2"/>
  <c r="O39" i="2"/>
  <c r="N41" i="2"/>
  <c r="O41" i="2"/>
  <c r="N42" i="2"/>
  <c r="O42" i="2"/>
  <c r="N43" i="2"/>
  <c r="O43" i="2"/>
  <c r="N44" i="2"/>
  <c r="O44" i="2"/>
  <c r="N45" i="2"/>
  <c r="P45" i="2" s="1"/>
  <c r="O45" i="2"/>
  <c r="N46" i="2"/>
  <c r="O46" i="2"/>
  <c r="N47" i="2"/>
  <c r="O47" i="2"/>
  <c r="N48" i="2"/>
  <c r="O48" i="2"/>
  <c r="N49" i="2"/>
  <c r="O49" i="2"/>
  <c r="N51" i="2"/>
  <c r="O51" i="2"/>
  <c r="N53" i="2"/>
  <c r="O53" i="2"/>
  <c r="N54" i="2"/>
  <c r="O54" i="2"/>
  <c r="N55" i="2"/>
  <c r="O55" i="2"/>
  <c r="N56" i="2"/>
  <c r="O56" i="2"/>
  <c r="N57" i="2"/>
  <c r="O57" i="2"/>
  <c r="N58" i="2"/>
  <c r="O58" i="2"/>
  <c r="N59" i="2"/>
  <c r="O59" i="2"/>
  <c r="N60" i="2"/>
  <c r="O60" i="2"/>
  <c r="N61" i="2"/>
  <c r="O61" i="2"/>
  <c r="N63" i="2"/>
  <c r="O63" i="2"/>
  <c r="N65" i="2"/>
  <c r="O65" i="2"/>
  <c r="N66" i="2"/>
  <c r="O66" i="2"/>
  <c r="N67" i="2"/>
  <c r="O67" i="2"/>
  <c r="N68" i="2"/>
  <c r="O68" i="2"/>
  <c r="N69" i="2"/>
  <c r="O69" i="2"/>
  <c r="N70" i="2"/>
  <c r="O70" i="2"/>
  <c r="N71" i="2"/>
  <c r="O71" i="2"/>
  <c r="N72" i="2"/>
  <c r="O72" i="2"/>
  <c r="N73" i="2"/>
  <c r="O73" i="2"/>
  <c r="N75" i="2"/>
  <c r="O75" i="2"/>
  <c r="N77" i="2"/>
  <c r="O77" i="2"/>
  <c r="N78" i="2"/>
  <c r="O78" i="2"/>
  <c r="O3" i="2"/>
  <c r="N3" i="2"/>
  <c r="F3" i="2"/>
  <c r="E3" i="2"/>
  <c r="D3" i="2"/>
  <c r="C3" i="2"/>
  <c r="N3" i="1"/>
  <c r="E10" i="2" s="1"/>
  <c r="O3" i="1"/>
  <c r="N4" i="1"/>
  <c r="E36" i="2" s="1"/>
  <c r="N5" i="1"/>
  <c r="N6" i="1"/>
  <c r="E37" i="2" s="1"/>
  <c r="N7" i="1"/>
  <c r="E6" i="2" s="1"/>
  <c r="O7" i="1"/>
  <c r="N8" i="1"/>
  <c r="E7" i="2" s="1"/>
  <c r="O8" i="1"/>
  <c r="N9" i="1"/>
  <c r="E8" i="2" s="1"/>
  <c r="O9" i="1"/>
  <c r="N10" i="1"/>
  <c r="E13" i="2" s="1"/>
  <c r="O10" i="1"/>
  <c r="N11" i="1"/>
  <c r="E47" i="2" s="1"/>
  <c r="N12" i="1"/>
  <c r="E51" i="2" s="1"/>
  <c r="N13" i="1"/>
  <c r="N14" i="1"/>
  <c r="N15" i="1"/>
  <c r="E48" i="2" s="1"/>
  <c r="N16" i="1"/>
  <c r="N17" i="1"/>
  <c r="E55" i="2" s="1"/>
  <c r="N18" i="1"/>
  <c r="N19" i="1"/>
  <c r="E53" i="2" s="1"/>
  <c r="N20" i="1"/>
  <c r="E56" i="2" s="1"/>
  <c r="N21" i="1"/>
  <c r="N22" i="1"/>
  <c r="E9" i="2" s="1"/>
  <c r="O22" i="1"/>
  <c r="N23" i="1"/>
  <c r="E11" i="2" s="1"/>
  <c r="O23" i="1"/>
  <c r="N24" i="1"/>
  <c r="N25" i="1"/>
  <c r="N26" i="1"/>
  <c r="N27" i="1"/>
  <c r="E78" i="2" s="1"/>
  <c r="N28" i="1"/>
  <c r="E59" i="2" s="1"/>
  <c r="N29" i="1"/>
  <c r="E30" i="2" s="1"/>
  <c r="N30" i="1"/>
  <c r="E29" i="2" s="1"/>
  <c r="N31" i="1"/>
  <c r="E4" i="2" s="1"/>
  <c r="O31" i="1"/>
  <c r="N32" i="1"/>
  <c r="E75" i="2" s="1"/>
  <c r="N33" i="1"/>
  <c r="E20" i="2" s="1"/>
  <c r="N34" i="1"/>
  <c r="E28" i="2" s="1"/>
  <c r="N35" i="1"/>
  <c r="E18" i="2" s="1"/>
  <c r="N36" i="1"/>
  <c r="E42" i="2" s="1"/>
  <c r="N37" i="1"/>
  <c r="E23" i="2" s="1"/>
  <c r="N38" i="1"/>
  <c r="E5" i="2" s="1"/>
  <c r="O38" i="1"/>
  <c r="N39" i="1"/>
  <c r="N40" i="1"/>
  <c r="E61" i="2" s="1"/>
  <c r="N41" i="1"/>
  <c r="E12" i="2" s="1"/>
  <c r="O41" i="1"/>
  <c r="N42" i="1"/>
  <c r="E15" i="2" s="1"/>
  <c r="N43" i="1"/>
  <c r="E44" i="2" s="1"/>
  <c r="N44" i="1"/>
  <c r="N45" i="1"/>
  <c r="E45" i="2" s="1"/>
  <c r="N46" i="1"/>
  <c r="E63" i="2" s="1"/>
  <c r="N47" i="1"/>
  <c r="N48" i="1"/>
  <c r="O48" i="1"/>
  <c r="N49" i="1"/>
  <c r="N50" i="1"/>
  <c r="E41" i="2" s="1"/>
  <c r="N51" i="1"/>
  <c r="E43" i="2" s="1"/>
  <c r="N52" i="1"/>
  <c r="E66" i="2" s="1"/>
  <c r="N53" i="1"/>
  <c r="N54" i="1"/>
  <c r="E69" i="2" s="1"/>
  <c r="N55" i="1"/>
  <c r="N56" i="1"/>
  <c r="E67" i="2" s="1"/>
  <c r="N57" i="1"/>
  <c r="E70" i="2" s="1"/>
  <c r="N58" i="1"/>
  <c r="E72" i="2" s="1"/>
  <c r="N59" i="1"/>
  <c r="N60" i="1"/>
  <c r="N61" i="1"/>
  <c r="E34" i="2" s="1"/>
  <c r="N62" i="1"/>
  <c r="E73" i="2" s="1"/>
  <c r="N63" i="1"/>
  <c r="E77" i="2" s="1"/>
  <c r="N64" i="1"/>
  <c r="E58" i="2" s="1"/>
  <c r="N65" i="1"/>
  <c r="E25" i="2" s="1"/>
  <c r="N66" i="1"/>
  <c r="E22" i="2" s="1"/>
  <c r="N67" i="1"/>
  <c r="E27" i="2" s="1"/>
  <c r="N68" i="1"/>
  <c r="N69" i="1"/>
  <c r="N70" i="1"/>
  <c r="E19" i="2" s="1"/>
  <c r="N71" i="1"/>
  <c r="E17" i="2" s="1"/>
  <c r="N72" i="1"/>
  <c r="E24" i="2" s="1"/>
  <c r="N73" i="1"/>
  <c r="E21" i="2" s="1"/>
  <c r="N74" i="1"/>
  <c r="N75" i="1"/>
  <c r="E39" i="2" s="1"/>
  <c r="N76" i="1"/>
  <c r="N77" i="1"/>
  <c r="E16" i="2" s="1"/>
  <c r="N2" i="1"/>
  <c r="E33" i="2" s="1"/>
  <c r="Q3" i="6"/>
  <c r="Q4" i="6"/>
  <c r="Q5" i="6"/>
  <c r="Q6" i="6"/>
  <c r="Q7" i="6"/>
  <c r="Q8" i="6"/>
  <c r="Q9" i="6"/>
  <c r="Q10" i="6"/>
  <c r="Q11" i="6"/>
  <c r="Q12" i="6"/>
  <c r="Q13" i="6"/>
  <c r="Q14" i="6"/>
  <c r="Q15" i="6"/>
  <c r="Q16" i="6"/>
  <c r="Q2" i="6"/>
  <c r="P3" i="6"/>
  <c r="P4" i="6"/>
  <c r="P5" i="6"/>
  <c r="P6" i="6"/>
  <c r="F10" i="8" s="1"/>
  <c r="P7" i="6"/>
  <c r="F11" i="8" s="1"/>
  <c r="P8" i="6"/>
  <c r="F15" i="8" s="1"/>
  <c r="P9" i="6"/>
  <c r="F16" i="8" s="1"/>
  <c r="P10" i="6"/>
  <c r="F17" i="8" s="1"/>
  <c r="P11" i="6"/>
  <c r="F3" i="8" s="1"/>
  <c r="P12" i="6"/>
  <c r="P13" i="6"/>
  <c r="F5" i="8" s="1"/>
  <c r="P14" i="6"/>
  <c r="P15" i="6"/>
  <c r="F7" i="8" s="1"/>
  <c r="P16" i="6"/>
  <c r="F8" i="8" s="1"/>
  <c r="P2" i="6"/>
  <c r="F12" i="8" s="1"/>
  <c r="I1" i="8"/>
  <c r="H1" i="2"/>
  <c r="F74" i="2" l="1"/>
  <c r="D38" i="2"/>
  <c r="O62" i="2"/>
  <c r="O74" i="2"/>
  <c r="N62" i="2"/>
  <c r="J62" i="2" s="1"/>
  <c r="E74" i="2"/>
  <c r="E38" i="2"/>
  <c r="C38" i="2"/>
  <c r="C74" i="2"/>
  <c r="F50" i="2"/>
  <c r="E50" i="2"/>
  <c r="D50" i="2"/>
  <c r="O35" i="1"/>
  <c r="C50" i="2"/>
  <c r="O38" i="2"/>
  <c r="F62" i="2"/>
  <c r="O5" i="1"/>
  <c r="N38" i="2"/>
  <c r="P38" i="2" s="1"/>
  <c r="E62" i="2"/>
  <c r="O50" i="2"/>
  <c r="D62" i="2"/>
  <c r="O71" i="1"/>
  <c r="D52" i="2"/>
  <c r="D14" i="2"/>
  <c r="O59" i="1"/>
  <c r="O29" i="1"/>
  <c r="O77" i="1"/>
  <c r="O47" i="1"/>
  <c r="D64" i="2"/>
  <c r="D26" i="2"/>
  <c r="O11" i="1"/>
  <c r="O65" i="1"/>
  <c r="O17" i="1"/>
  <c r="D76" i="2"/>
  <c r="D32" i="2"/>
  <c r="O53" i="1"/>
  <c r="D40" i="2"/>
  <c r="O73" i="1"/>
  <c r="O61" i="1"/>
  <c r="O49" i="1"/>
  <c r="O37" i="1"/>
  <c r="O25" i="1"/>
  <c r="O13" i="1"/>
  <c r="N64" i="2"/>
  <c r="J64" i="2" s="1"/>
  <c r="U64" i="2" s="1"/>
  <c r="N26" i="2"/>
  <c r="J26" i="2" s="1"/>
  <c r="N14" i="2"/>
  <c r="J14" i="2" s="1"/>
  <c r="U14" i="2" s="1"/>
  <c r="O66" i="1"/>
  <c r="O60" i="1"/>
  <c r="O42" i="1"/>
  <c r="O30" i="1"/>
  <c r="O24" i="1"/>
  <c r="O18" i="1"/>
  <c r="O12" i="1"/>
  <c r="F76" i="2"/>
  <c r="F64" i="2"/>
  <c r="F52" i="2"/>
  <c r="O2" i="1"/>
  <c r="E76" i="2"/>
  <c r="E64" i="2"/>
  <c r="E52" i="2"/>
  <c r="E40" i="2"/>
  <c r="E32" i="2"/>
  <c r="E26" i="2"/>
  <c r="E14" i="2"/>
  <c r="C76" i="2"/>
  <c r="C64" i="2"/>
  <c r="C52" i="2"/>
  <c r="C40" i="2"/>
  <c r="C32" i="2"/>
  <c r="C26" i="2"/>
  <c r="C14" i="2"/>
  <c r="O76" i="1"/>
  <c r="O70" i="1"/>
  <c r="O64" i="1"/>
  <c r="O58" i="1"/>
  <c r="O52" i="1"/>
  <c r="O46" i="1"/>
  <c r="O40" i="1"/>
  <c r="O34" i="1"/>
  <c r="O28" i="1"/>
  <c r="O16" i="1"/>
  <c r="O4" i="1"/>
  <c r="O45" i="1"/>
  <c r="O69" i="1"/>
  <c r="O51" i="1"/>
  <c r="O21" i="1"/>
  <c r="O75" i="1"/>
  <c r="O63" i="1"/>
  <c r="O57" i="1"/>
  <c r="O39" i="1"/>
  <c r="O33" i="1"/>
  <c r="O27" i="1"/>
  <c r="O15" i="1"/>
  <c r="O74" i="1"/>
  <c r="O68" i="1"/>
  <c r="O62" i="1"/>
  <c r="O56" i="1"/>
  <c r="O50" i="1"/>
  <c r="O44" i="1"/>
  <c r="O32" i="1"/>
  <c r="O26" i="1"/>
  <c r="O20" i="1"/>
  <c r="O14" i="1"/>
  <c r="O76" i="2"/>
  <c r="O52" i="2"/>
  <c r="O40" i="2"/>
  <c r="O32" i="2"/>
  <c r="O26" i="2"/>
  <c r="O14" i="2"/>
  <c r="O55" i="1"/>
  <c r="N32" i="2"/>
  <c r="J32" i="2" s="1"/>
  <c r="U32" i="2" s="1"/>
  <c r="O67" i="1"/>
  <c r="O43" i="1"/>
  <c r="O19" i="1"/>
  <c r="N40" i="2"/>
  <c r="J40" i="2" s="1"/>
  <c r="O72" i="1"/>
  <c r="O54" i="1"/>
  <c r="O36" i="1"/>
  <c r="O6" i="1"/>
  <c r="O3" i="8"/>
  <c r="N9" i="8"/>
  <c r="J9" i="8" s="1"/>
  <c r="F9" i="8"/>
  <c r="F6" i="8"/>
  <c r="E9" i="8"/>
  <c r="E6" i="8"/>
  <c r="D6" i="8"/>
  <c r="G16" i="8"/>
  <c r="D3" i="8"/>
  <c r="O6" i="8"/>
  <c r="G4" i="8"/>
  <c r="F4" i="8"/>
  <c r="G14" i="8"/>
  <c r="E4" i="8"/>
  <c r="F14" i="8"/>
  <c r="O14" i="8"/>
  <c r="E14" i="8"/>
  <c r="N14" i="8"/>
  <c r="J14" i="8" s="1"/>
  <c r="O13" i="8"/>
  <c r="G13" i="8"/>
  <c r="N13" i="8"/>
  <c r="J13" i="8" s="1"/>
  <c r="F13" i="8"/>
  <c r="E13" i="8"/>
  <c r="J1" i="2"/>
  <c r="J4" i="8"/>
  <c r="P4" i="8" s="1"/>
  <c r="J5" i="8"/>
  <c r="P5" i="8" s="1"/>
  <c r="K6" i="8"/>
  <c r="L6" i="8" s="1"/>
  <c r="M6" i="8" s="1"/>
  <c r="R6" i="8" s="1"/>
  <c r="S6" i="8" s="1"/>
  <c r="J10" i="8"/>
  <c r="J11" i="8"/>
  <c r="J12" i="8"/>
  <c r="J15" i="8"/>
  <c r="J16" i="8"/>
  <c r="J17" i="8"/>
  <c r="L1" i="8"/>
  <c r="J3" i="8"/>
  <c r="P3" i="8" s="1"/>
  <c r="J4" i="2"/>
  <c r="J5" i="2"/>
  <c r="U5" i="2" s="1"/>
  <c r="J6" i="2"/>
  <c r="J7" i="2"/>
  <c r="U7" i="2" s="1"/>
  <c r="J8" i="2"/>
  <c r="J9" i="2"/>
  <c r="U9" i="2" s="1"/>
  <c r="J10" i="2"/>
  <c r="J11" i="2"/>
  <c r="U11" i="2" s="1"/>
  <c r="J12" i="2"/>
  <c r="U12" i="2" s="1"/>
  <c r="J13" i="2"/>
  <c r="J15" i="2"/>
  <c r="U15" i="2" s="1"/>
  <c r="J16" i="2"/>
  <c r="J17" i="2"/>
  <c r="J18" i="2"/>
  <c r="U18" i="2" s="1"/>
  <c r="J19" i="2"/>
  <c r="U19" i="2" s="1"/>
  <c r="J20" i="2"/>
  <c r="U20" i="2" s="1"/>
  <c r="J21" i="2"/>
  <c r="J22" i="2"/>
  <c r="U22" i="2" s="1"/>
  <c r="J23" i="2"/>
  <c r="U23" i="2" s="1"/>
  <c r="J24" i="2"/>
  <c r="U24" i="2" s="1"/>
  <c r="J25" i="2"/>
  <c r="J27" i="2"/>
  <c r="J28" i="2"/>
  <c r="U28" i="2" s="1"/>
  <c r="J29" i="2"/>
  <c r="J30" i="2"/>
  <c r="U30" i="2" s="1"/>
  <c r="J31" i="2"/>
  <c r="U31" i="2" s="1"/>
  <c r="J33" i="2"/>
  <c r="J34" i="2"/>
  <c r="J35" i="2"/>
  <c r="J36" i="2"/>
  <c r="J37" i="2"/>
  <c r="J39" i="2"/>
  <c r="U39" i="2" s="1"/>
  <c r="J41" i="2"/>
  <c r="J42" i="2"/>
  <c r="J43" i="2"/>
  <c r="J44" i="2"/>
  <c r="J46" i="2"/>
  <c r="J47" i="2"/>
  <c r="J48" i="2"/>
  <c r="J49" i="2"/>
  <c r="J50" i="2"/>
  <c r="J51" i="2"/>
  <c r="J52" i="2"/>
  <c r="J53" i="2"/>
  <c r="J54" i="2"/>
  <c r="J55" i="2"/>
  <c r="J56" i="2"/>
  <c r="J57" i="2"/>
  <c r="U57" i="2" s="1"/>
  <c r="J58" i="2"/>
  <c r="J59" i="2"/>
  <c r="U59" i="2" s="1"/>
  <c r="J60" i="2"/>
  <c r="J61" i="2"/>
  <c r="J63" i="2"/>
  <c r="U63" i="2" s="1"/>
  <c r="J65" i="2"/>
  <c r="J66" i="2"/>
  <c r="U66" i="2" s="1"/>
  <c r="J67" i="2"/>
  <c r="U67" i="2" s="1"/>
  <c r="J68" i="2"/>
  <c r="J69" i="2"/>
  <c r="J70" i="2"/>
  <c r="U70" i="2" s="1"/>
  <c r="J71" i="2"/>
  <c r="U71" i="2" s="1"/>
  <c r="J72" i="2"/>
  <c r="U72" i="2" s="1"/>
  <c r="J73" i="2"/>
  <c r="J74" i="2"/>
  <c r="U74" i="2" s="1"/>
  <c r="J75" i="2"/>
  <c r="U75" i="2" s="1"/>
  <c r="J76" i="2"/>
  <c r="J77" i="2"/>
  <c r="U77" i="2" s="1"/>
  <c r="J78" i="2"/>
  <c r="U78" i="2" s="1"/>
  <c r="T6" i="8" l="1"/>
  <c r="P9" i="8"/>
  <c r="U9" i="8"/>
  <c r="P10" i="8"/>
  <c r="U10" i="8"/>
  <c r="P17" i="8"/>
  <c r="U17" i="8"/>
  <c r="P16" i="8"/>
  <c r="U16" i="8"/>
  <c r="P13" i="8"/>
  <c r="U13" i="8"/>
  <c r="P15" i="8"/>
  <c r="U15" i="8"/>
  <c r="P12" i="8"/>
  <c r="U12" i="8"/>
  <c r="P11" i="8"/>
  <c r="U11" i="8"/>
  <c r="P14" i="8"/>
  <c r="U14" i="8"/>
  <c r="Q6" i="8"/>
  <c r="K15" i="8"/>
  <c r="M15" i="8" s="1"/>
  <c r="R15" i="8" s="1"/>
  <c r="K9" i="8"/>
  <c r="M9" i="8" s="1"/>
  <c r="R9" i="8" s="1"/>
  <c r="K12" i="8"/>
  <c r="M12" i="8" s="1"/>
  <c r="P31" i="2"/>
  <c r="P70" i="2"/>
  <c r="P73" i="2"/>
  <c r="P64" i="2"/>
  <c r="P62" i="2"/>
  <c r="P12" i="2"/>
  <c r="P35" i="2"/>
  <c r="P8" i="2"/>
  <c r="P76" i="2"/>
  <c r="P4" i="2"/>
  <c r="P49" i="2"/>
  <c r="P14" i="2"/>
  <c r="P24" i="2"/>
  <c r="P71" i="2"/>
  <c r="P59" i="2"/>
  <c r="P47" i="2"/>
  <c r="P37" i="2"/>
  <c r="P21" i="2"/>
  <c r="P9" i="2"/>
  <c r="P10" i="2"/>
  <c r="P67" i="2"/>
  <c r="P20" i="2"/>
  <c r="P50" i="2"/>
  <c r="P16" i="2"/>
  <c r="P26" i="2"/>
  <c r="P74" i="2"/>
  <c r="P22" i="2"/>
  <c r="P42" i="2"/>
  <c r="P5" i="2"/>
  <c r="P78" i="2"/>
  <c r="P68" i="2"/>
  <c r="P56" i="2"/>
  <c r="P44" i="2"/>
  <c r="P30" i="2"/>
  <c r="P18" i="2"/>
  <c r="P6" i="2"/>
  <c r="P28" i="2"/>
  <c r="P48" i="2"/>
  <c r="P11" i="2"/>
  <c r="P32" i="2"/>
  <c r="P55" i="2"/>
  <c r="P54" i="2"/>
  <c r="P17" i="2"/>
  <c r="P7" i="2"/>
  <c r="P39" i="2"/>
  <c r="P36" i="2"/>
  <c r="P40" i="2"/>
  <c r="P34" i="2"/>
  <c r="P60" i="2"/>
  <c r="P23" i="2"/>
  <c r="P13" i="2"/>
  <c r="P51" i="2"/>
  <c r="P46" i="2"/>
  <c r="P77" i="2"/>
  <c r="P65" i="2"/>
  <c r="P53" i="2"/>
  <c r="P41" i="2"/>
  <c r="P33" i="2"/>
  <c r="P27" i="2"/>
  <c r="P15" i="2"/>
  <c r="P66" i="2"/>
  <c r="P29" i="2"/>
  <c r="P19" i="2"/>
  <c r="P75" i="2"/>
  <c r="P57" i="2"/>
  <c r="P52" i="2"/>
  <c r="P72" i="2"/>
  <c r="P43" i="2"/>
  <c r="P69" i="2"/>
  <c r="P25" i="2"/>
  <c r="P63" i="2"/>
  <c r="P58" i="2"/>
  <c r="P61" i="2"/>
  <c r="K26" i="2"/>
  <c r="L26" i="2" s="1"/>
  <c r="K32" i="2"/>
  <c r="K35" i="2"/>
  <c r="L35" i="2" s="1"/>
  <c r="K36" i="2"/>
  <c r="L36" i="2" s="1"/>
  <c r="K40" i="2"/>
  <c r="L40" i="2" s="1"/>
  <c r="K46" i="2"/>
  <c r="L46" i="2" s="1"/>
  <c r="K52" i="2"/>
  <c r="L52" i="2" s="1"/>
  <c r="K58" i="2"/>
  <c r="L58" i="2" s="1"/>
  <c r="K8" i="2"/>
  <c r="L8" i="2" s="1"/>
  <c r="K64" i="2"/>
  <c r="K14" i="2"/>
  <c r="K70" i="2"/>
  <c r="K20" i="2"/>
  <c r="K76" i="2"/>
  <c r="L76" i="2" s="1"/>
  <c r="K9" i="2"/>
  <c r="K21" i="2"/>
  <c r="L21" i="2" s="1"/>
  <c r="K37" i="2"/>
  <c r="L37" i="2" s="1"/>
  <c r="K47" i="2"/>
  <c r="L47" i="2" s="1"/>
  <c r="K59" i="2"/>
  <c r="K71" i="2"/>
  <c r="K10" i="2"/>
  <c r="L10" i="2" s="1"/>
  <c r="K22" i="2"/>
  <c r="K48" i="2"/>
  <c r="L48" i="2" s="1"/>
  <c r="K60" i="2"/>
  <c r="L60" i="2" s="1"/>
  <c r="K72" i="2"/>
  <c r="K19" i="2"/>
  <c r="K11" i="2"/>
  <c r="K23" i="2"/>
  <c r="K49" i="2"/>
  <c r="L49" i="2" s="1"/>
  <c r="K61" i="2"/>
  <c r="L61" i="2" s="1"/>
  <c r="K73" i="2"/>
  <c r="L73" i="2" s="1"/>
  <c r="K7" i="2"/>
  <c r="L7" i="2" s="1"/>
  <c r="K69" i="2"/>
  <c r="L69" i="2" s="1"/>
  <c r="K12" i="2"/>
  <c r="K24" i="2"/>
  <c r="K38" i="2"/>
  <c r="L38" i="2" s="1"/>
  <c r="K50" i="2"/>
  <c r="L50" i="2" s="1"/>
  <c r="K62" i="2"/>
  <c r="L62" i="2" s="1"/>
  <c r="K74" i="2"/>
  <c r="K13" i="2"/>
  <c r="L13" i="2" s="1"/>
  <c r="K25" i="2"/>
  <c r="L25" i="2" s="1"/>
  <c r="K31" i="2"/>
  <c r="K39" i="2"/>
  <c r="K51" i="2"/>
  <c r="L51" i="2" s="1"/>
  <c r="K63" i="2"/>
  <c r="K75" i="2"/>
  <c r="K15" i="2"/>
  <c r="K27" i="2"/>
  <c r="L27" i="2" s="1"/>
  <c r="K33" i="2"/>
  <c r="L33" i="2" s="1"/>
  <c r="K41" i="2"/>
  <c r="L41" i="2" s="1"/>
  <c r="K53" i="2"/>
  <c r="L53" i="2" s="1"/>
  <c r="K65" i="2"/>
  <c r="L65" i="2" s="1"/>
  <c r="K77" i="2"/>
  <c r="K16" i="2"/>
  <c r="L16" i="2" s="1"/>
  <c r="K28" i="2"/>
  <c r="K34" i="2"/>
  <c r="L34" i="2" s="1"/>
  <c r="K42" i="2"/>
  <c r="L42" i="2" s="1"/>
  <c r="K54" i="2"/>
  <c r="L54" i="2" s="1"/>
  <c r="K66" i="2"/>
  <c r="K57" i="2"/>
  <c r="K17" i="2"/>
  <c r="L17" i="2" s="1"/>
  <c r="K29" i="2"/>
  <c r="L29" i="2" s="1"/>
  <c r="K43" i="2"/>
  <c r="L43" i="2" s="1"/>
  <c r="K55" i="2"/>
  <c r="L55" i="2" s="1"/>
  <c r="K67" i="2"/>
  <c r="K45" i="2"/>
  <c r="K6" i="2"/>
  <c r="L6" i="2" s="1"/>
  <c r="K18" i="2"/>
  <c r="K30" i="2"/>
  <c r="K44" i="2"/>
  <c r="L44" i="2" s="1"/>
  <c r="K56" i="2"/>
  <c r="L56" i="2" s="1"/>
  <c r="K68" i="2"/>
  <c r="L68" i="2" s="1"/>
  <c r="K78" i="2"/>
  <c r="K5" i="8"/>
  <c r="L5" i="8" s="1"/>
  <c r="M5" i="8" s="1"/>
  <c r="R5" i="8" s="1"/>
  <c r="K7" i="8"/>
  <c r="L7" i="8" s="1"/>
  <c r="M7" i="8" s="1"/>
  <c r="R7" i="8" s="1"/>
  <c r="K16" i="8"/>
  <c r="M16" i="8" s="1"/>
  <c r="R16" i="8" s="1"/>
  <c r="K14" i="8"/>
  <c r="M14" i="8" s="1"/>
  <c r="K10" i="8"/>
  <c r="M10" i="8" s="1"/>
  <c r="R10" i="8" s="1"/>
  <c r="K8" i="8"/>
  <c r="L8" i="8" s="1"/>
  <c r="M8" i="8" s="1"/>
  <c r="K17" i="8"/>
  <c r="M17" i="8" s="1"/>
  <c r="K13" i="8"/>
  <c r="M13" i="8" s="1"/>
  <c r="R13" i="8" s="1"/>
  <c r="K4" i="8"/>
  <c r="L4" i="8" s="1"/>
  <c r="M4" i="8" s="1"/>
  <c r="R4" i="8" s="1"/>
  <c r="K11" i="8"/>
  <c r="M11" i="8" s="1"/>
  <c r="K3" i="8"/>
  <c r="L3" i="8" s="1"/>
  <c r="M3" i="8" s="1"/>
  <c r="L81" i="2"/>
  <c r="Q8" i="8" l="1"/>
  <c r="R8" i="8"/>
  <c r="S7" i="8"/>
  <c r="T7" i="8"/>
  <c r="Q11" i="8"/>
  <c r="R11" i="8"/>
  <c r="T9" i="8"/>
  <c r="S9" i="8"/>
  <c r="T13" i="8"/>
  <c r="S13" i="8"/>
  <c r="S15" i="8"/>
  <c r="T15" i="8"/>
  <c r="Q3" i="8"/>
  <c r="R3" i="8"/>
  <c r="S4" i="8"/>
  <c r="T4" i="8"/>
  <c r="Q17" i="8"/>
  <c r="R17" i="8"/>
  <c r="S10" i="8"/>
  <c r="T10" i="8"/>
  <c r="Q14" i="8"/>
  <c r="R14" i="8"/>
  <c r="S16" i="8"/>
  <c r="T16" i="8"/>
  <c r="U1" i="8"/>
  <c r="Q12" i="8"/>
  <c r="R12" i="8"/>
  <c r="S5" i="8"/>
  <c r="T5" i="8"/>
  <c r="Q7" i="8"/>
  <c r="Q10" i="8"/>
  <c r="Q9" i="8"/>
  <c r="Q16" i="8"/>
  <c r="Q5" i="8"/>
  <c r="Q15" i="8"/>
  <c r="Q4" i="8"/>
  <c r="Q13" i="8"/>
  <c r="T8" i="8" l="1"/>
  <c r="S8" i="8"/>
  <c r="S3" i="8"/>
  <c r="T3" i="8"/>
  <c r="S12" i="8"/>
  <c r="T12" i="8"/>
  <c r="S14" i="8"/>
  <c r="T14" i="8"/>
  <c r="S17" i="8"/>
  <c r="T17" i="8"/>
  <c r="T11" i="8"/>
  <c r="S11" i="8"/>
  <c r="M78" i="2"/>
  <c r="T1" i="8" l="1"/>
  <c r="S1" i="8"/>
  <c r="Q78" i="2"/>
  <c r="R78" i="2"/>
  <c r="J3" i="2"/>
  <c r="P3" i="2" l="1"/>
  <c r="U3" i="2"/>
  <c r="U1" i="2" s="1"/>
  <c r="S78" i="2"/>
  <c r="T78" i="2"/>
  <c r="M77" i="2"/>
  <c r="M76" i="2"/>
  <c r="M75" i="2"/>
  <c r="M74" i="2"/>
  <c r="M73" i="2"/>
  <c r="M72" i="2"/>
  <c r="M71" i="2"/>
  <c r="M70" i="2"/>
  <c r="M69" i="2"/>
  <c r="M68" i="2"/>
  <c r="M67" i="2"/>
  <c r="M66" i="2"/>
  <c r="M65" i="2"/>
  <c r="M64" i="2"/>
  <c r="M63" i="2"/>
  <c r="M62" i="2"/>
  <c r="M61" i="2"/>
  <c r="M60" i="2"/>
  <c r="M59" i="2"/>
  <c r="M58" i="2"/>
  <c r="M57" i="2"/>
  <c r="M56" i="2"/>
  <c r="M55" i="2"/>
  <c r="M54" i="2"/>
  <c r="M53" i="2"/>
  <c r="M52" i="2"/>
  <c r="M51" i="2"/>
  <c r="M50" i="2"/>
  <c r="M49" i="2"/>
  <c r="M48" i="2"/>
  <c r="M47" i="2"/>
  <c r="M46" i="2"/>
  <c r="Q59" i="2" l="1"/>
  <c r="R59" i="2"/>
  <c r="Q71" i="2"/>
  <c r="R71" i="2"/>
  <c r="Q50" i="2"/>
  <c r="R50" i="2"/>
  <c r="Q72" i="2"/>
  <c r="R72" i="2"/>
  <c r="Q52" i="2"/>
  <c r="R52" i="2"/>
  <c r="Q76" i="2"/>
  <c r="R76" i="2"/>
  <c r="Q61" i="2"/>
  <c r="R61" i="2"/>
  <c r="Q51" i="2"/>
  <c r="R51" i="2"/>
  <c r="Q77" i="2"/>
  <c r="R77" i="2"/>
  <c r="Q73" i="2"/>
  <c r="R73" i="2"/>
  <c r="Q63" i="2"/>
  <c r="R63" i="2"/>
  <c r="Q54" i="2"/>
  <c r="R54" i="2"/>
  <c r="Q66" i="2"/>
  <c r="R66" i="2"/>
  <c r="Q47" i="2"/>
  <c r="R47" i="2"/>
  <c r="Q49" i="2"/>
  <c r="R49" i="2"/>
  <c r="Q75" i="2"/>
  <c r="R75" i="2"/>
  <c r="Q55" i="2"/>
  <c r="R55" i="2"/>
  <c r="Q67" i="2"/>
  <c r="R67" i="2"/>
  <c r="Q48" i="2"/>
  <c r="R48" i="2"/>
  <c r="Q74" i="2"/>
  <c r="R74" i="2"/>
  <c r="Q53" i="2"/>
  <c r="R53" i="2"/>
  <c r="Q56" i="2"/>
  <c r="R56" i="2"/>
  <c r="Q68" i="2"/>
  <c r="R68" i="2"/>
  <c r="Q60" i="2"/>
  <c r="R60" i="2"/>
  <c r="Q62" i="2"/>
  <c r="R62" i="2"/>
  <c r="Q64" i="2"/>
  <c r="R64" i="2"/>
  <c r="Q65" i="2"/>
  <c r="R65" i="2"/>
  <c r="Q57" i="2"/>
  <c r="R57" i="2"/>
  <c r="Q69" i="2"/>
  <c r="R69" i="2"/>
  <c r="Q46" i="2"/>
  <c r="R46" i="2"/>
  <c r="Q58" i="2"/>
  <c r="R58" i="2"/>
  <c r="Q70" i="2"/>
  <c r="R70" i="2"/>
  <c r="M45" i="2"/>
  <c r="M44" i="2"/>
  <c r="Q45" i="2" l="1"/>
  <c r="R45" i="2"/>
  <c r="S60" i="2"/>
  <c r="T60" i="2"/>
  <c r="S76" i="2"/>
  <c r="T76" i="2"/>
  <c r="T75" i="2"/>
  <c r="S75" i="2"/>
  <c r="T73" i="2"/>
  <c r="S73" i="2"/>
  <c r="S72" i="2"/>
  <c r="T72" i="2"/>
  <c r="S54" i="2"/>
  <c r="T54" i="2"/>
  <c r="S68" i="2"/>
  <c r="T68" i="2"/>
  <c r="S46" i="2"/>
  <c r="T46" i="2"/>
  <c r="S52" i="2"/>
  <c r="T52" i="2"/>
  <c r="S65" i="2"/>
  <c r="T65" i="2"/>
  <c r="S77" i="2"/>
  <c r="T77" i="2"/>
  <c r="S50" i="2"/>
  <c r="T50" i="2"/>
  <c r="S55" i="2"/>
  <c r="T55" i="2"/>
  <c r="S57" i="2"/>
  <c r="T57" i="2"/>
  <c r="S53" i="2"/>
  <c r="T53" i="2"/>
  <c r="T47" i="2"/>
  <c r="S47" i="2"/>
  <c r="T71" i="2"/>
  <c r="S71" i="2"/>
  <c r="T67" i="2"/>
  <c r="S67" i="2"/>
  <c r="T63" i="2"/>
  <c r="S63" i="2"/>
  <c r="Q44" i="2"/>
  <c r="R44" i="2"/>
  <c r="S56" i="2"/>
  <c r="T56" i="2"/>
  <c r="T49" i="2"/>
  <c r="S49" i="2"/>
  <c r="S70" i="2"/>
  <c r="T70" i="2"/>
  <c r="S48" i="2"/>
  <c r="T48" i="2"/>
  <c r="T61" i="2"/>
  <c r="S61" i="2"/>
  <c r="T59" i="2"/>
  <c r="S59" i="2"/>
  <c r="T69" i="2"/>
  <c r="S69" i="2"/>
  <c r="S64" i="2"/>
  <c r="T64" i="2"/>
  <c r="S74" i="2"/>
  <c r="T74" i="2"/>
  <c r="T51" i="2"/>
  <c r="S51" i="2"/>
  <c r="S58" i="2"/>
  <c r="T58" i="2"/>
  <c r="S62" i="2"/>
  <c r="T62" i="2"/>
  <c r="S66" i="2"/>
  <c r="T66" i="2"/>
  <c r="M4" i="2"/>
  <c r="M17" i="2"/>
  <c r="M38" i="2"/>
  <c r="M39" i="2"/>
  <c r="M16" i="2"/>
  <c r="K5" i="2"/>
  <c r="M23" i="2"/>
  <c r="M33" i="2"/>
  <c r="M24" i="2"/>
  <c r="M29" i="2"/>
  <c r="M21" i="2"/>
  <c r="M32" i="2"/>
  <c r="K4" i="2"/>
  <c r="M42" i="2"/>
  <c r="M6" i="2"/>
  <c r="M9" i="2"/>
  <c r="M35" i="2"/>
  <c r="M7" i="2"/>
  <c r="M8" i="2"/>
  <c r="M15" i="2"/>
  <c r="M14" i="2"/>
  <c r="M12" i="2"/>
  <c r="M36" i="2"/>
  <c r="K3" i="2"/>
  <c r="M19" i="2"/>
  <c r="M22" i="2"/>
  <c r="M25" i="2"/>
  <c r="M26" i="2"/>
  <c r="M27" i="2"/>
  <c r="M28" i="2"/>
  <c r="M18" i="2"/>
  <c r="M20" i="2"/>
  <c r="M10" i="2"/>
  <c r="M11" i="2"/>
  <c r="M30" i="2"/>
  <c r="M13" i="2"/>
  <c r="M34" i="2"/>
  <c r="M43" i="2"/>
  <c r="M40" i="2"/>
  <c r="M41" i="2"/>
  <c r="M37" i="2"/>
  <c r="M5" i="2" l="1"/>
  <c r="M3" i="2"/>
  <c r="Q4" i="2"/>
  <c r="R4" i="2"/>
  <c r="Q38" i="2"/>
  <c r="R38" i="2"/>
  <c r="S45" i="2"/>
  <c r="T45" i="2"/>
  <c r="Q28" i="2"/>
  <c r="R28" i="2"/>
  <c r="Q35" i="2"/>
  <c r="R35" i="2"/>
  <c r="Q39" i="2"/>
  <c r="R39" i="2"/>
  <c r="Q40" i="2"/>
  <c r="R40" i="2"/>
  <c r="Q25" i="2"/>
  <c r="R25" i="2"/>
  <c r="Q6" i="2"/>
  <c r="R6" i="2"/>
  <c r="Q22" i="2"/>
  <c r="R22" i="2"/>
  <c r="Q42" i="2"/>
  <c r="R42" i="2"/>
  <c r="Q17" i="2"/>
  <c r="R17" i="2"/>
  <c r="Q16" i="2"/>
  <c r="R16" i="2"/>
  <c r="Q27" i="2"/>
  <c r="R27" i="2"/>
  <c r="Q32" i="2"/>
  <c r="R32" i="2"/>
  <c r="Q37" i="2"/>
  <c r="R37" i="2"/>
  <c r="Q9" i="2"/>
  <c r="R9" i="2"/>
  <c r="Q21" i="2"/>
  <c r="R21" i="2"/>
  <c r="Q12" i="2"/>
  <c r="R12" i="2"/>
  <c r="Q29" i="2"/>
  <c r="R29" i="2"/>
  <c r="S44" i="2"/>
  <c r="T44" i="2"/>
  <c r="Q34" i="2"/>
  <c r="R34" i="2"/>
  <c r="Q14" i="2"/>
  <c r="R14" i="2"/>
  <c r="Q24" i="2"/>
  <c r="R24" i="2"/>
  <c r="Q26" i="2"/>
  <c r="R26" i="2"/>
  <c r="Q43" i="2"/>
  <c r="R43" i="2"/>
  <c r="Q19" i="2"/>
  <c r="R19" i="2"/>
  <c r="Q36" i="2"/>
  <c r="R36" i="2"/>
  <c r="Q15" i="2"/>
  <c r="R15" i="2"/>
  <c r="Q7" i="2"/>
  <c r="R7" i="2"/>
  <c r="Q41" i="2"/>
  <c r="R41" i="2"/>
  <c r="Q13" i="2"/>
  <c r="R13" i="2"/>
  <c r="Q30" i="2"/>
  <c r="R30" i="2"/>
  <c r="Q11" i="2"/>
  <c r="R11" i="2"/>
  <c r="Q10" i="2"/>
  <c r="R10" i="2"/>
  <c r="Q20" i="2"/>
  <c r="R20" i="2"/>
  <c r="Q33" i="2"/>
  <c r="R33" i="2"/>
  <c r="Q18" i="2"/>
  <c r="R18" i="2"/>
  <c r="Q8" i="2"/>
  <c r="R8" i="2"/>
  <c r="Q23" i="2"/>
  <c r="R23" i="2"/>
  <c r="M31" i="2"/>
  <c r="R31" i="2" s="1"/>
  <c r="Q3" i="2" l="1"/>
  <c r="R3" i="2"/>
  <c r="Q5" i="2"/>
  <c r="R5" i="2"/>
  <c r="T3" i="2"/>
  <c r="S3" i="2"/>
  <c r="S38" i="2"/>
  <c r="T38" i="2"/>
  <c r="T4" i="2"/>
  <c r="S4" i="2"/>
  <c r="T25" i="2"/>
  <c r="S25" i="2"/>
  <c r="S41" i="2"/>
  <c r="T41" i="2"/>
  <c r="S21" i="2"/>
  <c r="T21" i="2"/>
  <c r="S39" i="2"/>
  <c r="T39" i="2"/>
  <c r="S43" i="2"/>
  <c r="T43" i="2"/>
  <c r="S40" i="2"/>
  <c r="T40" i="2"/>
  <c r="S17" i="2"/>
  <c r="T17" i="2"/>
  <c r="S12" i="2"/>
  <c r="T12" i="2"/>
  <c r="S15" i="2"/>
  <c r="T15" i="2"/>
  <c r="S14" i="2"/>
  <c r="T14" i="2"/>
  <c r="S9" i="2"/>
  <c r="T9" i="2"/>
  <c r="S42" i="2"/>
  <c r="T42" i="2"/>
  <c r="T35" i="2"/>
  <c r="S35" i="2"/>
  <c r="S27" i="2"/>
  <c r="T27" i="2"/>
  <c r="S29" i="2"/>
  <c r="T29" i="2"/>
  <c r="S31" i="2"/>
  <c r="T31" i="2"/>
  <c r="T11" i="2"/>
  <c r="S11" i="2"/>
  <c r="S34" i="2"/>
  <c r="T34" i="2"/>
  <c r="S22" i="2"/>
  <c r="T22" i="2"/>
  <c r="S28" i="2"/>
  <c r="T28" i="2"/>
  <c r="S18" i="2"/>
  <c r="T18" i="2"/>
  <c r="T26" i="2"/>
  <c r="S26" i="2"/>
  <c r="S24" i="2"/>
  <c r="T24" i="2"/>
  <c r="S33" i="2"/>
  <c r="T33" i="2"/>
  <c r="S7" i="2"/>
  <c r="T7" i="2"/>
  <c r="T23" i="2"/>
  <c r="S23" i="2"/>
  <c r="S6" i="2"/>
  <c r="T6" i="2"/>
  <c r="S5" i="2"/>
  <c r="T5" i="2"/>
  <c r="T13" i="2"/>
  <c r="S13" i="2"/>
  <c r="S16" i="2"/>
  <c r="T16" i="2"/>
  <c r="S20" i="2"/>
  <c r="T20" i="2"/>
  <c r="S10" i="2"/>
  <c r="T10" i="2"/>
  <c r="S36" i="2"/>
  <c r="T36" i="2"/>
  <c r="T37" i="2"/>
  <c r="S37" i="2"/>
  <c r="S8" i="2"/>
  <c r="T8" i="2"/>
  <c r="S30" i="2"/>
  <c r="T30" i="2"/>
  <c r="S19" i="2"/>
  <c r="T19" i="2"/>
  <c r="S32" i="2"/>
  <c r="T32" i="2"/>
  <c r="Q31" i="2"/>
  <c r="S1" i="2" l="1"/>
  <c r="H2" i="3" s="1"/>
  <c r="T1" i="2"/>
  <c r="H3" i="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E6881AD-61D8-4848-88EA-CE203AE2542A}" keepAlive="1" name="Запрос — ВИЭ" description="Соединение с запросом &quot;ВИЭ&quot; в книге." type="5" refreshedVersion="7" background="1" saveData="1">
    <dbPr connection="Provider=Microsoft.Mashup.OleDb.1;Data Source=$Workbook$;Location=ВИЭ;Extended Properties=&quot;&quot;" command="SELECT * FROM [ВИЭ]"/>
  </connection>
</connections>
</file>

<file path=xl/sharedStrings.xml><?xml version="1.0" encoding="utf-8"?>
<sst xmlns="http://schemas.openxmlformats.org/spreadsheetml/2006/main" count="1021" uniqueCount="291">
  <si>
    <t>ID</t>
  </si>
  <si>
    <t>Артикул поставщика</t>
  </si>
  <si>
    <t>Поставщик</t>
  </si>
  <si>
    <t>Под заказ</t>
  </si>
  <si>
    <t>Шестерни ГРМ "ВИЭ" однорядные (под датчик фаз) для Лада Нива 4x4, Шевроле Нива (инжекторный двигатель)</t>
  </si>
  <si>
    <t>Электрокорректор фар на Приора, Калина, Гранта, Шевроле Нива (моторчик)</t>
  </si>
  <si>
    <t>Блокировка линии выбора заднего хода (соленоид) старого образца для Лада Калина</t>
  </si>
  <si>
    <t>1</t>
  </si>
  <si>
    <t>Насос гидроусилителя "DUAL" на Ваз 2110-2112, Лада приора, Нива 4х4, Шевроле Нива</t>
  </si>
  <si>
    <t>Регулятор давления топлива РДТ-300 "ВИЭ" для ВАЗ 2108-21099, 2110-2112, 2113-2115, Лада Калина, Калина 2, Приора, Гранта</t>
  </si>
  <si>
    <t>Регулятор давления топлива "ВИЭ" 380 на ВАЗ 2110-2112, 2113-2115, Лада Приора, Калина, Гранта, Шевроле Нива 1.6л</t>
  </si>
  <si>
    <t>Резистор вентилятора отопителя Panasonic "ВИЭ" для Лада Приора</t>
  </si>
  <si>
    <t>Датчик детонации "ВИЭ" для ВАЗ 2110-2112</t>
  </si>
  <si>
    <t>Датчик скорости "ВИЭ" для Лада Приора</t>
  </si>
  <si>
    <t>Светодиодные фары Лада Веста "аналог"</t>
  </si>
  <si>
    <t>Ремни безопасности передние инерционные "Louis Vuitton" для ВАЗ 2108-21099, 2113-2115</t>
  </si>
  <si>
    <t>Ремни безопасности передние инерционные "SPARCO" для Лада Калина</t>
  </si>
  <si>
    <t>Датчик массового расхода воздуха "ВИЭ" Е-газ для ВАЗ 2113-2115, Лада (Калина, Калина 2, Гранта)</t>
  </si>
  <si>
    <t>Закуп</t>
  </si>
  <si>
    <t>Разн</t>
  </si>
  <si>
    <t>%</t>
  </si>
  <si>
    <t>Рек</t>
  </si>
  <si>
    <t>Факт</t>
  </si>
  <si>
    <t>2112-1148200</t>
  </si>
  <si>
    <t>2111-370640</t>
  </si>
  <si>
    <t>21083-1130010-116</t>
  </si>
  <si>
    <t>21093-3843010</t>
  </si>
  <si>
    <t>2111-3843010</t>
  </si>
  <si>
    <t>2112-1160010</t>
  </si>
  <si>
    <t>21203-1148300</t>
  </si>
  <si>
    <t>21083-1130010-037</t>
  </si>
  <si>
    <t>J7100-090, 5513 2J13</t>
  </si>
  <si>
    <t>2112-3855020</t>
  </si>
  <si>
    <t>2112-370640</t>
  </si>
  <si>
    <t>21110-370501010</t>
  </si>
  <si>
    <t>2170-3843010</t>
  </si>
  <si>
    <t>2190-1139009-09</t>
  </si>
  <si>
    <t>Регулятор холостого хода "ВИЭ" (металлический наконечник) для ВАЗ (2105, 2107, 2108-21099, 2113-2115, 2110-2112), Лада (Калина, Приора, Приора 2)</t>
  </si>
  <si>
    <t>Регулятор холостого хода "ВИЭ" (пластиковый наконечник) для ВАЗ (2105, 2107, 2108-21099, 2113-2115, 2110-2112), Лада (Калина, Приора, Приора 2)</t>
  </si>
  <si>
    <t>Электрокорректор фар для ВАЗ 2110-2112, Лада (Гранта, Гранта FL)</t>
  </si>
  <si>
    <t>Электрокорректор фар для ВАЗ (2108-21099, 2113-2115), Лада (Нива 4х4, Legend)</t>
  </si>
  <si>
    <t>ВИЭ</t>
  </si>
  <si>
    <t>Шлейф подрулевого переключателя "ВИЭ" на Лада Гранта, Калина 2, Приора (под подушку безопасности)</t>
  </si>
  <si>
    <t>Дроссельная заслонка "ВИЭ" 46мм для Лада Нива 4х4, Шевроле Нива</t>
  </si>
  <si>
    <t>Мотор топливного насоса (бензонасоса) "ВИЭ" для Лада Веста</t>
  </si>
  <si>
    <t>Мотор топливного насоса (бензонасоса) "ВИЭ" для Лада Ларгус, Renault (Logan, Sandero, Duster)</t>
  </si>
  <si>
    <t>Мотор топливного насоса (бензонасоса) "ВИЭ" аналог "BOSCH" для ВАЗ (2101-2107, 2108-21099, 2110-2112, 2113-2115), Лада (Калина, Приора, Гранта, Нива 4х4), Шевроле Нива</t>
  </si>
  <si>
    <t>Топливный насос (бензонасос) "ВИЭ" в сборе для Лада Гранта, Калина 2, Калина 2 спорт</t>
  </si>
  <si>
    <t>Датчик скорости (ABS) "ВИЭ" (переднего колеса) для Лада Калина, Приора</t>
  </si>
  <si>
    <t>Датчик скорости (ABS) "ВИЭ" (заднего колеса) для Лада Калина, Приора</t>
  </si>
  <si>
    <t>Датчик скорости (ABS) "ВИЭ" (переднего колеса) для Лада Нива 4х4</t>
  </si>
  <si>
    <t>Датчик скорости (ABS) "ВИЭ" левый (заднего колеса) для Лада Нива 4х4</t>
  </si>
  <si>
    <t>Датчик скорости (ABS) "ВИЭ" правый (заднего колеса) для Лада Нива 4х4</t>
  </si>
  <si>
    <t>Датчик скорости (ABS) "ВИЭ" (переднего колеса) для Лада Веста</t>
  </si>
  <si>
    <t>Датчик скорости (ABS) "ВИЭ" левый (заднего колеса) для Лада Веста</t>
  </si>
  <si>
    <t>Датчик скорости (ABS) "ВИЭ" правый (заднего колеса) для Лада Веста</t>
  </si>
  <si>
    <t>Датчик скорости (ABS) "ВИЭ" (переднего колеса) для Лада Ларгус</t>
  </si>
  <si>
    <t>Датчик скорости (ABS) "ВИЭ" левый (заднего колеса) для Лада Ларгус</t>
  </si>
  <si>
    <t>Датчик скорости (ABS) "ВИЭ" правый (заднего колеса) для Лада Ларгус</t>
  </si>
  <si>
    <t>Дроссельная заслонка "ВИЭ" в сборе с датчиками 46 мм для ВАЗ (2108-21099, 2110-2112, 2113-2115), Лада (Калина, Гранта, Приора)</t>
  </si>
  <si>
    <t>Регулятор давления топлива "ВИЭ" 380 кПА для Лада Веста</t>
  </si>
  <si>
    <t>Регулятор давления топлива "ВИЭ" 350 кПА для Лада Веста</t>
  </si>
  <si>
    <t>Регулятор холостого хода "ВИЭ" (пластиковый наконечник) для Шевроле Нива</t>
  </si>
  <si>
    <t>Регулятор холостого хода "ВИЭ" (металлический наконечник) для Шевроле Нива</t>
  </si>
  <si>
    <t>Топливный насос (бензонасос) "ВИЭ" 21074 в сборе для ВАЗ 2101-2107 (инжекторный двигатель)</t>
  </si>
  <si>
    <t>Топливный насос (бензонасос) "ВИЭ" 21044 в сборе для ВАЗ 2101-2107 (инжекторный двигатель)</t>
  </si>
  <si>
    <t>Топливный насос (бензонасос) "ВИЭ" 2112 в сборе для ВАЗ 2110-2112, 2113-2115</t>
  </si>
  <si>
    <t>Топливный насос (бензонасос) "ВИЭ" 21102 в сборе для ВАЗ 2110-2112, 2113-2115 (объём двигателя 1.5 л)</t>
  </si>
  <si>
    <t>Топливный насос (бензонасос) "ВИЭ" 21083 в сборе для ВАЗ 2108-21099, 2113-2115 (объём двигателя 1.5 л)</t>
  </si>
  <si>
    <t>Топливный насос (бензонасос) "ВИЭ" 21214 С/О в сборе для Лада Нива 4х4</t>
  </si>
  <si>
    <t>Топливный насос (бензонасос) "ВИЭ" 21313 Н/О в сборе для Лада Нива 4х4</t>
  </si>
  <si>
    <t>Топливный насос (бензонасос) "ВИЭ" 2123 в сборе для Шевроле Нива</t>
  </si>
  <si>
    <t>Топливный насос (бензонасос) "Моторика" в сборе (моторчик AISAN) для Лада Ларгус</t>
  </si>
  <si>
    <t>Топливный насос (бензонасос) "ВИЭ" в сборе для ВАЗ (2110-2112, 2113-2115), Лада Приора</t>
  </si>
  <si>
    <t>21101-1139009</t>
  </si>
  <si>
    <t>Мотор топливного насоса (бензонасос) "ВИЭ" для ВАЗ (2108-21099, 2113-2115, 2110-2112), Лада Калина</t>
  </si>
  <si>
    <t>2112-1148010-46</t>
  </si>
  <si>
    <t>21214-1005030/
21214-1006020/
21214-1011220</t>
  </si>
  <si>
    <t>2123-1148010-46</t>
  </si>
  <si>
    <t>2112-1148300</t>
  </si>
  <si>
    <t>1118-1130010</t>
  </si>
  <si>
    <t>1118-8217008</t>
  </si>
  <si>
    <t>2114-8217020</t>
  </si>
  <si>
    <t>2190-1139009</t>
  </si>
  <si>
    <t>2111-3705010</t>
  </si>
  <si>
    <t>2111-1132010</t>
  </si>
  <si>
    <t>21083-1130010</t>
  </si>
  <si>
    <t>8450006923</t>
  </si>
  <si>
    <t>2170-3709315</t>
  </si>
  <si>
    <t>1118-3709315</t>
  </si>
  <si>
    <t>6001547603V</t>
  </si>
  <si>
    <t>21127-1132010</t>
  </si>
  <si>
    <t>1118-1132010</t>
  </si>
  <si>
    <t>2180-1139011</t>
  </si>
  <si>
    <t>1118-1160010</t>
  </si>
  <si>
    <t>2170-8118022</t>
  </si>
  <si>
    <t>2112-3706040</t>
  </si>
  <si>
    <t>2112-1148015</t>
  </si>
  <si>
    <t>1118-3538350</t>
  </si>
  <si>
    <t>1118-3538370</t>
  </si>
  <si>
    <t>479101292R</t>
  </si>
  <si>
    <t>479007380R</t>
  </si>
  <si>
    <t>479000527R</t>
  </si>
  <si>
    <t>21214-3538350</t>
  </si>
  <si>
    <t>21214-3538371</t>
  </si>
  <si>
    <t>21214-3538370</t>
  </si>
  <si>
    <t>1118-1414050</t>
  </si>
  <si>
    <t>2112-11392009</t>
  </si>
  <si>
    <t>21044-1139009</t>
  </si>
  <si>
    <t>21102-1139009</t>
  </si>
  <si>
    <t>21083-1139009</t>
  </si>
  <si>
    <t>2112-1139009</t>
  </si>
  <si>
    <t>21214-1139009</t>
  </si>
  <si>
    <t>21313-1139009</t>
  </si>
  <si>
    <t>2123-1139009</t>
  </si>
  <si>
    <t>21074-1139009</t>
  </si>
  <si>
    <t>2123-3718100</t>
  </si>
  <si>
    <t>2110-3718010</t>
  </si>
  <si>
    <t>2108-3718010</t>
  </si>
  <si>
    <t>2110-3407009</t>
  </si>
  <si>
    <t>8450006952 / 8450006953</t>
  </si>
  <si>
    <t>Наименование</t>
  </si>
  <si>
    <t>Розница</t>
  </si>
  <si>
    <t>6</t>
  </si>
  <si>
    <t>11180370931502</t>
  </si>
  <si>
    <t>21700370931510</t>
  </si>
  <si>
    <t>21700370931500</t>
  </si>
  <si>
    <t>2112-1148200 / 39.3855/1</t>
  </si>
  <si>
    <t>Форсунка топливная "ВИЭ" 735 электромагнитная, голубая, тонкая для ВАЗ 2110-2112, Лада (Калина 2, Приора, Приора 2, Гранта) (16-ти клапанный двигатель)</t>
  </si>
  <si>
    <t>VAZ 20735</t>
  </si>
  <si>
    <t>VAZ 6238</t>
  </si>
  <si>
    <t>Форсунка топливная "ВИЭ" 502 электромагнитная, длинная для ВАЗ (2104, 2105, 2107, 2108-21099, 2110-2112, 2113-2115), Лада Нива 4х4, Шевроле Нива</t>
  </si>
  <si>
    <t>02801585020</t>
  </si>
  <si>
    <t>Форсунка топливная "ВИЭ" 734 электромагнитная оранжевая, тонкая для ВАЗ (2110-2112, 2113-2115), Лада (Калина, Калина 2, Приора, Приора 2, Гранта, Нива 4х4), Шевроле Нива (8-ми клапанный двигатель, 1.6 л)</t>
  </si>
  <si>
    <t>VAZ 20734</t>
  </si>
  <si>
    <t>Форсунка топливная "ВИЭ" 6393 электромагнитная, бежевая, толстая для ВАЗ 2104, 2105, 2107, 2108-21099, 2110-2112, 2113-2115 (8-ми клапанный двигатель, 1.5 л, 1.6 л)</t>
  </si>
  <si>
    <t>VAZ 6393</t>
  </si>
  <si>
    <t>ВИЭ 2180</t>
  </si>
  <si>
    <t>0588455055</t>
  </si>
  <si>
    <t>21140821702030</t>
  </si>
  <si>
    <t>111808217008</t>
  </si>
  <si>
    <t>111801130010</t>
  </si>
  <si>
    <t>Электрокорректор фар (моторчик) "под BOSCH" для Лада (Калина, Калина 2, Приора, Приора 2, Гранта), Шевроле Нива</t>
  </si>
  <si>
    <t>Форсунка топливная "ВИЭ" 72370 электромагнитная для Лада (Калина, Калина 2, Приора, Приора 2, Гранта, Гранта FL, Ларгус, Веста NG), Датсун (mi-Do, on-Do) (8-ми клапанный двигатель, 1.6 л)</t>
  </si>
  <si>
    <t>VAZ 72370</t>
  </si>
  <si>
    <t>Форсунка топливная "ВИЭ" 052 электромагнитная для Лада Калина 2, Приора 2, Гранта, Гранта FL, Ларгус, Ларгус FL, Веста, XRAY (с двигателем ВАЗ 21127, 21129)</t>
  </si>
  <si>
    <t>28346052</t>
  </si>
  <si>
    <t>211011139009</t>
  </si>
  <si>
    <t>Форсунка топливная "ВИЭ" 017 электромагнитная оранжевая, тонкая для ВАЗ (2110-2112, 2113-2115), Лада (Калина, Калина 2, Приора, Приора 2, Гранта, Нива 4х4), Шевроле Нива (8-ми клапанный двигатель, 1.6 л)</t>
  </si>
  <si>
    <t>21114113201082</t>
  </si>
  <si>
    <t>Подрулевой шлейф под руль нового образца для Лада Клина 2, Приора, Гранта, Гранта FL</t>
  </si>
  <si>
    <t>2170-3709315-00</t>
  </si>
  <si>
    <t>Катушка зажигания четырехвыводная "ВИЭ" 2111 для ВАЗ (2110-2112, 2113-2115), Лада (Калина, Калина 2, Приора, Гранта, Гранта FL, Ларгус, Нива 4х4, Нива Travel, Legend), Шевроле Нива</t>
  </si>
  <si>
    <t>Дроссельная заслонка "ВИЭ" в сборе с датчиками (50 мм, Е-Газ) для ВАЗ 2113-2115, Лада (Калина, Калина 2, Приора, Приора 2, Гранта)</t>
  </si>
  <si>
    <t>21116-1148010</t>
  </si>
  <si>
    <t>Мин</t>
  </si>
  <si>
    <t>Макс</t>
  </si>
  <si>
    <t>https://motorring.ru/product/88-drosselynaya-zaslonka-vaz-2108-2115-lada-priora-kalina-granta</t>
  </si>
  <si>
    <t>https://motorring.ru/product/12200-standartnaya-drosselynaya-zaslonka-vaz-2108-2115-2110-2112</t>
  </si>
  <si>
    <t>https://motorring.ru/product/16635-standartnaya-drosselynaya-zaslonka-lada-4h4-niva-2121-21213</t>
  </si>
  <si>
    <t>https://motorring.ru/product/18249-motor-elektrobenzonasosa-2112-povyshennoy</t>
  </si>
  <si>
    <t>https://motorring.ru/product/11342-regulyator-holostogo-hoda-vie-lada-4h4-shevrole-niva</t>
  </si>
  <si>
    <t>https://motorring.ru/product/20644-forsunka-735-vie-16kl-vaz-2110-2112-lada-kalina-priora</t>
  </si>
  <si>
    <t>https://motorring.ru/product/3061-moduly-zaghiganiya-soate-vaz-2104-2107-2110-2112-lada</t>
  </si>
  <si>
    <t>https://motorring.ru/product/20639-motor-elektrobenzonasosa-vie-lada-vesta</t>
  </si>
  <si>
    <t>https://motorring.ru/product/20645-forsunka-6238-vie-vaz-2108-21099-2110-2112-2113-2115</t>
  </si>
  <si>
    <t>https://motorring.ru/product/94-drosselynaya-zaslonka-lada-4h4-shevrole-niva-prokladka</t>
  </si>
  <si>
    <t>https://motorring.ru/product/96-drosselynaya-zaslonka-lada-4h4-shevrole-niva-prokladka</t>
  </si>
  <si>
    <t>https://motorring.ru/product/89-drosselynaya-zaslonka-vaz-2108-2115-lada-priora-kalina-granta</t>
  </si>
  <si>
    <t>https://motorring.ru/product/90-drosselynaya-zaslonka-vaz-2108-2115-lada-priora-kalina-granta</t>
  </si>
  <si>
    <t>https://motorring.ru/product/20704-regulyator-davleniya-topliva-vie-380-vaz-2110-2115-lada</t>
  </si>
  <si>
    <t>https://motorring.ru/product/20641-regulyator-holostogo-hoda-vie-vaz-2105-2107-2108-21099</t>
  </si>
  <si>
    <t>https://motorring.ru/product/15607-elektrokorrektor-far-lada-niva</t>
  </si>
  <si>
    <t>https://motorring.ru/product/5530-elektrokorrektor-far-dlya-lada-granta</t>
  </si>
  <si>
    <t>https://motorring.ru/product/40555-drosselynaya-zaslonka-vie-21116-lada-priora-kalina-granta</t>
  </si>
  <si>
    <t>https://motorring.ru/product/3047-rezistor-elektronnogo-ventilyatora-otopitelya-dlya-lada</t>
  </si>
  <si>
    <t>https://motorring.ru/product/95-drosselynaya-zaslonka-lada-4h4-shevrole-niva-prokladka</t>
  </si>
  <si>
    <t>Дроссельная заслонка "ВИЭ" 46 мм для ВАЗ (2104, 2105, 2107, 2108-21099, 2110-2112, 2113-2115), Лада (Калина, Приора)</t>
  </si>
  <si>
    <t>Дроссельная заслонка "ВИЭ" для Лада Нива 4х4, Шевроле Нива (56 мм)</t>
  </si>
  <si>
    <t>Дроссельная заслонка "ВИЭ" для Лада Нива 4х4, Шевроле Нива (54 мм)</t>
  </si>
  <si>
    <t>Дроссельная заслонка "ВИЭ" для Лада Нива 4х4, Шевроле Нива (52 мм)</t>
  </si>
  <si>
    <t>Дроссельная заслонка "ВИЭ" для ВАЗ 2108 (56 мм)</t>
  </si>
  <si>
    <t>Дроссельная заслонка "ВИЭ" для ВАЗ 2108 (54 мм)</t>
  </si>
  <si>
    <t>Дроссельная заслонка "ВИЭ" для ВАЗ 2108 (52 мм)</t>
  </si>
  <si>
    <t>Дроссельная заслонка "ВИЭ" для ВАЗ 2101, 2104, 2105, 2106, 2107 (56 мм)</t>
  </si>
  <si>
    <t>Дроссельная заслонка "ВИЭ" для ВАЗ 2101, 2104, 2105, 2106, 2107 (54 мм)</t>
  </si>
  <si>
    <t>Дроссельная заслонка "ВИЭ" для ВАЗ 2101, 2104, 2105, 2106, 2107 (52 мм)</t>
  </si>
  <si>
    <t>Дроссельная заслонка "ВИЭ" в сборе с датчиками для Лада Нива 4х4, Шевроле Нива (56 мм)</t>
  </si>
  <si>
    <t>Дроссельная заслонка "ВИЭ" в сборе с датчиками для Лада Нива 4х4, Шевроле Нива (54 мм)</t>
  </si>
  <si>
    <t>Дроссельная заслонка "ВИЭ" в сборе с датчиками для Лада Нива 4х4, Шевроле Нива (52 мм)</t>
  </si>
  <si>
    <t>Дроссельная заслонка "ВИЭ" в сборе с датчиками для ВАЗ (2108-21099, 2113-2115, 2110-2112), Лада (Приора, Калина) (56 мм)</t>
  </si>
  <si>
    <t>Дроссельная заслонка "ВИЭ" в сборе с датчиками для ВАЗ (2108-21099, 2113-2115, 2110-2112), Лада (Приора, Калина) (54 мм)</t>
  </si>
  <si>
    <t>Дроссельная заслонка "ВИЭ" в сборе с датчиками для ВАЗ (2108-21099, 2113-2115, 2110-2112), Лада (Приора, Калина) (52 мм)</t>
  </si>
  <si>
    <t>MR</t>
  </si>
  <si>
    <t>снят</t>
  </si>
  <si>
    <t>Ст Р</t>
  </si>
  <si>
    <t>Ст З</t>
  </si>
  <si>
    <t>Кат. Номер</t>
  </si>
  <si>
    <t>Код</t>
  </si>
  <si>
    <t>Наименование элемента</t>
  </si>
  <si>
    <t>Y / N</t>
  </si>
  <si>
    <t>Каталожный номер</t>
  </si>
  <si>
    <t>Ссылка на конкурентов</t>
  </si>
  <si>
    <t>Кол-во</t>
  </si>
  <si>
    <t>Склад</t>
  </si>
  <si>
    <t>Y</t>
  </si>
  <si>
    <t>Датчик массового расхода воздуха "ВИЭ" (аналог 280218037) для ВАЗ (2108-21099, 2110-2112, 2113-2115), Шевроле Нива</t>
  </si>
  <si>
    <t>0</t>
  </si>
  <si>
    <t>Датчик массового расхода воздуха "ВИЭ" (аналог 280218116) для ВАЗ (2110-2112, 2113-2115), Лада (Калина, Приора, Нива 4х4), Шевроле Нива (с 2005 года выпуска, евро 2, 3)</t>
  </si>
  <si>
    <t>Датчик положения дроссельной заслонки (ДПДЗ) "ВИЭ" для ВАЗ (2108-21099, 2113-2115, 2110-2112), Лада (Калина, Приора, Гранта, Нива 4х4), Шевроле Нива</t>
  </si>
  <si>
    <t>Датчик скорости "ВИЭ" для ВАЗ 2108-21099 (с механической комбинацией приборов)</t>
  </si>
  <si>
    <t>Датчик скорости "ВИЭ" для ВАЗ 2110-2112, 2113-2115 (с электронной комбинацией приборов)</t>
  </si>
  <si>
    <t>Датчик фаз "ВИЭ" (АНАЛОГ 141,3855) для ВАЗ (2108-21099, 2110-2112, 2113-2115), Лада (Калина, Приора, Гранта, Нива 4х4), Шевроле Нива (с 8-ми клапанным двигателем)</t>
  </si>
  <si>
    <t>Корпус подрулевого переключателя "ВИЭ" для Лада (Калина 2, Гранта, Гранта FL, Приора, Приора 2) (под навигацию, с круиз-контролем)</t>
  </si>
  <si>
    <t>Модуль подрулевых переключателей "Renault" в сборе без ПТФ для Лада Веста</t>
  </si>
  <si>
    <t>Регулятор холостого хода "ВИЭ" для Лада Нива 4х4, Шевроле Нива</t>
  </si>
  <si>
    <t>Форсунка топливная "ВИЭ" 6238 электромагнитная, серая, толстая для ВАЗ 2108-21099, 2110-2112, 2113-2115 (объём двигателя 1.5 л)</t>
  </si>
  <si>
    <t>Шлейф подрулевого переключателя "ВИЭ" для Лада Приора, Лада Калина (до 2011г.в., под подушку безопастности)</t>
  </si>
  <si>
    <t>Элемент каталога</t>
  </si>
  <si>
    <t>Код товара</t>
  </si>
  <si>
    <t>Ссылка</t>
  </si>
  <si>
    <t>Ряд</t>
  </si>
  <si>
    <t>Элемент</t>
  </si>
  <si>
    <t>https://motorring.ru/product/38951-forsunka-vie-017-dlya-8-klapannyh-vaz-2110-2112-lada-kalina</t>
  </si>
  <si>
    <t>https://motorring.ru/product/38958-elektrobenzonasos-sbore-vie-21101-vaz-2110-2112-lada</t>
  </si>
  <si>
    <t>https://motorring.ru/product/38959-elektrobenzonasos-sbore-vie-vaz-21044-dlya-vaz-2101-2107</t>
  </si>
  <si>
    <t>https://motorring.ru/product/38963-elektrobenzonasos-vie-2123-sbore-dlya-shevrole-niva</t>
  </si>
  <si>
    <t>https://motorring.ru/product/38962-elektrobenzonas-vie-sbore-novogo-obrazca-shtucere-21313</t>
  </si>
  <si>
    <t>https://motorring.ru/product/38961-elektrobenzonas-vie-sbore-starogo-obrazca-gayke-21214</t>
  </si>
  <si>
    <t>https://motorring.ru/product/38960-elektrobenzonasos-sbore-vie-vaz-2110-2112-2113-2115</t>
  </si>
  <si>
    <t>https://motorring.ru/product/38946-regulyator-holostogo-hoda-vie-plastikoviy-nakonechnik-lada-niva</t>
  </si>
  <si>
    <t>https://motorring.ru/product/38955-forsunka-vie-72370-dlya-lada-kalina-kalina-priora-granta</t>
  </si>
  <si>
    <t>https://motorring.ru/product/20636-datchik-faz-vie-analog-141-3855-vaz</t>
  </si>
  <si>
    <t>https://motorring.ru/product/18963-podrulevoy-pereklyuchately-shleyf-starogo-obrazca-dlya-lada</t>
  </si>
  <si>
    <t>https://motorring.ru/product/15358-podrulevoy-pereklyuchately-shleyf-novogo-obrazca-lada</t>
  </si>
  <si>
    <t>https://motorring.ru/product/20640-motor-elektrobenzonasosa-vie-lada-largus-reno-logan-sandero</t>
  </si>
  <si>
    <t>https://motorring.ru/product/38942-datchik-faz-vie-dlya-inghektornyh-vaz</t>
  </si>
  <si>
    <t>https://motorring.ru/product/19060-standartnaya-drosselynaya-zaslonka-sbore-datchikami-vaz</t>
  </si>
  <si>
    <t>https://motorring.ru/product/13316-prokladka-drosselynoy-zaslonki-vaz-2108-2115-lada-priora-kalina-k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</si>
  <si>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</si>
  <si>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</si>
  <si>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</si>
  <si>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</si>
  <si>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</si>
  <si>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</si>
  <si>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</si>
  <si>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</si>
  <si>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</si>
  <si>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</si>
  <si>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</si>
  <si>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</si>
  <si>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</si>
  <si>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</si>
  <si>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</si>
  <si>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</si>
  <si>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</si>
  <si>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</si>
  <si>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</si>
  <si>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https://docs.google.com/spreadsheets/d/1f8_y-lcqVEuKpceVw_F97NEKzue5YmQtx8GIXUS_2B8/export?format=xlsx</t>
  </si>
  <si>
    <t>//*[@id="e-curr-price"]/text()</t>
  </si>
  <si>
    <t>//*[@class="p_club_price pb5"]/text()</t>
  </si>
  <si>
    <t>Цена</t>
  </si>
  <si>
    <t/>
  </si>
  <si>
    <t>Арт</t>
  </si>
  <si>
    <t>https://motorring.ru/product/17852-regulyator-davleniya-topliva-rdt-300-vie-21083</t>
  </si>
  <si>
    <t>https://motorring.ru/product/20635-halyaving-datchik-skorosti-vie-dlya-vaz-2108-21099</t>
  </si>
  <si>
    <t>Датчик ФАЗ "ВИЭ" ВАЗ 2110-2112</t>
  </si>
  <si>
    <t>Дроссельная заслонка "ВИЭ" в сборе с датчиками (46 мм) для Лада Нива 4х4, Шевроле Нива</t>
  </si>
  <si>
    <t>Прокладка дроссельной заслонки "ВИЭ" для ВАЗ (2108-21099, 2110-2112, 2113-2115),  Лада (Калина, Приора)</t>
  </si>
  <si>
    <t>21120-1148015-00</t>
  </si>
  <si>
    <t>Дроссельная заслонка "ВИЭ" (52 / 54 / 56 мм) для ВАЗ (2108-21099, 2113-2115, 2110-2112), Лада (Приора, Калина)</t>
  </si>
  <si>
    <t>Дроссельная заслонка "ВИЭ" (52 / 54 / 56 мм) для ВАЗ 2101, 2104, 2105, 2106, 2107</t>
  </si>
  <si>
    <t>Дроссельная заслонка "ВИЭ" (52 / 54 / 56 мм) для Лада Нива 4х4, Шевроле Нива</t>
  </si>
  <si>
    <t>Дроссельная заслонка "ВИЭ" в сборе с датчиками (52 / 54 / 56 мм) для ВАЗ (2108-21099, 2113-2115, 2110-2112), Лада (Приора, Калина)</t>
  </si>
  <si>
    <t>Дроссельная заслонка "ВИЭ" в сборе с датчиками (52 / 54 / 56 мм) для Лада Нива 4х4, Шевроле Нива</t>
  </si>
  <si>
    <t>РЦ</t>
  </si>
  <si>
    <t>Арт.</t>
  </si>
  <si>
    <t>№№</t>
  </si>
  <si>
    <t>СВОД</t>
  </si>
  <si>
    <t>Данные</t>
  </si>
  <si>
    <t>Переменные</t>
  </si>
  <si>
    <t>33s</t>
  </si>
  <si>
    <t>Google</t>
  </si>
  <si>
    <t>Доп</t>
  </si>
  <si>
    <t>https://33sport.ru/catalog/elektirika_vaz/datchiki_vaz/datchiki_faz_vaz/datchik_faz_2112_vie_toltti_-2112-3706040/</t>
  </si>
  <si>
    <t>https://33sport.ru/catalog/elektirika_vaz/datchiki_vaz/datchiki_detonatsii5031/datchik_detonatsii_2112_vie_tolyatti_-2112-3855020/</t>
  </si>
  <si>
    <t>https://33sport.ru/catalog/elektirika_vaz/datchiki_vaz/datchiki_polozheniya_zaslonki_vaz/datchik_polozheniya_zaslonki_vie_tolyatti_-2112-1148200/</t>
  </si>
  <si>
    <t>https://33sport.ru/catalog/elektirika_vaz/datchiki_vaz/datchiki_kholostogo_khoda_vaz/regulyator_kholostogo_khoda_2112_vie_tolyatti_usilennyy_-2112-1148300/</t>
  </si>
  <si>
    <t>https://33sport.ru/catalog/elektirika_vaz/datchiki_vaz/datchiki_kholostogo_khoda_vaz/regulyator_kholostogo_khoda_21203_vie_tolyatti_usilennyy_-21203-1148300/</t>
  </si>
  <si>
    <t>https://33sport.ru/catalog/elektirika_vaz/benzonasos_vaz/motor_el-benzonasosa_2112_vie_-tolyatti-_vaz-inomarki-davl-6atm_-2112-11392009/</t>
  </si>
  <si>
    <t>https://33sport.ru/catalog/elektirika_vaz/benzonasos_vaz/motor_elektrobenzonasosa_-vie-_dlya_lada_vesta/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</si>
</sst>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3">
    <font>
      <sz val="11"/>
      <color theme="1"/>
      <name val="Calibri"/>
      <family val="2"/>
      <scheme val="minor"/>
    </font>
    <font>
      <sz val="10"/>
      <color theme="1"/>
      <name val="Calibri"/>
      <family val="2"/>
      <charset val="204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1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b/>
      <sz val="15"/>
      <color theme="3"/>
      <name val="Calibri"/>
      <family val="2"/>
      <charset val="204"/>
    </font>
    <font>
      <b/>
      <sz val="13"/>
      <color theme="3"/>
      <name val="Calibri"/>
      <family val="2"/>
      <charset val="204"/>
    </font>
    <font>
      <b/>
      <sz val="11"/>
      <color theme="3"/>
      <name val="Calibri"/>
      <family val="2"/>
      <charset val="204"/>
    </font>
    <font>
      <sz val="10"/>
      <color rgb="FF006100"/>
      <name val="Calibri"/>
      <family val="2"/>
      <charset val="204"/>
    </font>
    <font>
      <sz val="10"/>
      <color rgb="FF9C0006"/>
      <name val="Calibri"/>
      <family val="2"/>
      <charset val="204"/>
    </font>
    <font>
      <sz val="10"/>
      <color rgb="FF9C5700"/>
      <name val="Calibri"/>
      <family val="2"/>
      <charset val="204"/>
    </font>
    <font>
      <sz val="10"/>
      <color rgb="FF3F3F76"/>
      <name val="Calibri"/>
      <family val="2"/>
      <charset val="204"/>
    </font>
    <font>
      <b/>
      <sz val="10"/>
      <color rgb="FF3F3F3F"/>
      <name val="Calibri"/>
      <family val="2"/>
      <charset val="204"/>
    </font>
    <font>
      <b/>
      <sz val="10"/>
      <color rgb="FFFA7D00"/>
      <name val="Calibri"/>
      <family val="2"/>
      <charset val="204"/>
    </font>
    <font>
      <sz val="10"/>
      <color rgb="FFFA7D00"/>
      <name val="Calibri"/>
      <family val="2"/>
      <charset val="204"/>
    </font>
    <font>
      <b/>
      <sz val="10"/>
      <color theme="0"/>
      <name val="Calibri"/>
      <family val="2"/>
      <charset val="204"/>
    </font>
    <font>
      <sz val="10"/>
      <color rgb="FFFF0000"/>
      <name val="Calibri"/>
      <family val="2"/>
      <charset val="204"/>
    </font>
    <font>
      <i/>
      <sz val="10"/>
      <color rgb="FF7F7F7F"/>
      <name val="Calibri"/>
      <family val="2"/>
      <charset val="204"/>
    </font>
    <font>
      <b/>
      <sz val="10"/>
      <color theme="1"/>
      <name val="Calibri"/>
      <family val="2"/>
      <charset val="204"/>
    </font>
    <font>
      <sz val="10"/>
      <color theme="0"/>
      <name val="Calibri"/>
      <family val="2"/>
      <charset val="204"/>
    </font>
    <font>
      <sz val="10"/>
      <color theme="1"/>
      <name val="Arial Unicode MS"/>
    </font>
    <font>
      <b/>
      <sz val="11"/>
      <color theme="1"/>
      <name val="Calibri"/>
      <family val="1"/>
      <charset val="204"/>
    </font>
    <font>
      <b/>
      <sz val="10"/>
      <color theme="1"/>
      <name val="Calibri"/>
      <family val="2"/>
      <charset val="204"/>
      <scheme val="minor"/>
    </font>
    <font>
      <u/>
      <sz val="11"/>
      <color theme="11"/>
      <name val="Calibri"/>
      <family val="2"/>
      <scheme val="minor"/>
    </font>
    <font>
      <sz val="10"/>
      <color rgb="FFC00000"/>
      <name val="Calibri"/>
      <family val="2"/>
      <charset val="204"/>
    </font>
    <font>
      <sz val="10"/>
      <color rgb="FF7030A0"/>
      <name val="Calibri"/>
      <family val="2"/>
      <charset val="204"/>
    </font>
    <font>
      <sz val="10"/>
      <color theme="5" tint="-0.24994659260841701"/>
      <name val="Calibri"/>
      <family val="2"/>
      <charset val="204"/>
    </font>
    <font>
      <sz val="10"/>
      <name val="Calibri"/>
      <family val="2"/>
      <charset val="204"/>
    </font>
    <font>
      <sz val="1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charset val="204"/>
      <scheme val="minor"/>
    </font>
  </fonts>
  <fills count="4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0070C0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double">
        <color rgb="FFFF0000"/>
      </right>
      <top/>
      <bottom style="double">
        <color rgb="FFFF0000"/>
      </bottom>
      <diagonal/>
    </border>
    <border>
      <left/>
      <right style="double">
        <color rgb="FF7030A0"/>
      </right>
      <top/>
      <bottom style="double">
        <color rgb="FF7030A0"/>
      </bottom>
      <diagonal/>
    </border>
    <border>
      <left/>
      <right style="double">
        <color theme="5" tint="-0.24994659260841701"/>
      </right>
      <top/>
      <bottom style="double">
        <color theme="5" tint="-0.24994659260841701"/>
      </bottom>
      <diagonal/>
    </border>
    <border diagonalUp="1">
      <left style="thin">
        <color rgb="FFC00000"/>
      </left>
      <right style="thin">
        <color rgb="FFC00000"/>
      </right>
      <top style="thin">
        <color rgb="FFC00000"/>
      </top>
      <bottom style="thin">
        <color rgb="FFC00000"/>
      </bottom>
      <diagonal style="thin">
        <color rgb="FFC00000"/>
      </diagonal>
    </border>
    <border>
      <left/>
      <right style="double">
        <color theme="0"/>
      </right>
      <top/>
      <bottom style="double">
        <color theme="0"/>
      </bottom>
      <diagonal/>
    </border>
  </borders>
  <cellStyleXfs count="44">
    <xf numFmtId="0" fontId="0" fillId="0" borderId="0"/>
    <xf numFmtId="9" fontId="2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6" fillId="0" borderId="1" applyNumberFormat="0" applyFill="0" applyAlignment="0" applyProtection="0"/>
    <xf numFmtId="0" fontId="7" fillId="0" borderId="2" applyNumberFormat="0" applyFill="0" applyAlignment="0" applyProtection="0"/>
    <xf numFmtId="0" fontId="8" fillId="0" borderId="3" applyNumberFormat="0" applyFill="0" applyAlignment="0" applyProtection="0"/>
    <xf numFmtId="0" fontId="8" fillId="0" borderId="0" applyNumberFormat="0" applyFill="0" applyBorder="0" applyAlignment="0" applyProtection="0"/>
    <xf numFmtId="0" fontId="9" fillId="2" borderId="0" applyNumberFormat="0" applyBorder="0" applyAlignment="0" applyProtection="0"/>
    <xf numFmtId="0" fontId="10" fillId="3" borderId="0" applyNumberFormat="0" applyBorder="0" applyAlignment="0" applyProtection="0"/>
    <xf numFmtId="0" fontId="11" fillId="4" borderId="0" applyNumberFormat="0" applyBorder="0" applyAlignment="0" applyProtection="0"/>
    <xf numFmtId="0" fontId="12" fillId="5" borderId="4" applyNumberFormat="0" applyAlignment="0" applyProtection="0"/>
    <xf numFmtId="0" fontId="13" fillId="6" borderId="5" applyNumberFormat="0" applyAlignment="0" applyProtection="0"/>
    <xf numFmtId="0" fontId="14" fillId="6" borderId="4" applyNumberFormat="0" applyAlignment="0" applyProtection="0"/>
    <xf numFmtId="0" fontId="15" fillId="0" borderId="6" applyNumberFormat="0" applyFill="0" applyAlignment="0" applyProtection="0"/>
    <xf numFmtId="0" fontId="16" fillId="7" borderId="7" applyNumberFormat="0" applyAlignment="0" applyProtection="0"/>
    <xf numFmtId="0" fontId="17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0" fontId="25" fillId="0" borderId="14" applyNumberFormat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26" fillId="0" borderId="15" applyNumberFormat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27" fillId="0" borderId="16" applyNumberFormat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25" fillId="31" borderId="17" applyNumberFormat="0" applyProtection="0">
      <alignment horizontal="center" vertical="center" wrapText="1"/>
    </xf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20" fillId="32" borderId="18" applyNumberFormat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28" fillId="29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24" fillId="0" borderId="0" applyNumberFormat="0" applyFill="0" applyBorder="0" applyAlignment="0" applyProtection="0"/>
  </cellStyleXfs>
  <cellXfs count="71">
    <xf numFmtId="0" fontId="0" fillId="0" borderId="0" xfId="0"/>
    <xf numFmtId="0" fontId="30" fillId="28" borderId="11" xfId="0" applyFont="1" applyFill="1" applyBorder="1" applyAlignment="1">
      <alignment horizontal="left" vertical="center"/>
    </xf>
    <xf numFmtId="0" fontId="0" fillId="0" borderId="10" xfId="0" applyBorder="1" applyAlignment="1">
      <alignment horizontal="center"/>
    </xf>
    <xf numFmtId="0" fontId="0" fillId="0" borderId="12" xfId="0" applyBorder="1" applyAlignment="1">
      <alignment horizontal="center"/>
    </xf>
    <xf numFmtId="1" fontId="5" fillId="0" borderId="10" xfId="0" applyNumberFormat="1" applyFont="1" applyBorder="1" applyAlignment="1">
      <alignment horizontal="left" wrapText="1"/>
    </xf>
    <xf numFmtId="49" fontId="21" fillId="0" borderId="10" xfId="0" applyNumberFormat="1" applyFont="1" applyBorder="1" applyAlignment="1">
      <alignment horizontal="left" wrapText="1"/>
    </xf>
    <xf numFmtId="49" fontId="21" fillId="0" borderId="13" xfId="0" applyNumberFormat="1" applyFont="1" applyBorder="1" applyAlignment="1">
      <alignment horizontal="left" wrapText="1"/>
    </xf>
    <xf numFmtId="1" fontId="5" fillId="0" borderId="13" xfId="0" applyNumberFormat="1" applyFont="1" applyBorder="1" applyAlignment="1">
      <alignment horizontal="left" wrapText="1"/>
    </xf>
    <xf numFmtId="49" fontId="21" fillId="0" borderId="11" xfId="0" applyNumberFormat="1" applyFont="1" applyBorder="1" applyAlignment="1">
      <alignment horizontal="left" wrapText="1"/>
    </xf>
    <xf numFmtId="0" fontId="5" fillId="0" borderId="10" xfId="0" applyNumberFormat="1" applyFont="1" applyBorder="1" applyAlignment="1">
      <alignment horizontal="left" wrapText="1"/>
    </xf>
    <xf numFmtId="9" fontId="0" fillId="0" borderId="0" xfId="1" applyFont="1"/>
    <xf numFmtId="0" fontId="31" fillId="0" borderId="0" xfId="0" applyFont="1" applyAlignment="1">
      <alignment horizontal="left" vertical="top" wrapText="1"/>
    </xf>
    <xf numFmtId="0" fontId="22" fillId="0" borderId="0" xfId="0" applyFont="1" applyAlignment="1">
      <alignment horizontal="left" vertical="top" wrapText="1"/>
    </xf>
    <xf numFmtId="0" fontId="22" fillId="0" borderId="11" xfId="0" applyFont="1" applyBorder="1" applyAlignment="1">
      <alignment horizontal="left" vertical="top" wrapText="1"/>
    </xf>
    <xf numFmtId="0" fontId="0" fillId="27" borderId="12" xfId="0" applyFill="1" applyBorder="1" applyAlignment="1">
      <alignment horizontal="center"/>
    </xf>
    <xf numFmtId="0" fontId="0" fillId="27" borderId="10" xfId="0" applyFill="1" applyBorder="1" applyAlignment="1">
      <alignment horizontal="center"/>
    </xf>
    <xf numFmtId="0" fontId="0" fillId="35" borderId="11" xfId="0" applyFill="1" applyBorder="1"/>
    <xf numFmtId="0" fontId="22" fillId="36" borderId="11" xfId="0" applyFont="1" applyFill="1" applyBorder="1" applyAlignment="1">
      <alignment horizontal="left" vertical="top" wrapText="1"/>
    </xf>
    <xf numFmtId="1" fontId="22" fillId="30" borderId="11" xfId="0" applyNumberFormat="1" applyFont="1" applyFill="1" applyBorder="1" applyAlignment="1">
      <alignment horizontal="left" vertical="top" wrapText="1"/>
    </xf>
    <xf numFmtId="1" fontId="23" fillId="0" borderId="10" xfId="0" applyNumberFormat="1" applyFont="1" applyBorder="1" applyAlignment="1">
      <alignment horizontal="left" vertical="center" wrapText="1"/>
    </xf>
    <xf numFmtId="9" fontId="22" fillId="28" borderId="11" xfId="1" applyFont="1" applyFill="1" applyBorder="1" applyAlignment="1">
      <alignment horizontal="left" vertical="top" wrapText="1"/>
    </xf>
    <xf numFmtId="9" fontId="30" fillId="28" borderId="11" xfId="0" applyNumberFormat="1" applyFont="1" applyFill="1" applyBorder="1" applyAlignment="1">
      <alignment horizontal="left" vertical="center"/>
    </xf>
    <xf numFmtId="1" fontId="22" fillId="28" borderId="11" xfId="1" applyNumberFormat="1" applyFont="1" applyFill="1" applyBorder="1" applyAlignment="1">
      <alignment horizontal="left" vertical="top" wrapText="1"/>
    </xf>
    <xf numFmtId="1" fontId="0" fillId="28" borderId="11" xfId="0" applyNumberFormat="1" applyFill="1" applyBorder="1" applyAlignment="1">
      <alignment horizontal="left"/>
    </xf>
    <xf numFmtId="1" fontId="0" fillId="37" borderId="11" xfId="0" applyNumberFormat="1" applyFill="1" applyBorder="1" applyAlignment="1">
      <alignment horizontal="left"/>
    </xf>
    <xf numFmtId="1" fontId="0" fillId="38" borderId="11" xfId="0" applyNumberFormat="1" applyFill="1" applyBorder="1" applyAlignment="1">
      <alignment horizontal="left"/>
    </xf>
    <xf numFmtId="1" fontId="0" fillId="33" borderId="11" xfId="0" applyNumberFormat="1" applyFill="1" applyBorder="1" applyAlignment="1">
      <alignment horizontal="left"/>
    </xf>
    <xf numFmtId="1" fontId="0" fillId="39" borderId="11" xfId="0" applyNumberFormat="1" applyFill="1" applyBorder="1" applyAlignment="1">
      <alignment horizontal="left"/>
    </xf>
    <xf numFmtId="1" fontId="5" fillId="34" borderId="11" xfId="0" applyNumberFormat="1" applyFont="1" applyFill="1" applyBorder="1" applyAlignment="1">
      <alignment horizontal="left" vertical="center"/>
    </xf>
    <xf numFmtId="1" fontId="30" fillId="28" borderId="11" xfId="0" applyNumberFormat="1" applyFont="1" applyFill="1" applyBorder="1" applyAlignment="1">
      <alignment horizontal="left" vertical="center"/>
    </xf>
    <xf numFmtId="0" fontId="22" fillId="0" borderId="11" xfId="0" applyFont="1" applyBorder="1" applyAlignment="1" applyProtection="1">
      <alignment horizontal="left" vertical="top" wrapText="1"/>
    </xf>
    <xf numFmtId="1" fontId="0" fillId="0" borderId="11" xfId="0" applyNumberFormat="1" applyBorder="1" applyAlignment="1" applyProtection="1">
      <alignment horizontal="left" vertical="top" wrapText="1"/>
    </xf>
    <xf numFmtId="0" fontId="0" fillId="0" borderId="11" xfId="0" applyBorder="1" applyAlignment="1" applyProtection="1">
      <alignment horizontal="left" vertical="top" wrapText="1"/>
    </xf>
    <xf numFmtId="1" fontId="22" fillId="27" borderId="11" xfId="0" applyNumberFormat="1" applyFont="1" applyFill="1" applyBorder="1" applyAlignment="1" applyProtection="1">
      <alignment horizontal="left" vertical="top" wrapText="1"/>
    </xf>
    <xf numFmtId="0" fontId="22" fillId="0" borderId="11" xfId="0" applyFont="1" applyBorder="1" applyAlignment="1" applyProtection="1">
      <alignment horizontal="left" vertical="top" wrapText="1"/>
    </xf>
    <xf numFmtId="1" fontId="0" fillId="0" borderId="11" xfId="0" applyNumberFormat="1" applyBorder="1" applyAlignment="1" applyProtection="1">
      <alignment horizontal="left" vertical="top" wrapText="1"/>
    </xf>
    <xf numFmtId="0" fontId="0" fillId="0" borderId="11" xfId="0" applyBorder="1" applyAlignment="1" applyProtection="1">
      <alignment horizontal="left" vertical="top" wrapText="1"/>
    </xf>
    <xf numFmtId="1" fontId="22" fillId="27" borderId="11" xfId="0" applyNumberFormat="1" applyFont="1" applyFill="1" applyBorder="1" applyAlignment="1" applyProtection="1">
      <alignment horizontal="left" vertical="top" wrapText="1"/>
    </xf>
    <xf numFmtId="1" fontId="5" fillId="27" borderId="10" xfId="0" applyNumberFormat="1" applyFont="1" applyFill="1" applyBorder="1" applyAlignment="1">
      <alignment horizontal="left" wrapText="1"/>
    </xf>
    <xf numFmtId="1" fontId="5" fillId="40" borderId="11" xfId="0" applyNumberFormat="1" applyFont="1" applyFill="1" applyBorder="1" applyAlignment="1">
      <alignment horizontal="left" vertical="center"/>
    </xf>
    <xf numFmtId="1" fontId="29" fillId="0" borderId="11" xfId="0" applyNumberFormat="1" applyFont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0" fillId="0" borderId="0" xfId="0" applyAlignment="1">
      <alignment horizontal="left" wrapText="1"/>
    </xf>
    <xf numFmtId="1" fontId="0" fillId="0" borderId="0" xfId="0" applyNumberFormat="1" applyAlignment="1">
      <alignment horizontal="left"/>
    </xf>
    <xf numFmtId="9" fontId="0" fillId="0" borderId="0" xfId="1" applyFont="1" applyAlignment="1">
      <alignment horizontal="left"/>
    </xf>
    <xf numFmtId="2" fontId="10" fillId="3" borderId="10" xfId="8" applyNumberFormat="1" applyBorder="1" applyAlignment="1">
      <alignment horizontal="left" wrapText="1"/>
    </xf>
    <xf numFmtId="2" fontId="0" fillId="0" borderId="0" xfId="0" applyNumberFormat="1" applyAlignment="1">
      <alignment horizontal="left"/>
    </xf>
    <xf numFmtId="1" fontId="0" fillId="27" borderId="0" xfId="0" applyNumberFormat="1" applyFill="1" applyAlignment="1">
      <alignment horizontal="left"/>
    </xf>
    <xf numFmtId="9" fontId="0" fillId="27" borderId="11" xfId="0" applyNumberFormat="1" applyFill="1" applyBorder="1" applyAlignment="1">
      <alignment horizontal="left"/>
    </xf>
    <xf numFmtId="49" fontId="23" fillId="0" borderId="10" xfId="0" applyNumberFormat="1" applyFont="1" applyBorder="1" applyAlignment="1">
      <alignment horizontal="left" vertical="center" wrapText="1"/>
    </xf>
    <xf numFmtId="2" fontId="23" fillId="27" borderId="10" xfId="0" applyNumberFormat="1" applyFont="1" applyFill="1" applyBorder="1" applyAlignment="1">
      <alignment horizontal="left" vertical="center" wrapText="1"/>
    </xf>
    <xf numFmtId="2" fontId="23" fillId="0" borderId="10" xfId="0" applyNumberFormat="1" applyFont="1" applyBorder="1" applyAlignment="1">
      <alignment horizontal="left" vertical="center" wrapText="1"/>
    </xf>
    <xf numFmtId="1" fontId="23" fillId="27" borderId="10" xfId="0" applyNumberFormat="1" applyFont="1" applyFill="1" applyBorder="1" applyAlignment="1">
      <alignment horizontal="left" vertical="center" wrapText="1"/>
    </xf>
    <xf numFmtId="0" fontId="23" fillId="0" borderId="11" xfId="0" applyFont="1" applyBorder="1" applyAlignment="1">
      <alignment horizontal="left" vertical="center" wrapText="1"/>
    </xf>
    <xf numFmtId="1" fontId="23" fillId="0" borderId="11" xfId="0" applyNumberFormat="1" applyFont="1" applyBorder="1" applyAlignment="1">
      <alignment horizontal="left" vertical="center" wrapText="1"/>
    </xf>
    <xf numFmtId="0" fontId="4" fillId="0" borderId="0" xfId="0" applyFont="1" applyAlignment="1">
      <alignment horizontal="left" vertical="center"/>
    </xf>
    <xf numFmtId="0" fontId="0" fillId="0" borderId="11" xfId="0" applyBorder="1" applyAlignment="1">
      <alignment horizontal="left"/>
    </xf>
    <xf numFmtId="0" fontId="0" fillId="0" borderId="11" xfId="0" applyBorder="1" applyAlignment="1">
      <alignment horizontal="left" wrapText="1"/>
    </xf>
    <xf numFmtId="2" fontId="5" fillId="0" borderId="10" xfId="0" applyNumberFormat="1" applyFont="1" applyBorder="1" applyAlignment="1">
      <alignment horizontal="left" wrapText="1"/>
    </xf>
    <xf numFmtId="9" fontId="2" fillId="0" borderId="11" xfId="1" applyFont="1" applyBorder="1" applyAlignment="1">
      <alignment horizontal="left" wrapText="1"/>
    </xf>
    <xf numFmtId="1" fontId="25" fillId="0" borderId="14" xfId="19" applyNumberFormat="1" applyBorder="1" applyAlignment="1">
      <alignment horizontal="left" vertical="center" wrapText="1"/>
    </xf>
    <xf numFmtId="1" fontId="5" fillId="0" borderId="11" xfId="1" applyNumberFormat="1" applyFont="1" applyBorder="1" applyAlignment="1">
      <alignment horizontal="left" vertical="center" wrapText="1"/>
    </xf>
    <xf numFmtId="1" fontId="25" fillId="0" borderId="14" xfId="19" applyNumberFormat="1" applyAlignment="1">
      <alignment horizontal="left" vertical="center" wrapText="1"/>
    </xf>
    <xf numFmtId="1" fontId="5" fillId="0" borderId="11" xfId="0" applyNumberFormat="1" applyFont="1" applyBorder="1" applyAlignment="1">
      <alignment horizontal="left" wrapText="1"/>
    </xf>
    <xf numFmtId="1" fontId="0" fillId="0" borderId="11" xfId="0" applyNumberFormat="1" applyBorder="1" applyAlignment="1">
      <alignment horizontal="left"/>
    </xf>
    <xf numFmtId="49" fontId="5" fillId="0" borderId="10" xfId="0" applyNumberFormat="1" applyFont="1" applyBorder="1" applyAlignment="1">
      <alignment horizontal="left" wrapText="1"/>
    </xf>
    <xf numFmtId="1" fontId="5" fillId="0" borderId="11" xfId="0" applyNumberFormat="1" applyFont="1" applyBorder="1" applyAlignment="1">
      <alignment horizontal="left" vertical="center" wrapText="1"/>
    </xf>
    <xf numFmtId="1" fontId="10" fillId="3" borderId="10" xfId="8" applyNumberFormat="1" applyBorder="1" applyAlignment="1">
      <alignment horizontal="left" wrapText="1"/>
    </xf>
    <xf numFmtId="0" fontId="4" fillId="0" borderId="11" xfId="0" applyFont="1" applyBorder="1" applyAlignment="1">
      <alignment horizontal="left" vertical="center"/>
    </xf>
    <xf numFmtId="0" fontId="0" fillId="28" borderId="11" xfId="0" applyFill="1" applyBorder="1" applyAlignment="1">
      <alignment horizontal="left" vertical="center"/>
    </xf>
    <xf numFmtId="9" fontId="32" fillId="28" borderId="11" xfId="0" applyNumberFormat="1" applyFont="1" applyFill="1" applyBorder="1" applyAlignment="1">
      <alignment horizontal="left" vertical="center"/>
    </xf>
  </cellXfs>
  <cellStyles count="44">
    <cellStyle name="20% — акцент1" xfId="20" builtinId="30" customBuiltin="1"/>
    <cellStyle name="20% — акцент2" xfId="24" builtinId="34" customBuiltin="1"/>
    <cellStyle name="20% — акцент3" xfId="28" builtinId="38" customBuiltin="1"/>
    <cellStyle name="20% — акцент4" xfId="32" builtinId="42" customBuiltin="1"/>
    <cellStyle name="20% — акцент5" xfId="36" builtinId="46" customBuiltin="1"/>
    <cellStyle name="20% — акцент6" xfId="40" builtinId="50" customBuiltin="1"/>
    <cellStyle name="40% — акцент1" xfId="21" builtinId="31" customBuiltin="1"/>
    <cellStyle name="40% — акцент2" xfId="25" builtinId="35" customBuiltin="1"/>
    <cellStyle name="40% — акцент3" xfId="29" builtinId="39" customBuiltin="1"/>
    <cellStyle name="40% — акцент4" xfId="33" builtinId="43" customBuiltin="1"/>
    <cellStyle name="40% — акцент5" xfId="37" builtinId="47" customBuiltin="1"/>
    <cellStyle name="40% — акцент6" xfId="41" builtinId="51" customBuiltin="1"/>
    <cellStyle name="60% — акцент1" xfId="22" builtinId="32" customBuiltin="1"/>
    <cellStyle name="60% — акцент2" xfId="26" builtinId="36" customBuiltin="1"/>
    <cellStyle name="60% — акцент3" xfId="30" builtinId="40" customBuiltin="1"/>
    <cellStyle name="60% — акцент4" xfId="34" builtinId="44" customBuiltin="1"/>
    <cellStyle name="60% — акцент5" xfId="38" builtinId="48" customBuiltin="1"/>
    <cellStyle name="60% — акцент6" xfId="42" builtinId="52" customBuiltin="1"/>
    <cellStyle name="Акцент1" xfId="19" builtinId="29" customBuiltin="1"/>
    <cellStyle name="Акцент2" xfId="23" builtinId="33" customBuiltin="1"/>
    <cellStyle name="Акцент3" xfId="27" builtinId="37" customBuiltin="1"/>
    <cellStyle name="Акцент4" xfId="31" builtinId="41" customBuiltin="1"/>
    <cellStyle name="Акцент5" xfId="35" builtinId="45" customBuiltin="1"/>
    <cellStyle name="Акцент6" xfId="39" builtinId="49" customBuiltin="1"/>
    <cellStyle name="Ввод " xfId="10" builtinId="20" customBuiltin="1"/>
    <cellStyle name="Вывод" xfId="11" builtinId="21" customBuiltin="1"/>
    <cellStyle name="Вычисление" xfId="12" builtinId="22" customBuiltin="1"/>
    <cellStyle name="Заголовок 1" xfId="3" builtinId="16" customBuiltin="1"/>
    <cellStyle name="Заголовок 2" xfId="4" builtinId="17" customBuiltin="1"/>
    <cellStyle name="Заголовок 3" xfId="5" builtinId="18" customBuiltin="1"/>
    <cellStyle name="Заголовок 4" xfId="6" builtinId="19" customBuiltin="1"/>
    <cellStyle name="Итог" xfId="18" builtinId="25" customBuiltin="1"/>
    <cellStyle name="Контрольная ячейка" xfId="14" builtinId="23" customBuiltin="1"/>
    <cellStyle name="Название" xfId="2" builtinId="15" customBuiltin="1"/>
    <cellStyle name="Нейтральный" xfId="9" builtinId="28" customBuiltin="1"/>
    <cellStyle name="Обычный" xfId="0" builtinId="0" customBuiltin="1"/>
    <cellStyle name="Открывавшаяся гиперссылка" xfId="43" builtinId="9" customBuiltin="1"/>
    <cellStyle name="Плохой" xfId="8" builtinId="27" customBuiltin="1"/>
    <cellStyle name="Пояснение" xfId="17" builtinId="53" customBuiltin="1"/>
    <cellStyle name="Примечание" xfId="16" builtinId="10" customBuiltin="1"/>
    <cellStyle name="Процентный" xfId="1" builtinId="5"/>
    <cellStyle name="Связанная ячейка" xfId="13" builtinId="24" customBuiltin="1"/>
    <cellStyle name="Текст предупреждения" xfId="15" builtinId="11" customBuiltin="1"/>
    <cellStyle name="Хороший" xfId="7" builtinId="26" customBuiltin="1"/>
  </cellStyles>
  <dxfs count="25">
    <dxf>
      <fill>
        <patternFill patternType="lightDown">
          <fgColor rgb="FFFF0000"/>
        </patternFill>
      </fill>
    </dxf>
    <dxf>
      <fill>
        <patternFill patternType="lightDown">
          <fgColor rgb="FFFF0000"/>
        </patternFill>
      </fill>
    </dxf>
    <dxf>
      <fill>
        <patternFill>
          <bgColor theme="3" tint="0.59996337778862885"/>
        </patternFill>
      </fill>
    </dxf>
    <dxf>
      <fill>
        <patternFill patternType="lightDown">
          <fgColor rgb="FFFF0000"/>
        </patternFill>
      </fill>
    </dxf>
    <dxf>
      <fill>
        <patternFill patternType="lightDown">
          <fgColor rgb="FFFF0000"/>
        </patternFill>
      </fill>
    </dxf>
    <dxf>
      <fill>
        <patternFill>
          <bgColor theme="3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Down">
          <fgColor rgb="FFFF0000"/>
        </patternFill>
      </fill>
    </dxf>
    <dxf>
      <fill>
        <patternFill patternType="lightDown">
          <fgColor rgb="FFFF0000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Down">
          <fgColor rgb="FFFF0000"/>
        </patternFill>
      </fill>
    </dxf>
    <dxf>
      <fill>
        <patternFill patternType="lightDown">
          <fgColor rgb="FFFF0000"/>
        </patternFill>
      </fill>
    </dxf>
    <dxf>
      <fill>
        <patternFill>
          <bgColor theme="3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Down">
          <fgColor rgb="FFFF0000"/>
        </patternFill>
      </fill>
    </dxf>
    <dxf>
      <fill>
        <patternFill patternType="lightDown">
          <fgColor rgb="FFFF0000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</xdr:row>
          <xdr:rowOff>180975</xdr:rowOff>
        </xdr:from>
        <xdr:to>
          <xdr:col>11</xdr:col>
          <xdr:colOff>590550</xdr:colOff>
          <xdr:row>8</xdr:row>
          <xdr:rowOff>38100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D0ABC769-287F-41E2-9332-DAFC73C4066F}" autoFormatId="16" applyNumberFormats="0" applyBorderFormats="0" applyFontFormats="0" applyPatternFormats="0" applyAlignmentFormats="0" applyWidthHeightFormats="0">
  <queryTableRefresh nextId="20">
    <queryTableFields count="19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  <queryTableField id="14" name="Column14" tableColumnId="14"/>
      <queryTableField id="15" name="Column15" tableColumnId="15"/>
      <queryTableField id="16" name="Column16" tableColumnId="16"/>
      <queryTableField id="17" name="Column17" tableColumnId="17"/>
      <queryTableField id="18" name="Column18" tableColumnId="18"/>
      <queryTableField id="19" name="Column19" tableColumnId="1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2E5E91E-20D7-406D-A06F-51467A95BD36}" name="ВИЭ" displayName="ВИЭ" ref="A1:S582" tableType="queryTable" totalsRowShown="0">
  <autoFilter ref="A1:S582" xr:uid="{C2E5E91E-20D7-406D-A06F-51467A95BD36}"/>
  <tableColumns count="19">
    <tableColumn id="1" xr3:uid="{319ED40F-B075-4BD0-BB11-CA76F4D0C61F}" uniqueName="1" name="Column1" queryTableFieldId="1"/>
    <tableColumn id="2" xr3:uid="{34B992A9-CADB-454E-8434-DA8B70815D7A}" uniqueName="2" name="Column2" queryTableFieldId="2"/>
    <tableColumn id="3" xr3:uid="{F7FE8A77-38CA-463D-B38A-55A60C16B1D4}" uniqueName="3" name="Column3" queryTableFieldId="3"/>
    <tableColumn id="4" xr3:uid="{2D04C8AA-08B9-4AD6-8EDC-6F6EBE25E082}" uniqueName="4" name="Column4" queryTableFieldId="4"/>
    <tableColumn id="5" xr3:uid="{0E05AA27-FB59-4D88-AD94-9FF04DF6A44D}" uniqueName="5" name="Column5" queryTableFieldId="5"/>
    <tableColumn id="6" xr3:uid="{3273597B-956E-4FD3-AB81-C3EE3A9A5594}" uniqueName="6" name="Column6" queryTableFieldId="6"/>
    <tableColumn id="7" xr3:uid="{5AF001A4-9FC5-45D1-9E8F-286B79060698}" uniqueName="7" name="Column7" queryTableFieldId="7"/>
    <tableColumn id="8" xr3:uid="{332F53CD-4684-427A-84E5-80004B4B732D}" uniqueName="8" name="Column8" queryTableFieldId="8"/>
    <tableColumn id="9" xr3:uid="{AA90D801-0601-453F-886D-4E1544D414E6}" uniqueName="9" name="Column9" queryTableFieldId="9"/>
    <tableColumn id="10" xr3:uid="{09FBB232-B778-4118-BBF9-BBBB90D1682A}" uniqueName="10" name="Column10" queryTableFieldId="10"/>
    <tableColumn id="11" xr3:uid="{029310BB-9249-4E6F-A85E-92EF383661A1}" uniqueName="11" name="Column11" queryTableFieldId="11"/>
    <tableColumn id="12" xr3:uid="{F82FC3C2-C9AF-4070-9C16-67387FFD5C9B}" uniqueName="12" name="Column12" queryTableFieldId="12"/>
    <tableColumn id="13" xr3:uid="{BAAC3C43-1C60-4BF1-BBB0-5680F2BA9DFF}" uniqueName="13" name="Column13" queryTableFieldId="13"/>
    <tableColumn id="14" xr3:uid="{797082F9-F42C-419D-8F92-D7CB06A09F4F}" uniqueName="14" name="Column14" queryTableFieldId="14"/>
    <tableColumn id="15" xr3:uid="{085AD395-AF9E-4CF3-8251-E2229FF798DD}" uniqueName="15" name="Column15" queryTableFieldId="15"/>
    <tableColumn id="16" xr3:uid="{7F32C100-48FE-468C-B48B-3CA30CBEA7F2}" uniqueName="16" name="Column16" queryTableFieldId="16"/>
    <tableColumn id="17" xr3:uid="{5E4F841D-8204-419E-BC7F-7A1B7490D37C}" uniqueName="17" name="Column17" queryTableFieldId="17"/>
    <tableColumn id="18" xr3:uid="{4317619F-E7D0-436B-AA0F-8623529F36F4}" uniqueName="18" name="Column18" queryTableFieldId="18"/>
    <tableColumn id="19" xr3:uid="{17119002-B1A9-4DD6-BB47-BC3AC8BE9D15}" uniqueName="19" name="Column19" queryTableFieldId="19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s://motorring.ru/product/38955-forsunka-vie-72370-dlya-lada-kalina-kalina-priora-granta" TargetMode="External"/><Relationship Id="rId21" Type="http://schemas.openxmlformats.org/officeDocument/2006/relationships/hyperlink" Target="https://motorring.ru/product/38962-elektrobenzonas-vie-sbore-novogo-obrazca-shtucere-21313" TargetMode="External"/><Relationship Id="rId42" Type="http://schemas.openxmlformats.org/officeDocument/2006/relationships/hyperlink" Target="https://motorring.ru/product/20639-motor-elektrobenzonasosa-vie-lada-vesta" TargetMode="External"/><Relationship Id="rId47" Type="http://schemas.openxmlformats.org/officeDocument/2006/relationships/hyperlink" Target="https://motorring.ru/product/15607-elektrokorrektor-far-lada-niva" TargetMode="External"/><Relationship Id="rId63" Type="http://schemas.openxmlformats.org/officeDocument/2006/relationships/hyperlink" Target="https://motorring.ru/product/15358-podrulevoy-pereklyuchately-shleyf-novogo-obrazca-lada" TargetMode="External"/><Relationship Id="rId68" Type="http://schemas.openxmlformats.org/officeDocument/2006/relationships/hyperlink" Target="https://motorring.ru/product/13316-prokladka-drosselynoy-zaslonki-vaz-2108-2115-lada-priora-kalina-k" TargetMode="External"/><Relationship Id="rId7" Type="http://schemas.openxmlformats.org/officeDocument/2006/relationships/hyperlink" Target="https://motorring.ru/product/20645-forsunka-6238-vie-vaz-2108-21099-2110-2112-2113-2115" TargetMode="External"/><Relationship Id="rId2" Type="http://schemas.openxmlformats.org/officeDocument/2006/relationships/hyperlink" Target="https://motorring.ru/product/20704-regulyator-davleniya-topliva-vie-380-vaz-2110-2115-lada" TargetMode="External"/><Relationship Id="rId16" Type="http://schemas.openxmlformats.org/officeDocument/2006/relationships/hyperlink" Target="https://motorring.ru/product/38951-forsunka-vie-017-dlya-8-klapannyh-vaz-2110-2112-lada-kalina" TargetMode="External"/><Relationship Id="rId29" Type="http://schemas.openxmlformats.org/officeDocument/2006/relationships/hyperlink" Target="https://motorring.ru/product/15358-podrulevoy-pereklyuchately-shleyf-novogo-obrazca-lada" TargetMode="External"/><Relationship Id="rId11" Type="http://schemas.openxmlformats.org/officeDocument/2006/relationships/hyperlink" Target="https://motorring.ru/product/16635-standartnaya-drosselynaya-zaslonka-lada-4h4-niva-2121-21213" TargetMode="External"/><Relationship Id="rId24" Type="http://schemas.openxmlformats.org/officeDocument/2006/relationships/hyperlink" Target="https://motorring.ru/product/11342-regulyator-holostogo-hoda-vie-lada-4h4-shevrole-niva" TargetMode="External"/><Relationship Id="rId32" Type="http://schemas.openxmlformats.org/officeDocument/2006/relationships/hyperlink" Target="https://motorring.ru/product/3047-rezistor-elektronnogo-ventilyatora-otopitelya-dlya-lada" TargetMode="External"/><Relationship Id="rId37" Type="http://schemas.openxmlformats.org/officeDocument/2006/relationships/hyperlink" Target="https://motorring.ru/product/11342-regulyator-holostogo-hoda-vie-lada-4h4-shevrole-niva" TargetMode="External"/><Relationship Id="rId40" Type="http://schemas.openxmlformats.org/officeDocument/2006/relationships/hyperlink" Target="https://motorring.ru/product/18249-motor-elektrobenzonasosa-2112-povyshennoy" TargetMode="External"/><Relationship Id="rId45" Type="http://schemas.openxmlformats.org/officeDocument/2006/relationships/hyperlink" Target="https://motorring.ru/product/16635-standartnaya-drosselynaya-zaslonka-lada-4h4-niva-2121-21213" TargetMode="External"/><Relationship Id="rId53" Type="http://schemas.openxmlformats.org/officeDocument/2006/relationships/hyperlink" Target="https://motorring.ru/product/38959-elektrobenzonasos-sbore-vie-vaz-21044-dlya-vaz-2101-2107" TargetMode="External"/><Relationship Id="rId58" Type="http://schemas.openxmlformats.org/officeDocument/2006/relationships/hyperlink" Target="https://motorring.ru/product/11342-regulyator-holostogo-hoda-vie-lada-4h4-shevrole-niva" TargetMode="External"/><Relationship Id="rId66" Type="http://schemas.openxmlformats.org/officeDocument/2006/relationships/hyperlink" Target="https://motorring.ru/product/3047-rezistor-elektronnogo-ventilyatora-otopitelya-dlya-lada" TargetMode="External"/><Relationship Id="rId5" Type="http://schemas.openxmlformats.org/officeDocument/2006/relationships/hyperlink" Target="https://motorring.ru/product/20644-forsunka-735-vie-16kl-vaz-2110-2112-lada-kalina-priora" TargetMode="External"/><Relationship Id="rId61" Type="http://schemas.openxmlformats.org/officeDocument/2006/relationships/hyperlink" Target="https://motorring.ru/product/20636-datchik-faz-vie-analog-141-3855-vaz" TargetMode="External"/><Relationship Id="rId19" Type="http://schemas.openxmlformats.org/officeDocument/2006/relationships/hyperlink" Target="https://motorring.ru/product/38959-elektrobenzonasos-sbore-vie-vaz-21044-dlya-vaz-2101-2107" TargetMode="External"/><Relationship Id="rId14" Type="http://schemas.openxmlformats.org/officeDocument/2006/relationships/hyperlink" Target="https://motorring.ru/product/20641-regulyator-holostogo-hoda-vie-vaz-2105-2107-2108-21099" TargetMode="External"/><Relationship Id="rId22" Type="http://schemas.openxmlformats.org/officeDocument/2006/relationships/hyperlink" Target="https://motorring.ru/product/38961-elektrobenzonas-vie-sbore-starogo-obrazca-gayke-21214" TargetMode="External"/><Relationship Id="rId27" Type="http://schemas.openxmlformats.org/officeDocument/2006/relationships/hyperlink" Target="https://motorring.ru/product/20636-datchik-faz-vie-analog-141-3855-vaz" TargetMode="External"/><Relationship Id="rId30" Type="http://schemas.openxmlformats.org/officeDocument/2006/relationships/hyperlink" Target="https://motorring.ru/product/20640-motor-elektrobenzonasosa-vie-lada-largus-reno-logan-sandero" TargetMode="External"/><Relationship Id="rId35" Type="http://schemas.openxmlformats.org/officeDocument/2006/relationships/hyperlink" Target="https://motorring.ru/product/20635-datchik-skorosti-vie-vaz-2108-21099-mehanicheskoy" TargetMode="External"/><Relationship Id="rId43" Type="http://schemas.openxmlformats.org/officeDocument/2006/relationships/hyperlink" Target="https://motorring.ru/product/3061-moduly-zaghiganiya-soate-vaz-2104-2107-2110-2112-lada" TargetMode="External"/><Relationship Id="rId48" Type="http://schemas.openxmlformats.org/officeDocument/2006/relationships/hyperlink" Target="https://motorring.ru/product/20641-regulyator-holostogo-hoda-vie-vaz-2105-2107-2108-21099" TargetMode="External"/><Relationship Id="rId56" Type="http://schemas.openxmlformats.org/officeDocument/2006/relationships/hyperlink" Target="https://motorring.ru/product/38961-elektrobenzonas-vie-sbore-starogo-obrazca-gayke-21214" TargetMode="External"/><Relationship Id="rId64" Type="http://schemas.openxmlformats.org/officeDocument/2006/relationships/hyperlink" Target="https://motorring.ru/product/20640-motor-elektrobenzonasosa-vie-lada-largus-reno-logan-sandero" TargetMode="External"/><Relationship Id="rId69" Type="http://schemas.openxmlformats.org/officeDocument/2006/relationships/printerSettings" Target="../printerSettings/printerSettings1.bin"/><Relationship Id="rId8" Type="http://schemas.openxmlformats.org/officeDocument/2006/relationships/hyperlink" Target="https://motorring.ru/product/20639-motor-elektrobenzonasosa-vie-lada-vesta" TargetMode="External"/><Relationship Id="rId51" Type="http://schemas.openxmlformats.org/officeDocument/2006/relationships/hyperlink" Target="https://motorring.ru/product/18249-motor-elektrobenzonasosa-2112-povyshennoy" TargetMode="External"/><Relationship Id="rId3" Type="http://schemas.openxmlformats.org/officeDocument/2006/relationships/hyperlink" Target="https://motorring.ru/product/11342-regulyator-holostogo-hoda-vie-lada-4h4-shevrole-niva" TargetMode="External"/><Relationship Id="rId12" Type="http://schemas.openxmlformats.org/officeDocument/2006/relationships/hyperlink" Target="https://motorring.ru/product/5530-elektrokorrektor-far-dlya-lada-granta" TargetMode="External"/><Relationship Id="rId17" Type="http://schemas.openxmlformats.org/officeDocument/2006/relationships/hyperlink" Target="https://motorring.ru/product/18249-motor-elektrobenzonasosa-2112-povyshennoy" TargetMode="External"/><Relationship Id="rId25" Type="http://schemas.openxmlformats.org/officeDocument/2006/relationships/hyperlink" Target="https://motorring.ru/product/38946-regulyator-holostogo-hoda-vie-plastikoviy-nakonechnik-lada-niva" TargetMode="External"/><Relationship Id="rId33" Type="http://schemas.openxmlformats.org/officeDocument/2006/relationships/hyperlink" Target="https://motorring.ru/product/19060-standartnaya-drosselynaya-zaslonka-sbore-datchikami-vaz" TargetMode="External"/><Relationship Id="rId38" Type="http://schemas.openxmlformats.org/officeDocument/2006/relationships/hyperlink" Target="https://motorring.ru/product/17852" TargetMode="External"/><Relationship Id="rId46" Type="http://schemas.openxmlformats.org/officeDocument/2006/relationships/hyperlink" Target="https://motorring.ru/product/5530-elektrokorrektor-far-dlya-lada-granta" TargetMode="External"/><Relationship Id="rId59" Type="http://schemas.openxmlformats.org/officeDocument/2006/relationships/hyperlink" Target="https://motorring.ru/product/38946-regulyator-holostogo-hoda-vie-plastikoviy-nakonechnik-lada-niva" TargetMode="External"/><Relationship Id="rId67" Type="http://schemas.openxmlformats.org/officeDocument/2006/relationships/hyperlink" Target="https://motorring.ru/product/19060-standartnaya-drosselynaya-zaslonka-sbore-datchikami-vaz" TargetMode="External"/><Relationship Id="rId20" Type="http://schemas.openxmlformats.org/officeDocument/2006/relationships/hyperlink" Target="https://motorring.ru/product/38963-elektrobenzonasos-vie-2123-sbore-dlya-shevrole-niva" TargetMode="External"/><Relationship Id="rId41" Type="http://schemas.openxmlformats.org/officeDocument/2006/relationships/hyperlink" Target="https://motorring.ru/product/20645-forsunka-6238-vie-vaz-2108-21099-2110-2112-2113-2115" TargetMode="External"/><Relationship Id="rId54" Type="http://schemas.openxmlformats.org/officeDocument/2006/relationships/hyperlink" Target="https://motorring.ru/product/38963-elektrobenzonasos-vie-2123-sbore-dlya-shevrole-niva" TargetMode="External"/><Relationship Id="rId62" Type="http://schemas.openxmlformats.org/officeDocument/2006/relationships/hyperlink" Target="https://motorring.ru/product/18963-podrulevoy-pereklyuchately-shleyf-starogo-obrazca-dlya-lada" TargetMode="External"/><Relationship Id="rId1" Type="http://schemas.openxmlformats.org/officeDocument/2006/relationships/hyperlink" Target="https://motorring.ru/product/20635-datchik-skorosti-vie-vaz-2108-21099-mehanicheskoy" TargetMode="External"/><Relationship Id="rId6" Type="http://schemas.openxmlformats.org/officeDocument/2006/relationships/hyperlink" Target="https://motorring.ru/product/18249-motor-elektrobenzonasosa-2112-povyshennoy" TargetMode="External"/><Relationship Id="rId15" Type="http://schemas.openxmlformats.org/officeDocument/2006/relationships/hyperlink" Target="https://motorring.ru/product/40555-drosselynaya-zaslonka-vie-21116-lada-priora-kalina-granta" TargetMode="External"/><Relationship Id="rId23" Type="http://schemas.openxmlformats.org/officeDocument/2006/relationships/hyperlink" Target="https://motorring.ru/product/38960-elektrobenzonasos-sbore-vie-vaz-2110-2112-2113-2115" TargetMode="External"/><Relationship Id="rId28" Type="http://schemas.openxmlformats.org/officeDocument/2006/relationships/hyperlink" Target="https://motorring.ru/product/18963-podrulevoy-pereklyuchately-shleyf-starogo-obrazca-dlya-lada" TargetMode="External"/><Relationship Id="rId36" Type="http://schemas.openxmlformats.org/officeDocument/2006/relationships/hyperlink" Target="https://motorring.ru/product/20704-regulyator-davleniya-topliva-vie-380-vaz-2110-2115-lada" TargetMode="External"/><Relationship Id="rId49" Type="http://schemas.openxmlformats.org/officeDocument/2006/relationships/hyperlink" Target="https://motorring.ru/product/40555-drosselynaya-zaslonka-vie-21116-lada-priora-kalina-granta" TargetMode="External"/><Relationship Id="rId57" Type="http://schemas.openxmlformats.org/officeDocument/2006/relationships/hyperlink" Target="https://motorring.ru/product/38960-elektrobenzonasos-sbore-vie-vaz-2110-2112-2113-2115" TargetMode="External"/><Relationship Id="rId10" Type="http://schemas.openxmlformats.org/officeDocument/2006/relationships/hyperlink" Target="https://motorring.ru/product/12200-standartnaya-drosselynaya-zaslonka-vaz-2108-2115-2110-2112" TargetMode="External"/><Relationship Id="rId31" Type="http://schemas.openxmlformats.org/officeDocument/2006/relationships/hyperlink" Target="https://motorring.ru/product/38942-datchik-faz-vie-dlya-inghektornyh-vaz" TargetMode="External"/><Relationship Id="rId44" Type="http://schemas.openxmlformats.org/officeDocument/2006/relationships/hyperlink" Target="https://motorring.ru/product/12200-standartnaya-drosselynaya-zaslonka-vaz-2108-2115-2110-2112" TargetMode="External"/><Relationship Id="rId52" Type="http://schemas.openxmlformats.org/officeDocument/2006/relationships/hyperlink" Target="https://motorring.ru/product/38958-elektrobenzonasos-sbore-vie-21101-vaz-2110-2112-lada" TargetMode="External"/><Relationship Id="rId60" Type="http://schemas.openxmlformats.org/officeDocument/2006/relationships/hyperlink" Target="https://motorring.ru/product/38955-forsunka-vie-72370-dlya-lada-kalina-kalina-priora-granta" TargetMode="External"/><Relationship Id="rId65" Type="http://schemas.openxmlformats.org/officeDocument/2006/relationships/hyperlink" Target="https://motorring.ru/product/38942-datchik-faz-vie-dlya-inghektornyh-vaz" TargetMode="External"/><Relationship Id="rId4" Type="http://schemas.openxmlformats.org/officeDocument/2006/relationships/hyperlink" Target="https://motorring.ru/product/17852" TargetMode="External"/><Relationship Id="rId9" Type="http://schemas.openxmlformats.org/officeDocument/2006/relationships/hyperlink" Target="https://motorring.ru/product/3061-moduly-zaghiganiya-soate-vaz-2104-2107-2110-2112-lada" TargetMode="External"/><Relationship Id="rId13" Type="http://schemas.openxmlformats.org/officeDocument/2006/relationships/hyperlink" Target="https://motorring.ru/product/15607-elektrokorrektor-far-lada-niva" TargetMode="External"/><Relationship Id="rId18" Type="http://schemas.openxmlformats.org/officeDocument/2006/relationships/hyperlink" Target="https://motorring.ru/product/38958-elektrobenzonasos-sbore-vie-21101-vaz-2110-2112-lada" TargetMode="External"/><Relationship Id="rId39" Type="http://schemas.openxmlformats.org/officeDocument/2006/relationships/hyperlink" Target="https://motorring.ru/product/20644-forsunka-735-vie-16kl-vaz-2110-2112-lada-kalina-priora" TargetMode="External"/><Relationship Id="rId34" Type="http://schemas.openxmlformats.org/officeDocument/2006/relationships/hyperlink" Target="https://motorring.ru/product/13316-prokladka-drosselynoy-zaslonki-vaz-2108-2115-lada-priora-kalina-k" TargetMode="External"/><Relationship Id="rId50" Type="http://schemas.openxmlformats.org/officeDocument/2006/relationships/hyperlink" Target="https://motorring.ru/product/38951-forsunka-vie-017-dlya-8-klapannyh-vaz-2110-2112-lada-kalina" TargetMode="External"/><Relationship Id="rId55" Type="http://schemas.openxmlformats.org/officeDocument/2006/relationships/hyperlink" Target="https://motorring.ru/product/38962-elektrobenzonas-vie-sbore-novogo-obrazca-shtucere-21313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motorring.ru/product/89-drosselynaya-zaslonka-vaz-2108-2115-lada-priora-kalina-granta" TargetMode="External"/><Relationship Id="rId13" Type="http://schemas.openxmlformats.org/officeDocument/2006/relationships/hyperlink" Target="https://motorring.ru/product/88-drosselynaya-zaslonka-vaz-2108-2115-lada-priora-kalina-granta" TargetMode="External"/><Relationship Id="rId18" Type="http://schemas.openxmlformats.org/officeDocument/2006/relationships/hyperlink" Target="https://motorring.ru/product/90-drosselynaya-zaslonka-vaz-2108-2115-lada-priora-kalina-granta" TargetMode="External"/><Relationship Id="rId3" Type="http://schemas.openxmlformats.org/officeDocument/2006/relationships/hyperlink" Target="https://motorring.ru/product/95-drosselynaya-zaslonka-lada-4h4-shevrole-niva-prokladka" TargetMode="External"/><Relationship Id="rId7" Type="http://schemas.openxmlformats.org/officeDocument/2006/relationships/hyperlink" Target="https://motorring.ru/product/88-drosselynaya-zaslonka-vaz-2108-2115-lada-priora-kalina-granta" TargetMode="External"/><Relationship Id="rId12" Type="http://schemas.openxmlformats.org/officeDocument/2006/relationships/hyperlink" Target="https://motorring.ru/product/95-drosselynaya-zaslonka-lada-4h4-shevrole-niva-prokladka" TargetMode="External"/><Relationship Id="rId17" Type="http://schemas.openxmlformats.org/officeDocument/2006/relationships/hyperlink" Target="https://motorring.ru/product/89-drosselynaya-zaslonka-vaz-2108-2115-lada-priora-kalina-granta" TargetMode="External"/><Relationship Id="rId2" Type="http://schemas.openxmlformats.org/officeDocument/2006/relationships/hyperlink" Target="https://motorring.ru/product/96-drosselynaya-zaslonka-lada-4h4-shevrole-niva-prokladka" TargetMode="External"/><Relationship Id="rId16" Type="http://schemas.openxmlformats.org/officeDocument/2006/relationships/hyperlink" Target="https://motorring.ru/product/88-drosselynaya-zaslonka-vaz-2108-2115-lada-priora-kalina-granta" TargetMode="External"/><Relationship Id="rId1" Type="http://schemas.openxmlformats.org/officeDocument/2006/relationships/hyperlink" Target="https://motorring.ru/product/94-drosselynaya-zaslonka-lada-4h4-shevrole-niva-prokladka" TargetMode="External"/><Relationship Id="rId6" Type="http://schemas.openxmlformats.org/officeDocument/2006/relationships/hyperlink" Target="https://motorring.ru/product/90-drosselynaya-zaslonka-vaz-2108-2115-lada-priora-kalina-granta" TargetMode="External"/><Relationship Id="rId11" Type="http://schemas.openxmlformats.org/officeDocument/2006/relationships/hyperlink" Target="https://motorring.ru/product/96-drosselynaya-zaslonka-lada-4h4-shevrole-niva-prokladka" TargetMode="External"/><Relationship Id="rId5" Type="http://schemas.openxmlformats.org/officeDocument/2006/relationships/hyperlink" Target="https://motorring.ru/product/89-drosselynaya-zaslonka-vaz-2108-2115-lada-priora-kalina-granta" TargetMode="External"/><Relationship Id="rId15" Type="http://schemas.openxmlformats.org/officeDocument/2006/relationships/hyperlink" Target="https://motorring.ru/product/90-drosselynaya-zaslonka-vaz-2108-2115-lada-priora-kalina-granta" TargetMode="External"/><Relationship Id="rId10" Type="http://schemas.openxmlformats.org/officeDocument/2006/relationships/hyperlink" Target="https://motorring.ru/product/94-drosselynaya-zaslonka-lada-4h4-shevrole-niva-prokladka" TargetMode="External"/><Relationship Id="rId19" Type="http://schemas.openxmlformats.org/officeDocument/2006/relationships/printerSettings" Target="../printerSettings/printerSettings2.bin"/><Relationship Id="rId4" Type="http://schemas.openxmlformats.org/officeDocument/2006/relationships/hyperlink" Target="https://motorring.ru/product/88-drosselynaya-zaslonka-vaz-2108-2115-lada-priora-kalina-granta" TargetMode="External"/><Relationship Id="rId9" Type="http://schemas.openxmlformats.org/officeDocument/2006/relationships/hyperlink" Target="https://motorring.ru/product/90-drosselynaya-zaslonka-vaz-2108-2115-lada-priora-kalina-granta" TargetMode="External"/><Relationship Id="rId14" Type="http://schemas.openxmlformats.org/officeDocument/2006/relationships/hyperlink" Target="https://motorring.ru/product/89-drosselynaya-zaslonka-vaz-2108-2115-lada-priora-kalina-granta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hyperlink" Target="https://motorring.ru/product/15607-elektrokorrektor-far-lada-niva" TargetMode="External"/><Relationship Id="rId18" Type="http://schemas.openxmlformats.org/officeDocument/2006/relationships/hyperlink" Target="https://motorring.ru/product/38958-elektrobenzonasos-sbore-vie-21101-vaz-2110-2112-lada" TargetMode="External"/><Relationship Id="rId26" Type="http://schemas.openxmlformats.org/officeDocument/2006/relationships/hyperlink" Target="https://motorring.ru/product/38955-forsunka-vie-72370-dlya-lada-kalina-kalina-priora-granta" TargetMode="External"/><Relationship Id="rId39" Type="http://schemas.openxmlformats.org/officeDocument/2006/relationships/hyperlink" Target="https://motorring.ru/product/89-drosselynaya-zaslonka-vaz-2108-2115-lada-priora-kalina-granta" TargetMode="External"/><Relationship Id="rId21" Type="http://schemas.openxmlformats.org/officeDocument/2006/relationships/hyperlink" Target="https://motorring.ru/product/38962-elektrobenzonas-vie-sbore-novogo-obrazca-shtucere-21313" TargetMode="External"/><Relationship Id="rId34" Type="http://schemas.openxmlformats.org/officeDocument/2006/relationships/hyperlink" Target="https://motorring.ru/product/13316-prokladka-drosselynoy-zaslonki-vaz-2108-2115-lada-priora-kalina-k" TargetMode="External"/><Relationship Id="rId42" Type="http://schemas.openxmlformats.org/officeDocument/2006/relationships/hyperlink" Target="https://motorring.ru/product/89-drosselynaya-zaslonka-vaz-2108-2115-lada-priora-kalina-granta" TargetMode="External"/><Relationship Id="rId47" Type="http://schemas.openxmlformats.org/officeDocument/2006/relationships/control" Target="../activeX/activeX1.xml"/><Relationship Id="rId7" Type="http://schemas.openxmlformats.org/officeDocument/2006/relationships/hyperlink" Target="https://motorring.ru/product/20645-forsunka-6238-vie-vaz-2108-21099-2110-2112-2113-2115" TargetMode="External"/><Relationship Id="rId2" Type="http://schemas.openxmlformats.org/officeDocument/2006/relationships/hyperlink" Target="https://motorring.ru/product/20704-regulyator-davleniya-topliva-vie-380-vaz-2110-2115-lada" TargetMode="External"/><Relationship Id="rId16" Type="http://schemas.openxmlformats.org/officeDocument/2006/relationships/hyperlink" Target="https://motorring.ru/product/38951-forsunka-vie-017-dlya-8-klapannyh-vaz-2110-2112-lada-kalina" TargetMode="External"/><Relationship Id="rId29" Type="http://schemas.openxmlformats.org/officeDocument/2006/relationships/hyperlink" Target="https://motorring.ru/product/15358-podrulevoy-pereklyuchately-shleyf-novogo-obrazca-lada" TargetMode="External"/><Relationship Id="rId1" Type="http://schemas.openxmlformats.org/officeDocument/2006/relationships/hyperlink" Target="https://motorring.ru/product/20635-datchik-skorosti-vie-vaz-2108-21099-mehanicheskoy" TargetMode="External"/><Relationship Id="rId6" Type="http://schemas.openxmlformats.org/officeDocument/2006/relationships/hyperlink" Target="https://motorring.ru/product/18249-motor-elektrobenzonasosa-2112-povyshennoy" TargetMode="External"/><Relationship Id="rId11" Type="http://schemas.openxmlformats.org/officeDocument/2006/relationships/hyperlink" Target="https://motorring.ru/product/16635-standartnaya-drosselynaya-zaslonka-lada-4h4-niva-2121-21213" TargetMode="External"/><Relationship Id="rId24" Type="http://schemas.openxmlformats.org/officeDocument/2006/relationships/hyperlink" Target="https://motorring.ru/product/11342-regulyator-holostogo-hoda-vie-lada-4h4-shevrole-niva" TargetMode="External"/><Relationship Id="rId32" Type="http://schemas.openxmlformats.org/officeDocument/2006/relationships/hyperlink" Target="https://motorring.ru/product/3047-rezistor-elektronnogo-ventilyatora-otopitelya-dlya-lada" TargetMode="External"/><Relationship Id="rId37" Type="http://schemas.openxmlformats.org/officeDocument/2006/relationships/hyperlink" Target="https://motorring.ru/product/95-drosselynaya-zaslonka-lada-4h4-shevrole-niva-prokladka" TargetMode="External"/><Relationship Id="rId40" Type="http://schemas.openxmlformats.org/officeDocument/2006/relationships/hyperlink" Target="https://motorring.ru/product/90-drosselynaya-zaslonka-vaz-2108-2115-lada-priora-kalina-granta" TargetMode="External"/><Relationship Id="rId45" Type="http://schemas.openxmlformats.org/officeDocument/2006/relationships/drawing" Target="../drawings/drawing1.xml"/><Relationship Id="rId5" Type="http://schemas.openxmlformats.org/officeDocument/2006/relationships/hyperlink" Target="https://motorring.ru/product/20644-forsunka-735-vie-16kl-vaz-2110-2112-lada-kalina-priora" TargetMode="External"/><Relationship Id="rId15" Type="http://schemas.openxmlformats.org/officeDocument/2006/relationships/hyperlink" Target="https://motorring.ru/product/40555-drosselynaya-zaslonka-vie-21116-lada-priora-kalina-granta" TargetMode="External"/><Relationship Id="rId23" Type="http://schemas.openxmlformats.org/officeDocument/2006/relationships/hyperlink" Target="https://motorring.ru/product/38960-elektrobenzonasos-sbore-vie-vaz-2110-2112-2113-2115" TargetMode="External"/><Relationship Id="rId28" Type="http://schemas.openxmlformats.org/officeDocument/2006/relationships/hyperlink" Target="https://motorring.ru/product/18963-podrulevoy-pereklyuchately-shleyf-starogo-obrazca-dlya-lada" TargetMode="External"/><Relationship Id="rId36" Type="http://schemas.openxmlformats.org/officeDocument/2006/relationships/hyperlink" Target="https://motorring.ru/product/96-drosselynaya-zaslonka-lada-4h4-shevrole-niva-prokladka" TargetMode="External"/><Relationship Id="rId10" Type="http://schemas.openxmlformats.org/officeDocument/2006/relationships/hyperlink" Target="https://motorring.ru/product/12200-standartnaya-drosselynaya-zaslonka-vaz-2108-2115-2110-2112" TargetMode="External"/><Relationship Id="rId19" Type="http://schemas.openxmlformats.org/officeDocument/2006/relationships/hyperlink" Target="https://motorring.ru/product/38959-elektrobenzonasos-sbore-vie-vaz-21044-dlya-vaz-2101-2107" TargetMode="External"/><Relationship Id="rId31" Type="http://schemas.openxmlformats.org/officeDocument/2006/relationships/hyperlink" Target="https://motorring.ru/product/38942-datchik-faz-vie-dlya-inghektornyh-vaz" TargetMode="External"/><Relationship Id="rId44" Type="http://schemas.openxmlformats.org/officeDocument/2006/relationships/printerSettings" Target="../printerSettings/printerSettings5.bin"/><Relationship Id="rId4" Type="http://schemas.openxmlformats.org/officeDocument/2006/relationships/hyperlink" Target="https://motorring.ru/product/17852" TargetMode="External"/><Relationship Id="rId9" Type="http://schemas.openxmlformats.org/officeDocument/2006/relationships/hyperlink" Target="https://motorring.ru/product/3061-moduly-zaghiganiya-soate-vaz-2104-2107-2110-2112-lada" TargetMode="External"/><Relationship Id="rId14" Type="http://schemas.openxmlformats.org/officeDocument/2006/relationships/hyperlink" Target="https://motorring.ru/product/20641-regulyator-holostogo-hoda-vie-vaz-2105-2107-2108-21099" TargetMode="External"/><Relationship Id="rId22" Type="http://schemas.openxmlformats.org/officeDocument/2006/relationships/hyperlink" Target="https://motorring.ru/product/38961-elektrobenzonas-vie-sbore-starogo-obrazca-gayke-21214" TargetMode="External"/><Relationship Id="rId27" Type="http://schemas.openxmlformats.org/officeDocument/2006/relationships/hyperlink" Target="https://motorring.ru/product/20636-datchik-faz-vie-analog-141-3855-vaz" TargetMode="External"/><Relationship Id="rId30" Type="http://schemas.openxmlformats.org/officeDocument/2006/relationships/hyperlink" Target="https://motorring.ru/product/20640-motor-elektrobenzonasosa-vie-lada-largus-reno-logan-sandero" TargetMode="External"/><Relationship Id="rId35" Type="http://schemas.openxmlformats.org/officeDocument/2006/relationships/hyperlink" Target="https://motorring.ru/product/94-drosselynaya-zaslonka-lada-4h4-shevrole-niva-prokladka" TargetMode="External"/><Relationship Id="rId43" Type="http://schemas.openxmlformats.org/officeDocument/2006/relationships/hyperlink" Target="https://motorring.ru/product/90-drosselynaya-zaslonka-vaz-2108-2115-lada-priora-kalina-granta" TargetMode="External"/><Relationship Id="rId48" Type="http://schemas.openxmlformats.org/officeDocument/2006/relationships/image" Target="../media/image1.emf"/><Relationship Id="rId8" Type="http://schemas.openxmlformats.org/officeDocument/2006/relationships/hyperlink" Target="https://motorring.ru/product/20639-motor-elektrobenzonasosa-vie-lada-vesta" TargetMode="External"/><Relationship Id="rId3" Type="http://schemas.openxmlformats.org/officeDocument/2006/relationships/hyperlink" Target="https://motorring.ru/product/11342-regulyator-holostogo-hoda-vie-lada-4h4-shevrole-niva" TargetMode="External"/><Relationship Id="rId12" Type="http://schemas.openxmlformats.org/officeDocument/2006/relationships/hyperlink" Target="https://motorring.ru/product/5530-elektrokorrektor-far-dlya-lada-granta" TargetMode="External"/><Relationship Id="rId17" Type="http://schemas.openxmlformats.org/officeDocument/2006/relationships/hyperlink" Target="https://motorring.ru/product/18249-motor-elektrobenzonasosa-2112-povyshennoy" TargetMode="External"/><Relationship Id="rId25" Type="http://schemas.openxmlformats.org/officeDocument/2006/relationships/hyperlink" Target="https://motorring.ru/product/38946-regulyator-holostogo-hoda-vie-plastikoviy-nakonechnik-lada-niva" TargetMode="External"/><Relationship Id="rId33" Type="http://schemas.openxmlformats.org/officeDocument/2006/relationships/hyperlink" Target="https://motorring.ru/product/19060-standartnaya-drosselynaya-zaslonka-sbore-datchikami-vaz" TargetMode="External"/><Relationship Id="rId38" Type="http://schemas.openxmlformats.org/officeDocument/2006/relationships/hyperlink" Target="https://motorring.ru/product/88-drosselynaya-zaslonka-vaz-2108-2115-lada-priora-kalina-granta" TargetMode="External"/><Relationship Id="rId46" Type="http://schemas.openxmlformats.org/officeDocument/2006/relationships/vmlDrawing" Target="../drawings/vmlDrawing1.vml"/><Relationship Id="rId20" Type="http://schemas.openxmlformats.org/officeDocument/2006/relationships/hyperlink" Target="https://motorring.ru/product/38963-elektrobenzonasos-vie-2123-sbore-dlya-shevrole-niva" TargetMode="External"/><Relationship Id="rId41" Type="http://schemas.openxmlformats.org/officeDocument/2006/relationships/hyperlink" Target="https://motorring.ru/product/88-drosselynaya-zaslonka-vaz-2108-2115-lada-priora-kalina-granta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AF89"/>
  <sheetViews>
    <sheetView showGridLines="0" topLeftCell="C1" workbookViewId="0">
      <pane ySplit="2" topLeftCell="A16" activePane="bottomLeft" state="frozen"/>
      <selection pane="bottomLeft" activeCell="AF1" activeCellId="4" sqref="A1:A1048576 Z1:Z1048576 AA1:AA1048576 AE1:AE1048576 AF1:AF1048576"/>
    </sheetView>
  </sheetViews>
  <sheetFormatPr defaultRowHeight="15"/>
  <cols>
    <col min="1" max="2" width="7" style="41" customWidth="1"/>
    <col min="3" max="3" width="36.5703125" style="41" customWidth="1"/>
    <col min="4" max="4" width="3.5703125" style="41" customWidth="1"/>
    <col min="5" max="5" width="4.85546875" style="41" bestFit="1" customWidth="1"/>
    <col min="6" max="6" width="21.5703125" style="43" customWidth="1"/>
    <col min="7" max="7" width="15.28515625" style="43" bestFit="1" customWidth="1"/>
    <col min="8" max="8" width="4.85546875" style="41" bestFit="1" customWidth="1"/>
    <col min="9" max="9" width="7.28515625" style="43" bestFit="1" customWidth="1"/>
    <col min="10" max="10" width="8.42578125" style="41" customWidth="1"/>
    <col min="11" max="11" width="5" style="46" customWidth="1"/>
    <col min="12" max="13" width="6" style="43" bestFit="1" customWidth="1"/>
    <col min="14" max="14" width="6.7109375" style="46" bestFit="1" customWidth="1"/>
    <col min="15" max="15" width="6.85546875" style="46" bestFit="1" customWidth="1"/>
    <col min="16" max="17" width="7.42578125" style="41" bestFit="1" customWidth="1"/>
    <col min="18" max="18" width="7.85546875" style="41" customWidth="1"/>
    <col min="19" max="19" width="7" style="41" customWidth="1"/>
    <col min="20" max="20" width="8.7109375" style="41" customWidth="1"/>
    <col min="21" max="21" width="6.28515625" style="41" customWidth="1"/>
    <col min="22" max="22" width="9.42578125" style="43" customWidth="1"/>
    <col min="23" max="23" width="7.85546875" style="43" customWidth="1"/>
    <col min="24" max="24" width="3.85546875" style="41" customWidth="1"/>
    <col min="25" max="25" width="7" style="41" bestFit="1" customWidth="1"/>
    <col min="26" max="26" width="9.42578125" style="43" customWidth="1"/>
    <col min="27" max="27" width="9.140625" style="41"/>
    <col min="28" max="28" width="7.85546875" style="43" customWidth="1"/>
    <col min="29" max="29" width="3.85546875" style="41" customWidth="1"/>
    <col min="30" max="30" width="7" style="41" bestFit="1" customWidth="1"/>
    <col min="31" max="16384" width="9.140625" style="41"/>
  </cols>
  <sheetData>
    <row r="1" spans="1:32">
      <c r="B1" s="42">
        <v>2</v>
      </c>
      <c r="C1" s="42">
        <v>3</v>
      </c>
      <c r="D1" s="41">
        <v>4</v>
      </c>
      <c r="E1" s="41">
        <v>14</v>
      </c>
      <c r="F1" s="41">
        <v>5</v>
      </c>
      <c r="H1" s="44">
        <f>COUNT(Кат!$V:$V,Торг!$V:$V)/COUNT(Кат!$A:$A,Торг!$B:$B)</f>
        <v>0.46153846153846156</v>
      </c>
      <c r="J1" s="45">
        <f>N1</f>
        <v>8</v>
      </c>
      <c r="L1" s="67">
        <f>O1</f>
        <v>9</v>
      </c>
      <c r="M1" s="47"/>
      <c r="N1" s="41">
        <v>8</v>
      </c>
      <c r="O1" s="41">
        <v>9</v>
      </c>
      <c r="P1" s="43"/>
      <c r="Q1" s="43"/>
      <c r="S1" s="48" t="str">
        <f>_xlfn.CONCAT(ROUND(MIN(S3:S9000)*100,0),"-",ROUND(MAX(S3:S9000)*100,0),"%")</f>
        <v>15-192%</v>
      </c>
      <c r="T1" s="48" t="str">
        <f>_xlfn.CONCAT(ROUND(SUBTOTAL(5,T3:T9000)*100,0)," - ",ROUND(SUBTOTAL(4,T3:T9000)*100,0),"%")</f>
        <v>-12 - 7%</v>
      </c>
      <c r="U1" s="48" t="str">
        <f>_xlfn.CONCAT(ROUND(SUBTOTAL(5,U3:U90000)*100,0)," - ",ROUND(SUBTOTAL(4,U3:U90000)*100,0),"%")</f>
        <v>13 - 195%</v>
      </c>
      <c r="V1" s="47"/>
      <c r="W1" s="41">
        <v>6</v>
      </c>
      <c r="Y1" s="69">
        <f>AF1</f>
        <v>0</v>
      </c>
      <c r="Z1" s="47"/>
      <c r="AB1" s="41">
        <v>7</v>
      </c>
      <c r="AD1" s="69">
        <f>AK1</f>
        <v>0</v>
      </c>
    </row>
    <row r="2" spans="1:32" s="55" customFormat="1">
      <c r="A2" s="49" t="s">
        <v>0</v>
      </c>
      <c r="B2" s="17" t="s">
        <v>198</v>
      </c>
      <c r="C2" s="17" t="s">
        <v>121</v>
      </c>
      <c r="D2" s="17"/>
      <c r="E2" s="17"/>
      <c r="F2" s="17" t="s">
        <v>197</v>
      </c>
      <c r="G2" s="19" t="s">
        <v>263</v>
      </c>
      <c r="H2" s="49"/>
      <c r="I2" s="19" t="s">
        <v>277</v>
      </c>
      <c r="J2" s="50" t="s">
        <v>18</v>
      </c>
      <c r="K2" s="51"/>
      <c r="L2" s="19"/>
      <c r="M2" s="52" t="s">
        <v>275</v>
      </c>
      <c r="N2" s="17" t="s">
        <v>196</v>
      </c>
      <c r="O2" s="17" t="s">
        <v>195</v>
      </c>
      <c r="P2" s="18" t="s">
        <v>19</v>
      </c>
      <c r="Q2" s="18" t="s">
        <v>19</v>
      </c>
      <c r="R2" s="20">
        <v>7.0000000000000007E-2</v>
      </c>
      <c r="S2" s="53" t="s">
        <v>22</v>
      </c>
      <c r="T2" s="53" t="s">
        <v>20</v>
      </c>
      <c r="U2" s="53" t="s">
        <v>21</v>
      </c>
      <c r="V2" s="54" t="s">
        <v>193</v>
      </c>
      <c r="W2" s="70" t="s">
        <v>282</v>
      </c>
      <c r="X2" s="21"/>
      <c r="Y2" s="21" t="s">
        <v>283</v>
      </c>
      <c r="Z2" s="54" t="s">
        <v>193</v>
      </c>
      <c r="AA2" s="41" t="s">
        <v>193</v>
      </c>
      <c r="AB2" s="70" t="s">
        <v>282</v>
      </c>
      <c r="AC2" s="21"/>
      <c r="AD2" s="21" t="s">
        <v>283</v>
      </c>
      <c r="AE2" s="68" t="s">
        <v>281</v>
      </c>
      <c r="AF2" s="55" t="s">
        <v>281</v>
      </c>
    </row>
    <row r="3" spans="1:32" ht="30.75" thickBot="1">
      <c r="A3" s="56">
        <v>203496</v>
      </c>
      <c r="B3" s="56">
        <f>VLOOKUP($A3,'Выгр Кат'!$A:$R,B$1,0)</f>
        <v>19109</v>
      </c>
      <c r="C3" s="57" t="str">
        <f>VLOOKUP($A3,'Выгр Кат'!$A:$R,C$1,0)</f>
        <v>Резистор вентилятора отопителя Panasonic "ВИЭ" для Лада Приора</v>
      </c>
      <c r="D3" s="56" t="str">
        <f>VLOOKUP($A3,'Выгр Кат'!$A:$R,D$1,0)</f>
        <v>Y</v>
      </c>
      <c r="E3" s="56" t="str">
        <f>VLOOKUP($A3,'Выгр Кат'!$A:$R,E$1,0)</f>
        <v>1ск6</v>
      </c>
      <c r="F3" s="56" t="str">
        <f>VLOOKUP($A3,'Выгр Кат'!$A:$R,F$1,0)</f>
        <v>J7100-090, 5513 2J13</v>
      </c>
      <c r="G3" s="4" t="s">
        <v>95</v>
      </c>
      <c r="H3" s="5" t="s">
        <v>41</v>
      </c>
      <c r="I3" s="4"/>
      <c r="J3" s="45">
        <f t="shared" ref="J3:J37" si="0">N3</f>
        <v>0</v>
      </c>
      <c r="K3" s="58" t="e">
        <f>VLOOKUP(J3,Наценка!$A$1:$B$8,2,1)</f>
        <v>#N/A</v>
      </c>
      <c r="L3" s="23">
        <f>V3*1</f>
        <v>990</v>
      </c>
      <c r="M3" s="38">
        <f t="shared" ref="M3:M34" si="1">IF(L3&lt;=1000,(ROUNDUP(L3,-1)-1),(ROUNDUP(L3,-2)-10))</f>
        <v>989</v>
      </c>
      <c r="N3" s="56">
        <f>VLOOKUP($A3,'Выгр Кат'!$A:$R,N$1,0)</f>
        <v>0</v>
      </c>
      <c r="O3" s="56">
        <f>VLOOKUP($A3,'Выгр Кат'!$A:$R,O$1,0)</f>
        <v>989</v>
      </c>
      <c r="P3" s="18">
        <f t="shared" ref="P3:P34" si="2">N3-J3</f>
        <v>0</v>
      </c>
      <c r="Q3" s="18">
        <f t="shared" ref="Q3:Q34" si="3">O3-M3</f>
        <v>0</v>
      </c>
      <c r="R3" s="22">
        <f t="shared" ref="R3:R34" si="4">IFERROR(M3*(1-$R$2),"")</f>
        <v>919.77</v>
      </c>
      <c r="S3" s="59" t="str">
        <f>IFERROR(R3/J3-1,"")</f>
        <v/>
      </c>
      <c r="T3" s="59">
        <f>IFERROR((V3-R3)/V3,"")</f>
        <v>7.0939393939393955E-2</v>
      </c>
      <c r="U3" s="59" t="str">
        <f>IFERROR(IF(V3="","",V3/J3-1),"")</f>
        <v/>
      </c>
      <c r="V3" s="60">
        <v>990</v>
      </c>
      <c r="W3" s="29">
        <f>IFERROR((VLOOKUP($A3,'Из ГУГЛа'!$B:$Z,W$1,0)+Y3)*X3,VLOOKUP($A3,'Из ГУГЛа'!$B:$Z,W$1,0))</f>
        <v>990</v>
      </c>
      <c r="X3" s="1">
        <v>1</v>
      </c>
      <c r="Y3" s="1">
        <v>0</v>
      </c>
      <c r="Z3" s="60">
        <v>990</v>
      </c>
      <c r="AA3" s="41" t="s">
        <v>175</v>
      </c>
      <c r="AB3" s="29">
        <f>IFERROR((VLOOKUP($A3,'Из ГУГЛа'!$B:$Z,AB$1,0)+AD3)*AC3,VLOOKUP($A3,'Из ГУГЛа'!$B:$Z,AB$1,0))</f>
        <v>0</v>
      </c>
      <c r="AC3" s="1">
        <v>1</v>
      </c>
      <c r="AD3" s="1">
        <v>0</v>
      </c>
      <c r="AE3" s="56"/>
    </row>
    <row r="4" spans="1:32" ht="45.75" thickTop="1">
      <c r="A4" s="56">
        <v>164034</v>
      </c>
      <c r="B4" s="56">
        <f>VLOOKUP($A4,'Выгр Кат'!$A:$R,B$1,0)</f>
        <v>18750</v>
      </c>
      <c r="C4" s="57" t="str">
        <f>VLOOKUP($A4,'Выгр Кат'!$A:$R,C$1,0)</f>
        <v>Модуль подрулевых переключателей "Renault" в сборе без ПТФ для Лада Веста</v>
      </c>
      <c r="D4" s="56" t="str">
        <f>VLOOKUP($A4,'Выгр Кат'!$A:$R,D$1,0)</f>
        <v>Y</v>
      </c>
      <c r="E4" s="56" t="str">
        <f>VLOOKUP($A4,'Выгр Кат'!$A:$R,E$1,0)</f>
        <v>0</v>
      </c>
      <c r="F4" s="56" t="str">
        <f>VLOOKUP($A4,'Выгр Кат'!$A:$R,F$1,0)</f>
        <v>8450006923</v>
      </c>
      <c r="G4" s="9">
        <v>8450006923</v>
      </c>
      <c r="H4" s="5" t="s">
        <v>41</v>
      </c>
      <c r="I4" s="4"/>
      <c r="J4" s="45">
        <f t="shared" si="0"/>
        <v>0</v>
      </c>
      <c r="K4" s="58" t="e">
        <f>VLOOKUP(J4,Наценка!$A$1:$B$8,2,1)</f>
        <v>#N/A</v>
      </c>
      <c r="L4" s="67">
        <f>O4</f>
        <v>6190</v>
      </c>
      <c r="M4" s="38">
        <f t="shared" si="1"/>
        <v>6190</v>
      </c>
      <c r="N4" s="56">
        <f>VLOOKUP($A4,'Выгр Кат'!$A:$R,N$1,0)</f>
        <v>0</v>
      </c>
      <c r="O4" s="56">
        <f>VLOOKUP($A4,'Выгр Кат'!$A:$R,O$1,0)</f>
        <v>6190</v>
      </c>
      <c r="P4" s="18">
        <f t="shared" si="2"/>
        <v>0</v>
      </c>
      <c r="Q4" s="18">
        <f t="shared" si="3"/>
        <v>0</v>
      </c>
      <c r="R4" s="22">
        <f t="shared" si="4"/>
        <v>5756.7</v>
      </c>
      <c r="S4" s="59" t="str">
        <f>IFERROR(R4/J4-1,"")</f>
        <v/>
      </c>
      <c r="T4" s="59" t="str">
        <f>IFERROR((V4-R4)/V4,"")</f>
        <v/>
      </c>
      <c r="U4" s="59" t="str">
        <f>IFERROR(IF(V4="","",V4/J4-1),"")</f>
        <v/>
      </c>
      <c r="V4" s="61"/>
      <c r="W4" s="29" t="str">
        <f>IFERROR((VLOOKUP($A4,'Из ГУГЛа'!$B:$Z,W$1,0)+Y4)*X4,VLOOKUP($A4,'Из ГУГЛа'!$B:$Z,W$1,0))</f>
        <v/>
      </c>
      <c r="X4" s="1">
        <v>1</v>
      </c>
      <c r="Y4" s="1">
        <v>0</v>
      </c>
      <c r="Z4" s="61"/>
      <c r="AB4" s="29">
        <f>IFERROR((VLOOKUP($A4,'Из ГУГЛа'!$B:$Z,AB$1,0)+AD4)*AC4,VLOOKUP($A4,'Из ГУГЛа'!$B:$Z,AB$1,0))</f>
        <v>0</v>
      </c>
      <c r="AC4" s="1">
        <v>1</v>
      </c>
      <c r="AD4" s="1">
        <v>0</v>
      </c>
      <c r="AE4" s="56"/>
    </row>
    <row r="5" spans="1:32" ht="45.75" thickBot="1">
      <c r="A5" s="56">
        <v>201416</v>
      </c>
      <c r="B5" s="56">
        <f>VLOOKUP($A5,'Выгр Кат'!$A:$R,B$1,0)</f>
        <v>6903</v>
      </c>
      <c r="C5" s="57" t="str">
        <f>VLOOKUP($A5,'Выгр Кат'!$A:$R,C$1,0)</f>
        <v>Прокладка дроссельной заслонки "ВИЭ" для ВАЗ (2108-21099, 2110-2112, 2113-2115),  Лада (Калина, Приора)</v>
      </c>
      <c r="D5" s="56" t="str">
        <f>VLOOKUP($A5,'Выгр Кат'!$A:$R,D$1,0)</f>
        <v>Y</v>
      </c>
      <c r="E5" s="56" t="str">
        <f>VLOOKUP($A5,'Выгр Кат'!$A:$R,E$1,0)</f>
        <v>1</v>
      </c>
      <c r="F5" s="56" t="str">
        <f>VLOOKUP($A5,'Выгр Кат'!$A:$R,F$1,0)</f>
        <v>21120-1148015-00</v>
      </c>
      <c r="G5" s="4" t="s">
        <v>97</v>
      </c>
      <c r="H5" s="5" t="s">
        <v>41</v>
      </c>
      <c r="I5" s="4"/>
      <c r="J5" s="45">
        <f t="shared" si="0"/>
        <v>20</v>
      </c>
      <c r="K5" s="58">
        <f>VLOOKUP(J5,Наценка!$A$1:$B$8,2,1)</f>
        <v>2</v>
      </c>
      <c r="L5" s="24">
        <f>V5*1.02</f>
        <v>49.980000000000004</v>
      </c>
      <c r="M5" s="38">
        <f t="shared" si="1"/>
        <v>49</v>
      </c>
      <c r="N5" s="56">
        <f>VLOOKUP($A5,'Выгр Кат'!$A:$R,N$1,0)</f>
        <v>20</v>
      </c>
      <c r="O5" s="56">
        <f>VLOOKUP($A5,'Выгр Кат'!$A:$R,O$1,0)</f>
        <v>39</v>
      </c>
      <c r="P5" s="18">
        <f t="shared" si="2"/>
        <v>0</v>
      </c>
      <c r="Q5" s="18">
        <f t="shared" si="3"/>
        <v>-10</v>
      </c>
      <c r="R5" s="22">
        <f t="shared" si="4"/>
        <v>45.57</v>
      </c>
      <c r="S5" s="59">
        <f>IFERROR(R5/J5-1,"")</f>
        <v>1.2785000000000002</v>
      </c>
      <c r="T5" s="59">
        <f>IFERROR((V5-R5)/V5,"")</f>
        <v>6.9999999999999993E-2</v>
      </c>
      <c r="U5" s="59">
        <f>IFERROR(IF(V5="","",V5/J5-1),"")</f>
        <v>1.4500000000000002</v>
      </c>
      <c r="V5" s="60">
        <v>49</v>
      </c>
      <c r="W5" s="29">
        <f>IFERROR((VLOOKUP($A5,'Из ГУГЛа'!$B:$Z,W$1,0)+Y5)*X5,VLOOKUP($A5,'Из ГУГЛа'!$B:$Z,W$1,0))</f>
        <v>49</v>
      </c>
      <c r="X5" s="1">
        <v>1</v>
      </c>
      <c r="Y5" s="1">
        <v>0</v>
      </c>
      <c r="Z5" s="60">
        <v>49</v>
      </c>
      <c r="AA5" s="41" t="s">
        <v>238</v>
      </c>
      <c r="AB5" s="29">
        <f>IFERROR((VLOOKUP($A5,'Из ГУГЛа'!$B:$Z,AB$1,0)+AD5)*AC5,VLOOKUP($A5,'Из ГУГЛа'!$B:$Z,AB$1,0))</f>
        <v>0</v>
      </c>
      <c r="AC5" s="1">
        <v>1</v>
      </c>
      <c r="AD5" s="1">
        <v>0</v>
      </c>
      <c r="AE5" s="56"/>
    </row>
    <row r="6" spans="1:32" ht="75.75" thickTop="1">
      <c r="A6" s="56">
        <v>142035</v>
      </c>
      <c r="B6" s="56">
        <f>VLOOKUP($A6,'Выгр Кат'!$A:$R,B$1,0)</f>
        <v>19099</v>
      </c>
      <c r="C6" s="57" t="str">
        <f>VLOOKUP($A6,'Выгр Кат'!$A:$R,C$1,0)</f>
        <v>Датчик положения дроссельной заслонки (ДПДЗ) "ВИЭ" для ВАЗ (2108-21099, 2113-2115, 2110-2112), Лада (Калина, Приора, Гранта, Нива 4х4), Шевроле Нива</v>
      </c>
      <c r="D6" s="56" t="str">
        <f>VLOOKUP($A6,'Выгр Кат'!$A:$R,D$1,0)</f>
        <v>Y</v>
      </c>
      <c r="E6" s="56" t="str">
        <f>VLOOKUP($A6,'Выгр Кат'!$A:$R,E$1,0)</f>
        <v>1ск6</v>
      </c>
      <c r="F6" s="56" t="str">
        <f>VLOOKUP($A6,'Выгр Кат'!$A:$R,F$1,0)</f>
        <v>2112-1148200 / 39.3855/1</v>
      </c>
      <c r="G6" s="4" t="s">
        <v>23</v>
      </c>
      <c r="H6" s="5" t="s">
        <v>41</v>
      </c>
      <c r="I6" s="4">
        <v>11</v>
      </c>
      <c r="J6" s="45">
        <f t="shared" si="0"/>
        <v>180</v>
      </c>
      <c r="K6" s="58">
        <f>VLOOKUP(J6,Наценка!$A$1:$B$8,2,1)</f>
        <v>2.2000000000000002</v>
      </c>
      <c r="L6" s="4">
        <f>K6*J6</f>
        <v>396.00000000000006</v>
      </c>
      <c r="M6" s="38">
        <f t="shared" si="1"/>
        <v>399</v>
      </c>
      <c r="N6" s="56">
        <f>VLOOKUP($A6,'Выгр Кат'!$A:$R,N$1,0)</f>
        <v>180</v>
      </c>
      <c r="O6" s="56">
        <f>VLOOKUP($A6,'Выгр Кат'!$A:$R,O$1,0)</f>
        <v>399</v>
      </c>
      <c r="P6" s="18">
        <f t="shared" si="2"/>
        <v>0</v>
      </c>
      <c r="Q6" s="18">
        <f t="shared" si="3"/>
        <v>0</v>
      </c>
      <c r="R6" s="22">
        <f t="shared" si="4"/>
        <v>371.07</v>
      </c>
      <c r="S6" s="59">
        <f>IFERROR(R6/J6-1,"")</f>
        <v>1.0615000000000001</v>
      </c>
      <c r="T6" s="59" t="str">
        <f>IFERROR((V6-R6)/V6,"")</f>
        <v/>
      </c>
      <c r="U6" s="59" t="str">
        <f>IFERROR(IF(V6="","",V6/J6-1),"")</f>
        <v/>
      </c>
      <c r="V6" s="61"/>
      <c r="W6" s="29" t="str">
        <f>IFERROR((VLOOKUP($A6,'Из ГУГЛа'!$B:$Z,W$1,0)+Y6)*X6,VLOOKUP($A6,'Из ГУГЛа'!$B:$Z,W$1,0))</f>
        <v/>
      </c>
      <c r="X6" s="1">
        <v>1</v>
      </c>
      <c r="Y6" s="1">
        <v>0</v>
      </c>
      <c r="Z6" s="61"/>
      <c r="AB6" s="29">
        <f>IFERROR((VLOOKUP($A6,'Из ГУГЛа'!$B:$Z,AB$1,0)+AD6)*AC6,VLOOKUP($A6,'Из ГУГЛа'!$B:$Z,AB$1,0))</f>
        <v>0</v>
      </c>
      <c r="AC6" s="1">
        <v>1</v>
      </c>
      <c r="AD6" s="1">
        <v>0</v>
      </c>
      <c r="AE6" s="56">
        <v>304</v>
      </c>
      <c r="AF6" s="41" t="s">
        <v>286</v>
      </c>
    </row>
    <row r="7" spans="1:32" ht="45.75" thickBot="1">
      <c r="A7" s="56">
        <v>142061</v>
      </c>
      <c r="B7" s="56">
        <f>VLOOKUP($A7,'Выгр Кат'!$A:$R,B$1,0)</f>
        <v>19102</v>
      </c>
      <c r="C7" s="57" t="str">
        <f>VLOOKUP($A7,'Выгр Кат'!$A:$R,C$1,0)</f>
        <v>Датчик скорости "ВИЭ" для ВАЗ 2108-21099 (с механической комбинацией приборов)</v>
      </c>
      <c r="D7" s="56" t="str">
        <f>VLOOKUP($A7,'Выгр Кат'!$A:$R,D$1,0)</f>
        <v>Y</v>
      </c>
      <c r="E7" s="56" t="str">
        <f>VLOOKUP($A7,'Выгр Кат'!$A:$R,E$1,0)</f>
        <v>1</v>
      </c>
      <c r="F7" s="56" t="str">
        <f>VLOOKUP($A7,'Выгр Кат'!$A:$R,F$1,0)</f>
        <v>21093-3843010</v>
      </c>
      <c r="G7" s="4" t="s">
        <v>26</v>
      </c>
      <c r="H7" s="5" t="s">
        <v>41</v>
      </c>
      <c r="I7" s="4"/>
      <c r="J7" s="45">
        <f t="shared" si="0"/>
        <v>195</v>
      </c>
      <c r="K7" s="58">
        <f>VLOOKUP(J7,Наценка!$A$1:$B$8,2,1)</f>
        <v>2.2000000000000002</v>
      </c>
      <c r="L7" s="4">
        <f t="shared" ref="L7:L69" si="5">K7*J7</f>
        <v>429.00000000000006</v>
      </c>
      <c r="M7" s="38">
        <f t="shared" si="1"/>
        <v>429</v>
      </c>
      <c r="N7" s="56">
        <f>VLOOKUP($A7,'Выгр Кат'!$A:$R,N$1,0)</f>
        <v>195</v>
      </c>
      <c r="O7" s="56">
        <f>VLOOKUP($A7,'Выгр Кат'!$A:$R,O$1,0)</f>
        <v>429</v>
      </c>
      <c r="P7" s="18">
        <f t="shared" si="2"/>
        <v>0</v>
      </c>
      <c r="Q7" s="18">
        <f t="shared" si="3"/>
        <v>0</v>
      </c>
      <c r="R7" s="22">
        <f t="shared" si="4"/>
        <v>398.96999999999997</v>
      </c>
      <c r="S7" s="59">
        <f>IFERROR(R7/J7-1,"")</f>
        <v>1.0459999999999998</v>
      </c>
      <c r="T7" s="59" t="str">
        <f>IFERROR((V7-R7)/V7,"")</f>
        <v/>
      </c>
      <c r="U7" s="59" t="str">
        <f>IFERROR(IF(V7="","",V7/J7-1),"")</f>
        <v/>
      </c>
      <c r="V7" s="62" t="s">
        <v>194</v>
      </c>
      <c r="W7" s="29" t="str">
        <f>IFERROR((VLOOKUP($A7,'Из ГУГЛа'!$B:$Z,W$1,0)+Y7)*X7,VLOOKUP($A7,'Из ГУГЛа'!$B:$Z,W$1,0))</f>
        <v/>
      </c>
      <c r="X7" s="1">
        <v>1</v>
      </c>
      <c r="Y7" s="1">
        <v>0</v>
      </c>
      <c r="Z7" s="62" t="s">
        <v>194</v>
      </c>
      <c r="AA7" s="41" t="s">
        <v>265</v>
      </c>
      <c r="AB7" s="29">
        <f>IFERROR((VLOOKUP($A7,'Из ГУГЛа'!$B:$Z,AB$1,0)+AD7)*AC7,VLOOKUP($A7,'Из ГУГЛа'!$B:$Z,AB$1,0))</f>
        <v>0</v>
      </c>
      <c r="AC7" s="1">
        <v>1</v>
      </c>
      <c r="AD7" s="1">
        <v>0</v>
      </c>
      <c r="AE7" s="56"/>
    </row>
    <row r="8" spans="1:32" ht="45.75" thickTop="1">
      <c r="A8" s="56">
        <v>142062</v>
      </c>
      <c r="B8" s="56">
        <f>VLOOKUP($A8,'Выгр Кат'!$A:$R,B$1,0)</f>
        <v>19103</v>
      </c>
      <c r="C8" s="57" t="str">
        <f>VLOOKUP($A8,'Выгр Кат'!$A:$R,C$1,0)</f>
        <v>Датчик скорости "ВИЭ" для ВАЗ 2110-2112, 2113-2115 (с электронной комбинацией приборов)</v>
      </c>
      <c r="D8" s="56" t="str">
        <f>VLOOKUP($A8,'Выгр Кат'!$A:$R,D$1,0)</f>
        <v>Y</v>
      </c>
      <c r="E8" s="56" t="str">
        <f>VLOOKUP($A8,'Выгр Кат'!$A:$R,E$1,0)</f>
        <v>1</v>
      </c>
      <c r="F8" s="56" t="str">
        <f>VLOOKUP($A8,'Выгр Кат'!$A:$R,F$1,0)</f>
        <v>2111-3843010</v>
      </c>
      <c r="G8" s="4" t="s">
        <v>27</v>
      </c>
      <c r="H8" s="5" t="s">
        <v>41</v>
      </c>
      <c r="I8" s="4"/>
      <c r="J8" s="45">
        <f t="shared" si="0"/>
        <v>195</v>
      </c>
      <c r="K8" s="58">
        <f>VLOOKUP(J8,Наценка!$A$1:$B$8,2,1)</f>
        <v>2.2000000000000002</v>
      </c>
      <c r="L8" s="4">
        <f t="shared" si="5"/>
        <v>429.00000000000006</v>
      </c>
      <c r="M8" s="38">
        <f t="shared" si="1"/>
        <v>429</v>
      </c>
      <c r="N8" s="56">
        <f>VLOOKUP($A8,'Выгр Кат'!$A:$R,N$1,0)</f>
        <v>195</v>
      </c>
      <c r="O8" s="56">
        <f>VLOOKUP($A8,'Выгр Кат'!$A:$R,O$1,0)</f>
        <v>429</v>
      </c>
      <c r="P8" s="18">
        <f t="shared" si="2"/>
        <v>0</v>
      </c>
      <c r="Q8" s="18">
        <f t="shared" si="3"/>
        <v>0</v>
      </c>
      <c r="R8" s="22">
        <f t="shared" si="4"/>
        <v>398.96999999999997</v>
      </c>
      <c r="S8" s="59">
        <f>IFERROR(R8/J8-1,"")</f>
        <v>1.0459999999999998</v>
      </c>
      <c r="T8" s="59" t="str">
        <f>IFERROR((V8-R8)/V8,"")</f>
        <v/>
      </c>
      <c r="U8" s="59" t="str">
        <f>IFERROR(IF(V8="","",V8/J8-1),"")</f>
        <v/>
      </c>
      <c r="V8" s="61"/>
      <c r="W8" s="29" t="str">
        <f>IFERROR((VLOOKUP($A8,'Из ГУГЛа'!$B:$Z,W$1,0)+Y8)*X8,VLOOKUP($A8,'Из ГУГЛа'!$B:$Z,W$1,0))</f>
        <v/>
      </c>
      <c r="X8" s="1">
        <v>1</v>
      </c>
      <c r="Y8" s="1">
        <v>0</v>
      </c>
      <c r="Z8" s="61"/>
      <c r="AB8" s="29">
        <f>IFERROR((VLOOKUP($A8,'Из ГУГЛа'!$B:$Z,AB$1,0)+AD8)*AC8,VLOOKUP($A8,'Из ГУГЛа'!$B:$Z,AB$1,0))</f>
        <v>0</v>
      </c>
      <c r="AC8" s="1">
        <v>1</v>
      </c>
      <c r="AD8" s="1">
        <v>0</v>
      </c>
      <c r="AE8" s="56"/>
    </row>
    <row r="9" spans="1:32" ht="75.75" thickBot="1">
      <c r="A9" s="56">
        <v>142182</v>
      </c>
      <c r="B9" s="56">
        <f>VLOOKUP($A9,'Выгр Кат'!$A:$R,B$1,0)</f>
        <v>19100</v>
      </c>
      <c r="C9" s="57" t="str">
        <f>VLOOKUP($A9,'Выгр Кат'!$A:$R,C$1,0)</f>
        <v>Датчик фаз "ВИЭ" (АНАЛОГ 141,3855) для ВАЗ (2108-21099, 2110-2112, 2113-2115), Лада (Калина, Приора, Гранта, Нива 4х4), Шевроле Нива (с 8-ми клапанным двигателем)</v>
      </c>
      <c r="D9" s="56" t="str">
        <f>VLOOKUP($A9,'Выгр Кат'!$A:$R,D$1,0)</f>
        <v>Y</v>
      </c>
      <c r="E9" s="56" t="str">
        <f>VLOOKUP($A9,'Выгр Кат'!$A:$R,E$1,0)</f>
        <v>1</v>
      </c>
      <c r="F9" s="56" t="str">
        <f>VLOOKUP($A9,'Выгр Кат'!$A:$R,F$1,0)</f>
        <v>2111-370640</v>
      </c>
      <c r="G9" s="4" t="s">
        <v>24</v>
      </c>
      <c r="H9" s="5" t="s">
        <v>41</v>
      </c>
      <c r="I9" s="4">
        <v>13</v>
      </c>
      <c r="J9" s="45">
        <f t="shared" si="0"/>
        <v>200</v>
      </c>
      <c r="K9" s="58">
        <f>VLOOKUP(J9,Наценка!$A$1:$B$8,2,1)</f>
        <v>2.2000000000000002</v>
      </c>
      <c r="L9" s="26">
        <f>V9*1.06</f>
        <v>625.4</v>
      </c>
      <c r="M9" s="38">
        <f t="shared" si="1"/>
        <v>629</v>
      </c>
      <c r="N9" s="56">
        <f>VLOOKUP($A9,'Выгр Кат'!$A:$R,N$1,0)</f>
        <v>200</v>
      </c>
      <c r="O9" s="56">
        <f>VLOOKUP($A9,'Выгр Кат'!$A:$R,O$1,0)</f>
        <v>619</v>
      </c>
      <c r="P9" s="18">
        <f t="shared" si="2"/>
        <v>0</v>
      </c>
      <c r="Q9" s="18">
        <f t="shared" si="3"/>
        <v>-10</v>
      </c>
      <c r="R9" s="22">
        <f t="shared" si="4"/>
        <v>584.96999999999991</v>
      </c>
      <c r="S9" s="59">
        <f>IFERROR(R9/J9-1,"")</f>
        <v>1.9248499999999997</v>
      </c>
      <c r="T9" s="59">
        <f>IFERROR((V9-R9)/V9,"")</f>
        <v>8.5254237288137063E-3</v>
      </c>
      <c r="U9" s="59">
        <f>IFERROR(IF(V9="","",V9/J9-1),"")</f>
        <v>1.9500000000000002</v>
      </c>
      <c r="V9" s="60">
        <v>590</v>
      </c>
      <c r="W9" s="29">
        <f>IFERROR((VLOOKUP($A9,'Из ГУГЛа'!$B:$Z,W$1,0)+Y9)*X9,VLOOKUP($A9,'Из ГУГЛа'!$B:$Z,W$1,0))</f>
        <v>590</v>
      </c>
      <c r="X9" s="1">
        <v>1</v>
      </c>
      <c r="Y9" s="1">
        <v>0</v>
      </c>
      <c r="Z9" s="60">
        <v>590</v>
      </c>
      <c r="AA9" s="41" t="s">
        <v>232</v>
      </c>
      <c r="AB9" s="29">
        <f>IFERROR((VLOOKUP($A9,'Из ГУГЛа'!$B:$Z,AB$1,0)+AD9)*AC9,VLOOKUP($A9,'Из ГУГЛа'!$B:$Z,AB$1,0))</f>
        <v>0</v>
      </c>
      <c r="AC9" s="1">
        <v>1</v>
      </c>
      <c r="AD9" s="1">
        <v>0</v>
      </c>
      <c r="AE9" s="56"/>
    </row>
    <row r="10" spans="1:32" ht="30.75" thickTop="1">
      <c r="A10" s="56">
        <v>141964</v>
      </c>
      <c r="B10" s="56">
        <f>VLOOKUP($A10,'Выгр Кат'!$A:$R,B$1,0)</f>
        <v>19123</v>
      </c>
      <c r="C10" s="57" t="str">
        <f>VLOOKUP($A10,'Выгр Кат'!$A:$R,C$1,0)</f>
        <v>Датчик детонации "ВИЭ" для ВАЗ 2110-2112</v>
      </c>
      <c r="D10" s="56" t="str">
        <f>VLOOKUP($A10,'Выгр Кат'!$A:$R,D$1,0)</f>
        <v>Y</v>
      </c>
      <c r="E10" s="56" t="str">
        <f>VLOOKUP($A10,'Выгр Кат'!$A:$R,E$1,0)</f>
        <v>1</v>
      </c>
      <c r="F10" s="56" t="str">
        <f>VLOOKUP($A10,'Выгр Кат'!$A:$R,F$1,0)</f>
        <v>2112-3855020</v>
      </c>
      <c r="G10" s="4" t="s">
        <v>32</v>
      </c>
      <c r="H10" s="5" t="s">
        <v>41</v>
      </c>
      <c r="I10" s="4">
        <v>12</v>
      </c>
      <c r="J10" s="45">
        <f t="shared" si="0"/>
        <v>180</v>
      </c>
      <c r="K10" s="58">
        <f>VLOOKUP(J10,Наценка!$A$1:$B$8,2,1)</f>
        <v>2.2000000000000002</v>
      </c>
      <c r="L10" s="4">
        <f t="shared" si="5"/>
        <v>396.00000000000006</v>
      </c>
      <c r="M10" s="38">
        <f t="shared" si="1"/>
        <v>399</v>
      </c>
      <c r="N10" s="56">
        <f>VLOOKUP($A10,'Выгр Кат'!$A:$R,N$1,0)</f>
        <v>180</v>
      </c>
      <c r="O10" s="56">
        <f>VLOOKUP($A10,'Выгр Кат'!$A:$R,O$1,0)</f>
        <v>399</v>
      </c>
      <c r="P10" s="18">
        <f t="shared" si="2"/>
        <v>0</v>
      </c>
      <c r="Q10" s="18">
        <f t="shared" si="3"/>
        <v>0</v>
      </c>
      <c r="R10" s="22">
        <f t="shared" si="4"/>
        <v>371.07</v>
      </c>
      <c r="S10" s="59">
        <f>IFERROR(R10/J10-1,"")</f>
        <v>1.0615000000000001</v>
      </c>
      <c r="T10" s="59" t="str">
        <f>IFERROR((V10-R10)/V10,"")</f>
        <v/>
      </c>
      <c r="U10" s="59" t="str">
        <f>IFERROR(IF(V10="","",V10/J10-1),"")</f>
        <v/>
      </c>
      <c r="V10" s="61"/>
      <c r="W10" s="29" t="str">
        <f>IFERROR((VLOOKUP($A10,'Из ГУГЛа'!$B:$Z,W$1,0)+Y10)*X10,VLOOKUP($A10,'Из ГУГЛа'!$B:$Z,W$1,0))</f>
        <v/>
      </c>
      <c r="X10" s="1">
        <v>1</v>
      </c>
      <c r="Y10" s="1">
        <v>0</v>
      </c>
      <c r="Z10" s="61"/>
      <c r="AB10" s="29">
        <f>IFERROR((VLOOKUP($A10,'Из ГУГЛа'!$B:$Z,AB$1,0)+AD10)*AC10,VLOOKUP($A10,'Из ГУГЛа'!$B:$Z,AB$1,0))</f>
        <v>0</v>
      </c>
      <c r="AC10" s="1">
        <v>1</v>
      </c>
      <c r="AD10" s="1">
        <v>0</v>
      </c>
      <c r="AE10" s="56">
        <v>450</v>
      </c>
      <c r="AF10" s="41" t="s">
        <v>285</v>
      </c>
    </row>
    <row r="11" spans="1:32" ht="15.75" thickBot="1">
      <c r="A11" s="56">
        <v>142183</v>
      </c>
      <c r="B11" s="56">
        <f>VLOOKUP($A11,'Выгр Кат'!$A:$R,B$1,0)</f>
        <v>19124</v>
      </c>
      <c r="C11" s="57" t="str">
        <f>VLOOKUP($A11,'Выгр Кат'!$A:$R,C$1,0)</f>
        <v>Датчик ФАЗ "ВИЭ" ВАЗ 2110-2112</v>
      </c>
      <c r="D11" s="56" t="str">
        <f>VLOOKUP($A11,'Выгр Кат'!$A:$R,D$1,0)</f>
        <v>Y</v>
      </c>
      <c r="E11" s="56" t="str">
        <f>VLOOKUP($A11,'Выгр Кат'!$A:$R,E$1,0)</f>
        <v>1</v>
      </c>
      <c r="F11" s="56" t="str">
        <f>VLOOKUP($A11,'Выгр Кат'!$A:$R,F$1,0)</f>
        <v>2112-370640</v>
      </c>
      <c r="G11" s="4" t="s">
        <v>96</v>
      </c>
      <c r="H11" s="5" t="s">
        <v>41</v>
      </c>
      <c r="I11" s="4">
        <v>13</v>
      </c>
      <c r="J11" s="45">
        <f t="shared" si="0"/>
        <v>180</v>
      </c>
      <c r="K11" s="58">
        <f>VLOOKUP(J11,Наценка!$A$1:$B$8,2,1)</f>
        <v>2.2000000000000002</v>
      </c>
      <c r="L11" s="26">
        <f t="shared" ref="L11:L12" si="6">V11*1.06</f>
        <v>369.94</v>
      </c>
      <c r="M11" s="38">
        <f t="shared" si="1"/>
        <v>369</v>
      </c>
      <c r="N11" s="56">
        <f>VLOOKUP($A11,'Выгр Кат'!$A:$R,N$1,0)</f>
        <v>180</v>
      </c>
      <c r="O11" s="56">
        <f>VLOOKUP($A11,'Выгр Кат'!$A:$R,O$1,0)</f>
        <v>369</v>
      </c>
      <c r="P11" s="18">
        <f t="shared" si="2"/>
        <v>0</v>
      </c>
      <c r="Q11" s="18">
        <f t="shared" si="3"/>
        <v>0</v>
      </c>
      <c r="R11" s="22">
        <f t="shared" si="4"/>
        <v>343.16999999999996</v>
      </c>
      <c r="S11" s="59">
        <f>IFERROR(R11/J11-1,"")</f>
        <v>0.90649999999999986</v>
      </c>
      <c r="T11" s="59">
        <f>IFERROR((V11-R11)/V11,"")</f>
        <v>1.6704871060172037E-2</v>
      </c>
      <c r="U11" s="59">
        <f>IFERROR(IF(V11="","",V11/J11-1),"")</f>
        <v>0.93888888888888888</v>
      </c>
      <c r="V11" s="62">
        <v>349</v>
      </c>
      <c r="W11" s="29">
        <f>IFERROR((VLOOKUP($A11,'Из ГУГЛа'!$B:$Z,W$1,0)+Y11)*X11,VLOOKUP($A11,'Из ГУГЛа'!$B:$Z,W$1,0))</f>
        <v>349</v>
      </c>
      <c r="X11" s="1">
        <v>1</v>
      </c>
      <c r="Y11" s="1">
        <v>0</v>
      </c>
      <c r="Z11" s="62">
        <v>349</v>
      </c>
      <c r="AA11" s="41" t="s">
        <v>236</v>
      </c>
      <c r="AB11" s="29">
        <f>IFERROR((VLOOKUP($A11,'Из ГУГЛа'!$B:$Z,AB$1,0)+AD11)*AC11,VLOOKUP($A11,'Из ГУГЛа'!$B:$Z,AB$1,0))</f>
        <v>0</v>
      </c>
      <c r="AC11" s="1">
        <v>1</v>
      </c>
      <c r="AD11" s="1">
        <v>0</v>
      </c>
      <c r="AE11" s="56">
        <v>450</v>
      </c>
      <c r="AF11" s="41" t="s">
        <v>284</v>
      </c>
    </row>
    <row r="12" spans="1:32" ht="61.5" thickTop="1" thickBot="1">
      <c r="A12" s="56">
        <v>203181</v>
      </c>
      <c r="B12" s="56">
        <f>VLOOKUP($A12,'Выгр Кат'!$A:$R,B$1,0)</f>
        <v>19107</v>
      </c>
      <c r="C12" s="57" t="str">
        <f>VLOOKUP($A12,'Выгр Кат'!$A:$R,C$1,0)</f>
        <v>Регулятор давления топлива "ВИЭ" 380 на ВАЗ 2110-2112, 2113-2115, Лада Приора, Калина, Гранта, Шевроле Нива 1.6л</v>
      </c>
      <c r="D12" s="56" t="str">
        <f>VLOOKUP($A12,'Выгр Кат'!$A:$R,D$1,0)</f>
        <v>Y</v>
      </c>
      <c r="E12" s="56" t="str">
        <f>VLOOKUP($A12,'Выгр Кат'!$A:$R,E$1,0)</f>
        <v>1</v>
      </c>
      <c r="F12" s="56">
        <f>VLOOKUP($A12,'Выгр Кат'!$A:$R,F$1,0)</f>
        <v>0</v>
      </c>
      <c r="G12" s="4" t="s">
        <v>94</v>
      </c>
      <c r="H12" s="5" t="s">
        <v>41</v>
      </c>
      <c r="I12" s="4">
        <v>30</v>
      </c>
      <c r="J12" s="45">
        <f t="shared" si="0"/>
        <v>300</v>
      </c>
      <c r="K12" s="58">
        <f>VLOOKUP(J12,Наценка!$A$1:$B$8,2,1)</f>
        <v>1.6</v>
      </c>
      <c r="L12" s="26">
        <f t="shared" si="6"/>
        <v>625.4</v>
      </c>
      <c r="M12" s="38">
        <f t="shared" si="1"/>
        <v>629</v>
      </c>
      <c r="N12" s="56">
        <f>VLOOKUP($A12,'Выгр Кат'!$A:$R,N$1,0)</f>
        <v>300</v>
      </c>
      <c r="O12" s="56">
        <f>VLOOKUP($A12,'Выгр Кат'!$A:$R,O$1,0)</f>
        <v>619</v>
      </c>
      <c r="P12" s="18">
        <f t="shared" si="2"/>
        <v>0</v>
      </c>
      <c r="Q12" s="18">
        <f t="shared" si="3"/>
        <v>-10</v>
      </c>
      <c r="R12" s="22">
        <f t="shared" si="4"/>
        <v>584.96999999999991</v>
      </c>
      <c r="S12" s="59">
        <f>IFERROR(R12/J12-1,"")</f>
        <v>0.94989999999999974</v>
      </c>
      <c r="T12" s="59">
        <f>IFERROR((V12-R12)/V12,"")</f>
        <v>8.5254237288137063E-3</v>
      </c>
      <c r="U12" s="59">
        <f>IFERROR(IF(V12="","",V12/J12-1),"")</f>
        <v>0.96666666666666656</v>
      </c>
      <c r="V12" s="60">
        <v>590</v>
      </c>
      <c r="W12" s="29">
        <f>IFERROR((VLOOKUP($A12,'Из ГУГЛа'!$B:$Z,W$1,0)+Y12)*X12,VLOOKUP($A12,'Из ГУГЛа'!$B:$Z,W$1,0))</f>
        <v>590</v>
      </c>
      <c r="X12" s="1">
        <v>1</v>
      </c>
      <c r="Y12" s="1">
        <v>0</v>
      </c>
      <c r="Z12" s="60">
        <v>590</v>
      </c>
      <c r="AA12" s="41" t="s">
        <v>170</v>
      </c>
      <c r="AB12" s="29">
        <f>IFERROR((VLOOKUP($A12,'Из ГУГЛа'!$B:$Z,AB$1,0)+AD12)*AC12,VLOOKUP($A12,'Из ГУГЛа'!$B:$Z,AB$1,0))</f>
        <v>0</v>
      </c>
      <c r="AC12" s="1">
        <v>1</v>
      </c>
      <c r="AD12" s="1">
        <v>0</v>
      </c>
      <c r="AE12" s="56"/>
    </row>
    <row r="13" spans="1:32" ht="30.75" thickTop="1">
      <c r="A13" s="56">
        <v>142060</v>
      </c>
      <c r="B13" s="56">
        <f>VLOOKUP($A13,'Выгр Кат'!$A:$R,B$1,0)</f>
        <v>19126</v>
      </c>
      <c r="C13" s="57" t="str">
        <f>VLOOKUP($A13,'Выгр Кат'!$A:$R,C$1,0)</f>
        <v>Датчик скорости "ВИЭ" для Лада Приора</v>
      </c>
      <c r="D13" s="56" t="str">
        <f>VLOOKUP($A13,'Выгр Кат'!$A:$R,D$1,0)</f>
        <v>Y</v>
      </c>
      <c r="E13" s="56" t="str">
        <f>VLOOKUP($A13,'Выгр Кат'!$A:$R,E$1,0)</f>
        <v>1</v>
      </c>
      <c r="F13" s="56" t="str">
        <f>VLOOKUP($A13,'Выгр Кат'!$A:$R,F$1,0)</f>
        <v>2170-3843010</v>
      </c>
      <c r="G13" s="4" t="s">
        <v>35</v>
      </c>
      <c r="H13" s="5" t="s">
        <v>41</v>
      </c>
      <c r="I13" s="4"/>
      <c r="J13" s="45">
        <f t="shared" si="0"/>
        <v>350</v>
      </c>
      <c r="K13" s="58">
        <f>VLOOKUP(J13,Наценка!$A$1:$B$8,2,1)</f>
        <v>1.6</v>
      </c>
      <c r="L13" s="4">
        <f t="shared" si="5"/>
        <v>560</v>
      </c>
      <c r="M13" s="38">
        <f t="shared" si="1"/>
        <v>559</v>
      </c>
      <c r="N13" s="56">
        <f>VLOOKUP($A13,'Выгр Кат'!$A:$R,N$1,0)</f>
        <v>350</v>
      </c>
      <c r="O13" s="56">
        <f>VLOOKUP($A13,'Выгр Кат'!$A:$R,O$1,0)</f>
        <v>559</v>
      </c>
      <c r="P13" s="18">
        <f t="shared" si="2"/>
        <v>0</v>
      </c>
      <c r="Q13" s="18">
        <f t="shared" si="3"/>
        <v>0</v>
      </c>
      <c r="R13" s="22">
        <f t="shared" si="4"/>
        <v>519.87</v>
      </c>
      <c r="S13" s="59">
        <f>IFERROR(R13/J13-1,"")</f>
        <v>0.48534285714285708</v>
      </c>
      <c r="T13" s="59" t="str">
        <f>IFERROR((V13-R13)/V13,"")</f>
        <v/>
      </c>
      <c r="U13" s="59" t="str">
        <f>IFERROR(IF(V13="","",V13/J13-1),"")</f>
        <v/>
      </c>
      <c r="V13" s="61"/>
      <c r="W13" s="29" t="str">
        <f>IFERROR((VLOOKUP($A13,'Из ГУГЛа'!$B:$Z,W$1,0)+Y13)*X13,VLOOKUP($A13,'Из ГУГЛа'!$B:$Z,W$1,0))</f>
        <v/>
      </c>
      <c r="X13" s="1">
        <v>1</v>
      </c>
      <c r="Y13" s="1">
        <v>0</v>
      </c>
      <c r="Z13" s="61"/>
      <c r="AB13" s="29">
        <f>IFERROR((VLOOKUP($A13,'Из ГУГЛа'!$B:$Z,AB$1,0)+AD13)*AC13,VLOOKUP($A13,'Из ГУГЛа'!$B:$Z,AB$1,0))</f>
        <v>0</v>
      </c>
      <c r="AC13" s="1">
        <v>1</v>
      </c>
      <c r="AD13" s="1">
        <v>0</v>
      </c>
      <c r="AE13" s="56"/>
    </row>
    <row r="14" spans="1:32" ht="30.75" thickBot="1">
      <c r="A14" s="56">
        <v>203221</v>
      </c>
      <c r="B14" s="56">
        <f>VLOOKUP($A14,'Выгр Кат'!$A:$R,B$1,0)</f>
        <v>19106</v>
      </c>
      <c r="C14" s="57" t="str">
        <f>VLOOKUP($A14,'Выгр Кат'!$A:$R,C$1,0)</f>
        <v>Регулятор холостого хода "ВИЭ" для Лада Нива 4х4, Шевроле Нива</v>
      </c>
      <c r="D14" s="56" t="str">
        <f>VLOOKUP($A14,'Выгр Кат'!$A:$R,D$1,0)</f>
        <v>Y</v>
      </c>
      <c r="E14" s="56" t="str">
        <f>VLOOKUP($A14,'Выгр Кат'!$A:$R,E$1,0)</f>
        <v>1</v>
      </c>
      <c r="F14" s="56" t="str">
        <f>VLOOKUP($A14,'Выгр Кат'!$A:$R,F$1,0)</f>
        <v>21203-1148300</v>
      </c>
      <c r="G14" s="4" t="s">
        <v>29</v>
      </c>
      <c r="H14" s="5" t="s">
        <v>41</v>
      </c>
      <c r="I14" s="4"/>
      <c r="J14" s="45">
        <f t="shared" si="0"/>
        <v>390</v>
      </c>
      <c r="K14" s="58">
        <f>VLOOKUP(J14,Наценка!$A$1:$B$8,2,1)</f>
        <v>1.6</v>
      </c>
      <c r="L14" s="26">
        <f t="shared" ref="L14:L15" si="7">V14*1.06</f>
        <v>666.74</v>
      </c>
      <c r="M14" s="38">
        <f t="shared" si="1"/>
        <v>669</v>
      </c>
      <c r="N14" s="56">
        <f>VLOOKUP($A14,'Выгр Кат'!$A:$R,N$1,0)</f>
        <v>390</v>
      </c>
      <c r="O14" s="56">
        <f>VLOOKUP($A14,'Выгр Кат'!$A:$R,O$1,0)</f>
        <v>669</v>
      </c>
      <c r="P14" s="18">
        <f t="shared" si="2"/>
        <v>0</v>
      </c>
      <c r="Q14" s="18">
        <f t="shared" si="3"/>
        <v>0</v>
      </c>
      <c r="R14" s="22">
        <f t="shared" si="4"/>
        <v>622.16999999999996</v>
      </c>
      <c r="S14" s="59">
        <f>IFERROR(R14/J14-1,"")</f>
        <v>0.59530769230769209</v>
      </c>
      <c r="T14" s="59">
        <f>IFERROR((V14-R14)/V14,"")</f>
        <v>1.0858505564387982E-2</v>
      </c>
      <c r="U14" s="59">
        <f>IFERROR(IF(V14="","",V14/J14-1),"")</f>
        <v>0.61282051282051286</v>
      </c>
      <c r="V14" s="62">
        <v>629</v>
      </c>
      <c r="W14" s="29">
        <f>IFERROR((VLOOKUP($A14,'Из ГУГЛа'!$B:$Z,W$1,0)+Y14)*X14,VLOOKUP($A14,'Из ГУГЛа'!$B:$Z,W$1,0))</f>
        <v>629</v>
      </c>
      <c r="X14" s="1">
        <v>1</v>
      </c>
      <c r="Y14" s="1">
        <v>0</v>
      </c>
      <c r="Z14" s="62">
        <v>629</v>
      </c>
      <c r="AA14" s="41" t="s">
        <v>161</v>
      </c>
      <c r="AB14" s="29">
        <f>IFERROR((VLOOKUP($A14,'Из ГУГЛа'!$B:$Z,AB$1,0)+AD14)*AC14,VLOOKUP($A14,'Из ГУГЛа'!$B:$Z,AB$1,0))</f>
        <v>0</v>
      </c>
      <c r="AC14" s="1">
        <v>1</v>
      </c>
      <c r="AD14" s="1">
        <v>0</v>
      </c>
      <c r="AE14" s="56"/>
    </row>
    <row r="15" spans="1:32" ht="61.5" thickTop="1" thickBot="1">
      <c r="A15" s="56">
        <v>203187</v>
      </c>
      <c r="B15" s="56">
        <f>VLOOKUP($A15,'Выгр Кат'!$A:$R,B$1,0)</f>
        <v>19105</v>
      </c>
      <c r="C15" s="57" t="str">
        <f>VLOOKUP($A15,'Выгр Кат'!$A:$R,C$1,0)</f>
        <v>Регулятор давления топлива РДТ-300 "ВИЭ" для ВАЗ 2108-21099, 2110-2112, 2113-2115, Лада Калина, Калина 2, Приора, Гранта</v>
      </c>
      <c r="D15" s="56" t="str">
        <f>VLOOKUP($A15,'Выгр Кат'!$A:$R,D$1,0)</f>
        <v>Y</v>
      </c>
      <c r="E15" s="56" t="str">
        <f>VLOOKUP($A15,'Выгр Кат'!$A:$R,E$1,0)</f>
        <v>1</v>
      </c>
      <c r="F15" s="56" t="str">
        <f>VLOOKUP($A15,'Выгр Кат'!$A:$R,F$1,0)</f>
        <v>2112-1160010</v>
      </c>
      <c r="G15" s="4" t="s">
        <v>28</v>
      </c>
      <c r="H15" s="5" t="s">
        <v>41</v>
      </c>
      <c r="I15" s="4">
        <v>28</v>
      </c>
      <c r="J15" s="45">
        <f t="shared" si="0"/>
        <v>450</v>
      </c>
      <c r="K15" s="58">
        <f>VLOOKUP(J15,Наценка!$A$1:$B$8,2,1)</f>
        <v>1.6</v>
      </c>
      <c r="L15" s="26">
        <f t="shared" si="7"/>
        <v>687.94</v>
      </c>
      <c r="M15" s="38">
        <f t="shared" si="1"/>
        <v>689</v>
      </c>
      <c r="N15" s="56">
        <f>VLOOKUP($A15,'Выгр Кат'!$A:$R,N$1,0)</f>
        <v>450</v>
      </c>
      <c r="O15" s="56">
        <f>VLOOKUP($A15,'Выгр Кат'!$A:$R,O$1,0)</f>
        <v>689</v>
      </c>
      <c r="P15" s="18">
        <f t="shared" si="2"/>
        <v>0</v>
      </c>
      <c r="Q15" s="18">
        <f t="shared" si="3"/>
        <v>0</v>
      </c>
      <c r="R15" s="22">
        <f t="shared" si="4"/>
        <v>640.77</v>
      </c>
      <c r="S15" s="59">
        <f>IFERROR(R15/J15-1,"")</f>
        <v>0.42393333333333327</v>
      </c>
      <c r="T15" s="59">
        <f>IFERROR((V15-R15)/V15,"")</f>
        <v>1.2681047765793556E-2</v>
      </c>
      <c r="U15" s="59">
        <f>IFERROR(IF(V15="","",V15/J15-1),"")</f>
        <v>0.44222222222222229</v>
      </c>
      <c r="V15" s="62">
        <v>649</v>
      </c>
      <c r="W15" s="29">
        <f>IFERROR((VLOOKUP($A15,'Из ГУГЛа'!$B:$Z,W$1,0)+Y15)*X15,VLOOKUP($A15,'Из ГУГЛа'!$B:$Z,W$1,0))</f>
        <v>649</v>
      </c>
      <c r="X15" s="1">
        <v>1</v>
      </c>
      <c r="Y15" s="1">
        <v>0</v>
      </c>
      <c r="Z15" s="62">
        <v>649</v>
      </c>
      <c r="AA15" s="41" t="s">
        <v>264</v>
      </c>
      <c r="AB15" s="29">
        <f>IFERROR((VLOOKUP($A15,'Из ГУГЛа'!$B:$Z,AB$1,0)+AD15)*AC15,VLOOKUP($A15,'Из ГУГЛа'!$B:$Z,AB$1,0))</f>
        <v>0</v>
      </c>
      <c r="AC15" s="1">
        <v>1</v>
      </c>
      <c r="AD15" s="1">
        <v>0</v>
      </c>
      <c r="AE15" s="56"/>
    </row>
    <row r="16" spans="1:32" ht="45.75" thickTop="1">
      <c r="A16" s="56">
        <v>226917</v>
      </c>
      <c r="B16" s="56">
        <f>VLOOKUP($A16,'Выгр Кат'!$A:$R,B$1,0)</f>
        <v>4214</v>
      </c>
      <c r="C16" s="57" t="str">
        <f>VLOOKUP($A16,'Выгр Кат'!$A:$R,C$1,0)</f>
        <v>Электрокорректор фар на Приора, Калина, Гранта, Шевроле Нива (моторчик)</v>
      </c>
      <c r="D16" s="56" t="str">
        <f>VLOOKUP($A16,'Выгр Кат'!$A:$R,D$1,0)</f>
        <v>Y</v>
      </c>
      <c r="E16" s="56" t="str">
        <f>VLOOKUP($A16,'Выгр Кат'!$A:$R,E$1,0)</f>
        <v>0</v>
      </c>
      <c r="F16" s="56">
        <f>VLOOKUP($A16,'Выгр Кат'!$A:$R,F$1,0)</f>
        <v>0</v>
      </c>
      <c r="G16" s="4" t="s">
        <v>116</v>
      </c>
      <c r="H16" s="5" t="s">
        <v>41</v>
      </c>
      <c r="I16" s="4"/>
      <c r="J16" s="45">
        <f t="shared" si="0"/>
        <v>550</v>
      </c>
      <c r="K16" s="58">
        <f>VLOOKUP(J16,Наценка!$A$1:$B$8,2,1)</f>
        <v>1.4</v>
      </c>
      <c r="L16" s="4">
        <f t="shared" si="5"/>
        <v>770</v>
      </c>
      <c r="M16" s="38">
        <f t="shared" si="1"/>
        <v>769</v>
      </c>
      <c r="N16" s="56">
        <f>VLOOKUP($A16,'Выгр Кат'!$A:$R,N$1,0)</f>
        <v>550</v>
      </c>
      <c r="O16" s="56">
        <f>VLOOKUP($A16,'Выгр Кат'!$A:$R,O$1,0)</f>
        <v>769</v>
      </c>
      <c r="P16" s="18">
        <f t="shared" si="2"/>
        <v>0</v>
      </c>
      <c r="Q16" s="18">
        <f t="shared" si="3"/>
        <v>0</v>
      </c>
      <c r="R16" s="22">
        <f t="shared" si="4"/>
        <v>715.17</v>
      </c>
      <c r="S16" s="59">
        <f>IFERROR(R16/J16-1,"")</f>
        <v>0.30030909090909086</v>
      </c>
      <c r="T16" s="59" t="str">
        <f>IFERROR((V16-R16)/V16,"")</f>
        <v/>
      </c>
      <c r="U16" s="59" t="str">
        <f>IFERROR(IF(V16="","",V16/J16-1),"")</f>
        <v/>
      </c>
      <c r="V16" s="61"/>
      <c r="W16" s="29" t="str">
        <f>IFERROR((VLOOKUP($A16,'Из ГУГЛа'!$B:$Z,W$1,0)+Y16)*X16,VLOOKUP($A16,'Из ГУГЛа'!$B:$Z,W$1,0))</f>
        <v/>
      </c>
      <c r="X16" s="1">
        <v>1</v>
      </c>
      <c r="Y16" s="1">
        <v>0</v>
      </c>
      <c r="Z16" s="61"/>
      <c r="AB16" s="29">
        <f>IFERROR((VLOOKUP($A16,'Из ГУГЛа'!$B:$Z,AB$1,0)+AD16)*AC16,VLOOKUP($A16,'Из ГУГЛа'!$B:$Z,AB$1,0))</f>
        <v>0</v>
      </c>
      <c r="AC16" s="1">
        <v>1</v>
      </c>
      <c r="AD16" s="1">
        <v>0</v>
      </c>
      <c r="AE16" s="56"/>
    </row>
    <row r="17" spans="1:32" ht="60">
      <c r="A17" s="56">
        <v>225594</v>
      </c>
      <c r="B17" s="56">
        <f>VLOOKUP($A17,'Выгр Кат'!$A:$R,B$1,0)</f>
        <v>868</v>
      </c>
      <c r="C17" s="57" t="str">
        <f>VLOOKUP($A17,'Выгр Кат'!$A:$R,C$1,0)</f>
        <v>Шестерни ГРМ "ВИЭ" однорядные (под датчик фаз) для Лада Нива 4x4, Шевроле Нива (инжекторный двигатель)</v>
      </c>
      <c r="D17" s="56" t="str">
        <f>VLOOKUP($A17,'Выгр Кат'!$A:$R,D$1,0)</f>
        <v>Y</v>
      </c>
      <c r="E17" s="56" t="str">
        <f>VLOOKUP($A17,'Выгр Кат'!$A:$R,E$1,0)</f>
        <v>1</v>
      </c>
      <c r="F17" s="56">
        <f>VLOOKUP($A17,'Выгр Кат'!$A:$R,F$1,0)</f>
        <v>0</v>
      </c>
      <c r="G17" s="4" t="s">
        <v>77</v>
      </c>
      <c r="H17" s="5" t="s">
        <v>41</v>
      </c>
      <c r="I17" s="4"/>
      <c r="J17" s="45">
        <f t="shared" si="0"/>
        <v>559</v>
      </c>
      <c r="K17" s="58">
        <f>VLOOKUP(J17,Наценка!$A$1:$B$8,2,1)</f>
        <v>1.4</v>
      </c>
      <c r="L17" s="4">
        <f t="shared" si="5"/>
        <v>782.59999999999991</v>
      </c>
      <c r="M17" s="38">
        <f t="shared" si="1"/>
        <v>789</v>
      </c>
      <c r="N17" s="56">
        <f>VLOOKUP($A17,'Выгр Кат'!$A:$R,N$1,0)</f>
        <v>559</v>
      </c>
      <c r="O17" s="56">
        <f>VLOOKUP($A17,'Выгр Кат'!$A:$R,O$1,0)</f>
        <v>789</v>
      </c>
      <c r="P17" s="18">
        <f t="shared" si="2"/>
        <v>0</v>
      </c>
      <c r="Q17" s="18">
        <f t="shared" si="3"/>
        <v>0</v>
      </c>
      <c r="R17" s="22">
        <f t="shared" si="4"/>
        <v>733.77</v>
      </c>
      <c r="S17" s="59">
        <f>IFERROR(R17/J17-1,"")</f>
        <v>0.31264758497316625</v>
      </c>
      <c r="T17" s="59" t="str">
        <f>IFERROR((V17-R17)/V17,"")</f>
        <v/>
      </c>
      <c r="U17" s="59" t="str">
        <f>IFERROR(IF(V17="","",V17/J17-1),"")</f>
        <v/>
      </c>
      <c r="V17" s="61"/>
      <c r="W17" s="29" t="str">
        <f>IFERROR((VLOOKUP($A17,'Из ГУГЛа'!$B:$Z,W$1,0)+Y17)*X17,VLOOKUP($A17,'Из ГУГЛа'!$B:$Z,W$1,0))</f>
        <v/>
      </c>
      <c r="X17" s="1">
        <v>1</v>
      </c>
      <c r="Y17" s="1">
        <v>0</v>
      </c>
      <c r="Z17" s="61"/>
      <c r="AB17" s="29">
        <f>IFERROR((VLOOKUP($A17,'Из ГУГЛа'!$B:$Z,AB$1,0)+AD17)*AC17,VLOOKUP($A17,'Из ГУГЛа'!$B:$Z,AB$1,0))</f>
        <v>0</v>
      </c>
      <c r="AC17" s="1">
        <v>1</v>
      </c>
      <c r="AD17" s="1">
        <v>0</v>
      </c>
      <c r="AE17" s="56"/>
    </row>
    <row r="18" spans="1:32" ht="45.75" thickBot="1">
      <c r="A18" s="56">
        <v>164625</v>
      </c>
      <c r="B18" s="56">
        <f>VLOOKUP($A18,'Выгр Кат'!$A:$R,B$1,0)</f>
        <v>19121</v>
      </c>
      <c r="C18" s="57" t="str">
        <f>VLOOKUP($A18,'Выгр Кат'!$A:$R,C$1,0)</f>
        <v>Мотор топливного насоса (бензонасоса) "ВИЭ" для Лада Ларгус, Renault (Logan, Sandero, Duster)</v>
      </c>
      <c r="D18" s="56" t="str">
        <f>VLOOKUP($A18,'Выгр Кат'!$A:$R,D$1,0)</f>
        <v>Y</v>
      </c>
      <c r="E18" s="56" t="str">
        <f>VLOOKUP($A18,'Выгр Кат'!$A:$R,E$1,0)</f>
        <v>1ск6</v>
      </c>
      <c r="F18" s="56">
        <f>VLOOKUP($A18,'Выгр Кат'!$A:$R,F$1,0)</f>
        <v>0</v>
      </c>
      <c r="G18" s="4" t="s">
        <v>90</v>
      </c>
      <c r="H18" s="5" t="s">
        <v>41</v>
      </c>
      <c r="I18" s="4">
        <v>45</v>
      </c>
      <c r="J18" s="45">
        <f t="shared" si="0"/>
        <v>700</v>
      </c>
      <c r="K18" s="58">
        <f>VLOOKUP(J18,Наценка!$A$1:$B$8,2,1)</f>
        <v>1.4</v>
      </c>
      <c r="L18" s="23">
        <f t="shared" ref="L18:L19" si="8">V18*1</f>
        <v>990</v>
      </c>
      <c r="M18" s="38">
        <f t="shared" si="1"/>
        <v>989</v>
      </c>
      <c r="N18" s="56">
        <f>VLOOKUP($A18,'Выгр Кат'!$A:$R,N$1,0)</f>
        <v>700</v>
      </c>
      <c r="O18" s="56">
        <f>VLOOKUP($A18,'Выгр Кат'!$A:$R,O$1,0)</f>
        <v>989</v>
      </c>
      <c r="P18" s="18">
        <f t="shared" si="2"/>
        <v>0</v>
      </c>
      <c r="Q18" s="18">
        <f t="shared" si="3"/>
        <v>0</v>
      </c>
      <c r="R18" s="22">
        <f t="shared" si="4"/>
        <v>919.77</v>
      </c>
      <c r="S18" s="59">
        <f>IFERROR(R18/J18-1,"")</f>
        <v>0.31395714285714282</v>
      </c>
      <c r="T18" s="59">
        <f>IFERROR((V18-R18)/V18,"")</f>
        <v>7.0939393939393955E-2</v>
      </c>
      <c r="U18" s="59">
        <f>IFERROR(IF(V18="","",V18/J18-1),"")</f>
        <v>0.41428571428571437</v>
      </c>
      <c r="V18" s="62">
        <v>990</v>
      </c>
      <c r="W18" s="29">
        <f>IFERROR((VLOOKUP($A18,'Из ГУГЛа'!$B:$Z,W$1,0)+Y18)*X18,VLOOKUP($A18,'Из ГУГЛа'!$B:$Z,W$1,0))</f>
        <v>990</v>
      </c>
      <c r="X18" s="1">
        <v>1</v>
      </c>
      <c r="Y18" s="1">
        <v>0</v>
      </c>
      <c r="Z18" s="62">
        <v>990</v>
      </c>
      <c r="AA18" s="41" t="s">
        <v>235</v>
      </c>
      <c r="AB18" s="29">
        <f>IFERROR((VLOOKUP($A18,'Из ГУГЛа'!$B:$Z,AB$1,0)+AD18)*AC18,VLOOKUP($A18,'Из ГУГЛа'!$B:$Z,AB$1,0))</f>
        <v>0</v>
      </c>
      <c r="AC18" s="1">
        <v>1</v>
      </c>
      <c r="AD18" s="1">
        <v>0</v>
      </c>
      <c r="AE18" s="56"/>
    </row>
    <row r="19" spans="1:32" ht="76.5" thickTop="1" thickBot="1">
      <c r="A19" s="56">
        <v>224438</v>
      </c>
      <c r="B19" s="56">
        <f>VLOOKUP($A19,'Выгр Кат'!$A:$R,B$1,0)</f>
        <v>19110</v>
      </c>
      <c r="C19" s="57" t="str">
        <f>VLOOKUP($A19,'Выгр Кат'!$A:$R,C$1,0)</f>
        <v>Форсунка топливная "ВИЭ" 735 электромагнитная, голубая, тонкая для ВАЗ 2110-2112, Лада (Калина 2, Приора, Приора 2, Гранта) (16-ти клапанный двигатель)</v>
      </c>
      <c r="D19" s="56" t="str">
        <f>VLOOKUP($A19,'Выгр Кат'!$A:$R,D$1,0)</f>
        <v>Y</v>
      </c>
      <c r="E19" s="56" t="str">
        <f>VLOOKUP($A19,'Выгр Кат'!$A:$R,E$1,0)</f>
        <v>1</v>
      </c>
      <c r="F19" s="56" t="str">
        <f>VLOOKUP($A19,'Выгр Кат'!$A:$R,F$1,0)</f>
        <v>VAZ 20735</v>
      </c>
      <c r="G19" s="4" t="s">
        <v>85</v>
      </c>
      <c r="H19" s="5" t="s">
        <v>41</v>
      </c>
      <c r="I19" s="4">
        <v>36</v>
      </c>
      <c r="J19" s="45">
        <f t="shared" si="0"/>
        <v>550</v>
      </c>
      <c r="K19" s="58">
        <f>VLOOKUP(J19,Наценка!$A$1:$B$8,2,1)</f>
        <v>1.4</v>
      </c>
      <c r="L19" s="23">
        <f t="shared" si="8"/>
        <v>990</v>
      </c>
      <c r="M19" s="38">
        <f t="shared" si="1"/>
        <v>989</v>
      </c>
      <c r="N19" s="56">
        <f>VLOOKUP($A19,'Выгр Кат'!$A:$R,N$1,0)</f>
        <v>550</v>
      </c>
      <c r="O19" s="56">
        <f>VLOOKUP($A19,'Выгр Кат'!$A:$R,O$1,0)</f>
        <v>989</v>
      </c>
      <c r="P19" s="18">
        <f t="shared" si="2"/>
        <v>0</v>
      </c>
      <c r="Q19" s="18">
        <f t="shared" si="3"/>
        <v>0</v>
      </c>
      <c r="R19" s="22">
        <f t="shared" si="4"/>
        <v>919.77</v>
      </c>
      <c r="S19" s="59">
        <f>IFERROR(R19/J19-1,"")</f>
        <v>0.67230909090909097</v>
      </c>
      <c r="T19" s="59">
        <f>IFERROR((V19-R19)/V19,"")</f>
        <v>7.0939393939393955E-2</v>
      </c>
      <c r="U19" s="59">
        <f>IFERROR(IF(V19="","",V19/J19-1),"")</f>
        <v>0.8</v>
      </c>
      <c r="V19" s="60">
        <v>990</v>
      </c>
      <c r="W19" s="29">
        <f>IFERROR((VLOOKUP($A19,'Из ГУГЛа'!$B:$Z,W$1,0)+Y19)*X19,VLOOKUP($A19,'Из ГУГЛа'!$B:$Z,W$1,0))</f>
        <v>990</v>
      </c>
      <c r="X19" s="1">
        <v>1</v>
      </c>
      <c r="Y19" s="1">
        <v>0</v>
      </c>
      <c r="Z19" s="60">
        <v>990</v>
      </c>
      <c r="AA19" s="41" t="s">
        <v>162</v>
      </c>
      <c r="AB19" s="29">
        <f>IFERROR((VLOOKUP($A19,'Из ГУГЛа'!$B:$Z,AB$1,0)+AD19)*AC19,VLOOKUP($A19,'Из ГУГЛа'!$B:$Z,AB$1,0))</f>
        <v>0</v>
      </c>
      <c r="AC19" s="1">
        <v>1</v>
      </c>
      <c r="AD19" s="1">
        <v>0</v>
      </c>
      <c r="AE19" s="56"/>
    </row>
    <row r="20" spans="1:32" ht="91.5" thickTop="1" thickBot="1">
      <c r="A20" s="56">
        <v>164623</v>
      </c>
      <c r="B20" s="56">
        <f>VLOOKUP($A20,'Выгр Кат'!$A:$R,B$1,0)</f>
        <v>19122</v>
      </c>
      <c r="C20" s="57" t="str">
        <f>VLOOKUP($A20,'Выгр Кат'!$A:$R,C$1,0)</f>
        <v>Мотор топливного насоса (бензонасоса) "ВИЭ" аналог "BOSCH" для ВАЗ (2101-2107, 2108-21099, 2110-2112, 2113-2115), Лада (Калина, Приора, Гранта, Нива 4х4), Шевроле Нива</v>
      </c>
      <c r="D20" s="56" t="str">
        <f>VLOOKUP($A20,'Выгр Кат'!$A:$R,D$1,0)</f>
        <v>Y</v>
      </c>
      <c r="E20" s="56" t="str">
        <f>VLOOKUP($A20,'Выгр Кат'!$A:$R,E$1,0)</f>
        <v>1</v>
      </c>
      <c r="F20" s="56" t="str">
        <f>VLOOKUP($A20,'Выгр Кат'!$A:$R,F$1,0)</f>
        <v>0588455055</v>
      </c>
      <c r="G20" s="4" t="s">
        <v>107</v>
      </c>
      <c r="H20" s="5" t="s">
        <v>41</v>
      </c>
      <c r="I20" s="4">
        <v>43</v>
      </c>
      <c r="J20" s="45">
        <f t="shared" si="0"/>
        <v>600</v>
      </c>
      <c r="K20" s="58">
        <f>VLOOKUP(J20,Наценка!$A$1:$B$8,2,1)</f>
        <v>1.4</v>
      </c>
      <c r="L20" s="24">
        <f t="shared" ref="L20" si="9">V20*1.02</f>
        <v>988.38</v>
      </c>
      <c r="M20" s="38">
        <f t="shared" si="1"/>
        <v>989</v>
      </c>
      <c r="N20" s="56">
        <f>VLOOKUP($A20,'Выгр Кат'!$A:$R,N$1,0)</f>
        <v>600</v>
      </c>
      <c r="O20" s="56">
        <f>VLOOKUP($A20,'Выгр Кат'!$A:$R,O$1,0)</f>
        <v>989</v>
      </c>
      <c r="P20" s="18">
        <f t="shared" si="2"/>
        <v>0</v>
      </c>
      <c r="Q20" s="18">
        <f t="shared" si="3"/>
        <v>0</v>
      </c>
      <c r="R20" s="22">
        <f t="shared" si="4"/>
        <v>919.77</v>
      </c>
      <c r="S20" s="59">
        <f>IFERROR(R20/J20-1,"")</f>
        <v>0.53295000000000003</v>
      </c>
      <c r="T20" s="59">
        <f>IFERROR((V20-R20)/V20,"")</f>
        <v>5.0804953560371534E-2</v>
      </c>
      <c r="U20" s="59">
        <f>IFERROR(IF(V20="","",V20/J20-1),"")</f>
        <v>0.61499999999999999</v>
      </c>
      <c r="V20" s="60">
        <v>969</v>
      </c>
      <c r="W20" s="29">
        <f>IFERROR((VLOOKUP($A20,'Из ГУГЛа'!$B:$Z,W$1,0)+Y20)*X20,VLOOKUP($A20,'Из ГУГЛа'!$B:$Z,W$1,0))</f>
        <v>969</v>
      </c>
      <c r="X20" s="1">
        <v>1</v>
      </c>
      <c r="Y20" s="1">
        <v>0</v>
      </c>
      <c r="Z20" s="60">
        <v>969</v>
      </c>
      <c r="AA20" s="41" t="s">
        <v>160</v>
      </c>
      <c r="AB20" s="29">
        <f>IFERROR((VLOOKUP($A20,'Из ГУГЛа'!$B:$Z,AB$1,0)+AD20)*AC20,VLOOKUP($A20,'Из ГУГЛа'!$B:$Z,AB$1,0))</f>
        <v>0</v>
      </c>
      <c r="AC20" s="1">
        <v>1</v>
      </c>
      <c r="AD20" s="1">
        <v>0</v>
      </c>
      <c r="AE20" s="56"/>
    </row>
    <row r="21" spans="1:32" ht="45.75" thickTop="1">
      <c r="A21" s="56">
        <v>226137</v>
      </c>
      <c r="B21" s="56">
        <f>VLOOKUP($A21,'Выгр Кат'!$A:$R,B$1,0)</f>
        <v>13846</v>
      </c>
      <c r="C21" s="57" t="str">
        <f>VLOOKUP($A21,'Выгр Кат'!$A:$R,C$1,0)</f>
        <v>Шлейф подрулевого переключателя "ВИЭ" на Лада Гранта, Калина 2, Приора (под подушку безопасности)</v>
      </c>
      <c r="D21" s="56" t="str">
        <f>VLOOKUP($A21,'Выгр Кат'!$A:$R,D$1,0)</f>
        <v>Y</v>
      </c>
      <c r="E21" s="56" t="str">
        <f>VLOOKUP($A21,'Выгр Кат'!$A:$R,E$1,0)</f>
        <v>1</v>
      </c>
      <c r="F21" s="56" t="str">
        <f>VLOOKUP($A21,'Выгр Кат'!$A:$R,F$1,0)</f>
        <v>21700370931500</v>
      </c>
      <c r="G21" s="4" t="s">
        <v>88</v>
      </c>
      <c r="H21" s="5" t="s">
        <v>41</v>
      </c>
      <c r="I21" s="4">
        <v>40</v>
      </c>
      <c r="J21" s="45">
        <f t="shared" si="0"/>
        <v>650</v>
      </c>
      <c r="K21" s="58">
        <f>VLOOKUP(J21,Наценка!$A$1:$B$8,2,1)</f>
        <v>1.4</v>
      </c>
      <c r="L21" s="4">
        <f t="shared" si="5"/>
        <v>909.99999999999989</v>
      </c>
      <c r="M21" s="38">
        <f t="shared" si="1"/>
        <v>909</v>
      </c>
      <c r="N21" s="56">
        <f>VLOOKUP($A21,'Выгр Кат'!$A:$R,N$1,0)</f>
        <v>650</v>
      </c>
      <c r="O21" s="56">
        <f>VLOOKUP($A21,'Выгр Кат'!$A:$R,O$1,0)</f>
        <v>909</v>
      </c>
      <c r="P21" s="18">
        <f t="shared" si="2"/>
        <v>0</v>
      </c>
      <c r="Q21" s="18">
        <f t="shared" si="3"/>
        <v>0</v>
      </c>
      <c r="R21" s="22">
        <f t="shared" si="4"/>
        <v>845.36999999999989</v>
      </c>
      <c r="S21" s="59">
        <f>IFERROR(R21/J21-1,"")</f>
        <v>0.3005692307692307</v>
      </c>
      <c r="T21" s="59" t="str">
        <f>IFERROR((V21-R21)/V21,"")</f>
        <v/>
      </c>
      <c r="U21" s="59" t="str">
        <f>IFERROR(IF(V21="","",V21/J21-1),"")</f>
        <v/>
      </c>
      <c r="V21" s="61"/>
      <c r="W21" s="29" t="str">
        <f>IFERROR((VLOOKUP($A21,'Из ГУГЛа'!$B:$Z,W$1,0)+Y21)*X21,VLOOKUP($A21,'Из ГУГЛа'!$B:$Z,W$1,0))</f>
        <v/>
      </c>
      <c r="X21" s="1">
        <v>1</v>
      </c>
      <c r="Y21" s="1">
        <v>0</v>
      </c>
      <c r="Z21" s="61"/>
      <c r="AB21" s="29">
        <f>IFERROR((VLOOKUP($A21,'Из ГУГЛа'!$B:$Z,AB$1,0)+AD21)*AC21,VLOOKUP($A21,'Из ГУГЛа'!$B:$Z,AB$1,0))</f>
        <v>0</v>
      </c>
      <c r="AC21" s="1">
        <v>1</v>
      </c>
      <c r="AD21" s="1">
        <v>0</v>
      </c>
      <c r="AE21" s="56"/>
    </row>
    <row r="22" spans="1:32" ht="60.75" thickBot="1">
      <c r="A22" s="56">
        <v>224434</v>
      </c>
      <c r="B22" s="56">
        <f>VLOOKUP($A22,'Выгр Кат'!$A:$R,B$1,0)</f>
        <v>19111</v>
      </c>
      <c r="C22" s="57" t="str">
        <f>VLOOKUP($A22,'Выгр Кат'!$A:$R,C$1,0)</f>
        <v>Форсунка топливная "ВИЭ" 6238 электромагнитная, серая, толстая для ВАЗ 2108-21099, 2110-2112, 2113-2115 (объём двигателя 1.5 л)</v>
      </c>
      <c r="D22" s="56" t="str">
        <f>VLOOKUP($A22,'Выгр Кат'!$A:$R,D$1,0)</f>
        <v>Y</v>
      </c>
      <c r="E22" s="56" t="str">
        <f>VLOOKUP($A22,'Выгр Кат'!$A:$R,E$1,0)</f>
        <v>1</v>
      </c>
      <c r="F22" s="56" t="str">
        <f>VLOOKUP($A22,'Выгр Кат'!$A:$R,F$1,0)</f>
        <v>VAZ 6238</v>
      </c>
      <c r="G22" s="4" t="s">
        <v>85</v>
      </c>
      <c r="H22" s="5" t="s">
        <v>41</v>
      </c>
      <c r="I22" s="4">
        <v>37</v>
      </c>
      <c r="J22" s="45">
        <f t="shared" si="0"/>
        <v>550</v>
      </c>
      <c r="K22" s="58">
        <f>VLOOKUP(J22,Наценка!$A$1:$B$8,2,1)</f>
        <v>1.4</v>
      </c>
      <c r="L22" s="23">
        <f>V22*1</f>
        <v>990</v>
      </c>
      <c r="M22" s="38">
        <f t="shared" si="1"/>
        <v>989</v>
      </c>
      <c r="N22" s="56">
        <f>VLOOKUP($A22,'Выгр Кат'!$A:$R,N$1,0)</f>
        <v>550</v>
      </c>
      <c r="O22" s="56">
        <f>VLOOKUP($A22,'Выгр Кат'!$A:$R,O$1,0)</f>
        <v>989</v>
      </c>
      <c r="P22" s="18">
        <f t="shared" si="2"/>
        <v>0</v>
      </c>
      <c r="Q22" s="18">
        <f t="shared" si="3"/>
        <v>0</v>
      </c>
      <c r="R22" s="22">
        <f t="shared" si="4"/>
        <v>919.77</v>
      </c>
      <c r="S22" s="59">
        <f>IFERROR(R22/J22-1,"")</f>
        <v>0.67230909090909097</v>
      </c>
      <c r="T22" s="59">
        <f>IFERROR((V22-R22)/V22,"")</f>
        <v>7.0939393939393955E-2</v>
      </c>
      <c r="U22" s="59">
        <f>IFERROR(IF(V22="","",V22/J22-1),"")</f>
        <v>0.8</v>
      </c>
      <c r="V22" s="60">
        <v>990</v>
      </c>
      <c r="W22" s="29">
        <f>IFERROR((VLOOKUP($A22,'Из ГУГЛа'!$B:$Z,W$1,0)+Y22)*X22,VLOOKUP($A22,'Из ГУГЛа'!$B:$Z,W$1,0))</f>
        <v>990</v>
      </c>
      <c r="X22" s="1">
        <v>1</v>
      </c>
      <c r="Y22" s="1">
        <v>0</v>
      </c>
      <c r="Z22" s="60">
        <v>990</v>
      </c>
      <c r="AA22" s="41" t="s">
        <v>165</v>
      </c>
      <c r="AB22" s="29">
        <f>IFERROR((VLOOKUP($A22,'Из ГУГЛа'!$B:$Z,AB$1,0)+AD22)*AC22,VLOOKUP($A22,'Из ГУГЛа'!$B:$Z,AB$1,0))</f>
        <v>0</v>
      </c>
      <c r="AC22" s="1">
        <v>1</v>
      </c>
      <c r="AD22" s="1">
        <v>0</v>
      </c>
      <c r="AE22" s="56"/>
    </row>
    <row r="23" spans="1:32" ht="46.5" thickTop="1" thickBot="1">
      <c r="A23" s="56">
        <v>194534</v>
      </c>
      <c r="B23" s="56">
        <f>VLOOKUP($A23,'Выгр Кат'!$A:$R,B$1,0)</f>
        <v>10213</v>
      </c>
      <c r="C23" s="57" t="str">
        <f>VLOOKUP($A23,'Выгр Кат'!$A:$R,C$1,0)</f>
        <v>Подрулевой шлейф под руль нового образца для Лада Клина 2, Приора, Гранта, Гранта FL</v>
      </c>
      <c r="D23" s="56" t="str">
        <f>VLOOKUP($A23,'Выгр Кат'!$A:$R,D$1,0)</f>
        <v>Y</v>
      </c>
      <c r="E23" s="56" t="str">
        <f>VLOOKUP($A23,'Выгр Кат'!$A:$R,E$1,0)</f>
        <v>1</v>
      </c>
      <c r="F23" s="56" t="str">
        <f>VLOOKUP($A23,'Выгр Кат'!$A:$R,F$1,0)</f>
        <v>2170-3709315-00</v>
      </c>
      <c r="G23" s="4" t="s">
        <v>88</v>
      </c>
      <c r="H23" s="5" t="s">
        <v>41</v>
      </c>
      <c r="I23" s="4">
        <v>41</v>
      </c>
      <c r="J23" s="45">
        <f t="shared" si="0"/>
        <v>650</v>
      </c>
      <c r="K23" s="58">
        <f>VLOOKUP(J23,Наценка!$A$1:$B$8,2,1)</f>
        <v>1.4</v>
      </c>
      <c r="L23" s="26">
        <f t="shared" ref="L23:L24" si="10">V23*1.06</f>
        <v>984.74</v>
      </c>
      <c r="M23" s="38">
        <f t="shared" si="1"/>
        <v>989</v>
      </c>
      <c r="N23" s="56">
        <f>VLOOKUP($A23,'Выгр Кат'!$A:$R,N$1,0)</f>
        <v>650</v>
      </c>
      <c r="O23" s="56">
        <f>VLOOKUP($A23,'Выгр Кат'!$A:$R,O$1,0)</f>
        <v>979</v>
      </c>
      <c r="P23" s="18">
        <f t="shared" si="2"/>
        <v>0</v>
      </c>
      <c r="Q23" s="18">
        <f t="shared" si="3"/>
        <v>-10</v>
      </c>
      <c r="R23" s="22">
        <f t="shared" si="4"/>
        <v>919.77</v>
      </c>
      <c r="S23" s="59">
        <f>IFERROR(R23/J23-1,"")</f>
        <v>0.41503076923076909</v>
      </c>
      <c r="T23" s="59">
        <f>IFERROR((V23-R23)/V23,"")</f>
        <v>9.9354144241119678E-3</v>
      </c>
      <c r="U23" s="59">
        <f>IFERROR(IF(V23="","",V23/J23-1),"")</f>
        <v>0.4292307692307693</v>
      </c>
      <c r="V23" s="60">
        <v>929</v>
      </c>
      <c r="W23" s="29">
        <f>IFERROR((VLOOKUP($A23,'Из ГУГЛа'!$B:$Z,W$1,0)+Y23)*X23,VLOOKUP($A23,'Из ГУГЛа'!$B:$Z,W$1,0))</f>
        <v>929</v>
      </c>
      <c r="X23" s="1">
        <v>1</v>
      </c>
      <c r="Y23" s="1">
        <v>0</v>
      </c>
      <c r="Z23" s="60">
        <v>929</v>
      </c>
      <c r="AA23" s="41" t="s">
        <v>234</v>
      </c>
      <c r="AB23" s="29">
        <f>IFERROR((VLOOKUP($A23,'Из ГУГЛа'!$B:$Z,AB$1,0)+AD23)*AC23,VLOOKUP($A23,'Из ГУГЛа'!$B:$Z,AB$1,0))</f>
        <v>0</v>
      </c>
      <c r="AC23" s="1">
        <v>1</v>
      </c>
      <c r="AD23" s="1">
        <v>0</v>
      </c>
      <c r="AE23" s="56"/>
    </row>
    <row r="24" spans="1:32" ht="61.5" thickTop="1" thickBot="1">
      <c r="A24" s="56">
        <v>226136</v>
      </c>
      <c r="B24" s="56">
        <f>VLOOKUP($A24,'Выгр Кат'!$A:$R,B$1,0)</f>
        <v>13844</v>
      </c>
      <c r="C24" s="57" t="str">
        <f>VLOOKUP($A24,'Выгр Кат'!$A:$R,C$1,0)</f>
        <v>Шлейф подрулевого переключателя "ВИЭ" для Лада Приора, Лада Калина (до 2011г.в., под подушку безопастности)</v>
      </c>
      <c r="D24" s="56" t="str">
        <f>VLOOKUP($A24,'Выгр Кат'!$A:$R,D$1,0)</f>
        <v>Y</v>
      </c>
      <c r="E24" s="56" t="str">
        <f>VLOOKUP($A24,'Выгр Кат'!$A:$R,E$1,0)</f>
        <v>1</v>
      </c>
      <c r="F24" s="56" t="str">
        <f>VLOOKUP($A24,'Выгр Кат'!$A:$R,F$1,0)</f>
        <v>11180370931502</v>
      </c>
      <c r="G24" s="4" t="s">
        <v>89</v>
      </c>
      <c r="H24" s="5" t="s">
        <v>41</v>
      </c>
      <c r="I24" s="4">
        <v>40</v>
      </c>
      <c r="J24" s="45">
        <f t="shared" si="0"/>
        <v>650</v>
      </c>
      <c r="K24" s="58">
        <f>VLOOKUP(J24,Наценка!$A$1:$B$8,2,1)</f>
        <v>1.4</v>
      </c>
      <c r="L24" s="26">
        <f t="shared" si="10"/>
        <v>899.94</v>
      </c>
      <c r="M24" s="38">
        <f t="shared" si="1"/>
        <v>899</v>
      </c>
      <c r="N24" s="56">
        <f>VLOOKUP($A24,'Выгр Кат'!$A:$R,N$1,0)</f>
        <v>650</v>
      </c>
      <c r="O24" s="56">
        <f>VLOOKUP($A24,'Выгр Кат'!$A:$R,O$1,0)</f>
        <v>899</v>
      </c>
      <c r="P24" s="18">
        <f t="shared" si="2"/>
        <v>0</v>
      </c>
      <c r="Q24" s="18">
        <f t="shared" si="3"/>
        <v>0</v>
      </c>
      <c r="R24" s="22">
        <f t="shared" si="4"/>
        <v>836.06999999999994</v>
      </c>
      <c r="S24" s="59">
        <f>IFERROR(R24/J24-1,"")</f>
        <v>0.28626153846153835</v>
      </c>
      <c r="T24" s="59">
        <f>IFERROR((V24-R24)/V24,"")</f>
        <v>1.5229681978798662E-2</v>
      </c>
      <c r="U24" s="59">
        <f>IFERROR(IF(V24="","",V24/J24-1),"")</f>
        <v>0.30615384615384622</v>
      </c>
      <c r="V24" s="62">
        <v>849</v>
      </c>
      <c r="W24" s="29">
        <f>IFERROR((VLOOKUP($A24,'Из ГУГЛа'!$B:$Z,W$1,0)+Y24)*X24,VLOOKUP($A24,'Из ГУГЛа'!$B:$Z,W$1,0))</f>
        <v>849</v>
      </c>
      <c r="X24" s="1">
        <v>1</v>
      </c>
      <c r="Y24" s="1">
        <v>0</v>
      </c>
      <c r="Z24" s="62">
        <v>849</v>
      </c>
      <c r="AA24" s="41" t="s">
        <v>233</v>
      </c>
      <c r="AB24" s="29">
        <f>IFERROR((VLOOKUP($A24,'Из ГУГЛа'!$B:$Z,AB$1,0)+AD24)*AC24,VLOOKUP($A24,'Из ГУГЛа'!$B:$Z,AB$1,0))</f>
        <v>0</v>
      </c>
      <c r="AC24" s="1">
        <v>1</v>
      </c>
      <c r="AD24" s="1">
        <v>0</v>
      </c>
      <c r="AE24" s="56"/>
    </row>
    <row r="25" spans="1:32" ht="75.75" thickTop="1">
      <c r="A25" s="56">
        <v>224433</v>
      </c>
      <c r="B25" s="56">
        <f>VLOOKUP($A25,'Выгр Кат'!$A:$R,B$1,0)</f>
        <v>19112</v>
      </c>
      <c r="C25" s="57" t="str">
        <f>VLOOKUP($A25,'Выгр Кат'!$A:$R,C$1,0)</f>
        <v>Форсунка топливная "ВИЭ" 502 электромагнитная, длинная для ВАЗ (2104, 2105, 2107, 2108-21099, 2110-2112, 2113-2115), Лада Нива 4х4, Шевроле Нива</v>
      </c>
      <c r="D25" s="56" t="str">
        <f>VLOOKUP($A25,'Выгр Кат'!$A:$R,D$1,0)</f>
        <v>Y</v>
      </c>
      <c r="E25" s="56" t="str">
        <f>VLOOKUP($A25,'Выгр Кат'!$A:$R,E$1,0)</f>
        <v>1ск6</v>
      </c>
      <c r="F25" s="56" t="str">
        <f>VLOOKUP($A25,'Выгр Кат'!$A:$R,F$1,0)</f>
        <v>02801585020</v>
      </c>
      <c r="G25" s="4" t="s">
        <v>85</v>
      </c>
      <c r="H25" s="5" t="s">
        <v>41</v>
      </c>
      <c r="I25" s="4">
        <v>39</v>
      </c>
      <c r="J25" s="45">
        <f t="shared" si="0"/>
        <v>550</v>
      </c>
      <c r="K25" s="58">
        <f>VLOOKUP(J25,Наценка!$A$1:$B$8,2,1)</f>
        <v>1.4</v>
      </c>
      <c r="L25" s="4">
        <f t="shared" si="5"/>
        <v>770</v>
      </c>
      <c r="M25" s="38">
        <f t="shared" si="1"/>
        <v>769</v>
      </c>
      <c r="N25" s="56">
        <f>VLOOKUP($A25,'Выгр Кат'!$A:$R,N$1,0)</f>
        <v>550</v>
      </c>
      <c r="O25" s="56">
        <f>VLOOKUP($A25,'Выгр Кат'!$A:$R,O$1,0)</f>
        <v>769</v>
      </c>
      <c r="P25" s="18">
        <f t="shared" si="2"/>
        <v>0</v>
      </c>
      <c r="Q25" s="18">
        <f t="shared" si="3"/>
        <v>0</v>
      </c>
      <c r="R25" s="22">
        <f t="shared" si="4"/>
        <v>715.17</v>
      </c>
      <c r="S25" s="59">
        <f>IFERROR(R25/J25-1,"")</f>
        <v>0.30030909090909086</v>
      </c>
      <c r="T25" s="59" t="str">
        <f>IFERROR((V25-R25)/V25,"")</f>
        <v/>
      </c>
      <c r="U25" s="59" t="str">
        <f>IFERROR(IF(V25="","",V25/J25-1),"")</f>
        <v/>
      </c>
      <c r="V25" s="61"/>
      <c r="W25" s="29" t="str">
        <f>IFERROR((VLOOKUP($A25,'Из ГУГЛа'!$B:$Z,W$1,0)+Y25)*X25,VLOOKUP($A25,'Из ГУГЛа'!$B:$Z,W$1,0))</f>
        <v/>
      </c>
      <c r="X25" s="1">
        <v>1</v>
      </c>
      <c r="Y25" s="1">
        <v>0</v>
      </c>
      <c r="Z25" s="61"/>
      <c r="AB25" s="29">
        <f>IFERROR((VLOOKUP($A25,'Из ГУГЛа'!$B:$Z,AB$1,0)+AD25)*AC25,VLOOKUP($A25,'Из ГУГЛа'!$B:$Z,AB$1,0))</f>
        <v>0</v>
      </c>
      <c r="AC25" s="1">
        <v>1</v>
      </c>
      <c r="AD25" s="1">
        <v>0</v>
      </c>
      <c r="AE25" s="56"/>
    </row>
    <row r="26" spans="1:32" ht="90">
      <c r="A26" s="56">
        <v>224437</v>
      </c>
      <c r="B26" s="56">
        <f>VLOOKUP($A26,'Выгр Кат'!$A:$R,B$1,0)</f>
        <v>19113</v>
      </c>
      <c r="C26" s="57" t="str">
        <f>VLOOKUP($A26,'Выгр Кат'!$A:$R,C$1,0)</f>
        <v>Форсунка топливная "ВИЭ" 734 электромагнитная оранжевая, тонкая для ВАЗ (2110-2112, 2113-2115), Лада (Калина, Калина 2, Приора, Приора 2, Гранта, Нива 4х4), Шевроле Нива (8-ми клапанный двигатель, 1.6 л)</v>
      </c>
      <c r="D26" s="56" t="str">
        <f>VLOOKUP($A26,'Выгр Кат'!$A:$R,D$1,0)</f>
        <v>Y</v>
      </c>
      <c r="E26" s="56" t="str">
        <f>VLOOKUP($A26,'Выгр Кат'!$A:$R,E$1,0)</f>
        <v>1</v>
      </c>
      <c r="F26" s="56" t="str">
        <f>VLOOKUP($A26,'Выгр Кат'!$A:$R,F$1,0)</f>
        <v>VAZ 20734</v>
      </c>
      <c r="G26" s="4" t="s">
        <v>85</v>
      </c>
      <c r="H26" s="5" t="s">
        <v>41</v>
      </c>
      <c r="I26" s="4">
        <v>35</v>
      </c>
      <c r="J26" s="45">
        <f t="shared" si="0"/>
        <v>550</v>
      </c>
      <c r="K26" s="58">
        <f>VLOOKUP(J26,Наценка!$A$1:$B$8,2,1)</f>
        <v>1.4</v>
      </c>
      <c r="L26" s="4">
        <f t="shared" si="5"/>
        <v>770</v>
      </c>
      <c r="M26" s="38">
        <f t="shared" si="1"/>
        <v>769</v>
      </c>
      <c r="N26" s="56">
        <f>VLOOKUP($A26,'Выгр Кат'!$A:$R,N$1,0)</f>
        <v>550</v>
      </c>
      <c r="O26" s="56">
        <f>VLOOKUP($A26,'Выгр Кат'!$A:$R,O$1,0)</f>
        <v>769</v>
      </c>
      <c r="P26" s="18">
        <f t="shared" si="2"/>
        <v>0</v>
      </c>
      <c r="Q26" s="18">
        <f t="shared" si="3"/>
        <v>0</v>
      </c>
      <c r="R26" s="22">
        <f t="shared" si="4"/>
        <v>715.17</v>
      </c>
      <c r="S26" s="59">
        <f>IFERROR(R26/J26-1,"")</f>
        <v>0.30030909090909086</v>
      </c>
      <c r="T26" s="59" t="str">
        <f>IFERROR((V26-R26)/V26,"")</f>
        <v/>
      </c>
      <c r="U26" s="59" t="str">
        <f>IFERROR(IF(V26="","",V26/J26-1),"")</f>
        <v/>
      </c>
      <c r="V26" s="61"/>
      <c r="W26" s="29" t="str">
        <f>IFERROR((VLOOKUP($A26,'Из ГУГЛа'!$B:$Z,W$1,0)+Y26)*X26,VLOOKUP($A26,'Из ГУГЛа'!$B:$Z,W$1,0))</f>
        <v/>
      </c>
      <c r="X26" s="1">
        <v>1</v>
      </c>
      <c r="Y26" s="1">
        <v>0</v>
      </c>
      <c r="Z26" s="61"/>
      <c r="AB26" s="29">
        <f>IFERROR((VLOOKUP($A26,'Из ГУГЛа'!$B:$Z,AB$1,0)+AD26)*AC26,VLOOKUP($A26,'Из ГУГЛа'!$B:$Z,AB$1,0))</f>
        <v>0</v>
      </c>
      <c r="AC26" s="1">
        <v>1</v>
      </c>
      <c r="AD26" s="1">
        <v>0</v>
      </c>
      <c r="AE26" s="56"/>
    </row>
    <row r="27" spans="1:32" ht="75">
      <c r="A27" s="56">
        <v>224435</v>
      </c>
      <c r="B27" s="56">
        <f>VLOOKUP($A27,'Выгр Кат'!$A:$R,B$1,0)</f>
        <v>19114</v>
      </c>
      <c r="C27" s="57" t="str">
        <f>VLOOKUP($A27,'Выгр Кат'!$A:$R,C$1,0)</f>
        <v>Форсунка топливная "ВИЭ" 6393 электромагнитная, бежевая, толстая для ВАЗ 2104, 2105, 2107, 2108-21099, 2110-2112, 2113-2115 (8-ми клапанный двигатель, 1.5 л, 1.6 л)</v>
      </c>
      <c r="D27" s="56" t="str">
        <f>VLOOKUP($A27,'Выгр Кат'!$A:$R,D$1,0)</f>
        <v>Y</v>
      </c>
      <c r="E27" s="56" t="str">
        <f>VLOOKUP($A27,'Выгр Кат'!$A:$R,E$1,0)</f>
        <v>1</v>
      </c>
      <c r="F27" s="56" t="str">
        <f>VLOOKUP($A27,'Выгр Кат'!$A:$R,F$1,0)</f>
        <v>VAZ 6393</v>
      </c>
      <c r="G27" s="4" t="s">
        <v>85</v>
      </c>
      <c r="H27" s="5" t="s">
        <v>41</v>
      </c>
      <c r="I27" s="4">
        <v>38</v>
      </c>
      <c r="J27" s="45">
        <f t="shared" si="0"/>
        <v>550</v>
      </c>
      <c r="K27" s="58">
        <f>VLOOKUP(J27,Наценка!$A$1:$B$8,2,1)</f>
        <v>1.4</v>
      </c>
      <c r="L27" s="4">
        <f t="shared" si="5"/>
        <v>770</v>
      </c>
      <c r="M27" s="38">
        <f t="shared" si="1"/>
        <v>769</v>
      </c>
      <c r="N27" s="56">
        <f>VLOOKUP($A27,'Выгр Кат'!$A:$R,N$1,0)</f>
        <v>550</v>
      </c>
      <c r="O27" s="56">
        <f>VLOOKUP($A27,'Выгр Кат'!$A:$R,O$1,0)</f>
        <v>769</v>
      </c>
      <c r="P27" s="18">
        <f t="shared" si="2"/>
        <v>0</v>
      </c>
      <c r="Q27" s="18">
        <f t="shared" si="3"/>
        <v>0</v>
      </c>
      <c r="R27" s="22">
        <f t="shared" si="4"/>
        <v>715.17</v>
      </c>
      <c r="S27" s="59">
        <f>IFERROR(R27/J27-1,"")</f>
        <v>0.30030909090909086</v>
      </c>
      <c r="T27" s="59" t="str">
        <f>IFERROR((V27-R27)/V27,"")</f>
        <v/>
      </c>
      <c r="U27" s="59" t="str">
        <f>IFERROR(IF(V27="","",V27/J27-1),"")</f>
        <v/>
      </c>
      <c r="V27" s="61"/>
      <c r="W27" s="29" t="str">
        <f>IFERROR((VLOOKUP($A27,'Из ГУГЛа'!$B:$Z,W$1,0)+Y27)*X27,VLOOKUP($A27,'Из ГУГЛа'!$B:$Z,W$1,0))</f>
        <v/>
      </c>
      <c r="X27" s="1">
        <v>1</v>
      </c>
      <c r="Y27" s="1">
        <v>0</v>
      </c>
      <c r="Z27" s="61"/>
      <c r="AB27" s="29">
        <f>IFERROR((VLOOKUP($A27,'Из ГУГЛа'!$B:$Z,AB$1,0)+AD27)*AC27,VLOOKUP($A27,'Из ГУГЛа'!$B:$Z,AB$1,0))</f>
        <v>0</v>
      </c>
      <c r="AC27" s="1">
        <v>1</v>
      </c>
      <c r="AD27" s="1">
        <v>0</v>
      </c>
      <c r="AE27" s="56"/>
    </row>
    <row r="28" spans="1:32" ht="30.75" thickBot="1">
      <c r="A28" s="56">
        <v>164624</v>
      </c>
      <c r="B28" s="56">
        <f>VLOOKUP($A28,'Выгр Кат'!$A:$R,B$1,0)</f>
        <v>19119</v>
      </c>
      <c r="C28" s="57" t="str">
        <f>VLOOKUP($A28,'Выгр Кат'!$A:$R,C$1,0)</f>
        <v>Мотор топливного насоса (бензонасоса) "ВИЭ" для Лада Веста</v>
      </c>
      <c r="D28" s="56" t="str">
        <f>VLOOKUP($A28,'Выгр Кат'!$A:$R,D$1,0)</f>
        <v>Y</v>
      </c>
      <c r="E28" s="56" t="str">
        <f>VLOOKUP($A28,'Выгр Кат'!$A:$R,E$1,0)</f>
        <v>1</v>
      </c>
      <c r="F28" s="56" t="str">
        <f>VLOOKUP($A28,'Выгр Кат'!$A:$R,F$1,0)</f>
        <v>ВИЭ 2180</v>
      </c>
      <c r="G28" s="4">
        <v>8450008680</v>
      </c>
      <c r="H28" s="5" t="s">
        <v>41</v>
      </c>
      <c r="I28" s="4">
        <v>44</v>
      </c>
      <c r="J28" s="45">
        <f t="shared" si="0"/>
        <v>600</v>
      </c>
      <c r="K28" s="58">
        <f>VLOOKUP(J28,Наценка!$A$1:$B$8,2,1)</f>
        <v>1.4</v>
      </c>
      <c r="L28" s="26">
        <f>V28*1.06</f>
        <v>837.40000000000009</v>
      </c>
      <c r="M28" s="38">
        <f t="shared" si="1"/>
        <v>839</v>
      </c>
      <c r="N28" s="56">
        <f>VLOOKUP($A28,'Выгр Кат'!$A:$R,N$1,0)</f>
        <v>600</v>
      </c>
      <c r="O28" s="56">
        <f>VLOOKUP($A28,'Выгр Кат'!$A:$R,O$1,0)</f>
        <v>829</v>
      </c>
      <c r="P28" s="18">
        <f t="shared" si="2"/>
        <v>0</v>
      </c>
      <c r="Q28" s="18">
        <f t="shared" si="3"/>
        <v>-10</v>
      </c>
      <c r="R28" s="22">
        <f t="shared" si="4"/>
        <v>780.27</v>
      </c>
      <c r="S28" s="59">
        <f>IFERROR(R28/J28-1,"")</f>
        <v>0.30044999999999988</v>
      </c>
      <c r="T28" s="59">
        <f>IFERROR((V28-R28)/V28,"")</f>
        <v>1.2316455696202554E-2</v>
      </c>
      <c r="U28" s="59">
        <f>IFERROR(IF(V28="","",V28/J28-1),"")</f>
        <v>0.31666666666666665</v>
      </c>
      <c r="V28" s="62">
        <v>790</v>
      </c>
      <c r="W28" s="29">
        <f>IFERROR((VLOOKUP($A28,'Из ГУГЛа'!$B:$Z,W$1,0)+Y28)*X28,VLOOKUP($A28,'Из ГУГЛа'!$B:$Z,W$1,0))</f>
        <v>790</v>
      </c>
      <c r="X28" s="1">
        <v>1</v>
      </c>
      <c r="Y28" s="1">
        <v>0</v>
      </c>
      <c r="Z28" s="62">
        <v>790</v>
      </c>
      <c r="AA28" s="41" t="s">
        <v>164</v>
      </c>
      <c r="AB28" s="29">
        <f>IFERROR((VLOOKUP($A28,'Из ГУГЛа'!$B:$Z,AB$1,0)+AD28)*AC28,VLOOKUP($A28,'Из ГУГЛа'!$B:$Z,AB$1,0))</f>
        <v>0</v>
      </c>
      <c r="AC28" s="1">
        <v>1</v>
      </c>
      <c r="AD28" s="1">
        <v>0</v>
      </c>
      <c r="AE28" s="56">
        <v>660</v>
      </c>
      <c r="AF28" s="41" t="s">
        <v>290</v>
      </c>
    </row>
    <row r="29" spans="1:32" ht="60.75" thickTop="1">
      <c r="A29" s="56">
        <v>160414</v>
      </c>
      <c r="B29" s="56">
        <f>VLOOKUP($A29,'Выгр Кат'!$A:$R,B$1,0)</f>
        <v>13845</v>
      </c>
      <c r="C29" s="57" t="str">
        <f>VLOOKUP($A29,'Выгр Кат'!$A:$R,C$1,0)</f>
        <v>Корпус подрулевого переключателя "ВИЭ" для Лада (Калина 2, Гранта, Гранта FL, Приора, Приора 2) (под навигацию, с круиз-контролем)</v>
      </c>
      <c r="D29" s="56" t="str">
        <f>VLOOKUP($A29,'Выгр Кат'!$A:$R,D$1,0)</f>
        <v>Y</v>
      </c>
      <c r="E29" s="56" t="str">
        <f>VLOOKUP($A29,'Выгр Кат'!$A:$R,E$1,0)</f>
        <v>0</v>
      </c>
      <c r="F29" s="56" t="str">
        <f>VLOOKUP($A29,'Выгр Кат'!$A:$R,F$1,0)</f>
        <v>21700370931510</v>
      </c>
      <c r="G29" s="4" t="s">
        <v>88</v>
      </c>
      <c r="H29" s="5" t="s">
        <v>41</v>
      </c>
      <c r="I29" s="4">
        <v>41</v>
      </c>
      <c r="J29" s="45">
        <f t="shared" si="0"/>
        <v>650</v>
      </c>
      <c r="K29" s="58">
        <f>VLOOKUP(J29,Наценка!$A$1:$B$8,2,1)</f>
        <v>1.4</v>
      </c>
      <c r="L29" s="4">
        <f t="shared" si="5"/>
        <v>909.99999999999989</v>
      </c>
      <c r="M29" s="38">
        <f t="shared" si="1"/>
        <v>909</v>
      </c>
      <c r="N29" s="56">
        <f>VLOOKUP($A29,'Выгр Кат'!$A:$R,N$1,0)</f>
        <v>650</v>
      </c>
      <c r="O29" s="56">
        <f>VLOOKUP($A29,'Выгр Кат'!$A:$R,O$1,0)</f>
        <v>909</v>
      </c>
      <c r="P29" s="18">
        <f t="shared" si="2"/>
        <v>0</v>
      </c>
      <c r="Q29" s="18">
        <f t="shared" si="3"/>
        <v>0</v>
      </c>
      <c r="R29" s="22">
        <f t="shared" si="4"/>
        <v>845.36999999999989</v>
      </c>
      <c r="S29" s="59">
        <f>IFERROR(R29/J29-1,"")</f>
        <v>0.3005692307692307</v>
      </c>
      <c r="T29" s="59" t="str">
        <f>IFERROR((V29-R29)/V29,"")</f>
        <v/>
      </c>
      <c r="U29" s="59" t="str">
        <f>IFERROR(IF(V29="","",V29/J29-1),"")</f>
        <v/>
      </c>
      <c r="V29" s="61"/>
      <c r="W29" s="29" t="str">
        <f>IFERROR((VLOOKUP($A29,'Из ГУГЛа'!$B:$Z,W$1,0)+Y29)*X29,VLOOKUP($A29,'Из ГУГЛа'!$B:$Z,W$1,0))</f>
        <v/>
      </c>
      <c r="X29" s="1">
        <v>1</v>
      </c>
      <c r="Y29" s="1">
        <v>0</v>
      </c>
      <c r="Z29" s="61"/>
      <c r="AB29" s="29">
        <f>IFERROR((VLOOKUP($A29,'Из ГУГЛа'!$B:$Z,AB$1,0)+AD29)*AC29,VLOOKUP($A29,'Из ГУГЛа'!$B:$Z,AB$1,0))</f>
        <v>0</v>
      </c>
      <c r="AC29" s="1">
        <v>1</v>
      </c>
      <c r="AD29" s="1">
        <v>0</v>
      </c>
      <c r="AE29" s="56"/>
    </row>
    <row r="30" spans="1:32" ht="90.75" thickBot="1">
      <c r="A30" s="56">
        <v>155819</v>
      </c>
      <c r="B30" s="56">
        <f>VLOOKUP($A30,'Выгр Кат'!$A:$R,B$1,0)</f>
        <v>19125</v>
      </c>
      <c r="C30" s="57" t="str">
        <f>VLOOKUP($A30,'Выгр Кат'!$A:$R,C$1,0)</f>
        <v>Катушка зажигания четырехвыводная "ВИЭ" 2111 для ВАЗ (2110-2112, 2113-2115), Лада (Калина, Калина 2, Приора, Гранта, Гранта FL, Ларгус, Нива 4х4, Нива Travel, Legend), Шевроле Нива</v>
      </c>
      <c r="D30" s="56" t="str">
        <f>VLOOKUP($A30,'Выгр Кат'!$A:$R,D$1,0)</f>
        <v>Y</v>
      </c>
      <c r="E30" s="56" t="str">
        <f>VLOOKUP($A30,'Выгр Кат'!$A:$R,E$1,0)</f>
        <v>1</v>
      </c>
      <c r="F30" s="56" t="str">
        <f>VLOOKUP($A30,'Выгр Кат'!$A:$R,F$1,0)</f>
        <v>21110-370501010</v>
      </c>
      <c r="G30" s="4" t="s">
        <v>84</v>
      </c>
      <c r="H30" s="6" t="s">
        <v>41</v>
      </c>
      <c r="I30" s="7">
        <v>23</v>
      </c>
      <c r="J30" s="45">
        <f t="shared" si="0"/>
        <v>650</v>
      </c>
      <c r="K30" s="58">
        <f>VLOOKUP(J30,Наценка!$A$1:$B$8,2,1)</f>
        <v>1.4</v>
      </c>
      <c r="L30" s="26">
        <f t="shared" ref="L30:L32" si="11">V30*1.06</f>
        <v>1791.4</v>
      </c>
      <c r="M30" s="38">
        <f t="shared" si="1"/>
        <v>1790</v>
      </c>
      <c r="N30" s="56">
        <f>VLOOKUP($A30,'Выгр Кат'!$A:$R,N$1,0)</f>
        <v>650</v>
      </c>
      <c r="O30" s="56">
        <f>VLOOKUP($A30,'Выгр Кат'!$A:$R,O$1,0)</f>
        <v>1790</v>
      </c>
      <c r="P30" s="18">
        <f t="shared" si="2"/>
        <v>0</v>
      </c>
      <c r="Q30" s="18">
        <f t="shared" si="3"/>
        <v>0</v>
      </c>
      <c r="R30" s="22">
        <f t="shared" si="4"/>
        <v>1664.6999999999998</v>
      </c>
      <c r="S30" s="59">
        <f>IFERROR(R30/J30-1,"")</f>
        <v>1.5610769230769228</v>
      </c>
      <c r="T30" s="59">
        <f>IFERROR((V30-R30)/V30,"")</f>
        <v>1.497041420118354E-2</v>
      </c>
      <c r="U30" s="59">
        <f>IFERROR(IF(V30="","",V30/J30-1),"")</f>
        <v>1.6</v>
      </c>
      <c r="V30" s="60">
        <v>1690</v>
      </c>
      <c r="W30" s="29">
        <f>IFERROR((VLOOKUP($A30,'Из ГУГЛа'!$B:$Z,W$1,0)+Y30)*X30,VLOOKUP($A30,'Из ГУГЛа'!$B:$Z,W$1,0))</f>
        <v>1690</v>
      </c>
      <c r="X30" s="1">
        <v>1</v>
      </c>
      <c r="Y30" s="1">
        <v>0</v>
      </c>
      <c r="Z30" s="60">
        <v>1690</v>
      </c>
      <c r="AA30" s="41" t="s">
        <v>163</v>
      </c>
      <c r="AB30" s="29">
        <f>IFERROR((VLOOKUP($A30,'Из ГУГЛа'!$B:$Z,AB$1,0)+AD30)*AC30,VLOOKUP($A30,'Из ГУГЛа'!$B:$Z,AB$1,0))</f>
        <v>0</v>
      </c>
      <c r="AC30" s="1">
        <v>1</v>
      </c>
      <c r="AD30" s="1">
        <v>0</v>
      </c>
      <c r="AE30" s="56"/>
    </row>
    <row r="31" spans="1:32" ht="61.5" thickTop="1" thickBot="1">
      <c r="A31" s="56">
        <v>144423</v>
      </c>
      <c r="B31" s="56">
        <f>VLOOKUP($A31,'Выгр Кат'!$A:$R,B$1,0)</f>
        <v>9005</v>
      </c>
      <c r="C31" s="57" t="str">
        <f>VLOOKUP($A31,'Выгр Кат'!$A:$R,C$1,0)</f>
        <v>Дроссельная заслонка "ВИЭ" 46 мм для ВАЗ (2104, 2105, 2107, 2108-21099, 2110-2112, 2113-2115), Лада (Калина, Приора)</v>
      </c>
      <c r="D31" s="56" t="str">
        <f>VLOOKUP($A31,'Выгр Кат'!$A:$R,D$1,0)</f>
        <v>Y</v>
      </c>
      <c r="E31" s="56" t="str">
        <f>VLOOKUP($A31,'Выгр Кат'!$A:$R,E$1,0)</f>
        <v>1ск6</v>
      </c>
      <c r="F31" s="56">
        <f>VLOOKUP($A31,'Выгр Кат'!$A:$R,F$1,0)</f>
        <v>0</v>
      </c>
      <c r="G31" s="4" t="s">
        <v>76</v>
      </c>
      <c r="H31" s="8" t="s">
        <v>41</v>
      </c>
      <c r="I31" s="63">
        <v>14</v>
      </c>
      <c r="J31" s="45">
        <f t="shared" si="0"/>
        <v>1150</v>
      </c>
      <c r="K31" s="58">
        <f>VLOOKUP(J31,Наценка!$A$1:$B$8,2,1)</f>
        <v>1.32</v>
      </c>
      <c r="L31" s="26">
        <f t="shared" si="11"/>
        <v>1791.4</v>
      </c>
      <c r="M31" s="38">
        <f t="shared" si="1"/>
        <v>1790</v>
      </c>
      <c r="N31" s="56">
        <f>VLOOKUP($A31,'Выгр Кат'!$A:$R,N$1,0)</f>
        <v>1150</v>
      </c>
      <c r="O31" s="56">
        <f>VLOOKUP($A31,'Выгр Кат'!$A:$R,O$1,0)</f>
        <v>1790</v>
      </c>
      <c r="P31" s="18">
        <f t="shared" si="2"/>
        <v>0</v>
      </c>
      <c r="Q31" s="18">
        <f t="shared" si="3"/>
        <v>0</v>
      </c>
      <c r="R31" s="22">
        <f t="shared" si="4"/>
        <v>1664.6999999999998</v>
      </c>
      <c r="S31" s="59">
        <f>IFERROR(R31/J31-1,"")</f>
        <v>0.44756521739130428</v>
      </c>
      <c r="T31" s="59">
        <f>IFERROR((V31-R31)/V31,"")</f>
        <v>1.497041420118354E-2</v>
      </c>
      <c r="U31" s="59">
        <f>IFERROR(IF(V31="","",V31/J31-1),"")</f>
        <v>0.4695652173913043</v>
      </c>
      <c r="V31" s="62">
        <v>1690</v>
      </c>
      <c r="W31" s="29">
        <f>IFERROR((VLOOKUP($A31,'Из ГУГЛа'!$B:$Z,W$1,0)+Y31)*X31,VLOOKUP($A31,'Из ГУГЛа'!$B:$Z,W$1,0))</f>
        <v>1690</v>
      </c>
      <c r="X31" s="1">
        <v>1</v>
      </c>
      <c r="Y31" s="1">
        <v>0</v>
      </c>
      <c r="Z31" s="62">
        <v>1690</v>
      </c>
      <c r="AA31" s="41" t="s">
        <v>158</v>
      </c>
      <c r="AB31" s="29">
        <f>IFERROR((VLOOKUP($A31,'Из ГУГЛа'!$B:$Z,AB$1,0)+AD31)*AC31,VLOOKUP($A31,'Из ГУГЛа'!$B:$Z,AB$1,0))</f>
        <v>0</v>
      </c>
      <c r="AC31" s="1">
        <v>1</v>
      </c>
      <c r="AD31" s="1">
        <v>0</v>
      </c>
      <c r="AE31" s="56"/>
    </row>
    <row r="32" spans="1:32" ht="31.5" thickTop="1" thickBot="1">
      <c r="A32" s="56">
        <v>144424</v>
      </c>
      <c r="B32" s="56">
        <f>VLOOKUP($A32,'Выгр Кат'!$A:$R,B$1,0)</f>
        <v>17065</v>
      </c>
      <c r="C32" s="57" t="str">
        <f>VLOOKUP($A32,'Выгр Кат'!$A:$R,C$1,0)</f>
        <v>Дроссельная заслонка "ВИЭ" 46мм для Лада Нива 4х4, Шевроле Нива</v>
      </c>
      <c r="D32" s="56" t="str">
        <f>VLOOKUP($A32,'Выгр Кат'!$A:$R,D$1,0)</f>
        <v>Y</v>
      </c>
      <c r="E32" s="56" t="str">
        <f>VLOOKUP($A32,'Выгр Кат'!$A:$R,E$1,0)</f>
        <v>1</v>
      </c>
      <c r="F32" s="56">
        <f>VLOOKUP($A32,'Выгр Кат'!$A:$R,F$1,0)</f>
        <v>0</v>
      </c>
      <c r="G32" s="4" t="s">
        <v>78</v>
      </c>
      <c r="H32" s="8" t="s">
        <v>41</v>
      </c>
      <c r="I32" s="63">
        <v>15</v>
      </c>
      <c r="J32" s="45">
        <f t="shared" si="0"/>
        <v>1250</v>
      </c>
      <c r="K32" s="58">
        <f>VLOOKUP(J32,Наценка!$A$1:$B$8,2,1)</f>
        <v>1.32</v>
      </c>
      <c r="L32" s="26">
        <f t="shared" si="11"/>
        <v>1897.4</v>
      </c>
      <c r="M32" s="38">
        <f t="shared" si="1"/>
        <v>1890</v>
      </c>
      <c r="N32" s="56">
        <f>VLOOKUP($A32,'Выгр Кат'!$A:$R,N$1,0)</f>
        <v>1250</v>
      </c>
      <c r="O32" s="56">
        <f>VLOOKUP($A32,'Выгр Кат'!$A:$R,O$1,0)</f>
        <v>1890</v>
      </c>
      <c r="P32" s="18">
        <f t="shared" si="2"/>
        <v>0</v>
      </c>
      <c r="Q32" s="18">
        <f t="shared" si="3"/>
        <v>0</v>
      </c>
      <c r="R32" s="22">
        <f t="shared" si="4"/>
        <v>1757.6999999999998</v>
      </c>
      <c r="S32" s="59">
        <f>IFERROR(R32/J32-1,"")</f>
        <v>0.40615999999999985</v>
      </c>
      <c r="T32" s="59">
        <f>IFERROR((V32-R32)/V32,"")</f>
        <v>1.8044692737430271E-2</v>
      </c>
      <c r="U32" s="59">
        <f>IFERROR(IF(V32="","",V32/J32-1),"")</f>
        <v>0.43199999999999994</v>
      </c>
      <c r="V32" s="60">
        <v>1790</v>
      </c>
      <c r="W32" s="29">
        <f>IFERROR((VLOOKUP($A32,'Из ГУГЛа'!$B:$Z,W$1,0)+Y32)*X32,VLOOKUP($A32,'Из ГУГЛа'!$B:$Z,W$1,0))</f>
        <v>1790</v>
      </c>
      <c r="X32" s="1">
        <v>1</v>
      </c>
      <c r="Y32" s="1">
        <v>0</v>
      </c>
      <c r="Z32" s="60">
        <v>1790</v>
      </c>
      <c r="AA32" s="41" t="s">
        <v>159</v>
      </c>
      <c r="AB32" s="29">
        <f>IFERROR((VLOOKUP($A32,'Из ГУГЛа'!$B:$Z,AB$1,0)+AD32)*AC32,VLOOKUP($A32,'Из ГУГЛа'!$B:$Z,AB$1,0))</f>
        <v>0</v>
      </c>
      <c r="AC32" s="1">
        <v>1</v>
      </c>
      <c r="AD32" s="1">
        <v>0</v>
      </c>
      <c r="AE32" s="56"/>
    </row>
    <row r="33" spans="1:32" ht="45.75" thickTop="1">
      <c r="A33" s="56">
        <v>137068</v>
      </c>
      <c r="B33" s="56">
        <f>VLOOKUP($A33,'Выгр Кат'!$A:$R,B$1,0)</f>
        <v>11312</v>
      </c>
      <c r="C33" s="57" t="str">
        <f>VLOOKUP($A33,'Выгр Кат'!$A:$R,C$1,0)</f>
        <v>Блокировка линии выбора заднего хода (соленоид) старого образца для Лада Калина</v>
      </c>
      <c r="D33" s="56" t="str">
        <f>VLOOKUP($A33,'Выгр Кат'!$A:$R,D$1,0)</f>
        <v>Y</v>
      </c>
      <c r="E33" s="56" t="str">
        <f>VLOOKUP($A33,'Выгр Кат'!$A:$R,E$1,0)</f>
        <v>1</v>
      </c>
      <c r="F33" s="56">
        <f>VLOOKUP($A33,'Выгр Кат'!$A:$R,F$1,0)</f>
        <v>0</v>
      </c>
      <c r="G33" s="4" t="s">
        <v>106</v>
      </c>
      <c r="H33" s="8" t="s">
        <v>41</v>
      </c>
      <c r="I33" s="63"/>
      <c r="J33" s="45">
        <f t="shared" si="0"/>
        <v>1500</v>
      </c>
      <c r="K33" s="58">
        <f>VLOOKUP(J33,Наценка!$A$1:$B$8,2,1)</f>
        <v>1.32</v>
      </c>
      <c r="L33" s="4">
        <f t="shared" si="5"/>
        <v>1980</v>
      </c>
      <c r="M33" s="38">
        <f t="shared" si="1"/>
        <v>1990</v>
      </c>
      <c r="N33" s="56">
        <f>VLOOKUP($A33,'Выгр Кат'!$A:$R,N$1,0)</f>
        <v>1500</v>
      </c>
      <c r="O33" s="56">
        <f>VLOOKUP($A33,'Выгр Кат'!$A:$R,O$1,0)</f>
        <v>1990</v>
      </c>
      <c r="P33" s="18">
        <f t="shared" si="2"/>
        <v>0</v>
      </c>
      <c r="Q33" s="18">
        <f t="shared" si="3"/>
        <v>0</v>
      </c>
      <c r="R33" s="22">
        <f t="shared" si="4"/>
        <v>1850.6999999999998</v>
      </c>
      <c r="S33" s="59">
        <f>IFERROR(R33/J33-1,"")</f>
        <v>0.23379999999999979</v>
      </c>
      <c r="T33" s="59" t="str">
        <f>IFERROR((V33-R33)/V33,"")</f>
        <v/>
      </c>
      <c r="U33" s="59" t="str">
        <f>IFERROR(IF(V33="","",V33/J33-1),"")</f>
        <v/>
      </c>
      <c r="V33" s="61"/>
      <c r="W33" s="29" t="str">
        <f>IFERROR((VLOOKUP($A33,'Из ГУГЛа'!$B:$Z,W$1,0)+Y33)*X33,VLOOKUP($A33,'Из ГУГЛа'!$B:$Z,W$1,0))</f>
        <v/>
      </c>
      <c r="X33" s="1">
        <v>1</v>
      </c>
      <c r="Y33" s="1">
        <v>0</v>
      </c>
      <c r="Z33" s="61"/>
      <c r="AB33" s="29">
        <f>IFERROR((VLOOKUP($A33,'Из ГУГЛа'!$B:$Z,AB$1,0)+AD33)*AC33,VLOOKUP($A33,'Из ГУГЛа'!$B:$Z,AB$1,0))</f>
        <v>0</v>
      </c>
      <c r="AC33" s="1">
        <v>1</v>
      </c>
      <c r="AD33" s="1">
        <v>0</v>
      </c>
      <c r="AE33" s="56"/>
    </row>
    <row r="34" spans="1:32" ht="45">
      <c r="A34" s="56">
        <v>219331</v>
      </c>
      <c r="B34" s="56">
        <f>VLOOKUP($A34,'Выгр Кат'!$A:$R,B$1,0)</f>
        <v>19127</v>
      </c>
      <c r="C34" s="57" t="str">
        <f>VLOOKUP($A34,'Выгр Кат'!$A:$R,C$1,0)</f>
        <v>Топливный насос (бензонасос) "ВИЭ" в сборе для Лада Гранта, Калина 2, Калина 2 спорт</v>
      </c>
      <c r="D34" s="56" t="str">
        <f>VLOOKUP($A34,'Выгр Кат'!$A:$R,D$1,0)</f>
        <v>Y</v>
      </c>
      <c r="E34" s="56" t="str">
        <f>VLOOKUP($A34,'Выгр Кат'!$A:$R,E$1,0)</f>
        <v>1</v>
      </c>
      <c r="F34" s="56" t="str">
        <f>VLOOKUP($A34,'Выгр Кат'!$A:$R,F$1,0)</f>
        <v>2190-1139009-09</v>
      </c>
      <c r="G34" s="4" t="s">
        <v>83</v>
      </c>
      <c r="H34" s="8" t="s">
        <v>41</v>
      </c>
      <c r="I34" s="63">
        <v>46</v>
      </c>
      <c r="J34" s="45">
        <f t="shared" si="0"/>
        <v>1450</v>
      </c>
      <c r="K34" s="58">
        <f>VLOOKUP(J34,Наценка!$A$1:$B$8,2,1)</f>
        <v>1.32</v>
      </c>
      <c r="L34" s="4">
        <f t="shared" si="5"/>
        <v>1914</v>
      </c>
      <c r="M34" s="38">
        <f t="shared" si="1"/>
        <v>1990</v>
      </c>
      <c r="N34" s="56">
        <f>VLOOKUP($A34,'Выгр Кат'!$A:$R,N$1,0)</f>
        <v>1450</v>
      </c>
      <c r="O34" s="56">
        <f>VLOOKUP($A34,'Выгр Кат'!$A:$R,O$1,0)</f>
        <v>1990</v>
      </c>
      <c r="P34" s="18">
        <f t="shared" si="2"/>
        <v>0</v>
      </c>
      <c r="Q34" s="18">
        <f t="shared" si="3"/>
        <v>0</v>
      </c>
      <c r="R34" s="22">
        <f t="shared" si="4"/>
        <v>1850.6999999999998</v>
      </c>
      <c r="S34" s="59">
        <f>IFERROR(R34/J34-1,"")</f>
        <v>0.27634482758620682</v>
      </c>
      <c r="T34" s="59" t="str">
        <f>IFERROR((V34-R34)/V34,"")</f>
        <v/>
      </c>
      <c r="U34" s="59" t="str">
        <f>IFERROR(IF(V34="","",V34/J34-1),"")</f>
        <v/>
      </c>
      <c r="V34" s="61"/>
      <c r="W34" s="29" t="str">
        <f>IFERROR((VLOOKUP($A34,'Из ГУГЛа'!$B:$Z,W$1,0)+Y34)*X34,VLOOKUP($A34,'Из ГУГЛа'!$B:$Z,W$1,0))</f>
        <v/>
      </c>
      <c r="X34" s="1">
        <v>1</v>
      </c>
      <c r="Y34" s="1">
        <v>0</v>
      </c>
      <c r="Z34" s="61"/>
      <c r="AB34" s="29">
        <f>IFERROR((VLOOKUP($A34,'Из ГУГЛа'!$B:$Z,AB$1,0)+AD34)*AC34,VLOOKUP($A34,'Из ГУГЛа'!$B:$Z,AB$1,0))</f>
        <v>0</v>
      </c>
      <c r="AC34" s="1">
        <v>1</v>
      </c>
      <c r="AD34" s="1">
        <v>0</v>
      </c>
      <c r="AE34" s="56"/>
    </row>
    <row r="35" spans="1:32" ht="75">
      <c r="A35" s="56">
        <v>142016</v>
      </c>
      <c r="B35" s="56">
        <f>VLOOKUP($A35,'Выгр Кат'!$A:$R,B$1,0)</f>
        <v>19101</v>
      </c>
      <c r="C35" s="57" t="str">
        <f>VLOOKUP($A35,'Выгр Кат'!$A:$R,C$1,0)</f>
        <v>Датчик массового расхода воздуха "ВИЭ" (аналог 280218116) для ВАЗ (2110-2112, 2113-2115), Лада (Калина, Приора, Нива 4х4), Шевроле Нива (с 2005 года выпуска, евро 2, 3)</v>
      </c>
      <c r="D35" s="56" t="str">
        <f>VLOOKUP($A35,'Выгр Кат'!$A:$R,D$1,0)</f>
        <v>Y</v>
      </c>
      <c r="E35" s="56" t="str">
        <f>VLOOKUP($A35,'Выгр Кат'!$A:$R,E$1,0)</f>
        <v>1</v>
      </c>
      <c r="F35" s="56" t="str">
        <f>VLOOKUP($A35,'Выгр Кат'!$A:$R,F$1,0)</f>
        <v>21083-1130010-116</v>
      </c>
      <c r="G35" s="4" t="s">
        <v>86</v>
      </c>
      <c r="H35" s="8" t="s">
        <v>41</v>
      </c>
      <c r="I35" s="63"/>
      <c r="J35" s="45">
        <f t="shared" si="0"/>
        <v>1500</v>
      </c>
      <c r="K35" s="58">
        <f>VLOOKUP(J35,Наценка!$A$1:$B$8,2,1)</f>
        <v>1.32</v>
      </c>
      <c r="L35" s="4">
        <f t="shared" si="5"/>
        <v>1980</v>
      </c>
      <c r="M35" s="38">
        <f t="shared" ref="M35:M66" si="12">IF(L35&lt;=1000,(ROUNDUP(L35,-1)-1),(ROUNDUP(L35,-2)-10))</f>
        <v>1990</v>
      </c>
      <c r="N35" s="56">
        <f>VLOOKUP($A35,'Выгр Кат'!$A:$R,N$1,0)</f>
        <v>1500</v>
      </c>
      <c r="O35" s="56">
        <f>VLOOKUP($A35,'Выгр Кат'!$A:$R,O$1,0)</f>
        <v>1990</v>
      </c>
      <c r="P35" s="18">
        <f t="shared" ref="P35:P66" si="13">N35-J35</f>
        <v>0</v>
      </c>
      <c r="Q35" s="18">
        <f t="shared" ref="Q35:Q66" si="14">O35-M35</f>
        <v>0</v>
      </c>
      <c r="R35" s="22">
        <f t="shared" ref="R35:R66" si="15">IFERROR(M35*(1-$R$2),"")</f>
        <v>1850.6999999999998</v>
      </c>
      <c r="S35" s="59">
        <f>IFERROR(R35/J35-1,"")</f>
        <v>0.23379999999999979</v>
      </c>
      <c r="T35" s="59" t="str">
        <f>IFERROR((V35-R35)/V35,"")</f>
        <v/>
      </c>
      <c r="U35" s="59" t="str">
        <f>IFERROR(IF(V35="","",V35/J35-1),"")</f>
        <v/>
      </c>
      <c r="V35" s="61"/>
      <c r="W35" s="29" t="str">
        <f>IFERROR((VLOOKUP($A35,'Из ГУГЛа'!$B:$Z,W$1,0)+Y35)*X35,VLOOKUP($A35,'Из ГУГЛа'!$B:$Z,W$1,0))</f>
        <v/>
      </c>
      <c r="X35" s="1">
        <v>1</v>
      </c>
      <c r="Y35" s="1">
        <v>0</v>
      </c>
      <c r="Z35" s="61"/>
      <c r="AB35" s="29">
        <f>IFERROR((VLOOKUP($A35,'Из ГУГЛа'!$B:$Z,AB$1,0)+AD35)*AC35,VLOOKUP($A35,'Из ГУГЛа'!$B:$Z,AB$1,0))</f>
        <v>0</v>
      </c>
      <c r="AC35" s="1">
        <v>1</v>
      </c>
      <c r="AD35" s="1">
        <v>0</v>
      </c>
      <c r="AE35" s="56"/>
    </row>
    <row r="36" spans="1:32" ht="60">
      <c r="A36" s="56">
        <v>142015</v>
      </c>
      <c r="B36" s="56">
        <f>VLOOKUP($A36,'Выгр Кат'!$A:$R,B$1,0)</f>
        <v>19108</v>
      </c>
      <c r="C36" s="57" t="str">
        <f>VLOOKUP($A36,'Выгр Кат'!$A:$R,C$1,0)</f>
        <v>Датчик массового расхода воздуха "ВИЭ" (аналог 280218037) для ВАЗ (2108-21099, 2110-2112, 2113-2115), Шевроле Нива</v>
      </c>
      <c r="D36" s="56" t="str">
        <f>VLOOKUP($A36,'Выгр Кат'!$A:$R,D$1,0)</f>
        <v>Y</v>
      </c>
      <c r="E36" s="56" t="str">
        <f>VLOOKUP($A36,'Выгр Кат'!$A:$R,E$1,0)</f>
        <v>0</v>
      </c>
      <c r="F36" s="56" t="str">
        <f>VLOOKUP($A36,'Выгр Кат'!$A:$R,F$1,0)</f>
        <v>21083-1130010-037</v>
      </c>
      <c r="G36" s="4" t="s">
        <v>86</v>
      </c>
      <c r="H36" s="8" t="s">
        <v>41</v>
      </c>
      <c r="I36" s="63"/>
      <c r="J36" s="45">
        <f t="shared" si="0"/>
        <v>1820</v>
      </c>
      <c r="K36" s="58">
        <f>VLOOKUP(J36,Наценка!$A$1:$B$8,2,1)</f>
        <v>1.32</v>
      </c>
      <c r="L36" s="4">
        <f t="shared" si="5"/>
        <v>2402.4</v>
      </c>
      <c r="M36" s="38">
        <f t="shared" si="12"/>
        <v>2490</v>
      </c>
      <c r="N36" s="56">
        <f>VLOOKUP($A36,'Выгр Кат'!$A:$R,N$1,0)</f>
        <v>1820</v>
      </c>
      <c r="O36" s="56">
        <f>VLOOKUP($A36,'Выгр Кат'!$A:$R,O$1,0)</f>
        <v>2490</v>
      </c>
      <c r="P36" s="18">
        <f t="shared" si="13"/>
        <v>0</v>
      </c>
      <c r="Q36" s="18">
        <f t="shared" si="14"/>
        <v>0</v>
      </c>
      <c r="R36" s="22">
        <f t="shared" si="15"/>
        <v>2315.6999999999998</v>
      </c>
      <c r="S36" s="59">
        <f>IFERROR(R36/J36-1,"")</f>
        <v>0.27236263736263733</v>
      </c>
      <c r="T36" s="59" t="str">
        <f>IFERROR((V36-R36)/V36,"")</f>
        <v/>
      </c>
      <c r="U36" s="59" t="str">
        <f>IFERROR(IF(V36="","",V36/J36-1),"")</f>
        <v/>
      </c>
      <c r="V36" s="61"/>
      <c r="W36" s="29" t="str">
        <f>IFERROR((VLOOKUP($A36,'Из ГУГЛа'!$B:$Z,W$1,0)+Y36)*X36,VLOOKUP($A36,'Из ГУГЛа'!$B:$Z,W$1,0))</f>
        <v/>
      </c>
      <c r="X36" s="1">
        <v>1</v>
      </c>
      <c r="Y36" s="1">
        <v>0</v>
      </c>
      <c r="Z36" s="61"/>
      <c r="AB36" s="29">
        <f>IFERROR((VLOOKUP($A36,'Из ГУГЛа'!$B:$Z,AB$1,0)+AD36)*AC36,VLOOKUP($A36,'Из ГУГЛа'!$B:$Z,AB$1,0))</f>
        <v>0</v>
      </c>
      <c r="AC36" s="1">
        <v>1</v>
      </c>
      <c r="AD36" s="1">
        <v>0</v>
      </c>
      <c r="AE36" s="56"/>
    </row>
    <row r="37" spans="1:32" ht="45">
      <c r="A37" s="56">
        <v>142014</v>
      </c>
      <c r="B37" s="56">
        <f>VLOOKUP($A37,'Выгр Кат'!$A:$R,B$1,0)</f>
        <v>27093</v>
      </c>
      <c r="C37" s="57" t="str">
        <f>VLOOKUP($A37,'Выгр Кат'!$A:$R,C$1,0)</f>
        <v>Датчик массового расхода воздуха "ВИЭ" Е-газ для ВАЗ 2113-2115, Лада (Калина, Калина 2, Гранта)</v>
      </c>
      <c r="D37" s="56" t="str">
        <f>VLOOKUP($A37,'Выгр Кат'!$A:$R,D$1,0)</f>
        <v>Y</v>
      </c>
      <c r="E37" s="56" t="str">
        <f>VLOOKUP($A37,'Выгр Кат'!$A:$R,E$1,0)</f>
        <v>1</v>
      </c>
      <c r="F37" s="56" t="str">
        <f>VLOOKUP($A37,'Выгр Кат'!$A:$R,F$1,0)</f>
        <v>111801130010</v>
      </c>
      <c r="G37" s="4" t="s">
        <v>80</v>
      </c>
      <c r="H37" s="8" t="s">
        <v>41</v>
      </c>
      <c r="I37" s="63"/>
      <c r="J37" s="45">
        <f t="shared" si="0"/>
        <v>2000</v>
      </c>
      <c r="K37" s="58">
        <f>VLOOKUP(J37,Наценка!$A$1:$B$8,2,1)</f>
        <v>1.25</v>
      </c>
      <c r="L37" s="4">
        <f t="shared" si="5"/>
        <v>2500</v>
      </c>
      <c r="M37" s="38">
        <f t="shared" si="12"/>
        <v>2490</v>
      </c>
      <c r="N37" s="56">
        <f>VLOOKUP($A37,'Выгр Кат'!$A:$R,N$1,0)</f>
        <v>2000</v>
      </c>
      <c r="O37" s="56">
        <f>VLOOKUP($A37,'Выгр Кат'!$A:$R,O$1,0)</f>
        <v>2490</v>
      </c>
      <c r="P37" s="18">
        <f t="shared" si="13"/>
        <v>0</v>
      </c>
      <c r="Q37" s="18">
        <f t="shared" si="14"/>
        <v>0</v>
      </c>
      <c r="R37" s="22">
        <f t="shared" si="15"/>
        <v>2315.6999999999998</v>
      </c>
      <c r="S37" s="59">
        <f>IFERROR(R37/J37-1,"")</f>
        <v>0.15784999999999982</v>
      </c>
      <c r="T37" s="59" t="str">
        <f>IFERROR((V37-R37)/V37,"")</f>
        <v/>
      </c>
      <c r="U37" s="59" t="str">
        <f>IFERROR(IF(V37="","",V37/J37-1),"")</f>
        <v/>
      </c>
      <c r="V37" s="61"/>
      <c r="W37" s="29" t="str">
        <f>IFERROR((VLOOKUP($A37,'Из ГУГЛа'!$B:$Z,W$1,0)+Y37)*X37,VLOOKUP($A37,'Из ГУГЛа'!$B:$Z,W$1,0))</f>
        <v/>
      </c>
      <c r="X37" s="1">
        <v>1</v>
      </c>
      <c r="Y37" s="1">
        <v>0</v>
      </c>
      <c r="Z37" s="61"/>
      <c r="AB37" s="29">
        <f>IFERROR((VLOOKUP($A37,'Из ГУГЛа'!$B:$Z,AB$1,0)+AD37)*AC37,VLOOKUP($A37,'Из ГУГЛа'!$B:$Z,AB$1,0))</f>
        <v>0</v>
      </c>
      <c r="AC37" s="1">
        <v>1</v>
      </c>
      <c r="AD37" s="1">
        <v>0</v>
      </c>
      <c r="AE37" s="56"/>
    </row>
    <row r="38" spans="1:32" ht="30.75" thickBot="1">
      <c r="A38" s="56">
        <v>226916</v>
      </c>
      <c r="B38" s="56">
        <f>VLOOKUP($A38,'Выгр Кат'!$A:$R,B$1,0)</f>
        <v>4210</v>
      </c>
      <c r="C38" s="57" t="str">
        <f>VLOOKUP($A38,'Выгр Кат'!$A:$R,C$1,0)</f>
        <v>Электрокорректор фар для ВАЗ 2110-2112, Лада (Гранта, Гранта FL)</v>
      </c>
      <c r="D38" s="56" t="str">
        <f>VLOOKUP($A38,'Выгр Кат'!$A:$R,D$1,0)</f>
        <v>Y</v>
      </c>
      <c r="E38" s="56" t="str">
        <f>VLOOKUP($A38,'Выгр Кат'!$A:$R,E$1,0)</f>
        <v>1</v>
      </c>
      <c r="F38" s="56">
        <f>VLOOKUP($A38,'Выгр Кат'!$A:$R,F$1,0)</f>
        <v>0</v>
      </c>
      <c r="G38" s="4" t="s">
        <v>117</v>
      </c>
      <c r="H38" s="8" t="s">
        <v>41</v>
      </c>
      <c r="I38" s="63">
        <v>58</v>
      </c>
      <c r="J38" s="45">
        <v>3000</v>
      </c>
      <c r="K38" s="58">
        <f>VLOOKUP(J38,Наценка!$A$1:$B$8,2,1)</f>
        <v>1.25</v>
      </c>
      <c r="L38" s="40">
        <f t="shared" ref="L38" si="16">J38*K38*100/93</f>
        <v>4032.2580645161293</v>
      </c>
      <c r="M38" s="38">
        <f t="shared" si="12"/>
        <v>4090</v>
      </c>
      <c r="N38" s="56">
        <f>VLOOKUP($A38,'Выгр Кат'!$A:$R,N$1,0)</f>
        <v>3000</v>
      </c>
      <c r="O38" s="56">
        <f>VLOOKUP($A38,'Выгр Кат'!$A:$R,O$1,0)</f>
        <v>3790</v>
      </c>
      <c r="P38" s="18">
        <f t="shared" si="13"/>
        <v>0</v>
      </c>
      <c r="Q38" s="18">
        <f t="shared" si="14"/>
        <v>-300</v>
      </c>
      <c r="R38" s="22">
        <f t="shared" si="15"/>
        <v>3803.7</v>
      </c>
      <c r="S38" s="59">
        <f>IFERROR(R38/J38-1,"")</f>
        <v>0.26790000000000003</v>
      </c>
      <c r="T38" s="59">
        <f>IFERROR((V38-R38)/V38,"")</f>
        <v>-0.12203539823008844</v>
      </c>
      <c r="U38" s="59">
        <f>IFERROR(IF(V38="","",V38/J38-1),"")</f>
        <v>0.12999999999999989</v>
      </c>
      <c r="V38" s="62">
        <v>3390</v>
      </c>
      <c r="W38" s="29">
        <f>IFERROR((VLOOKUP($A38,'Из ГУГЛа'!$B:$Z,W$1,0)+Y38)*X38,VLOOKUP($A38,'Из ГУГЛа'!$B:$Z,W$1,0))</f>
        <v>3390</v>
      </c>
      <c r="X38" s="1">
        <v>1</v>
      </c>
      <c r="Y38" s="1">
        <v>0</v>
      </c>
      <c r="Z38" s="62">
        <v>3390</v>
      </c>
      <c r="AA38" s="41" t="s">
        <v>173</v>
      </c>
      <c r="AB38" s="29">
        <f>IFERROR((VLOOKUP($A38,'Из ГУГЛа'!$B:$Z,AB$1,0)+AD38)*AC38,VLOOKUP($A38,'Из ГУГЛа'!$B:$Z,AB$1,0))</f>
        <v>0</v>
      </c>
      <c r="AC38" s="1">
        <v>1</v>
      </c>
      <c r="AD38" s="1">
        <v>0</v>
      </c>
      <c r="AE38" s="56"/>
    </row>
    <row r="39" spans="1:32" ht="46.5" thickTop="1" thickBot="1">
      <c r="A39" s="56">
        <v>226915</v>
      </c>
      <c r="B39" s="56">
        <f>VLOOKUP($A39,'Выгр Кат'!$A:$R,B$1,0)</f>
        <v>4211</v>
      </c>
      <c r="C39" s="57" t="str">
        <f>VLOOKUP($A39,'Выгр Кат'!$A:$R,C$1,0)</f>
        <v>Электрокорректор фар для ВАЗ (2108-21099, 2113-2115), Лада (Нива 4х4, Legend)</v>
      </c>
      <c r="D39" s="56" t="str">
        <f>VLOOKUP($A39,'Выгр Кат'!$A:$R,D$1,0)</f>
        <v>Y</v>
      </c>
      <c r="E39" s="56" t="str">
        <f>VLOOKUP($A39,'Выгр Кат'!$A:$R,E$1,0)</f>
        <v>1</v>
      </c>
      <c r="F39" s="56">
        <f>VLOOKUP($A39,'Выгр Кат'!$A:$R,F$1,0)</f>
        <v>0</v>
      </c>
      <c r="G39" s="4" t="s">
        <v>118</v>
      </c>
      <c r="H39" s="8" t="s">
        <v>41</v>
      </c>
      <c r="I39" s="63">
        <v>57</v>
      </c>
      <c r="J39" s="45">
        <f t="shared" ref="J39:J44" si="17">N39</f>
        <v>2900</v>
      </c>
      <c r="K39" s="58">
        <f>VLOOKUP(J39,Наценка!$A$1:$B$8,2,1)</f>
        <v>1.25</v>
      </c>
      <c r="L39" s="26">
        <f t="shared" ref="L39" si="18">V39*1.06</f>
        <v>3593.4</v>
      </c>
      <c r="M39" s="38">
        <f t="shared" si="12"/>
        <v>3590</v>
      </c>
      <c r="N39" s="56">
        <f>VLOOKUP($A39,'Выгр Кат'!$A:$R,N$1,0)</f>
        <v>2900</v>
      </c>
      <c r="O39" s="56">
        <f>VLOOKUP($A39,'Выгр Кат'!$A:$R,O$1,0)</f>
        <v>3590</v>
      </c>
      <c r="P39" s="18">
        <f t="shared" si="13"/>
        <v>0</v>
      </c>
      <c r="Q39" s="18">
        <f t="shared" si="14"/>
        <v>0</v>
      </c>
      <c r="R39" s="22">
        <f t="shared" si="15"/>
        <v>3338.7</v>
      </c>
      <c r="S39" s="59">
        <f>IFERROR(R39/J39-1,"")</f>
        <v>0.15127586206896537</v>
      </c>
      <c r="T39" s="59">
        <f>IFERROR((V39-R39)/V39,"")</f>
        <v>1.5132743362831913E-2</v>
      </c>
      <c r="U39" s="59">
        <f>IFERROR(IF(V39="","",V39/J39-1),"")</f>
        <v>0.16896551724137931</v>
      </c>
      <c r="V39" s="62">
        <v>3390</v>
      </c>
      <c r="W39" s="29">
        <f>IFERROR((VLOOKUP($A39,'Из ГУГЛа'!$B:$Z,W$1,0)+Y39)*X39,VLOOKUP($A39,'Из ГУГЛа'!$B:$Z,W$1,0))</f>
        <v>3390</v>
      </c>
      <c r="X39" s="1">
        <v>1</v>
      </c>
      <c r="Y39" s="1">
        <v>0</v>
      </c>
      <c r="Z39" s="62">
        <v>3390</v>
      </c>
      <c r="AA39" s="41" t="s">
        <v>172</v>
      </c>
      <c r="AB39" s="29">
        <f>IFERROR((VLOOKUP($A39,'Из ГУГЛа'!$B:$Z,AB$1,0)+AD39)*AC39,VLOOKUP($A39,'Из ГУГЛа'!$B:$Z,AB$1,0))</f>
        <v>0</v>
      </c>
      <c r="AC39" s="1">
        <v>1</v>
      </c>
      <c r="AD39" s="1">
        <v>0</v>
      </c>
      <c r="AE39" s="56"/>
    </row>
    <row r="40" spans="1:32" ht="45.75" thickTop="1">
      <c r="A40" s="56">
        <v>204475</v>
      </c>
      <c r="B40" s="56">
        <f>VLOOKUP($A40,'Выгр Кат'!$A:$R,B$1,0)</f>
        <v>23566</v>
      </c>
      <c r="C40" s="57" t="str">
        <f>VLOOKUP($A40,'Выгр Кат'!$A:$R,C$1,0)</f>
        <v>Ремни безопасности передние инерционные "Louis Vuitton" для ВАЗ 2108-21099, 2113-2115</v>
      </c>
      <c r="D40" s="56" t="str">
        <f>VLOOKUP($A40,'Выгр Кат'!$A:$R,D$1,0)</f>
        <v>Y</v>
      </c>
      <c r="E40" s="56" t="str">
        <f>VLOOKUP($A40,'Выгр Кат'!$A:$R,E$1,0)</f>
        <v>0</v>
      </c>
      <c r="F40" s="56" t="str">
        <f>VLOOKUP($A40,'Выгр Кат'!$A:$R,F$1,0)</f>
        <v>21140821702030</v>
      </c>
      <c r="G40" s="4" t="s">
        <v>82</v>
      </c>
      <c r="H40" s="8" t="s">
        <v>41</v>
      </c>
      <c r="I40" s="63"/>
      <c r="J40" s="45">
        <f t="shared" si="17"/>
        <v>3250</v>
      </c>
      <c r="K40" s="58">
        <f>VLOOKUP(J40,Наценка!$A$1:$B$8,2,1)</f>
        <v>1.25</v>
      </c>
      <c r="L40" s="4">
        <f t="shared" si="5"/>
        <v>4062.5</v>
      </c>
      <c r="M40" s="38">
        <f t="shared" si="12"/>
        <v>4090</v>
      </c>
      <c r="N40" s="56">
        <f>VLOOKUP($A40,'Выгр Кат'!$A:$R,N$1,0)</f>
        <v>3250</v>
      </c>
      <c r="O40" s="56">
        <f>VLOOKUP($A40,'Выгр Кат'!$A:$R,O$1,0)</f>
        <v>4090</v>
      </c>
      <c r="P40" s="18">
        <f t="shared" si="13"/>
        <v>0</v>
      </c>
      <c r="Q40" s="18">
        <f t="shared" si="14"/>
        <v>0</v>
      </c>
      <c r="R40" s="22">
        <f t="shared" si="15"/>
        <v>3803.7</v>
      </c>
      <c r="S40" s="59">
        <f>IFERROR(R40/J40-1,"")</f>
        <v>0.17036923076923061</v>
      </c>
      <c r="T40" s="59" t="str">
        <f>IFERROR((V40-R40)/V40,"")</f>
        <v/>
      </c>
      <c r="U40" s="59" t="str">
        <f>IFERROR(IF(V40="","",V40/J40-1),"")</f>
        <v/>
      </c>
      <c r="V40" s="61"/>
      <c r="W40" s="29" t="str">
        <f>IFERROR((VLOOKUP($A40,'Из ГУГЛа'!$B:$Z,W$1,0)+Y40)*X40,VLOOKUP($A40,'Из ГУГЛа'!$B:$Z,W$1,0))</f>
        <v/>
      </c>
      <c r="X40" s="1">
        <v>1</v>
      </c>
      <c r="Y40" s="1">
        <v>0</v>
      </c>
      <c r="Z40" s="61"/>
      <c r="AB40" s="29">
        <f>IFERROR((VLOOKUP($A40,'Из ГУГЛа'!$B:$Z,AB$1,0)+AD40)*AC40,VLOOKUP($A40,'Из ГУГЛа'!$B:$Z,AB$1,0))</f>
        <v>0</v>
      </c>
      <c r="AC40" s="1">
        <v>1</v>
      </c>
      <c r="AD40" s="1">
        <v>0</v>
      </c>
      <c r="AE40" s="56"/>
    </row>
    <row r="41" spans="1:32" ht="45">
      <c r="A41" s="56">
        <v>204476</v>
      </c>
      <c r="B41" s="56">
        <f>VLOOKUP($A41,'Выгр Кат'!$A:$R,B$1,0)</f>
        <v>23571</v>
      </c>
      <c r="C41" s="57" t="str">
        <f>VLOOKUP($A41,'Выгр Кат'!$A:$R,C$1,0)</f>
        <v>Ремни безопасности передние инерционные "SPARCO" для Лада Калина</v>
      </c>
      <c r="D41" s="56" t="str">
        <f>VLOOKUP($A41,'Выгр Кат'!$A:$R,D$1,0)</f>
        <v>Y</v>
      </c>
      <c r="E41" s="56" t="str">
        <f>VLOOKUP($A41,'Выгр Кат'!$A:$R,E$1,0)</f>
        <v>0</v>
      </c>
      <c r="F41" s="56" t="str">
        <f>VLOOKUP($A41,'Выгр Кат'!$A:$R,F$1,0)</f>
        <v>111808217008</v>
      </c>
      <c r="G41" s="4" t="s">
        <v>81</v>
      </c>
      <c r="H41" s="8" t="s">
        <v>41</v>
      </c>
      <c r="I41" s="63"/>
      <c r="J41" s="45">
        <f t="shared" si="17"/>
        <v>3250</v>
      </c>
      <c r="K41" s="58">
        <f>VLOOKUP(J41,Наценка!$A$1:$B$8,2,1)</f>
        <v>1.25</v>
      </c>
      <c r="L41" s="4">
        <f t="shared" si="5"/>
        <v>4062.5</v>
      </c>
      <c r="M41" s="38">
        <f t="shared" si="12"/>
        <v>4090</v>
      </c>
      <c r="N41" s="56">
        <f>VLOOKUP($A41,'Выгр Кат'!$A:$R,N$1,0)</f>
        <v>3250</v>
      </c>
      <c r="O41" s="56">
        <f>VLOOKUP($A41,'Выгр Кат'!$A:$R,O$1,0)</f>
        <v>4090</v>
      </c>
      <c r="P41" s="18">
        <f t="shared" si="13"/>
        <v>0</v>
      </c>
      <c r="Q41" s="18">
        <f t="shared" si="14"/>
        <v>0</v>
      </c>
      <c r="R41" s="22">
        <f t="shared" si="15"/>
        <v>3803.7</v>
      </c>
      <c r="S41" s="59">
        <f>IFERROR(R41/J41-1,"")</f>
        <v>0.17036923076923061</v>
      </c>
      <c r="T41" s="59" t="str">
        <f>IFERROR((V41-R41)/V41,"")</f>
        <v/>
      </c>
      <c r="U41" s="59" t="str">
        <f>IFERROR(IF(V41="","",V41/J41-1),"")</f>
        <v/>
      </c>
      <c r="V41" s="61"/>
      <c r="W41" s="29" t="str">
        <f>IFERROR((VLOOKUP($A41,'Из ГУГЛа'!$B:$Z,W$1,0)+Y41)*X41,VLOOKUP($A41,'Из ГУГЛа'!$B:$Z,W$1,0))</f>
        <v/>
      </c>
      <c r="X41" s="1">
        <v>1</v>
      </c>
      <c r="Y41" s="1">
        <v>0</v>
      </c>
      <c r="Z41" s="61"/>
      <c r="AB41" s="29">
        <f>IFERROR((VLOOKUP($A41,'Из ГУГЛа'!$B:$Z,AB$1,0)+AD41)*AC41,VLOOKUP($A41,'Из ГУГЛа'!$B:$Z,AB$1,0))</f>
        <v>0</v>
      </c>
      <c r="AC41" s="1">
        <v>1</v>
      </c>
      <c r="AD41" s="1">
        <v>0</v>
      </c>
      <c r="AE41" s="56"/>
    </row>
    <row r="42" spans="1:32" ht="45">
      <c r="A42" s="56">
        <v>171712</v>
      </c>
      <c r="B42" s="56">
        <f>VLOOKUP($A42,'Выгр Кат'!$A:$R,B$1,0)</f>
        <v>19055</v>
      </c>
      <c r="C42" s="57" t="str">
        <f>VLOOKUP($A42,'Выгр Кат'!$A:$R,C$1,0)</f>
        <v>Насос гидроусилителя "DUAL" на Ваз 2110-2112, Лада приора, Нива 4х4, Шевроле Нива</v>
      </c>
      <c r="D42" s="56" t="str">
        <f>VLOOKUP($A42,'Выгр Кат'!$A:$R,D$1,0)</f>
        <v>Y</v>
      </c>
      <c r="E42" s="56" t="str">
        <f>VLOOKUP($A42,'Выгр Кат'!$A:$R,E$1,0)</f>
        <v>0</v>
      </c>
      <c r="F42" s="56">
        <f>VLOOKUP($A42,'Выгр Кат'!$A:$R,F$1,0)</f>
        <v>0</v>
      </c>
      <c r="G42" s="4" t="s">
        <v>119</v>
      </c>
      <c r="H42" s="8" t="s">
        <v>41</v>
      </c>
      <c r="I42" s="63"/>
      <c r="J42" s="45">
        <f t="shared" si="17"/>
        <v>4500</v>
      </c>
      <c r="K42" s="58">
        <f>VLOOKUP(J42,Наценка!$A$1:$B$8,2,1)</f>
        <v>1.25</v>
      </c>
      <c r="L42" s="4">
        <f t="shared" si="5"/>
        <v>5625</v>
      </c>
      <c r="M42" s="38">
        <f t="shared" si="12"/>
        <v>5690</v>
      </c>
      <c r="N42" s="56">
        <f>VLOOKUP($A42,'Выгр Кат'!$A:$R,N$1,0)</f>
        <v>4500</v>
      </c>
      <c r="O42" s="56">
        <f>VLOOKUP($A42,'Выгр Кат'!$A:$R,O$1,0)</f>
        <v>5690</v>
      </c>
      <c r="P42" s="18">
        <f t="shared" si="13"/>
        <v>0</v>
      </c>
      <c r="Q42" s="18">
        <f t="shared" si="14"/>
        <v>0</v>
      </c>
      <c r="R42" s="22">
        <f t="shared" si="15"/>
        <v>5291.7</v>
      </c>
      <c r="S42" s="59">
        <f>IFERROR(R42/J42-1,"")</f>
        <v>0.17593333333333327</v>
      </c>
      <c r="T42" s="59" t="str">
        <f>IFERROR((V42-R42)/V42,"")</f>
        <v/>
      </c>
      <c r="U42" s="59" t="str">
        <f>IFERROR(IF(V42="","",V42/J42-1),"")</f>
        <v/>
      </c>
      <c r="V42" s="61"/>
      <c r="W42" s="29" t="str">
        <f>IFERROR((VLOOKUP($A42,'Из ГУГЛа'!$B:$Z,W$1,0)+Y42)*X42,VLOOKUP($A42,'Из ГУГЛа'!$B:$Z,W$1,0))</f>
        <v/>
      </c>
      <c r="X42" s="1">
        <v>1</v>
      </c>
      <c r="Y42" s="1">
        <v>0</v>
      </c>
      <c r="Z42" s="61"/>
      <c r="AB42" s="29">
        <f>IFERROR((VLOOKUP($A42,'Из ГУГЛа'!$B:$Z,AB$1,0)+AD42)*AC42,VLOOKUP($A42,'Из ГУГЛа'!$B:$Z,AB$1,0))</f>
        <v>0</v>
      </c>
      <c r="AC42" s="1">
        <v>1</v>
      </c>
      <c r="AD42" s="1">
        <v>0</v>
      </c>
      <c r="AE42" s="56"/>
    </row>
    <row r="43" spans="1:32" ht="30">
      <c r="A43" s="56">
        <v>213717</v>
      </c>
      <c r="B43" s="56">
        <f>VLOOKUP($A43,'Выгр Кат'!$A:$R,B$1,0)</f>
        <v>21050</v>
      </c>
      <c r="C43" s="57" t="str">
        <f>VLOOKUP($A43,'Выгр Кат'!$A:$R,C$1,0)</f>
        <v>Светодиодные фары Лада Веста "аналог"</v>
      </c>
      <c r="D43" s="56" t="str">
        <f>VLOOKUP($A43,'Выгр Кат'!$A:$R,D$1,0)</f>
        <v>Y</v>
      </c>
      <c r="E43" s="56" t="str">
        <f>VLOOKUP($A43,'Выгр Кат'!$A:$R,E$1,0)</f>
        <v>0</v>
      </c>
      <c r="F43" s="56">
        <f>VLOOKUP($A43,'Выгр Кат'!$A:$R,F$1,0)</f>
        <v>0</v>
      </c>
      <c r="G43" s="4" t="s">
        <v>120</v>
      </c>
      <c r="H43" s="8" t="s">
        <v>41</v>
      </c>
      <c r="I43" s="63"/>
      <c r="J43" s="45">
        <f t="shared" si="17"/>
        <v>13000</v>
      </c>
      <c r="K43" s="58">
        <f>VLOOKUP(J43,Наценка!$A$1:$B$8,2,1)</f>
        <v>1.3</v>
      </c>
      <c r="L43" s="4">
        <f t="shared" si="5"/>
        <v>16900</v>
      </c>
      <c r="M43" s="38">
        <f t="shared" si="12"/>
        <v>16890</v>
      </c>
      <c r="N43" s="56">
        <f>VLOOKUP($A43,'Выгр Кат'!$A:$R,N$1,0)</f>
        <v>13000</v>
      </c>
      <c r="O43" s="56">
        <f>VLOOKUP($A43,'Выгр Кат'!$A:$R,O$1,0)</f>
        <v>16890</v>
      </c>
      <c r="P43" s="18">
        <f t="shared" si="13"/>
        <v>0</v>
      </c>
      <c r="Q43" s="18">
        <f t="shared" si="14"/>
        <v>0</v>
      </c>
      <c r="R43" s="22">
        <f t="shared" si="15"/>
        <v>15707.699999999999</v>
      </c>
      <c r="S43" s="59">
        <f>IFERROR(R43/J43-1,"")</f>
        <v>0.2082846153846154</v>
      </c>
      <c r="T43" s="59" t="str">
        <f>IFERROR((V43-R43)/V43,"")</f>
        <v/>
      </c>
      <c r="U43" s="59" t="str">
        <f>IFERROR(IF(V43="","",V43/J43-1),"")</f>
        <v/>
      </c>
      <c r="V43" s="61"/>
      <c r="W43" s="29" t="str">
        <f>IFERROR((VLOOKUP($A43,'Из ГУГЛа'!$B:$Z,W$1,0)+Y43)*X43,VLOOKUP($A43,'Из ГУГЛа'!$B:$Z,W$1,0))</f>
        <v/>
      </c>
      <c r="X43" s="1">
        <v>1</v>
      </c>
      <c r="Y43" s="1">
        <v>0</v>
      </c>
      <c r="Z43" s="61"/>
      <c r="AB43" s="29">
        <f>IFERROR((VLOOKUP($A43,'Из ГУГЛа'!$B:$Z,AB$1,0)+AD43)*AC43,VLOOKUP($A43,'Из ГУГЛа'!$B:$Z,AB$1,0))</f>
        <v>0</v>
      </c>
      <c r="AC43" s="1">
        <v>1</v>
      </c>
      <c r="AD43" s="1">
        <v>0</v>
      </c>
      <c r="AE43" s="56"/>
    </row>
    <row r="44" spans="1:32" ht="75">
      <c r="A44" s="56">
        <v>203217</v>
      </c>
      <c r="B44" s="56">
        <f>VLOOKUP($A44,'Выгр Кат'!$A:$R,B$1,0)</f>
        <v>37689</v>
      </c>
      <c r="C44" s="57" t="str">
        <f>VLOOKUP($A44,'Выгр Кат'!$A:$R,C$1,0)</f>
        <v>Регулятор холостого хода "ВИЭ" (металлический наконечник) для ВАЗ (2105, 2107, 2108-21099, 2113-2115, 2110-2112), Лада (Калина, Приора, Приора 2)</v>
      </c>
      <c r="D44" s="56" t="str">
        <f>VLOOKUP($A44,'Выгр Кат'!$A:$R,D$1,0)</f>
        <v>Y</v>
      </c>
      <c r="E44" s="56" t="str">
        <f>VLOOKUP($A44,'Выгр Кат'!$A:$R,E$1,0)</f>
        <v>1</v>
      </c>
      <c r="F44" s="56" t="str">
        <f>VLOOKUP($A44,'Выгр Кат'!$A:$R,F$1,0)</f>
        <v>2112-1148300</v>
      </c>
      <c r="G44" s="4" t="s">
        <v>79</v>
      </c>
      <c r="H44" s="8" t="s">
        <v>41</v>
      </c>
      <c r="I44" s="63">
        <v>31</v>
      </c>
      <c r="J44" s="45">
        <f t="shared" si="17"/>
        <v>350</v>
      </c>
      <c r="K44" s="58">
        <f>VLOOKUP(J44,Наценка!$A$1:$B$8,2,1)</f>
        <v>1.6</v>
      </c>
      <c r="L44" s="4">
        <f t="shared" si="5"/>
        <v>560</v>
      </c>
      <c r="M44" s="38">
        <f t="shared" si="12"/>
        <v>559</v>
      </c>
      <c r="N44" s="56">
        <f>VLOOKUP($A44,'Выгр Кат'!$A:$R,N$1,0)</f>
        <v>350</v>
      </c>
      <c r="O44" s="56">
        <f>VLOOKUP($A44,'Выгр Кат'!$A:$R,O$1,0)</f>
        <v>559</v>
      </c>
      <c r="P44" s="18">
        <f t="shared" si="13"/>
        <v>0</v>
      </c>
      <c r="Q44" s="18">
        <f t="shared" si="14"/>
        <v>0</v>
      </c>
      <c r="R44" s="22">
        <f t="shared" si="15"/>
        <v>519.87</v>
      </c>
      <c r="S44" s="59">
        <f>IFERROR(R44/J44-1,"")</f>
        <v>0.48534285714285708</v>
      </c>
      <c r="T44" s="59" t="str">
        <f>IFERROR((V44-R44)/V44,"")</f>
        <v/>
      </c>
      <c r="U44" s="59" t="str">
        <f>IFERROR(IF(V44="","",V44/J44-1),"")</f>
        <v/>
      </c>
      <c r="V44" s="61"/>
      <c r="W44" s="29" t="str">
        <f>IFERROR((VLOOKUP($A44,'Из ГУГЛа'!$B:$Z,W$1,0)+Y44)*X44,VLOOKUP($A44,'Из ГУГЛа'!$B:$Z,W$1,0))</f>
        <v/>
      </c>
      <c r="X44" s="1">
        <v>1</v>
      </c>
      <c r="Y44" s="1">
        <v>0</v>
      </c>
      <c r="Z44" s="61"/>
      <c r="AB44" s="29">
        <f>IFERROR((VLOOKUP($A44,'Из ГУГЛа'!$B:$Z,AB$1,0)+AD44)*AC44,VLOOKUP($A44,'Из ГУГЛа'!$B:$Z,AB$1,0))</f>
        <v>0</v>
      </c>
      <c r="AC44" s="1">
        <v>1</v>
      </c>
      <c r="AD44" s="1">
        <v>0</v>
      </c>
      <c r="AE44" s="56">
        <v>810</v>
      </c>
      <c r="AF44" s="41" t="s">
        <v>287</v>
      </c>
    </row>
    <row r="45" spans="1:32" ht="75.75" thickBot="1">
      <c r="A45" s="56">
        <v>203219</v>
      </c>
      <c r="B45" s="56">
        <f>VLOOKUP($A45,'Выгр Кат'!$A:$R,B$1,0)</f>
        <v>37692</v>
      </c>
      <c r="C45" s="57" t="str">
        <f>VLOOKUP($A45,'Выгр Кат'!$A:$R,C$1,0)</f>
        <v>Регулятор холостого хода "ВИЭ" (пластиковый наконечник) для ВАЗ (2105, 2107, 2108-21099, 2113-2115, 2110-2112), Лада (Калина, Приора, Приора 2)</v>
      </c>
      <c r="D45" s="56" t="str">
        <f>VLOOKUP($A45,'Выгр Кат'!$A:$R,D$1,0)</f>
        <v>Y</v>
      </c>
      <c r="E45" s="56" t="str">
        <f>VLOOKUP($A45,'Выгр Кат'!$A:$R,E$1,0)</f>
        <v>1</v>
      </c>
      <c r="F45" s="56" t="str">
        <f>VLOOKUP($A45,'Выгр Кат'!$A:$R,F$1,0)</f>
        <v>2112-1148300</v>
      </c>
      <c r="G45" s="4" t="s">
        <v>79</v>
      </c>
      <c r="H45" s="8" t="s">
        <v>41</v>
      </c>
      <c r="I45" s="63">
        <v>31</v>
      </c>
      <c r="J45" s="45">
        <v>350</v>
      </c>
      <c r="K45" s="58">
        <f>VLOOKUP(J45,Наценка!$A$1:$B$8,2,1)</f>
        <v>1.6</v>
      </c>
      <c r="L45" s="26">
        <f>V45*1.06</f>
        <v>687.94</v>
      </c>
      <c r="M45" s="38">
        <f t="shared" si="12"/>
        <v>689</v>
      </c>
      <c r="N45" s="56">
        <f>VLOOKUP($A45,'Выгр Кат'!$A:$R,N$1,0)</f>
        <v>350</v>
      </c>
      <c r="O45" s="56">
        <f>VLOOKUP($A45,'Выгр Кат'!$A:$R,O$1,0)</f>
        <v>619</v>
      </c>
      <c r="P45" s="18">
        <f t="shared" si="13"/>
        <v>0</v>
      </c>
      <c r="Q45" s="18">
        <f t="shared" si="14"/>
        <v>-70</v>
      </c>
      <c r="R45" s="22">
        <f t="shared" si="15"/>
        <v>640.77</v>
      </c>
      <c r="S45" s="59">
        <f>IFERROR(R45/J45-1,"")</f>
        <v>0.83077142857142849</v>
      </c>
      <c r="T45" s="59">
        <f>IFERROR((V45-R45)/V45,"")</f>
        <v>1.2681047765793556E-2</v>
      </c>
      <c r="U45" s="59">
        <f>IFERROR(IF(V45="","",V45/J45-1),"")</f>
        <v>0.85428571428571431</v>
      </c>
      <c r="V45" s="62">
        <v>649</v>
      </c>
      <c r="W45" s="29">
        <f>IFERROR((VLOOKUP($A45,'Из ГУГЛа'!$B:$Z,W$1,0)+Y45)*X45,VLOOKUP($A45,'Из ГУГЛа'!$B:$Z,W$1,0))</f>
        <v>649</v>
      </c>
      <c r="X45" s="1">
        <v>1</v>
      </c>
      <c r="Y45" s="1">
        <v>0</v>
      </c>
      <c r="Z45" s="62">
        <v>649</v>
      </c>
      <c r="AA45" s="41" t="s">
        <v>171</v>
      </c>
      <c r="AB45" s="29">
        <f>IFERROR((VLOOKUP($A45,'Из ГУГЛа'!$B:$Z,AB$1,0)+AD45)*AC45,VLOOKUP($A45,'Из ГУГЛа'!$B:$Z,AB$1,0))</f>
        <v>0</v>
      </c>
      <c r="AC45" s="1">
        <v>1</v>
      </c>
      <c r="AD45" s="1">
        <v>0</v>
      </c>
      <c r="AE45" s="56"/>
    </row>
    <row r="46" spans="1:32" ht="45.75" thickTop="1">
      <c r="A46" s="56">
        <v>142071</v>
      </c>
      <c r="B46" s="56">
        <f>VLOOKUP($A46,'Выгр Кат'!$A:$R,B$1,0)</f>
        <v>37938</v>
      </c>
      <c r="C46" s="57" t="str">
        <f>VLOOKUP($A46,'Выгр Кат'!$A:$R,C$1,0)</f>
        <v>Датчик скорости (ABS) "ВИЭ" (переднего колеса) для Лада Калина, Приора</v>
      </c>
      <c r="D46" s="56" t="str">
        <f>VLOOKUP($A46,'Выгр Кат'!$A:$R,D$1,0)</f>
        <v>Y</v>
      </c>
      <c r="E46" s="56" t="str">
        <f>VLOOKUP($A46,'Выгр Кат'!$A:$R,E$1,0)</f>
        <v>1</v>
      </c>
      <c r="F46" s="56">
        <f>VLOOKUP($A46,'Выгр Кат'!$A:$R,F$1,0)</f>
        <v>0</v>
      </c>
      <c r="G46" s="4" t="s">
        <v>98</v>
      </c>
      <c r="H46" s="8" t="s">
        <v>41</v>
      </c>
      <c r="I46" s="64">
        <v>1</v>
      </c>
      <c r="J46" s="45">
        <f t="shared" ref="J46:J78" si="19">N46</f>
        <v>420</v>
      </c>
      <c r="K46" s="58">
        <f>VLOOKUP(J46,Наценка!$A$1:$B$8,2,1)</f>
        <v>1.6</v>
      </c>
      <c r="L46" s="4">
        <f t="shared" si="5"/>
        <v>672</v>
      </c>
      <c r="M46" s="38">
        <f t="shared" si="12"/>
        <v>679</v>
      </c>
      <c r="N46" s="56">
        <f>VLOOKUP($A46,'Выгр Кат'!$A:$R,N$1,0)</f>
        <v>420</v>
      </c>
      <c r="O46" s="56">
        <f>VLOOKUP($A46,'Выгр Кат'!$A:$R,O$1,0)</f>
        <v>679</v>
      </c>
      <c r="P46" s="18">
        <f t="shared" si="13"/>
        <v>0</v>
      </c>
      <c r="Q46" s="18">
        <f t="shared" si="14"/>
        <v>0</v>
      </c>
      <c r="R46" s="22">
        <f t="shared" si="15"/>
        <v>631.46999999999991</v>
      </c>
      <c r="S46" s="59">
        <f>IFERROR(R46/J46-1,"")</f>
        <v>0.50349999999999984</v>
      </c>
      <c r="T46" s="59" t="str">
        <f>IFERROR((V46-R46)/V46,"")</f>
        <v/>
      </c>
      <c r="U46" s="59" t="str">
        <f>IFERROR(IF(V46="","",V46/J46-1),"")</f>
        <v/>
      </c>
      <c r="V46" s="61"/>
      <c r="W46" s="29" t="str">
        <f>IFERROR((VLOOKUP($A46,'Из ГУГЛа'!$B:$Z,W$1,0)+Y46)*X46,VLOOKUP($A46,'Из ГУГЛа'!$B:$Z,W$1,0))</f>
        <v/>
      </c>
      <c r="X46" s="1">
        <v>1</v>
      </c>
      <c r="Y46" s="1">
        <v>0</v>
      </c>
      <c r="Z46" s="61"/>
      <c r="AB46" s="29">
        <f>IFERROR((VLOOKUP($A46,'Из ГУГЛа'!$B:$Z,AB$1,0)+AD46)*AC46,VLOOKUP($A46,'Из ГУГЛа'!$B:$Z,AB$1,0))</f>
        <v>0</v>
      </c>
      <c r="AC46" s="1">
        <v>1</v>
      </c>
      <c r="AD46" s="1">
        <v>0</v>
      </c>
      <c r="AE46" s="56"/>
    </row>
    <row r="47" spans="1:32" ht="30">
      <c r="A47" s="56">
        <v>142069</v>
      </c>
      <c r="B47" s="56">
        <f>VLOOKUP($A47,'Выгр Кат'!$A:$R,B$1,0)</f>
        <v>37940</v>
      </c>
      <c r="C47" s="57" t="str">
        <f>VLOOKUP($A47,'Выгр Кат'!$A:$R,C$1,0)</f>
        <v>Датчик скорости (ABS) "ВИЭ" (заднего колеса) для Лада Калина, Приора</v>
      </c>
      <c r="D47" s="56" t="str">
        <f>VLOOKUP($A47,'Выгр Кат'!$A:$R,D$1,0)</f>
        <v>Y</v>
      </c>
      <c r="E47" s="56" t="str">
        <f>VLOOKUP($A47,'Выгр Кат'!$A:$R,E$1,0)</f>
        <v>1</v>
      </c>
      <c r="F47" s="56">
        <f>VLOOKUP($A47,'Выгр Кат'!$A:$R,F$1,0)</f>
        <v>0</v>
      </c>
      <c r="G47" s="4" t="s">
        <v>99</v>
      </c>
      <c r="H47" s="8" t="s">
        <v>41</v>
      </c>
      <c r="I47" s="64">
        <v>2</v>
      </c>
      <c r="J47" s="45">
        <f t="shared" si="19"/>
        <v>420</v>
      </c>
      <c r="K47" s="58">
        <f>VLOOKUP(J47,Наценка!$A$1:$B$8,2,1)</f>
        <v>1.6</v>
      </c>
      <c r="L47" s="4">
        <f t="shared" si="5"/>
        <v>672</v>
      </c>
      <c r="M47" s="38">
        <f t="shared" si="12"/>
        <v>679</v>
      </c>
      <c r="N47" s="56">
        <f>VLOOKUP($A47,'Выгр Кат'!$A:$R,N$1,0)</f>
        <v>420</v>
      </c>
      <c r="O47" s="56">
        <f>VLOOKUP($A47,'Выгр Кат'!$A:$R,O$1,0)</f>
        <v>679</v>
      </c>
      <c r="P47" s="18">
        <f t="shared" si="13"/>
        <v>0</v>
      </c>
      <c r="Q47" s="18">
        <f t="shared" si="14"/>
        <v>0</v>
      </c>
      <c r="R47" s="22">
        <f t="shared" si="15"/>
        <v>631.46999999999991</v>
      </c>
      <c r="S47" s="59">
        <f>IFERROR(R47/J47-1,"")</f>
        <v>0.50349999999999984</v>
      </c>
      <c r="T47" s="59" t="str">
        <f>IFERROR((V47-R47)/V47,"")</f>
        <v/>
      </c>
      <c r="U47" s="59" t="str">
        <f>IFERROR(IF(V47="","",V47/J47-1),"")</f>
        <v/>
      </c>
      <c r="V47" s="61"/>
      <c r="W47" s="29" t="str">
        <f>IFERROR((VLOOKUP($A47,'Из ГУГЛа'!$B:$Z,W$1,0)+Y47)*X47,VLOOKUP($A47,'Из ГУГЛа'!$B:$Z,W$1,0))</f>
        <v/>
      </c>
      <c r="X47" s="1">
        <v>1</v>
      </c>
      <c r="Y47" s="1">
        <v>0</v>
      </c>
      <c r="Z47" s="61"/>
      <c r="AB47" s="29">
        <f>IFERROR((VLOOKUP($A47,'Из ГУГЛа'!$B:$Z,AB$1,0)+AD47)*AC47,VLOOKUP($A47,'Из ГУГЛа'!$B:$Z,AB$1,0))</f>
        <v>0</v>
      </c>
      <c r="AC47" s="1">
        <v>1</v>
      </c>
      <c r="AD47" s="1">
        <v>0</v>
      </c>
      <c r="AE47" s="56"/>
    </row>
    <row r="48" spans="1:32" ht="45">
      <c r="A48" s="56">
        <v>142073</v>
      </c>
      <c r="B48" s="56">
        <f>VLOOKUP($A48,'Выгр Кат'!$A:$R,B$1,0)</f>
        <v>37942</v>
      </c>
      <c r="C48" s="57" t="str">
        <f>VLOOKUP($A48,'Выгр Кат'!$A:$R,C$1,0)</f>
        <v>Датчик скорости (ABS) "ВИЭ" (переднего колеса) для Лада Нива 4х4</v>
      </c>
      <c r="D48" s="56" t="str">
        <f>VLOOKUP($A48,'Выгр Кат'!$A:$R,D$1,0)</f>
        <v>Y</v>
      </c>
      <c r="E48" s="56" t="str">
        <f>VLOOKUP($A48,'Выгр Кат'!$A:$R,E$1,0)</f>
        <v>1</v>
      </c>
      <c r="F48" s="56">
        <f>VLOOKUP($A48,'Выгр Кат'!$A:$R,F$1,0)</f>
        <v>0</v>
      </c>
      <c r="G48" s="4" t="s">
        <v>103</v>
      </c>
      <c r="H48" s="8" t="s">
        <v>41</v>
      </c>
      <c r="I48" s="64">
        <v>3</v>
      </c>
      <c r="J48" s="45">
        <f t="shared" si="19"/>
        <v>480</v>
      </c>
      <c r="K48" s="58">
        <f>VLOOKUP(J48,Наценка!$A$1:$B$8,2,1)</f>
        <v>1.6</v>
      </c>
      <c r="L48" s="4">
        <f t="shared" si="5"/>
        <v>768</v>
      </c>
      <c r="M48" s="38">
        <f t="shared" si="12"/>
        <v>769</v>
      </c>
      <c r="N48" s="56">
        <f>VLOOKUP($A48,'Выгр Кат'!$A:$R,N$1,0)</f>
        <v>480</v>
      </c>
      <c r="O48" s="56">
        <f>VLOOKUP($A48,'Выгр Кат'!$A:$R,O$1,0)</f>
        <v>769</v>
      </c>
      <c r="P48" s="18">
        <f t="shared" si="13"/>
        <v>0</v>
      </c>
      <c r="Q48" s="18">
        <f t="shared" si="14"/>
        <v>0</v>
      </c>
      <c r="R48" s="22">
        <f t="shared" si="15"/>
        <v>715.17</v>
      </c>
      <c r="S48" s="59">
        <f>IFERROR(R48/J48-1,"")</f>
        <v>0.48993749999999991</v>
      </c>
      <c r="T48" s="59" t="str">
        <f>IFERROR((V48-R48)/V48,"")</f>
        <v/>
      </c>
      <c r="U48" s="59" t="str">
        <f>IFERROR(IF(V48="","",V48/J48-1),"")</f>
        <v/>
      </c>
      <c r="V48" s="61"/>
      <c r="W48" s="29" t="str">
        <f>IFERROR((VLOOKUP($A48,'Из ГУГЛа'!$B:$Z,W$1,0)+Y48)*X48,VLOOKUP($A48,'Из ГУГЛа'!$B:$Z,W$1,0))</f>
        <v/>
      </c>
      <c r="X48" s="1">
        <v>1</v>
      </c>
      <c r="Y48" s="1">
        <v>0</v>
      </c>
      <c r="Z48" s="61"/>
      <c r="AB48" s="29">
        <f>IFERROR((VLOOKUP($A48,'Из ГУГЛа'!$B:$Z,AB$1,0)+AD48)*AC48,VLOOKUP($A48,'Из ГУГЛа'!$B:$Z,AB$1,0))</f>
        <v>0</v>
      </c>
      <c r="AC48" s="1">
        <v>1</v>
      </c>
      <c r="AD48" s="1">
        <v>0</v>
      </c>
      <c r="AE48" s="56"/>
    </row>
    <row r="49" spans="1:32" ht="30">
      <c r="A49" s="56">
        <v>142076</v>
      </c>
      <c r="B49" s="56">
        <f>VLOOKUP($A49,'Выгр Кат'!$A:$R,B$1,0)</f>
        <v>37944</v>
      </c>
      <c r="C49" s="57" t="str">
        <f>VLOOKUP($A49,'Выгр Кат'!$A:$R,C$1,0)</f>
        <v>Датчик скорости (ABS) "ВИЭ" левый (заднего колеса) для Лада Нива 4х4</v>
      </c>
      <c r="D49" s="56" t="str">
        <f>VLOOKUP($A49,'Выгр Кат'!$A:$R,D$1,0)</f>
        <v>Y</v>
      </c>
      <c r="E49" s="56" t="str">
        <f>VLOOKUP($A49,'Выгр Кат'!$A:$R,E$1,0)</f>
        <v>1</v>
      </c>
      <c r="F49" s="56">
        <f>VLOOKUP($A49,'Выгр Кат'!$A:$R,F$1,0)</f>
        <v>0</v>
      </c>
      <c r="G49" s="4" t="s">
        <v>104</v>
      </c>
      <c r="H49" s="8" t="s">
        <v>41</v>
      </c>
      <c r="I49" s="64">
        <v>4</v>
      </c>
      <c r="J49" s="45">
        <f t="shared" si="19"/>
        <v>480</v>
      </c>
      <c r="K49" s="58">
        <f>VLOOKUP(J49,Наценка!$A$1:$B$8,2,1)</f>
        <v>1.6</v>
      </c>
      <c r="L49" s="4">
        <f t="shared" si="5"/>
        <v>768</v>
      </c>
      <c r="M49" s="38">
        <f t="shared" si="12"/>
        <v>769</v>
      </c>
      <c r="N49" s="56">
        <f>VLOOKUP($A49,'Выгр Кат'!$A:$R,N$1,0)</f>
        <v>480</v>
      </c>
      <c r="O49" s="56">
        <f>VLOOKUP($A49,'Выгр Кат'!$A:$R,O$1,0)</f>
        <v>769</v>
      </c>
      <c r="P49" s="18">
        <f t="shared" si="13"/>
        <v>0</v>
      </c>
      <c r="Q49" s="18">
        <f t="shared" si="14"/>
        <v>0</v>
      </c>
      <c r="R49" s="22">
        <f t="shared" si="15"/>
        <v>715.17</v>
      </c>
      <c r="S49" s="59">
        <f>IFERROR(R49/J49-1,"")</f>
        <v>0.48993749999999991</v>
      </c>
      <c r="T49" s="59" t="str">
        <f>IFERROR((V49-R49)/V49,"")</f>
        <v/>
      </c>
      <c r="U49" s="59" t="str">
        <f>IFERROR(IF(V49="","",V49/J49-1),"")</f>
        <v/>
      </c>
      <c r="V49" s="61"/>
      <c r="W49" s="29" t="str">
        <f>IFERROR((VLOOKUP($A49,'Из ГУГЛа'!$B:$Z,W$1,0)+Y49)*X49,VLOOKUP($A49,'Из ГУГЛа'!$B:$Z,W$1,0))</f>
        <v/>
      </c>
      <c r="X49" s="1">
        <v>1</v>
      </c>
      <c r="Y49" s="1">
        <v>0</v>
      </c>
      <c r="Z49" s="61"/>
      <c r="AB49" s="29">
        <f>IFERROR((VLOOKUP($A49,'Из ГУГЛа'!$B:$Z,AB$1,0)+AD49)*AC49,VLOOKUP($A49,'Из ГУГЛа'!$B:$Z,AB$1,0))</f>
        <v>0</v>
      </c>
      <c r="AC49" s="1">
        <v>1</v>
      </c>
      <c r="AD49" s="1">
        <v>0</v>
      </c>
      <c r="AE49" s="56"/>
    </row>
    <row r="50" spans="1:32" ht="30">
      <c r="A50" s="56">
        <v>142079</v>
      </c>
      <c r="B50" s="56">
        <f>VLOOKUP($A50,'Выгр Кат'!$A:$R,B$1,0)</f>
        <v>37945</v>
      </c>
      <c r="C50" s="57" t="str">
        <f>VLOOKUP($A50,'Выгр Кат'!$A:$R,C$1,0)</f>
        <v>Датчик скорости (ABS) "ВИЭ" правый (заднего колеса) для Лада Нива 4х4</v>
      </c>
      <c r="D50" s="56" t="str">
        <f>VLOOKUP($A50,'Выгр Кат'!$A:$R,D$1,0)</f>
        <v>Y</v>
      </c>
      <c r="E50" s="56" t="str">
        <f>VLOOKUP($A50,'Выгр Кат'!$A:$R,E$1,0)</f>
        <v>1</v>
      </c>
      <c r="F50" s="56">
        <f>VLOOKUP($A50,'Выгр Кат'!$A:$R,F$1,0)</f>
        <v>0</v>
      </c>
      <c r="G50" s="4" t="s">
        <v>105</v>
      </c>
      <c r="H50" s="8" t="s">
        <v>41</v>
      </c>
      <c r="I50" s="64">
        <v>4</v>
      </c>
      <c r="J50" s="45">
        <f t="shared" si="19"/>
        <v>480</v>
      </c>
      <c r="K50" s="58">
        <f>VLOOKUP(J50,Наценка!$A$1:$B$8,2,1)</f>
        <v>1.6</v>
      </c>
      <c r="L50" s="4">
        <f t="shared" si="5"/>
        <v>768</v>
      </c>
      <c r="M50" s="38">
        <f t="shared" si="12"/>
        <v>769</v>
      </c>
      <c r="N50" s="56">
        <f>VLOOKUP($A50,'Выгр Кат'!$A:$R,N$1,0)</f>
        <v>480</v>
      </c>
      <c r="O50" s="56">
        <f>VLOOKUP($A50,'Выгр Кат'!$A:$R,O$1,0)</f>
        <v>769</v>
      </c>
      <c r="P50" s="18">
        <f t="shared" si="13"/>
        <v>0</v>
      </c>
      <c r="Q50" s="18">
        <f t="shared" si="14"/>
        <v>0</v>
      </c>
      <c r="R50" s="22">
        <f t="shared" si="15"/>
        <v>715.17</v>
      </c>
      <c r="S50" s="59">
        <f>IFERROR(R50/J50-1,"")</f>
        <v>0.48993749999999991</v>
      </c>
      <c r="T50" s="59" t="str">
        <f>IFERROR((V50-R50)/V50,"")</f>
        <v/>
      </c>
      <c r="U50" s="59" t="str">
        <f>IFERROR(IF(V50="","",V50/J50-1),"")</f>
        <v/>
      </c>
      <c r="V50" s="61"/>
      <c r="W50" s="29" t="str">
        <f>IFERROR((VLOOKUP($A50,'Из ГУГЛа'!$B:$Z,W$1,0)+Y50)*X50,VLOOKUP($A50,'Из ГУГЛа'!$B:$Z,W$1,0))</f>
        <v/>
      </c>
      <c r="X50" s="1">
        <v>1</v>
      </c>
      <c r="Y50" s="1">
        <v>0</v>
      </c>
      <c r="Z50" s="61"/>
      <c r="AB50" s="29">
        <f>IFERROR((VLOOKUP($A50,'Из ГУГЛа'!$B:$Z,AB$1,0)+AD50)*AC50,VLOOKUP($A50,'Из ГУГЛа'!$B:$Z,AB$1,0))</f>
        <v>0</v>
      </c>
      <c r="AC50" s="1">
        <v>1</v>
      </c>
      <c r="AD50" s="1">
        <v>0</v>
      </c>
      <c r="AE50" s="56"/>
    </row>
    <row r="51" spans="1:32" ht="30">
      <c r="A51" s="56">
        <v>142070</v>
      </c>
      <c r="B51" s="56">
        <f>VLOOKUP($A51,'Выгр Кат'!$A:$R,B$1,0)</f>
        <v>37947</v>
      </c>
      <c r="C51" s="57" t="str">
        <f>VLOOKUP($A51,'Выгр Кат'!$A:$R,C$1,0)</f>
        <v>Датчик скорости (ABS) "ВИЭ" (переднего колеса) для Лада Веста</v>
      </c>
      <c r="D51" s="56" t="str">
        <f>VLOOKUP($A51,'Выгр Кат'!$A:$R,D$1,0)</f>
        <v>Y</v>
      </c>
      <c r="E51" s="56" t="str">
        <f>VLOOKUP($A51,'Выгр Кат'!$A:$R,E$1,0)</f>
        <v>1</v>
      </c>
      <c r="F51" s="56">
        <f>VLOOKUP($A51,'Выгр Кат'!$A:$R,F$1,0)</f>
        <v>0</v>
      </c>
      <c r="G51" s="4">
        <v>8450006892</v>
      </c>
      <c r="H51" s="8" t="s">
        <v>41</v>
      </c>
      <c r="I51" s="64">
        <v>5</v>
      </c>
      <c r="J51" s="45">
        <f t="shared" si="19"/>
        <v>480</v>
      </c>
      <c r="K51" s="58">
        <f>VLOOKUP(J51,Наценка!$A$1:$B$8,2,1)</f>
        <v>1.6</v>
      </c>
      <c r="L51" s="4">
        <f t="shared" si="5"/>
        <v>768</v>
      </c>
      <c r="M51" s="38">
        <f t="shared" si="12"/>
        <v>769</v>
      </c>
      <c r="N51" s="56">
        <f>VLOOKUP($A51,'Выгр Кат'!$A:$R,N$1,0)</f>
        <v>480</v>
      </c>
      <c r="O51" s="56">
        <f>VLOOKUP($A51,'Выгр Кат'!$A:$R,O$1,0)</f>
        <v>769</v>
      </c>
      <c r="P51" s="18">
        <f t="shared" si="13"/>
        <v>0</v>
      </c>
      <c r="Q51" s="18">
        <f t="shared" si="14"/>
        <v>0</v>
      </c>
      <c r="R51" s="22">
        <f t="shared" si="15"/>
        <v>715.17</v>
      </c>
      <c r="S51" s="59">
        <f>IFERROR(R51/J51-1,"")</f>
        <v>0.48993749999999991</v>
      </c>
      <c r="T51" s="59" t="str">
        <f>IFERROR((V51-R51)/V51,"")</f>
        <v/>
      </c>
      <c r="U51" s="59" t="str">
        <f>IFERROR(IF(V51="","",V51/J51-1),"")</f>
        <v/>
      </c>
      <c r="V51" s="61"/>
      <c r="W51" s="29" t="str">
        <f>IFERROR((VLOOKUP($A51,'Из ГУГЛа'!$B:$Z,W$1,0)+Y51)*X51,VLOOKUP($A51,'Из ГУГЛа'!$B:$Z,W$1,0))</f>
        <v/>
      </c>
      <c r="X51" s="1">
        <v>1</v>
      </c>
      <c r="Y51" s="1">
        <v>0</v>
      </c>
      <c r="Z51" s="61"/>
      <c r="AB51" s="29">
        <f>IFERROR((VLOOKUP($A51,'Из ГУГЛа'!$B:$Z,AB$1,0)+AD51)*AC51,VLOOKUP($A51,'Из ГУГЛа'!$B:$Z,AB$1,0))</f>
        <v>0</v>
      </c>
      <c r="AC51" s="1">
        <v>1</v>
      </c>
      <c r="AD51" s="1">
        <v>0</v>
      </c>
      <c r="AE51" s="56"/>
    </row>
    <row r="52" spans="1:32" ht="30">
      <c r="A52" s="56">
        <v>142074</v>
      </c>
      <c r="B52" s="56">
        <f>VLOOKUP($A52,'Выгр Кат'!$A:$R,B$1,0)</f>
        <v>37948</v>
      </c>
      <c r="C52" s="57" t="str">
        <f>VLOOKUP($A52,'Выгр Кат'!$A:$R,C$1,0)</f>
        <v>Датчик скорости (ABS) "ВИЭ" левый (заднего колеса) для Лада Веста</v>
      </c>
      <c r="D52" s="56" t="str">
        <f>VLOOKUP($A52,'Выгр Кат'!$A:$R,D$1,0)</f>
        <v>Y</v>
      </c>
      <c r="E52" s="56" t="str">
        <f>VLOOKUP($A52,'Выгр Кат'!$A:$R,E$1,0)</f>
        <v>1</v>
      </c>
      <c r="F52" s="56">
        <f>VLOOKUP($A52,'Выгр Кат'!$A:$R,F$1,0)</f>
        <v>0</v>
      </c>
      <c r="G52" s="4">
        <v>8450006894</v>
      </c>
      <c r="H52" s="8" t="s">
        <v>41</v>
      </c>
      <c r="I52" s="64">
        <v>6</v>
      </c>
      <c r="J52" s="45">
        <f t="shared" si="19"/>
        <v>480</v>
      </c>
      <c r="K52" s="58">
        <f>VLOOKUP(J52,Наценка!$A$1:$B$8,2,1)</f>
        <v>1.6</v>
      </c>
      <c r="L52" s="4">
        <f t="shared" si="5"/>
        <v>768</v>
      </c>
      <c r="M52" s="38">
        <f t="shared" si="12"/>
        <v>769</v>
      </c>
      <c r="N52" s="56">
        <f>VLOOKUP($A52,'Выгр Кат'!$A:$R,N$1,0)</f>
        <v>480</v>
      </c>
      <c r="O52" s="56">
        <f>VLOOKUP($A52,'Выгр Кат'!$A:$R,O$1,0)</f>
        <v>769</v>
      </c>
      <c r="P52" s="18">
        <f t="shared" si="13"/>
        <v>0</v>
      </c>
      <c r="Q52" s="18">
        <f t="shared" si="14"/>
        <v>0</v>
      </c>
      <c r="R52" s="22">
        <f t="shared" si="15"/>
        <v>715.17</v>
      </c>
      <c r="S52" s="59">
        <f>IFERROR(R52/J52-1,"")</f>
        <v>0.48993749999999991</v>
      </c>
      <c r="T52" s="59" t="str">
        <f>IFERROR((V52-R52)/V52,"")</f>
        <v/>
      </c>
      <c r="U52" s="59" t="str">
        <f>IFERROR(IF(V52="","",V52/J52-1),"")</f>
        <v/>
      </c>
      <c r="V52" s="61"/>
      <c r="W52" s="29" t="str">
        <f>IFERROR((VLOOKUP($A52,'Из ГУГЛа'!$B:$Z,W$1,0)+Y52)*X52,VLOOKUP($A52,'Из ГУГЛа'!$B:$Z,W$1,0))</f>
        <v/>
      </c>
      <c r="X52" s="1">
        <v>1</v>
      </c>
      <c r="Y52" s="1">
        <v>0</v>
      </c>
      <c r="Z52" s="61"/>
      <c r="AB52" s="29">
        <f>IFERROR((VLOOKUP($A52,'Из ГУГЛа'!$B:$Z,AB$1,0)+AD52)*AC52,VLOOKUP($A52,'Из ГУГЛа'!$B:$Z,AB$1,0))</f>
        <v>0</v>
      </c>
      <c r="AC52" s="1">
        <v>1</v>
      </c>
      <c r="AD52" s="1">
        <v>0</v>
      </c>
      <c r="AE52" s="56"/>
    </row>
    <row r="53" spans="1:32" ht="30">
      <c r="A53" s="56">
        <v>142077</v>
      </c>
      <c r="B53" s="56">
        <f>VLOOKUP($A53,'Выгр Кат'!$A:$R,B$1,0)</f>
        <v>37949</v>
      </c>
      <c r="C53" s="57" t="str">
        <f>VLOOKUP($A53,'Выгр Кат'!$A:$R,C$1,0)</f>
        <v>Датчик скорости (ABS) "ВИЭ" правый (заднего колеса) для Лада Веста</v>
      </c>
      <c r="D53" s="56" t="str">
        <f>VLOOKUP($A53,'Выгр Кат'!$A:$R,D$1,0)</f>
        <v>Y</v>
      </c>
      <c r="E53" s="56" t="str">
        <f>VLOOKUP($A53,'Выгр Кат'!$A:$R,E$1,0)</f>
        <v>1</v>
      </c>
      <c r="F53" s="56">
        <f>VLOOKUP($A53,'Выгр Кат'!$A:$R,F$1,0)</f>
        <v>0</v>
      </c>
      <c r="G53" s="4">
        <v>8450006893</v>
      </c>
      <c r="H53" s="8" t="s">
        <v>41</v>
      </c>
      <c r="I53" s="64">
        <v>6</v>
      </c>
      <c r="J53" s="45">
        <f t="shared" si="19"/>
        <v>480</v>
      </c>
      <c r="K53" s="58">
        <f>VLOOKUP(J53,Наценка!$A$1:$B$8,2,1)</f>
        <v>1.6</v>
      </c>
      <c r="L53" s="4">
        <f t="shared" si="5"/>
        <v>768</v>
      </c>
      <c r="M53" s="38">
        <f t="shared" si="12"/>
        <v>769</v>
      </c>
      <c r="N53" s="56">
        <f>VLOOKUP($A53,'Выгр Кат'!$A:$R,N$1,0)</f>
        <v>480</v>
      </c>
      <c r="O53" s="56">
        <f>VLOOKUP($A53,'Выгр Кат'!$A:$R,O$1,0)</f>
        <v>769</v>
      </c>
      <c r="P53" s="18">
        <f t="shared" si="13"/>
        <v>0</v>
      </c>
      <c r="Q53" s="18">
        <f t="shared" si="14"/>
        <v>0</v>
      </c>
      <c r="R53" s="22">
        <f t="shared" si="15"/>
        <v>715.17</v>
      </c>
      <c r="S53" s="59">
        <f>IFERROR(R53/J53-1,"")</f>
        <v>0.48993749999999991</v>
      </c>
      <c r="T53" s="59" t="str">
        <f>IFERROR((V53-R53)/V53,"")</f>
        <v/>
      </c>
      <c r="U53" s="59" t="str">
        <f>IFERROR(IF(V53="","",V53/J53-1),"")</f>
        <v/>
      </c>
      <c r="V53" s="61"/>
      <c r="W53" s="29" t="str">
        <f>IFERROR((VLOOKUP($A53,'Из ГУГЛа'!$B:$Z,W$1,0)+Y53)*X53,VLOOKUP($A53,'Из ГУГЛа'!$B:$Z,W$1,0))</f>
        <v/>
      </c>
      <c r="X53" s="1">
        <v>1</v>
      </c>
      <c r="Y53" s="1">
        <v>0</v>
      </c>
      <c r="Z53" s="61"/>
      <c r="AB53" s="29">
        <f>IFERROR((VLOOKUP($A53,'Из ГУГЛа'!$B:$Z,AB$1,0)+AD53)*AC53,VLOOKUP($A53,'Из ГУГЛа'!$B:$Z,AB$1,0))</f>
        <v>0</v>
      </c>
      <c r="AC53" s="1">
        <v>1</v>
      </c>
      <c r="AD53" s="1">
        <v>0</v>
      </c>
      <c r="AE53" s="56"/>
    </row>
    <row r="54" spans="1:32" ht="30">
      <c r="A54" s="56">
        <v>142072</v>
      </c>
      <c r="B54" s="56">
        <f>VLOOKUP($A54,'Выгр Кат'!$A:$R,B$1,0)</f>
        <v>37951</v>
      </c>
      <c r="C54" s="57" t="str">
        <f>VLOOKUP($A54,'Выгр Кат'!$A:$R,C$1,0)</f>
        <v>Датчик скорости (ABS) "ВИЭ" (переднего колеса) для Лада Ларгус</v>
      </c>
      <c r="D54" s="56" t="str">
        <f>VLOOKUP($A54,'Выгр Кат'!$A:$R,D$1,0)</f>
        <v>Y</v>
      </c>
      <c r="E54" s="56" t="str">
        <f>VLOOKUP($A54,'Выгр Кат'!$A:$R,E$1,0)</f>
        <v>1</v>
      </c>
      <c r="F54" s="56">
        <f>VLOOKUP($A54,'Выгр Кат'!$A:$R,F$1,0)</f>
        <v>0</v>
      </c>
      <c r="G54" s="4" t="s">
        <v>100</v>
      </c>
      <c r="H54" s="8" t="s">
        <v>41</v>
      </c>
      <c r="I54" s="64">
        <v>7</v>
      </c>
      <c r="J54" s="45">
        <f t="shared" si="19"/>
        <v>480</v>
      </c>
      <c r="K54" s="58">
        <f>VLOOKUP(J54,Наценка!$A$1:$B$8,2,1)</f>
        <v>1.6</v>
      </c>
      <c r="L54" s="4">
        <f t="shared" si="5"/>
        <v>768</v>
      </c>
      <c r="M54" s="38">
        <f t="shared" si="12"/>
        <v>769</v>
      </c>
      <c r="N54" s="56">
        <f>VLOOKUP($A54,'Выгр Кат'!$A:$R,N$1,0)</f>
        <v>480</v>
      </c>
      <c r="O54" s="56">
        <f>VLOOKUP($A54,'Выгр Кат'!$A:$R,O$1,0)</f>
        <v>769</v>
      </c>
      <c r="P54" s="18">
        <f t="shared" si="13"/>
        <v>0</v>
      </c>
      <c r="Q54" s="18">
        <f t="shared" si="14"/>
        <v>0</v>
      </c>
      <c r="R54" s="22">
        <f t="shared" si="15"/>
        <v>715.17</v>
      </c>
      <c r="S54" s="59">
        <f>IFERROR(R54/J54-1,"")</f>
        <v>0.48993749999999991</v>
      </c>
      <c r="T54" s="59" t="str">
        <f>IFERROR((V54-R54)/V54,"")</f>
        <v/>
      </c>
      <c r="U54" s="59" t="str">
        <f>IFERROR(IF(V54="","",V54/J54-1),"")</f>
        <v/>
      </c>
      <c r="V54" s="61"/>
      <c r="W54" s="29" t="str">
        <f>IFERROR((VLOOKUP($A54,'Из ГУГЛа'!$B:$Z,W$1,0)+Y54)*X54,VLOOKUP($A54,'Из ГУГЛа'!$B:$Z,W$1,0))</f>
        <v/>
      </c>
      <c r="X54" s="1">
        <v>1</v>
      </c>
      <c r="Y54" s="1">
        <v>0</v>
      </c>
      <c r="Z54" s="61"/>
      <c r="AB54" s="29">
        <f>IFERROR((VLOOKUP($A54,'Из ГУГЛа'!$B:$Z,AB$1,0)+AD54)*AC54,VLOOKUP($A54,'Из ГУГЛа'!$B:$Z,AB$1,0))</f>
        <v>0</v>
      </c>
      <c r="AC54" s="1">
        <v>1</v>
      </c>
      <c r="AD54" s="1">
        <v>0</v>
      </c>
      <c r="AE54" s="56"/>
    </row>
    <row r="55" spans="1:32" ht="30">
      <c r="A55" s="56">
        <v>142075</v>
      </c>
      <c r="B55" s="56">
        <f>VLOOKUP($A55,'Выгр Кат'!$A:$R,B$1,0)</f>
        <v>37952</v>
      </c>
      <c r="C55" s="57" t="str">
        <f>VLOOKUP($A55,'Выгр Кат'!$A:$R,C$1,0)</f>
        <v>Датчик скорости (ABS) "ВИЭ" левый (заднего колеса) для Лада Ларгус</v>
      </c>
      <c r="D55" s="56" t="str">
        <f>VLOOKUP($A55,'Выгр Кат'!$A:$R,D$1,0)</f>
        <v>Y</v>
      </c>
      <c r="E55" s="56" t="str">
        <f>VLOOKUP($A55,'Выгр Кат'!$A:$R,E$1,0)</f>
        <v>1</v>
      </c>
      <c r="F55" s="56">
        <f>VLOOKUP($A55,'Выгр Кат'!$A:$R,F$1,0)</f>
        <v>0</v>
      </c>
      <c r="G55" s="4" t="s">
        <v>102</v>
      </c>
      <c r="H55" s="8" t="s">
        <v>41</v>
      </c>
      <c r="I55" s="64">
        <v>8</v>
      </c>
      <c r="J55" s="45">
        <f t="shared" si="19"/>
        <v>480</v>
      </c>
      <c r="K55" s="58">
        <f>VLOOKUP(J55,Наценка!$A$1:$B$8,2,1)</f>
        <v>1.6</v>
      </c>
      <c r="L55" s="4">
        <f t="shared" si="5"/>
        <v>768</v>
      </c>
      <c r="M55" s="38">
        <f t="shared" si="12"/>
        <v>769</v>
      </c>
      <c r="N55" s="56">
        <f>VLOOKUP($A55,'Выгр Кат'!$A:$R,N$1,0)</f>
        <v>480</v>
      </c>
      <c r="O55" s="56">
        <f>VLOOKUP($A55,'Выгр Кат'!$A:$R,O$1,0)</f>
        <v>769</v>
      </c>
      <c r="P55" s="18">
        <f t="shared" si="13"/>
        <v>0</v>
      </c>
      <c r="Q55" s="18">
        <f t="shared" si="14"/>
        <v>0</v>
      </c>
      <c r="R55" s="22">
        <f t="shared" si="15"/>
        <v>715.17</v>
      </c>
      <c r="S55" s="59">
        <f>IFERROR(R55/J55-1,"")</f>
        <v>0.48993749999999991</v>
      </c>
      <c r="T55" s="59" t="str">
        <f>IFERROR((V55-R55)/V55,"")</f>
        <v/>
      </c>
      <c r="U55" s="59" t="str">
        <f>IFERROR(IF(V55="","",V55/J55-1),"")</f>
        <v/>
      </c>
      <c r="V55" s="61"/>
      <c r="W55" s="29" t="str">
        <f>IFERROR((VLOOKUP($A55,'Из ГУГЛа'!$B:$Z,W$1,0)+Y55)*X55,VLOOKUP($A55,'Из ГУГЛа'!$B:$Z,W$1,0))</f>
        <v/>
      </c>
      <c r="X55" s="1">
        <v>1</v>
      </c>
      <c r="Y55" s="1">
        <v>0</v>
      </c>
      <c r="Z55" s="61"/>
      <c r="AB55" s="29">
        <f>IFERROR((VLOOKUP($A55,'Из ГУГЛа'!$B:$Z,AB$1,0)+AD55)*AC55,VLOOKUP($A55,'Из ГУГЛа'!$B:$Z,AB$1,0))</f>
        <v>0</v>
      </c>
      <c r="AC55" s="1">
        <v>1</v>
      </c>
      <c r="AD55" s="1">
        <v>0</v>
      </c>
      <c r="AE55" s="56"/>
    </row>
    <row r="56" spans="1:32" ht="30">
      <c r="A56" s="56">
        <v>142078</v>
      </c>
      <c r="B56" s="56">
        <f>VLOOKUP($A56,'Выгр Кат'!$A:$R,B$1,0)</f>
        <v>37953</v>
      </c>
      <c r="C56" s="57" t="str">
        <f>VLOOKUP($A56,'Выгр Кат'!$A:$R,C$1,0)</f>
        <v>Датчик скорости (ABS) "ВИЭ" правый (заднего колеса) для Лада Ларгус</v>
      </c>
      <c r="D56" s="56" t="str">
        <f>VLOOKUP($A56,'Выгр Кат'!$A:$R,D$1,0)</f>
        <v>Y</v>
      </c>
      <c r="E56" s="56" t="str">
        <f>VLOOKUP($A56,'Выгр Кат'!$A:$R,E$1,0)</f>
        <v>1</v>
      </c>
      <c r="F56" s="56">
        <f>VLOOKUP($A56,'Выгр Кат'!$A:$R,F$1,0)</f>
        <v>0</v>
      </c>
      <c r="G56" s="4" t="s">
        <v>101</v>
      </c>
      <c r="H56" s="8" t="s">
        <v>41</v>
      </c>
      <c r="I56" s="64">
        <v>8</v>
      </c>
      <c r="J56" s="45">
        <f t="shared" si="19"/>
        <v>480</v>
      </c>
      <c r="K56" s="58">
        <f>VLOOKUP(J56,Наценка!$A$1:$B$8,2,1)</f>
        <v>1.6</v>
      </c>
      <c r="L56" s="4">
        <f t="shared" si="5"/>
        <v>768</v>
      </c>
      <c r="M56" s="38">
        <f t="shared" si="12"/>
        <v>769</v>
      </c>
      <c r="N56" s="56">
        <f>VLOOKUP($A56,'Выгр Кат'!$A:$R,N$1,0)</f>
        <v>480</v>
      </c>
      <c r="O56" s="56">
        <f>VLOOKUP($A56,'Выгр Кат'!$A:$R,O$1,0)</f>
        <v>769</v>
      </c>
      <c r="P56" s="18">
        <f t="shared" si="13"/>
        <v>0</v>
      </c>
      <c r="Q56" s="18">
        <f t="shared" si="14"/>
        <v>0</v>
      </c>
      <c r="R56" s="22">
        <f t="shared" si="15"/>
        <v>715.17</v>
      </c>
      <c r="S56" s="59">
        <f>IFERROR(R56/J56-1,"")</f>
        <v>0.48993749999999991</v>
      </c>
      <c r="T56" s="59" t="str">
        <f>IFERROR((V56-R56)/V56,"")</f>
        <v/>
      </c>
      <c r="U56" s="59" t="str">
        <f>IFERROR(IF(V56="","",V56/J56-1),"")</f>
        <v/>
      </c>
      <c r="V56" s="61"/>
      <c r="W56" s="29" t="str">
        <f>IFERROR((VLOOKUP($A56,'Из ГУГЛа'!$B:$Z,W$1,0)+Y56)*X56,VLOOKUP($A56,'Из ГУГЛа'!$B:$Z,W$1,0))</f>
        <v/>
      </c>
      <c r="X56" s="1">
        <v>1</v>
      </c>
      <c r="Y56" s="1">
        <v>0</v>
      </c>
      <c r="Z56" s="61"/>
      <c r="AB56" s="29">
        <f>IFERROR((VLOOKUP($A56,'Из ГУГЛа'!$B:$Z,AB$1,0)+AD56)*AC56,VLOOKUP($A56,'Из ГУГЛа'!$B:$Z,AB$1,0))</f>
        <v>0</v>
      </c>
      <c r="AC56" s="1">
        <v>1</v>
      </c>
      <c r="AD56" s="1">
        <v>0</v>
      </c>
      <c r="AE56" s="56"/>
    </row>
    <row r="57" spans="1:32" ht="90.75" thickBot="1">
      <c r="A57" s="56">
        <v>224436</v>
      </c>
      <c r="B57" s="56">
        <f>VLOOKUP($A57,'Выгр Кат'!$A:$R,B$1,0)</f>
        <v>37960</v>
      </c>
      <c r="C57" s="57" t="str">
        <f>VLOOKUP($A57,'Выгр Кат'!$A:$R,C$1,0)</f>
        <v>Форсунка топливная "ВИЭ" 72370 электромагнитная для Лада (Калина, Калина 2, Приора, Приора 2, Гранта, Гранта FL, Ларгус, Веста NG), Датсун (mi-Do, on-Do) (8-ми клапанный двигатель, 1.6 л)</v>
      </c>
      <c r="D57" s="56" t="str">
        <f>VLOOKUP($A57,'Выгр Кат'!$A:$R,D$1,0)</f>
        <v>Y</v>
      </c>
      <c r="E57" s="56" t="str">
        <f>VLOOKUP($A57,'Выгр Кат'!$A:$R,E$1,0)</f>
        <v>1</v>
      </c>
      <c r="F57" s="56" t="str">
        <f>VLOOKUP($A57,'Выгр Кат'!$A:$R,F$1,0)</f>
        <v>VAZ 72370</v>
      </c>
      <c r="G57" s="4" t="s">
        <v>92</v>
      </c>
      <c r="H57" s="8" t="s">
        <v>41</v>
      </c>
      <c r="I57" s="64"/>
      <c r="J57" s="45">
        <f t="shared" si="19"/>
        <v>550</v>
      </c>
      <c r="K57" s="58">
        <f>VLOOKUP(J57,Наценка!$A$1:$B$8,2,1)</f>
        <v>1.4</v>
      </c>
      <c r="L57" s="23">
        <f>V57*1</f>
        <v>990</v>
      </c>
      <c r="M57" s="38">
        <f t="shared" si="12"/>
        <v>989</v>
      </c>
      <c r="N57" s="56">
        <f>VLOOKUP($A57,'Выгр Кат'!$A:$R,N$1,0)</f>
        <v>550</v>
      </c>
      <c r="O57" s="56">
        <f>VLOOKUP($A57,'Выгр Кат'!$A:$R,O$1,0)</f>
        <v>989</v>
      </c>
      <c r="P57" s="18">
        <f t="shared" si="13"/>
        <v>0</v>
      </c>
      <c r="Q57" s="18">
        <f t="shared" si="14"/>
        <v>0</v>
      </c>
      <c r="R57" s="22">
        <f t="shared" si="15"/>
        <v>919.77</v>
      </c>
      <c r="S57" s="59">
        <f>IFERROR(R57/J57-1,"")</f>
        <v>0.67230909090909097</v>
      </c>
      <c r="T57" s="59">
        <f>IFERROR((V57-R57)/V57,"")</f>
        <v>7.0939393939393955E-2</v>
      </c>
      <c r="U57" s="59">
        <f>IFERROR(IF(V57="","",V57/J57-1),"")</f>
        <v>0.8</v>
      </c>
      <c r="V57" s="60">
        <v>990</v>
      </c>
      <c r="W57" s="29">
        <f>IFERROR((VLOOKUP($A57,'Из ГУГЛа'!$B:$Z,W$1,0)+Y57)*X57,VLOOKUP($A57,'Из ГУГЛа'!$B:$Z,W$1,0))</f>
        <v>990</v>
      </c>
      <c r="X57" s="1">
        <v>1</v>
      </c>
      <c r="Y57" s="1">
        <v>0</v>
      </c>
      <c r="Z57" s="60">
        <v>990</v>
      </c>
      <c r="AA57" s="41" t="s">
        <v>231</v>
      </c>
      <c r="AB57" s="29">
        <f>IFERROR((VLOOKUP($A57,'Из ГУГЛа'!$B:$Z,AB$1,0)+AD57)*AC57,VLOOKUP($A57,'Из ГУГЛа'!$B:$Z,AB$1,0))</f>
        <v>0</v>
      </c>
      <c r="AC57" s="1">
        <v>1</v>
      </c>
      <c r="AD57" s="1">
        <v>0</v>
      </c>
      <c r="AE57" s="56"/>
    </row>
    <row r="58" spans="1:32" ht="75.75" thickTop="1">
      <c r="A58" s="56">
        <v>224432</v>
      </c>
      <c r="B58" s="56">
        <f>VLOOKUP($A58,'Выгр Кат'!$A:$R,B$1,0)</f>
        <v>37961</v>
      </c>
      <c r="C58" s="57" t="str">
        <f>VLOOKUP($A58,'Выгр Кат'!$A:$R,C$1,0)</f>
        <v>Форсунка топливная "ВИЭ" 052 электромагнитная для Лада Калина 2, Приора 2, Гранта, Гранта FL, Ларгус, Ларгус FL, Веста, XRAY (с двигателем ВАЗ 21127, 21129)</v>
      </c>
      <c r="D58" s="56" t="str">
        <f>VLOOKUP($A58,'Выгр Кат'!$A:$R,D$1,0)</f>
        <v>Y</v>
      </c>
      <c r="E58" s="56" t="str">
        <f>VLOOKUP($A58,'Выгр Кат'!$A:$R,E$1,0)</f>
        <v>1ск6</v>
      </c>
      <c r="F58" s="56" t="str">
        <f>VLOOKUP($A58,'Выгр Кат'!$A:$R,F$1,0)</f>
        <v>28346052</v>
      </c>
      <c r="G58" s="4" t="s">
        <v>91</v>
      </c>
      <c r="H58" s="8" t="s">
        <v>41</v>
      </c>
      <c r="I58" s="64"/>
      <c r="J58" s="45">
        <f t="shared" si="19"/>
        <v>550</v>
      </c>
      <c r="K58" s="58">
        <f>VLOOKUP(J58,Наценка!$A$1:$B$8,2,1)</f>
        <v>1.4</v>
      </c>
      <c r="L58" s="4">
        <f t="shared" si="5"/>
        <v>770</v>
      </c>
      <c r="M58" s="38">
        <f t="shared" si="12"/>
        <v>769</v>
      </c>
      <c r="N58" s="56">
        <f>VLOOKUP($A58,'Выгр Кат'!$A:$R,N$1,0)</f>
        <v>550</v>
      </c>
      <c r="O58" s="56">
        <f>VLOOKUP($A58,'Выгр Кат'!$A:$R,O$1,0)</f>
        <v>769</v>
      </c>
      <c r="P58" s="18">
        <f t="shared" si="13"/>
        <v>0</v>
      </c>
      <c r="Q58" s="18">
        <f t="shared" si="14"/>
        <v>0</v>
      </c>
      <c r="R58" s="22">
        <f t="shared" si="15"/>
        <v>715.17</v>
      </c>
      <c r="S58" s="59">
        <f>IFERROR(R58/J58-1,"")</f>
        <v>0.30030909090909086</v>
      </c>
      <c r="T58" s="59" t="str">
        <f>IFERROR((V58-R58)/V58,"")</f>
        <v/>
      </c>
      <c r="U58" s="59" t="str">
        <f>IFERROR(IF(V58="","",V58/J58-1),"")</f>
        <v/>
      </c>
      <c r="V58" s="61"/>
      <c r="W58" s="29" t="str">
        <f>IFERROR((VLOOKUP($A58,'Из ГУГЛа'!$B:$Z,W$1,0)+Y58)*X58,VLOOKUP($A58,'Из ГУГЛа'!$B:$Z,W$1,0))</f>
        <v/>
      </c>
      <c r="X58" s="1">
        <v>1</v>
      </c>
      <c r="Y58" s="1">
        <v>0</v>
      </c>
      <c r="Z58" s="61"/>
      <c r="AB58" s="29">
        <f>IFERROR((VLOOKUP($A58,'Из ГУГЛа'!$B:$Z,AB$1,0)+AD58)*AC58,VLOOKUP($A58,'Из ГУГЛа'!$B:$Z,AB$1,0))</f>
        <v>0</v>
      </c>
      <c r="AC58" s="1">
        <v>1</v>
      </c>
      <c r="AD58" s="1">
        <v>0</v>
      </c>
      <c r="AE58" s="56"/>
    </row>
    <row r="59" spans="1:32" ht="60.75" thickBot="1">
      <c r="A59" s="56">
        <v>144435</v>
      </c>
      <c r="B59" s="56">
        <f>VLOOKUP($A59,'Выгр Кат'!$A:$R,B$1,0)</f>
        <v>37968</v>
      </c>
      <c r="C59" s="57" t="str">
        <f>VLOOKUP($A59,'Выгр Кат'!$A:$R,C$1,0)</f>
        <v>Дроссельная заслонка "ВИЭ" в сборе с датчиками 46 мм для ВАЗ (2108-21099, 2110-2112, 2113-2115), Лада (Калина, Гранта, Приора)</v>
      </c>
      <c r="D59" s="56" t="str">
        <f>VLOOKUP($A59,'Выгр Кат'!$A:$R,D$1,0)</f>
        <v>Y</v>
      </c>
      <c r="E59" s="56" t="str">
        <f>VLOOKUP($A59,'Выгр Кат'!$A:$R,E$1,0)</f>
        <v>1</v>
      </c>
      <c r="F59" s="56">
        <f>VLOOKUP($A59,'Выгр Кат'!$A:$R,F$1,0)</f>
        <v>0</v>
      </c>
      <c r="G59" s="4" t="s">
        <v>76</v>
      </c>
      <c r="H59" s="8" t="s">
        <v>41</v>
      </c>
      <c r="I59" s="64">
        <v>18</v>
      </c>
      <c r="J59" s="45">
        <f t="shared" si="19"/>
        <v>1600</v>
      </c>
      <c r="K59" s="58">
        <f>VLOOKUP(J59,Наценка!$A$1:$B$8,2,1)</f>
        <v>1.32</v>
      </c>
      <c r="L59" s="25">
        <f>V59*1.04</f>
        <v>2485.6</v>
      </c>
      <c r="M59" s="38">
        <f t="shared" si="12"/>
        <v>2490</v>
      </c>
      <c r="N59" s="56">
        <f>VLOOKUP($A59,'Выгр Кат'!$A:$R,N$1,0)</f>
        <v>1600</v>
      </c>
      <c r="O59" s="56">
        <f>VLOOKUP($A59,'Выгр Кат'!$A:$R,O$1,0)</f>
        <v>2490</v>
      </c>
      <c r="P59" s="18">
        <f t="shared" si="13"/>
        <v>0</v>
      </c>
      <c r="Q59" s="18">
        <f t="shared" si="14"/>
        <v>0</v>
      </c>
      <c r="R59" s="22">
        <f t="shared" si="15"/>
        <v>2315.6999999999998</v>
      </c>
      <c r="S59" s="59">
        <f>IFERROR(R59/J59-1,"")</f>
        <v>0.44731249999999978</v>
      </c>
      <c r="T59" s="59">
        <f>IFERROR((V59-R59)/V59,"")</f>
        <v>3.1087866108786687E-2</v>
      </c>
      <c r="U59" s="59">
        <f>IFERROR(IF(V59="","",V59/J59-1),"")</f>
        <v>0.49374999999999991</v>
      </c>
      <c r="V59" s="60">
        <v>2390</v>
      </c>
      <c r="W59" s="29">
        <f>IFERROR((VLOOKUP($A59,'Из ГУГЛа'!$B:$Z,W$1,0)+Y59)*X59,VLOOKUP($A59,'Из ГУГЛа'!$B:$Z,W$1,0))</f>
        <v>2390</v>
      </c>
      <c r="X59" s="1">
        <v>1</v>
      </c>
      <c r="Y59" s="1">
        <v>0</v>
      </c>
      <c r="Z59" s="60">
        <v>2390</v>
      </c>
      <c r="AA59" s="41" t="s">
        <v>237</v>
      </c>
      <c r="AB59" s="29">
        <f>IFERROR((VLOOKUP($A59,'Из ГУГЛа'!$B:$Z,AB$1,0)+AD59)*AC59,VLOOKUP($A59,'Из ГУГЛа'!$B:$Z,AB$1,0))</f>
        <v>0</v>
      </c>
      <c r="AC59" s="1">
        <v>1</v>
      </c>
      <c r="AD59" s="1">
        <v>0</v>
      </c>
      <c r="AE59" s="56"/>
    </row>
    <row r="60" spans="1:32" ht="45.75" thickTop="1">
      <c r="A60" s="56">
        <v>144436</v>
      </c>
      <c r="B60" s="56">
        <f>VLOOKUP($A60,'Выгр Кат'!$A:$R,B$1,0)</f>
        <v>37969</v>
      </c>
      <c r="C60" s="57" t="str">
        <f>VLOOKUP($A60,'Выгр Кат'!$A:$R,C$1,0)</f>
        <v>Дроссельная заслонка "ВИЭ" в сборе с датчиками (46 мм) для Лада Нива 4х4, Шевроле Нива</v>
      </c>
      <c r="D60" s="56" t="str">
        <f>VLOOKUP($A60,'Выгр Кат'!$A:$R,D$1,0)</f>
        <v>Y</v>
      </c>
      <c r="E60" s="56" t="str">
        <f>VLOOKUP($A60,'Выгр Кат'!$A:$R,E$1,0)</f>
        <v>1</v>
      </c>
      <c r="F60" s="56">
        <f>VLOOKUP($A60,'Выгр Кат'!$A:$R,F$1,0)</f>
        <v>0</v>
      </c>
      <c r="G60" s="4" t="s">
        <v>78</v>
      </c>
      <c r="H60" s="8" t="s">
        <v>41</v>
      </c>
      <c r="I60" s="64">
        <v>19</v>
      </c>
      <c r="J60" s="45">
        <f t="shared" si="19"/>
        <v>1650</v>
      </c>
      <c r="K60" s="58">
        <f>VLOOKUP(J60,Наценка!$A$1:$B$8,2,1)</f>
        <v>1.32</v>
      </c>
      <c r="L60" s="4">
        <f t="shared" si="5"/>
        <v>2178</v>
      </c>
      <c r="M60" s="38">
        <f t="shared" si="12"/>
        <v>2190</v>
      </c>
      <c r="N60" s="56">
        <f>VLOOKUP($A60,'Выгр Кат'!$A:$R,N$1,0)</f>
        <v>1650</v>
      </c>
      <c r="O60" s="56">
        <f>VLOOKUP($A60,'Выгр Кат'!$A:$R,O$1,0)</f>
        <v>2190</v>
      </c>
      <c r="P60" s="18">
        <f t="shared" si="13"/>
        <v>0</v>
      </c>
      <c r="Q60" s="18">
        <f t="shared" si="14"/>
        <v>0</v>
      </c>
      <c r="R60" s="22">
        <f t="shared" si="15"/>
        <v>2036.6999999999998</v>
      </c>
      <c r="S60" s="59">
        <f>IFERROR(R60/J60-1,"")</f>
        <v>0.23436363636363633</v>
      </c>
      <c r="T60" s="59" t="str">
        <f>IFERROR((V60-R60)/V60,"")</f>
        <v/>
      </c>
      <c r="U60" s="59" t="str">
        <f>IFERROR(IF(V60="","",V60/J60-1),"")</f>
        <v/>
      </c>
      <c r="V60" s="61"/>
      <c r="W60" s="29" t="str">
        <f>IFERROR((VLOOKUP($A60,'Из ГУГЛа'!$B:$Z,W$1,0)+Y60)*X60,VLOOKUP($A60,'Из ГУГЛа'!$B:$Z,W$1,0))</f>
        <v/>
      </c>
      <c r="X60" s="1">
        <v>1</v>
      </c>
      <c r="Y60" s="1">
        <v>0</v>
      </c>
      <c r="Z60" s="61"/>
      <c r="AB60" s="29">
        <f>IFERROR((VLOOKUP($A60,'Из ГУГЛа'!$B:$Z,AB$1,0)+AD60)*AC60,VLOOKUP($A60,'Из ГУГЛа'!$B:$Z,AB$1,0))</f>
        <v>0</v>
      </c>
      <c r="AC60" s="1">
        <v>1</v>
      </c>
      <c r="AD60" s="1">
        <v>0</v>
      </c>
      <c r="AE60" s="56"/>
    </row>
    <row r="61" spans="1:32" ht="30">
      <c r="A61" s="56">
        <v>203180</v>
      </c>
      <c r="B61" s="56">
        <f>VLOOKUP($A61,'Выгр Кат'!$A:$R,B$1,0)</f>
        <v>37970</v>
      </c>
      <c r="C61" s="57" t="str">
        <f>VLOOKUP($A61,'Выгр Кат'!$A:$R,C$1,0)</f>
        <v>Регулятор давления топлива "ВИЭ" 380 кПА для Лада Веста</v>
      </c>
      <c r="D61" s="56" t="str">
        <f>VLOOKUP($A61,'Выгр Кат'!$A:$R,D$1,0)</f>
        <v>Y</v>
      </c>
      <c r="E61" s="56" t="str">
        <f>VLOOKUP($A61,'Выгр Кат'!$A:$R,E$1,0)</f>
        <v>1</v>
      </c>
      <c r="F61" s="56">
        <f>VLOOKUP($A61,'Выгр Кат'!$A:$R,F$1,0)</f>
        <v>0</v>
      </c>
      <c r="G61" s="4" t="s">
        <v>93</v>
      </c>
      <c r="H61" s="8" t="s">
        <v>41</v>
      </c>
      <c r="I61" s="64">
        <v>27</v>
      </c>
      <c r="J61" s="45">
        <f t="shared" si="19"/>
        <v>320</v>
      </c>
      <c r="K61" s="58">
        <f>VLOOKUP(J61,Наценка!$A$1:$B$8,2,1)</f>
        <v>1.6</v>
      </c>
      <c r="L61" s="4">
        <f t="shared" si="5"/>
        <v>512</v>
      </c>
      <c r="M61" s="38">
        <f t="shared" si="12"/>
        <v>519</v>
      </c>
      <c r="N61" s="56">
        <f>VLOOKUP($A61,'Выгр Кат'!$A:$R,N$1,0)</f>
        <v>320</v>
      </c>
      <c r="O61" s="56">
        <f>VLOOKUP($A61,'Выгр Кат'!$A:$R,O$1,0)</f>
        <v>519</v>
      </c>
      <c r="P61" s="18">
        <f t="shared" si="13"/>
        <v>0</v>
      </c>
      <c r="Q61" s="18">
        <f t="shared" si="14"/>
        <v>0</v>
      </c>
      <c r="R61" s="22">
        <f t="shared" si="15"/>
        <v>482.66999999999996</v>
      </c>
      <c r="S61" s="59">
        <f>IFERROR(R61/J61-1,"")</f>
        <v>0.50834374999999987</v>
      </c>
      <c r="T61" s="59" t="str">
        <f>IFERROR((V61-R61)/V61,"")</f>
        <v/>
      </c>
      <c r="U61" s="59" t="str">
        <f>IFERROR(IF(V61="","",V61/J61-1),"")</f>
        <v/>
      </c>
      <c r="V61" s="61"/>
      <c r="W61" s="29" t="str">
        <f>IFERROR((VLOOKUP($A61,'Из ГУГЛа'!$B:$Z,W$1,0)+Y61)*X61,VLOOKUP($A61,'Из ГУГЛа'!$B:$Z,W$1,0))</f>
        <v/>
      </c>
      <c r="X61" s="1">
        <v>1</v>
      </c>
      <c r="Y61" s="1">
        <v>0</v>
      </c>
      <c r="Z61" s="61"/>
      <c r="AB61" s="29">
        <f>IFERROR((VLOOKUP($A61,'Из ГУГЛа'!$B:$Z,AB$1,0)+AD61)*AC61,VLOOKUP($A61,'Из ГУГЛа'!$B:$Z,AB$1,0))</f>
        <v>0</v>
      </c>
      <c r="AC61" s="1">
        <v>1</v>
      </c>
      <c r="AD61" s="1">
        <v>0</v>
      </c>
      <c r="AE61" s="56"/>
    </row>
    <row r="62" spans="1:32" ht="30">
      <c r="A62" s="56">
        <v>203179</v>
      </c>
      <c r="B62" s="56">
        <f>VLOOKUP($A62,'Выгр Кат'!$A:$R,B$1,0)</f>
        <v>37971</v>
      </c>
      <c r="C62" s="57" t="str">
        <f>VLOOKUP($A62,'Выгр Кат'!$A:$R,C$1,0)</f>
        <v>Регулятор давления топлива "ВИЭ" 350 кПА для Лада Веста</v>
      </c>
      <c r="D62" s="56" t="str">
        <f>VLOOKUP($A62,'Выгр Кат'!$A:$R,D$1,0)</f>
        <v>Y</v>
      </c>
      <c r="E62" s="56" t="str">
        <f>VLOOKUP($A62,'Выгр Кат'!$A:$R,E$1,0)</f>
        <v>1ск6</v>
      </c>
      <c r="F62" s="56">
        <f>VLOOKUP($A62,'Выгр Кат'!$A:$R,F$1,0)</f>
        <v>0</v>
      </c>
      <c r="G62" s="4" t="s">
        <v>93</v>
      </c>
      <c r="H62" s="8" t="s">
        <v>41</v>
      </c>
      <c r="I62" s="64">
        <v>27</v>
      </c>
      <c r="J62" s="45">
        <f t="shared" si="19"/>
        <v>320</v>
      </c>
      <c r="K62" s="58">
        <f>VLOOKUP(J62,Наценка!$A$1:$B$8,2,1)</f>
        <v>1.6</v>
      </c>
      <c r="L62" s="4">
        <f t="shared" si="5"/>
        <v>512</v>
      </c>
      <c r="M62" s="38">
        <f t="shared" si="12"/>
        <v>519</v>
      </c>
      <c r="N62" s="56">
        <f>VLOOKUP($A62,'Выгр Кат'!$A:$R,N$1,0)</f>
        <v>320</v>
      </c>
      <c r="O62" s="56">
        <f>VLOOKUP($A62,'Выгр Кат'!$A:$R,O$1,0)</f>
        <v>519</v>
      </c>
      <c r="P62" s="18">
        <f t="shared" si="13"/>
        <v>0</v>
      </c>
      <c r="Q62" s="18">
        <f t="shared" si="14"/>
        <v>0</v>
      </c>
      <c r="R62" s="22">
        <f t="shared" si="15"/>
        <v>482.66999999999996</v>
      </c>
      <c r="S62" s="59">
        <f>IFERROR(R62/J62-1,"")</f>
        <v>0.50834374999999987</v>
      </c>
      <c r="T62" s="59" t="str">
        <f>IFERROR((V62-R62)/V62,"")</f>
        <v/>
      </c>
      <c r="U62" s="59" t="str">
        <f>IFERROR(IF(V62="","",V62/J62-1),"")</f>
        <v/>
      </c>
      <c r="V62" s="61"/>
      <c r="W62" s="29" t="str">
        <f>IFERROR((VLOOKUP($A62,'Из ГУГЛа'!$B:$Z,W$1,0)+Y62)*X62,VLOOKUP($A62,'Из ГУГЛа'!$B:$Z,W$1,0))</f>
        <v/>
      </c>
      <c r="X62" s="1">
        <v>1</v>
      </c>
      <c r="Y62" s="1">
        <v>0</v>
      </c>
      <c r="Z62" s="61"/>
      <c r="AB62" s="29">
        <f>IFERROR((VLOOKUP($A62,'Из ГУГЛа'!$B:$Z,AB$1,0)+AD62)*AC62,VLOOKUP($A62,'Из ГУГЛа'!$B:$Z,AB$1,0))</f>
        <v>0</v>
      </c>
      <c r="AC62" s="1">
        <v>1</v>
      </c>
      <c r="AD62" s="1">
        <v>0</v>
      </c>
      <c r="AE62" s="56"/>
    </row>
    <row r="63" spans="1:32" ht="45.75" thickBot="1">
      <c r="A63" s="56">
        <v>203220</v>
      </c>
      <c r="B63" s="56">
        <f>VLOOKUP($A63,'Выгр Кат'!$A:$R,B$1,0)</f>
        <v>37981</v>
      </c>
      <c r="C63" s="57" t="str">
        <f>VLOOKUP($A63,'Выгр Кат'!$A:$R,C$1,0)</f>
        <v>Регулятор холостого хода "ВИЭ" (пластиковый наконечник) для Шевроле Нива</v>
      </c>
      <c r="D63" s="56" t="str">
        <f>VLOOKUP($A63,'Выгр Кат'!$A:$R,D$1,0)</f>
        <v>Y</v>
      </c>
      <c r="E63" s="56" t="str">
        <f>VLOOKUP($A63,'Выгр Кат'!$A:$R,E$1,0)</f>
        <v>1</v>
      </c>
      <c r="F63" s="56" t="str">
        <f>VLOOKUP($A63,'Выгр Кат'!$A:$R,F$1,0)</f>
        <v>21203-1148300</v>
      </c>
      <c r="G63" s="4" t="s">
        <v>29</v>
      </c>
      <c r="H63" s="8" t="s">
        <v>41</v>
      </c>
      <c r="I63" s="64">
        <v>32</v>
      </c>
      <c r="J63" s="45">
        <f t="shared" si="19"/>
        <v>330</v>
      </c>
      <c r="K63" s="58">
        <f>VLOOKUP(J63,Наценка!$A$1:$B$8,2,1)</f>
        <v>1.6</v>
      </c>
      <c r="L63" s="26">
        <f t="shared" ref="L63:L64" si="20">V63*1.06</f>
        <v>625.4</v>
      </c>
      <c r="M63" s="38">
        <f t="shared" si="12"/>
        <v>629</v>
      </c>
      <c r="N63" s="56">
        <f>VLOOKUP($A63,'Выгр Кат'!$A:$R,N$1,0)</f>
        <v>330</v>
      </c>
      <c r="O63" s="56">
        <f>VLOOKUP($A63,'Выгр Кат'!$A:$R,O$1,0)</f>
        <v>619</v>
      </c>
      <c r="P63" s="18">
        <f t="shared" si="13"/>
        <v>0</v>
      </c>
      <c r="Q63" s="18">
        <f t="shared" si="14"/>
        <v>-10</v>
      </c>
      <c r="R63" s="22">
        <f t="shared" si="15"/>
        <v>584.96999999999991</v>
      </c>
      <c r="S63" s="59">
        <f>IFERROR(R63/J63-1,"")</f>
        <v>0.77263636363636334</v>
      </c>
      <c r="T63" s="59">
        <f>IFERROR((V63-R63)/V63,"")</f>
        <v>8.5254237288137063E-3</v>
      </c>
      <c r="U63" s="59">
        <f>IFERROR(IF(V63="","",V63/J63-1),"")</f>
        <v>0.78787878787878785</v>
      </c>
      <c r="V63" s="60">
        <v>590</v>
      </c>
      <c r="W63" s="29">
        <f>IFERROR((VLOOKUP($A63,'Из ГУГЛа'!$B:$Z,W$1,0)+Y63)*X63,VLOOKUP($A63,'Из ГУГЛа'!$B:$Z,W$1,0))</f>
        <v>590</v>
      </c>
      <c r="X63" s="1">
        <v>1</v>
      </c>
      <c r="Y63" s="1">
        <v>0</v>
      </c>
      <c r="Z63" s="60">
        <v>590</v>
      </c>
      <c r="AA63" s="41" t="s">
        <v>230</v>
      </c>
      <c r="AB63" s="29">
        <f>IFERROR((VLOOKUP($A63,'Из ГУГЛа'!$B:$Z,AB$1,0)+AD63)*AC63,VLOOKUP($A63,'Из ГУГЛа'!$B:$Z,AB$1,0))</f>
        <v>0</v>
      </c>
      <c r="AC63" s="1">
        <v>1</v>
      </c>
      <c r="AD63" s="1">
        <v>0</v>
      </c>
      <c r="AE63" s="56"/>
    </row>
    <row r="64" spans="1:32" ht="46.5" thickTop="1" thickBot="1">
      <c r="A64" s="56">
        <v>203218</v>
      </c>
      <c r="B64" s="56">
        <f>VLOOKUP($A64,'Выгр Кат'!$A:$R,B$1,0)</f>
        <v>37982</v>
      </c>
      <c r="C64" s="57" t="str">
        <f>VLOOKUP($A64,'Выгр Кат'!$A:$R,C$1,0)</f>
        <v>Регулятор холостого хода "ВИЭ" (металлический наконечник) для Шевроле Нива</v>
      </c>
      <c r="D64" s="56" t="str">
        <f>VLOOKUP($A64,'Выгр Кат'!$A:$R,D$1,0)</f>
        <v>Y</v>
      </c>
      <c r="E64" s="56" t="str">
        <f>VLOOKUP($A64,'Выгр Кат'!$A:$R,E$1,0)</f>
        <v>1</v>
      </c>
      <c r="F64" s="56" t="str">
        <f>VLOOKUP($A64,'Выгр Кат'!$A:$R,F$1,0)</f>
        <v>21203-1148300</v>
      </c>
      <c r="G64" s="4" t="s">
        <v>29</v>
      </c>
      <c r="H64" s="8" t="s">
        <v>41</v>
      </c>
      <c r="I64" s="64">
        <v>32</v>
      </c>
      <c r="J64" s="45">
        <f t="shared" si="19"/>
        <v>350</v>
      </c>
      <c r="K64" s="58">
        <f>VLOOKUP(J64,Наценка!$A$1:$B$8,2,1)</f>
        <v>1.6</v>
      </c>
      <c r="L64" s="26">
        <f t="shared" si="20"/>
        <v>666.74</v>
      </c>
      <c r="M64" s="38">
        <f t="shared" si="12"/>
        <v>669</v>
      </c>
      <c r="N64" s="56">
        <f>VLOOKUP($A64,'Выгр Кат'!$A:$R,N$1,0)</f>
        <v>350</v>
      </c>
      <c r="O64" s="56">
        <f>VLOOKUP($A64,'Выгр Кат'!$A:$R,O$1,0)</f>
        <v>669</v>
      </c>
      <c r="P64" s="18">
        <f t="shared" si="13"/>
        <v>0</v>
      </c>
      <c r="Q64" s="18">
        <f t="shared" si="14"/>
        <v>0</v>
      </c>
      <c r="R64" s="22">
        <f t="shared" si="15"/>
        <v>622.16999999999996</v>
      </c>
      <c r="S64" s="59">
        <f>IFERROR(R64/J64-1,"")</f>
        <v>0.77762857142857134</v>
      </c>
      <c r="T64" s="59">
        <f>IFERROR((V64-R64)/V64,"")</f>
        <v>1.0858505564387982E-2</v>
      </c>
      <c r="U64" s="59">
        <f>IFERROR(IF(V64="","",V64/J64-1),"")</f>
        <v>0.79714285714285715</v>
      </c>
      <c r="V64" s="60">
        <v>629</v>
      </c>
      <c r="W64" s="29">
        <f>IFERROR((VLOOKUP($A64,'Из ГУГЛа'!$B:$Z,W$1,0)+Y64)*X64,VLOOKUP($A64,'Из ГУГЛа'!$B:$Z,W$1,0))</f>
        <v>629</v>
      </c>
      <c r="X64" s="1">
        <v>1</v>
      </c>
      <c r="Y64" s="1">
        <v>0</v>
      </c>
      <c r="Z64" s="60">
        <v>629</v>
      </c>
      <c r="AA64" s="41" t="s">
        <v>161</v>
      </c>
      <c r="AB64" s="29">
        <f>IFERROR((VLOOKUP($A64,'Из ГУГЛа'!$B:$Z,AB$1,0)+AD64)*AC64,VLOOKUP($A64,'Из ГУГЛа'!$B:$Z,AB$1,0))</f>
        <v>0</v>
      </c>
      <c r="AC64" s="1">
        <v>1</v>
      </c>
      <c r="AD64" s="1">
        <v>0</v>
      </c>
      <c r="AE64" s="56">
        <v>810</v>
      </c>
      <c r="AF64" s="41" t="s">
        <v>288</v>
      </c>
    </row>
    <row r="65" spans="1:32" ht="45.75" thickTop="1">
      <c r="A65" s="56">
        <v>219323</v>
      </c>
      <c r="B65" s="56">
        <f>VLOOKUP($A65,'Выгр Кат'!$A:$R,B$1,0)</f>
        <v>37984</v>
      </c>
      <c r="C65" s="57" t="str">
        <f>VLOOKUP($A65,'Выгр Кат'!$A:$R,C$1,0)</f>
        <v>Топливный насос (бензонасос) "ВИЭ" 21074 в сборе для ВАЗ 2101-2107 (инжекторный двигатель)</v>
      </c>
      <c r="D65" s="56" t="str">
        <f>VLOOKUP($A65,'Выгр Кат'!$A:$R,D$1,0)</f>
        <v>Y</v>
      </c>
      <c r="E65" s="56" t="str">
        <f>VLOOKUP($A65,'Выгр Кат'!$A:$R,E$1,0)</f>
        <v>1</v>
      </c>
      <c r="F65" s="56">
        <f>VLOOKUP($A65,'Выгр Кат'!$A:$R,F$1,0)</f>
        <v>0</v>
      </c>
      <c r="G65" s="4" t="s">
        <v>115</v>
      </c>
      <c r="H65" s="8" t="s">
        <v>41</v>
      </c>
      <c r="I65" s="64">
        <v>47</v>
      </c>
      <c r="J65" s="45">
        <f t="shared" si="19"/>
        <v>1550</v>
      </c>
      <c r="K65" s="58">
        <f>VLOOKUP(J65,Наценка!$A$1:$B$8,2,1)</f>
        <v>1.32</v>
      </c>
      <c r="L65" s="4">
        <f t="shared" si="5"/>
        <v>2046</v>
      </c>
      <c r="M65" s="38">
        <f t="shared" si="12"/>
        <v>2090</v>
      </c>
      <c r="N65" s="56">
        <f>VLOOKUP($A65,'Выгр Кат'!$A:$R,N$1,0)</f>
        <v>1550</v>
      </c>
      <c r="O65" s="56">
        <f>VLOOKUP($A65,'Выгр Кат'!$A:$R,O$1,0)</f>
        <v>2090</v>
      </c>
      <c r="P65" s="18">
        <f t="shared" si="13"/>
        <v>0</v>
      </c>
      <c r="Q65" s="18">
        <f t="shared" si="14"/>
        <v>0</v>
      </c>
      <c r="R65" s="22">
        <f t="shared" si="15"/>
        <v>1943.6999999999998</v>
      </c>
      <c r="S65" s="59">
        <f>IFERROR(R65/J65-1,"")</f>
        <v>0.25399999999999978</v>
      </c>
      <c r="T65" s="59" t="str">
        <f>IFERROR((V65-R65)/V65,"")</f>
        <v/>
      </c>
      <c r="U65" s="59" t="str">
        <f>IFERROR(IF(V65="","",V65/J65-1),"")</f>
        <v/>
      </c>
      <c r="V65" s="61"/>
      <c r="W65" s="29" t="str">
        <f>IFERROR((VLOOKUP($A65,'Из ГУГЛа'!$B:$Z,W$1,0)+Y65)*X65,VLOOKUP($A65,'Из ГУГЛа'!$B:$Z,W$1,0))</f>
        <v/>
      </c>
      <c r="X65" s="1">
        <v>1</v>
      </c>
      <c r="Y65" s="1">
        <v>0</v>
      </c>
      <c r="Z65" s="61"/>
      <c r="AB65" s="29">
        <f>IFERROR((VLOOKUP($A65,'Из ГУГЛа'!$B:$Z,AB$1,0)+AD65)*AC65,VLOOKUP($A65,'Из ГУГЛа'!$B:$Z,AB$1,0))</f>
        <v>0</v>
      </c>
      <c r="AC65" s="1">
        <v>1</v>
      </c>
      <c r="AD65" s="1">
        <v>0</v>
      </c>
      <c r="AE65" s="56"/>
    </row>
    <row r="66" spans="1:32" ht="45.75" thickBot="1">
      <c r="A66" s="56">
        <v>219322</v>
      </c>
      <c r="B66" s="56">
        <f>VLOOKUP($A66,'Выгр Кат'!$A:$R,B$1,0)</f>
        <v>37985</v>
      </c>
      <c r="C66" s="57" t="str">
        <f>VLOOKUP($A66,'Выгр Кат'!$A:$R,C$1,0)</f>
        <v>Топливный насос (бензонасос) "ВИЭ" 21044 в сборе для ВАЗ 2101-2107 (инжекторный двигатель)</v>
      </c>
      <c r="D66" s="56" t="str">
        <f>VLOOKUP($A66,'Выгр Кат'!$A:$R,D$1,0)</f>
        <v>Y</v>
      </c>
      <c r="E66" s="56" t="str">
        <f>VLOOKUP($A66,'Выгр Кат'!$A:$R,E$1,0)</f>
        <v>1</v>
      </c>
      <c r="F66" s="56">
        <f>VLOOKUP($A66,'Выгр Кат'!$A:$R,F$1,0)</f>
        <v>0</v>
      </c>
      <c r="G66" s="4" t="s">
        <v>108</v>
      </c>
      <c r="H66" s="8" t="s">
        <v>41</v>
      </c>
      <c r="I66" s="64">
        <v>47</v>
      </c>
      <c r="J66" s="45">
        <f t="shared" si="19"/>
        <v>1550</v>
      </c>
      <c r="K66" s="58">
        <f>VLOOKUP(J66,Наценка!$A$1:$B$8,2,1)</f>
        <v>1.32</v>
      </c>
      <c r="L66" s="26">
        <f t="shared" ref="L66:L67" si="21">V66*1.05</f>
        <v>2089.5</v>
      </c>
      <c r="M66" s="38">
        <f t="shared" si="12"/>
        <v>2090</v>
      </c>
      <c r="N66" s="56">
        <f>VLOOKUP($A66,'Выгр Кат'!$A:$R,N$1,0)</f>
        <v>1550</v>
      </c>
      <c r="O66" s="56">
        <f>VLOOKUP($A66,'Выгр Кат'!$A:$R,O$1,0)</f>
        <v>2090</v>
      </c>
      <c r="P66" s="18">
        <f t="shared" si="13"/>
        <v>0</v>
      </c>
      <c r="Q66" s="18">
        <f t="shared" si="14"/>
        <v>0</v>
      </c>
      <c r="R66" s="22">
        <f t="shared" si="15"/>
        <v>1943.6999999999998</v>
      </c>
      <c r="S66" s="59">
        <f>IFERROR(R66/J66-1,"")</f>
        <v>0.25399999999999978</v>
      </c>
      <c r="T66" s="59">
        <f>IFERROR((V66-R66)/V66,"")</f>
        <v>2.3266331658291547E-2</v>
      </c>
      <c r="U66" s="59">
        <f>IFERROR(IF(V66="","",V66/J66-1),"")</f>
        <v>0.28387096774193554</v>
      </c>
      <c r="V66" s="60">
        <v>1990</v>
      </c>
      <c r="W66" s="29">
        <f>IFERROR((VLOOKUP($A66,'Из ГУГЛа'!$B:$Z,W$1,0)+Y66)*X66,VLOOKUP($A66,'Из ГУГЛа'!$B:$Z,W$1,0))</f>
        <v>1990</v>
      </c>
      <c r="X66" s="1">
        <v>1</v>
      </c>
      <c r="Y66" s="1">
        <v>0</v>
      </c>
      <c r="Z66" s="60">
        <v>1990</v>
      </c>
      <c r="AA66" s="41" t="s">
        <v>225</v>
      </c>
      <c r="AB66" s="29">
        <f>IFERROR((VLOOKUP($A66,'Из ГУГЛа'!$B:$Z,AB$1,0)+AD66)*AC66,VLOOKUP($A66,'Из ГУГЛа'!$B:$Z,AB$1,0))</f>
        <v>0</v>
      </c>
      <c r="AC66" s="1">
        <v>1</v>
      </c>
      <c r="AD66" s="1">
        <v>0</v>
      </c>
      <c r="AE66" s="56"/>
    </row>
    <row r="67" spans="1:32" ht="46.5" thickTop="1" thickBot="1">
      <c r="A67" s="56">
        <v>219326</v>
      </c>
      <c r="B67" s="56">
        <f>VLOOKUP($A67,'Выгр Кат'!$A:$R,B$1,0)</f>
        <v>37986</v>
      </c>
      <c r="C67" s="57" t="str">
        <f>VLOOKUP($A67,'Выгр Кат'!$A:$R,C$1,0)</f>
        <v>Топливный насос (бензонасос) "ВИЭ" 2112 в сборе для ВАЗ 2110-2112, 2113-2115</v>
      </c>
      <c r="D67" s="56" t="str">
        <f>VLOOKUP($A67,'Выгр Кат'!$A:$R,D$1,0)</f>
        <v>Y</v>
      </c>
      <c r="E67" s="56" t="str">
        <f>VLOOKUP($A67,'Выгр Кат'!$A:$R,E$1,0)</f>
        <v>1</v>
      </c>
      <c r="F67" s="56">
        <f>VLOOKUP($A67,'Выгр Кат'!$A:$R,F$1,0)</f>
        <v>0</v>
      </c>
      <c r="G67" s="4" t="s">
        <v>111</v>
      </c>
      <c r="H67" s="8" t="s">
        <v>41</v>
      </c>
      <c r="I67" s="64">
        <v>48</v>
      </c>
      <c r="J67" s="45">
        <f t="shared" si="19"/>
        <v>1450</v>
      </c>
      <c r="K67" s="58">
        <f>VLOOKUP(J67,Наценка!$A$1:$B$8,2,1)</f>
        <v>1.32</v>
      </c>
      <c r="L67" s="26">
        <f t="shared" si="21"/>
        <v>2089.5</v>
      </c>
      <c r="M67" s="38">
        <f t="shared" ref="M67:M78" si="22">IF(L67&lt;=1000,(ROUNDUP(L67,-1)-1),(ROUNDUP(L67,-2)-10))</f>
        <v>2090</v>
      </c>
      <c r="N67" s="56">
        <f>VLOOKUP($A67,'Выгр Кат'!$A:$R,N$1,0)</f>
        <v>1450</v>
      </c>
      <c r="O67" s="56">
        <f>VLOOKUP($A67,'Выгр Кат'!$A:$R,O$1,0)</f>
        <v>2090</v>
      </c>
      <c r="P67" s="18">
        <f t="shared" ref="P67:P78" si="23">N67-J67</f>
        <v>0</v>
      </c>
      <c r="Q67" s="18">
        <f t="shared" ref="Q67:Q78" si="24">O67-M67</f>
        <v>0</v>
      </c>
      <c r="R67" s="22">
        <f t="shared" ref="R67:R78" si="25">IFERROR(M67*(1-$R$2),"")</f>
        <v>1943.6999999999998</v>
      </c>
      <c r="S67" s="59">
        <f>IFERROR(R67/J67-1,"")</f>
        <v>0.34048275862068955</v>
      </c>
      <c r="T67" s="59">
        <f>IFERROR((V67-R67)/V67,"")</f>
        <v>2.3266331658291547E-2</v>
      </c>
      <c r="U67" s="59">
        <f>IFERROR(IF(V67="","",V67/J67-1),"")</f>
        <v>0.37241379310344835</v>
      </c>
      <c r="V67" s="62">
        <v>1990</v>
      </c>
      <c r="W67" s="29">
        <f>IFERROR((VLOOKUP($A67,'Из ГУГЛа'!$B:$Z,W$1,0)+Y67)*X67,VLOOKUP($A67,'Из ГУГЛа'!$B:$Z,W$1,0))</f>
        <v>1990</v>
      </c>
      <c r="X67" s="1">
        <v>1</v>
      </c>
      <c r="Y67" s="1">
        <v>0</v>
      </c>
      <c r="Z67" s="62">
        <v>1990</v>
      </c>
      <c r="AA67" s="41" t="s">
        <v>229</v>
      </c>
      <c r="AB67" s="29">
        <f>IFERROR((VLOOKUP($A67,'Из ГУГЛа'!$B:$Z,AB$1,0)+AD67)*AC67,VLOOKUP($A67,'Из ГУГЛа'!$B:$Z,AB$1,0))</f>
        <v>0</v>
      </c>
      <c r="AC67" s="1">
        <v>1</v>
      </c>
      <c r="AD67" s="1">
        <v>0</v>
      </c>
      <c r="AE67" s="56"/>
    </row>
    <row r="68" spans="1:32" ht="45.75" thickTop="1">
      <c r="A68" s="56">
        <v>219325</v>
      </c>
      <c r="B68" s="56">
        <f>VLOOKUP($A68,'Выгр Кат'!$A:$R,B$1,0)</f>
        <v>37987</v>
      </c>
      <c r="C68" s="57" t="str">
        <f>VLOOKUP($A68,'Выгр Кат'!$A:$R,C$1,0)</f>
        <v>Топливный насос (бензонасос) "ВИЭ" 21102 в сборе для ВАЗ 2110-2112, 2113-2115 (объём двигателя 1.5 л)</v>
      </c>
      <c r="D68" s="56" t="str">
        <f>VLOOKUP($A68,'Выгр Кат'!$A:$R,D$1,0)</f>
        <v>Y</v>
      </c>
      <c r="E68" s="56" t="str">
        <f>VLOOKUP($A68,'Выгр Кат'!$A:$R,E$1,0)</f>
        <v>1</v>
      </c>
      <c r="F68" s="56">
        <f>VLOOKUP($A68,'Выгр Кат'!$A:$R,F$1,0)</f>
        <v>0</v>
      </c>
      <c r="G68" s="4" t="s">
        <v>109</v>
      </c>
      <c r="H68" s="8" t="s">
        <v>41</v>
      </c>
      <c r="I68" s="64">
        <v>48</v>
      </c>
      <c r="J68" s="45">
        <f t="shared" si="19"/>
        <v>1450</v>
      </c>
      <c r="K68" s="58">
        <f>VLOOKUP(J68,Наценка!$A$1:$B$8,2,1)</f>
        <v>1.32</v>
      </c>
      <c r="L68" s="4">
        <f t="shared" si="5"/>
        <v>1914</v>
      </c>
      <c r="M68" s="38">
        <f t="shared" si="22"/>
        <v>1990</v>
      </c>
      <c r="N68" s="56">
        <f>VLOOKUP($A68,'Выгр Кат'!$A:$R,N$1,0)</f>
        <v>1450</v>
      </c>
      <c r="O68" s="56">
        <f>VLOOKUP($A68,'Выгр Кат'!$A:$R,O$1,0)</f>
        <v>1990</v>
      </c>
      <c r="P68" s="18">
        <f t="shared" si="23"/>
        <v>0</v>
      </c>
      <c r="Q68" s="18">
        <f t="shared" si="24"/>
        <v>0</v>
      </c>
      <c r="R68" s="22">
        <f t="shared" si="25"/>
        <v>1850.6999999999998</v>
      </c>
      <c r="S68" s="59">
        <f>IFERROR(R68/J68-1,"")</f>
        <v>0.27634482758620682</v>
      </c>
      <c r="T68" s="59" t="str">
        <f>IFERROR((V68-R68)/V68,"")</f>
        <v/>
      </c>
      <c r="U68" s="59" t="str">
        <f>IFERROR(IF(V68="","",V68/J68-1),"")</f>
        <v/>
      </c>
      <c r="V68" s="61"/>
      <c r="W68" s="29" t="str">
        <f>IFERROR((VLOOKUP($A68,'Из ГУГЛа'!$B:$Z,W$1,0)+Y68)*X68,VLOOKUP($A68,'Из ГУГЛа'!$B:$Z,W$1,0))</f>
        <v/>
      </c>
      <c r="X68" s="1">
        <v>1</v>
      </c>
      <c r="Y68" s="1">
        <v>0</v>
      </c>
      <c r="Z68" s="61"/>
      <c r="AB68" s="29">
        <f>IFERROR((VLOOKUP($A68,'Из ГУГЛа'!$B:$Z,AB$1,0)+AD68)*AC68,VLOOKUP($A68,'Из ГУГЛа'!$B:$Z,AB$1,0))</f>
        <v>0</v>
      </c>
      <c r="AC68" s="1">
        <v>1</v>
      </c>
      <c r="AD68" s="1">
        <v>0</v>
      </c>
      <c r="AE68" s="56"/>
    </row>
    <row r="69" spans="1:32" ht="45">
      <c r="A69" s="56">
        <v>219324</v>
      </c>
      <c r="B69" s="56">
        <f>VLOOKUP($A69,'Выгр Кат'!$A:$R,B$1,0)</f>
        <v>37988</v>
      </c>
      <c r="C69" s="57" t="str">
        <f>VLOOKUP($A69,'Выгр Кат'!$A:$R,C$1,0)</f>
        <v>Топливный насос (бензонасос) "ВИЭ" 21083 в сборе для ВАЗ 2108-21099, 2113-2115 (объём двигателя 1.5 л)</v>
      </c>
      <c r="D69" s="56" t="str">
        <f>VLOOKUP($A69,'Выгр Кат'!$A:$R,D$1,0)</f>
        <v>Y</v>
      </c>
      <c r="E69" s="56" t="str">
        <f>VLOOKUP($A69,'Выгр Кат'!$A:$R,E$1,0)</f>
        <v>1</v>
      </c>
      <c r="F69" s="56">
        <f>VLOOKUP($A69,'Выгр Кат'!$A:$R,F$1,0)</f>
        <v>0</v>
      </c>
      <c r="G69" s="4" t="s">
        <v>110</v>
      </c>
      <c r="H69" s="8" t="s">
        <v>41</v>
      </c>
      <c r="I69" s="64">
        <v>48</v>
      </c>
      <c r="J69" s="45">
        <f t="shared" si="19"/>
        <v>1450</v>
      </c>
      <c r="K69" s="58">
        <f>VLOOKUP(J69,Наценка!$A$1:$B$8,2,1)</f>
        <v>1.32</v>
      </c>
      <c r="L69" s="4">
        <f t="shared" si="5"/>
        <v>1914</v>
      </c>
      <c r="M69" s="38">
        <f t="shared" si="22"/>
        <v>1990</v>
      </c>
      <c r="N69" s="56">
        <f>VLOOKUP($A69,'Выгр Кат'!$A:$R,N$1,0)</f>
        <v>1450</v>
      </c>
      <c r="O69" s="56">
        <f>VLOOKUP($A69,'Выгр Кат'!$A:$R,O$1,0)</f>
        <v>1990</v>
      </c>
      <c r="P69" s="18">
        <f t="shared" si="23"/>
        <v>0</v>
      </c>
      <c r="Q69" s="18">
        <f t="shared" si="24"/>
        <v>0</v>
      </c>
      <c r="R69" s="22">
        <f t="shared" si="25"/>
        <v>1850.6999999999998</v>
      </c>
      <c r="S69" s="59">
        <f>IFERROR(R69/J69-1,"")</f>
        <v>0.27634482758620682</v>
      </c>
      <c r="T69" s="59" t="str">
        <f>IFERROR((V69-R69)/V69,"")</f>
        <v/>
      </c>
      <c r="U69" s="59" t="str">
        <f>IFERROR(IF(V69="","",V69/J69-1),"")</f>
        <v/>
      </c>
      <c r="V69" s="61"/>
      <c r="W69" s="29" t="str">
        <f>IFERROR((VLOOKUP($A69,'Из ГУГЛа'!$B:$Z,W$1,0)+Y69)*X69,VLOOKUP($A69,'Из ГУГЛа'!$B:$Z,W$1,0))</f>
        <v/>
      </c>
      <c r="X69" s="1">
        <v>1</v>
      </c>
      <c r="Y69" s="1">
        <v>0</v>
      </c>
      <c r="Z69" s="61"/>
      <c r="AB69" s="29">
        <f>IFERROR((VLOOKUP($A69,'Из ГУГЛа'!$B:$Z,AB$1,0)+AD69)*AC69,VLOOKUP($A69,'Из ГУГЛа'!$B:$Z,AB$1,0))</f>
        <v>0</v>
      </c>
      <c r="AC69" s="1">
        <v>1</v>
      </c>
      <c r="AD69" s="1">
        <v>0</v>
      </c>
      <c r="AE69" s="56"/>
    </row>
    <row r="70" spans="1:32" ht="30.75" thickBot="1">
      <c r="A70" s="56">
        <v>219327</v>
      </c>
      <c r="B70" s="56">
        <f>VLOOKUP($A70,'Выгр Кат'!$A:$R,B$1,0)</f>
        <v>37989</v>
      </c>
      <c r="C70" s="57" t="str">
        <f>VLOOKUP($A70,'Выгр Кат'!$A:$R,C$1,0)</f>
        <v>Топливный насос (бензонасос) "ВИЭ" 21214 С/О в сборе для Лада Нива 4х4</v>
      </c>
      <c r="D70" s="56" t="str">
        <f>VLOOKUP($A70,'Выгр Кат'!$A:$R,D$1,0)</f>
        <v>Y</v>
      </c>
      <c r="E70" s="56" t="str">
        <f>VLOOKUP($A70,'Выгр Кат'!$A:$R,E$1,0)</f>
        <v>1</v>
      </c>
      <c r="F70" s="56">
        <f>VLOOKUP($A70,'Выгр Кат'!$A:$R,F$1,0)</f>
        <v>0</v>
      </c>
      <c r="G70" s="4" t="s">
        <v>112</v>
      </c>
      <c r="H70" s="8" t="s">
        <v>41</v>
      </c>
      <c r="I70" s="64">
        <v>49</v>
      </c>
      <c r="J70" s="45">
        <f t="shared" si="19"/>
        <v>1450</v>
      </c>
      <c r="K70" s="58">
        <f>VLOOKUP(J70,Наценка!$A$1:$B$8,2,1)</f>
        <v>1.32</v>
      </c>
      <c r="L70" s="26">
        <f t="shared" ref="L70:L71" si="26">V70*1.06</f>
        <v>1897.4</v>
      </c>
      <c r="M70" s="38">
        <f t="shared" si="22"/>
        <v>1890</v>
      </c>
      <c r="N70" s="56">
        <f>VLOOKUP($A70,'Выгр Кат'!$A:$R,N$1,0)</f>
        <v>1450</v>
      </c>
      <c r="O70" s="56">
        <f>VLOOKUP($A70,'Выгр Кат'!$A:$R,O$1,0)</f>
        <v>1890</v>
      </c>
      <c r="P70" s="18">
        <f t="shared" si="23"/>
        <v>0</v>
      </c>
      <c r="Q70" s="18">
        <f t="shared" si="24"/>
        <v>0</v>
      </c>
      <c r="R70" s="22">
        <f t="shared" si="25"/>
        <v>1757.6999999999998</v>
      </c>
      <c r="S70" s="59">
        <f>IFERROR(R70/J70-1,"")</f>
        <v>0.21220689655172409</v>
      </c>
      <c r="T70" s="59">
        <f>IFERROR((V70-R70)/V70,"")</f>
        <v>1.8044692737430271E-2</v>
      </c>
      <c r="U70" s="59">
        <f>IFERROR(IF(V70="","",V70/J70-1),"")</f>
        <v>0.23448275862068968</v>
      </c>
      <c r="V70" s="62">
        <v>1790</v>
      </c>
      <c r="W70" s="29">
        <f>IFERROR((VLOOKUP($A70,'Из ГУГЛа'!$B:$Z,W$1,0)+Y70)*X70,VLOOKUP($A70,'Из ГУГЛа'!$B:$Z,W$1,0))</f>
        <v>1790</v>
      </c>
      <c r="X70" s="1">
        <v>1</v>
      </c>
      <c r="Y70" s="1">
        <v>0</v>
      </c>
      <c r="Z70" s="62">
        <v>1790</v>
      </c>
      <c r="AA70" s="41" t="s">
        <v>228</v>
      </c>
      <c r="AB70" s="29">
        <f>IFERROR((VLOOKUP($A70,'Из ГУГЛа'!$B:$Z,AB$1,0)+AD70)*AC70,VLOOKUP($A70,'Из ГУГЛа'!$B:$Z,AB$1,0))</f>
        <v>0</v>
      </c>
      <c r="AC70" s="1">
        <v>1</v>
      </c>
      <c r="AD70" s="1">
        <v>0</v>
      </c>
      <c r="AE70" s="56"/>
    </row>
    <row r="71" spans="1:32" ht="31.5" thickTop="1" thickBot="1">
      <c r="A71" s="56">
        <v>219329</v>
      </c>
      <c r="B71" s="56">
        <f>VLOOKUP($A71,'Выгр Кат'!$A:$R,B$1,0)</f>
        <v>37990</v>
      </c>
      <c r="C71" s="57" t="str">
        <f>VLOOKUP($A71,'Выгр Кат'!$A:$R,C$1,0)</f>
        <v>Топливный насос (бензонасос) "ВИЭ" 21313 Н/О в сборе для Лада Нива 4х4</v>
      </c>
      <c r="D71" s="56" t="str">
        <f>VLOOKUP($A71,'Выгр Кат'!$A:$R,D$1,0)</f>
        <v>Y</v>
      </c>
      <c r="E71" s="56" t="str">
        <f>VLOOKUP($A71,'Выгр Кат'!$A:$R,E$1,0)</f>
        <v>1</v>
      </c>
      <c r="F71" s="56">
        <f>VLOOKUP($A71,'Выгр Кат'!$A:$R,F$1,0)</f>
        <v>0</v>
      </c>
      <c r="G71" s="4" t="s">
        <v>113</v>
      </c>
      <c r="H71" s="8" t="s">
        <v>41</v>
      </c>
      <c r="I71" s="64">
        <v>49</v>
      </c>
      <c r="J71" s="45">
        <f t="shared" si="19"/>
        <v>1450</v>
      </c>
      <c r="K71" s="58">
        <f>VLOOKUP(J71,Наценка!$A$1:$B$8,2,1)</f>
        <v>1.32</v>
      </c>
      <c r="L71" s="26">
        <f t="shared" si="26"/>
        <v>1897.4</v>
      </c>
      <c r="M71" s="38">
        <f t="shared" si="22"/>
        <v>1890</v>
      </c>
      <c r="N71" s="56">
        <f>VLOOKUP($A71,'Выгр Кат'!$A:$R,N$1,0)</f>
        <v>1450</v>
      </c>
      <c r="O71" s="56">
        <f>VLOOKUP($A71,'Выгр Кат'!$A:$R,O$1,0)</f>
        <v>1890</v>
      </c>
      <c r="P71" s="18">
        <f t="shared" si="23"/>
        <v>0</v>
      </c>
      <c r="Q71" s="18">
        <f t="shared" si="24"/>
        <v>0</v>
      </c>
      <c r="R71" s="22">
        <f t="shared" si="25"/>
        <v>1757.6999999999998</v>
      </c>
      <c r="S71" s="59">
        <f>IFERROR(R71/J71-1,"")</f>
        <v>0.21220689655172409</v>
      </c>
      <c r="T71" s="59">
        <f>IFERROR((V71-R71)/V71,"")</f>
        <v>1.8044692737430271E-2</v>
      </c>
      <c r="U71" s="59">
        <f>IFERROR(IF(V71="","",V71/J71-1),"")</f>
        <v>0.23448275862068968</v>
      </c>
      <c r="V71" s="60">
        <v>1790</v>
      </c>
      <c r="W71" s="29">
        <f>IFERROR((VLOOKUP($A71,'Из ГУГЛа'!$B:$Z,W$1,0)+Y71)*X71,VLOOKUP($A71,'Из ГУГЛа'!$B:$Z,W$1,0))</f>
        <v>1790</v>
      </c>
      <c r="X71" s="1">
        <v>1</v>
      </c>
      <c r="Y71" s="1">
        <v>0</v>
      </c>
      <c r="Z71" s="60">
        <v>1790</v>
      </c>
      <c r="AA71" s="41" t="s">
        <v>227</v>
      </c>
      <c r="AB71" s="29">
        <f>IFERROR((VLOOKUP($A71,'Из ГУГЛа'!$B:$Z,AB$1,0)+AD71)*AC71,VLOOKUP($A71,'Из ГУГЛа'!$B:$Z,AB$1,0))</f>
        <v>0</v>
      </c>
      <c r="AC71" s="1">
        <v>1</v>
      </c>
      <c r="AD71" s="1">
        <v>0</v>
      </c>
      <c r="AE71" s="56"/>
    </row>
    <row r="72" spans="1:32" ht="31.5" thickTop="1" thickBot="1">
      <c r="A72" s="56">
        <v>219328</v>
      </c>
      <c r="B72" s="56">
        <f>VLOOKUP($A72,'Выгр Кат'!$A:$R,B$1,0)</f>
        <v>37991</v>
      </c>
      <c r="C72" s="57" t="str">
        <f>VLOOKUP($A72,'Выгр Кат'!$A:$R,C$1,0)</f>
        <v>Топливный насос (бензонасос) "ВИЭ" 2123 в сборе для Шевроле Нива</v>
      </c>
      <c r="D72" s="56" t="str">
        <f>VLOOKUP($A72,'Выгр Кат'!$A:$R,D$1,0)</f>
        <v>Y</v>
      </c>
      <c r="E72" s="56" t="str">
        <f>VLOOKUP($A72,'Выгр Кат'!$A:$R,E$1,0)</f>
        <v>1</v>
      </c>
      <c r="F72" s="56">
        <f>VLOOKUP($A72,'Выгр Кат'!$A:$R,F$1,0)</f>
        <v>0</v>
      </c>
      <c r="G72" s="4" t="s">
        <v>114</v>
      </c>
      <c r="H72" s="8" t="s">
        <v>41</v>
      </c>
      <c r="I72" s="64">
        <v>49</v>
      </c>
      <c r="J72" s="45">
        <f t="shared" si="19"/>
        <v>1450</v>
      </c>
      <c r="K72" s="58">
        <f>VLOOKUP(J72,Наценка!$A$1:$B$8,2,1)</f>
        <v>1.32</v>
      </c>
      <c r="L72" s="26">
        <f>V72*1.05</f>
        <v>2089.5</v>
      </c>
      <c r="M72" s="38">
        <f t="shared" si="22"/>
        <v>2090</v>
      </c>
      <c r="N72" s="56">
        <f>VLOOKUP($A72,'Выгр Кат'!$A:$R,N$1,0)</f>
        <v>1450</v>
      </c>
      <c r="O72" s="56">
        <f>VLOOKUP($A72,'Выгр Кат'!$A:$R,O$1,0)</f>
        <v>2090</v>
      </c>
      <c r="P72" s="18">
        <f t="shared" si="23"/>
        <v>0</v>
      </c>
      <c r="Q72" s="18">
        <f t="shared" si="24"/>
        <v>0</v>
      </c>
      <c r="R72" s="22">
        <f t="shared" si="25"/>
        <v>1943.6999999999998</v>
      </c>
      <c r="S72" s="59">
        <f>IFERROR(R72/J72-1,"")</f>
        <v>0.34048275862068955</v>
      </c>
      <c r="T72" s="59">
        <f>IFERROR((V72-R72)/V72,"")</f>
        <v>2.3266331658291547E-2</v>
      </c>
      <c r="U72" s="59">
        <f>IFERROR(IF(V72="","",V72/J72-1),"")</f>
        <v>0.37241379310344835</v>
      </c>
      <c r="V72" s="62">
        <v>1990</v>
      </c>
      <c r="W72" s="29">
        <f>IFERROR((VLOOKUP($A72,'Из ГУГЛа'!$B:$Z,W$1,0)+Y72)*X72,VLOOKUP($A72,'Из ГУГЛа'!$B:$Z,W$1,0))</f>
        <v>1990</v>
      </c>
      <c r="X72" s="1">
        <v>1</v>
      </c>
      <c r="Y72" s="1">
        <v>0</v>
      </c>
      <c r="Z72" s="62">
        <v>1990</v>
      </c>
      <c r="AA72" s="41" t="s">
        <v>226</v>
      </c>
      <c r="AB72" s="29">
        <f>IFERROR((VLOOKUP($A72,'Из ГУГЛа'!$B:$Z,AB$1,0)+AD72)*AC72,VLOOKUP($A72,'Из ГУГЛа'!$B:$Z,AB$1,0))</f>
        <v>0</v>
      </c>
      <c r="AC72" s="1">
        <v>1</v>
      </c>
      <c r="AD72" s="1">
        <v>0</v>
      </c>
      <c r="AE72" s="56"/>
    </row>
    <row r="73" spans="1:32" ht="45.75" thickTop="1">
      <c r="A73" s="56">
        <v>219356</v>
      </c>
      <c r="B73" s="56">
        <f>VLOOKUP($A73,'Выгр Кат'!$A:$R,B$1,0)</f>
        <v>37992</v>
      </c>
      <c r="C73" s="57" t="str">
        <f>VLOOKUP($A73,'Выгр Кат'!$A:$R,C$1,0)</f>
        <v>Топливный насос (бензонасос) "Моторика" в сборе (моторчик AISAN) для Лада Ларгус</v>
      </c>
      <c r="D73" s="56" t="str">
        <f>VLOOKUP($A73,'Выгр Кат'!$A:$R,D$1,0)</f>
        <v>Y</v>
      </c>
      <c r="E73" s="56" t="str">
        <f>VLOOKUP($A73,'Выгр Кат'!$A:$R,E$1,0)</f>
        <v>1</v>
      </c>
      <c r="F73" s="56">
        <f>VLOOKUP($A73,'Выгр Кат'!$A:$R,F$1,0)</f>
        <v>0</v>
      </c>
      <c r="G73" s="4" t="s">
        <v>90</v>
      </c>
      <c r="H73" s="8" t="s">
        <v>41</v>
      </c>
      <c r="I73" s="64">
        <v>53</v>
      </c>
      <c r="J73" s="45">
        <f t="shared" si="19"/>
        <v>3420</v>
      </c>
      <c r="K73" s="58">
        <f>VLOOKUP(J73,Наценка!$A$1:$B$8,2,1)</f>
        <v>1.25</v>
      </c>
      <c r="L73" s="4">
        <f t="shared" ref="L73:L76" si="27">K73*J73</f>
        <v>4275</v>
      </c>
      <c r="M73" s="38">
        <f t="shared" si="22"/>
        <v>4290</v>
      </c>
      <c r="N73" s="56">
        <f>VLOOKUP($A73,'Выгр Кат'!$A:$R,N$1,0)</f>
        <v>3420</v>
      </c>
      <c r="O73" s="56">
        <f>VLOOKUP($A73,'Выгр Кат'!$A:$R,O$1,0)</f>
        <v>4290</v>
      </c>
      <c r="P73" s="18">
        <f t="shared" si="23"/>
        <v>0</v>
      </c>
      <c r="Q73" s="18">
        <f t="shared" si="24"/>
        <v>0</v>
      </c>
      <c r="R73" s="22">
        <f t="shared" si="25"/>
        <v>3989.7</v>
      </c>
      <c r="S73" s="59">
        <f>IFERROR(R73/J73-1,"")</f>
        <v>0.16657894736842094</v>
      </c>
      <c r="T73" s="59" t="str">
        <f>IFERROR((V73-R73)/V73,"")</f>
        <v/>
      </c>
      <c r="U73" s="59" t="str">
        <f>IFERROR(IF(V73="","",V73/J73-1),"")</f>
        <v/>
      </c>
      <c r="V73" s="61"/>
      <c r="W73" s="29" t="str">
        <f>IFERROR((VLOOKUP($A73,'Из ГУГЛа'!$B:$Z,W$1,0)+Y73)*X73,VLOOKUP($A73,'Из ГУГЛа'!$B:$Z,W$1,0))</f>
        <v/>
      </c>
      <c r="X73" s="1">
        <v>1</v>
      </c>
      <c r="Y73" s="1">
        <v>0</v>
      </c>
      <c r="Z73" s="61"/>
      <c r="AB73" s="29">
        <f>IFERROR((VLOOKUP($A73,'Из ГУГЛа'!$B:$Z,AB$1,0)+AD73)*AC73,VLOOKUP($A73,'Из ГУГЛа'!$B:$Z,AB$1,0))</f>
        <v>0</v>
      </c>
      <c r="AC73" s="1">
        <v>1</v>
      </c>
      <c r="AD73" s="1">
        <v>0</v>
      </c>
      <c r="AE73" s="56"/>
    </row>
    <row r="74" spans="1:32" ht="45.75" thickBot="1">
      <c r="A74" s="56">
        <v>219330</v>
      </c>
      <c r="B74" s="56">
        <f>VLOOKUP($A74,'Выгр Кат'!$A:$R,B$1,0)</f>
        <v>39080</v>
      </c>
      <c r="C74" s="57" t="str">
        <f>VLOOKUP($A74,'Выгр Кат'!$A:$R,C$1,0)</f>
        <v>Топливный насос (бензонасос) "ВИЭ" в сборе для ВАЗ (2110-2112, 2113-2115), Лада Приора</v>
      </c>
      <c r="D74" s="56" t="str">
        <f>VLOOKUP($A74,'Выгр Кат'!$A:$R,D$1,0)</f>
        <v>Y</v>
      </c>
      <c r="E74" s="56" t="str">
        <f>VLOOKUP($A74,'Выгр Кат'!$A:$R,E$1,0)</f>
        <v>1</v>
      </c>
      <c r="F74" s="56" t="str">
        <f>VLOOKUP($A74,'Выгр Кат'!$A:$R,F$1,0)</f>
        <v>211011139009</v>
      </c>
      <c r="G74" s="4" t="s">
        <v>74</v>
      </c>
      <c r="H74" s="8" t="s">
        <v>41</v>
      </c>
      <c r="I74" s="64">
        <v>46</v>
      </c>
      <c r="J74" s="45">
        <f t="shared" si="19"/>
        <v>1450</v>
      </c>
      <c r="K74" s="58">
        <f>VLOOKUP(J74,Наценка!$A$1:$B$8,2,1)</f>
        <v>1.32</v>
      </c>
      <c r="L74" s="26">
        <f t="shared" ref="L74" si="28">V74*1.05</f>
        <v>2089.5</v>
      </c>
      <c r="M74" s="38">
        <f t="shared" si="22"/>
        <v>2090</v>
      </c>
      <c r="N74" s="56">
        <f>VLOOKUP($A74,'Выгр Кат'!$A:$R,N$1,0)</f>
        <v>1450</v>
      </c>
      <c r="O74" s="56">
        <f>VLOOKUP($A74,'Выгр Кат'!$A:$R,O$1,0)</f>
        <v>2090</v>
      </c>
      <c r="P74" s="18">
        <f t="shared" si="23"/>
        <v>0</v>
      </c>
      <c r="Q74" s="18">
        <f t="shared" si="24"/>
        <v>0</v>
      </c>
      <c r="R74" s="22">
        <f t="shared" si="25"/>
        <v>1943.6999999999998</v>
      </c>
      <c r="S74" s="59">
        <f>IFERROR(R74/J74-1,"")</f>
        <v>0.34048275862068955</v>
      </c>
      <c r="T74" s="59">
        <f>IFERROR((V74-R74)/V74,"")</f>
        <v>2.3266331658291547E-2</v>
      </c>
      <c r="U74" s="59">
        <f>IFERROR(IF(V74="","",V74/J74-1),"")</f>
        <v>0.37241379310344835</v>
      </c>
      <c r="V74" s="60">
        <v>1990</v>
      </c>
      <c r="W74" s="29">
        <f>IFERROR((VLOOKUP($A74,'Из ГУГЛа'!$B:$Z,W$1,0)+Y74)*X74,VLOOKUP($A74,'Из ГУГЛа'!$B:$Z,W$1,0))</f>
        <v>1990</v>
      </c>
      <c r="X74" s="1">
        <v>1</v>
      </c>
      <c r="Y74" s="1">
        <v>0</v>
      </c>
      <c r="Z74" s="60">
        <v>1990</v>
      </c>
      <c r="AA74" s="41" t="s">
        <v>224</v>
      </c>
      <c r="AB74" s="29">
        <f>IFERROR((VLOOKUP($A74,'Из ГУГЛа'!$B:$Z,AB$1,0)+AD74)*AC74,VLOOKUP($A74,'Из ГУГЛа'!$B:$Z,AB$1,0))</f>
        <v>0</v>
      </c>
      <c r="AC74" s="1">
        <v>1</v>
      </c>
      <c r="AD74" s="1">
        <v>0</v>
      </c>
      <c r="AE74" s="56"/>
    </row>
    <row r="75" spans="1:32" ht="61.5" thickTop="1" thickBot="1">
      <c r="A75" s="56">
        <v>164616</v>
      </c>
      <c r="B75" s="56">
        <f>VLOOKUP($A75,'Выгр Кат'!$A:$R,B$1,0)</f>
        <v>41261</v>
      </c>
      <c r="C75" s="57" t="str">
        <f>VLOOKUP($A75,'Выгр Кат'!$A:$R,C$1,0)</f>
        <v>Мотор топливного насоса (бензонасос) "ВИЭ" для ВАЗ (2108-21099, 2113-2115, 2110-2112), Лада Калина</v>
      </c>
      <c r="D75" s="56" t="str">
        <f>VLOOKUP($A75,'Выгр Кат'!$A:$R,D$1,0)</f>
        <v>Y</v>
      </c>
      <c r="E75" s="56" t="str">
        <f>VLOOKUP($A75,'Выгр Кат'!$A:$R,E$1,0)</f>
        <v>1</v>
      </c>
      <c r="F75" s="56">
        <f>VLOOKUP($A75,'Выгр Кат'!$A:$R,F$1,0)</f>
        <v>0</v>
      </c>
      <c r="G75" s="7" t="s">
        <v>107</v>
      </c>
      <c r="H75" s="8" t="s">
        <v>41</v>
      </c>
      <c r="I75" s="64">
        <v>43</v>
      </c>
      <c r="J75" s="45">
        <f t="shared" si="19"/>
        <v>600</v>
      </c>
      <c r="K75" s="58">
        <f>VLOOKUP(J75,Наценка!$A$1:$B$8,2,1)</f>
        <v>1.4</v>
      </c>
      <c r="L75" s="24">
        <f>V75*1.02</f>
        <v>988.38</v>
      </c>
      <c r="M75" s="38">
        <f t="shared" si="22"/>
        <v>989</v>
      </c>
      <c r="N75" s="56">
        <f>VLOOKUP($A75,'Выгр Кат'!$A:$R,N$1,0)</f>
        <v>600</v>
      </c>
      <c r="O75" s="56">
        <f>VLOOKUP($A75,'Выгр Кат'!$A:$R,O$1,0)</f>
        <v>989</v>
      </c>
      <c r="P75" s="18">
        <f t="shared" si="23"/>
        <v>0</v>
      </c>
      <c r="Q75" s="18">
        <f t="shared" si="24"/>
        <v>0</v>
      </c>
      <c r="R75" s="22">
        <f t="shared" si="25"/>
        <v>919.77</v>
      </c>
      <c r="S75" s="59">
        <f>IFERROR(R75/J75-1,"")</f>
        <v>0.53295000000000003</v>
      </c>
      <c r="T75" s="59">
        <f>IFERROR((V75-R75)/V75,"")</f>
        <v>5.0804953560371534E-2</v>
      </c>
      <c r="U75" s="59">
        <f>IFERROR(IF(V75="","",V75/J75-1),"")</f>
        <v>0.61499999999999999</v>
      </c>
      <c r="V75" s="60">
        <v>969</v>
      </c>
      <c r="W75" s="29">
        <f>IFERROR((VLOOKUP($A75,'Из ГУГЛа'!$B:$Z,W$1,0)+Y75)*X75,VLOOKUP($A75,'Из ГУГЛа'!$B:$Z,W$1,0))</f>
        <v>969</v>
      </c>
      <c r="X75" s="1">
        <v>1</v>
      </c>
      <c r="Y75" s="1">
        <v>0</v>
      </c>
      <c r="Z75" s="60">
        <v>969</v>
      </c>
      <c r="AA75" s="41" t="s">
        <v>160</v>
      </c>
      <c r="AB75" s="29">
        <f>IFERROR((VLOOKUP($A75,'Из ГУГЛа'!$B:$Z,AB$1,0)+AD75)*AC75,VLOOKUP($A75,'Из ГУГЛа'!$B:$Z,AB$1,0))</f>
        <v>0</v>
      </c>
      <c r="AC75" s="1">
        <v>1</v>
      </c>
      <c r="AD75" s="1">
        <v>0</v>
      </c>
      <c r="AE75" s="56">
        <v>1100</v>
      </c>
      <c r="AF75" s="41" t="s">
        <v>289</v>
      </c>
    </row>
    <row r="76" spans="1:32" ht="60.75" thickTop="1">
      <c r="A76" s="56">
        <v>226914</v>
      </c>
      <c r="B76" s="56">
        <f>VLOOKUP($A76,'Выгр Кат'!$A:$R,B$1,0)</f>
        <v>32590</v>
      </c>
      <c r="C76" s="57" t="str">
        <f>VLOOKUP($A76,'Выгр Кат'!$A:$R,C$1,0)</f>
        <v>Электрокорректор фар (моторчик) "под BOSCH" для Лада (Калина, Калина 2, Приора, Приора 2, Гранта), Шевроле Нива</v>
      </c>
      <c r="D76" s="56" t="str">
        <f>VLOOKUP($A76,'Выгр Кат'!$A:$R,D$1,0)</f>
        <v>Y</v>
      </c>
      <c r="E76" s="56" t="str">
        <f>VLOOKUP($A76,'Выгр Кат'!$A:$R,E$1,0)</f>
        <v>1</v>
      </c>
      <c r="F76" s="56">
        <f>VLOOKUP($A76,'Выгр Кат'!$A:$R,F$1,0)</f>
        <v>0</v>
      </c>
      <c r="G76" s="64"/>
      <c r="H76" s="8" t="s">
        <v>41</v>
      </c>
      <c r="I76" s="64"/>
      <c r="J76" s="45">
        <f t="shared" si="19"/>
        <v>450</v>
      </c>
      <c r="K76" s="58">
        <f>VLOOKUP(J76,Наценка!$A$1:$B$8,2,1)</f>
        <v>1.6</v>
      </c>
      <c r="L76" s="4">
        <f t="shared" si="27"/>
        <v>720</v>
      </c>
      <c r="M76" s="38">
        <f t="shared" si="22"/>
        <v>719</v>
      </c>
      <c r="N76" s="56">
        <f>VLOOKUP($A76,'Выгр Кат'!$A:$R,N$1,0)</f>
        <v>450</v>
      </c>
      <c r="O76" s="56">
        <f>VLOOKUP($A76,'Выгр Кат'!$A:$R,O$1,0)</f>
        <v>719</v>
      </c>
      <c r="P76" s="18">
        <f t="shared" si="23"/>
        <v>0</v>
      </c>
      <c r="Q76" s="18">
        <f t="shared" si="24"/>
        <v>0</v>
      </c>
      <c r="R76" s="22">
        <f t="shared" si="25"/>
        <v>668.67</v>
      </c>
      <c r="S76" s="59">
        <f>IFERROR(R76/J76-1,"")</f>
        <v>0.48593333333333333</v>
      </c>
      <c r="T76" s="59" t="str">
        <f>IFERROR((V76-R76)/V76,"")</f>
        <v/>
      </c>
      <c r="U76" s="59" t="str">
        <f>IFERROR(IF(V76="","",V76/J76-1),"")</f>
        <v/>
      </c>
      <c r="V76" s="61"/>
      <c r="W76" s="29" t="str">
        <f>IFERROR((VLOOKUP($A76,'Из ГУГЛа'!$B:$Z,W$1,0)+Y76)*X76,VLOOKUP($A76,'Из ГУГЛа'!$B:$Z,W$1,0))</f>
        <v/>
      </c>
      <c r="X76" s="1">
        <v>1</v>
      </c>
      <c r="Y76" s="1">
        <v>0</v>
      </c>
      <c r="Z76" s="61"/>
      <c r="AB76" s="29">
        <f>IFERROR((VLOOKUP($A76,'Из ГУГЛа'!$B:$Z,AB$1,0)+AD76)*AC76,VLOOKUP($A76,'Из ГУГЛа'!$B:$Z,AB$1,0))</f>
        <v>0</v>
      </c>
      <c r="AC76" s="1">
        <v>1</v>
      </c>
      <c r="AD76" s="1">
        <v>0</v>
      </c>
      <c r="AE76" s="56"/>
    </row>
    <row r="77" spans="1:32" ht="90.75" thickBot="1">
      <c r="A77" s="56">
        <v>224431</v>
      </c>
      <c r="B77" s="56">
        <f>VLOOKUP($A77,'Выгр Кат'!$A:$R,B$1,0)</f>
        <v>54767</v>
      </c>
      <c r="C77" s="57" t="str">
        <f>VLOOKUP($A77,'Выгр Кат'!$A:$R,C$1,0)</f>
        <v>Форсунка топливная "ВИЭ" 017 электромагнитная оранжевая, тонкая для ВАЗ (2110-2112, 2113-2115), Лада (Калина, Калина 2, Приора, Приора 2, Гранта, Нива 4х4), Шевроле Нива (8-ми клапанный двигатель, 1.6 л)</v>
      </c>
      <c r="D77" s="56" t="str">
        <f>VLOOKUP($A77,'Выгр Кат'!$A:$R,D$1,0)</f>
        <v>Y</v>
      </c>
      <c r="E77" s="56" t="str">
        <f>VLOOKUP($A77,'Выгр Кат'!$A:$R,E$1,0)</f>
        <v>1</v>
      </c>
      <c r="F77" s="56" t="str">
        <f>VLOOKUP($A77,'Выгр Кат'!$A:$R,F$1,0)</f>
        <v>21114113201082</v>
      </c>
      <c r="G77" s="64"/>
      <c r="H77" s="8" t="s">
        <v>41</v>
      </c>
      <c r="I77" s="64">
        <v>39</v>
      </c>
      <c r="J77" s="45">
        <f t="shared" si="19"/>
        <v>550</v>
      </c>
      <c r="K77" s="58">
        <f>VLOOKUP(J77,Наценка!$A$1:$B$8,2,1)</f>
        <v>1.4</v>
      </c>
      <c r="L77" s="26">
        <f t="shared" ref="L77:L78" si="29">V77*1.06</f>
        <v>837.40000000000009</v>
      </c>
      <c r="M77" s="38">
        <f t="shared" si="22"/>
        <v>839</v>
      </c>
      <c r="N77" s="56">
        <f>VLOOKUP($A77,'Выгр Кат'!$A:$R,N$1,0)</f>
        <v>550</v>
      </c>
      <c r="O77" s="56">
        <f>VLOOKUP($A77,'Выгр Кат'!$A:$R,O$1,0)</f>
        <v>829</v>
      </c>
      <c r="P77" s="18">
        <f t="shared" si="23"/>
        <v>0</v>
      </c>
      <c r="Q77" s="18">
        <f t="shared" si="24"/>
        <v>-10</v>
      </c>
      <c r="R77" s="22">
        <f t="shared" si="25"/>
        <v>780.27</v>
      </c>
      <c r="S77" s="59">
        <f>IFERROR(R77/J77-1,"")</f>
        <v>0.41867272727272731</v>
      </c>
      <c r="T77" s="59">
        <f>IFERROR((V77-R77)/V77,"")</f>
        <v>1.2316455696202554E-2</v>
      </c>
      <c r="U77" s="59">
        <f>IFERROR(IF(V77="","",V77/J77-1),"")</f>
        <v>0.43636363636363629</v>
      </c>
      <c r="V77" s="60">
        <v>790</v>
      </c>
      <c r="W77" s="29">
        <f>IFERROR((VLOOKUP($A77,'Из ГУГЛа'!$B:$Z,W$1,0)+Y77)*X77,VLOOKUP($A77,'Из ГУГЛа'!$B:$Z,W$1,0))</f>
        <v>790</v>
      </c>
      <c r="X77" s="1">
        <v>1</v>
      </c>
      <c r="Y77" s="1">
        <v>0</v>
      </c>
      <c r="Z77" s="60">
        <v>790</v>
      </c>
      <c r="AA77" s="41" t="s">
        <v>223</v>
      </c>
      <c r="AB77" s="29">
        <f>IFERROR((VLOOKUP($A77,'Из ГУГЛа'!$B:$Z,AB$1,0)+AD77)*AC77,VLOOKUP($A77,'Из ГУГЛа'!$B:$Z,AB$1,0))</f>
        <v>0</v>
      </c>
      <c r="AC77" s="1">
        <v>1</v>
      </c>
      <c r="AD77" s="1">
        <v>0</v>
      </c>
      <c r="AE77" s="56"/>
    </row>
    <row r="78" spans="1:32" ht="61.5" thickTop="1" thickBot="1">
      <c r="A78" s="56">
        <v>144434</v>
      </c>
      <c r="B78" s="56">
        <f>VLOOKUP($A78,'Выгр Кат'!$A:$R,B$1,0)</f>
        <v>163762</v>
      </c>
      <c r="C78" s="57" t="str">
        <f>VLOOKUP($A78,'Выгр Кат'!$A:$R,C$1,0)</f>
        <v>Дроссельная заслонка "ВИЭ" в сборе с датчиками (50 мм, Е-Газ) для ВАЗ 2113-2115, Лада (Калина, Калина 2, Приора, Приора 2, Гранта)</v>
      </c>
      <c r="D78" s="56" t="str">
        <f>VLOOKUP($A78,'Выгр Кат'!$A:$R,D$1,0)</f>
        <v>Y</v>
      </c>
      <c r="E78" s="56" t="str">
        <f>VLOOKUP($A78,'Выгр Кат'!$A:$R,E$1,0)</f>
        <v>1</v>
      </c>
      <c r="F78" s="56" t="str">
        <f>VLOOKUP($A78,'Выгр Кат'!$A:$R,F$1,0)</f>
        <v>21116-1148010</v>
      </c>
      <c r="G78" s="64"/>
      <c r="H78" s="8" t="s">
        <v>41</v>
      </c>
      <c r="I78" s="64"/>
      <c r="J78" s="45">
        <f t="shared" si="19"/>
        <v>3800</v>
      </c>
      <c r="K78" s="58">
        <f>VLOOKUP(J78,Наценка!$A$1:$B$8,2,1)</f>
        <v>1.25</v>
      </c>
      <c r="L78" s="26">
        <f t="shared" si="29"/>
        <v>5183.4000000000005</v>
      </c>
      <c r="M78" s="38">
        <f t="shared" si="22"/>
        <v>5190</v>
      </c>
      <c r="N78" s="56">
        <f>VLOOKUP($A78,'Выгр Кат'!$A:$R,N$1,0)</f>
        <v>3800</v>
      </c>
      <c r="O78" s="56">
        <f>VLOOKUP($A78,'Выгр Кат'!$A:$R,O$1,0)</f>
        <v>5190</v>
      </c>
      <c r="P78" s="18">
        <f t="shared" si="23"/>
        <v>0</v>
      </c>
      <c r="Q78" s="18">
        <f t="shared" si="24"/>
        <v>0</v>
      </c>
      <c r="R78" s="22">
        <f t="shared" si="25"/>
        <v>4826.7</v>
      </c>
      <c r="S78" s="59">
        <f>IFERROR(R78/J78-1,"")</f>
        <v>0.27018421052631569</v>
      </c>
      <c r="T78" s="59">
        <f>IFERROR((V78-R78)/V78,"")</f>
        <v>1.2944785276073657E-2</v>
      </c>
      <c r="U78" s="59">
        <f>IFERROR(IF(V78="","",V78/J78-1),"")</f>
        <v>0.28684210526315779</v>
      </c>
      <c r="V78" s="60">
        <v>4890</v>
      </c>
      <c r="W78" s="29">
        <f>IFERROR((VLOOKUP($A78,'Из ГУГЛа'!$B:$Z,W$1,0)+Y78)*X78,VLOOKUP($A78,'Из ГУГЛа'!$B:$Z,W$1,0))</f>
        <v>4890</v>
      </c>
      <c r="X78" s="1">
        <v>1</v>
      </c>
      <c r="Y78" s="1">
        <v>0</v>
      </c>
      <c r="Z78" s="60">
        <v>4890</v>
      </c>
      <c r="AA78" s="41" t="s">
        <v>174</v>
      </c>
      <c r="AB78" s="29">
        <f>IFERROR((VLOOKUP($A78,'Из ГУГЛа'!$B:$Z,AB$1,0)+AD78)*AC78,VLOOKUP($A78,'Из ГУГЛа'!$B:$Z,AB$1,0))</f>
        <v>0</v>
      </c>
      <c r="AC78" s="1">
        <v>1</v>
      </c>
      <c r="AD78" s="1">
        <v>0</v>
      </c>
      <c r="AE78" s="56"/>
    </row>
    <row r="79" spans="1:32" ht="15.75" thickTop="1"/>
    <row r="81" spans="12:12">
      <c r="L81" s="40">
        <f t="shared" ref="L81" si="30">J81*K81*100/93</f>
        <v>0</v>
      </c>
    </row>
    <row r="82" spans="12:12">
      <c r="L82" s="23">
        <f>V82*1</f>
        <v>0</v>
      </c>
    </row>
    <row r="83" spans="12:12">
      <c r="L83" s="24">
        <f>V83*1.02</f>
        <v>0</v>
      </c>
    </row>
    <row r="84" spans="12:12">
      <c r="L84" s="25">
        <f>V84*1.04</f>
        <v>0</v>
      </c>
    </row>
    <row r="85" spans="12:12">
      <c r="L85" s="26">
        <f>V85*1.05</f>
        <v>0</v>
      </c>
    </row>
    <row r="86" spans="12:12">
      <c r="L86" s="26">
        <f>V86*1.06</f>
        <v>0</v>
      </c>
    </row>
    <row r="87" spans="12:12">
      <c r="L87" s="27">
        <f>V87*1.07</f>
        <v>0</v>
      </c>
    </row>
    <row r="88" spans="12:12">
      <c r="L88" s="28">
        <f>V88*1.08</f>
        <v>0</v>
      </c>
    </row>
    <row r="89" spans="12:12">
      <c r="L89" s="39">
        <f>J89*1.15*100/93</f>
        <v>0</v>
      </c>
    </row>
  </sheetData>
  <autoFilter ref="A2:AI78" xr:uid="{00000000-0001-0000-0000-000000000000}"/>
  <conditionalFormatting sqref="C3:C78">
    <cfRule type="expression" dxfId="16" priority="8">
      <formula>OR(D3="N",E3="0")</formula>
    </cfRule>
  </conditionalFormatting>
  <conditionalFormatting sqref="A3:A78">
    <cfRule type="expression" dxfId="15" priority="7">
      <formula>AND(ROUNDDOWN($P3,0)=0,ROUNDDOWN($Q3,0)=0)</formula>
    </cfRule>
  </conditionalFormatting>
  <conditionalFormatting sqref="S3:S78">
    <cfRule type="cellIs" dxfId="14" priority="6" operator="lessThan">
      <formula>0.15</formula>
    </cfRule>
  </conditionalFormatting>
  <conditionalFormatting sqref="T3:T78">
    <cfRule type="cellIs" dxfId="13" priority="5" operator="lessThan">
      <formula>0%</formula>
    </cfRule>
  </conditionalFormatting>
  <conditionalFormatting sqref="U3:U78">
    <cfRule type="cellIs" dxfId="12" priority="4" operator="lessThan">
      <formula>0.15</formula>
    </cfRule>
  </conditionalFormatting>
  <conditionalFormatting sqref="W3:W78">
    <cfRule type="expression" dxfId="11" priority="2">
      <formula>VALUE(W3)&lt;&gt;Z3</formula>
    </cfRule>
  </conditionalFormatting>
  <conditionalFormatting sqref="AB3:AB78">
    <cfRule type="expression" dxfId="10" priority="1">
      <formula>VALUE(AB3)&lt;&gt;AE3</formula>
    </cfRule>
  </conditionalFormatting>
  <hyperlinks>
    <hyperlink ref="V7" r:id="rId1" display="https://motorring.ru/product/20635-datchik-skorosti-vie-vaz-2108-21099-mehanicheskoy" xr:uid="{76F5CF26-7B97-4C87-8EA9-8B614B61BA0B}"/>
    <hyperlink ref="V12" r:id="rId2" display="https://motorring.ru/product/20704-regulyator-davleniya-topliva-vie-380-vaz-2110-2115-lada" xr:uid="{379E0D04-5B74-402F-860F-9A19DC7D1EF6}"/>
    <hyperlink ref="V14" r:id="rId3" display="https://motorring.ru/product/11342-regulyator-holostogo-hoda-vie-lada-4h4-shevrole-niva" xr:uid="{9A0A3417-F6E4-4042-8EEF-0DDDF0F63088}"/>
    <hyperlink ref="V15" r:id="rId4" display="https://motorring.ru/product/17852" xr:uid="{10547226-572C-4324-B4D9-BEAA188AB540}"/>
    <hyperlink ref="V19" r:id="rId5" display="https://motorring.ru/product/20644-forsunka-735-vie-16kl-vaz-2110-2112-lada-kalina-priora" xr:uid="{56AC5BAD-5CE5-46AD-8D76-E72BCFD9B9A4}"/>
    <hyperlink ref="V20" r:id="rId6" display="https://motorring.ru/product/18249-motor-elektrobenzonasosa-2112-povyshennoy" xr:uid="{988B1246-4028-4006-AD8D-0D78A34E5B8C}"/>
    <hyperlink ref="V22" r:id="rId7" display="https://motorring.ru/product/20645-forsunka-6238-vie-vaz-2108-21099-2110-2112-2113-2115" xr:uid="{4977CBCA-EE53-4570-AB94-F0134BB497D2}"/>
    <hyperlink ref="V28" r:id="rId8" display="https://motorring.ru/product/20639-motor-elektrobenzonasosa-vie-lada-vesta" xr:uid="{76915EEB-41CB-4A77-98F9-A61329AD8CAA}"/>
    <hyperlink ref="V30" r:id="rId9" display="https://motorring.ru/product/3061-moduly-zaghiganiya-soate-vaz-2104-2107-2110-2112-lada" xr:uid="{C0A2F361-765C-4BE8-9710-785A05477B5B}"/>
    <hyperlink ref="V31" r:id="rId10" display="https://motorring.ru/product/12200-standartnaya-drosselynaya-zaslonka-vaz-2108-2115-2110-2112" xr:uid="{310E81AB-2952-4790-BA18-151ABE747AFD}"/>
    <hyperlink ref="V32" r:id="rId11" display="https://motorring.ru/product/16635-standartnaya-drosselynaya-zaslonka-lada-4h4-niva-2121-21213" xr:uid="{BDB2C7D8-0992-47FE-A408-38362878E96C}"/>
    <hyperlink ref="V38" r:id="rId12" display="https://motorring.ru/product/5530-elektrokorrektor-far-dlya-lada-granta" xr:uid="{E65A3ADE-E9E2-471F-BA80-3F62978825D5}"/>
    <hyperlink ref="V39" r:id="rId13" display="https://motorring.ru/product/15607-elektrokorrektor-far-lada-niva" xr:uid="{ECADEE5F-20E5-4E03-AD07-E5C06EAF5DDA}"/>
    <hyperlink ref="V45" r:id="rId14" display="https://motorring.ru/product/20641-regulyator-holostogo-hoda-vie-vaz-2105-2107-2108-21099" xr:uid="{3DA02E6E-9F5D-49B5-98F0-59C878FC861D}"/>
    <hyperlink ref="V78" r:id="rId15" display="https://motorring.ru/product/40555-drosselynaya-zaslonka-vie-21116-lada-priora-kalina-granta" xr:uid="{08D721EE-7C19-445B-B19B-EB9508A438A4}"/>
    <hyperlink ref="V77" r:id="rId16" display="https://motorring.ru/product/38951-forsunka-vie-017-dlya-8-klapannyh-vaz-2110-2112-lada-kalina" xr:uid="{0A176374-CC1C-431B-A04C-CE5BF3F425C0}"/>
    <hyperlink ref="V75" r:id="rId17" display="https://motorring.ru/product/18249-motor-elektrobenzonasosa-2112-povyshennoy" xr:uid="{7D8B51FD-7762-456B-A918-0B82AD80923E}"/>
    <hyperlink ref="V74" r:id="rId18" display="https://motorring.ru/product/38958-elektrobenzonasos-sbore-vie-21101-vaz-2110-2112-lada" xr:uid="{3DA6E08C-8221-462C-8D35-5A13EBAC6076}"/>
    <hyperlink ref="V66" r:id="rId19" display="https://motorring.ru/product/38959-elektrobenzonasos-sbore-vie-vaz-21044-dlya-vaz-2101-2107" xr:uid="{210EF410-D92C-4EBD-AE47-D9B99A4F610F}"/>
    <hyperlink ref="V72" r:id="rId20" display="https://motorring.ru/product/38963-elektrobenzonasos-vie-2123-sbore-dlya-shevrole-niva" xr:uid="{7E1DB10E-6249-4A12-AF3A-2B14C75A7F69}"/>
    <hyperlink ref="V71" r:id="rId21" display="https://motorring.ru/product/38962-elektrobenzonas-vie-sbore-novogo-obrazca-shtucere-21313" xr:uid="{EBAE8D01-AB63-4525-9896-2D8823DCCBAD}"/>
    <hyperlink ref="V70" r:id="rId22" display="https://motorring.ru/product/38961-elektrobenzonas-vie-sbore-starogo-obrazca-gayke-21214" xr:uid="{1F9B6550-50D9-4BC6-A399-D623F150DC7C}"/>
    <hyperlink ref="V67" r:id="rId23" display="https://motorring.ru/product/38960-elektrobenzonasos-sbore-vie-vaz-2110-2112-2113-2115" xr:uid="{B68B2184-B0B2-450D-ADC3-2241C5490522}"/>
    <hyperlink ref="V64" r:id="rId24" display="https://motorring.ru/product/11342-regulyator-holostogo-hoda-vie-lada-4h4-shevrole-niva" xr:uid="{72276AE1-E0C7-4B99-92CD-D624A94EB7CA}"/>
    <hyperlink ref="V63" r:id="rId25" display="https://motorring.ru/product/38946-regulyator-holostogo-hoda-vie-plastikoviy-nakonechnik-lada-niva" xr:uid="{D69CAE61-2692-415B-9042-9C1FDE7A933B}"/>
    <hyperlink ref="V57" r:id="rId26" display="https://motorring.ru/product/38955-forsunka-vie-72370-dlya-lada-kalina-kalina-priora-granta" xr:uid="{23E8072E-90E8-4EF5-A434-5463495041FC}"/>
    <hyperlink ref="V9" r:id="rId27" display="https://motorring.ru/product/20636-datchik-faz-vie-analog-141-3855-vaz" xr:uid="{108B71A3-B6A2-4534-AA07-7F7D04D5974C}"/>
    <hyperlink ref="V24" r:id="rId28" display="https://motorring.ru/product/18963-podrulevoy-pereklyuchately-shleyf-starogo-obrazca-dlya-lada" xr:uid="{16C5269F-2317-4F68-B5C9-F01FD7C3C816}"/>
    <hyperlink ref="V23" r:id="rId29" display="https://motorring.ru/product/15358-podrulevoy-pereklyuchately-shleyf-novogo-obrazca-lada" xr:uid="{A4673D30-5BF0-4292-996A-2BAE0090EF0A}"/>
    <hyperlink ref="V18" r:id="rId30" display="https://motorring.ru/product/20640-motor-elektrobenzonasosa-vie-lada-largus-reno-logan-sandero" xr:uid="{C1CDC99D-8A8D-4430-86A2-3BD8CE3DC31D}"/>
    <hyperlink ref="V11" r:id="rId31" display="https://motorring.ru/product/38942-datchik-faz-vie-dlya-inghektornyh-vaz" xr:uid="{63B58651-03AF-440F-833D-AC4591B40DE6}"/>
    <hyperlink ref="V3" r:id="rId32" display="https://motorring.ru/product/3047-rezistor-elektronnogo-ventilyatora-otopitelya-dlya-lada" xr:uid="{D323390F-7B92-4D8E-9699-A09D5BC575BE}"/>
    <hyperlink ref="V59" r:id="rId33" display="https://motorring.ru/product/19060-standartnaya-drosselynaya-zaslonka-sbore-datchikami-vaz" xr:uid="{B50C8AE3-4911-4DEF-B499-31F10F1971D3}"/>
    <hyperlink ref="V5" r:id="rId34" display="https://motorring.ru/product/13316-prokladka-drosselynoy-zaslonki-vaz-2108-2115-lada-priora-kalina-k" xr:uid="{1F8F2AA8-EB50-4ACC-BC1B-BE88A27C58D7}"/>
    <hyperlink ref="Z7" r:id="rId35" display="https://motorring.ru/product/20635-datchik-skorosti-vie-vaz-2108-21099-mehanicheskoy" xr:uid="{B55BAB1F-04BB-4AE3-AA7B-2E9BCF4FC931}"/>
    <hyperlink ref="Z12" r:id="rId36" display="https://motorring.ru/product/20704-regulyator-davleniya-topliva-vie-380-vaz-2110-2115-lada" xr:uid="{37A5C344-8C07-49A4-8255-F0B3A82B70E6}"/>
    <hyperlink ref="Z14" r:id="rId37" display="https://motorring.ru/product/11342-regulyator-holostogo-hoda-vie-lada-4h4-shevrole-niva" xr:uid="{DFAE869B-17D7-4E51-BBA9-D88C92ED834D}"/>
    <hyperlink ref="Z15" r:id="rId38" display="https://motorring.ru/product/17852" xr:uid="{3F1264EA-7CF6-4544-B179-853076487AE4}"/>
    <hyperlink ref="Z19" r:id="rId39" display="https://motorring.ru/product/20644-forsunka-735-vie-16kl-vaz-2110-2112-lada-kalina-priora" xr:uid="{240F317B-75D9-453B-9A23-351C681733C4}"/>
    <hyperlink ref="Z20" r:id="rId40" display="https://motorring.ru/product/18249-motor-elektrobenzonasosa-2112-povyshennoy" xr:uid="{A20B90E4-BBFB-49F7-81B0-B6E9CF6F98C8}"/>
    <hyperlink ref="Z22" r:id="rId41" display="https://motorring.ru/product/20645-forsunka-6238-vie-vaz-2108-21099-2110-2112-2113-2115" xr:uid="{76B9B7CD-E2FF-4C9D-8631-5B326A0482EF}"/>
    <hyperlink ref="Z28" r:id="rId42" display="https://motorring.ru/product/20639-motor-elektrobenzonasosa-vie-lada-vesta" xr:uid="{0BA647A0-E512-4DD1-9A57-CF11DBBEAB38}"/>
    <hyperlink ref="Z30" r:id="rId43" display="https://motorring.ru/product/3061-moduly-zaghiganiya-soate-vaz-2104-2107-2110-2112-lada" xr:uid="{B6B9E197-C02B-468D-A3BD-B003727E0545}"/>
    <hyperlink ref="Z31" r:id="rId44" display="https://motorring.ru/product/12200-standartnaya-drosselynaya-zaslonka-vaz-2108-2115-2110-2112" xr:uid="{F0DB18F2-D8D2-4F06-8E20-35CFF3D552CA}"/>
    <hyperlink ref="Z32" r:id="rId45" display="https://motorring.ru/product/16635-standartnaya-drosselynaya-zaslonka-lada-4h4-niva-2121-21213" xr:uid="{2A75C8CE-386D-48EF-90C2-0FA2B5E7F6BA}"/>
    <hyperlink ref="Z38" r:id="rId46" display="https://motorring.ru/product/5530-elektrokorrektor-far-dlya-lada-granta" xr:uid="{3B054A76-7F8F-48CE-A4ED-53999A604A79}"/>
    <hyperlink ref="Z39" r:id="rId47" display="https://motorring.ru/product/15607-elektrokorrektor-far-lada-niva" xr:uid="{72D5574E-7525-43A1-93FD-76D3FA8BC5FC}"/>
    <hyperlink ref="Z45" r:id="rId48" display="https://motorring.ru/product/20641-regulyator-holostogo-hoda-vie-vaz-2105-2107-2108-21099" xr:uid="{8D466F42-6F8B-4717-B1AA-572078FF5AAD}"/>
    <hyperlink ref="Z78" r:id="rId49" display="https://motorring.ru/product/40555-drosselynaya-zaslonka-vie-21116-lada-priora-kalina-granta" xr:uid="{A51C7EBA-487B-4BF9-9273-AA0B496F0E53}"/>
    <hyperlink ref="Z77" r:id="rId50" display="https://motorring.ru/product/38951-forsunka-vie-017-dlya-8-klapannyh-vaz-2110-2112-lada-kalina" xr:uid="{E24C485D-AA93-4331-BA3F-364A97B97E70}"/>
    <hyperlink ref="Z75" r:id="rId51" display="https://motorring.ru/product/18249-motor-elektrobenzonasosa-2112-povyshennoy" xr:uid="{7C69525B-F89D-491B-8E1D-82873FF49A30}"/>
    <hyperlink ref="Z74" r:id="rId52" display="https://motorring.ru/product/38958-elektrobenzonasos-sbore-vie-21101-vaz-2110-2112-lada" xr:uid="{411B1351-67C9-4C4B-AABD-A01D6E1CD756}"/>
    <hyperlink ref="Z66" r:id="rId53" display="https://motorring.ru/product/38959-elektrobenzonasos-sbore-vie-vaz-21044-dlya-vaz-2101-2107" xr:uid="{1F086E86-570D-4D69-91F5-B2AB48D89571}"/>
    <hyperlink ref="Z72" r:id="rId54" display="https://motorring.ru/product/38963-elektrobenzonasos-vie-2123-sbore-dlya-shevrole-niva" xr:uid="{ECCCC239-2681-444A-97C6-AD6EA924162F}"/>
    <hyperlink ref="Z71" r:id="rId55" display="https://motorring.ru/product/38962-elektrobenzonas-vie-sbore-novogo-obrazca-shtucere-21313" xr:uid="{FE945F01-744B-4351-BB42-3B1A164A5E89}"/>
    <hyperlink ref="Z70" r:id="rId56" display="https://motorring.ru/product/38961-elektrobenzonas-vie-sbore-starogo-obrazca-gayke-21214" xr:uid="{8408DFC1-AAFD-4800-83A8-3FBE47C741A0}"/>
    <hyperlink ref="Z67" r:id="rId57" display="https://motorring.ru/product/38960-elektrobenzonasos-sbore-vie-vaz-2110-2112-2113-2115" xr:uid="{A13B9784-39C1-46C3-A59A-57A4907DB63F}"/>
    <hyperlink ref="Z64" r:id="rId58" display="https://motorring.ru/product/11342-regulyator-holostogo-hoda-vie-lada-4h4-shevrole-niva" xr:uid="{4450828C-47D1-4C90-9982-B1D5F0B81D69}"/>
    <hyperlink ref="Z63" r:id="rId59" display="https://motorring.ru/product/38946-regulyator-holostogo-hoda-vie-plastikoviy-nakonechnik-lada-niva" xr:uid="{6B1DAD89-3A00-4B4A-B3E6-A101605EDD99}"/>
    <hyperlink ref="Z57" r:id="rId60" display="https://motorring.ru/product/38955-forsunka-vie-72370-dlya-lada-kalina-kalina-priora-granta" xr:uid="{2A027765-9F05-415C-ABF0-0D9B6B0B2C73}"/>
    <hyperlink ref="Z9" r:id="rId61" display="https://motorring.ru/product/20636-datchik-faz-vie-analog-141-3855-vaz" xr:uid="{31124109-EA51-403B-9A1B-3035AC4FDE3E}"/>
    <hyperlink ref="Z24" r:id="rId62" display="https://motorring.ru/product/18963-podrulevoy-pereklyuchately-shleyf-starogo-obrazca-dlya-lada" xr:uid="{B6538087-4284-47F9-81B1-F9C6A85A3631}"/>
    <hyperlink ref="Z23" r:id="rId63" display="https://motorring.ru/product/15358-podrulevoy-pereklyuchately-shleyf-novogo-obrazca-lada" xr:uid="{8DD22FCA-2BE8-42B0-A207-93F8DCE3EB0A}"/>
    <hyperlink ref="Z18" r:id="rId64" display="https://motorring.ru/product/20640-motor-elektrobenzonasosa-vie-lada-largus-reno-logan-sandero" xr:uid="{283CEA38-56A3-498C-8434-8BB270C4F923}"/>
    <hyperlink ref="Z11" r:id="rId65" display="https://motorring.ru/product/38942-datchik-faz-vie-dlya-inghektornyh-vaz" xr:uid="{BA897B5A-18C1-40E7-B870-E50DEC08A91D}"/>
    <hyperlink ref="Z3" r:id="rId66" display="https://motorring.ru/product/3047-rezistor-elektronnogo-ventilyatora-otopitelya-dlya-lada" xr:uid="{D3036471-4E0F-4B7B-A884-B3A7679F0496}"/>
    <hyperlink ref="Z59" r:id="rId67" display="https://motorring.ru/product/19060-standartnaya-drosselynaya-zaslonka-sbore-datchikami-vaz" xr:uid="{98C1EB8F-3C41-4DFF-9244-4C03F9331BF4}"/>
    <hyperlink ref="Z5" r:id="rId68" display="https://motorring.ru/product/13316-prokladka-drosselynoy-zaslonki-vaz-2108-2115-lada-priora-kalina-k" xr:uid="{F001D74D-4A24-4D11-9DFF-F80DE36D3579}"/>
  </hyperlinks>
  <pageMargins left="0.75" right="0.75" top="1" bottom="1" header="0.5" footer="0.5"/>
  <pageSetup paperSize="9" orientation="portrait" verticalDpi="0" r:id="rId69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043FF6-2268-4728-A55D-7A47CF8E9A82}">
  <dimension ref="A1:AF29"/>
  <sheetViews>
    <sheetView showGridLines="0" topLeftCell="B1" workbookViewId="0">
      <pane ySplit="2" topLeftCell="A12" activePane="bottomLeft" state="frozen"/>
      <selection pane="bottomLeft" activeCell="AE17" sqref="AE2:AF17"/>
    </sheetView>
  </sheetViews>
  <sheetFormatPr defaultRowHeight="15" outlineLevelCol="1"/>
  <cols>
    <col min="1" max="1" width="30" style="41" bestFit="1" customWidth="1" outlineLevel="1"/>
    <col min="2" max="3" width="7" style="41" customWidth="1"/>
    <col min="4" max="4" width="36.28515625" style="41" bestFit="1" customWidth="1"/>
    <col min="5" max="5" width="3.28515625" style="41" customWidth="1"/>
    <col min="6" max="6" width="4.85546875" style="41" bestFit="1" customWidth="1"/>
    <col min="7" max="7" width="13.5703125" style="43" bestFit="1" customWidth="1"/>
    <col min="8" max="8" width="6.42578125" style="43" bestFit="1" customWidth="1"/>
    <col min="9" max="9" width="4.85546875" style="41" bestFit="1" customWidth="1"/>
    <col min="10" max="10" width="6.28515625" customWidth="1"/>
    <col min="11" max="11" width="4.42578125" style="46" bestFit="1" customWidth="1"/>
    <col min="12" max="12" width="5" style="43" bestFit="1" customWidth="1"/>
    <col min="13" max="13" width="5.42578125" bestFit="1" customWidth="1"/>
    <col min="14" max="14" width="6.7109375" style="46" bestFit="1" customWidth="1"/>
    <col min="15" max="15" width="6.85546875" style="46" bestFit="1" customWidth="1"/>
    <col min="16" max="16" width="7.42578125" style="46" bestFit="1" customWidth="1"/>
    <col min="17" max="17" width="7.42578125" style="41" bestFit="1" customWidth="1"/>
    <col min="18" max="18" width="5.85546875" style="41" bestFit="1" customWidth="1"/>
    <col min="19" max="19" width="9.28515625" style="41" bestFit="1" customWidth="1"/>
    <col min="20" max="20" width="6.85546875" style="41" bestFit="1" customWidth="1"/>
    <col min="21" max="21" width="8.42578125" style="41" bestFit="1" customWidth="1"/>
    <col min="22" max="22" width="8.140625" style="43" bestFit="1" customWidth="1"/>
    <col min="23" max="23" width="6.5703125" style="43" customWidth="1"/>
    <col min="24" max="24" width="4.85546875" style="41" customWidth="1"/>
    <col min="25" max="25" width="7" style="41" bestFit="1" customWidth="1"/>
    <col min="26" max="26" width="8.140625" style="43" bestFit="1" customWidth="1"/>
    <col min="27" max="27" width="14.42578125" style="41" customWidth="1"/>
    <col min="28" max="28" width="8" style="41" bestFit="1" customWidth="1"/>
    <col min="29" max="29" width="3.140625" style="41" customWidth="1"/>
    <col min="30" max="30" width="7" style="41" bestFit="1" customWidth="1"/>
    <col min="31" max="16384" width="9.140625" style="41"/>
  </cols>
  <sheetData>
    <row r="1" spans="1:32">
      <c r="C1" s="42">
        <v>2</v>
      </c>
      <c r="D1" s="42">
        <v>3</v>
      </c>
      <c r="E1" s="41">
        <v>4</v>
      </c>
      <c r="F1" s="41">
        <v>15</v>
      </c>
      <c r="G1" s="41">
        <v>6</v>
      </c>
      <c r="I1" s="44">
        <f>COUNT(Кат!$V:$V,Торг!$V:$V)/COUNT(Кат!$A:$A,Торг!$B:$B)</f>
        <v>0.46153846153846156</v>
      </c>
      <c r="J1" s="47"/>
      <c r="L1" s="4">
        <f t="shared" ref="L1" si="0">K1*J1</f>
        <v>0</v>
      </c>
      <c r="M1" s="47"/>
      <c r="N1" s="41">
        <v>9</v>
      </c>
      <c r="O1" s="41">
        <v>10</v>
      </c>
      <c r="P1" s="43"/>
      <c r="Q1" s="43"/>
      <c r="S1" s="48" t="str">
        <f>_xlfn.CONCAT(ROUND(MIN(S3:S29)*100,0),"-",ROUND(MAX(S3:S29)*100,0),"%")</f>
        <v>25-41%</v>
      </c>
      <c r="T1" s="48" t="str">
        <f>_xlfn.CONCAT(ROUND(SUBTOTAL(5,T3:T29)*100,0)," - ",ROUND(SUBTOTAL(4,T3:T29)*100,0),"%")</f>
        <v>1 - 2%</v>
      </c>
      <c r="U1" s="48" t="str">
        <f>_xlfn.CONCAT(ROUND(SUBTOTAL(5,U3:U29)*100,0)," - ",ROUND(SUBTOTAL(4,U3:U29)*100,0),"%")</f>
        <v>33 - 43%</v>
      </c>
      <c r="V1" s="47"/>
      <c r="W1" s="43">
        <v>6</v>
      </c>
      <c r="Z1" s="47"/>
      <c r="AB1" s="41">
        <v>7</v>
      </c>
      <c r="AD1" s="69">
        <f>AK1</f>
        <v>0</v>
      </c>
    </row>
    <row r="2" spans="1:32">
      <c r="A2" s="13" t="s">
        <v>222</v>
      </c>
      <c r="B2" s="65" t="s">
        <v>0</v>
      </c>
      <c r="C2" s="17" t="s">
        <v>198</v>
      </c>
      <c r="D2" s="17" t="s">
        <v>121</v>
      </c>
      <c r="E2" s="17"/>
      <c r="F2" s="17"/>
      <c r="G2" s="17" t="s">
        <v>197</v>
      </c>
      <c r="H2" s="4" t="s">
        <v>276</v>
      </c>
      <c r="I2" s="65"/>
      <c r="J2" s="38" t="s">
        <v>18</v>
      </c>
      <c r="K2" s="58"/>
      <c r="L2" s="4"/>
      <c r="M2" s="38" t="s">
        <v>275</v>
      </c>
      <c r="N2" s="17" t="s">
        <v>196</v>
      </c>
      <c r="O2" s="17" t="s">
        <v>195</v>
      </c>
      <c r="P2" s="18" t="s">
        <v>19</v>
      </c>
      <c r="Q2" s="18" t="s">
        <v>19</v>
      </c>
      <c r="R2" s="20">
        <v>7.0000000000000007E-2</v>
      </c>
      <c r="S2" s="53" t="s">
        <v>22</v>
      </c>
      <c r="T2" s="53" t="s">
        <v>20</v>
      </c>
      <c r="U2" s="53" t="s">
        <v>21</v>
      </c>
      <c r="V2" s="66" t="s">
        <v>193</v>
      </c>
      <c r="W2" s="70" t="s">
        <v>282</v>
      </c>
      <c r="X2" s="21"/>
      <c r="Y2" s="21" t="s">
        <v>283</v>
      </c>
      <c r="Z2" s="66" t="s">
        <v>193</v>
      </c>
      <c r="AA2" s="41" t="s">
        <v>193</v>
      </c>
      <c r="AB2" s="70" t="s">
        <v>282</v>
      </c>
      <c r="AC2" s="21"/>
      <c r="AD2" s="21" t="s">
        <v>283</v>
      </c>
      <c r="AE2" s="68" t="s">
        <v>281</v>
      </c>
      <c r="AF2" s="55" t="s">
        <v>281</v>
      </c>
    </row>
    <row r="3" spans="1:32" ht="75">
      <c r="A3" s="57" t="str">
        <f>INDEX('Выгр Торг'!$A:$A,MATCH($B3,'Выгр Торг'!$B:$B,0))</f>
        <v>Дроссельная заслонка "ВИЭ" в сборе с датчиками (52 / 54 / 56 мм) для ВАЗ (2108-21099, 2113-2115, 2110-2112), Лада (Приора, Калина)</v>
      </c>
      <c r="B3" s="56">
        <v>244514</v>
      </c>
      <c r="C3" s="56">
        <f>VLOOKUP($B3,'Выгр Торг'!$B:$Q,C$1,0)</f>
        <v>175675</v>
      </c>
      <c r="D3" s="57" t="str">
        <f>VLOOKUP($B3,'Выгр Торг'!$B:$Q,D$1,0)</f>
        <v>Дроссельная заслонка "ВИЭ" в сборе с датчиками для ВАЗ (2108-21099, 2113-2115, 2110-2112), Лада (Приора, Калина) (52 мм)</v>
      </c>
      <c r="E3" s="56" t="str">
        <f>VLOOKUP($B3,'Выгр Торг'!$B:$Q,E$1,0)</f>
        <v>Y</v>
      </c>
      <c r="F3" s="56" t="str">
        <f>VLOOKUP($B3,'Выгр Торг'!$B:$Q,F$1,0)</f>
        <v>1</v>
      </c>
      <c r="G3" s="56">
        <f>VLOOKUP($B3,'Выгр Торг'!$B:$Q,G$1,0)</f>
        <v>0</v>
      </c>
      <c r="H3" s="4"/>
      <c r="I3" s="5" t="s">
        <v>41</v>
      </c>
      <c r="J3" s="67">
        <f>N3</f>
        <v>1700</v>
      </c>
      <c r="K3" s="58">
        <f>VLOOKUP(J3,Наценка!$A$1:$B$8,2,1)</f>
        <v>1.32</v>
      </c>
      <c r="L3" s="4">
        <f t="shared" ref="L3" si="1">K3*J3</f>
        <v>2244</v>
      </c>
      <c r="M3" s="38">
        <f t="shared" ref="M3" si="2">IF(L3&lt;=1000,(ROUNDUP(L3,-1)-1),(ROUNDUP(L3,-2)-10))</f>
        <v>2290</v>
      </c>
      <c r="N3" s="56">
        <f>VLOOKUP($B3,'Выгр Торг'!$B:$Q,N$1,0)</f>
        <v>1700</v>
      </c>
      <c r="O3" s="56">
        <f>VLOOKUP($B3,'Выгр Торг'!$B:$Q,O$1,0)</f>
        <v>2290</v>
      </c>
      <c r="P3" s="18">
        <f>N3-J3</f>
        <v>0</v>
      </c>
      <c r="Q3" s="18">
        <f>O3-M3</f>
        <v>0</v>
      </c>
      <c r="R3" s="22">
        <f>IFERROR(M3*(1-$R$2),"")</f>
        <v>2129.6999999999998</v>
      </c>
      <c r="S3" s="59">
        <f>IFERROR(R3/J3-1,"")</f>
        <v>0.25276470588235278</v>
      </c>
      <c r="T3" s="59" t="str">
        <f>IFERROR((V3-R3)/V3,"")</f>
        <v/>
      </c>
      <c r="U3" s="59" t="str">
        <f>IFERROR(IF(V3="","",V3/J3-1),"")</f>
        <v/>
      </c>
      <c r="V3" s="61"/>
      <c r="W3" s="29" t="str">
        <f>IFERROR((VLOOKUP($B3,'Из ГУГЛа'!$B:$G,W$1,0)+Y3)*X3,VLOOKUP($B3,'Из ГУГЛа'!$B:$G,W$1,0))</f>
        <v/>
      </c>
      <c r="X3" s="1">
        <v>1</v>
      </c>
      <c r="Y3" s="1"/>
      <c r="Z3" s="61"/>
      <c r="AB3" s="29">
        <f>IFERROR((VLOOKUP($B3,'Из ГУГЛа'!$B:$Z,AB$1,0)+AD3)*AC3,VLOOKUP($B3,'Из ГУГЛа'!$B:$Z,AB$1,0))</f>
        <v>0</v>
      </c>
      <c r="AC3" s="1">
        <v>1</v>
      </c>
      <c r="AD3" s="1">
        <v>0</v>
      </c>
      <c r="AE3" s="56"/>
    </row>
    <row r="4" spans="1:32" ht="75">
      <c r="A4" s="57" t="str">
        <f>INDEX('Выгр Торг'!$A:$A,MATCH($B4,'Выгр Торг'!$B:$B,0))</f>
        <v>Дроссельная заслонка "ВИЭ" в сборе с датчиками (52 / 54 / 56 мм) для ВАЗ (2108-21099, 2113-2115, 2110-2112), Лада (Приора, Калина)</v>
      </c>
      <c r="B4" s="56">
        <v>244515</v>
      </c>
      <c r="C4" s="56">
        <f>VLOOKUP($B4,'Выгр Торг'!$B:$Q,C$1,0)</f>
        <v>175676</v>
      </c>
      <c r="D4" s="57" t="str">
        <f>VLOOKUP($B4,'Выгр Торг'!$B:$Q,D$1,0)</f>
        <v>Дроссельная заслонка "ВИЭ" в сборе с датчиками для ВАЗ (2108-21099, 2113-2115, 2110-2112), Лада (Приора, Калина) (54 мм)</v>
      </c>
      <c r="E4" s="56" t="str">
        <f>VLOOKUP($B4,'Выгр Торг'!$B:$Q,E$1,0)</f>
        <v>Y</v>
      </c>
      <c r="F4" s="56" t="str">
        <f>VLOOKUP($B4,'Выгр Торг'!$B:$Q,F$1,0)</f>
        <v>1ск6</v>
      </c>
      <c r="G4" s="56">
        <f>VLOOKUP($B4,'Выгр Торг'!$B:$Q,G$1,0)</f>
        <v>0</v>
      </c>
      <c r="H4" s="4"/>
      <c r="I4" s="5" t="s">
        <v>41</v>
      </c>
      <c r="J4" s="67">
        <f t="shared" ref="J4:J17" si="3">N4</f>
        <v>1700</v>
      </c>
      <c r="K4" s="58">
        <f>VLOOKUP(J4,Наценка!$A$1:$B$8,2,1)</f>
        <v>1.32</v>
      </c>
      <c r="L4" s="4">
        <f t="shared" ref="L4:L8" si="4">K4*J4</f>
        <v>2244</v>
      </c>
      <c r="M4" s="38">
        <f t="shared" ref="M4:M17" si="5">IF(L4&lt;=1000,(ROUNDUP(L4,-1)-1),(ROUNDUP(L4,-2)-10))</f>
        <v>2290</v>
      </c>
      <c r="N4" s="56">
        <f>VLOOKUP($B4,'Выгр Торг'!$B:$Q,N$1,0)</f>
        <v>1700</v>
      </c>
      <c r="O4" s="56">
        <f>VLOOKUP($B4,'Выгр Торг'!$B:$Q,O$1,0)</f>
        <v>2290</v>
      </c>
      <c r="P4" s="18">
        <f t="shared" ref="P4:P17" si="6">N4-J4</f>
        <v>0</v>
      </c>
      <c r="Q4" s="18">
        <f t="shared" ref="Q4:Q17" si="7">O4-M4</f>
        <v>0</v>
      </c>
      <c r="R4" s="22">
        <f t="shared" ref="R4:R17" si="8">IFERROR(M4*(1-$R$2),"")</f>
        <v>2129.6999999999998</v>
      </c>
      <c r="S4" s="59">
        <f>IFERROR(R4/J4-1,"")</f>
        <v>0.25276470588235278</v>
      </c>
      <c r="T4" s="59" t="str">
        <f>IFERROR((V4-R4)/V4,"")</f>
        <v/>
      </c>
      <c r="U4" s="59" t="str">
        <f>IFERROR(IF(V4="","",V4/J4-1),"")</f>
        <v/>
      </c>
      <c r="V4" s="61"/>
      <c r="W4" s="29" t="str">
        <f>IFERROR((VLOOKUP($B4,'Из ГУГЛа'!$B:$G,W$1,0)+Y4)*X4,VLOOKUP($B4,'Из ГУГЛа'!$B:$G,W$1,0))</f>
        <v/>
      </c>
      <c r="X4" s="1">
        <v>1</v>
      </c>
      <c r="Y4" s="1"/>
      <c r="Z4" s="61"/>
      <c r="AB4" s="29">
        <f>IFERROR((VLOOKUP($B4,'Из ГУГЛа'!$B:$Z,AB$1,0)+AD4)*AC4,VLOOKUP($B4,'Из ГУГЛа'!$B:$Z,AB$1,0))</f>
        <v>0</v>
      </c>
      <c r="AC4" s="1">
        <v>1</v>
      </c>
      <c r="AD4" s="1">
        <v>0</v>
      </c>
      <c r="AE4" s="56"/>
    </row>
    <row r="5" spans="1:32" ht="75">
      <c r="A5" s="57" t="str">
        <f>INDEX('Выгр Торг'!$A:$A,MATCH($B5,'Выгр Торг'!$B:$B,0))</f>
        <v>Дроссельная заслонка "ВИЭ" в сборе с датчиками (52 / 54 / 56 мм) для ВАЗ (2108-21099, 2113-2115, 2110-2112), Лада (Приора, Калина)</v>
      </c>
      <c r="B5" s="56">
        <v>244516</v>
      </c>
      <c r="C5" s="56">
        <f>VLOOKUP($B5,'Выгр Торг'!$B:$Q,C$1,0)</f>
        <v>175677</v>
      </c>
      <c r="D5" s="57" t="str">
        <f>VLOOKUP($B5,'Выгр Торг'!$B:$Q,D$1,0)</f>
        <v>Дроссельная заслонка "ВИЭ" в сборе с датчиками для ВАЗ (2108-21099, 2113-2115, 2110-2112), Лада (Приора, Калина) (56 мм)</v>
      </c>
      <c r="E5" s="56" t="str">
        <f>VLOOKUP($B5,'Выгр Торг'!$B:$Q,E$1,0)</f>
        <v>Y</v>
      </c>
      <c r="F5" s="56" t="str">
        <f>VLOOKUP($B5,'Выгр Торг'!$B:$Q,F$1,0)</f>
        <v>1</v>
      </c>
      <c r="G5" s="56">
        <f>VLOOKUP($B5,'Выгр Торг'!$B:$Q,G$1,0)</f>
        <v>0</v>
      </c>
      <c r="H5" s="4"/>
      <c r="I5" s="5" t="s">
        <v>41</v>
      </c>
      <c r="J5" s="67">
        <f t="shared" si="3"/>
        <v>1700</v>
      </c>
      <c r="K5" s="58">
        <f>VLOOKUP(J5,Наценка!$A$1:$B$8,2,1)</f>
        <v>1.32</v>
      </c>
      <c r="L5" s="4">
        <f t="shared" si="4"/>
        <v>2244</v>
      </c>
      <c r="M5" s="38">
        <f t="shared" si="5"/>
        <v>2290</v>
      </c>
      <c r="N5" s="56">
        <f>VLOOKUP($B5,'Выгр Торг'!$B:$Q,N$1,0)</f>
        <v>1700</v>
      </c>
      <c r="O5" s="56">
        <f>VLOOKUP($B5,'Выгр Торг'!$B:$Q,O$1,0)</f>
        <v>2290</v>
      </c>
      <c r="P5" s="18">
        <f t="shared" si="6"/>
        <v>0</v>
      </c>
      <c r="Q5" s="18">
        <f t="shared" si="7"/>
        <v>0</v>
      </c>
      <c r="R5" s="22">
        <f t="shared" si="8"/>
        <v>2129.6999999999998</v>
      </c>
      <c r="S5" s="59">
        <f>IFERROR(R5/J5-1,"")</f>
        <v>0.25276470588235278</v>
      </c>
      <c r="T5" s="59" t="str">
        <f>IFERROR((V5-R5)/V5,"")</f>
        <v/>
      </c>
      <c r="U5" s="59" t="str">
        <f>IFERROR(IF(V5="","",V5/J5-1),"")</f>
        <v/>
      </c>
      <c r="V5" s="61"/>
      <c r="W5" s="29" t="str">
        <f>IFERROR((VLOOKUP($B5,'Из ГУГЛа'!$B:$G,W$1,0)+Y5)*X5,VLOOKUP($B5,'Из ГУГЛа'!$B:$G,W$1,0))</f>
        <v/>
      </c>
      <c r="X5" s="1">
        <v>1</v>
      </c>
      <c r="Y5" s="1"/>
      <c r="Z5" s="61"/>
      <c r="AB5" s="29">
        <f>IFERROR((VLOOKUP($B5,'Из ГУГЛа'!$B:$Z,AB$1,0)+AD5)*AC5,VLOOKUP($B5,'Из ГУГЛа'!$B:$Z,AB$1,0))</f>
        <v>0</v>
      </c>
      <c r="AC5" s="1">
        <v>1</v>
      </c>
      <c r="AD5" s="1">
        <v>0</v>
      </c>
      <c r="AE5" s="56"/>
    </row>
    <row r="6" spans="1:32" ht="60">
      <c r="A6" s="57" t="str">
        <f>INDEX('Выгр Торг'!$A:$A,MATCH($B6,'Выгр Торг'!$B:$B,0))</f>
        <v>Дроссельная заслонка "ВИЭ" в сборе с датчиками (52 / 54 / 56 мм) для Лада Нива 4х4, Шевроле Нива</v>
      </c>
      <c r="B6" s="56">
        <v>244517</v>
      </c>
      <c r="C6" s="56">
        <f>VLOOKUP($B6,'Выгр Торг'!$B:$Q,C$1,0)</f>
        <v>175680</v>
      </c>
      <c r="D6" s="57" t="str">
        <f>VLOOKUP($B6,'Выгр Торг'!$B:$Q,D$1,0)</f>
        <v>Дроссельная заслонка "ВИЭ" в сборе с датчиками для Лада Нива 4х4, Шевроле Нива (52 мм)</v>
      </c>
      <c r="E6" s="56" t="str">
        <f>VLOOKUP($B6,'Выгр Торг'!$B:$Q,E$1,0)</f>
        <v>Y</v>
      </c>
      <c r="F6" s="56" t="str">
        <f>VLOOKUP($B6,'Выгр Торг'!$B:$Q,F$1,0)</f>
        <v>1</v>
      </c>
      <c r="G6" s="56">
        <f>VLOOKUP($B6,'Выгр Торг'!$B:$Q,G$1,0)</f>
        <v>0</v>
      </c>
      <c r="H6" s="4"/>
      <c r="I6" s="5" t="s">
        <v>41</v>
      </c>
      <c r="J6" s="67">
        <v>1850</v>
      </c>
      <c r="K6" s="58">
        <f>VLOOKUP(J6,Наценка!$A$1:$B$8,2,1)</f>
        <v>1.32</v>
      </c>
      <c r="L6" s="4">
        <f t="shared" si="4"/>
        <v>2442</v>
      </c>
      <c r="M6" s="38">
        <f t="shared" si="5"/>
        <v>2490</v>
      </c>
      <c r="N6" s="56">
        <f>VLOOKUP($B6,'Выгр Торг'!$B:$Q,N$1,0)</f>
        <v>1850</v>
      </c>
      <c r="O6" s="56">
        <f>VLOOKUP($B6,'Выгр Торг'!$B:$Q,O$1,0)</f>
        <v>2490</v>
      </c>
      <c r="P6" s="18">
        <f t="shared" si="6"/>
        <v>0</v>
      </c>
      <c r="Q6" s="18">
        <f t="shared" si="7"/>
        <v>0</v>
      </c>
      <c r="R6" s="22">
        <f t="shared" si="8"/>
        <v>2315.6999999999998</v>
      </c>
      <c r="S6" s="59">
        <f>IFERROR(R6/J6-1,"")</f>
        <v>0.25172972972972962</v>
      </c>
      <c r="T6" s="59" t="str">
        <f>IFERROR((V6-R6)/V6,"")</f>
        <v/>
      </c>
      <c r="U6" s="59" t="str">
        <f>IFERROR(IF(V6="","",V6/J6-1),"")</f>
        <v/>
      </c>
      <c r="V6" s="61"/>
      <c r="W6" s="29" t="str">
        <f>IFERROR((VLOOKUP($B6,'Из ГУГЛа'!$B:$G,W$1,0)+Y6)*X6,VLOOKUP($B6,'Из ГУГЛа'!$B:$G,W$1,0))</f>
        <v/>
      </c>
      <c r="X6" s="1">
        <v>1</v>
      </c>
      <c r="Y6" s="1"/>
      <c r="Z6" s="61"/>
      <c r="AB6" s="29">
        <f>IFERROR((VLOOKUP($B6,'Из ГУГЛа'!$B:$Z,AB$1,0)+AD6)*AC6,VLOOKUP($B6,'Из ГУГЛа'!$B:$Z,AB$1,0))</f>
        <v>0</v>
      </c>
      <c r="AC6" s="1">
        <v>1</v>
      </c>
      <c r="AD6" s="1">
        <v>0</v>
      </c>
      <c r="AE6" s="56"/>
    </row>
    <row r="7" spans="1:32" ht="60">
      <c r="A7" s="57" t="str">
        <f>INDEX('Выгр Торг'!$A:$A,MATCH($B7,'Выгр Торг'!$B:$B,0))</f>
        <v>Дроссельная заслонка "ВИЭ" в сборе с датчиками (52 / 54 / 56 мм) для Лада Нива 4х4, Шевроле Нива</v>
      </c>
      <c r="B7" s="56">
        <v>244518</v>
      </c>
      <c r="C7" s="56">
        <f>VLOOKUP($B7,'Выгр Торг'!$B:$Q,C$1,0)</f>
        <v>175681</v>
      </c>
      <c r="D7" s="57" t="str">
        <f>VLOOKUP($B7,'Выгр Торг'!$B:$Q,D$1,0)</f>
        <v>Дроссельная заслонка "ВИЭ" в сборе с датчиками для Лада Нива 4х4, Шевроле Нива (54 мм)</v>
      </c>
      <c r="E7" s="56" t="str">
        <f>VLOOKUP($B7,'Выгр Торг'!$B:$Q,E$1,0)</f>
        <v>Y</v>
      </c>
      <c r="F7" s="56" t="str">
        <f>VLOOKUP($B7,'Выгр Торг'!$B:$Q,F$1,0)</f>
        <v>1</v>
      </c>
      <c r="G7" s="56">
        <f>VLOOKUP($B7,'Выгр Торг'!$B:$Q,G$1,0)</f>
        <v>0</v>
      </c>
      <c r="H7" s="4"/>
      <c r="I7" s="5" t="s">
        <v>41</v>
      </c>
      <c r="J7" s="67">
        <v>1850</v>
      </c>
      <c r="K7" s="58">
        <f>VLOOKUP(J7,Наценка!$A$1:$B$8,2,1)</f>
        <v>1.32</v>
      </c>
      <c r="L7" s="4">
        <f t="shared" si="4"/>
        <v>2442</v>
      </c>
      <c r="M7" s="38">
        <f t="shared" si="5"/>
        <v>2490</v>
      </c>
      <c r="N7" s="56">
        <f>VLOOKUP($B7,'Выгр Торг'!$B:$Q,N$1,0)</f>
        <v>1850</v>
      </c>
      <c r="O7" s="56">
        <f>VLOOKUP($B7,'Выгр Торг'!$B:$Q,O$1,0)</f>
        <v>2490</v>
      </c>
      <c r="P7" s="18">
        <f t="shared" si="6"/>
        <v>0</v>
      </c>
      <c r="Q7" s="18">
        <f t="shared" si="7"/>
        <v>0</v>
      </c>
      <c r="R7" s="22">
        <f t="shared" si="8"/>
        <v>2315.6999999999998</v>
      </c>
      <c r="S7" s="59">
        <f>IFERROR(R7/J7-1,"")</f>
        <v>0.25172972972972962</v>
      </c>
      <c r="T7" s="59" t="str">
        <f>IFERROR((V7-R7)/V7,"")</f>
        <v/>
      </c>
      <c r="U7" s="59" t="str">
        <f>IFERROR(IF(V7="","",V7/J7-1),"")</f>
        <v/>
      </c>
      <c r="V7" s="61"/>
      <c r="W7" s="29" t="str">
        <f>IFERROR((VLOOKUP($B7,'Из ГУГЛа'!$B:$G,W$1,0)+Y7)*X7,VLOOKUP($B7,'Из ГУГЛа'!$B:$G,W$1,0))</f>
        <v/>
      </c>
      <c r="X7" s="1">
        <v>1</v>
      </c>
      <c r="Y7" s="1"/>
      <c r="Z7" s="61"/>
      <c r="AB7" s="29">
        <f>IFERROR((VLOOKUP($B7,'Из ГУГЛа'!$B:$Z,AB$1,0)+AD7)*AC7,VLOOKUP($B7,'Из ГУГЛа'!$B:$Z,AB$1,0))</f>
        <v>0</v>
      </c>
      <c r="AC7" s="1">
        <v>1</v>
      </c>
      <c r="AD7" s="1">
        <v>0</v>
      </c>
      <c r="AE7" s="56"/>
    </row>
    <row r="8" spans="1:32" ht="60">
      <c r="A8" s="57" t="str">
        <f>INDEX('Выгр Торг'!$A:$A,MATCH($B8,'Выгр Торг'!$B:$B,0))</f>
        <v>Дроссельная заслонка "ВИЭ" в сборе с датчиками (52 / 54 / 56 мм) для Лада Нива 4х4, Шевроле Нива</v>
      </c>
      <c r="B8" s="56">
        <v>244519</v>
      </c>
      <c r="C8" s="56">
        <f>VLOOKUP($B8,'Выгр Торг'!$B:$Q,C$1,0)</f>
        <v>175682</v>
      </c>
      <c r="D8" s="57" t="str">
        <f>VLOOKUP($B8,'Выгр Торг'!$B:$Q,D$1,0)</f>
        <v>Дроссельная заслонка "ВИЭ" в сборе с датчиками для Лада Нива 4х4, Шевроле Нива (56 мм)</v>
      </c>
      <c r="E8" s="56" t="str">
        <f>VLOOKUP($B8,'Выгр Торг'!$B:$Q,E$1,0)</f>
        <v>Y</v>
      </c>
      <c r="F8" s="56" t="str">
        <f>VLOOKUP($B8,'Выгр Торг'!$B:$Q,F$1,0)</f>
        <v>1</v>
      </c>
      <c r="G8" s="56">
        <f>VLOOKUP($B8,'Выгр Торг'!$B:$Q,G$1,0)</f>
        <v>0</v>
      </c>
      <c r="H8" s="4"/>
      <c r="I8" s="5" t="s">
        <v>41</v>
      </c>
      <c r="J8" s="67">
        <v>1850</v>
      </c>
      <c r="K8" s="58">
        <f>VLOOKUP(J8,Наценка!$A$1:$B$8,2,1)</f>
        <v>1.32</v>
      </c>
      <c r="L8" s="4">
        <f t="shared" si="4"/>
        <v>2442</v>
      </c>
      <c r="M8" s="38">
        <f t="shared" si="5"/>
        <v>2490</v>
      </c>
      <c r="N8" s="56">
        <f>VLOOKUP($B8,'Выгр Торг'!$B:$Q,N$1,0)</f>
        <v>1850</v>
      </c>
      <c r="O8" s="56">
        <f>VLOOKUP($B8,'Выгр Торг'!$B:$Q,O$1,0)</f>
        <v>2490</v>
      </c>
      <c r="P8" s="18">
        <f t="shared" si="6"/>
        <v>0</v>
      </c>
      <c r="Q8" s="18">
        <f t="shared" si="7"/>
        <v>0</v>
      </c>
      <c r="R8" s="22">
        <f t="shared" si="8"/>
        <v>2315.6999999999998</v>
      </c>
      <c r="S8" s="59">
        <f>IFERROR(R8/J8-1,"")</f>
        <v>0.25172972972972962</v>
      </c>
      <c r="T8" s="59" t="str">
        <f>IFERROR((V8-R8)/V8,"")</f>
        <v/>
      </c>
      <c r="U8" s="59" t="str">
        <f>IFERROR(IF(V8="","",V8/J8-1),"")</f>
        <v/>
      </c>
      <c r="V8" s="61"/>
      <c r="W8" s="29" t="str">
        <f>IFERROR((VLOOKUP($B8,'Из ГУГЛа'!$B:$G,W$1,0)+Y8)*X8,VLOOKUP($B8,'Из ГУГЛа'!$B:$G,W$1,0))</f>
        <v/>
      </c>
      <c r="X8" s="1">
        <v>1</v>
      </c>
      <c r="Y8" s="1"/>
      <c r="Z8" s="61"/>
      <c r="AB8" s="29">
        <f>IFERROR((VLOOKUP($B8,'Из ГУГЛа'!$B:$Z,AB$1,0)+AD8)*AC8,VLOOKUP($B8,'Из ГУГЛа'!$B:$Z,AB$1,0))</f>
        <v>0</v>
      </c>
      <c r="AC8" s="1">
        <v>1</v>
      </c>
      <c r="AD8" s="1">
        <v>0</v>
      </c>
      <c r="AE8" s="56"/>
    </row>
    <row r="9" spans="1:32" ht="45.75" thickBot="1">
      <c r="A9" s="57" t="str">
        <f>INDEX('Выгр Торг'!$A:$A,MATCH($B9,'Выгр Торг'!$B:$B,0))</f>
        <v>Дроссельная заслонка "ВИЭ" (52 / 54 / 56 мм) для ВАЗ 2101, 2104, 2105, 2106, 2107</v>
      </c>
      <c r="B9" s="56">
        <v>244523</v>
      </c>
      <c r="C9" s="56">
        <f>VLOOKUP($B9,'Выгр Торг'!$B:$Q,C$1,0)</f>
        <v>175667</v>
      </c>
      <c r="D9" s="57" t="str">
        <f>VLOOKUP($B9,'Выгр Торг'!$B:$Q,D$1,0)</f>
        <v>Дроссельная заслонка "ВИЭ" для ВАЗ 2101, 2104, 2105, 2106, 2107 (52 мм)</v>
      </c>
      <c r="E9" s="56" t="str">
        <f>VLOOKUP($B9,'Выгр Торг'!$B:$Q,E$1,0)</f>
        <v>Y</v>
      </c>
      <c r="F9" s="56" t="str">
        <f>VLOOKUP($B9,'Выгр Торг'!$B:$Q,F$1,0)</f>
        <v>1ск6</v>
      </c>
      <c r="G9" s="56">
        <f>VLOOKUP($B9,'Выгр Торг'!$B:$Q,G$1,0)</f>
        <v>0</v>
      </c>
      <c r="H9" s="4"/>
      <c r="I9" s="5" t="s">
        <v>41</v>
      </c>
      <c r="J9" s="67">
        <f t="shared" si="3"/>
        <v>1250</v>
      </c>
      <c r="K9" s="58">
        <f>VLOOKUP(J9,Наценка!$A$1:$B$8,2,1)</f>
        <v>1.32</v>
      </c>
      <c r="L9" s="26">
        <f t="shared" ref="L9:L16" si="9">V9*1.06</f>
        <v>1791.4</v>
      </c>
      <c r="M9" s="38">
        <f t="shared" si="5"/>
        <v>1790</v>
      </c>
      <c r="N9" s="56">
        <f>VLOOKUP($B9,'Выгр Торг'!$B:$Q,N$1,0)</f>
        <v>1250</v>
      </c>
      <c r="O9" s="56">
        <f>VLOOKUP($B9,'Выгр Торг'!$B:$Q,O$1,0)</f>
        <v>1890</v>
      </c>
      <c r="P9" s="18">
        <f t="shared" si="6"/>
        <v>0</v>
      </c>
      <c r="Q9" s="18">
        <f t="shared" si="7"/>
        <v>100</v>
      </c>
      <c r="R9" s="22">
        <f t="shared" si="8"/>
        <v>1664.6999999999998</v>
      </c>
      <c r="S9" s="59">
        <f>IFERROR(R9/J9-1,"")</f>
        <v>0.33175999999999983</v>
      </c>
      <c r="T9" s="59">
        <f>IFERROR((V9-R9)/V9,"")</f>
        <v>1.497041420118354E-2</v>
      </c>
      <c r="U9" s="59">
        <f>IFERROR(IF(V9="","",V9/J9-1),"")</f>
        <v>0.35200000000000009</v>
      </c>
      <c r="V9" s="62">
        <v>1690</v>
      </c>
      <c r="W9" s="29">
        <f>IFERROR((VLOOKUP($B9,'Из ГУГЛа'!$B:$G,W$1,0)+Y9)*X9,VLOOKUP($B9,'Из ГУГЛа'!$B:$G,W$1,0))</f>
        <v>1690</v>
      </c>
      <c r="X9" s="1">
        <v>1</v>
      </c>
      <c r="Y9" s="1"/>
      <c r="Z9" s="62">
        <v>1690</v>
      </c>
      <c r="AA9" s="41" t="s">
        <v>157</v>
      </c>
      <c r="AB9" s="29">
        <f>IFERROR((VLOOKUP($B9,'Из ГУГЛа'!$B:$Z,AB$1,0)+AD9)*AC9,VLOOKUP($B9,'Из ГУГЛа'!$B:$Z,AB$1,0))</f>
        <v>0</v>
      </c>
      <c r="AC9" s="1">
        <v>1</v>
      </c>
      <c r="AD9" s="1">
        <v>0</v>
      </c>
      <c r="AE9" s="56"/>
    </row>
    <row r="10" spans="1:32" ht="46.5" thickTop="1" thickBot="1">
      <c r="A10" s="57" t="str">
        <f>INDEX('Выгр Торг'!$A:$A,MATCH($B10,'Выгр Торг'!$B:$B,0))</f>
        <v>Дроссельная заслонка "ВИЭ" (52 / 54 / 56 мм) для ВАЗ 2101, 2104, 2105, 2106, 2107</v>
      </c>
      <c r="B10" s="56">
        <v>244524</v>
      </c>
      <c r="C10" s="56">
        <f>VLOOKUP($B10,'Выгр Торг'!$B:$Q,C$1,0)</f>
        <v>175668</v>
      </c>
      <c r="D10" s="57" t="str">
        <f>VLOOKUP($B10,'Выгр Торг'!$B:$Q,D$1,0)</f>
        <v>Дроссельная заслонка "ВИЭ" для ВАЗ 2101, 2104, 2105, 2106, 2107 (54 мм)</v>
      </c>
      <c r="E10" s="56" t="str">
        <f>VLOOKUP($B10,'Выгр Торг'!$B:$Q,E$1,0)</f>
        <v>Y</v>
      </c>
      <c r="F10" s="56" t="str">
        <f>VLOOKUP($B10,'Выгр Торг'!$B:$Q,F$1,0)</f>
        <v>1</v>
      </c>
      <c r="G10" s="56">
        <f>VLOOKUP($B10,'Выгр Торг'!$B:$Q,G$1,0)</f>
        <v>0</v>
      </c>
      <c r="H10" s="4"/>
      <c r="I10" s="5" t="s">
        <v>41</v>
      </c>
      <c r="J10" s="67">
        <f t="shared" si="3"/>
        <v>1250</v>
      </c>
      <c r="K10" s="58">
        <f>VLOOKUP(J10,Наценка!$A$1:$B$8,2,1)</f>
        <v>1.32</v>
      </c>
      <c r="L10" s="26">
        <f t="shared" si="9"/>
        <v>1897.4</v>
      </c>
      <c r="M10" s="38">
        <f t="shared" si="5"/>
        <v>1890</v>
      </c>
      <c r="N10" s="56">
        <f>VLOOKUP($B10,'Выгр Торг'!$B:$Q,N$1,0)</f>
        <v>1250</v>
      </c>
      <c r="O10" s="56">
        <f>VLOOKUP($B10,'Выгр Торг'!$B:$Q,O$1,0)</f>
        <v>1790</v>
      </c>
      <c r="P10" s="18">
        <f t="shared" si="6"/>
        <v>0</v>
      </c>
      <c r="Q10" s="18">
        <f t="shared" si="7"/>
        <v>-100</v>
      </c>
      <c r="R10" s="22">
        <f t="shared" si="8"/>
        <v>1757.6999999999998</v>
      </c>
      <c r="S10" s="59">
        <f>IFERROR(R10/J10-1,"")</f>
        <v>0.40615999999999985</v>
      </c>
      <c r="T10" s="59">
        <f>IFERROR((V10-R10)/V10,"")</f>
        <v>1.8044692737430271E-2</v>
      </c>
      <c r="U10" s="59">
        <f>IFERROR(IF(V10="","",V10/J10-1),"")</f>
        <v>0.43199999999999994</v>
      </c>
      <c r="V10" s="62">
        <v>1790</v>
      </c>
      <c r="W10" s="29">
        <f>IFERROR((VLOOKUP($B10,'Из ГУГЛа'!$B:$G,W$1,0)+Y10)*X10,VLOOKUP($B10,'Из ГУГЛа'!$B:$G,W$1,0))</f>
        <v>1790</v>
      </c>
      <c r="X10" s="1">
        <v>1</v>
      </c>
      <c r="Y10" s="1"/>
      <c r="Z10" s="62">
        <v>1790</v>
      </c>
      <c r="AA10" s="41" t="s">
        <v>168</v>
      </c>
      <c r="AB10" s="29">
        <f>IFERROR((VLOOKUP($B10,'Из ГУГЛа'!$B:$Z,AB$1,0)+AD10)*AC10,VLOOKUP($B10,'Из ГУГЛа'!$B:$Z,AB$1,0))</f>
        <v>0</v>
      </c>
      <c r="AC10" s="1">
        <v>1</v>
      </c>
      <c r="AD10" s="1">
        <v>0</v>
      </c>
      <c r="AE10" s="56"/>
    </row>
    <row r="11" spans="1:32" ht="46.5" thickTop="1" thickBot="1">
      <c r="A11" s="57" t="str">
        <f>INDEX('Выгр Торг'!$A:$A,MATCH($B11,'Выгр Торг'!$B:$B,0))</f>
        <v>Дроссельная заслонка "ВИЭ" (52 / 54 / 56 мм) для ВАЗ 2101, 2104, 2105, 2106, 2107</v>
      </c>
      <c r="B11" s="56">
        <v>244525</v>
      </c>
      <c r="C11" s="56">
        <f>VLOOKUP($B11,'Выгр Торг'!$B:$Q,C$1,0)</f>
        <v>175669</v>
      </c>
      <c r="D11" s="57" t="str">
        <f>VLOOKUP($B11,'Выгр Торг'!$B:$Q,D$1,0)</f>
        <v>Дроссельная заслонка "ВИЭ" для ВАЗ 2101, 2104, 2105, 2106, 2107 (56 мм)</v>
      </c>
      <c r="E11" s="56" t="str">
        <f>VLOOKUP($B11,'Выгр Торг'!$B:$Q,E$1,0)</f>
        <v>Y</v>
      </c>
      <c r="F11" s="56" t="str">
        <f>VLOOKUP($B11,'Выгр Торг'!$B:$Q,F$1,0)</f>
        <v>1</v>
      </c>
      <c r="G11" s="56">
        <f>VLOOKUP($B11,'Выгр Торг'!$B:$Q,G$1,0)</f>
        <v>0</v>
      </c>
      <c r="H11" s="4"/>
      <c r="I11" s="5" t="s">
        <v>41</v>
      </c>
      <c r="J11" s="67">
        <f t="shared" si="3"/>
        <v>1250</v>
      </c>
      <c r="K11" s="58">
        <f>VLOOKUP(J11,Наценка!$A$1:$B$8,2,1)</f>
        <v>1.32</v>
      </c>
      <c r="L11" s="26">
        <f t="shared" si="9"/>
        <v>1897.4</v>
      </c>
      <c r="M11" s="38">
        <f t="shared" si="5"/>
        <v>1890</v>
      </c>
      <c r="N11" s="56">
        <f>VLOOKUP($B11,'Выгр Торг'!$B:$Q,N$1,0)</f>
        <v>1250</v>
      </c>
      <c r="O11" s="56">
        <f>VLOOKUP($B11,'Выгр Торг'!$B:$Q,O$1,0)</f>
        <v>1790</v>
      </c>
      <c r="P11" s="18">
        <f t="shared" si="6"/>
        <v>0</v>
      </c>
      <c r="Q11" s="18">
        <f t="shared" si="7"/>
        <v>-100</v>
      </c>
      <c r="R11" s="22">
        <f t="shared" si="8"/>
        <v>1757.6999999999998</v>
      </c>
      <c r="S11" s="59">
        <f>IFERROR(R11/J11-1,"")</f>
        <v>0.40615999999999985</v>
      </c>
      <c r="T11" s="59">
        <f>IFERROR((V11-R11)/V11,"")</f>
        <v>1.8044692737430271E-2</v>
      </c>
      <c r="U11" s="59">
        <f>IFERROR(IF(V11="","",V11/J11-1),"")</f>
        <v>0.43199999999999994</v>
      </c>
      <c r="V11" s="62">
        <v>1790</v>
      </c>
      <c r="W11" s="29">
        <f>IFERROR((VLOOKUP($B11,'Из ГУГЛа'!$B:$G,W$1,0)+Y11)*X11,VLOOKUP($B11,'Из ГУГЛа'!$B:$G,W$1,0))</f>
        <v>1790</v>
      </c>
      <c r="X11" s="1">
        <v>1</v>
      </c>
      <c r="Y11" s="1"/>
      <c r="Z11" s="62">
        <v>1790</v>
      </c>
      <c r="AA11" s="41" t="s">
        <v>169</v>
      </c>
      <c r="AB11" s="29">
        <f>IFERROR((VLOOKUP($B11,'Из ГУГЛа'!$B:$Z,AB$1,0)+AD11)*AC11,VLOOKUP($B11,'Из ГУГЛа'!$B:$Z,AB$1,0))</f>
        <v>0</v>
      </c>
      <c r="AC11" s="1">
        <v>1</v>
      </c>
      <c r="AD11" s="1">
        <v>0</v>
      </c>
      <c r="AE11" s="56"/>
    </row>
    <row r="12" spans="1:32" ht="61.5" thickTop="1" thickBot="1">
      <c r="A12" s="57" t="str">
        <f>INDEX('Выгр Торг'!$A:$A,MATCH($B12,'Выгр Торг'!$B:$B,0))</f>
        <v>Дроссельная заслонка "ВИЭ" (52 / 54 / 56 мм) для ВАЗ (2108-21099, 2113-2115, 2110-2112), Лада (Приора, Калина)</v>
      </c>
      <c r="B12" s="56">
        <v>244520</v>
      </c>
      <c r="C12" s="56">
        <f>VLOOKUP($B12,'Выгр Торг'!$B:$Q,C$1,0)</f>
        <v>175664</v>
      </c>
      <c r="D12" s="57" t="str">
        <f>VLOOKUP($B12,'Выгр Торг'!$B:$Q,D$1,0)</f>
        <v>Дроссельная заслонка "ВИЭ" для ВАЗ 2108 (52 мм)</v>
      </c>
      <c r="E12" s="56" t="str">
        <f>VLOOKUP($B12,'Выгр Торг'!$B:$Q,E$1,0)</f>
        <v>Y</v>
      </c>
      <c r="F12" s="56" t="str">
        <f>VLOOKUP($B12,'Выгр Торг'!$B:$Q,F$1,0)</f>
        <v>1ск6</v>
      </c>
      <c r="G12" s="56">
        <f>VLOOKUP($B12,'Выгр Торг'!$B:$Q,G$1,0)</f>
        <v>0</v>
      </c>
      <c r="H12" s="4"/>
      <c r="I12" s="5" t="s">
        <v>41</v>
      </c>
      <c r="J12" s="67">
        <f t="shared" si="3"/>
        <v>1250</v>
      </c>
      <c r="K12" s="58">
        <f>VLOOKUP(J12,Наценка!$A$1:$B$8,2,1)</f>
        <v>1.32</v>
      </c>
      <c r="L12" s="26">
        <f t="shared" si="9"/>
        <v>1791.4</v>
      </c>
      <c r="M12" s="38">
        <f t="shared" si="5"/>
        <v>1790</v>
      </c>
      <c r="N12" s="56">
        <f>VLOOKUP($B12,'Выгр Торг'!$B:$Q,N$1,0)</f>
        <v>1250</v>
      </c>
      <c r="O12" s="56">
        <f>VLOOKUP($B12,'Выгр Торг'!$B:$Q,O$1,0)</f>
        <v>1890</v>
      </c>
      <c r="P12" s="18">
        <f t="shared" si="6"/>
        <v>0</v>
      </c>
      <c r="Q12" s="18">
        <f t="shared" si="7"/>
        <v>100</v>
      </c>
      <c r="R12" s="22">
        <f t="shared" si="8"/>
        <v>1664.6999999999998</v>
      </c>
      <c r="S12" s="59">
        <f>IFERROR(R12/J12-1,"")</f>
        <v>0.33175999999999983</v>
      </c>
      <c r="T12" s="59">
        <f>IFERROR((V12-R12)/V12,"")</f>
        <v>1.497041420118354E-2</v>
      </c>
      <c r="U12" s="59">
        <f>IFERROR(IF(V12="","",V12/J12-1),"")</f>
        <v>0.35200000000000009</v>
      </c>
      <c r="V12" s="62">
        <v>1690</v>
      </c>
      <c r="W12" s="29">
        <f>IFERROR((VLOOKUP($B12,'Из ГУГЛа'!$B:$G,W$1,0)+Y12)*X12,VLOOKUP($B12,'Из ГУГЛа'!$B:$G,W$1,0))</f>
        <v>1690</v>
      </c>
      <c r="X12" s="1">
        <v>1</v>
      </c>
      <c r="Y12" s="1"/>
      <c r="Z12" s="62">
        <v>1690</v>
      </c>
      <c r="AA12" s="41" t="s">
        <v>157</v>
      </c>
      <c r="AB12" s="29">
        <f>IFERROR((VLOOKUP($B12,'Из ГУГЛа'!$B:$Z,AB$1,0)+AD12)*AC12,VLOOKUP($B12,'Из ГУГЛа'!$B:$Z,AB$1,0))</f>
        <v>0</v>
      </c>
      <c r="AC12" s="1">
        <v>1</v>
      </c>
      <c r="AD12" s="1">
        <v>0</v>
      </c>
      <c r="AE12" s="56"/>
    </row>
    <row r="13" spans="1:32" ht="61.5" thickTop="1" thickBot="1">
      <c r="A13" s="57" t="str">
        <f>INDEX('Выгр Торг'!$A:$A,MATCH($B13,'Выгр Торг'!$B:$B,0))</f>
        <v>Дроссельная заслонка "ВИЭ" (52 / 54 / 56 мм) для ВАЗ (2108-21099, 2113-2115, 2110-2112), Лада (Приора, Калина)</v>
      </c>
      <c r="B13" s="56">
        <v>244521</v>
      </c>
      <c r="C13" s="56">
        <f>VLOOKUP($B13,'Выгр Торг'!$B:$Q,C$1,0)</f>
        <v>175665</v>
      </c>
      <c r="D13" s="57" t="str">
        <f>VLOOKUP($B13,'Выгр Торг'!$B:$Q,D$1,0)</f>
        <v>Дроссельная заслонка "ВИЭ" для ВАЗ 2108 (54 мм)</v>
      </c>
      <c r="E13" s="56" t="str">
        <f>VLOOKUP($B13,'Выгр Торг'!$B:$Q,E$1,0)</f>
        <v>Y</v>
      </c>
      <c r="F13" s="56" t="str">
        <f>VLOOKUP($B13,'Выгр Торг'!$B:$Q,F$1,0)</f>
        <v>1</v>
      </c>
      <c r="G13" s="56">
        <f>VLOOKUP($B13,'Выгр Торг'!$B:$Q,G$1,0)</f>
        <v>0</v>
      </c>
      <c r="H13" s="4"/>
      <c r="I13" s="5" t="s">
        <v>41</v>
      </c>
      <c r="J13" s="67">
        <f t="shared" si="3"/>
        <v>1250</v>
      </c>
      <c r="K13" s="58">
        <f>VLOOKUP(J13,Наценка!$A$1:$B$8,2,1)</f>
        <v>1.32</v>
      </c>
      <c r="L13" s="26">
        <f t="shared" si="9"/>
        <v>1897.4</v>
      </c>
      <c r="M13" s="38">
        <f t="shared" si="5"/>
        <v>1890</v>
      </c>
      <c r="N13" s="56">
        <f>VLOOKUP($B13,'Выгр Торг'!$B:$Q,N$1,0)</f>
        <v>1250</v>
      </c>
      <c r="O13" s="56">
        <f>VLOOKUP($B13,'Выгр Торг'!$B:$Q,O$1,0)</f>
        <v>1790</v>
      </c>
      <c r="P13" s="18">
        <f t="shared" si="6"/>
        <v>0</v>
      </c>
      <c r="Q13" s="18">
        <f t="shared" si="7"/>
        <v>-100</v>
      </c>
      <c r="R13" s="22">
        <f t="shared" si="8"/>
        <v>1757.6999999999998</v>
      </c>
      <c r="S13" s="59">
        <f>IFERROR(R13/J13-1,"")</f>
        <v>0.40615999999999985</v>
      </c>
      <c r="T13" s="59">
        <f>IFERROR((V13-R13)/V13,"")</f>
        <v>1.8044692737430271E-2</v>
      </c>
      <c r="U13" s="59">
        <f>IFERROR(IF(V13="","",V13/J13-1),"")</f>
        <v>0.43199999999999994</v>
      </c>
      <c r="V13" s="62">
        <v>1790</v>
      </c>
      <c r="W13" s="29">
        <f>IFERROR((VLOOKUP($B13,'Из ГУГЛа'!$B:$G,W$1,0)+Y13)*X13,VLOOKUP($B13,'Из ГУГЛа'!$B:$G,W$1,0))</f>
        <v>1790</v>
      </c>
      <c r="X13" s="1">
        <v>1</v>
      </c>
      <c r="Y13" s="1"/>
      <c r="Z13" s="62">
        <v>1790</v>
      </c>
      <c r="AA13" s="41" t="s">
        <v>168</v>
      </c>
      <c r="AB13" s="29">
        <f>IFERROR((VLOOKUP($B13,'Из ГУГЛа'!$B:$Z,AB$1,0)+AD13)*AC13,VLOOKUP($B13,'Из ГУГЛа'!$B:$Z,AB$1,0))</f>
        <v>0</v>
      </c>
      <c r="AC13" s="1">
        <v>1</v>
      </c>
      <c r="AD13" s="1">
        <v>0</v>
      </c>
      <c r="AE13" s="56"/>
    </row>
    <row r="14" spans="1:32" ht="61.5" thickTop="1" thickBot="1">
      <c r="A14" s="57" t="str">
        <f>INDEX('Выгр Торг'!$A:$A,MATCH($B14,'Выгр Торг'!$B:$B,0))</f>
        <v>Дроссельная заслонка "ВИЭ" (52 / 54 / 56 мм) для ВАЗ (2108-21099, 2113-2115, 2110-2112), Лада (Приора, Калина)</v>
      </c>
      <c r="B14" s="56">
        <v>244522</v>
      </c>
      <c r="C14" s="56">
        <f>VLOOKUP($B14,'Выгр Торг'!$B:$Q,C$1,0)</f>
        <v>175666</v>
      </c>
      <c r="D14" s="57" t="str">
        <f>VLOOKUP($B14,'Выгр Торг'!$B:$Q,D$1,0)</f>
        <v>Дроссельная заслонка "ВИЭ" для ВАЗ 2108 (56 мм)</v>
      </c>
      <c r="E14" s="56" t="str">
        <f>VLOOKUP($B14,'Выгр Торг'!$B:$Q,E$1,0)</f>
        <v>Y</v>
      </c>
      <c r="F14" s="56" t="str">
        <f>VLOOKUP($B14,'Выгр Торг'!$B:$Q,F$1,0)</f>
        <v>1ск6</v>
      </c>
      <c r="G14" s="56">
        <f>VLOOKUP($B14,'Выгр Торг'!$B:$Q,G$1,0)</f>
        <v>0</v>
      </c>
      <c r="H14" s="4"/>
      <c r="I14" s="5" t="s">
        <v>41</v>
      </c>
      <c r="J14" s="67">
        <f t="shared" si="3"/>
        <v>1250</v>
      </c>
      <c r="K14" s="58">
        <f>VLOOKUP(J14,Наценка!$A$1:$B$8,2,1)</f>
        <v>1.32</v>
      </c>
      <c r="L14" s="26">
        <f t="shared" si="9"/>
        <v>1897.4</v>
      </c>
      <c r="M14" s="38">
        <f t="shared" si="5"/>
        <v>1890</v>
      </c>
      <c r="N14" s="56">
        <f>VLOOKUP($B14,'Выгр Торг'!$B:$Q,N$1,0)</f>
        <v>1250</v>
      </c>
      <c r="O14" s="56">
        <f>VLOOKUP($B14,'Выгр Торг'!$B:$Q,O$1,0)</f>
        <v>1790</v>
      </c>
      <c r="P14" s="18">
        <f t="shared" si="6"/>
        <v>0</v>
      </c>
      <c r="Q14" s="18">
        <f t="shared" si="7"/>
        <v>-100</v>
      </c>
      <c r="R14" s="22">
        <f t="shared" si="8"/>
        <v>1757.6999999999998</v>
      </c>
      <c r="S14" s="59">
        <f>IFERROR(R14/J14-1,"")</f>
        <v>0.40615999999999985</v>
      </c>
      <c r="T14" s="59">
        <f>IFERROR((V14-R14)/V14,"")</f>
        <v>1.8044692737430271E-2</v>
      </c>
      <c r="U14" s="59">
        <f>IFERROR(IF(V14="","",V14/J14-1),"")</f>
        <v>0.43199999999999994</v>
      </c>
      <c r="V14" s="62">
        <v>1790</v>
      </c>
      <c r="W14" s="29">
        <f>IFERROR((VLOOKUP($B14,'Из ГУГЛа'!$B:$G,W$1,0)+Y14)*X14,VLOOKUP($B14,'Из ГУГЛа'!$B:$G,W$1,0))</f>
        <v>1790</v>
      </c>
      <c r="X14" s="1">
        <v>1</v>
      </c>
      <c r="Y14" s="1"/>
      <c r="Z14" s="62">
        <v>1790</v>
      </c>
      <c r="AA14" s="41" t="s">
        <v>169</v>
      </c>
      <c r="AB14" s="29">
        <f>IFERROR((VLOOKUP($B14,'Из ГУГЛа'!$B:$Z,AB$1,0)+AD14)*AC14,VLOOKUP($B14,'Из ГУГЛа'!$B:$Z,AB$1,0))</f>
        <v>0</v>
      </c>
      <c r="AC14" s="1">
        <v>1</v>
      </c>
      <c r="AD14" s="1">
        <v>0</v>
      </c>
      <c r="AE14" s="56"/>
    </row>
    <row r="15" spans="1:32" ht="46.5" thickTop="1" thickBot="1">
      <c r="A15" s="57" t="str">
        <f>INDEX('Выгр Торг'!$A:$A,MATCH($B15,'Выгр Торг'!$B:$B,0))</f>
        <v>Дроссельная заслонка "ВИЭ" (52 / 54 / 56 мм) для Лада Нива 4х4, Шевроле Нива</v>
      </c>
      <c r="B15" s="56">
        <v>244526</v>
      </c>
      <c r="C15" s="56">
        <f>VLOOKUP($B15,'Выгр Торг'!$B:$Q,C$1,0)</f>
        <v>175671</v>
      </c>
      <c r="D15" s="57" t="str">
        <f>VLOOKUP($B15,'Выгр Торг'!$B:$Q,D$1,0)</f>
        <v>Дроссельная заслонка "ВИЭ" для Лада Нива 4х4, Шевроле Нива (52 мм)</v>
      </c>
      <c r="E15" s="56" t="str">
        <f>VLOOKUP($B15,'Выгр Торг'!$B:$Q,E$1,0)</f>
        <v>Y</v>
      </c>
      <c r="F15" s="56" t="str">
        <f>VLOOKUP($B15,'Выгр Торг'!$B:$Q,F$1,0)</f>
        <v>1ск6</v>
      </c>
      <c r="G15" s="56">
        <f>VLOOKUP($B15,'Выгр Торг'!$B:$Q,G$1,0)</f>
        <v>0</v>
      </c>
      <c r="H15" s="4"/>
      <c r="I15" s="5" t="s">
        <v>41</v>
      </c>
      <c r="J15" s="67">
        <f t="shared" si="3"/>
        <v>1350</v>
      </c>
      <c r="K15" s="58">
        <f>VLOOKUP(J15,Наценка!$A$1:$B$8,2,1)</f>
        <v>1.32</v>
      </c>
      <c r="L15" s="26">
        <f t="shared" si="9"/>
        <v>1897.4</v>
      </c>
      <c r="M15" s="38">
        <f t="shared" si="5"/>
        <v>1890</v>
      </c>
      <c r="N15" s="56">
        <f>VLOOKUP($B15,'Выгр Торг'!$B:$Q,N$1,0)</f>
        <v>1350</v>
      </c>
      <c r="O15" s="56">
        <f>VLOOKUP($B15,'Выгр Торг'!$B:$Q,O$1,0)</f>
        <v>1890</v>
      </c>
      <c r="P15" s="18">
        <f t="shared" si="6"/>
        <v>0</v>
      </c>
      <c r="Q15" s="18">
        <f t="shared" si="7"/>
        <v>0</v>
      </c>
      <c r="R15" s="22">
        <f t="shared" si="8"/>
        <v>1757.6999999999998</v>
      </c>
      <c r="S15" s="59">
        <f>IFERROR(R15/J15-1,"")</f>
        <v>0.30199999999999982</v>
      </c>
      <c r="T15" s="59">
        <f>IFERROR((V15-R15)/V15,"")</f>
        <v>1.8044692737430271E-2</v>
      </c>
      <c r="U15" s="59">
        <f>IFERROR(IF(V15="","",V15/J15-1),"")</f>
        <v>0.32592592592592595</v>
      </c>
      <c r="V15" s="62">
        <v>1790</v>
      </c>
      <c r="W15" s="29">
        <f>IFERROR((VLOOKUP($B15,'Из ГУГЛа'!$B:$G,W$1,0)+Y15)*X15,VLOOKUP($B15,'Из ГУГЛа'!$B:$G,W$1,0))</f>
        <v>1790</v>
      </c>
      <c r="X15" s="1">
        <v>1</v>
      </c>
      <c r="Y15" s="1"/>
      <c r="Z15" s="62">
        <v>1790</v>
      </c>
      <c r="AA15" s="41" t="s">
        <v>166</v>
      </c>
      <c r="AB15" s="29">
        <f>IFERROR((VLOOKUP($B15,'Из ГУГЛа'!$B:$Z,AB$1,0)+AD15)*AC15,VLOOKUP($B15,'Из ГУГЛа'!$B:$Z,AB$1,0))</f>
        <v>0</v>
      </c>
      <c r="AC15" s="1">
        <v>1</v>
      </c>
      <c r="AD15" s="1">
        <v>0</v>
      </c>
      <c r="AE15" s="56"/>
    </row>
    <row r="16" spans="1:32" ht="46.5" thickTop="1" thickBot="1">
      <c r="A16" s="57" t="str">
        <f>INDEX('Выгр Торг'!$A:$A,MATCH($B16,'Выгр Торг'!$B:$B,0))</f>
        <v>Дроссельная заслонка "ВИЭ" (52 / 54 / 56 мм) для Лада Нива 4х4, Шевроле Нива</v>
      </c>
      <c r="B16" s="56">
        <v>244527</v>
      </c>
      <c r="C16" s="56">
        <f>VLOOKUP($B16,'Выгр Торг'!$B:$Q,C$1,0)</f>
        <v>175672</v>
      </c>
      <c r="D16" s="57" t="str">
        <f>VLOOKUP($B16,'Выгр Торг'!$B:$Q,D$1,0)</f>
        <v>Дроссельная заслонка "ВИЭ" для Лада Нива 4х4, Шевроле Нива (54 мм)</v>
      </c>
      <c r="E16" s="56" t="str">
        <f>VLOOKUP($B16,'Выгр Торг'!$B:$Q,E$1,0)</f>
        <v>Y</v>
      </c>
      <c r="F16" s="56" t="str">
        <f>VLOOKUP($B16,'Выгр Торг'!$B:$Q,F$1,0)</f>
        <v>1</v>
      </c>
      <c r="G16" s="56">
        <f>VLOOKUP($B16,'Выгр Торг'!$B:$Q,G$1,0)</f>
        <v>0</v>
      </c>
      <c r="H16" s="4"/>
      <c r="I16" s="5" t="s">
        <v>41</v>
      </c>
      <c r="J16" s="67">
        <f t="shared" si="3"/>
        <v>1350</v>
      </c>
      <c r="K16" s="58">
        <f>VLOOKUP(J16,Наценка!$A$1:$B$8,2,1)</f>
        <v>1.32</v>
      </c>
      <c r="L16" s="26">
        <f t="shared" si="9"/>
        <v>1897.4</v>
      </c>
      <c r="M16" s="38">
        <f t="shared" si="5"/>
        <v>1890</v>
      </c>
      <c r="N16" s="56">
        <f>VLOOKUP($B16,'Выгр Торг'!$B:$Q,N$1,0)</f>
        <v>1350</v>
      </c>
      <c r="O16" s="56">
        <f>VLOOKUP($B16,'Выгр Торг'!$B:$Q,O$1,0)</f>
        <v>1890</v>
      </c>
      <c r="P16" s="18">
        <f t="shared" si="6"/>
        <v>0</v>
      </c>
      <c r="Q16" s="18">
        <f t="shared" si="7"/>
        <v>0</v>
      </c>
      <c r="R16" s="22">
        <f t="shared" si="8"/>
        <v>1757.6999999999998</v>
      </c>
      <c r="S16" s="59">
        <f>IFERROR(R16/J16-1,"")</f>
        <v>0.30199999999999982</v>
      </c>
      <c r="T16" s="59">
        <f>IFERROR((V16-R16)/V16,"")</f>
        <v>1.8044692737430271E-2</v>
      </c>
      <c r="U16" s="59">
        <f>IFERROR(IF(V16="","",V16/J16-1),"")</f>
        <v>0.32592592592592595</v>
      </c>
      <c r="V16" s="62">
        <v>1790</v>
      </c>
      <c r="W16" s="29">
        <f>IFERROR((VLOOKUP($B16,'Из ГУГЛа'!$B:$G,W$1,0)+Y16)*X16,VLOOKUP($B16,'Из ГУГЛа'!$B:$G,W$1,0))</f>
        <v>1790</v>
      </c>
      <c r="X16" s="1">
        <v>1</v>
      </c>
      <c r="Y16" s="1"/>
      <c r="Z16" s="62">
        <v>1790</v>
      </c>
      <c r="AA16" s="41" t="s">
        <v>176</v>
      </c>
      <c r="AB16" s="29">
        <f>IFERROR((VLOOKUP($B16,'Из ГУГЛа'!$B:$Z,AB$1,0)+AD16)*AC16,VLOOKUP($B16,'Из ГУГЛа'!$B:$Z,AB$1,0))</f>
        <v>0</v>
      </c>
      <c r="AC16" s="1">
        <v>1</v>
      </c>
      <c r="AD16" s="1">
        <v>0</v>
      </c>
      <c r="AE16" s="56"/>
    </row>
    <row r="17" spans="1:31" ht="46.5" thickTop="1" thickBot="1">
      <c r="A17" s="57" t="str">
        <f>INDEX('Выгр Торг'!$A:$A,MATCH($B17,'Выгр Торг'!$B:$B,0))</f>
        <v>Дроссельная заслонка "ВИЭ" (52 / 54 / 56 мм) для Лада Нива 4х4, Шевроле Нива</v>
      </c>
      <c r="B17" s="56">
        <v>244528</v>
      </c>
      <c r="C17" s="56">
        <f>VLOOKUP($B17,'Выгр Торг'!$B:$Q,C$1,0)</f>
        <v>175673</v>
      </c>
      <c r="D17" s="57" t="str">
        <f>VLOOKUP($B17,'Выгр Торг'!$B:$Q,D$1,0)</f>
        <v>Дроссельная заслонка "ВИЭ" для Лада Нива 4х4, Шевроле Нива (56 мм)</v>
      </c>
      <c r="E17" s="56" t="str">
        <f>VLOOKUP($B17,'Выгр Торг'!$B:$Q,E$1,0)</f>
        <v>Y</v>
      </c>
      <c r="F17" s="56" t="str">
        <f>VLOOKUP($B17,'Выгр Торг'!$B:$Q,F$1,0)</f>
        <v>1</v>
      </c>
      <c r="G17" s="56">
        <f>VLOOKUP($B17,'Выгр Торг'!$B:$Q,G$1,0)</f>
        <v>0</v>
      </c>
      <c r="H17" s="4"/>
      <c r="I17" s="5" t="s">
        <v>41</v>
      </c>
      <c r="J17" s="67">
        <f t="shared" si="3"/>
        <v>1350</v>
      </c>
      <c r="K17" s="58">
        <f>VLOOKUP(J17,Наценка!$A$1:$B$8,2,1)</f>
        <v>1.32</v>
      </c>
      <c r="L17" s="26">
        <f>V17*1.05</f>
        <v>1879.5</v>
      </c>
      <c r="M17" s="38">
        <f t="shared" si="5"/>
        <v>1890</v>
      </c>
      <c r="N17" s="56">
        <f>VLOOKUP($B17,'Выгр Торг'!$B:$Q,N$1,0)</f>
        <v>1350</v>
      </c>
      <c r="O17" s="56">
        <f>VLOOKUP($B17,'Выгр Торг'!$B:$Q,O$1,0)</f>
        <v>2090</v>
      </c>
      <c r="P17" s="18">
        <f t="shared" si="6"/>
        <v>0</v>
      </c>
      <c r="Q17" s="18">
        <f t="shared" si="7"/>
        <v>200</v>
      </c>
      <c r="R17" s="22">
        <f t="shared" si="8"/>
        <v>1757.6999999999998</v>
      </c>
      <c r="S17" s="59">
        <f>IFERROR(R17/J17-1,"")</f>
        <v>0.30199999999999982</v>
      </c>
      <c r="T17" s="59">
        <f>IFERROR((V17-R17)/V17,"")</f>
        <v>1.8044692737430271E-2</v>
      </c>
      <c r="U17" s="59">
        <f>IFERROR(IF(V17="","",V17/J17-1),"")</f>
        <v>0.32592592592592595</v>
      </c>
      <c r="V17" s="62">
        <v>1790</v>
      </c>
      <c r="W17" s="29">
        <f>IFERROR((VLOOKUP($B17,'Из ГУГЛа'!$B:$G,W$1,0)+Y17)*X17,VLOOKUP($B17,'Из ГУГЛа'!$B:$G,W$1,0))</f>
        <v>1790</v>
      </c>
      <c r="X17" s="1">
        <v>1</v>
      </c>
      <c r="Y17" s="1"/>
      <c r="Z17" s="62">
        <v>1790</v>
      </c>
      <c r="AA17" s="41" t="s">
        <v>167</v>
      </c>
      <c r="AB17" s="29">
        <f>IFERROR((VLOOKUP($B17,'Из ГУГЛа'!$B:$Z,AB$1,0)+AD17)*AC17,VLOOKUP($B17,'Из ГУГЛа'!$B:$Z,AB$1,0))</f>
        <v>0</v>
      </c>
      <c r="AC17" s="1">
        <v>1</v>
      </c>
      <c r="AD17" s="1">
        <v>0</v>
      </c>
      <c r="AE17" s="56"/>
    </row>
    <row r="18" spans="1:31" ht="15.75" thickTop="1"/>
    <row r="21" spans="1:31">
      <c r="L21" s="40">
        <f>J21*K21*100/93</f>
        <v>0</v>
      </c>
    </row>
    <row r="22" spans="1:31">
      <c r="L22" s="23">
        <f>V22*1</f>
        <v>0</v>
      </c>
    </row>
    <row r="23" spans="1:31">
      <c r="L23" s="24">
        <f>V23*1.02</f>
        <v>0</v>
      </c>
    </row>
    <row r="24" spans="1:31">
      <c r="L24" s="25">
        <f>V24*1.04</f>
        <v>0</v>
      </c>
    </row>
    <row r="25" spans="1:31">
      <c r="L25" s="26">
        <f>V25*1.05</f>
        <v>0</v>
      </c>
    </row>
    <row r="26" spans="1:31">
      <c r="L26" s="26">
        <f>V26*1.06</f>
        <v>0</v>
      </c>
    </row>
    <row r="27" spans="1:31">
      <c r="L27" s="27">
        <f>V27*1.07</f>
        <v>0</v>
      </c>
    </row>
    <row r="28" spans="1:31">
      <c r="L28" s="28">
        <f>V28*1.08</f>
        <v>0</v>
      </c>
    </row>
    <row r="29" spans="1:31">
      <c r="L29" s="39">
        <f>J29*1.15*100/93</f>
        <v>0</v>
      </c>
    </row>
  </sheetData>
  <autoFilter ref="A2:AF2" xr:uid="{C0043FF6-2268-4728-A55D-7A47CF8E9A82}"/>
  <conditionalFormatting sqref="D3:D17">
    <cfRule type="expression" dxfId="9" priority="6">
      <formula>OR(E3="N",F3="0")</formula>
    </cfRule>
  </conditionalFormatting>
  <conditionalFormatting sqref="B3:B17">
    <cfRule type="expression" dxfId="8" priority="5">
      <formula>AND(ROUNDDOWN($P3,0)=0,ROUNDDOWN($Q3,0)=0)</formula>
    </cfRule>
  </conditionalFormatting>
  <conditionalFormatting sqref="T3:T17">
    <cfRule type="cellIs" dxfId="7" priority="4" operator="lessThan">
      <formula>0</formula>
    </cfRule>
  </conditionalFormatting>
  <conditionalFormatting sqref="U3:U17 S3:S17">
    <cfRule type="cellIs" dxfId="6" priority="3" operator="lessThan">
      <formula>0.15</formula>
    </cfRule>
  </conditionalFormatting>
  <conditionalFormatting sqref="W3:W17">
    <cfRule type="expression" dxfId="5" priority="2">
      <formula>VALUE(W3)&lt;&gt;V3</formula>
    </cfRule>
  </conditionalFormatting>
  <conditionalFormatting sqref="AB3:AB17">
    <cfRule type="expression" dxfId="2" priority="1">
      <formula>VALUE(AB3)&lt;&gt;AE3</formula>
    </cfRule>
  </conditionalFormatting>
  <hyperlinks>
    <hyperlink ref="V15" r:id="rId1" display="https://motorring.ru/product/94-drosselynaya-zaslonka-lada-4h4-shevrole-niva-prokladka" xr:uid="{AD436EE4-520D-4875-9322-DD7C60DC2B7A}"/>
    <hyperlink ref="V17" r:id="rId2" display="https://motorring.ru/product/96-drosselynaya-zaslonka-lada-4h4-shevrole-niva-prokladka" xr:uid="{D4AD178B-8DF6-4DC2-8A60-B69F555AB7BF}"/>
    <hyperlink ref="V16" r:id="rId3" display="https://motorring.ru/product/95-drosselynaya-zaslonka-lada-4h4-shevrole-niva-prokladka" xr:uid="{50BBE254-7BB1-4342-B69C-B06D9A9A9003}"/>
    <hyperlink ref="V9" r:id="rId4" display="https://motorring.ru/product/88-drosselynaya-zaslonka-vaz-2108-2115-lada-priora-kalina-granta" xr:uid="{77BB271D-B379-4B4F-81AD-00EFA29445D6}"/>
    <hyperlink ref="V10" r:id="rId5" display="https://motorring.ru/product/89-drosselynaya-zaslonka-vaz-2108-2115-lada-priora-kalina-granta" xr:uid="{BB7A9724-3686-4F9D-82BD-242473E3404B}"/>
    <hyperlink ref="V11" r:id="rId6" display="https://motorring.ru/product/90-drosselynaya-zaslonka-vaz-2108-2115-lada-priora-kalina-granta" xr:uid="{6AC7483A-BCED-418E-8FDB-8AD080A28436}"/>
    <hyperlink ref="V12" r:id="rId7" display="https://motorring.ru/product/88-drosselynaya-zaslonka-vaz-2108-2115-lada-priora-kalina-granta" xr:uid="{405B2490-CD66-47E1-865E-A282692E7361}"/>
    <hyperlink ref="V13" r:id="rId8" display="https://motorring.ru/product/89-drosselynaya-zaslonka-vaz-2108-2115-lada-priora-kalina-granta" xr:uid="{E3C75319-F896-4DBA-A885-42DEDA163F9D}"/>
    <hyperlink ref="V14" r:id="rId9" display="https://motorring.ru/product/90-drosselynaya-zaslonka-vaz-2108-2115-lada-priora-kalina-granta" xr:uid="{C96203F1-7D88-4D2E-8290-3D47FF5FE394}"/>
    <hyperlink ref="Z15" r:id="rId10" display="https://motorring.ru/product/94-drosselynaya-zaslonka-lada-4h4-shevrole-niva-prokladka" xr:uid="{AC115AF8-D1FB-4281-B05B-DEA9BD18DB26}"/>
    <hyperlink ref="Z17" r:id="rId11" display="https://motorring.ru/product/96-drosselynaya-zaslonka-lada-4h4-shevrole-niva-prokladka" xr:uid="{0904DEBA-97E4-43DD-B0CC-F9BBA306A92A}"/>
    <hyperlink ref="Z16" r:id="rId12" display="https://motorring.ru/product/95-drosselynaya-zaslonka-lada-4h4-shevrole-niva-prokladka" xr:uid="{62D14769-6AE2-41BA-A30A-B0F6723B0C5D}"/>
    <hyperlink ref="Z9" r:id="rId13" display="https://motorring.ru/product/88-drosselynaya-zaslonka-vaz-2108-2115-lada-priora-kalina-granta" xr:uid="{4B18965E-2C41-4E1B-81C5-F28B72E216A8}"/>
    <hyperlink ref="Z10" r:id="rId14" display="https://motorring.ru/product/89-drosselynaya-zaslonka-vaz-2108-2115-lada-priora-kalina-granta" xr:uid="{9E7AB8A2-ED9A-49DA-9B32-7703B51F97A2}"/>
    <hyperlink ref="Z11" r:id="rId15" display="https://motorring.ru/product/90-drosselynaya-zaslonka-vaz-2108-2115-lada-priora-kalina-granta" xr:uid="{3AD128B9-CEDA-4321-A217-B9A1678122BF}"/>
    <hyperlink ref="Z12" r:id="rId16" display="https://motorring.ru/product/88-drosselynaya-zaslonka-vaz-2108-2115-lada-priora-kalina-granta" xr:uid="{56AECCBA-AAE9-4B56-88A7-293E0CABA759}"/>
    <hyperlink ref="Z13" r:id="rId17" display="https://motorring.ru/product/89-drosselynaya-zaslonka-vaz-2108-2115-lada-priora-kalina-granta" xr:uid="{51204F81-DC0F-4191-B84A-35CF4BAF98B0}"/>
    <hyperlink ref="Z14" r:id="rId18" display="https://motorring.ru/product/90-drosselynaya-zaslonka-vaz-2108-2115-lada-priora-kalina-granta" xr:uid="{D682E07F-9EFD-4A12-9400-405B35122AE2}"/>
  </hyperlinks>
  <pageMargins left="0.75" right="0.75" top="1" bottom="1" header="0.5" footer="0.5"/>
  <pageSetup paperSize="9" orientation="portrait" verticalDpi="0" r:id="rId19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H8"/>
  <sheetViews>
    <sheetView workbookViewId="0">
      <selection activeCell="E9" sqref="E9"/>
    </sheetView>
  </sheetViews>
  <sheetFormatPr defaultRowHeight="15"/>
  <sheetData>
    <row r="1" spans="1:8">
      <c r="A1" s="2">
        <v>0.1</v>
      </c>
      <c r="B1" s="2">
        <v>2</v>
      </c>
      <c r="D1" s="2">
        <v>0.1</v>
      </c>
      <c r="E1" s="2">
        <v>2</v>
      </c>
    </row>
    <row r="2" spans="1:8">
      <c r="A2" s="2">
        <v>100</v>
      </c>
      <c r="B2" s="15">
        <v>2.2000000000000002</v>
      </c>
      <c r="D2" s="2">
        <v>100</v>
      </c>
      <c r="E2" s="2">
        <v>1.8</v>
      </c>
      <c r="G2" t="s">
        <v>155</v>
      </c>
      <c r="H2" s="10">
        <f>MIN(Кат!S:S)</f>
        <v>0.15127586206896537</v>
      </c>
    </row>
    <row r="3" spans="1:8">
      <c r="A3" s="3">
        <v>300</v>
      </c>
      <c r="B3" s="3">
        <v>1.6</v>
      </c>
      <c r="D3" s="3">
        <v>300</v>
      </c>
      <c r="E3" s="3">
        <v>1.6</v>
      </c>
      <c r="G3" t="s">
        <v>156</v>
      </c>
      <c r="H3" s="10">
        <f>MAX(Кат!S:S)</f>
        <v>1.9248499999999997</v>
      </c>
    </row>
    <row r="4" spans="1:8">
      <c r="A4" s="3">
        <v>500</v>
      </c>
      <c r="B4" s="14">
        <v>1.4</v>
      </c>
      <c r="D4" s="3">
        <v>500</v>
      </c>
      <c r="E4" s="3">
        <v>1.55</v>
      </c>
    </row>
    <row r="5" spans="1:8">
      <c r="A5" s="3">
        <v>1000</v>
      </c>
      <c r="B5" s="14">
        <v>1.32</v>
      </c>
      <c r="D5" s="3">
        <v>1000</v>
      </c>
      <c r="E5" s="3">
        <v>1.5</v>
      </c>
    </row>
    <row r="6" spans="1:8">
      <c r="A6" s="3">
        <v>2000</v>
      </c>
      <c r="B6" s="14">
        <v>1.25</v>
      </c>
      <c r="D6" s="3">
        <v>2000</v>
      </c>
      <c r="E6" s="3">
        <v>1.4</v>
      </c>
    </row>
    <row r="7" spans="1:8">
      <c r="A7" s="3">
        <v>5000</v>
      </c>
      <c r="B7" s="3">
        <v>1.35</v>
      </c>
      <c r="D7" s="3">
        <v>5000</v>
      </c>
      <c r="E7" s="3">
        <v>1.35</v>
      </c>
    </row>
    <row r="8" spans="1:8">
      <c r="A8" s="3">
        <v>10000</v>
      </c>
      <c r="B8" s="3">
        <v>1.3</v>
      </c>
      <c r="D8" s="3">
        <v>10000</v>
      </c>
      <c r="E8" s="3">
        <v>1.3</v>
      </c>
    </row>
  </sheetData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O77"/>
  <sheetViews>
    <sheetView showGridLines="0" workbookViewId="0">
      <pane xSplit="1" ySplit="1" topLeftCell="B28" activePane="bottomRight" state="frozen"/>
      <selection pane="topRight" activeCell="B1" sqref="B1"/>
      <selection pane="bottomLeft" activeCell="A2" sqref="A2"/>
      <selection pane="bottomRight" activeCell="C32" sqref="C32"/>
    </sheetView>
  </sheetViews>
  <sheetFormatPr defaultRowHeight="15"/>
  <cols>
    <col min="1" max="2" width="7" customWidth="1"/>
    <col min="3" max="3" width="42.5703125" customWidth="1"/>
    <col min="4" max="4" width="7.5703125" bestFit="1" customWidth="1"/>
    <col min="5" max="5" width="23.28515625" bestFit="1" customWidth="1"/>
    <col min="6" max="6" width="14.140625" bestFit="1" customWidth="1"/>
    <col min="7" max="7" width="13.28515625" bestFit="1" customWidth="1"/>
    <col min="8" max="8" width="8.42578125" bestFit="1" customWidth="1"/>
    <col min="9" max="9" width="10.85546875" bestFit="1" customWidth="1"/>
    <col min="10" max="10" width="44.42578125" customWidth="1"/>
    <col min="11" max="11" width="9.5703125" bestFit="1" customWidth="1"/>
    <col min="12" max="12" width="8.85546875" bestFit="1" customWidth="1"/>
    <col min="13" max="13" width="8" bestFit="1" customWidth="1"/>
    <col min="14" max="14" width="4.85546875" bestFit="1" customWidth="1"/>
    <col min="15" max="15" width="4.7109375" bestFit="1" customWidth="1"/>
  </cols>
  <sheetData>
    <row r="1" spans="1:15" ht="30">
      <c r="A1" s="30" t="s">
        <v>0</v>
      </c>
      <c r="B1" s="30" t="s">
        <v>198</v>
      </c>
      <c r="C1" s="30" t="s">
        <v>199</v>
      </c>
      <c r="D1" s="30" t="s">
        <v>200</v>
      </c>
      <c r="E1" s="30" t="s">
        <v>201</v>
      </c>
      <c r="F1" s="30" t="s">
        <v>1</v>
      </c>
      <c r="G1" s="30" t="s">
        <v>2</v>
      </c>
      <c r="H1" s="30" t="s">
        <v>18</v>
      </c>
      <c r="I1" s="30" t="s">
        <v>122</v>
      </c>
      <c r="J1" s="30" t="s">
        <v>202</v>
      </c>
      <c r="K1" s="30" t="s">
        <v>203</v>
      </c>
      <c r="L1" s="30" t="s">
        <v>204</v>
      </c>
      <c r="M1" s="30" t="s">
        <v>3</v>
      </c>
      <c r="N1" s="16"/>
      <c r="O1" s="16"/>
    </row>
    <row r="2" spans="1:15" ht="45">
      <c r="A2" s="31">
        <v>137068</v>
      </c>
      <c r="B2" s="31">
        <v>11312</v>
      </c>
      <c r="C2" s="32" t="s">
        <v>6</v>
      </c>
      <c r="D2" s="32" t="s">
        <v>205</v>
      </c>
      <c r="E2" s="32"/>
      <c r="F2" s="32"/>
      <c r="G2" s="32" t="s">
        <v>41</v>
      </c>
      <c r="H2" s="33">
        <v>1500</v>
      </c>
      <c r="I2" s="33">
        <v>1990</v>
      </c>
      <c r="J2" s="32"/>
      <c r="K2" s="32" t="s">
        <v>7</v>
      </c>
      <c r="L2" s="32"/>
      <c r="M2" s="32"/>
      <c r="N2" s="16" t="str">
        <f>_xlfn.CONCAT(K2,IF(L2&lt;&gt;"",_xlfn.CONCAT("ск",L2),""))</f>
        <v>1</v>
      </c>
      <c r="O2" s="16" t="str">
        <f>INDEX(Кат!$H:$H,MATCH($A2,Кат!$A:$A,0))</f>
        <v>ВИЭ</v>
      </c>
    </row>
    <row r="3" spans="1:15">
      <c r="A3" s="31">
        <v>141964</v>
      </c>
      <c r="B3" s="31">
        <v>19123</v>
      </c>
      <c r="C3" s="32" t="s">
        <v>12</v>
      </c>
      <c r="D3" s="32" t="s">
        <v>205</v>
      </c>
      <c r="E3" s="32" t="s">
        <v>32</v>
      </c>
      <c r="F3" s="32"/>
      <c r="G3" s="32" t="s">
        <v>41</v>
      </c>
      <c r="H3" s="33">
        <v>180</v>
      </c>
      <c r="I3" s="33">
        <v>399</v>
      </c>
      <c r="J3" s="32"/>
      <c r="K3" s="32" t="s">
        <v>7</v>
      </c>
      <c r="L3" s="32"/>
      <c r="M3" s="32"/>
      <c r="N3" s="16" t="str">
        <f t="shared" ref="N3:N66" si="0">_xlfn.CONCAT(K3,IF(L3&lt;&gt;"",_xlfn.CONCAT("ск",L3),""))</f>
        <v>1</v>
      </c>
      <c r="O3" s="16" t="str">
        <f>INDEX(Кат!$H:$H,MATCH($A3,Кат!$A:$A,0))</f>
        <v>ВИЭ</v>
      </c>
    </row>
    <row r="4" spans="1:15" ht="45">
      <c r="A4" s="31">
        <v>142015</v>
      </c>
      <c r="B4" s="31">
        <v>19108</v>
      </c>
      <c r="C4" s="32" t="s">
        <v>206</v>
      </c>
      <c r="D4" s="32" t="s">
        <v>205</v>
      </c>
      <c r="E4" s="32" t="s">
        <v>30</v>
      </c>
      <c r="F4" s="32"/>
      <c r="G4" s="32" t="s">
        <v>41</v>
      </c>
      <c r="H4" s="33">
        <v>1820</v>
      </c>
      <c r="I4" s="33">
        <v>2490</v>
      </c>
      <c r="J4" s="32"/>
      <c r="K4" s="32" t="s">
        <v>207</v>
      </c>
      <c r="L4" s="32"/>
      <c r="M4" s="32"/>
      <c r="N4" s="16" t="str">
        <f t="shared" si="0"/>
        <v>0</v>
      </c>
      <c r="O4" s="16" t="str">
        <f>INDEX(Кат!$H:$H,MATCH($A4,Кат!$A:$A,0))</f>
        <v>ВИЭ</v>
      </c>
    </row>
    <row r="5" spans="1:15" ht="75">
      <c r="A5" s="31">
        <v>142016</v>
      </c>
      <c r="B5" s="31">
        <v>19101</v>
      </c>
      <c r="C5" s="32" t="s">
        <v>208</v>
      </c>
      <c r="D5" s="32" t="s">
        <v>205</v>
      </c>
      <c r="E5" s="32" t="s">
        <v>25</v>
      </c>
      <c r="F5" s="32"/>
      <c r="G5" s="32" t="s">
        <v>41</v>
      </c>
      <c r="H5" s="33">
        <v>1500</v>
      </c>
      <c r="I5" s="33">
        <v>1990</v>
      </c>
      <c r="J5" s="32"/>
      <c r="K5" s="32" t="s">
        <v>7</v>
      </c>
      <c r="L5" s="32"/>
      <c r="M5" s="32"/>
      <c r="N5" s="16" t="str">
        <f t="shared" si="0"/>
        <v>1</v>
      </c>
      <c r="O5" s="16" t="str">
        <f>INDEX(Кат!$H:$H,MATCH($A5,Кат!$A:$A,0))</f>
        <v>ВИЭ</v>
      </c>
    </row>
    <row r="6" spans="1:15" ht="45">
      <c r="A6" s="31">
        <v>142014</v>
      </c>
      <c r="B6" s="31">
        <v>27093</v>
      </c>
      <c r="C6" s="32" t="s">
        <v>17</v>
      </c>
      <c r="D6" s="32" t="s">
        <v>205</v>
      </c>
      <c r="E6" s="32" t="s">
        <v>141</v>
      </c>
      <c r="F6" s="32"/>
      <c r="G6" s="32" t="s">
        <v>41</v>
      </c>
      <c r="H6" s="33">
        <v>2000</v>
      </c>
      <c r="I6" s="33">
        <v>2490</v>
      </c>
      <c r="J6" s="32"/>
      <c r="K6" s="32" t="s">
        <v>7</v>
      </c>
      <c r="L6" s="32"/>
      <c r="M6" s="32"/>
      <c r="N6" s="16" t="str">
        <f t="shared" si="0"/>
        <v>1</v>
      </c>
      <c r="O6" s="16" t="str">
        <f>INDEX(Кат!$H:$H,MATCH($A6,Кат!$A:$A,0))</f>
        <v>ВИЭ</v>
      </c>
    </row>
    <row r="7" spans="1:15" ht="60">
      <c r="A7" s="31">
        <v>142035</v>
      </c>
      <c r="B7" s="31">
        <v>19099</v>
      </c>
      <c r="C7" s="32" t="s">
        <v>209</v>
      </c>
      <c r="D7" s="32" t="s">
        <v>205</v>
      </c>
      <c r="E7" s="32" t="s">
        <v>127</v>
      </c>
      <c r="F7" s="32"/>
      <c r="G7" s="32" t="s">
        <v>41</v>
      </c>
      <c r="H7" s="33">
        <v>180</v>
      </c>
      <c r="I7" s="33">
        <v>399</v>
      </c>
      <c r="J7" s="32"/>
      <c r="K7" s="32" t="s">
        <v>7</v>
      </c>
      <c r="L7" s="32" t="s">
        <v>123</v>
      </c>
      <c r="M7" s="32"/>
      <c r="N7" s="16" t="str">
        <f t="shared" si="0"/>
        <v>1ск6</v>
      </c>
      <c r="O7" s="16" t="str">
        <f>INDEX(Кат!$H:$H,MATCH($A7,Кат!$A:$A,0))</f>
        <v>ВИЭ</v>
      </c>
    </row>
    <row r="8" spans="1:15" ht="30">
      <c r="A8" s="31">
        <v>142061</v>
      </c>
      <c r="B8" s="31">
        <v>19102</v>
      </c>
      <c r="C8" s="32" t="s">
        <v>210</v>
      </c>
      <c r="D8" s="32" t="s">
        <v>205</v>
      </c>
      <c r="E8" s="32" t="s">
        <v>26</v>
      </c>
      <c r="F8" s="32"/>
      <c r="G8" s="32" t="s">
        <v>41</v>
      </c>
      <c r="H8" s="33">
        <v>195</v>
      </c>
      <c r="I8" s="33">
        <v>429</v>
      </c>
      <c r="J8" s="32" t="s">
        <v>265</v>
      </c>
      <c r="K8" s="32" t="s">
        <v>7</v>
      </c>
      <c r="L8" s="32"/>
      <c r="M8" s="32"/>
      <c r="N8" s="16" t="str">
        <f t="shared" si="0"/>
        <v>1</v>
      </c>
      <c r="O8" s="16" t="str">
        <f>INDEX(Кат!$H:$H,MATCH($A8,Кат!$A:$A,0))</f>
        <v>ВИЭ</v>
      </c>
    </row>
    <row r="9" spans="1:15" ht="45">
      <c r="A9" s="31">
        <v>142062</v>
      </c>
      <c r="B9" s="31">
        <v>19103</v>
      </c>
      <c r="C9" s="32" t="s">
        <v>211</v>
      </c>
      <c r="D9" s="32" t="s">
        <v>205</v>
      </c>
      <c r="E9" s="32" t="s">
        <v>27</v>
      </c>
      <c r="F9" s="32"/>
      <c r="G9" s="32" t="s">
        <v>41</v>
      </c>
      <c r="H9" s="33">
        <v>195</v>
      </c>
      <c r="I9" s="33">
        <v>429</v>
      </c>
      <c r="J9" s="32"/>
      <c r="K9" s="32" t="s">
        <v>7</v>
      </c>
      <c r="L9" s="32"/>
      <c r="M9" s="32"/>
      <c r="N9" s="16" t="str">
        <f t="shared" si="0"/>
        <v>1</v>
      </c>
      <c r="O9" s="16" t="str">
        <f>INDEX(Кат!$H:$H,MATCH($A9,Кат!$A:$A,0))</f>
        <v>ВИЭ</v>
      </c>
    </row>
    <row r="10" spans="1:15">
      <c r="A10" s="31">
        <v>142060</v>
      </c>
      <c r="B10" s="31">
        <v>19126</v>
      </c>
      <c r="C10" s="32" t="s">
        <v>13</v>
      </c>
      <c r="D10" s="32" t="s">
        <v>205</v>
      </c>
      <c r="E10" s="32" t="s">
        <v>35</v>
      </c>
      <c r="F10" s="32"/>
      <c r="G10" s="32" t="s">
        <v>41</v>
      </c>
      <c r="H10" s="33">
        <v>350</v>
      </c>
      <c r="I10" s="33">
        <v>559</v>
      </c>
      <c r="J10" s="32"/>
      <c r="K10" s="32" t="s">
        <v>7</v>
      </c>
      <c r="L10" s="32"/>
      <c r="M10" s="32"/>
      <c r="N10" s="16" t="str">
        <f t="shared" si="0"/>
        <v>1</v>
      </c>
      <c r="O10" s="16" t="str">
        <f>INDEX(Кат!$H:$H,MATCH($A10,Кат!$A:$A,0))</f>
        <v>ВИЭ</v>
      </c>
    </row>
    <row r="11" spans="1:15" ht="30">
      <c r="A11" s="31">
        <v>142069</v>
      </c>
      <c r="B11" s="31">
        <v>37940</v>
      </c>
      <c r="C11" s="32" t="s">
        <v>49</v>
      </c>
      <c r="D11" s="32" t="s">
        <v>205</v>
      </c>
      <c r="E11" s="32"/>
      <c r="F11" s="32"/>
      <c r="G11" s="32" t="s">
        <v>41</v>
      </c>
      <c r="H11" s="33">
        <v>420</v>
      </c>
      <c r="I11" s="33">
        <v>679</v>
      </c>
      <c r="J11" s="32"/>
      <c r="K11" s="32" t="s">
        <v>7</v>
      </c>
      <c r="L11" s="32"/>
      <c r="M11" s="32"/>
      <c r="N11" s="16" t="str">
        <f t="shared" si="0"/>
        <v>1</v>
      </c>
      <c r="O11" s="16" t="str">
        <f>INDEX(Кат!$H:$H,MATCH($A11,Кат!$A:$A,0))</f>
        <v>ВИЭ</v>
      </c>
    </row>
    <row r="12" spans="1:15" ht="30">
      <c r="A12" s="31">
        <v>142070</v>
      </c>
      <c r="B12" s="31">
        <v>37947</v>
      </c>
      <c r="C12" s="32" t="s">
        <v>53</v>
      </c>
      <c r="D12" s="32" t="s">
        <v>205</v>
      </c>
      <c r="E12" s="32"/>
      <c r="F12" s="32"/>
      <c r="G12" s="32" t="s">
        <v>41</v>
      </c>
      <c r="H12" s="33">
        <v>480</v>
      </c>
      <c r="I12" s="33">
        <v>769</v>
      </c>
      <c r="J12" s="32"/>
      <c r="K12" s="32" t="s">
        <v>7</v>
      </c>
      <c r="L12" s="32"/>
      <c r="M12" s="32"/>
      <c r="N12" s="16" t="str">
        <f t="shared" si="0"/>
        <v>1</v>
      </c>
      <c r="O12" s="16" t="str">
        <f>INDEX(Кат!$H:$H,MATCH($A12,Кат!$A:$A,0))</f>
        <v>ВИЭ</v>
      </c>
    </row>
    <row r="13" spans="1:15" ht="30">
      <c r="A13" s="31">
        <v>142071</v>
      </c>
      <c r="B13" s="31">
        <v>37938</v>
      </c>
      <c r="C13" s="32" t="s">
        <v>48</v>
      </c>
      <c r="D13" s="32" t="s">
        <v>205</v>
      </c>
      <c r="E13" s="32"/>
      <c r="F13" s="32"/>
      <c r="G13" s="32" t="s">
        <v>41</v>
      </c>
      <c r="H13" s="33">
        <v>420</v>
      </c>
      <c r="I13" s="33">
        <v>679</v>
      </c>
      <c r="J13" s="32"/>
      <c r="K13" s="32" t="s">
        <v>7</v>
      </c>
      <c r="L13" s="32"/>
      <c r="M13" s="32"/>
      <c r="N13" s="16" t="str">
        <f t="shared" si="0"/>
        <v>1</v>
      </c>
      <c r="O13" s="16" t="str">
        <f>INDEX(Кат!$H:$H,MATCH($A13,Кат!$A:$A,0))</f>
        <v>ВИЭ</v>
      </c>
    </row>
    <row r="14" spans="1:15" ht="30">
      <c r="A14" s="31">
        <v>142072</v>
      </c>
      <c r="B14" s="31">
        <v>37951</v>
      </c>
      <c r="C14" s="32" t="s">
        <v>56</v>
      </c>
      <c r="D14" s="32" t="s">
        <v>205</v>
      </c>
      <c r="E14" s="32"/>
      <c r="F14" s="32"/>
      <c r="G14" s="32" t="s">
        <v>41</v>
      </c>
      <c r="H14" s="33">
        <v>480</v>
      </c>
      <c r="I14" s="33">
        <v>769</v>
      </c>
      <c r="J14" s="32"/>
      <c r="K14" s="32" t="s">
        <v>7</v>
      </c>
      <c r="L14" s="32"/>
      <c r="M14" s="32"/>
      <c r="N14" s="16" t="str">
        <f t="shared" si="0"/>
        <v>1</v>
      </c>
      <c r="O14" s="16" t="str">
        <f>INDEX(Кат!$H:$H,MATCH($A14,Кат!$A:$A,0))</f>
        <v>ВИЭ</v>
      </c>
    </row>
    <row r="15" spans="1:15" ht="30">
      <c r="A15" s="31">
        <v>142073</v>
      </c>
      <c r="B15" s="31">
        <v>37942</v>
      </c>
      <c r="C15" s="32" t="s">
        <v>50</v>
      </c>
      <c r="D15" s="32" t="s">
        <v>205</v>
      </c>
      <c r="E15" s="32"/>
      <c r="F15" s="32"/>
      <c r="G15" s="32" t="s">
        <v>41</v>
      </c>
      <c r="H15" s="33">
        <v>480</v>
      </c>
      <c r="I15" s="33">
        <v>769</v>
      </c>
      <c r="J15" s="32"/>
      <c r="K15" s="32" t="s">
        <v>7</v>
      </c>
      <c r="L15" s="32"/>
      <c r="M15" s="32"/>
      <c r="N15" s="16" t="str">
        <f t="shared" si="0"/>
        <v>1</v>
      </c>
      <c r="O15" s="16" t="str">
        <f>INDEX(Кат!$H:$H,MATCH($A15,Кат!$A:$A,0))</f>
        <v>ВИЭ</v>
      </c>
    </row>
    <row r="16" spans="1:15" ht="30">
      <c r="A16" s="31">
        <v>142074</v>
      </c>
      <c r="B16" s="31">
        <v>37948</v>
      </c>
      <c r="C16" s="32" t="s">
        <v>54</v>
      </c>
      <c r="D16" s="32" t="s">
        <v>205</v>
      </c>
      <c r="E16" s="32"/>
      <c r="F16" s="32"/>
      <c r="G16" s="32" t="s">
        <v>41</v>
      </c>
      <c r="H16" s="33">
        <v>480</v>
      </c>
      <c r="I16" s="33">
        <v>769</v>
      </c>
      <c r="J16" s="32"/>
      <c r="K16" s="32" t="s">
        <v>7</v>
      </c>
      <c r="L16" s="32"/>
      <c r="M16" s="32"/>
      <c r="N16" s="16" t="str">
        <f t="shared" si="0"/>
        <v>1</v>
      </c>
      <c r="O16" s="16" t="str">
        <f>INDEX(Кат!$H:$H,MATCH($A16,Кат!$A:$A,0))</f>
        <v>ВИЭ</v>
      </c>
    </row>
    <row r="17" spans="1:15" ht="30">
      <c r="A17" s="31">
        <v>142075</v>
      </c>
      <c r="B17" s="31">
        <v>37952</v>
      </c>
      <c r="C17" s="32" t="s">
        <v>57</v>
      </c>
      <c r="D17" s="32" t="s">
        <v>205</v>
      </c>
      <c r="E17" s="32"/>
      <c r="F17" s="32"/>
      <c r="G17" s="32" t="s">
        <v>41</v>
      </c>
      <c r="H17" s="33">
        <v>480</v>
      </c>
      <c r="I17" s="33">
        <v>769</v>
      </c>
      <c r="J17" s="32"/>
      <c r="K17" s="32" t="s">
        <v>7</v>
      </c>
      <c r="L17" s="32"/>
      <c r="M17" s="32"/>
      <c r="N17" s="16" t="str">
        <f t="shared" si="0"/>
        <v>1</v>
      </c>
      <c r="O17" s="16" t="str">
        <f>INDEX(Кат!$H:$H,MATCH($A17,Кат!$A:$A,0))</f>
        <v>ВИЭ</v>
      </c>
    </row>
    <row r="18" spans="1:15" ht="30">
      <c r="A18" s="31">
        <v>142076</v>
      </c>
      <c r="B18" s="31">
        <v>37944</v>
      </c>
      <c r="C18" s="32" t="s">
        <v>51</v>
      </c>
      <c r="D18" s="32" t="s">
        <v>205</v>
      </c>
      <c r="E18" s="32"/>
      <c r="F18" s="32"/>
      <c r="G18" s="32" t="s">
        <v>41</v>
      </c>
      <c r="H18" s="33">
        <v>480</v>
      </c>
      <c r="I18" s="33">
        <v>769</v>
      </c>
      <c r="J18" s="32"/>
      <c r="K18" s="32" t="s">
        <v>7</v>
      </c>
      <c r="L18" s="32"/>
      <c r="M18" s="32"/>
      <c r="N18" s="16" t="str">
        <f t="shared" si="0"/>
        <v>1</v>
      </c>
      <c r="O18" s="16" t="str">
        <f>INDEX(Кат!$H:$H,MATCH($A18,Кат!$A:$A,0))</f>
        <v>ВИЭ</v>
      </c>
    </row>
    <row r="19" spans="1:15" ht="30">
      <c r="A19" s="31">
        <v>142077</v>
      </c>
      <c r="B19" s="31">
        <v>37949</v>
      </c>
      <c r="C19" s="32" t="s">
        <v>55</v>
      </c>
      <c r="D19" s="32" t="s">
        <v>205</v>
      </c>
      <c r="E19" s="32"/>
      <c r="F19" s="32"/>
      <c r="G19" s="32" t="s">
        <v>41</v>
      </c>
      <c r="H19" s="33">
        <v>480</v>
      </c>
      <c r="I19" s="33">
        <v>769</v>
      </c>
      <c r="J19" s="32"/>
      <c r="K19" s="32" t="s">
        <v>7</v>
      </c>
      <c r="L19" s="32"/>
      <c r="M19" s="32"/>
      <c r="N19" s="16" t="str">
        <f t="shared" si="0"/>
        <v>1</v>
      </c>
      <c r="O19" s="16" t="str">
        <f>INDEX(Кат!$H:$H,MATCH($A19,Кат!$A:$A,0))</f>
        <v>ВИЭ</v>
      </c>
    </row>
    <row r="20" spans="1:15" ht="30">
      <c r="A20" s="31">
        <v>142078</v>
      </c>
      <c r="B20" s="31">
        <v>37953</v>
      </c>
      <c r="C20" s="32" t="s">
        <v>58</v>
      </c>
      <c r="D20" s="32" t="s">
        <v>205</v>
      </c>
      <c r="E20" s="32"/>
      <c r="F20" s="32"/>
      <c r="G20" s="32" t="s">
        <v>41</v>
      </c>
      <c r="H20" s="33">
        <v>480</v>
      </c>
      <c r="I20" s="33">
        <v>769</v>
      </c>
      <c r="J20" s="32"/>
      <c r="K20" s="32" t="s">
        <v>7</v>
      </c>
      <c r="L20" s="32"/>
      <c r="M20" s="32"/>
      <c r="N20" s="16" t="str">
        <f t="shared" si="0"/>
        <v>1</v>
      </c>
      <c r="O20" s="16" t="str">
        <f>INDEX(Кат!$H:$H,MATCH($A20,Кат!$A:$A,0))</f>
        <v>ВИЭ</v>
      </c>
    </row>
    <row r="21" spans="1:15" ht="30">
      <c r="A21" s="31">
        <v>142079</v>
      </c>
      <c r="B21" s="31">
        <v>37945</v>
      </c>
      <c r="C21" s="32" t="s">
        <v>52</v>
      </c>
      <c r="D21" s="32" t="s">
        <v>205</v>
      </c>
      <c r="E21" s="32"/>
      <c r="F21" s="32"/>
      <c r="G21" s="32" t="s">
        <v>41</v>
      </c>
      <c r="H21" s="33">
        <v>480</v>
      </c>
      <c r="I21" s="33">
        <v>769</v>
      </c>
      <c r="J21" s="32"/>
      <c r="K21" s="32" t="s">
        <v>7</v>
      </c>
      <c r="L21" s="32"/>
      <c r="M21" s="32"/>
      <c r="N21" s="16" t="str">
        <f t="shared" si="0"/>
        <v>1</v>
      </c>
      <c r="O21" s="16" t="str">
        <f>INDEX(Кат!$H:$H,MATCH($A21,Кат!$A:$A,0))</f>
        <v>ВИЭ</v>
      </c>
    </row>
    <row r="22" spans="1:15" ht="75">
      <c r="A22" s="31">
        <v>142182</v>
      </c>
      <c r="B22" s="31">
        <v>19100</v>
      </c>
      <c r="C22" s="32" t="s">
        <v>212</v>
      </c>
      <c r="D22" s="32" t="s">
        <v>205</v>
      </c>
      <c r="E22" s="32" t="s">
        <v>24</v>
      </c>
      <c r="F22" s="32"/>
      <c r="G22" s="32" t="s">
        <v>41</v>
      </c>
      <c r="H22" s="33">
        <v>200</v>
      </c>
      <c r="I22" s="33">
        <v>619</v>
      </c>
      <c r="J22" s="32" t="s">
        <v>232</v>
      </c>
      <c r="K22" s="32" t="s">
        <v>7</v>
      </c>
      <c r="L22" s="32"/>
      <c r="M22" s="32"/>
      <c r="N22" s="16" t="str">
        <f t="shared" si="0"/>
        <v>1</v>
      </c>
      <c r="O22" s="16" t="str">
        <f>INDEX(Кат!$H:$H,MATCH($A22,Кат!$A:$A,0))</f>
        <v>ВИЭ</v>
      </c>
    </row>
    <row r="23" spans="1:15" ht="30">
      <c r="A23" s="31">
        <v>142183</v>
      </c>
      <c r="B23" s="31">
        <v>19124</v>
      </c>
      <c r="C23" s="32" t="s">
        <v>266</v>
      </c>
      <c r="D23" s="32" t="s">
        <v>205</v>
      </c>
      <c r="E23" s="32" t="s">
        <v>33</v>
      </c>
      <c r="F23" s="32"/>
      <c r="G23" s="32" t="s">
        <v>41</v>
      </c>
      <c r="H23" s="33">
        <v>180</v>
      </c>
      <c r="I23" s="33">
        <v>369</v>
      </c>
      <c r="J23" s="32" t="s">
        <v>236</v>
      </c>
      <c r="K23" s="32" t="s">
        <v>7</v>
      </c>
      <c r="L23" s="32"/>
      <c r="M23" s="32"/>
      <c r="N23" s="16" t="str">
        <f t="shared" si="0"/>
        <v>1</v>
      </c>
      <c r="O23" s="16" t="str">
        <f>INDEX(Кат!$H:$H,MATCH($A23,Кат!$A:$A,0))</f>
        <v>ВИЭ</v>
      </c>
    </row>
    <row r="24" spans="1:15" ht="45">
      <c r="A24" s="31">
        <v>144423</v>
      </c>
      <c r="B24" s="31">
        <v>9005</v>
      </c>
      <c r="C24" s="32" t="s">
        <v>177</v>
      </c>
      <c r="D24" s="32" t="s">
        <v>205</v>
      </c>
      <c r="E24" s="32"/>
      <c r="F24" s="32"/>
      <c r="G24" s="32" t="s">
        <v>41</v>
      </c>
      <c r="H24" s="33">
        <v>1150</v>
      </c>
      <c r="I24" s="33">
        <v>1790</v>
      </c>
      <c r="J24" s="32" t="s">
        <v>158</v>
      </c>
      <c r="K24" s="32" t="s">
        <v>7</v>
      </c>
      <c r="L24" s="32" t="s">
        <v>123</v>
      </c>
      <c r="M24" s="32"/>
      <c r="N24" s="16" t="str">
        <f t="shared" si="0"/>
        <v>1ск6</v>
      </c>
      <c r="O24" s="16" t="str">
        <f>INDEX(Кат!$H:$H,MATCH($A24,Кат!$A:$A,0))</f>
        <v>ВИЭ</v>
      </c>
    </row>
    <row r="25" spans="1:15" ht="45">
      <c r="A25" s="31">
        <v>144424</v>
      </c>
      <c r="B25" s="31">
        <v>17065</v>
      </c>
      <c r="C25" s="32" t="s">
        <v>43</v>
      </c>
      <c r="D25" s="32" t="s">
        <v>205</v>
      </c>
      <c r="E25" s="32"/>
      <c r="F25" s="32"/>
      <c r="G25" s="32" t="s">
        <v>41</v>
      </c>
      <c r="H25" s="33">
        <v>1250</v>
      </c>
      <c r="I25" s="33">
        <v>1890</v>
      </c>
      <c r="J25" s="32" t="s">
        <v>159</v>
      </c>
      <c r="K25" s="32" t="s">
        <v>7</v>
      </c>
      <c r="L25" s="32"/>
      <c r="M25" s="32"/>
      <c r="N25" s="16" t="str">
        <f t="shared" si="0"/>
        <v>1</v>
      </c>
      <c r="O25" s="16" t="str">
        <f>INDEX(Кат!$H:$H,MATCH($A25,Кат!$A:$A,0))</f>
        <v>ВИЭ</v>
      </c>
    </row>
    <row r="26" spans="1:15" ht="45">
      <c r="A26" s="31">
        <v>144436</v>
      </c>
      <c r="B26" s="31">
        <v>37969</v>
      </c>
      <c r="C26" s="32" t="s">
        <v>267</v>
      </c>
      <c r="D26" s="32" t="s">
        <v>205</v>
      </c>
      <c r="E26" s="32"/>
      <c r="F26" s="32"/>
      <c r="G26" s="32" t="s">
        <v>41</v>
      </c>
      <c r="H26" s="33">
        <v>1650</v>
      </c>
      <c r="I26" s="33">
        <v>2190</v>
      </c>
      <c r="J26" s="32"/>
      <c r="K26" s="32" t="s">
        <v>7</v>
      </c>
      <c r="L26" s="32"/>
      <c r="M26" s="32"/>
      <c r="N26" s="16" t="str">
        <f t="shared" si="0"/>
        <v>1</v>
      </c>
      <c r="O26" s="16" t="str">
        <f>INDEX(Кат!$H:$H,MATCH($A26,Кат!$A:$A,0))</f>
        <v>ВИЭ</v>
      </c>
    </row>
    <row r="27" spans="1:15" ht="60">
      <c r="A27" s="31">
        <v>144434</v>
      </c>
      <c r="B27" s="31">
        <v>163762</v>
      </c>
      <c r="C27" s="32" t="s">
        <v>153</v>
      </c>
      <c r="D27" s="32" t="s">
        <v>205</v>
      </c>
      <c r="E27" s="32" t="s">
        <v>154</v>
      </c>
      <c r="F27" s="32"/>
      <c r="G27" s="32" t="s">
        <v>41</v>
      </c>
      <c r="H27" s="33">
        <v>3800</v>
      </c>
      <c r="I27" s="33">
        <v>5190</v>
      </c>
      <c r="J27" s="32" t="s">
        <v>174</v>
      </c>
      <c r="K27" s="32" t="s">
        <v>7</v>
      </c>
      <c r="L27" s="32"/>
      <c r="M27" s="32"/>
      <c r="N27" s="16" t="str">
        <f t="shared" si="0"/>
        <v>1</v>
      </c>
      <c r="O27" s="16" t="str">
        <f>INDEX(Кат!$H:$H,MATCH($A27,Кат!$A:$A,0))</f>
        <v>ВИЭ</v>
      </c>
    </row>
    <row r="28" spans="1:15" ht="60">
      <c r="A28" s="31">
        <v>144435</v>
      </c>
      <c r="B28" s="31">
        <v>37968</v>
      </c>
      <c r="C28" s="32" t="s">
        <v>59</v>
      </c>
      <c r="D28" s="32" t="s">
        <v>205</v>
      </c>
      <c r="E28" s="32"/>
      <c r="F28" s="32"/>
      <c r="G28" s="32" t="s">
        <v>41</v>
      </c>
      <c r="H28" s="33">
        <v>1600</v>
      </c>
      <c r="I28" s="33">
        <v>2490</v>
      </c>
      <c r="J28" s="32" t="s">
        <v>237</v>
      </c>
      <c r="K28" s="32" t="s">
        <v>7</v>
      </c>
      <c r="L28" s="32"/>
      <c r="M28" s="32"/>
      <c r="N28" s="16" t="str">
        <f t="shared" si="0"/>
        <v>1</v>
      </c>
      <c r="O28" s="16" t="str">
        <f>INDEX(Кат!$H:$H,MATCH($A28,Кат!$A:$A,0))</f>
        <v>ВИЭ</v>
      </c>
    </row>
    <row r="29" spans="1:15" ht="75">
      <c r="A29" s="31">
        <v>155819</v>
      </c>
      <c r="B29" s="31">
        <v>19125</v>
      </c>
      <c r="C29" s="32" t="s">
        <v>152</v>
      </c>
      <c r="D29" s="32" t="s">
        <v>205</v>
      </c>
      <c r="E29" s="32" t="s">
        <v>34</v>
      </c>
      <c r="F29" s="32"/>
      <c r="G29" s="32" t="s">
        <v>41</v>
      </c>
      <c r="H29" s="33">
        <v>650</v>
      </c>
      <c r="I29" s="33">
        <v>1790</v>
      </c>
      <c r="J29" s="32" t="s">
        <v>163</v>
      </c>
      <c r="K29" s="32" t="s">
        <v>7</v>
      </c>
      <c r="L29" s="32"/>
      <c r="M29" s="32"/>
      <c r="N29" s="16" t="str">
        <f t="shared" si="0"/>
        <v>1</v>
      </c>
      <c r="O29" s="16" t="str">
        <f>INDEX(Кат!$H:$H,MATCH($A29,Кат!$A:$A,0))</f>
        <v>ВИЭ</v>
      </c>
    </row>
    <row r="30" spans="1:15" ht="60">
      <c r="A30" s="31">
        <v>160414</v>
      </c>
      <c r="B30" s="31">
        <v>13845</v>
      </c>
      <c r="C30" s="32" t="s">
        <v>213</v>
      </c>
      <c r="D30" s="32" t="s">
        <v>205</v>
      </c>
      <c r="E30" s="32" t="s">
        <v>125</v>
      </c>
      <c r="F30" s="32"/>
      <c r="G30" s="32" t="s">
        <v>41</v>
      </c>
      <c r="H30" s="33">
        <v>650</v>
      </c>
      <c r="I30" s="33">
        <v>909</v>
      </c>
      <c r="J30" s="32"/>
      <c r="K30" s="32" t="s">
        <v>207</v>
      </c>
      <c r="L30" s="32"/>
      <c r="M30" s="32"/>
      <c r="N30" s="16" t="str">
        <f t="shared" si="0"/>
        <v>0</v>
      </c>
      <c r="O30" s="16" t="str">
        <f>INDEX(Кат!$H:$H,MATCH($A30,Кат!$A:$A,0))</f>
        <v>ВИЭ</v>
      </c>
    </row>
    <row r="31" spans="1:15" ht="30">
      <c r="A31" s="31">
        <v>164034</v>
      </c>
      <c r="B31" s="31">
        <v>18750</v>
      </c>
      <c r="C31" s="32" t="s">
        <v>214</v>
      </c>
      <c r="D31" s="32" t="s">
        <v>205</v>
      </c>
      <c r="E31" s="32" t="s">
        <v>87</v>
      </c>
      <c r="F31" s="32"/>
      <c r="G31" s="32" t="s">
        <v>41</v>
      </c>
      <c r="H31" s="33">
        <v>0</v>
      </c>
      <c r="I31" s="33">
        <v>6190</v>
      </c>
      <c r="J31" s="32"/>
      <c r="K31" s="32" t="s">
        <v>207</v>
      </c>
      <c r="L31" s="32"/>
      <c r="M31" s="32"/>
      <c r="N31" s="16" t="str">
        <f t="shared" si="0"/>
        <v>0</v>
      </c>
      <c r="O31" s="16" t="str">
        <f>INDEX(Кат!$H:$H,MATCH($A31,Кат!$A:$A,0))</f>
        <v>ВИЭ</v>
      </c>
    </row>
    <row r="32" spans="1:15" ht="45">
      <c r="A32" s="31">
        <v>164616</v>
      </c>
      <c r="B32" s="31">
        <v>41261</v>
      </c>
      <c r="C32" s="32" t="s">
        <v>75</v>
      </c>
      <c r="D32" s="32" t="s">
        <v>205</v>
      </c>
      <c r="E32" s="32"/>
      <c r="F32" s="32"/>
      <c r="G32" s="32" t="s">
        <v>41</v>
      </c>
      <c r="H32" s="33">
        <v>600</v>
      </c>
      <c r="I32" s="33">
        <v>989</v>
      </c>
      <c r="J32" s="32" t="s">
        <v>160</v>
      </c>
      <c r="K32" s="32" t="s">
        <v>7</v>
      </c>
      <c r="L32" s="32"/>
      <c r="M32" s="32"/>
      <c r="N32" s="16" t="str">
        <f t="shared" si="0"/>
        <v>1</v>
      </c>
      <c r="O32" s="16" t="str">
        <f>INDEX(Кат!$H:$H,MATCH($A32,Кат!$A:$A,0))</f>
        <v>ВИЭ</v>
      </c>
    </row>
    <row r="33" spans="1:15" ht="75">
      <c r="A33" s="31">
        <v>164623</v>
      </c>
      <c r="B33" s="31">
        <v>19122</v>
      </c>
      <c r="C33" s="32" t="s">
        <v>46</v>
      </c>
      <c r="D33" s="32" t="s">
        <v>205</v>
      </c>
      <c r="E33" s="32" t="s">
        <v>138</v>
      </c>
      <c r="F33" s="32"/>
      <c r="G33" s="32" t="s">
        <v>41</v>
      </c>
      <c r="H33" s="33">
        <v>600</v>
      </c>
      <c r="I33" s="33">
        <v>989</v>
      </c>
      <c r="J33" s="32" t="s">
        <v>160</v>
      </c>
      <c r="K33" s="32" t="s">
        <v>7</v>
      </c>
      <c r="L33" s="32"/>
      <c r="M33" s="32"/>
      <c r="N33" s="16" t="str">
        <f t="shared" si="0"/>
        <v>1</v>
      </c>
      <c r="O33" s="16" t="str">
        <f>INDEX(Кат!$H:$H,MATCH($A33,Кат!$A:$A,0))</f>
        <v>ВИЭ</v>
      </c>
    </row>
    <row r="34" spans="1:15" ht="30">
      <c r="A34" s="31">
        <v>164624</v>
      </c>
      <c r="B34" s="31">
        <v>19119</v>
      </c>
      <c r="C34" s="32" t="s">
        <v>44</v>
      </c>
      <c r="D34" s="32" t="s">
        <v>205</v>
      </c>
      <c r="E34" s="32" t="s">
        <v>137</v>
      </c>
      <c r="F34" s="32"/>
      <c r="G34" s="32" t="s">
        <v>41</v>
      </c>
      <c r="H34" s="33">
        <v>600</v>
      </c>
      <c r="I34" s="33">
        <v>829</v>
      </c>
      <c r="J34" s="32" t="s">
        <v>164</v>
      </c>
      <c r="K34" s="32" t="s">
        <v>7</v>
      </c>
      <c r="L34" s="32"/>
      <c r="M34" s="32"/>
      <c r="N34" s="16" t="str">
        <f t="shared" si="0"/>
        <v>1</v>
      </c>
      <c r="O34" s="16" t="str">
        <f>INDEX(Кат!$H:$H,MATCH($A34,Кат!$A:$A,0))</f>
        <v>ВИЭ</v>
      </c>
    </row>
    <row r="35" spans="1:15" ht="45">
      <c r="A35" s="31">
        <v>164625</v>
      </c>
      <c r="B35" s="31">
        <v>19121</v>
      </c>
      <c r="C35" s="32" t="s">
        <v>45</v>
      </c>
      <c r="D35" s="32" t="s">
        <v>205</v>
      </c>
      <c r="E35" s="32"/>
      <c r="F35" s="32"/>
      <c r="G35" s="32" t="s">
        <v>41</v>
      </c>
      <c r="H35" s="33">
        <v>700</v>
      </c>
      <c r="I35" s="33">
        <v>989</v>
      </c>
      <c r="J35" s="32" t="s">
        <v>235</v>
      </c>
      <c r="K35" s="32" t="s">
        <v>7</v>
      </c>
      <c r="L35" s="32" t="s">
        <v>123</v>
      </c>
      <c r="M35" s="32"/>
      <c r="N35" s="16" t="str">
        <f t="shared" si="0"/>
        <v>1ск6</v>
      </c>
      <c r="O35" s="16" t="str">
        <f>INDEX(Кат!$H:$H,MATCH($A35,Кат!$A:$A,0))</f>
        <v>ВИЭ</v>
      </c>
    </row>
    <row r="36" spans="1:15" ht="30">
      <c r="A36" s="31">
        <v>171712</v>
      </c>
      <c r="B36" s="31">
        <v>19055</v>
      </c>
      <c r="C36" s="32" t="s">
        <v>8</v>
      </c>
      <c r="D36" s="32" t="s">
        <v>205</v>
      </c>
      <c r="E36" s="32"/>
      <c r="F36" s="32"/>
      <c r="G36" s="32" t="s">
        <v>41</v>
      </c>
      <c r="H36" s="33">
        <v>4500</v>
      </c>
      <c r="I36" s="33">
        <v>5690</v>
      </c>
      <c r="J36" s="32"/>
      <c r="K36" s="32" t="s">
        <v>207</v>
      </c>
      <c r="L36" s="32"/>
      <c r="M36" s="32"/>
      <c r="N36" s="16" t="str">
        <f t="shared" si="0"/>
        <v>0</v>
      </c>
      <c r="O36" s="16" t="str">
        <f>INDEX(Кат!$H:$H,MATCH($A36,Кат!$A:$A,0))</f>
        <v>ВИЭ</v>
      </c>
    </row>
    <row r="37" spans="1:15" ht="45">
      <c r="A37" s="31">
        <v>194534</v>
      </c>
      <c r="B37" s="31">
        <v>10213</v>
      </c>
      <c r="C37" s="32" t="s">
        <v>150</v>
      </c>
      <c r="D37" s="32" t="s">
        <v>205</v>
      </c>
      <c r="E37" s="32" t="s">
        <v>151</v>
      </c>
      <c r="F37" s="32"/>
      <c r="G37" s="32" t="s">
        <v>41</v>
      </c>
      <c r="H37" s="33">
        <v>650</v>
      </c>
      <c r="I37" s="33">
        <v>979</v>
      </c>
      <c r="J37" s="32" t="s">
        <v>234</v>
      </c>
      <c r="K37" s="32" t="s">
        <v>7</v>
      </c>
      <c r="L37" s="32"/>
      <c r="M37" s="32"/>
      <c r="N37" s="16" t="str">
        <f t="shared" si="0"/>
        <v>1</v>
      </c>
      <c r="O37" s="16" t="str">
        <f>INDEX(Кат!$H:$H,MATCH($A37,Кат!$A:$A,0))</f>
        <v>ВИЭ</v>
      </c>
    </row>
    <row r="38" spans="1:15" ht="45">
      <c r="A38" s="31">
        <v>201416</v>
      </c>
      <c r="B38" s="31">
        <v>6903</v>
      </c>
      <c r="C38" s="32" t="s">
        <v>268</v>
      </c>
      <c r="D38" s="32" t="s">
        <v>205</v>
      </c>
      <c r="E38" s="32" t="s">
        <v>269</v>
      </c>
      <c r="F38" s="32"/>
      <c r="G38" s="32" t="s">
        <v>41</v>
      </c>
      <c r="H38" s="33">
        <v>20</v>
      </c>
      <c r="I38" s="33">
        <v>39</v>
      </c>
      <c r="J38" s="32" t="s">
        <v>238</v>
      </c>
      <c r="K38" s="32" t="s">
        <v>7</v>
      </c>
      <c r="L38" s="32"/>
      <c r="M38" s="32"/>
      <c r="N38" s="16" t="str">
        <f t="shared" si="0"/>
        <v>1</v>
      </c>
      <c r="O38" s="16" t="str">
        <f>INDEX(Кат!$H:$H,MATCH($A38,Кат!$A:$A,0))</f>
        <v>ВИЭ</v>
      </c>
    </row>
    <row r="39" spans="1:15" ht="30">
      <c r="A39" s="31">
        <v>203179</v>
      </c>
      <c r="B39" s="31">
        <v>37971</v>
      </c>
      <c r="C39" s="32" t="s">
        <v>61</v>
      </c>
      <c r="D39" s="32" t="s">
        <v>205</v>
      </c>
      <c r="E39" s="32"/>
      <c r="F39" s="32"/>
      <c r="G39" s="32" t="s">
        <v>41</v>
      </c>
      <c r="H39" s="33">
        <v>320</v>
      </c>
      <c r="I39" s="33">
        <v>519</v>
      </c>
      <c r="J39" s="32"/>
      <c r="K39" s="32" t="s">
        <v>7</v>
      </c>
      <c r="L39" s="32" t="s">
        <v>123</v>
      </c>
      <c r="M39" s="32"/>
      <c r="N39" s="16" t="str">
        <f t="shared" si="0"/>
        <v>1ск6</v>
      </c>
      <c r="O39" s="16" t="str">
        <f>INDEX(Кат!$H:$H,MATCH($A39,Кат!$A:$A,0))</f>
        <v>ВИЭ</v>
      </c>
    </row>
    <row r="40" spans="1:15" ht="30">
      <c r="A40" s="31">
        <v>203180</v>
      </c>
      <c r="B40" s="31">
        <v>37970</v>
      </c>
      <c r="C40" s="32" t="s">
        <v>60</v>
      </c>
      <c r="D40" s="32" t="s">
        <v>205</v>
      </c>
      <c r="E40" s="32"/>
      <c r="F40" s="32"/>
      <c r="G40" s="32" t="s">
        <v>41</v>
      </c>
      <c r="H40" s="33">
        <v>320</v>
      </c>
      <c r="I40" s="33">
        <v>519</v>
      </c>
      <c r="J40" s="32"/>
      <c r="K40" s="32" t="s">
        <v>7</v>
      </c>
      <c r="L40" s="32"/>
      <c r="M40" s="32"/>
      <c r="N40" s="16" t="str">
        <f t="shared" si="0"/>
        <v>1</v>
      </c>
      <c r="O40" s="16" t="str">
        <f>INDEX(Кат!$H:$H,MATCH($A40,Кат!$A:$A,0))</f>
        <v>ВИЭ</v>
      </c>
    </row>
    <row r="41" spans="1:15" ht="45">
      <c r="A41" s="31">
        <v>203181</v>
      </c>
      <c r="B41" s="31">
        <v>19107</v>
      </c>
      <c r="C41" s="32" t="s">
        <v>10</v>
      </c>
      <c r="D41" s="32" t="s">
        <v>205</v>
      </c>
      <c r="E41" s="32"/>
      <c r="F41" s="32"/>
      <c r="G41" s="32" t="s">
        <v>41</v>
      </c>
      <c r="H41" s="33">
        <v>300</v>
      </c>
      <c r="I41" s="33">
        <v>619</v>
      </c>
      <c r="J41" s="32" t="s">
        <v>170</v>
      </c>
      <c r="K41" s="32" t="s">
        <v>7</v>
      </c>
      <c r="L41" s="32"/>
      <c r="M41" s="32"/>
      <c r="N41" s="16" t="str">
        <f t="shared" si="0"/>
        <v>1</v>
      </c>
      <c r="O41" s="16" t="str">
        <f>INDEX(Кат!$H:$H,MATCH($A41,Кат!$A:$A,0))</f>
        <v>ВИЭ</v>
      </c>
    </row>
    <row r="42" spans="1:15" ht="45">
      <c r="A42" s="31">
        <v>203187</v>
      </c>
      <c r="B42" s="31">
        <v>19105</v>
      </c>
      <c r="C42" s="32" t="s">
        <v>9</v>
      </c>
      <c r="D42" s="32" t="s">
        <v>205</v>
      </c>
      <c r="E42" s="32" t="s">
        <v>28</v>
      </c>
      <c r="F42" s="32"/>
      <c r="G42" s="32" t="s">
        <v>41</v>
      </c>
      <c r="H42" s="33">
        <v>450</v>
      </c>
      <c r="I42" s="33">
        <v>689</v>
      </c>
      <c r="J42" s="32" t="s">
        <v>264</v>
      </c>
      <c r="K42" s="32" t="s">
        <v>7</v>
      </c>
      <c r="L42" s="32"/>
      <c r="M42" s="32"/>
      <c r="N42" s="16" t="str">
        <f t="shared" si="0"/>
        <v>1</v>
      </c>
      <c r="O42" s="16" t="str">
        <f>INDEX(Кат!$H:$H,MATCH($A42,Кат!$A:$A,0))</f>
        <v>ВИЭ</v>
      </c>
    </row>
    <row r="43" spans="1:15" ht="60">
      <c r="A43" s="31">
        <v>203217</v>
      </c>
      <c r="B43" s="31">
        <v>37689</v>
      </c>
      <c r="C43" s="32" t="s">
        <v>37</v>
      </c>
      <c r="D43" s="32" t="s">
        <v>205</v>
      </c>
      <c r="E43" s="32" t="s">
        <v>79</v>
      </c>
      <c r="F43" s="32"/>
      <c r="G43" s="32" t="s">
        <v>41</v>
      </c>
      <c r="H43" s="33">
        <v>350</v>
      </c>
      <c r="I43" s="33">
        <v>559</v>
      </c>
      <c r="J43" s="32"/>
      <c r="K43" s="32" t="s">
        <v>7</v>
      </c>
      <c r="L43" s="32"/>
      <c r="M43" s="32"/>
      <c r="N43" s="16" t="str">
        <f t="shared" si="0"/>
        <v>1</v>
      </c>
      <c r="O43" s="16" t="str">
        <f>INDEX(Кат!$H:$H,MATCH($A43,Кат!$A:$A,0))</f>
        <v>ВИЭ</v>
      </c>
    </row>
    <row r="44" spans="1:15" ht="45">
      <c r="A44" s="31">
        <v>203218</v>
      </c>
      <c r="B44" s="31">
        <v>37982</v>
      </c>
      <c r="C44" s="32" t="s">
        <v>63</v>
      </c>
      <c r="D44" s="32" t="s">
        <v>205</v>
      </c>
      <c r="E44" s="32" t="s">
        <v>29</v>
      </c>
      <c r="F44" s="32"/>
      <c r="G44" s="32" t="s">
        <v>41</v>
      </c>
      <c r="H44" s="33">
        <v>350</v>
      </c>
      <c r="I44" s="33">
        <v>669</v>
      </c>
      <c r="J44" s="32" t="s">
        <v>161</v>
      </c>
      <c r="K44" s="32" t="s">
        <v>7</v>
      </c>
      <c r="L44" s="32"/>
      <c r="M44" s="32"/>
      <c r="N44" s="16" t="str">
        <f t="shared" si="0"/>
        <v>1</v>
      </c>
      <c r="O44" s="16" t="str">
        <f>INDEX(Кат!$H:$H,MATCH($A44,Кат!$A:$A,0))</f>
        <v>ВИЭ</v>
      </c>
    </row>
    <row r="45" spans="1:15" ht="60">
      <c r="A45" s="31">
        <v>203219</v>
      </c>
      <c r="B45" s="31">
        <v>37692</v>
      </c>
      <c r="C45" s="32" t="s">
        <v>38</v>
      </c>
      <c r="D45" s="32" t="s">
        <v>205</v>
      </c>
      <c r="E45" s="32" t="s">
        <v>79</v>
      </c>
      <c r="F45" s="32"/>
      <c r="G45" s="32" t="s">
        <v>41</v>
      </c>
      <c r="H45" s="33">
        <v>350</v>
      </c>
      <c r="I45" s="33">
        <v>619</v>
      </c>
      <c r="J45" s="32" t="s">
        <v>171</v>
      </c>
      <c r="K45" s="32" t="s">
        <v>7</v>
      </c>
      <c r="L45" s="32"/>
      <c r="M45" s="32"/>
      <c r="N45" s="16" t="str">
        <f t="shared" si="0"/>
        <v>1</v>
      </c>
      <c r="O45" s="16" t="str">
        <f>INDEX(Кат!$H:$H,MATCH($A45,Кат!$A:$A,0))</f>
        <v>ВИЭ</v>
      </c>
    </row>
    <row r="46" spans="1:15" ht="45">
      <c r="A46" s="31">
        <v>203220</v>
      </c>
      <c r="B46" s="31">
        <v>37981</v>
      </c>
      <c r="C46" s="32" t="s">
        <v>62</v>
      </c>
      <c r="D46" s="32" t="s">
        <v>205</v>
      </c>
      <c r="E46" s="32" t="s">
        <v>29</v>
      </c>
      <c r="F46" s="32"/>
      <c r="G46" s="32" t="s">
        <v>41</v>
      </c>
      <c r="H46" s="33">
        <v>330</v>
      </c>
      <c r="I46" s="33">
        <v>619</v>
      </c>
      <c r="J46" s="32" t="s">
        <v>230</v>
      </c>
      <c r="K46" s="32" t="s">
        <v>7</v>
      </c>
      <c r="L46" s="32"/>
      <c r="M46" s="32"/>
      <c r="N46" s="16" t="str">
        <f t="shared" si="0"/>
        <v>1</v>
      </c>
      <c r="O46" s="16" t="str">
        <f>INDEX(Кат!$H:$H,MATCH($A46,Кат!$A:$A,0))</f>
        <v>ВИЭ</v>
      </c>
    </row>
    <row r="47" spans="1:15" ht="30">
      <c r="A47" s="31">
        <v>203221</v>
      </c>
      <c r="B47" s="31">
        <v>19106</v>
      </c>
      <c r="C47" s="32" t="s">
        <v>215</v>
      </c>
      <c r="D47" s="32" t="s">
        <v>205</v>
      </c>
      <c r="E47" s="32" t="s">
        <v>29</v>
      </c>
      <c r="F47" s="32"/>
      <c r="G47" s="32" t="s">
        <v>41</v>
      </c>
      <c r="H47" s="33">
        <v>390</v>
      </c>
      <c r="I47" s="33">
        <v>669</v>
      </c>
      <c r="J47" s="32" t="s">
        <v>161</v>
      </c>
      <c r="K47" s="32" t="s">
        <v>7</v>
      </c>
      <c r="L47" s="32"/>
      <c r="M47" s="32"/>
      <c r="N47" s="16" t="str">
        <f t="shared" si="0"/>
        <v>1</v>
      </c>
      <c r="O47" s="16" t="str">
        <f>INDEX(Кат!$H:$H,MATCH($A47,Кат!$A:$A,0))</f>
        <v>ВИЭ</v>
      </c>
    </row>
    <row r="48" spans="1:15" ht="30">
      <c r="A48" s="31">
        <v>203496</v>
      </c>
      <c r="B48" s="31">
        <v>19109</v>
      </c>
      <c r="C48" s="32" t="s">
        <v>11</v>
      </c>
      <c r="D48" s="32" t="s">
        <v>205</v>
      </c>
      <c r="E48" s="32" t="s">
        <v>31</v>
      </c>
      <c r="F48" s="32"/>
      <c r="G48" s="32" t="s">
        <v>41</v>
      </c>
      <c r="H48" s="33">
        <v>0</v>
      </c>
      <c r="I48" s="33">
        <v>989</v>
      </c>
      <c r="J48" s="32" t="s">
        <v>175</v>
      </c>
      <c r="K48" s="32" t="s">
        <v>7</v>
      </c>
      <c r="L48" s="32" t="s">
        <v>123</v>
      </c>
      <c r="M48" s="32"/>
      <c r="N48" s="16" t="str">
        <f t="shared" si="0"/>
        <v>1ск6</v>
      </c>
      <c r="O48" s="16" t="str">
        <f>INDEX(Кат!$H:$H,MATCH($A48,Кат!$A:$A,0))</f>
        <v>ВИЭ</v>
      </c>
    </row>
    <row r="49" spans="1:15" ht="45">
      <c r="A49" s="31">
        <v>204475</v>
      </c>
      <c r="B49" s="31">
        <v>23566</v>
      </c>
      <c r="C49" s="32" t="s">
        <v>15</v>
      </c>
      <c r="D49" s="32" t="s">
        <v>205</v>
      </c>
      <c r="E49" s="32" t="s">
        <v>139</v>
      </c>
      <c r="F49" s="32"/>
      <c r="G49" s="32" t="s">
        <v>41</v>
      </c>
      <c r="H49" s="33">
        <v>3250</v>
      </c>
      <c r="I49" s="33">
        <v>4090</v>
      </c>
      <c r="J49" s="32"/>
      <c r="K49" s="32" t="s">
        <v>207</v>
      </c>
      <c r="L49" s="32"/>
      <c r="M49" s="32"/>
      <c r="N49" s="16" t="str">
        <f t="shared" si="0"/>
        <v>0</v>
      </c>
      <c r="O49" s="16" t="str">
        <f>INDEX(Кат!$H:$H,MATCH($A49,Кат!$A:$A,0))</f>
        <v>ВИЭ</v>
      </c>
    </row>
    <row r="50" spans="1:15" ht="30">
      <c r="A50" s="31">
        <v>204476</v>
      </c>
      <c r="B50" s="31">
        <v>23571</v>
      </c>
      <c r="C50" s="32" t="s">
        <v>16</v>
      </c>
      <c r="D50" s="32" t="s">
        <v>205</v>
      </c>
      <c r="E50" s="32" t="s">
        <v>140</v>
      </c>
      <c r="F50" s="32"/>
      <c r="G50" s="32" t="s">
        <v>41</v>
      </c>
      <c r="H50" s="33">
        <v>3250</v>
      </c>
      <c r="I50" s="33">
        <v>4090</v>
      </c>
      <c r="J50" s="32"/>
      <c r="K50" s="32" t="s">
        <v>207</v>
      </c>
      <c r="L50" s="32"/>
      <c r="M50" s="32"/>
      <c r="N50" s="16" t="str">
        <f t="shared" si="0"/>
        <v>0</v>
      </c>
      <c r="O50" s="16" t="str">
        <f>INDEX(Кат!$H:$H,MATCH($A50,Кат!$A:$A,0))</f>
        <v>ВИЭ</v>
      </c>
    </row>
    <row r="51" spans="1:15">
      <c r="A51" s="31">
        <v>213717</v>
      </c>
      <c r="B51" s="31">
        <v>21050</v>
      </c>
      <c r="C51" s="32" t="s">
        <v>14</v>
      </c>
      <c r="D51" s="32" t="s">
        <v>205</v>
      </c>
      <c r="E51" s="32"/>
      <c r="F51" s="32"/>
      <c r="G51" s="32" t="s">
        <v>41</v>
      </c>
      <c r="H51" s="33">
        <v>13000</v>
      </c>
      <c r="I51" s="33">
        <v>16890</v>
      </c>
      <c r="J51" s="32"/>
      <c r="K51" s="32" t="s">
        <v>207</v>
      </c>
      <c r="L51" s="32"/>
      <c r="M51" s="32" t="s">
        <v>205</v>
      </c>
      <c r="N51" s="16" t="str">
        <f t="shared" si="0"/>
        <v>0</v>
      </c>
      <c r="O51" s="16" t="str">
        <f>INDEX(Кат!$H:$H,MATCH($A51,Кат!$A:$A,0))</f>
        <v>ВИЭ</v>
      </c>
    </row>
    <row r="52" spans="1:15" ht="45">
      <c r="A52" s="31">
        <v>219322</v>
      </c>
      <c r="B52" s="31">
        <v>37985</v>
      </c>
      <c r="C52" s="32" t="s">
        <v>65</v>
      </c>
      <c r="D52" s="32" t="s">
        <v>205</v>
      </c>
      <c r="E52" s="32"/>
      <c r="F52" s="32"/>
      <c r="G52" s="32" t="s">
        <v>41</v>
      </c>
      <c r="H52" s="33">
        <v>1550</v>
      </c>
      <c r="I52" s="33">
        <v>2090</v>
      </c>
      <c r="J52" s="32" t="s">
        <v>225</v>
      </c>
      <c r="K52" s="32" t="s">
        <v>7</v>
      </c>
      <c r="L52" s="32"/>
      <c r="M52" s="32"/>
      <c r="N52" s="16" t="str">
        <f t="shared" si="0"/>
        <v>1</v>
      </c>
      <c r="O52" s="16" t="str">
        <f>INDEX(Кат!$H:$H,MATCH($A52,Кат!$A:$A,0))</f>
        <v>ВИЭ</v>
      </c>
    </row>
    <row r="53" spans="1:15" ht="45">
      <c r="A53" s="31">
        <v>219323</v>
      </c>
      <c r="B53" s="31">
        <v>37984</v>
      </c>
      <c r="C53" s="32" t="s">
        <v>64</v>
      </c>
      <c r="D53" s="32" t="s">
        <v>205</v>
      </c>
      <c r="E53" s="32"/>
      <c r="F53" s="32"/>
      <c r="G53" s="32" t="s">
        <v>41</v>
      </c>
      <c r="H53" s="33">
        <v>1550</v>
      </c>
      <c r="I53" s="33">
        <v>2090</v>
      </c>
      <c r="J53" s="32"/>
      <c r="K53" s="32" t="s">
        <v>7</v>
      </c>
      <c r="L53" s="32"/>
      <c r="M53" s="32"/>
      <c r="N53" s="16" t="str">
        <f t="shared" si="0"/>
        <v>1</v>
      </c>
      <c r="O53" s="16" t="str">
        <f>INDEX(Кат!$H:$H,MATCH($A53,Кат!$A:$A,0))</f>
        <v>ВИЭ</v>
      </c>
    </row>
    <row r="54" spans="1:15" ht="45">
      <c r="A54" s="31">
        <v>219324</v>
      </c>
      <c r="B54" s="31">
        <v>37988</v>
      </c>
      <c r="C54" s="32" t="s">
        <v>68</v>
      </c>
      <c r="D54" s="32" t="s">
        <v>205</v>
      </c>
      <c r="E54" s="32"/>
      <c r="F54" s="32"/>
      <c r="G54" s="32" t="s">
        <v>41</v>
      </c>
      <c r="H54" s="33">
        <v>1450</v>
      </c>
      <c r="I54" s="33">
        <v>1990</v>
      </c>
      <c r="J54" s="32"/>
      <c r="K54" s="32" t="s">
        <v>7</v>
      </c>
      <c r="L54" s="32"/>
      <c r="M54" s="32"/>
      <c r="N54" s="16" t="str">
        <f t="shared" si="0"/>
        <v>1</v>
      </c>
      <c r="O54" s="16" t="str">
        <f>INDEX(Кат!$H:$H,MATCH($A54,Кат!$A:$A,0))</f>
        <v>ВИЭ</v>
      </c>
    </row>
    <row r="55" spans="1:15" ht="45">
      <c r="A55" s="31">
        <v>219325</v>
      </c>
      <c r="B55" s="31">
        <v>37987</v>
      </c>
      <c r="C55" s="32" t="s">
        <v>67</v>
      </c>
      <c r="D55" s="32" t="s">
        <v>205</v>
      </c>
      <c r="E55" s="32"/>
      <c r="F55" s="32"/>
      <c r="G55" s="32" t="s">
        <v>41</v>
      </c>
      <c r="H55" s="33">
        <v>1450</v>
      </c>
      <c r="I55" s="33">
        <v>1990</v>
      </c>
      <c r="J55" s="32"/>
      <c r="K55" s="32" t="s">
        <v>7</v>
      </c>
      <c r="L55" s="32"/>
      <c r="M55" s="32"/>
      <c r="N55" s="16" t="str">
        <f t="shared" si="0"/>
        <v>1</v>
      </c>
      <c r="O55" s="16" t="str">
        <f>INDEX(Кат!$H:$H,MATCH($A55,Кат!$A:$A,0))</f>
        <v>ВИЭ</v>
      </c>
    </row>
    <row r="56" spans="1:15" ht="45">
      <c r="A56" s="31">
        <v>219326</v>
      </c>
      <c r="B56" s="31">
        <v>37986</v>
      </c>
      <c r="C56" s="32" t="s">
        <v>66</v>
      </c>
      <c r="D56" s="32" t="s">
        <v>205</v>
      </c>
      <c r="E56" s="32"/>
      <c r="F56" s="32"/>
      <c r="G56" s="32" t="s">
        <v>41</v>
      </c>
      <c r="H56" s="33">
        <v>1450</v>
      </c>
      <c r="I56" s="33">
        <v>2090</v>
      </c>
      <c r="J56" s="32" t="s">
        <v>229</v>
      </c>
      <c r="K56" s="32" t="s">
        <v>7</v>
      </c>
      <c r="L56" s="32"/>
      <c r="M56" s="32"/>
      <c r="N56" s="16" t="str">
        <f t="shared" si="0"/>
        <v>1</v>
      </c>
      <c r="O56" s="16" t="str">
        <f>INDEX(Кат!$H:$H,MATCH($A56,Кат!$A:$A,0))</f>
        <v>ВИЭ</v>
      </c>
    </row>
    <row r="57" spans="1:15" ht="45">
      <c r="A57" s="31">
        <v>219327</v>
      </c>
      <c r="B57" s="31">
        <v>37989</v>
      </c>
      <c r="C57" s="32" t="s">
        <v>69</v>
      </c>
      <c r="D57" s="32" t="s">
        <v>205</v>
      </c>
      <c r="E57" s="32"/>
      <c r="F57" s="32"/>
      <c r="G57" s="32" t="s">
        <v>41</v>
      </c>
      <c r="H57" s="33">
        <v>1450</v>
      </c>
      <c r="I57" s="33">
        <v>1890</v>
      </c>
      <c r="J57" s="32" t="s">
        <v>228</v>
      </c>
      <c r="K57" s="32" t="s">
        <v>7</v>
      </c>
      <c r="L57" s="32"/>
      <c r="M57" s="32"/>
      <c r="N57" s="16" t="str">
        <f t="shared" si="0"/>
        <v>1</v>
      </c>
      <c r="O57" s="16" t="str">
        <f>INDEX(Кат!$H:$H,MATCH($A57,Кат!$A:$A,0))</f>
        <v>ВИЭ</v>
      </c>
    </row>
    <row r="58" spans="1:15" ht="45">
      <c r="A58" s="31">
        <v>219328</v>
      </c>
      <c r="B58" s="31">
        <v>37991</v>
      </c>
      <c r="C58" s="32" t="s">
        <v>71</v>
      </c>
      <c r="D58" s="32" t="s">
        <v>205</v>
      </c>
      <c r="E58" s="32"/>
      <c r="F58" s="32"/>
      <c r="G58" s="32" t="s">
        <v>41</v>
      </c>
      <c r="H58" s="33">
        <v>1450</v>
      </c>
      <c r="I58" s="33">
        <v>2090</v>
      </c>
      <c r="J58" s="32" t="s">
        <v>226</v>
      </c>
      <c r="K58" s="32" t="s">
        <v>7</v>
      </c>
      <c r="L58" s="32"/>
      <c r="M58" s="32"/>
      <c r="N58" s="16" t="str">
        <f t="shared" si="0"/>
        <v>1</v>
      </c>
      <c r="O58" s="16" t="str">
        <f>INDEX(Кат!$H:$H,MATCH($A58,Кат!$A:$A,0))</f>
        <v>ВИЭ</v>
      </c>
    </row>
    <row r="59" spans="1:15" ht="45">
      <c r="A59" s="31">
        <v>219329</v>
      </c>
      <c r="B59" s="31">
        <v>37990</v>
      </c>
      <c r="C59" s="32" t="s">
        <v>70</v>
      </c>
      <c r="D59" s="32" t="s">
        <v>205</v>
      </c>
      <c r="E59" s="32"/>
      <c r="F59" s="32"/>
      <c r="G59" s="32" t="s">
        <v>41</v>
      </c>
      <c r="H59" s="33">
        <v>1450</v>
      </c>
      <c r="I59" s="33">
        <v>1890</v>
      </c>
      <c r="J59" s="32" t="s">
        <v>227</v>
      </c>
      <c r="K59" s="32" t="s">
        <v>7</v>
      </c>
      <c r="L59" s="32"/>
      <c r="M59" s="32"/>
      <c r="N59" s="16" t="str">
        <f t="shared" si="0"/>
        <v>1</v>
      </c>
      <c r="O59" s="16" t="str">
        <f>INDEX(Кат!$H:$H,MATCH($A59,Кат!$A:$A,0))</f>
        <v>ВИЭ</v>
      </c>
    </row>
    <row r="60" spans="1:15" ht="45">
      <c r="A60" s="31">
        <v>219330</v>
      </c>
      <c r="B60" s="31">
        <v>39080</v>
      </c>
      <c r="C60" s="32" t="s">
        <v>73</v>
      </c>
      <c r="D60" s="32" t="s">
        <v>205</v>
      </c>
      <c r="E60" s="32" t="s">
        <v>147</v>
      </c>
      <c r="F60" s="32" t="s">
        <v>74</v>
      </c>
      <c r="G60" s="32" t="s">
        <v>41</v>
      </c>
      <c r="H60" s="33">
        <v>1450</v>
      </c>
      <c r="I60" s="33">
        <v>2090</v>
      </c>
      <c r="J60" s="32" t="s">
        <v>224</v>
      </c>
      <c r="K60" s="32" t="s">
        <v>7</v>
      </c>
      <c r="L60" s="32"/>
      <c r="M60" s="32"/>
      <c r="N60" s="16" t="str">
        <f t="shared" si="0"/>
        <v>1</v>
      </c>
      <c r="O60" s="16" t="str">
        <f>INDEX(Кат!$H:$H,MATCH($A60,Кат!$A:$A,0))</f>
        <v>ВИЭ</v>
      </c>
    </row>
    <row r="61" spans="1:15" ht="45">
      <c r="A61" s="31">
        <v>219331</v>
      </c>
      <c r="B61" s="31">
        <v>19127</v>
      </c>
      <c r="C61" s="32" t="s">
        <v>47</v>
      </c>
      <c r="D61" s="32" t="s">
        <v>205</v>
      </c>
      <c r="E61" s="32" t="s">
        <v>36</v>
      </c>
      <c r="F61" s="32"/>
      <c r="G61" s="32" t="s">
        <v>41</v>
      </c>
      <c r="H61" s="33">
        <v>1450</v>
      </c>
      <c r="I61" s="33">
        <v>1990</v>
      </c>
      <c r="J61" s="32"/>
      <c r="K61" s="32" t="s">
        <v>7</v>
      </c>
      <c r="L61" s="32"/>
      <c r="M61" s="32"/>
      <c r="N61" s="16" t="str">
        <f t="shared" si="0"/>
        <v>1</v>
      </c>
      <c r="O61" s="16" t="str">
        <f>INDEX(Кат!$H:$H,MATCH($A61,Кат!$A:$A,0))</f>
        <v>ВИЭ</v>
      </c>
    </row>
    <row r="62" spans="1:15" ht="30">
      <c r="A62" s="31">
        <v>219356</v>
      </c>
      <c r="B62" s="31">
        <v>37992</v>
      </c>
      <c r="C62" s="32" t="s">
        <v>72</v>
      </c>
      <c r="D62" s="32" t="s">
        <v>205</v>
      </c>
      <c r="E62" s="32"/>
      <c r="F62" s="32"/>
      <c r="G62" s="32" t="s">
        <v>41</v>
      </c>
      <c r="H62" s="33">
        <v>3420</v>
      </c>
      <c r="I62" s="33">
        <v>4290</v>
      </c>
      <c r="J62" s="32"/>
      <c r="K62" s="32" t="s">
        <v>7</v>
      </c>
      <c r="L62" s="32"/>
      <c r="M62" s="32"/>
      <c r="N62" s="16" t="str">
        <f t="shared" si="0"/>
        <v>1</v>
      </c>
      <c r="O62" s="16" t="str">
        <f>INDEX(Кат!$H:$H,MATCH($A62,Кат!$A:$A,0))</f>
        <v>ВИЭ</v>
      </c>
    </row>
    <row r="63" spans="1:15" ht="90">
      <c r="A63" s="31">
        <v>224431</v>
      </c>
      <c r="B63" s="31">
        <v>54767</v>
      </c>
      <c r="C63" s="32" t="s">
        <v>148</v>
      </c>
      <c r="D63" s="32" t="s">
        <v>205</v>
      </c>
      <c r="E63" s="32" t="s">
        <v>149</v>
      </c>
      <c r="F63" s="32"/>
      <c r="G63" s="32" t="s">
        <v>41</v>
      </c>
      <c r="H63" s="33">
        <v>550</v>
      </c>
      <c r="I63" s="33">
        <v>829</v>
      </c>
      <c r="J63" s="32" t="s">
        <v>223</v>
      </c>
      <c r="K63" s="32" t="s">
        <v>7</v>
      </c>
      <c r="L63" s="32"/>
      <c r="M63" s="32"/>
      <c r="N63" s="16" t="str">
        <f t="shared" si="0"/>
        <v>1</v>
      </c>
      <c r="O63" s="16" t="str">
        <f>INDEX(Кат!$H:$H,MATCH($A63,Кат!$A:$A,0))</f>
        <v>ВИЭ</v>
      </c>
    </row>
    <row r="64" spans="1:15" ht="75">
      <c r="A64" s="31">
        <v>224432</v>
      </c>
      <c r="B64" s="31">
        <v>37961</v>
      </c>
      <c r="C64" s="32" t="s">
        <v>145</v>
      </c>
      <c r="D64" s="32" t="s">
        <v>205</v>
      </c>
      <c r="E64" s="32" t="s">
        <v>146</v>
      </c>
      <c r="F64" s="32"/>
      <c r="G64" s="32" t="s">
        <v>41</v>
      </c>
      <c r="H64" s="33">
        <v>550</v>
      </c>
      <c r="I64" s="33">
        <v>769</v>
      </c>
      <c r="J64" s="32"/>
      <c r="K64" s="32" t="s">
        <v>7</v>
      </c>
      <c r="L64" s="32" t="s">
        <v>123</v>
      </c>
      <c r="M64" s="32"/>
      <c r="N64" s="16" t="str">
        <f t="shared" si="0"/>
        <v>1ск6</v>
      </c>
      <c r="O64" s="16" t="str">
        <f>INDEX(Кат!$H:$H,MATCH($A64,Кат!$A:$A,0))</f>
        <v>ВИЭ</v>
      </c>
    </row>
    <row r="65" spans="1:15" ht="60">
      <c r="A65" s="31">
        <v>224433</v>
      </c>
      <c r="B65" s="31">
        <v>19112</v>
      </c>
      <c r="C65" s="32" t="s">
        <v>131</v>
      </c>
      <c r="D65" s="32" t="s">
        <v>205</v>
      </c>
      <c r="E65" s="32" t="s">
        <v>132</v>
      </c>
      <c r="F65" s="32"/>
      <c r="G65" s="32" t="s">
        <v>41</v>
      </c>
      <c r="H65" s="33">
        <v>550</v>
      </c>
      <c r="I65" s="33">
        <v>769</v>
      </c>
      <c r="J65" s="32"/>
      <c r="K65" s="32" t="s">
        <v>7</v>
      </c>
      <c r="L65" s="32" t="s">
        <v>123</v>
      </c>
      <c r="M65" s="32"/>
      <c r="N65" s="16" t="str">
        <f t="shared" si="0"/>
        <v>1ск6</v>
      </c>
      <c r="O65" s="16" t="str">
        <f>INDEX(Кат!$H:$H,MATCH($A65,Кат!$A:$A,0))</f>
        <v>ВИЭ</v>
      </c>
    </row>
    <row r="66" spans="1:15" ht="60">
      <c r="A66" s="31">
        <v>224434</v>
      </c>
      <c r="B66" s="31">
        <v>19111</v>
      </c>
      <c r="C66" s="32" t="s">
        <v>216</v>
      </c>
      <c r="D66" s="32" t="s">
        <v>205</v>
      </c>
      <c r="E66" s="32" t="s">
        <v>130</v>
      </c>
      <c r="F66" s="32"/>
      <c r="G66" s="32" t="s">
        <v>41</v>
      </c>
      <c r="H66" s="33">
        <v>550</v>
      </c>
      <c r="I66" s="33">
        <v>989</v>
      </c>
      <c r="J66" s="32" t="s">
        <v>165</v>
      </c>
      <c r="K66" s="32" t="s">
        <v>7</v>
      </c>
      <c r="L66" s="32"/>
      <c r="M66" s="32"/>
      <c r="N66" s="16" t="str">
        <f t="shared" si="0"/>
        <v>1</v>
      </c>
      <c r="O66" s="16" t="str">
        <f>INDEX(Кат!$H:$H,MATCH($A66,Кат!$A:$A,0))</f>
        <v>ВИЭ</v>
      </c>
    </row>
    <row r="67" spans="1:15" ht="75">
      <c r="A67" s="31">
        <v>224435</v>
      </c>
      <c r="B67" s="31">
        <v>19114</v>
      </c>
      <c r="C67" s="32" t="s">
        <v>135</v>
      </c>
      <c r="D67" s="32" t="s">
        <v>205</v>
      </c>
      <c r="E67" s="32" t="s">
        <v>136</v>
      </c>
      <c r="F67" s="32"/>
      <c r="G67" s="32" t="s">
        <v>41</v>
      </c>
      <c r="H67" s="33">
        <v>550</v>
      </c>
      <c r="I67" s="33">
        <v>769</v>
      </c>
      <c r="J67" s="32"/>
      <c r="K67" s="32" t="s">
        <v>7</v>
      </c>
      <c r="L67" s="32"/>
      <c r="M67" s="32"/>
      <c r="N67" s="16" t="str">
        <f t="shared" ref="N67:N77" si="1">_xlfn.CONCAT(K67,IF(L67&lt;&gt;"",_xlfn.CONCAT("ск",L67),""))</f>
        <v>1</v>
      </c>
      <c r="O67" s="16" t="str">
        <f>INDEX(Кат!$H:$H,MATCH($A67,Кат!$A:$A,0))</f>
        <v>ВИЭ</v>
      </c>
    </row>
    <row r="68" spans="1:15" ht="75">
      <c r="A68" s="31">
        <v>224436</v>
      </c>
      <c r="B68" s="31">
        <v>37960</v>
      </c>
      <c r="C68" s="32" t="s">
        <v>143</v>
      </c>
      <c r="D68" s="32" t="s">
        <v>205</v>
      </c>
      <c r="E68" s="32" t="s">
        <v>144</v>
      </c>
      <c r="F68" s="32"/>
      <c r="G68" s="32" t="s">
        <v>41</v>
      </c>
      <c r="H68" s="33">
        <v>550</v>
      </c>
      <c r="I68" s="33">
        <v>989</v>
      </c>
      <c r="J68" s="32" t="s">
        <v>231</v>
      </c>
      <c r="K68" s="32" t="s">
        <v>7</v>
      </c>
      <c r="L68" s="32"/>
      <c r="M68" s="32"/>
      <c r="N68" s="16" t="str">
        <f t="shared" si="1"/>
        <v>1</v>
      </c>
      <c r="O68" s="16" t="str">
        <f>INDEX(Кат!$H:$H,MATCH($A68,Кат!$A:$A,0))</f>
        <v>ВИЭ</v>
      </c>
    </row>
    <row r="69" spans="1:15" ht="90">
      <c r="A69" s="31">
        <v>224437</v>
      </c>
      <c r="B69" s="31">
        <v>19113</v>
      </c>
      <c r="C69" s="32" t="s">
        <v>133</v>
      </c>
      <c r="D69" s="32" t="s">
        <v>205</v>
      </c>
      <c r="E69" s="32" t="s">
        <v>134</v>
      </c>
      <c r="F69" s="32"/>
      <c r="G69" s="32" t="s">
        <v>41</v>
      </c>
      <c r="H69" s="33">
        <v>550</v>
      </c>
      <c r="I69" s="33">
        <v>769</v>
      </c>
      <c r="J69" s="32"/>
      <c r="K69" s="32" t="s">
        <v>7</v>
      </c>
      <c r="L69" s="32"/>
      <c r="M69" s="32"/>
      <c r="N69" s="16" t="str">
        <f t="shared" si="1"/>
        <v>1</v>
      </c>
      <c r="O69" s="16" t="str">
        <f>INDEX(Кат!$H:$H,MATCH($A69,Кат!$A:$A,0))</f>
        <v>ВИЭ</v>
      </c>
    </row>
    <row r="70" spans="1:15" ht="60">
      <c r="A70" s="31">
        <v>224438</v>
      </c>
      <c r="B70" s="31">
        <v>19110</v>
      </c>
      <c r="C70" s="32" t="s">
        <v>128</v>
      </c>
      <c r="D70" s="32" t="s">
        <v>205</v>
      </c>
      <c r="E70" s="32" t="s">
        <v>129</v>
      </c>
      <c r="F70" s="32"/>
      <c r="G70" s="32" t="s">
        <v>41</v>
      </c>
      <c r="H70" s="33">
        <v>550</v>
      </c>
      <c r="I70" s="33">
        <v>989</v>
      </c>
      <c r="J70" s="32" t="s">
        <v>162</v>
      </c>
      <c r="K70" s="32" t="s">
        <v>7</v>
      </c>
      <c r="L70" s="32"/>
      <c r="M70" s="32"/>
      <c r="N70" s="16" t="str">
        <f t="shared" si="1"/>
        <v>1</v>
      </c>
      <c r="O70" s="16" t="str">
        <f>INDEX(Кат!$H:$H,MATCH($A70,Кат!$A:$A,0))</f>
        <v>ВИЭ</v>
      </c>
    </row>
    <row r="71" spans="1:15" ht="45">
      <c r="A71" s="31">
        <v>225594</v>
      </c>
      <c r="B71" s="31">
        <v>868</v>
      </c>
      <c r="C71" s="32" t="s">
        <v>4</v>
      </c>
      <c r="D71" s="32" t="s">
        <v>205</v>
      </c>
      <c r="E71" s="32"/>
      <c r="F71" s="32"/>
      <c r="G71" s="32" t="s">
        <v>41</v>
      </c>
      <c r="H71" s="33">
        <v>559</v>
      </c>
      <c r="I71" s="33">
        <v>789</v>
      </c>
      <c r="J71" s="32"/>
      <c r="K71" s="32" t="s">
        <v>7</v>
      </c>
      <c r="L71" s="32"/>
      <c r="M71" s="32"/>
      <c r="N71" s="16" t="str">
        <f t="shared" si="1"/>
        <v>1</v>
      </c>
      <c r="O71" s="16" t="str">
        <f>INDEX(Кат!$H:$H,MATCH($A71,Кат!$A:$A,0))</f>
        <v>ВИЭ</v>
      </c>
    </row>
    <row r="72" spans="1:15" ht="45">
      <c r="A72" s="31">
        <v>226136</v>
      </c>
      <c r="B72" s="31">
        <v>13844</v>
      </c>
      <c r="C72" s="32" t="s">
        <v>217</v>
      </c>
      <c r="D72" s="32" t="s">
        <v>205</v>
      </c>
      <c r="E72" s="32" t="s">
        <v>124</v>
      </c>
      <c r="F72" s="32"/>
      <c r="G72" s="32" t="s">
        <v>41</v>
      </c>
      <c r="H72" s="33">
        <v>650</v>
      </c>
      <c r="I72" s="33">
        <v>899</v>
      </c>
      <c r="J72" s="32" t="s">
        <v>233</v>
      </c>
      <c r="K72" s="32" t="s">
        <v>7</v>
      </c>
      <c r="L72" s="32"/>
      <c r="M72" s="32"/>
      <c r="N72" s="16" t="str">
        <f t="shared" si="1"/>
        <v>1</v>
      </c>
      <c r="O72" s="16" t="str">
        <f>INDEX(Кат!$H:$H,MATCH($A72,Кат!$A:$A,0))</f>
        <v>ВИЭ</v>
      </c>
    </row>
    <row r="73" spans="1:15" ht="45">
      <c r="A73" s="31">
        <v>226137</v>
      </c>
      <c r="B73" s="31">
        <v>13846</v>
      </c>
      <c r="C73" s="32" t="s">
        <v>42</v>
      </c>
      <c r="D73" s="32" t="s">
        <v>205</v>
      </c>
      <c r="E73" s="32" t="s">
        <v>126</v>
      </c>
      <c r="F73" s="32"/>
      <c r="G73" s="32" t="s">
        <v>41</v>
      </c>
      <c r="H73" s="33">
        <v>650</v>
      </c>
      <c r="I73" s="33">
        <v>909</v>
      </c>
      <c r="J73" s="32"/>
      <c r="K73" s="32" t="s">
        <v>7</v>
      </c>
      <c r="L73" s="32"/>
      <c r="M73" s="32"/>
      <c r="N73" s="16" t="str">
        <f t="shared" si="1"/>
        <v>1</v>
      </c>
      <c r="O73" s="16" t="str">
        <f>INDEX(Кат!$H:$H,MATCH($A73,Кат!$A:$A,0))</f>
        <v>ВИЭ</v>
      </c>
    </row>
    <row r="74" spans="1:15" ht="45">
      <c r="A74" s="31">
        <v>226914</v>
      </c>
      <c r="B74" s="31">
        <v>32590</v>
      </c>
      <c r="C74" s="32" t="s">
        <v>142</v>
      </c>
      <c r="D74" s="32" t="s">
        <v>205</v>
      </c>
      <c r="E74" s="32"/>
      <c r="F74" s="32"/>
      <c r="G74" s="32" t="s">
        <v>41</v>
      </c>
      <c r="H74" s="33">
        <v>450</v>
      </c>
      <c r="I74" s="33">
        <v>719</v>
      </c>
      <c r="J74" s="32"/>
      <c r="K74" s="32" t="s">
        <v>7</v>
      </c>
      <c r="L74" s="32"/>
      <c r="M74" s="32"/>
      <c r="N74" s="16" t="str">
        <f t="shared" si="1"/>
        <v>1</v>
      </c>
      <c r="O74" s="16" t="str">
        <f>INDEX(Кат!$H:$H,MATCH($A74,Кат!$A:$A,0))</f>
        <v>ВИЭ</v>
      </c>
    </row>
    <row r="75" spans="1:15" ht="30">
      <c r="A75" s="31">
        <v>226915</v>
      </c>
      <c r="B75" s="31">
        <v>4211</v>
      </c>
      <c r="C75" s="32" t="s">
        <v>40</v>
      </c>
      <c r="D75" s="32" t="s">
        <v>205</v>
      </c>
      <c r="E75" s="32"/>
      <c r="F75" s="32"/>
      <c r="G75" s="32" t="s">
        <v>41</v>
      </c>
      <c r="H75" s="33">
        <v>2900</v>
      </c>
      <c r="I75" s="33">
        <v>3590</v>
      </c>
      <c r="J75" s="32" t="s">
        <v>172</v>
      </c>
      <c r="K75" s="32" t="s">
        <v>7</v>
      </c>
      <c r="L75" s="32"/>
      <c r="M75" s="32"/>
      <c r="N75" s="16" t="str">
        <f t="shared" si="1"/>
        <v>1</v>
      </c>
      <c r="O75" s="16" t="str">
        <f>INDEX(Кат!$H:$H,MATCH($A75,Кат!$A:$A,0))</f>
        <v>ВИЭ</v>
      </c>
    </row>
    <row r="76" spans="1:15" ht="30">
      <c r="A76" s="31">
        <v>226916</v>
      </c>
      <c r="B76" s="31">
        <v>4210</v>
      </c>
      <c r="C76" s="32" t="s">
        <v>39</v>
      </c>
      <c r="D76" s="32" t="s">
        <v>205</v>
      </c>
      <c r="E76" s="32"/>
      <c r="F76" s="32"/>
      <c r="G76" s="32" t="s">
        <v>41</v>
      </c>
      <c r="H76" s="33">
        <v>3000</v>
      </c>
      <c r="I76" s="33">
        <v>3790</v>
      </c>
      <c r="J76" s="32" t="s">
        <v>173</v>
      </c>
      <c r="K76" s="32" t="s">
        <v>7</v>
      </c>
      <c r="L76" s="32"/>
      <c r="M76" s="32"/>
      <c r="N76" s="16" t="str">
        <f t="shared" si="1"/>
        <v>1</v>
      </c>
      <c r="O76" s="16" t="str">
        <f>INDEX(Кат!$H:$H,MATCH($A76,Кат!$A:$A,0))</f>
        <v>ВИЭ</v>
      </c>
    </row>
    <row r="77" spans="1:15" ht="30">
      <c r="A77" s="31">
        <v>226917</v>
      </c>
      <c r="B77" s="31">
        <v>4214</v>
      </c>
      <c r="C77" s="32" t="s">
        <v>5</v>
      </c>
      <c r="D77" s="32" t="s">
        <v>205</v>
      </c>
      <c r="E77" s="32"/>
      <c r="F77" s="32"/>
      <c r="G77" s="32" t="s">
        <v>41</v>
      </c>
      <c r="H77" s="33">
        <v>550</v>
      </c>
      <c r="I77" s="33">
        <v>769</v>
      </c>
      <c r="J77" s="32"/>
      <c r="K77" s="32" t="s">
        <v>207</v>
      </c>
      <c r="L77" s="32"/>
      <c r="M77" s="32"/>
      <c r="N77" s="16" t="str">
        <f t="shared" si="1"/>
        <v>0</v>
      </c>
      <c r="O77" s="16" t="str">
        <f>INDEX(Кат!$H:$H,MATCH($A77,Кат!$A:$A,0))</f>
        <v>ВИЭ</v>
      </c>
    </row>
  </sheetData>
  <autoFilter ref="A1:O77" xr:uid="{00000000-0001-0000-0300-000000000000}"/>
  <pageMargins left="0.75" right="0.75" top="1" bottom="1" header="0.5" footer="0.5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C0F07D-F4F3-4075-90DC-828B12B6711B}">
  <sheetPr>
    <outlinePr summaryBelow="0"/>
  </sheetPr>
  <dimension ref="A1:Q16"/>
  <sheetViews>
    <sheetView showRuler="0" zoomScaleNormal="100" workbookViewId="0">
      <pane ySplit="1" topLeftCell="A2" activePane="bottomLeft" state="frozen"/>
      <selection pane="bottomLeft" activeCell="D7" sqref="D7"/>
    </sheetView>
  </sheetViews>
  <sheetFormatPr defaultRowHeight="15"/>
  <cols>
    <col min="1" max="1" width="36.7109375" style="11" bestFit="1" customWidth="1"/>
    <col min="2" max="2" width="7" style="11" bestFit="1" customWidth="1"/>
    <col min="3" max="3" width="9.42578125" style="11" bestFit="1" customWidth="1"/>
    <col min="4" max="4" width="27" style="11" bestFit="1" customWidth="1"/>
    <col min="5" max="5" width="7.5703125" style="11" bestFit="1" customWidth="1"/>
    <col min="6" max="6" width="11.140625" style="11" customWidth="1"/>
    <col min="7" max="7" width="21.85546875" style="11" bestFit="1" customWidth="1"/>
    <col min="8" max="8" width="22.42578125" style="11" bestFit="1" customWidth="1"/>
    <col min="9" max="9" width="13.28515625" style="11" bestFit="1" customWidth="1"/>
    <col min="10" max="10" width="8.42578125" style="11" bestFit="1" customWidth="1"/>
    <col min="11" max="11" width="10.85546875" style="11" bestFit="1" customWidth="1"/>
    <col min="12" max="12" width="28.5703125" style="11" bestFit="1" customWidth="1"/>
    <col min="13" max="13" width="9.5703125" style="11" bestFit="1" customWidth="1"/>
    <col min="14" max="14" width="6.7109375" style="11" bestFit="1" customWidth="1"/>
    <col min="15" max="15" width="8" style="11" bestFit="1" customWidth="1"/>
    <col min="16" max="16" width="4.85546875" style="11" bestFit="1" customWidth="1"/>
    <col min="17" max="17" width="4.7109375" style="11" bestFit="1" customWidth="1"/>
    <col min="18" max="16384" width="9.140625" style="11"/>
  </cols>
  <sheetData>
    <row r="1" spans="1:17" s="12" customFormat="1" ht="30">
      <c r="A1" s="34" t="s">
        <v>218</v>
      </c>
      <c r="B1" s="34" t="s">
        <v>0</v>
      </c>
      <c r="C1" s="34" t="s">
        <v>219</v>
      </c>
      <c r="D1" s="34" t="s">
        <v>199</v>
      </c>
      <c r="E1" s="34" t="s">
        <v>200</v>
      </c>
      <c r="F1" s="34"/>
      <c r="G1" s="34" t="s">
        <v>201</v>
      </c>
      <c r="H1" s="34" t="s">
        <v>1</v>
      </c>
      <c r="I1" s="34" t="s">
        <v>2</v>
      </c>
      <c r="J1" s="34" t="s">
        <v>18</v>
      </c>
      <c r="K1" s="34" t="s">
        <v>122</v>
      </c>
      <c r="L1" s="34" t="s">
        <v>220</v>
      </c>
      <c r="M1" s="34" t="s">
        <v>203</v>
      </c>
      <c r="N1" s="34" t="s">
        <v>221</v>
      </c>
      <c r="O1" s="34" t="s">
        <v>3</v>
      </c>
      <c r="P1" s="16"/>
      <c r="Q1" s="16"/>
    </row>
    <row r="2" spans="1:17" ht="60">
      <c r="A2" s="36" t="s">
        <v>270</v>
      </c>
      <c r="B2" s="35">
        <v>244520</v>
      </c>
      <c r="C2" s="35">
        <v>175664</v>
      </c>
      <c r="D2" s="36" t="s">
        <v>183</v>
      </c>
      <c r="E2" s="36" t="s">
        <v>205</v>
      </c>
      <c r="F2" s="36"/>
      <c r="G2" s="36"/>
      <c r="H2" s="36"/>
      <c r="I2" s="36" t="s">
        <v>41</v>
      </c>
      <c r="J2" s="37">
        <v>1250</v>
      </c>
      <c r="K2" s="37">
        <v>1890</v>
      </c>
      <c r="L2" s="36" t="s">
        <v>157</v>
      </c>
      <c r="M2" s="35">
        <v>1</v>
      </c>
      <c r="N2" s="35">
        <v>6</v>
      </c>
      <c r="O2" s="36"/>
      <c r="P2" s="16" t="str">
        <f>_xlfn.CONCAT(M2,IF(N2&lt;&gt;"",_xlfn.CONCAT("ск",N2),""))</f>
        <v>1ск6</v>
      </c>
      <c r="Q2" s="16" t="str">
        <f>INDEX(Торг!$I:$I,MATCH($B2,Торг!$B:$B,0))</f>
        <v>ВИЭ</v>
      </c>
    </row>
    <row r="3" spans="1:17" ht="60">
      <c r="A3" s="36" t="s">
        <v>270</v>
      </c>
      <c r="B3" s="35">
        <v>244521</v>
      </c>
      <c r="C3" s="35">
        <v>175665</v>
      </c>
      <c r="D3" s="36" t="s">
        <v>182</v>
      </c>
      <c r="E3" s="36" t="s">
        <v>205</v>
      </c>
      <c r="F3" s="36"/>
      <c r="G3" s="36"/>
      <c r="H3" s="36"/>
      <c r="I3" s="36" t="s">
        <v>41</v>
      </c>
      <c r="J3" s="37">
        <v>1250</v>
      </c>
      <c r="K3" s="37">
        <v>1790</v>
      </c>
      <c r="L3" s="36" t="s">
        <v>168</v>
      </c>
      <c r="M3" s="35">
        <v>1</v>
      </c>
      <c r="N3" s="35"/>
      <c r="O3" s="36"/>
      <c r="P3" s="16" t="str">
        <f t="shared" ref="P3:P16" si="0">_xlfn.CONCAT(M3,IF(N3&lt;&gt;"",_xlfn.CONCAT("ск",N3),""))</f>
        <v>1</v>
      </c>
      <c r="Q3" s="16" t="str">
        <f>INDEX(Торг!$I:$I,MATCH($B3,Торг!$B:$B,0))</f>
        <v>ВИЭ</v>
      </c>
    </row>
    <row r="4" spans="1:17" ht="60">
      <c r="A4" s="36" t="s">
        <v>270</v>
      </c>
      <c r="B4" s="35">
        <v>244522</v>
      </c>
      <c r="C4" s="35">
        <v>175666</v>
      </c>
      <c r="D4" s="36" t="s">
        <v>181</v>
      </c>
      <c r="E4" s="36" t="s">
        <v>205</v>
      </c>
      <c r="F4" s="36"/>
      <c r="G4" s="36"/>
      <c r="H4" s="36"/>
      <c r="I4" s="36" t="s">
        <v>41</v>
      </c>
      <c r="J4" s="37">
        <v>1250</v>
      </c>
      <c r="K4" s="37">
        <v>1790</v>
      </c>
      <c r="L4" s="36" t="s">
        <v>169</v>
      </c>
      <c r="M4" s="35">
        <v>1</v>
      </c>
      <c r="N4" s="35">
        <v>6</v>
      </c>
      <c r="O4" s="36"/>
      <c r="P4" s="16" t="str">
        <f t="shared" si="0"/>
        <v>1ск6</v>
      </c>
      <c r="Q4" s="16" t="str">
        <f>INDEX(Торг!$I:$I,MATCH($B4,Торг!$B:$B,0))</f>
        <v>ВИЭ</v>
      </c>
    </row>
    <row r="5" spans="1:17" ht="60">
      <c r="A5" s="36" t="s">
        <v>271</v>
      </c>
      <c r="B5" s="35">
        <v>244523</v>
      </c>
      <c r="C5" s="35">
        <v>175667</v>
      </c>
      <c r="D5" s="36" t="s">
        <v>186</v>
      </c>
      <c r="E5" s="36" t="s">
        <v>205</v>
      </c>
      <c r="F5" s="36"/>
      <c r="G5" s="36"/>
      <c r="H5" s="36"/>
      <c r="I5" s="36" t="s">
        <v>41</v>
      </c>
      <c r="J5" s="37">
        <v>1250</v>
      </c>
      <c r="K5" s="37">
        <v>1890</v>
      </c>
      <c r="L5" s="36" t="s">
        <v>157</v>
      </c>
      <c r="M5" s="35">
        <v>1</v>
      </c>
      <c r="N5" s="35">
        <v>6</v>
      </c>
      <c r="O5" s="36"/>
      <c r="P5" s="16" t="str">
        <f t="shared" si="0"/>
        <v>1ск6</v>
      </c>
      <c r="Q5" s="16" t="str">
        <f>INDEX(Торг!$I:$I,MATCH($B5,Торг!$B:$B,0))</f>
        <v>ВИЭ</v>
      </c>
    </row>
    <row r="6" spans="1:17" ht="60">
      <c r="A6" s="36" t="s">
        <v>271</v>
      </c>
      <c r="B6" s="35">
        <v>244524</v>
      </c>
      <c r="C6" s="35">
        <v>175668</v>
      </c>
      <c r="D6" s="36" t="s">
        <v>185</v>
      </c>
      <c r="E6" s="36" t="s">
        <v>205</v>
      </c>
      <c r="F6" s="36"/>
      <c r="G6" s="36"/>
      <c r="H6" s="36"/>
      <c r="I6" s="36" t="s">
        <v>41</v>
      </c>
      <c r="J6" s="37">
        <v>1250</v>
      </c>
      <c r="K6" s="37">
        <v>1790</v>
      </c>
      <c r="L6" s="36" t="s">
        <v>168</v>
      </c>
      <c r="M6" s="35">
        <v>1</v>
      </c>
      <c r="N6" s="35"/>
      <c r="O6" s="36"/>
      <c r="P6" s="16" t="str">
        <f t="shared" si="0"/>
        <v>1</v>
      </c>
      <c r="Q6" s="16" t="str">
        <f>INDEX(Торг!$I:$I,MATCH($B6,Торг!$B:$B,0))</f>
        <v>ВИЭ</v>
      </c>
    </row>
    <row r="7" spans="1:17" ht="60">
      <c r="A7" s="36" t="s">
        <v>271</v>
      </c>
      <c r="B7" s="35">
        <v>244525</v>
      </c>
      <c r="C7" s="35">
        <v>175669</v>
      </c>
      <c r="D7" s="36" t="s">
        <v>184</v>
      </c>
      <c r="E7" s="36" t="s">
        <v>205</v>
      </c>
      <c r="F7" s="36"/>
      <c r="G7" s="36"/>
      <c r="H7" s="36"/>
      <c r="I7" s="36" t="s">
        <v>41</v>
      </c>
      <c r="J7" s="37">
        <v>1250</v>
      </c>
      <c r="K7" s="37">
        <v>1790</v>
      </c>
      <c r="L7" s="36" t="s">
        <v>169</v>
      </c>
      <c r="M7" s="35">
        <v>1</v>
      </c>
      <c r="N7" s="35"/>
      <c r="O7" s="36"/>
      <c r="P7" s="16" t="str">
        <f t="shared" si="0"/>
        <v>1</v>
      </c>
      <c r="Q7" s="16" t="str">
        <f>INDEX(Торг!$I:$I,MATCH($B7,Торг!$B:$B,0))</f>
        <v>ВИЭ</v>
      </c>
    </row>
    <row r="8" spans="1:17" ht="45">
      <c r="A8" s="36" t="s">
        <v>272</v>
      </c>
      <c r="B8" s="35">
        <v>244526</v>
      </c>
      <c r="C8" s="35">
        <v>175671</v>
      </c>
      <c r="D8" s="36" t="s">
        <v>180</v>
      </c>
      <c r="E8" s="36" t="s">
        <v>205</v>
      </c>
      <c r="F8" s="36"/>
      <c r="G8" s="36"/>
      <c r="H8" s="36"/>
      <c r="I8" s="36" t="s">
        <v>41</v>
      </c>
      <c r="J8" s="37">
        <v>1350</v>
      </c>
      <c r="K8" s="37">
        <v>1890</v>
      </c>
      <c r="L8" s="36" t="s">
        <v>166</v>
      </c>
      <c r="M8" s="35">
        <v>1</v>
      </c>
      <c r="N8" s="35">
        <v>6</v>
      </c>
      <c r="O8" s="36"/>
      <c r="P8" s="16" t="str">
        <f t="shared" si="0"/>
        <v>1ск6</v>
      </c>
      <c r="Q8" s="16" t="str">
        <f>INDEX(Торг!$I:$I,MATCH($B8,Торг!$B:$B,0))</f>
        <v>ВИЭ</v>
      </c>
    </row>
    <row r="9" spans="1:17" ht="45">
      <c r="A9" s="36" t="s">
        <v>272</v>
      </c>
      <c r="B9" s="35">
        <v>244527</v>
      </c>
      <c r="C9" s="35">
        <v>175672</v>
      </c>
      <c r="D9" s="36" t="s">
        <v>179</v>
      </c>
      <c r="E9" s="36" t="s">
        <v>205</v>
      </c>
      <c r="F9" s="36"/>
      <c r="G9" s="36"/>
      <c r="H9" s="36"/>
      <c r="I9" s="36" t="s">
        <v>41</v>
      </c>
      <c r="J9" s="37">
        <v>1350</v>
      </c>
      <c r="K9" s="37">
        <v>1890</v>
      </c>
      <c r="L9" s="36" t="s">
        <v>176</v>
      </c>
      <c r="M9" s="35">
        <v>1</v>
      </c>
      <c r="N9" s="35"/>
      <c r="O9" s="36"/>
      <c r="P9" s="16" t="str">
        <f t="shared" si="0"/>
        <v>1</v>
      </c>
      <c r="Q9" s="16" t="str">
        <f>INDEX(Торг!$I:$I,MATCH($B9,Торг!$B:$B,0))</f>
        <v>ВИЭ</v>
      </c>
    </row>
    <row r="10" spans="1:17" ht="45">
      <c r="A10" s="36" t="s">
        <v>272</v>
      </c>
      <c r="B10" s="35">
        <v>244528</v>
      </c>
      <c r="C10" s="35">
        <v>175673</v>
      </c>
      <c r="D10" s="36" t="s">
        <v>178</v>
      </c>
      <c r="E10" s="36" t="s">
        <v>205</v>
      </c>
      <c r="F10" s="36"/>
      <c r="G10" s="36"/>
      <c r="H10" s="36"/>
      <c r="I10" s="36" t="s">
        <v>41</v>
      </c>
      <c r="J10" s="37">
        <v>1350</v>
      </c>
      <c r="K10" s="37">
        <v>2090</v>
      </c>
      <c r="L10" s="36" t="s">
        <v>167</v>
      </c>
      <c r="M10" s="35">
        <v>1</v>
      </c>
      <c r="N10" s="35"/>
      <c r="O10" s="36"/>
      <c r="P10" s="16" t="str">
        <f t="shared" si="0"/>
        <v>1</v>
      </c>
      <c r="Q10" s="16" t="str">
        <f>INDEX(Торг!$I:$I,MATCH($B10,Торг!$B:$B,0))</f>
        <v>ВИЭ</v>
      </c>
    </row>
    <row r="11" spans="1:17" ht="75">
      <c r="A11" s="36" t="s">
        <v>273</v>
      </c>
      <c r="B11" s="35">
        <v>244514</v>
      </c>
      <c r="C11" s="35">
        <v>175675</v>
      </c>
      <c r="D11" s="36" t="s">
        <v>192</v>
      </c>
      <c r="E11" s="36" t="s">
        <v>205</v>
      </c>
      <c r="F11" s="36"/>
      <c r="G11" s="36"/>
      <c r="H11" s="36"/>
      <c r="I11" s="36" t="s">
        <v>41</v>
      </c>
      <c r="J11" s="37">
        <v>1700</v>
      </c>
      <c r="K11" s="37">
        <v>2290</v>
      </c>
      <c r="L11" s="36"/>
      <c r="M11" s="35">
        <v>1</v>
      </c>
      <c r="N11" s="35"/>
      <c r="O11" s="36"/>
      <c r="P11" s="16" t="str">
        <f t="shared" si="0"/>
        <v>1</v>
      </c>
      <c r="Q11" s="16" t="str">
        <f>INDEX(Торг!$I:$I,MATCH($B11,Торг!$B:$B,0))</f>
        <v>ВИЭ</v>
      </c>
    </row>
    <row r="12" spans="1:17" ht="75">
      <c r="A12" s="36" t="s">
        <v>273</v>
      </c>
      <c r="B12" s="35">
        <v>244515</v>
      </c>
      <c r="C12" s="35">
        <v>175676</v>
      </c>
      <c r="D12" s="36" t="s">
        <v>191</v>
      </c>
      <c r="E12" s="36" t="s">
        <v>205</v>
      </c>
      <c r="F12" s="36"/>
      <c r="G12" s="36"/>
      <c r="H12" s="36"/>
      <c r="I12" s="36" t="s">
        <v>41</v>
      </c>
      <c r="J12" s="37">
        <v>1700</v>
      </c>
      <c r="K12" s="37">
        <v>2290</v>
      </c>
      <c r="L12" s="36"/>
      <c r="M12" s="35">
        <v>1</v>
      </c>
      <c r="N12" s="35">
        <v>6</v>
      </c>
      <c r="O12" s="36"/>
      <c r="P12" s="16" t="str">
        <f t="shared" si="0"/>
        <v>1ск6</v>
      </c>
      <c r="Q12" s="16" t="str">
        <f>INDEX(Торг!$I:$I,MATCH($B12,Торг!$B:$B,0))</f>
        <v>ВИЭ</v>
      </c>
    </row>
    <row r="13" spans="1:17" ht="75">
      <c r="A13" s="36" t="s">
        <v>273</v>
      </c>
      <c r="B13" s="35">
        <v>244516</v>
      </c>
      <c r="C13" s="35">
        <v>175677</v>
      </c>
      <c r="D13" s="36" t="s">
        <v>190</v>
      </c>
      <c r="E13" s="36" t="s">
        <v>205</v>
      </c>
      <c r="F13" s="36"/>
      <c r="G13" s="36"/>
      <c r="H13" s="36"/>
      <c r="I13" s="36" t="s">
        <v>41</v>
      </c>
      <c r="J13" s="37">
        <v>1700</v>
      </c>
      <c r="K13" s="37">
        <v>2290</v>
      </c>
      <c r="L13" s="36"/>
      <c r="M13" s="35">
        <v>1</v>
      </c>
      <c r="N13" s="35"/>
      <c r="O13" s="36"/>
      <c r="P13" s="16" t="str">
        <f t="shared" si="0"/>
        <v>1</v>
      </c>
      <c r="Q13" s="16" t="str">
        <f>INDEX(Торг!$I:$I,MATCH($B13,Торг!$B:$B,0))</f>
        <v>ВИЭ</v>
      </c>
    </row>
    <row r="14" spans="1:17" ht="60">
      <c r="A14" s="36" t="s">
        <v>274</v>
      </c>
      <c r="B14" s="35">
        <v>244517</v>
      </c>
      <c r="C14" s="35">
        <v>175680</v>
      </c>
      <c r="D14" s="36" t="s">
        <v>189</v>
      </c>
      <c r="E14" s="36" t="s">
        <v>205</v>
      </c>
      <c r="F14" s="36"/>
      <c r="G14" s="36"/>
      <c r="H14" s="36"/>
      <c r="I14" s="36" t="s">
        <v>41</v>
      </c>
      <c r="J14" s="37">
        <v>1850</v>
      </c>
      <c r="K14" s="37">
        <v>2490</v>
      </c>
      <c r="L14" s="36"/>
      <c r="M14" s="35">
        <v>1</v>
      </c>
      <c r="N14" s="35"/>
      <c r="O14" s="36"/>
      <c r="P14" s="16" t="str">
        <f t="shared" si="0"/>
        <v>1</v>
      </c>
      <c r="Q14" s="16" t="str">
        <f>INDEX(Торг!$I:$I,MATCH($B14,Торг!$B:$B,0))</f>
        <v>ВИЭ</v>
      </c>
    </row>
    <row r="15" spans="1:17" ht="60">
      <c r="A15" s="36" t="s">
        <v>274</v>
      </c>
      <c r="B15" s="35">
        <v>244518</v>
      </c>
      <c r="C15" s="35">
        <v>175681</v>
      </c>
      <c r="D15" s="36" t="s">
        <v>188</v>
      </c>
      <c r="E15" s="36" t="s">
        <v>205</v>
      </c>
      <c r="F15" s="36"/>
      <c r="G15" s="36"/>
      <c r="H15" s="36"/>
      <c r="I15" s="36" t="s">
        <v>41</v>
      </c>
      <c r="J15" s="37">
        <v>1850</v>
      </c>
      <c r="K15" s="37">
        <v>2490</v>
      </c>
      <c r="L15" s="36"/>
      <c r="M15" s="35">
        <v>1</v>
      </c>
      <c r="N15" s="35"/>
      <c r="O15" s="36"/>
      <c r="P15" s="16" t="str">
        <f t="shared" si="0"/>
        <v>1</v>
      </c>
      <c r="Q15" s="16" t="str">
        <f>INDEX(Торг!$I:$I,MATCH($B15,Торг!$B:$B,0))</f>
        <v>ВИЭ</v>
      </c>
    </row>
    <row r="16" spans="1:17" ht="60">
      <c r="A16" s="36" t="s">
        <v>274</v>
      </c>
      <c r="B16" s="35">
        <v>244519</v>
      </c>
      <c r="C16" s="35">
        <v>175682</v>
      </c>
      <c r="D16" s="36" t="s">
        <v>187</v>
      </c>
      <c r="E16" s="36" t="s">
        <v>205</v>
      </c>
      <c r="F16" s="36"/>
      <c r="G16" s="36"/>
      <c r="H16" s="36"/>
      <c r="I16" s="36" t="s">
        <v>41</v>
      </c>
      <c r="J16" s="37">
        <v>1850</v>
      </c>
      <c r="K16" s="37">
        <v>2490</v>
      </c>
      <c r="L16" s="36"/>
      <c r="M16" s="35">
        <v>1</v>
      </c>
      <c r="N16" s="35"/>
      <c r="O16" s="36"/>
      <c r="P16" s="16" t="str">
        <f t="shared" si="0"/>
        <v>1</v>
      </c>
      <c r="Q16" s="16" t="str">
        <f>INDEX(Торг!$I:$I,MATCH($B16,Торг!$B:$B,0))</f>
        <v>ВИЭ</v>
      </c>
    </row>
  </sheetData>
  <sheetProtection formatCells="0" formatColumns="0" formatRows="0" insertColumns="0" insertRows="0" insertHyperlinks="0" deleteColumns="0" deleteRows="0" sort="0" autoFilter="0" pivotTables="0"/>
  <autoFilter ref="A1:Q1" xr:uid="{92C0F07D-F4F3-4075-90DC-828B12B6711B}"/>
  <pageMargins left="0.7" right="0.7" top="0.75" bottom="0.75" header="0.3" footer="0.3"/>
  <pageSetup orientation="portrait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F5998-F6D7-4906-A8EB-BC53D9D55EA5}">
  <sheetPr codeName="Лист6">
    <tabColor rgb="FF92D050"/>
  </sheetPr>
  <dimension ref="A1:E95"/>
  <sheetViews>
    <sheetView tabSelected="1" topLeftCell="A61" workbookViewId="0">
      <selection activeCell="A3" sqref="A3:E94"/>
    </sheetView>
  </sheetViews>
  <sheetFormatPr defaultRowHeight="15"/>
  <cols>
    <col min="1" max="1" width="7" style="41" customWidth="1"/>
    <col min="2" max="2" width="9.42578125" style="43" customWidth="1"/>
    <col min="3" max="5" width="9.140625" style="41"/>
  </cols>
  <sheetData>
    <row r="1" spans="1:5">
      <c r="B1" s="47"/>
    </row>
    <row r="2" spans="1:5">
      <c r="A2" s="49" t="s">
        <v>0</v>
      </c>
      <c r="B2" s="54" t="s">
        <v>193</v>
      </c>
      <c r="C2" s="41" t="s">
        <v>193</v>
      </c>
      <c r="D2" s="68" t="s">
        <v>281</v>
      </c>
      <c r="E2" s="55" t="s">
        <v>281</v>
      </c>
    </row>
    <row r="3" spans="1:5" ht="15.75" thickBot="1">
      <c r="A3" s="56">
        <v>203496</v>
      </c>
      <c r="B3" s="60">
        <v>990</v>
      </c>
      <c r="C3" s="41" t="s">
        <v>175</v>
      </c>
      <c r="D3" s="56"/>
    </row>
    <row r="4" spans="1:5" ht="15.75" thickTop="1">
      <c r="A4" s="56">
        <v>164034</v>
      </c>
      <c r="B4" s="61"/>
      <c r="D4" s="56"/>
    </row>
    <row r="5" spans="1:5" ht="15.75" thickBot="1">
      <c r="A5" s="56">
        <v>201416</v>
      </c>
      <c r="B5" s="60">
        <v>49</v>
      </c>
      <c r="C5" s="41" t="s">
        <v>238</v>
      </c>
      <c r="D5" s="56"/>
    </row>
    <row r="6" spans="1:5" ht="15.75" thickTop="1">
      <c r="A6" s="56">
        <v>142035</v>
      </c>
      <c r="B6" s="61"/>
      <c r="D6" s="56">
        <v>304</v>
      </c>
      <c r="E6" s="41" t="s">
        <v>286</v>
      </c>
    </row>
    <row r="7" spans="1:5" ht="15.75" thickBot="1">
      <c r="A7" s="56">
        <v>142061</v>
      </c>
      <c r="B7" s="62" t="s">
        <v>194</v>
      </c>
      <c r="C7" s="41" t="s">
        <v>265</v>
      </c>
      <c r="D7" s="56"/>
    </row>
    <row r="8" spans="1:5" ht="15.75" thickTop="1">
      <c r="A8" s="56">
        <v>142062</v>
      </c>
      <c r="B8" s="61"/>
      <c r="D8" s="56"/>
    </row>
    <row r="9" spans="1:5" ht="15.75" thickBot="1">
      <c r="A9" s="56">
        <v>142182</v>
      </c>
      <c r="B9" s="60">
        <v>590</v>
      </c>
      <c r="C9" s="41" t="s">
        <v>232</v>
      </c>
      <c r="D9" s="56"/>
    </row>
    <row r="10" spans="1:5" ht="15.75" thickTop="1">
      <c r="A10" s="56">
        <v>141964</v>
      </c>
      <c r="B10" s="61"/>
      <c r="D10" s="56">
        <v>450</v>
      </c>
      <c r="E10" s="41" t="s">
        <v>285</v>
      </c>
    </row>
    <row r="11" spans="1:5" ht="15.75" thickBot="1">
      <c r="A11" s="56">
        <v>142183</v>
      </c>
      <c r="B11" s="62">
        <v>349</v>
      </c>
      <c r="C11" s="41" t="s">
        <v>236</v>
      </c>
      <c r="D11" s="56">
        <v>450</v>
      </c>
      <c r="E11" s="41" t="s">
        <v>284</v>
      </c>
    </row>
    <row r="12" spans="1:5" ht="16.5" thickTop="1" thickBot="1">
      <c r="A12" s="56">
        <v>203181</v>
      </c>
      <c r="B12" s="60">
        <v>590</v>
      </c>
      <c r="C12" s="41" t="s">
        <v>170</v>
      </c>
      <c r="D12" s="56"/>
    </row>
    <row r="13" spans="1:5" ht="15.75" thickTop="1">
      <c r="A13" s="56">
        <v>142060</v>
      </c>
      <c r="B13" s="61"/>
      <c r="D13" s="56"/>
    </row>
    <row r="14" spans="1:5" ht="15.75" thickBot="1">
      <c r="A14" s="56">
        <v>203221</v>
      </c>
      <c r="B14" s="62">
        <v>629</v>
      </c>
      <c r="C14" s="41" t="s">
        <v>161</v>
      </c>
      <c r="D14" s="56"/>
    </row>
    <row r="15" spans="1:5" ht="16.5" thickTop="1" thickBot="1">
      <c r="A15" s="56">
        <v>203187</v>
      </c>
      <c r="B15" s="62">
        <v>649</v>
      </c>
      <c r="C15" s="41" t="s">
        <v>264</v>
      </c>
      <c r="D15" s="56"/>
    </row>
    <row r="16" spans="1:5" ht="15.75" thickTop="1">
      <c r="A16" s="56">
        <v>226917</v>
      </c>
      <c r="B16" s="61"/>
      <c r="D16" s="56"/>
    </row>
    <row r="17" spans="1:5">
      <c r="A17" s="56">
        <v>225594</v>
      </c>
      <c r="B17" s="61"/>
      <c r="D17" s="56"/>
    </row>
    <row r="18" spans="1:5" ht="15.75" thickBot="1">
      <c r="A18" s="56">
        <v>164625</v>
      </c>
      <c r="B18" s="62">
        <v>990</v>
      </c>
      <c r="C18" s="41" t="s">
        <v>235</v>
      </c>
      <c r="D18" s="56"/>
    </row>
    <row r="19" spans="1:5" ht="16.5" thickTop="1" thickBot="1">
      <c r="A19" s="56">
        <v>224438</v>
      </c>
      <c r="B19" s="60">
        <v>990</v>
      </c>
      <c r="C19" s="41" t="s">
        <v>162</v>
      </c>
      <c r="D19" s="56"/>
    </row>
    <row r="20" spans="1:5" ht="16.5" thickTop="1" thickBot="1">
      <c r="A20" s="56">
        <v>164623</v>
      </c>
      <c r="B20" s="60">
        <v>969</v>
      </c>
      <c r="C20" s="41" t="s">
        <v>160</v>
      </c>
      <c r="D20" s="56"/>
    </row>
    <row r="21" spans="1:5" ht="15.75" thickTop="1">
      <c r="A21" s="56">
        <v>226137</v>
      </c>
      <c r="B21" s="61"/>
      <c r="D21" s="56"/>
    </row>
    <row r="22" spans="1:5" ht="15.75" thickBot="1">
      <c r="A22" s="56">
        <v>224434</v>
      </c>
      <c r="B22" s="60">
        <v>990</v>
      </c>
      <c r="C22" s="41" t="s">
        <v>165</v>
      </c>
      <c r="D22" s="56"/>
    </row>
    <row r="23" spans="1:5" ht="16.5" thickTop="1" thickBot="1">
      <c r="A23" s="56">
        <v>194534</v>
      </c>
      <c r="B23" s="60">
        <v>929</v>
      </c>
      <c r="C23" s="41" t="s">
        <v>234</v>
      </c>
      <c r="D23" s="56"/>
    </row>
    <row r="24" spans="1:5" ht="16.5" thickTop="1" thickBot="1">
      <c r="A24" s="56">
        <v>226136</v>
      </c>
      <c r="B24" s="62">
        <v>849</v>
      </c>
      <c r="C24" s="41" t="s">
        <v>233</v>
      </c>
      <c r="D24" s="56"/>
    </row>
    <row r="25" spans="1:5" ht="15.75" thickTop="1">
      <c r="A25" s="56">
        <v>224433</v>
      </c>
      <c r="B25" s="61"/>
      <c r="D25" s="56"/>
    </row>
    <row r="26" spans="1:5">
      <c r="A26" s="56">
        <v>224437</v>
      </c>
      <c r="B26" s="61"/>
      <c r="D26" s="56"/>
    </row>
    <row r="27" spans="1:5">
      <c r="A27" s="56">
        <v>224435</v>
      </c>
      <c r="B27" s="61"/>
      <c r="D27" s="56"/>
    </row>
    <row r="28" spans="1:5" ht="15.75" thickBot="1">
      <c r="A28" s="56">
        <v>164624</v>
      </c>
      <c r="B28" s="62">
        <v>790</v>
      </c>
      <c r="C28" s="41" t="s">
        <v>164</v>
      </c>
      <c r="D28" s="56">
        <v>660</v>
      </c>
      <c r="E28" s="41" t="s">
        <v>290</v>
      </c>
    </row>
    <row r="29" spans="1:5" ht="15.75" thickTop="1">
      <c r="A29" s="56">
        <v>160414</v>
      </c>
      <c r="B29" s="61"/>
      <c r="D29" s="56"/>
    </row>
    <row r="30" spans="1:5" ht="15.75" thickBot="1">
      <c r="A30" s="56">
        <v>155819</v>
      </c>
      <c r="B30" s="60">
        <v>1690</v>
      </c>
      <c r="C30" s="41" t="s">
        <v>163</v>
      </c>
      <c r="D30" s="56"/>
    </row>
    <row r="31" spans="1:5" ht="16.5" thickTop="1" thickBot="1">
      <c r="A31" s="56">
        <v>144423</v>
      </c>
      <c r="B31" s="62">
        <v>1690</v>
      </c>
      <c r="C31" s="41" t="s">
        <v>158</v>
      </c>
      <c r="D31" s="56"/>
    </row>
    <row r="32" spans="1:5" ht="16.5" thickTop="1" thickBot="1">
      <c r="A32" s="56">
        <v>144424</v>
      </c>
      <c r="B32" s="60">
        <v>1790</v>
      </c>
      <c r="C32" s="41" t="s">
        <v>159</v>
      </c>
      <c r="D32" s="56"/>
    </row>
    <row r="33" spans="1:5" ht="15.75" thickTop="1">
      <c r="A33" s="56">
        <v>137068</v>
      </c>
      <c r="B33" s="61"/>
      <c r="D33" s="56"/>
    </row>
    <row r="34" spans="1:5">
      <c r="A34" s="56">
        <v>219331</v>
      </c>
      <c r="B34" s="61"/>
      <c r="D34" s="56"/>
    </row>
    <row r="35" spans="1:5">
      <c r="A35" s="56">
        <v>142016</v>
      </c>
      <c r="B35" s="61"/>
      <c r="D35" s="56"/>
    </row>
    <row r="36" spans="1:5">
      <c r="A36" s="56">
        <v>142015</v>
      </c>
      <c r="B36" s="61"/>
      <c r="D36" s="56"/>
    </row>
    <row r="37" spans="1:5">
      <c r="A37" s="56">
        <v>142014</v>
      </c>
      <c r="B37" s="61"/>
      <c r="D37" s="56"/>
    </row>
    <row r="38" spans="1:5" ht="15.75" thickBot="1">
      <c r="A38" s="56">
        <v>226916</v>
      </c>
      <c r="B38" s="62">
        <v>3390</v>
      </c>
      <c r="C38" s="41" t="s">
        <v>173</v>
      </c>
      <c r="D38" s="56"/>
    </row>
    <row r="39" spans="1:5" ht="16.5" thickTop="1" thickBot="1">
      <c r="A39" s="56">
        <v>226915</v>
      </c>
      <c r="B39" s="62">
        <v>3390</v>
      </c>
      <c r="C39" s="41" t="s">
        <v>172</v>
      </c>
      <c r="D39" s="56"/>
    </row>
    <row r="40" spans="1:5" ht="15.75" thickTop="1">
      <c r="A40" s="56">
        <v>204475</v>
      </c>
      <c r="B40" s="61"/>
      <c r="D40" s="56"/>
    </row>
    <row r="41" spans="1:5">
      <c r="A41" s="56">
        <v>204476</v>
      </c>
      <c r="B41" s="61"/>
      <c r="D41" s="56"/>
    </row>
    <row r="42" spans="1:5">
      <c r="A42" s="56">
        <v>171712</v>
      </c>
      <c r="B42" s="61"/>
      <c r="D42" s="56"/>
    </row>
    <row r="43" spans="1:5">
      <c r="A43" s="56">
        <v>213717</v>
      </c>
      <c r="B43" s="61"/>
      <c r="D43" s="56"/>
    </row>
    <row r="44" spans="1:5">
      <c r="A44" s="56">
        <v>203217</v>
      </c>
      <c r="B44" s="61"/>
      <c r="D44" s="56">
        <v>810</v>
      </c>
      <c r="E44" s="41" t="s">
        <v>287</v>
      </c>
    </row>
    <row r="45" spans="1:5" ht="15.75" thickBot="1">
      <c r="A45" s="56">
        <v>203219</v>
      </c>
      <c r="B45" s="62">
        <v>649</v>
      </c>
      <c r="C45" s="41" t="s">
        <v>171</v>
      </c>
      <c r="D45" s="56"/>
    </row>
    <row r="46" spans="1:5" ht="15.75" thickTop="1">
      <c r="A46" s="56">
        <v>142071</v>
      </c>
      <c r="B46" s="61"/>
      <c r="D46" s="56"/>
    </row>
    <row r="47" spans="1:5">
      <c r="A47" s="56">
        <v>142069</v>
      </c>
      <c r="B47" s="61"/>
      <c r="D47" s="56"/>
    </row>
    <row r="48" spans="1:5">
      <c r="A48" s="56">
        <v>142073</v>
      </c>
      <c r="B48" s="61"/>
      <c r="D48" s="56"/>
    </row>
    <row r="49" spans="1:5">
      <c r="A49" s="56">
        <v>142076</v>
      </c>
      <c r="B49" s="61"/>
      <c r="D49" s="56"/>
    </row>
    <row r="50" spans="1:5">
      <c r="A50" s="56">
        <v>142079</v>
      </c>
      <c r="B50" s="61"/>
      <c r="D50" s="56"/>
    </row>
    <row r="51" spans="1:5">
      <c r="A51" s="56">
        <v>142070</v>
      </c>
      <c r="B51" s="61"/>
      <c r="D51" s="56"/>
    </row>
    <row r="52" spans="1:5">
      <c r="A52" s="56">
        <v>142074</v>
      </c>
      <c r="B52" s="61"/>
      <c r="D52" s="56"/>
    </row>
    <row r="53" spans="1:5">
      <c r="A53" s="56">
        <v>142077</v>
      </c>
      <c r="B53" s="61"/>
      <c r="D53" s="56"/>
    </row>
    <row r="54" spans="1:5">
      <c r="A54" s="56">
        <v>142072</v>
      </c>
      <c r="B54" s="61"/>
      <c r="D54" s="56"/>
    </row>
    <row r="55" spans="1:5">
      <c r="A55" s="56">
        <v>142075</v>
      </c>
      <c r="B55" s="61"/>
      <c r="D55" s="56"/>
    </row>
    <row r="56" spans="1:5">
      <c r="A56" s="56">
        <v>142078</v>
      </c>
      <c r="B56" s="61"/>
      <c r="D56" s="56"/>
    </row>
    <row r="57" spans="1:5" ht="15.75" thickBot="1">
      <c r="A57" s="56">
        <v>224436</v>
      </c>
      <c r="B57" s="60">
        <v>990</v>
      </c>
      <c r="C57" s="41" t="s">
        <v>231</v>
      </c>
      <c r="D57" s="56"/>
    </row>
    <row r="58" spans="1:5" ht="15.75" thickTop="1">
      <c r="A58" s="56">
        <v>224432</v>
      </c>
      <c r="B58" s="61"/>
      <c r="D58" s="56"/>
    </row>
    <row r="59" spans="1:5" ht="15.75" thickBot="1">
      <c r="A59" s="56">
        <v>144435</v>
      </c>
      <c r="B59" s="60">
        <v>2390</v>
      </c>
      <c r="C59" s="41" t="s">
        <v>237</v>
      </c>
      <c r="D59" s="56"/>
    </row>
    <row r="60" spans="1:5" ht="15.75" thickTop="1">
      <c r="A60" s="56">
        <v>144436</v>
      </c>
      <c r="B60" s="61"/>
      <c r="D60" s="56"/>
    </row>
    <row r="61" spans="1:5">
      <c r="A61" s="56">
        <v>203180</v>
      </c>
      <c r="B61" s="61"/>
      <c r="D61" s="56"/>
    </row>
    <row r="62" spans="1:5">
      <c r="A62" s="56">
        <v>203179</v>
      </c>
      <c r="B62" s="61"/>
      <c r="D62" s="56"/>
    </row>
    <row r="63" spans="1:5" ht="15.75" thickBot="1">
      <c r="A63" s="56">
        <v>203220</v>
      </c>
      <c r="B63" s="60">
        <v>590</v>
      </c>
      <c r="C63" s="41" t="s">
        <v>230</v>
      </c>
      <c r="D63" s="56"/>
    </row>
    <row r="64" spans="1:5" ht="16.5" thickTop="1" thickBot="1">
      <c r="A64" s="56">
        <v>203218</v>
      </c>
      <c r="B64" s="60">
        <v>629</v>
      </c>
      <c r="C64" s="41" t="s">
        <v>161</v>
      </c>
      <c r="D64" s="56">
        <v>810</v>
      </c>
      <c r="E64" s="41" t="s">
        <v>288</v>
      </c>
    </row>
    <row r="65" spans="1:5" ht="15.75" thickTop="1">
      <c r="A65" s="56">
        <v>219323</v>
      </c>
      <c r="B65" s="61"/>
      <c r="D65" s="56"/>
    </row>
    <row r="66" spans="1:5" ht="15.75" thickBot="1">
      <c r="A66" s="56">
        <v>219322</v>
      </c>
      <c r="B66" s="60">
        <v>1990</v>
      </c>
      <c r="C66" s="41" t="s">
        <v>225</v>
      </c>
      <c r="D66" s="56"/>
    </row>
    <row r="67" spans="1:5" ht="16.5" thickTop="1" thickBot="1">
      <c r="A67" s="56">
        <v>219326</v>
      </c>
      <c r="B67" s="62">
        <v>1990</v>
      </c>
      <c r="C67" s="41" t="s">
        <v>229</v>
      </c>
      <c r="D67" s="56"/>
    </row>
    <row r="68" spans="1:5" ht="15.75" thickTop="1">
      <c r="A68" s="56">
        <v>219325</v>
      </c>
      <c r="B68" s="61"/>
      <c r="D68" s="56"/>
    </row>
    <row r="69" spans="1:5">
      <c r="A69" s="56">
        <v>219324</v>
      </c>
      <c r="B69" s="61"/>
      <c r="D69" s="56"/>
    </row>
    <row r="70" spans="1:5" ht="15.75" thickBot="1">
      <c r="A70" s="56">
        <v>219327</v>
      </c>
      <c r="B70" s="62">
        <v>1790</v>
      </c>
      <c r="C70" s="41" t="s">
        <v>228</v>
      </c>
      <c r="D70" s="56"/>
    </row>
    <row r="71" spans="1:5" ht="16.5" thickTop="1" thickBot="1">
      <c r="A71" s="56">
        <v>219329</v>
      </c>
      <c r="B71" s="60">
        <v>1790</v>
      </c>
      <c r="C71" s="41" t="s">
        <v>227</v>
      </c>
      <c r="D71" s="56"/>
    </row>
    <row r="72" spans="1:5" ht="16.5" thickTop="1" thickBot="1">
      <c r="A72" s="56">
        <v>219328</v>
      </c>
      <c r="B72" s="62">
        <v>1990</v>
      </c>
      <c r="C72" s="41" t="s">
        <v>226</v>
      </c>
      <c r="D72" s="56"/>
    </row>
    <row r="73" spans="1:5" ht="15.75" thickTop="1">
      <c r="A73" s="56">
        <v>219356</v>
      </c>
      <c r="B73" s="61"/>
      <c r="D73" s="56"/>
    </row>
    <row r="74" spans="1:5" ht="15.75" thickBot="1">
      <c r="A74" s="56">
        <v>219330</v>
      </c>
      <c r="B74" s="60">
        <v>1990</v>
      </c>
      <c r="C74" s="41" t="s">
        <v>224</v>
      </c>
      <c r="D74" s="56"/>
    </row>
    <row r="75" spans="1:5" ht="16.5" thickTop="1" thickBot="1">
      <c r="A75" s="56">
        <v>164616</v>
      </c>
      <c r="B75" s="60">
        <v>969</v>
      </c>
      <c r="C75" s="41" t="s">
        <v>160</v>
      </c>
      <c r="D75" s="56">
        <v>1100</v>
      </c>
      <c r="E75" s="41" t="s">
        <v>289</v>
      </c>
    </row>
    <row r="76" spans="1:5" ht="15.75" thickTop="1">
      <c r="A76" s="56">
        <v>226914</v>
      </c>
      <c r="B76" s="61"/>
      <c r="D76" s="56"/>
    </row>
    <row r="77" spans="1:5" ht="15.75" thickBot="1">
      <c r="A77" s="56">
        <v>224431</v>
      </c>
      <c r="B77" s="60">
        <v>790</v>
      </c>
      <c r="C77" s="41" t="s">
        <v>223</v>
      </c>
      <c r="D77" s="56"/>
    </row>
    <row r="78" spans="1:5" ht="16.5" thickTop="1" thickBot="1">
      <c r="A78" s="56">
        <v>144434</v>
      </c>
      <c r="B78" s="60">
        <v>4890</v>
      </c>
      <c r="C78" s="41" t="s">
        <v>174</v>
      </c>
      <c r="D78" s="56"/>
    </row>
    <row r="79" spans="1:5" ht="15.75" thickTop="1">
      <c r="A79" s="65" t="s">
        <v>0</v>
      </c>
      <c r="B79" s="66" t="s">
        <v>193</v>
      </c>
      <c r="C79" s="41" t="s">
        <v>193</v>
      </c>
      <c r="D79" s="68" t="s">
        <v>281</v>
      </c>
      <c r="E79" s="55" t="s">
        <v>281</v>
      </c>
    </row>
    <row r="80" spans="1:5">
      <c r="A80" s="56">
        <v>244514</v>
      </c>
      <c r="B80" s="61"/>
      <c r="D80" s="56"/>
    </row>
    <row r="81" spans="1:4">
      <c r="A81" s="56">
        <v>244515</v>
      </c>
      <c r="B81" s="61"/>
      <c r="D81" s="56"/>
    </row>
    <row r="82" spans="1:4">
      <c r="A82" s="56">
        <v>244516</v>
      </c>
      <c r="B82" s="61"/>
      <c r="D82" s="56"/>
    </row>
    <row r="83" spans="1:4">
      <c r="A83" s="56">
        <v>244517</v>
      </c>
      <c r="B83" s="61"/>
      <c r="D83" s="56"/>
    </row>
    <row r="84" spans="1:4">
      <c r="A84" s="56">
        <v>244518</v>
      </c>
      <c r="B84" s="61"/>
      <c r="D84" s="56"/>
    </row>
    <row r="85" spans="1:4">
      <c r="A85" s="56">
        <v>244519</v>
      </c>
      <c r="B85" s="61"/>
      <c r="D85" s="56"/>
    </row>
    <row r="86" spans="1:4" ht="15.75" thickBot="1">
      <c r="A86" s="56">
        <v>244523</v>
      </c>
      <c r="B86" s="62">
        <v>1690</v>
      </c>
      <c r="C86" s="41" t="s">
        <v>157</v>
      </c>
      <c r="D86" s="56"/>
    </row>
    <row r="87" spans="1:4" ht="16.5" thickTop="1" thickBot="1">
      <c r="A87" s="56">
        <v>244524</v>
      </c>
      <c r="B87" s="62">
        <v>1790</v>
      </c>
      <c r="C87" s="41" t="s">
        <v>168</v>
      </c>
      <c r="D87" s="56"/>
    </row>
    <row r="88" spans="1:4" ht="16.5" thickTop="1" thickBot="1">
      <c r="A88" s="56">
        <v>244525</v>
      </c>
      <c r="B88" s="62">
        <v>1790</v>
      </c>
      <c r="C88" s="41" t="s">
        <v>169</v>
      </c>
      <c r="D88" s="56"/>
    </row>
    <row r="89" spans="1:4" ht="16.5" thickTop="1" thickBot="1">
      <c r="A89" s="56">
        <v>244520</v>
      </c>
      <c r="B89" s="62">
        <v>1690</v>
      </c>
      <c r="C89" s="41" t="s">
        <v>157</v>
      </c>
      <c r="D89" s="56"/>
    </row>
    <row r="90" spans="1:4" ht="16.5" thickTop="1" thickBot="1">
      <c r="A90" s="56">
        <v>244521</v>
      </c>
      <c r="B90" s="62">
        <v>1790</v>
      </c>
      <c r="C90" s="41" t="s">
        <v>168</v>
      </c>
      <c r="D90" s="56"/>
    </row>
    <row r="91" spans="1:4" ht="16.5" thickTop="1" thickBot="1">
      <c r="A91" s="56">
        <v>244522</v>
      </c>
      <c r="B91" s="62">
        <v>1790</v>
      </c>
      <c r="C91" s="41" t="s">
        <v>169</v>
      </c>
      <c r="D91" s="56"/>
    </row>
    <row r="92" spans="1:4" ht="16.5" thickTop="1" thickBot="1">
      <c r="A92" s="56">
        <v>244526</v>
      </c>
      <c r="B92" s="62">
        <v>1790</v>
      </c>
      <c r="C92" s="41" t="s">
        <v>166</v>
      </c>
      <c r="D92" s="56"/>
    </row>
    <row r="93" spans="1:4" ht="16.5" thickTop="1" thickBot="1">
      <c r="A93" s="56">
        <v>244527</v>
      </c>
      <c r="B93" s="62">
        <v>1790</v>
      </c>
      <c r="C93" s="41" t="s">
        <v>176</v>
      </c>
      <c r="D93" s="56"/>
    </row>
    <row r="94" spans="1:4" ht="16.5" thickTop="1" thickBot="1">
      <c r="A94" s="56">
        <v>244528</v>
      </c>
      <c r="B94" s="62">
        <v>1790</v>
      </c>
      <c r="C94" s="41" t="s">
        <v>167</v>
      </c>
      <c r="D94" s="56"/>
    </row>
    <row r="95" spans="1:4" ht="15.75" thickTop="1"/>
  </sheetData>
  <conditionalFormatting sqref="A3:A78">
    <cfRule type="expression" dxfId="1" priority="2">
      <formula>AND(ROUNDDOWN($P3,0)=0,ROUNDDOWN($Q3,0)=0)</formula>
    </cfRule>
  </conditionalFormatting>
  <conditionalFormatting sqref="A80:A94">
    <cfRule type="expression" dxfId="0" priority="1">
      <formula>AND(ROUNDDOWN($P80,0)=0,ROUNDDOWN($Q80,0)=0)</formula>
    </cfRule>
  </conditionalFormatting>
  <hyperlinks>
    <hyperlink ref="B7" r:id="rId1" display="https://motorring.ru/product/20635-datchik-skorosti-vie-vaz-2108-21099-mehanicheskoy" xr:uid="{71E314A1-0576-4232-84A9-797FAD9B6DE1}"/>
    <hyperlink ref="B12" r:id="rId2" display="https://motorring.ru/product/20704-regulyator-davleniya-topliva-vie-380-vaz-2110-2115-lada" xr:uid="{2120F64E-2E68-4BE7-ADE6-8F51BBC1162A}"/>
    <hyperlink ref="B14" r:id="rId3" display="https://motorring.ru/product/11342-regulyator-holostogo-hoda-vie-lada-4h4-shevrole-niva" xr:uid="{9F944E16-42C3-4FB7-BC72-5A7D306ECB46}"/>
    <hyperlink ref="B15" r:id="rId4" display="https://motorring.ru/product/17852" xr:uid="{39CA1BD4-C9DD-4782-B046-836A8284E895}"/>
    <hyperlink ref="B19" r:id="rId5" display="https://motorring.ru/product/20644-forsunka-735-vie-16kl-vaz-2110-2112-lada-kalina-priora" xr:uid="{6BC249FB-8EDB-42A3-BB10-1FE9F7F07DA1}"/>
    <hyperlink ref="B20" r:id="rId6" display="https://motorring.ru/product/18249-motor-elektrobenzonasosa-2112-povyshennoy" xr:uid="{B5930440-015D-470D-8CEA-40850E52DD7B}"/>
    <hyperlink ref="B22" r:id="rId7" display="https://motorring.ru/product/20645-forsunka-6238-vie-vaz-2108-21099-2110-2112-2113-2115" xr:uid="{259DEDE3-343C-48F8-882E-B3BA7BD3EFAE}"/>
    <hyperlink ref="B28" r:id="rId8" display="https://motorring.ru/product/20639-motor-elektrobenzonasosa-vie-lada-vesta" xr:uid="{D0A1088E-4A56-4245-A1EB-589D165172B9}"/>
    <hyperlink ref="B30" r:id="rId9" display="https://motorring.ru/product/3061-moduly-zaghiganiya-soate-vaz-2104-2107-2110-2112-lada" xr:uid="{8EC71624-9476-42E3-B526-39E6AB68D1F4}"/>
    <hyperlink ref="B31" r:id="rId10" display="https://motorring.ru/product/12200-standartnaya-drosselynaya-zaslonka-vaz-2108-2115-2110-2112" xr:uid="{6EB301FC-36C0-43E3-B481-3C447315BB15}"/>
    <hyperlink ref="B32" r:id="rId11" display="https://motorring.ru/product/16635-standartnaya-drosselynaya-zaslonka-lada-4h4-niva-2121-21213" xr:uid="{A23A1A19-6AF1-4791-ACC3-B7107B8AE5FC}"/>
    <hyperlink ref="B38" r:id="rId12" display="https://motorring.ru/product/5530-elektrokorrektor-far-dlya-lada-granta" xr:uid="{6105E0E9-F330-46C5-B6DB-690DD115A81D}"/>
    <hyperlink ref="B39" r:id="rId13" display="https://motorring.ru/product/15607-elektrokorrektor-far-lada-niva" xr:uid="{6AAC8FB9-8478-4CAE-BC62-ED22C9544AD6}"/>
    <hyperlink ref="B45" r:id="rId14" display="https://motorring.ru/product/20641-regulyator-holostogo-hoda-vie-vaz-2105-2107-2108-21099" xr:uid="{D71B3D75-4C43-4776-8FC1-51D1999434D7}"/>
    <hyperlink ref="B78" r:id="rId15" display="https://motorring.ru/product/40555-drosselynaya-zaslonka-vie-21116-lada-priora-kalina-granta" xr:uid="{860CF1EA-09F9-4F8A-9212-53F7E58A485D}"/>
    <hyperlink ref="B77" r:id="rId16" display="https://motorring.ru/product/38951-forsunka-vie-017-dlya-8-klapannyh-vaz-2110-2112-lada-kalina" xr:uid="{BF008DEF-AFB5-4F2A-8ED5-A2679DDB5562}"/>
    <hyperlink ref="B75" r:id="rId17" display="https://motorring.ru/product/18249-motor-elektrobenzonasosa-2112-povyshennoy" xr:uid="{725149CC-B3E5-4A93-8C30-FBDB53B6B8F4}"/>
    <hyperlink ref="B74" r:id="rId18" display="https://motorring.ru/product/38958-elektrobenzonasos-sbore-vie-21101-vaz-2110-2112-lada" xr:uid="{BE7C5711-D53D-4183-8254-0DBE8911B948}"/>
    <hyperlink ref="B66" r:id="rId19" display="https://motorring.ru/product/38959-elektrobenzonasos-sbore-vie-vaz-21044-dlya-vaz-2101-2107" xr:uid="{269AAC34-1A4E-4635-B755-D521AC2DD272}"/>
    <hyperlink ref="B72" r:id="rId20" display="https://motorring.ru/product/38963-elektrobenzonasos-vie-2123-sbore-dlya-shevrole-niva" xr:uid="{48CC6642-76AA-48D5-9AD7-F5E53021AA8D}"/>
    <hyperlink ref="B71" r:id="rId21" display="https://motorring.ru/product/38962-elektrobenzonas-vie-sbore-novogo-obrazca-shtucere-21313" xr:uid="{67C279B3-0FD3-486B-9150-ADB554D51889}"/>
    <hyperlink ref="B70" r:id="rId22" display="https://motorring.ru/product/38961-elektrobenzonas-vie-sbore-starogo-obrazca-gayke-21214" xr:uid="{85A1A75E-39B4-441A-BBC5-304760E42769}"/>
    <hyperlink ref="B67" r:id="rId23" display="https://motorring.ru/product/38960-elektrobenzonasos-sbore-vie-vaz-2110-2112-2113-2115" xr:uid="{266ACF0D-9EBB-4DEE-B114-2F4B42D835BA}"/>
    <hyperlink ref="B64" r:id="rId24" display="https://motorring.ru/product/11342-regulyator-holostogo-hoda-vie-lada-4h4-shevrole-niva" xr:uid="{A8264A42-1D33-4433-8CD7-E59B05F2DDA5}"/>
    <hyperlink ref="B63" r:id="rId25" display="https://motorring.ru/product/38946-regulyator-holostogo-hoda-vie-plastikoviy-nakonechnik-lada-niva" xr:uid="{35BDAE5F-696D-43C7-BD49-AE89A9F342E3}"/>
    <hyperlink ref="B57" r:id="rId26" display="https://motorring.ru/product/38955-forsunka-vie-72370-dlya-lada-kalina-kalina-priora-granta" xr:uid="{641602BB-DEEE-4598-80AD-0FAE3F3B3645}"/>
    <hyperlink ref="B9" r:id="rId27" display="https://motorring.ru/product/20636-datchik-faz-vie-analog-141-3855-vaz" xr:uid="{D886476B-4E9C-4BB9-9843-9276BF0ED296}"/>
    <hyperlink ref="B24" r:id="rId28" display="https://motorring.ru/product/18963-podrulevoy-pereklyuchately-shleyf-starogo-obrazca-dlya-lada" xr:uid="{4D05705C-2E98-4A70-9D46-F5B96D9475D4}"/>
    <hyperlink ref="B23" r:id="rId29" display="https://motorring.ru/product/15358-podrulevoy-pereklyuchately-shleyf-novogo-obrazca-lada" xr:uid="{3BA25E10-5D8E-41CB-B866-53B8AE1BEF39}"/>
    <hyperlink ref="B18" r:id="rId30" display="https://motorring.ru/product/20640-motor-elektrobenzonasosa-vie-lada-largus-reno-logan-sandero" xr:uid="{A9D383AF-0A51-4C0F-A54A-B66030B78CD5}"/>
    <hyperlink ref="B11" r:id="rId31" display="https://motorring.ru/product/38942-datchik-faz-vie-dlya-inghektornyh-vaz" xr:uid="{E51F6431-0998-4AA8-B91A-03070ADD0114}"/>
    <hyperlink ref="B3" r:id="rId32" display="https://motorring.ru/product/3047-rezistor-elektronnogo-ventilyatora-otopitelya-dlya-lada" xr:uid="{4B655039-10A6-42DF-8F80-24CE693EA142}"/>
    <hyperlink ref="B59" r:id="rId33" display="https://motorring.ru/product/19060-standartnaya-drosselynaya-zaslonka-sbore-datchikami-vaz" xr:uid="{9DBCDFC2-EF47-4813-A984-9099A261E16C}"/>
    <hyperlink ref="B5" r:id="rId34" display="https://motorring.ru/product/13316-prokladka-drosselynoy-zaslonki-vaz-2108-2115-lada-priora-kalina-k" xr:uid="{E2D7F44D-7898-4861-A466-F19D0B6E75AA}"/>
    <hyperlink ref="B92" r:id="rId35" display="https://motorring.ru/product/94-drosselynaya-zaslonka-lada-4h4-shevrole-niva-prokladka" xr:uid="{AC59928D-745F-4994-8E93-B09D33533153}"/>
    <hyperlink ref="B94" r:id="rId36" display="https://motorring.ru/product/96-drosselynaya-zaslonka-lada-4h4-shevrole-niva-prokladka" xr:uid="{860F02D9-4700-4246-98CA-452C343E1057}"/>
    <hyperlink ref="B93" r:id="rId37" display="https://motorring.ru/product/95-drosselynaya-zaslonka-lada-4h4-shevrole-niva-prokladka" xr:uid="{894AB09F-1549-4E69-8DAF-F090DC104C9F}"/>
    <hyperlink ref="B86" r:id="rId38" display="https://motorring.ru/product/88-drosselynaya-zaslonka-vaz-2108-2115-lada-priora-kalina-granta" xr:uid="{1B9E7A25-9270-46C1-B76E-780BDF2EED86}"/>
    <hyperlink ref="B87" r:id="rId39" display="https://motorring.ru/product/89-drosselynaya-zaslonka-vaz-2108-2115-lada-priora-kalina-granta" xr:uid="{7BEB6307-C564-4FA7-9AC2-93C628DB0D7A}"/>
    <hyperlink ref="B88" r:id="rId40" display="https://motorring.ru/product/90-drosselynaya-zaslonka-vaz-2108-2115-lada-priora-kalina-granta" xr:uid="{1BBE6041-A241-4076-96B4-23EA9E4A5736}"/>
    <hyperlink ref="B89" r:id="rId41" display="https://motorring.ru/product/88-drosselynaya-zaslonka-vaz-2108-2115-lada-priora-kalina-granta" xr:uid="{C0A91948-16B0-4C8B-B50A-C72AF5BE4FFD}"/>
    <hyperlink ref="B90" r:id="rId42" display="https://motorring.ru/product/89-drosselynaya-zaslonka-vaz-2108-2115-lada-priora-kalina-granta" xr:uid="{0FAE5F23-D724-46BE-9865-5669E860F9BB}"/>
    <hyperlink ref="B91" r:id="rId43" display="https://motorring.ru/product/90-drosselynaya-zaslonka-vaz-2108-2115-lada-priora-kalina-granta" xr:uid="{7E042D48-BA9D-43F3-87B5-ADEC3774F3CE}"/>
  </hyperlinks>
  <pageMargins left="0.7" right="0.7" top="0.75" bottom="0.75" header="0.3" footer="0.3"/>
  <pageSetup paperSize="9" orientation="portrait" r:id="rId44"/>
  <drawing r:id="rId45"/>
  <legacyDrawing r:id="rId46"/>
  <controls>
    <mc:AlternateContent xmlns:mc="http://schemas.openxmlformats.org/markup-compatibility/2006">
      <mc:Choice Requires="x14">
        <control shapeId="8193" r:id="rId47" name="CommandButton1">
          <controlPr defaultSize="0" autoLine="0" r:id="rId48">
            <anchor moveWithCells="1">
              <from>
                <xdr:col>8</xdr:col>
                <xdr:colOff>457200</xdr:colOff>
                <xdr:row>4</xdr:row>
                <xdr:rowOff>180975</xdr:rowOff>
              </from>
              <to>
                <xdr:col>11</xdr:col>
                <xdr:colOff>590550</xdr:colOff>
                <xdr:row>8</xdr:row>
                <xdr:rowOff>38100</xdr:rowOff>
              </to>
            </anchor>
          </controlPr>
        </control>
      </mc:Choice>
      <mc:Fallback>
        <control shapeId="8193" r:id="rId47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66E712-F562-4F35-9184-0C826F9064F2}">
  <sheetPr codeName="Лист7">
    <tabColor rgb="FF92D050"/>
  </sheetPr>
  <dimension ref="A1:S96"/>
  <sheetViews>
    <sheetView workbookViewId="0">
      <selection activeCell="G9" sqref="G9"/>
    </sheetView>
  </sheetViews>
  <sheetFormatPr defaultRowHeight="15"/>
  <cols>
    <col min="1" max="2" width="11.140625" bestFit="1" customWidth="1"/>
    <col min="3" max="3" width="13.28515625" bestFit="1" customWidth="1"/>
    <col min="4" max="4" width="81.140625" bestFit="1" customWidth="1"/>
    <col min="5" max="5" width="28.28515625" bestFit="1" customWidth="1"/>
    <col min="6" max="6" width="35.5703125" bestFit="1" customWidth="1"/>
    <col min="7" max="9" width="11.140625" bestFit="1" customWidth="1"/>
    <col min="10" max="19" width="12.140625" bestFit="1" customWidth="1"/>
  </cols>
  <sheetData>
    <row r="1" spans="1:19">
      <c r="A1" t="s">
        <v>239</v>
      </c>
      <c r="B1" t="s">
        <v>240</v>
      </c>
      <c r="C1" t="s">
        <v>241</v>
      </c>
      <c r="D1" t="s">
        <v>242</v>
      </c>
      <c r="E1" t="s">
        <v>243</v>
      </c>
      <c r="F1" t="s">
        <v>244</v>
      </c>
      <c r="G1" t="s">
        <v>245</v>
      </c>
      <c r="H1" t="s">
        <v>246</v>
      </c>
      <c r="I1" t="s">
        <v>247</v>
      </c>
      <c r="J1" t="s">
        <v>248</v>
      </c>
      <c r="K1" t="s">
        <v>249</v>
      </c>
      <c r="L1" t="s">
        <v>250</v>
      </c>
      <c r="M1" t="s">
        <v>251</v>
      </c>
      <c r="N1" t="s">
        <v>252</v>
      </c>
      <c r="O1" t="s">
        <v>253</v>
      </c>
      <c r="P1" t="s">
        <v>254</v>
      </c>
      <c r="Q1" t="s">
        <v>255</v>
      </c>
      <c r="R1" t="s">
        <v>256</v>
      </c>
      <c r="S1" t="s">
        <v>257</v>
      </c>
    </row>
    <row r="3" spans="1:19">
      <c r="A3" t="s">
        <v>278</v>
      </c>
      <c r="B3" t="s">
        <v>279</v>
      </c>
      <c r="C3" t="s">
        <v>280</v>
      </c>
      <c r="D3" t="s">
        <v>258</v>
      </c>
      <c r="E3" t="s">
        <v>259</v>
      </c>
      <c r="F3" t="s">
        <v>260</v>
      </c>
    </row>
    <row r="4" spans="1:19">
      <c r="B4" t="s">
        <v>0</v>
      </c>
      <c r="D4" t="s">
        <v>220</v>
      </c>
      <c r="E4" t="s">
        <v>261</v>
      </c>
      <c r="F4" t="s">
        <v>261</v>
      </c>
    </row>
    <row r="5" spans="1:19">
      <c r="A5" t="s">
        <v>41</v>
      </c>
      <c r="B5">
        <v>244514</v>
      </c>
      <c r="G5" t="s">
        <v>262</v>
      </c>
    </row>
    <row r="6" spans="1:19">
      <c r="A6" t="s">
        <v>41</v>
      </c>
      <c r="B6">
        <v>244515</v>
      </c>
      <c r="G6" t="s">
        <v>262</v>
      </c>
    </row>
    <row r="7" spans="1:19">
      <c r="A7" t="s">
        <v>41</v>
      </c>
      <c r="B7">
        <v>244516</v>
      </c>
      <c r="G7" t="s">
        <v>262</v>
      </c>
    </row>
    <row r="8" spans="1:19">
      <c r="A8" t="s">
        <v>41</v>
      </c>
      <c r="B8">
        <v>244517</v>
      </c>
      <c r="G8" t="s">
        <v>262</v>
      </c>
    </row>
    <row r="9" spans="1:19">
      <c r="A9" t="s">
        <v>41</v>
      </c>
      <c r="B9">
        <v>244518</v>
      </c>
      <c r="G9" t="s">
        <v>262</v>
      </c>
    </row>
    <row r="10" spans="1:19">
      <c r="A10" t="s">
        <v>41</v>
      </c>
      <c r="B10">
        <v>244519</v>
      </c>
      <c r="G10" t="s">
        <v>262</v>
      </c>
    </row>
    <row r="11" spans="1:19">
      <c r="A11" t="s">
        <v>41</v>
      </c>
      <c r="B11">
        <v>244523</v>
      </c>
      <c r="C11">
        <v>1690</v>
      </c>
      <c r="D11" t="s">
        <v>157</v>
      </c>
      <c r="G11">
        <v>1690</v>
      </c>
    </row>
    <row r="12" spans="1:19">
      <c r="A12" t="s">
        <v>41</v>
      </c>
      <c r="B12">
        <v>244524</v>
      </c>
      <c r="C12">
        <v>1690</v>
      </c>
      <c r="D12" t="s">
        <v>168</v>
      </c>
      <c r="G12">
        <v>1790</v>
      </c>
    </row>
    <row r="13" spans="1:19">
      <c r="A13" t="s">
        <v>41</v>
      </c>
      <c r="B13">
        <v>244525</v>
      </c>
      <c r="C13">
        <v>1690</v>
      </c>
      <c r="D13" t="s">
        <v>169</v>
      </c>
      <c r="G13">
        <v>1790</v>
      </c>
    </row>
    <row r="14" spans="1:19">
      <c r="A14" t="s">
        <v>41</v>
      </c>
      <c r="B14">
        <v>244520</v>
      </c>
      <c r="C14">
        <v>1690</v>
      </c>
      <c r="D14" t="s">
        <v>157</v>
      </c>
      <c r="G14">
        <v>1690</v>
      </c>
    </row>
    <row r="15" spans="1:19">
      <c r="A15" t="s">
        <v>41</v>
      </c>
      <c r="B15">
        <v>244521</v>
      </c>
      <c r="C15">
        <v>1690</v>
      </c>
      <c r="D15" t="s">
        <v>168</v>
      </c>
      <c r="G15">
        <v>1790</v>
      </c>
    </row>
    <row r="16" spans="1:19">
      <c r="A16" t="s">
        <v>41</v>
      </c>
      <c r="B16">
        <v>244522</v>
      </c>
      <c r="C16">
        <v>1690</v>
      </c>
      <c r="D16" t="s">
        <v>169</v>
      </c>
      <c r="G16">
        <v>1790</v>
      </c>
    </row>
    <row r="17" spans="1:7">
      <c r="A17" t="s">
        <v>41</v>
      </c>
      <c r="B17">
        <v>244526</v>
      </c>
      <c r="C17">
        <v>1690</v>
      </c>
      <c r="D17" t="s">
        <v>166</v>
      </c>
      <c r="G17">
        <v>1790</v>
      </c>
    </row>
    <row r="18" spans="1:7">
      <c r="A18" t="s">
        <v>41</v>
      </c>
      <c r="B18">
        <v>244527</v>
      </c>
      <c r="C18">
        <v>1790</v>
      </c>
      <c r="D18" t="s">
        <v>176</v>
      </c>
      <c r="G18">
        <v>1790</v>
      </c>
    </row>
    <row r="19" spans="1:7">
      <c r="A19" t="s">
        <v>41</v>
      </c>
      <c r="B19">
        <v>244528</v>
      </c>
      <c r="C19">
        <v>1690</v>
      </c>
      <c r="D19" t="s">
        <v>167</v>
      </c>
      <c r="G19">
        <v>1790</v>
      </c>
    </row>
    <row r="20" spans="1:7">
      <c r="A20" t="s">
        <v>41</v>
      </c>
      <c r="B20" t="s">
        <v>0</v>
      </c>
      <c r="C20" t="s">
        <v>193</v>
      </c>
      <c r="G20" t="s">
        <v>261</v>
      </c>
    </row>
    <row r="21" spans="1:7">
      <c r="A21" t="s">
        <v>41</v>
      </c>
      <c r="B21">
        <v>203496</v>
      </c>
      <c r="C21">
        <v>990</v>
      </c>
      <c r="D21" t="s">
        <v>175</v>
      </c>
      <c r="G21">
        <v>990</v>
      </c>
    </row>
    <row r="22" spans="1:7">
      <c r="A22" t="s">
        <v>41</v>
      </c>
      <c r="B22">
        <v>164034</v>
      </c>
      <c r="G22" t="s">
        <v>262</v>
      </c>
    </row>
    <row r="23" spans="1:7">
      <c r="A23" t="s">
        <v>41</v>
      </c>
      <c r="B23">
        <v>201416</v>
      </c>
      <c r="C23">
        <v>39</v>
      </c>
      <c r="D23" t="s">
        <v>238</v>
      </c>
      <c r="G23">
        <v>49</v>
      </c>
    </row>
    <row r="24" spans="1:7">
      <c r="A24" t="s">
        <v>41</v>
      </c>
      <c r="B24">
        <v>142035</v>
      </c>
      <c r="G24" t="s">
        <v>262</v>
      </c>
    </row>
    <row r="25" spans="1:7">
      <c r="A25" t="s">
        <v>41</v>
      </c>
      <c r="B25">
        <v>142061</v>
      </c>
      <c r="C25" t="s">
        <v>194</v>
      </c>
      <c r="D25" t="s">
        <v>265</v>
      </c>
      <c r="G25" t="s">
        <v>262</v>
      </c>
    </row>
    <row r="26" spans="1:7">
      <c r="A26" t="s">
        <v>41</v>
      </c>
      <c r="B26">
        <v>142062</v>
      </c>
      <c r="G26" t="s">
        <v>262</v>
      </c>
    </row>
    <row r="27" spans="1:7">
      <c r="A27" t="s">
        <v>41</v>
      </c>
      <c r="B27">
        <v>142182</v>
      </c>
      <c r="C27">
        <v>590</v>
      </c>
      <c r="D27" t="s">
        <v>232</v>
      </c>
      <c r="G27">
        <v>590</v>
      </c>
    </row>
    <row r="28" spans="1:7">
      <c r="A28" t="s">
        <v>41</v>
      </c>
      <c r="B28">
        <v>141964</v>
      </c>
      <c r="G28" t="s">
        <v>262</v>
      </c>
    </row>
    <row r="29" spans="1:7">
      <c r="A29" t="s">
        <v>41</v>
      </c>
      <c r="B29">
        <v>142183</v>
      </c>
      <c r="C29">
        <v>349</v>
      </c>
      <c r="D29" t="s">
        <v>236</v>
      </c>
      <c r="G29">
        <v>349</v>
      </c>
    </row>
    <row r="30" spans="1:7">
      <c r="A30" t="s">
        <v>41</v>
      </c>
      <c r="B30">
        <v>203181</v>
      </c>
      <c r="C30">
        <v>590</v>
      </c>
      <c r="D30" t="s">
        <v>170</v>
      </c>
      <c r="G30">
        <v>590</v>
      </c>
    </row>
    <row r="31" spans="1:7">
      <c r="A31" t="s">
        <v>41</v>
      </c>
      <c r="B31">
        <v>142060</v>
      </c>
      <c r="G31" t="s">
        <v>262</v>
      </c>
    </row>
    <row r="32" spans="1:7">
      <c r="A32" t="s">
        <v>41</v>
      </c>
      <c r="B32">
        <v>203221</v>
      </c>
      <c r="C32">
        <v>629</v>
      </c>
      <c r="D32" t="s">
        <v>161</v>
      </c>
      <c r="G32">
        <v>629</v>
      </c>
    </row>
    <row r="33" spans="1:7">
      <c r="A33" t="s">
        <v>41</v>
      </c>
      <c r="B33">
        <v>203187</v>
      </c>
      <c r="C33">
        <v>649</v>
      </c>
      <c r="D33" t="s">
        <v>264</v>
      </c>
      <c r="G33">
        <v>649</v>
      </c>
    </row>
    <row r="34" spans="1:7">
      <c r="A34" t="s">
        <v>41</v>
      </c>
      <c r="B34">
        <v>226917</v>
      </c>
      <c r="G34" t="s">
        <v>262</v>
      </c>
    </row>
    <row r="35" spans="1:7">
      <c r="A35" t="s">
        <v>41</v>
      </c>
      <c r="B35">
        <v>225594</v>
      </c>
      <c r="G35" t="s">
        <v>262</v>
      </c>
    </row>
    <row r="36" spans="1:7">
      <c r="A36" t="s">
        <v>41</v>
      </c>
      <c r="B36">
        <v>164625</v>
      </c>
      <c r="C36">
        <v>990</v>
      </c>
      <c r="D36" t="s">
        <v>235</v>
      </c>
      <c r="G36">
        <v>990</v>
      </c>
    </row>
    <row r="37" spans="1:7">
      <c r="A37" t="s">
        <v>41</v>
      </c>
      <c r="B37">
        <v>224438</v>
      </c>
      <c r="C37">
        <v>990</v>
      </c>
      <c r="D37" t="s">
        <v>162</v>
      </c>
      <c r="G37">
        <v>990</v>
      </c>
    </row>
    <row r="38" spans="1:7">
      <c r="A38" t="s">
        <v>41</v>
      </c>
      <c r="B38">
        <v>164623</v>
      </c>
      <c r="C38">
        <v>969</v>
      </c>
      <c r="D38" t="s">
        <v>160</v>
      </c>
      <c r="G38">
        <v>969</v>
      </c>
    </row>
    <row r="39" spans="1:7">
      <c r="A39" t="s">
        <v>41</v>
      </c>
      <c r="B39">
        <v>226137</v>
      </c>
      <c r="G39" t="s">
        <v>262</v>
      </c>
    </row>
    <row r="40" spans="1:7">
      <c r="A40" t="s">
        <v>41</v>
      </c>
      <c r="B40">
        <v>224434</v>
      </c>
      <c r="C40">
        <v>790</v>
      </c>
      <c r="D40" t="s">
        <v>165</v>
      </c>
      <c r="G40">
        <v>990</v>
      </c>
    </row>
    <row r="41" spans="1:7">
      <c r="A41" t="s">
        <v>41</v>
      </c>
      <c r="B41">
        <v>194534</v>
      </c>
      <c r="C41">
        <v>829</v>
      </c>
      <c r="D41" t="s">
        <v>234</v>
      </c>
      <c r="G41">
        <v>929</v>
      </c>
    </row>
    <row r="42" spans="1:7">
      <c r="A42" t="s">
        <v>41</v>
      </c>
      <c r="B42">
        <v>226136</v>
      </c>
      <c r="C42">
        <v>849</v>
      </c>
      <c r="D42" t="s">
        <v>233</v>
      </c>
      <c r="G42">
        <v>849</v>
      </c>
    </row>
    <row r="43" spans="1:7">
      <c r="A43" t="s">
        <v>41</v>
      </c>
      <c r="B43">
        <v>224433</v>
      </c>
      <c r="G43" t="s">
        <v>262</v>
      </c>
    </row>
    <row r="44" spans="1:7">
      <c r="A44" t="s">
        <v>41</v>
      </c>
      <c r="B44">
        <v>224437</v>
      </c>
      <c r="G44" t="s">
        <v>262</v>
      </c>
    </row>
    <row r="45" spans="1:7">
      <c r="A45" t="s">
        <v>41</v>
      </c>
      <c r="B45">
        <v>224435</v>
      </c>
      <c r="G45" t="s">
        <v>262</v>
      </c>
    </row>
    <row r="46" spans="1:7">
      <c r="A46" t="s">
        <v>41</v>
      </c>
      <c r="B46">
        <v>164624</v>
      </c>
      <c r="C46">
        <v>790</v>
      </c>
      <c r="D46" t="s">
        <v>164</v>
      </c>
      <c r="G46">
        <v>790</v>
      </c>
    </row>
    <row r="47" spans="1:7">
      <c r="A47" t="s">
        <v>41</v>
      </c>
      <c r="B47">
        <v>160414</v>
      </c>
      <c r="G47" t="s">
        <v>262</v>
      </c>
    </row>
    <row r="48" spans="1:7">
      <c r="A48" t="s">
        <v>41</v>
      </c>
      <c r="B48">
        <v>155819</v>
      </c>
      <c r="C48">
        <v>1590</v>
      </c>
      <c r="D48" t="s">
        <v>163</v>
      </c>
      <c r="G48">
        <v>1690</v>
      </c>
    </row>
    <row r="49" spans="1:7">
      <c r="A49" t="s">
        <v>41</v>
      </c>
      <c r="B49">
        <v>144423</v>
      </c>
      <c r="C49">
        <v>1690</v>
      </c>
      <c r="D49" t="s">
        <v>158</v>
      </c>
      <c r="G49">
        <v>1690</v>
      </c>
    </row>
    <row r="50" spans="1:7">
      <c r="A50" t="s">
        <v>41</v>
      </c>
      <c r="B50">
        <v>144424</v>
      </c>
      <c r="C50">
        <v>1690</v>
      </c>
      <c r="D50" t="s">
        <v>159</v>
      </c>
      <c r="G50">
        <v>1790</v>
      </c>
    </row>
    <row r="51" spans="1:7">
      <c r="A51" t="s">
        <v>41</v>
      </c>
      <c r="B51">
        <v>137068</v>
      </c>
      <c r="G51" t="s">
        <v>262</v>
      </c>
    </row>
    <row r="52" spans="1:7">
      <c r="A52" t="s">
        <v>41</v>
      </c>
      <c r="B52">
        <v>219331</v>
      </c>
      <c r="G52" t="s">
        <v>262</v>
      </c>
    </row>
    <row r="53" spans="1:7">
      <c r="A53" t="s">
        <v>41</v>
      </c>
      <c r="B53">
        <v>142016</v>
      </c>
      <c r="G53" t="s">
        <v>262</v>
      </c>
    </row>
    <row r="54" spans="1:7">
      <c r="A54" t="s">
        <v>41</v>
      </c>
      <c r="B54">
        <v>142015</v>
      </c>
      <c r="G54" t="s">
        <v>262</v>
      </c>
    </row>
    <row r="55" spans="1:7">
      <c r="A55" t="s">
        <v>41</v>
      </c>
      <c r="B55">
        <v>142014</v>
      </c>
      <c r="G55" t="s">
        <v>262</v>
      </c>
    </row>
    <row r="56" spans="1:7">
      <c r="A56" t="s">
        <v>41</v>
      </c>
      <c r="B56">
        <v>226916</v>
      </c>
      <c r="C56">
        <v>3290</v>
      </c>
      <c r="D56" t="s">
        <v>173</v>
      </c>
      <c r="G56">
        <v>3390</v>
      </c>
    </row>
    <row r="57" spans="1:7">
      <c r="A57" t="s">
        <v>41</v>
      </c>
      <c r="B57">
        <v>226915</v>
      </c>
      <c r="C57">
        <v>3290</v>
      </c>
      <c r="D57" t="s">
        <v>172</v>
      </c>
      <c r="G57">
        <v>3390</v>
      </c>
    </row>
    <row r="58" spans="1:7">
      <c r="A58" t="s">
        <v>41</v>
      </c>
      <c r="B58">
        <v>204475</v>
      </c>
      <c r="G58" t="s">
        <v>262</v>
      </c>
    </row>
    <row r="59" spans="1:7">
      <c r="A59" t="s">
        <v>41</v>
      </c>
      <c r="B59">
        <v>204476</v>
      </c>
      <c r="G59" t="s">
        <v>262</v>
      </c>
    </row>
    <row r="60" spans="1:7">
      <c r="A60" t="s">
        <v>41</v>
      </c>
      <c r="B60">
        <v>171712</v>
      </c>
      <c r="G60" t="s">
        <v>262</v>
      </c>
    </row>
    <row r="61" spans="1:7">
      <c r="A61" t="s">
        <v>41</v>
      </c>
      <c r="B61">
        <v>213717</v>
      </c>
      <c r="G61" t="s">
        <v>262</v>
      </c>
    </row>
    <row r="62" spans="1:7">
      <c r="A62" t="s">
        <v>41</v>
      </c>
      <c r="B62">
        <v>203217</v>
      </c>
      <c r="G62" t="s">
        <v>262</v>
      </c>
    </row>
    <row r="63" spans="1:7">
      <c r="A63" t="s">
        <v>41</v>
      </c>
      <c r="B63">
        <v>203219</v>
      </c>
      <c r="C63">
        <v>590</v>
      </c>
      <c r="D63" t="s">
        <v>171</v>
      </c>
      <c r="G63">
        <v>649</v>
      </c>
    </row>
    <row r="64" spans="1:7">
      <c r="A64" t="s">
        <v>41</v>
      </c>
      <c r="B64">
        <v>142071</v>
      </c>
      <c r="G64" t="s">
        <v>262</v>
      </c>
    </row>
    <row r="65" spans="1:7">
      <c r="A65" t="s">
        <v>41</v>
      </c>
      <c r="B65">
        <v>142069</v>
      </c>
      <c r="G65" t="s">
        <v>262</v>
      </c>
    </row>
    <row r="66" spans="1:7">
      <c r="A66" t="s">
        <v>41</v>
      </c>
      <c r="B66">
        <v>142073</v>
      </c>
      <c r="G66" t="s">
        <v>262</v>
      </c>
    </row>
    <row r="67" spans="1:7">
      <c r="A67" t="s">
        <v>41</v>
      </c>
      <c r="B67">
        <v>142076</v>
      </c>
      <c r="G67" t="s">
        <v>262</v>
      </c>
    </row>
    <row r="68" spans="1:7">
      <c r="A68" t="s">
        <v>41</v>
      </c>
      <c r="B68">
        <v>142079</v>
      </c>
      <c r="G68" t="s">
        <v>262</v>
      </c>
    </row>
    <row r="69" spans="1:7">
      <c r="A69" t="s">
        <v>41</v>
      </c>
      <c r="B69">
        <v>142070</v>
      </c>
      <c r="G69" t="s">
        <v>262</v>
      </c>
    </row>
    <row r="70" spans="1:7">
      <c r="A70" t="s">
        <v>41</v>
      </c>
      <c r="B70">
        <v>142074</v>
      </c>
      <c r="G70" t="s">
        <v>262</v>
      </c>
    </row>
    <row r="71" spans="1:7">
      <c r="A71" t="s">
        <v>41</v>
      </c>
      <c r="B71">
        <v>142077</v>
      </c>
      <c r="G71" t="s">
        <v>262</v>
      </c>
    </row>
    <row r="72" spans="1:7">
      <c r="A72" t="s">
        <v>41</v>
      </c>
      <c r="B72">
        <v>142072</v>
      </c>
      <c r="G72" t="s">
        <v>262</v>
      </c>
    </row>
    <row r="73" spans="1:7">
      <c r="A73" t="s">
        <v>41</v>
      </c>
      <c r="B73">
        <v>142075</v>
      </c>
      <c r="G73" t="s">
        <v>262</v>
      </c>
    </row>
    <row r="74" spans="1:7">
      <c r="A74" t="s">
        <v>41</v>
      </c>
      <c r="B74">
        <v>142078</v>
      </c>
      <c r="G74" t="s">
        <v>262</v>
      </c>
    </row>
    <row r="75" spans="1:7">
      <c r="A75" t="s">
        <v>41</v>
      </c>
      <c r="B75">
        <v>224436</v>
      </c>
      <c r="C75">
        <v>990</v>
      </c>
      <c r="D75" t="s">
        <v>231</v>
      </c>
      <c r="G75">
        <v>990</v>
      </c>
    </row>
    <row r="76" spans="1:7">
      <c r="A76" t="s">
        <v>41</v>
      </c>
      <c r="B76">
        <v>224432</v>
      </c>
      <c r="G76" t="s">
        <v>262</v>
      </c>
    </row>
    <row r="77" spans="1:7">
      <c r="A77" t="s">
        <v>41</v>
      </c>
      <c r="B77">
        <v>144435</v>
      </c>
      <c r="C77">
        <v>2290</v>
      </c>
      <c r="D77" t="s">
        <v>237</v>
      </c>
      <c r="G77">
        <v>2390</v>
      </c>
    </row>
    <row r="78" spans="1:7">
      <c r="A78" t="s">
        <v>41</v>
      </c>
      <c r="B78">
        <v>144436</v>
      </c>
      <c r="G78" t="s">
        <v>262</v>
      </c>
    </row>
    <row r="79" spans="1:7">
      <c r="A79" t="s">
        <v>41</v>
      </c>
      <c r="B79">
        <v>203180</v>
      </c>
      <c r="G79" t="s">
        <v>262</v>
      </c>
    </row>
    <row r="80" spans="1:7">
      <c r="A80" t="s">
        <v>41</v>
      </c>
      <c r="B80">
        <v>203179</v>
      </c>
      <c r="G80" t="s">
        <v>262</v>
      </c>
    </row>
    <row r="81" spans="1:7">
      <c r="A81" t="s">
        <v>41</v>
      </c>
      <c r="B81">
        <v>203220</v>
      </c>
      <c r="C81">
        <v>590</v>
      </c>
      <c r="D81" t="s">
        <v>230</v>
      </c>
      <c r="G81">
        <v>590</v>
      </c>
    </row>
    <row r="82" spans="1:7">
      <c r="A82" t="s">
        <v>41</v>
      </c>
      <c r="B82">
        <v>203218</v>
      </c>
      <c r="C82">
        <v>629</v>
      </c>
      <c r="D82" t="s">
        <v>161</v>
      </c>
      <c r="G82">
        <v>629</v>
      </c>
    </row>
    <row r="83" spans="1:7">
      <c r="A83" t="s">
        <v>41</v>
      </c>
      <c r="B83">
        <v>219323</v>
      </c>
      <c r="G83" t="s">
        <v>262</v>
      </c>
    </row>
    <row r="84" spans="1:7">
      <c r="A84" t="s">
        <v>41</v>
      </c>
      <c r="B84">
        <v>219322</v>
      </c>
      <c r="C84">
        <v>1990</v>
      </c>
      <c r="D84" t="s">
        <v>225</v>
      </c>
      <c r="G84">
        <v>1990</v>
      </c>
    </row>
    <row r="85" spans="1:7">
      <c r="A85" t="s">
        <v>41</v>
      </c>
      <c r="B85">
        <v>219326</v>
      </c>
      <c r="C85">
        <v>1990</v>
      </c>
      <c r="D85" t="s">
        <v>229</v>
      </c>
      <c r="G85">
        <v>1990</v>
      </c>
    </row>
    <row r="86" spans="1:7">
      <c r="A86" t="s">
        <v>41</v>
      </c>
      <c r="B86">
        <v>219325</v>
      </c>
      <c r="G86" t="s">
        <v>262</v>
      </c>
    </row>
    <row r="87" spans="1:7">
      <c r="A87" t="s">
        <v>41</v>
      </c>
      <c r="B87">
        <v>219324</v>
      </c>
      <c r="G87" t="s">
        <v>262</v>
      </c>
    </row>
    <row r="88" spans="1:7">
      <c r="A88" t="s">
        <v>41</v>
      </c>
      <c r="B88">
        <v>219327</v>
      </c>
      <c r="C88">
        <v>1790</v>
      </c>
      <c r="D88" t="s">
        <v>228</v>
      </c>
      <c r="G88">
        <v>1790</v>
      </c>
    </row>
    <row r="89" spans="1:7">
      <c r="A89" t="s">
        <v>41</v>
      </c>
      <c r="B89">
        <v>219329</v>
      </c>
      <c r="C89">
        <v>1790</v>
      </c>
      <c r="D89" t="s">
        <v>227</v>
      </c>
      <c r="G89">
        <v>1790</v>
      </c>
    </row>
    <row r="90" spans="1:7">
      <c r="A90" t="s">
        <v>41</v>
      </c>
      <c r="B90">
        <v>219328</v>
      </c>
      <c r="C90">
        <v>1990</v>
      </c>
      <c r="D90" t="s">
        <v>226</v>
      </c>
      <c r="G90">
        <v>1990</v>
      </c>
    </row>
    <row r="91" spans="1:7">
      <c r="A91" t="s">
        <v>41</v>
      </c>
      <c r="B91">
        <v>219356</v>
      </c>
      <c r="G91" t="s">
        <v>262</v>
      </c>
    </row>
    <row r="92" spans="1:7">
      <c r="A92" t="s">
        <v>41</v>
      </c>
      <c r="B92">
        <v>219330</v>
      </c>
      <c r="C92">
        <v>1790</v>
      </c>
      <c r="D92" t="s">
        <v>224</v>
      </c>
      <c r="G92">
        <v>1990</v>
      </c>
    </row>
    <row r="93" spans="1:7">
      <c r="A93" t="s">
        <v>41</v>
      </c>
      <c r="B93">
        <v>164616</v>
      </c>
      <c r="C93">
        <v>969</v>
      </c>
      <c r="D93" t="s">
        <v>160</v>
      </c>
      <c r="G93">
        <v>969</v>
      </c>
    </row>
    <row r="94" spans="1:7">
      <c r="A94" t="s">
        <v>41</v>
      </c>
      <c r="B94">
        <v>226914</v>
      </c>
      <c r="G94" t="s">
        <v>262</v>
      </c>
    </row>
    <row r="95" spans="1:7">
      <c r="A95" t="s">
        <v>41</v>
      </c>
      <c r="B95">
        <v>224431</v>
      </c>
      <c r="C95">
        <v>790</v>
      </c>
      <c r="D95" t="s">
        <v>223</v>
      </c>
      <c r="G95">
        <v>790</v>
      </c>
    </row>
    <row r="96" spans="1:7">
      <c r="A96" t="s">
        <v>41</v>
      </c>
      <c r="B96">
        <v>144434</v>
      </c>
      <c r="C96">
        <v>4890</v>
      </c>
      <c r="D96" t="s">
        <v>174</v>
      </c>
      <c r="G96">
        <v>4890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FD2188B-90EA-48CB-BC89-8054894A155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Кат</vt:lpstr>
      <vt:lpstr>Торг</vt:lpstr>
      <vt:lpstr>Наценка</vt:lpstr>
      <vt:lpstr>Выгр Кат</vt:lpstr>
      <vt:lpstr>Выгр Торг</vt:lpstr>
      <vt:lpstr>Ссылки</vt:lpstr>
      <vt:lpstr>Из ГУГЛа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Admin</dc:creator>
  <cp:lastModifiedBy>Snab TimeTurbo</cp:lastModifiedBy>
  <dcterms:created xsi:type="dcterms:W3CDTF">2022-12-30T09:37:14Z</dcterms:created>
  <dcterms:modified xsi:type="dcterms:W3CDTF">2024-07-02T09:39:32Z</dcterms:modified>
</cp:coreProperties>
</file>