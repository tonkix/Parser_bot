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DAF4C884-A522-4556-9B26-39C7C68DA700}" xr6:coauthVersionLast="47" xr6:coauthVersionMax="47" xr10:uidLastSave="{00000000-0000-0000-0000-000000000000}"/>
  <bookViews>
    <workbookView xWindow="28680" yWindow="-120" windowWidth="29040" windowHeight="15990" activeTab="5" xr2:uid="{00000000-000D-0000-FFFF-FFFF00000000}"/>
  </bookViews>
  <sheets>
    <sheet name="Кат" sheetId="6" r:id="rId1"/>
    <sheet name="Наценка" sheetId="7" r:id="rId2"/>
    <sheet name="Лист2" sheetId="2" r:id="rId3"/>
    <sheet name="Новые" sheetId="4" r:id="rId4"/>
    <sheet name="Выгр Кат" sheetId="5" r:id="rId5"/>
    <sheet name="Ссылки" sheetId="9" r:id="rId6"/>
    <sheet name="Из ГУГЛа" sheetId="10" r:id="rId7"/>
  </sheets>
  <definedNames>
    <definedName name="_xlnm._FilterDatabase" localSheetId="4" hidden="1">'Выгр Кат'!$A$1:$O$17</definedName>
    <definedName name="_xlnm._FilterDatabase" localSheetId="0" hidden="1">Кат!$A$2:$Y$18</definedName>
    <definedName name="_xlnm._FilterDatabase" localSheetId="2" hidden="1">Лист2!$A$1:$H$22</definedName>
    <definedName name="ExternalData_1" localSheetId="6" hidden="1">'Из ГУГЛа'!$A$1:$H$7099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6" l="1"/>
  <c r="K6" i="6"/>
  <c r="K5" i="6"/>
  <c r="K4" i="6"/>
  <c r="K3" i="6"/>
  <c r="K18" i="6"/>
  <c r="K17" i="6"/>
  <c r="K16" i="6"/>
  <c r="H1" i="6"/>
  <c r="K22" i="6"/>
  <c r="K23" i="6"/>
  <c r="K30" i="6"/>
  <c r="K29" i="6"/>
  <c r="K28" i="6"/>
  <c r="K27" i="6"/>
  <c r="K26" i="6"/>
  <c r="K25" i="6"/>
  <c r="K24" i="6"/>
  <c r="I1" i="6"/>
  <c r="R4" i="6"/>
  <c r="R5" i="6"/>
  <c r="R6" i="6"/>
  <c r="R7" i="6"/>
  <c r="R8" i="6"/>
  <c r="R9" i="6"/>
  <c r="R10" i="6"/>
  <c r="R11" i="6"/>
  <c r="R12" i="6"/>
  <c r="R13" i="6"/>
  <c r="R14" i="6"/>
  <c r="R15" i="6"/>
  <c r="R16" i="6"/>
  <c r="R17" i="6"/>
  <c r="R18" i="6"/>
  <c r="R3" i="6"/>
  <c r="W8" i="6"/>
  <c r="W9" i="6"/>
  <c r="W10" i="6"/>
  <c r="W11" i="6"/>
  <c r="W12" i="6"/>
  <c r="W13" i="6"/>
  <c r="W14" i="6"/>
  <c r="W15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3" i="6"/>
  <c r="F4" i="6"/>
  <c r="F5" i="6"/>
  <c r="F8" i="6"/>
  <c r="C9" i="6"/>
  <c r="M11" i="6"/>
  <c r="M12" i="6"/>
  <c r="N13" i="6"/>
  <c r="F14" i="6"/>
  <c r="C15" i="6"/>
  <c r="M18" i="6"/>
  <c r="I18" i="6" s="1"/>
  <c r="W18" i="6" s="1"/>
  <c r="N3" i="6"/>
  <c r="C4" i="6"/>
  <c r="D4" i="6"/>
  <c r="C5" i="6"/>
  <c r="D5" i="6"/>
  <c r="C6" i="6"/>
  <c r="D6" i="6"/>
  <c r="F6" i="6"/>
  <c r="C8" i="6"/>
  <c r="D8" i="6"/>
  <c r="F9" i="6"/>
  <c r="C10" i="6"/>
  <c r="D10" i="6"/>
  <c r="F10" i="6"/>
  <c r="F15" i="6"/>
  <c r="C16" i="6"/>
  <c r="D16" i="6"/>
  <c r="F16" i="6"/>
  <c r="C17" i="6"/>
  <c r="D17" i="6"/>
  <c r="F17" i="6"/>
  <c r="M4" i="6"/>
  <c r="N4" i="6"/>
  <c r="M5" i="6"/>
  <c r="I5" i="6" s="1"/>
  <c r="W5" i="6" s="1"/>
  <c r="N5" i="6"/>
  <c r="M6" i="6"/>
  <c r="I6" i="6" s="1"/>
  <c r="W6" i="6" s="1"/>
  <c r="N6" i="6"/>
  <c r="M8" i="6"/>
  <c r="I8" i="6" s="1"/>
  <c r="N8" i="6"/>
  <c r="M9" i="6"/>
  <c r="N9" i="6"/>
  <c r="M10" i="6"/>
  <c r="I10" i="6" s="1"/>
  <c r="N10" i="6"/>
  <c r="M15" i="6"/>
  <c r="N15" i="6"/>
  <c r="M16" i="6"/>
  <c r="N16" i="6"/>
  <c r="M17" i="6"/>
  <c r="I17" i="6" s="1"/>
  <c r="W17" i="6" s="1"/>
  <c r="N17" i="6"/>
  <c r="M3" i="6"/>
  <c r="F3" i="6"/>
  <c r="D3" i="6"/>
  <c r="C3" i="6"/>
  <c r="N3" i="5"/>
  <c r="E17" i="6" s="1"/>
  <c r="N4" i="5"/>
  <c r="E15" i="6" s="1"/>
  <c r="N5" i="5"/>
  <c r="N6" i="5"/>
  <c r="N7" i="5"/>
  <c r="E3" i="6" s="1"/>
  <c r="N8" i="5"/>
  <c r="E9" i="6" s="1"/>
  <c r="N9" i="5"/>
  <c r="N10" i="5"/>
  <c r="N11" i="5"/>
  <c r="E8" i="6" s="1"/>
  <c r="N12" i="5"/>
  <c r="E5" i="6" s="1"/>
  <c r="N13" i="5"/>
  <c r="E4" i="6" s="1"/>
  <c r="N14" i="5"/>
  <c r="E6" i="6" s="1"/>
  <c r="N15" i="5"/>
  <c r="N16" i="5"/>
  <c r="N17" i="5"/>
  <c r="N2" i="5"/>
  <c r="E16" i="6" s="1"/>
  <c r="I9" i="6" l="1"/>
  <c r="O10" i="6"/>
  <c r="I11" i="6"/>
  <c r="I12" i="6"/>
  <c r="O17" i="6"/>
  <c r="O6" i="6"/>
  <c r="I3" i="6"/>
  <c r="W3" i="6" s="1"/>
  <c r="I15" i="6"/>
  <c r="O5" i="6"/>
  <c r="O18" i="6"/>
  <c r="I4" i="6"/>
  <c r="W4" i="6" s="1"/>
  <c r="I16" i="6"/>
  <c r="W16" i="6" s="1"/>
  <c r="O8" i="6"/>
  <c r="F12" i="6"/>
  <c r="E10" i="6"/>
  <c r="E12" i="6"/>
  <c r="C12" i="6"/>
  <c r="F11" i="6"/>
  <c r="E11" i="6"/>
  <c r="D11" i="6"/>
  <c r="O8" i="5"/>
  <c r="D12" i="6"/>
  <c r="M13" i="6"/>
  <c r="N12" i="6"/>
  <c r="C11" i="6"/>
  <c r="N11" i="6"/>
  <c r="O14" i="5"/>
  <c r="E14" i="6"/>
  <c r="O12" i="5"/>
  <c r="O6" i="5"/>
  <c r="F18" i="6"/>
  <c r="F13" i="6"/>
  <c r="F7" i="6"/>
  <c r="O7" i="5"/>
  <c r="D14" i="6"/>
  <c r="E18" i="6"/>
  <c r="E13" i="6"/>
  <c r="E7" i="6"/>
  <c r="O2" i="5"/>
  <c r="O17" i="5"/>
  <c r="O11" i="5"/>
  <c r="O5" i="5"/>
  <c r="N14" i="6"/>
  <c r="D18" i="6"/>
  <c r="D13" i="6"/>
  <c r="D7" i="6"/>
  <c r="O13" i="5"/>
  <c r="C14" i="6"/>
  <c r="N18" i="6"/>
  <c r="M14" i="6"/>
  <c r="C18" i="6"/>
  <c r="C13" i="6"/>
  <c r="C7" i="6"/>
  <c r="O16" i="5"/>
  <c r="O10" i="5"/>
  <c r="O4" i="5"/>
  <c r="N7" i="6"/>
  <c r="M7" i="6"/>
  <c r="O3" i="5"/>
  <c r="D15" i="6"/>
  <c r="D9" i="6"/>
  <c r="O15" i="5"/>
  <c r="O9" i="5"/>
  <c r="J18" i="6"/>
  <c r="J17" i="6"/>
  <c r="J15" i="6"/>
  <c r="J12" i="6"/>
  <c r="J11" i="6"/>
  <c r="J10" i="6"/>
  <c r="K10" i="6" s="1"/>
  <c r="J9" i="6"/>
  <c r="J8" i="6"/>
  <c r="K8" i="6" s="1"/>
  <c r="J6" i="6"/>
  <c r="J5" i="6"/>
  <c r="O15" i="6" l="1"/>
  <c r="K15" i="6"/>
  <c r="O12" i="6"/>
  <c r="K12" i="6"/>
  <c r="L12" i="6" s="1"/>
  <c r="O11" i="6"/>
  <c r="K11" i="6"/>
  <c r="L11" i="6" s="1"/>
  <c r="O9" i="6"/>
  <c r="K9" i="6"/>
  <c r="J16" i="6"/>
  <c r="L16" i="6" s="1"/>
  <c r="P16" i="6" s="1"/>
  <c r="O4" i="6"/>
  <c r="J4" i="6"/>
  <c r="O3" i="6"/>
  <c r="I14" i="6"/>
  <c r="I13" i="6"/>
  <c r="I7" i="6"/>
  <c r="O16" i="6"/>
  <c r="L15" i="6"/>
  <c r="L5" i="6"/>
  <c r="L17" i="6"/>
  <c r="L18" i="6"/>
  <c r="L6" i="6"/>
  <c r="L9" i="6"/>
  <c r="L4" i="6"/>
  <c r="L10" i="6"/>
  <c r="L8" i="6"/>
  <c r="P8" i="6" s="1"/>
  <c r="J3" i="6"/>
  <c r="L3" i="6" s="1"/>
  <c r="Q3" i="6" s="1"/>
  <c r="Q16" i="6" l="1"/>
  <c r="J13" i="6"/>
  <c r="K13" i="6" s="1"/>
  <c r="J14" i="6"/>
  <c r="K14" i="6"/>
  <c r="W7" i="6"/>
  <c r="W1" i="6" s="1"/>
  <c r="J7" i="6"/>
  <c r="L7" i="6" s="1"/>
  <c r="P7" i="6" s="1"/>
  <c r="O7" i="6"/>
  <c r="O13" i="6"/>
  <c r="O14" i="6"/>
  <c r="Q12" i="6"/>
  <c r="P12" i="6"/>
  <c r="P9" i="6"/>
  <c r="Q9" i="6"/>
  <c r="U9" i="6" s="1"/>
  <c r="Q6" i="6"/>
  <c r="V6" i="6" s="1"/>
  <c r="P6" i="6"/>
  <c r="P4" i="6"/>
  <c r="Q4" i="6"/>
  <c r="U4" i="6" s="1"/>
  <c r="Q18" i="6"/>
  <c r="P18" i="6"/>
  <c r="P17" i="6"/>
  <c r="Q17" i="6"/>
  <c r="U17" i="6" s="1"/>
  <c r="Q11" i="6"/>
  <c r="P11" i="6"/>
  <c r="P5" i="6"/>
  <c r="Q5" i="6"/>
  <c r="V5" i="6" s="1"/>
  <c r="P10" i="6"/>
  <c r="Q10" i="6"/>
  <c r="U10" i="6" s="1"/>
  <c r="P15" i="6"/>
  <c r="Q15" i="6"/>
  <c r="V15" i="6" s="1"/>
  <c r="Q8" i="6"/>
  <c r="U8" i="6" s="1"/>
  <c r="U16" i="6"/>
  <c r="V16" i="6"/>
  <c r="V3" i="6"/>
  <c r="U3" i="6"/>
  <c r="U6" i="6"/>
  <c r="P3" i="6"/>
  <c r="Q7" i="6" l="1"/>
  <c r="U7" i="6" s="1"/>
  <c r="L14" i="6"/>
  <c r="U15" i="6"/>
  <c r="L13" i="6"/>
  <c r="U5" i="6"/>
  <c r="V17" i="6"/>
  <c r="V18" i="6"/>
  <c r="U18" i="6"/>
  <c r="V8" i="6"/>
  <c r="V10" i="6"/>
  <c r="U11" i="6"/>
  <c r="V11" i="6"/>
  <c r="V9" i="6"/>
  <c r="V4" i="6"/>
  <c r="U12" i="6"/>
  <c r="V12" i="6"/>
  <c r="V7" i="6" l="1"/>
  <c r="P13" i="6"/>
  <c r="Q13" i="6"/>
  <c r="Q14" i="6"/>
  <c r="P14" i="6"/>
  <c r="U13" i="6" l="1"/>
  <c r="V13" i="6"/>
  <c r="U14" i="6"/>
  <c r="V14" i="6"/>
  <c r="V1" i="6" l="1"/>
  <c r="U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4582E31-7468-4753-8DA5-2B8549AE90F2}" keepAlive="1" name="Запрос — РУСМАШ" description="Соединение с запросом &quot;РУСМАШ&quot; в книге." type="5" refreshedVersion="7" background="1" saveData="1">
    <dbPr connection="Provider=Microsoft.Mashup.OleDb.1;Data Source=$Workbook$;Location=РУСМАШ;Extended Properties=&quot;&quot;" command="SELECT * FROM [РУСМАШ]"/>
  </connection>
</connections>
</file>

<file path=xl/sharedStrings.xml><?xml version="1.0" encoding="utf-8"?>
<sst xmlns="http://schemas.openxmlformats.org/spreadsheetml/2006/main" count="326" uniqueCount="121">
  <si>
    <t>Ролик опорный ГРМ (ВАЗ с ДВС 21124 16-ти клап.) (2 подшипника)</t>
  </si>
  <si>
    <t>РусМаш</t>
  </si>
  <si>
    <t>Автоматический натяжитель цепи "Пилот" LADA 4x4</t>
  </si>
  <si>
    <t>"РУСМАШ" ООО г. Электросталь</t>
  </si>
  <si>
    <t>https://rusmash.org/vaz/rolik_remnya_grm/rolik_remnya_grm_vaz_2108_2110_2114_2115/</t>
  </si>
  <si>
    <t>https://rusmash.org/vaz/rolik_remnya_grm/rolik_remnya_grm_vaz_2110_2111_2112/</t>
  </si>
  <si>
    <t>https://rusmash.org/vaz/rolik_remnya_grm/rolik_remnya_grm_dlya_avtomobiley_vaz_s_dvigatelyami_vaz_21126_16v/</t>
  </si>
  <si>
    <t>https://rusmash.org/vaz/rolik_remnya_grm/rolik_remnya_grm_dlya_avtomobiley_vaz_s_dvigatelyami_vaz_21124_16v/</t>
  </si>
  <si>
    <t>добавлен</t>
  </si>
  <si>
    <t>https://rusmash.org/vaz/natyazhitel/natyazhitel_pilot2_dlya_vaz_21214/</t>
  </si>
  <si>
    <t>https://rusmash.org/vaz/natyazhitel/natyazhitel_pilot2_dlya_vaz_2101_2106/</t>
  </si>
  <si>
    <t>https://rusmash.org/vaz/natyazhitel/natyazhitel_pilot_dlya_vaz_2101_2106/</t>
  </si>
  <si>
    <t>https://rusmash.org/vaz/natyazhitel/natyazhitel_pilot_dlya_vaz_21214/</t>
  </si>
  <si>
    <t>Комплект ГРМ (однорядная цепь) (ВАЗ 2103-06, 2121 SPORT) (07-1006001)</t>
  </si>
  <si>
    <t>Автоматический натяжитель цепи "Пилот" LADA 2101-06</t>
  </si>
  <si>
    <t>https://rusmash.org/vaz/komplekt_grm/komplekt_privoda_grm_2101_2103_2106_sport/</t>
  </si>
  <si>
    <t>https://rusmash.org/vaz/komplekt_zvezd_grm/komplekt_zvezd_grm_vaz_2101_2103_2106/</t>
  </si>
  <si>
    <t>https://rusmash.org/vaz/komplekt_zvezd_grm/komplekt_zvezd_grm_21214/</t>
  </si>
  <si>
    <t>код товара 41405</t>
  </si>
  <si>
    <t>https://rusmash.org/vaz/komplekt_grm/komplekt_privoda_grm_niva_21213/</t>
  </si>
  <si>
    <t>https://rusmash.org/vaz/komplekt_grm/komplekt_grm_dlya_vaz_21214/</t>
  </si>
  <si>
    <t>код товара 35526</t>
  </si>
  <si>
    <t>код товара 20963</t>
  </si>
  <si>
    <t>https://rusmash.org/vaz/komplekt_grm/komplekt_grm_vaz_21124/</t>
  </si>
  <si>
    <t>https://rusmash.org/vaz/komplekt_grm/komplekt_grm_vaz_2108/</t>
  </si>
  <si>
    <t>https://rusmash.org/vaz/komplekt_grm/komplekt_grm_vaz_21126/</t>
  </si>
  <si>
    <t>код товара 27569</t>
  </si>
  <si>
    <t>код товара 27570</t>
  </si>
  <si>
    <t>код товара 27571</t>
  </si>
  <si>
    <t>https://rusmash.org/vaz/komplekt_grm/komplekt_privoda_grm_2101_2103_2106/</t>
  </si>
  <si>
    <t>Площадки</t>
  </si>
  <si>
    <t>Стандарт</t>
  </si>
  <si>
    <t>Ссылка</t>
  </si>
  <si>
    <t>Закуп</t>
  </si>
  <si>
    <t>РУСМАШ</t>
  </si>
  <si>
    <t>09-1006001</t>
  </si>
  <si>
    <t>21214-1006060-РМ</t>
  </si>
  <si>
    <t>2101-1006060РМ2</t>
  </si>
  <si>
    <t>21214-1006060РМ2</t>
  </si>
  <si>
    <t>21120-1006135РМ</t>
  </si>
  <si>
    <t>21126-1006135-РМ</t>
  </si>
  <si>
    <t>2108-1006120PM</t>
  </si>
  <si>
    <t>21230-1006020-РМ</t>
  </si>
  <si>
    <t>Комплект звездочек ГРМ "РУСМАШ" для Лада Нива 4х4, Шевроле Нива</t>
  </si>
  <si>
    <t>2101-1006020-РМ</t>
  </si>
  <si>
    <t>Комплект звездочек ГРМ "РУСМАШ" для ВАЗ 2101-2107</t>
  </si>
  <si>
    <t>2112-1006120-РМ1</t>
  </si>
  <si>
    <t>Натяжной ролик ГРМ "РУСМАШ" автоматический (2 подшипника) для ВАЗ 2110-2112 (ВАЗ-21124, с 16-ти клапанным двигателем)</t>
  </si>
  <si>
    <t>10-1006001K</t>
  </si>
  <si>
    <t>Ремкомплект ГРМ "РУСМАШ" для Лада Калина, Приора, Гранта (16 клапанный двигатель)</t>
  </si>
  <si>
    <t>Ремкомплект ГРМ "РУСМАШ" для ВАЗ 2108-21099, 2110-2112 (8 клапанный двигатель)</t>
  </si>
  <si>
    <t>Ремкомплект ГРМ "РУСМАШ" для ВАЗ 2110-2112 (16 клапанный двигатель)</t>
  </si>
  <si>
    <t>11-1006001-NIVA</t>
  </si>
  <si>
    <t>Комплект деталей для ремонта привода ГРМ "Русмаш" Пилот для двигателей ВАЗ 21213</t>
  </si>
  <si>
    <t>Под заказ</t>
  </si>
  <si>
    <t>6</t>
  </si>
  <si>
    <t>1</t>
  </si>
  <si>
    <t>Розница</t>
  </si>
  <si>
    <t>Поставщик</t>
  </si>
  <si>
    <t>Арт. поставщика</t>
  </si>
  <si>
    <t>Наименование</t>
  </si>
  <si>
    <t>ID</t>
  </si>
  <si>
    <t>Ст З</t>
  </si>
  <si>
    <t>Ст Р</t>
  </si>
  <si>
    <t>Рек</t>
  </si>
  <si>
    <t>Факт</t>
  </si>
  <si>
    <t>2110-100604086PM</t>
  </si>
  <si>
    <t>21080-100604086PM</t>
  </si>
  <si>
    <t>21126-100604086PM</t>
  </si>
  <si>
    <t>10-1006001</t>
  </si>
  <si>
    <t>2101-1006060РМ</t>
  </si>
  <si>
    <t>https://motorring.ru/product/37168-remkomplekt-privoda-grm-rusmash-21126-16v-kalina</t>
  </si>
  <si>
    <t>https://motorring.ru/product/37176-remkomplekt-privoda-grm-rusmash-2108-8v-vaz-2109</t>
  </si>
  <si>
    <t>https://motorring.ru/product/37177-remkomplekt-privoda-grm-rusmash-21124-16v-vaz-2110</t>
  </si>
  <si>
    <t>https://motorring.ru/product/37166-remkomplekt-privoda-grm-rusmash-classic-vaz-2106-2121</t>
  </si>
  <si>
    <t>https://motorring.ru/product/37165-remkomplekt-privoda-grm-rusmash-21214-chevrole-niva</t>
  </si>
  <si>
    <t>https://motorring.ru/product/24709-komplekt-detaley-dlya-remonta-privoda-grm-rusmash-dlya</t>
  </si>
  <si>
    <t>https://motorring.ru/product/2673-avtomaticheskiy-natyaghitely-cepi-pilot-vaz-2101-2107-2121</t>
  </si>
  <si>
    <t>https://motorring.ru/product/2674-avtomaticheskiy-natyaghitely-cepi-pilot-vaz-21213-21214</t>
  </si>
  <si>
    <t>Кат. Номер</t>
  </si>
  <si>
    <t>Разн</t>
  </si>
  <si>
    <t>Код</t>
  </si>
  <si>
    <t>Наименование элемента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</si>
  <si>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</si>
  <si>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</si>
  <si>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</si>
  <si>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</si>
  <si>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</si>
  <si>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</si>
  <si>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Автоматический натяжитель цепи "РУСМАШ" Пилот для ВАЗ 2101-2107</t>
  </si>
  <si>
    <t>Y</t>
  </si>
  <si>
    <t>Автоматический натяжитель цепи "РУСМАШ" Пилот для Лада Нива 4х4</t>
  </si>
  <si>
    <t>Автоматический натяжитель цепи "РУСМАШ" Пилот2 для ВАЗ 2101-2107</t>
  </si>
  <si>
    <t>Автоматический натяжитель цепи "РУСМАШ" Пилот2 для Лада Нива 4х4</t>
  </si>
  <si>
    <t>Комплект деталей для ремонта привода ГРМ "РУСМАШ" Classic для ВАЗ 2101-2107 (двигатели ВАЗ 2103 / 2104 / 2106 / 21067)</t>
  </si>
  <si>
    <t>Комплект привода ГРМ "Русмаш" 21214, 2123 для Лада Нива 4x4, Шевроле Нива</t>
  </si>
  <si>
    <t>Ролик натяжной "РУСМАШ" ремня ГРМ (автоматический) для ВАЗ 2108-21099, 2110-2112, 2113-2115</t>
  </si>
  <si>
    <t>Из ГУГЛа</t>
  </si>
  <si>
    <t>Коэф.</t>
  </si>
  <si>
    <t>Доп.</t>
  </si>
  <si>
    <t>%</t>
  </si>
  <si>
    <t>MR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</si>
  <si>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</si>
  <si>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</si>
  <si>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</si>
  <si>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</si>
  <si>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</si>
  <si>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</si>
  <si>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</si>
  <si>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</si>
  <si>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https://docs.google.com/spreadsheets/d/1f8_y-lcqVEuKpceVw_F97NEKzue5YmQtx8GIXUS_2B8/export?format=xlsx</t>
  </si>
  <si>
    <t>//*[@id="e-curr-price"]/text()</t>
  </si>
  <si>
    <t>//*[@class="p_club_price pb5"]/text()</t>
  </si>
  <si>
    <t>Цена</t>
  </si>
  <si>
    <t/>
  </si>
  <si>
    <t>Ролик ремня ГРМ "РУСМАШ" опорный для ВАЗ 2110-2112, 2114</t>
  </si>
  <si>
    <t>Ролик ремня ГРМ "РУСМАШ" опорный для ВАЗ 2114, Лада (Калина, Калина 2, Приора, Гранта)</t>
  </si>
  <si>
    <t>РЦ</t>
  </si>
  <si>
    <t>СВОД</t>
  </si>
  <si>
    <t>Данные</t>
  </si>
  <si>
    <t>Переменные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</si>
</sst>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b/>
      <sz val="15"/>
      <color theme="3"/>
      <name val="Calibri"/>
      <family val="2"/>
      <charset val="204"/>
    </font>
    <font>
      <b/>
      <sz val="13"/>
      <color theme="3"/>
      <name val="Calibri"/>
      <family val="2"/>
      <charset val="204"/>
    </font>
    <font>
      <b/>
      <sz val="11"/>
      <color theme="3"/>
      <name val="Calibri"/>
      <family val="2"/>
      <charset val="204"/>
    </font>
    <font>
      <sz val="10"/>
      <color theme="0"/>
      <name val="Calibri"/>
      <family val="2"/>
      <charset val="204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name val="Calibri"/>
      <family val="2"/>
      <charset val="204"/>
    </font>
    <font>
      <sz val="10"/>
      <color rgb="FF9C0006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16">
    <xf numFmtId="0" fontId="0" fillId="0" borderId="0"/>
    <xf numFmtId="0" fontId="1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2" fillId="9" borderId="6" applyNumberFormat="0" applyFont="0" applyBorder="0" applyAlignment="0" applyProtection="0"/>
    <xf numFmtId="0" fontId="13" fillId="3" borderId="7" applyNumberFormat="0" applyFont="0" applyBorder="0" applyAlignment="0" applyProtection="0"/>
    <xf numFmtId="0" fontId="14" fillId="10" borderId="8" applyNumberFormat="0" applyFont="0" applyBorder="0" applyAlignment="0" applyProtection="0"/>
    <xf numFmtId="0" fontId="16" fillId="0" borderId="9" applyNumberFormat="0" applyAlignment="0" applyProtection="0"/>
    <xf numFmtId="0" fontId="17" fillId="0" borderId="10" applyNumberFormat="0" applyAlignment="0" applyProtection="0"/>
    <xf numFmtId="0" fontId="18" fillId="0" borderId="11" applyNumberFormat="0" applyAlignment="0" applyProtection="0"/>
    <xf numFmtId="0" fontId="16" fillId="6" borderId="12" applyNumberFormat="0" applyProtection="0">
      <alignment horizontal="center" vertical="center"/>
    </xf>
    <xf numFmtId="0" fontId="15" fillId="7" borderId="13" applyNumberFormat="0" applyAlignment="0" applyProtection="0"/>
    <xf numFmtId="0" fontId="19" fillId="8" borderId="0" applyNumberFormat="0" applyBorder="0" applyAlignment="0" applyProtection="0"/>
    <xf numFmtId="0" fontId="20" fillId="11" borderId="0" applyNumberFormat="0" applyBorder="0" applyAlignment="0" applyProtection="0"/>
  </cellStyleXfs>
  <cellXfs count="60">
    <xf numFmtId="0" fontId="0" fillId="0" borderId="0" xfId="0"/>
    <xf numFmtId="0" fontId="1" fillId="0" borderId="0" xfId="1"/>
    <xf numFmtId="0" fontId="2" fillId="0" borderId="1" xfId="2" applyFont="1" applyBorder="1" applyAlignment="1">
      <alignment horizontal="left" vertical="center" wrapText="1"/>
    </xf>
    <xf numFmtId="1" fontId="2" fillId="0" borderId="1" xfId="2" applyNumberFormat="1" applyFont="1" applyBorder="1" applyAlignment="1">
      <alignment horizontal="left" vertical="center" wrapText="1"/>
    </xf>
    <xf numFmtId="44" fontId="3" fillId="0" borderId="1" xfId="3" applyFont="1" applyBorder="1" applyAlignment="1">
      <alignment horizontal="left" vertical="center" wrapText="1"/>
    </xf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/>
    <xf numFmtId="0" fontId="0" fillId="0" borderId="1" xfId="0" applyBorder="1"/>
    <xf numFmtId="0" fontId="2" fillId="0" borderId="1" xfId="2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11" fillId="0" borderId="2" xfId="0" applyFont="1" applyBorder="1" applyAlignment="1">
      <alignment wrapText="1"/>
    </xf>
    <xf numFmtId="0" fontId="11" fillId="0" borderId="3" xfId="0" applyFont="1" applyBorder="1" applyAlignment="1">
      <alignment horizontal="right" wrapText="1"/>
    </xf>
    <xf numFmtId="0" fontId="11" fillId="0" borderId="4" xfId="0" applyFont="1" applyBorder="1" applyAlignment="1">
      <alignment wrapText="1"/>
    </xf>
    <xf numFmtId="0" fontId="11" fillId="0" borderId="5" xfId="0" applyFont="1" applyBorder="1" applyAlignment="1">
      <alignment horizontal="right" wrapText="1"/>
    </xf>
    <xf numFmtId="9" fontId="5" fillId="0" borderId="0" xfId="5" applyFont="1" applyAlignment="1">
      <alignment horizontal="left" vertical="top" wrapText="1"/>
    </xf>
    <xf numFmtId="0" fontId="0" fillId="4" borderId="1" xfId="0" applyFill="1" applyBorder="1"/>
    <xf numFmtId="0" fontId="7" fillId="12" borderId="1" xfId="0" applyFont="1" applyFill="1" applyBorder="1" applyAlignment="1">
      <alignment horizontal="left" vertical="top" wrapText="1"/>
    </xf>
    <xf numFmtId="0" fontId="0" fillId="0" borderId="1" xfId="0" applyBorder="1" applyAlignment="1">
      <alignment wrapText="1"/>
    </xf>
    <xf numFmtId="1" fontId="0" fillId="0" borderId="0" xfId="0" applyNumberFormat="1"/>
    <xf numFmtId="1" fontId="7" fillId="13" borderId="1" xfId="0" applyNumberFormat="1" applyFont="1" applyFill="1" applyBorder="1" applyAlignment="1">
      <alignment horizontal="left" vertical="top" wrapText="1"/>
    </xf>
    <xf numFmtId="9" fontId="0" fillId="3" borderId="1" xfId="0" applyNumberFormat="1" applyFill="1" applyBorder="1"/>
    <xf numFmtId="2" fontId="0" fillId="3" borderId="0" xfId="0" applyNumberFormat="1" applyFill="1"/>
    <xf numFmtId="9" fontId="7" fillId="14" borderId="1" xfId="5" applyFont="1" applyFill="1" applyBorder="1" applyAlignment="1">
      <alignment horizontal="left" vertical="top" wrapText="1"/>
    </xf>
    <xf numFmtId="9" fontId="21" fillId="14" borderId="1" xfId="0" applyNumberFormat="1" applyFont="1" applyFill="1" applyBorder="1" applyAlignment="1">
      <alignment horizontal="left" vertical="center"/>
    </xf>
    <xf numFmtId="0" fontId="22" fillId="0" borderId="1" xfId="0" applyFont="1" applyBorder="1" applyAlignment="1">
      <alignment horizontal="center" vertical="center" wrapText="1"/>
    </xf>
    <xf numFmtId="2" fontId="22" fillId="0" borderId="1" xfId="0" applyNumberFormat="1" applyFont="1" applyBorder="1" applyAlignment="1">
      <alignment horizontal="center" vertical="center" wrapText="1"/>
    </xf>
    <xf numFmtId="1" fontId="7" fillId="14" borderId="1" xfId="5" applyNumberFormat="1" applyFont="1" applyFill="1" applyBorder="1" applyAlignment="1">
      <alignment horizontal="left" vertical="top" wrapText="1"/>
    </xf>
    <xf numFmtId="0" fontId="21" fillId="14" borderId="1" xfId="0" applyFont="1" applyFill="1" applyBorder="1" applyAlignment="1">
      <alignment horizontal="left" vertical="center"/>
    </xf>
    <xf numFmtId="9" fontId="9" fillId="0" borderId="1" xfId="5" applyFont="1" applyBorder="1" applyAlignment="1">
      <alignment wrapText="1"/>
    </xf>
    <xf numFmtId="0" fontId="0" fillId="0" borderId="1" xfId="0" applyBorder="1" applyAlignment="1">
      <alignment horizontal="center" vertical="center"/>
    </xf>
    <xf numFmtId="1" fontId="0" fillId="14" borderId="1" xfId="0" applyNumberFormat="1" applyFill="1" applyBorder="1" applyAlignment="1">
      <alignment horizontal="left"/>
    </xf>
    <xf numFmtId="1" fontId="0" fillId="5" borderId="1" xfId="0" applyNumberFormat="1" applyFill="1" applyBorder="1" applyAlignment="1">
      <alignment horizontal="left"/>
    </xf>
    <xf numFmtId="1" fontId="0" fillId="15" borderId="1" xfId="0" applyNumberFormat="1" applyFill="1" applyBorder="1" applyAlignment="1">
      <alignment horizontal="left"/>
    </xf>
    <xf numFmtId="1" fontId="0" fillId="16" borderId="1" xfId="0" applyNumberFormat="1" applyFill="1" applyBorder="1" applyAlignment="1">
      <alignment horizontal="left"/>
    </xf>
    <xf numFmtId="1" fontId="0" fillId="17" borderId="1" xfId="0" applyNumberFormat="1" applyFill="1" applyBorder="1" applyAlignment="1">
      <alignment horizontal="left"/>
    </xf>
    <xf numFmtId="1" fontId="23" fillId="10" borderId="1" xfId="0" applyNumberFormat="1" applyFont="1" applyFill="1" applyBorder="1" applyAlignment="1">
      <alignment horizontal="left" vertical="center"/>
    </xf>
    <xf numFmtId="2" fontId="9" fillId="0" borderId="0" xfId="0" applyNumberFormat="1" applyFont="1" applyAlignment="1">
      <alignment horizontal="left" vertical="top" wrapText="1"/>
    </xf>
    <xf numFmtId="2" fontId="8" fillId="0" borderId="1" xfId="0" applyNumberFormat="1" applyFont="1" applyBorder="1" applyAlignment="1">
      <alignment horizontal="left" vertical="top" wrapText="1"/>
    </xf>
    <xf numFmtId="2" fontId="6" fillId="0" borderId="1" xfId="0" applyNumberFormat="1" applyFont="1" applyBorder="1" applyAlignment="1">
      <alignment horizontal="left" vertical="top" wrapText="1"/>
    </xf>
    <xf numFmtId="1" fontId="9" fillId="0" borderId="0" xfId="0" applyNumberFormat="1" applyFont="1" applyAlignment="1">
      <alignment horizontal="left" vertical="top" wrapText="1"/>
    </xf>
    <xf numFmtId="1" fontId="5" fillId="0" borderId="0" xfId="0" applyNumberFormat="1" applyFont="1" applyAlignment="1">
      <alignment horizontal="left" vertical="top" wrapText="1"/>
    </xf>
    <xf numFmtId="1" fontId="8" fillId="0" borderId="1" xfId="0" applyNumberFormat="1" applyFont="1" applyBorder="1" applyAlignment="1">
      <alignment horizontal="left" vertical="top" wrapText="1"/>
    </xf>
    <xf numFmtId="1" fontId="6" fillId="0" borderId="1" xfId="0" applyNumberFormat="1" applyFont="1" applyBorder="1" applyAlignment="1">
      <alignment horizontal="left" vertical="top" wrapText="1"/>
    </xf>
    <xf numFmtId="1" fontId="0" fillId="3" borderId="1" xfId="0" applyNumberFormat="1" applyFill="1" applyBorder="1" applyAlignment="1">
      <alignment horizontal="left" vertical="top" wrapText="1"/>
    </xf>
    <xf numFmtId="1" fontId="23" fillId="18" borderId="1" xfId="0" applyNumberFormat="1" applyFont="1" applyFill="1" applyBorder="1" applyAlignment="1">
      <alignment horizontal="left" vertical="center"/>
    </xf>
    <xf numFmtId="1" fontId="20" fillId="11" borderId="1" xfId="15" applyNumberFormat="1" applyBorder="1" applyAlignment="1">
      <alignment horizontal="left" vertical="top" wrapText="1"/>
    </xf>
    <xf numFmtId="1" fontId="10" fillId="3" borderId="1" xfId="0" applyNumberFormat="1" applyFont="1" applyFill="1" applyBorder="1" applyAlignment="1">
      <alignment horizontal="left" vertical="top" wrapText="1"/>
    </xf>
    <xf numFmtId="2" fontId="11" fillId="0" borderId="3" xfId="0" applyNumberFormat="1" applyFont="1" applyBorder="1" applyAlignment="1">
      <alignment horizontal="right" wrapText="1"/>
    </xf>
    <xf numFmtId="2" fontId="11" fillId="0" borderId="5" xfId="0" applyNumberFormat="1" applyFont="1" applyBorder="1" applyAlignment="1">
      <alignment horizontal="right" wrapText="1"/>
    </xf>
    <xf numFmtId="1" fontId="21" fillId="14" borderId="1" xfId="0" applyNumberFormat="1" applyFont="1" applyFill="1" applyBorder="1" applyAlignment="1">
      <alignment horizontal="left" vertical="center"/>
    </xf>
    <xf numFmtId="0" fontId="7" fillId="0" borderId="1" xfId="0" applyFont="1" applyBorder="1" applyAlignment="1" applyProtection="1">
      <alignment horizontal="left" vertical="top" wrapText="1"/>
    </xf>
    <xf numFmtId="1" fontId="0" fillId="0" borderId="1" xfId="0" applyNumberFormat="1" applyBorder="1" applyAlignment="1" applyProtection="1">
      <alignment horizontal="left" vertical="top" wrapText="1"/>
    </xf>
    <xf numFmtId="0" fontId="0" fillId="0" borderId="1" xfId="0" applyBorder="1" applyAlignment="1" applyProtection="1">
      <alignment horizontal="left" vertical="top" wrapText="1"/>
    </xf>
    <xf numFmtId="1" fontId="7" fillId="3" borderId="1" xfId="0" applyNumberFormat="1" applyFont="1" applyFill="1" applyBorder="1" applyAlignment="1" applyProtection="1">
      <alignment horizontal="left" vertical="top" wrapText="1"/>
    </xf>
  </cellXfs>
  <cellStyles count="16">
    <cellStyle name="Акцент1" xfId="9" builtinId="29" customBuiltin="1"/>
    <cellStyle name="Акцент2" xfId="10" builtinId="33" customBuiltin="1"/>
    <cellStyle name="Акцент3" xfId="11" builtinId="37" customBuiltin="1"/>
    <cellStyle name="Акцент4" xfId="12" builtinId="41" customBuiltin="1"/>
    <cellStyle name="Акцент5" xfId="13" builtinId="45" customBuiltin="1"/>
    <cellStyle name="Акцент6" xfId="14" builtinId="49" customBuiltin="1"/>
    <cellStyle name="Гиперссылка" xfId="1" builtinId="8"/>
    <cellStyle name="Денежный 2" xfId="3" xr:uid="{D05FB7CB-CD03-4158-A3D7-ADAAC0CCFA66}"/>
    <cellStyle name="Заголовок 1" xfId="6" builtinId="16" customBuiltin="1"/>
    <cellStyle name="Заголовок 2" xfId="7" builtinId="17" customBuiltin="1"/>
    <cellStyle name="Заголовок 3" xfId="8" builtinId="18" customBuiltin="1"/>
    <cellStyle name="Обычный" xfId="0" builtinId="0"/>
    <cellStyle name="Обычный 2" xfId="2" xr:uid="{86F6BDDD-E433-44AA-B582-94D4FC534C44}"/>
    <cellStyle name="Плохой" xfId="15" builtinId="27"/>
    <cellStyle name="Процентный" xfId="5" builtinId="5"/>
    <cellStyle name="Финансовый 2" xfId="4" xr:uid="{A9F3EB15-71C2-4ECF-8CCD-A3A5D27D263A}"/>
  </cellStyles>
  <dxfs count="7"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</xdr:row>
          <xdr:rowOff>180975</xdr:rowOff>
        </xdr:from>
        <xdr:to>
          <xdr:col>11</xdr:col>
          <xdr:colOff>590550</xdr:colOff>
          <xdr:row>8</xdr:row>
          <xdr:rowOff>76200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D49981D-109D-4D5C-8B31-984C698FD8DA}" autoFormatId="16" applyNumberFormats="0" applyBorderFormats="0" applyFontFormats="0" applyPatternFormats="0" applyAlignmentFormats="0" applyWidthHeightFormats="0">
  <queryTableRefresh nextId="9">
    <queryTableFields count="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F7F345-7ADE-438E-B306-FDB5F6DDA6FC}" name="РУСМАШ" displayName="РУСМАШ" ref="A1:H7099" tableType="queryTable" totalsRowShown="0">
  <autoFilter ref="A1:H7099" xr:uid="{B2F7F345-7ADE-438E-B306-FDB5F6DDA6FC}"/>
  <tableColumns count="8">
    <tableColumn id="1" xr3:uid="{E273500F-530F-4B32-B001-43D0B54E806A}" uniqueName="1" name="Column1" queryTableFieldId="1"/>
    <tableColumn id="2" xr3:uid="{2824FE04-53EE-4A81-B7D4-9EB24183B7C6}" uniqueName="2" name="Column2" queryTableFieldId="2"/>
    <tableColumn id="3" xr3:uid="{051EDDE2-6624-4634-87EB-95543C810FBC}" uniqueName="3" name="Column3" queryTableFieldId="3"/>
    <tableColumn id="4" xr3:uid="{CC1D25E8-9699-4AF7-ACE2-EBD748EFE880}" uniqueName="4" name="Column4" queryTableFieldId="4"/>
    <tableColumn id="5" xr3:uid="{6812A3A7-DEAA-4DA0-A5EB-114BA7F821AF}" uniqueName="5" name="Column5" queryTableFieldId="5"/>
    <tableColumn id="6" xr3:uid="{04BB15A2-1E16-4259-B57A-8367CEE93AFE}" uniqueName="6" name="Column6" queryTableFieldId="6"/>
    <tableColumn id="7" xr3:uid="{5E03ABD6-E6E0-48D2-A94E-01D03FDA955C}" uniqueName="7" name="Column7" queryTableFieldId="7"/>
    <tableColumn id="8" xr3:uid="{F4C87ACA-40D7-46C0-A9E6-E9840E274613}" uniqueName="8" name="Column8" queryTableField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rusmash.org/vaz/natyazhitel/natyazhitel_pilot2_dlya_vaz_2101_2106/" TargetMode="External"/><Relationship Id="rId13" Type="http://schemas.openxmlformats.org/officeDocument/2006/relationships/hyperlink" Target="https://timeturbo.ru/catalog/dvigatel/remen-grm/privod-grm/komplekt-detaley-dlya-remonta-privoda-grm-pilot-dlya-dvigateley-vaz-21213/" TargetMode="External"/><Relationship Id="rId18" Type="http://schemas.openxmlformats.org/officeDocument/2006/relationships/hyperlink" Target="https://rusmash.org/vaz/komplekt_grm/komplekt_privoda_grm_2101_2103_2106/" TargetMode="External"/><Relationship Id="rId3" Type="http://schemas.openxmlformats.org/officeDocument/2006/relationships/hyperlink" Target="https://rusmash.org/vaz/rolik_remnya_grm/rolik_remnya_grm_dlya_avtomobiley_vaz_s_dvigatelyami_vaz_21126_16v/" TargetMode="External"/><Relationship Id="rId21" Type="http://schemas.openxmlformats.org/officeDocument/2006/relationships/hyperlink" Target="https://rusmash.org/vaz/komplekt_grm/komplekt_grm_vaz_21124/" TargetMode="External"/><Relationship Id="rId7" Type="http://schemas.openxmlformats.org/officeDocument/2006/relationships/hyperlink" Target="https://rusmash.org/vaz/natyazhitel/natyazhitel_pilot2_dlya_vaz_21214/" TargetMode="External"/><Relationship Id="rId12" Type="http://schemas.openxmlformats.org/officeDocument/2006/relationships/hyperlink" Target="https://timeturbo.ru/catalog/dvigatel/remen-grm/natyazhnye-roliki-grm/natyazhnye-roliki-grm-standart/natyazhnoy-rolik-grm-rusmash-avtomaticheskiy-2-podshipnika-dlya-vaz-2110-2112-16-klapannyy/" TargetMode="External"/><Relationship Id="rId17" Type="http://schemas.openxmlformats.org/officeDocument/2006/relationships/hyperlink" Target="https://timeturbo.ru/catalog/dvigatel/remen-grm/komplekty-grm/komplekty-grm-rusmash/remkomplekt-grm-rusmash-dlya-lada-kalina-priora-granta-bez-konditsionera-i-gur-16-klapannyy-dvigatel/" TargetMode="External"/><Relationship Id="rId2" Type="http://schemas.openxmlformats.org/officeDocument/2006/relationships/hyperlink" Target="https://rusmash.org/vaz/rolik_remnya_grm/rolik_remnya_grm_vaz_2110_2111_2112/" TargetMode="External"/><Relationship Id="rId16" Type="http://schemas.openxmlformats.org/officeDocument/2006/relationships/hyperlink" Target="https://timeturbo.ru/catalog/dvigatel/remen-grm/komplekty-grm/komplekty-grm-rusmash/remkomplekt-grm-rusmash-dlya-vaz-2108-21099-2110-2112-8-klapannyy-dvigatel/" TargetMode="External"/><Relationship Id="rId20" Type="http://schemas.openxmlformats.org/officeDocument/2006/relationships/hyperlink" Target="https://rusmash.org/vaz/komplekt_grm/komplekt_grm_dlya_vaz_21214/" TargetMode="External"/><Relationship Id="rId1" Type="http://schemas.openxmlformats.org/officeDocument/2006/relationships/hyperlink" Target="https://rusmash.org/vaz/rolik_remnya_grm/rolik_remnya_grm_vaz_2108_2110_2114_2115/" TargetMode="External"/><Relationship Id="rId6" Type="http://schemas.openxmlformats.org/officeDocument/2006/relationships/hyperlink" Target="https://rusmash.org/vaz/komplekt_zvezd_grm/komplekt_zvezd_grm_21214/" TargetMode="External"/><Relationship Id="rId11" Type="http://schemas.openxmlformats.org/officeDocument/2006/relationships/hyperlink" Target="https://rusmash.org/vaz/komplekt_grm/komplekt_privoda_grm_2101_2103_2106_sport/" TargetMode="External"/><Relationship Id="rId5" Type="http://schemas.openxmlformats.org/officeDocument/2006/relationships/hyperlink" Target="https://rusmash.org/vaz/komplekt_zvezd_grm/komplekt_zvezd_grm_vaz_2101_2103_2106/" TargetMode="External"/><Relationship Id="rId15" Type="http://schemas.openxmlformats.org/officeDocument/2006/relationships/hyperlink" Target="https://timeturbo.ru/catalog/dvigatel/remen-grm/komplekty-grm/komplekty-grm-rusmash/remkomplekt-grm-rusmash-dlya-vaz-2110-2112-bez-konditsionera-i-gur-16-klapannyy-dvigatel/" TargetMode="External"/><Relationship Id="rId23" Type="http://schemas.openxmlformats.org/officeDocument/2006/relationships/hyperlink" Target="https://rusmash.org/vaz/komplekt_grm/komplekt_grm_vaz_21126/" TargetMode="External"/><Relationship Id="rId10" Type="http://schemas.openxmlformats.org/officeDocument/2006/relationships/hyperlink" Target="https://rusmash.org/vaz/natyazhitel/natyazhitel_pilot_dlya_vaz_21214/" TargetMode="External"/><Relationship Id="rId19" Type="http://schemas.openxmlformats.org/officeDocument/2006/relationships/hyperlink" Target="https://rusmash.org/vaz/komplekt_grm/komplekt_privoda_grm_niva_21213/" TargetMode="External"/><Relationship Id="rId4" Type="http://schemas.openxmlformats.org/officeDocument/2006/relationships/hyperlink" Target="https://rusmash.org/vaz/rolik_remnya_grm/rolik_remnya_grm_dlya_avtomobiley_vaz_s_dvigatelyami_vaz_21124_16v/" TargetMode="External"/><Relationship Id="rId9" Type="http://schemas.openxmlformats.org/officeDocument/2006/relationships/hyperlink" Target="https://rusmash.org/vaz/natyazhitel/natyazhitel_pilot_dlya_vaz_2101_2106/" TargetMode="External"/><Relationship Id="rId14" Type="http://schemas.openxmlformats.org/officeDocument/2006/relationships/hyperlink" Target="https://timeturbo.ru/catalog/dvigatel/remen-grm/privod-grm/komplekt-privoda-grm-rusmash-21214-s-tsepyu-akmash-dlya-lada-niva-4x4/" TargetMode="External"/><Relationship Id="rId22" Type="http://schemas.openxmlformats.org/officeDocument/2006/relationships/hyperlink" Target="https://rusmash.org/vaz/komplekt_grm/komplekt_grm_vaz_2108/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rusmash.org/vaz/natyazhitel/natyazhitel_pilot_dlya_vaz_2101_2106/" TargetMode="External"/><Relationship Id="rId3" Type="http://schemas.openxmlformats.org/officeDocument/2006/relationships/hyperlink" Target="https://rusmash.org/vaz/komplekt_zvezd_grm/komplekt_zvezd_grm_21214/" TargetMode="External"/><Relationship Id="rId7" Type="http://schemas.openxmlformats.org/officeDocument/2006/relationships/hyperlink" Target="https://rusmash.org/vaz/natyazhitel/natyazhitel_pilot2_dlya_vaz_2101_2106/" TargetMode="External"/><Relationship Id="rId2" Type="http://schemas.openxmlformats.org/officeDocument/2006/relationships/hyperlink" Target="https://rusmash.org/vaz/komplekt_zvezd_grm/komplekt_zvezd_grm_vaz_2101_2103_2106/" TargetMode="External"/><Relationship Id="rId1" Type="http://schemas.openxmlformats.org/officeDocument/2006/relationships/hyperlink" Target="https://rusmash.org/vaz/rolik_remnya_grm/rolik_remnya_grm_vaz_2108_2110_2114_2115/" TargetMode="External"/><Relationship Id="rId6" Type="http://schemas.openxmlformats.org/officeDocument/2006/relationships/hyperlink" Target="https://rusmash.org/vaz/natyazhitel/natyazhitel_pilot2_dlya_vaz_21214/" TargetMode="External"/><Relationship Id="rId11" Type="http://schemas.openxmlformats.org/officeDocument/2006/relationships/hyperlink" Target="https://rusmash.org/vaz/komplekt_grm/komplekt_privoda_grm_2101_2103_2106/" TargetMode="External"/><Relationship Id="rId5" Type="http://schemas.openxmlformats.org/officeDocument/2006/relationships/hyperlink" Target="https://rusmash.org/vaz/rolik_remnya_grm/rolik_remnya_grm_dlya_avtomobiley_vaz_s_dvigatelyami_vaz_21124_16v/" TargetMode="External"/><Relationship Id="rId10" Type="http://schemas.openxmlformats.org/officeDocument/2006/relationships/hyperlink" Target="https://rusmash.org/vaz/komplekt_grm/komplekt_privoda_grm_2101_2103_2106_sport/" TargetMode="External"/><Relationship Id="rId4" Type="http://schemas.openxmlformats.org/officeDocument/2006/relationships/hyperlink" Target="https://rusmash.org/vaz/rolik_remnya_grm/rolik_remnya_grm_dlya_avtomobiley_vaz_s_dvigatelyami_vaz_21126_16v/" TargetMode="External"/><Relationship Id="rId9" Type="http://schemas.openxmlformats.org/officeDocument/2006/relationships/hyperlink" Target="https://rusmash.org/vaz/natyazhitel/natyazhitel_pilot_dlya_vaz_21214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8C0719-52E6-4931-8A94-A4685A5C97F6}">
  <sheetPr codeName="Лист3">
    <outlinePr summaryBelow="0"/>
  </sheetPr>
  <dimension ref="A1:Y30"/>
  <sheetViews>
    <sheetView showRuler="0" zoomScaleNormal="100" workbookViewId="0">
      <pane ySplit="2" topLeftCell="A3" activePane="bottomLeft" state="frozen"/>
      <selection pane="bottomLeft" activeCell="F6" sqref="F6"/>
    </sheetView>
  </sheetViews>
  <sheetFormatPr defaultRowHeight="15" x14ac:dyDescent="0.25"/>
  <cols>
    <col min="1" max="1" width="7" style="11" bestFit="1" customWidth="1"/>
    <col min="2" max="2" width="7" style="11" customWidth="1"/>
    <col min="3" max="3" width="33.28515625" style="11" customWidth="1"/>
    <col min="4" max="4" width="2" style="11" bestFit="1" customWidth="1"/>
    <col min="5" max="5" width="4.85546875" style="11" bestFit="1" customWidth="1"/>
    <col min="6" max="7" width="18.85546875" style="11" bestFit="1" customWidth="1"/>
    <col min="8" max="8" width="9.28515625" style="11" bestFit="1" customWidth="1"/>
    <col min="9" max="9" width="6" style="46" customWidth="1"/>
    <col min="10" max="10" width="4.5703125" style="42" bestFit="1" customWidth="1"/>
    <col min="11" max="11" width="5" style="45" bestFit="1" customWidth="1"/>
    <col min="12" max="12" width="5.85546875" style="46" bestFit="1" customWidth="1"/>
    <col min="13" max="13" width="6.7109375" style="11" bestFit="1" customWidth="1"/>
    <col min="14" max="14" width="6.85546875" style="11" bestFit="1" customWidth="1"/>
    <col min="15" max="16" width="7.42578125" style="11" bestFit="1" customWidth="1"/>
    <col min="17" max="17" width="5.85546875" style="11" bestFit="1" customWidth="1"/>
    <col min="18" max="18" width="11.140625" style="46" bestFit="1" customWidth="1"/>
    <col min="19" max="19" width="8.42578125" style="11" bestFit="1" customWidth="1"/>
    <col min="20" max="20" width="7.5703125" style="11" bestFit="1" customWidth="1"/>
    <col min="21" max="21" width="9.28515625" style="11" bestFit="1" customWidth="1"/>
    <col min="22" max="22" width="6.85546875" style="11" bestFit="1" customWidth="1"/>
    <col min="23" max="23" width="8.42578125" style="11" bestFit="1" customWidth="1"/>
    <col min="24" max="24" width="8.140625" style="11" bestFit="1" customWidth="1"/>
    <col min="25" max="25" width="11.85546875" customWidth="1"/>
    <col min="26" max="16384" width="9.140625" style="11"/>
  </cols>
  <sheetData>
    <row r="1" spans="1:25" x14ac:dyDescent="0.25">
      <c r="B1" s="5">
        <v>2</v>
      </c>
      <c r="C1" s="5">
        <v>3</v>
      </c>
      <c r="D1">
        <v>4</v>
      </c>
      <c r="E1">
        <v>14</v>
      </c>
      <c r="F1">
        <v>5</v>
      </c>
      <c r="H1" s="20">
        <f>COUNT(X:X)/COUNT(A:A)</f>
        <v>0.5</v>
      </c>
      <c r="I1" s="51">
        <f>M1</f>
        <v>8</v>
      </c>
      <c r="M1">
        <v>8</v>
      </c>
      <c r="N1">
        <v>9</v>
      </c>
      <c r="O1" s="24"/>
      <c r="P1" s="24"/>
      <c r="Q1"/>
      <c r="R1" s="24"/>
      <c r="S1"/>
      <c r="T1"/>
      <c r="U1" s="26" t="str">
        <f>_xlfn.CONCAT(ROUND(MIN(U3:U9000)*100,0),"-",ROUND(MAX(U3:U9000)*100,0),"%")</f>
        <v>27-90%</v>
      </c>
      <c r="V1" s="26" t="str">
        <f>_xlfn.CONCAT(ROUND(SUBTOTAL(5,V3:V9000)*100,0)," - ",ROUND(SUBTOTAL(4,V3:V9000)*100,0),"%")</f>
        <v>2 - 3%</v>
      </c>
      <c r="W1" s="26" t="str">
        <f>_xlfn.CONCAT(ROUND(SUBTOTAL(5,W3:W90000)*100,0)," - ",ROUND(SUBTOTAL(4,W3:W90000)*100,0),"%")</f>
        <v>31 - 94%</v>
      </c>
      <c r="X1" s="27"/>
    </row>
    <row r="2" spans="1:25" s="15" customFormat="1" ht="30" x14ac:dyDescent="0.25">
      <c r="A2" s="14" t="s">
        <v>61</v>
      </c>
      <c r="B2" s="22" t="s">
        <v>81</v>
      </c>
      <c r="C2" s="22" t="s">
        <v>60</v>
      </c>
      <c r="D2" s="22"/>
      <c r="E2" s="22"/>
      <c r="F2" s="22" t="s">
        <v>79</v>
      </c>
      <c r="G2" s="14" t="s">
        <v>59</v>
      </c>
      <c r="H2" s="14"/>
      <c r="I2" s="52" t="s">
        <v>33</v>
      </c>
      <c r="J2" s="43"/>
      <c r="K2" s="47"/>
      <c r="L2" s="52" t="s">
        <v>117</v>
      </c>
      <c r="M2" s="22" t="s">
        <v>62</v>
      </c>
      <c r="N2" s="22" t="s">
        <v>63</v>
      </c>
      <c r="O2" s="25" t="s">
        <v>80</v>
      </c>
      <c r="P2" s="25" t="s">
        <v>80</v>
      </c>
      <c r="Q2" s="28">
        <v>7.0000000000000007E-2</v>
      </c>
      <c r="R2" s="55" t="s">
        <v>97</v>
      </c>
      <c r="S2" s="29" t="s">
        <v>98</v>
      </c>
      <c r="T2" s="29" t="s">
        <v>99</v>
      </c>
      <c r="U2" s="30" t="s">
        <v>65</v>
      </c>
      <c r="V2" s="30" t="s">
        <v>100</v>
      </c>
      <c r="W2" s="30" t="s">
        <v>64</v>
      </c>
      <c r="X2" s="31" t="s">
        <v>101</v>
      </c>
      <c r="Y2"/>
    </row>
    <row r="3" spans="1:25" ht="45" x14ac:dyDescent="0.25">
      <c r="A3" s="9">
        <v>158507</v>
      </c>
      <c r="B3" s="9">
        <f>VLOOKUP($A3,'Выгр Кат'!$A:$R,B$1,0)</f>
        <v>20963</v>
      </c>
      <c r="C3" s="23" t="str">
        <f>VLOOKUP($A3,'Выгр Кат'!$A:$R,C$1,0)</f>
        <v>Комплект деталей для ремонта привода ГРМ "Русмаш" Пилот для двигателей ВАЗ 21213</v>
      </c>
      <c r="D3" s="9" t="str">
        <f>VLOOKUP($A3,'Выгр Кат'!$A:$R,D$1,0)</f>
        <v>Y</v>
      </c>
      <c r="E3" s="9" t="str">
        <f>VLOOKUP($A3,'Выгр Кат'!$A:$R,E$1,0)</f>
        <v>1</v>
      </c>
      <c r="F3" s="9" t="str">
        <f>VLOOKUP($A3,'Выгр Кат'!$A:$R,F$1,0)</f>
        <v>11-1006001-NIVA</v>
      </c>
      <c r="G3" s="12" t="s">
        <v>52</v>
      </c>
      <c r="H3" s="12" t="s">
        <v>34</v>
      </c>
      <c r="I3" s="51">
        <f>M3</f>
        <v>2800</v>
      </c>
      <c r="J3" s="44">
        <f>VLOOKUP(I3,Наценка!$B$1:$C$8,2,1)</f>
        <v>1.4736842105263157</v>
      </c>
      <c r="K3" s="38">
        <f t="shared" ref="K3:K7" si="0">X3*1.04</f>
        <v>4565.6000000000004</v>
      </c>
      <c r="L3" s="49">
        <f>IF(K3&lt;=1000,(ROUNDUP(K3,-1)-1),(ROUNDUP(K3,-2)-10))</f>
        <v>4590</v>
      </c>
      <c r="M3" s="9">
        <f>VLOOKUP($A3,'Выгр Кат'!$A:$R,M$1,0)</f>
        <v>2800</v>
      </c>
      <c r="N3" s="9">
        <f>VLOOKUP($A3,'Выгр Кат'!$A:$R,N$1,0)</f>
        <v>4590</v>
      </c>
      <c r="O3" s="25">
        <f>M3-I3</f>
        <v>0</v>
      </c>
      <c r="P3" s="25">
        <f>N3-L3</f>
        <v>0</v>
      </c>
      <c r="Q3" s="32">
        <f>IFERROR(L3*(1-$Q$2),"")</f>
        <v>4268.7</v>
      </c>
      <c r="R3" s="55">
        <f>IFERROR((VLOOKUP($A3,'Из ГУГЛа'!$B:$G,6,0)+T3)*S3,VLOOKUP($A3,'Из ГУГЛа'!$B:$G,6,0))</f>
        <v>4390</v>
      </c>
      <c r="S3" s="33">
        <v>1</v>
      </c>
      <c r="T3" s="33">
        <v>0</v>
      </c>
      <c r="U3" s="34">
        <f>IFERROR(Q3/I3-1,"")</f>
        <v>0.52453571428571433</v>
      </c>
      <c r="V3" s="34">
        <f>IFERROR((X3-Q3)/X3,"")</f>
        <v>2.7630979498861088E-2</v>
      </c>
      <c r="W3" s="34">
        <f>IFERROR(IF(X3="","",X3/I3-1),"")</f>
        <v>0.56785714285714284</v>
      </c>
      <c r="X3" s="35">
        <v>4390</v>
      </c>
      <c r="Y3" t="s">
        <v>76</v>
      </c>
    </row>
    <row r="4" spans="1:25" ht="45" x14ac:dyDescent="0.25">
      <c r="A4" s="9">
        <v>204389</v>
      </c>
      <c r="B4" s="9">
        <f>VLOOKUP($A4,'Выгр Кат'!$A:$R,B$1,0)</f>
        <v>27569</v>
      </c>
      <c r="C4" s="23" t="str">
        <f>VLOOKUP($A4,'Выгр Кат'!$A:$R,C$1,0)</f>
        <v>Ремкомплект ГРМ "РУСМАШ" для ВАЗ 2110-2112 (16 клапанный двигатель)</v>
      </c>
      <c r="D4" s="9" t="str">
        <f>VLOOKUP($A4,'Выгр Кат'!$A:$R,D$1,0)</f>
        <v>Y</v>
      </c>
      <c r="E4" s="9" t="str">
        <f>VLOOKUP($A4,'Выгр Кат'!$A:$R,E$1,0)</f>
        <v>1</v>
      </c>
      <c r="F4" s="9" t="str">
        <f>VLOOKUP($A4,'Выгр Кат'!$A:$R,F$1,0)</f>
        <v>2110-100604086PM</v>
      </c>
      <c r="G4" s="12" t="s">
        <v>66</v>
      </c>
      <c r="H4" s="12" t="s">
        <v>34</v>
      </c>
      <c r="I4" s="51">
        <f t="shared" ref="I4:I18" si="1">M4</f>
        <v>2900</v>
      </c>
      <c r="J4" s="44">
        <f>VLOOKUP(I4,Наценка!$B$1:$C$8,2,1)</f>
        <v>1.4736842105263157</v>
      </c>
      <c r="K4" s="38">
        <f t="shared" si="0"/>
        <v>4253.6000000000004</v>
      </c>
      <c r="L4" s="49">
        <f t="shared" ref="L4:L18" si="2">IF(K4&lt;=1000,(ROUNDUP(K4,-1)-1),(ROUNDUP(K4,-2)-10))</f>
        <v>4290</v>
      </c>
      <c r="M4" s="9">
        <f>VLOOKUP($A4,'Выгр Кат'!$A:$R,M$1,0)</f>
        <v>2900</v>
      </c>
      <c r="N4" s="9">
        <f>VLOOKUP($A4,'Выгр Кат'!$A:$R,N$1,0)</f>
        <v>4390</v>
      </c>
      <c r="O4" s="25">
        <f t="shared" ref="O4:O18" si="3">M4-I4</f>
        <v>0</v>
      </c>
      <c r="P4" s="25">
        <f t="shared" ref="P4:P18" si="4">N4-L4</f>
        <v>100</v>
      </c>
      <c r="Q4" s="32">
        <f t="shared" ref="Q4:Q18" si="5">IFERROR(L4*(1-$Q$2),"")</f>
        <v>3989.7</v>
      </c>
      <c r="R4" s="55">
        <f>IFERROR((VLOOKUP($A4,'Из ГУГЛа'!$B:$G,6,0)+T4)*S4,VLOOKUP($A4,'Из ГУГЛа'!$B:$G,6,0))</f>
        <v>4090</v>
      </c>
      <c r="S4" s="33">
        <v>1</v>
      </c>
      <c r="T4" s="33">
        <v>0</v>
      </c>
      <c r="U4" s="34">
        <f t="shared" ref="U4:U18" si="6">IFERROR(Q4/I4-1,"")</f>
        <v>0.37575862068965504</v>
      </c>
      <c r="V4" s="34">
        <f t="shared" ref="V4:V18" si="7">IFERROR((X4-Q4)/X4,"")</f>
        <v>2.4523227383863123E-2</v>
      </c>
      <c r="W4" s="34">
        <f t="shared" ref="W4:W18" si="8">IFERROR(IF(X4="","",X4/I4-1),"")</f>
        <v>0.41034482758620694</v>
      </c>
      <c r="X4" s="35">
        <v>4090</v>
      </c>
      <c r="Y4" t="s">
        <v>73</v>
      </c>
    </row>
    <row r="5" spans="1:25" ht="45" x14ac:dyDescent="0.25">
      <c r="A5" s="9">
        <v>204388</v>
      </c>
      <c r="B5" s="9">
        <f>VLOOKUP($A5,'Выгр Кат'!$A:$R,B$1,0)</f>
        <v>27570</v>
      </c>
      <c r="C5" s="23" t="str">
        <f>VLOOKUP($A5,'Выгр Кат'!$A:$R,C$1,0)</f>
        <v>Ремкомплект ГРМ "РУСМАШ" для ВАЗ 2108-21099, 2110-2112 (8 клапанный двигатель)</v>
      </c>
      <c r="D5" s="9" t="str">
        <f>VLOOKUP($A5,'Выгр Кат'!$A:$R,D$1,0)</f>
        <v>Y</v>
      </c>
      <c r="E5" s="9" t="str">
        <f>VLOOKUP($A5,'Выгр Кат'!$A:$R,E$1,0)</f>
        <v>1</v>
      </c>
      <c r="F5" s="9" t="str">
        <f>VLOOKUP($A5,'Выгр Кат'!$A:$R,F$1,0)</f>
        <v>21080-100604086PM</v>
      </c>
      <c r="G5" s="12" t="s">
        <v>67</v>
      </c>
      <c r="H5" s="12" t="s">
        <v>34</v>
      </c>
      <c r="I5" s="51">
        <f t="shared" si="1"/>
        <v>1900</v>
      </c>
      <c r="J5" s="44">
        <f>VLOOKUP(I5,Наценка!$B$1:$C$8,2,1)</f>
        <v>1.5789473684210527</v>
      </c>
      <c r="K5" s="38">
        <f t="shared" si="0"/>
        <v>3837.6</v>
      </c>
      <c r="L5" s="49">
        <f t="shared" si="2"/>
        <v>3890</v>
      </c>
      <c r="M5" s="9">
        <f>VLOOKUP($A5,'Выгр Кат'!$A:$R,M$1,0)</f>
        <v>1900</v>
      </c>
      <c r="N5" s="9">
        <f>VLOOKUP($A5,'Выгр Кат'!$A:$R,N$1,0)</f>
        <v>2790</v>
      </c>
      <c r="O5" s="25">
        <f t="shared" si="3"/>
        <v>0</v>
      </c>
      <c r="P5" s="25">
        <f t="shared" si="4"/>
        <v>-1100</v>
      </c>
      <c r="Q5" s="32">
        <f t="shared" si="5"/>
        <v>3617.7</v>
      </c>
      <c r="R5" s="55">
        <f>IFERROR((VLOOKUP($A5,'Из ГУГЛа'!$B:$G,6,0)+T5)*S5,VLOOKUP($A5,'Из ГУГЛа'!$B:$G,6,0))</f>
        <v>3690</v>
      </c>
      <c r="S5" s="33">
        <v>1</v>
      </c>
      <c r="T5" s="33">
        <v>0</v>
      </c>
      <c r="U5" s="34">
        <f t="shared" si="6"/>
        <v>0.90405263157894722</v>
      </c>
      <c r="V5" s="34">
        <f t="shared" si="7"/>
        <v>1.9593495934959401E-2</v>
      </c>
      <c r="W5" s="34">
        <f t="shared" si="8"/>
        <v>0.94210526315789478</v>
      </c>
      <c r="X5" s="35">
        <v>3690</v>
      </c>
      <c r="Y5" t="s">
        <v>72</v>
      </c>
    </row>
    <row r="6" spans="1:25" ht="45" x14ac:dyDescent="0.25">
      <c r="A6" s="9">
        <v>204390</v>
      </c>
      <c r="B6" s="9">
        <f>VLOOKUP($A6,'Выгр Кат'!$A:$R,B$1,0)</f>
        <v>27571</v>
      </c>
      <c r="C6" s="23" t="str">
        <f>VLOOKUP($A6,'Выгр Кат'!$A:$R,C$1,0)</f>
        <v>Ремкомплект ГРМ "РУСМАШ" для Лада Калина, Приора, Гранта (16 клапанный двигатель)</v>
      </c>
      <c r="D6" s="9" t="str">
        <f>VLOOKUP($A6,'Выгр Кат'!$A:$R,D$1,0)</f>
        <v>Y</v>
      </c>
      <c r="E6" s="9" t="str">
        <f>VLOOKUP($A6,'Выгр Кат'!$A:$R,E$1,0)</f>
        <v>1</v>
      </c>
      <c r="F6" s="9" t="str">
        <f>VLOOKUP($A6,'Выгр Кат'!$A:$R,F$1,0)</f>
        <v>21126-100604086PM</v>
      </c>
      <c r="G6" s="12" t="s">
        <v>68</v>
      </c>
      <c r="H6" s="12" t="s">
        <v>34</v>
      </c>
      <c r="I6" s="51">
        <f t="shared" si="1"/>
        <v>3350</v>
      </c>
      <c r="J6" s="44">
        <f>VLOOKUP(I6,Наценка!$B$1:$C$8,2,1)</f>
        <v>1.4736842105263157</v>
      </c>
      <c r="K6" s="38">
        <f t="shared" si="0"/>
        <v>4565.6000000000004</v>
      </c>
      <c r="L6" s="49">
        <f t="shared" si="2"/>
        <v>4590</v>
      </c>
      <c r="M6" s="9">
        <f>VLOOKUP($A6,'Выгр Кат'!$A:$R,M$1,0)</f>
        <v>3350</v>
      </c>
      <c r="N6" s="9">
        <f>VLOOKUP($A6,'Выгр Кат'!$A:$R,N$1,0)</f>
        <v>4590</v>
      </c>
      <c r="O6" s="25">
        <f t="shared" si="3"/>
        <v>0</v>
      </c>
      <c r="P6" s="25">
        <f t="shared" si="4"/>
        <v>0</v>
      </c>
      <c r="Q6" s="32">
        <f t="shared" si="5"/>
        <v>4268.7</v>
      </c>
      <c r="R6" s="55">
        <f>IFERROR((VLOOKUP($A6,'Из ГУГЛа'!$B:$G,6,0)+T6)*S6,VLOOKUP($A6,'Из ГУГЛа'!$B:$G,6,0))</f>
        <v>4390</v>
      </c>
      <c r="S6" s="33">
        <v>1</v>
      </c>
      <c r="T6" s="33">
        <v>0</v>
      </c>
      <c r="U6" s="34">
        <f t="shared" si="6"/>
        <v>0.27423880597014927</v>
      </c>
      <c r="V6" s="34">
        <f t="shared" si="7"/>
        <v>2.7630979498861088E-2</v>
      </c>
      <c r="W6" s="34">
        <f t="shared" si="8"/>
        <v>0.31044776119402995</v>
      </c>
      <c r="X6" s="35">
        <v>4390</v>
      </c>
      <c r="Y6" t="s">
        <v>71</v>
      </c>
    </row>
    <row r="7" spans="1:25" ht="45" x14ac:dyDescent="0.25">
      <c r="A7" s="9">
        <v>159454</v>
      </c>
      <c r="B7" s="9">
        <f>VLOOKUP($A7,'Выгр Кат'!$A:$R,B$1,0)</f>
        <v>35526</v>
      </c>
      <c r="C7" s="23" t="str">
        <f>VLOOKUP($A7,'Выгр Кат'!$A:$R,C$1,0)</f>
        <v>Комплект привода ГРМ "Русмаш" 21214, 2123 для Лада Нива 4x4, Шевроле Нива</v>
      </c>
      <c r="D7" s="9" t="str">
        <f>VLOOKUP($A7,'Выгр Кат'!$A:$R,D$1,0)</f>
        <v>Y</v>
      </c>
      <c r="E7" s="9" t="str">
        <f>VLOOKUP($A7,'Выгр Кат'!$A:$R,E$1,0)</f>
        <v>1</v>
      </c>
      <c r="F7" s="9" t="str">
        <f>VLOOKUP($A7,'Выгр Кат'!$A:$R,F$1,0)</f>
        <v>10-1006001K</v>
      </c>
      <c r="G7" s="12" t="s">
        <v>69</v>
      </c>
      <c r="H7" s="12" t="s">
        <v>34</v>
      </c>
      <c r="I7" s="51">
        <f t="shared" si="1"/>
        <v>3300</v>
      </c>
      <c r="J7" s="44">
        <f>VLOOKUP(I7,Наценка!$B$1:$C$8,2,1)</f>
        <v>1.4736842105263157</v>
      </c>
      <c r="K7" s="38">
        <f t="shared" si="0"/>
        <v>5085.6000000000004</v>
      </c>
      <c r="L7" s="49">
        <f t="shared" si="2"/>
        <v>5090</v>
      </c>
      <c r="M7" s="9">
        <f>VLOOKUP($A7,'Выгр Кат'!$A:$R,M$1,0)</f>
        <v>3300</v>
      </c>
      <c r="N7" s="9">
        <f>VLOOKUP($A7,'Выгр Кат'!$A:$R,N$1,0)</f>
        <v>5090</v>
      </c>
      <c r="O7" s="25">
        <f t="shared" si="3"/>
        <v>0</v>
      </c>
      <c r="P7" s="25">
        <f t="shared" si="4"/>
        <v>0</v>
      </c>
      <c r="Q7" s="32">
        <f t="shared" si="5"/>
        <v>4733.7</v>
      </c>
      <c r="R7" s="55">
        <f>IFERROR((VLOOKUP($A7,'Из ГУГЛа'!$B:$G,6,0)+T7)*S7,VLOOKUP($A7,'Из ГУГЛа'!$B:$G,6,0))</f>
        <v>4890</v>
      </c>
      <c r="S7" s="33">
        <v>1</v>
      </c>
      <c r="T7" s="33">
        <v>0</v>
      </c>
      <c r="U7" s="34">
        <f t="shared" si="6"/>
        <v>0.43445454545454543</v>
      </c>
      <c r="V7" s="34">
        <f t="shared" si="7"/>
        <v>3.1963190184049119E-2</v>
      </c>
      <c r="W7" s="34">
        <f t="shared" si="8"/>
        <v>0.48181818181818192</v>
      </c>
      <c r="X7" s="35">
        <v>4890</v>
      </c>
      <c r="Y7" t="s">
        <v>75</v>
      </c>
    </row>
    <row r="8" spans="1:25" ht="60" x14ac:dyDescent="0.25">
      <c r="A8" s="9">
        <v>171813</v>
      </c>
      <c r="B8" s="9">
        <f>VLOOKUP($A8,'Выгр Кат'!$A:$R,B$1,0)</f>
        <v>41405</v>
      </c>
      <c r="C8" s="23" t="str">
        <f>VLOOKUP($A8,'Выгр Кат'!$A:$R,C$1,0)</f>
        <v>Натяжной ролик ГРМ "РУСМАШ" автоматический (2 подшипника) для ВАЗ 2110-2112 (ВАЗ-21124, с 16-ти клапанным двигателем)</v>
      </c>
      <c r="D8" s="9" t="str">
        <f>VLOOKUP($A8,'Выгр Кат'!$A:$R,D$1,0)</f>
        <v>Y</v>
      </c>
      <c r="E8" s="9" t="str">
        <f>VLOOKUP($A8,'Выгр Кат'!$A:$R,E$1,0)</f>
        <v>1ск6</v>
      </c>
      <c r="F8" s="9" t="str">
        <f>VLOOKUP($A8,'Выгр Кат'!$A:$R,F$1,0)</f>
        <v>2112-1006120-РМ1</v>
      </c>
      <c r="G8" s="12" t="s">
        <v>46</v>
      </c>
      <c r="H8" s="12" t="s">
        <v>34</v>
      </c>
      <c r="I8" s="51">
        <f t="shared" si="1"/>
        <v>2084</v>
      </c>
      <c r="J8" s="44">
        <f>VLOOKUP(I8,Наценка!$B$1:$C$8,2,1)</f>
        <v>1.4736842105263157</v>
      </c>
      <c r="K8" s="48">
        <f>I8*J8</f>
        <v>3071.1578947368421</v>
      </c>
      <c r="L8" s="49">
        <f t="shared" si="2"/>
        <v>3090</v>
      </c>
      <c r="M8" s="9">
        <f>VLOOKUP($A8,'Выгр Кат'!$A:$R,M$1,0)</f>
        <v>2084</v>
      </c>
      <c r="N8" s="9">
        <f>VLOOKUP($A8,'Выгр Кат'!$A:$R,N$1,0)</f>
        <v>3090</v>
      </c>
      <c r="O8" s="25">
        <f t="shared" si="3"/>
        <v>0</v>
      </c>
      <c r="P8" s="25">
        <f t="shared" si="4"/>
        <v>0</v>
      </c>
      <c r="Q8" s="32">
        <f t="shared" si="5"/>
        <v>2873.7</v>
      </c>
      <c r="R8" s="55" t="str">
        <f>IFERROR((VLOOKUP($A8,'Из ГУГЛа'!$B:$G,6,0)+T8)*S8,VLOOKUP($A8,'Из ГУГЛа'!$B:$G,6,0))</f>
        <v/>
      </c>
      <c r="S8" s="33">
        <v>1</v>
      </c>
      <c r="T8" s="33">
        <v>0</v>
      </c>
      <c r="U8" s="34">
        <f t="shared" si="6"/>
        <v>0.37893474088291734</v>
      </c>
      <c r="V8" s="34" t="str">
        <f t="shared" si="7"/>
        <v/>
      </c>
      <c r="W8" s="34" t="str">
        <f t="shared" si="8"/>
        <v/>
      </c>
      <c r="X8" s="35"/>
    </row>
    <row r="9" spans="1:25" ht="30" x14ac:dyDescent="0.25">
      <c r="A9" s="9">
        <v>158570</v>
      </c>
      <c r="B9" s="9">
        <f>VLOOKUP($A9,'Выгр Кат'!$A:$R,B$1,0)</f>
        <v>115800</v>
      </c>
      <c r="C9" s="23" t="str">
        <f>VLOOKUP($A9,'Выгр Кат'!$A:$R,C$1,0)</f>
        <v>Комплект звездочек ГРМ "РУСМАШ" для ВАЗ 2101-2107</v>
      </c>
      <c r="D9" s="9" t="str">
        <f>VLOOKUP($A9,'Выгр Кат'!$A:$R,D$1,0)</f>
        <v>Y</v>
      </c>
      <c r="E9" s="9" t="str">
        <f>VLOOKUP($A9,'Выгр Кат'!$A:$R,E$1,0)</f>
        <v>1</v>
      </c>
      <c r="F9" s="9" t="str">
        <f>VLOOKUP($A9,'Выгр Кат'!$A:$R,F$1,0)</f>
        <v>2101-1006020-РМ</v>
      </c>
      <c r="G9" s="12" t="s">
        <v>44</v>
      </c>
      <c r="H9" s="12" t="s">
        <v>34</v>
      </c>
      <c r="I9" s="51">
        <f t="shared" si="1"/>
        <v>1511</v>
      </c>
      <c r="J9" s="44">
        <f>VLOOKUP(I9,Наценка!$B$1:$C$8,2,1)</f>
        <v>1.5789473684210527</v>
      </c>
      <c r="K9" s="48">
        <f t="shared" ref="K9:K15" si="9">I9*J9</f>
        <v>2385.7894736842104</v>
      </c>
      <c r="L9" s="49">
        <f t="shared" si="2"/>
        <v>2390</v>
      </c>
      <c r="M9" s="9">
        <f>VLOOKUP($A9,'Выгр Кат'!$A:$R,M$1,0)</f>
        <v>1511</v>
      </c>
      <c r="N9" s="9">
        <f>VLOOKUP($A9,'Выгр Кат'!$A:$R,N$1,0)</f>
        <v>2390</v>
      </c>
      <c r="O9" s="25">
        <f t="shared" si="3"/>
        <v>0</v>
      </c>
      <c r="P9" s="25">
        <f t="shared" si="4"/>
        <v>0</v>
      </c>
      <c r="Q9" s="32">
        <f t="shared" si="5"/>
        <v>2222.6999999999998</v>
      </c>
      <c r="R9" s="55" t="str">
        <f>IFERROR((VLOOKUP($A9,'Из ГУГЛа'!$B:$G,6,0)+T9)*S9,VLOOKUP($A9,'Из ГУГЛа'!$B:$G,6,0))</f>
        <v/>
      </c>
      <c r="S9" s="33">
        <v>1</v>
      </c>
      <c r="T9" s="33">
        <v>0</v>
      </c>
      <c r="U9" s="34">
        <f t="shared" si="6"/>
        <v>0.47101257445400391</v>
      </c>
      <c r="V9" s="34" t="str">
        <f t="shared" si="7"/>
        <v/>
      </c>
      <c r="W9" s="34" t="str">
        <f t="shared" si="8"/>
        <v/>
      </c>
      <c r="X9" s="35"/>
    </row>
    <row r="10" spans="1:25" ht="45" x14ac:dyDescent="0.25">
      <c r="A10" s="9">
        <v>158571</v>
      </c>
      <c r="B10" s="9">
        <f>VLOOKUP($A10,'Выгр Кат'!$A:$R,B$1,0)</f>
        <v>115810</v>
      </c>
      <c r="C10" s="23" t="str">
        <f>VLOOKUP($A10,'Выгр Кат'!$A:$R,C$1,0)</f>
        <v>Комплект звездочек ГРМ "РУСМАШ" для Лада Нива 4х4, Шевроле Нива</v>
      </c>
      <c r="D10" s="9" t="str">
        <f>VLOOKUP($A10,'Выгр Кат'!$A:$R,D$1,0)</f>
        <v>Y</v>
      </c>
      <c r="E10" s="9" t="str">
        <f>VLOOKUP($A10,'Выгр Кат'!$A:$R,E$1,0)</f>
        <v>1</v>
      </c>
      <c r="F10" s="9" t="str">
        <f>VLOOKUP($A10,'Выгр Кат'!$A:$R,F$1,0)</f>
        <v>21230-1006020-РМ</v>
      </c>
      <c r="G10" s="12" t="s">
        <v>42</v>
      </c>
      <c r="H10" s="12" t="s">
        <v>34</v>
      </c>
      <c r="I10" s="51">
        <f t="shared" si="1"/>
        <v>1520</v>
      </c>
      <c r="J10" s="44">
        <f>VLOOKUP(I10,Наценка!$B$1:$C$8,2,1)</f>
        <v>1.5789473684210527</v>
      </c>
      <c r="K10" s="48">
        <f t="shared" si="9"/>
        <v>2400</v>
      </c>
      <c r="L10" s="49">
        <f t="shared" si="2"/>
        <v>2390</v>
      </c>
      <c r="M10" s="9">
        <f>VLOOKUP($A10,'Выгр Кат'!$A:$R,M$1,0)</f>
        <v>1520</v>
      </c>
      <c r="N10" s="9">
        <f>VLOOKUP($A10,'Выгр Кат'!$A:$R,N$1,0)</f>
        <v>2390</v>
      </c>
      <c r="O10" s="25">
        <f t="shared" si="3"/>
        <v>0</v>
      </c>
      <c r="P10" s="25">
        <f t="shared" si="4"/>
        <v>0</v>
      </c>
      <c r="Q10" s="32">
        <f t="shared" si="5"/>
        <v>2222.6999999999998</v>
      </c>
      <c r="R10" s="55" t="str">
        <f>IFERROR((VLOOKUP($A10,'Из ГУГЛа'!$B:$G,6,0)+T10)*S10,VLOOKUP($A10,'Из ГУГЛа'!$B:$G,6,0))</f>
        <v/>
      </c>
      <c r="S10" s="33">
        <v>1</v>
      </c>
      <c r="T10" s="33">
        <v>0</v>
      </c>
      <c r="U10" s="34">
        <f t="shared" si="6"/>
        <v>0.46230263157894735</v>
      </c>
      <c r="V10" s="34" t="str">
        <f t="shared" si="7"/>
        <v/>
      </c>
      <c r="W10" s="34" t="str">
        <f t="shared" si="8"/>
        <v/>
      </c>
      <c r="X10" s="35"/>
    </row>
    <row r="11" spans="1:25" ht="45" x14ac:dyDescent="0.25">
      <c r="A11" s="9">
        <v>208895</v>
      </c>
      <c r="B11" s="9">
        <f>VLOOKUP($A11,'Выгр Кат'!$A:$R,B$1,0)</f>
        <v>115823</v>
      </c>
      <c r="C11" s="23" t="str">
        <f>VLOOKUP($A11,'Выгр Кат'!$A:$R,C$1,0)</f>
        <v>Ролик натяжной "РУСМАШ" ремня ГРМ (автоматический) для ВАЗ 2108-21099, 2110-2112, 2113-2115</v>
      </c>
      <c r="D11" s="9" t="str">
        <f>VLOOKUP($A11,'Выгр Кат'!$A:$R,D$1,0)</f>
        <v>Y</v>
      </c>
      <c r="E11" s="9" t="str">
        <f>VLOOKUP($A11,'Выгр Кат'!$A:$R,E$1,0)</f>
        <v>1ск6</v>
      </c>
      <c r="F11" s="9" t="str">
        <f>VLOOKUP($A11,'Выгр Кат'!$A:$R,F$1,0)</f>
        <v>2108-1006120PM</v>
      </c>
      <c r="G11" s="12" t="s">
        <v>41</v>
      </c>
      <c r="H11" s="12" t="s">
        <v>34</v>
      </c>
      <c r="I11" s="51">
        <f t="shared" si="1"/>
        <v>2300</v>
      </c>
      <c r="J11" s="44">
        <f>VLOOKUP(I11,Наценка!$B$1:$C$8,2,1)</f>
        <v>1.4736842105263157</v>
      </c>
      <c r="K11" s="48">
        <f t="shared" si="9"/>
        <v>3389.4736842105262</v>
      </c>
      <c r="L11" s="49">
        <f t="shared" si="2"/>
        <v>3390</v>
      </c>
      <c r="M11" s="9">
        <f>VLOOKUP($A11,'Выгр Кат'!$A:$R,M$1,0)</f>
        <v>2300</v>
      </c>
      <c r="N11" s="9">
        <f>VLOOKUP($A11,'Выгр Кат'!$A:$R,N$1,0)</f>
        <v>3390</v>
      </c>
      <c r="O11" s="25">
        <f t="shared" si="3"/>
        <v>0</v>
      </c>
      <c r="P11" s="25">
        <f t="shared" si="4"/>
        <v>0</v>
      </c>
      <c r="Q11" s="32">
        <f t="shared" si="5"/>
        <v>3152.7</v>
      </c>
      <c r="R11" s="55" t="str">
        <f>IFERROR((VLOOKUP($A11,'Из ГУГЛа'!$B:$G,6,0)+T11)*S11,VLOOKUP($A11,'Из ГУГЛа'!$B:$G,6,0))</f>
        <v/>
      </c>
      <c r="S11" s="33">
        <v>1</v>
      </c>
      <c r="T11" s="33">
        <v>0</v>
      </c>
      <c r="U11" s="34">
        <f t="shared" si="6"/>
        <v>0.37073913043478246</v>
      </c>
      <c r="V11" s="34" t="str">
        <f t="shared" si="7"/>
        <v/>
      </c>
      <c r="W11" s="34" t="str">
        <f t="shared" si="8"/>
        <v/>
      </c>
      <c r="X11" s="35"/>
    </row>
    <row r="12" spans="1:25" ht="60" x14ac:dyDescent="0.25">
      <c r="A12" s="9">
        <v>208912</v>
      </c>
      <c r="B12" s="9">
        <f>VLOOKUP($A12,'Выгр Кат'!$A:$R,B$1,0)</f>
        <v>115844</v>
      </c>
      <c r="C12" s="23" t="str">
        <f>VLOOKUP($A12,'Выгр Кат'!$A:$R,C$1,0)</f>
        <v>Ролик ремня ГРМ "РУСМАШ" опорный для ВАЗ 2114, Лада (Калина, Калина 2, Приора, Гранта)</v>
      </c>
      <c r="D12" s="9" t="str">
        <f>VLOOKUP($A12,'Выгр Кат'!$A:$R,D$1,0)</f>
        <v>Y</v>
      </c>
      <c r="E12" s="9" t="str">
        <f>VLOOKUP($A12,'Выгр Кат'!$A:$R,E$1,0)</f>
        <v>1</v>
      </c>
      <c r="F12" s="9" t="str">
        <f>VLOOKUP($A12,'Выгр Кат'!$A:$R,F$1,0)</f>
        <v>21126-1006135-РМ</v>
      </c>
      <c r="G12" s="12" t="s">
        <v>40</v>
      </c>
      <c r="H12" s="12" t="s">
        <v>34</v>
      </c>
      <c r="I12" s="51">
        <f t="shared" si="1"/>
        <v>1250</v>
      </c>
      <c r="J12" s="44">
        <f>VLOOKUP(I12,Наценка!$B$1:$C$8,2,1)</f>
        <v>1.5789473684210527</v>
      </c>
      <c r="K12" s="48">
        <f t="shared" si="9"/>
        <v>1973.6842105263158</v>
      </c>
      <c r="L12" s="49">
        <f t="shared" si="2"/>
        <v>1990</v>
      </c>
      <c r="M12" s="9">
        <f>VLOOKUP($A12,'Выгр Кат'!$A:$R,M$1,0)</f>
        <v>1250</v>
      </c>
      <c r="N12" s="9">
        <f>VLOOKUP($A12,'Выгр Кат'!$A:$R,N$1,0)</f>
        <v>1990</v>
      </c>
      <c r="O12" s="25">
        <f t="shared" si="3"/>
        <v>0</v>
      </c>
      <c r="P12" s="25">
        <f t="shared" si="4"/>
        <v>0</v>
      </c>
      <c r="Q12" s="32">
        <f t="shared" si="5"/>
        <v>1850.6999999999998</v>
      </c>
      <c r="R12" s="55" t="str">
        <f>IFERROR((VLOOKUP($A12,'Из ГУГЛа'!$B:$G,6,0)+T12)*S12,VLOOKUP($A12,'Из ГУГЛа'!$B:$G,6,0))</f>
        <v/>
      </c>
      <c r="S12" s="33">
        <v>1</v>
      </c>
      <c r="T12" s="33">
        <v>0</v>
      </c>
      <c r="U12" s="34">
        <f t="shared" si="6"/>
        <v>0.48055999999999988</v>
      </c>
      <c r="V12" s="34" t="str">
        <f t="shared" si="7"/>
        <v/>
      </c>
      <c r="W12" s="34" t="str">
        <f t="shared" si="8"/>
        <v/>
      </c>
      <c r="X12" s="35"/>
    </row>
    <row r="13" spans="1:25" ht="30" x14ac:dyDescent="0.25">
      <c r="A13" s="9">
        <v>208911</v>
      </c>
      <c r="B13" s="9">
        <f>VLOOKUP($A13,'Выгр Кат'!$A:$R,B$1,0)</f>
        <v>116261</v>
      </c>
      <c r="C13" s="23" t="str">
        <f>VLOOKUP($A13,'Выгр Кат'!$A:$R,C$1,0)</f>
        <v>Ролик ремня ГРМ "РУСМАШ" опорный для ВАЗ 2110-2112, 2114</v>
      </c>
      <c r="D13" s="9" t="str">
        <f>VLOOKUP($A13,'Выгр Кат'!$A:$R,D$1,0)</f>
        <v>Y</v>
      </c>
      <c r="E13" s="9" t="str">
        <f>VLOOKUP($A13,'Выгр Кат'!$A:$R,E$1,0)</f>
        <v>1</v>
      </c>
      <c r="F13" s="9" t="str">
        <f>VLOOKUP($A13,'Выгр Кат'!$A:$R,F$1,0)</f>
        <v>21120-1006135РМ</v>
      </c>
      <c r="G13" s="12" t="s">
        <v>39</v>
      </c>
      <c r="H13" s="12" t="s">
        <v>34</v>
      </c>
      <c r="I13" s="51">
        <f t="shared" si="1"/>
        <v>1246</v>
      </c>
      <c r="J13" s="44">
        <f>VLOOKUP(I13,Наценка!$B$1:$C$8,2,1)</f>
        <v>1.5789473684210527</v>
      </c>
      <c r="K13" s="48">
        <f t="shared" si="9"/>
        <v>1967.3684210526317</v>
      </c>
      <c r="L13" s="49">
        <f t="shared" si="2"/>
        <v>1990</v>
      </c>
      <c r="M13" s="9">
        <f>VLOOKUP($A13,'Выгр Кат'!$A:$R,M$1,0)</f>
        <v>1246</v>
      </c>
      <c r="N13" s="9">
        <f>VLOOKUP($A13,'Выгр Кат'!$A:$R,N$1,0)</f>
        <v>1990</v>
      </c>
      <c r="O13" s="25">
        <f t="shared" si="3"/>
        <v>0</v>
      </c>
      <c r="P13" s="25">
        <f t="shared" si="4"/>
        <v>0</v>
      </c>
      <c r="Q13" s="32">
        <f t="shared" si="5"/>
        <v>1850.6999999999998</v>
      </c>
      <c r="R13" s="55" t="str">
        <f>IFERROR((VLOOKUP($A13,'Из ГУГЛа'!$B:$G,6,0)+T13)*S13,VLOOKUP($A13,'Из ГУГЛа'!$B:$G,6,0))</f>
        <v/>
      </c>
      <c r="S13" s="33">
        <v>1</v>
      </c>
      <c r="T13" s="33">
        <v>0</v>
      </c>
      <c r="U13" s="34">
        <f t="shared" si="6"/>
        <v>0.48531300160513635</v>
      </c>
      <c r="V13" s="34" t="str">
        <f t="shared" si="7"/>
        <v/>
      </c>
      <c r="W13" s="34" t="str">
        <f t="shared" si="8"/>
        <v/>
      </c>
      <c r="X13" s="35"/>
    </row>
    <row r="14" spans="1:25" ht="45" x14ac:dyDescent="0.25">
      <c r="A14" s="9">
        <v>131453</v>
      </c>
      <c r="B14" s="9">
        <f>VLOOKUP($A14,'Выгр Кат'!$A:$R,B$1,0)</f>
        <v>117105</v>
      </c>
      <c r="C14" s="23" t="str">
        <f>VLOOKUP($A14,'Выгр Кат'!$A:$R,C$1,0)</f>
        <v>Автоматический натяжитель цепи "РУСМАШ" Пилот2 для Лада Нива 4х4</v>
      </c>
      <c r="D14" s="9" t="str">
        <f>VLOOKUP($A14,'Выгр Кат'!$A:$R,D$1,0)</f>
        <v>Y</v>
      </c>
      <c r="E14" s="9" t="str">
        <f>VLOOKUP($A14,'Выгр Кат'!$A:$R,E$1,0)</f>
        <v>1</v>
      </c>
      <c r="F14" s="9" t="str">
        <f>VLOOKUP($A14,'Выгр Кат'!$A:$R,F$1,0)</f>
        <v>21214-1006060РМ2</v>
      </c>
      <c r="G14" s="12" t="s">
        <v>38</v>
      </c>
      <c r="H14" s="12" t="s">
        <v>34</v>
      </c>
      <c r="I14" s="51">
        <f t="shared" si="1"/>
        <v>762</v>
      </c>
      <c r="J14" s="44">
        <f>VLOOKUP(I14,Наценка!$B$1:$C$8,2,1)</f>
        <v>1.631578947368421</v>
      </c>
      <c r="K14" s="48">
        <f t="shared" si="9"/>
        <v>1243.2631578947369</v>
      </c>
      <c r="L14" s="49">
        <f t="shared" si="2"/>
        <v>1290</v>
      </c>
      <c r="M14" s="9">
        <f>VLOOKUP($A14,'Выгр Кат'!$A:$R,M$1,0)</f>
        <v>762</v>
      </c>
      <c r="N14" s="9">
        <f>VLOOKUP($A14,'Выгр Кат'!$A:$R,N$1,0)</f>
        <v>1290</v>
      </c>
      <c r="O14" s="25">
        <f t="shared" si="3"/>
        <v>0</v>
      </c>
      <c r="P14" s="25">
        <f t="shared" si="4"/>
        <v>0</v>
      </c>
      <c r="Q14" s="32">
        <f t="shared" si="5"/>
        <v>1199.6999999999998</v>
      </c>
      <c r="R14" s="55" t="str">
        <f>IFERROR((VLOOKUP($A14,'Из ГУГЛа'!$B:$G,6,0)+T14)*S14,VLOOKUP($A14,'Из ГУГЛа'!$B:$G,6,0))</f>
        <v/>
      </c>
      <c r="S14" s="33">
        <v>1</v>
      </c>
      <c r="T14" s="33">
        <v>0</v>
      </c>
      <c r="U14" s="34">
        <f t="shared" si="6"/>
        <v>0.57440944881889733</v>
      </c>
      <c r="V14" s="34" t="str">
        <f t="shared" si="7"/>
        <v/>
      </c>
      <c r="W14" s="34" t="str">
        <f t="shared" si="8"/>
        <v/>
      </c>
      <c r="X14" s="35"/>
    </row>
    <row r="15" spans="1:25" ht="45" x14ac:dyDescent="0.25">
      <c r="A15" s="9">
        <v>131452</v>
      </c>
      <c r="B15" s="9">
        <f>VLOOKUP($A15,'Выгр Кат'!$A:$R,B$1,0)</f>
        <v>117132</v>
      </c>
      <c r="C15" s="23" t="str">
        <f>VLOOKUP($A15,'Выгр Кат'!$A:$R,C$1,0)</f>
        <v>Автоматический натяжитель цепи "РУСМАШ" Пилот2 для ВАЗ 2101-2107</v>
      </c>
      <c r="D15" s="9" t="str">
        <f>VLOOKUP($A15,'Выгр Кат'!$A:$R,D$1,0)</f>
        <v>Y</v>
      </c>
      <c r="E15" s="9" t="str">
        <f>VLOOKUP($A15,'Выгр Кат'!$A:$R,E$1,0)</f>
        <v>1</v>
      </c>
      <c r="F15" s="9" t="str">
        <f>VLOOKUP($A15,'Выгр Кат'!$A:$R,F$1,0)</f>
        <v>2101-1006060РМ2</v>
      </c>
      <c r="G15" s="12" t="s">
        <v>37</v>
      </c>
      <c r="H15" s="12" t="s">
        <v>34</v>
      </c>
      <c r="I15" s="51">
        <f t="shared" si="1"/>
        <v>762</v>
      </c>
      <c r="J15" s="44">
        <f>VLOOKUP(I15,Наценка!$B$1:$C$8,2,1)</f>
        <v>1.631578947368421</v>
      </c>
      <c r="K15" s="48">
        <f t="shared" si="9"/>
        <v>1243.2631578947369</v>
      </c>
      <c r="L15" s="49">
        <f t="shared" si="2"/>
        <v>1290</v>
      </c>
      <c r="M15" s="9">
        <f>VLOOKUP($A15,'Выгр Кат'!$A:$R,M$1,0)</f>
        <v>762</v>
      </c>
      <c r="N15" s="9">
        <f>VLOOKUP($A15,'Выгр Кат'!$A:$R,N$1,0)</f>
        <v>1290</v>
      </c>
      <c r="O15" s="25">
        <f t="shared" si="3"/>
        <v>0</v>
      </c>
      <c r="P15" s="25">
        <f t="shared" si="4"/>
        <v>0</v>
      </c>
      <c r="Q15" s="32">
        <f t="shared" si="5"/>
        <v>1199.6999999999998</v>
      </c>
      <c r="R15" s="55" t="str">
        <f>IFERROR((VLOOKUP($A15,'Из ГУГЛа'!$B:$G,6,0)+T15)*S15,VLOOKUP($A15,'Из ГУГЛа'!$B:$G,6,0))</f>
        <v/>
      </c>
      <c r="S15" s="33">
        <v>1</v>
      </c>
      <c r="T15" s="33">
        <v>0</v>
      </c>
      <c r="U15" s="34">
        <f t="shared" si="6"/>
        <v>0.57440944881889733</v>
      </c>
      <c r="V15" s="34" t="str">
        <f t="shared" si="7"/>
        <v/>
      </c>
      <c r="W15" s="34" t="str">
        <f t="shared" si="8"/>
        <v/>
      </c>
      <c r="X15" s="35"/>
    </row>
    <row r="16" spans="1:25" ht="45" x14ac:dyDescent="0.25">
      <c r="A16" s="9">
        <v>131450</v>
      </c>
      <c r="B16" s="9">
        <f>VLOOKUP($A16,'Выгр Кат'!$A:$R,B$1,0)</f>
        <v>117181</v>
      </c>
      <c r="C16" s="23" t="str">
        <f>VLOOKUP($A16,'Выгр Кат'!$A:$R,C$1,0)</f>
        <v>Автоматический натяжитель цепи "РУСМАШ" Пилот для ВАЗ 2101-2107</v>
      </c>
      <c r="D16" s="9" t="str">
        <f>VLOOKUP($A16,'Выгр Кат'!$A:$R,D$1,0)</f>
        <v>Y</v>
      </c>
      <c r="E16" s="9" t="str">
        <f>VLOOKUP($A16,'Выгр Кат'!$A:$R,E$1,0)</f>
        <v>1</v>
      </c>
      <c r="F16" s="9" t="str">
        <f>VLOOKUP($A16,'Выгр Кат'!$A:$R,F$1,0)</f>
        <v>2101-1006060РМ</v>
      </c>
      <c r="G16" s="12" t="s">
        <v>70</v>
      </c>
      <c r="H16" s="12" t="s">
        <v>34</v>
      </c>
      <c r="I16" s="51">
        <f t="shared" si="1"/>
        <v>597</v>
      </c>
      <c r="J16" s="44">
        <f>VLOOKUP(I16,Наценка!$B$1:$C$8,2,1)</f>
        <v>1.631578947368421</v>
      </c>
      <c r="K16" s="38">
        <f t="shared" ref="K16:K18" si="10">X16*1.04</f>
        <v>925.6</v>
      </c>
      <c r="L16" s="49">
        <f t="shared" si="2"/>
        <v>929</v>
      </c>
      <c r="M16" s="9">
        <f>VLOOKUP($A16,'Выгр Кат'!$A:$R,M$1,0)</f>
        <v>597</v>
      </c>
      <c r="N16" s="9">
        <f>VLOOKUP($A16,'Выгр Кат'!$A:$R,N$1,0)</f>
        <v>989</v>
      </c>
      <c r="O16" s="25">
        <f t="shared" si="3"/>
        <v>0</v>
      </c>
      <c r="P16" s="25">
        <f t="shared" si="4"/>
        <v>60</v>
      </c>
      <c r="Q16" s="32">
        <f t="shared" si="5"/>
        <v>863.96999999999991</v>
      </c>
      <c r="R16" s="55">
        <f>IFERROR((VLOOKUP($A16,'Из ГУГЛа'!$B:$G,6,0)+T16)*S16,VLOOKUP($A16,'Из ГУГЛа'!$B:$G,6,0))</f>
        <v>890</v>
      </c>
      <c r="S16" s="33">
        <v>1</v>
      </c>
      <c r="T16" s="33">
        <v>0</v>
      </c>
      <c r="U16" s="34">
        <f t="shared" si="6"/>
        <v>0.447185929648241</v>
      </c>
      <c r="V16" s="34">
        <f t="shared" si="7"/>
        <v>2.9247191011236053E-2</v>
      </c>
      <c r="W16" s="34">
        <f t="shared" si="8"/>
        <v>0.49078726968174213</v>
      </c>
      <c r="X16" s="35">
        <v>890</v>
      </c>
      <c r="Y16" t="s">
        <v>77</v>
      </c>
    </row>
    <row r="17" spans="1:25" ht="45" x14ac:dyDescent="0.25">
      <c r="A17" s="9">
        <v>131451</v>
      </c>
      <c r="B17" s="9">
        <f>VLOOKUP($A17,'Выгр Кат'!$A:$R,B$1,0)</f>
        <v>117207</v>
      </c>
      <c r="C17" s="23" t="str">
        <f>VLOOKUP($A17,'Выгр Кат'!$A:$R,C$1,0)</f>
        <v>Автоматический натяжитель цепи "РУСМАШ" Пилот для Лада Нива 4х4</v>
      </c>
      <c r="D17" s="9" t="str">
        <f>VLOOKUP($A17,'Выгр Кат'!$A:$R,D$1,0)</f>
        <v>Y</v>
      </c>
      <c r="E17" s="9" t="str">
        <f>VLOOKUP($A17,'Выгр Кат'!$A:$R,E$1,0)</f>
        <v>1</v>
      </c>
      <c r="F17" s="9" t="str">
        <f>VLOOKUP($A17,'Выгр Кат'!$A:$R,F$1,0)</f>
        <v>21214-1006060-РМ</v>
      </c>
      <c r="G17" s="12" t="s">
        <v>36</v>
      </c>
      <c r="H17" s="12" t="s">
        <v>34</v>
      </c>
      <c r="I17" s="51">
        <f t="shared" si="1"/>
        <v>597</v>
      </c>
      <c r="J17" s="44">
        <f>VLOOKUP(I17,Наценка!$B$1:$C$8,2,1)</f>
        <v>1.631578947368421</v>
      </c>
      <c r="K17" s="38">
        <f t="shared" si="10"/>
        <v>925.6</v>
      </c>
      <c r="L17" s="49">
        <f t="shared" si="2"/>
        <v>929</v>
      </c>
      <c r="M17" s="9">
        <f>VLOOKUP($A17,'Выгр Кат'!$A:$R,M$1,0)</f>
        <v>597</v>
      </c>
      <c r="N17" s="9">
        <f>VLOOKUP($A17,'Выгр Кат'!$A:$R,N$1,0)</f>
        <v>989</v>
      </c>
      <c r="O17" s="25">
        <f t="shared" si="3"/>
        <v>0</v>
      </c>
      <c r="P17" s="25">
        <f t="shared" si="4"/>
        <v>60</v>
      </c>
      <c r="Q17" s="32">
        <f t="shared" si="5"/>
        <v>863.96999999999991</v>
      </c>
      <c r="R17" s="55">
        <f>IFERROR((VLOOKUP($A17,'Из ГУГЛа'!$B:$G,6,0)+T17)*S17,VLOOKUP($A17,'Из ГУГЛа'!$B:$G,6,0))</f>
        <v>890</v>
      </c>
      <c r="S17" s="33">
        <v>1</v>
      </c>
      <c r="T17" s="33">
        <v>0</v>
      </c>
      <c r="U17" s="34">
        <f t="shared" si="6"/>
        <v>0.447185929648241</v>
      </c>
      <c r="V17" s="34">
        <f t="shared" si="7"/>
        <v>2.9247191011236053E-2</v>
      </c>
      <c r="W17" s="34">
        <f t="shared" si="8"/>
        <v>0.49078726968174213</v>
      </c>
      <c r="X17" s="35">
        <v>890</v>
      </c>
      <c r="Y17" t="s">
        <v>78</v>
      </c>
    </row>
    <row r="18" spans="1:25" ht="60" x14ac:dyDescent="0.25">
      <c r="A18" s="9">
        <v>158505</v>
      </c>
      <c r="B18" s="9">
        <f>VLOOKUP($A18,'Выгр Кат'!$A:$R,B$1,0)</f>
        <v>117311</v>
      </c>
      <c r="C18" s="23" t="str">
        <f>VLOOKUP($A18,'Выгр Кат'!$A:$R,C$1,0)</f>
        <v>Комплект деталей для ремонта привода ГРМ "РУСМАШ" Classic для ВАЗ 2101-2107 (двигатели ВАЗ 2103 / 2104 / 2106 / 21067)</v>
      </c>
      <c r="D18" s="9" t="str">
        <f>VLOOKUP($A18,'Выгр Кат'!$A:$R,D$1,0)</f>
        <v>Y</v>
      </c>
      <c r="E18" s="9" t="str">
        <f>VLOOKUP($A18,'Выгр Кат'!$A:$R,E$1,0)</f>
        <v>1ск6</v>
      </c>
      <c r="F18" s="9" t="str">
        <f>VLOOKUP($A18,'Выгр Кат'!$A:$R,F$1,0)</f>
        <v>09-1006001</v>
      </c>
      <c r="G18" s="12" t="s">
        <v>35</v>
      </c>
      <c r="H18" s="12" t="s">
        <v>34</v>
      </c>
      <c r="I18" s="51">
        <f t="shared" si="1"/>
        <v>3100</v>
      </c>
      <c r="J18" s="44">
        <f>VLOOKUP(I18,Наценка!$B$1:$C$8,2,1)</f>
        <v>1.4736842105263157</v>
      </c>
      <c r="K18" s="38">
        <f t="shared" si="10"/>
        <v>4773.6000000000004</v>
      </c>
      <c r="L18" s="49">
        <f t="shared" si="2"/>
        <v>4790</v>
      </c>
      <c r="M18" s="9">
        <f>VLOOKUP($A18,'Выгр Кат'!$A:$R,M$1,0)</f>
        <v>3100</v>
      </c>
      <c r="N18" s="9">
        <f>VLOOKUP($A18,'Выгр Кат'!$A:$R,N$1,0)</f>
        <v>4790</v>
      </c>
      <c r="O18" s="25">
        <f t="shared" si="3"/>
        <v>0</v>
      </c>
      <c r="P18" s="25">
        <f t="shared" si="4"/>
        <v>0</v>
      </c>
      <c r="Q18" s="32">
        <f t="shared" si="5"/>
        <v>4454.7</v>
      </c>
      <c r="R18" s="55">
        <f>IFERROR((VLOOKUP($A18,'Из ГУГЛа'!$B:$G,6,0)+T18)*S18,VLOOKUP($A18,'Из ГУГЛа'!$B:$G,6,0))</f>
        <v>4590</v>
      </c>
      <c r="S18" s="33">
        <v>1</v>
      </c>
      <c r="T18" s="33">
        <v>0</v>
      </c>
      <c r="U18" s="34">
        <f t="shared" si="6"/>
        <v>0.43699999999999983</v>
      </c>
      <c r="V18" s="34">
        <f t="shared" si="7"/>
        <v>2.9477124183006576E-2</v>
      </c>
      <c r="W18" s="34">
        <f t="shared" si="8"/>
        <v>0.48064516129032264</v>
      </c>
      <c r="X18" s="35">
        <v>4590</v>
      </c>
      <c r="Y18" t="s">
        <v>74</v>
      </c>
    </row>
    <row r="22" spans="1:25" x14ac:dyDescent="0.25">
      <c r="K22" s="48">
        <f t="shared" ref="K22" si="11">I22*J22*100/95</f>
        <v>0</v>
      </c>
    </row>
    <row r="23" spans="1:25" x14ac:dyDescent="0.25">
      <c r="K23" s="36">
        <f>X23*1</f>
        <v>0</v>
      </c>
    </row>
    <row r="24" spans="1:25" x14ac:dyDescent="0.25">
      <c r="K24" s="37">
        <f>X24*1.02</f>
        <v>0</v>
      </c>
    </row>
    <row r="25" spans="1:25" x14ac:dyDescent="0.25">
      <c r="K25" s="38">
        <f>X25*1.04</f>
        <v>0</v>
      </c>
    </row>
    <row r="26" spans="1:25" x14ac:dyDescent="0.25">
      <c r="K26" s="39">
        <f>X26*1.05</f>
        <v>0</v>
      </c>
    </row>
    <row r="27" spans="1:25" x14ac:dyDescent="0.25">
      <c r="K27" s="39">
        <f>X27*1.06</f>
        <v>0</v>
      </c>
    </row>
    <row r="28" spans="1:25" x14ac:dyDescent="0.25">
      <c r="K28" s="40">
        <f>X28*1.07</f>
        <v>0</v>
      </c>
    </row>
    <row r="29" spans="1:25" x14ac:dyDescent="0.25">
      <c r="K29" s="41">
        <f>X29*1.08</f>
        <v>0</v>
      </c>
    </row>
    <row r="30" spans="1:25" x14ac:dyDescent="0.25">
      <c r="K30" s="50">
        <f>I30*1.15*100/93</f>
        <v>0</v>
      </c>
    </row>
  </sheetData>
  <sheetProtection formatCells="0" formatColumns="0" formatRows="0" insertColumns="0" insertRows="0" insertHyperlinks="0" deleteColumns="0" deleteRows="0" sort="0" autoFilter="0" pivotTables="0"/>
  <autoFilter ref="A2:Y18" xr:uid="{5645EBC5-C7BE-4D95-8BE2-66C952B0F376}"/>
  <conditionalFormatting sqref="C3:C18">
    <cfRule type="expression" dxfId="6" priority="6">
      <formula>OR(D3="N",E3="0")</formula>
    </cfRule>
  </conditionalFormatting>
  <conditionalFormatting sqref="A3:A18">
    <cfRule type="expression" dxfId="5" priority="5">
      <formula>AND(ROUNDDOWN($P3,0)=0,ROUNDDOWN($O3,0)=0)</formula>
    </cfRule>
  </conditionalFormatting>
  <conditionalFormatting sqref="R2:R18">
    <cfRule type="expression" dxfId="4" priority="1">
      <formula>VALUE(R2)&lt;&gt;X2</formula>
    </cfRule>
  </conditionalFormatting>
  <conditionalFormatting sqref="U3:U18">
    <cfRule type="cellIs" dxfId="3" priority="4" operator="lessThan">
      <formula>0.15</formula>
    </cfRule>
  </conditionalFormatting>
  <conditionalFormatting sqref="V3:V18">
    <cfRule type="cellIs" dxfId="2" priority="3" operator="lessThan">
      <formula>0%</formula>
    </cfRule>
  </conditionalFormatting>
  <conditionalFormatting sqref="W3:W18">
    <cfRule type="cellIs" dxfId="1" priority="2" operator="lessThan">
      <formula>0.15</formula>
    </cfRule>
  </conditionalFormatting>
  <pageMargins left="0.7" right="0.7" top="0.75" bottom="0.75" header="0.3" footer="0.3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FCC9E-3E4E-4BA0-98FB-09025911192D}">
  <sheetPr codeName="Лист5"/>
  <dimension ref="A1:C8"/>
  <sheetViews>
    <sheetView workbookViewId="0">
      <selection activeCell="E6" sqref="E6"/>
    </sheetView>
  </sheetViews>
  <sheetFormatPr defaultRowHeight="15" x14ac:dyDescent="0.25"/>
  <sheetData>
    <row r="1" spans="1:3" ht="15.75" thickBot="1" x14ac:dyDescent="0.3">
      <c r="A1" s="16" t="s">
        <v>34</v>
      </c>
      <c r="B1" s="17">
        <v>0.1</v>
      </c>
      <c r="C1" s="53">
        <v>2.1052631578947367</v>
      </c>
    </row>
    <row r="2" spans="1:3" ht="15.75" thickBot="1" x14ac:dyDescent="0.3">
      <c r="A2" s="18" t="s">
        <v>34</v>
      </c>
      <c r="B2" s="19">
        <v>100</v>
      </c>
      <c r="C2" s="54">
        <v>1.8947368421052631</v>
      </c>
    </row>
    <row r="3" spans="1:3" ht="15.75" thickBot="1" x14ac:dyDescent="0.3">
      <c r="A3" s="18" t="s">
        <v>34</v>
      </c>
      <c r="B3" s="19">
        <v>300</v>
      </c>
      <c r="C3" s="54">
        <v>1.6842105263157894</v>
      </c>
    </row>
    <row r="4" spans="1:3" ht="15.75" thickBot="1" x14ac:dyDescent="0.3">
      <c r="A4" s="18" t="s">
        <v>34</v>
      </c>
      <c r="B4" s="19">
        <v>500</v>
      </c>
      <c r="C4" s="54">
        <v>1.631578947368421</v>
      </c>
    </row>
    <row r="5" spans="1:3" ht="15.75" thickBot="1" x14ac:dyDescent="0.3">
      <c r="A5" s="18" t="s">
        <v>34</v>
      </c>
      <c r="B5" s="19">
        <v>1000</v>
      </c>
      <c r="C5" s="54">
        <v>1.5789473684210527</v>
      </c>
    </row>
    <row r="6" spans="1:3" ht="15.75" thickBot="1" x14ac:dyDescent="0.3">
      <c r="A6" s="18" t="s">
        <v>34</v>
      </c>
      <c r="B6" s="19">
        <v>2000</v>
      </c>
      <c r="C6" s="54">
        <v>1.4736842105263157</v>
      </c>
    </row>
    <row r="7" spans="1:3" ht="15.75" thickBot="1" x14ac:dyDescent="0.3">
      <c r="A7" s="18" t="s">
        <v>34</v>
      </c>
      <c r="B7" s="19">
        <v>5000</v>
      </c>
      <c r="C7" s="54">
        <v>1.4210526315789473</v>
      </c>
    </row>
    <row r="8" spans="1:3" ht="15.75" thickBot="1" x14ac:dyDescent="0.3">
      <c r="A8" s="18" t="s">
        <v>34</v>
      </c>
      <c r="B8" s="19">
        <v>10000</v>
      </c>
      <c r="C8" s="54">
        <v>1.368421052631579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0BAEE-8737-42C4-AFF1-814016EF614B}">
  <sheetPr codeName="Лист1"/>
  <dimension ref="A1:H22"/>
  <sheetViews>
    <sheetView workbookViewId="0">
      <selection activeCell="A16" sqref="A16"/>
    </sheetView>
  </sheetViews>
  <sheetFormatPr defaultRowHeight="15" x14ac:dyDescent="0.25"/>
  <cols>
    <col min="1" max="1" width="71" style="5" customWidth="1"/>
    <col min="2" max="2" width="15.140625" bestFit="1" customWidth="1"/>
    <col min="3" max="3" width="56.28515625" bestFit="1" customWidth="1"/>
    <col min="4" max="4" width="30.42578125" customWidth="1"/>
    <col min="5" max="7" width="10.140625" bestFit="1" customWidth="1"/>
    <col min="8" max="8" width="10.42578125" bestFit="1" customWidth="1"/>
  </cols>
  <sheetData>
    <row r="1" spans="1:8" x14ac:dyDescent="0.25">
      <c r="A1" s="5" t="s">
        <v>32</v>
      </c>
      <c r="G1" t="s">
        <v>33</v>
      </c>
    </row>
    <row r="2" spans="1:8" ht="30" x14ac:dyDescent="0.25">
      <c r="A2" s="6" t="s">
        <v>16</v>
      </c>
      <c r="G2" s="4">
        <v>1511</v>
      </c>
      <c r="H2" t="s">
        <v>30</v>
      </c>
    </row>
    <row r="3" spans="1:8" x14ac:dyDescent="0.25">
      <c r="A3" s="6" t="s">
        <v>17</v>
      </c>
      <c r="G3" s="4">
        <v>1520</v>
      </c>
      <c r="H3" t="s">
        <v>30</v>
      </c>
    </row>
    <row r="4" spans="1:8" x14ac:dyDescent="0.25">
      <c r="A4" s="7"/>
      <c r="B4" s="8"/>
      <c r="C4" s="8"/>
      <c r="D4" s="8"/>
      <c r="E4" s="8"/>
      <c r="F4" s="8"/>
      <c r="G4" s="8"/>
      <c r="H4" s="8"/>
    </row>
    <row r="5" spans="1:8" ht="30" x14ac:dyDescent="0.25">
      <c r="A5" s="6" t="s">
        <v>4</v>
      </c>
      <c r="G5" s="4">
        <v>568</v>
      </c>
      <c r="H5" t="s">
        <v>30</v>
      </c>
    </row>
    <row r="6" spans="1:8" ht="30" x14ac:dyDescent="0.25">
      <c r="A6" s="6" t="s">
        <v>5</v>
      </c>
      <c r="B6" s="1" t="s">
        <v>8</v>
      </c>
      <c r="C6" s="9" t="s">
        <v>18</v>
      </c>
      <c r="G6" s="4">
        <v>2581</v>
      </c>
      <c r="H6" t="s">
        <v>30</v>
      </c>
    </row>
    <row r="7" spans="1:8" ht="30" x14ac:dyDescent="0.25">
      <c r="A7" s="6" t="s">
        <v>6</v>
      </c>
      <c r="G7" s="4">
        <v>1250</v>
      </c>
      <c r="H7" t="s">
        <v>30</v>
      </c>
    </row>
    <row r="8" spans="1:8" ht="30" x14ac:dyDescent="0.25">
      <c r="A8" s="6" t="s">
        <v>7</v>
      </c>
      <c r="B8" s="3">
        <v>21120100613500</v>
      </c>
      <c r="C8" s="2" t="s">
        <v>0</v>
      </c>
      <c r="D8" s="2" t="s">
        <v>1</v>
      </c>
      <c r="E8" s="2" t="s">
        <v>31</v>
      </c>
      <c r="F8" s="4">
        <v>904.18</v>
      </c>
      <c r="G8" s="4">
        <v>1246</v>
      </c>
      <c r="H8" t="s">
        <v>30</v>
      </c>
    </row>
    <row r="9" spans="1:8" x14ac:dyDescent="0.25">
      <c r="A9" s="7"/>
      <c r="B9" s="8"/>
      <c r="C9" s="8"/>
      <c r="D9" s="8"/>
      <c r="E9" s="8"/>
      <c r="F9" s="8"/>
      <c r="G9" s="8"/>
      <c r="H9" s="8"/>
    </row>
    <row r="10" spans="1:8" x14ac:dyDescent="0.25">
      <c r="A10" s="6" t="s">
        <v>9</v>
      </c>
      <c r="G10" s="4">
        <v>762</v>
      </c>
      <c r="H10" t="s">
        <v>30</v>
      </c>
    </row>
    <row r="11" spans="1:8" ht="30" x14ac:dyDescent="0.25">
      <c r="A11" s="6" t="s">
        <v>10</v>
      </c>
      <c r="G11" s="4">
        <v>762</v>
      </c>
      <c r="H11" t="s">
        <v>30</v>
      </c>
    </row>
    <row r="12" spans="1:8" x14ac:dyDescent="0.25">
      <c r="A12" s="6" t="s">
        <v>11</v>
      </c>
      <c r="B12" s="3">
        <v>21010100606082</v>
      </c>
      <c r="C12" s="2" t="s">
        <v>14</v>
      </c>
      <c r="D12" s="2" t="s">
        <v>3</v>
      </c>
      <c r="E12" s="2" t="s">
        <v>31</v>
      </c>
      <c r="F12" s="4">
        <v>646.58000000000004</v>
      </c>
      <c r="G12" s="4">
        <v>597</v>
      </c>
      <c r="H12" t="s">
        <v>30</v>
      </c>
    </row>
    <row r="13" spans="1:8" x14ac:dyDescent="0.25">
      <c r="A13" s="6" t="s">
        <v>12</v>
      </c>
      <c r="B13" s="3">
        <v>21214100606082</v>
      </c>
      <c r="C13" s="2" t="s">
        <v>2</v>
      </c>
      <c r="D13" s="2" t="s">
        <v>3</v>
      </c>
      <c r="E13" s="2" t="s">
        <v>31</v>
      </c>
      <c r="F13" s="4">
        <v>646.58000000000004</v>
      </c>
      <c r="G13" s="4">
        <v>597</v>
      </c>
      <c r="H13" t="s">
        <v>30</v>
      </c>
    </row>
    <row r="14" spans="1:8" x14ac:dyDescent="0.25">
      <c r="A14" s="7"/>
      <c r="B14" s="8"/>
      <c r="C14" s="8"/>
      <c r="D14" s="8"/>
      <c r="E14" s="8"/>
      <c r="F14" s="8"/>
      <c r="G14" s="8"/>
      <c r="H14" s="8"/>
    </row>
    <row r="15" spans="1:8" ht="30" x14ac:dyDescent="0.25">
      <c r="A15" s="6" t="s">
        <v>15</v>
      </c>
      <c r="B15" s="3">
        <v>21030100604000</v>
      </c>
      <c r="C15" s="2" t="s">
        <v>13</v>
      </c>
      <c r="D15" s="2" t="s">
        <v>1</v>
      </c>
      <c r="E15" s="2" t="s">
        <v>31</v>
      </c>
      <c r="F15" s="4">
        <v>3516.11</v>
      </c>
      <c r="G15" s="4">
        <v>3232</v>
      </c>
      <c r="H15" t="s">
        <v>30</v>
      </c>
    </row>
    <row r="16" spans="1:8" ht="30" x14ac:dyDescent="0.25">
      <c r="A16" s="6" t="s">
        <v>19</v>
      </c>
      <c r="B16" s="1" t="s">
        <v>8</v>
      </c>
      <c r="C16" s="10" t="s">
        <v>22</v>
      </c>
      <c r="G16" s="4">
        <v>3958</v>
      </c>
      <c r="H16" t="s">
        <v>30</v>
      </c>
    </row>
    <row r="17" spans="1:8" x14ac:dyDescent="0.25">
      <c r="A17" s="6" t="s">
        <v>20</v>
      </c>
      <c r="B17" s="1" t="s">
        <v>8</v>
      </c>
      <c r="C17" s="10" t="s">
        <v>21</v>
      </c>
      <c r="G17" s="4">
        <v>5956</v>
      </c>
      <c r="H17" t="s">
        <v>30</v>
      </c>
    </row>
    <row r="18" spans="1:8" x14ac:dyDescent="0.25">
      <c r="A18" s="6" t="s">
        <v>23</v>
      </c>
      <c r="B18" s="1" t="s">
        <v>8</v>
      </c>
      <c r="C18" s="10" t="s">
        <v>26</v>
      </c>
      <c r="G18" s="4">
        <v>3888</v>
      </c>
      <c r="H18" t="s">
        <v>30</v>
      </c>
    </row>
    <row r="19" spans="1:8" x14ac:dyDescent="0.25">
      <c r="A19" s="6" t="s">
        <v>24</v>
      </c>
      <c r="B19" s="1" t="s">
        <v>8</v>
      </c>
      <c r="C19" s="10" t="s">
        <v>27</v>
      </c>
      <c r="G19" s="4">
        <v>2257</v>
      </c>
      <c r="H19" t="s">
        <v>30</v>
      </c>
    </row>
    <row r="20" spans="1:8" x14ac:dyDescent="0.25">
      <c r="A20" s="6" t="s">
        <v>25</v>
      </c>
      <c r="B20" s="1" t="s">
        <v>8</v>
      </c>
      <c r="C20" s="10" t="s">
        <v>28</v>
      </c>
      <c r="G20" s="4">
        <v>3785</v>
      </c>
      <c r="H20" t="s">
        <v>30</v>
      </c>
    </row>
    <row r="21" spans="1:8" x14ac:dyDescent="0.25">
      <c r="A21" s="7"/>
      <c r="B21" s="8"/>
      <c r="C21" s="8"/>
      <c r="D21" s="8"/>
      <c r="E21" s="8"/>
      <c r="F21" s="8"/>
      <c r="G21" s="8"/>
      <c r="H21" s="8"/>
    </row>
    <row r="22" spans="1:8" ht="30" x14ac:dyDescent="0.25">
      <c r="A22" s="6" t="s">
        <v>29</v>
      </c>
      <c r="G22" s="4">
        <v>3232</v>
      </c>
      <c r="H22" t="s">
        <v>30</v>
      </c>
    </row>
  </sheetData>
  <autoFilter ref="A1:H22" xr:uid="{A3CBDF96-50D4-4B3B-B910-5F99C585ED15}"/>
  <hyperlinks>
    <hyperlink ref="A5" r:id="rId1" xr:uid="{3DBDB8AF-E16E-47B7-B160-D2AC4031A2A9}"/>
    <hyperlink ref="A6" r:id="rId2" xr:uid="{A53B5A40-2AB4-4DDA-AD8F-7C7DB891A918}"/>
    <hyperlink ref="A7" r:id="rId3" xr:uid="{605C871D-14E8-467A-A0E2-796DD7430257}"/>
    <hyperlink ref="A8" r:id="rId4" xr:uid="{59E1877E-8DBA-4AB7-9B2B-2BACC252D5CA}"/>
    <hyperlink ref="A2" r:id="rId5" xr:uid="{5B43013F-49D7-4BC7-A31A-44BD6DB6F651}"/>
    <hyperlink ref="A3" r:id="rId6" xr:uid="{2FE9790F-0475-49BD-9A2D-138D43B55D1D}"/>
    <hyperlink ref="A10" r:id="rId7" xr:uid="{192730EC-6A1A-4AC0-8FC8-4C4A2D96E04B}"/>
    <hyperlink ref="A11" r:id="rId8" xr:uid="{D719BB5F-DFE8-4FE6-AAD4-A807D3B00CDC}"/>
    <hyperlink ref="A12" r:id="rId9" xr:uid="{1F719517-D563-49BF-87EE-C4136310BC6B}"/>
    <hyperlink ref="A13" r:id="rId10" xr:uid="{E4C668BF-3DD0-4C34-A4C2-E3E78AE48B2D}"/>
    <hyperlink ref="A15" r:id="rId11" xr:uid="{0D1A5BF9-E030-4DB9-B47C-255B0F140935}"/>
    <hyperlink ref="B6" r:id="rId12" xr:uid="{CC1E0B3E-628A-4767-A0A1-85C15E55459D}"/>
    <hyperlink ref="B16" r:id="rId13" xr:uid="{DC4A8FAA-BD16-4E61-983F-F8B7B195221D}"/>
    <hyperlink ref="B17" r:id="rId14" xr:uid="{ED6C3296-D06B-46F7-9CAC-0D4D4844FD24}"/>
    <hyperlink ref="B18" r:id="rId15" xr:uid="{5031E543-73CB-4C18-A617-CEF3CB81FF2F}"/>
    <hyperlink ref="B19" r:id="rId16" xr:uid="{567460E7-DECA-4579-A6F1-FE9881979369}"/>
    <hyperlink ref="B20" r:id="rId17" xr:uid="{4D2D79EE-C5C0-41F2-B41A-1FCE2D272673}"/>
    <hyperlink ref="A22" r:id="rId18" xr:uid="{3F32B812-5D1E-4938-B73D-06A1BC0738AD}"/>
    <hyperlink ref="A16" r:id="rId19" xr:uid="{F8733EE0-BA92-4859-B5B8-D34014C4856A}"/>
    <hyperlink ref="A17" r:id="rId20" xr:uid="{BB1D2322-BF35-48BA-94BA-8A5FC76D8040}"/>
    <hyperlink ref="A18" r:id="rId21" xr:uid="{5DFC32EF-9A77-4941-B3C0-34BFD0A66C0E}"/>
    <hyperlink ref="A19" r:id="rId22" xr:uid="{A20BE647-A501-47CC-891A-1F1B911E456C}"/>
    <hyperlink ref="A20" r:id="rId23" xr:uid="{35C2A772-596A-46C4-993B-4D0E37E76CD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50331-3854-4DA9-8ACE-118FC6D29DCD}">
  <sheetPr codeName="Лист2"/>
  <dimension ref="A1:C11"/>
  <sheetViews>
    <sheetView workbookViewId="0">
      <selection activeCell="C1" sqref="C1"/>
    </sheetView>
  </sheetViews>
  <sheetFormatPr defaultRowHeight="15" x14ac:dyDescent="0.25"/>
  <cols>
    <col min="1" max="1" width="109.28515625" customWidth="1"/>
    <col min="2" max="2" width="10.140625" bestFit="1" customWidth="1"/>
  </cols>
  <sheetData>
    <row r="1" spans="1:3" x14ac:dyDescent="0.25">
      <c r="A1" s="6" t="s">
        <v>16</v>
      </c>
      <c r="B1" s="4">
        <v>1511</v>
      </c>
      <c r="C1" t="s">
        <v>34</v>
      </c>
    </row>
    <row r="2" spans="1:3" x14ac:dyDescent="0.25">
      <c r="A2" s="6" t="s">
        <v>17</v>
      </c>
      <c r="B2" s="4">
        <v>1520</v>
      </c>
      <c r="C2" t="s">
        <v>34</v>
      </c>
    </row>
    <row r="3" spans="1:3" x14ac:dyDescent="0.25">
      <c r="A3" s="6" t="s">
        <v>4</v>
      </c>
      <c r="B3" s="4">
        <v>568</v>
      </c>
      <c r="C3" t="s">
        <v>34</v>
      </c>
    </row>
    <row r="4" spans="1:3" ht="30" x14ac:dyDescent="0.25">
      <c r="A4" s="6" t="s">
        <v>6</v>
      </c>
      <c r="B4" s="4">
        <v>1250</v>
      </c>
      <c r="C4" t="s">
        <v>34</v>
      </c>
    </row>
    <row r="5" spans="1:3" ht="30" x14ac:dyDescent="0.25">
      <c r="A5" s="6" t="s">
        <v>7</v>
      </c>
      <c r="B5" s="4">
        <v>1246</v>
      </c>
      <c r="C5" t="s">
        <v>34</v>
      </c>
    </row>
    <row r="6" spans="1:3" x14ac:dyDescent="0.25">
      <c r="A6" s="6" t="s">
        <v>9</v>
      </c>
      <c r="B6" s="4">
        <v>762</v>
      </c>
      <c r="C6" t="s">
        <v>34</v>
      </c>
    </row>
    <row r="7" spans="1:3" x14ac:dyDescent="0.25">
      <c r="A7" s="6" t="s">
        <v>10</v>
      </c>
      <c r="B7" s="4">
        <v>762</v>
      </c>
      <c r="C7" t="s">
        <v>34</v>
      </c>
    </row>
    <row r="8" spans="1:3" x14ac:dyDescent="0.25">
      <c r="A8" s="6" t="s">
        <v>11</v>
      </c>
      <c r="B8" s="4">
        <v>597</v>
      </c>
      <c r="C8" t="s">
        <v>34</v>
      </c>
    </row>
    <row r="9" spans="1:3" x14ac:dyDescent="0.25">
      <c r="A9" s="6" t="s">
        <v>12</v>
      </c>
      <c r="B9" s="4">
        <v>597</v>
      </c>
      <c r="C9" t="s">
        <v>34</v>
      </c>
    </row>
    <row r="10" spans="1:3" x14ac:dyDescent="0.25">
      <c r="A10" s="6" t="s">
        <v>15</v>
      </c>
      <c r="B10" s="4">
        <v>3232</v>
      </c>
      <c r="C10" t="s">
        <v>34</v>
      </c>
    </row>
    <row r="11" spans="1:3" x14ac:dyDescent="0.25">
      <c r="A11" s="6" t="s">
        <v>29</v>
      </c>
      <c r="B11" s="4">
        <v>3232</v>
      </c>
      <c r="C11" t="s">
        <v>34</v>
      </c>
    </row>
  </sheetData>
  <hyperlinks>
    <hyperlink ref="A3" r:id="rId1" xr:uid="{534C46F9-4438-4186-B91A-D5929306C4B3}"/>
    <hyperlink ref="A1" r:id="rId2" xr:uid="{CD36DC51-BDB8-4B4C-903D-2B4B5885A12F}"/>
    <hyperlink ref="A2" r:id="rId3" xr:uid="{9CC5B30D-7734-41BF-B2D6-66D146E94A05}"/>
    <hyperlink ref="A4" r:id="rId4" xr:uid="{3EBBF4CE-7B2E-4780-9615-9067D50561E1}"/>
    <hyperlink ref="A5" r:id="rId5" xr:uid="{D80F19AC-182D-461C-9580-3551AF4A5467}"/>
    <hyperlink ref="A6" r:id="rId6" xr:uid="{41B9E572-BFEC-4465-84F9-B45A31ED6B16}"/>
    <hyperlink ref="A7" r:id="rId7" xr:uid="{B520B501-3E9A-4C05-BBDD-1EE57A839FD8}"/>
    <hyperlink ref="A8" r:id="rId8" xr:uid="{755F8CC0-7D16-4B51-9382-05EE9B8E098A}"/>
    <hyperlink ref="A9" r:id="rId9" xr:uid="{9ECD1115-C2C4-452E-A8D6-E296E9D09A90}"/>
    <hyperlink ref="A10" r:id="rId10" xr:uid="{D28D7301-60DB-459E-A391-D24D71668FEB}"/>
    <hyperlink ref="A11" r:id="rId11" xr:uid="{DCB065F6-6339-4140-9F73-5A422EBE14B9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16624-1A9E-4B63-8947-B5ACF9FBD918}">
  <sheetPr codeName="Лист6">
    <outlinePr summaryBelow="0"/>
  </sheetPr>
  <dimension ref="A1:O17"/>
  <sheetViews>
    <sheetView showRuler="0" zoomScaleNormal="100" workbookViewId="0">
      <pane ySplit="1" topLeftCell="A2" activePane="bottomLeft" state="frozen"/>
      <selection pane="bottomLeft" activeCell="C6" sqref="C6:C7"/>
    </sheetView>
  </sheetViews>
  <sheetFormatPr defaultRowHeight="15" x14ac:dyDescent="0.25"/>
  <cols>
    <col min="1" max="2" width="7" style="11" bestFit="1" customWidth="1"/>
    <col min="3" max="3" width="43.7109375" style="11" customWidth="1"/>
    <col min="4" max="4" width="7.5703125" style="11" bestFit="1" customWidth="1"/>
    <col min="5" max="5" width="21.85546875" style="11" bestFit="1" customWidth="1"/>
    <col min="6" max="6" width="22.42578125" style="11" bestFit="1" customWidth="1"/>
    <col min="7" max="7" width="13.28515625" style="11" bestFit="1" customWidth="1"/>
    <col min="8" max="8" width="8.42578125" style="11" bestFit="1" customWidth="1"/>
    <col min="9" max="9" width="10.85546875" style="11" bestFit="1" customWidth="1"/>
    <col min="10" max="10" width="48.85546875" style="11" bestFit="1" customWidth="1"/>
    <col min="11" max="11" width="9.5703125" style="11" bestFit="1" customWidth="1"/>
    <col min="12" max="12" width="8.85546875" style="11" bestFit="1" customWidth="1"/>
    <col min="13" max="13" width="12.140625" style="11" bestFit="1" customWidth="1"/>
    <col min="14" max="14" width="4.85546875" style="11" bestFit="1" customWidth="1"/>
    <col min="15" max="15" width="9.28515625" style="11" bestFit="1" customWidth="1"/>
    <col min="16" max="16384" width="9.140625" style="11"/>
  </cols>
  <sheetData>
    <row r="1" spans="1:15" s="13" customFormat="1" x14ac:dyDescent="0.25">
      <c r="A1" s="56" t="s">
        <v>61</v>
      </c>
      <c r="B1" s="56" t="s">
        <v>81</v>
      </c>
      <c r="C1" s="56" t="s">
        <v>82</v>
      </c>
      <c r="D1" s="56" t="s">
        <v>83</v>
      </c>
      <c r="E1" s="56" t="s">
        <v>84</v>
      </c>
      <c r="F1" s="56" t="s">
        <v>85</v>
      </c>
      <c r="G1" s="56" t="s">
        <v>58</v>
      </c>
      <c r="H1" s="56" t="s">
        <v>33</v>
      </c>
      <c r="I1" s="56" t="s">
        <v>57</v>
      </c>
      <c r="J1" s="56" t="s">
        <v>86</v>
      </c>
      <c r="K1" s="56" t="s">
        <v>87</v>
      </c>
      <c r="L1" s="56" t="s">
        <v>88</v>
      </c>
      <c r="M1" s="56" t="s">
        <v>54</v>
      </c>
      <c r="N1" s="21"/>
      <c r="O1" s="21"/>
    </row>
    <row r="2" spans="1:15" ht="30" x14ac:dyDescent="0.25">
      <c r="A2" s="57">
        <v>131450</v>
      </c>
      <c r="B2" s="57">
        <v>117181</v>
      </c>
      <c r="C2" s="58" t="s">
        <v>89</v>
      </c>
      <c r="D2" s="58" t="s">
        <v>90</v>
      </c>
      <c r="E2" s="58" t="s">
        <v>70</v>
      </c>
      <c r="F2" s="58" t="s">
        <v>37</v>
      </c>
      <c r="G2" s="58" t="s">
        <v>34</v>
      </c>
      <c r="H2" s="59">
        <v>597</v>
      </c>
      <c r="I2" s="59">
        <v>989</v>
      </c>
      <c r="J2" s="58" t="s">
        <v>77</v>
      </c>
      <c r="K2" s="58" t="s">
        <v>56</v>
      </c>
      <c r="L2" s="58"/>
      <c r="M2" s="58"/>
      <c r="N2" s="21" t="str">
        <f>_xlfn.CONCAT(K2,IF(L2&lt;&gt;"",_xlfn.CONCAT("ск",L2),""))</f>
        <v>1</v>
      </c>
      <c r="O2" s="21" t="str">
        <f>INDEX(Кат!$H:$H,MATCH($A2,Кат!$A:$A,0))</f>
        <v>РУСМАШ</v>
      </c>
    </row>
    <row r="3" spans="1:15" ht="30" x14ac:dyDescent="0.25">
      <c r="A3" s="57">
        <v>131451</v>
      </c>
      <c r="B3" s="57">
        <v>117207</v>
      </c>
      <c r="C3" s="58" t="s">
        <v>91</v>
      </c>
      <c r="D3" s="58" t="s">
        <v>90</v>
      </c>
      <c r="E3" s="58" t="s">
        <v>36</v>
      </c>
      <c r="F3" s="58" t="s">
        <v>36</v>
      </c>
      <c r="G3" s="58" t="s">
        <v>34</v>
      </c>
      <c r="H3" s="59">
        <v>597</v>
      </c>
      <c r="I3" s="59">
        <v>989</v>
      </c>
      <c r="J3" s="58" t="s">
        <v>78</v>
      </c>
      <c r="K3" s="58" t="s">
        <v>56</v>
      </c>
      <c r="L3" s="58"/>
      <c r="M3" s="58"/>
      <c r="N3" s="21" t="str">
        <f t="shared" ref="N3:N17" si="0">_xlfn.CONCAT(K3,IF(L3&lt;&gt;"",_xlfn.CONCAT("ск",L3),""))</f>
        <v>1</v>
      </c>
      <c r="O3" s="21" t="str">
        <f>INDEX(Кат!$H:$H,MATCH($A3,Кат!$A:$A,0))</f>
        <v>РУСМАШ</v>
      </c>
    </row>
    <row r="4" spans="1:15" ht="30" x14ac:dyDescent="0.25">
      <c r="A4" s="57">
        <v>131452</v>
      </c>
      <c r="B4" s="57">
        <v>117132</v>
      </c>
      <c r="C4" s="58" t="s">
        <v>92</v>
      </c>
      <c r="D4" s="58" t="s">
        <v>90</v>
      </c>
      <c r="E4" s="58" t="s">
        <v>37</v>
      </c>
      <c r="F4" s="58" t="s">
        <v>37</v>
      </c>
      <c r="G4" s="58" t="s">
        <v>34</v>
      </c>
      <c r="H4" s="59">
        <v>762</v>
      </c>
      <c r="I4" s="59">
        <v>1290</v>
      </c>
      <c r="J4" s="58"/>
      <c r="K4" s="58" t="s">
        <v>56</v>
      </c>
      <c r="L4" s="58"/>
      <c r="M4" s="58"/>
      <c r="N4" s="21" t="str">
        <f t="shared" si="0"/>
        <v>1</v>
      </c>
      <c r="O4" s="21" t="str">
        <f>INDEX(Кат!$H:$H,MATCH($A4,Кат!$A:$A,0))</f>
        <v>РУСМАШ</v>
      </c>
    </row>
    <row r="5" spans="1:15" ht="30" x14ac:dyDescent="0.25">
      <c r="A5" s="57">
        <v>131453</v>
      </c>
      <c r="B5" s="57">
        <v>117105</v>
      </c>
      <c r="C5" s="58" t="s">
        <v>93</v>
      </c>
      <c r="D5" s="58" t="s">
        <v>90</v>
      </c>
      <c r="E5" s="58" t="s">
        <v>38</v>
      </c>
      <c r="F5" s="58" t="s">
        <v>38</v>
      </c>
      <c r="G5" s="58" t="s">
        <v>34</v>
      </c>
      <c r="H5" s="59">
        <v>762</v>
      </c>
      <c r="I5" s="59">
        <v>1290</v>
      </c>
      <c r="J5" s="58"/>
      <c r="K5" s="58" t="s">
        <v>56</v>
      </c>
      <c r="L5" s="58"/>
      <c r="M5" s="58"/>
      <c r="N5" s="21" t="str">
        <f t="shared" si="0"/>
        <v>1</v>
      </c>
      <c r="O5" s="21" t="str">
        <f>INDEX(Кат!$H:$H,MATCH($A5,Кат!$A:$A,0))</f>
        <v>РУСМАШ</v>
      </c>
    </row>
    <row r="6" spans="1:15" ht="45" x14ac:dyDescent="0.25">
      <c r="A6" s="57">
        <v>158505</v>
      </c>
      <c r="B6" s="57">
        <v>117311</v>
      </c>
      <c r="C6" s="58" t="s">
        <v>94</v>
      </c>
      <c r="D6" s="58" t="s">
        <v>90</v>
      </c>
      <c r="E6" s="58" t="s">
        <v>35</v>
      </c>
      <c r="F6" s="58" t="s">
        <v>35</v>
      </c>
      <c r="G6" s="58" t="s">
        <v>34</v>
      </c>
      <c r="H6" s="59">
        <v>3100</v>
      </c>
      <c r="I6" s="59">
        <v>4790</v>
      </c>
      <c r="J6" s="58" t="s">
        <v>74</v>
      </c>
      <c r="K6" s="58" t="s">
        <v>56</v>
      </c>
      <c r="L6" s="58" t="s">
        <v>55</v>
      </c>
      <c r="M6" s="58"/>
      <c r="N6" s="21" t="str">
        <f t="shared" si="0"/>
        <v>1ск6</v>
      </c>
      <c r="O6" s="21" t="str">
        <f>INDEX(Кат!$H:$H,MATCH($A6,Кат!$A:$A,0))</f>
        <v>РУСМАШ</v>
      </c>
    </row>
    <row r="7" spans="1:15" ht="30" x14ac:dyDescent="0.25">
      <c r="A7" s="57">
        <v>158507</v>
      </c>
      <c r="B7" s="57">
        <v>20963</v>
      </c>
      <c r="C7" s="58" t="s">
        <v>53</v>
      </c>
      <c r="D7" s="58" t="s">
        <v>90</v>
      </c>
      <c r="E7" s="58" t="s">
        <v>52</v>
      </c>
      <c r="F7" s="58" t="s">
        <v>52</v>
      </c>
      <c r="G7" s="58" t="s">
        <v>34</v>
      </c>
      <c r="H7" s="59">
        <v>2800</v>
      </c>
      <c r="I7" s="59">
        <v>4590</v>
      </c>
      <c r="J7" s="58" t="s">
        <v>76</v>
      </c>
      <c r="K7" s="58" t="s">
        <v>56</v>
      </c>
      <c r="L7" s="58"/>
      <c r="M7" s="58"/>
      <c r="N7" s="21" t="str">
        <f t="shared" si="0"/>
        <v>1</v>
      </c>
      <c r="O7" s="21" t="str">
        <f>INDEX(Кат!$H:$H,MATCH($A7,Кат!$A:$A,0))</f>
        <v>РУСМАШ</v>
      </c>
    </row>
    <row r="8" spans="1:15" ht="30" x14ac:dyDescent="0.25">
      <c r="A8" s="57">
        <v>158570</v>
      </c>
      <c r="B8" s="57">
        <v>115800</v>
      </c>
      <c r="C8" s="58" t="s">
        <v>45</v>
      </c>
      <c r="D8" s="58" t="s">
        <v>90</v>
      </c>
      <c r="E8" s="58" t="s">
        <v>44</v>
      </c>
      <c r="F8" s="58" t="s">
        <v>44</v>
      </c>
      <c r="G8" s="58" t="s">
        <v>34</v>
      </c>
      <c r="H8" s="59">
        <v>1511</v>
      </c>
      <c r="I8" s="59">
        <v>2390</v>
      </c>
      <c r="J8" s="58"/>
      <c r="K8" s="58" t="s">
        <v>56</v>
      </c>
      <c r="L8" s="58"/>
      <c r="M8" s="58"/>
      <c r="N8" s="21" t="str">
        <f t="shared" si="0"/>
        <v>1</v>
      </c>
      <c r="O8" s="21" t="str">
        <f>INDEX(Кат!$H:$H,MATCH($A8,Кат!$A:$A,0))</f>
        <v>РУСМАШ</v>
      </c>
    </row>
    <row r="9" spans="1:15" ht="30" x14ac:dyDescent="0.25">
      <c r="A9" s="57">
        <v>158571</v>
      </c>
      <c r="B9" s="57">
        <v>115810</v>
      </c>
      <c r="C9" s="58" t="s">
        <v>43</v>
      </c>
      <c r="D9" s="58" t="s">
        <v>90</v>
      </c>
      <c r="E9" s="58" t="s">
        <v>42</v>
      </c>
      <c r="F9" s="58" t="s">
        <v>42</v>
      </c>
      <c r="G9" s="58" t="s">
        <v>34</v>
      </c>
      <c r="H9" s="59">
        <v>1520</v>
      </c>
      <c r="I9" s="59">
        <v>2390</v>
      </c>
      <c r="J9" s="58"/>
      <c r="K9" s="58" t="s">
        <v>56</v>
      </c>
      <c r="L9" s="58"/>
      <c r="M9" s="58"/>
      <c r="N9" s="21" t="str">
        <f t="shared" si="0"/>
        <v>1</v>
      </c>
      <c r="O9" s="21" t="str">
        <f>INDEX(Кат!$H:$H,MATCH($A9,Кат!$A:$A,0))</f>
        <v>РУСМАШ</v>
      </c>
    </row>
    <row r="10" spans="1:15" ht="30" x14ac:dyDescent="0.25">
      <c r="A10" s="57">
        <v>159454</v>
      </c>
      <c r="B10" s="57">
        <v>35526</v>
      </c>
      <c r="C10" s="58" t="s">
        <v>95</v>
      </c>
      <c r="D10" s="58" t="s">
        <v>90</v>
      </c>
      <c r="E10" s="58" t="s">
        <v>48</v>
      </c>
      <c r="F10" s="58"/>
      <c r="G10" s="58" t="s">
        <v>34</v>
      </c>
      <c r="H10" s="59">
        <v>3300</v>
      </c>
      <c r="I10" s="59">
        <v>5090</v>
      </c>
      <c r="J10" s="58" t="s">
        <v>75</v>
      </c>
      <c r="K10" s="58" t="s">
        <v>56</v>
      </c>
      <c r="L10" s="58"/>
      <c r="M10" s="58"/>
      <c r="N10" s="21" t="str">
        <f t="shared" si="0"/>
        <v>1</v>
      </c>
      <c r="O10" s="21" t="str">
        <f>INDEX(Кат!$H:$H,MATCH($A10,Кат!$A:$A,0))</f>
        <v>РУСМАШ</v>
      </c>
    </row>
    <row r="11" spans="1:15" ht="60" x14ac:dyDescent="0.25">
      <c r="A11" s="57">
        <v>171813</v>
      </c>
      <c r="B11" s="57">
        <v>41405</v>
      </c>
      <c r="C11" s="58" t="s">
        <v>47</v>
      </c>
      <c r="D11" s="58" t="s">
        <v>90</v>
      </c>
      <c r="E11" s="58" t="s">
        <v>46</v>
      </c>
      <c r="F11" s="58" t="s">
        <v>46</v>
      </c>
      <c r="G11" s="58" t="s">
        <v>34</v>
      </c>
      <c r="H11" s="59">
        <v>2084</v>
      </c>
      <c r="I11" s="59">
        <v>3090</v>
      </c>
      <c r="J11" s="58"/>
      <c r="K11" s="58" t="s">
        <v>56</v>
      </c>
      <c r="L11" s="58" t="s">
        <v>55</v>
      </c>
      <c r="M11" s="58"/>
      <c r="N11" s="21" t="str">
        <f t="shared" si="0"/>
        <v>1ск6</v>
      </c>
      <c r="O11" s="21" t="str">
        <f>INDEX(Кат!$H:$H,MATCH($A11,Кат!$A:$A,0))</f>
        <v>РУСМАШ</v>
      </c>
    </row>
    <row r="12" spans="1:15" ht="30" x14ac:dyDescent="0.25">
      <c r="A12" s="57">
        <v>204388</v>
      </c>
      <c r="B12" s="57">
        <v>27570</v>
      </c>
      <c r="C12" s="58" t="s">
        <v>50</v>
      </c>
      <c r="D12" s="58" t="s">
        <v>90</v>
      </c>
      <c r="E12" s="58" t="s">
        <v>67</v>
      </c>
      <c r="F12" s="58"/>
      <c r="G12" s="58" t="s">
        <v>34</v>
      </c>
      <c r="H12" s="59">
        <v>1900</v>
      </c>
      <c r="I12" s="59">
        <v>2790</v>
      </c>
      <c r="J12" s="58" t="s">
        <v>72</v>
      </c>
      <c r="K12" s="58" t="s">
        <v>56</v>
      </c>
      <c r="L12" s="58"/>
      <c r="M12" s="58"/>
      <c r="N12" s="21" t="str">
        <f t="shared" si="0"/>
        <v>1</v>
      </c>
      <c r="O12" s="21" t="str">
        <f>INDEX(Кат!$H:$H,MATCH($A12,Кат!$A:$A,0))</f>
        <v>РУСМАШ</v>
      </c>
    </row>
    <row r="13" spans="1:15" ht="30" x14ac:dyDescent="0.25">
      <c r="A13" s="57">
        <v>204389</v>
      </c>
      <c r="B13" s="57">
        <v>27569</v>
      </c>
      <c r="C13" s="58" t="s">
        <v>51</v>
      </c>
      <c r="D13" s="58" t="s">
        <v>90</v>
      </c>
      <c r="E13" s="58" t="s">
        <v>66</v>
      </c>
      <c r="F13" s="58"/>
      <c r="G13" s="58" t="s">
        <v>34</v>
      </c>
      <c r="H13" s="59">
        <v>2900</v>
      </c>
      <c r="I13" s="59">
        <v>4390</v>
      </c>
      <c r="J13" s="58" t="s">
        <v>73</v>
      </c>
      <c r="K13" s="58" t="s">
        <v>56</v>
      </c>
      <c r="L13" s="58"/>
      <c r="M13" s="58"/>
      <c r="N13" s="21" t="str">
        <f t="shared" si="0"/>
        <v>1</v>
      </c>
      <c r="O13" s="21" t="str">
        <f>INDEX(Кат!$H:$H,MATCH($A13,Кат!$A:$A,0))</f>
        <v>РУСМАШ</v>
      </c>
    </row>
    <row r="14" spans="1:15" ht="45" x14ac:dyDescent="0.25">
      <c r="A14" s="57">
        <v>204390</v>
      </c>
      <c r="B14" s="57">
        <v>27571</v>
      </c>
      <c r="C14" s="58" t="s">
        <v>49</v>
      </c>
      <c r="D14" s="58" t="s">
        <v>90</v>
      </c>
      <c r="E14" s="58" t="s">
        <v>68</v>
      </c>
      <c r="F14" s="58"/>
      <c r="G14" s="58" t="s">
        <v>34</v>
      </c>
      <c r="H14" s="59">
        <v>3350</v>
      </c>
      <c r="I14" s="59">
        <v>4590</v>
      </c>
      <c r="J14" s="58" t="s">
        <v>71</v>
      </c>
      <c r="K14" s="58" t="s">
        <v>56</v>
      </c>
      <c r="L14" s="58"/>
      <c r="M14" s="58"/>
      <c r="N14" s="21" t="str">
        <f t="shared" si="0"/>
        <v>1</v>
      </c>
      <c r="O14" s="21" t="str">
        <f>INDEX(Кат!$H:$H,MATCH($A14,Кат!$A:$A,0))</f>
        <v>РУСМАШ</v>
      </c>
    </row>
    <row r="15" spans="1:15" ht="45" x14ac:dyDescent="0.25">
      <c r="A15" s="57">
        <v>208895</v>
      </c>
      <c r="B15" s="57">
        <v>115823</v>
      </c>
      <c r="C15" s="58" t="s">
        <v>96</v>
      </c>
      <c r="D15" s="58" t="s">
        <v>90</v>
      </c>
      <c r="E15" s="58" t="s">
        <v>41</v>
      </c>
      <c r="F15" s="58" t="s">
        <v>41</v>
      </c>
      <c r="G15" s="58" t="s">
        <v>34</v>
      </c>
      <c r="H15" s="59">
        <v>2300</v>
      </c>
      <c r="I15" s="59">
        <v>3390</v>
      </c>
      <c r="J15" s="58"/>
      <c r="K15" s="58" t="s">
        <v>56</v>
      </c>
      <c r="L15" s="58" t="s">
        <v>55</v>
      </c>
      <c r="M15" s="58" t="s">
        <v>90</v>
      </c>
      <c r="N15" s="21" t="str">
        <f t="shared" si="0"/>
        <v>1ск6</v>
      </c>
      <c r="O15" s="21" t="str">
        <f>INDEX(Кат!$H:$H,MATCH($A15,Кат!$A:$A,0))</f>
        <v>РУСМАШ</v>
      </c>
    </row>
    <row r="16" spans="1:15" ht="30" x14ac:dyDescent="0.25">
      <c r="A16" s="57">
        <v>208911</v>
      </c>
      <c r="B16" s="57">
        <v>116261</v>
      </c>
      <c r="C16" s="58" t="s">
        <v>115</v>
      </c>
      <c r="D16" s="58" t="s">
        <v>90</v>
      </c>
      <c r="E16" s="58" t="s">
        <v>39</v>
      </c>
      <c r="F16" s="58" t="s">
        <v>39</v>
      </c>
      <c r="G16" s="58" t="s">
        <v>34</v>
      </c>
      <c r="H16" s="59">
        <v>1246</v>
      </c>
      <c r="I16" s="59">
        <v>1990</v>
      </c>
      <c r="J16" s="58"/>
      <c r="K16" s="58" t="s">
        <v>56</v>
      </c>
      <c r="L16" s="58"/>
      <c r="M16" s="58"/>
      <c r="N16" s="21" t="str">
        <f t="shared" si="0"/>
        <v>1</v>
      </c>
      <c r="O16" s="21" t="str">
        <f>INDEX(Кат!$H:$H,MATCH($A16,Кат!$A:$A,0))</f>
        <v>РУСМАШ</v>
      </c>
    </row>
    <row r="17" spans="1:15" ht="45" x14ac:dyDescent="0.25">
      <c r="A17" s="57">
        <v>208912</v>
      </c>
      <c r="B17" s="57">
        <v>115844</v>
      </c>
      <c r="C17" s="58" t="s">
        <v>116</v>
      </c>
      <c r="D17" s="58" t="s">
        <v>90</v>
      </c>
      <c r="E17" s="58" t="s">
        <v>40</v>
      </c>
      <c r="F17" s="58" t="s">
        <v>40</v>
      </c>
      <c r="G17" s="58" t="s">
        <v>34</v>
      </c>
      <c r="H17" s="59">
        <v>1250</v>
      </c>
      <c r="I17" s="59">
        <v>1990</v>
      </c>
      <c r="J17" s="58"/>
      <c r="K17" s="58" t="s">
        <v>56</v>
      </c>
      <c r="L17" s="58"/>
      <c r="M17" s="58"/>
      <c r="N17" s="21" t="str">
        <f t="shared" si="0"/>
        <v>1</v>
      </c>
      <c r="O17" s="21" t="str">
        <f>INDEX(Кат!$H:$H,MATCH($A17,Кат!$A:$A,0))</f>
        <v>РУСМАШ</v>
      </c>
    </row>
  </sheetData>
  <sheetProtection formatCells="0" formatColumns="0" formatRows="0" insertColumns="0" insertRows="0" insertHyperlinks="0" deleteColumns="0" deleteRows="0" sort="0" autoFilter="0" pivotTables="0"/>
  <autoFilter ref="A1:O17" xr:uid="{94C295EC-3D7E-4D14-BB99-1A4929EE3D2F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CC99A-1808-44FB-BC13-C513F30119C2}">
  <sheetPr codeName="Лист61">
    <tabColor rgb="FF92D050"/>
  </sheetPr>
  <dimension ref="A1:C18"/>
  <sheetViews>
    <sheetView tabSelected="1" workbookViewId="0">
      <selection activeCell="K21" sqref="K21"/>
    </sheetView>
  </sheetViews>
  <sheetFormatPr defaultRowHeight="15" x14ac:dyDescent="0.25"/>
  <cols>
    <col min="1" max="1" width="7" style="11" bestFit="1" customWidth="1"/>
    <col min="2" max="2" width="9.140625" style="11"/>
    <col min="3" max="3" width="11.85546875" customWidth="1"/>
  </cols>
  <sheetData>
    <row r="1" spans="1:3" x14ac:dyDescent="0.25">
      <c r="B1" s="27"/>
    </row>
    <row r="2" spans="1:3" x14ac:dyDescent="0.25">
      <c r="A2" s="14" t="s">
        <v>61</v>
      </c>
      <c r="B2" s="31" t="s">
        <v>101</v>
      </c>
    </row>
    <row r="3" spans="1:3" x14ac:dyDescent="0.25">
      <c r="A3" s="9">
        <v>158507</v>
      </c>
      <c r="B3" s="35">
        <v>4390</v>
      </c>
      <c r="C3" t="s">
        <v>76</v>
      </c>
    </row>
    <row r="4" spans="1:3" x14ac:dyDescent="0.25">
      <c r="A4" s="9">
        <v>204389</v>
      </c>
      <c r="B4" s="35">
        <v>4190</v>
      </c>
      <c r="C4" t="s">
        <v>73</v>
      </c>
    </row>
    <row r="5" spans="1:3" x14ac:dyDescent="0.25">
      <c r="A5" s="9">
        <v>204388</v>
      </c>
      <c r="B5" s="35">
        <v>2690</v>
      </c>
      <c r="C5" t="s">
        <v>72</v>
      </c>
    </row>
    <row r="6" spans="1:3" x14ac:dyDescent="0.25">
      <c r="A6" s="9">
        <v>204390</v>
      </c>
      <c r="B6" s="35">
        <v>4390</v>
      </c>
      <c r="C6" t="s">
        <v>71</v>
      </c>
    </row>
    <row r="7" spans="1:3" x14ac:dyDescent="0.25">
      <c r="A7" s="9">
        <v>159454</v>
      </c>
      <c r="B7" s="35">
        <v>4890</v>
      </c>
      <c r="C7" t="s">
        <v>75</v>
      </c>
    </row>
    <row r="8" spans="1:3" x14ac:dyDescent="0.25">
      <c r="A8" s="9">
        <v>171813</v>
      </c>
      <c r="B8" s="35"/>
    </row>
    <row r="9" spans="1:3" x14ac:dyDescent="0.25">
      <c r="A9" s="9">
        <v>158570</v>
      </c>
      <c r="B9" s="35"/>
    </row>
    <row r="10" spans="1:3" x14ac:dyDescent="0.25">
      <c r="A10" s="9">
        <v>158571</v>
      </c>
      <c r="B10" s="35"/>
    </row>
    <row r="11" spans="1:3" x14ac:dyDescent="0.25">
      <c r="A11" s="9">
        <v>208895</v>
      </c>
      <c r="B11" s="35"/>
    </row>
    <row r="12" spans="1:3" x14ac:dyDescent="0.25">
      <c r="A12" s="9">
        <v>208912</v>
      </c>
      <c r="B12" s="35"/>
    </row>
    <row r="13" spans="1:3" x14ac:dyDescent="0.25">
      <c r="A13" s="9">
        <v>208911</v>
      </c>
      <c r="B13" s="35"/>
    </row>
    <row r="14" spans="1:3" x14ac:dyDescent="0.25">
      <c r="A14" s="9">
        <v>131453</v>
      </c>
      <c r="B14" s="35"/>
    </row>
    <row r="15" spans="1:3" x14ac:dyDescent="0.25">
      <c r="A15" s="9">
        <v>131452</v>
      </c>
      <c r="B15" s="35"/>
    </row>
    <row r="16" spans="1:3" x14ac:dyDescent="0.25">
      <c r="A16" s="9">
        <v>131450</v>
      </c>
      <c r="B16" s="35">
        <v>949</v>
      </c>
      <c r="C16" t="s">
        <v>77</v>
      </c>
    </row>
    <row r="17" spans="1:3" x14ac:dyDescent="0.25">
      <c r="A17" s="9">
        <v>131451</v>
      </c>
      <c r="B17" s="35">
        <v>949</v>
      </c>
      <c r="C17" t="s">
        <v>78</v>
      </c>
    </row>
    <row r="18" spans="1:3" x14ac:dyDescent="0.25">
      <c r="A18" s="9">
        <v>158505</v>
      </c>
      <c r="B18" s="35">
        <v>4590</v>
      </c>
      <c r="C18" t="s">
        <v>74</v>
      </c>
    </row>
  </sheetData>
  <conditionalFormatting sqref="A3:A18">
    <cfRule type="expression" dxfId="0" priority="1">
      <formula>AND(ROUNDDOWN($P3,0)=0,ROUNDDOWN($O3,0)=0)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8</xdr:col>
                <xdr:colOff>457200</xdr:colOff>
                <xdr:row>4</xdr:row>
                <xdr:rowOff>180975</xdr:rowOff>
              </from>
              <to>
                <xdr:col>11</xdr:col>
                <xdr:colOff>590550</xdr:colOff>
                <xdr:row>8</xdr:row>
                <xdr:rowOff>76200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2806A-8346-4627-A090-CF3CD4E271A2}">
  <sheetPr codeName="Лист7">
    <tabColor rgb="FF92D050"/>
  </sheetPr>
  <dimension ref="A1:H20"/>
  <sheetViews>
    <sheetView workbookViewId="0">
      <selection activeCell="B37" sqref="B37"/>
    </sheetView>
  </sheetViews>
  <sheetFormatPr defaultRowHeight="15" x14ac:dyDescent="0.25"/>
  <cols>
    <col min="1" max="2" width="11.140625" bestFit="1" customWidth="1"/>
    <col min="3" max="3" width="13.28515625" bestFit="1" customWidth="1"/>
    <col min="4" max="4" width="81.140625" bestFit="1" customWidth="1"/>
    <col min="5" max="5" width="28.28515625" bestFit="1" customWidth="1"/>
    <col min="6" max="6" width="35.5703125" bestFit="1" customWidth="1"/>
    <col min="7" max="8" width="11.140625" bestFit="1" customWidth="1"/>
  </cols>
  <sheetData>
    <row r="1" spans="1:8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  <c r="H1" t="s">
        <v>109</v>
      </c>
    </row>
    <row r="3" spans="1:8" x14ac:dyDescent="0.25">
      <c r="A3" t="s">
        <v>118</v>
      </c>
      <c r="B3" t="s">
        <v>119</v>
      </c>
      <c r="C3" t="s">
        <v>120</v>
      </c>
      <c r="D3" t="s">
        <v>110</v>
      </c>
      <c r="E3" t="s">
        <v>111</v>
      </c>
      <c r="F3" t="s">
        <v>112</v>
      </c>
    </row>
    <row r="4" spans="1:8" x14ac:dyDescent="0.25">
      <c r="B4" t="s">
        <v>61</v>
      </c>
      <c r="D4" t="s">
        <v>32</v>
      </c>
      <c r="E4" t="s">
        <v>113</v>
      </c>
      <c r="F4" t="s">
        <v>113</v>
      </c>
      <c r="G4" t="s">
        <v>113</v>
      </c>
    </row>
    <row r="5" spans="1:8" x14ac:dyDescent="0.25">
      <c r="A5" t="s">
        <v>34</v>
      </c>
      <c r="B5">
        <v>158507</v>
      </c>
      <c r="C5">
        <v>4390</v>
      </c>
      <c r="D5" t="s">
        <v>76</v>
      </c>
      <c r="G5">
        <v>4390</v>
      </c>
    </row>
    <row r="6" spans="1:8" x14ac:dyDescent="0.25">
      <c r="A6" t="s">
        <v>34</v>
      </c>
      <c r="B6">
        <v>204389</v>
      </c>
      <c r="C6">
        <v>4190</v>
      </c>
      <c r="D6" t="s">
        <v>73</v>
      </c>
      <c r="G6">
        <v>4090</v>
      </c>
    </row>
    <row r="7" spans="1:8" x14ac:dyDescent="0.25">
      <c r="A7" t="s">
        <v>34</v>
      </c>
      <c r="B7">
        <v>204388</v>
      </c>
      <c r="C7">
        <v>2690</v>
      </c>
      <c r="D7" t="s">
        <v>72</v>
      </c>
      <c r="G7">
        <v>3690</v>
      </c>
    </row>
    <row r="8" spans="1:8" x14ac:dyDescent="0.25">
      <c r="A8" t="s">
        <v>34</v>
      </c>
      <c r="B8">
        <v>204390</v>
      </c>
      <c r="C8">
        <v>4390</v>
      </c>
      <c r="D8" t="s">
        <v>71</v>
      </c>
      <c r="G8">
        <v>4390</v>
      </c>
    </row>
    <row r="9" spans="1:8" x14ac:dyDescent="0.25">
      <c r="A9" t="s">
        <v>34</v>
      </c>
      <c r="B9">
        <v>159454</v>
      </c>
      <c r="C9">
        <v>4890</v>
      </c>
      <c r="D9" t="s">
        <v>75</v>
      </c>
      <c r="G9">
        <v>4890</v>
      </c>
    </row>
    <row r="10" spans="1:8" x14ac:dyDescent="0.25">
      <c r="A10" t="s">
        <v>34</v>
      </c>
      <c r="B10">
        <v>171813</v>
      </c>
      <c r="G10" t="s">
        <v>114</v>
      </c>
    </row>
    <row r="11" spans="1:8" x14ac:dyDescent="0.25">
      <c r="A11" t="s">
        <v>34</v>
      </c>
      <c r="B11">
        <v>158570</v>
      </c>
      <c r="G11" t="s">
        <v>114</v>
      </c>
    </row>
    <row r="12" spans="1:8" x14ac:dyDescent="0.25">
      <c r="A12" t="s">
        <v>34</v>
      </c>
      <c r="B12">
        <v>158571</v>
      </c>
      <c r="G12" t="s">
        <v>114</v>
      </c>
    </row>
    <row r="13" spans="1:8" x14ac:dyDescent="0.25">
      <c r="A13" t="s">
        <v>34</v>
      </c>
      <c r="B13">
        <v>208895</v>
      </c>
      <c r="G13" t="s">
        <v>114</v>
      </c>
    </row>
    <row r="14" spans="1:8" x14ac:dyDescent="0.25">
      <c r="A14" t="s">
        <v>34</v>
      </c>
      <c r="B14">
        <v>208912</v>
      </c>
      <c r="G14" t="s">
        <v>114</v>
      </c>
    </row>
    <row r="15" spans="1:8" x14ac:dyDescent="0.25">
      <c r="A15" t="s">
        <v>34</v>
      </c>
      <c r="B15">
        <v>208911</v>
      </c>
      <c r="G15" t="s">
        <v>114</v>
      </c>
    </row>
    <row r="16" spans="1:8" x14ac:dyDescent="0.25">
      <c r="A16" t="s">
        <v>34</v>
      </c>
      <c r="B16">
        <v>131453</v>
      </c>
      <c r="G16" t="s">
        <v>114</v>
      </c>
    </row>
    <row r="17" spans="1:7" x14ac:dyDescent="0.25">
      <c r="A17" t="s">
        <v>34</v>
      </c>
      <c r="B17">
        <v>131452</v>
      </c>
      <c r="G17" t="s">
        <v>114</v>
      </c>
    </row>
    <row r="18" spans="1:7" x14ac:dyDescent="0.25">
      <c r="A18" t="s">
        <v>34</v>
      </c>
      <c r="B18">
        <v>131450</v>
      </c>
      <c r="C18">
        <v>949</v>
      </c>
      <c r="D18" t="s">
        <v>77</v>
      </c>
      <c r="G18">
        <v>890</v>
      </c>
    </row>
    <row r="19" spans="1:7" x14ac:dyDescent="0.25">
      <c r="A19" t="s">
        <v>34</v>
      </c>
      <c r="B19">
        <v>131451</v>
      </c>
      <c r="C19">
        <v>949</v>
      </c>
      <c r="D19" t="s">
        <v>78</v>
      </c>
      <c r="G19">
        <v>890</v>
      </c>
    </row>
    <row r="20" spans="1:7" x14ac:dyDescent="0.25">
      <c r="A20" t="s">
        <v>34</v>
      </c>
      <c r="B20">
        <v>158505</v>
      </c>
      <c r="C20">
        <v>4590</v>
      </c>
      <c r="D20" t="s">
        <v>74</v>
      </c>
      <c r="G20">
        <v>4590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03B56F-F505-4682-A510-22D0CE6DBB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Наценка</vt:lpstr>
      <vt:lpstr>Лист2</vt:lpstr>
      <vt:lpstr>Новые</vt:lpstr>
      <vt:lpstr>Выгр Кат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Snab TimeTurbo</cp:lastModifiedBy>
  <dcterms:created xsi:type="dcterms:W3CDTF">2015-06-05T18:19:34Z</dcterms:created>
  <dcterms:modified xsi:type="dcterms:W3CDTF">2024-07-02T07:52:09Z</dcterms:modified>
</cp:coreProperties>
</file>