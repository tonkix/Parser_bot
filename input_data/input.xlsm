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dmin\tonk1x\TT data\Прайс-листы\"/>
    </mc:Choice>
  </mc:AlternateContent>
  <xr:revisionPtr revIDLastSave="0" documentId="13_ncr:1_{3D9D619B-7329-47AD-B94D-6176C908493D}" xr6:coauthVersionLast="47" xr6:coauthVersionMax="47" xr10:uidLastSave="{00000000-0000-0000-0000-000000000000}"/>
  <bookViews>
    <workbookView xWindow="28680" yWindow="-120" windowWidth="29040" windowHeight="15990" xr2:uid="{00000000-000D-0000-FFFF-FFFF00000000}"/>
  </bookViews>
  <sheets>
    <sheet name="Кат" sheetId="1" r:id="rId1"/>
    <sheet name="Прайс" sheetId="5" r:id="rId2"/>
    <sheet name="Наценка" sheetId="2" r:id="rId3"/>
    <sheet name="Выгр Кат" sheetId="6" r:id="rId4"/>
    <sheet name="Ссылки" sheetId="10" r:id="rId5"/>
    <sheet name="ИЗ ГУГЛА" sheetId="9" r:id="rId6"/>
  </sheets>
  <definedNames>
    <definedName name="_xlnm._FilterDatabase" localSheetId="3" hidden="1">'Выгр Кат'!$A$1:$O$703</definedName>
    <definedName name="_xlnm._FilterDatabase" localSheetId="0" hidden="1">Кат!$A$2:$AG$718</definedName>
    <definedName name="_xlnm._FilterDatabase" localSheetId="1" hidden="1">Прайс!$A$1:$G$810</definedName>
    <definedName name="ExternalData_1" localSheetId="5" hidden="1">'ИЗ ГУГЛА'!$A$1:$S$1002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319" i="1" l="1"/>
  <c r="M319" i="1" s="1"/>
  <c r="W698" i="1"/>
  <c r="W692" i="1"/>
  <c r="W44" i="1"/>
  <c r="W594" i="1"/>
  <c r="M594" i="1" s="1"/>
  <c r="W593" i="1"/>
  <c r="M593" i="1" s="1"/>
  <c r="W591" i="1"/>
  <c r="M591" i="1" s="1"/>
  <c r="W592" i="1"/>
  <c r="M592" i="1" s="1"/>
  <c r="W700" i="1"/>
  <c r="M700" i="1" s="1"/>
  <c r="Z1" i="1"/>
  <c r="AE1" i="1"/>
  <c r="W694" i="1"/>
  <c r="M694" i="1" s="1"/>
  <c r="W688" i="1"/>
  <c r="M688" i="1" s="1"/>
  <c r="W687" i="1"/>
  <c r="M687" i="1" s="1"/>
  <c r="W682" i="1"/>
  <c r="M682" i="1" s="1"/>
  <c r="W681" i="1"/>
  <c r="M681" i="1" s="1"/>
  <c r="W530" i="1"/>
  <c r="M530" i="1" s="1"/>
  <c r="W345" i="1"/>
  <c r="M345" i="1" s="1"/>
  <c r="W344" i="1"/>
  <c r="M344" i="1" s="1"/>
  <c r="W342" i="1"/>
  <c r="M342" i="1" s="1"/>
  <c r="W329" i="1"/>
  <c r="M329" i="1" s="1"/>
  <c r="W324" i="1"/>
  <c r="M324" i="1" s="1"/>
  <c r="W313" i="1"/>
  <c r="M313" i="1" s="1"/>
  <c r="W292" i="1"/>
  <c r="W89" i="1"/>
  <c r="M89" i="1" s="1"/>
  <c r="W77" i="1"/>
  <c r="M77" i="1" s="1"/>
  <c r="W59" i="1"/>
  <c r="M59" i="1" s="1"/>
  <c r="W58" i="1"/>
  <c r="M58" i="1" s="1"/>
  <c r="W40" i="1"/>
  <c r="M40" i="1" s="1"/>
  <c r="W39" i="1"/>
  <c r="M39" i="1" s="1"/>
  <c r="W28" i="1"/>
  <c r="M28" i="1" s="1"/>
  <c r="W25" i="1"/>
  <c r="M25" i="1" s="1"/>
  <c r="W12" i="1"/>
  <c r="M12" i="1" s="1"/>
  <c r="W715" i="1"/>
  <c r="M715" i="1" s="1"/>
  <c r="W706" i="1"/>
  <c r="W699" i="1"/>
  <c r="M698" i="1"/>
  <c r="W697" i="1"/>
  <c r="M697" i="1" s="1"/>
  <c r="W696" i="1"/>
  <c r="M696" i="1" s="1"/>
  <c r="W695" i="1"/>
  <c r="M695" i="1" s="1"/>
  <c r="M692" i="1"/>
  <c r="W691" i="1"/>
  <c r="M691" i="1" s="1"/>
  <c r="W690" i="1"/>
  <c r="M690" i="1" s="1"/>
  <c r="W689" i="1"/>
  <c r="W686" i="1"/>
  <c r="M686" i="1" s="1"/>
  <c r="W684" i="1"/>
  <c r="M684" i="1" s="1"/>
  <c r="W680" i="1"/>
  <c r="M680" i="1" s="1"/>
  <c r="W679" i="1"/>
  <c r="M679" i="1" s="1"/>
  <c r="W678" i="1"/>
  <c r="M678" i="1" s="1"/>
  <c r="W677" i="1"/>
  <c r="M677" i="1" s="1"/>
  <c r="W675" i="1"/>
  <c r="M675" i="1" s="1"/>
  <c r="W673" i="1"/>
  <c r="W671" i="1"/>
  <c r="M671" i="1" s="1"/>
  <c r="W670" i="1"/>
  <c r="M670" i="1" s="1"/>
  <c r="W667" i="1"/>
  <c r="M667" i="1" s="1"/>
  <c r="W666" i="1"/>
  <c r="M666" i="1" s="1"/>
  <c r="W665" i="1"/>
  <c r="M665" i="1" s="1"/>
  <c r="W664" i="1"/>
  <c r="M664" i="1" s="1"/>
  <c r="W663" i="1"/>
  <c r="M663" i="1" s="1"/>
  <c r="W662" i="1"/>
  <c r="M662" i="1" s="1"/>
  <c r="W660" i="1"/>
  <c r="M660" i="1" s="1"/>
  <c r="W659" i="1"/>
  <c r="M659" i="1" s="1"/>
  <c r="W654" i="1"/>
  <c r="M654" i="1" s="1"/>
  <c r="W653" i="1"/>
  <c r="M653" i="1" s="1"/>
  <c r="W652" i="1"/>
  <c r="M652" i="1" s="1"/>
  <c r="W651" i="1"/>
  <c r="M651" i="1" s="1"/>
  <c r="W650" i="1"/>
  <c r="M650" i="1" s="1"/>
  <c r="W649" i="1"/>
  <c r="M649" i="1" s="1"/>
  <c r="W648" i="1"/>
  <c r="W647" i="1"/>
  <c r="W646" i="1"/>
  <c r="W643" i="1"/>
  <c r="M643" i="1" s="1"/>
  <c r="W641" i="1"/>
  <c r="W640" i="1"/>
  <c r="M640" i="1" s="1"/>
  <c r="W638" i="1"/>
  <c r="W637" i="1"/>
  <c r="W636" i="1"/>
  <c r="M636" i="1" s="1"/>
  <c r="W634" i="1"/>
  <c r="W633" i="1"/>
  <c r="W632" i="1"/>
  <c r="M632" i="1" s="1"/>
  <c r="W631" i="1"/>
  <c r="W630" i="1"/>
  <c r="M630" i="1" s="1"/>
  <c r="W629" i="1"/>
  <c r="M629" i="1" s="1"/>
  <c r="W628" i="1"/>
  <c r="M628" i="1" s="1"/>
  <c r="W625" i="1"/>
  <c r="W623" i="1"/>
  <c r="W622" i="1"/>
  <c r="M622" i="1" s="1"/>
  <c r="W621" i="1"/>
  <c r="W620" i="1"/>
  <c r="M620" i="1" s="1"/>
  <c r="W619" i="1"/>
  <c r="W618" i="1"/>
  <c r="W617" i="1"/>
  <c r="W616" i="1"/>
  <c r="M616" i="1" s="1"/>
  <c r="W615" i="1"/>
  <c r="W614" i="1"/>
  <c r="M614" i="1" s="1"/>
  <c r="W612" i="1"/>
  <c r="W611" i="1"/>
  <c r="W607" i="1"/>
  <c r="M607" i="1" s="1"/>
  <c r="W604" i="1"/>
  <c r="M604" i="1" s="1"/>
  <c r="W603" i="1"/>
  <c r="M603" i="1" s="1"/>
  <c r="W602" i="1"/>
  <c r="M602" i="1" s="1"/>
  <c r="W601" i="1"/>
  <c r="W600" i="1"/>
  <c r="M600" i="1" s="1"/>
  <c r="W599" i="1"/>
  <c r="M599" i="1" s="1"/>
  <c r="W598" i="1"/>
  <c r="M598" i="1" s="1"/>
  <c r="W597" i="1"/>
  <c r="M597" i="1" s="1"/>
  <c r="W596" i="1"/>
  <c r="M596" i="1" s="1"/>
  <c r="W595" i="1"/>
  <c r="M595" i="1" s="1"/>
  <c r="W590" i="1"/>
  <c r="W588" i="1"/>
  <c r="M588" i="1" s="1"/>
  <c r="W587" i="1"/>
  <c r="M587" i="1" s="1"/>
  <c r="W585" i="1"/>
  <c r="M585" i="1" s="1"/>
  <c r="W584" i="1"/>
  <c r="W582" i="1"/>
  <c r="W581" i="1"/>
  <c r="M581" i="1" s="1"/>
  <c r="W580" i="1"/>
  <c r="M580" i="1" s="1"/>
  <c r="W579" i="1"/>
  <c r="M579" i="1" s="1"/>
  <c r="W578" i="1"/>
  <c r="M578" i="1" s="1"/>
  <c r="W577" i="1"/>
  <c r="W575" i="1"/>
  <c r="M575" i="1" s="1"/>
  <c r="W574" i="1"/>
  <c r="M574" i="1" s="1"/>
  <c r="W572" i="1"/>
  <c r="W571" i="1"/>
  <c r="M571" i="1" s="1"/>
  <c r="W570" i="1"/>
  <c r="M570" i="1" s="1"/>
  <c r="W569" i="1"/>
  <c r="M569" i="1" s="1"/>
  <c r="W568" i="1"/>
  <c r="M568" i="1" s="1"/>
  <c r="W565" i="1"/>
  <c r="M565" i="1" s="1"/>
  <c r="W564" i="1"/>
  <c r="M564" i="1" s="1"/>
  <c r="W563" i="1"/>
  <c r="W561" i="1"/>
  <c r="M561" i="1" s="1"/>
  <c r="W560" i="1"/>
  <c r="M560" i="1" s="1"/>
  <c r="W559" i="1"/>
  <c r="W558" i="1"/>
  <c r="M558" i="1" s="1"/>
  <c r="W557" i="1"/>
  <c r="W556" i="1"/>
  <c r="W555" i="1"/>
  <c r="M555" i="1" s="1"/>
  <c r="W554" i="1"/>
  <c r="M554" i="1" s="1"/>
  <c r="W553" i="1"/>
  <c r="M553" i="1" s="1"/>
  <c r="W552" i="1"/>
  <c r="W551" i="1"/>
  <c r="M551" i="1" s="1"/>
  <c r="W550" i="1"/>
  <c r="W549" i="1"/>
  <c r="M549" i="1" s="1"/>
  <c r="W548" i="1"/>
  <c r="M548" i="1" s="1"/>
  <c r="W547" i="1"/>
  <c r="M547" i="1" s="1"/>
  <c r="W545" i="1"/>
  <c r="W544" i="1"/>
  <c r="W543" i="1"/>
  <c r="W542" i="1"/>
  <c r="W541" i="1"/>
  <c r="M541" i="1" s="1"/>
  <c r="W540" i="1"/>
  <c r="M540" i="1" s="1"/>
  <c r="W538" i="1"/>
  <c r="M538" i="1" s="1"/>
  <c r="W537" i="1"/>
  <c r="M537" i="1" s="1"/>
  <c r="W536" i="1"/>
  <c r="W535" i="1"/>
  <c r="W533" i="1"/>
  <c r="M533" i="1" s="1"/>
  <c r="W529" i="1"/>
  <c r="M529" i="1" s="1"/>
  <c r="W528" i="1"/>
  <c r="M528" i="1" s="1"/>
  <c r="W525" i="1"/>
  <c r="M525" i="1" s="1"/>
  <c r="W524" i="1"/>
  <c r="W522" i="1"/>
  <c r="M522" i="1" s="1"/>
  <c r="W521" i="1"/>
  <c r="M521" i="1" s="1"/>
  <c r="W517" i="1"/>
  <c r="M517" i="1" s="1"/>
  <c r="W516" i="1"/>
  <c r="M516" i="1" s="1"/>
  <c r="W514" i="1"/>
  <c r="W513" i="1"/>
  <c r="W512" i="1"/>
  <c r="M512" i="1" s="1"/>
  <c r="W511" i="1"/>
  <c r="M511" i="1" s="1"/>
  <c r="W510" i="1"/>
  <c r="M510" i="1" s="1"/>
  <c r="W509" i="1"/>
  <c r="W508" i="1"/>
  <c r="M508" i="1" s="1"/>
  <c r="W507" i="1"/>
  <c r="M507" i="1" s="1"/>
  <c r="W506" i="1"/>
  <c r="M506" i="1" s="1"/>
  <c r="W505" i="1"/>
  <c r="M505" i="1" s="1"/>
  <c r="W504" i="1"/>
  <c r="M504" i="1" s="1"/>
  <c r="W503" i="1"/>
  <c r="M503" i="1" s="1"/>
  <c r="W500" i="1"/>
  <c r="W499" i="1"/>
  <c r="W498" i="1"/>
  <c r="M498" i="1" s="1"/>
  <c r="W497" i="1"/>
  <c r="M497" i="1" s="1"/>
  <c r="W494" i="1"/>
  <c r="W493" i="1"/>
  <c r="W491" i="1"/>
  <c r="M491" i="1" s="1"/>
  <c r="W490" i="1"/>
  <c r="M490" i="1" s="1"/>
  <c r="W489" i="1"/>
  <c r="M489" i="1" s="1"/>
  <c r="W487" i="1"/>
  <c r="W486" i="1"/>
  <c r="M486" i="1" s="1"/>
  <c r="W482" i="1"/>
  <c r="M482" i="1" s="1"/>
  <c r="W480" i="1"/>
  <c r="W479" i="1"/>
  <c r="M479" i="1" s="1"/>
  <c r="W478" i="1"/>
  <c r="M478" i="1" s="1"/>
  <c r="W477" i="1"/>
  <c r="M477" i="1" s="1"/>
  <c r="W476" i="1"/>
  <c r="W474" i="1"/>
  <c r="M474" i="1" s="1"/>
  <c r="W473" i="1"/>
  <c r="M473" i="1" s="1"/>
  <c r="W472" i="1"/>
  <c r="W471" i="1"/>
  <c r="W470" i="1"/>
  <c r="M470" i="1" s="1"/>
  <c r="W469" i="1"/>
  <c r="W467" i="1"/>
  <c r="W465" i="1"/>
  <c r="M465" i="1" s="1"/>
  <c r="W464" i="1"/>
  <c r="M464" i="1" s="1"/>
  <c r="W463" i="1"/>
  <c r="M463" i="1" s="1"/>
  <c r="W462" i="1"/>
  <c r="M462" i="1" s="1"/>
  <c r="W461" i="1"/>
  <c r="W460" i="1"/>
  <c r="M460" i="1" s="1"/>
  <c r="W459" i="1"/>
  <c r="M459" i="1" s="1"/>
  <c r="W458" i="1"/>
  <c r="M458" i="1" s="1"/>
  <c r="W457" i="1"/>
  <c r="M457" i="1" s="1"/>
  <c r="W456" i="1"/>
  <c r="W455" i="1"/>
  <c r="M455" i="1" s="1"/>
  <c r="W453" i="1"/>
  <c r="M453" i="1" s="1"/>
  <c r="W452" i="1"/>
  <c r="M452" i="1" s="1"/>
  <c r="W451" i="1"/>
  <c r="M451" i="1" s="1"/>
  <c r="W450" i="1"/>
  <c r="M450" i="1" s="1"/>
  <c r="W448" i="1"/>
  <c r="W444" i="1"/>
  <c r="M444" i="1" s="1"/>
  <c r="W442" i="1"/>
  <c r="W441" i="1"/>
  <c r="M441" i="1" s="1"/>
  <c r="W440" i="1"/>
  <c r="M440" i="1" s="1"/>
  <c r="W439" i="1"/>
  <c r="M439" i="1" s="1"/>
  <c r="W438" i="1"/>
  <c r="M438" i="1" s="1"/>
  <c r="W437" i="1"/>
  <c r="M437" i="1" s="1"/>
  <c r="W436" i="1"/>
  <c r="W433" i="1"/>
  <c r="W431" i="1"/>
  <c r="M431" i="1" s="1"/>
  <c r="W430" i="1"/>
  <c r="M430" i="1" s="1"/>
  <c r="W429" i="1"/>
  <c r="W428" i="1"/>
  <c r="M428" i="1" s="1"/>
  <c r="W427" i="1"/>
  <c r="W426" i="1"/>
  <c r="M426" i="1" s="1"/>
  <c r="W423" i="1"/>
  <c r="M423" i="1" s="1"/>
  <c r="W422" i="1"/>
  <c r="M422" i="1" s="1"/>
  <c r="W421" i="1"/>
  <c r="M421" i="1" s="1"/>
  <c r="W420" i="1"/>
  <c r="W418" i="1"/>
  <c r="M418" i="1" s="1"/>
  <c r="W417" i="1"/>
  <c r="M417" i="1" s="1"/>
  <c r="W416" i="1"/>
  <c r="M416" i="1" s="1"/>
  <c r="W415" i="1"/>
  <c r="M415" i="1" s="1"/>
  <c r="W414" i="1"/>
  <c r="W413" i="1"/>
  <c r="W412" i="1"/>
  <c r="W411" i="1"/>
  <c r="M411" i="1" s="1"/>
  <c r="W408" i="1"/>
  <c r="M408" i="1" s="1"/>
  <c r="W407" i="1"/>
  <c r="M407" i="1" s="1"/>
  <c r="W404" i="1"/>
  <c r="M404" i="1" s="1"/>
  <c r="W402" i="1"/>
  <c r="W401" i="1"/>
  <c r="M401" i="1" s="1"/>
  <c r="W399" i="1"/>
  <c r="M399" i="1" s="1"/>
  <c r="W398" i="1"/>
  <c r="W397" i="1"/>
  <c r="W396" i="1"/>
  <c r="M396" i="1" s="1"/>
  <c r="W395" i="1"/>
  <c r="M395" i="1" s="1"/>
  <c r="W393" i="1"/>
  <c r="M393" i="1" s="1"/>
  <c r="W392" i="1"/>
  <c r="M392" i="1" s="1"/>
  <c r="W391" i="1"/>
  <c r="M391" i="1" s="1"/>
  <c r="W390" i="1"/>
  <c r="M390" i="1" s="1"/>
  <c r="W389" i="1"/>
  <c r="M389" i="1" s="1"/>
  <c r="W388" i="1"/>
  <c r="M388" i="1" s="1"/>
  <c r="W386" i="1"/>
  <c r="M386" i="1" s="1"/>
  <c r="W385" i="1"/>
  <c r="M385" i="1" s="1"/>
  <c r="W384" i="1"/>
  <c r="M384" i="1" s="1"/>
  <c r="W383" i="1"/>
  <c r="M383" i="1" s="1"/>
  <c r="W382" i="1"/>
  <c r="M382" i="1" s="1"/>
  <c r="W380" i="1"/>
  <c r="M380" i="1" s="1"/>
  <c r="W376" i="1"/>
  <c r="W375" i="1"/>
  <c r="W374" i="1"/>
  <c r="M374" i="1" s="1"/>
  <c r="W373" i="1"/>
  <c r="M373" i="1" s="1"/>
  <c r="W372" i="1"/>
  <c r="M372" i="1" s="1"/>
  <c r="W371" i="1"/>
  <c r="M371" i="1" s="1"/>
  <c r="W369" i="1"/>
  <c r="M369" i="1" s="1"/>
  <c r="W368" i="1"/>
  <c r="M368" i="1" s="1"/>
  <c r="W367" i="1"/>
  <c r="M367" i="1" s="1"/>
  <c r="W366" i="1"/>
  <c r="M366" i="1" s="1"/>
  <c r="W365" i="1"/>
  <c r="M365" i="1" s="1"/>
  <c r="W363" i="1"/>
  <c r="M363" i="1" s="1"/>
  <c r="W362" i="1"/>
  <c r="M362" i="1" s="1"/>
  <c r="W360" i="1"/>
  <c r="W358" i="1"/>
  <c r="M358" i="1" s="1"/>
  <c r="W355" i="1"/>
  <c r="W354" i="1"/>
  <c r="W353" i="1"/>
  <c r="M353" i="1" s="1"/>
  <c r="W352" i="1"/>
  <c r="M352" i="1" s="1"/>
  <c r="W351" i="1"/>
  <c r="M351" i="1" s="1"/>
  <c r="W350" i="1"/>
  <c r="M350" i="1" s="1"/>
  <c r="W349" i="1"/>
  <c r="M349" i="1" s="1"/>
  <c r="W348" i="1"/>
  <c r="M348" i="1" s="1"/>
  <c r="W341" i="1"/>
  <c r="M341" i="1" s="1"/>
  <c r="W340" i="1"/>
  <c r="M340" i="1" s="1"/>
  <c r="W339" i="1"/>
  <c r="M339" i="1" s="1"/>
  <c r="W337" i="1"/>
  <c r="M337" i="1" s="1"/>
  <c r="W336" i="1"/>
  <c r="M336" i="1" s="1"/>
  <c r="W335" i="1"/>
  <c r="M335" i="1" s="1"/>
  <c r="W333" i="1"/>
  <c r="M333" i="1" s="1"/>
  <c r="W332" i="1"/>
  <c r="M332" i="1" s="1"/>
  <c r="W331" i="1"/>
  <c r="M331" i="1" s="1"/>
  <c r="W328" i="1"/>
  <c r="M328" i="1" s="1"/>
  <c r="W327" i="1"/>
  <c r="W326" i="1"/>
  <c r="M326" i="1" s="1"/>
  <c r="W323" i="1"/>
  <c r="M323" i="1" s="1"/>
  <c r="W321" i="1"/>
  <c r="W320" i="1"/>
  <c r="M320" i="1" s="1"/>
  <c r="W318" i="1"/>
  <c r="M318" i="1" s="1"/>
  <c r="W316" i="1"/>
  <c r="M316" i="1" s="1"/>
  <c r="W315" i="1"/>
  <c r="M315" i="1" s="1"/>
  <c r="W314" i="1"/>
  <c r="M314" i="1" s="1"/>
  <c r="W311" i="1"/>
  <c r="M311" i="1" s="1"/>
  <c r="W310" i="1"/>
  <c r="M310" i="1" s="1"/>
  <c r="W309" i="1"/>
  <c r="M309" i="1" s="1"/>
  <c r="W308" i="1"/>
  <c r="M308" i="1" s="1"/>
  <c r="W307" i="1"/>
  <c r="M307" i="1" s="1"/>
  <c r="W305" i="1"/>
  <c r="M305" i="1" s="1"/>
  <c r="W303" i="1"/>
  <c r="M303" i="1" s="1"/>
  <c r="W302" i="1"/>
  <c r="M302" i="1" s="1"/>
  <c r="W301" i="1"/>
  <c r="W300" i="1"/>
  <c r="M300" i="1" s="1"/>
  <c r="W297" i="1"/>
  <c r="M297" i="1" s="1"/>
  <c r="W296" i="1"/>
  <c r="M296" i="1" s="1"/>
  <c r="W294" i="1"/>
  <c r="M294" i="1" s="1"/>
  <c r="W293" i="1"/>
  <c r="M293" i="1" s="1"/>
  <c r="W291" i="1"/>
  <c r="M291" i="1" s="1"/>
  <c r="W289" i="1"/>
  <c r="W288" i="1"/>
  <c r="M288" i="1" s="1"/>
  <c r="W287" i="1"/>
  <c r="W285" i="1"/>
  <c r="M285" i="1" s="1"/>
  <c r="W284" i="1"/>
  <c r="W283" i="1"/>
  <c r="M283" i="1" s="1"/>
  <c r="W280" i="1"/>
  <c r="W276" i="1"/>
  <c r="W275" i="1"/>
  <c r="W274" i="1"/>
  <c r="M274" i="1" s="1"/>
  <c r="W273" i="1"/>
  <c r="W272" i="1"/>
  <c r="W271" i="1"/>
  <c r="M271" i="1" s="1"/>
  <c r="W270" i="1"/>
  <c r="W269" i="1"/>
  <c r="M269" i="1" s="1"/>
  <c r="W268" i="1"/>
  <c r="M268" i="1" s="1"/>
  <c r="W267" i="1"/>
  <c r="W266" i="1"/>
  <c r="M266" i="1" s="1"/>
  <c r="W265" i="1"/>
  <c r="M265" i="1" s="1"/>
  <c r="W264" i="1"/>
  <c r="W262" i="1"/>
  <c r="M262" i="1" s="1"/>
  <c r="W261" i="1"/>
  <c r="M261" i="1" s="1"/>
  <c r="W259" i="1"/>
  <c r="M259" i="1" s="1"/>
  <c r="W258" i="1"/>
  <c r="W257" i="1"/>
  <c r="W256" i="1"/>
  <c r="M256" i="1" s="1"/>
  <c r="W254" i="1"/>
  <c r="M254" i="1" s="1"/>
  <c r="W253" i="1"/>
  <c r="M253" i="1" s="1"/>
  <c r="W252" i="1"/>
  <c r="W251" i="1"/>
  <c r="W249" i="1"/>
  <c r="M249" i="1" s="1"/>
  <c r="W248" i="1"/>
  <c r="M248" i="1" s="1"/>
  <c r="W247" i="1"/>
  <c r="M247" i="1" s="1"/>
  <c r="W244" i="1"/>
  <c r="M244" i="1" s="1"/>
  <c r="W243" i="1"/>
  <c r="M243" i="1" s="1"/>
  <c r="W239" i="1"/>
  <c r="M239" i="1" s="1"/>
  <c r="W238" i="1"/>
  <c r="M238" i="1" s="1"/>
  <c r="W237" i="1"/>
  <c r="M237" i="1" s="1"/>
  <c r="W235" i="1"/>
  <c r="M235" i="1" s="1"/>
  <c r="W233" i="1"/>
  <c r="M233" i="1" s="1"/>
  <c r="W232" i="1"/>
  <c r="M232" i="1" s="1"/>
  <c r="W231" i="1"/>
  <c r="M231" i="1" s="1"/>
  <c r="W230" i="1"/>
  <c r="M230" i="1" s="1"/>
  <c r="W229" i="1"/>
  <c r="M229" i="1" s="1"/>
  <c r="W228" i="1"/>
  <c r="M228" i="1" s="1"/>
  <c r="W227" i="1"/>
  <c r="M227" i="1" s="1"/>
  <c r="W226" i="1"/>
  <c r="M226" i="1" s="1"/>
  <c r="W225" i="1"/>
  <c r="M225" i="1" s="1"/>
  <c r="W224" i="1"/>
  <c r="M224" i="1" s="1"/>
  <c r="W223" i="1"/>
  <c r="M223" i="1" s="1"/>
  <c r="W222" i="1"/>
  <c r="M222" i="1" s="1"/>
  <c r="W221" i="1"/>
  <c r="M221" i="1" s="1"/>
  <c r="W220" i="1"/>
  <c r="M220" i="1" s="1"/>
  <c r="W219" i="1"/>
  <c r="M219" i="1" s="1"/>
  <c r="W217" i="1"/>
  <c r="M217" i="1" s="1"/>
  <c r="W216" i="1"/>
  <c r="M216" i="1" s="1"/>
  <c r="W215" i="1"/>
  <c r="M215" i="1" s="1"/>
  <c r="W210" i="1"/>
  <c r="M210" i="1" s="1"/>
  <c r="W208" i="1"/>
  <c r="M208" i="1" s="1"/>
  <c r="W207" i="1"/>
  <c r="M207" i="1" s="1"/>
  <c r="W206" i="1"/>
  <c r="M206" i="1" s="1"/>
  <c r="W205" i="1"/>
  <c r="M205" i="1" s="1"/>
  <c r="W202" i="1"/>
  <c r="M202" i="1" s="1"/>
  <c r="W201" i="1"/>
  <c r="M201" i="1" s="1"/>
  <c r="W200" i="1"/>
  <c r="M200" i="1" s="1"/>
  <c r="W199" i="1"/>
  <c r="M199" i="1" s="1"/>
  <c r="W198" i="1"/>
  <c r="M198" i="1" s="1"/>
  <c r="W197" i="1"/>
  <c r="M197" i="1" s="1"/>
  <c r="W195" i="1"/>
  <c r="M195" i="1" s="1"/>
  <c r="W194" i="1"/>
  <c r="M194" i="1" s="1"/>
  <c r="W193" i="1"/>
  <c r="W191" i="1"/>
  <c r="M191" i="1" s="1"/>
  <c r="W190" i="1"/>
  <c r="M190" i="1" s="1"/>
  <c r="W189" i="1"/>
  <c r="M189" i="1" s="1"/>
  <c r="W187" i="1"/>
  <c r="M187" i="1" s="1"/>
  <c r="W186" i="1"/>
  <c r="M186" i="1" s="1"/>
  <c r="W185" i="1"/>
  <c r="M185" i="1" s="1"/>
  <c r="W183" i="1"/>
  <c r="M183" i="1" s="1"/>
  <c r="W182" i="1"/>
  <c r="M182" i="1" s="1"/>
  <c r="W181" i="1"/>
  <c r="M181" i="1" s="1"/>
  <c r="W180" i="1"/>
  <c r="M180" i="1" s="1"/>
  <c r="W179" i="1"/>
  <c r="M179" i="1" s="1"/>
  <c r="W177" i="1"/>
  <c r="M177" i="1" s="1"/>
  <c r="W176" i="1"/>
  <c r="M176" i="1" s="1"/>
  <c r="W174" i="1"/>
  <c r="M174" i="1" s="1"/>
  <c r="W173" i="1"/>
  <c r="M173" i="1" s="1"/>
  <c r="W172" i="1"/>
  <c r="M172" i="1" s="1"/>
  <c r="W171" i="1"/>
  <c r="M171" i="1" s="1"/>
  <c r="W170" i="1"/>
  <c r="M170" i="1" s="1"/>
  <c r="W169" i="1"/>
  <c r="M169" i="1" s="1"/>
  <c r="W168" i="1"/>
  <c r="M168" i="1" s="1"/>
  <c r="W167" i="1"/>
  <c r="M167" i="1" s="1"/>
  <c r="W166" i="1"/>
  <c r="M166" i="1" s="1"/>
  <c r="W165" i="1"/>
  <c r="M165" i="1" s="1"/>
  <c r="W163" i="1"/>
  <c r="M163" i="1" s="1"/>
  <c r="W162" i="1"/>
  <c r="M162" i="1" s="1"/>
  <c r="W161" i="1"/>
  <c r="M161" i="1" s="1"/>
  <c r="W160" i="1"/>
  <c r="M160" i="1" s="1"/>
  <c r="W159" i="1"/>
  <c r="M159" i="1" s="1"/>
  <c r="W156" i="1"/>
  <c r="M156" i="1" s="1"/>
  <c r="W154" i="1"/>
  <c r="M154" i="1" s="1"/>
  <c r="W153" i="1"/>
  <c r="M153" i="1" s="1"/>
  <c r="W152" i="1"/>
  <c r="M152" i="1" s="1"/>
  <c r="W150" i="1"/>
  <c r="M150" i="1" s="1"/>
  <c r="W149" i="1"/>
  <c r="M149" i="1" s="1"/>
  <c r="W147" i="1"/>
  <c r="M147" i="1" s="1"/>
  <c r="W146" i="1"/>
  <c r="M146" i="1" s="1"/>
  <c r="W145" i="1"/>
  <c r="M145" i="1" s="1"/>
  <c r="W144" i="1"/>
  <c r="M144" i="1" s="1"/>
  <c r="W143" i="1"/>
  <c r="M143" i="1" s="1"/>
  <c r="W142" i="1"/>
  <c r="M142" i="1" s="1"/>
  <c r="W141" i="1"/>
  <c r="M141" i="1" s="1"/>
  <c r="W139" i="1"/>
  <c r="M139" i="1" s="1"/>
  <c r="W138" i="1"/>
  <c r="M138" i="1" s="1"/>
  <c r="W136" i="1"/>
  <c r="M136" i="1" s="1"/>
  <c r="W135" i="1"/>
  <c r="M135" i="1" s="1"/>
  <c r="W133" i="1"/>
  <c r="M133" i="1" s="1"/>
  <c r="W131" i="1"/>
  <c r="M131" i="1" s="1"/>
  <c r="W130" i="1"/>
  <c r="W129" i="1"/>
  <c r="M129" i="1" s="1"/>
  <c r="W128" i="1"/>
  <c r="M128" i="1" s="1"/>
  <c r="W126" i="1"/>
  <c r="M126" i="1" s="1"/>
  <c r="W125" i="1"/>
  <c r="M125" i="1" s="1"/>
  <c r="W124" i="1"/>
  <c r="W123" i="1"/>
  <c r="M123" i="1" s="1"/>
  <c r="W121" i="1"/>
  <c r="M121" i="1" s="1"/>
  <c r="W120" i="1"/>
  <c r="M120" i="1" s="1"/>
  <c r="W118" i="1"/>
  <c r="M118" i="1" s="1"/>
  <c r="W117" i="1"/>
  <c r="M117" i="1" s="1"/>
  <c r="W116" i="1"/>
  <c r="M116" i="1" s="1"/>
  <c r="W114" i="1"/>
  <c r="M114" i="1" s="1"/>
  <c r="W113" i="1"/>
  <c r="M113" i="1" s="1"/>
  <c r="W112" i="1"/>
  <c r="M112" i="1" s="1"/>
  <c r="W111" i="1"/>
  <c r="M111" i="1" s="1"/>
  <c r="W109" i="1"/>
  <c r="M109" i="1" s="1"/>
  <c r="W106" i="1"/>
  <c r="M106" i="1" s="1"/>
  <c r="W105" i="1"/>
  <c r="M105" i="1" s="1"/>
  <c r="W104" i="1"/>
  <c r="M104" i="1" s="1"/>
  <c r="W103" i="1"/>
  <c r="M103" i="1" s="1"/>
  <c r="W101" i="1"/>
  <c r="W100" i="1"/>
  <c r="M100" i="1" s="1"/>
  <c r="W98" i="1"/>
  <c r="M98" i="1" s="1"/>
  <c r="W97" i="1"/>
  <c r="M97" i="1" s="1"/>
  <c r="W96" i="1"/>
  <c r="M96" i="1" s="1"/>
  <c r="W95" i="1"/>
  <c r="M95" i="1" s="1"/>
  <c r="W94" i="1"/>
  <c r="M94" i="1" s="1"/>
  <c r="W92" i="1"/>
  <c r="M92" i="1" s="1"/>
  <c r="W91" i="1"/>
  <c r="M91" i="1" s="1"/>
  <c r="W88" i="1"/>
  <c r="M88" i="1" s="1"/>
  <c r="W87" i="1"/>
  <c r="M87" i="1" s="1"/>
  <c r="W85" i="1"/>
  <c r="M85" i="1" s="1"/>
  <c r="W83" i="1"/>
  <c r="M83" i="1" s="1"/>
  <c r="W82" i="1"/>
  <c r="M82" i="1" s="1"/>
  <c r="W81" i="1"/>
  <c r="M81" i="1" s="1"/>
  <c r="W74" i="1"/>
  <c r="M74" i="1" s="1"/>
  <c r="W73" i="1"/>
  <c r="M73" i="1" s="1"/>
  <c r="W72" i="1"/>
  <c r="M72" i="1" s="1"/>
  <c r="W71" i="1"/>
  <c r="M71" i="1" s="1"/>
  <c r="W65" i="1"/>
  <c r="M65" i="1" s="1"/>
  <c r="W64" i="1"/>
  <c r="M64" i="1" s="1"/>
  <c r="W62" i="1"/>
  <c r="M62" i="1" s="1"/>
  <c r="W57" i="1"/>
  <c r="M57" i="1" s="1"/>
  <c r="W55" i="1"/>
  <c r="M55" i="1" s="1"/>
  <c r="W54" i="1"/>
  <c r="M54" i="1" s="1"/>
  <c r="W53" i="1"/>
  <c r="M53" i="1" s="1"/>
  <c r="W51" i="1"/>
  <c r="M51" i="1" s="1"/>
  <c r="W48" i="1"/>
  <c r="M48" i="1" s="1"/>
  <c r="W47" i="1"/>
  <c r="M47" i="1" s="1"/>
  <c r="W46" i="1"/>
  <c r="M46" i="1" s="1"/>
  <c r="M44" i="1"/>
  <c r="W43" i="1"/>
  <c r="M43" i="1" s="1"/>
  <c r="W42" i="1"/>
  <c r="M42" i="1" s="1"/>
  <c r="W41" i="1"/>
  <c r="M41" i="1" s="1"/>
  <c r="W36" i="1"/>
  <c r="M36" i="1" s="1"/>
  <c r="W35" i="1"/>
  <c r="M35" i="1" s="1"/>
  <c r="W34" i="1"/>
  <c r="M34" i="1" s="1"/>
  <c r="W32" i="1"/>
  <c r="M32" i="1" s="1"/>
  <c r="W29" i="1"/>
  <c r="M29" i="1" s="1"/>
  <c r="W24" i="1"/>
  <c r="W21" i="1"/>
  <c r="W20" i="1"/>
  <c r="M20" i="1" s="1"/>
  <c r="W19" i="1"/>
  <c r="M19" i="1" s="1"/>
  <c r="W18" i="1"/>
  <c r="W16" i="1"/>
  <c r="M16" i="1" s="1"/>
  <c r="W15" i="1"/>
  <c r="M15" i="1" s="1"/>
  <c r="W14" i="1"/>
  <c r="M14" i="1" s="1"/>
  <c r="W7" i="1"/>
  <c r="M7" i="1" s="1"/>
  <c r="W5" i="1"/>
  <c r="M5" i="1" s="1"/>
  <c r="AC3" i="1"/>
  <c r="M733" i="1"/>
  <c r="M726" i="1"/>
  <c r="M732" i="1"/>
  <c r="M731" i="1"/>
  <c r="M730" i="1"/>
  <c r="M729" i="1"/>
  <c r="M728" i="1"/>
  <c r="M727" i="1"/>
  <c r="M725" i="1"/>
  <c r="K1" i="1"/>
  <c r="M1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512" i="1"/>
  <c r="AC514" i="1"/>
  <c r="AC515" i="1"/>
  <c r="AC516" i="1"/>
  <c r="AC517" i="1"/>
  <c r="AC518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31" i="1"/>
  <c r="AC532" i="1"/>
  <c r="AC533" i="1"/>
  <c r="AC534" i="1"/>
  <c r="AC535" i="1"/>
  <c r="AC536" i="1"/>
  <c r="AC537" i="1"/>
  <c r="AC538" i="1"/>
  <c r="AC539" i="1"/>
  <c r="AC540" i="1"/>
  <c r="AC541" i="1"/>
  <c r="AC542" i="1"/>
  <c r="AC543" i="1"/>
  <c r="AC544" i="1"/>
  <c r="AC545" i="1"/>
  <c r="AC546" i="1"/>
  <c r="AC547" i="1"/>
  <c r="AC548" i="1"/>
  <c r="AC549" i="1"/>
  <c r="AC550" i="1"/>
  <c r="AC551" i="1"/>
  <c r="AC552" i="1"/>
  <c r="AC553" i="1"/>
  <c r="AC554" i="1"/>
  <c r="AC555" i="1"/>
  <c r="AC556" i="1"/>
  <c r="AC557" i="1"/>
  <c r="AC558" i="1"/>
  <c r="AC559" i="1"/>
  <c r="AC560" i="1"/>
  <c r="AC561" i="1"/>
  <c r="AC562" i="1"/>
  <c r="AC563" i="1"/>
  <c r="AC564" i="1"/>
  <c r="AC565" i="1"/>
  <c r="AC566" i="1"/>
  <c r="AC567" i="1"/>
  <c r="AC568" i="1"/>
  <c r="AC569" i="1"/>
  <c r="AC570" i="1"/>
  <c r="AC571" i="1"/>
  <c r="AC572" i="1"/>
  <c r="AC573" i="1"/>
  <c r="AC574" i="1"/>
  <c r="AC575" i="1"/>
  <c r="AC576" i="1"/>
  <c r="AC577" i="1"/>
  <c r="AC578" i="1"/>
  <c r="AC579" i="1"/>
  <c r="AC580" i="1"/>
  <c r="AC581" i="1"/>
  <c r="AC582" i="1"/>
  <c r="AC583" i="1"/>
  <c r="AC584" i="1"/>
  <c r="AC585" i="1"/>
  <c r="AC586" i="1"/>
  <c r="AC587" i="1"/>
  <c r="AC588" i="1"/>
  <c r="AC589" i="1"/>
  <c r="AC590" i="1"/>
  <c r="AC591" i="1"/>
  <c r="AC592" i="1"/>
  <c r="AC593" i="1"/>
  <c r="AC594" i="1"/>
  <c r="AC595" i="1"/>
  <c r="AC596" i="1"/>
  <c r="AC597" i="1"/>
  <c r="AC598" i="1"/>
  <c r="AC599" i="1"/>
  <c r="AC600" i="1"/>
  <c r="AC601" i="1"/>
  <c r="AC602" i="1"/>
  <c r="AC603" i="1"/>
  <c r="AC604" i="1"/>
  <c r="AC605" i="1"/>
  <c r="AC606" i="1"/>
  <c r="AC607" i="1"/>
  <c r="AC608" i="1"/>
  <c r="AC609" i="1"/>
  <c r="AC610" i="1"/>
  <c r="AC611" i="1"/>
  <c r="AC612" i="1"/>
  <c r="AC613" i="1"/>
  <c r="AC614" i="1"/>
  <c r="AC615" i="1"/>
  <c r="AC616" i="1"/>
  <c r="AC617" i="1"/>
  <c r="AC618" i="1"/>
  <c r="AC619" i="1"/>
  <c r="AC620" i="1"/>
  <c r="AC621" i="1"/>
  <c r="AC622" i="1"/>
  <c r="AC623" i="1"/>
  <c r="AC624" i="1"/>
  <c r="AC625" i="1"/>
  <c r="AC626" i="1"/>
  <c r="AC627" i="1"/>
  <c r="AC628" i="1"/>
  <c r="AC629" i="1"/>
  <c r="AC630" i="1"/>
  <c r="AC631" i="1"/>
  <c r="AC632" i="1"/>
  <c r="AC633" i="1"/>
  <c r="AC634" i="1"/>
  <c r="AC635" i="1"/>
  <c r="AC636" i="1"/>
  <c r="AC637" i="1"/>
  <c r="AC638" i="1"/>
  <c r="AC639" i="1"/>
  <c r="AC640" i="1"/>
  <c r="AC641" i="1"/>
  <c r="AC642" i="1"/>
  <c r="AC643" i="1"/>
  <c r="AC644" i="1"/>
  <c r="AC645" i="1"/>
  <c r="AC646" i="1"/>
  <c r="AC647" i="1"/>
  <c r="AC648" i="1"/>
  <c r="AC649" i="1"/>
  <c r="AC650" i="1"/>
  <c r="AC651" i="1"/>
  <c r="AC652" i="1"/>
  <c r="AC653" i="1"/>
  <c r="AC654" i="1"/>
  <c r="AC655" i="1"/>
  <c r="AC656" i="1"/>
  <c r="AC657" i="1"/>
  <c r="AC658" i="1"/>
  <c r="AC659" i="1"/>
  <c r="AC660" i="1"/>
  <c r="AC661" i="1"/>
  <c r="AC662" i="1"/>
  <c r="AC663" i="1"/>
  <c r="AC664" i="1"/>
  <c r="AC665" i="1"/>
  <c r="AC666" i="1"/>
  <c r="AC667" i="1"/>
  <c r="AC668" i="1"/>
  <c r="AC669" i="1"/>
  <c r="AC670" i="1"/>
  <c r="AC671" i="1"/>
  <c r="AC672" i="1"/>
  <c r="AC673" i="1"/>
  <c r="AC674" i="1"/>
  <c r="AC675" i="1"/>
  <c r="AC676" i="1"/>
  <c r="AC677" i="1"/>
  <c r="AC678" i="1"/>
  <c r="AC679" i="1"/>
  <c r="AC680" i="1"/>
  <c r="AC681" i="1"/>
  <c r="AC682" i="1"/>
  <c r="AC683" i="1"/>
  <c r="AC684" i="1"/>
  <c r="AC685" i="1"/>
  <c r="AC686" i="1"/>
  <c r="AC687" i="1"/>
  <c r="AC688" i="1"/>
  <c r="AC689" i="1"/>
  <c r="AC690" i="1"/>
  <c r="AC691" i="1"/>
  <c r="AC692" i="1"/>
  <c r="AC693" i="1"/>
  <c r="AC694" i="1"/>
  <c r="AC695" i="1"/>
  <c r="AC696" i="1"/>
  <c r="AC697" i="1"/>
  <c r="AC698" i="1"/>
  <c r="AC699" i="1"/>
  <c r="AC700" i="1"/>
  <c r="AC701" i="1"/>
  <c r="AC702" i="1"/>
  <c r="AC703" i="1"/>
  <c r="AC704" i="1"/>
  <c r="AC705" i="1"/>
  <c r="AC706" i="1"/>
  <c r="AC707" i="1"/>
  <c r="AC708" i="1"/>
  <c r="AC709" i="1"/>
  <c r="AC710" i="1"/>
  <c r="AC711" i="1"/>
  <c r="AC712" i="1"/>
  <c r="AC713" i="1"/>
  <c r="AC714" i="1"/>
  <c r="AC715" i="1"/>
  <c r="AC716" i="1"/>
  <c r="AC717" i="1"/>
  <c r="AC718" i="1"/>
  <c r="AE513" i="1"/>
  <c r="AC513" i="1" s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3" i="1"/>
  <c r="P700" i="1" l="1"/>
  <c r="O700" i="1"/>
  <c r="K700" i="1" s="1"/>
  <c r="F700" i="1"/>
  <c r="D700" i="1"/>
  <c r="C700" i="1"/>
  <c r="B700" i="1"/>
  <c r="O703" i="6"/>
  <c r="N703" i="6"/>
  <c r="V700" i="1" l="1"/>
  <c r="L700" i="1"/>
  <c r="Q700" i="1"/>
  <c r="K397" i="1"/>
  <c r="N700" i="1" l="1"/>
  <c r="K493" i="1"/>
  <c r="K478" i="1"/>
  <c r="K477" i="1"/>
  <c r="Z513" i="1"/>
  <c r="X513" i="1" s="1"/>
  <c r="V134" i="1"/>
  <c r="V409" i="1"/>
  <c r="V496" i="1"/>
  <c r="V501" i="1"/>
  <c r="V502" i="1"/>
  <c r="S702" i="1"/>
  <c r="S703" i="1"/>
  <c r="U703" i="1" s="1"/>
  <c r="S704" i="1"/>
  <c r="U704" i="1" s="1"/>
  <c r="S705" i="1"/>
  <c r="U705" i="1" s="1"/>
  <c r="S707" i="1"/>
  <c r="U707" i="1" s="1"/>
  <c r="S708" i="1"/>
  <c r="S709" i="1"/>
  <c r="U709" i="1" s="1"/>
  <c r="S710" i="1"/>
  <c r="U710" i="1" s="1"/>
  <c r="S712" i="1"/>
  <c r="U712" i="1" s="1"/>
  <c r="S713" i="1"/>
  <c r="S714" i="1"/>
  <c r="S716" i="1"/>
  <c r="U716" i="1" s="1"/>
  <c r="S717" i="1"/>
  <c r="U717" i="1" s="1"/>
  <c r="S718" i="1"/>
  <c r="U718" i="1" s="1"/>
  <c r="B681" i="1"/>
  <c r="C681" i="1"/>
  <c r="D681" i="1"/>
  <c r="F681" i="1"/>
  <c r="O681" i="1"/>
  <c r="K681" i="1" s="1"/>
  <c r="P681" i="1"/>
  <c r="B682" i="1"/>
  <c r="C682" i="1"/>
  <c r="D682" i="1"/>
  <c r="F682" i="1"/>
  <c r="O682" i="1"/>
  <c r="K682" i="1" s="1"/>
  <c r="V682" i="1" s="1"/>
  <c r="P682" i="1"/>
  <c r="B683" i="1"/>
  <c r="C683" i="1"/>
  <c r="D683" i="1"/>
  <c r="F683" i="1"/>
  <c r="O683" i="1"/>
  <c r="K683" i="1" s="1"/>
  <c r="P683" i="1"/>
  <c r="B684" i="1"/>
  <c r="C684" i="1"/>
  <c r="D684" i="1"/>
  <c r="F684" i="1"/>
  <c r="O684" i="1"/>
  <c r="K684" i="1" s="1"/>
  <c r="P684" i="1"/>
  <c r="B685" i="1"/>
  <c r="C685" i="1"/>
  <c r="D685" i="1"/>
  <c r="F685" i="1"/>
  <c r="O685" i="1"/>
  <c r="K685" i="1" s="1"/>
  <c r="P685" i="1"/>
  <c r="B686" i="1"/>
  <c r="C686" i="1"/>
  <c r="D686" i="1"/>
  <c r="F686" i="1"/>
  <c r="O686" i="1"/>
  <c r="K686" i="1" s="1"/>
  <c r="P686" i="1"/>
  <c r="B687" i="1"/>
  <c r="C687" i="1"/>
  <c r="D687" i="1"/>
  <c r="F687" i="1"/>
  <c r="O687" i="1"/>
  <c r="P687" i="1"/>
  <c r="B688" i="1"/>
  <c r="C688" i="1"/>
  <c r="D688" i="1"/>
  <c r="F688" i="1"/>
  <c r="O688" i="1"/>
  <c r="K688" i="1" s="1"/>
  <c r="P688" i="1"/>
  <c r="B689" i="1"/>
  <c r="C689" i="1"/>
  <c r="D689" i="1"/>
  <c r="F689" i="1"/>
  <c r="O689" i="1"/>
  <c r="P689" i="1"/>
  <c r="B690" i="1"/>
  <c r="C690" i="1"/>
  <c r="D690" i="1"/>
  <c r="F690" i="1"/>
  <c r="O690" i="1"/>
  <c r="K690" i="1" s="1"/>
  <c r="P690" i="1"/>
  <c r="B691" i="1"/>
  <c r="C691" i="1"/>
  <c r="D691" i="1"/>
  <c r="F691" i="1"/>
  <c r="O691" i="1"/>
  <c r="K691" i="1" s="1"/>
  <c r="P691" i="1"/>
  <c r="B692" i="1"/>
  <c r="C692" i="1"/>
  <c r="D692" i="1"/>
  <c r="F692" i="1"/>
  <c r="O692" i="1"/>
  <c r="K692" i="1" s="1"/>
  <c r="P692" i="1"/>
  <c r="B693" i="1"/>
  <c r="C693" i="1"/>
  <c r="D693" i="1"/>
  <c r="F693" i="1"/>
  <c r="O693" i="1"/>
  <c r="K693" i="1" s="1"/>
  <c r="P693" i="1"/>
  <c r="B694" i="1"/>
  <c r="C694" i="1"/>
  <c r="D694" i="1"/>
  <c r="F694" i="1"/>
  <c r="O694" i="1"/>
  <c r="K694" i="1" s="1"/>
  <c r="P694" i="1"/>
  <c r="B695" i="1"/>
  <c r="C695" i="1"/>
  <c r="D695" i="1"/>
  <c r="F695" i="1"/>
  <c r="O695" i="1"/>
  <c r="K695" i="1" s="1"/>
  <c r="P695" i="1"/>
  <c r="B696" i="1"/>
  <c r="C696" i="1"/>
  <c r="D696" i="1"/>
  <c r="F696" i="1"/>
  <c r="O696" i="1"/>
  <c r="P696" i="1"/>
  <c r="B697" i="1"/>
  <c r="C697" i="1"/>
  <c r="D697" i="1"/>
  <c r="F697" i="1"/>
  <c r="O697" i="1"/>
  <c r="P697" i="1"/>
  <c r="B698" i="1"/>
  <c r="C698" i="1"/>
  <c r="D698" i="1"/>
  <c r="F698" i="1"/>
  <c r="O698" i="1"/>
  <c r="K698" i="1" s="1"/>
  <c r="P698" i="1"/>
  <c r="B699" i="1"/>
  <c r="C699" i="1"/>
  <c r="D699" i="1"/>
  <c r="F699" i="1"/>
  <c r="O699" i="1"/>
  <c r="K699" i="1" s="1"/>
  <c r="P699" i="1"/>
  <c r="B718" i="1"/>
  <c r="B717" i="1"/>
  <c r="B716" i="1"/>
  <c r="B715" i="1"/>
  <c r="B714" i="1"/>
  <c r="B713" i="1"/>
  <c r="B712" i="1"/>
  <c r="B711" i="1"/>
  <c r="B710" i="1"/>
  <c r="B709" i="1"/>
  <c r="B708" i="1"/>
  <c r="B707" i="1"/>
  <c r="B706" i="1"/>
  <c r="B705" i="1"/>
  <c r="B704" i="1"/>
  <c r="B703" i="1"/>
  <c r="B702" i="1"/>
  <c r="B701" i="1"/>
  <c r="B680" i="1"/>
  <c r="B679" i="1"/>
  <c r="B678" i="1"/>
  <c r="B677" i="1"/>
  <c r="B676" i="1"/>
  <c r="B675" i="1"/>
  <c r="B674" i="1"/>
  <c r="B673" i="1"/>
  <c r="B672" i="1"/>
  <c r="B671" i="1"/>
  <c r="B670" i="1"/>
  <c r="B669" i="1"/>
  <c r="B668" i="1"/>
  <c r="B667" i="1"/>
  <c r="B666" i="1"/>
  <c r="B665" i="1"/>
  <c r="B664" i="1"/>
  <c r="B663" i="1"/>
  <c r="B662" i="1"/>
  <c r="B661" i="1"/>
  <c r="B660" i="1"/>
  <c r="B659" i="1"/>
  <c r="B658" i="1"/>
  <c r="B657" i="1"/>
  <c r="B656" i="1"/>
  <c r="B655" i="1"/>
  <c r="B654" i="1"/>
  <c r="B653" i="1"/>
  <c r="B652" i="1"/>
  <c r="B651" i="1"/>
  <c r="B650" i="1"/>
  <c r="B649" i="1"/>
  <c r="B648" i="1"/>
  <c r="B647" i="1"/>
  <c r="B646" i="1"/>
  <c r="B645" i="1"/>
  <c r="B644" i="1"/>
  <c r="B643" i="1"/>
  <c r="B642" i="1"/>
  <c r="B641" i="1"/>
  <c r="B640" i="1"/>
  <c r="B639" i="1"/>
  <c r="B638" i="1"/>
  <c r="B637" i="1"/>
  <c r="B636" i="1"/>
  <c r="B635" i="1"/>
  <c r="B634" i="1"/>
  <c r="B633" i="1"/>
  <c r="B632" i="1"/>
  <c r="B631" i="1"/>
  <c r="B630" i="1"/>
  <c r="B629" i="1"/>
  <c r="B628" i="1"/>
  <c r="B627" i="1"/>
  <c r="B626" i="1"/>
  <c r="B625" i="1"/>
  <c r="B624" i="1"/>
  <c r="B623" i="1"/>
  <c r="B622" i="1"/>
  <c r="B621" i="1"/>
  <c r="B620" i="1"/>
  <c r="B619" i="1"/>
  <c r="B618" i="1"/>
  <c r="B617" i="1"/>
  <c r="B616" i="1"/>
  <c r="B615" i="1"/>
  <c r="B614" i="1"/>
  <c r="B613" i="1"/>
  <c r="B612" i="1"/>
  <c r="B611" i="1"/>
  <c r="B610" i="1"/>
  <c r="B609" i="1"/>
  <c r="B608" i="1"/>
  <c r="B607" i="1"/>
  <c r="B606" i="1"/>
  <c r="B605" i="1"/>
  <c r="B604" i="1"/>
  <c r="B603" i="1"/>
  <c r="B602" i="1"/>
  <c r="B601" i="1"/>
  <c r="B600" i="1"/>
  <c r="B599" i="1"/>
  <c r="B598" i="1"/>
  <c r="B597" i="1"/>
  <c r="B596" i="1"/>
  <c r="B595" i="1"/>
  <c r="B594" i="1"/>
  <c r="B593" i="1"/>
  <c r="B592" i="1"/>
  <c r="B591" i="1"/>
  <c r="B590" i="1"/>
  <c r="B589" i="1"/>
  <c r="B588" i="1"/>
  <c r="B587" i="1"/>
  <c r="B586" i="1"/>
  <c r="B585" i="1"/>
  <c r="B584" i="1"/>
  <c r="B583" i="1"/>
  <c r="B582" i="1"/>
  <c r="B581" i="1"/>
  <c r="B580" i="1"/>
  <c r="B579" i="1"/>
  <c r="B578" i="1"/>
  <c r="B577" i="1"/>
  <c r="B576" i="1"/>
  <c r="B575" i="1"/>
  <c r="B574" i="1"/>
  <c r="B573" i="1"/>
  <c r="B572" i="1"/>
  <c r="B571" i="1"/>
  <c r="B570" i="1"/>
  <c r="B569" i="1"/>
  <c r="B568" i="1"/>
  <c r="B567" i="1"/>
  <c r="B566" i="1"/>
  <c r="B565" i="1"/>
  <c r="B564" i="1"/>
  <c r="B563" i="1"/>
  <c r="B562" i="1"/>
  <c r="B561" i="1"/>
  <c r="B560" i="1"/>
  <c r="B559" i="1"/>
  <c r="B558" i="1"/>
  <c r="B557" i="1"/>
  <c r="B556" i="1"/>
  <c r="B555" i="1"/>
  <c r="B554" i="1"/>
  <c r="B553" i="1"/>
  <c r="B552" i="1"/>
  <c r="B551" i="1"/>
  <c r="B550" i="1"/>
  <c r="B549" i="1"/>
  <c r="B548" i="1"/>
  <c r="B547" i="1"/>
  <c r="B546" i="1"/>
  <c r="B545" i="1"/>
  <c r="B544" i="1"/>
  <c r="B543" i="1"/>
  <c r="B542" i="1"/>
  <c r="B541" i="1"/>
  <c r="B540" i="1"/>
  <c r="B539" i="1"/>
  <c r="B538" i="1"/>
  <c r="B537" i="1"/>
  <c r="B536" i="1"/>
  <c r="B535" i="1"/>
  <c r="B534" i="1"/>
  <c r="B533" i="1"/>
  <c r="B532" i="1"/>
  <c r="B531" i="1"/>
  <c r="B530" i="1"/>
  <c r="B529" i="1"/>
  <c r="B528" i="1"/>
  <c r="B527" i="1"/>
  <c r="B526" i="1"/>
  <c r="B525" i="1"/>
  <c r="B524" i="1"/>
  <c r="B523" i="1"/>
  <c r="B522" i="1"/>
  <c r="B521" i="1"/>
  <c r="B520" i="1"/>
  <c r="B519" i="1"/>
  <c r="B518" i="1"/>
  <c r="B517" i="1"/>
  <c r="B516" i="1"/>
  <c r="B515" i="1"/>
  <c r="B514" i="1"/>
  <c r="B513" i="1"/>
  <c r="B512" i="1"/>
  <c r="B511" i="1"/>
  <c r="B510" i="1"/>
  <c r="B509" i="1"/>
  <c r="B508" i="1"/>
  <c r="B507" i="1"/>
  <c r="B506" i="1"/>
  <c r="B505" i="1"/>
  <c r="B504" i="1"/>
  <c r="B503" i="1"/>
  <c r="B502" i="1"/>
  <c r="B501" i="1"/>
  <c r="B500" i="1"/>
  <c r="B499" i="1"/>
  <c r="B498" i="1"/>
  <c r="B497" i="1"/>
  <c r="B496" i="1"/>
  <c r="B495" i="1"/>
  <c r="B494" i="1"/>
  <c r="B493" i="1"/>
  <c r="B492" i="1"/>
  <c r="B491" i="1"/>
  <c r="B490" i="1"/>
  <c r="B489" i="1"/>
  <c r="B488" i="1"/>
  <c r="B487" i="1"/>
  <c r="B486" i="1"/>
  <c r="B485" i="1"/>
  <c r="B484" i="1"/>
  <c r="B483" i="1"/>
  <c r="B482" i="1"/>
  <c r="B481" i="1"/>
  <c r="B480" i="1"/>
  <c r="B479" i="1"/>
  <c r="B478" i="1"/>
  <c r="B477" i="1"/>
  <c r="B476" i="1"/>
  <c r="B475" i="1"/>
  <c r="B474" i="1"/>
  <c r="B473" i="1"/>
  <c r="B472" i="1"/>
  <c r="B471" i="1"/>
  <c r="B470" i="1"/>
  <c r="B469" i="1"/>
  <c r="B468" i="1"/>
  <c r="B467" i="1"/>
  <c r="B466" i="1"/>
  <c r="B465" i="1"/>
  <c r="B464" i="1"/>
  <c r="B463" i="1"/>
  <c r="B462" i="1"/>
  <c r="B461" i="1"/>
  <c r="B460" i="1"/>
  <c r="B459" i="1"/>
  <c r="B458" i="1"/>
  <c r="B457" i="1"/>
  <c r="B456" i="1"/>
  <c r="B455" i="1"/>
  <c r="B454" i="1"/>
  <c r="B453" i="1"/>
  <c r="B452" i="1"/>
  <c r="B451" i="1"/>
  <c r="B450" i="1"/>
  <c r="B449" i="1"/>
  <c r="B448" i="1"/>
  <c r="B447" i="1"/>
  <c r="B446" i="1"/>
  <c r="B445" i="1"/>
  <c r="B444" i="1"/>
  <c r="B443" i="1"/>
  <c r="B442" i="1"/>
  <c r="B441" i="1"/>
  <c r="B440" i="1"/>
  <c r="B439" i="1"/>
  <c r="B438" i="1"/>
  <c r="B437" i="1"/>
  <c r="B436" i="1"/>
  <c r="B435" i="1"/>
  <c r="B434" i="1"/>
  <c r="B433" i="1"/>
  <c r="B432" i="1"/>
  <c r="B431" i="1"/>
  <c r="B430" i="1"/>
  <c r="B429" i="1"/>
  <c r="B428" i="1"/>
  <c r="B427" i="1"/>
  <c r="B426" i="1"/>
  <c r="B425" i="1"/>
  <c r="B424" i="1"/>
  <c r="B423" i="1"/>
  <c r="B422" i="1"/>
  <c r="B421" i="1"/>
  <c r="B420" i="1"/>
  <c r="B419" i="1"/>
  <c r="B418" i="1"/>
  <c r="B417" i="1"/>
  <c r="B416" i="1"/>
  <c r="B415" i="1"/>
  <c r="B414" i="1"/>
  <c r="B413" i="1"/>
  <c r="B412" i="1"/>
  <c r="B411" i="1"/>
  <c r="B410" i="1"/>
  <c r="B409" i="1"/>
  <c r="B408" i="1"/>
  <c r="B407" i="1"/>
  <c r="B406" i="1"/>
  <c r="B405" i="1"/>
  <c r="B404" i="1"/>
  <c r="B403" i="1"/>
  <c r="B402" i="1"/>
  <c r="B401" i="1"/>
  <c r="B400" i="1"/>
  <c r="B399" i="1"/>
  <c r="B398" i="1"/>
  <c r="B397" i="1"/>
  <c r="B396" i="1"/>
  <c r="B395" i="1"/>
  <c r="B394" i="1"/>
  <c r="B393" i="1"/>
  <c r="B392" i="1"/>
  <c r="B391" i="1"/>
  <c r="B390" i="1"/>
  <c r="B389" i="1"/>
  <c r="B388" i="1"/>
  <c r="B387" i="1"/>
  <c r="B386" i="1"/>
  <c r="B385" i="1"/>
  <c r="B384" i="1"/>
  <c r="B383" i="1"/>
  <c r="B382" i="1"/>
  <c r="B381" i="1"/>
  <c r="B380" i="1"/>
  <c r="B379" i="1"/>
  <c r="B378" i="1"/>
  <c r="B377" i="1"/>
  <c r="B376" i="1"/>
  <c r="B375" i="1"/>
  <c r="B374" i="1"/>
  <c r="B373" i="1"/>
  <c r="B372" i="1"/>
  <c r="B371" i="1"/>
  <c r="B370" i="1"/>
  <c r="B369" i="1"/>
  <c r="B368" i="1"/>
  <c r="B367" i="1"/>
  <c r="B366" i="1"/>
  <c r="B365" i="1"/>
  <c r="B364" i="1"/>
  <c r="B363" i="1"/>
  <c r="B362" i="1"/>
  <c r="B361" i="1"/>
  <c r="B360" i="1"/>
  <c r="B359" i="1"/>
  <c r="B358" i="1"/>
  <c r="B357" i="1"/>
  <c r="B356" i="1"/>
  <c r="B355" i="1"/>
  <c r="B354" i="1"/>
  <c r="B353" i="1"/>
  <c r="B352" i="1"/>
  <c r="B351" i="1"/>
  <c r="B350" i="1"/>
  <c r="B349" i="1"/>
  <c r="B348" i="1"/>
  <c r="B347" i="1"/>
  <c r="B346" i="1"/>
  <c r="B345" i="1"/>
  <c r="B344" i="1"/>
  <c r="B343" i="1"/>
  <c r="B342" i="1"/>
  <c r="B341" i="1"/>
  <c r="B340" i="1"/>
  <c r="B339" i="1"/>
  <c r="B338" i="1"/>
  <c r="B337" i="1"/>
  <c r="B336" i="1"/>
  <c r="B335" i="1"/>
  <c r="B334" i="1"/>
  <c r="B333" i="1"/>
  <c r="B332" i="1"/>
  <c r="B331" i="1"/>
  <c r="B330" i="1"/>
  <c r="B329" i="1"/>
  <c r="B328" i="1"/>
  <c r="B327" i="1"/>
  <c r="B326" i="1"/>
  <c r="B325" i="1"/>
  <c r="B324" i="1"/>
  <c r="B323" i="1"/>
  <c r="B322" i="1"/>
  <c r="B321" i="1"/>
  <c r="B320" i="1"/>
  <c r="B319" i="1"/>
  <c r="B318" i="1"/>
  <c r="B317" i="1"/>
  <c r="B316" i="1"/>
  <c r="B315" i="1"/>
  <c r="B314" i="1"/>
  <c r="B313" i="1"/>
  <c r="B312" i="1"/>
  <c r="B311" i="1"/>
  <c r="B310" i="1"/>
  <c r="B309" i="1"/>
  <c r="B308" i="1"/>
  <c r="B307" i="1"/>
  <c r="B306" i="1"/>
  <c r="B305" i="1"/>
  <c r="B304" i="1"/>
  <c r="B303" i="1"/>
  <c r="B302" i="1"/>
  <c r="B301" i="1"/>
  <c r="B300" i="1"/>
  <c r="B299" i="1"/>
  <c r="B298" i="1"/>
  <c r="B297" i="1"/>
  <c r="B296" i="1"/>
  <c r="B295" i="1"/>
  <c r="B294" i="1"/>
  <c r="B293" i="1"/>
  <c r="B292" i="1"/>
  <c r="B291" i="1"/>
  <c r="B290" i="1"/>
  <c r="B289" i="1"/>
  <c r="B288" i="1"/>
  <c r="B287" i="1"/>
  <c r="B286" i="1"/>
  <c r="B285" i="1"/>
  <c r="B284" i="1"/>
  <c r="B283" i="1"/>
  <c r="B282" i="1"/>
  <c r="B281" i="1"/>
  <c r="B280" i="1"/>
  <c r="B279" i="1"/>
  <c r="B278" i="1"/>
  <c r="B277" i="1"/>
  <c r="B276" i="1"/>
  <c r="B275" i="1"/>
  <c r="B274" i="1"/>
  <c r="B273" i="1"/>
  <c r="B272" i="1"/>
  <c r="B271" i="1"/>
  <c r="B270" i="1"/>
  <c r="B269" i="1"/>
  <c r="B268" i="1"/>
  <c r="B267" i="1"/>
  <c r="B266" i="1"/>
  <c r="B265" i="1"/>
  <c r="B264" i="1"/>
  <c r="B263" i="1"/>
  <c r="B262" i="1"/>
  <c r="B261" i="1"/>
  <c r="B260" i="1"/>
  <c r="B259" i="1"/>
  <c r="B258" i="1"/>
  <c r="B257" i="1"/>
  <c r="B256" i="1"/>
  <c r="B255" i="1"/>
  <c r="B254" i="1"/>
  <c r="B253" i="1"/>
  <c r="B252" i="1"/>
  <c r="B251" i="1"/>
  <c r="B250" i="1"/>
  <c r="B249" i="1"/>
  <c r="B248" i="1"/>
  <c r="B247" i="1"/>
  <c r="B246" i="1"/>
  <c r="B245" i="1"/>
  <c r="B244" i="1"/>
  <c r="B243" i="1"/>
  <c r="B242" i="1"/>
  <c r="B241" i="1"/>
  <c r="B240" i="1"/>
  <c r="B239" i="1"/>
  <c r="B238" i="1"/>
  <c r="B237" i="1"/>
  <c r="B236" i="1"/>
  <c r="B235" i="1"/>
  <c r="B234" i="1"/>
  <c r="B233" i="1"/>
  <c r="B232" i="1"/>
  <c r="B231" i="1"/>
  <c r="B230" i="1"/>
  <c r="B229" i="1"/>
  <c r="B228" i="1"/>
  <c r="B227" i="1"/>
  <c r="B226" i="1"/>
  <c r="B225" i="1"/>
  <c r="B224" i="1"/>
  <c r="B223" i="1"/>
  <c r="B222" i="1"/>
  <c r="B221" i="1"/>
  <c r="B220" i="1"/>
  <c r="B219" i="1"/>
  <c r="B218" i="1"/>
  <c r="B217" i="1"/>
  <c r="B216" i="1"/>
  <c r="B215" i="1"/>
  <c r="B214" i="1"/>
  <c r="B213" i="1"/>
  <c r="B212" i="1"/>
  <c r="B211" i="1"/>
  <c r="B210" i="1"/>
  <c r="B209" i="1"/>
  <c r="B208" i="1"/>
  <c r="B207" i="1"/>
  <c r="B206" i="1"/>
  <c r="B205" i="1"/>
  <c r="B204" i="1"/>
  <c r="B203" i="1"/>
  <c r="B202" i="1"/>
  <c r="B201" i="1"/>
  <c r="B200" i="1"/>
  <c r="B199" i="1"/>
  <c r="B198" i="1"/>
  <c r="B197" i="1"/>
  <c r="B196" i="1"/>
  <c r="B195" i="1"/>
  <c r="B194" i="1"/>
  <c r="B193" i="1"/>
  <c r="B192" i="1"/>
  <c r="B191" i="1"/>
  <c r="B190" i="1"/>
  <c r="B189" i="1"/>
  <c r="B188" i="1"/>
  <c r="B187" i="1"/>
  <c r="B186" i="1"/>
  <c r="B185" i="1"/>
  <c r="B184" i="1"/>
  <c r="B183" i="1"/>
  <c r="B182" i="1"/>
  <c r="B181" i="1"/>
  <c r="B180" i="1"/>
  <c r="B179" i="1"/>
  <c r="B178" i="1"/>
  <c r="B177" i="1"/>
  <c r="B176" i="1"/>
  <c r="B175" i="1"/>
  <c r="B174" i="1"/>
  <c r="B173" i="1"/>
  <c r="B172" i="1"/>
  <c r="B171" i="1"/>
  <c r="B170" i="1"/>
  <c r="B169" i="1"/>
  <c r="B168" i="1"/>
  <c r="B167" i="1"/>
  <c r="B166" i="1"/>
  <c r="B165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49" i="1"/>
  <c r="B148" i="1"/>
  <c r="B147" i="1"/>
  <c r="B146" i="1"/>
  <c r="B145" i="1"/>
  <c r="B144" i="1"/>
  <c r="B143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C12" i="1"/>
  <c r="F24" i="1"/>
  <c r="F36" i="1"/>
  <c r="D48" i="1"/>
  <c r="C60" i="1"/>
  <c r="C72" i="1"/>
  <c r="C84" i="1"/>
  <c r="C96" i="1"/>
  <c r="F108" i="1"/>
  <c r="C132" i="1"/>
  <c r="D144" i="1"/>
  <c r="C154" i="1"/>
  <c r="D155" i="1"/>
  <c r="F157" i="1"/>
  <c r="C159" i="1"/>
  <c r="C161" i="1"/>
  <c r="C163" i="1"/>
  <c r="F166" i="1"/>
  <c r="F168" i="1"/>
  <c r="C169" i="1"/>
  <c r="D170" i="1"/>
  <c r="D174" i="1"/>
  <c r="D179" i="1"/>
  <c r="C180" i="1"/>
  <c r="C181" i="1"/>
  <c r="D182" i="1"/>
  <c r="D183" i="1"/>
  <c r="C184" i="1"/>
  <c r="F185" i="1"/>
  <c r="F186" i="1"/>
  <c r="F188" i="1"/>
  <c r="C189" i="1"/>
  <c r="F191" i="1"/>
  <c r="C192" i="1"/>
  <c r="F194" i="1"/>
  <c r="D196" i="1"/>
  <c r="C197" i="1"/>
  <c r="D198" i="1"/>
  <c r="C199" i="1"/>
  <c r="D200" i="1"/>
  <c r="C201" i="1"/>
  <c r="F202" i="1"/>
  <c r="D203" i="1"/>
  <c r="F204" i="1"/>
  <c r="F206" i="1"/>
  <c r="D207" i="1"/>
  <c r="D208" i="1"/>
  <c r="D209" i="1"/>
  <c r="C210" i="1"/>
  <c r="F211" i="1"/>
  <c r="C212" i="1"/>
  <c r="C213" i="1"/>
  <c r="D214" i="1"/>
  <c r="F215" i="1"/>
  <c r="D216" i="1"/>
  <c r="C217" i="1"/>
  <c r="D218" i="1"/>
  <c r="F219" i="1"/>
  <c r="F220" i="1"/>
  <c r="C221" i="1"/>
  <c r="F225" i="1"/>
  <c r="C226" i="1"/>
  <c r="C228" i="1"/>
  <c r="C229" i="1"/>
  <c r="D230" i="1"/>
  <c r="C231" i="1"/>
  <c r="C232" i="1"/>
  <c r="C233" i="1"/>
  <c r="C234" i="1"/>
  <c r="C237" i="1"/>
  <c r="C238" i="1"/>
  <c r="F240" i="1"/>
  <c r="C241" i="1"/>
  <c r="D242" i="1"/>
  <c r="C243" i="1"/>
  <c r="C244" i="1"/>
  <c r="F245" i="1"/>
  <c r="D246" i="1"/>
  <c r="F249" i="1"/>
  <c r="D250" i="1"/>
  <c r="C252" i="1"/>
  <c r="D254" i="1"/>
  <c r="D255" i="1"/>
  <c r="F256" i="1"/>
  <c r="C258" i="1"/>
  <c r="F260" i="1"/>
  <c r="C263" i="1"/>
  <c r="D264" i="1"/>
  <c r="D266" i="1"/>
  <c r="C267" i="1"/>
  <c r="C268" i="1"/>
  <c r="F269" i="1"/>
  <c r="F270" i="1"/>
  <c r="F272" i="1"/>
  <c r="D273" i="1"/>
  <c r="D274" i="1"/>
  <c r="D276" i="1"/>
  <c r="C279" i="1"/>
  <c r="C280" i="1"/>
  <c r="F282" i="1"/>
  <c r="F285" i="1"/>
  <c r="C287" i="1"/>
  <c r="C288" i="1"/>
  <c r="F290" i="1"/>
  <c r="D291" i="1"/>
  <c r="D292" i="1"/>
  <c r="C293" i="1"/>
  <c r="D294" i="1"/>
  <c r="D296" i="1"/>
  <c r="D297" i="1"/>
  <c r="D298" i="1"/>
  <c r="F299" i="1"/>
  <c r="F300" i="1"/>
  <c r="D302" i="1"/>
  <c r="C303" i="1"/>
  <c r="D304" i="1"/>
  <c r="D305" i="1"/>
  <c r="C306" i="1"/>
  <c r="D308" i="1"/>
  <c r="F309" i="1"/>
  <c r="D310" i="1"/>
  <c r="F311" i="1"/>
  <c r="D312" i="1"/>
  <c r="D314" i="1"/>
  <c r="C315" i="1"/>
  <c r="C317" i="1"/>
  <c r="D318" i="1"/>
  <c r="D320" i="1"/>
  <c r="D321" i="1"/>
  <c r="D322" i="1"/>
  <c r="C324" i="1"/>
  <c r="C327" i="1"/>
  <c r="F328" i="1"/>
  <c r="F330" i="1"/>
  <c r="C331" i="1"/>
  <c r="F332" i="1"/>
  <c r="F334" i="1"/>
  <c r="D335" i="1"/>
  <c r="F336" i="1"/>
  <c r="F338" i="1"/>
  <c r="D339" i="1"/>
  <c r="C341" i="1"/>
  <c r="F342" i="1"/>
  <c r="D343" i="1"/>
  <c r="F345" i="1"/>
  <c r="D346" i="1"/>
  <c r="D348" i="1"/>
  <c r="C350" i="1"/>
  <c r="D351" i="1"/>
  <c r="C352" i="1"/>
  <c r="F353" i="1"/>
  <c r="D354" i="1"/>
  <c r="C356" i="1"/>
  <c r="F357" i="1"/>
  <c r="D358" i="1"/>
  <c r="C359" i="1"/>
  <c r="D360" i="1"/>
  <c r="D362" i="1"/>
  <c r="F363" i="1"/>
  <c r="C364" i="1"/>
  <c r="D365" i="1"/>
  <c r="C366" i="1"/>
  <c r="D368" i="1"/>
  <c r="D369" i="1"/>
  <c r="F370" i="1"/>
  <c r="F371" i="1"/>
  <c r="C373" i="1"/>
  <c r="C374" i="1"/>
  <c r="D375" i="1"/>
  <c r="F378" i="1"/>
  <c r="D381" i="1"/>
  <c r="C382" i="1"/>
  <c r="F383" i="1"/>
  <c r="C384" i="1"/>
  <c r="D386" i="1"/>
  <c r="C387" i="1"/>
  <c r="C389" i="1"/>
  <c r="D390" i="1"/>
  <c r="C392" i="1"/>
  <c r="C393" i="1"/>
  <c r="C394" i="1"/>
  <c r="D396" i="1"/>
  <c r="F398" i="1"/>
  <c r="D399" i="1"/>
  <c r="C400" i="1"/>
  <c r="D401" i="1"/>
  <c r="F402" i="1"/>
  <c r="D404" i="1"/>
  <c r="D405" i="1"/>
  <c r="F406" i="1"/>
  <c r="F407" i="1"/>
  <c r="F408" i="1"/>
  <c r="D409" i="1"/>
  <c r="F410" i="1"/>
  <c r="D411" i="1"/>
  <c r="C412" i="1"/>
  <c r="D413" i="1"/>
  <c r="C414" i="1"/>
  <c r="C416" i="1"/>
  <c r="D417" i="1"/>
  <c r="F418" i="1"/>
  <c r="D420" i="1"/>
  <c r="D422" i="1"/>
  <c r="F423" i="1"/>
  <c r="D424" i="1"/>
  <c r="C425" i="1"/>
  <c r="F426" i="1"/>
  <c r="F428" i="1"/>
  <c r="C429" i="1"/>
  <c r="F430" i="1"/>
  <c r="F431" i="1"/>
  <c r="C432" i="1"/>
  <c r="C433" i="1"/>
  <c r="D434" i="1"/>
  <c r="D435" i="1"/>
  <c r="C437" i="1"/>
  <c r="D438" i="1"/>
  <c r="F443" i="1"/>
  <c r="C444" i="1"/>
  <c r="F447" i="1"/>
  <c r="D448" i="1"/>
  <c r="F449" i="1"/>
  <c r="D450" i="1"/>
  <c r="F453" i="1"/>
  <c r="F454" i="1"/>
  <c r="C455" i="1"/>
  <c r="F456" i="1"/>
  <c r="D457" i="1"/>
  <c r="C459" i="1"/>
  <c r="C461" i="1"/>
  <c r="C462" i="1"/>
  <c r="C465" i="1"/>
  <c r="D468" i="1"/>
  <c r="C469" i="1"/>
  <c r="C470" i="1"/>
  <c r="C471" i="1"/>
  <c r="F472" i="1"/>
  <c r="C473" i="1"/>
  <c r="F474" i="1"/>
  <c r="C475" i="1"/>
  <c r="C476" i="1"/>
  <c r="C477" i="1"/>
  <c r="D478" i="1"/>
  <c r="C479" i="1"/>
  <c r="D480" i="1"/>
  <c r="C481" i="1"/>
  <c r="C482" i="1"/>
  <c r="C483" i="1"/>
  <c r="D485" i="1"/>
  <c r="D486" i="1"/>
  <c r="F488" i="1"/>
  <c r="D489" i="1"/>
  <c r="D490" i="1"/>
  <c r="C491" i="1"/>
  <c r="D492" i="1"/>
  <c r="F493" i="1"/>
  <c r="D494" i="1"/>
  <c r="C495" i="1"/>
  <c r="F496" i="1"/>
  <c r="D497" i="1"/>
  <c r="F498" i="1"/>
  <c r="C500" i="1"/>
  <c r="D501" i="1"/>
  <c r="C504" i="1"/>
  <c r="D505" i="1"/>
  <c r="C506" i="1"/>
  <c r="D507" i="1"/>
  <c r="D508" i="1"/>
  <c r="C509" i="1"/>
  <c r="D510" i="1"/>
  <c r="F511" i="1"/>
  <c r="C512" i="1"/>
  <c r="D513" i="1"/>
  <c r="D514" i="1"/>
  <c r="C515" i="1"/>
  <c r="C516" i="1"/>
  <c r="D517" i="1"/>
  <c r="C518" i="1"/>
  <c r="C519" i="1"/>
  <c r="C520" i="1"/>
  <c r="D521" i="1"/>
  <c r="C522" i="1"/>
  <c r="C523" i="1"/>
  <c r="D525" i="1"/>
  <c r="F526" i="1"/>
  <c r="F527" i="1"/>
  <c r="F528" i="1"/>
  <c r="D529" i="1"/>
  <c r="C530" i="1"/>
  <c r="C531" i="1"/>
  <c r="D532" i="1"/>
  <c r="C533" i="1"/>
  <c r="C534" i="1"/>
  <c r="D536" i="1"/>
  <c r="D537" i="1"/>
  <c r="F538" i="1"/>
  <c r="F539" i="1"/>
  <c r="D540" i="1"/>
  <c r="F541" i="1"/>
  <c r="C542" i="1"/>
  <c r="D543" i="1"/>
  <c r="C544" i="1"/>
  <c r="C546" i="1"/>
  <c r="F547" i="1"/>
  <c r="D548" i="1"/>
  <c r="C549" i="1"/>
  <c r="D550" i="1"/>
  <c r="C551" i="1"/>
  <c r="C552" i="1"/>
  <c r="C553" i="1"/>
  <c r="F554" i="1"/>
  <c r="D555" i="1"/>
  <c r="F556" i="1"/>
  <c r="D557" i="1"/>
  <c r="C558" i="1"/>
  <c r="C561" i="1"/>
  <c r="F562" i="1"/>
  <c r="C563" i="1"/>
  <c r="D564" i="1"/>
  <c r="D566" i="1"/>
  <c r="C568" i="1"/>
  <c r="C569" i="1"/>
  <c r="D570" i="1"/>
  <c r="D571" i="1"/>
  <c r="D572" i="1"/>
  <c r="D573" i="1"/>
  <c r="F574" i="1"/>
  <c r="F575" i="1"/>
  <c r="C576" i="1"/>
  <c r="C578" i="1"/>
  <c r="D579" i="1"/>
  <c r="F580" i="1"/>
  <c r="C581" i="1"/>
  <c r="D582" i="1"/>
  <c r="C583" i="1"/>
  <c r="C584" i="1"/>
  <c r="D585" i="1"/>
  <c r="F586" i="1"/>
  <c r="C587" i="1"/>
  <c r="C588" i="1"/>
  <c r="C589" i="1"/>
  <c r="C590" i="1"/>
  <c r="D591" i="1"/>
  <c r="C592" i="1"/>
  <c r="C593" i="1"/>
  <c r="C594" i="1"/>
  <c r="C595" i="1"/>
  <c r="D596" i="1"/>
  <c r="C597" i="1"/>
  <c r="F598" i="1"/>
  <c r="D599" i="1"/>
  <c r="F600" i="1"/>
  <c r="C601" i="1"/>
  <c r="D602" i="1"/>
  <c r="C603" i="1"/>
  <c r="F604" i="1"/>
  <c r="C605" i="1"/>
  <c r="D606" i="1"/>
  <c r="C607" i="1"/>
  <c r="D609" i="1"/>
  <c r="C610" i="1"/>
  <c r="F612" i="1"/>
  <c r="C613" i="1"/>
  <c r="C614" i="1"/>
  <c r="F616" i="1"/>
  <c r="C617" i="1"/>
  <c r="F618" i="1"/>
  <c r="C619" i="1"/>
  <c r="C620" i="1"/>
  <c r="F621" i="1"/>
  <c r="C622" i="1"/>
  <c r="F624" i="1"/>
  <c r="C626" i="1"/>
  <c r="C628" i="1"/>
  <c r="F629" i="1"/>
  <c r="F630" i="1"/>
  <c r="D633" i="1"/>
  <c r="C634" i="1"/>
  <c r="F636" i="1"/>
  <c r="C638" i="1"/>
  <c r="C639" i="1"/>
  <c r="F640" i="1"/>
  <c r="C641" i="1"/>
  <c r="D642" i="1"/>
  <c r="F644" i="1"/>
  <c r="D645" i="1"/>
  <c r="F646" i="1"/>
  <c r="D648" i="1"/>
  <c r="C650" i="1"/>
  <c r="C651" i="1"/>
  <c r="F652" i="1"/>
  <c r="D653" i="1"/>
  <c r="F656" i="1"/>
  <c r="F657" i="1"/>
  <c r="C658" i="1"/>
  <c r="C660" i="1"/>
  <c r="C662" i="1"/>
  <c r="C664" i="1"/>
  <c r="C665" i="1"/>
  <c r="D668" i="1"/>
  <c r="D670" i="1"/>
  <c r="D671" i="1"/>
  <c r="C674" i="1"/>
  <c r="C675" i="1"/>
  <c r="F676" i="1"/>
  <c r="D678" i="1"/>
  <c r="F680" i="1"/>
  <c r="F701" i="1"/>
  <c r="N2" i="6"/>
  <c r="N3" i="6"/>
  <c r="N4" i="6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E488" i="1" s="1"/>
  <c r="N23" i="6"/>
  <c r="N24" i="6"/>
  <c r="N25" i="6"/>
  <c r="N26" i="6"/>
  <c r="N27" i="6"/>
  <c r="N28" i="6"/>
  <c r="N29" i="6"/>
  <c r="E682" i="1" s="1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N100" i="6"/>
  <c r="N101" i="6"/>
  <c r="N102" i="6"/>
  <c r="N103" i="6"/>
  <c r="N104" i="6"/>
  <c r="N105" i="6"/>
  <c r="N106" i="6"/>
  <c r="N107" i="6"/>
  <c r="E262" i="1" s="1"/>
  <c r="N108" i="6"/>
  <c r="N109" i="6"/>
  <c r="N110" i="6"/>
  <c r="N111" i="6"/>
  <c r="N112" i="6"/>
  <c r="N113" i="6"/>
  <c r="N114" i="6"/>
  <c r="N115" i="6"/>
  <c r="N116" i="6"/>
  <c r="N117" i="6"/>
  <c r="N118" i="6"/>
  <c r="N119" i="6"/>
  <c r="N120" i="6"/>
  <c r="N121" i="6"/>
  <c r="N122" i="6"/>
  <c r="N123" i="6"/>
  <c r="N124" i="6"/>
  <c r="N125" i="6"/>
  <c r="N126" i="6"/>
  <c r="N127" i="6"/>
  <c r="N128" i="6"/>
  <c r="N129" i="6"/>
  <c r="N130" i="6"/>
  <c r="N131" i="6"/>
  <c r="N132" i="6"/>
  <c r="N133" i="6"/>
  <c r="N134" i="6"/>
  <c r="N135" i="6"/>
  <c r="N136" i="6"/>
  <c r="N137" i="6"/>
  <c r="N138" i="6"/>
  <c r="N139" i="6"/>
  <c r="N140" i="6"/>
  <c r="N141" i="6"/>
  <c r="N142" i="6"/>
  <c r="N143" i="6"/>
  <c r="N144" i="6"/>
  <c r="N145" i="6"/>
  <c r="N146" i="6"/>
  <c r="N147" i="6"/>
  <c r="N148" i="6"/>
  <c r="N149" i="6"/>
  <c r="N150" i="6"/>
  <c r="N151" i="6"/>
  <c r="N152" i="6"/>
  <c r="N153" i="6"/>
  <c r="N154" i="6"/>
  <c r="N155" i="6"/>
  <c r="N156" i="6"/>
  <c r="N157" i="6"/>
  <c r="N158" i="6"/>
  <c r="N159" i="6"/>
  <c r="N160" i="6"/>
  <c r="N161" i="6"/>
  <c r="N162" i="6"/>
  <c r="N163" i="6"/>
  <c r="N164" i="6"/>
  <c r="N165" i="6"/>
  <c r="N166" i="6"/>
  <c r="N167" i="6"/>
  <c r="N168" i="6"/>
  <c r="N169" i="6"/>
  <c r="N170" i="6"/>
  <c r="N171" i="6"/>
  <c r="N172" i="6"/>
  <c r="N173" i="6"/>
  <c r="N174" i="6"/>
  <c r="N175" i="6"/>
  <c r="N176" i="6"/>
  <c r="N177" i="6"/>
  <c r="N178" i="6"/>
  <c r="N179" i="6"/>
  <c r="N180" i="6"/>
  <c r="N181" i="6"/>
  <c r="N182" i="6"/>
  <c r="N183" i="6"/>
  <c r="N184" i="6"/>
  <c r="N185" i="6"/>
  <c r="N186" i="6"/>
  <c r="N187" i="6"/>
  <c r="N188" i="6"/>
  <c r="N189" i="6"/>
  <c r="N190" i="6"/>
  <c r="N191" i="6"/>
  <c r="N192" i="6"/>
  <c r="N193" i="6"/>
  <c r="N194" i="6"/>
  <c r="N195" i="6"/>
  <c r="N196" i="6"/>
  <c r="N197" i="6"/>
  <c r="N198" i="6"/>
  <c r="N199" i="6"/>
  <c r="N200" i="6"/>
  <c r="N201" i="6"/>
  <c r="N202" i="6"/>
  <c r="N203" i="6"/>
  <c r="N204" i="6"/>
  <c r="N205" i="6"/>
  <c r="N206" i="6"/>
  <c r="N207" i="6"/>
  <c r="N208" i="6"/>
  <c r="N209" i="6"/>
  <c r="N210" i="6"/>
  <c r="N211" i="6"/>
  <c r="N212" i="6"/>
  <c r="N213" i="6"/>
  <c r="N214" i="6"/>
  <c r="N215" i="6"/>
  <c r="N216" i="6"/>
  <c r="N217" i="6"/>
  <c r="N218" i="6"/>
  <c r="N219" i="6"/>
  <c r="N220" i="6"/>
  <c r="E135" i="1" s="1"/>
  <c r="N221" i="6"/>
  <c r="N222" i="6"/>
  <c r="N223" i="6"/>
  <c r="N224" i="6"/>
  <c r="E156" i="1" s="1"/>
  <c r="N225" i="6"/>
  <c r="N226" i="6"/>
  <c r="N227" i="6"/>
  <c r="N228" i="6"/>
  <c r="N229" i="6"/>
  <c r="N230" i="6"/>
  <c r="N231" i="6"/>
  <c r="N232" i="6"/>
  <c r="N233" i="6"/>
  <c r="N234" i="6"/>
  <c r="N235" i="6"/>
  <c r="N236" i="6"/>
  <c r="N237" i="6"/>
  <c r="N238" i="6"/>
  <c r="N239" i="6"/>
  <c r="E152" i="1" s="1"/>
  <c r="N240" i="6"/>
  <c r="N241" i="6"/>
  <c r="N242" i="6"/>
  <c r="N243" i="6"/>
  <c r="N244" i="6"/>
  <c r="N245" i="6"/>
  <c r="N246" i="6"/>
  <c r="N247" i="6"/>
  <c r="N248" i="6"/>
  <c r="N249" i="6"/>
  <c r="N250" i="6"/>
  <c r="N251" i="6"/>
  <c r="N252" i="6"/>
  <c r="N253" i="6"/>
  <c r="N254" i="6"/>
  <c r="N255" i="6"/>
  <c r="N256" i="6"/>
  <c r="N257" i="6"/>
  <c r="N258" i="6"/>
  <c r="N259" i="6"/>
  <c r="N260" i="6"/>
  <c r="N261" i="6"/>
  <c r="N262" i="6"/>
  <c r="N263" i="6"/>
  <c r="N264" i="6"/>
  <c r="N265" i="6"/>
  <c r="N266" i="6"/>
  <c r="N267" i="6"/>
  <c r="N268" i="6"/>
  <c r="N269" i="6"/>
  <c r="N270" i="6"/>
  <c r="N271" i="6"/>
  <c r="N272" i="6"/>
  <c r="N273" i="6"/>
  <c r="N274" i="6"/>
  <c r="N275" i="6"/>
  <c r="N276" i="6"/>
  <c r="N277" i="6"/>
  <c r="N278" i="6"/>
  <c r="N279" i="6"/>
  <c r="N280" i="6"/>
  <c r="N281" i="6"/>
  <c r="N282" i="6"/>
  <c r="N283" i="6"/>
  <c r="N284" i="6"/>
  <c r="N285" i="6"/>
  <c r="N286" i="6"/>
  <c r="N287" i="6"/>
  <c r="N288" i="6"/>
  <c r="N289" i="6"/>
  <c r="N290" i="6"/>
  <c r="N291" i="6"/>
  <c r="N292" i="6"/>
  <c r="N293" i="6"/>
  <c r="N294" i="6"/>
  <c r="N295" i="6"/>
  <c r="N296" i="6"/>
  <c r="N297" i="6"/>
  <c r="N298" i="6"/>
  <c r="N299" i="6"/>
  <c r="N300" i="6"/>
  <c r="N301" i="6"/>
  <c r="N302" i="6"/>
  <c r="N303" i="6"/>
  <c r="N304" i="6"/>
  <c r="N305" i="6"/>
  <c r="N306" i="6"/>
  <c r="N307" i="6"/>
  <c r="N308" i="6"/>
  <c r="N309" i="6"/>
  <c r="N310" i="6"/>
  <c r="N311" i="6"/>
  <c r="N312" i="6"/>
  <c r="N313" i="6"/>
  <c r="N314" i="6"/>
  <c r="N315" i="6"/>
  <c r="N316" i="6"/>
  <c r="N317" i="6"/>
  <c r="N318" i="6"/>
  <c r="N319" i="6"/>
  <c r="N320" i="6"/>
  <c r="N321" i="6"/>
  <c r="N322" i="6"/>
  <c r="N323" i="6"/>
  <c r="N324" i="6"/>
  <c r="N325" i="6"/>
  <c r="N326" i="6"/>
  <c r="N327" i="6"/>
  <c r="N328" i="6"/>
  <c r="N329" i="6"/>
  <c r="N330" i="6"/>
  <c r="N331" i="6"/>
  <c r="N332" i="6"/>
  <c r="N333" i="6"/>
  <c r="N334" i="6"/>
  <c r="N335" i="6"/>
  <c r="N336" i="6"/>
  <c r="N337" i="6"/>
  <c r="N338" i="6"/>
  <c r="N339" i="6"/>
  <c r="N340" i="6"/>
  <c r="N341" i="6"/>
  <c r="N342" i="6"/>
  <c r="N343" i="6"/>
  <c r="N344" i="6"/>
  <c r="E692" i="1" s="1"/>
  <c r="N345" i="6"/>
  <c r="N346" i="6"/>
  <c r="N347" i="6"/>
  <c r="N348" i="6"/>
  <c r="N349" i="6"/>
  <c r="N350" i="6"/>
  <c r="N351" i="6"/>
  <c r="N352" i="6"/>
  <c r="N353" i="6"/>
  <c r="N354" i="6"/>
  <c r="N355" i="6"/>
  <c r="N356" i="6"/>
  <c r="N357" i="6"/>
  <c r="N358" i="6"/>
  <c r="N359" i="6"/>
  <c r="N360" i="6"/>
  <c r="N361" i="6"/>
  <c r="N362" i="6"/>
  <c r="N363" i="6"/>
  <c r="N364" i="6"/>
  <c r="N365" i="6"/>
  <c r="N366" i="6"/>
  <c r="N367" i="6"/>
  <c r="N368" i="6"/>
  <c r="N369" i="6"/>
  <c r="E49" i="1" s="1"/>
  <c r="N370" i="6"/>
  <c r="N371" i="6"/>
  <c r="N372" i="6"/>
  <c r="N373" i="6"/>
  <c r="N374" i="6"/>
  <c r="N375" i="6"/>
  <c r="N376" i="6"/>
  <c r="N377" i="6"/>
  <c r="E693" i="1" s="1"/>
  <c r="N378" i="6"/>
  <c r="E694" i="1" s="1"/>
  <c r="N379" i="6"/>
  <c r="N380" i="6"/>
  <c r="N381" i="6"/>
  <c r="N382" i="6"/>
  <c r="N383" i="6"/>
  <c r="N384" i="6"/>
  <c r="N385" i="6"/>
  <c r="N386" i="6"/>
  <c r="N387" i="6"/>
  <c r="N388" i="6"/>
  <c r="E671" i="1" s="1"/>
  <c r="N389" i="6"/>
  <c r="N390" i="6"/>
  <c r="N391" i="6"/>
  <c r="N392" i="6"/>
  <c r="E663" i="1" s="1"/>
  <c r="N393" i="6"/>
  <c r="N394" i="6"/>
  <c r="E668" i="1" s="1"/>
  <c r="N395" i="6"/>
  <c r="N396" i="6"/>
  <c r="N397" i="6"/>
  <c r="N398" i="6"/>
  <c r="N399" i="6"/>
  <c r="N400" i="6"/>
  <c r="N401" i="6"/>
  <c r="N402" i="6"/>
  <c r="N403" i="6"/>
  <c r="N404" i="6"/>
  <c r="N405" i="6"/>
  <c r="N406" i="6"/>
  <c r="N407" i="6"/>
  <c r="N408" i="6"/>
  <c r="N409" i="6"/>
  <c r="N410" i="6"/>
  <c r="N411" i="6"/>
  <c r="N412" i="6"/>
  <c r="N413" i="6"/>
  <c r="N414" i="6"/>
  <c r="N415" i="6"/>
  <c r="N416" i="6"/>
  <c r="N417" i="6"/>
  <c r="N418" i="6"/>
  <c r="N419" i="6"/>
  <c r="N420" i="6"/>
  <c r="N421" i="6"/>
  <c r="N422" i="6"/>
  <c r="N423" i="6"/>
  <c r="N424" i="6"/>
  <c r="N425" i="6"/>
  <c r="N426" i="6"/>
  <c r="N427" i="6"/>
  <c r="N428" i="6"/>
  <c r="N429" i="6"/>
  <c r="N430" i="6"/>
  <c r="N431" i="6"/>
  <c r="N432" i="6"/>
  <c r="N433" i="6"/>
  <c r="N434" i="6"/>
  <c r="N435" i="6"/>
  <c r="N436" i="6"/>
  <c r="N437" i="6"/>
  <c r="N438" i="6"/>
  <c r="N439" i="6"/>
  <c r="N440" i="6"/>
  <c r="N441" i="6"/>
  <c r="N442" i="6"/>
  <c r="N443" i="6"/>
  <c r="N444" i="6"/>
  <c r="N445" i="6"/>
  <c r="N446" i="6"/>
  <c r="N447" i="6"/>
  <c r="N448" i="6"/>
  <c r="N449" i="6"/>
  <c r="N450" i="6"/>
  <c r="N451" i="6"/>
  <c r="N452" i="6"/>
  <c r="N453" i="6"/>
  <c r="N454" i="6"/>
  <c r="N455" i="6"/>
  <c r="N456" i="6"/>
  <c r="N457" i="6"/>
  <c r="N458" i="6"/>
  <c r="N459" i="6"/>
  <c r="N460" i="6"/>
  <c r="N461" i="6"/>
  <c r="N462" i="6"/>
  <c r="N463" i="6"/>
  <c r="N464" i="6"/>
  <c r="N465" i="6"/>
  <c r="N466" i="6"/>
  <c r="N467" i="6"/>
  <c r="N468" i="6"/>
  <c r="N469" i="6"/>
  <c r="N470" i="6"/>
  <c r="N471" i="6"/>
  <c r="N472" i="6"/>
  <c r="N473" i="6"/>
  <c r="N474" i="6"/>
  <c r="N475" i="6"/>
  <c r="N476" i="6"/>
  <c r="N477" i="6"/>
  <c r="N478" i="6"/>
  <c r="E496" i="1" s="1"/>
  <c r="N479" i="6"/>
  <c r="N480" i="6"/>
  <c r="N481" i="6"/>
  <c r="N482" i="6"/>
  <c r="N483" i="6"/>
  <c r="N484" i="6"/>
  <c r="N485" i="6"/>
  <c r="N486" i="6"/>
  <c r="N487" i="6"/>
  <c r="N488" i="6"/>
  <c r="N489" i="6"/>
  <c r="N490" i="6"/>
  <c r="N491" i="6"/>
  <c r="N492" i="6"/>
  <c r="N493" i="6"/>
  <c r="N494" i="6"/>
  <c r="N495" i="6"/>
  <c r="N496" i="6"/>
  <c r="N497" i="6"/>
  <c r="N498" i="6"/>
  <c r="N499" i="6"/>
  <c r="N500" i="6"/>
  <c r="N501" i="6"/>
  <c r="N502" i="6"/>
  <c r="N503" i="6"/>
  <c r="N504" i="6"/>
  <c r="N505" i="6"/>
  <c r="N506" i="6"/>
  <c r="N507" i="6"/>
  <c r="N508" i="6"/>
  <c r="N509" i="6"/>
  <c r="N510" i="6"/>
  <c r="N511" i="6"/>
  <c r="N512" i="6"/>
  <c r="N513" i="6"/>
  <c r="N514" i="6"/>
  <c r="N515" i="6"/>
  <c r="N516" i="6"/>
  <c r="N517" i="6"/>
  <c r="N518" i="6"/>
  <c r="N519" i="6"/>
  <c r="N520" i="6"/>
  <c r="N521" i="6"/>
  <c r="N522" i="6"/>
  <c r="N523" i="6"/>
  <c r="N524" i="6"/>
  <c r="N525" i="6"/>
  <c r="N526" i="6"/>
  <c r="E373" i="1" s="1"/>
  <c r="N527" i="6"/>
  <c r="N528" i="6"/>
  <c r="N529" i="6"/>
  <c r="N530" i="6"/>
  <c r="N531" i="6"/>
  <c r="N532" i="6"/>
  <c r="N533" i="6"/>
  <c r="N534" i="6"/>
  <c r="N535" i="6"/>
  <c r="N536" i="6"/>
  <c r="N537" i="6"/>
  <c r="N538" i="6"/>
  <c r="N539" i="6"/>
  <c r="N540" i="6"/>
  <c r="N541" i="6"/>
  <c r="N542" i="6"/>
  <c r="N543" i="6"/>
  <c r="N544" i="6"/>
  <c r="N545" i="6"/>
  <c r="N546" i="6"/>
  <c r="N547" i="6"/>
  <c r="N548" i="6"/>
  <c r="N549" i="6"/>
  <c r="N550" i="6"/>
  <c r="N551" i="6"/>
  <c r="N552" i="6"/>
  <c r="N553" i="6"/>
  <c r="N554" i="6"/>
  <c r="N555" i="6"/>
  <c r="N556" i="6"/>
  <c r="N557" i="6"/>
  <c r="N558" i="6"/>
  <c r="N559" i="6"/>
  <c r="N560" i="6"/>
  <c r="N561" i="6"/>
  <c r="N562" i="6"/>
  <c r="N563" i="6"/>
  <c r="N564" i="6"/>
  <c r="N565" i="6"/>
  <c r="N566" i="6"/>
  <c r="N567" i="6"/>
  <c r="N568" i="6"/>
  <c r="N569" i="6"/>
  <c r="N570" i="6"/>
  <c r="N571" i="6"/>
  <c r="N572" i="6"/>
  <c r="N573" i="6"/>
  <c r="N574" i="6"/>
  <c r="N575" i="6"/>
  <c r="N576" i="6"/>
  <c r="N577" i="6"/>
  <c r="N578" i="6"/>
  <c r="N579" i="6"/>
  <c r="N580" i="6"/>
  <c r="N581" i="6"/>
  <c r="N582" i="6"/>
  <c r="N583" i="6"/>
  <c r="N584" i="6"/>
  <c r="N585" i="6"/>
  <c r="N586" i="6"/>
  <c r="N587" i="6"/>
  <c r="N588" i="6"/>
  <c r="N589" i="6"/>
  <c r="N590" i="6"/>
  <c r="N591" i="6"/>
  <c r="N592" i="6"/>
  <c r="N593" i="6"/>
  <c r="N594" i="6"/>
  <c r="N595" i="6"/>
  <c r="N596" i="6"/>
  <c r="N597" i="6"/>
  <c r="N598" i="6"/>
  <c r="N599" i="6"/>
  <c r="N600" i="6"/>
  <c r="N601" i="6"/>
  <c r="N602" i="6"/>
  <c r="N603" i="6"/>
  <c r="N604" i="6"/>
  <c r="N605" i="6"/>
  <c r="N606" i="6"/>
  <c r="N607" i="6"/>
  <c r="N608" i="6"/>
  <c r="N609" i="6"/>
  <c r="N610" i="6"/>
  <c r="N611" i="6"/>
  <c r="N612" i="6"/>
  <c r="N613" i="6"/>
  <c r="N614" i="6"/>
  <c r="N615" i="6"/>
  <c r="N616" i="6"/>
  <c r="N617" i="6"/>
  <c r="N618" i="6"/>
  <c r="N619" i="6"/>
  <c r="N620" i="6"/>
  <c r="N621" i="6"/>
  <c r="N622" i="6"/>
  <c r="N623" i="6"/>
  <c r="N624" i="6"/>
  <c r="N625" i="6"/>
  <c r="N626" i="6"/>
  <c r="N627" i="6"/>
  <c r="N628" i="6"/>
  <c r="N629" i="6"/>
  <c r="N630" i="6"/>
  <c r="N631" i="6"/>
  <c r="N632" i="6"/>
  <c r="N633" i="6"/>
  <c r="N634" i="6"/>
  <c r="N635" i="6"/>
  <c r="N636" i="6"/>
  <c r="N637" i="6"/>
  <c r="N638" i="6"/>
  <c r="N639" i="6"/>
  <c r="N640" i="6"/>
  <c r="N641" i="6"/>
  <c r="N642" i="6"/>
  <c r="N643" i="6"/>
  <c r="N644" i="6"/>
  <c r="N645" i="6"/>
  <c r="N646" i="6"/>
  <c r="N647" i="6"/>
  <c r="N648" i="6"/>
  <c r="N649" i="6"/>
  <c r="N650" i="6"/>
  <c r="N651" i="6"/>
  <c r="N652" i="6"/>
  <c r="N653" i="6"/>
  <c r="N654" i="6"/>
  <c r="N655" i="6"/>
  <c r="N656" i="6"/>
  <c r="N657" i="6"/>
  <c r="N658" i="6"/>
  <c r="N659" i="6"/>
  <c r="N660" i="6"/>
  <c r="N661" i="6"/>
  <c r="N662" i="6"/>
  <c r="N663" i="6"/>
  <c r="N664" i="6"/>
  <c r="N665" i="6"/>
  <c r="N666" i="6"/>
  <c r="N667" i="6"/>
  <c r="N668" i="6"/>
  <c r="N669" i="6"/>
  <c r="N670" i="6"/>
  <c r="N671" i="6"/>
  <c r="N672" i="6"/>
  <c r="N673" i="6"/>
  <c r="N674" i="6"/>
  <c r="N675" i="6"/>
  <c r="N676" i="6"/>
  <c r="N677" i="6"/>
  <c r="N678" i="6"/>
  <c r="N679" i="6"/>
  <c r="N680" i="6"/>
  <c r="N681" i="6"/>
  <c r="N682" i="6"/>
  <c r="N683" i="6"/>
  <c r="N684" i="6"/>
  <c r="N685" i="6"/>
  <c r="N686" i="6"/>
  <c r="N687" i="6"/>
  <c r="N688" i="6"/>
  <c r="N689" i="6"/>
  <c r="N690" i="6"/>
  <c r="N691" i="6"/>
  <c r="N692" i="6"/>
  <c r="N693" i="6"/>
  <c r="N694" i="6"/>
  <c r="N695" i="6"/>
  <c r="N696" i="6"/>
  <c r="N697" i="6"/>
  <c r="N698" i="6"/>
  <c r="N699" i="6"/>
  <c r="N700" i="6"/>
  <c r="N701" i="6"/>
  <c r="N702" i="6"/>
  <c r="C4" i="1"/>
  <c r="D4" i="1"/>
  <c r="F4" i="1"/>
  <c r="C5" i="1"/>
  <c r="D5" i="1"/>
  <c r="F5" i="1"/>
  <c r="C6" i="1"/>
  <c r="D6" i="1"/>
  <c r="F6" i="1"/>
  <c r="C7" i="1"/>
  <c r="D7" i="1"/>
  <c r="F7" i="1"/>
  <c r="C8" i="1"/>
  <c r="D8" i="1"/>
  <c r="F8" i="1"/>
  <c r="C9" i="1"/>
  <c r="D9" i="1"/>
  <c r="F9" i="1"/>
  <c r="C10" i="1"/>
  <c r="D10" i="1"/>
  <c r="F10" i="1"/>
  <c r="C11" i="1"/>
  <c r="D11" i="1"/>
  <c r="F11" i="1"/>
  <c r="C13" i="1"/>
  <c r="D13" i="1"/>
  <c r="F13" i="1"/>
  <c r="C14" i="1"/>
  <c r="D14" i="1"/>
  <c r="F14" i="1"/>
  <c r="C15" i="1"/>
  <c r="D15" i="1"/>
  <c r="F15" i="1"/>
  <c r="C16" i="1"/>
  <c r="D16" i="1"/>
  <c r="F16" i="1"/>
  <c r="C17" i="1"/>
  <c r="D17" i="1"/>
  <c r="F17" i="1"/>
  <c r="C18" i="1"/>
  <c r="D18" i="1"/>
  <c r="F18" i="1"/>
  <c r="C19" i="1"/>
  <c r="D19" i="1"/>
  <c r="F19" i="1"/>
  <c r="C20" i="1"/>
  <c r="D20" i="1"/>
  <c r="F20" i="1"/>
  <c r="C21" i="1"/>
  <c r="D21" i="1"/>
  <c r="F21" i="1"/>
  <c r="C22" i="1"/>
  <c r="D22" i="1"/>
  <c r="F22" i="1"/>
  <c r="C23" i="1"/>
  <c r="D23" i="1"/>
  <c r="F23" i="1"/>
  <c r="C25" i="1"/>
  <c r="D25" i="1"/>
  <c r="F25" i="1"/>
  <c r="C26" i="1"/>
  <c r="D26" i="1"/>
  <c r="F26" i="1"/>
  <c r="C27" i="1"/>
  <c r="D27" i="1"/>
  <c r="F27" i="1"/>
  <c r="C28" i="1"/>
  <c r="D28" i="1"/>
  <c r="F28" i="1"/>
  <c r="C29" i="1"/>
  <c r="D29" i="1"/>
  <c r="F29" i="1"/>
  <c r="C30" i="1"/>
  <c r="D30" i="1"/>
  <c r="F30" i="1"/>
  <c r="C31" i="1"/>
  <c r="D31" i="1"/>
  <c r="F31" i="1"/>
  <c r="C32" i="1"/>
  <c r="D32" i="1"/>
  <c r="F32" i="1"/>
  <c r="C33" i="1"/>
  <c r="D33" i="1"/>
  <c r="F33" i="1"/>
  <c r="C34" i="1"/>
  <c r="D34" i="1"/>
  <c r="F34" i="1"/>
  <c r="C35" i="1"/>
  <c r="D35" i="1"/>
  <c r="F35" i="1"/>
  <c r="C37" i="1"/>
  <c r="D37" i="1"/>
  <c r="F37" i="1"/>
  <c r="C38" i="1"/>
  <c r="D38" i="1"/>
  <c r="F38" i="1"/>
  <c r="C39" i="1"/>
  <c r="D39" i="1"/>
  <c r="F39" i="1"/>
  <c r="C40" i="1"/>
  <c r="D40" i="1"/>
  <c r="F40" i="1"/>
  <c r="C41" i="1"/>
  <c r="D41" i="1"/>
  <c r="F41" i="1"/>
  <c r="C42" i="1"/>
  <c r="D42" i="1"/>
  <c r="F42" i="1"/>
  <c r="C43" i="1"/>
  <c r="D43" i="1"/>
  <c r="F43" i="1"/>
  <c r="C44" i="1"/>
  <c r="D44" i="1"/>
  <c r="F44" i="1"/>
  <c r="C45" i="1"/>
  <c r="D45" i="1"/>
  <c r="F45" i="1"/>
  <c r="C46" i="1"/>
  <c r="D46" i="1"/>
  <c r="F46" i="1"/>
  <c r="C47" i="1"/>
  <c r="D47" i="1"/>
  <c r="F47" i="1"/>
  <c r="C49" i="1"/>
  <c r="D49" i="1"/>
  <c r="F49" i="1"/>
  <c r="C50" i="1"/>
  <c r="D50" i="1"/>
  <c r="F50" i="1"/>
  <c r="C51" i="1"/>
  <c r="D51" i="1"/>
  <c r="F51" i="1"/>
  <c r="C52" i="1"/>
  <c r="D52" i="1"/>
  <c r="F52" i="1"/>
  <c r="C53" i="1"/>
  <c r="D53" i="1"/>
  <c r="F53" i="1"/>
  <c r="C54" i="1"/>
  <c r="D54" i="1"/>
  <c r="F54" i="1"/>
  <c r="C55" i="1"/>
  <c r="D55" i="1"/>
  <c r="F55" i="1"/>
  <c r="C56" i="1"/>
  <c r="D56" i="1"/>
  <c r="F56" i="1"/>
  <c r="C57" i="1"/>
  <c r="D57" i="1"/>
  <c r="F57" i="1"/>
  <c r="C58" i="1"/>
  <c r="D58" i="1"/>
  <c r="F58" i="1"/>
  <c r="C59" i="1"/>
  <c r="D59" i="1"/>
  <c r="F59" i="1"/>
  <c r="C61" i="1"/>
  <c r="D61" i="1"/>
  <c r="F61" i="1"/>
  <c r="C62" i="1"/>
  <c r="D62" i="1"/>
  <c r="F62" i="1"/>
  <c r="C63" i="1"/>
  <c r="D63" i="1"/>
  <c r="F63" i="1"/>
  <c r="C64" i="1"/>
  <c r="D64" i="1"/>
  <c r="F64" i="1"/>
  <c r="C65" i="1"/>
  <c r="D65" i="1"/>
  <c r="F65" i="1"/>
  <c r="C66" i="1"/>
  <c r="D66" i="1"/>
  <c r="F66" i="1"/>
  <c r="C67" i="1"/>
  <c r="D67" i="1"/>
  <c r="F67" i="1"/>
  <c r="C68" i="1"/>
  <c r="D68" i="1"/>
  <c r="F68" i="1"/>
  <c r="C69" i="1"/>
  <c r="D69" i="1"/>
  <c r="F69" i="1"/>
  <c r="C70" i="1"/>
  <c r="D70" i="1"/>
  <c r="F70" i="1"/>
  <c r="C71" i="1"/>
  <c r="D71" i="1"/>
  <c r="F71" i="1"/>
  <c r="C73" i="1"/>
  <c r="D73" i="1"/>
  <c r="F73" i="1"/>
  <c r="C74" i="1"/>
  <c r="D74" i="1"/>
  <c r="F74" i="1"/>
  <c r="C75" i="1"/>
  <c r="D75" i="1"/>
  <c r="F75" i="1"/>
  <c r="C76" i="1"/>
  <c r="D76" i="1"/>
  <c r="F76" i="1"/>
  <c r="C77" i="1"/>
  <c r="D77" i="1"/>
  <c r="F77" i="1"/>
  <c r="C78" i="1"/>
  <c r="D78" i="1"/>
  <c r="F78" i="1"/>
  <c r="C79" i="1"/>
  <c r="D79" i="1"/>
  <c r="F79" i="1"/>
  <c r="C80" i="1"/>
  <c r="D80" i="1"/>
  <c r="F80" i="1"/>
  <c r="C81" i="1"/>
  <c r="D81" i="1"/>
  <c r="F81" i="1"/>
  <c r="C82" i="1"/>
  <c r="D82" i="1"/>
  <c r="F82" i="1"/>
  <c r="C83" i="1"/>
  <c r="D83" i="1"/>
  <c r="F83" i="1"/>
  <c r="C85" i="1"/>
  <c r="D85" i="1"/>
  <c r="F85" i="1"/>
  <c r="C86" i="1"/>
  <c r="D86" i="1"/>
  <c r="F86" i="1"/>
  <c r="C87" i="1"/>
  <c r="D87" i="1"/>
  <c r="F87" i="1"/>
  <c r="C88" i="1"/>
  <c r="D88" i="1"/>
  <c r="F88" i="1"/>
  <c r="C89" i="1"/>
  <c r="D89" i="1"/>
  <c r="F89" i="1"/>
  <c r="C90" i="1"/>
  <c r="D90" i="1"/>
  <c r="F90" i="1"/>
  <c r="C91" i="1"/>
  <c r="D91" i="1"/>
  <c r="F91" i="1"/>
  <c r="C92" i="1"/>
  <c r="D92" i="1"/>
  <c r="F92" i="1"/>
  <c r="C93" i="1"/>
  <c r="D93" i="1"/>
  <c r="F93" i="1"/>
  <c r="C94" i="1"/>
  <c r="D94" i="1"/>
  <c r="F94" i="1"/>
  <c r="C95" i="1"/>
  <c r="D95" i="1"/>
  <c r="F95" i="1"/>
  <c r="C97" i="1"/>
  <c r="D97" i="1"/>
  <c r="F97" i="1"/>
  <c r="C98" i="1"/>
  <c r="D98" i="1"/>
  <c r="F98" i="1"/>
  <c r="C99" i="1"/>
  <c r="D99" i="1"/>
  <c r="F99" i="1"/>
  <c r="C100" i="1"/>
  <c r="D100" i="1"/>
  <c r="F100" i="1"/>
  <c r="C101" i="1"/>
  <c r="D101" i="1"/>
  <c r="F101" i="1"/>
  <c r="C102" i="1"/>
  <c r="D102" i="1"/>
  <c r="F102" i="1"/>
  <c r="C103" i="1"/>
  <c r="D103" i="1"/>
  <c r="F103" i="1"/>
  <c r="C104" i="1"/>
  <c r="D104" i="1"/>
  <c r="F104" i="1"/>
  <c r="C105" i="1"/>
  <c r="D105" i="1"/>
  <c r="F105" i="1"/>
  <c r="C106" i="1"/>
  <c r="D106" i="1"/>
  <c r="F106" i="1"/>
  <c r="C107" i="1"/>
  <c r="D107" i="1"/>
  <c r="F107" i="1"/>
  <c r="C109" i="1"/>
  <c r="D109" i="1"/>
  <c r="F109" i="1"/>
  <c r="C110" i="1"/>
  <c r="D110" i="1"/>
  <c r="F110" i="1"/>
  <c r="C111" i="1"/>
  <c r="D111" i="1"/>
  <c r="F111" i="1"/>
  <c r="C112" i="1"/>
  <c r="D112" i="1"/>
  <c r="F112" i="1"/>
  <c r="C113" i="1"/>
  <c r="D113" i="1"/>
  <c r="F113" i="1"/>
  <c r="C114" i="1"/>
  <c r="D114" i="1"/>
  <c r="F114" i="1"/>
  <c r="C115" i="1"/>
  <c r="D115" i="1"/>
  <c r="F115" i="1"/>
  <c r="C116" i="1"/>
  <c r="D116" i="1"/>
  <c r="F116" i="1"/>
  <c r="C117" i="1"/>
  <c r="D117" i="1"/>
  <c r="F117" i="1"/>
  <c r="C118" i="1"/>
  <c r="D118" i="1"/>
  <c r="F118" i="1"/>
  <c r="C119" i="1"/>
  <c r="D119" i="1"/>
  <c r="F119" i="1"/>
  <c r="F120" i="1"/>
  <c r="C121" i="1"/>
  <c r="D121" i="1"/>
  <c r="F121" i="1"/>
  <c r="C122" i="1"/>
  <c r="D122" i="1"/>
  <c r="F122" i="1"/>
  <c r="C123" i="1"/>
  <c r="D123" i="1"/>
  <c r="F123" i="1"/>
  <c r="C124" i="1"/>
  <c r="D124" i="1"/>
  <c r="F124" i="1"/>
  <c r="C125" i="1"/>
  <c r="D125" i="1"/>
  <c r="F125" i="1"/>
  <c r="C126" i="1"/>
  <c r="D126" i="1"/>
  <c r="F126" i="1"/>
  <c r="C127" i="1"/>
  <c r="D127" i="1"/>
  <c r="F127" i="1"/>
  <c r="C128" i="1"/>
  <c r="D128" i="1"/>
  <c r="F128" i="1"/>
  <c r="C129" i="1"/>
  <c r="D129" i="1"/>
  <c r="F129" i="1"/>
  <c r="C130" i="1"/>
  <c r="D130" i="1"/>
  <c r="F130" i="1"/>
  <c r="C131" i="1"/>
  <c r="D131" i="1"/>
  <c r="F131" i="1"/>
  <c r="F132" i="1"/>
  <c r="C133" i="1"/>
  <c r="D133" i="1"/>
  <c r="F133" i="1"/>
  <c r="C134" i="1"/>
  <c r="D134" i="1"/>
  <c r="F134" i="1"/>
  <c r="C135" i="1"/>
  <c r="D135" i="1"/>
  <c r="F135" i="1"/>
  <c r="C136" i="1"/>
  <c r="D136" i="1"/>
  <c r="F136" i="1"/>
  <c r="C137" i="1"/>
  <c r="D137" i="1"/>
  <c r="F137" i="1"/>
  <c r="C138" i="1"/>
  <c r="D138" i="1"/>
  <c r="F138" i="1"/>
  <c r="C139" i="1"/>
  <c r="D139" i="1"/>
  <c r="F139" i="1"/>
  <c r="C140" i="1"/>
  <c r="D140" i="1"/>
  <c r="F140" i="1"/>
  <c r="C141" i="1"/>
  <c r="D141" i="1"/>
  <c r="F141" i="1"/>
  <c r="C142" i="1"/>
  <c r="D142" i="1"/>
  <c r="F142" i="1"/>
  <c r="C143" i="1"/>
  <c r="D143" i="1"/>
  <c r="F143" i="1"/>
  <c r="C144" i="1"/>
  <c r="C145" i="1"/>
  <c r="D145" i="1"/>
  <c r="F145" i="1"/>
  <c r="C146" i="1"/>
  <c r="D146" i="1"/>
  <c r="F146" i="1"/>
  <c r="C147" i="1"/>
  <c r="D147" i="1"/>
  <c r="F147" i="1"/>
  <c r="C148" i="1"/>
  <c r="D148" i="1"/>
  <c r="F148" i="1"/>
  <c r="C149" i="1"/>
  <c r="D149" i="1"/>
  <c r="F149" i="1"/>
  <c r="C150" i="1"/>
  <c r="D150" i="1"/>
  <c r="F150" i="1"/>
  <c r="C151" i="1"/>
  <c r="D151" i="1"/>
  <c r="F151" i="1"/>
  <c r="C152" i="1"/>
  <c r="D152" i="1"/>
  <c r="F152" i="1"/>
  <c r="C153" i="1"/>
  <c r="D153" i="1"/>
  <c r="F153" i="1"/>
  <c r="D154" i="1"/>
  <c r="C155" i="1"/>
  <c r="F155" i="1"/>
  <c r="D156" i="1"/>
  <c r="C157" i="1"/>
  <c r="D157" i="1"/>
  <c r="C158" i="1"/>
  <c r="D158" i="1"/>
  <c r="F158" i="1"/>
  <c r="F159" i="1"/>
  <c r="C160" i="1"/>
  <c r="D160" i="1"/>
  <c r="F160" i="1"/>
  <c r="D161" i="1"/>
  <c r="F161" i="1"/>
  <c r="C162" i="1"/>
  <c r="D162" i="1"/>
  <c r="F162" i="1"/>
  <c r="D163" i="1"/>
  <c r="F163" i="1"/>
  <c r="C164" i="1"/>
  <c r="D164" i="1"/>
  <c r="F164" i="1"/>
  <c r="C165" i="1"/>
  <c r="D165" i="1"/>
  <c r="F165" i="1"/>
  <c r="C166" i="1"/>
  <c r="D166" i="1"/>
  <c r="C167" i="1"/>
  <c r="D167" i="1"/>
  <c r="F167" i="1"/>
  <c r="F169" i="1"/>
  <c r="C170" i="1"/>
  <c r="F170" i="1"/>
  <c r="C171" i="1"/>
  <c r="D171" i="1"/>
  <c r="F171" i="1"/>
  <c r="C172" i="1"/>
  <c r="D172" i="1"/>
  <c r="F172" i="1"/>
  <c r="C173" i="1"/>
  <c r="D173" i="1"/>
  <c r="F173" i="1"/>
  <c r="C174" i="1"/>
  <c r="F174" i="1"/>
  <c r="D175" i="1"/>
  <c r="F175" i="1"/>
  <c r="C176" i="1"/>
  <c r="D176" i="1"/>
  <c r="F176" i="1"/>
  <c r="C177" i="1"/>
  <c r="D177" i="1"/>
  <c r="F177" i="1"/>
  <c r="C178" i="1"/>
  <c r="D178" i="1"/>
  <c r="F178" i="1"/>
  <c r="C179" i="1"/>
  <c r="F179" i="1"/>
  <c r="D181" i="1"/>
  <c r="F181" i="1"/>
  <c r="C182" i="1"/>
  <c r="F182" i="1"/>
  <c r="C183" i="1"/>
  <c r="F183" i="1"/>
  <c r="D184" i="1"/>
  <c r="C185" i="1"/>
  <c r="D185" i="1"/>
  <c r="C186" i="1"/>
  <c r="C187" i="1"/>
  <c r="D187" i="1"/>
  <c r="F187" i="1"/>
  <c r="C188" i="1"/>
  <c r="D188" i="1"/>
  <c r="D189" i="1"/>
  <c r="F189" i="1"/>
  <c r="D190" i="1"/>
  <c r="C193" i="1"/>
  <c r="D193" i="1"/>
  <c r="F193" i="1"/>
  <c r="C194" i="1"/>
  <c r="C195" i="1"/>
  <c r="D195" i="1"/>
  <c r="F195" i="1"/>
  <c r="C196" i="1"/>
  <c r="F196" i="1"/>
  <c r="F197" i="1"/>
  <c r="C198" i="1"/>
  <c r="D199" i="1"/>
  <c r="F199" i="1"/>
  <c r="C200" i="1"/>
  <c r="F200" i="1"/>
  <c r="D201" i="1"/>
  <c r="F201" i="1"/>
  <c r="C203" i="1"/>
  <c r="F203" i="1"/>
  <c r="C205" i="1"/>
  <c r="D205" i="1"/>
  <c r="F205" i="1"/>
  <c r="C206" i="1"/>
  <c r="D206" i="1"/>
  <c r="F207" i="1"/>
  <c r="C209" i="1"/>
  <c r="F209" i="1"/>
  <c r="D210" i="1"/>
  <c r="F210" i="1"/>
  <c r="C211" i="1"/>
  <c r="F213" i="1"/>
  <c r="C214" i="1"/>
  <c r="F214" i="1"/>
  <c r="C215" i="1"/>
  <c r="D215" i="1"/>
  <c r="D217" i="1"/>
  <c r="F217" i="1"/>
  <c r="D219" i="1"/>
  <c r="C220" i="1"/>
  <c r="D220" i="1"/>
  <c r="D222" i="1"/>
  <c r="C223" i="1"/>
  <c r="D223" i="1"/>
  <c r="F223" i="1"/>
  <c r="C224" i="1"/>
  <c r="D224" i="1"/>
  <c r="F224" i="1"/>
  <c r="D225" i="1"/>
  <c r="F226" i="1"/>
  <c r="C227" i="1"/>
  <c r="D227" i="1"/>
  <c r="F227" i="1"/>
  <c r="F228" i="1"/>
  <c r="D229" i="1"/>
  <c r="F229" i="1"/>
  <c r="C230" i="1"/>
  <c r="F230" i="1"/>
  <c r="D231" i="1"/>
  <c r="F231" i="1"/>
  <c r="D233" i="1"/>
  <c r="D234" i="1"/>
  <c r="F234" i="1"/>
  <c r="C235" i="1"/>
  <c r="D235" i="1"/>
  <c r="F235" i="1"/>
  <c r="C236" i="1"/>
  <c r="D236" i="1"/>
  <c r="F236" i="1"/>
  <c r="D237" i="1"/>
  <c r="F237" i="1"/>
  <c r="D239" i="1"/>
  <c r="D241" i="1"/>
  <c r="F241" i="1"/>
  <c r="C242" i="1"/>
  <c r="F242" i="1"/>
  <c r="C245" i="1"/>
  <c r="D245" i="1"/>
  <c r="C246" i="1"/>
  <c r="F246" i="1"/>
  <c r="C247" i="1"/>
  <c r="D247" i="1"/>
  <c r="F247" i="1"/>
  <c r="C248" i="1"/>
  <c r="D248" i="1"/>
  <c r="F248" i="1"/>
  <c r="D249" i="1"/>
  <c r="C250" i="1"/>
  <c r="F250" i="1"/>
  <c r="D251" i="1"/>
  <c r="C253" i="1"/>
  <c r="D253" i="1"/>
  <c r="F253" i="1"/>
  <c r="C254" i="1"/>
  <c r="C256" i="1"/>
  <c r="C257" i="1"/>
  <c r="D257" i="1"/>
  <c r="F257" i="1"/>
  <c r="C259" i="1"/>
  <c r="D259" i="1"/>
  <c r="F259" i="1"/>
  <c r="C260" i="1"/>
  <c r="D260" i="1"/>
  <c r="C261" i="1"/>
  <c r="D261" i="1"/>
  <c r="F261" i="1"/>
  <c r="F262" i="1"/>
  <c r="D263" i="1"/>
  <c r="C265" i="1"/>
  <c r="D265" i="1"/>
  <c r="F265" i="1"/>
  <c r="D267" i="1"/>
  <c r="D268" i="1"/>
  <c r="D269" i="1"/>
  <c r="C270" i="1"/>
  <c r="D270" i="1"/>
  <c r="C271" i="1"/>
  <c r="D271" i="1"/>
  <c r="F271" i="1"/>
  <c r="C272" i="1"/>
  <c r="D272" i="1"/>
  <c r="F273" i="1"/>
  <c r="C275" i="1"/>
  <c r="D275" i="1"/>
  <c r="F275" i="1"/>
  <c r="C277" i="1"/>
  <c r="D277" i="1"/>
  <c r="F277" i="1"/>
  <c r="D278" i="1"/>
  <c r="D280" i="1"/>
  <c r="C281" i="1"/>
  <c r="D281" i="1"/>
  <c r="F281" i="1"/>
  <c r="C283" i="1"/>
  <c r="D283" i="1"/>
  <c r="F283" i="1"/>
  <c r="C284" i="1"/>
  <c r="D284" i="1"/>
  <c r="F284" i="1"/>
  <c r="C285" i="1"/>
  <c r="D285" i="1"/>
  <c r="D286" i="1"/>
  <c r="D287" i="1"/>
  <c r="F287" i="1"/>
  <c r="C289" i="1"/>
  <c r="D289" i="1"/>
  <c r="F289" i="1"/>
  <c r="C290" i="1"/>
  <c r="D290" i="1"/>
  <c r="C292" i="1"/>
  <c r="F292" i="1"/>
  <c r="F293" i="1"/>
  <c r="F294" i="1"/>
  <c r="C295" i="1"/>
  <c r="D295" i="1"/>
  <c r="F295" i="1"/>
  <c r="C296" i="1"/>
  <c r="F296" i="1"/>
  <c r="C297" i="1"/>
  <c r="C298" i="1"/>
  <c r="C299" i="1"/>
  <c r="D299" i="1"/>
  <c r="C301" i="1"/>
  <c r="D301" i="1"/>
  <c r="F301" i="1"/>
  <c r="C302" i="1"/>
  <c r="F304" i="1"/>
  <c r="C305" i="1"/>
  <c r="F305" i="1"/>
  <c r="D306" i="1"/>
  <c r="C307" i="1"/>
  <c r="D307" i="1"/>
  <c r="F307" i="1"/>
  <c r="C308" i="1"/>
  <c r="F308" i="1"/>
  <c r="D309" i="1"/>
  <c r="C310" i="1"/>
  <c r="F310" i="1"/>
  <c r="C311" i="1"/>
  <c r="D311" i="1"/>
  <c r="C313" i="1"/>
  <c r="D313" i="1"/>
  <c r="F313" i="1"/>
  <c r="C314" i="1"/>
  <c r="D315" i="1"/>
  <c r="F315" i="1"/>
  <c r="C316" i="1"/>
  <c r="F316" i="1"/>
  <c r="F317" i="1"/>
  <c r="F318" i="1"/>
  <c r="C319" i="1"/>
  <c r="D319" i="1"/>
  <c r="F319" i="1"/>
  <c r="C320" i="1"/>
  <c r="F320" i="1"/>
  <c r="C322" i="1"/>
  <c r="C323" i="1"/>
  <c r="D323" i="1"/>
  <c r="F323" i="1"/>
  <c r="C325" i="1"/>
  <c r="D325" i="1"/>
  <c r="F325" i="1"/>
  <c r="D327" i="1"/>
  <c r="D328" i="1"/>
  <c r="C329" i="1"/>
  <c r="D329" i="1"/>
  <c r="F329" i="1"/>
  <c r="C330" i="1"/>
  <c r="C332" i="1"/>
  <c r="D332" i="1"/>
  <c r="D334" i="1"/>
  <c r="C335" i="1"/>
  <c r="F335" i="1"/>
  <c r="C337" i="1"/>
  <c r="D338" i="1"/>
  <c r="C339" i="1"/>
  <c r="C340" i="1"/>
  <c r="D340" i="1"/>
  <c r="F340" i="1"/>
  <c r="D341" i="1"/>
  <c r="F341" i="1"/>
  <c r="C343" i="1"/>
  <c r="E343" i="1"/>
  <c r="F343" i="1"/>
  <c r="D345" i="1"/>
  <c r="C347" i="1"/>
  <c r="D347" i="1"/>
  <c r="F347" i="1"/>
  <c r="C349" i="1"/>
  <c r="D349" i="1"/>
  <c r="F349" i="1"/>
  <c r="D350" i="1"/>
  <c r="F350" i="1"/>
  <c r="C351" i="1"/>
  <c r="F351" i="1"/>
  <c r="D353" i="1"/>
  <c r="C355" i="1"/>
  <c r="D355" i="1"/>
  <c r="F355" i="1"/>
  <c r="D356" i="1"/>
  <c r="F356" i="1"/>
  <c r="C357" i="1"/>
  <c r="D357" i="1"/>
  <c r="D359" i="1"/>
  <c r="F359" i="1"/>
  <c r="C361" i="1"/>
  <c r="D361" i="1"/>
  <c r="F361" i="1"/>
  <c r="C362" i="1"/>
  <c r="C363" i="1"/>
  <c r="D363" i="1"/>
  <c r="C365" i="1"/>
  <c r="C367" i="1"/>
  <c r="D367" i="1"/>
  <c r="F367" i="1"/>
  <c r="C368" i="1"/>
  <c r="C369" i="1"/>
  <c r="F369" i="1"/>
  <c r="D370" i="1"/>
  <c r="C371" i="1"/>
  <c r="D371" i="1"/>
  <c r="D373" i="1"/>
  <c r="F373" i="1"/>
  <c r="C377" i="1"/>
  <c r="D377" i="1"/>
  <c r="F377" i="1"/>
  <c r="C378" i="1"/>
  <c r="D378" i="1"/>
  <c r="C379" i="1"/>
  <c r="C380" i="1"/>
  <c r="D380" i="1"/>
  <c r="F380" i="1"/>
  <c r="F381" i="1"/>
  <c r="D382" i="1"/>
  <c r="F382" i="1"/>
  <c r="D383" i="1"/>
  <c r="C386" i="1"/>
  <c r="D387" i="1"/>
  <c r="F387" i="1"/>
  <c r="C388" i="1"/>
  <c r="D388" i="1"/>
  <c r="F388" i="1"/>
  <c r="F389" i="1"/>
  <c r="C390" i="1"/>
  <c r="F390" i="1"/>
  <c r="C391" i="1"/>
  <c r="D391" i="1"/>
  <c r="F391" i="1"/>
  <c r="F392" i="1"/>
  <c r="F394" i="1"/>
  <c r="C397" i="1"/>
  <c r="D397" i="1"/>
  <c r="F397" i="1"/>
  <c r="C398" i="1"/>
  <c r="D398" i="1"/>
  <c r="C399" i="1"/>
  <c r="C401" i="1"/>
  <c r="F401" i="1"/>
  <c r="D402" i="1"/>
  <c r="C403" i="1"/>
  <c r="D403" i="1"/>
  <c r="F403" i="1"/>
  <c r="C404" i="1"/>
  <c r="F404" i="1"/>
  <c r="C406" i="1"/>
  <c r="D406" i="1"/>
  <c r="D408" i="1"/>
  <c r="C409" i="1"/>
  <c r="F409" i="1"/>
  <c r="C410" i="1"/>
  <c r="D410" i="1"/>
  <c r="D412" i="1"/>
  <c r="F413" i="1"/>
  <c r="D414" i="1"/>
  <c r="F414" i="1"/>
  <c r="D415" i="1"/>
  <c r="C419" i="1"/>
  <c r="D419" i="1"/>
  <c r="F419" i="1"/>
  <c r="C421" i="1"/>
  <c r="D421" i="1"/>
  <c r="F421" i="1"/>
  <c r="C422" i="1"/>
  <c r="C423" i="1"/>
  <c r="D423" i="1"/>
  <c r="C427" i="1"/>
  <c r="D427" i="1"/>
  <c r="F427" i="1"/>
  <c r="C428" i="1"/>
  <c r="D428" i="1"/>
  <c r="F429" i="1"/>
  <c r="D430" i="1"/>
  <c r="C431" i="1"/>
  <c r="D431" i="1"/>
  <c r="D433" i="1"/>
  <c r="F433" i="1"/>
  <c r="C435" i="1"/>
  <c r="F435" i="1"/>
  <c r="D437" i="1"/>
  <c r="F437" i="1"/>
  <c r="C438" i="1"/>
  <c r="F438" i="1"/>
  <c r="D439" i="1"/>
  <c r="C440" i="1"/>
  <c r="D440" i="1"/>
  <c r="F440" i="1"/>
  <c r="C442" i="1"/>
  <c r="D442" i="1"/>
  <c r="F442" i="1"/>
  <c r="C443" i="1"/>
  <c r="C445" i="1"/>
  <c r="D445" i="1"/>
  <c r="F445" i="1"/>
  <c r="C448" i="1"/>
  <c r="F448" i="1"/>
  <c r="C449" i="1"/>
  <c r="D449" i="1"/>
  <c r="F450" i="1"/>
  <c r="C451" i="1"/>
  <c r="D451" i="1"/>
  <c r="F451" i="1"/>
  <c r="C452" i="1"/>
  <c r="D452" i="1"/>
  <c r="F452" i="1"/>
  <c r="D458" i="1"/>
  <c r="D459" i="1"/>
  <c r="C460" i="1"/>
  <c r="D460" i="1"/>
  <c r="F460" i="1"/>
  <c r="F461" i="1"/>
  <c r="C463" i="1"/>
  <c r="D463" i="1"/>
  <c r="F463" i="1"/>
  <c r="C464" i="1"/>
  <c r="D464" i="1"/>
  <c r="F464" i="1"/>
  <c r="D465" i="1"/>
  <c r="D466" i="1"/>
  <c r="C467" i="1"/>
  <c r="D467" i="1"/>
  <c r="F467" i="1"/>
  <c r="D469" i="1"/>
  <c r="F469" i="1"/>
  <c r="D471" i="1"/>
  <c r="F471" i="1"/>
  <c r="C472" i="1"/>
  <c r="D473" i="1"/>
  <c r="F473" i="1"/>
  <c r="D474" i="1"/>
  <c r="D475" i="1"/>
  <c r="F475" i="1"/>
  <c r="D476" i="1"/>
  <c r="F476" i="1"/>
  <c r="C478" i="1"/>
  <c r="F478" i="1"/>
  <c r="F479" i="1"/>
  <c r="F482" i="1"/>
  <c r="F483" i="1"/>
  <c r="D484" i="1"/>
  <c r="F484" i="1"/>
  <c r="C485" i="1"/>
  <c r="C486" i="1"/>
  <c r="C487" i="1"/>
  <c r="D487" i="1"/>
  <c r="F487" i="1"/>
  <c r="C488" i="1"/>
  <c r="C489" i="1"/>
  <c r="C490" i="1"/>
  <c r="D491" i="1"/>
  <c r="F491" i="1"/>
  <c r="C493" i="1"/>
  <c r="D493" i="1"/>
  <c r="C494" i="1"/>
  <c r="F494" i="1"/>
  <c r="F495" i="1"/>
  <c r="C496" i="1"/>
  <c r="F497" i="1"/>
  <c r="C498" i="1"/>
  <c r="D498" i="1"/>
  <c r="C499" i="1"/>
  <c r="D499" i="1"/>
  <c r="F499" i="1"/>
  <c r="C501" i="1"/>
  <c r="C503" i="1"/>
  <c r="D503" i="1"/>
  <c r="F503" i="1"/>
  <c r="C505" i="1"/>
  <c r="F505" i="1"/>
  <c r="F506" i="1"/>
  <c r="C508" i="1"/>
  <c r="F508" i="1"/>
  <c r="C510" i="1"/>
  <c r="F510" i="1"/>
  <c r="D512" i="1"/>
  <c r="F512" i="1"/>
  <c r="F514" i="1"/>
  <c r="F515" i="1"/>
  <c r="C517" i="1"/>
  <c r="F517" i="1"/>
  <c r="F519" i="1"/>
  <c r="C521" i="1"/>
  <c r="F521" i="1"/>
  <c r="F522" i="1"/>
  <c r="D523" i="1"/>
  <c r="F523" i="1"/>
  <c r="C524" i="1"/>
  <c r="D524" i="1"/>
  <c r="F524" i="1"/>
  <c r="C525" i="1"/>
  <c r="D526" i="1"/>
  <c r="C527" i="1"/>
  <c r="D527" i="1"/>
  <c r="F530" i="1"/>
  <c r="C532" i="1"/>
  <c r="F532" i="1"/>
  <c r="D533" i="1"/>
  <c r="F533" i="1"/>
  <c r="D534" i="1"/>
  <c r="F534" i="1"/>
  <c r="C535" i="1"/>
  <c r="D535" i="1"/>
  <c r="F535" i="1"/>
  <c r="F536" i="1"/>
  <c r="C537" i="1"/>
  <c r="C538" i="1"/>
  <c r="D538" i="1"/>
  <c r="C539" i="1"/>
  <c r="D539" i="1"/>
  <c r="C541" i="1"/>
  <c r="D541" i="1"/>
  <c r="C543" i="1"/>
  <c r="D544" i="1"/>
  <c r="F544" i="1"/>
  <c r="C545" i="1"/>
  <c r="D545" i="1"/>
  <c r="F545" i="1"/>
  <c r="C547" i="1"/>
  <c r="D547" i="1"/>
  <c r="C548" i="1"/>
  <c r="F548" i="1"/>
  <c r="F549" i="1"/>
  <c r="C550" i="1"/>
  <c r="C554" i="1"/>
  <c r="D554" i="1"/>
  <c r="F555" i="1"/>
  <c r="C556" i="1"/>
  <c r="D556" i="1"/>
  <c r="C557" i="1"/>
  <c r="C559" i="1"/>
  <c r="D559" i="1"/>
  <c r="F559" i="1"/>
  <c r="D560" i="1"/>
  <c r="C562" i="1"/>
  <c r="D562" i="1"/>
  <c r="C565" i="1"/>
  <c r="D565" i="1"/>
  <c r="F565" i="1"/>
  <c r="C566" i="1"/>
  <c r="F566" i="1"/>
  <c r="C567" i="1"/>
  <c r="D567" i="1"/>
  <c r="F567" i="1"/>
  <c r="D569" i="1"/>
  <c r="C570" i="1"/>
  <c r="C571" i="1"/>
  <c r="F571" i="1"/>
  <c r="C572" i="1"/>
  <c r="C573" i="1"/>
  <c r="C574" i="1"/>
  <c r="D574" i="1"/>
  <c r="C575" i="1"/>
  <c r="C577" i="1"/>
  <c r="D577" i="1"/>
  <c r="F577" i="1"/>
  <c r="C579" i="1"/>
  <c r="F579" i="1"/>
  <c r="C582" i="1"/>
  <c r="F583" i="1"/>
  <c r="D584" i="1"/>
  <c r="C586" i="1"/>
  <c r="D586" i="1"/>
  <c r="D587" i="1"/>
  <c r="D589" i="1"/>
  <c r="F589" i="1"/>
  <c r="F590" i="1"/>
  <c r="F591" i="1"/>
  <c r="D592" i="1"/>
  <c r="F592" i="1"/>
  <c r="C596" i="1"/>
  <c r="F596" i="1"/>
  <c r="D597" i="1"/>
  <c r="D598" i="1"/>
  <c r="C599" i="1"/>
  <c r="F599" i="1"/>
  <c r="D601" i="1"/>
  <c r="F601" i="1"/>
  <c r="F602" i="1"/>
  <c r="D603" i="1"/>
  <c r="F603" i="1"/>
  <c r="C604" i="1"/>
  <c r="D604" i="1"/>
  <c r="C608" i="1"/>
  <c r="D608" i="1"/>
  <c r="F608" i="1"/>
  <c r="D610" i="1"/>
  <c r="F610" i="1"/>
  <c r="C611" i="1"/>
  <c r="D611" i="1"/>
  <c r="F611" i="1"/>
  <c r="D613" i="1"/>
  <c r="F613" i="1"/>
  <c r="D614" i="1"/>
  <c r="C615" i="1"/>
  <c r="D615" i="1"/>
  <c r="C616" i="1"/>
  <c r="D616" i="1"/>
  <c r="C618" i="1"/>
  <c r="D620" i="1"/>
  <c r="F620" i="1"/>
  <c r="D622" i="1"/>
  <c r="C623" i="1"/>
  <c r="D623" i="1"/>
  <c r="F623" i="1"/>
  <c r="D624" i="1"/>
  <c r="C625" i="1"/>
  <c r="D625" i="1"/>
  <c r="F625" i="1"/>
  <c r="D627" i="1"/>
  <c r="D628" i="1"/>
  <c r="C629" i="1"/>
  <c r="D629" i="1"/>
  <c r="C631" i="1"/>
  <c r="D631" i="1"/>
  <c r="F631" i="1"/>
  <c r="C632" i="1"/>
  <c r="D632" i="1"/>
  <c r="F632" i="1"/>
  <c r="D634" i="1"/>
  <c r="F634" i="1"/>
  <c r="C635" i="1"/>
  <c r="D635" i="1"/>
  <c r="F635" i="1"/>
  <c r="C637" i="1"/>
  <c r="D637" i="1"/>
  <c r="F637" i="1"/>
  <c r="F638" i="1"/>
  <c r="D639" i="1"/>
  <c r="F639" i="1"/>
  <c r="F641" i="1"/>
  <c r="C642" i="1"/>
  <c r="F642" i="1"/>
  <c r="C643" i="1"/>
  <c r="D643" i="1"/>
  <c r="F643" i="1"/>
  <c r="C644" i="1"/>
  <c r="D644" i="1"/>
  <c r="D646" i="1"/>
  <c r="C647" i="1"/>
  <c r="D647" i="1"/>
  <c r="F647" i="1"/>
  <c r="C648" i="1"/>
  <c r="C649" i="1"/>
  <c r="D649" i="1"/>
  <c r="F649" i="1"/>
  <c r="D651" i="1"/>
  <c r="C653" i="1"/>
  <c r="F653" i="1"/>
  <c r="C654" i="1"/>
  <c r="D654" i="1"/>
  <c r="F654" i="1"/>
  <c r="C655" i="1"/>
  <c r="D655" i="1"/>
  <c r="F655" i="1"/>
  <c r="C656" i="1"/>
  <c r="D658" i="1"/>
  <c r="F658" i="1"/>
  <c r="C659" i="1"/>
  <c r="D659" i="1"/>
  <c r="F659" i="1"/>
  <c r="C661" i="1"/>
  <c r="D661" i="1"/>
  <c r="F661" i="1"/>
  <c r="D663" i="1"/>
  <c r="F663" i="1"/>
  <c r="F665" i="1"/>
  <c r="D666" i="1"/>
  <c r="C667" i="1"/>
  <c r="D667" i="1"/>
  <c r="F667" i="1"/>
  <c r="C668" i="1"/>
  <c r="F668" i="1"/>
  <c r="C670" i="1"/>
  <c r="E670" i="1"/>
  <c r="F670" i="1"/>
  <c r="C671" i="1"/>
  <c r="C673" i="1"/>
  <c r="D673" i="1"/>
  <c r="F673" i="1"/>
  <c r="F674" i="1"/>
  <c r="C676" i="1"/>
  <c r="C677" i="1"/>
  <c r="D677" i="1"/>
  <c r="F677" i="1"/>
  <c r="C678" i="1"/>
  <c r="F678" i="1"/>
  <c r="C679" i="1"/>
  <c r="D679" i="1"/>
  <c r="F679" i="1"/>
  <c r="C680" i="1"/>
  <c r="D680" i="1"/>
  <c r="C702" i="1"/>
  <c r="D702" i="1"/>
  <c r="E702" i="1"/>
  <c r="F702" i="1"/>
  <c r="C703" i="1"/>
  <c r="D703" i="1"/>
  <c r="E703" i="1"/>
  <c r="F703" i="1"/>
  <c r="C704" i="1"/>
  <c r="D704" i="1"/>
  <c r="E704" i="1"/>
  <c r="F704" i="1"/>
  <c r="C705" i="1"/>
  <c r="D705" i="1"/>
  <c r="E705" i="1"/>
  <c r="F705" i="1"/>
  <c r="C706" i="1"/>
  <c r="D706" i="1"/>
  <c r="F706" i="1"/>
  <c r="C707" i="1"/>
  <c r="D707" i="1"/>
  <c r="E707" i="1"/>
  <c r="F707" i="1"/>
  <c r="C708" i="1"/>
  <c r="D708" i="1"/>
  <c r="E708" i="1"/>
  <c r="F708" i="1"/>
  <c r="C709" i="1"/>
  <c r="D709" i="1"/>
  <c r="E709" i="1"/>
  <c r="F709" i="1"/>
  <c r="C710" i="1"/>
  <c r="D710" i="1"/>
  <c r="E710" i="1"/>
  <c r="F710" i="1"/>
  <c r="C711" i="1"/>
  <c r="D711" i="1"/>
  <c r="E711" i="1"/>
  <c r="F711" i="1"/>
  <c r="C712" i="1"/>
  <c r="D712" i="1"/>
  <c r="E712" i="1"/>
  <c r="F712" i="1"/>
  <c r="C714" i="1"/>
  <c r="D714" i="1"/>
  <c r="E714" i="1"/>
  <c r="F714" i="1"/>
  <c r="C715" i="1"/>
  <c r="D715" i="1"/>
  <c r="F715" i="1"/>
  <c r="C716" i="1"/>
  <c r="D716" i="1"/>
  <c r="E716" i="1"/>
  <c r="F716" i="1"/>
  <c r="C717" i="1"/>
  <c r="D717" i="1"/>
  <c r="E717" i="1"/>
  <c r="F717" i="1"/>
  <c r="C718" i="1"/>
  <c r="D718" i="1"/>
  <c r="E718" i="1"/>
  <c r="F718" i="1"/>
  <c r="O4" i="1"/>
  <c r="K4" i="1" s="1"/>
  <c r="V4" i="1" s="1"/>
  <c r="P4" i="1"/>
  <c r="M4" i="1" s="1"/>
  <c r="O5" i="1"/>
  <c r="K5" i="1" s="1"/>
  <c r="P5" i="1"/>
  <c r="O6" i="1"/>
  <c r="K6" i="1" s="1"/>
  <c r="V6" i="1" s="1"/>
  <c r="P6" i="1"/>
  <c r="O7" i="1"/>
  <c r="K7" i="1" s="1"/>
  <c r="P7" i="1"/>
  <c r="O8" i="1"/>
  <c r="K8" i="1" s="1"/>
  <c r="P8" i="1"/>
  <c r="O9" i="1"/>
  <c r="K9" i="1" s="1"/>
  <c r="P9" i="1"/>
  <c r="O10" i="1"/>
  <c r="K10" i="1" s="1"/>
  <c r="P10" i="1"/>
  <c r="O11" i="1"/>
  <c r="K11" i="1" s="1"/>
  <c r="P11" i="1"/>
  <c r="O12" i="1"/>
  <c r="K12" i="1" s="1"/>
  <c r="P12" i="1"/>
  <c r="O13" i="1"/>
  <c r="K13" i="1" s="1"/>
  <c r="P13" i="1"/>
  <c r="O14" i="1"/>
  <c r="K14" i="1" s="1"/>
  <c r="P14" i="1"/>
  <c r="O15" i="1"/>
  <c r="K15" i="1" s="1"/>
  <c r="P15" i="1"/>
  <c r="O16" i="1"/>
  <c r="K16" i="1" s="1"/>
  <c r="P16" i="1"/>
  <c r="O17" i="1"/>
  <c r="K17" i="1" s="1"/>
  <c r="P17" i="1"/>
  <c r="O18" i="1"/>
  <c r="K18" i="1" s="1"/>
  <c r="P18" i="1"/>
  <c r="O19" i="1"/>
  <c r="K19" i="1" s="1"/>
  <c r="P19" i="1"/>
  <c r="O20" i="1"/>
  <c r="K20" i="1" s="1"/>
  <c r="P20" i="1"/>
  <c r="O21" i="1"/>
  <c r="K21" i="1" s="1"/>
  <c r="P21" i="1"/>
  <c r="O22" i="1"/>
  <c r="K22" i="1" s="1"/>
  <c r="P22" i="1"/>
  <c r="O23" i="1"/>
  <c r="K23" i="1" s="1"/>
  <c r="P23" i="1"/>
  <c r="O24" i="1"/>
  <c r="K24" i="1" s="1"/>
  <c r="P24" i="1"/>
  <c r="O25" i="1"/>
  <c r="K25" i="1" s="1"/>
  <c r="P25" i="1"/>
  <c r="O26" i="1"/>
  <c r="K26" i="1" s="1"/>
  <c r="P26" i="1"/>
  <c r="O27" i="1"/>
  <c r="K27" i="1" s="1"/>
  <c r="P27" i="1"/>
  <c r="O28" i="1"/>
  <c r="K28" i="1" s="1"/>
  <c r="P28" i="1"/>
  <c r="O29" i="1"/>
  <c r="K29" i="1" s="1"/>
  <c r="P29" i="1"/>
  <c r="O30" i="1"/>
  <c r="K30" i="1" s="1"/>
  <c r="P30" i="1"/>
  <c r="O31" i="1"/>
  <c r="K31" i="1" s="1"/>
  <c r="P31" i="1"/>
  <c r="O32" i="1"/>
  <c r="K32" i="1" s="1"/>
  <c r="P32" i="1"/>
  <c r="O33" i="1"/>
  <c r="K33" i="1" s="1"/>
  <c r="P33" i="1"/>
  <c r="O34" i="1"/>
  <c r="K34" i="1" s="1"/>
  <c r="P34" i="1"/>
  <c r="O35" i="1"/>
  <c r="K35" i="1" s="1"/>
  <c r="P35" i="1"/>
  <c r="O36" i="1"/>
  <c r="K36" i="1" s="1"/>
  <c r="P36" i="1"/>
  <c r="O37" i="1"/>
  <c r="K37" i="1" s="1"/>
  <c r="P37" i="1"/>
  <c r="O38" i="1"/>
  <c r="K38" i="1" s="1"/>
  <c r="P38" i="1"/>
  <c r="O39" i="1"/>
  <c r="K39" i="1" s="1"/>
  <c r="P39" i="1"/>
  <c r="O40" i="1"/>
  <c r="K40" i="1" s="1"/>
  <c r="P40" i="1"/>
  <c r="O41" i="1"/>
  <c r="K41" i="1" s="1"/>
  <c r="P41" i="1"/>
  <c r="O42" i="1"/>
  <c r="K42" i="1" s="1"/>
  <c r="P42" i="1"/>
  <c r="O43" i="1"/>
  <c r="K43" i="1" s="1"/>
  <c r="P43" i="1"/>
  <c r="O44" i="1"/>
  <c r="K44" i="1" s="1"/>
  <c r="P44" i="1"/>
  <c r="O45" i="1"/>
  <c r="K45" i="1" s="1"/>
  <c r="P45" i="1"/>
  <c r="O46" i="1"/>
  <c r="K46" i="1" s="1"/>
  <c r="P46" i="1"/>
  <c r="O47" i="1"/>
  <c r="K47" i="1" s="1"/>
  <c r="P47" i="1"/>
  <c r="O48" i="1"/>
  <c r="K48" i="1" s="1"/>
  <c r="P48" i="1"/>
  <c r="O49" i="1"/>
  <c r="K49" i="1" s="1"/>
  <c r="P49" i="1"/>
  <c r="O50" i="1"/>
  <c r="K50" i="1" s="1"/>
  <c r="P50" i="1"/>
  <c r="O51" i="1"/>
  <c r="K51" i="1" s="1"/>
  <c r="P51" i="1"/>
  <c r="O52" i="1"/>
  <c r="K52" i="1" s="1"/>
  <c r="P52" i="1"/>
  <c r="O53" i="1"/>
  <c r="K53" i="1" s="1"/>
  <c r="P53" i="1"/>
  <c r="O54" i="1"/>
  <c r="K54" i="1" s="1"/>
  <c r="P54" i="1"/>
  <c r="O55" i="1"/>
  <c r="K55" i="1" s="1"/>
  <c r="P55" i="1"/>
  <c r="O56" i="1"/>
  <c r="K56" i="1" s="1"/>
  <c r="P56" i="1"/>
  <c r="O57" i="1"/>
  <c r="K57" i="1" s="1"/>
  <c r="P57" i="1"/>
  <c r="O58" i="1"/>
  <c r="K58" i="1" s="1"/>
  <c r="P58" i="1"/>
  <c r="O59" i="1"/>
  <c r="K59" i="1" s="1"/>
  <c r="P59" i="1"/>
  <c r="O60" i="1"/>
  <c r="K60" i="1" s="1"/>
  <c r="P60" i="1"/>
  <c r="O61" i="1"/>
  <c r="K61" i="1" s="1"/>
  <c r="P61" i="1"/>
  <c r="O62" i="1"/>
  <c r="K62" i="1" s="1"/>
  <c r="P62" i="1"/>
  <c r="O63" i="1"/>
  <c r="K63" i="1" s="1"/>
  <c r="P63" i="1"/>
  <c r="O64" i="1"/>
  <c r="K64" i="1" s="1"/>
  <c r="P64" i="1"/>
  <c r="O65" i="1"/>
  <c r="K65" i="1" s="1"/>
  <c r="P65" i="1"/>
  <c r="O66" i="1"/>
  <c r="K66" i="1" s="1"/>
  <c r="P66" i="1"/>
  <c r="O67" i="1"/>
  <c r="K67" i="1" s="1"/>
  <c r="P67" i="1"/>
  <c r="O68" i="1"/>
  <c r="K68" i="1" s="1"/>
  <c r="P68" i="1"/>
  <c r="O69" i="1"/>
  <c r="K69" i="1" s="1"/>
  <c r="P69" i="1"/>
  <c r="O70" i="1"/>
  <c r="K70" i="1" s="1"/>
  <c r="P70" i="1"/>
  <c r="O71" i="1"/>
  <c r="K71" i="1" s="1"/>
  <c r="P71" i="1"/>
  <c r="O72" i="1"/>
  <c r="K72" i="1" s="1"/>
  <c r="P72" i="1"/>
  <c r="O73" i="1"/>
  <c r="K73" i="1" s="1"/>
  <c r="P73" i="1"/>
  <c r="O74" i="1"/>
  <c r="K74" i="1" s="1"/>
  <c r="P74" i="1"/>
  <c r="O75" i="1"/>
  <c r="K75" i="1" s="1"/>
  <c r="P75" i="1"/>
  <c r="O76" i="1"/>
  <c r="K76" i="1" s="1"/>
  <c r="P76" i="1"/>
  <c r="O77" i="1"/>
  <c r="K77" i="1" s="1"/>
  <c r="P77" i="1"/>
  <c r="O78" i="1"/>
  <c r="K78" i="1" s="1"/>
  <c r="P78" i="1"/>
  <c r="O79" i="1"/>
  <c r="K79" i="1" s="1"/>
  <c r="P79" i="1"/>
  <c r="O80" i="1"/>
  <c r="K80" i="1" s="1"/>
  <c r="P80" i="1"/>
  <c r="O81" i="1"/>
  <c r="K81" i="1" s="1"/>
  <c r="P81" i="1"/>
  <c r="O82" i="1"/>
  <c r="K82" i="1" s="1"/>
  <c r="P82" i="1"/>
  <c r="O83" i="1"/>
  <c r="K83" i="1" s="1"/>
  <c r="P83" i="1"/>
  <c r="O84" i="1"/>
  <c r="K84" i="1" s="1"/>
  <c r="P84" i="1"/>
  <c r="O85" i="1"/>
  <c r="K85" i="1" s="1"/>
  <c r="P85" i="1"/>
  <c r="O86" i="1"/>
  <c r="K86" i="1" s="1"/>
  <c r="P86" i="1"/>
  <c r="O87" i="1"/>
  <c r="K87" i="1" s="1"/>
  <c r="P87" i="1"/>
  <c r="O88" i="1"/>
  <c r="K88" i="1" s="1"/>
  <c r="P88" i="1"/>
  <c r="O89" i="1"/>
  <c r="K89" i="1" s="1"/>
  <c r="P89" i="1"/>
  <c r="O90" i="1"/>
  <c r="K90" i="1" s="1"/>
  <c r="P90" i="1"/>
  <c r="O91" i="1"/>
  <c r="K91" i="1" s="1"/>
  <c r="P91" i="1"/>
  <c r="O92" i="1"/>
  <c r="K92" i="1" s="1"/>
  <c r="P92" i="1"/>
  <c r="O93" i="1"/>
  <c r="K93" i="1" s="1"/>
  <c r="P93" i="1"/>
  <c r="O94" i="1"/>
  <c r="K94" i="1" s="1"/>
  <c r="P94" i="1"/>
  <c r="O95" i="1"/>
  <c r="K95" i="1" s="1"/>
  <c r="P95" i="1"/>
  <c r="O96" i="1"/>
  <c r="K96" i="1" s="1"/>
  <c r="P96" i="1"/>
  <c r="O97" i="1"/>
  <c r="K97" i="1" s="1"/>
  <c r="P97" i="1"/>
  <c r="O98" i="1"/>
  <c r="K98" i="1" s="1"/>
  <c r="P98" i="1"/>
  <c r="O99" i="1"/>
  <c r="K99" i="1" s="1"/>
  <c r="P99" i="1"/>
  <c r="O100" i="1"/>
  <c r="K100" i="1" s="1"/>
  <c r="P100" i="1"/>
  <c r="O101" i="1"/>
  <c r="K101" i="1" s="1"/>
  <c r="P101" i="1"/>
  <c r="O102" i="1"/>
  <c r="K102" i="1" s="1"/>
  <c r="P102" i="1"/>
  <c r="O103" i="1"/>
  <c r="K103" i="1" s="1"/>
  <c r="P103" i="1"/>
  <c r="O104" i="1"/>
  <c r="K104" i="1" s="1"/>
  <c r="P104" i="1"/>
  <c r="O105" i="1"/>
  <c r="K105" i="1" s="1"/>
  <c r="P105" i="1"/>
  <c r="O106" i="1"/>
  <c r="K106" i="1" s="1"/>
  <c r="P106" i="1"/>
  <c r="O107" i="1"/>
  <c r="K107" i="1" s="1"/>
  <c r="P107" i="1"/>
  <c r="O108" i="1"/>
  <c r="K108" i="1" s="1"/>
  <c r="P108" i="1"/>
  <c r="O109" i="1"/>
  <c r="K109" i="1" s="1"/>
  <c r="P109" i="1"/>
  <c r="O110" i="1"/>
  <c r="K110" i="1" s="1"/>
  <c r="P110" i="1"/>
  <c r="O111" i="1"/>
  <c r="K111" i="1" s="1"/>
  <c r="P111" i="1"/>
  <c r="O112" i="1"/>
  <c r="K112" i="1" s="1"/>
  <c r="P112" i="1"/>
  <c r="O113" i="1"/>
  <c r="K113" i="1" s="1"/>
  <c r="P113" i="1"/>
  <c r="O114" i="1"/>
  <c r="K114" i="1" s="1"/>
  <c r="P114" i="1"/>
  <c r="O115" i="1"/>
  <c r="K115" i="1" s="1"/>
  <c r="P115" i="1"/>
  <c r="O116" i="1"/>
  <c r="K116" i="1" s="1"/>
  <c r="P116" i="1"/>
  <c r="O117" i="1"/>
  <c r="K117" i="1" s="1"/>
  <c r="P117" i="1"/>
  <c r="O118" i="1"/>
  <c r="K118" i="1" s="1"/>
  <c r="P118" i="1"/>
  <c r="O119" i="1"/>
  <c r="K119" i="1" s="1"/>
  <c r="P119" i="1"/>
  <c r="O120" i="1"/>
  <c r="K120" i="1" s="1"/>
  <c r="P120" i="1"/>
  <c r="O121" i="1"/>
  <c r="K121" i="1" s="1"/>
  <c r="P121" i="1"/>
  <c r="O122" i="1"/>
  <c r="K122" i="1" s="1"/>
  <c r="P122" i="1"/>
  <c r="O123" i="1"/>
  <c r="K123" i="1" s="1"/>
  <c r="P123" i="1"/>
  <c r="O124" i="1"/>
  <c r="K124" i="1" s="1"/>
  <c r="P124" i="1"/>
  <c r="O125" i="1"/>
  <c r="K125" i="1" s="1"/>
  <c r="P125" i="1"/>
  <c r="O126" i="1"/>
  <c r="K126" i="1" s="1"/>
  <c r="P126" i="1"/>
  <c r="O127" i="1"/>
  <c r="K127" i="1" s="1"/>
  <c r="P127" i="1"/>
  <c r="O128" i="1"/>
  <c r="K128" i="1" s="1"/>
  <c r="P128" i="1"/>
  <c r="O129" i="1"/>
  <c r="K129" i="1" s="1"/>
  <c r="P129" i="1"/>
  <c r="O130" i="1"/>
  <c r="K130" i="1" s="1"/>
  <c r="P130" i="1"/>
  <c r="O131" i="1"/>
  <c r="K131" i="1" s="1"/>
  <c r="P131" i="1"/>
  <c r="O132" i="1"/>
  <c r="K132" i="1" s="1"/>
  <c r="P132" i="1"/>
  <c r="O133" i="1"/>
  <c r="K133" i="1" s="1"/>
  <c r="P133" i="1"/>
  <c r="O134" i="1"/>
  <c r="K134" i="1" s="1"/>
  <c r="P134" i="1"/>
  <c r="O135" i="1"/>
  <c r="K135" i="1" s="1"/>
  <c r="P135" i="1"/>
  <c r="O136" i="1"/>
  <c r="K136" i="1" s="1"/>
  <c r="P136" i="1"/>
  <c r="O137" i="1"/>
  <c r="K137" i="1" s="1"/>
  <c r="P137" i="1"/>
  <c r="O138" i="1"/>
  <c r="K138" i="1" s="1"/>
  <c r="P138" i="1"/>
  <c r="O139" i="1"/>
  <c r="K139" i="1" s="1"/>
  <c r="P139" i="1"/>
  <c r="O140" i="1"/>
  <c r="K140" i="1" s="1"/>
  <c r="P140" i="1"/>
  <c r="O141" i="1"/>
  <c r="K141" i="1" s="1"/>
  <c r="P141" i="1"/>
  <c r="O142" i="1"/>
  <c r="K142" i="1" s="1"/>
  <c r="P142" i="1"/>
  <c r="O143" i="1"/>
  <c r="K143" i="1" s="1"/>
  <c r="P143" i="1"/>
  <c r="O144" i="1"/>
  <c r="K144" i="1" s="1"/>
  <c r="P144" i="1"/>
  <c r="O145" i="1"/>
  <c r="K145" i="1" s="1"/>
  <c r="P145" i="1"/>
  <c r="O146" i="1"/>
  <c r="K146" i="1" s="1"/>
  <c r="P146" i="1"/>
  <c r="O147" i="1"/>
  <c r="K147" i="1" s="1"/>
  <c r="P147" i="1"/>
  <c r="O148" i="1"/>
  <c r="K148" i="1" s="1"/>
  <c r="P148" i="1"/>
  <c r="O149" i="1"/>
  <c r="K149" i="1" s="1"/>
  <c r="P149" i="1"/>
  <c r="O150" i="1"/>
  <c r="K150" i="1" s="1"/>
  <c r="P150" i="1"/>
  <c r="O151" i="1"/>
  <c r="K151" i="1" s="1"/>
  <c r="P151" i="1"/>
  <c r="O152" i="1"/>
  <c r="K152" i="1" s="1"/>
  <c r="P152" i="1"/>
  <c r="O153" i="1"/>
  <c r="K153" i="1" s="1"/>
  <c r="P153" i="1"/>
  <c r="O154" i="1"/>
  <c r="K154" i="1" s="1"/>
  <c r="P154" i="1"/>
  <c r="O155" i="1"/>
  <c r="K155" i="1" s="1"/>
  <c r="P155" i="1"/>
  <c r="O156" i="1"/>
  <c r="K156" i="1" s="1"/>
  <c r="P156" i="1"/>
  <c r="O157" i="1"/>
  <c r="K157" i="1" s="1"/>
  <c r="P157" i="1"/>
  <c r="O158" i="1"/>
  <c r="K158" i="1" s="1"/>
  <c r="P158" i="1"/>
  <c r="O159" i="1"/>
  <c r="K159" i="1" s="1"/>
  <c r="P159" i="1"/>
  <c r="O160" i="1"/>
  <c r="K160" i="1" s="1"/>
  <c r="P160" i="1"/>
  <c r="O161" i="1"/>
  <c r="K161" i="1" s="1"/>
  <c r="P161" i="1"/>
  <c r="O162" i="1"/>
  <c r="K162" i="1" s="1"/>
  <c r="P162" i="1"/>
  <c r="O163" i="1"/>
  <c r="K163" i="1" s="1"/>
  <c r="P163" i="1"/>
  <c r="O164" i="1"/>
  <c r="K164" i="1" s="1"/>
  <c r="P164" i="1"/>
  <c r="O165" i="1"/>
  <c r="K165" i="1" s="1"/>
  <c r="P165" i="1"/>
  <c r="O166" i="1"/>
  <c r="K166" i="1" s="1"/>
  <c r="P166" i="1"/>
  <c r="O167" i="1"/>
  <c r="K167" i="1" s="1"/>
  <c r="P167" i="1"/>
  <c r="O168" i="1"/>
  <c r="K168" i="1" s="1"/>
  <c r="P168" i="1"/>
  <c r="O169" i="1"/>
  <c r="K169" i="1" s="1"/>
  <c r="P169" i="1"/>
  <c r="O170" i="1"/>
  <c r="K170" i="1" s="1"/>
  <c r="P170" i="1"/>
  <c r="O171" i="1"/>
  <c r="K171" i="1" s="1"/>
  <c r="P171" i="1"/>
  <c r="O172" i="1"/>
  <c r="K172" i="1" s="1"/>
  <c r="P172" i="1"/>
  <c r="O173" i="1"/>
  <c r="K173" i="1" s="1"/>
  <c r="P173" i="1"/>
  <c r="O174" i="1"/>
  <c r="K174" i="1" s="1"/>
  <c r="P174" i="1"/>
  <c r="O175" i="1"/>
  <c r="K175" i="1" s="1"/>
  <c r="P175" i="1"/>
  <c r="O176" i="1"/>
  <c r="K176" i="1" s="1"/>
  <c r="P176" i="1"/>
  <c r="O177" i="1"/>
  <c r="K177" i="1" s="1"/>
  <c r="P177" i="1"/>
  <c r="O178" i="1"/>
  <c r="K178" i="1" s="1"/>
  <c r="P178" i="1"/>
  <c r="O179" i="1"/>
  <c r="K179" i="1" s="1"/>
  <c r="P179" i="1"/>
  <c r="O180" i="1"/>
  <c r="K180" i="1" s="1"/>
  <c r="P180" i="1"/>
  <c r="O181" i="1"/>
  <c r="K181" i="1" s="1"/>
  <c r="P181" i="1"/>
  <c r="O182" i="1"/>
  <c r="K182" i="1" s="1"/>
  <c r="P182" i="1"/>
  <c r="O183" i="1"/>
  <c r="K183" i="1" s="1"/>
  <c r="P183" i="1"/>
  <c r="O184" i="1"/>
  <c r="K184" i="1" s="1"/>
  <c r="P184" i="1"/>
  <c r="O185" i="1"/>
  <c r="K185" i="1" s="1"/>
  <c r="P185" i="1"/>
  <c r="O186" i="1"/>
  <c r="K186" i="1" s="1"/>
  <c r="P186" i="1"/>
  <c r="O187" i="1"/>
  <c r="K187" i="1" s="1"/>
  <c r="P187" i="1"/>
  <c r="O188" i="1"/>
  <c r="K188" i="1" s="1"/>
  <c r="P188" i="1"/>
  <c r="O189" i="1"/>
  <c r="K189" i="1" s="1"/>
  <c r="P189" i="1"/>
  <c r="O190" i="1"/>
  <c r="K190" i="1" s="1"/>
  <c r="P190" i="1"/>
  <c r="O191" i="1"/>
  <c r="K191" i="1" s="1"/>
  <c r="P191" i="1"/>
  <c r="O192" i="1"/>
  <c r="K192" i="1" s="1"/>
  <c r="P192" i="1"/>
  <c r="O193" i="1"/>
  <c r="K193" i="1" s="1"/>
  <c r="P193" i="1"/>
  <c r="O194" i="1"/>
  <c r="K194" i="1" s="1"/>
  <c r="P194" i="1"/>
  <c r="O195" i="1"/>
  <c r="K195" i="1" s="1"/>
  <c r="P195" i="1"/>
  <c r="O196" i="1"/>
  <c r="K196" i="1" s="1"/>
  <c r="P196" i="1"/>
  <c r="O197" i="1"/>
  <c r="K197" i="1" s="1"/>
  <c r="P197" i="1"/>
  <c r="O198" i="1"/>
  <c r="K198" i="1" s="1"/>
  <c r="P198" i="1"/>
  <c r="O199" i="1"/>
  <c r="K199" i="1" s="1"/>
  <c r="P199" i="1"/>
  <c r="O200" i="1"/>
  <c r="K200" i="1" s="1"/>
  <c r="P200" i="1"/>
  <c r="O201" i="1"/>
  <c r="K201" i="1" s="1"/>
  <c r="P201" i="1"/>
  <c r="O202" i="1"/>
  <c r="K202" i="1" s="1"/>
  <c r="P202" i="1"/>
  <c r="O203" i="1"/>
  <c r="K203" i="1" s="1"/>
  <c r="P203" i="1"/>
  <c r="O204" i="1"/>
  <c r="K204" i="1" s="1"/>
  <c r="P204" i="1"/>
  <c r="O205" i="1"/>
  <c r="K205" i="1" s="1"/>
  <c r="P205" i="1"/>
  <c r="O206" i="1"/>
  <c r="K206" i="1" s="1"/>
  <c r="P206" i="1"/>
  <c r="O207" i="1"/>
  <c r="K207" i="1" s="1"/>
  <c r="P207" i="1"/>
  <c r="O208" i="1"/>
  <c r="K208" i="1" s="1"/>
  <c r="P208" i="1"/>
  <c r="O209" i="1"/>
  <c r="K209" i="1" s="1"/>
  <c r="P209" i="1"/>
  <c r="O210" i="1"/>
  <c r="K210" i="1" s="1"/>
  <c r="P210" i="1"/>
  <c r="O211" i="1"/>
  <c r="K211" i="1" s="1"/>
  <c r="P211" i="1"/>
  <c r="O212" i="1"/>
  <c r="K212" i="1" s="1"/>
  <c r="P212" i="1"/>
  <c r="O213" i="1"/>
  <c r="K213" i="1" s="1"/>
  <c r="P213" i="1"/>
  <c r="O214" i="1"/>
  <c r="K214" i="1" s="1"/>
  <c r="P214" i="1"/>
  <c r="O215" i="1"/>
  <c r="K215" i="1" s="1"/>
  <c r="P215" i="1"/>
  <c r="O216" i="1"/>
  <c r="K216" i="1" s="1"/>
  <c r="P216" i="1"/>
  <c r="O217" i="1"/>
  <c r="K217" i="1" s="1"/>
  <c r="P217" i="1"/>
  <c r="O218" i="1"/>
  <c r="K218" i="1" s="1"/>
  <c r="P218" i="1"/>
  <c r="O219" i="1"/>
  <c r="K219" i="1" s="1"/>
  <c r="P219" i="1"/>
  <c r="O220" i="1"/>
  <c r="K220" i="1" s="1"/>
  <c r="P220" i="1"/>
  <c r="O221" i="1"/>
  <c r="K221" i="1" s="1"/>
  <c r="P221" i="1"/>
  <c r="O222" i="1"/>
  <c r="K222" i="1" s="1"/>
  <c r="P222" i="1"/>
  <c r="O223" i="1"/>
  <c r="K223" i="1" s="1"/>
  <c r="P223" i="1"/>
  <c r="O224" i="1"/>
  <c r="K224" i="1" s="1"/>
  <c r="P224" i="1"/>
  <c r="O225" i="1"/>
  <c r="K225" i="1" s="1"/>
  <c r="P225" i="1"/>
  <c r="O226" i="1"/>
  <c r="K226" i="1" s="1"/>
  <c r="P226" i="1"/>
  <c r="O227" i="1"/>
  <c r="K227" i="1" s="1"/>
  <c r="P227" i="1"/>
  <c r="O228" i="1"/>
  <c r="K228" i="1" s="1"/>
  <c r="P228" i="1"/>
  <c r="O229" i="1"/>
  <c r="K229" i="1" s="1"/>
  <c r="P229" i="1"/>
  <c r="O230" i="1"/>
  <c r="K230" i="1" s="1"/>
  <c r="P230" i="1"/>
  <c r="O231" i="1"/>
  <c r="K231" i="1" s="1"/>
  <c r="P231" i="1"/>
  <c r="O232" i="1"/>
  <c r="K232" i="1" s="1"/>
  <c r="P232" i="1"/>
  <c r="O233" i="1"/>
  <c r="K233" i="1" s="1"/>
  <c r="P233" i="1"/>
  <c r="O234" i="1"/>
  <c r="K234" i="1" s="1"/>
  <c r="P234" i="1"/>
  <c r="O235" i="1"/>
  <c r="K235" i="1" s="1"/>
  <c r="P235" i="1"/>
  <c r="O236" i="1"/>
  <c r="K236" i="1" s="1"/>
  <c r="P236" i="1"/>
  <c r="O237" i="1"/>
  <c r="K237" i="1" s="1"/>
  <c r="P237" i="1"/>
  <c r="O238" i="1"/>
  <c r="K238" i="1" s="1"/>
  <c r="P238" i="1"/>
  <c r="O239" i="1"/>
  <c r="K239" i="1" s="1"/>
  <c r="P239" i="1"/>
  <c r="O240" i="1"/>
  <c r="K240" i="1" s="1"/>
  <c r="P240" i="1"/>
  <c r="O241" i="1"/>
  <c r="K241" i="1" s="1"/>
  <c r="P241" i="1"/>
  <c r="O242" i="1"/>
  <c r="K242" i="1" s="1"/>
  <c r="P242" i="1"/>
  <c r="O243" i="1"/>
  <c r="K243" i="1" s="1"/>
  <c r="P243" i="1"/>
  <c r="O244" i="1"/>
  <c r="K244" i="1" s="1"/>
  <c r="P244" i="1"/>
  <c r="O245" i="1"/>
  <c r="K245" i="1" s="1"/>
  <c r="P245" i="1"/>
  <c r="O246" i="1"/>
  <c r="K246" i="1" s="1"/>
  <c r="P246" i="1"/>
  <c r="O247" i="1"/>
  <c r="K247" i="1" s="1"/>
  <c r="P247" i="1"/>
  <c r="O248" i="1"/>
  <c r="K248" i="1" s="1"/>
  <c r="P248" i="1"/>
  <c r="O249" i="1"/>
  <c r="K249" i="1" s="1"/>
  <c r="P249" i="1"/>
  <c r="O250" i="1"/>
  <c r="K250" i="1" s="1"/>
  <c r="P250" i="1"/>
  <c r="O251" i="1"/>
  <c r="K251" i="1" s="1"/>
  <c r="P251" i="1"/>
  <c r="O252" i="1"/>
  <c r="K252" i="1" s="1"/>
  <c r="M252" i="1" s="1"/>
  <c r="P252" i="1"/>
  <c r="O253" i="1"/>
  <c r="K253" i="1" s="1"/>
  <c r="P253" i="1"/>
  <c r="O254" i="1"/>
  <c r="K254" i="1" s="1"/>
  <c r="P254" i="1"/>
  <c r="O255" i="1"/>
  <c r="K255" i="1" s="1"/>
  <c r="P255" i="1"/>
  <c r="O256" i="1"/>
  <c r="K256" i="1" s="1"/>
  <c r="P256" i="1"/>
  <c r="O257" i="1"/>
  <c r="K257" i="1" s="1"/>
  <c r="P257" i="1"/>
  <c r="O258" i="1"/>
  <c r="K258" i="1" s="1"/>
  <c r="P258" i="1"/>
  <c r="O259" i="1"/>
  <c r="K259" i="1" s="1"/>
  <c r="P259" i="1"/>
  <c r="O260" i="1"/>
  <c r="K260" i="1" s="1"/>
  <c r="P260" i="1"/>
  <c r="O261" i="1"/>
  <c r="K261" i="1" s="1"/>
  <c r="P261" i="1"/>
  <c r="O262" i="1"/>
  <c r="K262" i="1" s="1"/>
  <c r="P262" i="1"/>
  <c r="O263" i="1"/>
  <c r="K263" i="1" s="1"/>
  <c r="P263" i="1"/>
  <c r="O264" i="1"/>
  <c r="K264" i="1" s="1"/>
  <c r="P264" i="1"/>
  <c r="O265" i="1"/>
  <c r="K265" i="1" s="1"/>
  <c r="P265" i="1"/>
  <c r="O266" i="1"/>
  <c r="K266" i="1" s="1"/>
  <c r="P266" i="1"/>
  <c r="O267" i="1"/>
  <c r="K267" i="1" s="1"/>
  <c r="P267" i="1"/>
  <c r="O268" i="1"/>
  <c r="K268" i="1" s="1"/>
  <c r="P268" i="1"/>
  <c r="O269" i="1"/>
  <c r="K269" i="1" s="1"/>
  <c r="P269" i="1"/>
  <c r="O270" i="1"/>
  <c r="K270" i="1" s="1"/>
  <c r="P270" i="1"/>
  <c r="O271" i="1"/>
  <c r="K271" i="1" s="1"/>
  <c r="P271" i="1"/>
  <c r="O272" i="1"/>
  <c r="K272" i="1" s="1"/>
  <c r="P272" i="1"/>
  <c r="O273" i="1"/>
  <c r="K273" i="1" s="1"/>
  <c r="P273" i="1"/>
  <c r="O274" i="1"/>
  <c r="K274" i="1" s="1"/>
  <c r="P274" i="1"/>
  <c r="O275" i="1"/>
  <c r="K275" i="1" s="1"/>
  <c r="P275" i="1"/>
  <c r="O276" i="1"/>
  <c r="K276" i="1" s="1"/>
  <c r="M276" i="1" s="1"/>
  <c r="P276" i="1"/>
  <c r="O277" i="1"/>
  <c r="K277" i="1" s="1"/>
  <c r="P277" i="1"/>
  <c r="O278" i="1"/>
  <c r="K278" i="1" s="1"/>
  <c r="P278" i="1"/>
  <c r="O279" i="1"/>
  <c r="K279" i="1" s="1"/>
  <c r="P279" i="1"/>
  <c r="O280" i="1"/>
  <c r="K280" i="1" s="1"/>
  <c r="P280" i="1"/>
  <c r="O281" i="1"/>
  <c r="K281" i="1" s="1"/>
  <c r="P281" i="1"/>
  <c r="O282" i="1"/>
  <c r="K282" i="1" s="1"/>
  <c r="P282" i="1"/>
  <c r="O283" i="1"/>
  <c r="K283" i="1" s="1"/>
  <c r="P283" i="1"/>
  <c r="O284" i="1"/>
  <c r="K284" i="1" s="1"/>
  <c r="P284" i="1"/>
  <c r="O285" i="1"/>
  <c r="K285" i="1" s="1"/>
  <c r="P285" i="1"/>
  <c r="O286" i="1"/>
  <c r="K286" i="1" s="1"/>
  <c r="P286" i="1"/>
  <c r="O287" i="1"/>
  <c r="K287" i="1" s="1"/>
  <c r="M287" i="1" s="1"/>
  <c r="P287" i="1"/>
  <c r="O288" i="1"/>
  <c r="K288" i="1" s="1"/>
  <c r="P288" i="1"/>
  <c r="O289" i="1"/>
  <c r="K289" i="1" s="1"/>
  <c r="P289" i="1"/>
  <c r="O290" i="1"/>
  <c r="K290" i="1" s="1"/>
  <c r="P290" i="1"/>
  <c r="O291" i="1"/>
  <c r="K291" i="1" s="1"/>
  <c r="P291" i="1"/>
  <c r="O292" i="1"/>
  <c r="K292" i="1" s="1"/>
  <c r="P292" i="1"/>
  <c r="O293" i="1"/>
  <c r="K293" i="1" s="1"/>
  <c r="P293" i="1"/>
  <c r="O294" i="1"/>
  <c r="K294" i="1" s="1"/>
  <c r="P294" i="1"/>
  <c r="O295" i="1"/>
  <c r="K295" i="1" s="1"/>
  <c r="P295" i="1"/>
  <c r="O296" i="1"/>
  <c r="K296" i="1" s="1"/>
  <c r="P296" i="1"/>
  <c r="O297" i="1"/>
  <c r="K297" i="1" s="1"/>
  <c r="P297" i="1"/>
  <c r="O298" i="1"/>
  <c r="K298" i="1" s="1"/>
  <c r="P298" i="1"/>
  <c r="O299" i="1"/>
  <c r="K299" i="1" s="1"/>
  <c r="P299" i="1"/>
  <c r="O300" i="1"/>
  <c r="K300" i="1" s="1"/>
  <c r="P300" i="1"/>
  <c r="O301" i="1"/>
  <c r="K301" i="1" s="1"/>
  <c r="P301" i="1"/>
  <c r="O302" i="1"/>
  <c r="K302" i="1" s="1"/>
  <c r="P302" i="1"/>
  <c r="O303" i="1"/>
  <c r="K303" i="1" s="1"/>
  <c r="P303" i="1"/>
  <c r="O304" i="1"/>
  <c r="K304" i="1" s="1"/>
  <c r="P304" i="1"/>
  <c r="O305" i="1"/>
  <c r="K305" i="1" s="1"/>
  <c r="P305" i="1"/>
  <c r="O306" i="1"/>
  <c r="K306" i="1" s="1"/>
  <c r="P306" i="1"/>
  <c r="O307" i="1"/>
  <c r="K307" i="1" s="1"/>
  <c r="P307" i="1"/>
  <c r="O308" i="1"/>
  <c r="K308" i="1" s="1"/>
  <c r="P308" i="1"/>
  <c r="O309" i="1"/>
  <c r="K309" i="1" s="1"/>
  <c r="P309" i="1"/>
  <c r="O310" i="1"/>
  <c r="K310" i="1" s="1"/>
  <c r="P310" i="1"/>
  <c r="O311" i="1"/>
  <c r="K311" i="1" s="1"/>
  <c r="P311" i="1"/>
  <c r="O312" i="1"/>
  <c r="K312" i="1" s="1"/>
  <c r="P312" i="1"/>
  <c r="O313" i="1"/>
  <c r="K313" i="1" s="1"/>
  <c r="P313" i="1"/>
  <c r="O314" i="1"/>
  <c r="K314" i="1" s="1"/>
  <c r="P314" i="1"/>
  <c r="O315" i="1"/>
  <c r="K315" i="1" s="1"/>
  <c r="P315" i="1"/>
  <c r="O316" i="1"/>
  <c r="K316" i="1" s="1"/>
  <c r="P316" i="1"/>
  <c r="O317" i="1"/>
  <c r="K317" i="1" s="1"/>
  <c r="P317" i="1"/>
  <c r="O318" i="1"/>
  <c r="K318" i="1" s="1"/>
  <c r="P318" i="1"/>
  <c r="O319" i="1"/>
  <c r="K319" i="1" s="1"/>
  <c r="P319" i="1"/>
  <c r="O320" i="1"/>
  <c r="K320" i="1" s="1"/>
  <c r="P320" i="1"/>
  <c r="O321" i="1"/>
  <c r="K321" i="1" s="1"/>
  <c r="P321" i="1"/>
  <c r="O322" i="1"/>
  <c r="K322" i="1" s="1"/>
  <c r="P322" i="1"/>
  <c r="O323" i="1"/>
  <c r="K323" i="1" s="1"/>
  <c r="P323" i="1"/>
  <c r="O324" i="1"/>
  <c r="K324" i="1" s="1"/>
  <c r="P324" i="1"/>
  <c r="O325" i="1"/>
  <c r="K325" i="1" s="1"/>
  <c r="P325" i="1"/>
  <c r="O326" i="1"/>
  <c r="K326" i="1" s="1"/>
  <c r="P326" i="1"/>
  <c r="O327" i="1"/>
  <c r="K327" i="1" s="1"/>
  <c r="P327" i="1"/>
  <c r="O328" i="1"/>
  <c r="K328" i="1" s="1"/>
  <c r="P328" i="1"/>
  <c r="O329" i="1"/>
  <c r="K329" i="1" s="1"/>
  <c r="P329" i="1"/>
  <c r="O330" i="1"/>
  <c r="K330" i="1" s="1"/>
  <c r="P330" i="1"/>
  <c r="O331" i="1"/>
  <c r="K331" i="1" s="1"/>
  <c r="P331" i="1"/>
  <c r="O332" i="1"/>
  <c r="K332" i="1" s="1"/>
  <c r="P332" i="1"/>
  <c r="O333" i="1"/>
  <c r="K333" i="1" s="1"/>
  <c r="P333" i="1"/>
  <c r="O334" i="1"/>
  <c r="K334" i="1" s="1"/>
  <c r="P334" i="1"/>
  <c r="O335" i="1"/>
  <c r="K335" i="1" s="1"/>
  <c r="P335" i="1"/>
  <c r="O336" i="1"/>
  <c r="K336" i="1" s="1"/>
  <c r="P336" i="1"/>
  <c r="O337" i="1"/>
  <c r="K337" i="1" s="1"/>
  <c r="P337" i="1"/>
  <c r="O338" i="1"/>
  <c r="K338" i="1" s="1"/>
  <c r="P338" i="1"/>
  <c r="O339" i="1"/>
  <c r="K339" i="1" s="1"/>
  <c r="P339" i="1"/>
  <c r="O340" i="1"/>
  <c r="K340" i="1" s="1"/>
  <c r="P340" i="1"/>
  <c r="O341" i="1"/>
  <c r="K341" i="1" s="1"/>
  <c r="P341" i="1"/>
  <c r="O342" i="1"/>
  <c r="K342" i="1" s="1"/>
  <c r="P342" i="1"/>
  <c r="O343" i="1"/>
  <c r="K343" i="1" s="1"/>
  <c r="P343" i="1"/>
  <c r="O344" i="1"/>
  <c r="K344" i="1" s="1"/>
  <c r="P344" i="1"/>
  <c r="O345" i="1"/>
  <c r="K345" i="1" s="1"/>
  <c r="P345" i="1"/>
  <c r="O346" i="1"/>
  <c r="K346" i="1" s="1"/>
  <c r="P346" i="1"/>
  <c r="O347" i="1"/>
  <c r="K347" i="1" s="1"/>
  <c r="P347" i="1"/>
  <c r="O348" i="1"/>
  <c r="K348" i="1" s="1"/>
  <c r="P348" i="1"/>
  <c r="O349" i="1"/>
  <c r="K349" i="1" s="1"/>
  <c r="P349" i="1"/>
  <c r="O350" i="1"/>
  <c r="K350" i="1" s="1"/>
  <c r="P350" i="1"/>
  <c r="O351" i="1"/>
  <c r="K351" i="1" s="1"/>
  <c r="P351" i="1"/>
  <c r="O352" i="1"/>
  <c r="K352" i="1" s="1"/>
  <c r="P352" i="1"/>
  <c r="O353" i="1"/>
  <c r="K353" i="1" s="1"/>
  <c r="P353" i="1"/>
  <c r="O354" i="1"/>
  <c r="K354" i="1" s="1"/>
  <c r="P354" i="1"/>
  <c r="O355" i="1"/>
  <c r="K355" i="1" s="1"/>
  <c r="P355" i="1"/>
  <c r="O356" i="1"/>
  <c r="K356" i="1" s="1"/>
  <c r="P356" i="1"/>
  <c r="O357" i="1"/>
  <c r="K357" i="1" s="1"/>
  <c r="P357" i="1"/>
  <c r="O358" i="1"/>
  <c r="K358" i="1" s="1"/>
  <c r="P358" i="1"/>
  <c r="O359" i="1"/>
  <c r="K359" i="1" s="1"/>
  <c r="P359" i="1"/>
  <c r="O360" i="1"/>
  <c r="K360" i="1" s="1"/>
  <c r="P360" i="1"/>
  <c r="O361" i="1"/>
  <c r="K361" i="1" s="1"/>
  <c r="P361" i="1"/>
  <c r="O362" i="1"/>
  <c r="K362" i="1" s="1"/>
  <c r="P362" i="1"/>
  <c r="O363" i="1"/>
  <c r="K363" i="1" s="1"/>
  <c r="P363" i="1"/>
  <c r="O364" i="1"/>
  <c r="K364" i="1" s="1"/>
  <c r="P364" i="1"/>
  <c r="O365" i="1"/>
  <c r="K365" i="1" s="1"/>
  <c r="P365" i="1"/>
  <c r="O366" i="1"/>
  <c r="K366" i="1" s="1"/>
  <c r="P366" i="1"/>
  <c r="O367" i="1"/>
  <c r="K367" i="1" s="1"/>
  <c r="P367" i="1"/>
  <c r="O368" i="1"/>
  <c r="K368" i="1" s="1"/>
  <c r="P368" i="1"/>
  <c r="O369" i="1"/>
  <c r="K369" i="1" s="1"/>
  <c r="P369" i="1"/>
  <c r="O370" i="1"/>
  <c r="K370" i="1" s="1"/>
  <c r="P370" i="1"/>
  <c r="O371" i="1"/>
  <c r="K371" i="1" s="1"/>
  <c r="P371" i="1"/>
  <c r="O372" i="1"/>
  <c r="K372" i="1" s="1"/>
  <c r="P372" i="1"/>
  <c r="O373" i="1"/>
  <c r="K373" i="1" s="1"/>
  <c r="P373" i="1"/>
  <c r="O374" i="1"/>
  <c r="K374" i="1" s="1"/>
  <c r="P374" i="1"/>
  <c r="O375" i="1"/>
  <c r="K375" i="1" s="1"/>
  <c r="P375" i="1"/>
  <c r="O376" i="1"/>
  <c r="K376" i="1" s="1"/>
  <c r="P376" i="1"/>
  <c r="O377" i="1"/>
  <c r="K377" i="1" s="1"/>
  <c r="P377" i="1"/>
  <c r="O378" i="1"/>
  <c r="K378" i="1" s="1"/>
  <c r="P378" i="1"/>
  <c r="O379" i="1"/>
  <c r="K379" i="1" s="1"/>
  <c r="P379" i="1"/>
  <c r="O380" i="1"/>
  <c r="K380" i="1" s="1"/>
  <c r="P380" i="1"/>
  <c r="O381" i="1"/>
  <c r="K381" i="1" s="1"/>
  <c r="P381" i="1"/>
  <c r="O382" i="1"/>
  <c r="K382" i="1" s="1"/>
  <c r="P382" i="1"/>
  <c r="O383" i="1"/>
  <c r="K383" i="1" s="1"/>
  <c r="P383" i="1"/>
  <c r="O384" i="1"/>
  <c r="K384" i="1" s="1"/>
  <c r="P384" i="1"/>
  <c r="O385" i="1"/>
  <c r="K385" i="1" s="1"/>
  <c r="P385" i="1"/>
  <c r="O386" i="1"/>
  <c r="K386" i="1" s="1"/>
  <c r="P386" i="1"/>
  <c r="O387" i="1"/>
  <c r="K387" i="1" s="1"/>
  <c r="P387" i="1"/>
  <c r="O388" i="1"/>
  <c r="K388" i="1" s="1"/>
  <c r="P388" i="1"/>
  <c r="O389" i="1"/>
  <c r="K389" i="1" s="1"/>
  <c r="P389" i="1"/>
  <c r="O390" i="1"/>
  <c r="K390" i="1" s="1"/>
  <c r="P390" i="1"/>
  <c r="O391" i="1"/>
  <c r="K391" i="1" s="1"/>
  <c r="P391" i="1"/>
  <c r="O392" i="1"/>
  <c r="K392" i="1" s="1"/>
  <c r="P392" i="1"/>
  <c r="O393" i="1"/>
  <c r="K393" i="1" s="1"/>
  <c r="P393" i="1"/>
  <c r="O394" i="1"/>
  <c r="K394" i="1" s="1"/>
  <c r="P394" i="1"/>
  <c r="O395" i="1"/>
  <c r="K395" i="1" s="1"/>
  <c r="P395" i="1"/>
  <c r="O396" i="1"/>
  <c r="K396" i="1" s="1"/>
  <c r="P396" i="1"/>
  <c r="O397" i="1"/>
  <c r="V397" i="1" s="1"/>
  <c r="P397" i="1"/>
  <c r="O398" i="1"/>
  <c r="K398" i="1" s="1"/>
  <c r="P398" i="1"/>
  <c r="O399" i="1"/>
  <c r="K399" i="1" s="1"/>
  <c r="P399" i="1"/>
  <c r="O400" i="1"/>
  <c r="K400" i="1" s="1"/>
  <c r="P400" i="1"/>
  <c r="O401" i="1"/>
  <c r="K401" i="1" s="1"/>
  <c r="P401" i="1"/>
  <c r="O402" i="1"/>
  <c r="K402" i="1" s="1"/>
  <c r="P402" i="1"/>
  <c r="O403" i="1"/>
  <c r="K403" i="1" s="1"/>
  <c r="P403" i="1"/>
  <c r="O404" i="1"/>
  <c r="K404" i="1" s="1"/>
  <c r="P404" i="1"/>
  <c r="O405" i="1"/>
  <c r="K405" i="1" s="1"/>
  <c r="P405" i="1"/>
  <c r="O406" i="1"/>
  <c r="K406" i="1" s="1"/>
  <c r="P406" i="1"/>
  <c r="O407" i="1"/>
  <c r="K407" i="1" s="1"/>
  <c r="P407" i="1"/>
  <c r="O408" i="1"/>
  <c r="K408" i="1" s="1"/>
  <c r="P408" i="1"/>
  <c r="O409" i="1"/>
  <c r="K409" i="1" s="1"/>
  <c r="P409" i="1"/>
  <c r="O410" i="1"/>
  <c r="K410" i="1" s="1"/>
  <c r="P410" i="1"/>
  <c r="O411" i="1"/>
  <c r="K411" i="1" s="1"/>
  <c r="P411" i="1"/>
  <c r="O412" i="1"/>
  <c r="K412" i="1" s="1"/>
  <c r="P412" i="1"/>
  <c r="O413" i="1"/>
  <c r="K413" i="1" s="1"/>
  <c r="P413" i="1"/>
  <c r="O414" i="1"/>
  <c r="K414" i="1" s="1"/>
  <c r="P414" i="1"/>
  <c r="O415" i="1"/>
  <c r="K415" i="1" s="1"/>
  <c r="P415" i="1"/>
  <c r="O416" i="1"/>
  <c r="K416" i="1" s="1"/>
  <c r="P416" i="1"/>
  <c r="O417" i="1"/>
  <c r="K417" i="1" s="1"/>
  <c r="P417" i="1"/>
  <c r="O418" i="1"/>
  <c r="K418" i="1" s="1"/>
  <c r="P418" i="1"/>
  <c r="O419" i="1"/>
  <c r="K419" i="1" s="1"/>
  <c r="P419" i="1"/>
  <c r="O420" i="1"/>
  <c r="K420" i="1" s="1"/>
  <c r="P420" i="1"/>
  <c r="O421" i="1"/>
  <c r="K421" i="1" s="1"/>
  <c r="P421" i="1"/>
  <c r="O422" i="1"/>
  <c r="K422" i="1" s="1"/>
  <c r="P422" i="1"/>
  <c r="O423" i="1"/>
  <c r="K423" i="1" s="1"/>
  <c r="P423" i="1"/>
  <c r="O424" i="1"/>
  <c r="K424" i="1" s="1"/>
  <c r="P424" i="1"/>
  <c r="O425" i="1"/>
  <c r="K425" i="1" s="1"/>
  <c r="P425" i="1"/>
  <c r="O426" i="1"/>
  <c r="K426" i="1" s="1"/>
  <c r="P426" i="1"/>
  <c r="O427" i="1"/>
  <c r="K427" i="1" s="1"/>
  <c r="M427" i="1" s="1"/>
  <c r="P427" i="1"/>
  <c r="O428" i="1"/>
  <c r="K428" i="1" s="1"/>
  <c r="P428" i="1"/>
  <c r="O429" i="1"/>
  <c r="K429" i="1" s="1"/>
  <c r="P429" i="1"/>
  <c r="O430" i="1"/>
  <c r="K430" i="1" s="1"/>
  <c r="P430" i="1"/>
  <c r="O431" i="1"/>
  <c r="K431" i="1" s="1"/>
  <c r="P431" i="1"/>
  <c r="O432" i="1"/>
  <c r="K432" i="1" s="1"/>
  <c r="P432" i="1"/>
  <c r="O433" i="1"/>
  <c r="K433" i="1" s="1"/>
  <c r="M433" i="1" s="1"/>
  <c r="P433" i="1"/>
  <c r="O434" i="1"/>
  <c r="K434" i="1" s="1"/>
  <c r="P434" i="1"/>
  <c r="O435" i="1"/>
  <c r="K435" i="1" s="1"/>
  <c r="P435" i="1"/>
  <c r="O436" i="1"/>
  <c r="K436" i="1" s="1"/>
  <c r="P436" i="1"/>
  <c r="O437" i="1"/>
  <c r="K437" i="1" s="1"/>
  <c r="P437" i="1"/>
  <c r="O438" i="1"/>
  <c r="K438" i="1" s="1"/>
  <c r="P438" i="1"/>
  <c r="O439" i="1"/>
  <c r="K439" i="1" s="1"/>
  <c r="P439" i="1"/>
  <c r="O440" i="1"/>
  <c r="K440" i="1" s="1"/>
  <c r="P440" i="1"/>
  <c r="O441" i="1"/>
  <c r="K441" i="1" s="1"/>
  <c r="P441" i="1"/>
  <c r="O442" i="1"/>
  <c r="K442" i="1" s="1"/>
  <c r="P442" i="1"/>
  <c r="O443" i="1"/>
  <c r="K443" i="1" s="1"/>
  <c r="P443" i="1"/>
  <c r="O444" i="1"/>
  <c r="K444" i="1" s="1"/>
  <c r="P444" i="1"/>
  <c r="O445" i="1"/>
  <c r="K445" i="1" s="1"/>
  <c r="P445" i="1"/>
  <c r="O446" i="1"/>
  <c r="K446" i="1" s="1"/>
  <c r="P446" i="1"/>
  <c r="O447" i="1"/>
  <c r="K447" i="1" s="1"/>
  <c r="P447" i="1"/>
  <c r="O448" i="1"/>
  <c r="K448" i="1" s="1"/>
  <c r="P448" i="1"/>
  <c r="O449" i="1"/>
  <c r="K449" i="1" s="1"/>
  <c r="P449" i="1"/>
  <c r="O450" i="1"/>
  <c r="K450" i="1" s="1"/>
  <c r="P450" i="1"/>
  <c r="O451" i="1"/>
  <c r="K451" i="1" s="1"/>
  <c r="P451" i="1"/>
  <c r="O452" i="1"/>
  <c r="K452" i="1" s="1"/>
  <c r="P452" i="1"/>
  <c r="O453" i="1"/>
  <c r="K453" i="1" s="1"/>
  <c r="P453" i="1"/>
  <c r="O454" i="1"/>
  <c r="K454" i="1" s="1"/>
  <c r="P454" i="1"/>
  <c r="O455" i="1"/>
  <c r="K455" i="1" s="1"/>
  <c r="P455" i="1"/>
  <c r="O456" i="1"/>
  <c r="K456" i="1" s="1"/>
  <c r="M456" i="1" s="1"/>
  <c r="P456" i="1"/>
  <c r="O457" i="1"/>
  <c r="K457" i="1" s="1"/>
  <c r="P457" i="1"/>
  <c r="O458" i="1"/>
  <c r="K458" i="1" s="1"/>
  <c r="P458" i="1"/>
  <c r="O459" i="1"/>
  <c r="K459" i="1" s="1"/>
  <c r="P459" i="1"/>
  <c r="O460" i="1"/>
  <c r="K460" i="1" s="1"/>
  <c r="P460" i="1"/>
  <c r="O461" i="1"/>
  <c r="K461" i="1" s="1"/>
  <c r="P461" i="1"/>
  <c r="O462" i="1"/>
  <c r="K462" i="1" s="1"/>
  <c r="P462" i="1"/>
  <c r="O463" i="1"/>
  <c r="K463" i="1" s="1"/>
  <c r="P463" i="1"/>
  <c r="O464" i="1"/>
  <c r="K464" i="1" s="1"/>
  <c r="P464" i="1"/>
  <c r="O465" i="1"/>
  <c r="K465" i="1" s="1"/>
  <c r="P465" i="1"/>
  <c r="O466" i="1"/>
  <c r="K466" i="1" s="1"/>
  <c r="P466" i="1"/>
  <c r="O467" i="1"/>
  <c r="K467" i="1" s="1"/>
  <c r="P467" i="1"/>
  <c r="O468" i="1"/>
  <c r="K468" i="1" s="1"/>
  <c r="P468" i="1"/>
  <c r="O469" i="1"/>
  <c r="K469" i="1" s="1"/>
  <c r="P469" i="1"/>
  <c r="O470" i="1"/>
  <c r="K470" i="1" s="1"/>
  <c r="P470" i="1"/>
  <c r="O471" i="1"/>
  <c r="K471" i="1" s="1"/>
  <c r="P471" i="1"/>
  <c r="O472" i="1"/>
  <c r="K472" i="1" s="1"/>
  <c r="P472" i="1"/>
  <c r="O473" i="1"/>
  <c r="K473" i="1" s="1"/>
  <c r="P473" i="1"/>
  <c r="O474" i="1"/>
  <c r="K474" i="1" s="1"/>
  <c r="P474" i="1"/>
  <c r="O475" i="1"/>
  <c r="K475" i="1" s="1"/>
  <c r="P475" i="1"/>
  <c r="O476" i="1"/>
  <c r="K476" i="1" s="1"/>
  <c r="P476" i="1"/>
  <c r="O477" i="1"/>
  <c r="V477" i="1" s="1"/>
  <c r="P477" i="1"/>
  <c r="O478" i="1"/>
  <c r="V478" i="1" s="1"/>
  <c r="P478" i="1"/>
  <c r="O479" i="1"/>
  <c r="K479" i="1" s="1"/>
  <c r="P479" i="1"/>
  <c r="O480" i="1"/>
  <c r="K480" i="1" s="1"/>
  <c r="P480" i="1"/>
  <c r="O481" i="1"/>
  <c r="K481" i="1" s="1"/>
  <c r="P481" i="1"/>
  <c r="O482" i="1"/>
  <c r="K482" i="1" s="1"/>
  <c r="P482" i="1"/>
  <c r="O483" i="1"/>
  <c r="K483" i="1" s="1"/>
  <c r="P483" i="1"/>
  <c r="O484" i="1"/>
  <c r="K484" i="1" s="1"/>
  <c r="P484" i="1"/>
  <c r="O485" i="1"/>
  <c r="K485" i="1" s="1"/>
  <c r="P485" i="1"/>
  <c r="O486" i="1"/>
  <c r="K486" i="1" s="1"/>
  <c r="P486" i="1"/>
  <c r="O487" i="1"/>
  <c r="K487" i="1" s="1"/>
  <c r="P487" i="1"/>
  <c r="O488" i="1"/>
  <c r="K488" i="1" s="1"/>
  <c r="P488" i="1"/>
  <c r="O489" i="1"/>
  <c r="K489" i="1" s="1"/>
  <c r="P489" i="1"/>
  <c r="O490" i="1"/>
  <c r="K490" i="1" s="1"/>
  <c r="P490" i="1"/>
  <c r="O491" i="1"/>
  <c r="K491" i="1" s="1"/>
  <c r="P491" i="1"/>
  <c r="O492" i="1"/>
  <c r="K492" i="1" s="1"/>
  <c r="P492" i="1"/>
  <c r="O493" i="1"/>
  <c r="P493" i="1"/>
  <c r="O494" i="1"/>
  <c r="K494" i="1" s="1"/>
  <c r="M494" i="1" s="1"/>
  <c r="P494" i="1"/>
  <c r="O495" i="1"/>
  <c r="K495" i="1" s="1"/>
  <c r="P495" i="1"/>
  <c r="O496" i="1"/>
  <c r="P496" i="1"/>
  <c r="O497" i="1"/>
  <c r="K497" i="1" s="1"/>
  <c r="P497" i="1"/>
  <c r="O498" i="1"/>
  <c r="K498" i="1" s="1"/>
  <c r="P498" i="1"/>
  <c r="O499" i="1"/>
  <c r="K499" i="1" s="1"/>
  <c r="P499" i="1"/>
  <c r="O500" i="1"/>
  <c r="K500" i="1" s="1"/>
  <c r="P500" i="1"/>
  <c r="O501" i="1"/>
  <c r="K501" i="1" s="1"/>
  <c r="P501" i="1"/>
  <c r="O502" i="1"/>
  <c r="K502" i="1" s="1"/>
  <c r="P502" i="1"/>
  <c r="O503" i="1"/>
  <c r="K503" i="1" s="1"/>
  <c r="P503" i="1"/>
  <c r="O504" i="1"/>
  <c r="K504" i="1" s="1"/>
  <c r="P504" i="1"/>
  <c r="O505" i="1"/>
  <c r="K505" i="1" s="1"/>
  <c r="P505" i="1"/>
  <c r="O506" i="1"/>
  <c r="K506" i="1" s="1"/>
  <c r="P506" i="1"/>
  <c r="O507" i="1"/>
  <c r="K507" i="1" s="1"/>
  <c r="P507" i="1"/>
  <c r="O508" i="1"/>
  <c r="K508" i="1" s="1"/>
  <c r="P508" i="1"/>
  <c r="O509" i="1"/>
  <c r="K509" i="1" s="1"/>
  <c r="P509" i="1"/>
  <c r="O510" i="1"/>
  <c r="K510" i="1" s="1"/>
  <c r="P510" i="1"/>
  <c r="O511" i="1"/>
  <c r="K511" i="1" s="1"/>
  <c r="P511" i="1"/>
  <c r="O512" i="1"/>
  <c r="K512" i="1" s="1"/>
  <c r="P512" i="1"/>
  <c r="O513" i="1"/>
  <c r="K513" i="1" s="1"/>
  <c r="P513" i="1"/>
  <c r="O514" i="1"/>
  <c r="K514" i="1" s="1"/>
  <c r="M514" i="1" s="1"/>
  <c r="P514" i="1"/>
  <c r="O515" i="1"/>
  <c r="K515" i="1" s="1"/>
  <c r="P515" i="1"/>
  <c r="O516" i="1"/>
  <c r="K516" i="1" s="1"/>
  <c r="P516" i="1"/>
  <c r="O517" i="1"/>
  <c r="K517" i="1" s="1"/>
  <c r="P517" i="1"/>
  <c r="O518" i="1"/>
  <c r="K518" i="1" s="1"/>
  <c r="P518" i="1"/>
  <c r="O519" i="1"/>
  <c r="K519" i="1" s="1"/>
  <c r="P519" i="1"/>
  <c r="O520" i="1"/>
  <c r="K520" i="1" s="1"/>
  <c r="P520" i="1"/>
  <c r="O521" i="1"/>
  <c r="K521" i="1" s="1"/>
  <c r="P521" i="1"/>
  <c r="O522" i="1"/>
  <c r="K522" i="1" s="1"/>
  <c r="P522" i="1"/>
  <c r="O523" i="1"/>
  <c r="K523" i="1" s="1"/>
  <c r="P523" i="1"/>
  <c r="O524" i="1"/>
  <c r="K524" i="1" s="1"/>
  <c r="P524" i="1"/>
  <c r="O525" i="1"/>
  <c r="K525" i="1" s="1"/>
  <c r="P525" i="1"/>
  <c r="O526" i="1"/>
  <c r="K526" i="1" s="1"/>
  <c r="P526" i="1"/>
  <c r="O527" i="1"/>
  <c r="K527" i="1" s="1"/>
  <c r="P527" i="1"/>
  <c r="O528" i="1"/>
  <c r="K528" i="1" s="1"/>
  <c r="P528" i="1"/>
  <c r="O529" i="1"/>
  <c r="K529" i="1" s="1"/>
  <c r="P529" i="1"/>
  <c r="O530" i="1"/>
  <c r="K530" i="1" s="1"/>
  <c r="P530" i="1"/>
  <c r="O531" i="1"/>
  <c r="K531" i="1" s="1"/>
  <c r="P531" i="1"/>
  <c r="O532" i="1"/>
  <c r="K532" i="1" s="1"/>
  <c r="P532" i="1"/>
  <c r="O533" i="1"/>
  <c r="K533" i="1" s="1"/>
  <c r="P533" i="1"/>
  <c r="O534" i="1"/>
  <c r="K534" i="1" s="1"/>
  <c r="P534" i="1"/>
  <c r="O535" i="1"/>
  <c r="K535" i="1" s="1"/>
  <c r="P535" i="1"/>
  <c r="O536" i="1"/>
  <c r="K536" i="1" s="1"/>
  <c r="P536" i="1"/>
  <c r="O537" i="1"/>
  <c r="K537" i="1" s="1"/>
  <c r="P537" i="1"/>
  <c r="O538" i="1"/>
  <c r="K538" i="1" s="1"/>
  <c r="P538" i="1"/>
  <c r="O539" i="1"/>
  <c r="K539" i="1" s="1"/>
  <c r="P539" i="1"/>
  <c r="O540" i="1"/>
  <c r="K540" i="1" s="1"/>
  <c r="P540" i="1"/>
  <c r="O541" i="1"/>
  <c r="K541" i="1" s="1"/>
  <c r="P541" i="1"/>
  <c r="O542" i="1"/>
  <c r="K542" i="1" s="1"/>
  <c r="M542" i="1" s="1"/>
  <c r="P542" i="1"/>
  <c r="O543" i="1"/>
  <c r="K543" i="1" s="1"/>
  <c r="M543" i="1" s="1"/>
  <c r="P543" i="1"/>
  <c r="O544" i="1"/>
  <c r="K544" i="1" s="1"/>
  <c r="M544" i="1" s="1"/>
  <c r="P544" i="1"/>
  <c r="O545" i="1"/>
  <c r="K545" i="1" s="1"/>
  <c r="P545" i="1"/>
  <c r="O546" i="1"/>
  <c r="K546" i="1" s="1"/>
  <c r="P546" i="1"/>
  <c r="O547" i="1"/>
  <c r="K547" i="1" s="1"/>
  <c r="P547" i="1"/>
  <c r="O548" i="1"/>
  <c r="K548" i="1" s="1"/>
  <c r="P548" i="1"/>
  <c r="O549" i="1"/>
  <c r="K549" i="1" s="1"/>
  <c r="P549" i="1"/>
  <c r="O550" i="1"/>
  <c r="K550" i="1" s="1"/>
  <c r="P550" i="1"/>
  <c r="O551" i="1"/>
  <c r="K551" i="1" s="1"/>
  <c r="P551" i="1"/>
  <c r="O552" i="1"/>
  <c r="K552" i="1" s="1"/>
  <c r="P552" i="1"/>
  <c r="O553" i="1"/>
  <c r="K553" i="1" s="1"/>
  <c r="P553" i="1"/>
  <c r="O554" i="1"/>
  <c r="K554" i="1" s="1"/>
  <c r="P554" i="1"/>
  <c r="O555" i="1"/>
  <c r="K555" i="1" s="1"/>
  <c r="P555" i="1"/>
  <c r="O556" i="1"/>
  <c r="K556" i="1" s="1"/>
  <c r="P556" i="1"/>
  <c r="O557" i="1"/>
  <c r="K557" i="1" s="1"/>
  <c r="M557" i="1" s="1"/>
  <c r="P557" i="1"/>
  <c r="O558" i="1"/>
  <c r="K558" i="1" s="1"/>
  <c r="P558" i="1"/>
  <c r="O559" i="1"/>
  <c r="K559" i="1" s="1"/>
  <c r="P559" i="1"/>
  <c r="O560" i="1"/>
  <c r="K560" i="1" s="1"/>
  <c r="P560" i="1"/>
  <c r="O561" i="1"/>
  <c r="K561" i="1" s="1"/>
  <c r="P561" i="1"/>
  <c r="O562" i="1"/>
  <c r="K562" i="1" s="1"/>
  <c r="P562" i="1"/>
  <c r="O563" i="1"/>
  <c r="K563" i="1" s="1"/>
  <c r="M563" i="1" s="1"/>
  <c r="P563" i="1"/>
  <c r="O564" i="1"/>
  <c r="K564" i="1" s="1"/>
  <c r="P564" i="1"/>
  <c r="O565" i="1"/>
  <c r="K565" i="1" s="1"/>
  <c r="P565" i="1"/>
  <c r="O566" i="1"/>
  <c r="K566" i="1" s="1"/>
  <c r="P566" i="1"/>
  <c r="O567" i="1"/>
  <c r="K567" i="1" s="1"/>
  <c r="P567" i="1"/>
  <c r="O568" i="1"/>
  <c r="K568" i="1" s="1"/>
  <c r="P568" i="1"/>
  <c r="O569" i="1"/>
  <c r="K569" i="1" s="1"/>
  <c r="P569" i="1"/>
  <c r="O570" i="1"/>
  <c r="K570" i="1" s="1"/>
  <c r="P570" i="1"/>
  <c r="O571" i="1"/>
  <c r="K571" i="1" s="1"/>
  <c r="P571" i="1"/>
  <c r="O572" i="1"/>
  <c r="K572" i="1" s="1"/>
  <c r="P572" i="1"/>
  <c r="O573" i="1"/>
  <c r="K573" i="1" s="1"/>
  <c r="P573" i="1"/>
  <c r="O574" i="1"/>
  <c r="K574" i="1" s="1"/>
  <c r="P574" i="1"/>
  <c r="O575" i="1"/>
  <c r="K575" i="1" s="1"/>
  <c r="P575" i="1"/>
  <c r="O576" i="1"/>
  <c r="K576" i="1" s="1"/>
  <c r="P576" i="1"/>
  <c r="O577" i="1"/>
  <c r="K577" i="1" s="1"/>
  <c r="M577" i="1" s="1"/>
  <c r="P577" i="1"/>
  <c r="O578" i="1"/>
  <c r="K578" i="1" s="1"/>
  <c r="P578" i="1"/>
  <c r="O579" i="1"/>
  <c r="K579" i="1" s="1"/>
  <c r="P579" i="1"/>
  <c r="O580" i="1"/>
  <c r="K580" i="1" s="1"/>
  <c r="P580" i="1"/>
  <c r="O581" i="1"/>
  <c r="K581" i="1" s="1"/>
  <c r="P581" i="1"/>
  <c r="O582" i="1"/>
  <c r="K582" i="1" s="1"/>
  <c r="P582" i="1"/>
  <c r="O583" i="1"/>
  <c r="K583" i="1" s="1"/>
  <c r="P583" i="1"/>
  <c r="O584" i="1"/>
  <c r="K584" i="1" s="1"/>
  <c r="P584" i="1"/>
  <c r="O585" i="1"/>
  <c r="K585" i="1" s="1"/>
  <c r="P585" i="1"/>
  <c r="O586" i="1"/>
  <c r="K586" i="1" s="1"/>
  <c r="P586" i="1"/>
  <c r="O587" i="1"/>
  <c r="K587" i="1" s="1"/>
  <c r="P587" i="1"/>
  <c r="O588" i="1"/>
  <c r="K588" i="1" s="1"/>
  <c r="P588" i="1"/>
  <c r="O589" i="1"/>
  <c r="K589" i="1" s="1"/>
  <c r="P589" i="1"/>
  <c r="O590" i="1"/>
  <c r="K590" i="1" s="1"/>
  <c r="P590" i="1"/>
  <c r="O591" i="1"/>
  <c r="K591" i="1" s="1"/>
  <c r="P591" i="1"/>
  <c r="O592" i="1"/>
  <c r="K592" i="1" s="1"/>
  <c r="P592" i="1"/>
  <c r="O593" i="1"/>
  <c r="P593" i="1"/>
  <c r="O594" i="1"/>
  <c r="P594" i="1"/>
  <c r="O595" i="1"/>
  <c r="K595" i="1" s="1"/>
  <c r="P595" i="1"/>
  <c r="O596" i="1"/>
  <c r="K596" i="1" s="1"/>
  <c r="P596" i="1"/>
  <c r="O597" i="1"/>
  <c r="K597" i="1" s="1"/>
  <c r="P597" i="1"/>
  <c r="O598" i="1"/>
  <c r="K598" i="1" s="1"/>
  <c r="P598" i="1"/>
  <c r="O599" i="1"/>
  <c r="K599" i="1" s="1"/>
  <c r="P599" i="1"/>
  <c r="O600" i="1"/>
  <c r="K600" i="1" s="1"/>
  <c r="P600" i="1"/>
  <c r="O601" i="1"/>
  <c r="K601" i="1" s="1"/>
  <c r="M601" i="1" s="1"/>
  <c r="P601" i="1"/>
  <c r="O602" i="1"/>
  <c r="K602" i="1" s="1"/>
  <c r="P602" i="1"/>
  <c r="O603" i="1"/>
  <c r="K603" i="1" s="1"/>
  <c r="P603" i="1"/>
  <c r="O604" i="1"/>
  <c r="K604" i="1" s="1"/>
  <c r="P604" i="1"/>
  <c r="O605" i="1"/>
  <c r="K605" i="1" s="1"/>
  <c r="P605" i="1"/>
  <c r="O606" i="1"/>
  <c r="K606" i="1" s="1"/>
  <c r="P606" i="1"/>
  <c r="O607" i="1"/>
  <c r="K607" i="1" s="1"/>
  <c r="P607" i="1"/>
  <c r="O608" i="1"/>
  <c r="K608" i="1" s="1"/>
  <c r="P608" i="1"/>
  <c r="O609" i="1"/>
  <c r="K609" i="1" s="1"/>
  <c r="P609" i="1"/>
  <c r="O610" i="1"/>
  <c r="K610" i="1" s="1"/>
  <c r="P610" i="1"/>
  <c r="O611" i="1"/>
  <c r="K611" i="1" s="1"/>
  <c r="P611" i="1"/>
  <c r="O612" i="1"/>
  <c r="K612" i="1" s="1"/>
  <c r="P612" i="1"/>
  <c r="O613" i="1"/>
  <c r="K613" i="1" s="1"/>
  <c r="P613" i="1"/>
  <c r="O614" i="1"/>
  <c r="K614" i="1" s="1"/>
  <c r="P614" i="1"/>
  <c r="O615" i="1"/>
  <c r="K615" i="1" s="1"/>
  <c r="P615" i="1"/>
  <c r="O616" i="1"/>
  <c r="K616" i="1" s="1"/>
  <c r="P616" i="1"/>
  <c r="O617" i="1"/>
  <c r="K617" i="1" s="1"/>
  <c r="P617" i="1"/>
  <c r="O618" i="1"/>
  <c r="K618" i="1" s="1"/>
  <c r="P618" i="1"/>
  <c r="O619" i="1"/>
  <c r="K619" i="1" s="1"/>
  <c r="P619" i="1"/>
  <c r="O620" i="1"/>
  <c r="K620" i="1" s="1"/>
  <c r="P620" i="1"/>
  <c r="O621" i="1"/>
  <c r="K621" i="1" s="1"/>
  <c r="M621" i="1" s="1"/>
  <c r="P621" i="1"/>
  <c r="O622" i="1"/>
  <c r="K622" i="1" s="1"/>
  <c r="P622" i="1"/>
  <c r="O623" i="1"/>
  <c r="K623" i="1" s="1"/>
  <c r="M623" i="1" s="1"/>
  <c r="P623" i="1"/>
  <c r="O624" i="1"/>
  <c r="K624" i="1" s="1"/>
  <c r="P624" i="1"/>
  <c r="O625" i="1"/>
  <c r="K625" i="1" s="1"/>
  <c r="P625" i="1"/>
  <c r="O626" i="1"/>
  <c r="K626" i="1" s="1"/>
  <c r="P626" i="1"/>
  <c r="O627" i="1"/>
  <c r="K627" i="1" s="1"/>
  <c r="P627" i="1"/>
  <c r="O628" i="1"/>
  <c r="K628" i="1" s="1"/>
  <c r="P628" i="1"/>
  <c r="O629" i="1"/>
  <c r="K629" i="1" s="1"/>
  <c r="P629" i="1"/>
  <c r="O630" i="1"/>
  <c r="K630" i="1" s="1"/>
  <c r="P630" i="1"/>
  <c r="O631" i="1"/>
  <c r="K631" i="1" s="1"/>
  <c r="P631" i="1"/>
  <c r="O632" i="1"/>
  <c r="K632" i="1" s="1"/>
  <c r="P632" i="1"/>
  <c r="O633" i="1"/>
  <c r="K633" i="1" s="1"/>
  <c r="M633" i="1" s="1"/>
  <c r="P633" i="1"/>
  <c r="O634" i="1"/>
  <c r="K634" i="1" s="1"/>
  <c r="P634" i="1"/>
  <c r="O635" i="1"/>
  <c r="K635" i="1" s="1"/>
  <c r="P635" i="1"/>
  <c r="O636" i="1"/>
  <c r="K636" i="1" s="1"/>
  <c r="P636" i="1"/>
  <c r="O637" i="1"/>
  <c r="K637" i="1" s="1"/>
  <c r="M637" i="1" s="1"/>
  <c r="P637" i="1"/>
  <c r="O638" i="1"/>
  <c r="V638" i="1" s="1"/>
  <c r="P638" i="1"/>
  <c r="O639" i="1"/>
  <c r="K639" i="1" s="1"/>
  <c r="P639" i="1"/>
  <c r="O640" i="1"/>
  <c r="K640" i="1" s="1"/>
  <c r="P640" i="1"/>
  <c r="O641" i="1"/>
  <c r="K641" i="1" s="1"/>
  <c r="M641" i="1" s="1"/>
  <c r="P641" i="1"/>
  <c r="O642" i="1"/>
  <c r="K642" i="1" s="1"/>
  <c r="P642" i="1"/>
  <c r="O643" i="1"/>
  <c r="K643" i="1" s="1"/>
  <c r="P643" i="1"/>
  <c r="O644" i="1"/>
  <c r="K644" i="1" s="1"/>
  <c r="P644" i="1"/>
  <c r="O645" i="1"/>
  <c r="K645" i="1" s="1"/>
  <c r="P645" i="1"/>
  <c r="O646" i="1"/>
  <c r="K646" i="1" s="1"/>
  <c r="P646" i="1"/>
  <c r="O647" i="1"/>
  <c r="K647" i="1" s="1"/>
  <c r="M647" i="1" s="1"/>
  <c r="P647" i="1"/>
  <c r="O648" i="1"/>
  <c r="K648" i="1" s="1"/>
  <c r="P648" i="1"/>
  <c r="O649" i="1"/>
  <c r="K649" i="1" s="1"/>
  <c r="P649" i="1"/>
  <c r="O650" i="1"/>
  <c r="K650" i="1" s="1"/>
  <c r="P650" i="1"/>
  <c r="O651" i="1"/>
  <c r="K651" i="1" s="1"/>
  <c r="P651" i="1"/>
  <c r="O652" i="1"/>
  <c r="K652" i="1" s="1"/>
  <c r="P652" i="1"/>
  <c r="O653" i="1"/>
  <c r="K653" i="1" s="1"/>
  <c r="P653" i="1"/>
  <c r="O654" i="1"/>
  <c r="K654" i="1" s="1"/>
  <c r="P654" i="1"/>
  <c r="O655" i="1"/>
  <c r="K655" i="1" s="1"/>
  <c r="P655" i="1"/>
  <c r="O656" i="1"/>
  <c r="K656" i="1" s="1"/>
  <c r="P656" i="1"/>
  <c r="M656" i="1" s="1"/>
  <c r="O657" i="1"/>
  <c r="K657" i="1" s="1"/>
  <c r="P657" i="1"/>
  <c r="M657" i="1" s="1"/>
  <c r="O658" i="1"/>
  <c r="K658" i="1" s="1"/>
  <c r="P658" i="1"/>
  <c r="M658" i="1" s="1"/>
  <c r="O659" i="1"/>
  <c r="K659" i="1" s="1"/>
  <c r="P659" i="1"/>
  <c r="O660" i="1"/>
  <c r="K660" i="1" s="1"/>
  <c r="P660" i="1"/>
  <c r="O661" i="1"/>
  <c r="K661" i="1" s="1"/>
  <c r="P661" i="1"/>
  <c r="O662" i="1"/>
  <c r="K662" i="1" s="1"/>
  <c r="P662" i="1"/>
  <c r="O663" i="1"/>
  <c r="K663" i="1" s="1"/>
  <c r="P663" i="1"/>
  <c r="O664" i="1"/>
  <c r="K664" i="1" s="1"/>
  <c r="P664" i="1"/>
  <c r="O665" i="1"/>
  <c r="K665" i="1" s="1"/>
  <c r="P665" i="1"/>
  <c r="O666" i="1"/>
  <c r="K666" i="1" s="1"/>
  <c r="P666" i="1"/>
  <c r="O667" i="1"/>
  <c r="K667" i="1" s="1"/>
  <c r="P667" i="1"/>
  <c r="O668" i="1"/>
  <c r="K668" i="1" s="1"/>
  <c r="P668" i="1"/>
  <c r="O669" i="1"/>
  <c r="K669" i="1" s="1"/>
  <c r="P669" i="1"/>
  <c r="O670" i="1"/>
  <c r="K670" i="1" s="1"/>
  <c r="P670" i="1"/>
  <c r="O671" i="1"/>
  <c r="K671" i="1" s="1"/>
  <c r="P671" i="1"/>
  <c r="O672" i="1"/>
  <c r="K672" i="1" s="1"/>
  <c r="P672" i="1"/>
  <c r="O673" i="1"/>
  <c r="K673" i="1" s="1"/>
  <c r="P673" i="1"/>
  <c r="O674" i="1"/>
  <c r="K674" i="1" s="1"/>
  <c r="P674" i="1"/>
  <c r="O675" i="1"/>
  <c r="K675" i="1" s="1"/>
  <c r="P675" i="1"/>
  <c r="O676" i="1"/>
  <c r="K676" i="1" s="1"/>
  <c r="P676" i="1"/>
  <c r="O677" i="1"/>
  <c r="K677" i="1" s="1"/>
  <c r="P677" i="1"/>
  <c r="O678" i="1"/>
  <c r="K678" i="1" s="1"/>
  <c r="P678" i="1"/>
  <c r="O679" i="1"/>
  <c r="K679" i="1" s="1"/>
  <c r="P679" i="1"/>
  <c r="O680" i="1"/>
  <c r="K680" i="1" s="1"/>
  <c r="P680" i="1"/>
  <c r="O701" i="1"/>
  <c r="P701" i="1"/>
  <c r="O702" i="1"/>
  <c r="P702" i="1"/>
  <c r="R702" i="1" s="1"/>
  <c r="O703" i="1"/>
  <c r="P703" i="1"/>
  <c r="R703" i="1" s="1"/>
  <c r="O704" i="1"/>
  <c r="P704" i="1"/>
  <c r="R704" i="1" s="1"/>
  <c r="O705" i="1"/>
  <c r="P705" i="1"/>
  <c r="R705" i="1" s="1"/>
  <c r="O706" i="1"/>
  <c r="P706" i="1"/>
  <c r="O707" i="1"/>
  <c r="P707" i="1"/>
  <c r="R707" i="1" s="1"/>
  <c r="O708" i="1"/>
  <c r="P708" i="1"/>
  <c r="R708" i="1" s="1"/>
  <c r="O709" i="1"/>
  <c r="P709" i="1"/>
  <c r="R709" i="1" s="1"/>
  <c r="O710" i="1"/>
  <c r="P710" i="1"/>
  <c r="R710" i="1" s="1"/>
  <c r="O711" i="1"/>
  <c r="P711" i="1"/>
  <c r="O712" i="1"/>
  <c r="P712" i="1"/>
  <c r="R712" i="1" s="1"/>
  <c r="O714" i="1"/>
  <c r="P714" i="1"/>
  <c r="R714" i="1" s="1"/>
  <c r="O715" i="1"/>
  <c r="K715" i="1" s="1"/>
  <c r="P715" i="1"/>
  <c r="O716" i="1"/>
  <c r="P716" i="1"/>
  <c r="R716" i="1" s="1"/>
  <c r="O717" i="1"/>
  <c r="P717" i="1"/>
  <c r="R717" i="1" s="1"/>
  <c r="O718" i="1"/>
  <c r="P718" i="1"/>
  <c r="R718" i="1" s="1"/>
  <c r="O3" i="1"/>
  <c r="P3" i="1"/>
  <c r="M3" i="1" s="1"/>
  <c r="F3" i="1"/>
  <c r="D3" i="1"/>
  <c r="C3" i="1"/>
  <c r="O3" i="6"/>
  <c r="O4" i="6"/>
  <c r="E429" i="1" s="1"/>
  <c r="O5" i="6"/>
  <c r="O6" i="6"/>
  <c r="O7" i="6"/>
  <c r="O8" i="6"/>
  <c r="O9" i="6"/>
  <c r="O10" i="6"/>
  <c r="O11" i="6"/>
  <c r="O12" i="6"/>
  <c r="O13" i="6"/>
  <c r="E599" i="1" s="1"/>
  <c r="O14" i="6"/>
  <c r="O15" i="6"/>
  <c r="E527" i="1" s="1"/>
  <c r="O16" i="6"/>
  <c r="O17" i="6"/>
  <c r="O18" i="6"/>
  <c r="E525" i="1" s="1"/>
  <c r="O19" i="6"/>
  <c r="O20" i="6"/>
  <c r="E624" i="1" s="1"/>
  <c r="O21" i="6"/>
  <c r="O22" i="6"/>
  <c r="O23" i="6"/>
  <c r="O24" i="6"/>
  <c r="E504" i="1" s="1"/>
  <c r="O25" i="6"/>
  <c r="O26" i="6"/>
  <c r="O28" i="6"/>
  <c r="O30" i="6"/>
  <c r="O31" i="6"/>
  <c r="O32" i="6"/>
  <c r="O33" i="6"/>
  <c r="O34" i="6"/>
  <c r="O35" i="6"/>
  <c r="O36" i="6"/>
  <c r="O37" i="6"/>
  <c r="O39" i="6"/>
  <c r="E511" i="1" s="1"/>
  <c r="O40" i="6"/>
  <c r="O41" i="6"/>
  <c r="E447" i="1" s="1"/>
  <c r="O42" i="6"/>
  <c r="O43" i="6"/>
  <c r="O44" i="6"/>
  <c r="O45" i="6"/>
  <c r="E446" i="1" s="1"/>
  <c r="O46" i="6"/>
  <c r="O47" i="6"/>
  <c r="O48" i="6"/>
  <c r="O49" i="6"/>
  <c r="O50" i="6"/>
  <c r="O51" i="6"/>
  <c r="O52" i="6"/>
  <c r="E679" i="1" s="1"/>
  <c r="O53" i="6"/>
  <c r="E139" i="1" s="1"/>
  <c r="O54" i="6"/>
  <c r="E181" i="1" s="1"/>
  <c r="O55" i="6"/>
  <c r="O56" i="6"/>
  <c r="O57" i="6"/>
  <c r="O58" i="6"/>
  <c r="O59" i="6"/>
  <c r="O60" i="6"/>
  <c r="O61" i="6"/>
  <c r="O62" i="6"/>
  <c r="E382" i="1" s="1"/>
  <c r="O63" i="6"/>
  <c r="O64" i="6"/>
  <c r="O65" i="6"/>
  <c r="O66" i="6"/>
  <c r="O67" i="6"/>
  <c r="O68" i="6"/>
  <c r="O69" i="6"/>
  <c r="E418" i="1" s="1"/>
  <c r="O70" i="6"/>
  <c r="O71" i="6"/>
  <c r="O72" i="6"/>
  <c r="O73" i="6"/>
  <c r="O74" i="6"/>
  <c r="O75" i="6"/>
  <c r="E230" i="1" s="1"/>
  <c r="O76" i="6"/>
  <c r="E567" i="1" s="1"/>
  <c r="O77" i="6"/>
  <c r="E701" i="1" s="1"/>
  <c r="O78" i="6"/>
  <c r="O79" i="6"/>
  <c r="O80" i="6"/>
  <c r="O81" i="6"/>
  <c r="O82" i="6"/>
  <c r="O83" i="6"/>
  <c r="O84" i="6"/>
  <c r="O85" i="6"/>
  <c r="O86" i="6"/>
  <c r="O87" i="6"/>
  <c r="E279" i="1" s="1"/>
  <c r="O88" i="6"/>
  <c r="O89" i="6"/>
  <c r="E648" i="1" s="1"/>
  <c r="O90" i="6"/>
  <c r="O91" i="6"/>
  <c r="O92" i="6"/>
  <c r="O93" i="6"/>
  <c r="O94" i="6"/>
  <c r="O95" i="6"/>
  <c r="O96" i="6"/>
  <c r="O97" i="6"/>
  <c r="O98" i="6"/>
  <c r="O99" i="6"/>
  <c r="O100" i="6"/>
  <c r="O101" i="6"/>
  <c r="O102" i="6"/>
  <c r="E636" i="1" s="1"/>
  <c r="O103" i="6"/>
  <c r="O104" i="6"/>
  <c r="O105" i="6"/>
  <c r="O106" i="6"/>
  <c r="O107" i="6"/>
  <c r="O108" i="6"/>
  <c r="O109" i="6"/>
  <c r="O110" i="6"/>
  <c r="O111" i="6"/>
  <c r="E655" i="1" s="1"/>
  <c r="O112" i="6"/>
  <c r="E476" i="1" s="1"/>
  <c r="O113" i="6"/>
  <c r="E286" i="1" s="1"/>
  <c r="O115" i="6"/>
  <c r="O116" i="6"/>
  <c r="O117" i="6"/>
  <c r="O118" i="6"/>
  <c r="E284" i="1" s="1"/>
  <c r="O119" i="6"/>
  <c r="O120" i="6"/>
  <c r="O121" i="6"/>
  <c r="O122" i="6"/>
  <c r="O126" i="6"/>
  <c r="O127" i="6"/>
  <c r="O128" i="6"/>
  <c r="O129" i="6"/>
  <c r="E433" i="1" s="1"/>
  <c r="O130" i="6"/>
  <c r="O131" i="6"/>
  <c r="O132" i="6"/>
  <c r="O133" i="6"/>
  <c r="O134" i="6"/>
  <c r="O135" i="6"/>
  <c r="O136" i="6"/>
  <c r="O137" i="6"/>
  <c r="O138" i="6"/>
  <c r="O139" i="6"/>
  <c r="O140" i="6"/>
  <c r="O141" i="6"/>
  <c r="O142" i="6"/>
  <c r="O143" i="6"/>
  <c r="O144" i="6"/>
  <c r="E454" i="1" s="1"/>
  <c r="O145" i="6"/>
  <c r="O146" i="6"/>
  <c r="O147" i="6"/>
  <c r="O149" i="6"/>
  <c r="O153" i="6"/>
  <c r="O154" i="6"/>
  <c r="O155" i="6"/>
  <c r="O156" i="6"/>
  <c r="E378" i="1" s="1"/>
  <c r="O157" i="6"/>
  <c r="O158" i="6"/>
  <c r="E475" i="1" s="1"/>
  <c r="O159" i="6"/>
  <c r="O160" i="6"/>
  <c r="O161" i="6"/>
  <c r="O162" i="6"/>
  <c r="O163" i="6"/>
  <c r="O164" i="6"/>
  <c r="O165" i="6"/>
  <c r="O166" i="6"/>
  <c r="O167" i="6"/>
  <c r="O168" i="6"/>
  <c r="O169" i="6"/>
  <c r="O171" i="6"/>
  <c r="E23" i="1" s="1"/>
  <c r="O172" i="6"/>
  <c r="O173" i="6"/>
  <c r="O174" i="6"/>
  <c r="E400" i="1" s="1"/>
  <c r="O175" i="6"/>
  <c r="O176" i="6"/>
  <c r="O177" i="6"/>
  <c r="O178" i="6"/>
  <c r="O179" i="6"/>
  <c r="O180" i="6"/>
  <c r="O181" i="6"/>
  <c r="O182" i="6"/>
  <c r="O183" i="6"/>
  <c r="O184" i="6"/>
  <c r="O185" i="6"/>
  <c r="O186" i="6"/>
  <c r="O187" i="6"/>
  <c r="O188" i="6"/>
  <c r="O189" i="6"/>
  <c r="O190" i="6"/>
  <c r="O191" i="6"/>
  <c r="O192" i="6"/>
  <c r="O193" i="6"/>
  <c r="O194" i="6"/>
  <c r="O195" i="6"/>
  <c r="O196" i="6"/>
  <c r="O197" i="6"/>
  <c r="O198" i="6"/>
  <c r="O199" i="6"/>
  <c r="O200" i="6"/>
  <c r="O201" i="6"/>
  <c r="O202" i="6"/>
  <c r="O203" i="6"/>
  <c r="O204" i="6"/>
  <c r="O205" i="6"/>
  <c r="O206" i="6"/>
  <c r="O207" i="6"/>
  <c r="O208" i="6"/>
  <c r="O209" i="6"/>
  <c r="O210" i="6"/>
  <c r="O211" i="6"/>
  <c r="O212" i="6"/>
  <c r="O213" i="6"/>
  <c r="O214" i="6"/>
  <c r="O215" i="6"/>
  <c r="E305" i="1" s="1"/>
  <c r="O216" i="6"/>
  <c r="E207" i="1" s="1"/>
  <c r="O217" i="6"/>
  <c r="E398" i="1" s="1"/>
  <c r="O218" i="6"/>
  <c r="E410" i="1" s="1"/>
  <c r="O219" i="6"/>
  <c r="O220" i="6"/>
  <c r="O221" i="6"/>
  <c r="O222" i="6"/>
  <c r="O223" i="6"/>
  <c r="O224" i="6"/>
  <c r="E257" i="1" s="1"/>
  <c r="O225" i="6"/>
  <c r="O226" i="6"/>
  <c r="O227" i="6"/>
  <c r="O228" i="6"/>
  <c r="O229" i="6"/>
  <c r="O230" i="6"/>
  <c r="E374" i="1" s="1"/>
  <c r="O231" i="6"/>
  <c r="O232" i="6"/>
  <c r="E370" i="1" s="1"/>
  <c r="O233" i="6"/>
  <c r="E359" i="1" s="1"/>
  <c r="O234" i="6"/>
  <c r="E451" i="1" s="1"/>
  <c r="O235" i="6"/>
  <c r="O236" i="6"/>
  <c r="O237" i="6"/>
  <c r="O238" i="6"/>
  <c r="O239" i="6"/>
  <c r="O240" i="6"/>
  <c r="O241" i="6"/>
  <c r="E468" i="1" s="1"/>
  <c r="O242" i="6"/>
  <c r="O243" i="6"/>
  <c r="O244" i="6"/>
  <c r="O245" i="6"/>
  <c r="O246" i="6"/>
  <c r="O247" i="6"/>
  <c r="O248" i="6"/>
  <c r="O249" i="6"/>
  <c r="O250" i="6"/>
  <c r="E240" i="1" s="1"/>
  <c r="O251" i="6"/>
  <c r="O252" i="6"/>
  <c r="E200" i="1" s="1"/>
  <c r="O253" i="6"/>
  <c r="E151" i="1" s="1"/>
  <c r="O254" i="6"/>
  <c r="E291" i="1" s="1"/>
  <c r="O255" i="6"/>
  <c r="O256" i="6"/>
  <c r="O257" i="6"/>
  <c r="O258" i="6"/>
  <c r="O259" i="6"/>
  <c r="O260" i="6"/>
  <c r="O261" i="6"/>
  <c r="O262" i="6"/>
  <c r="O263" i="6"/>
  <c r="E196" i="1" s="1"/>
  <c r="O264" i="6"/>
  <c r="O265" i="6"/>
  <c r="E229" i="1" s="1"/>
  <c r="O266" i="6"/>
  <c r="E369" i="1" s="1"/>
  <c r="O267" i="6"/>
  <c r="O268" i="6"/>
  <c r="O269" i="6"/>
  <c r="O270" i="6"/>
  <c r="O271" i="6"/>
  <c r="O272" i="6"/>
  <c r="O273" i="6"/>
  <c r="E299" i="1" s="1"/>
  <c r="O274" i="6"/>
  <c r="O275" i="6"/>
  <c r="O276" i="6"/>
  <c r="O277" i="6"/>
  <c r="O278" i="6"/>
  <c r="O279" i="6"/>
  <c r="O280" i="6"/>
  <c r="E494" i="1" s="1"/>
  <c r="O281" i="6"/>
  <c r="E493" i="1" s="1"/>
  <c r="O282" i="6"/>
  <c r="O283" i="6"/>
  <c r="O284" i="6"/>
  <c r="O285" i="6"/>
  <c r="O286" i="6"/>
  <c r="O287" i="6"/>
  <c r="O288" i="6"/>
  <c r="E572" i="1" s="1"/>
  <c r="O289" i="6"/>
  <c r="E608" i="1" s="1"/>
  <c r="O290" i="6"/>
  <c r="E474" i="1" s="1"/>
  <c r="O291" i="6"/>
  <c r="O292" i="6"/>
  <c r="O293" i="6"/>
  <c r="E625" i="1" s="1"/>
  <c r="O294" i="6"/>
  <c r="O295" i="6"/>
  <c r="O296" i="6"/>
  <c r="O297" i="6"/>
  <c r="O298" i="6"/>
  <c r="O299" i="6"/>
  <c r="O300" i="6"/>
  <c r="E352" i="1" s="1"/>
  <c r="O301" i="6"/>
  <c r="O302" i="6"/>
  <c r="O303" i="6"/>
  <c r="E134" i="1" s="1"/>
  <c r="O304" i="6"/>
  <c r="O305" i="6"/>
  <c r="E492" i="1" s="1"/>
  <c r="O306" i="6"/>
  <c r="O307" i="6"/>
  <c r="E379" i="1" s="1"/>
  <c r="O308" i="6"/>
  <c r="O309" i="6"/>
  <c r="O310" i="6"/>
  <c r="O311" i="6"/>
  <c r="E97" i="1" s="1"/>
  <c r="O312" i="6"/>
  <c r="O313" i="6"/>
  <c r="O314" i="6"/>
  <c r="E165" i="1" s="1"/>
  <c r="O315" i="6"/>
  <c r="O316" i="6"/>
  <c r="O317" i="6"/>
  <c r="O318" i="6"/>
  <c r="O319" i="6"/>
  <c r="O320" i="6"/>
  <c r="O321" i="6"/>
  <c r="O322" i="6"/>
  <c r="O323" i="6"/>
  <c r="O324" i="6"/>
  <c r="E588" i="1" s="1"/>
  <c r="O325" i="6"/>
  <c r="E103" i="1" s="1"/>
  <c r="O326" i="6"/>
  <c r="O327" i="6"/>
  <c r="O328" i="6"/>
  <c r="E524" i="1" s="1"/>
  <c r="O329" i="6"/>
  <c r="O330" i="6"/>
  <c r="O331" i="6"/>
  <c r="O332" i="6"/>
  <c r="O333" i="6"/>
  <c r="O334" i="6"/>
  <c r="O335" i="6"/>
  <c r="O336" i="6"/>
  <c r="O337" i="6"/>
  <c r="E260" i="1" s="1"/>
  <c r="O338" i="6"/>
  <c r="O339" i="6"/>
  <c r="E281" i="1" s="1"/>
  <c r="O340" i="6"/>
  <c r="O341" i="6"/>
  <c r="O342" i="6"/>
  <c r="E515" i="1" s="1"/>
  <c r="O343" i="6"/>
  <c r="O345" i="6"/>
  <c r="E295" i="1" s="1"/>
  <c r="O346" i="6"/>
  <c r="O347" i="6"/>
  <c r="O348" i="6"/>
  <c r="O349" i="6"/>
  <c r="O350" i="6"/>
  <c r="E580" i="1" s="1"/>
  <c r="O351" i="6"/>
  <c r="O352" i="6"/>
  <c r="O353" i="6"/>
  <c r="O354" i="6"/>
  <c r="O355" i="6"/>
  <c r="O356" i="6"/>
  <c r="O357" i="6"/>
  <c r="E557" i="1" s="1"/>
  <c r="O358" i="6"/>
  <c r="O359" i="6"/>
  <c r="O360" i="6"/>
  <c r="E430" i="1" s="1"/>
  <c r="O361" i="6"/>
  <c r="O362" i="6"/>
  <c r="O363" i="6"/>
  <c r="O364" i="6"/>
  <c r="O365" i="6"/>
  <c r="E197" i="1" s="1"/>
  <c r="O366" i="6"/>
  <c r="O367" i="6"/>
  <c r="O368" i="6"/>
  <c r="O369" i="6"/>
  <c r="O370" i="6"/>
  <c r="O371" i="6"/>
  <c r="O372" i="6"/>
  <c r="O373" i="6"/>
  <c r="O374" i="6"/>
  <c r="E92" i="1" s="1"/>
  <c r="O375" i="6"/>
  <c r="E50" i="1" s="1"/>
  <c r="O376" i="6"/>
  <c r="O379" i="6"/>
  <c r="O380" i="6"/>
  <c r="O381" i="6"/>
  <c r="O382" i="6"/>
  <c r="O383" i="6"/>
  <c r="O384" i="6"/>
  <c r="O385" i="6"/>
  <c r="O386" i="6"/>
  <c r="E306" i="1" s="1"/>
  <c r="O387" i="6"/>
  <c r="O388" i="6"/>
  <c r="E45" i="1" s="1"/>
  <c r="O389" i="6"/>
  <c r="E77" i="1" s="1"/>
  <c r="O390" i="6"/>
  <c r="O391" i="6"/>
  <c r="E222" i="1" s="1"/>
  <c r="O392" i="6"/>
  <c r="O393" i="6"/>
  <c r="E406" i="1" s="1"/>
  <c r="O394" i="6"/>
  <c r="O395" i="6"/>
  <c r="O396" i="6"/>
  <c r="O397" i="6"/>
  <c r="E73" i="1" s="1"/>
  <c r="O398" i="6"/>
  <c r="O399" i="6"/>
  <c r="E86" i="1" s="1"/>
  <c r="O400" i="6"/>
  <c r="E110" i="1" s="1"/>
  <c r="O401" i="6"/>
  <c r="E224" i="1" s="1"/>
  <c r="O402" i="6"/>
  <c r="O403" i="6"/>
  <c r="O404" i="6"/>
  <c r="O405" i="6"/>
  <c r="E226" i="1" s="1"/>
  <c r="O406" i="6"/>
  <c r="O407" i="6"/>
  <c r="E461" i="1" s="1"/>
  <c r="O408" i="6"/>
  <c r="O409" i="6"/>
  <c r="O410" i="6"/>
  <c r="O411" i="6"/>
  <c r="O412" i="6"/>
  <c r="O416" i="6"/>
  <c r="E366" i="1" s="1"/>
  <c r="O417" i="6"/>
  <c r="O418" i="6"/>
  <c r="O419" i="6"/>
  <c r="O420" i="6"/>
  <c r="O421" i="6"/>
  <c r="O422" i="6"/>
  <c r="E383" i="1" s="1"/>
  <c r="O423" i="6"/>
  <c r="O424" i="6"/>
  <c r="O425" i="6"/>
  <c r="O426" i="6"/>
  <c r="O427" i="6"/>
  <c r="O428" i="6"/>
  <c r="O429" i="6"/>
  <c r="O430" i="6"/>
  <c r="O431" i="6"/>
  <c r="O432" i="6"/>
  <c r="E275" i="1" s="1"/>
  <c r="O433" i="6"/>
  <c r="O434" i="6"/>
  <c r="O435" i="6"/>
  <c r="O436" i="6"/>
  <c r="O437" i="6"/>
  <c r="O438" i="6"/>
  <c r="O439" i="6"/>
  <c r="E423" i="1" s="1"/>
  <c r="O440" i="6"/>
  <c r="E365" i="1" s="1"/>
  <c r="O441" i="6"/>
  <c r="O442" i="6"/>
  <c r="O443" i="6"/>
  <c r="E498" i="1" s="1"/>
  <c r="O444" i="6"/>
  <c r="E204" i="1" s="1"/>
  <c r="O445" i="6"/>
  <c r="O446" i="6"/>
  <c r="O447" i="6"/>
  <c r="O448" i="6"/>
  <c r="E460" i="1" s="1"/>
  <c r="O449" i="6"/>
  <c r="O450" i="6"/>
  <c r="O451" i="6"/>
  <c r="O452" i="6"/>
  <c r="E101" i="1" s="1"/>
  <c r="O453" i="6"/>
  <c r="O454" i="6"/>
  <c r="O455" i="6"/>
  <c r="O456" i="6"/>
  <c r="O457" i="6"/>
  <c r="O458" i="6"/>
  <c r="O459" i="6"/>
  <c r="O460" i="6"/>
  <c r="O461" i="6"/>
  <c r="O462" i="6"/>
  <c r="O463" i="6"/>
  <c r="E472" i="1" s="1"/>
  <c r="O464" i="6"/>
  <c r="E195" i="1" s="1"/>
  <c r="O465" i="6"/>
  <c r="O466" i="6"/>
  <c r="O467" i="6"/>
  <c r="E238" i="1" s="1"/>
  <c r="O468" i="6"/>
  <c r="O469" i="6"/>
  <c r="O470" i="6"/>
  <c r="E249" i="1" s="1"/>
  <c r="O471" i="6"/>
  <c r="O472" i="6"/>
  <c r="O473" i="6"/>
  <c r="O474" i="6"/>
  <c r="O475" i="6"/>
  <c r="E60" i="1" s="1"/>
  <c r="O476" i="6"/>
  <c r="E656" i="1" s="1"/>
  <c r="O477" i="6"/>
  <c r="O478" i="6"/>
  <c r="O479" i="6"/>
  <c r="O480" i="6"/>
  <c r="O481" i="6"/>
  <c r="O482" i="6"/>
  <c r="O483" i="6"/>
  <c r="O484" i="6"/>
  <c r="O485" i="6"/>
  <c r="O486" i="6"/>
  <c r="O487" i="6"/>
  <c r="E629" i="1" s="1"/>
  <c r="O488" i="6"/>
  <c r="O489" i="6"/>
  <c r="O490" i="6"/>
  <c r="O492" i="6"/>
  <c r="E11" i="1" s="1"/>
  <c r="O493" i="6"/>
  <c r="E645" i="1" s="1"/>
  <c r="O494" i="6"/>
  <c r="O495" i="6"/>
  <c r="E6" i="1" s="1"/>
  <c r="O496" i="6"/>
  <c r="O497" i="6"/>
  <c r="O498" i="6"/>
  <c r="E576" i="1" s="1"/>
  <c r="O499" i="6"/>
  <c r="E586" i="1" s="1"/>
  <c r="O500" i="6"/>
  <c r="O501" i="6"/>
  <c r="E361" i="1" s="1"/>
  <c r="O502" i="6"/>
  <c r="O503" i="6"/>
  <c r="O504" i="6"/>
  <c r="O505" i="6"/>
  <c r="E518" i="1" s="1"/>
  <c r="O506" i="6"/>
  <c r="O507" i="6"/>
  <c r="O508" i="6"/>
  <c r="O509" i="6"/>
  <c r="E237" i="1" s="1"/>
  <c r="O510" i="6"/>
  <c r="O511" i="6"/>
  <c r="O512" i="6"/>
  <c r="O513" i="6"/>
  <c r="O514" i="6"/>
  <c r="O515" i="6"/>
  <c r="E211" i="1" s="1"/>
  <c r="O516" i="6"/>
  <c r="O517" i="6"/>
  <c r="E659" i="1" s="1"/>
  <c r="O518" i="6"/>
  <c r="O519" i="6"/>
  <c r="O520" i="6"/>
  <c r="O521" i="6"/>
  <c r="O522" i="6"/>
  <c r="E87" i="1" s="1"/>
  <c r="O523" i="6"/>
  <c r="E199" i="1" s="1"/>
  <c r="O524" i="6"/>
  <c r="O525" i="6"/>
  <c r="O526" i="6"/>
  <c r="O527" i="6"/>
  <c r="O528" i="6"/>
  <c r="O529" i="6"/>
  <c r="O530" i="6"/>
  <c r="O531" i="6"/>
  <c r="O532" i="6"/>
  <c r="O533" i="6"/>
  <c r="O534" i="6"/>
  <c r="E621" i="1" s="1"/>
  <c r="O535" i="6"/>
  <c r="O536" i="6"/>
  <c r="E424" i="1" s="1"/>
  <c r="O537" i="6"/>
  <c r="O538" i="6"/>
  <c r="O539" i="6"/>
  <c r="O540" i="6"/>
  <c r="E58" i="1" s="1"/>
  <c r="O541" i="6"/>
  <c r="E40" i="1" s="1"/>
  <c r="O542" i="6"/>
  <c r="O543" i="6"/>
  <c r="O544" i="6"/>
  <c r="O545" i="6"/>
  <c r="O546" i="6"/>
  <c r="E25" i="1" s="1"/>
  <c r="O547" i="6"/>
  <c r="E362" i="1" s="1"/>
  <c r="O548" i="6"/>
  <c r="E109" i="1" s="1"/>
  <c r="O549" i="6"/>
  <c r="E21" i="1" s="1"/>
  <c r="O550" i="6"/>
  <c r="O551" i="6"/>
  <c r="O552" i="6"/>
  <c r="O553" i="6"/>
  <c r="O554" i="6"/>
  <c r="O555" i="6"/>
  <c r="O556" i="6"/>
  <c r="O557" i="6"/>
  <c r="O558" i="6"/>
  <c r="O559" i="6"/>
  <c r="E292" i="1" s="1"/>
  <c r="O560" i="6"/>
  <c r="E178" i="1" s="1"/>
  <c r="O561" i="6"/>
  <c r="E31" i="1" s="1"/>
  <c r="O562" i="6"/>
  <c r="O563" i="6"/>
  <c r="O564" i="6"/>
  <c r="O565" i="6"/>
  <c r="O566" i="6"/>
  <c r="O567" i="6"/>
  <c r="O568" i="6"/>
  <c r="O569" i="6"/>
  <c r="O570" i="6"/>
  <c r="E14" i="1" s="1"/>
  <c r="O571" i="6"/>
  <c r="O572" i="6"/>
  <c r="E342" i="1" s="1"/>
  <c r="O573" i="6"/>
  <c r="E264" i="1" s="1"/>
  <c r="O574" i="6"/>
  <c r="O575" i="6"/>
  <c r="O576" i="6"/>
  <c r="O577" i="6"/>
  <c r="E635" i="1" s="1"/>
  <c r="O578" i="6"/>
  <c r="O579" i="6"/>
  <c r="O580" i="6"/>
  <c r="O581" i="6"/>
  <c r="O582" i="6"/>
  <c r="O583" i="6"/>
  <c r="E473" i="1" s="1"/>
  <c r="O584" i="6"/>
  <c r="O585" i="6"/>
  <c r="E61" i="1" s="1"/>
  <c r="O586" i="6"/>
  <c r="O587" i="6"/>
  <c r="O588" i="6"/>
  <c r="O589" i="6"/>
  <c r="O590" i="6"/>
  <c r="E287" i="1" s="1"/>
  <c r="O591" i="6"/>
  <c r="O592" i="6"/>
  <c r="O593" i="6"/>
  <c r="O594" i="6"/>
  <c r="O595" i="6"/>
  <c r="O596" i="6"/>
  <c r="E417" i="1" s="1"/>
  <c r="O597" i="6"/>
  <c r="O598" i="6"/>
  <c r="O599" i="6"/>
  <c r="E282" i="1" s="1"/>
  <c r="O600" i="6"/>
  <c r="O601" i="6"/>
  <c r="O602" i="6"/>
  <c r="O603" i="6"/>
  <c r="O604" i="6"/>
  <c r="O605" i="6"/>
  <c r="E535" i="1" s="1"/>
  <c r="O606" i="6"/>
  <c r="E561" i="1" s="1"/>
  <c r="O607" i="6"/>
  <c r="O608" i="6"/>
  <c r="O609" i="6"/>
  <c r="O610" i="6"/>
  <c r="O611" i="6"/>
  <c r="O612" i="6"/>
  <c r="O613" i="6"/>
  <c r="O614" i="6"/>
  <c r="O615" i="6"/>
  <c r="O616" i="6"/>
  <c r="O617" i="6"/>
  <c r="O618" i="6"/>
  <c r="O619" i="6"/>
  <c r="O621" i="6"/>
  <c r="E349" i="1" s="1"/>
  <c r="O622" i="6"/>
  <c r="E396" i="1" s="1"/>
  <c r="O623" i="6"/>
  <c r="O624" i="6"/>
  <c r="O625" i="6"/>
  <c r="O626" i="6"/>
  <c r="O627" i="6"/>
  <c r="O628" i="6"/>
  <c r="O629" i="6"/>
  <c r="O630" i="6"/>
  <c r="O631" i="6"/>
  <c r="O632" i="6"/>
  <c r="E22" i="1" s="1"/>
  <c r="O633" i="6"/>
  <c r="E381" i="1" s="1"/>
  <c r="O634" i="6"/>
  <c r="O635" i="6"/>
  <c r="O636" i="6"/>
  <c r="O637" i="6"/>
  <c r="O638" i="6"/>
  <c r="O639" i="6"/>
  <c r="O640" i="6"/>
  <c r="E27" i="1" s="1"/>
  <c r="O641" i="6"/>
  <c r="O642" i="6"/>
  <c r="E209" i="1" s="1"/>
  <c r="O643" i="6"/>
  <c r="O644" i="6"/>
  <c r="O645" i="6"/>
  <c r="E501" i="1" s="1"/>
  <c r="O646" i="6"/>
  <c r="O647" i="6"/>
  <c r="O648" i="6"/>
  <c r="O649" i="6"/>
  <c r="E517" i="1" s="1"/>
  <c r="O650" i="6"/>
  <c r="O651" i="6"/>
  <c r="O652" i="6"/>
  <c r="O653" i="6"/>
  <c r="O654" i="6"/>
  <c r="O655" i="6"/>
  <c r="O656" i="6"/>
  <c r="E259" i="1" s="1"/>
  <c r="O657" i="6"/>
  <c r="O658" i="6"/>
  <c r="O659" i="6"/>
  <c r="O660" i="6"/>
  <c r="O661" i="6"/>
  <c r="E189" i="1" s="1"/>
  <c r="O662" i="6"/>
  <c r="E603" i="1" s="1"/>
  <c r="O663" i="6"/>
  <c r="O664" i="6"/>
  <c r="O665" i="6"/>
  <c r="O666" i="6"/>
  <c r="O667" i="6"/>
  <c r="O668" i="6"/>
  <c r="O669" i="6"/>
  <c r="O670" i="6"/>
  <c r="O671" i="6"/>
  <c r="O672" i="6"/>
  <c r="O673" i="6"/>
  <c r="O674" i="6"/>
  <c r="O675" i="6"/>
  <c r="O676" i="6"/>
  <c r="E377" i="1" s="1"/>
  <c r="O677" i="6"/>
  <c r="O678" i="6"/>
  <c r="O679" i="6"/>
  <c r="O680" i="6"/>
  <c r="E48" i="1" s="1"/>
  <c r="O681" i="6"/>
  <c r="E164" i="1" s="1"/>
  <c r="O682" i="6"/>
  <c r="O683" i="6"/>
  <c r="O684" i="6"/>
  <c r="O685" i="6"/>
  <c r="E614" i="1" s="1"/>
  <c r="O686" i="6"/>
  <c r="E427" i="1" s="1"/>
  <c r="O687" i="6"/>
  <c r="O688" i="6"/>
  <c r="O689" i="6"/>
  <c r="O690" i="6"/>
  <c r="O691" i="6"/>
  <c r="O692" i="6"/>
  <c r="O693" i="6"/>
  <c r="E439" i="1" s="1"/>
  <c r="O694" i="6"/>
  <c r="O695" i="6"/>
  <c r="O696" i="6"/>
  <c r="E422" i="1" s="1"/>
  <c r="O697" i="6"/>
  <c r="O698" i="6"/>
  <c r="E133" i="1" s="1"/>
  <c r="O699" i="6"/>
  <c r="O700" i="6"/>
  <c r="O701" i="6"/>
  <c r="O702" i="6"/>
  <c r="O2" i="6"/>
  <c r="V680" i="1" l="1"/>
  <c r="V613" i="1"/>
  <c r="V589" i="1"/>
  <c r="V583" i="1"/>
  <c r="V523" i="1"/>
  <c r="V481" i="1"/>
  <c r="V475" i="1"/>
  <c r="V445" i="1"/>
  <c r="V403" i="1"/>
  <c r="V379" i="1"/>
  <c r="V361" i="1"/>
  <c r="V355" i="1"/>
  <c r="V349" i="1"/>
  <c r="V343" i="1"/>
  <c r="V337" i="1"/>
  <c r="V331" i="1"/>
  <c r="V325" i="1"/>
  <c r="V319" i="1"/>
  <c r="V313" i="1"/>
  <c r="V307" i="1"/>
  <c r="V301" i="1"/>
  <c r="V295" i="1"/>
  <c r="V289" i="1"/>
  <c r="V259" i="1"/>
  <c r="V235" i="1"/>
  <c r="V229" i="1"/>
  <c r="V211" i="1"/>
  <c r="V205" i="1"/>
  <c r="V199" i="1"/>
  <c r="V193" i="1"/>
  <c r="V175" i="1"/>
  <c r="V169" i="1"/>
  <c r="V163" i="1"/>
  <c r="V157" i="1"/>
  <c r="V145" i="1"/>
  <c r="V115" i="1"/>
  <c r="V67" i="1"/>
  <c r="V61" i="1"/>
  <c r="V55" i="1"/>
  <c r="V49" i="1"/>
  <c r="V37" i="1"/>
  <c r="V31" i="1"/>
  <c r="V25" i="1"/>
  <c r="V7" i="1"/>
  <c r="V576" i="1"/>
  <c r="V546" i="1"/>
  <c r="V492" i="1"/>
  <c r="V432" i="1"/>
  <c r="V396" i="1"/>
  <c r="V616" i="1"/>
  <c r="V520" i="1"/>
  <c r="V424" i="1"/>
  <c r="V400" i="1"/>
  <c r="V358" i="1"/>
  <c r="V346" i="1"/>
  <c r="V334" i="1"/>
  <c r="V322" i="1"/>
  <c r="V310" i="1"/>
  <c r="V298" i="1"/>
  <c r="V286" i="1"/>
  <c r="V250" i="1"/>
  <c r="V172" i="1"/>
  <c r="V160" i="1"/>
  <c r="V148" i="1"/>
  <c r="V70" i="1"/>
  <c r="V58" i="1"/>
  <c r="V28" i="1"/>
  <c r="V22" i="1"/>
  <c r="V586" i="1"/>
  <c r="V562" i="1"/>
  <c r="V526" i="1"/>
  <c r="V466" i="1"/>
  <c r="V454" i="1"/>
  <c r="V376" i="1"/>
  <c r="V352" i="1"/>
  <c r="V340" i="1"/>
  <c r="V328" i="1"/>
  <c r="V304" i="1"/>
  <c r="V292" i="1"/>
  <c r="V280" i="1"/>
  <c r="V256" i="1"/>
  <c r="V214" i="1"/>
  <c r="V202" i="1"/>
  <c r="V178" i="1"/>
  <c r="V166" i="1"/>
  <c r="V154" i="1"/>
  <c r="V136" i="1"/>
  <c r="V124" i="1"/>
  <c r="V88" i="1"/>
  <c r="V76" i="1"/>
  <c r="V64" i="1"/>
  <c r="V52" i="1"/>
  <c r="V40" i="1"/>
  <c r="V669" i="1"/>
  <c r="V573" i="1"/>
  <c r="V567" i="1"/>
  <c r="V519" i="1"/>
  <c r="V483" i="1"/>
  <c r="V447" i="1"/>
  <c r="V387" i="1"/>
  <c r="V375" i="1"/>
  <c r="V363" i="1"/>
  <c r="V357" i="1"/>
  <c r="V351" i="1"/>
  <c r="V345" i="1"/>
  <c r="V327" i="1"/>
  <c r="V315" i="1"/>
  <c r="V309" i="1"/>
  <c r="V303" i="1"/>
  <c r="V668" i="1"/>
  <c r="V566" i="1"/>
  <c r="V530" i="1"/>
  <c r="V518" i="1"/>
  <c r="V488" i="1"/>
  <c r="V482" i="1"/>
  <c r="V446" i="1"/>
  <c r="V434" i="1"/>
  <c r="V374" i="1"/>
  <c r="V362" i="1"/>
  <c r="V356" i="1"/>
  <c r="V344" i="1"/>
  <c r="V338" i="1"/>
  <c r="V320" i="1"/>
  <c r="V296" i="1"/>
  <c r="V260" i="1"/>
  <c r="V254" i="1"/>
  <c r="V236" i="1"/>
  <c r="V218" i="1"/>
  <c r="V212" i="1"/>
  <c r="V188" i="1"/>
  <c r="V182" i="1"/>
  <c r="V176" i="1"/>
  <c r="V170" i="1"/>
  <c r="V164" i="1"/>
  <c r="V158" i="1"/>
  <c r="V152" i="1"/>
  <c r="V146" i="1"/>
  <c r="V140" i="1"/>
  <c r="V92" i="1"/>
  <c r="V80" i="1"/>
  <c r="V74" i="1"/>
  <c r="V68" i="1"/>
  <c r="V62" i="1"/>
  <c r="V56" i="1"/>
  <c r="V50" i="1"/>
  <c r="V44" i="1"/>
  <c r="V38" i="1"/>
  <c r="V378" i="1"/>
  <c r="V354" i="1"/>
  <c r="V348" i="1"/>
  <c r="V342" i="1"/>
  <c r="V336" i="1"/>
  <c r="V330" i="1"/>
  <c r="V324" i="1"/>
  <c r="V312" i="1"/>
  <c r="V306" i="1"/>
  <c r="V288" i="1"/>
  <c r="V276" i="1"/>
  <c r="V270" i="1"/>
  <c r="V264" i="1"/>
  <c r="V228" i="1"/>
  <c r="V210" i="1"/>
  <c r="V204" i="1"/>
  <c r="V186" i="1"/>
  <c r="V174" i="1"/>
  <c r="V162" i="1"/>
  <c r="V156" i="1"/>
  <c r="V144" i="1"/>
  <c r="V138" i="1"/>
  <c r="V120" i="1"/>
  <c r="V90" i="1"/>
  <c r="V84" i="1"/>
  <c r="V78" i="1"/>
  <c r="V72" i="1"/>
  <c r="V66" i="1"/>
  <c r="V60" i="1"/>
  <c r="V54" i="1"/>
  <c r="V48" i="1"/>
  <c r="V12" i="1"/>
  <c r="V635" i="1"/>
  <c r="V623" i="1"/>
  <c r="V527" i="1"/>
  <c r="V449" i="1"/>
  <c r="V443" i="1"/>
  <c r="V425" i="1"/>
  <c r="V395" i="1"/>
  <c r="V377" i="1"/>
  <c r="V365" i="1"/>
  <c r="V353" i="1"/>
  <c r="V347" i="1"/>
  <c r="V335" i="1"/>
  <c r="V329" i="1"/>
  <c r="V299" i="1"/>
  <c r="V293" i="1"/>
  <c r="V281" i="1"/>
  <c r="V275" i="1"/>
  <c r="V263" i="1"/>
  <c r="V245" i="1"/>
  <c r="V239" i="1"/>
  <c r="V233" i="1"/>
  <c r="V209" i="1"/>
  <c r="V203" i="1"/>
  <c r="V185" i="1"/>
  <c r="V179" i="1"/>
  <c r="V173" i="1"/>
  <c r="V167" i="1"/>
  <c r="V161" i="1"/>
  <c r="V155" i="1"/>
  <c r="V149" i="1"/>
  <c r="V143" i="1"/>
  <c r="V107" i="1"/>
  <c r="V89" i="1"/>
  <c r="V83" i="1"/>
  <c r="V77" i="1"/>
  <c r="V71" i="1"/>
  <c r="V65" i="1"/>
  <c r="V59" i="1"/>
  <c r="V53" i="1"/>
  <c r="V47" i="1"/>
  <c r="V23" i="1"/>
  <c r="V681" i="1"/>
  <c r="V297" i="1"/>
  <c r="V285" i="1"/>
  <c r="V273" i="1"/>
  <c r="V255" i="1"/>
  <c r="V249" i="1"/>
  <c r="V237" i="1"/>
  <c r="V219" i="1"/>
  <c r="V213" i="1"/>
  <c r="V195" i="1"/>
  <c r="V189" i="1"/>
  <c r="V177" i="1"/>
  <c r="V171" i="1"/>
  <c r="V165" i="1"/>
  <c r="V153" i="1"/>
  <c r="V147" i="1"/>
  <c r="V141" i="1"/>
  <c r="V135" i="1"/>
  <c r="V129" i="1"/>
  <c r="V99" i="1"/>
  <c r="V93" i="1"/>
  <c r="V87" i="1"/>
  <c r="V81" i="1"/>
  <c r="V75" i="1"/>
  <c r="V69" i="1"/>
  <c r="V63" i="1"/>
  <c r="V57" i="1"/>
  <c r="V51" i="1"/>
  <c r="V45" i="1"/>
  <c r="V39" i="1"/>
  <c r="V33" i="1"/>
  <c r="V9" i="1"/>
  <c r="E485" i="1"/>
  <c r="E574" i="1"/>
  <c r="E163" i="1"/>
  <c r="E484" i="1"/>
  <c r="E672" i="1"/>
  <c r="E700" i="1"/>
  <c r="E681" i="1"/>
  <c r="E356" i="1"/>
  <c r="E138" i="1"/>
  <c r="E274" i="1"/>
  <c r="E486" i="1"/>
  <c r="E552" i="1"/>
  <c r="E244" i="1"/>
  <c r="E176" i="1"/>
  <c r="E34" i="1"/>
  <c r="E71" i="1"/>
  <c r="E255" i="1"/>
  <c r="E298" i="1"/>
  <c r="E340" i="1"/>
  <c r="E89" i="1"/>
  <c r="E467" i="1"/>
  <c r="E503" i="1"/>
  <c r="E115" i="1"/>
  <c r="E438" i="1"/>
  <c r="E162" i="1"/>
  <c r="E408" i="1"/>
  <c r="E26" i="1"/>
  <c r="E105" i="1"/>
  <c r="E37" i="1"/>
  <c r="E354" i="1"/>
  <c r="E500" i="1"/>
  <c r="E604" i="1"/>
  <c r="E522" i="1"/>
  <c r="E594" i="1"/>
  <c r="E592" i="1"/>
  <c r="E502" i="1"/>
  <c r="E76" i="1"/>
  <c r="E311" i="1"/>
  <c r="E185" i="1"/>
  <c r="E157" i="1"/>
  <c r="E487" i="1"/>
  <c r="E62" i="1"/>
  <c r="E391" i="1"/>
  <c r="E283" i="1"/>
  <c r="E565" i="1"/>
  <c r="E412" i="1"/>
  <c r="E205" i="1"/>
  <c r="E715" i="1"/>
  <c r="E620" i="1"/>
  <c r="E652" i="1"/>
  <c r="E449" i="1"/>
  <c r="E214" i="1"/>
  <c r="E623" i="1"/>
  <c r="E118" i="1"/>
  <c r="E508" i="1"/>
  <c r="V676" i="1"/>
  <c r="V670" i="1"/>
  <c r="V658" i="1"/>
  <c r="V657" i="1"/>
  <c r="V645" i="1"/>
  <c r="V639" i="1"/>
  <c r="V627" i="1"/>
  <c r="V615" i="1"/>
  <c r="V609" i="1"/>
  <c r="V603" i="1"/>
  <c r="V597" i="1"/>
  <c r="V561" i="1"/>
  <c r="V555" i="1"/>
  <c r="V543" i="1"/>
  <c r="V531" i="1"/>
  <c r="V507" i="1"/>
  <c r="V495" i="1"/>
  <c r="V471" i="1"/>
  <c r="V465" i="1"/>
  <c r="V453" i="1"/>
  <c r="V441" i="1"/>
  <c r="V435" i="1"/>
  <c r="V429" i="1"/>
  <c r="V411" i="1"/>
  <c r="V405" i="1"/>
  <c r="V399" i="1"/>
  <c r="V381" i="1"/>
  <c r="V369" i="1"/>
  <c r="V333" i="1"/>
  <c r="V321" i="1"/>
  <c r="V291" i="1"/>
  <c r="V279" i="1"/>
  <c r="V243" i="1"/>
  <c r="V231" i="1"/>
  <c r="V207" i="1"/>
  <c r="V201" i="1"/>
  <c r="V183" i="1"/>
  <c r="V559" i="1"/>
  <c r="V499" i="1"/>
  <c r="V487" i="1"/>
  <c r="V463" i="1"/>
  <c r="V451" i="1"/>
  <c r="V439" i="1"/>
  <c r="V427" i="1"/>
  <c r="V421" i="1"/>
  <c r="V385" i="1"/>
  <c r="V373" i="1"/>
  <c r="V283" i="1"/>
  <c r="V277" i="1"/>
  <c r="V247" i="1"/>
  <c r="V241" i="1"/>
  <c r="V223" i="1"/>
  <c r="V181" i="1"/>
  <c r="V151" i="1"/>
  <c r="V139" i="1"/>
  <c r="V133" i="1"/>
  <c r="V127" i="1"/>
  <c r="V121" i="1"/>
  <c r="V109" i="1"/>
  <c r="V103" i="1"/>
  <c r="V85" i="1"/>
  <c r="V79" i="1"/>
  <c r="V73" i="1"/>
  <c r="V43" i="1"/>
  <c r="V13" i="1"/>
  <c r="V607" i="1"/>
  <c r="V565" i="1"/>
  <c r="V541" i="1"/>
  <c r="V517" i="1"/>
  <c r="V457" i="1"/>
  <c r="V661" i="1"/>
  <c r="V637" i="1"/>
  <c r="V619" i="1"/>
  <c r="V553" i="1"/>
  <c r="V535" i="1"/>
  <c r="V655" i="1"/>
  <c r="V631" i="1"/>
  <c r="V547" i="1"/>
  <c r="V159" i="1"/>
  <c r="V123" i="1"/>
  <c r="V117" i="1"/>
  <c r="V111" i="1"/>
  <c r="V105" i="1"/>
  <c r="V27" i="1"/>
  <c r="V21" i="1"/>
  <c r="V15" i="1"/>
  <c r="V678" i="1"/>
  <c r="V672" i="1"/>
  <c r="V642" i="1"/>
  <c r="V636" i="1"/>
  <c r="V624" i="1"/>
  <c r="V618" i="1"/>
  <c r="V612" i="1"/>
  <c r="V606" i="1"/>
  <c r="V570" i="1"/>
  <c r="V552" i="1"/>
  <c r="V540" i="1"/>
  <c r="V534" i="1"/>
  <c r="V528" i="1"/>
  <c r="V510" i="1"/>
  <c r="V498" i="1"/>
  <c r="V486" i="1"/>
  <c r="V480" i="1"/>
  <c r="V474" i="1"/>
  <c r="V468" i="1"/>
  <c r="V456" i="1"/>
  <c r="V444" i="1"/>
  <c r="V438" i="1"/>
  <c r="V677" i="1"/>
  <c r="V617" i="1"/>
  <c r="V611" i="1"/>
  <c r="V605" i="1"/>
  <c r="V575" i="1"/>
  <c r="V569" i="1"/>
  <c r="V551" i="1"/>
  <c r="V539" i="1"/>
  <c r="V515" i="1"/>
  <c r="V509" i="1"/>
  <c r="V497" i="1"/>
  <c r="V485" i="1"/>
  <c r="V479" i="1"/>
  <c r="V467" i="1"/>
  <c r="V455" i="1"/>
  <c r="V437" i="1"/>
  <c r="V419" i="1"/>
  <c r="V413" i="1"/>
  <c r="V407" i="1"/>
  <c r="V401" i="1"/>
  <c r="V389" i="1"/>
  <c r="V371" i="1"/>
  <c r="V359" i="1"/>
  <c r="V323" i="1"/>
  <c r="V317" i="1"/>
  <c r="V311" i="1"/>
  <c r="V305" i="1"/>
  <c r="V269" i="1"/>
  <c r="V257" i="1"/>
  <c r="V221" i="1"/>
  <c r="V215" i="1"/>
  <c r="V197" i="1"/>
  <c r="V137" i="1"/>
  <c r="V131" i="1"/>
  <c r="V125" i="1"/>
  <c r="V119" i="1"/>
  <c r="V101" i="1"/>
  <c r="V95" i="1"/>
  <c r="V41" i="1"/>
  <c r="V29" i="1"/>
  <c r="V17" i="1"/>
  <c r="V11" i="1"/>
  <c r="V5" i="1"/>
  <c r="S700" i="1"/>
  <c r="U700" i="1" s="1"/>
  <c r="R700" i="1"/>
  <c r="V674" i="1"/>
  <c r="V656" i="1"/>
  <c r="V644" i="1"/>
  <c r="V626" i="1"/>
  <c r="V614" i="1"/>
  <c r="V608" i="1"/>
  <c r="V590" i="1"/>
  <c r="V554" i="1"/>
  <c r="V542" i="1"/>
  <c r="V524" i="1"/>
  <c r="V506" i="1"/>
  <c r="V494" i="1"/>
  <c r="V470" i="1"/>
  <c r="V464" i="1"/>
  <c r="V452" i="1"/>
  <c r="V440" i="1"/>
  <c r="V428" i="1"/>
  <c r="V422" i="1"/>
  <c r="V416" i="1"/>
  <c r="V410" i="1"/>
  <c r="V404" i="1"/>
  <c r="V392" i="1"/>
  <c r="V368" i="1"/>
  <c r="V350" i="1"/>
  <c r="V332" i="1"/>
  <c r="V326" i="1"/>
  <c r="V308" i="1"/>
  <c r="V302" i="1"/>
  <c r="V290" i="1"/>
  <c r="V278" i="1"/>
  <c r="V242" i="1"/>
  <c r="V224" i="1"/>
  <c r="V200" i="1"/>
  <c r="V128" i="1"/>
  <c r="V122" i="1"/>
  <c r="V116" i="1"/>
  <c r="V110" i="1"/>
  <c r="V104" i="1"/>
  <c r="V98" i="1"/>
  <c r="V86" i="1"/>
  <c r="V32" i="1"/>
  <c r="V26" i="1"/>
  <c r="V14" i="1"/>
  <c r="V8" i="1"/>
  <c r="V493" i="1"/>
  <c r="V698" i="1"/>
  <c r="V694" i="1"/>
  <c r="V692" i="1"/>
  <c r="V690" i="1"/>
  <c r="V688" i="1"/>
  <c r="V686" i="1"/>
  <c r="V684" i="1"/>
  <c r="V420" i="1"/>
  <c r="V414" i="1"/>
  <c r="V408" i="1"/>
  <c r="V402" i="1"/>
  <c r="V390" i="1"/>
  <c r="V372" i="1"/>
  <c r="V360" i="1"/>
  <c r="V318" i="1"/>
  <c r="V300" i="1"/>
  <c r="V282" i="1"/>
  <c r="V258" i="1"/>
  <c r="V252" i="1"/>
  <c r="V246" i="1"/>
  <c r="V240" i="1"/>
  <c r="V234" i="1"/>
  <c r="V222" i="1"/>
  <c r="V198" i="1"/>
  <c r="V192" i="1"/>
  <c r="V180" i="1"/>
  <c r="V168" i="1"/>
  <c r="V150" i="1"/>
  <c r="V132" i="1"/>
  <c r="V126" i="1"/>
  <c r="V108" i="1"/>
  <c r="V102" i="1"/>
  <c r="V96" i="1"/>
  <c r="V42" i="1"/>
  <c r="V36" i="1"/>
  <c r="V30" i="1"/>
  <c r="V18" i="1"/>
  <c r="V610" i="1"/>
  <c r="V598" i="1"/>
  <c r="V568" i="1"/>
  <c r="V544" i="1"/>
  <c r="V532" i="1"/>
  <c r="V508" i="1"/>
  <c r="V484" i="1"/>
  <c r="V472" i="1"/>
  <c r="V448" i="1"/>
  <c r="V442" i="1"/>
  <c r="V436" i="1"/>
  <c r="V430" i="1"/>
  <c r="V412" i="1"/>
  <c r="V406" i="1"/>
  <c r="V394" i="1"/>
  <c r="V370" i="1"/>
  <c r="V364" i="1"/>
  <c r="V316" i="1"/>
  <c r="V274" i="1"/>
  <c r="V262" i="1"/>
  <c r="V238" i="1"/>
  <c r="V226" i="1"/>
  <c r="V220" i="1"/>
  <c r="V208" i="1"/>
  <c r="V196" i="1"/>
  <c r="V184" i="1"/>
  <c r="V142" i="1"/>
  <c r="V130" i="1"/>
  <c r="V118" i="1"/>
  <c r="V112" i="1"/>
  <c r="V106" i="1"/>
  <c r="V94" i="1"/>
  <c r="V82" i="1"/>
  <c r="V34" i="1"/>
  <c r="V16" i="1"/>
  <c r="V10" i="1"/>
  <c r="V699" i="1"/>
  <c r="V695" i="1"/>
  <c r="V693" i="1"/>
  <c r="V691" i="1"/>
  <c r="V685" i="1"/>
  <c r="V683" i="1"/>
  <c r="E85" i="1"/>
  <c r="E339" i="1"/>
  <c r="E612" i="1"/>
  <c r="E538" i="1"/>
  <c r="E168" i="1"/>
  <c r="E440" i="1"/>
  <c r="E83" i="1"/>
  <c r="E324" i="1"/>
  <c r="E431" i="1"/>
  <c r="E188" i="1"/>
  <c r="E640" i="1"/>
  <c r="E192" i="1"/>
  <c r="E220" i="1"/>
  <c r="E351" i="1"/>
  <c r="E388" i="1"/>
  <c r="E516" i="1"/>
  <c r="E459" i="1"/>
  <c r="E607" i="1"/>
  <c r="E216" i="1"/>
  <c r="E560" i="1"/>
  <c r="E36" i="1"/>
  <c r="E397" i="1"/>
  <c r="E236" i="1"/>
  <c r="E647" i="1"/>
  <c r="E74" i="1"/>
  <c r="E265" i="1"/>
  <c r="E130" i="1"/>
  <c r="E582" i="1"/>
  <c r="E148" i="1"/>
  <c r="E56" i="1"/>
  <c r="E38" i="1"/>
  <c r="E293" i="1"/>
  <c r="E575" i="1"/>
  <c r="E389" i="1"/>
  <c r="E595" i="1"/>
  <c r="E545" i="1"/>
  <c r="E568" i="1"/>
  <c r="E633" i="1"/>
  <c r="E326" i="1"/>
  <c r="E479" i="1"/>
  <c r="E219" i="1"/>
  <c r="E463" i="1"/>
  <c r="E228" i="1"/>
  <c r="E288" i="1"/>
  <c r="E394" i="1"/>
  <c r="E360" i="1"/>
  <c r="E597" i="1"/>
  <c r="E445" i="1"/>
  <c r="E171" i="1"/>
  <c r="E613" i="1"/>
  <c r="E150" i="1"/>
  <c r="E147" i="1"/>
  <c r="E587" i="1"/>
  <c r="E684" i="1"/>
  <c r="E558" i="1"/>
  <c r="E686" i="1"/>
  <c r="E333" i="1"/>
  <c r="E111" i="1"/>
  <c r="E270" i="1"/>
  <c r="E642" i="1"/>
  <c r="E41" i="1"/>
  <c r="E235" i="1"/>
  <c r="E20" i="1"/>
  <c r="E98" i="1"/>
  <c r="E609" i="1"/>
  <c r="E223" i="1"/>
  <c r="E102" i="1"/>
  <c r="E319" i="1"/>
  <c r="E320" i="1"/>
  <c r="E618" i="1"/>
  <c r="E419" i="1"/>
  <c r="E469" i="1"/>
  <c r="E126" i="1"/>
  <c r="E691" i="1"/>
  <c r="E673" i="1"/>
  <c r="E357" i="1"/>
  <c r="E70" i="1"/>
  <c r="E385" i="1"/>
  <c r="E585" i="1"/>
  <c r="E256" i="1"/>
  <c r="E337" i="1"/>
  <c r="E626" i="1"/>
  <c r="E392" i="1"/>
  <c r="E590" i="1"/>
  <c r="E186" i="1"/>
  <c r="E425" i="1"/>
  <c r="E227" i="1"/>
  <c r="E245" i="1"/>
  <c r="E661" i="1"/>
  <c r="E665" i="1"/>
  <c r="E677" i="1"/>
  <c r="E569" i="1"/>
  <c r="E666" i="1"/>
  <c r="E9" i="1"/>
  <c r="E127" i="1"/>
  <c r="E583" i="1"/>
  <c r="E363" i="1"/>
  <c r="E543" i="1"/>
  <c r="E107" i="1"/>
  <c r="E706" i="1"/>
  <c r="E280" i="1"/>
  <c r="E318" i="1"/>
  <c r="E143" i="1"/>
  <c r="E559" i="1"/>
  <c r="E144" i="1"/>
  <c r="E616" i="1"/>
  <c r="E289" i="1"/>
  <c r="E534" i="1"/>
  <c r="E330" i="1"/>
  <c r="E600" i="1"/>
  <c r="E5" i="1"/>
  <c r="E112" i="1"/>
  <c r="E489" i="1"/>
  <c r="E654" i="1"/>
  <c r="E113" i="1"/>
  <c r="E203" i="1"/>
  <c r="E579" i="1"/>
  <c r="E628" i="1"/>
  <c r="E698" i="1"/>
  <c r="E3" i="1"/>
  <c r="E213" i="1"/>
  <c r="E699" i="1"/>
  <c r="E690" i="1"/>
  <c r="E368" i="1"/>
  <c r="E372" i="1"/>
  <c r="E96" i="1"/>
  <c r="E59" i="1"/>
  <c r="E136" i="1"/>
  <c r="E399" i="1"/>
  <c r="E555" i="1"/>
  <c r="E697" i="1"/>
  <c r="E689" i="1"/>
  <c r="E510" i="1"/>
  <c r="E634" i="1"/>
  <c r="E313" i="1"/>
  <c r="E456" i="1"/>
  <c r="E539" i="1"/>
  <c r="E42" i="1"/>
  <c r="E452" i="1"/>
  <c r="E79" i="1"/>
  <c r="E347" i="1"/>
  <c r="E173" i="1"/>
  <c r="E218" i="1"/>
  <c r="E441" i="1"/>
  <c r="E120" i="1"/>
  <c r="E696" i="1"/>
  <c r="E145" i="1"/>
  <c r="E688" i="1"/>
  <c r="E332" i="1"/>
  <c r="E420" i="1"/>
  <c r="E695" i="1"/>
  <c r="E529" i="1"/>
  <c r="E490" i="1"/>
  <c r="E687" i="1"/>
  <c r="E685" i="1"/>
  <c r="E141" i="1"/>
  <c r="E106" i="1"/>
  <c r="E124" i="1"/>
  <c r="E46" i="1"/>
  <c r="E669" i="1"/>
  <c r="E683" i="1"/>
  <c r="E615" i="1"/>
  <c r="E414" i="1"/>
  <c r="E90" i="1"/>
  <c r="E676" i="1"/>
  <c r="E680" i="1"/>
  <c r="E627" i="1"/>
  <c r="E667" i="1"/>
  <c r="V513" i="1"/>
  <c r="V460" i="1"/>
  <c r="K687" i="1"/>
  <c r="L685" i="1"/>
  <c r="M685" i="1" s="1"/>
  <c r="L683" i="1"/>
  <c r="M683" i="1" s="1"/>
  <c r="K689" i="1"/>
  <c r="L684" i="1"/>
  <c r="K696" i="1"/>
  <c r="K697" i="1"/>
  <c r="U714" i="1"/>
  <c r="U702" i="1"/>
  <c r="U713" i="1"/>
  <c r="U708" i="1"/>
  <c r="E108" i="1"/>
  <c r="E309" i="1"/>
  <c r="E375" i="1"/>
  <c r="E300" i="1"/>
  <c r="E442" i="1"/>
  <c r="E183" i="1"/>
  <c r="E155" i="1"/>
  <c r="E457" i="1"/>
  <c r="E125" i="1"/>
  <c r="E325" i="1"/>
  <c r="E554" i="1"/>
  <c r="E386" i="1"/>
  <c r="E536" i="1"/>
  <c r="E643" i="1"/>
  <c r="E540" i="1"/>
  <c r="E312" i="1"/>
  <c r="E650" i="1"/>
  <c r="E75" i="1"/>
  <c r="E68" i="1"/>
  <c r="E202" i="1"/>
  <c r="E93" i="1"/>
  <c r="E328" i="1"/>
  <c r="E577" i="1"/>
  <c r="E651" i="1"/>
  <c r="E471" i="1"/>
  <c r="E403" i="1"/>
  <c r="E619" i="1"/>
  <c r="E465" i="1"/>
  <c r="E331" i="1"/>
  <c r="E432" i="1"/>
  <c r="E78" i="1"/>
  <c r="E193" i="1"/>
  <c r="E421" i="1"/>
  <c r="E17" i="1"/>
  <c r="E335" i="1"/>
  <c r="E571" i="1"/>
  <c r="E507" i="1"/>
  <c r="E210" i="1"/>
  <c r="E444" i="1"/>
  <c r="E252" i="1"/>
  <c r="E81" i="1"/>
  <c r="E519" i="1"/>
  <c r="E33" i="1"/>
  <c r="E353" i="1"/>
  <c r="E123" i="1"/>
  <c r="E177" i="1"/>
  <c r="E404" i="1"/>
  <c r="E263" i="1"/>
  <c r="E371" i="1"/>
  <c r="E63" i="1"/>
  <c r="E232" i="1"/>
  <c r="E639" i="1"/>
  <c r="E649" i="1"/>
  <c r="E409" i="1"/>
  <c r="E355" i="1"/>
  <c r="E596" i="1"/>
  <c r="E358" i="1"/>
  <c r="E117" i="1"/>
  <c r="E104" i="1"/>
  <c r="E191" i="1"/>
  <c r="E301" i="1"/>
  <c r="E64" i="1"/>
  <c r="E481" i="1"/>
  <c r="E638" i="1"/>
  <c r="E658" i="1"/>
  <c r="E415" i="1"/>
  <c r="E323" i="1"/>
  <c r="E242" i="1"/>
  <c r="E310" i="1"/>
  <c r="E532" i="1"/>
  <c r="E285" i="1"/>
  <c r="E246" i="1"/>
  <c r="E208" i="1"/>
  <c r="E644" i="1"/>
  <c r="E273" i="1"/>
  <c r="E225" i="1"/>
  <c r="E367" i="1"/>
  <c r="E598" i="1"/>
  <c r="E537" i="1"/>
  <c r="E30" i="1"/>
  <c r="E520" i="1"/>
  <c r="E478" i="1"/>
  <c r="E480" i="1"/>
  <c r="E116" i="1"/>
  <c r="E380" i="1"/>
  <c r="E266" i="1"/>
  <c r="E514" i="1"/>
  <c r="E15" i="1"/>
  <c r="E254" i="1"/>
  <c r="E297" i="1"/>
  <c r="E637" i="1"/>
  <c r="E241" i="1"/>
  <c r="E443" i="1"/>
  <c r="E321" i="1"/>
  <c r="E174" i="1"/>
  <c r="E482" i="1"/>
  <c r="E231" i="1"/>
  <c r="E261" i="1"/>
  <c r="E72" i="1"/>
  <c r="E32" i="1"/>
  <c r="E631" i="1"/>
  <c r="E657" i="1"/>
  <c r="E67" i="1"/>
  <c r="E336" i="1"/>
  <c r="E551" i="1"/>
  <c r="E610" i="1"/>
  <c r="E294" i="1"/>
  <c r="E247" i="1"/>
  <c r="E128" i="1"/>
  <c r="E308" i="1"/>
  <c r="E277" i="1"/>
  <c r="E322" i="1"/>
  <c r="E248" i="1"/>
  <c r="E531" i="1"/>
  <c r="Q693" i="1"/>
  <c r="L695" i="1"/>
  <c r="L686" i="1"/>
  <c r="L699" i="1"/>
  <c r="M699" i="1" s="1"/>
  <c r="Q691" i="1"/>
  <c r="L691" i="1"/>
  <c r="Q681" i="1"/>
  <c r="L681" i="1"/>
  <c r="L698" i="1"/>
  <c r="L682" i="1"/>
  <c r="Q682" i="1"/>
  <c r="L694" i="1"/>
  <c r="Q694" i="1"/>
  <c r="Q688" i="1"/>
  <c r="Q683" i="1"/>
  <c r="Q684" i="1"/>
  <c r="Q690" i="1"/>
  <c r="Q685" i="1"/>
  <c r="Q698" i="1"/>
  <c r="L693" i="1"/>
  <c r="M693" i="1" s="1"/>
  <c r="Q692" i="1"/>
  <c r="E167" i="1"/>
  <c r="E253" i="1"/>
  <c r="E346" i="1"/>
  <c r="E327" i="1"/>
  <c r="E528" i="1"/>
  <c r="E234" i="1"/>
  <c r="E646" i="1"/>
  <c r="E581" i="1"/>
  <c r="E458" i="1"/>
  <c r="E317" i="1"/>
  <c r="E140" i="1"/>
  <c r="E35" i="1"/>
  <c r="E142" i="1"/>
  <c r="E267" i="1"/>
  <c r="E334" i="1"/>
  <c r="E7" i="1"/>
  <c r="E563" i="1"/>
  <c r="E526" i="1"/>
  <c r="E462" i="1"/>
  <c r="E54" i="1"/>
  <c r="E179" i="1"/>
  <c r="E617" i="1"/>
  <c r="E556" i="1"/>
  <c r="E290" i="1"/>
  <c r="E601" i="1"/>
  <c r="E329" i="1"/>
  <c r="E187" i="1"/>
  <c r="E495" i="1"/>
  <c r="E122" i="1"/>
  <c r="E278" i="1"/>
  <c r="E268" i="1"/>
  <c r="E584" i="1"/>
  <c r="E180" i="1"/>
  <c r="E553" i="1"/>
  <c r="E533" i="1"/>
  <c r="E201" i="1"/>
  <c r="E544" i="1"/>
  <c r="E315" i="1"/>
  <c r="E166" i="1"/>
  <c r="E509" i="1"/>
  <c r="E55" i="1"/>
  <c r="E146" i="1"/>
  <c r="E153" i="1"/>
  <c r="E341" i="1"/>
  <c r="E47" i="1"/>
  <c r="E28" i="1"/>
  <c r="E641" i="1"/>
  <c r="E296" i="1"/>
  <c r="E19" i="1"/>
  <c r="E8" i="1"/>
  <c r="E541" i="1"/>
  <c r="E376" i="1"/>
  <c r="E466" i="1"/>
  <c r="E221" i="1"/>
  <c r="E470" i="1"/>
  <c r="E269" i="1"/>
  <c r="E132" i="1"/>
  <c r="E198" i="1"/>
  <c r="E271" i="1"/>
  <c r="E44" i="1"/>
  <c r="E523" i="1"/>
  <c r="E172" i="1"/>
  <c r="E84" i="1"/>
  <c r="E95" i="1"/>
  <c r="E405" i="1"/>
  <c r="E393" i="1"/>
  <c r="E161" i="1"/>
  <c r="E4" i="1"/>
  <c r="E303" i="1"/>
  <c r="E546" i="1"/>
  <c r="E542" i="1"/>
  <c r="E564" i="1"/>
  <c r="E512" i="1"/>
  <c r="E314" i="1"/>
  <c r="E464" i="1"/>
  <c r="E184" i="1"/>
  <c r="E506" i="1"/>
  <c r="E16" i="1"/>
  <c r="E212" i="1"/>
  <c r="E137" i="1"/>
  <c r="E573" i="1"/>
  <c r="E390" i="1"/>
  <c r="E448" i="1"/>
  <c r="E160" i="1"/>
  <c r="E29" i="1"/>
  <c r="E169" i="1"/>
  <c r="E154" i="1"/>
  <c r="E437" i="1"/>
  <c r="E550" i="1"/>
  <c r="E307" i="1"/>
  <c r="E69" i="1"/>
  <c r="E387" i="1"/>
  <c r="E88" i="1"/>
  <c r="E632" i="1"/>
  <c r="E611" i="1"/>
  <c r="E505" i="1"/>
  <c r="E91" i="1"/>
  <c r="E233" i="1"/>
  <c r="E51" i="1"/>
  <c r="E272" i="1"/>
  <c r="E129" i="1"/>
  <c r="E121" i="1"/>
  <c r="E513" i="1"/>
  <c r="E436" i="1"/>
  <c r="E215" i="1"/>
  <c r="E82" i="1"/>
  <c r="E411" i="1"/>
  <c r="E53" i="1"/>
  <c r="E547" i="1"/>
  <c r="E350" i="1"/>
  <c r="E521" i="1"/>
  <c r="E114" i="1"/>
  <c r="E491" i="1"/>
  <c r="E426" i="1"/>
  <c r="E159" i="1"/>
  <c r="E402" i="1"/>
  <c r="E131" i="1"/>
  <c r="E52" i="1"/>
  <c r="E190" i="1"/>
  <c r="E477" i="1"/>
  <c r="E43" i="1"/>
  <c r="E149" i="1"/>
  <c r="E170" i="1"/>
  <c r="E276" i="1"/>
  <c r="E80" i="1"/>
  <c r="E39" i="1"/>
  <c r="E562" i="1"/>
  <c r="E57" i="1"/>
  <c r="E65" i="1"/>
  <c r="E10" i="1"/>
  <c r="E622" i="1"/>
  <c r="E250" i="1"/>
  <c r="E497" i="1"/>
  <c r="E578" i="1"/>
  <c r="E384" i="1"/>
  <c r="E450" i="1"/>
  <c r="E589" i="1"/>
  <c r="E119" i="1"/>
  <c r="E530" i="1"/>
  <c r="E217" i="1"/>
  <c r="E239" i="1"/>
  <c r="E428" i="1"/>
  <c r="E94" i="1"/>
  <c r="E338" i="1"/>
  <c r="E435" i="1"/>
  <c r="E401" i="1"/>
  <c r="E258" i="1"/>
  <c r="E13" i="1"/>
  <c r="E602" i="1"/>
  <c r="E100" i="1"/>
  <c r="E99" i="1"/>
  <c r="E653" i="1"/>
  <c r="F669" i="1"/>
  <c r="C624" i="1"/>
  <c r="F516" i="1"/>
  <c r="F489" i="1"/>
  <c r="F384" i="1"/>
  <c r="C156" i="1"/>
  <c r="D132" i="1"/>
  <c r="D120" i="1"/>
  <c r="D108" i="1"/>
  <c r="F96" i="1"/>
  <c r="F84" i="1"/>
  <c r="D669" i="1"/>
  <c r="F597" i="1"/>
  <c r="F537" i="1"/>
  <c r="D516" i="1"/>
  <c r="F477" i="1"/>
  <c r="D456" i="1"/>
  <c r="D336" i="1"/>
  <c r="C108" i="1"/>
  <c r="D96" i="1"/>
  <c r="F672" i="1"/>
  <c r="F588" i="1"/>
  <c r="C456" i="1"/>
  <c r="C336" i="1"/>
  <c r="F264" i="1"/>
  <c r="D240" i="1"/>
  <c r="D672" i="1"/>
  <c r="D588" i="1"/>
  <c r="E549" i="1"/>
  <c r="E453" i="1"/>
  <c r="F441" i="1"/>
  <c r="D429" i="1"/>
  <c r="C264" i="1"/>
  <c r="F252" i="1"/>
  <c r="D701" i="1"/>
  <c r="F671" i="1"/>
  <c r="C663" i="1"/>
  <c r="F651" i="1"/>
  <c r="C646" i="1"/>
  <c r="F627" i="1"/>
  <c r="F622" i="1"/>
  <c r="F614" i="1"/>
  <c r="C602" i="1"/>
  <c r="F587" i="1"/>
  <c r="F578" i="1"/>
  <c r="D549" i="1"/>
  <c r="F543" i="1"/>
  <c r="C536" i="1"/>
  <c r="D528" i="1"/>
  <c r="D515" i="1"/>
  <c r="C507" i="1"/>
  <c r="D488" i="1"/>
  <c r="E483" i="1"/>
  <c r="F468" i="1"/>
  <c r="D453" i="1"/>
  <c r="D441" i="1"/>
  <c r="C434" i="1"/>
  <c r="F412" i="1"/>
  <c r="C375" i="1"/>
  <c r="F368" i="1"/>
  <c r="F327" i="1"/>
  <c r="C309" i="1"/>
  <c r="C276" i="1"/>
  <c r="F263" i="1"/>
  <c r="F258" i="1"/>
  <c r="D252" i="1"/>
  <c r="F238" i="1"/>
  <c r="F232" i="1"/>
  <c r="D226" i="1"/>
  <c r="F218" i="1"/>
  <c r="D191" i="1"/>
  <c r="F184" i="1"/>
  <c r="D168" i="1"/>
  <c r="C701" i="1"/>
  <c r="D657" i="1"/>
  <c r="C645" i="1"/>
  <c r="F633" i="1"/>
  <c r="F609" i="1"/>
  <c r="C528" i="1"/>
  <c r="C468" i="1"/>
  <c r="C453" i="1"/>
  <c r="F420" i="1"/>
  <c r="F396" i="1"/>
  <c r="F348" i="1"/>
  <c r="F288" i="1"/>
  <c r="D204" i="1"/>
  <c r="C168" i="1"/>
  <c r="E24" i="1"/>
  <c r="F12" i="1"/>
  <c r="D656" i="1"/>
  <c r="C633" i="1"/>
  <c r="F626" i="1"/>
  <c r="D621" i="1"/>
  <c r="C609" i="1"/>
  <c r="F594" i="1"/>
  <c r="F570" i="1"/>
  <c r="D522" i="1"/>
  <c r="C514" i="1"/>
  <c r="F492" i="1"/>
  <c r="D482" i="1"/>
  <c r="C447" i="1"/>
  <c r="C420" i="1"/>
  <c r="C396" i="1"/>
  <c r="C381" i="1"/>
  <c r="F360" i="1"/>
  <c r="C348" i="1"/>
  <c r="D288" i="1"/>
  <c r="D36" i="1"/>
  <c r="D24" i="1"/>
  <c r="D12" i="1"/>
  <c r="C621" i="1"/>
  <c r="D600" i="1"/>
  <c r="C564" i="1"/>
  <c r="C492" i="1"/>
  <c r="F480" i="1"/>
  <c r="F432" i="1"/>
  <c r="C360" i="1"/>
  <c r="D300" i="1"/>
  <c r="C48" i="1"/>
  <c r="C36" i="1"/>
  <c r="C24" i="1"/>
  <c r="C600" i="1"/>
  <c r="F576" i="1"/>
  <c r="F504" i="1"/>
  <c r="C480" i="1"/>
  <c r="D432" i="1"/>
  <c r="D372" i="1"/>
  <c r="F216" i="1"/>
  <c r="F60" i="1"/>
  <c r="E660" i="1"/>
  <c r="F648" i="1"/>
  <c r="D636" i="1"/>
  <c r="D612" i="1"/>
  <c r="C585" i="1"/>
  <c r="D576" i="1"/>
  <c r="D504" i="1"/>
  <c r="C372" i="1"/>
  <c r="F324" i="1"/>
  <c r="C312" i="1"/>
  <c r="C216" i="1"/>
  <c r="F144" i="1"/>
  <c r="F666" i="1"/>
  <c r="D660" i="1"/>
  <c r="C636" i="1"/>
  <c r="C612" i="1"/>
  <c r="C591" i="1"/>
  <c r="F584" i="1"/>
  <c r="D575" i="1"/>
  <c r="D568" i="1"/>
  <c r="D561" i="1"/>
  <c r="C555" i="1"/>
  <c r="F546" i="1"/>
  <c r="F525" i="1"/>
  <c r="C497" i="1"/>
  <c r="F485" i="1"/>
  <c r="D479" i="1"/>
  <c r="D472" i="1"/>
  <c r="F465" i="1"/>
  <c r="F459" i="1"/>
  <c r="D443" i="1"/>
  <c r="C424" i="1"/>
  <c r="C417" i="1"/>
  <c r="F400" i="1"/>
  <c r="D392" i="1"/>
  <c r="F386" i="1"/>
  <c r="D366" i="1"/>
  <c r="C338" i="1"/>
  <c r="D330" i="1"/>
  <c r="D324" i="1"/>
  <c r="C318" i="1"/>
  <c r="F306" i="1"/>
  <c r="F298" i="1"/>
  <c r="F280" i="1"/>
  <c r="C266" i="1"/>
  <c r="F254" i="1"/>
  <c r="C249" i="1"/>
  <c r="C208" i="1"/>
  <c r="E194" i="1"/>
  <c r="F156" i="1"/>
  <c r="F72" i="1"/>
  <c r="D676" i="1"/>
  <c r="C672" i="1"/>
  <c r="C669" i="1"/>
  <c r="C666" i="1"/>
  <c r="F660" i="1"/>
  <c r="C657" i="1"/>
  <c r="C652" i="1"/>
  <c r="C627" i="1"/>
  <c r="D617" i="1"/>
  <c r="C598" i="1"/>
  <c r="F569" i="1"/>
  <c r="C526" i="1"/>
  <c r="F507" i="1"/>
  <c r="F501" i="1"/>
  <c r="D496" i="1"/>
  <c r="C484" i="1"/>
  <c r="C474" i="1"/>
  <c r="C441" i="1"/>
  <c r="C430" i="1"/>
  <c r="C413" i="1"/>
  <c r="C408" i="1"/>
  <c r="C370" i="1"/>
  <c r="C345" i="1"/>
  <c r="C334" i="1"/>
  <c r="C328" i="1"/>
  <c r="C294" i="1"/>
  <c r="C273" i="1"/>
  <c r="C269" i="1"/>
  <c r="C240" i="1"/>
  <c r="C225" i="1"/>
  <c r="C219" i="1"/>
  <c r="F208" i="1"/>
  <c r="C204" i="1"/>
  <c r="F198" i="1"/>
  <c r="D194" i="1"/>
  <c r="C120" i="1"/>
  <c r="E678" i="1"/>
  <c r="E674" i="1"/>
  <c r="D665" i="1"/>
  <c r="F645" i="1"/>
  <c r="D641" i="1"/>
  <c r="D626" i="1"/>
  <c r="F615" i="1"/>
  <c r="C606" i="1"/>
  <c r="D590" i="1"/>
  <c r="F585" i="1"/>
  <c r="D578" i="1"/>
  <c r="F573" i="1"/>
  <c r="F564" i="1"/>
  <c r="F557" i="1"/>
  <c r="F552" i="1"/>
  <c r="D546" i="1"/>
  <c r="D530" i="1"/>
  <c r="D519" i="1"/>
  <c r="D506" i="1"/>
  <c r="D495" i="1"/>
  <c r="F490" i="1"/>
  <c r="F486" i="1"/>
  <c r="D483" i="1"/>
  <c r="D477" i="1"/>
  <c r="D461" i="1"/>
  <c r="C450" i="1"/>
  <c r="D444" i="1"/>
  <c r="F422" i="1"/>
  <c r="F417" i="1"/>
  <c r="C405" i="1"/>
  <c r="D400" i="1"/>
  <c r="D394" i="1"/>
  <c r="D389" i="1"/>
  <c r="D384" i="1"/>
  <c r="F372" i="1"/>
  <c r="F362" i="1"/>
  <c r="F358" i="1"/>
  <c r="C353" i="1"/>
  <c r="E348" i="1"/>
  <c r="F321" i="1"/>
  <c r="D317" i="1"/>
  <c r="F312" i="1"/>
  <c r="F297" i="1"/>
  <c r="D293" i="1"/>
  <c r="D282" i="1"/>
  <c r="F276" i="1"/>
  <c r="F266" i="1"/>
  <c r="D262" i="1"/>
  <c r="D258" i="1"/>
  <c r="E243" i="1"/>
  <c r="D238" i="1"/>
  <c r="D228" i="1"/>
  <c r="C218" i="1"/>
  <c r="D213" i="1"/>
  <c r="C207" i="1"/>
  <c r="D202" i="1"/>
  <c r="D197" i="1"/>
  <c r="E182" i="1"/>
  <c r="D84" i="1"/>
  <c r="D72" i="1"/>
  <c r="D60" i="1"/>
  <c r="F48" i="1"/>
  <c r="D674" i="1"/>
  <c r="F605" i="1"/>
  <c r="F568" i="1"/>
  <c r="F550" i="1"/>
  <c r="F399" i="1"/>
  <c r="C358" i="1"/>
  <c r="D352" i="1"/>
  <c r="D342" i="1"/>
  <c r="C321" i="1"/>
  <c r="F302" i="1"/>
  <c r="C282" i="1"/>
  <c r="C262" i="1"/>
  <c r="F233" i="1"/>
  <c r="C202" i="1"/>
  <c r="D186" i="1"/>
  <c r="D618" i="1"/>
  <c r="E570" i="1"/>
  <c r="D447" i="1"/>
  <c r="F424" i="1"/>
  <c r="C402" i="1"/>
  <c r="F375" i="1"/>
  <c r="F365" i="1"/>
  <c r="F339" i="1"/>
  <c r="F314" i="1"/>
  <c r="C300" i="1"/>
  <c r="C502" i="1"/>
  <c r="F502" i="1"/>
  <c r="C446" i="1"/>
  <c r="F446" i="1"/>
  <c r="C436" i="1"/>
  <c r="F436" i="1"/>
  <c r="C395" i="1"/>
  <c r="D395" i="1"/>
  <c r="F395" i="1"/>
  <c r="F385" i="1"/>
  <c r="C385" i="1"/>
  <c r="F376" i="1"/>
  <c r="C376" i="1"/>
  <c r="D344" i="1"/>
  <c r="F344" i="1"/>
  <c r="C333" i="1"/>
  <c r="F333" i="1"/>
  <c r="F628" i="1"/>
  <c r="F617" i="1"/>
  <c r="D605" i="1"/>
  <c r="D583" i="1"/>
  <c r="F561" i="1"/>
  <c r="F542" i="1"/>
  <c r="F444" i="1"/>
  <c r="C383" i="1"/>
  <c r="F352" i="1"/>
  <c r="C342" i="1"/>
  <c r="D333" i="1"/>
  <c r="F268" i="1"/>
  <c r="D256" i="1"/>
  <c r="D211" i="1"/>
  <c r="C191" i="1"/>
  <c r="C304" i="1"/>
  <c r="E304" i="1"/>
  <c r="C222" i="1"/>
  <c r="F222" i="1"/>
  <c r="D212" i="1"/>
  <c r="F212" i="1"/>
  <c r="F192" i="1"/>
  <c r="D192" i="1"/>
  <c r="D542" i="1"/>
  <c r="F457" i="1"/>
  <c r="D426" i="1"/>
  <c r="C291" i="1"/>
  <c r="F291" i="1"/>
  <c r="F662" i="1"/>
  <c r="D638" i="1"/>
  <c r="F582" i="1"/>
  <c r="F529" i="1"/>
  <c r="F509" i="1"/>
  <c r="C457" i="1"/>
  <c r="C426" i="1"/>
  <c r="F416" i="1"/>
  <c r="F393" i="1"/>
  <c r="D376" i="1"/>
  <c r="F364" i="1"/>
  <c r="D232" i="1"/>
  <c r="D169" i="1"/>
  <c r="C580" i="1"/>
  <c r="D580" i="1"/>
  <c r="C560" i="1"/>
  <c r="F560" i="1"/>
  <c r="D454" i="1"/>
  <c r="C454" i="1"/>
  <c r="C415" i="1"/>
  <c r="F415" i="1"/>
  <c r="F278" i="1"/>
  <c r="C278" i="1"/>
  <c r="C255" i="1"/>
  <c r="F255" i="1"/>
  <c r="D243" i="1"/>
  <c r="F243" i="1"/>
  <c r="C190" i="1"/>
  <c r="F190" i="1"/>
  <c r="E662" i="1"/>
  <c r="F650" i="1"/>
  <c r="F595" i="1"/>
  <c r="F553" i="1"/>
  <c r="C529" i="1"/>
  <c r="D509" i="1"/>
  <c r="D502" i="1"/>
  <c r="F470" i="1"/>
  <c r="E416" i="1"/>
  <c r="D393" i="1"/>
  <c r="E364" i="1"/>
  <c r="F267" i="1"/>
  <c r="D662" i="1"/>
  <c r="D650" i="1"/>
  <c r="D595" i="1"/>
  <c r="D553" i="1"/>
  <c r="F520" i="1"/>
  <c r="D470" i="1"/>
  <c r="D436" i="1"/>
  <c r="D416" i="1"/>
  <c r="E407" i="1"/>
  <c r="D364" i="1"/>
  <c r="F331" i="1"/>
  <c r="F303" i="1"/>
  <c r="F279" i="1"/>
  <c r="F180" i="1"/>
  <c r="O152" i="6"/>
  <c r="E158" i="1" s="1"/>
  <c r="F607" i="1"/>
  <c r="F581" i="1"/>
  <c r="D520" i="1"/>
  <c r="D407" i="1"/>
  <c r="F374" i="1"/>
  <c r="E344" i="1"/>
  <c r="D331" i="1"/>
  <c r="D303" i="1"/>
  <c r="D279" i="1"/>
  <c r="D180" i="1"/>
  <c r="C466" i="1"/>
  <c r="F466" i="1"/>
  <c r="E630" i="1"/>
  <c r="F619" i="1"/>
  <c r="D607" i="1"/>
  <c r="D581" i="1"/>
  <c r="F563" i="1"/>
  <c r="F540" i="1"/>
  <c r="F500" i="1"/>
  <c r="F455" i="1"/>
  <c r="F425" i="1"/>
  <c r="C407" i="1"/>
  <c r="D385" i="1"/>
  <c r="D374" i="1"/>
  <c r="C344" i="1"/>
  <c r="F221" i="1"/>
  <c r="D558" i="1"/>
  <c r="F558" i="1"/>
  <c r="C513" i="1"/>
  <c r="F513" i="1"/>
  <c r="C458" i="1"/>
  <c r="F458" i="1"/>
  <c r="C411" i="1"/>
  <c r="F411" i="1"/>
  <c r="F286" i="1"/>
  <c r="C286" i="1"/>
  <c r="F274" i="1"/>
  <c r="C274" i="1"/>
  <c r="C251" i="1"/>
  <c r="F251" i="1"/>
  <c r="C239" i="1"/>
  <c r="F239" i="1"/>
  <c r="C175" i="1"/>
  <c r="E175" i="1"/>
  <c r="F675" i="1"/>
  <c r="F664" i="1"/>
  <c r="D630" i="1"/>
  <c r="D619" i="1"/>
  <c r="D594" i="1"/>
  <c r="D563" i="1"/>
  <c r="D552" i="1"/>
  <c r="C540" i="1"/>
  <c r="D500" i="1"/>
  <c r="E455" i="1"/>
  <c r="D425" i="1"/>
  <c r="F244" i="1"/>
  <c r="D221" i="1"/>
  <c r="C439" i="1"/>
  <c r="F439" i="1"/>
  <c r="F379" i="1"/>
  <c r="D379" i="1"/>
  <c r="C346" i="1"/>
  <c r="F346" i="1"/>
  <c r="D337" i="1"/>
  <c r="F337" i="1"/>
  <c r="D326" i="1"/>
  <c r="C326" i="1"/>
  <c r="F326" i="1"/>
  <c r="E316" i="1"/>
  <c r="D316" i="1"/>
  <c r="E675" i="1"/>
  <c r="E664" i="1"/>
  <c r="D640" i="1"/>
  <c r="C630" i="1"/>
  <c r="F606" i="1"/>
  <c r="F572" i="1"/>
  <c r="F531" i="1"/>
  <c r="F481" i="1"/>
  <c r="F462" i="1"/>
  <c r="D455" i="1"/>
  <c r="D446" i="1"/>
  <c r="F434" i="1"/>
  <c r="F354" i="1"/>
  <c r="E302" i="1"/>
  <c r="D244" i="1"/>
  <c r="D675" i="1"/>
  <c r="D664" i="1"/>
  <c r="C640" i="1"/>
  <c r="F593" i="1"/>
  <c r="F551" i="1"/>
  <c r="D531" i="1"/>
  <c r="F518" i="1"/>
  <c r="D511" i="1"/>
  <c r="D481" i="1"/>
  <c r="D462" i="1"/>
  <c r="E434" i="1"/>
  <c r="D418" i="1"/>
  <c r="F405" i="1"/>
  <c r="C354" i="1"/>
  <c r="D652" i="1"/>
  <c r="D593" i="1"/>
  <c r="D551" i="1"/>
  <c r="D518" i="1"/>
  <c r="C511" i="1"/>
  <c r="C418" i="1"/>
  <c r="E395" i="1"/>
  <c r="F366" i="1"/>
  <c r="F322" i="1"/>
  <c r="D159" i="1"/>
  <c r="F154" i="1"/>
  <c r="O491" i="6"/>
  <c r="E12" i="1" s="1"/>
  <c r="O620" i="6"/>
  <c r="E345" i="1" s="1"/>
  <c r="O151" i="6"/>
  <c r="E566" i="1" s="1"/>
  <c r="O414" i="6"/>
  <c r="E605" i="1" s="1"/>
  <c r="O378" i="6"/>
  <c r="E66" i="1" s="1"/>
  <c r="O150" i="6"/>
  <c r="O114" i="6"/>
  <c r="E206" i="1" s="1"/>
  <c r="O125" i="6"/>
  <c r="E18" i="1" s="1"/>
  <c r="O29" i="6"/>
  <c r="E591" i="1" s="1"/>
  <c r="O124" i="6"/>
  <c r="E251" i="1" s="1"/>
  <c r="O344" i="6"/>
  <c r="E548" i="1" s="1"/>
  <c r="O377" i="6"/>
  <c r="E413" i="1" s="1"/>
  <c r="O148" i="6"/>
  <c r="O123" i="6"/>
  <c r="E499" i="1" s="1"/>
  <c r="O27" i="6"/>
  <c r="E593" i="1" s="1"/>
  <c r="O170" i="6"/>
  <c r="O38" i="6"/>
  <c r="O415" i="6"/>
  <c r="O413" i="6"/>
  <c r="E606" i="1" s="1"/>
  <c r="F713" i="1"/>
  <c r="P713" i="1"/>
  <c r="R713" i="1" s="1"/>
  <c r="E713" i="1"/>
  <c r="O713" i="1"/>
  <c r="D713" i="1"/>
  <c r="C713" i="1"/>
  <c r="Q680" i="1"/>
  <c r="Q636" i="1"/>
  <c r="Q603" i="1"/>
  <c r="Q569" i="1"/>
  <c r="Q555" i="1"/>
  <c r="Q527" i="1"/>
  <c r="Q526" i="1"/>
  <c r="Q488" i="1"/>
  <c r="Q112" i="1"/>
  <c r="I1" i="1" l="1"/>
  <c r="T700" i="1"/>
  <c r="Q687" i="1"/>
  <c r="Q697" i="1"/>
  <c r="Q696" i="1"/>
  <c r="L696" i="1"/>
  <c r="V696" i="1"/>
  <c r="L687" i="1"/>
  <c r="V687" i="1"/>
  <c r="L697" i="1"/>
  <c r="V697" i="1"/>
  <c r="L689" i="1"/>
  <c r="M689" i="1" s="1"/>
  <c r="V689" i="1"/>
  <c r="Q689" i="1"/>
  <c r="N693" i="1"/>
  <c r="R693" i="1" s="1"/>
  <c r="N682" i="1"/>
  <c r="R682" i="1" s="1"/>
  <c r="N698" i="1"/>
  <c r="S698" i="1" s="1"/>
  <c r="N681" i="1"/>
  <c r="S681" i="1" s="1"/>
  <c r="N691" i="1"/>
  <c r="S691" i="1" s="1"/>
  <c r="N685" i="1"/>
  <c r="S685" i="1" s="1"/>
  <c r="N684" i="1"/>
  <c r="R684" i="1" s="1"/>
  <c r="N699" i="1"/>
  <c r="S699" i="1" s="1"/>
  <c r="N686" i="1"/>
  <c r="S686" i="1" s="1"/>
  <c r="N683" i="1"/>
  <c r="S683" i="1" s="1"/>
  <c r="N694" i="1"/>
  <c r="S694" i="1" s="1"/>
  <c r="Q594" i="1"/>
  <c r="V594" i="1"/>
  <c r="Q587" i="1"/>
  <c r="V587" i="1"/>
  <c r="Q511" i="1"/>
  <c r="V511" i="1"/>
  <c r="Q602" i="1"/>
  <c r="V602" i="1"/>
  <c r="Q516" i="1"/>
  <c r="V516" i="1"/>
  <c r="Q521" i="1"/>
  <c r="V521" i="1"/>
  <c r="Q662" i="1"/>
  <c r="V662" i="1"/>
  <c r="Q679" i="1"/>
  <c r="V679" i="1"/>
  <c r="Q512" i="1"/>
  <c r="V512" i="1"/>
  <c r="Q533" i="1"/>
  <c r="V533" i="1"/>
  <c r="Q591" i="1"/>
  <c r="V591" i="1"/>
  <c r="Q592" i="1"/>
  <c r="V592" i="1"/>
  <c r="Q525" i="1"/>
  <c r="V525" i="1"/>
  <c r="Q556" i="1"/>
  <c r="V556" i="1"/>
  <c r="Q593" i="1"/>
  <c r="V593" i="1"/>
  <c r="Q699" i="1"/>
  <c r="Q686" i="1"/>
  <c r="Q695" i="1"/>
  <c r="L690" i="1"/>
  <c r="L692" i="1"/>
  <c r="L688" i="1"/>
  <c r="L679" i="1"/>
  <c r="L680" i="1"/>
  <c r="G202" i="1"/>
  <c r="Q678" i="1"/>
  <c r="Q674" i="1"/>
  <c r="Q672" i="1"/>
  <c r="Q670" i="1"/>
  <c r="Q669" i="1"/>
  <c r="Q668" i="1"/>
  <c r="Q661" i="1"/>
  <c r="Q658" i="1"/>
  <c r="Q657" i="1"/>
  <c r="Q656" i="1"/>
  <c r="Q655" i="1"/>
  <c r="Q645" i="1"/>
  <c r="Q644" i="1"/>
  <c r="Q638" i="1"/>
  <c r="Q637" i="1"/>
  <c r="Q589" i="1"/>
  <c r="Q583" i="1"/>
  <c r="Q553" i="1"/>
  <c r="Q508" i="1"/>
  <c r="Q481" i="1"/>
  <c r="Q475" i="1"/>
  <c r="Q465" i="1"/>
  <c r="Q464" i="1"/>
  <c r="Q443" i="1"/>
  <c r="Q406" i="1"/>
  <c r="Q400" i="1"/>
  <c r="Q399" i="1"/>
  <c r="Q389" i="1"/>
  <c r="Q378" i="1"/>
  <c r="Q352" i="1"/>
  <c r="Q351" i="1"/>
  <c r="Q338" i="1"/>
  <c r="Q334" i="1"/>
  <c r="Q330" i="1"/>
  <c r="Q329" i="1"/>
  <c r="Q313" i="1"/>
  <c r="Q312" i="1"/>
  <c r="Q306" i="1"/>
  <c r="Q299" i="1"/>
  <c r="Q298" i="1"/>
  <c r="Q273" i="1"/>
  <c r="Q263" i="1"/>
  <c r="Q260" i="1"/>
  <c r="Q233" i="1"/>
  <c r="Q214" i="1"/>
  <c r="Q213" i="1"/>
  <c r="Q212" i="1"/>
  <c r="Q211" i="1"/>
  <c r="Q204" i="1"/>
  <c r="Q203" i="1"/>
  <c r="Q188" i="1"/>
  <c r="Q186" i="1"/>
  <c r="Q172" i="1"/>
  <c r="Q164" i="1"/>
  <c r="Q144" i="1"/>
  <c r="Q134" i="1"/>
  <c r="Q125" i="1"/>
  <c r="Q102" i="1"/>
  <c r="Q101" i="1"/>
  <c r="Q98" i="1"/>
  <c r="Q93" i="1"/>
  <c r="Q92" i="1"/>
  <c r="Q84" i="1"/>
  <c r="Q79" i="1"/>
  <c r="Q78" i="1"/>
  <c r="Q77" i="1"/>
  <c r="Q76" i="1"/>
  <c r="Q67" i="1"/>
  <c r="Q66" i="1"/>
  <c r="Q51" i="1"/>
  <c r="Q50" i="1"/>
  <c r="Q45" i="1"/>
  <c r="Q37" i="1"/>
  <c r="Q33" i="1"/>
  <c r="Q13" i="1"/>
  <c r="Q12" i="1"/>
  <c r="Q11" i="1"/>
  <c r="Q10" i="1"/>
  <c r="Q9" i="1"/>
  <c r="Q8" i="1"/>
  <c r="Q7" i="1"/>
  <c r="Q6" i="1"/>
  <c r="Q5" i="1"/>
  <c r="Q4" i="1"/>
  <c r="N696" i="1" l="1"/>
  <c r="N679" i="1"/>
  <c r="S679" i="1" s="1"/>
  <c r="N689" i="1"/>
  <c r="R689" i="1" s="1"/>
  <c r="N687" i="1"/>
  <c r="N697" i="1"/>
  <c r="S697" i="1" s="1"/>
  <c r="T697" i="1" s="1"/>
  <c r="R694" i="1"/>
  <c r="R683" i="1"/>
  <c r="R686" i="1"/>
  <c r="R681" i="1"/>
  <c r="R698" i="1"/>
  <c r="R685" i="1"/>
  <c r="R691" i="1"/>
  <c r="U681" i="1"/>
  <c r="T681" i="1"/>
  <c r="T694" i="1"/>
  <c r="U694" i="1"/>
  <c r="U691" i="1"/>
  <c r="T691" i="1"/>
  <c r="T683" i="1"/>
  <c r="U683" i="1"/>
  <c r="T685" i="1"/>
  <c r="U685" i="1"/>
  <c r="U686" i="1"/>
  <c r="T686" i="1"/>
  <c r="T698" i="1"/>
  <c r="U698" i="1"/>
  <c r="U699" i="1"/>
  <c r="T699" i="1"/>
  <c r="R699" i="1"/>
  <c r="S682" i="1"/>
  <c r="N688" i="1"/>
  <c r="R688" i="1" s="1"/>
  <c r="S684" i="1"/>
  <c r="S693" i="1"/>
  <c r="N692" i="1"/>
  <c r="S692" i="1" s="1"/>
  <c r="N690" i="1"/>
  <c r="R690" i="1" s="1"/>
  <c r="N695" i="1"/>
  <c r="R695" i="1" s="1"/>
  <c r="N680" i="1"/>
  <c r="R680" i="1" s="1"/>
  <c r="Q253" i="1"/>
  <c r="V253" i="1"/>
  <c r="Q643" i="1"/>
  <c r="V643" i="1"/>
  <c r="Q663" i="1"/>
  <c r="V663" i="1"/>
  <c r="Q664" i="1"/>
  <c r="V664" i="1"/>
  <c r="Q665" i="1"/>
  <c r="V665" i="1"/>
  <c r="Q382" i="1"/>
  <c r="V382" i="1"/>
  <c r="Q654" i="1"/>
  <c r="V654" i="1"/>
  <c r="Q667" i="1"/>
  <c r="V667" i="1"/>
  <c r="Q100" i="1"/>
  <c r="V100" i="1"/>
  <c r="Q113" i="1"/>
  <c r="V113" i="1"/>
  <c r="Q398" i="1"/>
  <c r="V398" i="1"/>
  <c r="Q97" i="1"/>
  <c r="V97" i="1"/>
  <c r="Q653" i="1"/>
  <c r="V653" i="1"/>
  <c r="Q671" i="1"/>
  <c r="V671" i="1"/>
  <c r="Q232" i="1"/>
  <c r="V232" i="1"/>
  <c r="Q629" i="1"/>
  <c r="V629" i="1"/>
  <c r="Q659" i="1"/>
  <c r="V659" i="1"/>
  <c r="Q666" i="1"/>
  <c r="V666" i="1"/>
  <c r="Q418" i="1"/>
  <c r="V418" i="1"/>
  <c r="Q660" i="1"/>
  <c r="V660" i="1"/>
  <c r="Q673" i="1"/>
  <c r="V673" i="1"/>
  <c r="Q114" i="1"/>
  <c r="V114" i="1"/>
  <c r="Q20" i="1"/>
  <c r="V20" i="1"/>
  <c r="Q244" i="1"/>
  <c r="V244" i="1"/>
  <c r="Q426" i="1"/>
  <c r="V426" i="1"/>
  <c r="Q677" i="1"/>
  <c r="Q676" i="1"/>
  <c r="Q642" i="1"/>
  <c r="Q639" i="1"/>
  <c r="Q635" i="1"/>
  <c r="Q631" i="1"/>
  <c r="Q627" i="1"/>
  <c r="Q626" i="1"/>
  <c r="Q624" i="1"/>
  <c r="Q623" i="1"/>
  <c r="Q619" i="1"/>
  <c r="Q618" i="1"/>
  <c r="Q617" i="1"/>
  <c r="Q616" i="1"/>
  <c r="Q615" i="1"/>
  <c r="Q614" i="1"/>
  <c r="Q613" i="1"/>
  <c r="Q612" i="1"/>
  <c r="Q611" i="1"/>
  <c r="Q610" i="1"/>
  <c r="Q609" i="1"/>
  <c r="Q608" i="1"/>
  <c r="Q607" i="1"/>
  <c r="Q606" i="1"/>
  <c r="Q605" i="1"/>
  <c r="Q598" i="1"/>
  <c r="Q597" i="1"/>
  <c r="Q590" i="1"/>
  <c r="Q586" i="1"/>
  <c r="Q576" i="1"/>
  <c r="Q575" i="1"/>
  <c r="Q573" i="1"/>
  <c r="Q570" i="1"/>
  <c r="Q568" i="1"/>
  <c r="Q567" i="1"/>
  <c r="Q566" i="1"/>
  <c r="Q565" i="1"/>
  <c r="Q562" i="1"/>
  <c r="Q561" i="1"/>
  <c r="Q559" i="1"/>
  <c r="Q554" i="1"/>
  <c r="Q552" i="1"/>
  <c r="Q551" i="1"/>
  <c r="Q547" i="1"/>
  <c r="Q546" i="1"/>
  <c r="Q544" i="1"/>
  <c r="Q543" i="1"/>
  <c r="Q542" i="1"/>
  <c r="Q541" i="1"/>
  <c r="Q540" i="1"/>
  <c r="Q539" i="1"/>
  <c r="Q535" i="1"/>
  <c r="Q534" i="1"/>
  <c r="Q532" i="1"/>
  <c r="Q531" i="1"/>
  <c r="Q530" i="1"/>
  <c r="Q528" i="1"/>
  <c r="Q524" i="1"/>
  <c r="Q523" i="1"/>
  <c r="Q520" i="1"/>
  <c r="Q519" i="1"/>
  <c r="Q518" i="1"/>
  <c r="Q517" i="1"/>
  <c r="Q515" i="1"/>
  <c r="Q513" i="1"/>
  <c r="Q510" i="1"/>
  <c r="Q509" i="1"/>
  <c r="Q507" i="1"/>
  <c r="Q506" i="1"/>
  <c r="Q502" i="1"/>
  <c r="Q501" i="1"/>
  <c r="Q499" i="1"/>
  <c r="Q498" i="1"/>
  <c r="Q497" i="1"/>
  <c r="Q496" i="1"/>
  <c r="Q495" i="1"/>
  <c r="Q494" i="1"/>
  <c r="Q493" i="1"/>
  <c r="Q492" i="1"/>
  <c r="Q487" i="1"/>
  <c r="Q486" i="1"/>
  <c r="Q485" i="1"/>
  <c r="Q484" i="1"/>
  <c r="Q483" i="1"/>
  <c r="Q482" i="1"/>
  <c r="Q480" i="1"/>
  <c r="Q479" i="1"/>
  <c r="Q478" i="1"/>
  <c r="Q477" i="1"/>
  <c r="Q474" i="1"/>
  <c r="Q472" i="1"/>
  <c r="Q471" i="1"/>
  <c r="Q470" i="1"/>
  <c r="Q468" i="1"/>
  <c r="Q467" i="1"/>
  <c r="Q466" i="1"/>
  <c r="Q463" i="1"/>
  <c r="Q460" i="1"/>
  <c r="Q457" i="1"/>
  <c r="Q456" i="1"/>
  <c r="Q455" i="1"/>
  <c r="Q454" i="1"/>
  <c r="Q453" i="1"/>
  <c r="Q452" i="1"/>
  <c r="Q451" i="1"/>
  <c r="Q449" i="1"/>
  <c r="Q448" i="1"/>
  <c r="Q447" i="1"/>
  <c r="Q446" i="1"/>
  <c r="Q445" i="1"/>
  <c r="Q444" i="1"/>
  <c r="Q442" i="1"/>
  <c r="Q441" i="1"/>
  <c r="Q440" i="1"/>
  <c r="Q439" i="1"/>
  <c r="Q438" i="1"/>
  <c r="Q437" i="1"/>
  <c r="Q436" i="1"/>
  <c r="Q435" i="1"/>
  <c r="Q434" i="1"/>
  <c r="Q432" i="1"/>
  <c r="Q430" i="1"/>
  <c r="Q429" i="1"/>
  <c r="Q428" i="1"/>
  <c r="Q427" i="1"/>
  <c r="Q425" i="1"/>
  <c r="Q424" i="1"/>
  <c r="Q422" i="1"/>
  <c r="Q421" i="1"/>
  <c r="Q420" i="1"/>
  <c r="Q419" i="1"/>
  <c r="Q416" i="1"/>
  <c r="Q414" i="1"/>
  <c r="Q413" i="1"/>
  <c r="Q412" i="1"/>
  <c r="Q411" i="1"/>
  <c r="Q410" i="1"/>
  <c r="Q409" i="1"/>
  <c r="Q408" i="1"/>
  <c r="Q407" i="1"/>
  <c r="Q405" i="1"/>
  <c r="Q404" i="1"/>
  <c r="Q403" i="1"/>
  <c r="Q402" i="1"/>
  <c r="Q401" i="1"/>
  <c r="Q397" i="1"/>
  <c r="Q396" i="1"/>
  <c r="Q395" i="1"/>
  <c r="Q394" i="1"/>
  <c r="Q392" i="1"/>
  <c r="Q390" i="1"/>
  <c r="Q387" i="1"/>
  <c r="Q385" i="1"/>
  <c r="Q381" i="1"/>
  <c r="Q379" i="1"/>
  <c r="Q377" i="1"/>
  <c r="Q376" i="1"/>
  <c r="Q375" i="1"/>
  <c r="Q374" i="1"/>
  <c r="Q373" i="1"/>
  <c r="Q372" i="1"/>
  <c r="Q371" i="1"/>
  <c r="Q370" i="1"/>
  <c r="Q369" i="1"/>
  <c r="Q368" i="1"/>
  <c r="Q365" i="1"/>
  <c r="Q364" i="1"/>
  <c r="Q363" i="1"/>
  <c r="Q362" i="1"/>
  <c r="Q361" i="1"/>
  <c r="Q360" i="1"/>
  <c r="Q359" i="1"/>
  <c r="Q358" i="1"/>
  <c r="Q357" i="1"/>
  <c r="Q356" i="1"/>
  <c r="Q355" i="1"/>
  <c r="Q354" i="1"/>
  <c r="Q353" i="1"/>
  <c r="Q350" i="1"/>
  <c r="Q349" i="1"/>
  <c r="Q348" i="1"/>
  <c r="Q347" i="1"/>
  <c r="Q346" i="1"/>
  <c r="Q345" i="1"/>
  <c r="Q344" i="1"/>
  <c r="Q343" i="1"/>
  <c r="Q342" i="1"/>
  <c r="Q340" i="1"/>
  <c r="Q337" i="1"/>
  <c r="Q336" i="1"/>
  <c r="Q335" i="1"/>
  <c r="Q333" i="1"/>
  <c r="Q332" i="1"/>
  <c r="Q331" i="1"/>
  <c r="Q328" i="1"/>
  <c r="Q327" i="1"/>
  <c r="Q326" i="1"/>
  <c r="Q325" i="1"/>
  <c r="Q324" i="1"/>
  <c r="Q323" i="1"/>
  <c r="Q322" i="1"/>
  <c r="Q321" i="1"/>
  <c r="Q320" i="1"/>
  <c r="Q319" i="1"/>
  <c r="Q318" i="1"/>
  <c r="Q317" i="1"/>
  <c r="Q316" i="1"/>
  <c r="Q315" i="1"/>
  <c r="Q311" i="1"/>
  <c r="Q310" i="1"/>
  <c r="Q309" i="1"/>
  <c r="Q308" i="1"/>
  <c r="Q307" i="1"/>
  <c r="Q305" i="1"/>
  <c r="Q304" i="1"/>
  <c r="Q303" i="1"/>
  <c r="Q302" i="1"/>
  <c r="Q301" i="1"/>
  <c r="Q300" i="1"/>
  <c r="Q297" i="1"/>
  <c r="Q296" i="1"/>
  <c r="Q295" i="1"/>
  <c r="Q293" i="1"/>
  <c r="Q292" i="1"/>
  <c r="Q291" i="1"/>
  <c r="Q290" i="1"/>
  <c r="Q289" i="1"/>
  <c r="Q288" i="1"/>
  <c r="Q286" i="1"/>
  <c r="Q285" i="1"/>
  <c r="Q283" i="1"/>
  <c r="Q282" i="1"/>
  <c r="Q281" i="1"/>
  <c r="Q280" i="1"/>
  <c r="Q279" i="1"/>
  <c r="Q278" i="1"/>
  <c r="Q277" i="1"/>
  <c r="Q276" i="1"/>
  <c r="Q275" i="1"/>
  <c r="Q274" i="1"/>
  <c r="Q270" i="1"/>
  <c r="Q269" i="1"/>
  <c r="Q264" i="1"/>
  <c r="Q262" i="1"/>
  <c r="Q259" i="1"/>
  <c r="Q258" i="1"/>
  <c r="Q257" i="1"/>
  <c r="Q256" i="1"/>
  <c r="Q255" i="1"/>
  <c r="Q254" i="1"/>
  <c r="Q252" i="1"/>
  <c r="Q250" i="1"/>
  <c r="Q249" i="1"/>
  <c r="Q247" i="1"/>
  <c r="Q246" i="1"/>
  <c r="Q245" i="1"/>
  <c r="Q243" i="1"/>
  <c r="Q242" i="1"/>
  <c r="Q241" i="1"/>
  <c r="Q240" i="1"/>
  <c r="Q239" i="1"/>
  <c r="Q238" i="1"/>
  <c r="Q237" i="1"/>
  <c r="Q236" i="1"/>
  <c r="Q235" i="1"/>
  <c r="Q234" i="1"/>
  <c r="Q231" i="1"/>
  <c r="Q229" i="1"/>
  <c r="Q228" i="1"/>
  <c r="Q226" i="1"/>
  <c r="Q224" i="1"/>
  <c r="Q223" i="1"/>
  <c r="Q222" i="1"/>
  <c r="Q221" i="1"/>
  <c r="Q220" i="1"/>
  <c r="Q219" i="1"/>
  <c r="Q218" i="1"/>
  <c r="Q215" i="1"/>
  <c r="Q210" i="1"/>
  <c r="Q209" i="1"/>
  <c r="Q208" i="1"/>
  <c r="Q207" i="1"/>
  <c r="Q205" i="1"/>
  <c r="Q202" i="1"/>
  <c r="Q201" i="1"/>
  <c r="Q200" i="1"/>
  <c r="Q199" i="1"/>
  <c r="Q198" i="1"/>
  <c r="Q197" i="1"/>
  <c r="Q196" i="1"/>
  <c r="Q195" i="1"/>
  <c r="Q193" i="1"/>
  <c r="Q192" i="1"/>
  <c r="Q189" i="1"/>
  <c r="Q185" i="1"/>
  <c r="Q184" i="1"/>
  <c r="Q183" i="1"/>
  <c r="Q182" i="1"/>
  <c r="Q181" i="1"/>
  <c r="Q180" i="1"/>
  <c r="Q179" i="1"/>
  <c r="Q178" i="1"/>
  <c r="Q177" i="1"/>
  <c r="Q176" i="1"/>
  <c r="Q175" i="1"/>
  <c r="Q174" i="1"/>
  <c r="Q173" i="1"/>
  <c r="Q171" i="1"/>
  <c r="Q170" i="1"/>
  <c r="Q169" i="1"/>
  <c r="Q168" i="1"/>
  <c r="Q167" i="1"/>
  <c r="Q166" i="1"/>
  <c r="Q165" i="1"/>
  <c r="Q163" i="1"/>
  <c r="Q162" i="1"/>
  <c r="Q161" i="1"/>
  <c r="Q160" i="1"/>
  <c r="Q159" i="1"/>
  <c r="Q158" i="1"/>
  <c r="Q157" i="1"/>
  <c r="Q156" i="1"/>
  <c r="Q155" i="1"/>
  <c r="Q154" i="1"/>
  <c r="Q153" i="1"/>
  <c r="Q152" i="1"/>
  <c r="Q151" i="1"/>
  <c r="Q150" i="1"/>
  <c r="Q149" i="1"/>
  <c r="Q148" i="1"/>
  <c r="Q147" i="1"/>
  <c r="Q146" i="1"/>
  <c r="Q145" i="1"/>
  <c r="Q143" i="1"/>
  <c r="Q142" i="1"/>
  <c r="Q141" i="1"/>
  <c r="Q140" i="1"/>
  <c r="Q139" i="1"/>
  <c r="Q138" i="1"/>
  <c r="Q137" i="1"/>
  <c r="Q136" i="1"/>
  <c r="Q135" i="1"/>
  <c r="Q133" i="1"/>
  <c r="Q132" i="1"/>
  <c r="Q131" i="1"/>
  <c r="Q130" i="1"/>
  <c r="Q129" i="1"/>
  <c r="Q128" i="1"/>
  <c r="Q127" i="1"/>
  <c r="Q126" i="1"/>
  <c r="Q124" i="1"/>
  <c r="Q123" i="1"/>
  <c r="Q122" i="1"/>
  <c r="Q121" i="1"/>
  <c r="Q120" i="1"/>
  <c r="Q119" i="1"/>
  <c r="Q118" i="1"/>
  <c r="Q117" i="1"/>
  <c r="Q116" i="1"/>
  <c r="Q115" i="1"/>
  <c r="Q111" i="1"/>
  <c r="Q110" i="1"/>
  <c r="Q109" i="1"/>
  <c r="Q108" i="1"/>
  <c r="Q107" i="1"/>
  <c r="Q106" i="1"/>
  <c r="Q105" i="1"/>
  <c r="Q104" i="1"/>
  <c r="Q103" i="1"/>
  <c r="Q99" i="1"/>
  <c r="Q96" i="1"/>
  <c r="Q95" i="1"/>
  <c r="Q94" i="1"/>
  <c r="Q90" i="1"/>
  <c r="Q89" i="1"/>
  <c r="Q88" i="1"/>
  <c r="Q87" i="1"/>
  <c r="Q86" i="1"/>
  <c r="Q85" i="1"/>
  <c r="Q83" i="1"/>
  <c r="Q82" i="1"/>
  <c r="Q81" i="1"/>
  <c r="Q80" i="1"/>
  <c r="Q75" i="1"/>
  <c r="Q74" i="1"/>
  <c r="Q73" i="1"/>
  <c r="Q72" i="1"/>
  <c r="Q71" i="1"/>
  <c r="Q70" i="1"/>
  <c r="Q69" i="1"/>
  <c r="Q68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49" i="1"/>
  <c r="Q48" i="1"/>
  <c r="Q47" i="1"/>
  <c r="Q44" i="1"/>
  <c r="Q43" i="1"/>
  <c r="Q42" i="1"/>
  <c r="Q41" i="1"/>
  <c r="Q40" i="1"/>
  <c r="Q39" i="1"/>
  <c r="Q38" i="1"/>
  <c r="Q36" i="1"/>
  <c r="Q34" i="1"/>
  <c r="Q32" i="1"/>
  <c r="Q31" i="1"/>
  <c r="Q30" i="1"/>
  <c r="Q29" i="1"/>
  <c r="Q28" i="1"/>
  <c r="Q27" i="1"/>
  <c r="Q26" i="1"/>
  <c r="Q25" i="1"/>
  <c r="Q23" i="1"/>
  <c r="Q22" i="1"/>
  <c r="Q21" i="1"/>
  <c r="Q18" i="1"/>
  <c r="Q17" i="1"/>
  <c r="Q16" i="1"/>
  <c r="Q15" i="1"/>
  <c r="G5" i="5"/>
  <c r="F5" i="5"/>
  <c r="G4" i="5"/>
  <c r="F4" i="5"/>
  <c r="G3" i="5"/>
  <c r="F3" i="5"/>
  <c r="G2" i="5"/>
  <c r="F2" i="5"/>
  <c r="R697" i="1" l="1"/>
  <c r="R687" i="1"/>
  <c r="S687" i="1"/>
  <c r="U687" i="1" s="1"/>
  <c r="S696" i="1"/>
  <c r="R696" i="1"/>
  <c r="U697" i="1"/>
  <c r="S689" i="1"/>
  <c r="T689" i="1" s="1"/>
  <c r="R692" i="1"/>
  <c r="S680" i="1"/>
  <c r="T680" i="1" s="1"/>
  <c r="T692" i="1"/>
  <c r="U692" i="1"/>
  <c r="S688" i="1"/>
  <c r="S695" i="1"/>
  <c r="T682" i="1"/>
  <c r="U682" i="1"/>
  <c r="S690" i="1"/>
  <c r="T693" i="1"/>
  <c r="U693" i="1"/>
  <c r="T684" i="1"/>
  <c r="U684" i="1"/>
  <c r="Q35" i="1"/>
  <c r="V35" i="1"/>
  <c r="Q24" i="1"/>
  <c r="V24" i="1"/>
  <c r="Q227" i="1"/>
  <c r="V227" i="1"/>
  <c r="Q294" i="1"/>
  <c r="V294" i="1"/>
  <c r="Q339" i="1"/>
  <c r="V339" i="1"/>
  <c r="Q216" i="1"/>
  <c r="V216" i="1"/>
  <c r="Q366" i="1"/>
  <c r="Q393" i="1"/>
  <c r="V393" i="1"/>
  <c r="Q489" i="1"/>
  <c r="V489" i="1"/>
  <c r="Q574" i="1"/>
  <c r="V574" i="1"/>
  <c r="Q588" i="1"/>
  <c r="V588" i="1"/>
  <c r="Q632" i="1"/>
  <c r="V632" i="1"/>
  <c r="Q650" i="1"/>
  <c r="V650" i="1"/>
  <c r="Q217" i="1"/>
  <c r="V217" i="1"/>
  <c r="Q271" i="1"/>
  <c r="V271" i="1"/>
  <c r="Q284" i="1"/>
  <c r="V284" i="1"/>
  <c r="Q341" i="1"/>
  <c r="V341" i="1"/>
  <c r="Q367" i="1"/>
  <c r="Q380" i="1"/>
  <c r="V380" i="1"/>
  <c r="Q423" i="1"/>
  <c r="V423" i="1"/>
  <c r="Q461" i="1"/>
  <c r="V461" i="1"/>
  <c r="Q476" i="1"/>
  <c r="V476" i="1"/>
  <c r="Q490" i="1"/>
  <c r="V490" i="1"/>
  <c r="Q620" i="1"/>
  <c r="V620" i="1"/>
  <c r="Q633" i="1"/>
  <c r="V633" i="1"/>
  <c r="Q651" i="1"/>
  <c r="V651" i="1"/>
  <c r="Q450" i="1"/>
  <c r="V450" i="1"/>
  <c r="Q462" i="1"/>
  <c r="V462" i="1"/>
  <c r="Q491" i="1"/>
  <c r="V491" i="1"/>
  <c r="Q503" i="1"/>
  <c r="V503" i="1"/>
  <c r="Q536" i="1"/>
  <c r="V536" i="1"/>
  <c r="Q548" i="1"/>
  <c r="V548" i="1"/>
  <c r="Q563" i="1"/>
  <c r="V563" i="1"/>
  <c r="Q595" i="1"/>
  <c r="V595" i="1"/>
  <c r="Q621" i="1"/>
  <c r="V621" i="1"/>
  <c r="Q634" i="1"/>
  <c r="V634" i="1"/>
  <c r="Q652" i="1"/>
  <c r="V652" i="1"/>
  <c r="Q504" i="1"/>
  <c r="V504" i="1"/>
  <c r="Q537" i="1"/>
  <c r="V537" i="1"/>
  <c r="Q549" i="1"/>
  <c r="V549" i="1"/>
  <c r="Q564" i="1"/>
  <c r="V564" i="1"/>
  <c r="Q577" i="1"/>
  <c r="V577" i="1"/>
  <c r="Q596" i="1"/>
  <c r="V596" i="1"/>
  <c r="Q622" i="1"/>
  <c r="V622" i="1"/>
  <c r="Q675" i="1"/>
  <c r="V675" i="1"/>
  <c r="Q505" i="1"/>
  <c r="V505" i="1"/>
  <c r="Q522" i="1"/>
  <c r="V522" i="1"/>
  <c r="Q538" i="1"/>
  <c r="V538" i="1"/>
  <c r="Q550" i="1"/>
  <c r="V550" i="1"/>
  <c r="Q578" i="1"/>
  <c r="V578" i="1"/>
  <c r="Q187" i="1"/>
  <c r="V187" i="1"/>
  <c r="Q230" i="1"/>
  <c r="V230" i="1"/>
  <c r="Q272" i="1"/>
  <c r="V272" i="1"/>
  <c r="Q314" i="1"/>
  <c r="V314" i="1"/>
  <c r="Q383" i="1"/>
  <c r="Q190" i="1"/>
  <c r="V190" i="1"/>
  <c r="Q261" i="1"/>
  <c r="V261" i="1"/>
  <c r="Q287" i="1"/>
  <c r="V287" i="1"/>
  <c r="Q384" i="1"/>
  <c r="Q191" i="1"/>
  <c r="V191" i="1"/>
  <c r="Q248" i="1"/>
  <c r="V248" i="1"/>
  <c r="Q579" i="1"/>
  <c r="V579" i="1"/>
  <c r="Q640" i="1"/>
  <c r="V640" i="1"/>
  <c r="Q46" i="1"/>
  <c r="V46" i="1"/>
  <c r="Q91" i="1"/>
  <c r="V91" i="1"/>
  <c r="Q206" i="1"/>
  <c r="V206" i="1"/>
  <c r="Q386" i="1"/>
  <c r="V386" i="1"/>
  <c r="Q415" i="1"/>
  <c r="V415" i="1"/>
  <c r="Q580" i="1"/>
  <c r="V580" i="1"/>
  <c r="Q599" i="1"/>
  <c r="V599" i="1"/>
  <c r="Q625" i="1"/>
  <c r="V625" i="1"/>
  <c r="Q641" i="1"/>
  <c r="V641" i="1"/>
  <c r="U679" i="1"/>
  <c r="T679" i="1"/>
  <c r="Q469" i="1"/>
  <c r="V469" i="1"/>
  <c r="Q581" i="1"/>
  <c r="V581" i="1"/>
  <c r="Q600" i="1"/>
  <c r="V600" i="1"/>
  <c r="Q529" i="1"/>
  <c r="V529" i="1"/>
  <c r="Q557" i="1"/>
  <c r="V557" i="1"/>
  <c r="Q582" i="1"/>
  <c r="V582" i="1"/>
  <c r="Q601" i="1"/>
  <c r="V601" i="1"/>
  <c r="Q646" i="1"/>
  <c r="V646" i="1"/>
  <c r="Q265" i="1"/>
  <c r="V265" i="1"/>
  <c r="Q267" i="1"/>
  <c r="V267" i="1"/>
  <c r="Q558" i="1"/>
  <c r="V558" i="1"/>
  <c r="Q571" i="1"/>
  <c r="V571" i="1"/>
  <c r="Q584" i="1"/>
  <c r="V584" i="1"/>
  <c r="Q604" i="1"/>
  <c r="V604" i="1"/>
  <c r="Q628" i="1"/>
  <c r="V628" i="1"/>
  <c r="Q647" i="1"/>
  <c r="V647" i="1"/>
  <c r="Q194" i="1"/>
  <c r="V194" i="1"/>
  <c r="Q251" i="1"/>
  <c r="V251" i="1"/>
  <c r="Q388" i="1"/>
  <c r="V388" i="1"/>
  <c r="Q417" i="1"/>
  <c r="V417" i="1"/>
  <c r="Q431" i="1"/>
  <c r="V431" i="1"/>
  <c r="Q225" i="1"/>
  <c r="V225" i="1"/>
  <c r="Q268" i="1"/>
  <c r="V268" i="1"/>
  <c r="Q391" i="1"/>
  <c r="V391" i="1"/>
  <c r="Q433" i="1"/>
  <c r="V433" i="1"/>
  <c r="Q458" i="1"/>
  <c r="V458" i="1"/>
  <c r="Q514" i="1"/>
  <c r="V514" i="1"/>
  <c r="Q572" i="1"/>
  <c r="V572" i="1"/>
  <c r="Q585" i="1"/>
  <c r="V585" i="1"/>
  <c r="Q630" i="1"/>
  <c r="V630" i="1"/>
  <c r="Q648" i="1"/>
  <c r="V648" i="1"/>
  <c r="Q19" i="1"/>
  <c r="V19" i="1"/>
  <c r="Q266" i="1"/>
  <c r="V266" i="1"/>
  <c r="Q459" i="1"/>
  <c r="V459" i="1"/>
  <c r="Q473" i="1"/>
  <c r="V473" i="1"/>
  <c r="Q500" i="1"/>
  <c r="V500" i="1"/>
  <c r="Q545" i="1"/>
  <c r="V545" i="1"/>
  <c r="Q560" i="1"/>
  <c r="V560" i="1"/>
  <c r="Q649" i="1"/>
  <c r="V649" i="1"/>
  <c r="R679" i="1"/>
  <c r="T687" i="1" l="1"/>
  <c r="U689" i="1"/>
  <c r="T696" i="1"/>
  <c r="U696" i="1"/>
  <c r="U680" i="1"/>
  <c r="U690" i="1"/>
  <c r="T690" i="1"/>
  <c r="T695" i="1"/>
  <c r="U695" i="1"/>
  <c r="T688" i="1"/>
  <c r="U688" i="1"/>
  <c r="V367" i="1"/>
  <c r="K718" i="1"/>
  <c r="K716" i="1"/>
  <c r="K717" i="1"/>
  <c r="K714" i="1"/>
  <c r="K713" i="1"/>
  <c r="K712" i="1"/>
  <c r="K710" i="1"/>
  <c r="K709" i="1"/>
  <c r="K708" i="1"/>
  <c r="K707" i="1"/>
  <c r="K705" i="1"/>
  <c r="K704" i="1"/>
  <c r="K703" i="1"/>
  <c r="K702" i="1"/>
  <c r="Q14" i="1"/>
  <c r="T704" i="1" l="1"/>
  <c r="V704" i="1"/>
  <c r="T705" i="1"/>
  <c r="V705" i="1"/>
  <c r="T707" i="1"/>
  <c r="V707" i="1"/>
  <c r="T708" i="1"/>
  <c r="V708" i="1"/>
  <c r="T709" i="1"/>
  <c r="V709" i="1"/>
  <c r="T710" i="1"/>
  <c r="V710" i="1"/>
  <c r="T702" i="1"/>
  <c r="V702" i="1"/>
  <c r="T712" i="1"/>
  <c r="V712" i="1"/>
  <c r="T713" i="1"/>
  <c r="V713" i="1"/>
  <c r="T703" i="1"/>
  <c r="V703" i="1"/>
  <c r="T714" i="1"/>
  <c r="V714" i="1"/>
  <c r="T717" i="1"/>
  <c r="V717" i="1"/>
  <c r="T716" i="1"/>
  <c r="V716" i="1"/>
  <c r="T718" i="1"/>
  <c r="V718" i="1"/>
  <c r="V366" i="1"/>
  <c r="Q710" i="1"/>
  <c r="Q712" i="1"/>
  <c r="Q709" i="1"/>
  <c r="Q713" i="1"/>
  <c r="Q708" i="1"/>
  <c r="Q714" i="1"/>
  <c r="Q717" i="1"/>
  <c r="Q716" i="1"/>
  <c r="Q703" i="1"/>
  <c r="Q718" i="1"/>
  <c r="Q704" i="1"/>
  <c r="Q705" i="1"/>
  <c r="Q702" i="1"/>
  <c r="Q707" i="1"/>
  <c r="G810" i="5"/>
  <c r="F810" i="5"/>
  <c r="G809" i="5"/>
  <c r="F809" i="5"/>
  <c r="G808" i="5"/>
  <c r="F808" i="5"/>
  <c r="G807" i="5"/>
  <c r="F807" i="5"/>
  <c r="G806" i="5"/>
  <c r="F806" i="5"/>
  <c r="G805" i="5"/>
  <c r="F805" i="5"/>
  <c r="G804" i="5"/>
  <c r="F804" i="5"/>
  <c r="G803" i="5"/>
  <c r="F803" i="5"/>
  <c r="G802" i="5"/>
  <c r="F802" i="5"/>
  <c r="G801" i="5"/>
  <c r="F801" i="5"/>
  <c r="G800" i="5"/>
  <c r="F800" i="5"/>
  <c r="G799" i="5"/>
  <c r="F799" i="5"/>
  <c r="G798" i="5"/>
  <c r="F798" i="5"/>
  <c r="G797" i="5"/>
  <c r="F797" i="5"/>
  <c r="G796" i="5"/>
  <c r="F796" i="5"/>
  <c r="G795" i="5"/>
  <c r="F795" i="5"/>
  <c r="G794" i="5"/>
  <c r="F794" i="5"/>
  <c r="G793" i="5"/>
  <c r="F793" i="5"/>
  <c r="G792" i="5"/>
  <c r="F792" i="5"/>
  <c r="G791" i="5"/>
  <c r="F791" i="5"/>
  <c r="G790" i="5"/>
  <c r="F790" i="5"/>
  <c r="G789" i="5"/>
  <c r="F789" i="5"/>
  <c r="G788" i="5"/>
  <c r="F788" i="5"/>
  <c r="G787" i="5"/>
  <c r="F787" i="5"/>
  <c r="G786" i="5"/>
  <c r="F786" i="5"/>
  <c r="G785" i="5"/>
  <c r="F785" i="5"/>
  <c r="G784" i="5"/>
  <c r="F784" i="5"/>
  <c r="G783" i="5"/>
  <c r="F783" i="5"/>
  <c r="G782" i="5"/>
  <c r="F782" i="5"/>
  <c r="G781" i="5"/>
  <c r="F781" i="5"/>
  <c r="G780" i="5"/>
  <c r="F780" i="5"/>
  <c r="G779" i="5"/>
  <c r="F779" i="5"/>
  <c r="G778" i="5"/>
  <c r="F778" i="5"/>
  <c r="G777" i="5"/>
  <c r="F777" i="5"/>
  <c r="G776" i="5"/>
  <c r="F776" i="5"/>
  <c r="G775" i="5"/>
  <c r="F775" i="5"/>
  <c r="G774" i="5"/>
  <c r="F774" i="5"/>
  <c r="G773" i="5"/>
  <c r="F773" i="5"/>
  <c r="G772" i="5"/>
  <c r="F772" i="5"/>
  <c r="G771" i="5"/>
  <c r="F771" i="5"/>
  <c r="G770" i="5"/>
  <c r="F770" i="5"/>
  <c r="G769" i="5"/>
  <c r="F769" i="5"/>
  <c r="G768" i="5"/>
  <c r="F768" i="5"/>
  <c r="G767" i="5"/>
  <c r="F767" i="5"/>
  <c r="G766" i="5"/>
  <c r="F766" i="5"/>
  <c r="G765" i="5"/>
  <c r="F765" i="5"/>
  <c r="G764" i="5"/>
  <c r="F764" i="5"/>
  <c r="G763" i="5"/>
  <c r="F763" i="5"/>
  <c r="G762" i="5"/>
  <c r="F762" i="5"/>
  <c r="G761" i="5"/>
  <c r="F761" i="5"/>
  <c r="G760" i="5"/>
  <c r="F760" i="5"/>
  <c r="G759" i="5"/>
  <c r="F759" i="5"/>
  <c r="G758" i="5"/>
  <c r="F758" i="5"/>
  <c r="G757" i="5"/>
  <c r="F757" i="5"/>
  <c r="G756" i="5"/>
  <c r="F756" i="5"/>
  <c r="G755" i="5"/>
  <c r="F755" i="5"/>
  <c r="G754" i="5"/>
  <c r="F754" i="5"/>
  <c r="G753" i="5"/>
  <c r="F753" i="5"/>
  <c r="G752" i="5"/>
  <c r="F752" i="5"/>
  <c r="G751" i="5"/>
  <c r="F751" i="5"/>
  <c r="G750" i="5"/>
  <c r="F750" i="5"/>
  <c r="G749" i="5"/>
  <c r="F749" i="5"/>
  <c r="G748" i="5"/>
  <c r="F748" i="5"/>
  <c r="G747" i="5"/>
  <c r="F747" i="5"/>
  <c r="G746" i="5"/>
  <c r="F746" i="5"/>
  <c r="G745" i="5"/>
  <c r="F745" i="5"/>
  <c r="G744" i="5"/>
  <c r="F744" i="5"/>
  <c r="G743" i="5"/>
  <c r="F743" i="5"/>
  <c r="G742" i="5"/>
  <c r="F742" i="5"/>
  <c r="G741" i="5"/>
  <c r="F741" i="5"/>
  <c r="G740" i="5"/>
  <c r="F740" i="5"/>
  <c r="G739" i="5"/>
  <c r="F739" i="5"/>
  <c r="G738" i="5"/>
  <c r="F738" i="5"/>
  <c r="G737" i="5"/>
  <c r="F737" i="5"/>
  <c r="G736" i="5"/>
  <c r="F736" i="5"/>
  <c r="G735" i="5"/>
  <c r="F735" i="5"/>
  <c r="G734" i="5"/>
  <c r="F734" i="5"/>
  <c r="G733" i="5"/>
  <c r="F733" i="5"/>
  <c r="G732" i="5"/>
  <c r="F732" i="5"/>
  <c r="G731" i="5"/>
  <c r="F731" i="5"/>
  <c r="G730" i="5"/>
  <c r="F730" i="5"/>
  <c r="G729" i="5"/>
  <c r="F729" i="5"/>
  <c r="G728" i="5"/>
  <c r="F728" i="5"/>
  <c r="G727" i="5"/>
  <c r="F727" i="5"/>
  <c r="G726" i="5"/>
  <c r="F726" i="5"/>
  <c r="G725" i="5"/>
  <c r="F725" i="5"/>
  <c r="G724" i="5"/>
  <c r="F724" i="5"/>
  <c r="G723" i="5"/>
  <c r="F723" i="5"/>
  <c r="G722" i="5"/>
  <c r="F722" i="5"/>
  <c r="G721" i="5"/>
  <c r="F721" i="5"/>
  <c r="G720" i="5"/>
  <c r="F720" i="5"/>
  <c r="G719" i="5"/>
  <c r="F719" i="5"/>
  <c r="G718" i="5"/>
  <c r="F718" i="5"/>
  <c r="G717" i="5"/>
  <c r="F717" i="5"/>
  <c r="G716" i="5"/>
  <c r="F716" i="5"/>
  <c r="G715" i="5"/>
  <c r="F715" i="5"/>
  <c r="G714" i="5"/>
  <c r="F714" i="5"/>
  <c r="G713" i="5"/>
  <c r="F713" i="5"/>
  <c r="G712" i="5"/>
  <c r="F712" i="5"/>
  <c r="G711" i="5"/>
  <c r="F711" i="5"/>
  <c r="G710" i="5"/>
  <c r="F710" i="5"/>
  <c r="G709" i="5"/>
  <c r="F709" i="5"/>
  <c r="G708" i="5"/>
  <c r="F708" i="5"/>
  <c r="G707" i="5"/>
  <c r="F707" i="5"/>
  <c r="G706" i="5"/>
  <c r="F706" i="5"/>
  <c r="G705" i="5"/>
  <c r="F705" i="5"/>
  <c r="G704" i="5"/>
  <c r="F704" i="5"/>
  <c r="G703" i="5"/>
  <c r="F703" i="5"/>
  <c r="G702" i="5"/>
  <c r="F702" i="5"/>
  <c r="G701" i="5"/>
  <c r="F701" i="5"/>
  <c r="G700" i="5"/>
  <c r="F700" i="5"/>
  <c r="G699" i="5"/>
  <c r="F699" i="5"/>
  <c r="G698" i="5"/>
  <c r="F698" i="5"/>
  <c r="G697" i="5"/>
  <c r="F697" i="5"/>
  <c r="G696" i="5"/>
  <c r="F696" i="5"/>
  <c r="G695" i="5"/>
  <c r="F695" i="5"/>
  <c r="G694" i="5"/>
  <c r="F694" i="5"/>
  <c r="G693" i="5"/>
  <c r="F693" i="5"/>
  <c r="G692" i="5"/>
  <c r="F692" i="5"/>
  <c r="G691" i="5"/>
  <c r="F691" i="5"/>
  <c r="G690" i="5"/>
  <c r="F690" i="5"/>
  <c r="G689" i="5"/>
  <c r="F689" i="5"/>
  <c r="G688" i="5"/>
  <c r="F688" i="5"/>
  <c r="G687" i="5"/>
  <c r="F687" i="5"/>
  <c r="G686" i="5"/>
  <c r="F686" i="5"/>
  <c r="G685" i="5"/>
  <c r="F685" i="5"/>
  <c r="G684" i="5"/>
  <c r="F684" i="5"/>
  <c r="G683" i="5"/>
  <c r="F683" i="5"/>
  <c r="G682" i="5"/>
  <c r="F682" i="5"/>
  <c r="G681" i="5"/>
  <c r="F681" i="5"/>
  <c r="G680" i="5"/>
  <c r="F680" i="5"/>
  <c r="G679" i="5"/>
  <c r="F679" i="5"/>
  <c r="G678" i="5"/>
  <c r="F678" i="5"/>
  <c r="G677" i="5"/>
  <c r="F677" i="5"/>
  <c r="G676" i="5"/>
  <c r="F676" i="5"/>
  <c r="G675" i="5"/>
  <c r="F675" i="5"/>
  <c r="G674" i="5"/>
  <c r="F674" i="5"/>
  <c r="G673" i="5"/>
  <c r="F673" i="5"/>
  <c r="G672" i="5"/>
  <c r="F672" i="5"/>
  <c r="G671" i="5"/>
  <c r="F671" i="5"/>
  <c r="G670" i="5"/>
  <c r="F670" i="5"/>
  <c r="G669" i="5"/>
  <c r="F669" i="5"/>
  <c r="G668" i="5"/>
  <c r="F668" i="5"/>
  <c r="G667" i="5"/>
  <c r="F667" i="5"/>
  <c r="G666" i="5"/>
  <c r="F666" i="5"/>
  <c r="G665" i="5"/>
  <c r="F665" i="5"/>
  <c r="G664" i="5"/>
  <c r="F664" i="5"/>
  <c r="G663" i="5"/>
  <c r="F663" i="5"/>
  <c r="G662" i="5"/>
  <c r="F662" i="5"/>
  <c r="G661" i="5"/>
  <c r="F661" i="5"/>
  <c r="G660" i="5"/>
  <c r="F660" i="5"/>
  <c r="G659" i="5"/>
  <c r="F659" i="5"/>
  <c r="G658" i="5"/>
  <c r="F658" i="5"/>
  <c r="G657" i="5"/>
  <c r="F657" i="5"/>
  <c r="G656" i="5"/>
  <c r="F656" i="5"/>
  <c r="G655" i="5"/>
  <c r="F655" i="5"/>
  <c r="G654" i="5"/>
  <c r="F654" i="5"/>
  <c r="G653" i="5"/>
  <c r="F653" i="5"/>
  <c r="G652" i="5"/>
  <c r="F652" i="5"/>
  <c r="G651" i="5"/>
  <c r="F651" i="5"/>
  <c r="G650" i="5"/>
  <c r="F650" i="5"/>
  <c r="G649" i="5"/>
  <c r="F649" i="5"/>
  <c r="G648" i="5"/>
  <c r="F648" i="5"/>
  <c r="G647" i="5"/>
  <c r="F647" i="5"/>
  <c r="G646" i="5"/>
  <c r="F646" i="5"/>
  <c r="G645" i="5"/>
  <c r="F645" i="5"/>
  <c r="G644" i="5"/>
  <c r="F644" i="5"/>
  <c r="G643" i="5"/>
  <c r="F643" i="5"/>
  <c r="G642" i="5"/>
  <c r="F642" i="5"/>
  <c r="G641" i="5"/>
  <c r="F641" i="5"/>
  <c r="G640" i="5"/>
  <c r="F640" i="5"/>
  <c r="G639" i="5"/>
  <c r="F639" i="5"/>
  <c r="G638" i="5"/>
  <c r="F638" i="5"/>
  <c r="G637" i="5"/>
  <c r="F637" i="5"/>
  <c r="G636" i="5"/>
  <c r="F636" i="5"/>
  <c r="G635" i="5"/>
  <c r="F635" i="5"/>
  <c r="G634" i="5"/>
  <c r="F634" i="5"/>
  <c r="G633" i="5"/>
  <c r="F633" i="5"/>
  <c r="G632" i="5"/>
  <c r="F632" i="5"/>
  <c r="G631" i="5"/>
  <c r="F631" i="5"/>
  <c r="G630" i="5"/>
  <c r="F630" i="5"/>
  <c r="G629" i="5"/>
  <c r="F629" i="5"/>
  <c r="G628" i="5"/>
  <c r="F628" i="5"/>
  <c r="G627" i="5"/>
  <c r="F627" i="5"/>
  <c r="G626" i="5"/>
  <c r="F626" i="5"/>
  <c r="G625" i="5"/>
  <c r="F625" i="5"/>
  <c r="G624" i="5"/>
  <c r="F624" i="5"/>
  <c r="G623" i="5"/>
  <c r="F623" i="5"/>
  <c r="G622" i="5"/>
  <c r="F622" i="5"/>
  <c r="G621" i="5"/>
  <c r="F621" i="5"/>
  <c r="G620" i="5"/>
  <c r="F620" i="5"/>
  <c r="G619" i="5"/>
  <c r="F619" i="5"/>
  <c r="G618" i="5"/>
  <c r="F618" i="5"/>
  <c r="G617" i="5"/>
  <c r="F617" i="5"/>
  <c r="G616" i="5"/>
  <c r="F616" i="5"/>
  <c r="G615" i="5"/>
  <c r="F615" i="5"/>
  <c r="G614" i="5"/>
  <c r="F614" i="5"/>
  <c r="G613" i="5"/>
  <c r="F613" i="5"/>
  <c r="G612" i="5"/>
  <c r="F612" i="5"/>
  <c r="G611" i="5"/>
  <c r="F611" i="5"/>
  <c r="G610" i="5"/>
  <c r="F610" i="5"/>
  <c r="G609" i="5"/>
  <c r="F609" i="5"/>
  <c r="G608" i="5"/>
  <c r="F608" i="5"/>
  <c r="G607" i="5"/>
  <c r="F607" i="5"/>
  <c r="G606" i="5"/>
  <c r="F606" i="5"/>
  <c r="G605" i="5"/>
  <c r="F605" i="5"/>
  <c r="G604" i="5"/>
  <c r="F604" i="5"/>
  <c r="G603" i="5"/>
  <c r="F603" i="5"/>
  <c r="G602" i="5"/>
  <c r="F602" i="5"/>
  <c r="G601" i="5"/>
  <c r="F601" i="5"/>
  <c r="G600" i="5"/>
  <c r="F600" i="5"/>
  <c r="G599" i="5"/>
  <c r="F599" i="5"/>
  <c r="G598" i="5"/>
  <c r="F598" i="5"/>
  <c r="G597" i="5"/>
  <c r="F597" i="5"/>
  <c r="G596" i="5"/>
  <c r="F596" i="5"/>
  <c r="G595" i="5"/>
  <c r="F595" i="5"/>
  <c r="G594" i="5"/>
  <c r="F594" i="5"/>
  <c r="G593" i="5"/>
  <c r="F593" i="5"/>
  <c r="G592" i="5"/>
  <c r="F592" i="5"/>
  <c r="G591" i="5"/>
  <c r="F591" i="5"/>
  <c r="G590" i="5"/>
  <c r="F590" i="5"/>
  <c r="G589" i="5"/>
  <c r="F589" i="5"/>
  <c r="G588" i="5"/>
  <c r="F588" i="5"/>
  <c r="G587" i="5"/>
  <c r="F587" i="5"/>
  <c r="G586" i="5"/>
  <c r="F586" i="5"/>
  <c r="G585" i="5"/>
  <c r="F585" i="5"/>
  <c r="G584" i="5"/>
  <c r="F584" i="5"/>
  <c r="G583" i="5"/>
  <c r="F583" i="5"/>
  <c r="G582" i="5"/>
  <c r="F582" i="5"/>
  <c r="G581" i="5"/>
  <c r="F581" i="5"/>
  <c r="G580" i="5"/>
  <c r="F580" i="5"/>
  <c r="G579" i="5"/>
  <c r="F579" i="5"/>
  <c r="G578" i="5"/>
  <c r="F578" i="5"/>
  <c r="G577" i="5"/>
  <c r="F577" i="5"/>
  <c r="G576" i="5"/>
  <c r="F576" i="5"/>
  <c r="G575" i="5"/>
  <c r="F575" i="5"/>
  <c r="G574" i="5"/>
  <c r="F574" i="5"/>
  <c r="G573" i="5"/>
  <c r="F573" i="5"/>
  <c r="G572" i="5"/>
  <c r="F572" i="5"/>
  <c r="G571" i="5"/>
  <c r="F571" i="5"/>
  <c r="G570" i="5"/>
  <c r="F570" i="5"/>
  <c r="G569" i="5"/>
  <c r="F569" i="5"/>
  <c r="G568" i="5"/>
  <c r="F568" i="5"/>
  <c r="G567" i="5"/>
  <c r="F567" i="5"/>
  <c r="G566" i="5"/>
  <c r="F566" i="5"/>
  <c r="G565" i="5"/>
  <c r="F565" i="5"/>
  <c r="G564" i="5"/>
  <c r="F564" i="5"/>
  <c r="G563" i="5"/>
  <c r="F563" i="5"/>
  <c r="G562" i="5"/>
  <c r="F562" i="5"/>
  <c r="G561" i="5"/>
  <c r="F561" i="5"/>
  <c r="G560" i="5"/>
  <c r="F560" i="5"/>
  <c r="G559" i="5"/>
  <c r="F559" i="5"/>
  <c r="G558" i="5"/>
  <c r="F558" i="5"/>
  <c r="G557" i="5"/>
  <c r="F557" i="5"/>
  <c r="G556" i="5"/>
  <c r="F556" i="5"/>
  <c r="G555" i="5"/>
  <c r="F555" i="5"/>
  <c r="G554" i="5"/>
  <c r="F554" i="5"/>
  <c r="G553" i="5"/>
  <c r="F553" i="5"/>
  <c r="G552" i="5"/>
  <c r="F552" i="5"/>
  <c r="G551" i="5"/>
  <c r="F551" i="5"/>
  <c r="G550" i="5"/>
  <c r="F550" i="5"/>
  <c r="G549" i="5"/>
  <c r="F549" i="5"/>
  <c r="G548" i="5"/>
  <c r="F548" i="5"/>
  <c r="G547" i="5"/>
  <c r="F547" i="5"/>
  <c r="G546" i="5"/>
  <c r="F546" i="5"/>
  <c r="G545" i="5"/>
  <c r="F545" i="5"/>
  <c r="G544" i="5"/>
  <c r="F544" i="5"/>
  <c r="G543" i="5"/>
  <c r="F543" i="5"/>
  <c r="G542" i="5"/>
  <c r="F542" i="5"/>
  <c r="G541" i="5"/>
  <c r="F541" i="5"/>
  <c r="G540" i="5"/>
  <c r="F540" i="5"/>
  <c r="G539" i="5"/>
  <c r="F539" i="5"/>
  <c r="G538" i="5"/>
  <c r="F538" i="5"/>
  <c r="G537" i="5"/>
  <c r="F537" i="5"/>
  <c r="G536" i="5"/>
  <c r="F536" i="5"/>
  <c r="G535" i="5"/>
  <c r="F535" i="5"/>
  <c r="G534" i="5"/>
  <c r="F534" i="5"/>
  <c r="G533" i="5"/>
  <c r="F533" i="5"/>
  <c r="G532" i="5"/>
  <c r="F532" i="5"/>
  <c r="G531" i="5"/>
  <c r="F531" i="5"/>
  <c r="G530" i="5"/>
  <c r="F530" i="5"/>
  <c r="G529" i="5"/>
  <c r="F529" i="5"/>
  <c r="G528" i="5"/>
  <c r="F528" i="5"/>
  <c r="G527" i="5"/>
  <c r="F527" i="5"/>
  <c r="G526" i="5"/>
  <c r="F526" i="5"/>
  <c r="G525" i="5"/>
  <c r="F525" i="5"/>
  <c r="G524" i="5"/>
  <c r="F524" i="5"/>
  <c r="G523" i="5"/>
  <c r="F523" i="5"/>
  <c r="G522" i="5"/>
  <c r="F522" i="5"/>
  <c r="G521" i="5"/>
  <c r="F521" i="5"/>
  <c r="G520" i="5"/>
  <c r="F520" i="5"/>
  <c r="G519" i="5"/>
  <c r="F519" i="5"/>
  <c r="G518" i="5"/>
  <c r="F518" i="5"/>
  <c r="G517" i="5"/>
  <c r="F517" i="5"/>
  <c r="G516" i="5"/>
  <c r="F516" i="5"/>
  <c r="G515" i="5"/>
  <c r="F515" i="5"/>
  <c r="G514" i="5"/>
  <c r="F514" i="5"/>
  <c r="G513" i="5"/>
  <c r="F513" i="5"/>
  <c r="G512" i="5"/>
  <c r="F512" i="5"/>
  <c r="G511" i="5"/>
  <c r="F511" i="5"/>
  <c r="G510" i="5"/>
  <c r="F510" i="5"/>
  <c r="G509" i="5"/>
  <c r="F509" i="5"/>
  <c r="G508" i="5"/>
  <c r="F508" i="5"/>
  <c r="G507" i="5"/>
  <c r="F507" i="5"/>
  <c r="G506" i="5"/>
  <c r="F506" i="5"/>
  <c r="G505" i="5"/>
  <c r="F505" i="5"/>
  <c r="G504" i="5"/>
  <c r="F504" i="5"/>
  <c r="G503" i="5"/>
  <c r="F503" i="5"/>
  <c r="G502" i="5"/>
  <c r="F502" i="5"/>
  <c r="G501" i="5"/>
  <c r="F501" i="5"/>
  <c r="G500" i="5"/>
  <c r="F500" i="5"/>
  <c r="G499" i="5"/>
  <c r="F499" i="5"/>
  <c r="G498" i="5"/>
  <c r="F498" i="5"/>
  <c r="G497" i="5"/>
  <c r="F497" i="5"/>
  <c r="G496" i="5"/>
  <c r="F496" i="5"/>
  <c r="G495" i="5"/>
  <c r="F495" i="5"/>
  <c r="G494" i="5"/>
  <c r="F494" i="5"/>
  <c r="G493" i="5"/>
  <c r="F493" i="5"/>
  <c r="G492" i="5"/>
  <c r="F492" i="5"/>
  <c r="G491" i="5"/>
  <c r="F491" i="5"/>
  <c r="G490" i="5"/>
  <c r="F490" i="5"/>
  <c r="G489" i="5"/>
  <c r="F489" i="5"/>
  <c r="G488" i="5"/>
  <c r="F488" i="5"/>
  <c r="G487" i="5"/>
  <c r="F487" i="5"/>
  <c r="G486" i="5"/>
  <c r="F486" i="5"/>
  <c r="G485" i="5"/>
  <c r="F485" i="5"/>
  <c r="G484" i="5"/>
  <c r="F484" i="5"/>
  <c r="G483" i="5"/>
  <c r="F483" i="5"/>
  <c r="G482" i="5"/>
  <c r="F482" i="5"/>
  <c r="G481" i="5"/>
  <c r="F481" i="5"/>
  <c r="G480" i="5"/>
  <c r="F480" i="5"/>
  <c r="G479" i="5"/>
  <c r="F479" i="5"/>
  <c r="G478" i="5"/>
  <c r="F478" i="5"/>
  <c r="G477" i="5"/>
  <c r="F477" i="5"/>
  <c r="G476" i="5"/>
  <c r="F476" i="5"/>
  <c r="G475" i="5"/>
  <c r="F475" i="5"/>
  <c r="G474" i="5"/>
  <c r="F474" i="5"/>
  <c r="G473" i="5"/>
  <c r="F473" i="5"/>
  <c r="G472" i="5"/>
  <c r="F472" i="5"/>
  <c r="G471" i="5"/>
  <c r="F471" i="5"/>
  <c r="G470" i="5"/>
  <c r="F470" i="5"/>
  <c r="G469" i="5"/>
  <c r="F469" i="5"/>
  <c r="G468" i="5"/>
  <c r="F468" i="5"/>
  <c r="G467" i="5"/>
  <c r="F467" i="5"/>
  <c r="G466" i="5"/>
  <c r="F466" i="5"/>
  <c r="G465" i="5"/>
  <c r="F465" i="5"/>
  <c r="G464" i="5"/>
  <c r="F464" i="5"/>
  <c r="G463" i="5"/>
  <c r="F463" i="5"/>
  <c r="G462" i="5"/>
  <c r="F462" i="5"/>
  <c r="G461" i="5"/>
  <c r="F461" i="5"/>
  <c r="G460" i="5"/>
  <c r="F460" i="5"/>
  <c r="G459" i="5"/>
  <c r="F459" i="5"/>
  <c r="G458" i="5"/>
  <c r="F458" i="5"/>
  <c r="G457" i="5"/>
  <c r="F457" i="5"/>
  <c r="G456" i="5"/>
  <c r="F456" i="5"/>
  <c r="G455" i="5"/>
  <c r="F455" i="5"/>
  <c r="G454" i="5"/>
  <c r="F454" i="5"/>
  <c r="G453" i="5"/>
  <c r="F453" i="5"/>
  <c r="G452" i="5"/>
  <c r="F452" i="5"/>
  <c r="G451" i="5"/>
  <c r="F451" i="5"/>
  <c r="G450" i="5"/>
  <c r="F450" i="5"/>
  <c r="G449" i="5"/>
  <c r="F449" i="5"/>
  <c r="G448" i="5"/>
  <c r="F448" i="5"/>
  <c r="G447" i="5"/>
  <c r="F447" i="5"/>
  <c r="G446" i="5"/>
  <c r="F446" i="5"/>
  <c r="G445" i="5"/>
  <c r="F445" i="5"/>
  <c r="G444" i="5"/>
  <c r="F444" i="5"/>
  <c r="G443" i="5"/>
  <c r="F443" i="5"/>
  <c r="G442" i="5"/>
  <c r="F442" i="5"/>
  <c r="G441" i="5"/>
  <c r="F441" i="5"/>
  <c r="G440" i="5"/>
  <c r="F440" i="5"/>
  <c r="G439" i="5"/>
  <c r="F439" i="5"/>
  <c r="G438" i="5"/>
  <c r="F438" i="5"/>
  <c r="G437" i="5"/>
  <c r="F437" i="5"/>
  <c r="G436" i="5"/>
  <c r="F436" i="5"/>
  <c r="G435" i="5"/>
  <c r="F435" i="5"/>
  <c r="G434" i="5"/>
  <c r="F434" i="5"/>
  <c r="G433" i="5"/>
  <c r="F433" i="5"/>
  <c r="G432" i="5"/>
  <c r="F432" i="5"/>
  <c r="G431" i="5"/>
  <c r="F431" i="5"/>
  <c r="G430" i="5"/>
  <c r="F430" i="5"/>
  <c r="G429" i="5"/>
  <c r="F429" i="5"/>
  <c r="G428" i="5"/>
  <c r="F428" i="5"/>
  <c r="G427" i="5"/>
  <c r="F427" i="5"/>
  <c r="G426" i="5"/>
  <c r="F426" i="5"/>
  <c r="G425" i="5"/>
  <c r="F425" i="5"/>
  <c r="G424" i="5"/>
  <c r="F424" i="5"/>
  <c r="G423" i="5"/>
  <c r="F423" i="5"/>
  <c r="G422" i="5"/>
  <c r="F422" i="5"/>
  <c r="G421" i="5"/>
  <c r="F421" i="5"/>
  <c r="G420" i="5"/>
  <c r="F420" i="5"/>
  <c r="G419" i="5"/>
  <c r="F419" i="5"/>
  <c r="G418" i="5"/>
  <c r="F418" i="5"/>
  <c r="G417" i="5"/>
  <c r="F417" i="5"/>
  <c r="G416" i="5"/>
  <c r="F416" i="5"/>
  <c r="G415" i="5"/>
  <c r="F415" i="5"/>
  <c r="G414" i="5"/>
  <c r="F414" i="5"/>
  <c r="G413" i="5"/>
  <c r="F413" i="5"/>
  <c r="G412" i="5"/>
  <c r="F412" i="5"/>
  <c r="G411" i="5"/>
  <c r="F411" i="5"/>
  <c r="G410" i="5"/>
  <c r="F410" i="5"/>
  <c r="G409" i="5"/>
  <c r="F409" i="5"/>
  <c r="G408" i="5"/>
  <c r="F408" i="5"/>
  <c r="G407" i="5"/>
  <c r="F407" i="5"/>
  <c r="G406" i="5"/>
  <c r="F406" i="5"/>
  <c r="G405" i="5"/>
  <c r="F405" i="5"/>
  <c r="G404" i="5"/>
  <c r="F404" i="5"/>
  <c r="G403" i="5"/>
  <c r="F403" i="5"/>
  <c r="G402" i="5"/>
  <c r="F402" i="5"/>
  <c r="G401" i="5"/>
  <c r="F401" i="5"/>
  <c r="G400" i="5"/>
  <c r="F400" i="5"/>
  <c r="G399" i="5"/>
  <c r="F399" i="5"/>
  <c r="G398" i="5"/>
  <c r="F398" i="5"/>
  <c r="G397" i="5"/>
  <c r="F397" i="5"/>
  <c r="G396" i="5"/>
  <c r="F396" i="5"/>
  <c r="G395" i="5"/>
  <c r="F395" i="5"/>
  <c r="G394" i="5"/>
  <c r="F394" i="5"/>
  <c r="G393" i="5"/>
  <c r="F393" i="5"/>
  <c r="G392" i="5"/>
  <c r="F392" i="5"/>
  <c r="G391" i="5"/>
  <c r="F391" i="5"/>
  <c r="G390" i="5"/>
  <c r="F390" i="5"/>
  <c r="G389" i="5"/>
  <c r="F389" i="5"/>
  <c r="G388" i="5"/>
  <c r="F388" i="5"/>
  <c r="G387" i="5"/>
  <c r="F387" i="5"/>
  <c r="G386" i="5"/>
  <c r="F386" i="5"/>
  <c r="G385" i="5"/>
  <c r="F385" i="5"/>
  <c r="G384" i="5"/>
  <c r="F384" i="5"/>
  <c r="G383" i="5"/>
  <c r="F383" i="5"/>
  <c r="G382" i="5"/>
  <c r="F382" i="5"/>
  <c r="G381" i="5"/>
  <c r="F381" i="5"/>
  <c r="G380" i="5"/>
  <c r="F380" i="5"/>
  <c r="G379" i="5"/>
  <c r="F379" i="5"/>
  <c r="G378" i="5"/>
  <c r="F378" i="5"/>
  <c r="G377" i="5"/>
  <c r="F377" i="5"/>
  <c r="G376" i="5"/>
  <c r="F376" i="5"/>
  <c r="G375" i="5"/>
  <c r="F375" i="5"/>
  <c r="G374" i="5"/>
  <c r="F374" i="5"/>
  <c r="G373" i="5"/>
  <c r="F373" i="5"/>
  <c r="G372" i="5"/>
  <c r="F372" i="5"/>
  <c r="G371" i="5"/>
  <c r="F371" i="5"/>
  <c r="G370" i="5"/>
  <c r="F370" i="5"/>
  <c r="G369" i="5"/>
  <c r="F369" i="5"/>
  <c r="G368" i="5"/>
  <c r="F368" i="5"/>
  <c r="G367" i="5"/>
  <c r="F367" i="5"/>
  <c r="G366" i="5"/>
  <c r="F366" i="5"/>
  <c r="G365" i="5"/>
  <c r="F365" i="5"/>
  <c r="G364" i="5"/>
  <c r="F364" i="5"/>
  <c r="G363" i="5"/>
  <c r="F363" i="5"/>
  <c r="G362" i="5"/>
  <c r="F362" i="5"/>
  <c r="G361" i="5"/>
  <c r="F361" i="5"/>
  <c r="G360" i="5"/>
  <c r="F360" i="5"/>
  <c r="G359" i="5"/>
  <c r="F359" i="5"/>
  <c r="G358" i="5"/>
  <c r="F358" i="5"/>
  <c r="G357" i="5"/>
  <c r="F357" i="5"/>
  <c r="G356" i="5"/>
  <c r="F356" i="5"/>
  <c r="G355" i="5"/>
  <c r="F355" i="5"/>
  <c r="G354" i="5"/>
  <c r="F354" i="5"/>
  <c r="G353" i="5"/>
  <c r="F353" i="5"/>
  <c r="G352" i="5"/>
  <c r="F352" i="5"/>
  <c r="G351" i="5"/>
  <c r="F351" i="5"/>
  <c r="G350" i="5"/>
  <c r="F350" i="5"/>
  <c r="G349" i="5"/>
  <c r="F349" i="5"/>
  <c r="G348" i="5"/>
  <c r="F348" i="5"/>
  <c r="G347" i="5"/>
  <c r="F347" i="5"/>
  <c r="G346" i="5"/>
  <c r="F346" i="5"/>
  <c r="G345" i="5"/>
  <c r="F345" i="5"/>
  <c r="G344" i="5"/>
  <c r="F344" i="5"/>
  <c r="G343" i="5"/>
  <c r="F343" i="5"/>
  <c r="G342" i="5"/>
  <c r="F342" i="5"/>
  <c r="G341" i="5"/>
  <c r="F341" i="5"/>
  <c r="G340" i="5"/>
  <c r="F340" i="5"/>
  <c r="G339" i="5"/>
  <c r="F339" i="5"/>
  <c r="G338" i="5"/>
  <c r="F338" i="5"/>
  <c r="G337" i="5"/>
  <c r="F337" i="5"/>
  <c r="G336" i="5"/>
  <c r="F336" i="5"/>
  <c r="G335" i="5"/>
  <c r="F335" i="5"/>
  <c r="G334" i="5"/>
  <c r="F334" i="5"/>
  <c r="G333" i="5"/>
  <c r="F333" i="5"/>
  <c r="G332" i="5"/>
  <c r="F332" i="5"/>
  <c r="G331" i="5"/>
  <c r="F331" i="5"/>
  <c r="G330" i="5"/>
  <c r="F330" i="5"/>
  <c r="G329" i="5"/>
  <c r="F329" i="5"/>
  <c r="G328" i="5"/>
  <c r="F328" i="5"/>
  <c r="G327" i="5"/>
  <c r="F327" i="5"/>
  <c r="G326" i="5"/>
  <c r="F326" i="5"/>
  <c r="G325" i="5"/>
  <c r="F325" i="5"/>
  <c r="G324" i="5"/>
  <c r="F324" i="5"/>
  <c r="G323" i="5"/>
  <c r="F323" i="5"/>
  <c r="G322" i="5"/>
  <c r="F322" i="5"/>
  <c r="G321" i="5"/>
  <c r="F321" i="5"/>
  <c r="G320" i="5"/>
  <c r="F320" i="5"/>
  <c r="G319" i="5"/>
  <c r="F319" i="5"/>
  <c r="G318" i="5"/>
  <c r="F318" i="5"/>
  <c r="G317" i="5"/>
  <c r="F317" i="5"/>
  <c r="G316" i="5"/>
  <c r="F316" i="5"/>
  <c r="G315" i="5"/>
  <c r="F315" i="5"/>
  <c r="G314" i="5"/>
  <c r="F314" i="5"/>
  <c r="G313" i="5"/>
  <c r="F313" i="5"/>
  <c r="G312" i="5"/>
  <c r="F312" i="5"/>
  <c r="G311" i="5"/>
  <c r="F311" i="5"/>
  <c r="G310" i="5"/>
  <c r="F310" i="5"/>
  <c r="G309" i="5"/>
  <c r="F309" i="5"/>
  <c r="G308" i="5"/>
  <c r="F308" i="5"/>
  <c r="G307" i="5"/>
  <c r="F307" i="5"/>
  <c r="G306" i="5"/>
  <c r="F306" i="5"/>
  <c r="G305" i="5"/>
  <c r="F305" i="5"/>
  <c r="G304" i="5"/>
  <c r="F304" i="5"/>
  <c r="G303" i="5"/>
  <c r="F303" i="5"/>
  <c r="G302" i="5"/>
  <c r="F302" i="5"/>
  <c r="G301" i="5"/>
  <c r="F301" i="5"/>
  <c r="G300" i="5"/>
  <c r="F300" i="5"/>
  <c r="G299" i="5"/>
  <c r="F299" i="5"/>
  <c r="G298" i="5"/>
  <c r="F298" i="5"/>
  <c r="G297" i="5"/>
  <c r="F297" i="5"/>
  <c r="G296" i="5"/>
  <c r="F296" i="5"/>
  <c r="G295" i="5"/>
  <c r="F295" i="5"/>
  <c r="G294" i="5"/>
  <c r="F294" i="5"/>
  <c r="G293" i="5"/>
  <c r="F293" i="5"/>
  <c r="G292" i="5"/>
  <c r="F292" i="5"/>
  <c r="G291" i="5"/>
  <c r="F291" i="5"/>
  <c r="G290" i="5"/>
  <c r="F290" i="5"/>
  <c r="G289" i="5"/>
  <c r="F289" i="5"/>
  <c r="G288" i="5"/>
  <c r="F288" i="5"/>
  <c r="G287" i="5"/>
  <c r="F287" i="5"/>
  <c r="G286" i="5"/>
  <c r="F286" i="5"/>
  <c r="G285" i="5"/>
  <c r="F285" i="5"/>
  <c r="G284" i="5"/>
  <c r="F284" i="5"/>
  <c r="G283" i="5"/>
  <c r="F283" i="5"/>
  <c r="G282" i="5"/>
  <c r="F282" i="5"/>
  <c r="G281" i="5"/>
  <c r="F281" i="5"/>
  <c r="G280" i="5"/>
  <c r="F280" i="5"/>
  <c r="G279" i="5"/>
  <c r="F279" i="5"/>
  <c r="G278" i="5"/>
  <c r="F278" i="5"/>
  <c r="G277" i="5"/>
  <c r="F277" i="5"/>
  <c r="G276" i="5"/>
  <c r="F276" i="5"/>
  <c r="G275" i="5"/>
  <c r="F275" i="5"/>
  <c r="G274" i="5"/>
  <c r="F274" i="5"/>
  <c r="G273" i="5"/>
  <c r="F273" i="5"/>
  <c r="G272" i="5"/>
  <c r="F272" i="5"/>
  <c r="G271" i="5"/>
  <c r="F271" i="5"/>
  <c r="G270" i="5"/>
  <c r="F270" i="5"/>
  <c r="G269" i="5"/>
  <c r="F269" i="5"/>
  <c r="G268" i="5"/>
  <c r="F268" i="5"/>
  <c r="G267" i="5"/>
  <c r="F267" i="5"/>
  <c r="G266" i="5"/>
  <c r="F266" i="5"/>
  <c r="G265" i="5"/>
  <c r="F265" i="5"/>
  <c r="G264" i="5"/>
  <c r="F264" i="5"/>
  <c r="G263" i="5"/>
  <c r="F263" i="5"/>
  <c r="G262" i="5"/>
  <c r="F262" i="5"/>
  <c r="G261" i="5"/>
  <c r="F261" i="5"/>
  <c r="G260" i="5"/>
  <c r="F260" i="5"/>
  <c r="G259" i="5"/>
  <c r="F259" i="5"/>
  <c r="G258" i="5"/>
  <c r="F258" i="5"/>
  <c r="G257" i="5"/>
  <c r="F257" i="5"/>
  <c r="G256" i="5"/>
  <c r="F256" i="5"/>
  <c r="G255" i="5"/>
  <c r="F255" i="5"/>
  <c r="G254" i="5"/>
  <c r="F254" i="5"/>
  <c r="G253" i="5"/>
  <c r="F253" i="5"/>
  <c r="G252" i="5"/>
  <c r="F252" i="5"/>
  <c r="G251" i="5"/>
  <c r="F251" i="5"/>
  <c r="G250" i="5"/>
  <c r="F250" i="5"/>
  <c r="G249" i="5"/>
  <c r="F249" i="5"/>
  <c r="G248" i="5"/>
  <c r="F248" i="5"/>
  <c r="G247" i="5"/>
  <c r="F247" i="5"/>
  <c r="G246" i="5"/>
  <c r="F246" i="5"/>
  <c r="G245" i="5"/>
  <c r="F245" i="5"/>
  <c r="G244" i="5"/>
  <c r="F244" i="5"/>
  <c r="G243" i="5"/>
  <c r="F243" i="5"/>
  <c r="G242" i="5"/>
  <c r="F242" i="5"/>
  <c r="G241" i="5"/>
  <c r="F241" i="5"/>
  <c r="G240" i="5"/>
  <c r="F240" i="5"/>
  <c r="G239" i="5"/>
  <c r="F239" i="5"/>
  <c r="G238" i="5"/>
  <c r="F238" i="5"/>
  <c r="G237" i="5"/>
  <c r="F237" i="5"/>
  <c r="G236" i="5"/>
  <c r="F236" i="5"/>
  <c r="G235" i="5"/>
  <c r="F235" i="5"/>
  <c r="G234" i="5"/>
  <c r="F234" i="5"/>
  <c r="G233" i="5"/>
  <c r="F233" i="5"/>
  <c r="G232" i="5"/>
  <c r="F232" i="5"/>
  <c r="G231" i="5"/>
  <c r="F231" i="5"/>
  <c r="G230" i="5"/>
  <c r="F230" i="5"/>
  <c r="G229" i="5"/>
  <c r="F229" i="5"/>
  <c r="G228" i="5"/>
  <c r="F228" i="5"/>
  <c r="G227" i="5"/>
  <c r="F227" i="5"/>
  <c r="G226" i="5"/>
  <c r="F226" i="5"/>
  <c r="G225" i="5"/>
  <c r="F225" i="5"/>
  <c r="G224" i="5"/>
  <c r="F224" i="5"/>
  <c r="G223" i="5"/>
  <c r="F223" i="5"/>
  <c r="G222" i="5"/>
  <c r="F222" i="5"/>
  <c r="G221" i="5"/>
  <c r="F221" i="5"/>
  <c r="G220" i="5"/>
  <c r="F220" i="5"/>
  <c r="G219" i="5"/>
  <c r="F219" i="5"/>
  <c r="G218" i="5"/>
  <c r="F218" i="5"/>
  <c r="G217" i="5"/>
  <c r="F217" i="5"/>
  <c r="G216" i="5"/>
  <c r="F216" i="5"/>
  <c r="G215" i="5"/>
  <c r="F215" i="5"/>
  <c r="G214" i="5"/>
  <c r="F214" i="5"/>
  <c r="G213" i="5"/>
  <c r="F213" i="5"/>
  <c r="G212" i="5"/>
  <c r="F212" i="5"/>
  <c r="G211" i="5"/>
  <c r="F211" i="5"/>
  <c r="G210" i="5"/>
  <c r="F210" i="5"/>
  <c r="G209" i="5"/>
  <c r="F209" i="5"/>
  <c r="G208" i="5"/>
  <c r="F208" i="5"/>
  <c r="G207" i="5"/>
  <c r="F207" i="5"/>
  <c r="G206" i="5"/>
  <c r="F206" i="5"/>
  <c r="G205" i="5"/>
  <c r="F205" i="5"/>
  <c r="G204" i="5"/>
  <c r="F204" i="5"/>
  <c r="G203" i="5"/>
  <c r="F203" i="5"/>
  <c r="G202" i="5"/>
  <c r="F202" i="5"/>
  <c r="G201" i="5"/>
  <c r="F201" i="5"/>
  <c r="G200" i="5"/>
  <c r="F200" i="5"/>
  <c r="G199" i="5"/>
  <c r="F199" i="5"/>
  <c r="G198" i="5"/>
  <c r="F198" i="5"/>
  <c r="G197" i="5"/>
  <c r="F197" i="5"/>
  <c r="G196" i="5"/>
  <c r="F196" i="5"/>
  <c r="G195" i="5"/>
  <c r="F195" i="5"/>
  <c r="G194" i="5"/>
  <c r="F194" i="5"/>
  <c r="G193" i="5"/>
  <c r="F193" i="5"/>
  <c r="G192" i="5"/>
  <c r="F192" i="5"/>
  <c r="G191" i="5"/>
  <c r="F191" i="5"/>
  <c r="G190" i="5"/>
  <c r="F190" i="5"/>
  <c r="G189" i="5"/>
  <c r="F189" i="5"/>
  <c r="G188" i="5"/>
  <c r="F188" i="5"/>
  <c r="G187" i="5"/>
  <c r="F187" i="5"/>
  <c r="G186" i="5"/>
  <c r="F186" i="5"/>
  <c r="G185" i="5"/>
  <c r="F185" i="5"/>
  <c r="G184" i="5"/>
  <c r="F184" i="5"/>
  <c r="G183" i="5"/>
  <c r="F183" i="5"/>
  <c r="G182" i="5"/>
  <c r="F182" i="5"/>
  <c r="G181" i="5"/>
  <c r="F181" i="5"/>
  <c r="G180" i="5"/>
  <c r="F180" i="5"/>
  <c r="G179" i="5"/>
  <c r="F179" i="5"/>
  <c r="G178" i="5"/>
  <c r="F178" i="5"/>
  <c r="G177" i="5"/>
  <c r="F177" i="5"/>
  <c r="G176" i="5"/>
  <c r="F176" i="5"/>
  <c r="G175" i="5"/>
  <c r="F175" i="5"/>
  <c r="G174" i="5"/>
  <c r="F174" i="5"/>
  <c r="G173" i="5"/>
  <c r="F173" i="5"/>
  <c r="G172" i="5"/>
  <c r="F172" i="5"/>
  <c r="G171" i="5"/>
  <c r="F171" i="5"/>
  <c r="G170" i="5"/>
  <c r="F170" i="5"/>
  <c r="G169" i="5"/>
  <c r="F169" i="5"/>
  <c r="G168" i="5"/>
  <c r="F168" i="5"/>
  <c r="G167" i="5"/>
  <c r="F167" i="5"/>
  <c r="G166" i="5"/>
  <c r="F166" i="5"/>
  <c r="G165" i="5"/>
  <c r="F165" i="5"/>
  <c r="G164" i="5"/>
  <c r="F164" i="5"/>
  <c r="G163" i="5"/>
  <c r="F163" i="5"/>
  <c r="G162" i="5"/>
  <c r="F162" i="5"/>
  <c r="G161" i="5"/>
  <c r="F161" i="5"/>
  <c r="G160" i="5"/>
  <c r="F160" i="5"/>
  <c r="G159" i="5"/>
  <c r="F159" i="5"/>
  <c r="G158" i="5"/>
  <c r="F158" i="5"/>
  <c r="G157" i="5"/>
  <c r="F157" i="5"/>
  <c r="G156" i="5"/>
  <c r="F156" i="5"/>
  <c r="G155" i="5"/>
  <c r="F155" i="5"/>
  <c r="G154" i="5"/>
  <c r="F154" i="5"/>
  <c r="G153" i="5"/>
  <c r="F153" i="5"/>
  <c r="G152" i="5"/>
  <c r="F152" i="5"/>
  <c r="G151" i="5"/>
  <c r="F151" i="5"/>
  <c r="G150" i="5"/>
  <c r="F150" i="5"/>
  <c r="G149" i="5"/>
  <c r="F149" i="5"/>
  <c r="G148" i="5"/>
  <c r="F148" i="5"/>
  <c r="G147" i="5"/>
  <c r="F147" i="5"/>
  <c r="G146" i="5"/>
  <c r="F146" i="5"/>
  <c r="G145" i="5"/>
  <c r="F145" i="5"/>
  <c r="G144" i="5"/>
  <c r="F144" i="5"/>
  <c r="G143" i="5"/>
  <c r="F143" i="5"/>
  <c r="G142" i="5"/>
  <c r="F142" i="5"/>
  <c r="G141" i="5"/>
  <c r="F141" i="5"/>
  <c r="G140" i="5"/>
  <c r="F140" i="5"/>
  <c r="G139" i="5"/>
  <c r="F139" i="5"/>
  <c r="G138" i="5"/>
  <c r="F138" i="5"/>
  <c r="G137" i="5"/>
  <c r="F137" i="5"/>
  <c r="G136" i="5"/>
  <c r="F136" i="5"/>
  <c r="G135" i="5"/>
  <c r="F135" i="5"/>
  <c r="G134" i="5"/>
  <c r="F134" i="5"/>
  <c r="G133" i="5"/>
  <c r="F133" i="5"/>
  <c r="G132" i="5"/>
  <c r="F132" i="5"/>
  <c r="G131" i="5"/>
  <c r="F131" i="5"/>
  <c r="G130" i="5"/>
  <c r="F130" i="5"/>
  <c r="G129" i="5"/>
  <c r="F129" i="5"/>
  <c r="G128" i="5"/>
  <c r="F128" i="5"/>
  <c r="G127" i="5"/>
  <c r="F127" i="5"/>
  <c r="G126" i="5"/>
  <c r="F126" i="5"/>
  <c r="G125" i="5"/>
  <c r="F125" i="5"/>
  <c r="G124" i="5"/>
  <c r="F124" i="5"/>
  <c r="G123" i="5"/>
  <c r="F123" i="5"/>
  <c r="G122" i="5"/>
  <c r="F122" i="5"/>
  <c r="G121" i="5"/>
  <c r="F121" i="5"/>
  <c r="G120" i="5"/>
  <c r="F120" i="5"/>
  <c r="G119" i="5"/>
  <c r="F119" i="5"/>
  <c r="G118" i="5"/>
  <c r="F118" i="5"/>
  <c r="G117" i="5"/>
  <c r="F117" i="5"/>
  <c r="G116" i="5"/>
  <c r="F116" i="5"/>
  <c r="G115" i="5"/>
  <c r="F115" i="5"/>
  <c r="G114" i="5"/>
  <c r="F114" i="5"/>
  <c r="G113" i="5"/>
  <c r="F113" i="5"/>
  <c r="G112" i="5"/>
  <c r="F112" i="5"/>
  <c r="G111" i="5"/>
  <c r="F111" i="5"/>
  <c r="G110" i="5"/>
  <c r="F110" i="5"/>
  <c r="G109" i="5"/>
  <c r="F109" i="5"/>
  <c r="G108" i="5"/>
  <c r="F108" i="5"/>
  <c r="G107" i="5"/>
  <c r="F107" i="5"/>
  <c r="G106" i="5"/>
  <c r="F106" i="5"/>
  <c r="G105" i="5"/>
  <c r="F105" i="5"/>
  <c r="G104" i="5"/>
  <c r="F104" i="5"/>
  <c r="G103" i="5"/>
  <c r="F103" i="5"/>
  <c r="G102" i="5"/>
  <c r="F102" i="5"/>
  <c r="G101" i="5"/>
  <c r="F101" i="5"/>
  <c r="G100" i="5"/>
  <c r="F100" i="5"/>
  <c r="G99" i="5"/>
  <c r="F99" i="5"/>
  <c r="G98" i="5"/>
  <c r="F98" i="5"/>
  <c r="G97" i="5"/>
  <c r="F97" i="5"/>
  <c r="G96" i="5"/>
  <c r="F96" i="5"/>
  <c r="G95" i="5"/>
  <c r="F95" i="5"/>
  <c r="G94" i="5"/>
  <c r="F94" i="5"/>
  <c r="G93" i="5"/>
  <c r="F93" i="5"/>
  <c r="G92" i="5"/>
  <c r="F92" i="5"/>
  <c r="G91" i="5"/>
  <c r="F91" i="5"/>
  <c r="G90" i="5"/>
  <c r="F90" i="5"/>
  <c r="G89" i="5"/>
  <c r="F89" i="5"/>
  <c r="G88" i="5"/>
  <c r="F88" i="5"/>
  <c r="G87" i="5"/>
  <c r="F87" i="5"/>
  <c r="G86" i="5"/>
  <c r="F86" i="5"/>
  <c r="G85" i="5"/>
  <c r="F85" i="5"/>
  <c r="G84" i="5"/>
  <c r="F84" i="5"/>
  <c r="G83" i="5"/>
  <c r="F83" i="5"/>
  <c r="G82" i="5"/>
  <c r="F82" i="5"/>
  <c r="G81" i="5"/>
  <c r="F81" i="5"/>
  <c r="G80" i="5"/>
  <c r="F80" i="5"/>
  <c r="G79" i="5"/>
  <c r="F79" i="5"/>
  <c r="G78" i="5"/>
  <c r="F78" i="5"/>
  <c r="G77" i="5"/>
  <c r="F77" i="5"/>
  <c r="G76" i="5"/>
  <c r="F76" i="5"/>
  <c r="G75" i="5"/>
  <c r="F75" i="5"/>
  <c r="G74" i="5"/>
  <c r="F74" i="5"/>
  <c r="G73" i="5"/>
  <c r="F73" i="5"/>
  <c r="G72" i="5"/>
  <c r="F72" i="5"/>
  <c r="G71" i="5"/>
  <c r="F71" i="5"/>
  <c r="G70" i="5"/>
  <c r="F70" i="5"/>
  <c r="G69" i="5"/>
  <c r="F69" i="5"/>
  <c r="G68" i="5"/>
  <c r="F68" i="5"/>
  <c r="G67" i="5"/>
  <c r="F67" i="5"/>
  <c r="G66" i="5"/>
  <c r="F66" i="5"/>
  <c r="G65" i="5"/>
  <c r="F65" i="5"/>
  <c r="G64" i="5"/>
  <c r="F64" i="5"/>
  <c r="G63" i="5"/>
  <c r="F63" i="5"/>
  <c r="G62" i="5"/>
  <c r="F62" i="5"/>
  <c r="G61" i="5"/>
  <c r="F61" i="5"/>
  <c r="G60" i="5"/>
  <c r="F60" i="5"/>
  <c r="G59" i="5"/>
  <c r="F59" i="5"/>
  <c r="G58" i="5"/>
  <c r="F58" i="5"/>
  <c r="G57" i="5"/>
  <c r="F57" i="5"/>
  <c r="G56" i="5"/>
  <c r="F56" i="5"/>
  <c r="G55" i="5"/>
  <c r="F55" i="5"/>
  <c r="G54" i="5"/>
  <c r="F54" i="5"/>
  <c r="G53" i="5"/>
  <c r="F53" i="5"/>
  <c r="G52" i="5"/>
  <c r="F52" i="5"/>
  <c r="G51" i="5"/>
  <c r="F51" i="5"/>
  <c r="G50" i="5"/>
  <c r="F50" i="5"/>
  <c r="G49" i="5"/>
  <c r="F49" i="5"/>
  <c r="G48" i="5"/>
  <c r="F48" i="5"/>
  <c r="G47" i="5"/>
  <c r="F47" i="5"/>
  <c r="G46" i="5"/>
  <c r="F46" i="5"/>
  <c r="G45" i="5"/>
  <c r="F45" i="5"/>
  <c r="G44" i="5"/>
  <c r="F44" i="5"/>
  <c r="G43" i="5"/>
  <c r="F43" i="5"/>
  <c r="G42" i="5"/>
  <c r="F42" i="5"/>
  <c r="G41" i="5"/>
  <c r="F41" i="5"/>
  <c r="G40" i="5"/>
  <c r="F40" i="5"/>
  <c r="G39" i="5"/>
  <c r="F39" i="5"/>
  <c r="G38" i="5"/>
  <c r="F38" i="5"/>
  <c r="G37" i="5"/>
  <c r="F37" i="5"/>
  <c r="G36" i="5"/>
  <c r="F36" i="5"/>
  <c r="G35" i="5"/>
  <c r="F35" i="5"/>
  <c r="G34" i="5"/>
  <c r="F34" i="5"/>
  <c r="G33" i="5"/>
  <c r="F33" i="5"/>
  <c r="G32" i="5"/>
  <c r="F32" i="5"/>
  <c r="G31" i="5"/>
  <c r="F31" i="5"/>
  <c r="G30" i="5"/>
  <c r="F30" i="5"/>
  <c r="G29" i="5"/>
  <c r="F29" i="5"/>
  <c r="G28" i="5"/>
  <c r="F28" i="5"/>
  <c r="G27" i="5"/>
  <c r="F27" i="5"/>
  <c r="G26" i="5"/>
  <c r="F26" i="5"/>
  <c r="G25" i="5"/>
  <c r="F25" i="5"/>
  <c r="G24" i="5"/>
  <c r="F24" i="5"/>
  <c r="G23" i="5"/>
  <c r="F23" i="5"/>
  <c r="G22" i="5"/>
  <c r="F22" i="5"/>
  <c r="G21" i="5"/>
  <c r="F21" i="5"/>
  <c r="G20" i="5"/>
  <c r="F20" i="5"/>
  <c r="G19" i="5"/>
  <c r="F19" i="5"/>
  <c r="G18" i="5"/>
  <c r="F18" i="5"/>
  <c r="G17" i="5"/>
  <c r="F17" i="5"/>
  <c r="G16" i="5"/>
  <c r="F16" i="5"/>
  <c r="G15" i="5"/>
  <c r="F15" i="5"/>
  <c r="G14" i="5"/>
  <c r="F14" i="5"/>
  <c r="G13" i="5"/>
  <c r="F13" i="5"/>
  <c r="G12" i="5"/>
  <c r="F12" i="5"/>
  <c r="G11" i="5"/>
  <c r="F11" i="5"/>
  <c r="G10" i="5"/>
  <c r="F10" i="5"/>
  <c r="G9" i="5"/>
  <c r="F9" i="5"/>
  <c r="G8" i="5"/>
  <c r="F8" i="5"/>
  <c r="G7" i="5"/>
  <c r="F7" i="5"/>
  <c r="G6" i="5"/>
  <c r="F6" i="5"/>
  <c r="K3" i="1"/>
  <c r="Q3" i="1" l="1"/>
  <c r="V3" i="1"/>
  <c r="L655" i="1"/>
  <c r="M655" i="1" s="1"/>
  <c r="L659" i="1"/>
  <c r="L663" i="1"/>
  <c r="L667" i="1"/>
  <c r="L671" i="1"/>
  <c r="L674" i="1"/>
  <c r="M674" i="1" s="1"/>
  <c r="L656" i="1"/>
  <c r="L660" i="1"/>
  <c r="L664" i="1"/>
  <c r="L668" i="1"/>
  <c r="M668" i="1" s="1"/>
  <c r="L672" i="1"/>
  <c r="M672" i="1" s="1"/>
  <c r="L675" i="1"/>
  <c r="L653" i="1"/>
  <c r="L657" i="1"/>
  <c r="L661" i="1"/>
  <c r="M661" i="1" s="1"/>
  <c r="L665" i="1"/>
  <c r="L669" i="1"/>
  <c r="M669" i="1" s="1"/>
  <c r="L673" i="1"/>
  <c r="L676" i="1"/>
  <c r="M676" i="1" s="1"/>
  <c r="L654" i="1"/>
  <c r="L658" i="1"/>
  <c r="L662" i="1"/>
  <c r="L666" i="1"/>
  <c r="L670" i="1"/>
  <c r="L677" i="1"/>
  <c r="N666" i="1" l="1"/>
  <c r="N662" i="1"/>
  <c r="N660" i="1"/>
  <c r="N656" i="1"/>
  <c r="N668" i="1"/>
  <c r="N673" i="1"/>
  <c r="N674" i="1"/>
  <c r="N670" i="1"/>
  <c r="N664" i="1"/>
  <c r="N669" i="1"/>
  <c r="N671" i="1"/>
  <c r="N658" i="1"/>
  <c r="N665" i="1"/>
  <c r="N667" i="1"/>
  <c r="N675" i="1"/>
  <c r="N654" i="1"/>
  <c r="N676" i="1"/>
  <c r="N661" i="1"/>
  <c r="N663" i="1"/>
  <c r="N672" i="1"/>
  <c r="N657" i="1"/>
  <c r="N659" i="1"/>
  <c r="N653" i="1"/>
  <c r="N655" i="1"/>
  <c r="N677" i="1"/>
  <c r="R672" i="1" l="1"/>
  <c r="S672" i="1"/>
  <c r="R656" i="1"/>
  <c r="S656" i="1"/>
  <c r="R673" i="1"/>
  <c r="S673" i="1"/>
  <c r="R665" i="1"/>
  <c r="S665" i="1"/>
  <c r="R655" i="1"/>
  <c r="S655" i="1"/>
  <c r="R659" i="1"/>
  <c r="S659" i="1"/>
  <c r="R674" i="1"/>
  <c r="S674" i="1"/>
  <c r="R666" i="1"/>
  <c r="S666" i="1"/>
  <c r="R676" i="1"/>
  <c r="S676" i="1"/>
  <c r="R662" i="1"/>
  <c r="S662" i="1"/>
  <c r="R664" i="1"/>
  <c r="S664" i="1"/>
  <c r="R663" i="1"/>
  <c r="S663" i="1"/>
  <c r="R660" i="1"/>
  <c r="S660" i="1"/>
  <c r="R667" i="1"/>
  <c r="S667" i="1"/>
  <c r="R658" i="1"/>
  <c r="S658" i="1"/>
  <c r="R669" i="1"/>
  <c r="S669" i="1"/>
  <c r="R670" i="1"/>
  <c r="S670" i="1"/>
  <c r="R657" i="1"/>
  <c r="S657" i="1"/>
  <c r="R668" i="1"/>
  <c r="S668" i="1"/>
  <c r="R654" i="1"/>
  <c r="S654" i="1"/>
  <c r="R675" i="1"/>
  <c r="S675" i="1"/>
  <c r="R653" i="1"/>
  <c r="S653" i="1"/>
  <c r="R671" i="1"/>
  <c r="S671" i="1"/>
  <c r="R661" i="1"/>
  <c r="S661" i="1"/>
  <c r="R677" i="1"/>
  <c r="S677" i="1"/>
  <c r="L426" i="1"/>
  <c r="V384" i="1"/>
  <c r="N426" i="1" l="1"/>
  <c r="V383" i="1"/>
  <c r="U663" i="1"/>
  <c r="T663" i="1"/>
  <c r="T659" i="1"/>
  <c r="U659" i="1"/>
  <c r="T670" i="1"/>
  <c r="U670" i="1"/>
  <c r="T664" i="1"/>
  <c r="U664" i="1"/>
  <c r="U655" i="1"/>
  <c r="T655" i="1"/>
  <c r="U669" i="1"/>
  <c r="T669" i="1"/>
  <c r="U662" i="1"/>
  <c r="T662" i="1"/>
  <c r="U665" i="1"/>
  <c r="T665" i="1"/>
  <c r="U675" i="1"/>
  <c r="T675" i="1"/>
  <c r="T658" i="1"/>
  <c r="U658" i="1"/>
  <c r="T676" i="1"/>
  <c r="U676" i="1"/>
  <c r="U673" i="1"/>
  <c r="T673" i="1"/>
  <c r="T661" i="1"/>
  <c r="U661" i="1"/>
  <c r="T654" i="1"/>
  <c r="U654" i="1"/>
  <c r="T667" i="1"/>
  <c r="U667" i="1"/>
  <c r="T666" i="1"/>
  <c r="U666" i="1"/>
  <c r="T656" i="1"/>
  <c r="U656" i="1"/>
  <c r="T671" i="1"/>
  <c r="U671" i="1"/>
  <c r="U653" i="1"/>
  <c r="T653" i="1"/>
  <c r="T677" i="1"/>
  <c r="U677" i="1"/>
  <c r="T668" i="1"/>
  <c r="U668" i="1"/>
  <c r="T660" i="1"/>
  <c r="U660" i="1"/>
  <c r="U674" i="1"/>
  <c r="T674" i="1"/>
  <c r="T672" i="1"/>
  <c r="U672" i="1"/>
  <c r="U657" i="1"/>
  <c r="T657" i="1"/>
  <c r="L173" i="1"/>
  <c r="L416" i="1"/>
  <c r="L627" i="1"/>
  <c r="M627" i="1" s="1"/>
  <c r="L626" i="1"/>
  <c r="M626" i="1" s="1"/>
  <c r="L441" i="1"/>
  <c r="L24" i="1"/>
  <c r="L414" i="1"/>
  <c r="M414" i="1" s="1"/>
  <c r="L46" i="1"/>
  <c r="L488" i="1"/>
  <c r="M488" i="1" s="1"/>
  <c r="L615" i="1"/>
  <c r="M615" i="1" s="1"/>
  <c r="L49" i="1"/>
  <c r="M49" i="1" s="1"/>
  <c r="L293" i="1"/>
  <c r="L373" i="1"/>
  <c r="L194" i="1"/>
  <c r="K706" i="1"/>
  <c r="K701" i="1"/>
  <c r="K711" i="1"/>
  <c r="L337" i="1"/>
  <c r="L100" i="1"/>
  <c r="L496" i="1"/>
  <c r="M496" i="1" s="1"/>
  <c r="L490" i="1"/>
  <c r="L630" i="1"/>
  <c r="Q711" i="1" l="1"/>
  <c r="V711" i="1"/>
  <c r="Q701" i="1"/>
  <c r="V701" i="1"/>
  <c r="N100" i="1"/>
  <c r="N337" i="1"/>
  <c r="N626" i="1"/>
  <c r="N627" i="1"/>
  <c r="N416" i="1"/>
  <c r="N194" i="1"/>
  <c r="N373" i="1"/>
  <c r="N173" i="1"/>
  <c r="N49" i="1"/>
  <c r="N414" i="1"/>
  <c r="N441" i="1"/>
  <c r="N24" i="1"/>
  <c r="N293" i="1"/>
  <c r="N630" i="1"/>
  <c r="N615" i="1"/>
  <c r="N488" i="1"/>
  <c r="N496" i="1"/>
  <c r="N46" i="1"/>
  <c r="Q706" i="1"/>
  <c r="V706" i="1"/>
  <c r="V1" i="1" s="1"/>
  <c r="Q715" i="1"/>
  <c r="V715" i="1"/>
  <c r="N490" i="1"/>
  <c r="L706" i="1"/>
  <c r="M706" i="1" s="1"/>
  <c r="N706" i="1" s="1"/>
  <c r="L715" i="1"/>
  <c r="L711" i="1"/>
  <c r="M711" i="1" s="1"/>
  <c r="N711" i="1" s="1"/>
  <c r="L701" i="1"/>
  <c r="M701" i="1" s="1"/>
  <c r="N701" i="1" s="1"/>
  <c r="N715" i="1" l="1"/>
  <c r="R490" i="1"/>
  <c r="S490" i="1"/>
  <c r="R24" i="1"/>
  <c r="S24" i="1"/>
  <c r="R416" i="1"/>
  <c r="S416" i="1"/>
  <c r="R194" i="1"/>
  <c r="S194" i="1"/>
  <c r="R49" i="1"/>
  <c r="S49" i="1"/>
  <c r="R441" i="1"/>
  <c r="S441" i="1"/>
  <c r="R173" i="1"/>
  <c r="S173" i="1"/>
  <c r="R337" i="1"/>
  <c r="S337" i="1"/>
  <c r="R615" i="1"/>
  <c r="S615" i="1"/>
  <c r="R293" i="1"/>
  <c r="S293" i="1"/>
  <c r="R626" i="1"/>
  <c r="S626" i="1"/>
  <c r="R46" i="1"/>
  <c r="S46" i="1"/>
  <c r="R627" i="1"/>
  <c r="S627" i="1"/>
  <c r="R373" i="1"/>
  <c r="S373" i="1"/>
  <c r="R414" i="1"/>
  <c r="S414" i="1"/>
  <c r="L465" i="1"/>
  <c r="L464" i="1"/>
  <c r="L643" i="1"/>
  <c r="N464" i="1" l="1"/>
  <c r="N643" i="1"/>
  <c r="T490" i="1"/>
  <c r="U490" i="1"/>
  <c r="R706" i="1"/>
  <c r="S706" i="1"/>
  <c r="R100" i="1"/>
  <c r="S100" i="1"/>
  <c r="T441" i="1"/>
  <c r="U441" i="1"/>
  <c r="T373" i="1"/>
  <c r="U373" i="1"/>
  <c r="R711" i="1"/>
  <c r="S711" i="1"/>
  <c r="T293" i="1"/>
  <c r="U293" i="1"/>
  <c r="U626" i="1"/>
  <c r="T626" i="1"/>
  <c r="R715" i="1"/>
  <c r="S715" i="1"/>
  <c r="U627" i="1"/>
  <c r="T627" i="1"/>
  <c r="U615" i="1"/>
  <c r="T615" i="1"/>
  <c r="U416" i="1"/>
  <c r="T416" i="1"/>
  <c r="T173" i="1"/>
  <c r="U173" i="1"/>
  <c r="U49" i="1"/>
  <c r="T49" i="1"/>
  <c r="R496" i="1"/>
  <c r="S496" i="1"/>
  <c r="T46" i="1"/>
  <c r="U46" i="1"/>
  <c r="T337" i="1"/>
  <c r="U337" i="1"/>
  <c r="T24" i="1"/>
  <c r="U24" i="1"/>
  <c r="R488" i="1"/>
  <c r="S488" i="1"/>
  <c r="U414" i="1"/>
  <c r="T414" i="1"/>
  <c r="U194" i="1"/>
  <c r="T194" i="1"/>
  <c r="R630" i="1"/>
  <c r="S630" i="1"/>
  <c r="R426" i="1"/>
  <c r="S426" i="1"/>
  <c r="S701" i="1"/>
  <c r="L590" i="1"/>
  <c r="M590" i="1" s="1"/>
  <c r="L27" i="1"/>
  <c r="M27" i="1" s="1"/>
  <c r="L29" i="1"/>
  <c r="L146" i="1"/>
  <c r="L153" i="1"/>
  <c r="L341" i="1"/>
  <c r="L47" i="1"/>
  <c r="L68" i="1"/>
  <c r="M68" i="1" s="1"/>
  <c r="L28" i="1"/>
  <c r="L434" i="1"/>
  <c r="M434" i="1" s="1"/>
  <c r="L218" i="1"/>
  <c r="M218" i="1" s="1"/>
  <c r="L484" i="1"/>
  <c r="M484" i="1" s="1"/>
  <c r="L262" i="1"/>
  <c r="L133" i="1"/>
  <c r="L402" i="1"/>
  <c r="M402" i="1" s="1"/>
  <c r="L377" i="1"/>
  <c r="M377" i="1" s="1"/>
  <c r="L160" i="1"/>
  <c r="L190" i="1"/>
  <c r="L477" i="1"/>
  <c r="L43" i="1"/>
  <c r="L169" i="1"/>
  <c r="L154" i="1"/>
  <c r="L437" i="1"/>
  <c r="L550" i="1"/>
  <c r="M550" i="1" s="1"/>
  <c r="L307" i="1"/>
  <c r="L69" i="1"/>
  <c r="M69" i="1" s="1"/>
  <c r="L38" i="1"/>
  <c r="M38" i="1" s="1"/>
  <c r="L343" i="1"/>
  <c r="M343" i="1" s="1"/>
  <c r="L344" i="1"/>
  <c r="L453" i="1"/>
  <c r="L372" i="1"/>
  <c r="L479" i="1"/>
  <c r="L427" i="1"/>
  <c r="L131" i="1"/>
  <c r="L52" i="1"/>
  <c r="M52" i="1" s="1"/>
  <c r="L444" i="1"/>
  <c r="L478" i="1"/>
  <c r="L96" i="1"/>
  <c r="L170" i="1"/>
  <c r="L287" i="1"/>
  <c r="L30" i="1"/>
  <c r="M30" i="1" s="1"/>
  <c r="L276" i="1"/>
  <c r="L80" i="1"/>
  <c r="M80" i="1" s="1"/>
  <c r="L39" i="1"/>
  <c r="L156" i="1"/>
  <c r="L152" i="1"/>
  <c r="L485" i="1"/>
  <c r="M485" i="1" s="1"/>
  <c r="L570" i="1"/>
  <c r="L422" i="1"/>
  <c r="L614" i="1"/>
  <c r="L634" i="1"/>
  <c r="M634" i="1" s="1"/>
  <c r="L355" i="1"/>
  <c r="M355" i="1" s="1"/>
  <c r="L138" i="1"/>
  <c r="L356" i="1"/>
  <c r="M356" i="1" s="1"/>
  <c r="L455" i="1"/>
  <c r="L558" i="1"/>
  <c r="L333" i="1"/>
  <c r="L597" i="1"/>
  <c r="L358" i="1"/>
  <c r="L408" i="1"/>
  <c r="L117" i="1"/>
  <c r="L104" i="1"/>
  <c r="L371" i="1"/>
  <c r="L254" i="1"/>
  <c r="L297" i="1"/>
  <c r="L63" i="1"/>
  <c r="M63" i="1" s="1"/>
  <c r="L58" i="1"/>
  <c r="L135" i="1"/>
  <c r="L145" i="1"/>
  <c r="L364" i="1"/>
  <c r="M364" i="1" s="1"/>
  <c r="L440" i="1"/>
  <c r="L174" i="1"/>
  <c r="L482" i="1"/>
  <c r="L280" i="1"/>
  <c r="M280" i="1" s="1"/>
  <c r="L136" i="1"/>
  <c r="L26" i="1"/>
  <c r="M26" i="1" s="1"/>
  <c r="L282" i="1"/>
  <c r="M282" i="1" s="1"/>
  <c r="L445" i="1"/>
  <c r="M445" i="1" s="1"/>
  <c r="L191" i="1"/>
  <c r="L301" i="1"/>
  <c r="M301" i="1" s="1"/>
  <c r="L64" i="1"/>
  <c r="L59" i="1"/>
  <c r="L182" i="1"/>
  <c r="L118" i="1"/>
  <c r="L549" i="1"/>
  <c r="L392" i="1"/>
  <c r="L439" i="1"/>
  <c r="L143" i="1"/>
  <c r="L559" i="1"/>
  <c r="M559" i="1" s="1"/>
  <c r="L456" i="1"/>
  <c r="L396" i="1"/>
  <c r="L111" i="1"/>
  <c r="L231" i="1"/>
  <c r="L261" i="1"/>
  <c r="L72" i="1"/>
  <c r="L270" i="1"/>
  <c r="M270" i="1" s="1"/>
  <c r="L32" i="1"/>
  <c r="L642" i="1"/>
  <c r="M642" i="1" s="1"/>
  <c r="L163" i="1"/>
  <c r="L90" i="1"/>
  <c r="M90" i="1" s="1"/>
  <c r="L326" i="1"/>
  <c r="L652" i="1"/>
  <c r="L313" i="1"/>
  <c r="L324" i="1"/>
  <c r="L501" i="1"/>
  <c r="M501" i="1" s="1"/>
  <c r="L381" i="1"/>
  <c r="M381" i="1" s="1"/>
  <c r="L349" i="1"/>
  <c r="L83" i="1"/>
  <c r="L167" i="1"/>
  <c r="L264" i="1"/>
  <c r="M264" i="1" s="1"/>
  <c r="L31" i="1"/>
  <c r="M31" i="1" s="1"/>
  <c r="L21" i="1"/>
  <c r="L539" i="1"/>
  <c r="M539" i="1" s="1"/>
  <c r="L603" i="1"/>
  <c r="L395" i="1"/>
  <c r="L274" i="1"/>
  <c r="L304" i="1"/>
  <c r="M304" i="1" s="1"/>
  <c r="L164" i="1"/>
  <c r="M164" i="1" s="1"/>
  <c r="L259" i="1"/>
  <c r="L502" i="1"/>
  <c r="M502" i="1" s="1"/>
  <c r="L22" i="1"/>
  <c r="M22" i="1" s="1"/>
  <c r="L345" i="1"/>
  <c r="L192" i="1"/>
  <c r="M192" i="1" s="1"/>
  <c r="L417" i="1"/>
  <c r="L342" i="1"/>
  <c r="L178" i="1"/>
  <c r="M178" i="1" s="1"/>
  <c r="L109" i="1"/>
  <c r="L424" i="1"/>
  <c r="M424" i="1" s="1"/>
  <c r="L316" i="1"/>
  <c r="L569" i="1"/>
  <c r="L325" i="1"/>
  <c r="M325" i="1" s="1"/>
  <c r="L554" i="1"/>
  <c r="L48" i="1"/>
  <c r="L486" i="1"/>
  <c r="L62" i="1"/>
  <c r="L397" i="1"/>
  <c r="M397" i="1" s="1"/>
  <c r="L70" i="1"/>
  <c r="M70" i="1" s="1"/>
  <c r="L357" i="1"/>
  <c r="M357" i="1" s="1"/>
  <c r="L507" i="1"/>
  <c r="L388" i="1"/>
  <c r="L473" i="1"/>
  <c r="L234" i="1"/>
  <c r="M234" i="1" s="1"/>
  <c r="L292" i="1"/>
  <c r="M292" i="1" s="1"/>
  <c r="L362" i="1"/>
  <c r="L256" i="1"/>
  <c r="L120" i="1"/>
  <c r="L510" i="1"/>
  <c r="L201" i="1"/>
  <c r="L36" i="1"/>
  <c r="L487" i="1"/>
  <c r="M487" i="1" s="1"/>
  <c r="L582" i="1"/>
  <c r="M582" i="1" s="1"/>
  <c r="L209" i="1"/>
  <c r="M209" i="1" s="1"/>
  <c r="L54" i="1"/>
  <c r="L155" i="1"/>
  <c r="M155" i="1" s="1"/>
  <c r="L561" i="1"/>
  <c r="L391" i="1"/>
  <c r="L14" i="1"/>
  <c r="L140" i="1"/>
  <c r="M140" i="1" s="1"/>
  <c r="L25" i="1"/>
  <c r="L483" i="1"/>
  <c r="M483" i="1" s="1"/>
  <c r="L124" i="1"/>
  <c r="M124" i="1" s="1"/>
  <c r="L175" i="1"/>
  <c r="M175" i="1" s="1"/>
  <c r="L368" i="1"/>
  <c r="L390" i="1"/>
  <c r="L544" i="1"/>
  <c r="L108" i="1"/>
  <c r="M108" i="1" s="1"/>
  <c r="L176" i="1"/>
  <c r="L600" i="1"/>
  <c r="L61" i="1"/>
  <c r="M61" i="1" s="1"/>
  <c r="L560" i="1"/>
  <c r="L321" i="1"/>
  <c r="M321" i="1" s="1"/>
  <c r="L159" i="1"/>
  <c r="L219" i="1"/>
  <c r="L148" i="1"/>
  <c r="M148" i="1" s="1"/>
  <c r="L243" i="1"/>
  <c r="L166" i="1"/>
  <c r="L386" i="1"/>
  <c r="L635" i="1"/>
  <c r="M635" i="1" s="1"/>
  <c r="L81" i="1"/>
  <c r="L407" i="1"/>
  <c r="L500" i="1"/>
  <c r="M500" i="1" s="1"/>
  <c r="L17" i="1"/>
  <c r="M17" i="1" s="1"/>
  <c r="L40" i="1"/>
  <c r="L509" i="1"/>
  <c r="M509" i="1" s="1"/>
  <c r="L252" i="1"/>
  <c r="L448" i="1"/>
  <c r="M448" i="1" s="1"/>
  <c r="L348" i="1"/>
  <c r="L315" i="1"/>
  <c r="L75" i="1"/>
  <c r="M75" i="1" s="1"/>
  <c r="L149" i="1"/>
  <c r="L535" i="1"/>
  <c r="M535" i="1" s="1"/>
  <c r="L575" i="1"/>
  <c r="L302" i="1"/>
  <c r="L596" i="1"/>
  <c r="L55" i="1"/>
  <c r="L340" i="1"/>
  <c r="L107" i="1"/>
  <c r="M107" i="1" s="1"/>
  <c r="L179" i="1"/>
  <c r="L115" i="1"/>
  <c r="M115" i="1" s="1"/>
  <c r="L189" i="1"/>
  <c r="L517" i="1"/>
  <c r="L15" i="1"/>
  <c r="L56" i="1"/>
  <c r="M56" i="1" s="1"/>
  <c r="L331" i="1"/>
  <c r="L480" i="1"/>
  <c r="M480" i="1" s="1"/>
  <c r="L536" i="1"/>
  <c r="M536" i="1" s="1"/>
  <c r="L141" i="1"/>
  <c r="L332" i="1"/>
  <c r="N465" i="1"/>
  <c r="L387" i="1"/>
  <c r="M387" i="1" s="1"/>
  <c r="L296" i="1"/>
  <c r="L339" i="1"/>
  <c r="L628" i="1"/>
  <c r="L641" i="1"/>
  <c r="L88" i="1"/>
  <c r="L42" i="1"/>
  <c r="L199" i="1"/>
  <c r="L637" i="1"/>
  <c r="L432" i="1"/>
  <c r="M432" i="1" s="1"/>
  <c r="L562" i="1"/>
  <c r="M562" i="1" s="1"/>
  <c r="L429" i="1"/>
  <c r="M429" i="1" s="1"/>
  <c r="L481" i="1"/>
  <c r="M481" i="1" s="1"/>
  <c r="L621" i="1"/>
  <c r="L516" i="1"/>
  <c r="L5" i="1"/>
  <c r="L235" i="1"/>
  <c r="L87" i="1"/>
  <c r="L409" i="1"/>
  <c r="M409" i="1" s="1"/>
  <c r="L112" i="1"/>
  <c r="L636" i="1"/>
  <c r="L555" i="1"/>
  <c r="L525" i="1"/>
  <c r="L512" i="1"/>
  <c r="L567" i="1"/>
  <c r="M567" i="1" s="1"/>
  <c r="L224" i="1"/>
  <c r="L551" i="1"/>
  <c r="L6" i="1"/>
  <c r="M6" i="1" s="1"/>
  <c r="N6" i="1" s="1"/>
  <c r="L346" i="1"/>
  <c r="M346" i="1" s="1"/>
  <c r="L638" i="1"/>
  <c r="M638" i="1" s="1"/>
  <c r="L19" i="1"/>
  <c r="L237" i="1"/>
  <c r="L76" i="1"/>
  <c r="M76" i="1" s="1"/>
  <c r="L253" i="1"/>
  <c r="L211" i="1"/>
  <c r="M211" i="1" s="1"/>
  <c r="L232" i="1"/>
  <c r="L469" i="1"/>
  <c r="M469" i="1" s="1"/>
  <c r="L205" i="1"/>
  <c r="L4" i="1"/>
  <c r="L214" i="1"/>
  <c r="M214" i="1" s="1"/>
  <c r="L188" i="1"/>
  <c r="M188" i="1" s="1"/>
  <c r="L566" i="1"/>
  <c r="M566" i="1" s="1"/>
  <c r="L158" i="1"/>
  <c r="M158" i="1" s="1"/>
  <c r="L378" i="1"/>
  <c r="M378" i="1" s="1"/>
  <c r="L475" i="1"/>
  <c r="M475" i="1" s="1"/>
  <c r="L273" i="1"/>
  <c r="M273" i="1" s="1"/>
  <c r="L53" i="1"/>
  <c r="L161" i="1"/>
  <c r="L157" i="1"/>
  <c r="M157" i="1" s="1"/>
  <c r="L443" i="1"/>
  <c r="M443" i="1" s="1"/>
  <c r="L3" i="1"/>
  <c r="N3" i="1" s="1"/>
  <c r="L330" i="1"/>
  <c r="M330" i="1" s="1"/>
  <c r="L583" i="1"/>
  <c r="M583" i="1" s="1"/>
  <c r="L317" i="1"/>
  <c r="M317" i="1" s="1"/>
  <c r="L359" i="1"/>
  <c r="M359" i="1" s="1"/>
  <c r="L405" i="1"/>
  <c r="M405" i="1" s="1"/>
  <c r="L126" i="1"/>
  <c r="L151" i="1"/>
  <c r="M151" i="1" s="1"/>
  <c r="L495" i="1"/>
  <c r="M495" i="1" s="1"/>
  <c r="L196" i="1"/>
  <c r="M196" i="1" s="1"/>
  <c r="L513" i="1"/>
  <c r="M513" i="1" s="1"/>
  <c r="L227" i="1"/>
  <c r="L613" i="1"/>
  <c r="M613" i="1" s="1"/>
  <c r="L523" i="1"/>
  <c r="M523" i="1" s="1"/>
  <c r="L524" i="1"/>
  <c r="M524" i="1" s="1"/>
  <c r="L271" i="1"/>
  <c r="L329" i="1"/>
  <c r="L260" i="1"/>
  <c r="M260" i="1" s="1"/>
  <c r="L220" i="1"/>
  <c r="L290" i="1"/>
  <c r="M290" i="1" s="1"/>
  <c r="L283" i="1"/>
  <c r="L184" i="1"/>
  <c r="M184" i="1" s="1"/>
  <c r="L306" i="1"/>
  <c r="M306" i="1" s="1"/>
  <c r="L222" i="1"/>
  <c r="L589" i="1"/>
  <c r="M589" i="1" s="1"/>
  <c r="L86" i="1"/>
  <c r="M86" i="1" s="1"/>
  <c r="L609" i="1"/>
  <c r="M609" i="1" s="1"/>
  <c r="L171" i="1"/>
  <c r="L204" i="1"/>
  <c r="M204" i="1" s="1"/>
  <c r="L67" i="1"/>
  <c r="M67" i="1" s="1"/>
  <c r="L34" i="1"/>
  <c r="L519" i="1"/>
  <c r="M519" i="1" s="1"/>
  <c r="L493" i="1"/>
  <c r="M493" i="1" s="1"/>
  <c r="L246" i="1"/>
  <c r="M246" i="1" s="1"/>
  <c r="L33" i="1"/>
  <c r="M33" i="1" s="1"/>
  <c r="L382" i="1"/>
  <c r="L538" i="1"/>
  <c r="L50" i="1"/>
  <c r="M50" i="1" s="1"/>
  <c r="L611" i="1"/>
  <c r="M611" i="1" s="1"/>
  <c r="L99" i="1"/>
  <c r="M99" i="1" s="1"/>
  <c r="L289" i="1"/>
  <c r="M289" i="1" s="1"/>
  <c r="L468" i="1"/>
  <c r="M468" i="1" s="1"/>
  <c r="L250" i="1"/>
  <c r="M250" i="1" s="1"/>
  <c r="L376" i="1"/>
  <c r="M376" i="1" s="1"/>
  <c r="L503" i="1"/>
  <c r="L447" i="1"/>
  <c r="M447" i="1" s="1"/>
  <c r="L93" i="1"/>
  <c r="M93" i="1" s="1"/>
  <c r="L553" i="1"/>
  <c r="L84" i="1"/>
  <c r="M84" i="1" s="1"/>
  <c r="L622" i="1"/>
  <c r="L522" i="1"/>
  <c r="L631" i="1"/>
  <c r="M631" i="1" s="1"/>
  <c r="L20" i="1"/>
  <c r="L139" i="1"/>
  <c r="L578" i="1"/>
  <c r="L511" i="1"/>
  <c r="L537" i="1"/>
  <c r="L577" i="1"/>
  <c r="L548" i="1"/>
  <c r="L11" i="1"/>
  <c r="M11" i="1" s="1"/>
  <c r="L314" i="1"/>
  <c r="L527" i="1"/>
  <c r="M527" i="1" s="1"/>
  <c r="L564" i="1"/>
  <c r="L310" i="1"/>
  <c r="L7" i="1"/>
  <c r="L92" i="1"/>
  <c r="L605" i="1"/>
  <c r="M605" i="1" s="1"/>
  <c r="L514" i="1"/>
  <c r="L248" i="1"/>
  <c r="L472" i="1"/>
  <c r="M472" i="1" s="1"/>
  <c r="L215" i="1"/>
  <c r="L238" i="1"/>
  <c r="L101" i="1"/>
  <c r="M101" i="1" s="1"/>
  <c r="L449" i="1"/>
  <c r="M449" i="1" s="1"/>
  <c r="L275" i="1"/>
  <c r="M275" i="1" s="1"/>
  <c r="L165" i="1"/>
  <c r="L177" i="1"/>
  <c r="L233" i="1"/>
  <c r="L197" i="1"/>
  <c r="L288" i="1"/>
  <c r="L130" i="1"/>
  <c r="M130" i="1" s="1"/>
  <c r="L206" i="1"/>
  <c r="L458" i="1"/>
  <c r="L98" i="1"/>
  <c r="L134" i="1"/>
  <c r="M134" i="1" s="1"/>
  <c r="L504" i="1"/>
  <c r="L433" i="1"/>
  <c r="L9" i="1"/>
  <c r="M9" i="1" s="1"/>
  <c r="L647" i="1"/>
  <c r="L335" i="1"/>
  <c r="L336" i="1"/>
  <c r="L180" i="1"/>
  <c r="L640" i="1"/>
  <c r="L599" i="1"/>
  <c r="L423" i="1"/>
  <c r="L629" i="1"/>
  <c r="L563" i="1"/>
  <c r="L286" i="1"/>
  <c r="M286" i="1" s="1"/>
  <c r="L425" i="1"/>
  <c r="M425" i="1" s="1"/>
  <c r="L428" i="1"/>
  <c r="L18" i="1"/>
  <c r="L498" i="1"/>
  <c r="L228" i="1"/>
  <c r="L568" i="1"/>
  <c r="L279" i="1"/>
  <c r="M279" i="1" s="1"/>
  <c r="L328" i="1"/>
  <c r="L251" i="1"/>
  <c r="M251" i="1" s="1"/>
  <c r="L13" i="1"/>
  <c r="M13" i="1" s="1"/>
  <c r="L399" i="1"/>
  <c r="L367" i="1"/>
  <c r="L633" i="1"/>
  <c r="L450" i="1"/>
  <c r="L144" i="1"/>
  <c r="L587" i="1"/>
  <c r="L648" i="1"/>
  <c r="M648" i="1" s="1"/>
  <c r="L571" i="1"/>
  <c r="L586" i="1"/>
  <c r="M586" i="1" s="1"/>
  <c r="L89" i="1"/>
  <c r="L556" i="1"/>
  <c r="M556" i="1" s="1"/>
  <c r="L541" i="1"/>
  <c r="L543" i="1"/>
  <c r="L460" i="1"/>
  <c r="L576" i="1"/>
  <c r="M576" i="1" s="1"/>
  <c r="L565" i="1"/>
  <c r="L533" i="1"/>
  <c r="L462" i="1"/>
  <c r="L591" i="1"/>
  <c r="L592" i="1"/>
  <c r="L474" i="1"/>
  <c r="L114" i="1"/>
  <c r="L612" i="1"/>
  <c r="M612" i="1" s="1"/>
  <c r="L650" i="1"/>
  <c r="L598" i="1"/>
  <c r="L574" i="1"/>
  <c r="L10" i="1"/>
  <c r="M10" i="1" s="1"/>
  <c r="L623" i="1"/>
  <c r="L624" i="1"/>
  <c r="M624" i="1" s="1"/>
  <c r="L521" i="1"/>
  <c r="L526" i="1"/>
  <c r="M526" i="1" s="1"/>
  <c r="L491" i="1"/>
  <c r="L649" i="1"/>
  <c r="L113" i="1"/>
  <c r="L518" i="1"/>
  <c r="M518" i="1" s="1"/>
  <c r="L645" i="1"/>
  <c r="M645" i="1" s="1"/>
  <c r="L540" i="1"/>
  <c r="L604" i="1"/>
  <c r="L579" i="1"/>
  <c r="L97" i="1"/>
  <c r="L393" i="1"/>
  <c r="L8" i="1"/>
  <c r="M8" i="1" s="1"/>
  <c r="L459" i="1"/>
  <c r="L585" i="1"/>
  <c r="L230" i="1"/>
  <c r="L547" i="1"/>
  <c r="L303" i="1"/>
  <c r="L646" i="1"/>
  <c r="M646" i="1" s="1"/>
  <c r="L542" i="1"/>
  <c r="L322" i="1"/>
  <c r="M322" i="1" s="1"/>
  <c r="L528" i="1"/>
  <c r="L354" i="1"/>
  <c r="M354" i="1" s="1"/>
  <c r="L294" i="1"/>
  <c r="L651" i="1"/>
  <c r="L418" i="1"/>
  <c r="L78" i="1"/>
  <c r="M78" i="1" s="1"/>
  <c r="L620" i="1"/>
  <c r="L45" i="1"/>
  <c r="M45" i="1" s="1"/>
  <c r="L593" i="1"/>
  <c r="L594" i="1"/>
  <c r="L91" i="1"/>
  <c r="L508" i="1"/>
  <c r="L181" i="1"/>
  <c r="L65" i="1"/>
  <c r="L632" i="1"/>
  <c r="L147" i="1"/>
  <c r="L602" i="1"/>
  <c r="L446" i="1"/>
  <c r="M446" i="1" s="1"/>
  <c r="N91" i="1" l="1"/>
  <c r="N314" i="1"/>
  <c r="N339" i="1"/>
  <c r="N324" i="1"/>
  <c r="N508" i="1"/>
  <c r="N574" i="1"/>
  <c r="N460" i="1"/>
  <c r="N527" i="1"/>
  <c r="N622" i="1"/>
  <c r="N50" i="1"/>
  <c r="N330" i="1"/>
  <c r="N5" i="1"/>
  <c r="R5" i="1" s="1"/>
  <c r="N628" i="1"/>
  <c r="N517" i="1"/>
  <c r="N75" i="1"/>
  <c r="N386" i="1"/>
  <c r="N544" i="1"/>
  <c r="N54" i="1"/>
  <c r="N316" i="1"/>
  <c r="N304" i="1"/>
  <c r="N501" i="1"/>
  <c r="N231" i="1"/>
  <c r="N64" i="1"/>
  <c r="N145" i="1"/>
  <c r="N333" i="1"/>
  <c r="N156" i="1"/>
  <c r="N427" i="1"/>
  <c r="N169" i="1"/>
  <c r="N28" i="1"/>
  <c r="N84" i="1"/>
  <c r="N594" i="1"/>
  <c r="N645" i="1"/>
  <c r="N650" i="1"/>
  <c r="N541" i="1"/>
  <c r="N13" i="1"/>
  <c r="N98" i="1"/>
  <c r="N238" i="1"/>
  <c r="N11" i="1"/>
  <c r="N553" i="1"/>
  <c r="N382" i="1"/>
  <c r="N227" i="1"/>
  <c r="N621" i="1"/>
  <c r="N296" i="1"/>
  <c r="N115" i="1"/>
  <c r="N348" i="1"/>
  <c r="N243" i="1"/>
  <c r="N368" i="1"/>
  <c r="N582" i="1"/>
  <c r="N507" i="1"/>
  <c r="N109" i="1"/>
  <c r="N395" i="1"/>
  <c r="N313" i="1"/>
  <c r="N396" i="1"/>
  <c r="N191" i="1"/>
  <c r="N58" i="1"/>
  <c r="N455" i="1"/>
  <c r="N80" i="1"/>
  <c r="N372" i="1"/>
  <c r="N477" i="1"/>
  <c r="N47" i="1"/>
  <c r="N543" i="1"/>
  <c r="N646" i="1"/>
  <c r="N593" i="1"/>
  <c r="N303" i="1"/>
  <c r="N612" i="1"/>
  <c r="N556" i="1"/>
  <c r="N251" i="1"/>
  <c r="N423" i="1"/>
  <c r="N458" i="1"/>
  <c r="N33" i="1"/>
  <c r="N306" i="1"/>
  <c r="N513" i="1"/>
  <c r="N469" i="1"/>
  <c r="N481" i="1"/>
  <c r="N387" i="1"/>
  <c r="N179" i="1"/>
  <c r="N448" i="1"/>
  <c r="N148" i="1"/>
  <c r="N175" i="1"/>
  <c r="N487" i="1"/>
  <c r="N357" i="1"/>
  <c r="N178" i="1"/>
  <c r="N603" i="1"/>
  <c r="N456" i="1"/>
  <c r="N445" i="1"/>
  <c r="N63" i="1"/>
  <c r="N356" i="1"/>
  <c r="N276" i="1"/>
  <c r="N453" i="1"/>
  <c r="N190" i="1"/>
  <c r="N341" i="1"/>
  <c r="N101" i="1"/>
  <c r="N45" i="1"/>
  <c r="N113" i="1"/>
  <c r="N114" i="1"/>
  <c r="N328" i="1"/>
  <c r="N599" i="1"/>
  <c r="N206" i="1"/>
  <c r="N472" i="1"/>
  <c r="N447" i="1"/>
  <c r="N232" i="1"/>
  <c r="N429" i="1"/>
  <c r="N107" i="1"/>
  <c r="N252" i="1"/>
  <c r="N219" i="1"/>
  <c r="N124" i="1"/>
  <c r="N36" i="1"/>
  <c r="N70" i="1"/>
  <c r="N342" i="1"/>
  <c r="N539" i="1"/>
  <c r="N326" i="1"/>
  <c r="N559" i="1"/>
  <c r="N282" i="1"/>
  <c r="N297" i="1"/>
  <c r="N138" i="1"/>
  <c r="N30" i="1"/>
  <c r="N344" i="1"/>
  <c r="N160" i="1"/>
  <c r="N153" i="1"/>
  <c r="N399" i="1"/>
  <c r="N315" i="1"/>
  <c r="N388" i="1"/>
  <c r="N111" i="1"/>
  <c r="N135" i="1"/>
  <c r="N649" i="1"/>
  <c r="N279" i="1"/>
  <c r="N640" i="1"/>
  <c r="N130" i="1"/>
  <c r="N248" i="1"/>
  <c r="N562" i="1"/>
  <c r="N332" i="1"/>
  <c r="N340" i="1"/>
  <c r="N509" i="1"/>
  <c r="N159" i="1"/>
  <c r="N483" i="1"/>
  <c r="N201" i="1"/>
  <c r="N397" i="1"/>
  <c r="N417" i="1"/>
  <c r="N21" i="1"/>
  <c r="N90" i="1"/>
  <c r="N143" i="1"/>
  <c r="N26" i="1"/>
  <c r="N254" i="1"/>
  <c r="N355" i="1"/>
  <c r="N287" i="1"/>
  <c r="N343" i="1"/>
  <c r="N377" i="1"/>
  <c r="N146" i="1"/>
  <c r="N540" i="1"/>
  <c r="N166" i="1"/>
  <c r="N558" i="1"/>
  <c r="N620" i="1"/>
  <c r="N78" i="1"/>
  <c r="N571" i="1"/>
  <c r="N568" i="1"/>
  <c r="N180" i="1"/>
  <c r="N288" i="1"/>
  <c r="N511" i="1"/>
  <c r="N253" i="1"/>
  <c r="N555" i="1"/>
  <c r="N432" i="1"/>
  <c r="N141" i="1"/>
  <c r="N55" i="1"/>
  <c r="N40" i="1"/>
  <c r="N321" i="1"/>
  <c r="N25" i="1"/>
  <c r="N510" i="1"/>
  <c r="N62" i="1"/>
  <c r="N192" i="1"/>
  <c r="N31" i="1"/>
  <c r="N163" i="1"/>
  <c r="N439" i="1"/>
  <c r="N136" i="1"/>
  <c r="N371" i="1"/>
  <c r="N634" i="1"/>
  <c r="N170" i="1"/>
  <c r="N38" i="1"/>
  <c r="N402" i="1"/>
  <c r="N29" i="1"/>
  <c r="N598" i="1"/>
  <c r="N189" i="1"/>
  <c r="N424" i="1"/>
  <c r="N68" i="1"/>
  <c r="N592" i="1"/>
  <c r="N602" i="1"/>
  <c r="N418" i="1"/>
  <c r="N459" i="1"/>
  <c r="N526" i="1"/>
  <c r="N591" i="1"/>
  <c r="N475" i="1"/>
  <c r="N636" i="1"/>
  <c r="N637" i="1"/>
  <c r="N596" i="1"/>
  <c r="N17" i="1"/>
  <c r="N560" i="1"/>
  <c r="N140" i="1"/>
  <c r="N120" i="1"/>
  <c r="N486" i="1"/>
  <c r="N345" i="1"/>
  <c r="N264" i="1"/>
  <c r="N642" i="1"/>
  <c r="N392" i="1"/>
  <c r="N280" i="1"/>
  <c r="N104" i="1"/>
  <c r="N614" i="1"/>
  <c r="N96" i="1"/>
  <c r="N69" i="1"/>
  <c r="N133" i="1"/>
  <c r="N27" i="1"/>
  <c r="N479" i="1"/>
  <c r="N446" i="1"/>
  <c r="N147" i="1"/>
  <c r="N651" i="1"/>
  <c r="N8" i="1"/>
  <c r="N521" i="1"/>
  <c r="N462" i="1"/>
  <c r="N587" i="1"/>
  <c r="N233" i="1"/>
  <c r="N139" i="1"/>
  <c r="N378" i="1"/>
  <c r="N199" i="1"/>
  <c r="N480" i="1"/>
  <c r="N302" i="1"/>
  <c r="N500" i="1"/>
  <c r="N61" i="1"/>
  <c r="N14" i="1"/>
  <c r="N256" i="1"/>
  <c r="N48" i="1"/>
  <c r="N22" i="1"/>
  <c r="N167" i="1"/>
  <c r="N32" i="1"/>
  <c r="N482" i="1"/>
  <c r="N117" i="1"/>
  <c r="N422" i="1"/>
  <c r="N478" i="1"/>
  <c r="N307" i="1"/>
  <c r="N262" i="1"/>
  <c r="N590" i="1"/>
  <c r="N542" i="1"/>
  <c r="N43" i="1"/>
  <c r="N586" i="1"/>
  <c r="N294" i="1"/>
  <c r="N393" i="1"/>
  <c r="N624" i="1"/>
  <c r="N144" i="1"/>
  <c r="N18" i="1"/>
  <c r="N177" i="1"/>
  <c r="N7" i="1"/>
  <c r="N20" i="1"/>
  <c r="N204" i="1"/>
  <c r="N19" i="1"/>
  <c r="N409" i="1"/>
  <c r="N42" i="1"/>
  <c r="N331" i="1"/>
  <c r="N575" i="1"/>
  <c r="N407" i="1"/>
  <c r="N600" i="1"/>
  <c r="N391" i="1"/>
  <c r="N362" i="1"/>
  <c r="N554" i="1"/>
  <c r="N502" i="1"/>
  <c r="N83" i="1"/>
  <c r="N270" i="1"/>
  <c r="N118" i="1"/>
  <c r="N174" i="1"/>
  <c r="N408" i="1"/>
  <c r="N570" i="1"/>
  <c r="N444" i="1"/>
  <c r="N484" i="1"/>
  <c r="N390" i="1"/>
  <c r="N39" i="1"/>
  <c r="N230" i="1"/>
  <c r="N491" i="1"/>
  <c r="N65" i="1"/>
  <c r="N97" i="1"/>
  <c r="N623" i="1"/>
  <c r="N565" i="1"/>
  <c r="N450" i="1"/>
  <c r="N9" i="1"/>
  <c r="N310" i="1"/>
  <c r="N631" i="1"/>
  <c r="N99" i="1"/>
  <c r="N271" i="1"/>
  <c r="N317" i="1"/>
  <c r="N87" i="1"/>
  <c r="N56" i="1"/>
  <c r="N535" i="1"/>
  <c r="N81" i="1"/>
  <c r="N176" i="1"/>
  <c r="N561" i="1"/>
  <c r="N292" i="1"/>
  <c r="N325" i="1"/>
  <c r="N259" i="1"/>
  <c r="N349" i="1"/>
  <c r="N72" i="1"/>
  <c r="N182" i="1"/>
  <c r="N440" i="1"/>
  <c r="N358" i="1"/>
  <c r="N485" i="1"/>
  <c r="N52" i="1"/>
  <c r="N437" i="1"/>
  <c r="N218" i="1"/>
  <c r="N134" i="1"/>
  <c r="N209" i="1"/>
  <c r="N274" i="1"/>
  <c r="N301" i="1"/>
  <c r="N181" i="1"/>
  <c r="N579" i="1"/>
  <c r="N10" i="1"/>
  <c r="N576" i="1"/>
  <c r="N433" i="1"/>
  <c r="N522" i="1"/>
  <c r="N611" i="1"/>
  <c r="N235" i="1"/>
  <c r="N15" i="1"/>
  <c r="N149" i="1"/>
  <c r="N635" i="1"/>
  <c r="N108" i="1"/>
  <c r="N155" i="1"/>
  <c r="N234" i="1"/>
  <c r="N569" i="1"/>
  <c r="N164" i="1"/>
  <c r="N381" i="1"/>
  <c r="N261" i="1"/>
  <c r="N59" i="1"/>
  <c r="N364" i="1"/>
  <c r="N597" i="1"/>
  <c r="N152" i="1"/>
  <c r="N131" i="1"/>
  <c r="N154" i="1"/>
  <c r="N434" i="1"/>
  <c r="T711" i="1"/>
  <c r="U711" i="1"/>
  <c r="T701" i="1"/>
  <c r="U701" i="1"/>
  <c r="T426" i="1"/>
  <c r="U426" i="1"/>
  <c r="T488" i="1"/>
  <c r="U488" i="1"/>
  <c r="T630" i="1"/>
  <c r="U630" i="1"/>
  <c r="T496" i="1"/>
  <c r="U496" i="1"/>
  <c r="U715" i="1"/>
  <c r="T715" i="1"/>
  <c r="T100" i="1"/>
  <c r="U100" i="1"/>
  <c r="T706" i="1"/>
  <c r="U706" i="1"/>
  <c r="R701" i="1"/>
  <c r="N632" i="1"/>
  <c r="N633" i="1"/>
  <c r="N550" i="1"/>
  <c r="N585" i="1"/>
  <c r="N367" i="1"/>
  <c r="N548" i="1"/>
  <c r="N536" i="1"/>
  <c r="N577" i="1"/>
  <c r="N473" i="1"/>
  <c r="N525" i="1"/>
  <c r="N647" i="1"/>
  <c r="N503" i="1"/>
  <c r="N641" i="1"/>
  <c r="N652" i="1"/>
  <c r="N549" i="1"/>
  <c r="N516" i="1"/>
  <c r="N563" i="1"/>
  <c r="N629" i="1"/>
  <c r="N604" i="1"/>
  <c r="N533" i="1"/>
  <c r="N648" i="1"/>
  <c r="N504" i="1"/>
  <c r="N564" i="1"/>
  <c r="N512" i="1"/>
  <c r="L41" i="1"/>
  <c r="N88" i="1"/>
  <c r="L57" i="1"/>
  <c r="N76" i="1"/>
  <c r="N112" i="1"/>
  <c r="N638" i="1"/>
  <c r="N551" i="1"/>
  <c r="N224" i="1"/>
  <c r="N211" i="1"/>
  <c r="L236" i="1"/>
  <c r="M236" i="1" s="1"/>
  <c r="N237" i="1"/>
  <c r="N346" i="1"/>
  <c r="N567" i="1"/>
  <c r="L361" i="1"/>
  <c r="M361" i="1" s="1"/>
  <c r="L534" i="1"/>
  <c r="M534" i="1" s="1"/>
  <c r="L497" i="1"/>
  <c r="L129" i="1"/>
  <c r="L122" i="1"/>
  <c r="M122" i="1" s="1"/>
  <c r="L195" i="1"/>
  <c r="L278" i="1"/>
  <c r="M278" i="1" s="1"/>
  <c r="L44" i="1"/>
  <c r="L128" i="1"/>
  <c r="L71" i="1"/>
  <c r="L457" i="1"/>
  <c r="L531" i="1"/>
  <c r="M531" i="1" s="1"/>
  <c r="L132" i="1"/>
  <c r="M132" i="1" s="1"/>
  <c r="L584" i="1"/>
  <c r="M584" i="1" s="1"/>
  <c r="L285" i="1"/>
  <c r="L452" i="1"/>
  <c r="L581" i="1"/>
  <c r="L375" i="1"/>
  <c r="M375" i="1" s="1"/>
  <c r="L461" i="1"/>
  <c r="M461" i="1" s="1"/>
  <c r="L588" i="1"/>
  <c r="L187" i="1"/>
  <c r="L415" i="1"/>
  <c r="L125" i="1"/>
  <c r="L137" i="1"/>
  <c r="M137" i="1" s="1"/>
  <c r="L311" i="1"/>
  <c r="L410" i="1"/>
  <c r="M410" i="1" s="1"/>
  <c r="L327" i="1"/>
  <c r="M327" i="1" s="1"/>
  <c r="L573" i="1"/>
  <c r="M573" i="1" s="1"/>
  <c r="L257" i="1"/>
  <c r="M257" i="1" s="1"/>
  <c r="L520" i="1"/>
  <c r="M520" i="1" s="1"/>
  <c r="L172" i="1"/>
  <c r="L51" i="1"/>
  <c r="L127" i="1"/>
  <c r="M127" i="1" s="1"/>
  <c r="L77" i="1"/>
  <c r="L532" i="1"/>
  <c r="M532" i="1" s="1"/>
  <c r="L207" i="1"/>
  <c r="L466" i="1"/>
  <c r="M466" i="1" s="1"/>
  <c r="L74" i="1"/>
  <c r="L398" i="1"/>
  <c r="M398" i="1" s="1"/>
  <c r="L226" i="1"/>
  <c r="N514" i="1"/>
  <c r="N376" i="1"/>
  <c r="N519" i="1"/>
  <c r="L217" i="1"/>
  <c r="L193" i="1"/>
  <c r="M193" i="1" s="1"/>
  <c r="L351" i="1"/>
  <c r="L608" i="1"/>
  <c r="M608" i="1" s="1"/>
  <c r="L618" i="1"/>
  <c r="M618" i="1" s="1"/>
  <c r="L436" i="1"/>
  <c r="M436" i="1" s="1"/>
  <c r="L412" i="1"/>
  <c r="M412" i="1" s="1"/>
  <c r="L308" i="1"/>
  <c r="L419" i="1"/>
  <c r="M419" i="1" s="1"/>
  <c r="L421" i="1"/>
  <c r="L263" i="1"/>
  <c r="M263" i="1" s="1"/>
  <c r="L366" i="1"/>
  <c r="N289" i="1"/>
  <c r="N171" i="1"/>
  <c r="N283" i="1"/>
  <c r="L162" i="1"/>
  <c r="L320" i="1"/>
  <c r="L616" i="1"/>
  <c r="N425" i="1"/>
  <c r="N196" i="1"/>
  <c r="L363" i="1"/>
  <c r="L249" i="1"/>
  <c r="L221" i="1"/>
  <c r="L110" i="1"/>
  <c r="M110" i="1" s="1"/>
  <c r="L470" i="1"/>
  <c r="N222" i="1"/>
  <c r="L269" i="1"/>
  <c r="L318" i="1"/>
  <c r="L102" i="1"/>
  <c r="M102" i="1" s="1"/>
  <c r="L506" i="1"/>
  <c r="L580" i="1"/>
  <c r="L530" i="1"/>
  <c r="L216" i="1"/>
  <c r="L272" i="1"/>
  <c r="M272" i="1" s="1"/>
  <c r="L103" i="1"/>
  <c r="L379" i="1"/>
  <c r="M379" i="1" s="1"/>
  <c r="L617" i="1"/>
  <c r="M617" i="1" s="1"/>
  <c r="L625" i="1"/>
  <c r="M625" i="1" s="1"/>
  <c r="L494" i="1"/>
  <c r="L338" i="1"/>
  <c r="M338" i="1" s="1"/>
  <c r="L200" i="1"/>
  <c r="L394" i="1"/>
  <c r="M394" i="1" s="1"/>
  <c r="L82" i="1"/>
  <c r="L370" i="1"/>
  <c r="M370" i="1" s="1"/>
  <c r="L258" i="1"/>
  <c r="M258" i="1" s="1"/>
  <c r="L411" i="1"/>
  <c r="L476" i="1"/>
  <c r="M476" i="1" s="1"/>
  <c r="N528" i="1"/>
  <c r="N322" i="1"/>
  <c r="L499" i="1"/>
  <c r="M499" i="1" s="1"/>
  <c r="L374" i="1"/>
  <c r="N89" i="1"/>
  <c r="N228" i="1"/>
  <c r="N428" i="1"/>
  <c r="N286" i="1"/>
  <c r="L545" i="1"/>
  <c r="M545" i="1" s="1"/>
  <c r="L353" i="1"/>
  <c r="L150" i="1"/>
  <c r="L242" i="1"/>
  <c r="M242" i="1" s="1"/>
  <c r="N197" i="1"/>
  <c r="N215" i="1"/>
  <c r="L430" i="1"/>
  <c r="L277" i="1"/>
  <c r="M277" i="1" s="1"/>
  <c r="L247" i="1"/>
  <c r="L123" i="1"/>
  <c r="L505" i="1"/>
  <c r="L319" i="1"/>
  <c r="L350" i="1"/>
  <c r="L309" i="1"/>
  <c r="L284" i="1"/>
  <c r="M284" i="1" s="1"/>
  <c r="L212" i="1"/>
  <c r="M212" i="1" s="1"/>
  <c r="L442" i="1"/>
  <c r="M442" i="1" s="1"/>
  <c r="L116" i="1"/>
  <c r="L37" i="1"/>
  <c r="M37" i="1" s="1"/>
  <c r="N609" i="1"/>
  <c r="N86" i="1"/>
  <c r="N589" i="1"/>
  <c r="L223" i="1"/>
  <c r="L471" i="1"/>
  <c r="M471" i="1" s="1"/>
  <c r="L552" i="1"/>
  <c r="M552" i="1" s="1"/>
  <c r="L79" i="1"/>
  <c r="M79" i="1" s="1"/>
  <c r="L557" i="1"/>
  <c r="L607" i="1"/>
  <c r="L281" i="1"/>
  <c r="M281" i="1" s="1"/>
  <c r="L265" i="1"/>
  <c r="L244" i="1"/>
  <c r="N354" i="1"/>
  <c r="L186" i="1"/>
  <c r="N547" i="1"/>
  <c r="L384" i="1"/>
  <c r="N518" i="1"/>
  <c r="L291" i="1"/>
  <c r="L431" i="1"/>
  <c r="N498" i="1"/>
  <c r="L369" i="1"/>
  <c r="L383" i="1"/>
  <c r="L312" i="1"/>
  <c r="M312" i="1" s="1"/>
  <c r="N336" i="1"/>
  <c r="L610" i="1"/>
  <c r="M610" i="1" s="1"/>
  <c r="L601" i="1"/>
  <c r="L255" i="1"/>
  <c r="M255" i="1" s="1"/>
  <c r="L467" i="1"/>
  <c r="M467" i="1" s="1"/>
  <c r="N275" i="1"/>
  <c r="L639" i="1"/>
  <c r="M639" i="1" s="1"/>
  <c r="N605" i="1"/>
  <c r="L95" i="1"/>
  <c r="N93" i="1"/>
  <c r="N250" i="1"/>
  <c r="L572" i="1"/>
  <c r="M572" i="1" s="1"/>
  <c r="N246" i="1"/>
  <c r="N493" i="1"/>
  <c r="N34" i="1"/>
  <c r="N67" i="1"/>
  <c r="L385" i="1"/>
  <c r="L489" i="1"/>
  <c r="L438" i="1"/>
  <c r="L142" i="1"/>
  <c r="L406" i="1"/>
  <c r="M406" i="1" s="1"/>
  <c r="L183" i="1"/>
  <c r="L241" i="1"/>
  <c r="M241" i="1" s="1"/>
  <c r="L168" i="1"/>
  <c r="L202" i="1"/>
  <c r="L347" i="1"/>
  <c r="M347" i="1" s="1"/>
  <c r="L266" i="1"/>
  <c r="L16" i="1"/>
  <c r="L492" i="1"/>
  <c r="M492" i="1" s="1"/>
  <c r="L352" i="1"/>
  <c r="L85" i="1"/>
  <c r="L435" i="1"/>
  <c r="M435" i="1" s="1"/>
  <c r="L401" i="1"/>
  <c r="L451" i="1"/>
  <c r="L420" i="1"/>
  <c r="M420" i="1" s="1"/>
  <c r="L360" i="1"/>
  <c r="M360" i="1" s="1"/>
  <c r="N583" i="1"/>
  <c r="L267" i="1"/>
  <c r="M267" i="1" s="1"/>
  <c r="L213" i="1"/>
  <c r="M213" i="1" s="1"/>
  <c r="L454" i="1"/>
  <c r="M454" i="1" s="1"/>
  <c r="L119" i="1"/>
  <c r="M119" i="1" s="1"/>
  <c r="L229" i="1"/>
  <c r="L389" i="1"/>
  <c r="L240" i="1"/>
  <c r="M240" i="1" s="1"/>
  <c r="N474" i="1"/>
  <c r="L185" i="1"/>
  <c r="L299" i="1"/>
  <c r="M299" i="1" s="1"/>
  <c r="L121" i="1"/>
  <c r="N335" i="1"/>
  <c r="L595" i="1"/>
  <c r="L365" i="1"/>
  <c r="N449" i="1"/>
  <c r="N92" i="1"/>
  <c r="N578" i="1"/>
  <c r="L12" i="1"/>
  <c r="N468" i="1"/>
  <c r="L66" i="1"/>
  <c r="M66" i="1" s="1"/>
  <c r="L210" i="1"/>
  <c r="L515" i="1"/>
  <c r="M515" i="1" s="1"/>
  <c r="L35" i="1"/>
  <c r="L106" i="1"/>
  <c r="L300" i="1"/>
  <c r="L323" i="1"/>
  <c r="L73" i="1"/>
  <c r="L463" i="1"/>
  <c r="N184" i="1"/>
  <c r="N290" i="1"/>
  <c r="N220" i="1"/>
  <c r="N260" i="1"/>
  <c r="N524" i="1"/>
  <c r="N523" i="1"/>
  <c r="N613" i="1"/>
  <c r="N495" i="1"/>
  <c r="N151" i="1"/>
  <c r="N405" i="1"/>
  <c r="N359" i="1"/>
  <c r="L644" i="1"/>
  <c r="M644" i="1" s="1"/>
  <c r="N273" i="1"/>
  <c r="L334" i="1"/>
  <c r="M334" i="1" s="1"/>
  <c r="L203" i="1"/>
  <c r="M203" i="1" s="1"/>
  <c r="L403" i="1"/>
  <c r="M403" i="1" s="1"/>
  <c r="L546" i="1"/>
  <c r="M546" i="1" s="1"/>
  <c r="L619" i="1"/>
  <c r="M619" i="1" s="1"/>
  <c r="L529" i="1"/>
  <c r="L23" i="1"/>
  <c r="M23" i="1" s="1"/>
  <c r="L105" i="1"/>
  <c r="L606" i="1"/>
  <c r="M606" i="1" s="1"/>
  <c r="L305" i="1"/>
  <c r="L380" i="1"/>
  <c r="L60" i="1"/>
  <c r="M60" i="1" s="1"/>
  <c r="L198" i="1"/>
  <c r="L298" i="1"/>
  <c r="M298" i="1" s="1"/>
  <c r="L413" i="1"/>
  <c r="M413" i="1" s="1"/>
  <c r="L295" i="1"/>
  <c r="M295" i="1" s="1"/>
  <c r="L239" i="1"/>
  <c r="L94" i="1"/>
  <c r="L404" i="1"/>
  <c r="L208" i="1"/>
  <c r="L400" i="1"/>
  <c r="M400" i="1" s="1"/>
  <c r="L268" i="1"/>
  <c r="N165" i="1"/>
  <c r="N329" i="1"/>
  <c r="N126" i="1"/>
  <c r="N4" i="1"/>
  <c r="N443" i="1"/>
  <c r="N161" i="1"/>
  <c r="N188" i="1"/>
  <c r="L245" i="1"/>
  <c r="M245" i="1" s="1"/>
  <c r="N158" i="1"/>
  <c r="N157" i="1"/>
  <c r="N53" i="1"/>
  <c r="N566" i="1"/>
  <c r="N214" i="1"/>
  <c r="N205" i="1"/>
  <c r="L225" i="1"/>
  <c r="R458" i="1" l="1"/>
  <c r="S458" i="1"/>
  <c r="U458" i="1" s="1"/>
  <c r="R19" i="1"/>
  <c r="S19" i="1"/>
  <c r="R469" i="1"/>
  <c r="S469" i="1"/>
  <c r="T469" i="1" s="1"/>
  <c r="R423" i="1"/>
  <c r="S423" i="1"/>
  <c r="T423" i="1" s="1"/>
  <c r="N225" i="1"/>
  <c r="N438" i="1"/>
  <c r="N308" i="1"/>
  <c r="N106" i="1"/>
  <c r="N430" i="1"/>
  <c r="N298" i="1"/>
  <c r="N203" i="1"/>
  <c r="N240" i="1"/>
  <c r="N435" i="1"/>
  <c r="N142" i="1"/>
  <c r="N431" i="1"/>
  <c r="N79" i="1"/>
  <c r="N309" i="1"/>
  <c r="N353" i="1"/>
  <c r="N258" i="1"/>
  <c r="N216" i="1"/>
  <c r="N363" i="1"/>
  <c r="N419" i="1"/>
  <c r="N226" i="1"/>
  <c r="N573" i="1"/>
  <c r="N452" i="1"/>
  <c r="N129" i="1"/>
  <c r="N198" i="1"/>
  <c r="N229" i="1"/>
  <c r="N471" i="1"/>
  <c r="N319" i="1"/>
  <c r="N82" i="1"/>
  <c r="N412" i="1"/>
  <c r="N74" i="1"/>
  <c r="N410" i="1"/>
  <c r="N584" i="1"/>
  <c r="N534" i="1"/>
  <c r="N57" i="1"/>
  <c r="N389" i="1"/>
  <c r="N463" i="1"/>
  <c r="N385" i="1"/>
  <c r="N223" i="1"/>
  <c r="N394" i="1"/>
  <c r="N506" i="1"/>
  <c r="N616" i="1"/>
  <c r="N436" i="1"/>
  <c r="N466" i="1"/>
  <c r="N311" i="1"/>
  <c r="N132" i="1"/>
  <c r="N361" i="1"/>
  <c r="N530" i="1"/>
  <c r="N60" i="1"/>
  <c r="N531" i="1"/>
  <c r="N291" i="1"/>
  <c r="N327" i="1"/>
  <c r="N492" i="1"/>
  <c r="N268" i="1"/>
  <c r="N16" i="1"/>
  <c r="N255" i="1"/>
  <c r="N123" i="1"/>
  <c r="N200" i="1"/>
  <c r="N320" i="1"/>
  <c r="N137" i="1"/>
  <c r="N41" i="1"/>
  <c r="N400" i="1"/>
  <c r="N606" i="1"/>
  <c r="N323" i="1"/>
  <c r="N365" i="1"/>
  <c r="N213" i="1"/>
  <c r="N266" i="1"/>
  <c r="N601" i="1"/>
  <c r="N186" i="1"/>
  <c r="N247" i="1"/>
  <c r="N338" i="1"/>
  <c r="N318" i="1"/>
  <c r="N162" i="1"/>
  <c r="N608" i="1"/>
  <c r="N532" i="1"/>
  <c r="N125" i="1"/>
  <c r="N457" i="1"/>
  <c r="N552" i="1"/>
  <c r="N285" i="1"/>
  <c r="N352" i="1"/>
  <c r="N644" i="1"/>
  <c r="N119" i="1"/>
  <c r="N467" i="1"/>
  <c r="N305" i="1"/>
  <c r="N73" i="1"/>
  <c r="N454" i="1"/>
  <c r="N102" i="1"/>
  <c r="N618" i="1"/>
  <c r="N207" i="1"/>
  <c r="N208" i="1"/>
  <c r="N105" i="1"/>
  <c r="N300" i="1"/>
  <c r="N595" i="1"/>
  <c r="N267" i="1"/>
  <c r="N347" i="1"/>
  <c r="N610" i="1"/>
  <c r="N277" i="1"/>
  <c r="N374" i="1"/>
  <c r="N494" i="1"/>
  <c r="N269" i="1"/>
  <c r="N351" i="1"/>
  <c r="N77" i="1"/>
  <c r="N71" i="1"/>
  <c r="N85" i="1"/>
  <c r="N398" i="1"/>
  <c r="N128" i="1"/>
  <c r="N236" i="1"/>
  <c r="N370" i="1"/>
  <c r="N625" i="1"/>
  <c r="N193" i="1"/>
  <c r="N35" i="1"/>
  <c r="N312" i="1"/>
  <c r="N116" i="1"/>
  <c r="N617" i="1"/>
  <c r="N470" i="1"/>
  <c r="N217" i="1"/>
  <c r="N51" i="1"/>
  <c r="N588" i="1"/>
  <c r="N44" i="1"/>
  <c r="S5" i="1"/>
  <c r="U5" i="1" s="1"/>
  <c r="N639" i="1"/>
  <c r="N23" i="1"/>
  <c r="N202" i="1"/>
  <c r="N499" i="1"/>
  <c r="N127" i="1"/>
  <c r="N278" i="1"/>
  <c r="N334" i="1"/>
  <c r="N350" i="1"/>
  <c r="N404" i="1"/>
  <c r="N37" i="1"/>
  <c r="N187" i="1"/>
  <c r="N245" i="1"/>
  <c r="N121" i="1"/>
  <c r="N168" i="1"/>
  <c r="N265" i="1"/>
  <c r="N239" i="1"/>
  <c r="N299" i="1"/>
  <c r="N241" i="1"/>
  <c r="N442" i="1"/>
  <c r="N110" i="1"/>
  <c r="N172" i="1"/>
  <c r="N295" i="1"/>
  <c r="N546" i="1"/>
  <c r="N210" i="1"/>
  <c r="N185" i="1"/>
  <c r="N451" i="1"/>
  <c r="N183" i="1"/>
  <c r="N369" i="1"/>
  <c r="N607" i="1"/>
  <c r="N212" i="1"/>
  <c r="N242" i="1"/>
  <c r="N103" i="1"/>
  <c r="N221" i="1"/>
  <c r="N263" i="1"/>
  <c r="N520" i="1"/>
  <c r="N375" i="1"/>
  <c r="N195" i="1"/>
  <c r="N12" i="1"/>
  <c r="N545" i="1"/>
  <c r="N497" i="1"/>
  <c r="N244" i="1"/>
  <c r="N94" i="1"/>
  <c r="N360" i="1"/>
  <c r="N572" i="1"/>
  <c r="N619" i="1"/>
  <c r="N515" i="1"/>
  <c r="N420" i="1"/>
  <c r="N281" i="1"/>
  <c r="N379" i="1"/>
  <c r="N461" i="1"/>
  <c r="N413" i="1"/>
  <c r="N403" i="1"/>
  <c r="N66" i="1"/>
  <c r="N401" i="1"/>
  <c r="N406" i="1"/>
  <c r="N95" i="1"/>
  <c r="N557" i="1"/>
  <c r="N284" i="1"/>
  <c r="N150" i="1"/>
  <c r="N411" i="1"/>
  <c r="N272" i="1"/>
  <c r="N249" i="1"/>
  <c r="N421" i="1"/>
  <c r="N257" i="1"/>
  <c r="N581" i="1"/>
  <c r="N122" i="1"/>
  <c r="R516" i="1"/>
  <c r="S516" i="1"/>
  <c r="R548" i="1"/>
  <c r="S548" i="1"/>
  <c r="R549" i="1"/>
  <c r="S549" i="1"/>
  <c r="R367" i="1"/>
  <c r="S367" i="1"/>
  <c r="R652" i="1"/>
  <c r="S652" i="1"/>
  <c r="R585" i="1"/>
  <c r="S585" i="1"/>
  <c r="S536" i="1"/>
  <c r="R536" i="1"/>
  <c r="R641" i="1"/>
  <c r="S641" i="1"/>
  <c r="R550" i="1"/>
  <c r="S550" i="1"/>
  <c r="R512" i="1"/>
  <c r="S512" i="1"/>
  <c r="R503" i="1"/>
  <c r="S503" i="1"/>
  <c r="R633" i="1"/>
  <c r="S633" i="1"/>
  <c r="R564" i="1"/>
  <c r="S564" i="1"/>
  <c r="R647" i="1"/>
  <c r="S647" i="1"/>
  <c r="R563" i="1"/>
  <c r="S563" i="1"/>
  <c r="R504" i="1"/>
  <c r="S504" i="1"/>
  <c r="R525" i="1"/>
  <c r="S525" i="1"/>
  <c r="R648" i="1"/>
  <c r="S648" i="1"/>
  <c r="R473" i="1"/>
  <c r="S473" i="1"/>
  <c r="R533" i="1"/>
  <c r="S533" i="1"/>
  <c r="N537" i="1"/>
  <c r="R537" i="1" s="1"/>
  <c r="R604" i="1"/>
  <c r="S604" i="1"/>
  <c r="S577" i="1"/>
  <c r="R577" i="1"/>
  <c r="T19" i="1"/>
  <c r="U19" i="1"/>
  <c r="S629" i="1"/>
  <c r="R629" i="1"/>
  <c r="N538" i="1"/>
  <c r="R538" i="1" s="1"/>
  <c r="R632" i="1"/>
  <c r="S632" i="1"/>
  <c r="R464" i="1"/>
  <c r="S464" i="1"/>
  <c r="R101" i="1"/>
  <c r="S101" i="1"/>
  <c r="R594" i="1"/>
  <c r="S594" i="1"/>
  <c r="R592" i="1"/>
  <c r="S592" i="1"/>
  <c r="N383" i="1"/>
  <c r="N580" i="1"/>
  <c r="N529" i="1"/>
  <c r="N489" i="1"/>
  <c r="N366" i="1"/>
  <c r="N380" i="1"/>
  <c r="N384" i="1"/>
  <c r="N415" i="1"/>
  <c r="N505" i="1"/>
  <c r="U469" i="1" l="1"/>
  <c r="T458" i="1"/>
  <c r="U423" i="1"/>
  <c r="T5" i="1"/>
  <c r="U504" i="1"/>
  <c r="T504" i="1"/>
  <c r="U503" i="1"/>
  <c r="T503" i="1"/>
  <c r="U652" i="1"/>
  <c r="T652" i="1"/>
  <c r="S537" i="1"/>
  <c r="T512" i="1"/>
  <c r="U512" i="1"/>
  <c r="T367" i="1"/>
  <c r="U367" i="1"/>
  <c r="R384" i="1"/>
  <c r="S384" i="1"/>
  <c r="T563" i="1"/>
  <c r="U563" i="1"/>
  <c r="S538" i="1"/>
  <c r="U633" i="1"/>
  <c r="T633" i="1"/>
  <c r="R380" i="1"/>
  <c r="S380" i="1"/>
  <c r="R580" i="1"/>
  <c r="S580" i="1"/>
  <c r="T550" i="1"/>
  <c r="U550" i="1"/>
  <c r="T549" i="1"/>
  <c r="U549" i="1"/>
  <c r="R366" i="1"/>
  <c r="S366" i="1"/>
  <c r="T585" i="1"/>
  <c r="U585" i="1"/>
  <c r="R489" i="1"/>
  <c r="S489" i="1"/>
  <c r="U533" i="1"/>
  <c r="T533" i="1"/>
  <c r="U629" i="1"/>
  <c r="T629" i="1"/>
  <c r="T473" i="1"/>
  <c r="U473" i="1"/>
  <c r="T647" i="1"/>
  <c r="U647" i="1"/>
  <c r="U641" i="1"/>
  <c r="T641" i="1"/>
  <c r="T548" i="1"/>
  <c r="U548" i="1"/>
  <c r="T525" i="1"/>
  <c r="U525" i="1"/>
  <c r="R383" i="1"/>
  <c r="S383" i="1"/>
  <c r="T604" i="1"/>
  <c r="U604" i="1"/>
  <c r="R505" i="1"/>
  <c r="S505" i="1"/>
  <c r="T648" i="1"/>
  <c r="U648" i="1"/>
  <c r="T564" i="1"/>
  <c r="U564" i="1"/>
  <c r="U516" i="1"/>
  <c r="T516" i="1"/>
  <c r="N476" i="1"/>
  <c r="R476" i="1" s="1"/>
  <c r="S529" i="1"/>
  <c r="R529" i="1"/>
  <c r="R415" i="1"/>
  <c r="S415" i="1"/>
  <c r="T577" i="1"/>
  <c r="U577" i="1"/>
  <c r="T536" i="1"/>
  <c r="U536" i="1"/>
  <c r="R314" i="1"/>
  <c r="S314" i="1"/>
  <c r="R3" i="1"/>
  <c r="S3" i="1"/>
  <c r="R61" i="1"/>
  <c r="S61" i="1"/>
  <c r="R362" i="1"/>
  <c r="S362" i="1"/>
  <c r="R407" i="1"/>
  <c r="S407" i="1"/>
  <c r="R517" i="1"/>
  <c r="S517" i="1"/>
  <c r="R392" i="1"/>
  <c r="S392" i="1"/>
  <c r="R54" i="1"/>
  <c r="S54" i="1"/>
  <c r="R575" i="1"/>
  <c r="S575" i="1"/>
  <c r="R9" i="1"/>
  <c r="S9" i="1"/>
  <c r="R191" i="1"/>
  <c r="S191" i="1"/>
  <c r="R558" i="1"/>
  <c r="S558" i="1"/>
  <c r="R199" i="1"/>
  <c r="S199" i="1"/>
  <c r="R642" i="1"/>
  <c r="S642" i="1"/>
  <c r="R6" i="1"/>
  <c r="S6" i="1"/>
  <c r="R58" i="1"/>
  <c r="S58" i="1"/>
  <c r="R21" i="1"/>
  <c r="S21" i="1"/>
  <c r="R645" i="1"/>
  <c r="S645" i="1"/>
  <c r="R25" i="1"/>
  <c r="S25" i="1"/>
  <c r="R587" i="1"/>
  <c r="S587" i="1"/>
  <c r="R614" i="1"/>
  <c r="S614" i="1"/>
  <c r="R32" i="1"/>
  <c r="S32" i="1"/>
  <c r="R622" i="1"/>
  <c r="S622" i="1"/>
  <c r="R561" i="1"/>
  <c r="S561" i="1"/>
  <c r="R147" i="1"/>
  <c r="S147" i="1"/>
  <c r="R124" i="1"/>
  <c r="S124" i="1"/>
  <c r="R377" i="1"/>
  <c r="S377" i="1"/>
  <c r="R31" i="1"/>
  <c r="S31" i="1"/>
  <c r="R582" i="1"/>
  <c r="S582" i="1"/>
  <c r="R68" i="1"/>
  <c r="S68" i="1"/>
  <c r="R409" i="1"/>
  <c r="S409" i="1"/>
  <c r="R453" i="1"/>
  <c r="S453" i="1"/>
  <c r="R440" i="1"/>
  <c r="S440" i="1"/>
  <c r="R206" i="1"/>
  <c r="S206" i="1"/>
  <c r="R539" i="1"/>
  <c r="S539" i="1"/>
  <c r="R262" i="1"/>
  <c r="S262" i="1"/>
  <c r="R64" i="1"/>
  <c r="S64" i="1"/>
  <c r="R83" i="1"/>
  <c r="S83" i="1"/>
  <c r="R569" i="1"/>
  <c r="S569" i="1"/>
  <c r="R256" i="1"/>
  <c r="S256" i="1"/>
  <c r="R602" i="1"/>
  <c r="S602" i="1"/>
  <c r="R395" i="1"/>
  <c r="S395" i="1"/>
  <c r="R402" i="1"/>
  <c r="S402" i="1"/>
  <c r="R259" i="1"/>
  <c r="S259" i="1"/>
  <c r="R598" i="1"/>
  <c r="S598" i="1"/>
  <c r="R80" i="1"/>
  <c r="S80" i="1"/>
  <c r="R332" i="1"/>
  <c r="S332" i="1"/>
  <c r="R59" i="1"/>
  <c r="S59" i="1"/>
  <c r="R179" i="1"/>
  <c r="S179" i="1"/>
  <c r="R368" i="1"/>
  <c r="S368" i="1"/>
  <c r="R479" i="1"/>
  <c r="S479" i="1"/>
  <c r="R296" i="1"/>
  <c r="S296" i="1"/>
  <c r="R231" i="1"/>
  <c r="S231" i="1"/>
  <c r="R628" i="1"/>
  <c r="S628" i="1"/>
  <c r="R118" i="1"/>
  <c r="S118" i="1"/>
  <c r="R81" i="1"/>
  <c r="S81" i="1"/>
  <c r="R478" i="1"/>
  <c r="S478" i="1"/>
  <c r="R13" i="1"/>
  <c r="S13" i="1"/>
  <c r="U464" i="1"/>
  <c r="T464" i="1"/>
  <c r="R303" i="1"/>
  <c r="S303" i="1"/>
  <c r="R130" i="1"/>
  <c r="S130" i="1"/>
  <c r="R141" i="1"/>
  <c r="S141" i="1"/>
  <c r="R146" i="1"/>
  <c r="S146" i="1"/>
  <c r="R62" i="1"/>
  <c r="S62" i="1"/>
  <c r="R427" i="1"/>
  <c r="S427" i="1"/>
  <c r="R317" i="1"/>
  <c r="S317" i="1"/>
  <c r="R315" i="1"/>
  <c r="S315" i="1"/>
  <c r="R38" i="1"/>
  <c r="S38" i="1"/>
  <c r="R358" i="1"/>
  <c r="S358" i="1"/>
  <c r="R15" i="1"/>
  <c r="S15" i="1"/>
  <c r="R511" i="1"/>
  <c r="S511" i="1"/>
  <c r="R287" i="1"/>
  <c r="S287" i="1"/>
  <c r="R555" i="1"/>
  <c r="S555" i="1"/>
  <c r="R485" i="1"/>
  <c r="S485" i="1"/>
  <c r="R640" i="1"/>
  <c r="S640" i="1"/>
  <c r="R568" i="1"/>
  <c r="S568" i="1"/>
  <c r="R90" i="1"/>
  <c r="S90" i="1"/>
  <c r="R238" i="1"/>
  <c r="S238" i="1"/>
  <c r="R339" i="1"/>
  <c r="S339" i="1"/>
  <c r="R483" i="1"/>
  <c r="S483" i="1"/>
  <c r="R7" i="1"/>
  <c r="S7" i="1"/>
  <c r="R114" i="1"/>
  <c r="S114" i="1"/>
  <c r="R154" i="1"/>
  <c r="S154" i="1"/>
  <c r="R304" i="1"/>
  <c r="S304" i="1"/>
  <c r="R590" i="1"/>
  <c r="S590" i="1"/>
  <c r="R507" i="1"/>
  <c r="S507" i="1"/>
  <c r="R649" i="1"/>
  <c r="S649" i="1"/>
  <c r="R97" i="1"/>
  <c r="S97" i="1"/>
  <c r="R50" i="1"/>
  <c r="S50" i="1"/>
  <c r="R455" i="1"/>
  <c r="S455" i="1"/>
  <c r="R487" i="1"/>
  <c r="S487" i="1"/>
  <c r="R624" i="1"/>
  <c r="S624" i="1"/>
  <c r="R214" i="1"/>
  <c r="S214" i="1"/>
  <c r="R486" i="1"/>
  <c r="S486" i="1"/>
  <c r="R166" i="1"/>
  <c r="S166" i="1"/>
  <c r="R254" i="1"/>
  <c r="S254" i="1"/>
  <c r="R447" i="1"/>
  <c r="S447" i="1"/>
  <c r="R399" i="1"/>
  <c r="S399" i="1"/>
  <c r="R600" i="1"/>
  <c r="S600" i="1"/>
  <c r="R288" i="1"/>
  <c r="S288" i="1"/>
  <c r="R620" i="1"/>
  <c r="S620" i="1"/>
  <c r="R164" i="1"/>
  <c r="S164" i="1"/>
  <c r="R522" i="1"/>
  <c r="S522" i="1"/>
  <c r="R48" i="1"/>
  <c r="S48" i="1"/>
  <c r="R481" i="1"/>
  <c r="S481" i="1"/>
  <c r="R650" i="1"/>
  <c r="S650" i="1"/>
  <c r="R252" i="1"/>
  <c r="S252" i="1"/>
  <c r="R181" i="1"/>
  <c r="S181" i="1"/>
  <c r="R344" i="1"/>
  <c r="S344" i="1"/>
  <c r="R20" i="1"/>
  <c r="S20" i="1"/>
  <c r="R264" i="1"/>
  <c r="S264" i="1"/>
  <c r="R163" i="1"/>
  <c r="S163" i="1"/>
  <c r="R574" i="1"/>
  <c r="S574" i="1"/>
  <c r="R176" i="1"/>
  <c r="S176" i="1"/>
  <c r="R465" i="1"/>
  <c r="S465" i="1"/>
  <c r="R276" i="1"/>
  <c r="S276" i="1"/>
  <c r="R133" i="1"/>
  <c r="S133" i="1"/>
  <c r="R104" i="1"/>
  <c r="S104" i="1"/>
  <c r="R159" i="1"/>
  <c r="S159" i="1"/>
  <c r="R135" i="1"/>
  <c r="S135" i="1"/>
  <c r="R541" i="1"/>
  <c r="S541" i="1"/>
  <c r="R559" i="1"/>
  <c r="S559" i="1"/>
  <c r="R565" i="1"/>
  <c r="S565" i="1"/>
  <c r="R14" i="1"/>
  <c r="S14" i="1"/>
  <c r="R446" i="1"/>
  <c r="S446" i="1"/>
  <c r="R527" i="1"/>
  <c r="S527" i="1"/>
  <c r="R397" i="1"/>
  <c r="S397" i="1"/>
  <c r="R596" i="1"/>
  <c r="S596" i="1"/>
  <c r="R631" i="1"/>
  <c r="S631" i="1"/>
  <c r="R433" i="1"/>
  <c r="S433" i="1"/>
  <c r="R634" i="1"/>
  <c r="S634" i="1"/>
  <c r="R292" i="1"/>
  <c r="S292" i="1"/>
  <c r="R526" i="1"/>
  <c r="S526" i="1"/>
  <c r="R22" i="1"/>
  <c r="S22" i="1"/>
  <c r="R611" i="1"/>
  <c r="S611" i="1"/>
  <c r="R167" i="1"/>
  <c r="S167" i="1"/>
  <c r="R306" i="1"/>
  <c r="S306" i="1"/>
  <c r="R333" i="1"/>
  <c r="S333" i="1"/>
  <c r="R386" i="1"/>
  <c r="S386" i="1"/>
  <c r="R444" i="1"/>
  <c r="S444" i="1"/>
  <c r="R343" i="1"/>
  <c r="S343" i="1"/>
  <c r="R562" i="1"/>
  <c r="S562" i="1"/>
  <c r="R143" i="1"/>
  <c r="S143" i="1"/>
  <c r="R63" i="1"/>
  <c r="S63" i="1"/>
  <c r="R45" i="1"/>
  <c r="S45" i="1"/>
  <c r="R381" i="1"/>
  <c r="S381" i="1"/>
  <c r="R535" i="1"/>
  <c r="S535" i="1"/>
  <c r="R175" i="1"/>
  <c r="S175" i="1"/>
  <c r="R545" i="1"/>
  <c r="S545" i="1"/>
  <c r="R178" i="1"/>
  <c r="S178" i="1"/>
  <c r="T101" i="1"/>
  <c r="U101" i="1"/>
  <c r="R576" i="1"/>
  <c r="S576" i="1"/>
  <c r="R456" i="1"/>
  <c r="S456" i="1"/>
  <c r="R462" i="1"/>
  <c r="S462" i="1"/>
  <c r="R279" i="1"/>
  <c r="S279" i="1"/>
  <c r="R145" i="1"/>
  <c r="S145" i="1"/>
  <c r="R109" i="1"/>
  <c r="S109" i="1"/>
  <c r="R554" i="1"/>
  <c r="S554" i="1"/>
  <c r="R8" i="1"/>
  <c r="S8" i="1"/>
  <c r="R139" i="1"/>
  <c r="S139" i="1"/>
  <c r="R280" i="1"/>
  <c r="S280" i="1"/>
  <c r="R341" i="1"/>
  <c r="S341" i="1"/>
  <c r="R422" i="1"/>
  <c r="S422" i="1"/>
  <c r="R542" i="1"/>
  <c r="S542" i="1"/>
  <c r="R170" i="1"/>
  <c r="S170" i="1"/>
  <c r="R325" i="1"/>
  <c r="S325" i="1"/>
  <c r="R235" i="1"/>
  <c r="S235" i="1"/>
  <c r="R349" i="1"/>
  <c r="S349" i="1"/>
  <c r="R637" i="1"/>
  <c r="S637" i="1"/>
  <c r="R378" i="1"/>
  <c r="S378" i="1"/>
  <c r="R502" i="1"/>
  <c r="S502" i="1"/>
  <c r="R218" i="1"/>
  <c r="S218" i="1"/>
  <c r="R328" i="1"/>
  <c r="S328" i="1"/>
  <c r="R500" i="1"/>
  <c r="S500" i="1"/>
  <c r="R47" i="1"/>
  <c r="S47" i="1"/>
  <c r="R98" i="1"/>
  <c r="S98" i="1"/>
  <c r="R72" i="1"/>
  <c r="S72" i="1"/>
  <c r="R209" i="1"/>
  <c r="S209" i="1"/>
  <c r="R115" i="1"/>
  <c r="S115" i="1"/>
  <c r="R371" i="1"/>
  <c r="S371" i="1"/>
  <c r="R42" i="1"/>
  <c r="S42" i="1"/>
  <c r="R477" i="1"/>
  <c r="S477" i="1"/>
  <c r="R388" i="1"/>
  <c r="S388" i="1"/>
  <c r="R357" i="1"/>
  <c r="S357" i="1"/>
  <c r="R113" i="1"/>
  <c r="S113" i="1"/>
  <c r="R136" i="1"/>
  <c r="S136" i="1"/>
  <c r="R117" i="1"/>
  <c r="S117" i="1"/>
  <c r="R87" i="1"/>
  <c r="S87" i="1"/>
  <c r="R509" i="1"/>
  <c r="S509" i="1"/>
  <c r="R29" i="1"/>
  <c r="S29" i="1"/>
  <c r="R120" i="1"/>
  <c r="S120" i="1"/>
  <c r="R591" i="1"/>
  <c r="S591" i="1"/>
  <c r="R387" i="1"/>
  <c r="S387" i="1"/>
  <c r="R544" i="1"/>
  <c r="S544" i="1"/>
  <c r="R408" i="1"/>
  <c r="S408" i="1"/>
  <c r="R201" i="1"/>
  <c r="S201" i="1"/>
  <c r="R96" i="1"/>
  <c r="S96" i="1"/>
  <c r="R521" i="1"/>
  <c r="S521" i="1"/>
  <c r="R155" i="1"/>
  <c r="S155" i="1"/>
  <c r="R570" i="1"/>
  <c r="S570" i="1"/>
  <c r="R40" i="1"/>
  <c r="S40" i="1"/>
  <c r="R55" i="1"/>
  <c r="S55" i="1"/>
  <c r="R321" i="1"/>
  <c r="S321" i="1"/>
  <c r="R382" i="1"/>
  <c r="S382" i="1"/>
  <c r="R140" i="1"/>
  <c r="S140" i="1"/>
  <c r="R484" i="1"/>
  <c r="S484" i="1"/>
  <c r="R243" i="1"/>
  <c r="S243" i="1"/>
  <c r="R182" i="1"/>
  <c r="S182" i="1"/>
  <c r="R345" i="1"/>
  <c r="S345" i="1"/>
  <c r="R491" i="1"/>
  <c r="S491" i="1"/>
  <c r="R448" i="1"/>
  <c r="S448" i="1"/>
  <c r="R297" i="1"/>
  <c r="S297" i="1"/>
  <c r="R599" i="1"/>
  <c r="S599" i="1"/>
  <c r="R180" i="1"/>
  <c r="S180" i="1"/>
  <c r="R646" i="1"/>
  <c r="S646" i="1"/>
  <c r="R417" i="1"/>
  <c r="S417" i="1"/>
  <c r="R313" i="1"/>
  <c r="S313" i="1"/>
  <c r="R204" i="1"/>
  <c r="S204" i="1"/>
  <c r="R340" i="1"/>
  <c r="S340" i="1"/>
  <c r="R65" i="1"/>
  <c r="S65" i="1"/>
  <c r="R324" i="1"/>
  <c r="S324" i="1"/>
  <c r="R111" i="1"/>
  <c r="S111" i="1"/>
  <c r="R432" i="1"/>
  <c r="S432" i="1"/>
  <c r="R307" i="1"/>
  <c r="S307" i="1"/>
  <c r="R233" i="1"/>
  <c r="S233" i="1"/>
  <c r="R107" i="1"/>
  <c r="S107" i="1"/>
  <c r="R26" i="1"/>
  <c r="S26" i="1"/>
  <c r="R556" i="1"/>
  <c r="S556" i="1"/>
  <c r="R372" i="1"/>
  <c r="S372" i="1"/>
  <c r="R10" i="1"/>
  <c r="S10" i="1"/>
  <c r="R326" i="1"/>
  <c r="S326" i="1"/>
  <c r="R28" i="1"/>
  <c r="S28" i="1"/>
  <c r="R439" i="1"/>
  <c r="S439" i="1"/>
  <c r="R480" i="1"/>
  <c r="S480" i="1"/>
  <c r="T592" i="1"/>
  <c r="U592" i="1"/>
  <c r="R17" i="1"/>
  <c r="S17" i="1"/>
  <c r="R75" i="1"/>
  <c r="S75" i="1"/>
  <c r="R39" i="1"/>
  <c r="S39" i="1"/>
  <c r="R234" i="1"/>
  <c r="S234" i="1"/>
  <c r="R331" i="1"/>
  <c r="S331" i="1"/>
  <c r="R623" i="1"/>
  <c r="S623" i="1"/>
  <c r="R560" i="1"/>
  <c r="S560" i="1"/>
  <c r="R302" i="1"/>
  <c r="S302" i="1"/>
  <c r="R310" i="1"/>
  <c r="S310" i="1"/>
  <c r="R152" i="1"/>
  <c r="S152" i="1"/>
  <c r="R169" i="1"/>
  <c r="S169" i="1"/>
  <c r="R356" i="1"/>
  <c r="S356" i="1"/>
  <c r="R603" i="1"/>
  <c r="S603" i="1"/>
  <c r="R99" i="1"/>
  <c r="S99" i="1"/>
  <c r="R52" i="1"/>
  <c r="S52" i="1"/>
  <c r="R153" i="1"/>
  <c r="S153" i="1"/>
  <c r="R274" i="1"/>
  <c r="S274" i="1"/>
  <c r="R612" i="1"/>
  <c r="S612" i="1"/>
  <c r="R144" i="1"/>
  <c r="S144" i="1"/>
  <c r="R261" i="1"/>
  <c r="S261" i="1"/>
  <c r="R651" i="1"/>
  <c r="S651" i="1"/>
  <c r="R348" i="1"/>
  <c r="S348" i="1"/>
  <c r="R174" i="1"/>
  <c r="S174" i="1"/>
  <c r="R390" i="1"/>
  <c r="S390" i="1"/>
  <c r="R190" i="1"/>
  <c r="S190" i="1"/>
  <c r="R27" i="1"/>
  <c r="S27" i="1"/>
  <c r="R43" i="1"/>
  <c r="S43" i="1"/>
  <c r="R571" i="1"/>
  <c r="S571" i="1"/>
  <c r="R543" i="1"/>
  <c r="S543" i="1"/>
  <c r="R149" i="1"/>
  <c r="S149" i="1"/>
  <c r="R636" i="1"/>
  <c r="S636" i="1"/>
  <c r="R11" i="1"/>
  <c r="S11" i="1"/>
  <c r="R482" i="1"/>
  <c r="S482" i="1"/>
  <c r="R424" i="1"/>
  <c r="S424" i="1"/>
  <c r="R219" i="1"/>
  <c r="S219" i="1"/>
  <c r="R316" i="1"/>
  <c r="S316" i="1"/>
  <c r="R192" i="1"/>
  <c r="S192" i="1"/>
  <c r="R510" i="1"/>
  <c r="S510" i="1"/>
  <c r="R393" i="1"/>
  <c r="S393" i="1"/>
  <c r="R33" i="1"/>
  <c r="S33" i="1"/>
  <c r="R540" i="1"/>
  <c r="S540" i="1"/>
  <c r="R156" i="1"/>
  <c r="S156" i="1"/>
  <c r="R70" i="1"/>
  <c r="S70" i="1"/>
  <c r="R282" i="1"/>
  <c r="S282" i="1"/>
  <c r="R437" i="1"/>
  <c r="S437" i="1"/>
  <c r="R30" i="1"/>
  <c r="S30" i="1"/>
  <c r="R108" i="1"/>
  <c r="S108" i="1"/>
  <c r="R330" i="1"/>
  <c r="S330" i="1"/>
  <c r="R160" i="1"/>
  <c r="S160" i="1"/>
  <c r="R189" i="1"/>
  <c r="S189" i="1"/>
  <c r="R56" i="1"/>
  <c r="S56" i="1"/>
  <c r="R635" i="1"/>
  <c r="S635" i="1"/>
  <c r="R396" i="1"/>
  <c r="S396" i="1"/>
  <c r="R78" i="1"/>
  <c r="S78" i="1"/>
  <c r="R475" i="1"/>
  <c r="S475" i="1"/>
  <c r="R429" i="1"/>
  <c r="S429" i="1"/>
  <c r="R391" i="1"/>
  <c r="S391" i="1"/>
  <c r="U594" i="1"/>
  <c r="T594" i="1"/>
  <c r="T632" i="1"/>
  <c r="U632" i="1"/>
  <c r="R586" i="1"/>
  <c r="S586" i="1"/>
  <c r="R148" i="1"/>
  <c r="S148" i="1"/>
  <c r="R251" i="1"/>
  <c r="S251" i="1"/>
  <c r="R597" i="1"/>
  <c r="S597" i="1"/>
  <c r="R177" i="1"/>
  <c r="S177" i="1"/>
  <c r="R138" i="1"/>
  <c r="S138" i="1"/>
  <c r="R355" i="1"/>
  <c r="S355" i="1"/>
  <c r="R301" i="1"/>
  <c r="S301" i="1"/>
  <c r="R472" i="1"/>
  <c r="S472" i="1"/>
  <c r="R418" i="1"/>
  <c r="S418" i="1"/>
  <c r="R84" i="1"/>
  <c r="S84" i="1"/>
  <c r="R553" i="1"/>
  <c r="S553" i="1"/>
  <c r="R364" i="1"/>
  <c r="S364" i="1"/>
  <c r="R579" i="1"/>
  <c r="S579" i="1"/>
  <c r="R134" i="1"/>
  <c r="S134" i="1"/>
  <c r="R18" i="1"/>
  <c r="S18" i="1"/>
  <c r="R131" i="1"/>
  <c r="S131" i="1"/>
  <c r="R342" i="1"/>
  <c r="S342" i="1"/>
  <c r="R434" i="1"/>
  <c r="S434" i="1"/>
  <c r="R508" i="1"/>
  <c r="S508" i="1"/>
  <c r="R501" i="1"/>
  <c r="S501" i="1"/>
  <c r="R270" i="1"/>
  <c r="S270" i="1"/>
  <c r="R69" i="1"/>
  <c r="S69" i="1"/>
  <c r="R643" i="1"/>
  <c r="S643" i="1"/>
  <c r="R36" i="1"/>
  <c r="S36" i="1"/>
  <c r="R593" i="1"/>
  <c r="S593" i="1"/>
  <c r="R445" i="1"/>
  <c r="S445" i="1"/>
  <c r="S476" i="1" l="1"/>
  <c r="T580" i="1"/>
  <c r="U580" i="1"/>
  <c r="T489" i="1"/>
  <c r="U489" i="1"/>
  <c r="U380" i="1"/>
  <c r="T380" i="1"/>
  <c r="T537" i="1"/>
  <c r="U537" i="1"/>
  <c r="U383" i="1"/>
  <c r="T383" i="1"/>
  <c r="U415" i="1"/>
  <c r="T415" i="1"/>
  <c r="U505" i="1"/>
  <c r="T505" i="1"/>
  <c r="U366" i="1"/>
  <c r="T366" i="1"/>
  <c r="T538" i="1"/>
  <c r="U538" i="1"/>
  <c r="T529" i="1"/>
  <c r="U529" i="1"/>
  <c r="T384" i="1"/>
  <c r="U384" i="1"/>
  <c r="R223" i="1"/>
  <c r="S223" i="1"/>
  <c r="R230" i="1"/>
  <c r="S230" i="1"/>
  <c r="R241" i="1"/>
  <c r="S241" i="1"/>
  <c r="U177" i="1"/>
  <c r="T177" i="1"/>
  <c r="T424" i="1"/>
  <c r="U424" i="1"/>
  <c r="T417" i="1"/>
  <c r="U417" i="1"/>
  <c r="T349" i="1"/>
  <c r="U349" i="1"/>
  <c r="T181" i="1"/>
  <c r="U181" i="1"/>
  <c r="T517" i="1"/>
  <c r="U517" i="1"/>
  <c r="R428" i="1"/>
  <c r="S428" i="1"/>
  <c r="R499" i="1"/>
  <c r="S499" i="1"/>
  <c r="R110" i="1"/>
  <c r="S110" i="1"/>
  <c r="R222" i="1"/>
  <c r="S222" i="1"/>
  <c r="R60" i="1"/>
  <c r="S60" i="1"/>
  <c r="R403" i="1"/>
  <c r="S403" i="1"/>
  <c r="R389" i="1"/>
  <c r="S389" i="1"/>
  <c r="R203" i="1"/>
  <c r="S203" i="1"/>
  <c r="R188" i="1"/>
  <c r="S188" i="1"/>
  <c r="R263" i="1"/>
  <c r="S263" i="1"/>
  <c r="R468" i="1"/>
  <c r="S468" i="1"/>
  <c r="R363" i="1"/>
  <c r="S363" i="1"/>
  <c r="R271" i="1"/>
  <c r="S271" i="1"/>
  <c r="R158" i="1"/>
  <c r="S158" i="1"/>
  <c r="R347" i="1"/>
  <c r="S347" i="1"/>
  <c r="R291" i="1"/>
  <c r="S291" i="1"/>
  <c r="R375" i="1"/>
  <c r="S375" i="1"/>
  <c r="R216" i="1"/>
  <c r="S216" i="1"/>
  <c r="R318" i="1"/>
  <c r="S318" i="1"/>
  <c r="R127" i="1"/>
  <c r="S127" i="1"/>
  <c r="R269" i="1"/>
  <c r="S269" i="1"/>
  <c r="R250" i="1"/>
  <c r="S250" i="1"/>
  <c r="R319" i="1"/>
  <c r="S319" i="1"/>
  <c r="R258" i="1"/>
  <c r="S258" i="1"/>
  <c r="R401" i="1"/>
  <c r="S401" i="1"/>
  <c r="T84" i="1"/>
  <c r="U84" i="1"/>
  <c r="T480" i="1"/>
  <c r="U480" i="1"/>
  <c r="U521" i="1"/>
  <c r="T521" i="1"/>
  <c r="T500" i="1"/>
  <c r="U500" i="1"/>
  <c r="U178" i="1"/>
  <c r="T178" i="1"/>
  <c r="T176" i="1"/>
  <c r="U176" i="1"/>
  <c r="T238" i="1"/>
  <c r="U238" i="1"/>
  <c r="U303" i="1"/>
  <c r="T303" i="1"/>
  <c r="U395" i="1"/>
  <c r="T395" i="1"/>
  <c r="T561" i="1"/>
  <c r="U561" i="1"/>
  <c r="R37" i="1"/>
  <c r="S37" i="1"/>
  <c r="R572" i="1"/>
  <c r="S572" i="1"/>
  <c r="R379" i="1"/>
  <c r="S379" i="1"/>
  <c r="R607" i="1"/>
  <c r="S607" i="1"/>
  <c r="R398" i="1"/>
  <c r="S398" i="1"/>
  <c r="R295" i="1"/>
  <c r="S295" i="1"/>
  <c r="R268" i="1"/>
  <c r="S268" i="1"/>
  <c r="R610" i="1"/>
  <c r="S610" i="1"/>
  <c r="R404" i="1"/>
  <c r="S404" i="1"/>
  <c r="R121" i="1"/>
  <c r="S121" i="1"/>
  <c r="R95" i="1"/>
  <c r="S95" i="1"/>
  <c r="R285" i="1"/>
  <c r="S285" i="1"/>
  <c r="R454" i="1"/>
  <c r="S454" i="1"/>
  <c r="R94" i="1"/>
  <c r="S94" i="1"/>
  <c r="R369" i="1"/>
  <c r="S369" i="1"/>
  <c r="R211" i="1"/>
  <c r="S211" i="1"/>
  <c r="R106" i="1"/>
  <c r="S106" i="1"/>
  <c r="R105" i="1"/>
  <c r="S105" i="1"/>
  <c r="R77" i="1"/>
  <c r="S77" i="1"/>
  <c r="R299" i="1"/>
  <c r="S299" i="1"/>
  <c r="U270" i="1"/>
  <c r="T270" i="1"/>
  <c r="T18" i="1"/>
  <c r="U18" i="1"/>
  <c r="T418" i="1"/>
  <c r="U418" i="1"/>
  <c r="T597" i="1"/>
  <c r="U597" i="1"/>
  <c r="T391" i="1"/>
  <c r="U391" i="1"/>
  <c r="T56" i="1"/>
  <c r="U56" i="1"/>
  <c r="T437" i="1"/>
  <c r="U437" i="1"/>
  <c r="U393" i="1"/>
  <c r="T393" i="1"/>
  <c r="U482" i="1"/>
  <c r="T482" i="1"/>
  <c r="T571" i="1"/>
  <c r="U571" i="1"/>
  <c r="T348" i="1"/>
  <c r="U348" i="1"/>
  <c r="T153" i="1"/>
  <c r="U153" i="1"/>
  <c r="T152" i="1"/>
  <c r="U152" i="1"/>
  <c r="U234" i="1"/>
  <c r="T234" i="1"/>
  <c r="T439" i="1"/>
  <c r="U439" i="1"/>
  <c r="U26" i="1"/>
  <c r="T26" i="1"/>
  <c r="U324" i="1"/>
  <c r="T324" i="1"/>
  <c r="T646" i="1"/>
  <c r="U646" i="1"/>
  <c r="T345" i="1"/>
  <c r="U345" i="1"/>
  <c r="T321" i="1"/>
  <c r="U321" i="1"/>
  <c r="T96" i="1"/>
  <c r="U96" i="1"/>
  <c r="U120" i="1"/>
  <c r="T120" i="1"/>
  <c r="U113" i="1"/>
  <c r="T113" i="1"/>
  <c r="T115" i="1"/>
  <c r="U115" i="1"/>
  <c r="T328" i="1"/>
  <c r="U328" i="1"/>
  <c r="T235" i="1"/>
  <c r="U235" i="1"/>
  <c r="T280" i="1"/>
  <c r="U280" i="1"/>
  <c r="T279" i="1"/>
  <c r="U279" i="1"/>
  <c r="U545" i="1"/>
  <c r="T545" i="1"/>
  <c r="U143" i="1"/>
  <c r="T143" i="1"/>
  <c r="U306" i="1"/>
  <c r="T306" i="1"/>
  <c r="T634" i="1"/>
  <c r="U634" i="1"/>
  <c r="U446" i="1"/>
  <c r="T446" i="1"/>
  <c r="U159" i="1"/>
  <c r="T159" i="1"/>
  <c r="T574" i="1"/>
  <c r="U574" i="1"/>
  <c r="U252" i="1"/>
  <c r="T252" i="1"/>
  <c r="T620" i="1"/>
  <c r="U620" i="1"/>
  <c r="T166" i="1"/>
  <c r="U166" i="1"/>
  <c r="U50" i="1"/>
  <c r="T50" i="1"/>
  <c r="T154" i="1"/>
  <c r="U154" i="1"/>
  <c r="T90" i="1"/>
  <c r="U90" i="1"/>
  <c r="T511" i="1"/>
  <c r="U511" i="1"/>
  <c r="T427" i="1"/>
  <c r="U427" i="1"/>
  <c r="U231" i="1"/>
  <c r="T231" i="1"/>
  <c r="T332" i="1"/>
  <c r="U332" i="1"/>
  <c r="U602" i="1"/>
  <c r="T602" i="1"/>
  <c r="T539" i="1"/>
  <c r="U539" i="1"/>
  <c r="T582" i="1"/>
  <c r="U582" i="1"/>
  <c r="T622" i="1"/>
  <c r="U622" i="1"/>
  <c r="T21" i="1"/>
  <c r="U21" i="1"/>
  <c r="U191" i="1"/>
  <c r="T191" i="1"/>
  <c r="U407" i="1"/>
  <c r="T407" i="1"/>
  <c r="R616" i="1"/>
  <c r="S616" i="1"/>
  <c r="R436" i="1"/>
  <c r="S436" i="1"/>
  <c r="R413" i="1"/>
  <c r="S413" i="1"/>
  <c r="T33" i="1"/>
  <c r="U33" i="1"/>
  <c r="T331" i="1"/>
  <c r="U331" i="1"/>
  <c r="U491" i="1"/>
  <c r="T491" i="1"/>
  <c r="U371" i="1"/>
  <c r="T371" i="1"/>
  <c r="T63" i="1"/>
  <c r="U63" i="1"/>
  <c r="T135" i="1"/>
  <c r="U135" i="1"/>
  <c r="U254" i="1"/>
  <c r="T254" i="1"/>
  <c r="T317" i="1"/>
  <c r="U317" i="1"/>
  <c r="T59" i="1"/>
  <c r="U59" i="1"/>
  <c r="T645" i="1"/>
  <c r="U645" i="1"/>
  <c r="R412" i="1"/>
  <c r="S412" i="1"/>
  <c r="R400" i="1"/>
  <c r="S400" i="1"/>
  <c r="R266" i="1"/>
  <c r="S266" i="1"/>
  <c r="R82" i="1"/>
  <c r="S82" i="1"/>
  <c r="R53" i="1"/>
  <c r="S53" i="1"/>
  <c r="R309" i="1"/>
  <c r="S309" i="1"/>
  <c r="R421" i="1"/>
  <c r="S421" i="1"/>
  <c r="R35" i="1"/>
  <c r="S35" i="1"/>
  <c r="R405" i="1"/>
  <c r="S405" i="1"/>
  <c r="R86" i="1"/>
  <c r="S86" i="1"/>
  <c r="R187" i="1"/>
  <c r="S187" i="1"/>
  <c r="R298" i="1"/>
  <c r="S298" i="1"/>
  <c r="R16" i="1"/>
  <c r="S16" i="1"/>
  <c r="R193" i="1"/>
  <c r="S193" i="1"/>
  <c r="R128" i="1"/>
  <c r="S128" i="1"/>
  <c r="R338" i="1"/>
  <c r="S338" i="1"/>
  <c r="R466" i="1"/>
  <c r="S466" i="1"/>
  <c r="R275" i="1"/>
  <c r="S275" i="1"/>
  <c r="R588" i="1"/>
  <c r="S588" i="1"/>
  <c r="R66" i="1"/>
  <c r="S66" i="1"/>
  <c r="R265" i="1"/>
  <c r="S265" i="1"/>
  <c r="R566" i="1"/>
  <c r="S566" i="1"/>
  <c r="R305" i="1"/>
  <c r="S305" i="1"/>
  <c r="R88" i="1"/>
  <c r="S88" i="1"/>
  <c r="R126" i="1"/>
  <c r="S126" i="1"/>
  <c r="R394" i="1"/>
  <c r="S394" i="1"/>
  <c r="U131" i="1"/>
  <c r="T131" i="1"/>
  <c r="T30" i="1"/>
  <c r="U30" i="1"/>
  <c r="T169" i="1"/>
  <c r="U169" i="1"/>
  <c r="T382" i="1"/>
  <c r="U382" i="1"/>
  <c r="T341" i="1"/>
  <c r="U341" i="1"/>
  <c r="T292" i="1"/>
  <c r="U292" i="1"/>
  <c r="T164" i="1"/>
  <c r="U164" i="1"/>
  <c r="U287" i="1"/>
  <c r="T287" i="1"/>
  <c r="T628" i="1"/>
  <c r="U628" i="1"/>
  <c r="T558" i="1"/>
  <c r="U558" i="1"/>
  <c r="R608" i="1"/>
  <c r="S608" i="1"/>
  <c r="R411" i="1"/>
  <c r="S411" i="1"/>
  <c r="R430" i="1"/>
  <c r="S430" i="1"/>
  <c r="R162" i="1"/>
  <c r="S162" i="1"/>
  <c r="R619" i="1"/>
  <c r="S619" i="1"/>
  <c r="R283" i="1"/>
  <c r="S283" i="1"/>
  <c r="R493" i="1"/>
  <c r="S493" i="1"/>
  <c r="R132" i="1"/>
  <c r="S132" i="1"/>
  <c r="R290" i="1"/>
  <c r="S290" i="1"/>
  <c r="R208" i="1"/>
  <c r="S208" i="1"/>
  <c r="R601" i="1"/>
  <c r="S601" i="1"/>
  <c r="R71" i="1"/>
  <c r="S71" i="1"/>
  <c r="R91" i="1"/>
  <c r="S91" i="1"/>
  <c r="R116" i="1"/>
  <c r="S116" i="1"/>
  <c r="T445" i="1"/>
  <c r="U445" i="1"/>
  <c r="U501" i="1"/>
  <c r="T501" i="1"/>
  <c r="U134" i="1"/>
  <c r="T134" i="1"/>
  <c r="T472" i="1"/>
  <c r="U472" i="1"/>
  <c r="U251" i="1"/>
  <c r="T251" i="1"/>
  <c r="U429" i="1"/>
  <c r="T429" i="1"/>
  <c r="T189" i="1"/>
  <c r="U189" i="1"/>
  <c r="T282" i="1"/>
  <c r="U282" i="1"/>
  <c r="T510" i="1"/>
  <c r="U510" i="1"/>
  <c r="T11" i="1"/>
  <c r="U11" i="1"/>
  <c r="T43" i="1"/>
  <c r="U43" i="1"/>
  <c r="U651" i="1"/>
  <c r="T651" i="1"/>
  <c r="T52" i="1"/>
  <c r="U52" i="1"/>
  <c r="T310" i="1"/>
  <c r="U310" i="1"/>
  <c r="T39" i="1"/>
  <c r="U39" i="1"/>
  <c r="T28" i="1"/>
  <c r="U28" i="1"/>
  <c r="U107" i="1"/>
  <c r="T107" i="1"/>
  <c r="T65" i="1"/>
  <c r="U65" i="1"/>
  <c r="U180" i="1"/>
  <c r="T180" i="1"/>
  <c r="U182" i="1"/>
  <c r="T182" i="1"/>
  <c r="T55" i="1"/>
  <c r="U55" i="1"/>
  <c r="T201" i="1"/>
  <c r="U201" i="1"/>
  <c r="T29" i="1"/>
  <c r="U29" i="1"/>
  <c r="U357" i="1"/>
  <c r="T357" i="1"/>
  <c r="T209" i="1"/>
  <c r="U209" i="1"/>
  <c r="U218" i="1"/>
  <c r="T218" i="1"/>
  <c r="T325" i="1"/>
  <c r="U325" i="1"/>
  <c r="T139" i="1"/>
  <c r="U139" i="1"/>
  <c r="U462" i="1"/>
  <c r="T462" i="1"/>
  <c r="T175" i="1"/>
  <c r="U175" i="1"/>
  <c r="T562" i="1"/>
  <c r="U562" i="1"/>
  <c r="U167" i="1"/>
  <c r="T167" i="1"/>
  <c r="U433" i="1"/>
  <c r="T433" i="1"/>
  <c r="U14" i="1"/>
  <c r="T14" i="1"/>
  <c r="U104" i="1"/>
  <c r="T104" i="1"/>
  <c r="T163" i="1"/>
  <c r="U163" i="1"/>
  <c r="T650" i="1"/>
  <c r="U650" i="1"/>
  <c r="U288" i="1"/>
  <c r="T288" i="1"/>
  <c r="U486" i="1"/>
  <c r="T486" i="1"/>
  <c r="U97" i="1"/>
  <c r="T97" i="1"/>
  <c r="U114" i="1"/>
  <c r="T114" i="1"/>
  <c r="T568" i="1"/>
  <c r="U568" i="1"/>
  <c r="T15" i="1"/>
  <c r="U15" i="1"/>
  <c r="U62" i="1"/>
  <c r="T62" i="1"/>
  <c r="T13" i="1"/>
  <c r="U13" i="1"/>
  <c r="T296" i="1"/>
  <c r="U296" i="1"/>
  <c r="T80" i="1"/>
  <c r="U80" i="1"/>
  <c r="T256" i="1"/>
  <c r="U256" i="1"/>
  <c r="U206" i="1"/>
  <c r="T206" i="1"/>
  <c r="T31" i="1"/>
  <c r="U31" i="1"/>
  <c r="T32" i="1"/>
  <c r="U32" i="1"/>
  <c r="T58" i="1"/>
  <c r="U58" i="1"/>
  <c r="T9" i="1"/>
  <c r="U9" i="1"/>
  <c r="U362" i="1"/>
  <c r="T362" i="1"/>
  <c r="R184" i="1"/>
  <c r="S184" i="1"/>
  <c r="R76" i="1"/>
  <c r="S76" i="1"/>
  <c r="R335" i="1"/>
  <c r="S335" i="1"/>
  <c r="T174" i="1"/>
  <c r="U174" i="1"/>
  <c r="T556" i="1"/>
  <c r="U556" i="1"/>
  <c r="U591" i="1"/>
  <c r="T591" i="1"/>
  <c r="U145" i="1"/>
  <c r="T145" i="1"/>
  <c r="T527" i="1"/>
  <c r="U527" i="1"/>
  <c r="T304" i="1"/>
  <c r="U304" i="1"/>
  <c r="T262" i="1"/>
  <c r="U262" i="1"/>
  <c r="R573" i="1"/>
  <c r="S573" i="1"/>
  <c r="R89" i="1"/>
  <c r="S89" i="1"/>
  <c r="R240" i="1"/>
  <c r="S240" i="1"/>
  <c r="R470" i="1"/>
  <c r="S470" i="1"/>
  <c r="R286" i="1"/>
  <c r="S286" i="1"/>
  <c r="R129" i="1"/>
  <c r="S129" i="1"/>
  <c r="R197" i="1"/>
  <c r="S197" i="1"/>
  <c r="R449" i="1"/>
  <c r="S449" i="1"/>
  <c r="R322" i="1"/>
  <c r="S322" i="1"/>
  <c r="R352" i="1"/>
  <c r="S352" i="1"/>
  <c r="R273" i="1"/>
  <c r="S273" i="1"/>
  <c r="R467" i="1"/>
  <c r="S467" i="1"/>
  <c r="R207" i="1"/>
  <c r="S207" i="1"/>
  <c r="R284" i="1"/>
  <c r="S284" i="1"/>
  <c r="R457" i="1"/>
  <c r="S457" i="1"/>
  <c r="R272" i="1"/>
  <c r="S272" i="1"/>
  <c r="R350" i="1"/>
  <c r="S350" i="1"/>
  <c r="R532" i="1"/>
  <c r="S532" i="1"/>
  <c r="R171" i="1"/>
  <c r="S171" i="1"/>
  <c r="R195" i="1"/>
  <c r="S195" i="1"/>
  <c r="R267" i="1"/>
  <c r="S267" i="1"/>
  <c r="R528" i="1"/>
  <c r="S528" i="1"/>
  <c r="R112" i="1"/>
  <c r="S112" i="1"/>
  <c r="R524" i="1"/>
  <c r="S524" i="1"/>
  <c r="R613" i="1"/>
  <c r="S613" i="1"/>
  <c r="R471" i="1"/>
  <c r="S471" i="1"/>
  <c r="R215" i="1"/>
  <c r="S215" i="1"/>
  <c r="R242" i="1"/>
  <c r="S242" i="1"/>
  <c r="R578" i="1"/>
  <c r="S578" i="1"/>
  <c r="R217" i="1"/>
  <c r="S217" i="1"/>
  <c r="T69" i="1"/>
  <c r="U69" i="1"/>
  <c r="T635" i="1"/>
  <c r="U635" i="1"/>
  <c r="T274" i="1"/>
  <c r="U274" i="1"/>
  <c r="T111" i="1"/>
  <c r="U111" i="1"/>
  <c r="T136" i="1"/>
  <c r="U136" i="1"/>
  <c r="T333" i="1"/>
  <c r="U333" i="1"/>
  <c r="U455" i="1"/>
  <c r="T455" i="1"/>
  <c r="T68" i="1"/>
  <c r="U68" i="1"/>
  <c r="R354" i="1"/>
  <c r="S354" i="1"/>
  <c r="R244" i="1"/>
  <c r="S244" i="1"/>
  <c r="R327" i="1"/>
  <c r="S327" i="1"/>
  <c r="R165" i="1"/>
  <c r="S165" i="1"/>
  <c r="R92" i="1"/>
  <c r="S92" i="1"/>
  <c r="R186" i="1"/>
  <c r="S186" i="1"/>
  <c r="R359" i="1"/>
  <c r="S359" i="1"/>
  <c r="R227" i="1"/>
  <c r="S227" i="1"/>
  <c r="R425" i="1"/>
  <c r="S425" i="1"/>
  <c r="R452" i="1"/>
  <c r="S452" i="1"/>
  <c r="R247" i="1"/>
  <c r="S247" i="1"/>
  <c r="R329" i="1"/>
  <c r="S329" i="1"/>
  <c r="R125" i="1"/>
  <c r="S125" i="1"/>
  <c r="R294" i="1"/>
  <c r="S294" i="1"/>
  <c r="R172" i="1"/>
  <c r="S172" i="1"/>
  <c r="R495" i="1"/>
  <c r="S495" i="1"/>
  <c r="R567" i="1"/>
  <c r="S567" i="1"/>
  <c r="R185" i="1"/>
  <c r="S185" i="1"/>
  <c r="R459" i="1"/>
  <c r="S459" i="1"/>
  <c r="R311" i="1"/>
  <c r="S311" i="1"/>
  <c r="R320" i="1"/>
  <c r="S320" i="1"/>
  <c r="R161" i="1"/>
  <c r="S161" i="1"/>
  <c r="R278" i="1"/>
  <c r="S278" i="1"/>
  <c r="R581" i="1"/>
  <c r="S581" i="1"/>
  <c r="R606" i="1"/>
  <c r="S606" i="1"/>
  <c r="R57" i="1"/>
  <c r="S57" i="1"/>
  <c r="R44" i="1"/>
  <c r="S44" i="1"/>
  <c r="U593" i="1"/>
  <c r="T593" i="1"/>
  <c r="T508" i="1"/>
  <c r="U508" i="1"/>
  <c r="U579" i="1"/>
  <c r="T579" i="1"/>
  <c r="T301" i="1"/>
  <c r="U301" i="1"/>
  <c r="T148" i="1"/>
  <c r="U148" i="1"/>
  <c r="T475" i="1"/>
  <c r="U475" i="1"/>
  <c r="T160" i="1"/>
  <c r="U160" i="1"/>
  <c r="T70" i="1"/>
  <c r="U70" i="1"/>
  <c r="T192" i="1"/>
  <c r="U192" i="1"/>
  <c r="T636" i="1"/>
  <c r="U636" i="1"/>
  <c r="T27" i="1"/>
  <c r="U27" i="1"/>
  <c r="T261" i="1"/>
  <c r="U261" i="1"/>
  <c r="U99" i="1"/>
  <c r="T99" i="1"/>
  <c r="U302" i="1"/>
  <c r="T302" i="1"/>
  <c r="U75" i="1"/>
  <c r="T75" i="1"/>
  <c r="U326" i="1"/>
  <c r="T326" i="1"/>
  <c r="T233" i="1"/>
  <c r="U233" i="1"/>
  <c r="T340" i="1"/>
  <c r="U340" i="1"/>
  <c r="T599" i="1"/>
  <c r="U599" i="1"/>
  <c r="T243" i="1"/>
  <c r="U243" i="1"/>
  <c r="T40" i="1"/>
  <c r="U40" i="1"/>
  <c r="T408" i="1"/>
  <c r="U408" i="1"/>
  <c r="U509" i="1"/>
  <c r="T509" i="1"/>
  <c r="T388" i="1"/>
  <c r="U388" i="1"/>
  <c r="T72" i="1"/>
  <c r="U72" i="1"/>
  <c r="T502" i="1"/>
  <c r="U502" i="1"/>
  <c r="U170" i="1"/>
  <c r="T170" i="1"/>
  <c r="T8" i="1"/>
  <c r="U8" i="1"/>
  <c r="T456" i="1"/>
  <c r="U456" i="1"/>
  <c r="T535" i="1"/>
  <c r="U535" i="1"/>
  <c r="T343" i="1"/>
  <c r="U343" i="1"/>
  <c r="T611" i="1"/>
  <c r="U611" i="1"/>
  <c r="T631" i="1"/>
  <c r="U631" i="1"/>
  <c r="T565" i="1"/>
  <c r="U565" i="1"/>
  <c r="T133" i="1"/>
  <c r="U133" i="1"/>
  <c r="T264" i="1"/>
  <c r="U264" i="1"/>
  <c r="T481" i="1"/>
  <c r="U481" i="1"/>
  <c r="T600" i="1"/>
  <c r="U600" i="1"/>
  <c r="T214" i="1"/>
  <c r="U214" i="1"/>
  <c r="T649" i="1"/>
  <c r="U649" i="1"/>
  <c r="T7" i="1"/>
  <c r="U7" i="1"/>
  <c r="T640" i="1"/>
  <c r="U640" i="1"/>
  <c r="T358" i="1"/>
  <c r="U358" i="1"/>
  <c r="U146" i="1"/>
  <c r="T146" i="1"/>
  <c r="T478" i="1"/>
  <c r="U478" i="1"/>
  <c r="U479" i="1"/>
  <c r="T479" i="1"/>
  <c r="T598" i="1"/>
  <c r="U598" i="1"/>
  <c r="U569" i="1"/>
  <c r="T569" i="1"/>
  <c r="T440" i="1"/>
  <c r="U440" i="1"/>
  <c r="T377" i="1"/>
  <c r="U377" i="1"/>
  <c r="T614" i="1"/>
  <c r="U614" i="1"/>
  <c r="T6" i="1"/>
  <c r="U6" i="1"/>
  <c r="T575" i="1"/>
  <c r="U575" i="1"/>
  <c r="T61" i="1"/>
  <c r="U61" i="1"/>
  <c r="R474" i="1"/>
  <c r="S474" i="1"/>
  <c r="R224" i="1"/>
  <c r="S224" i="1"/>
  <c r="R210" i="1"/>
  <c r="S210" i="1"/>
  <c r="R519" i="1"/>
  <c r="S519" i="1"/>
  <c r="R103" i="1"/>
  <c r="S103" i="1"/>
  <c r="R551" i="1"/>
  <c r="S551" i="1"/>
  <c r="R51" i="1"/>
  <c r="S51" i="1"/>
  <c r="R202" i="1"/>
  <c r="S202" i="1"/>
  <c r="R523" i="1"/>
  <c r="S523" i="1"/>
  <c r="R200" i="1"/>
  <c r="S200" i="1"/>
  <c r="R137" i="1"/>
  <c r="S137" i="1"/>
  <c r="R618" i="1"/>
  <c r="S618" i="1"/>
  <c r="R513" i="1"/>
  <c r="S513" i="1"/>
  <c r="R463" i="1"/>
  <c r="S463" i="1"/>
  <c r="R595" i="1"/>
  <c r="S595" i="1"/>
  <c r="R85" i="1"/>
  <c r="S85" i="1"/>
  <c r="R583" i="1"/>
  <c r="S583" i="1"/>
  <c r="R460" i="1"/>
  <c r="S460" i="1"/>
  <c r="R644" i="1"/>
  <c r="S644" i="1"/>
  <c r="R281" i="1"/>
  <c r="S281" i="1"/>
  <c r="R225" i="1"/>
  <c r="S225" i="1"/>
  <c r="R212" i="1"/>
  <c r="S212" i="1"/>
  <c r="R625" i="1"/>
  <c r="S625" i="1"/>
  <c r="R584" i="1"/>
  <c r="S584" i="1"/>
  <c r="R621" i="1"/>
  <c r="S621" i="1"/>
  <c r="R23" i="1"/>
  <c r="S23" i="1"/>
  <c r="R639" i="1"/>
  <c r="S639" i="1"/>
  <c r="T36" i="1"/>
  <c r="U36" i="1"/>
  <c r="U434" i="1"/>
  <c r="T434" i="1"/>
  <c r="T364" i="1"/>
  <c r="U364" i="1"/>
  <c r="T355" i="1"/>
  <c r="U355" i="1"/>
  <c r="T586" i="1"/>
  <c r="U586" i="1"/>
  <c r="T78" i="1"/>
  <c r="U78" i="1"/>
  <c r="T330" i="1"/>
  <c r="U330" i="1"/>
  <c r="T156" i="1"/>
  <c r="U156" i="1"/>
  <c r="T316" i="1"/>
  <c r="U316" i="1"/>
  <c r="T149" i="1"/>
  <c r="U149" i="1"/>
  <c r="T190" i="1"/>
  <c r="U190" i="1"/>
  <c r="U144" i="1"/>
  <c r="T144" i="1"/>
  <c r="U603" i="1"/>
  <c r="T603" i="1"/>
  <c r="T560" i="1"/>
  <c r="U560" i="1"/>
  <c r="T17" i="1"/>
  <c r="U17" i="1"/>
  <c r="T10" i="1"/>
  <c r="U10" i="1"/>
  <c r="T307" i="1"/>
  <c r="U307" i="1"/>
  <c r="U204" i="1"/>
  <c r="T204" i="1"/>
  <c r="T297" i="1"/>
  <c r="U297" i="1"/>
  <c r="T484" i="1"/>
  <c r="U484" i="1"/>
  <c r="T570" i="1"/>
  <c r="U570" i="1"/>
  <c r="T544" i="1"/>
  <c r="U544" i="1"/>
  <c r="U87" i="1"/>
  <c r="T87" i="1"/>
  <c r="T477" i="1"/>
  <c r="U477" i="1"/>
  <c r="U98" i="1"/>
  <c r="T98" i="1"/>
  <c r="U378" i="1"/>
  <c r="T378" i="1"/>
  <c r="T542" i="1"/>
  <c r="U542" i="1"/>
  <c r="T554" i="1"/>
  <c r="U554" i="1"/>
  <c r="T576" i="1"/>
  <c r="U576" i="1"/>
  <c r="T381" i="1"/>
  <c r="U381" i="1"/>
  <c r="T444" i="1"/>
  <c r="U444" i="1"/>
  <c r="T22" i="1"/>
  <c r="U22" i="1"/>
  <c r="T596" i="1"/>
  <c r="U596" i="1"/>
  <c r="T559" i="1"/>
  <c r="U559" i="1"/>
  <c r="T276" i="1"/>
  <c r="U276" i="1"/>
  <c r="T20" i="1"/>
  <c r="U20" i="1"/>
  <c r="T48" i="1"/>
  <c r="U48" i="1"/>
  <c r="T399" i="1"/>
  <c r="U399" i="1"/>
  <c r="U624" i="1"/>
  <c r="T624" i="1"/>
  <c r="T507" i="1"/>
  <c r="U507" i="1"/>
  <c r="U483" i="1"/>
  <c r="T483" i="1"/>
  <c r="U485" i="1"/>
  <c r="T485" i="1"/>
  <c r="U38" i="1"/>
  <c r="T38" i="1"/>
  <c r="U141" i="1"/>
  <c r="T141" i="1"/>
  <c r="T81" i="1"/>
  <c r="U81" i="1"/>
  <c r="T368" i="1"/>
  <c r="U368" i="1"/>
  <c r="T259" i="1"/>
  <c r="U259" i="1"/>
  <c r="T83" i="1"/>
  <c r="U83" i="1"/>
  <c r="T453" i="1"/>
  <c r="U453" i="1"/>
  <c r="T124" i="1"/>
  <c r="U124" i="1"/>
  <c r="T587" i="1"/>
  <c r="U587" i="1"/>
  <c r="T642" i="1"/>
  <c r="U642" i="1"/>
  <c r="T54" i="1"/>
  <c r="U54" i="1"/>
  <c r="U3" i="1"/>
  <c r="T3" i="1"/>
  <c r="R461" i="1"/>
  <c r="S461" i="1"/>
  <c r="R365" i="1"/>
  <c r="S365" i="1"/>
  <c r="R73" i="1"/>
  <c r="S73" i="1"/>
  <c r="R385" i="1"/>
  <c r="S385" i="1"/>
  <c r="R157" i="1"/>
  <c r="S157" i="1"/>
  <c r="R232" i="1"/>
  <c r="S232" i="1"/>
  <c r="R151" i="1"/>
  <c r="S151" i="1"/>
  <c r="R245" i="1"/>
  <c r="S245" i="1"/>
  <c r="R102" i="1"/>
  <c r="S102" i="1"/>
  <c r="R374" i="1"/>
  <c r="S374" i="1"/>
  <c r="R221" i="1"/>
  <c r="S221" i="1"/>
  <c r="R257" i="1"/>
  <c r="S257" i="1"/>
  <c r="R518" i="1"/>
  <c r="S518" i="1"/>
  <c r="R515" i="1"/>
  <c r="S515" i="1"/>
  <c r="R370" i="1"/>
  <c r="S370" i="1"/>
  <c r="R420" i="1"/>
  <c r="S420" i="1"/>
  <c r="R228" i="1"/>
  <c r="S228" i="1"/>
  <c r="R450" i="1"/>
  <c r="S450" i="1"/>
  <c r="R552" i="1"/>
  <c r="S552" i="1"/>
  <c r="R308" i="1"/>
  <c r="S308" i="1"/>
  <c r="R410" i="1"/>
  <c r="S410" i="1"/>
  <c r="R205" i="1"/>
  <c r="S205" i="1"/>
  <c r="R353" i="1"/>
  <c r="S353" i="1"/>
  <c r="R226" i="1"/>
  <c r="S226" i="1"/>
  <c r="R4" i="1"/>
  <c r="S4" i="1"/>
  <c r="R360" i="1"/>
  <c r="S360" i="1"/>
  <c r="R255" i="1"/>
  <c r="S255" i="1"/>
  <c r="R451" i="1"/>
  <c r="S451" i="1"/>
  <c r="R520" i="1"/>
  <c r="S520" i="1"/>
  <c r="R246" i="1"/>
  <c r="S246" i="1"/>
  <c r="R196" i="1"/>
  <c r="S196" i="1"/>
  <c r="R168" i="1"/>
  <c r="S168" i="1"/>
  <c r="R150" i="1"/>
  <c r="S150" i="1"/>
  <c r="R617" i="1"/>
  <c r="S617" i="1"/>
  <c r="R220" i="1"/>
  <c r="S220" i="1"/>
  <c r="R67" i="1"/>
  <c r="S67" i="1"/>
  <c r="R79" i="1"/>
  <c r="S79" i="1"/>
  <c r="R605" i="1"/>
  <c r="S605" i="1"/>
  <c r="R492" i="1"/>
  <c r="S492" i="1"/>
  <c r="R277" i="1"/>
  <c r="S277" i="1"/>
  <c r="R123" i="1"/>
  <c r="S123" i="1"/>
  <c r="R361" i="1"/>
  <c r="S361" i="1"/>
  <c r="R531" i="1"/>
  <c r="S531" i="1"/>
  <c r="R638" i="1"/>
  <c r="S638" i="1"/>
  <c r="R248" i="1"/>
  <c r="S248" i="1"/>
  <c r="R229" i="1"/>
  <c r="S229" i="1"/>
  <c r="R249" i="1"/>
  <c r="S249" i="1"/>
  <c r="R236" i="1"/>
  <c r="S236" i="1"/>
  <c r="R74" i="1"/>
  <c r="S74" i="1"/>
  <c r="R334" i="1"/>
  <c r="S334" i="1"/>
  <c r="R237" i="1"/>
  <c r="S237" i="1"/>
  <c r="R142" i="1"/>
  <c r="S142" i="1"/>
  <c r="R41" i="1"/>
  <c r="S41" i="1"/>
  <c r="R260" i="1"/>
  <c r="S260" i="1"/>
  <c r="R498" i="1"/>
  <c r="S498" i="1"/>
  <c r="R323" i="1"/>
  <c r="S323" i="1"/>
  <c r="R346" i="1"/>
  <c r="S346" i="1"/>
  <c r="R213" i="1"/>
  <c r="S213" i="1"/>
  <c r="R253" i="1"/>
  <c r="S253" i="1"/>
  <c r="R122" i="1"/>
  <c r="S122" i="1"/>
  <c r="R119" i="1"/>
  <c r="S119" i="1"/>
  <c r="T643" i="1"/>
  <c r="U643" i="1"/>
  <c r="U342" i="1"/>
  <c r="T342" i="1"/>
  <c r="U553" i="1"/>
  <c r="T553" i="1"/>
  <c r="T138" i="1"/>
  <c r="U138" i="1"/>
  <c r="U396" i="1"/>
  <c r="T396" i="1"/>
  <c r="U108" i="1"/>
  <c r="T108" i="1"/>
  <c r="T540" i="1"/>
  <c r="U540" i="1"/>
  <c r="T219" i="1"/>
  <c r="U219" i="1"/>
  <c r="U543" i="1"/>
  <c r="T543" i="1"/>
  <c r="T390" i="1"/>
  <c r="U390" i="1"/>
  <c r="T612" i="1"/>
  <c r="U612" i="1"/>
  <c r="T356" i="1"/>
  <c r="U356" i="1"/>
  <c r="T623" i="1"/>
  <c r="U623" i="1"/>
  <c r="T372" i="1"/>
  <c r="U372" i="1"/>
  <c r="U432" i="1"/>
  <c r="T432" i="1"/>
  <c r="T313" i="1"/>
  <c r="U313" i="1"/>
  <c r="T448" i="1"/>
  <c r="U448" i="1"/>
  <c r="T140" i="1"/>
  <c r="U140" i="1"/>
  <c r="U155" i="1"/>
  <c r="T155" i="1"/>
  <c r="T387" i="1"/>
  <c r="U387" i="1"/>
  <c r="T117" i="1"/>
  <c r="U117" i="1"/>
  <c r="T42" i="1"/>
  <c r="U42" i="1"/>
  <c r="T47" i="1"/>
  <c r="U47" i="1"/>
  <c r="U637" i="1"/>
  <c r="T637" i="1"/>
  <c r="U422" i="1"/>
  <c r="T422" i="1"/>
  <c r="T109" i="1"/>
  <c r="U109" i="1"/>
  <c r="T45" i="1"/>
  <c r="U45" i="1"/>
  <c r="U386" i="1"/>
  <c r="T386" i="1"/>
  <c r="T526" i="1"/>
  <c r="U526" i="1"/>
  <c r="T397" i="1"/>
  <c r="U397" i="1"/>
  <c r="T541" i="1"/>
  <c r="U541" i="1"/>
  <c r="U465" i="1"/>
  <c r="T465" i="1"/>
  <c r="U344" i="1"/>
  <c r="T344" i="1"/>
  <c r="T522" i="1"/>
  <c r="U522" i="1"/>
  <c r="U447" i="1"/>
  <c r="T447" i="1"/>
  <c r="T487" i="1"/>
  <c r="U487" i="1"/>
  <c r="T590" i="1"/>
  <c r="U590" i="1"/>
  <c r="U339" i="1"/>
  <c r="T339" i="1"/>
  <c r="U555" i="1"/>
  <c r="T555" i="1"/>
  <c r="T315" i="1"/>
  <c r="U315" i="1"/>
  <c r="U130" i="1"/>
  <c r="T130" i="1"/>
  <c r="T118" i="1"/>
  <c r="U118" i="1"/>
  <c r="U179" i="1"/>
  <c r="T179" i="1"/>
  <c r="T402" i="1"/>
  <c r="U402" i="1"/>
  <c r="T64" i="1"/>
  <c r="U64" i="1"/>
  <c r="T409" i="1"/>
  <c r="U409" i="1"/>
  <c r="T147" i="1"/>
  <c r="U147" i="1"/>
  <c r="T25" i="1"/>
  <c r="U25" i="1"/>
  <c r="T199" i="1"/>
  <c r="U199" i="1"/>
  <c r="T392" i="1"/>
  <c r="U392" i="1"/>
  <c r="U314" i="1"/>
  <c r="T314" i="1"/>
  <c r="R289" i="1"/>
  <c r="S289" i="1"/>
  <c r="R93" i="1"/>
  <c r="S93" i="1"/>
  <c r="R351" i="1"/>
  <c r="S351" i="1"/>
  <c r="R589" i="1"/>
  <c r="S589" i="1"/>
  <c r="R506" i="1"/>
  <c r="S506" i="1"/>
  <c r="R419" i="1"/>
  <c r="S419" i="1"/>
  <c r="R442" i="1"/>
  <c r="S442" i="1"/>
  <c r="R547" i="1"/>
  <c r="S547" i="1"/>
  <c r="R12" i="1"/>
  <c r="S12" i="1"/>
  <c r="R609" i="1"/>
  <c r="S609" i="1"/>
  <c r="R34" i="1"/>
  <c r="S34" i="1"/>
  <c r="R431" i="1"/>
  <c r="S431" i="1"/>
  <c r="R546" i="1"/>
  <c r="S546" i="1"/>
  <c r="R530" i="1"/>
  <c r="S530" i="1"/>
  <c r="R406" i="1"/>
  <c r="S406" i="1"/>
  <c r="R514" i="1"/>
  <c r="S514" i="1"/>
  <c r="R300" i="1"/>
  <c r="S300" i="1"/>
  <c r="R312" i="1"/>
  <c r="S312" i="1"/>
  <c r="R438" i="1"/>
  <c r="S438" i="1"/>
  <c r="R435" i="1"/>
  <c r="S435" i="1"/>
  <c r="R376" i="1"/>
  <c r="S376" i="1"/>
  <c r="R557" i="1"/>
  <c r="S557" i="1"/>
  <c r="R534" i="1"/>
  <c r="S534" i="1"/>
  <c r="R497" i="1"/>
  <c r="S497" i="1"/>
  <c r="R198" i="1"/>
  <c r="S198" i="1"/>
  <c r="R443" i="1"/>
  <c r="S443" i="1"/>
  <c r="R183" i="1"/>
  <c r="S183" i="1"/>
  <c r="R494" i="1"/>
  <c r="S494" i="1"/>
  <c r="R336" i="1"/>
  <c r="S336" i="1"/>
  <c r="R239" i="1"/>
  <c r="S239" i="1"/>
  <c r="L678" i="1"/>
  <c r="N678" i="1" l="1"/>
  <c r="S678" i="1" s="1"/>
  <c r="T476" i="1"/>
  <c r="U476" i="1"/>
  <c r="U74" i="1"/>
  <c r="T74" i="1"/>
  <c r="T459" i="1"/>
  <c r="U459" i="1"/>
  <c r="T12" i="1"/>
  <c r="U12" i="1"/>
  <c r="T552" i="1"/>
  <c r="U552" i="1"/>
  <c r="T212" i="1"/>
  <c r="U212" i="1"/>
  <c r="U267" i="1"/>
  <c r="T267" i="1"/>
  <c r="T128" i="1"/>
  <c r="U128" i="1"/>
  <c r="T211" i="1"/>
  <c r="U211" i="1"/>
  <c r="T121" i="1"/>
  <c r="U121" i="1"/>
  <c r="T607" i="1"/>
  <c r="U607" i="1"/>
  <c r="T269" i="1"/>
  <c r="U269" i="1"/>
  <c r="T188" i="1"/>
  <c r="U188" i="1"/>
  <c r="T435" i="1"/>
  <c r="U435" i="1"/>
  <c r="T547" i="1"/>
  <c r="U547" i="1"/>
  <c r="U122" i="1"/>
  <c r="T122" i="1"/>
  <c r="T260" i="1"/>
  <c r="U260" i="1"/>
  <c r="U236" i="1"/>
  <c r="T236" i="1"/>
  <c r="T361" i="1"/>
  <c r="U361" i="1"/>
  <c r="T67" i="1"/>
  <c r="U67" i="1"/>
  <c r="T246" i="1"/>
  <c r="U246" i="1"/>
  <c r="T226" i="1"/>
  <c r="U226" i="1"/>
  <c r="U450" i="1"/>
  <c r="T450" i="1"/>
  <c r="T257" i="1"/>
  <c r="U257" i="1"/>
  <c r="T232" i="1"/>
  <c r="U232" i="1"/>
  <c r="U639" i="1"/>
  <c r="T639" i="1"/>
  <c r="T225" i="1"/>
  <c r="U225" i="1"/>
  <c r="T595" i="1"/>
  <c r="U595" i="1"/>
  <c r="U523" i="1"/>
  <c r="T523" i="1"/>
  <c r="T210" i="1"/>
  <c r="U210" i="1"/>
  <c r="U581" i="1"/>
  <c r="T581" i="1"/>
  <c r="T185" i="1"/>
  <c r="U185" i="1"/>
  <c r="T329" i="1"/>
  <c r="U329" i="1"/>
  <c r="U186" i="1"/>
  <c r="T186" i="1"/>
  <c r="T471" i="1"/>
  <c r="U471" i="1"/>
  <c r="U195" i="1"/>
  <c r="T195" i="1"/>
  <c r="T284" i="1"/>
  <c r="U284" i="1"/>
  <c r="T449" i="1"/>
  <c r="U449" i="1"/>
  <c r="U89" i="1"/>
  <c r="T89" i="1"/>
  <c r="T116" i="1"/>
  <c r="U116" i="1"/>
  <c r="U132" i="1"/>
  <c r="T132" i="1"/>
  <c r="U411" i="1"/>
  <c r="T411" i="1"/>
  <c r="T394" i="1"/>
  <c r="U394" i="1"/>
  <c r="T66" i="1"/>
  <c r="U66" i="1"/>
  <c r="T193" i="1"/>
  <c r="U193" i="1"/>
  <c r="T35" i="1"/>
  <c r="U35" i="1"/>
  <c r="T400" i="1"/>
  <c r="U400" i="1"/>
  <c r="T413" i="1"/>
  <c r="U413" i="1"/>
  <c r="T369" i="1"/>
  <c r="U369" i="1"/>
  <c r="T404" i="1"/>
  <c r="U404" i="1"/>
  <c r="T379" i="1"/>
  <c r="U379" i="1"/>
  <c r="T127" i="1"/>
  <c r="U127" i="1"/>
  <c r="U158" i="1"/>
  <c r="T158" i="1"/>
  <c r="U203" i="1"/>
  <c r="T203" i="1"/>
  <c r="T499" i="1"/>
  <c r="U499" i="1"/>
  <c r="T351" i="1"/>
  <c r="U351" i="1"/>
  <c r="U498" i="1"/>
  <c r="T498" i="1"/>
  <c r="T151" i="1"/>
  <c r="U151" i="1"/>
  <c r="T240" i="1"/>
  <c r="U240" i="1"/>
  <c r="U290" i="1"/>
  <c r="T290" i="1"/>
  <c r="T405" i="1"/>
  <c r="U405" i="1"/>
  <c r="U110" i="1"/>
  <c r="T110" i="1"/>
  <c r="U443" i="1"/>
  <c r="T443" i="1"/>
  <c r="T530" i="1"/>
  <c r="U530" i="1"/>
  <c r="T93" i="1"/>
  <c r="U93" i="1"/>
  <c r="T354" i="1"/>
  <c r="U354" i="1"/>
  <c r="T457" i="1"/>
  <c r="U457" i="1"/>
  <c r="T184" i="1"/>
  <c r="U184" i="1"/>
  <c r="T430" i="1"/>
  <c r="U430" i="1"/>
  <c r="T265" i="1"/>
  <c r="U265" i="1"/>
  <c r="U266" i="1"/>
  <c r="T266" i="1"/>
  <c r="U347" i="1"/>
  <c r="T347" i="1"/>
  <c r="U198" i="1"/>
  <c r="T198" i="1"/>
  <c r="T438" i="1"/>
  <c r="U438" i="1"/>
  <c r="T546" i="1"/>
  <c r="U546" i="1"/>
  <c r="T442" i="1"/>
  <c r="U442" i="1"/>
  <c r="U289" i="1"/>
  <c r="T289" i="1"/>
  <c r="T253" i="1"/>
  <c r="U253" i="1"/>
  <c r="T41" i="1"/>
  <c r="U41" i="1"/>
  <c r="T249" i="1"/>
  <c r="U249" i="1"/>
  <c r="U123" i="1"/>
  <c r="T123" i="1"/>
  <c r="T220" i="1"/>
  <c r="U220" i="1"/>
  <c r="U520" i="1"/>
  <c r="T520" i="1"/>
  <c r="U353" i="1"/>
  <c r="T353" i="1"/>
  <c r="U228" i="1"/>
  <c r="T228" i="1"/>
  <c r="T221" i="1"/>
  <c r="U221" i="1"/>
  <c r="T157" i="1"/>
  <c r="U157" i="1"/>
  <c r="T23" i="1"/>
  <c r="U23" i="1"/>
  <c r="T281" i="1"/>
  <c r="U281" i="1"/>
  <c r="T463" i="1"/>
  <c r="U463" i="1"/>
  <c r="T202" i="1"/>
  <c r="U202" i="1"/>
  <c r="T224" i="1"/>
  <c r="U224" i="1"/>
  <c r="U278" i="1"/>
  <c r="T278" i="1"/>
  <c r="U567" i="1"/>
  <c r="T567" i="1"/>
  <c r="T247" i="1"/>
  <c r="U247" i="1"/>
  <c r="T92" i="1"/>
  <c r="U92" i="1"/>
  <c r="T613" i="1"/>
  <c r="U613" i="1"/>
  <c r="T171" i="1"/>
  <c r="U171" i="1"/>
  <c r="T207" i="1"/>
  <c r="U207" i="1"/>
  <c r="T197" i="1"/>
  <c r="U197" i="1"/>
  <c r="T573" i="1"/>
  <c r="U573" i="1"/>
  <c r="T91" i="1"/>
  <c r="U91" i="1"/>
  <c r="T493" i="1"/>
  <c r="U493" i="1"/>
  <c r="T608" i="1"/>
  <c r="U608" i="1"/>
  <c r="U126" i="1"/>
  <c r="T126" i="1"/>
  <c r="U588" i="1"/>
  <c r="T588" i="1"/>
  <c r="T16" i="1"/>
  <c r="U16" i="1"/>
  <c r="T421" i="1"/>
  <c r="U421" i="1"/>
  <c r="T412" i="1"/>
  <c r="U412" i="1"/>
  <c r="T436" i="1"/>
  <c r="U436" i="1"/>
  <c r="U299" i="1"/>
  <c r="T299" i="1"/>
  <c r="T94" i="1"/>
  <c r="U94" i="1"/>
  <c r="T610" i="1"/>
  <c r="U610" i="1"/>
  <c r="T572" i="1"/>
  <c r="U572" i="1"/>
  <c r="T401" i="1"/>
  <c r="U401" i="1"/>
  <c r="U318" i="1"/>
  <c r="T318" i="1"/>
  <c r="T271" i="1"/>
  <c r="U271" i="1"/>
  <c r="T389" i="1"/>
  <c r="U389" i="1"/>
  <c r="U428" i="1"/>
  <c r="T428" i="1"/>
  <c r="U183" i="1"/>
  <c r="T183" i="1"/>
  <c r="T196" i="1"/>
  <c r="U196" i="1"/>
  <c r="U519" i="1"/>
  <c r="T519" i="1"/>
  <c r="U359" i="1"/>
  <c r="T359" i="1"/>
  <c r="U431" i="1"/>
  <c r="T431" i="1"/>
  <c r="U419" i="1"/>
  <c r="T419" i="1"/>
  <c r="U213" i="1"/>
  <c r="T213" i="1"/>
  <c r="T142" i="1"/>
  <c r="U142" i="1"/>
  <c r="T229" i="1"/>
  <c r="U229" i="1"/>
  <c r="T277" i="1"/>
  <c r="U277" i="1"/>
  <c r="U617" i="1"/>
  <c r="T617" i="1"/>
  <c r="T451" i="1"/>
  <c r="U451" i="1"/>
  <c r="T205" i="1"/>
  <c r="U205" i="1"/>
  <c r="T420" i="1"/>
  <c r="U420" i="1"/>
  <c r="U374" i="1"/>
  <c r="T374" i="1"/>
  <c r="T385" i="1"/>
  <c r="U385" i="1"/>
  <c r="T621" i="1"/>
  <c r="U621" i="1"/>
  <c r="T644" i="1"/>
  <c r="U644" i="1"/>
  <c r="T513" i="1"/>
  <c r="U513" i="1"/>
  <c r="T51" i="1"/>
  <c r="U51" i="1"/>
  <c r="U474" i="1"/>
  <c r="T474" i="1"/>
  <c r="T161" i="1"/>
  <c r="U161" i="1"/>
  <c r="T495" i="1"/>
  <c r="U495" i="1"/>
  <c r="T452" i="1"/>
  <c r="U452" i="1"/>
  <c r="U165" i="1"/>
  <c r="T165" i="1"/>
  <c r="T217" i="1"/>
  <c r="U217" i="1"/>
  <c r="T524" i="1"/>
  <c r="U524" i="1"/>
  <c r="U532" i="1"/>
  <c r="T532" i="1"/>
  <c r="U467" i="1"/>
  <c r="T467" i="1"/>
  <c r="T129" i="1"/>
  <c r="U129" i="1"/>
  <c r="T71" i="1"/>
  <c r="U71" i="1"/>
  <c r="T283" i="1"/>
  <c r="U283" i="1"/>
  <c r="T88" i="1"/>
  <c r="U88" i="1"/>
  <c r="U275" i="1"/>
  <c r="T275" i="1"/>
  <c r="T298" i="1"/>
  <c r="U298" i="1"/>
  <c r="T309" i="1"/>
  <c r="U309" i="1"/>
  <c r="T616" i="1"/>
  <c r="U616" i="1"/>
  <c r="T77" i="1"/>
  <c r="U77" i="1"/>
  <c r="T454" i="1"/>
  <c r="U454" i="1"/>
  <c r="T268" i="1"/>
  <c r="U268" i="1"/>
  <c r="T37" i="1"/>
  <c r="U37" i="1"/>
  <c r="T258" i="1"/>
  <c r="U258" i="1"/>
  <c r="U216" i="1"/>
  <c r="T216" i="1"/>
  <c r="T363" i="1"/>
  <c r="U363" i="1"/>
  <c r="T403" i="1"/>
  <c r="U403" i="1"/>
  <c r="T241" i="1"/>
  <c r="U241" i="1"/>
  <c r="T376" i="1"/>
  <c r="U376" i="1"/>
  <c r="U119" i="1"/>
  <c r="T119" i="1"/>
  <c r="T461" i="1"/>
  <c r="U461" i="1"/>
  <c r="T85" i="1"/>
  <c r="U85" i="1"/>
  <c r="T125" i="1"/>
  <c r="U125" i="1"/>
  <c r="T518" i="1"/>
  <c r="U518" i="1"/>
  <c r="U215" i="1"/>
  <c r="T215" i="1"/>
  <c r="U497" i="1"/>
  <c r="T497" i="1"/>
  <c r="T336" i="1"/>
  <c r="U336" i="1"/>
  <c r="T534" i="1"/>
  <c r="U534" i="1"/>
  <c r="T300" i="1"/>
  <c r="U300" i="1"/>
  <c r="U34" i="1"/>
  <c r="T34" i="1"/>
  <c r="U506" i="1"/>
  <c r="T506" i="1"/>
  <c r="T346" i="1"/>
  <c r="U346" i="1"/>
  <c r="T237" i="1"/>
  <c r="U237" i="1"/>
  <c r="T248" i="1"/>
  <c r="U248" i="1"/>
  <c r="T492" i="1"/>
  <c r="U492" i="1"/>
  <c r="U150" i="1"/>
  <c r="T150" i="1"/>
  <c r="T255" i="1"/>
  <c r="U255" i="1"/>
  <c r="U410" i="1"/>
  <c r="T410" i="1"/>
  <c r="T370" i="1"/>
  <c r="U370" i="1"/>
  <c r="T102" i="1"/>
  <c r="U102" i="1"/>
  <c r="U73" i="1"/>
  <c r="T73" i="1"/>
  <c r="T584" i="1"/>
  <c r="U584" i="1"/>
  <c r="T460" i="1"/>
  <c r="U460" i="1"/>
  <c r="U618" i="1"/>
  <c r="T618" i="1"/>
  <c r="T551" i="1"/>
  <c r="U551" i="1"/>
  <c r="T44" i="1"/>
  <c r="U44" i="1"/>
  <c r="T320" i="1"/>
  <c r="U320" i="1"/>
  <c r="T172" i="1"/>
  <c r="U172" i="1"/>
  <c r="T425" i="1"/>
  <c r="U425" i="1"/>
  <c r="T327" i="1"/>
  <c r="U327" i="1"/>
  <c r="T578" i="1"/>
  <c r="U578" i="1"/>
  <c r="T112" i="1"/>
  <c r="U112" i="1"/>
  <c r="U350" i="1"/>
  <c r="T350" i="1"/>
  <c r="T273" i="1"/>
  <c r="U273" i="1"/>
  <c r="T286" i="1"/>
  <c r="U286" i="1"/>
  <c r="U335" i="1"/>
  <c r="T335" i="1"/>
  <c r="T601" i="1"/>
  <c r="U601" i="1"/>
  <c r="T619" i="1"/>
  <c r="U619" i="1"/>
  <c r="T305" i="1"/>
  <c r="U305" i="1"/>
  <c r="T466" i="1"/>
  <c r="U466" i="1"/>
  <c r="T187" i="1"/>
  <c r="U187" i="1"/>
  <c r="T53" i="1"/>
  <c r="U53" i="1"/>
  <c r="T105" i="1"/>
  <c r="U105" i="1"/>
  <c r="T285" i="1"/>
  <c r="U285" i="1"/>
  <c r="T295" i="1"/>
  <c r="U295" i="1"/>
  <c r="T319" i="1"/>
  <c r="U319" i="1"/>
  <c r="U375" i="1"/>
  <c r="T375" i="1"/>
  <c r="U468" i="1"/>
  <c r="T468" i="1"/>
  <c r="T60" i="1"/>
  <c r="U60" i="1"/>
  <c r="U230" i="1"/>
  <c r="T230" i="1"/>
  <c r="T406" i="1"/>
  <c r="U406" i="1"/>
  <c r="U531" i="1"/>
  <c r="T531" i="1"/>
  <c r="U606" i="1"/>
  <c r="T606" i="1"/>
  <c r="T4" i="1"/>
  <c r="U4" i="1"/>
  <c r="T322" i="1"/>
  <c r="U322" i="1"/>
  <c r="U239" i="1"/>
  <c r="T239" i="1"/>
  <c r="U494" i="1"/>
  <c r="T494" i="1"/>
  <c r="T514" i="1"/>
  <c r="U514" i="1"/>
  <c r="T609" i="1"/>
  <c r="U609" i="1"/>
  <c r="T589" i="1"/>
  <c r="U589" i="1"/>
  <c r="U323" i="1"/>
  <c r="T323" i="1"/>
  <c r="T334" i="1"/>
  <c r="U334" i="1"/>
  <c r="U638" i="1"/>
  <c r="T638" i="1"/>
  <c r="U605" i="1"/>
  <c r="T605" i="1"/>
  <c r="U168" i="1"/>
  <c r="T168" i="1"/>
  <c r="U360" i="1"/>
  <c r="T360" i="1"/>
  <c r="T308" i="1"/>
  <c r="U308" i="1"/>
  <c r="T515" i="1"/>
  <c r="U515" i="1"/>
  <c r="U245" i="1"/>
  <c r="T245" i="1"/>
  <c r="T365" i="1"/>
  <c r="U365" i="1"/>
  <c r="T625" i="1"/>
  <c r="U625" i="1"/>
  <c r="T583" i="1"/>
  <c r="U583" i="1"/>
  <c r="T137" i="1"/>
  <c r="U137" i="1"/>
  <c r="T103" i="1"/>
  <c r="U103" i="1"/>
  <c r="T57" i="1"/>
  <c r="U57" i="1"/>
  <c r="U311" i="1"/>
  <c r="T311" i="1"/>
  <c r="T294" i="1"/>
  <c r="U294" i="1"/>
  <c r="U227" i="1"/>
  <c r="T227" i="1"/>
  <c r="T244" i="1"/>
  <c r="U244" i="1"/>
  <c r="U242" i="1"/>
  <c r="T242" i="1"/>
  <c r="U528" i="1"/>
  <c r="T528" i="1"/>
  <c r="T272" i="1"/>
  <c r="U272" i="1"/>
  <c r="T352" i="1"/>
  <c r="U352" i="1"/>
  <c r="U470" i="1"/>
  <c r="T470" i="1"/>
  <c r="T76" i="1"/>
  <c r="U76" i="1"/>
  <c r="T208" i="1"/>
  <c r="U208" i="1"/>
  <c r="U162" i="1"/>
  <c r="T162" i="1"/>
  <c r="T566" i="1"/>
  <c r="U566" i="1"/>
  <c r="U338" i="1"/>
  <c r="T338" i="1"/>
  <c r="T86" i="1"/>
  <c r="U86" i="1"/>
  <c r="T82" i="1"/>
  <c r="U82" i="1"/>
  <c r="T106" i="1"/>
  <c r="U106" i="1"/>
  <c r="U95" i="1"/>
  <c r="T95" i="1"/>
  <c r="U398" i="1"/>
  <c r="T398" i="1"/>
  <c r="T250" i="1"/>
  <c r="U250" i="1"/>
  <c r="T291" i="1"/>
  <c r="U291" i="1"/>
  <c r="U263" i="1"/>
  <c r="T263" i="1"/>
  <c r="U222" i="1"/>
  <c r="T222" i="1"/>
  <c r="T223" i="1"/>
  <c r="U223" i="1"/>
  <c r="T79" i="1"/>
  <c r="U79" i="1"/>
  <c r="T200" i="1"/>
  <c r="U200" i="1"/>
  <c r="T312" i="1"/>
  <c r="U312" i="1"/>
  <c r="U557" i="1"/>
  <c r="T557" i="1"/>
  <c r="R678" i="1" l="1"/>
  <c r="T678" i="1"/>
  <c r="U678" i="1"/>
  <c r="U1" i="1"/>
  <c r="T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G383" authorId="0" shapeId="0" xr:uid="{D7CB1B86-4B8C-4526-B54C-DC5AE43D10C4}">
      <text>
        <r>
          <rPr>
            <b/>
            <sz val="9"/>
            <color indexed="81"/>
            <rFont val="Tahoma"/>
            <family val="2"/>
            <charset val="204"/>
          </rPr>
          <t>Admin:</t>
        </r>
        <r>
          <rPr>
            <sz val="9"/>
            <color indexed="81"/>
            <rFont val="Tahoma"/>
            <family val="2"/>
            <charset val="204"/>
          </rPr>
          <t xml:space="preserve">
артикул от переда</t>
        </r>
      </text>
    </comment>
    <comment ref="G497" authorId="0" shapeId="0" xr:uid="{52E27B29-D058-468A-A090-8A1CFECB5A0B}">
      <text>
        <r>
          <rPr>
            <b/>
            <sz val="9"/>
            <color indexed="81"/>
            <rFont val="Tahoma"/>
            <family val="2"/>
            <charset val="204"/>
          </rPr>
          <t>Admin:</t>
        </r>
        <r>
          <rPr>
            <sz val="9"/>
            <color indexed="81"/>
            <rFont val="Tahoma"/>
            <family val="2"/>
            <charset val="204"/>
          </rPr>
          <t xml:space="preserve">
артикул от переда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9947247-696A-4183-B035-42DC2024E328}" keepAlive="1" name="Запрос — БРТ (2)" description="Соединение с запросом &quot;БРТ (2)&quot; в книге." type="5" refreshedVersion="7" background="1" saveData="1">
    <dbPr connection="Provider=Microsoft.Mashup.OleDb.1;Data Source=$Workbook$;Location=&quot;БРТ (2)&quot;;Extended Properties=&quot;&quot;" command="SELECT * FROM [БРТ (2)]"/>
  </connection>
</connections>
</file>

<file path=xl/sharedStrings.xml><?xml version="1.0" encoding="utf-8"?>
<sst xmlns="http://schemas.openxmlformats.org/spreadsheetml/2006/main" count="11898" uniqueCount="3029">
  <si>
    <t>ID</t>
  </si>
  <si>
    <t>1</t>
  </si>
  <si>
    <t>БРТ</t>
  </si>
  <si>
    <t>Опора стойки передней подвески 1118 с подшипником "БРТ"</t>
  </si>
  <si>
    <t>Обивка пола шумоизоляционная "БРТ" средняя на LADA Vesta</t>
  </si>
  <si>
    <t>Обивка пола шумоизоляционная "БРТ" задняя правая на LADA Vesta</t>
  </si>
  <si>
    <t>Пыльник рулевой тяги "БРТ" для Renault Logan, Sandero</t>
  </si>
  <si>
    <t>Обивка пола шумоизоляционная "БРТ" задняя левая на LADA Vesta</t>
  </si>
  <si>
    <t>Ремень генератора "БРТ" для Renault Logan 8v без кондиционера и ГУР</t>
  </si>
  <si>
    <t>Ремень генератора "БРТ" для Renault Logan без кондиционера и ГУР</t>
  </si>
  <si>
    <t>Патрубок расширительного бачка к двигателю "БРТ" для Renault</t>
  </si>
  <si>
    <t>Опора задней пружины "БРТ" нижняя для Лада Ларгус, Renault Logan, Nissan Almera</t>
  </si>
  <si>
    <t>Опора задней пружины "БРТ" верхняя для Лада Ларгус, Renault Logan, Nissan Almera</t>
  </si>
  <si>
    <t>Шланг тормозной "БРТ" передний в сборе для Renault Logan, Sandero</t>
  </si>
  <si>
    <t>Шланг тормозной "БРТ" задний в сборе для Renault Logan, Sandero</t>
  </si>
  <si>
    <t>Ремень генератора "БРТ" (4РК718) для Renault Logan без кондиционера и ГУР</t>
  </si>
  <si>
    <t>Ремень генератора "БРТ" (5РК1750) для Renault Logan, Megane с ГУР, кондиционером и А/С</t>
  </si>
  <si>
    <t>Патрубок системы охлаждения "БРТ" армированный нитью для Daewoo Nexia Dohc</t>
  </si>
  <si>
    <t>Клапан обратный усилителя тормозов "БРТ" в сборе на Лада Веста, Ларгус, XRAY</t>
  </si>
  <si>
    <t>Ремкомплект 202РУ Р/К "БРТ" ремень ГРМ (1.6, 16v) с роликами для Лада Ларгус, Renault Sandero, Logan</t>
  </si>
  <si>
    <t>Ремкомплект 203РУ Р/К "БРТ" ремень ГРМ (1.4/1.6, 8v) с роликом для Лада Ларгус, Renault Sandero, Logan</t>
  </si>
  <si>
    <t>Ремкомплект 245РУ Р/К "БРТ" пыльник ШРУС с хомутами и смазкой универсальный</t>
  </si>
  <si>
    <t>Патрубок подводящий радиатора "БРТ" верхний для Лада Калина</t>
  </si>
  <si>
    <t>Патрубок сапуна вытяжной вентиляции картера "БРТ" для ВАЗ 2101-2107</t>
  </si>
  <si>
    <t>Патрубок перепускной средний угол (от термостата к тройнику) "БРТ" для ВАЗ 2101-2107</t>
  </si>
  <si>
    <t>Патрубок соединительный печки отводящий "БРТ" для ВАЗ 2102-2104</t>
  </si>
  <si>
    <t>Патрубок радиатора подводящий "БРТ" верхний для ВАЗ 2103, 2106</t>
  </si>
  <si>
    <t>Патрубок радиатора подводящий "БРТ" верхний для ВАЗ 2104, 2105, 2107</t>
  </si>
  <si>
    <t>Муфта соединительная термостата и водяного насоса "БРТ" малый для ВАЗ 2105</t>
  </si>
  <si>
    <t>Патрубок отопителя (печки) отводящий "БРТ" задний для ВАЗ 2108-21099, 2113-2115</t>
  </si>
  <si>
    <t>Патрубок отопителя (печки) подводящий "БРТ" передний для ВАЗ 2108-21099, 2113-2115</t>
  </si>
  <si>
    <t>Патрубок отопителя (печки, тройник) отводящий "БРТ" для ВАЗ 2110-2112</t>
  </si>
  <si>
    <t>Патрубок отопителя (печки) отводящий "БРТ" задний для ВАЗ 2110-2112</t>
  </si>
  <si>
    <t>Ремкомплект 172Р Р/К крепления подвески глушителя "БРТ" для Лада Нива 4x4, Шевроле Нива</t>
  </si>
  <si>
    <t>Подушка подвески глушителя "БРТ" для Лада Калина</t>
  </si>
  <si>
    <t>Опора верхней стойки (с подшипником) "БРТ" для Лада Калина</t>
  </si>
  <si>
    <t>Опора передней подвески (люстра) "БРТ" для Лада Калина</t>
  </si>
  <si>
    <t>Чехол защитный шарового пальца передней подвески "БРТ" для ВАЗ 2101-2107, Лада Нива 4x4</t>
  </si>
  <si>
    <t>Опора верхняя стойки передней подвески в сборе "БРТ" для ВАЗ 2108-21099, 2113-2115</t>
  </si>
  <si>
    <t>Опора верхней стойки передней подвески (люстра) в сборе "БРТ" для ВАЗ 2110-2112</t>
  </si>
  <si>
    <t>Прокладка изолирующая пружины задней подвески "БРТ" для ВАЗ 2110-2112</t>
  </si>
  <si>
    <t>Шарнир продольной штанги нижний "БРТ" для Лада Нива 4x4, Шевроле Нива</t>
  </si>
  <si>
    <t>Шарнир поперечной штанги "БРТ" для Лада Нива 4x4, Шевроле Нива</t>
  </si>
  <si>
    <t>Муфта эластичная переднего карданного вала "БРТ" для Шевроле Нива</t>
  </si>
  <si>
    <t>Опора верхней стойки (с подшипником) "БРТ" для Лада Приора</t>
  </si>
  <si>
    <t>Шарнир рычага передний в сборе "БРТ" для Лада Веста</t>
  </si>
  <si>
    <t>Шарнир рычага задний в сборе "БРТ" для Лада Веста</t>
  </si>
  <si>
    <t>Шарнир нижнего рычага передней подвески "БРТ" Лада Нива 4x4</t>
  </si>
  <si>
    <t>Подушка крепления верхнего конца амортизатора "БРТ" ВАЗ 2101</t>
  </si>
  <si>
    <t>Чехол рычага переключения передач внутренний "БРТ" для ВАЗ 2101-2107</t>
  </si>
  <si>
    <t>Шланг гидротормозной передний в сборе "БРТ" для Лада Веста</t>
  </si>
  <si>
    <t>Шланг гидротормозной задний в сборе "БРТ" для Лада Веста</t>
  </si>
  <si>
    <t>Шланг гидротормозной задний в сборе "БРТ" для Лада Ларгус</t>
  </si>
  <si>
    <t>Шланг гидротормозной передний в сборе "БРТ" для Лада Ларгус</t>
  </si>
  <si>
    <t>Шланг гидротормозной передний гибкий в сборе "БРТ" для Лада XRAY</t>
  </si>
  <si>
    <t>Шланг гидротормозной передний гибкий в сборе "БРТ" для Лада Веста Универсал</t>
  </si>
  <si>
    <t>Шланг гидротормозной задний гибкий в сборе "БРТ" для Лада Веста Универсал</t>
  </si>
  <si>
    <t>Ремень генератора "БРТ" для Renault Logan с кондиционером без ГУР</t>
  </si>
  <si>
    <t>Ремень генератора "БРТ" для ВАЗ 1111</t>
  </si>
  <si>
    <t>Ремень привода генератора клиновой "БРТ" для ВАЗ 2108-21099 (с карбюраторными двигателями)</t>
  </si>
  <si>
    <t>Ремень привода генератора клиновой (гладкий) "БРТ" для ВАЗ 2108-21099 (с карбюраторными двигателями)</t>
  </si>
  <si>
    <t>Ремень привода компрессора кондиционера поликлиновой "БРТ" для ВАЗ 2110-2112 (с кондиционером)</t>
  </si>
  <si>
    <t>Патрубок соединительный термостата и металлической трубки водяного насоса (термостата и тройника) "БРТ" для ВАЗ 2110-2112</t>
  </si>
  <si>
    <t>Патрубок соединительный термостата и подводящей трубы "БРТ" для ВАЗ 2112</t>
  </si>
  <si>
    <t>Патрубок отопителя (печки) подводящий "БРТ" задний для ВАЗ 2114</t>
  </si>
  <si>
    <t>Патрубок сапуна вытяжной вентиляции картера "БРТ" для Лада Нива 4х4</t>
  </si>
  <si>
    <t>Патрубок соединительный наливной горловины топливного бака "БРТ" для Лада Нива 4х4</t>
  </si>
  <si>
    <t>Патрубок радиатора отводящий "БРТ" нижний для Лада Нива 4х4</t>
  </si>
  <si>
    <t>Патрубок радиатора подводящий "БРТ" верхний для Лада Нива 4х4</t>
  </si>
  <si>
    <t>Патрубок перепускной от термостата к тройнику "БРТ" средний для Лада Нива 4х4</t>
  </si>
  <si>
    <t>Шланг вакуумного усилителя тормозов "БРТ" для Лада Нива 4х4</t>
  </si>
  <si>
    <t>Патрубок отопителя (печки) "БРТ" подводящий для Лада Нива 4х4</t>
  </si>
  <si>
    <t>Патрубок отопителя (печки) "БРТ" отводящий для Лада Нива 4х4</t>
  </si>
  <si>
    <t>Патрубок отопителя (печки) "БРТ" подводящий (длинный) для Лада Нива 4х4</t>
  </si>
  <si>
    <t>Патрубок отопителя (печки) "БРТ" отводящий (короткий) для Лада Нива 4х4</t>
  </si>
  <si>
    <t>Патрубок радиатора отводящий "БРТ" нижний для Шевроле Нива</t>
  </si>
  <si>
    <t>Патрубок радиатора подводящий "БРТ" верхний для Шевроле Нива</t>
  </si>
  <si>
    <t>Патрубок соединительный термостата и отопителя "БРТ" для Шевроле Нива</t>
  </si>
  <si>
    <t>Патрубок отопителя (печки) "БРТ" подводящий для Шевроле Нива</t>
  </si>
  <si>
    <t>Патрубок отопителя (печки) "БРТ" отводящий для Шевроле Нива</t>
  </si>
  <si>
    <t>Патрубок вытяжной вентиляции картера "БРТ" верхний для Лада Веста с 8v</t>
  </si>
  <si>
    <t>Патрубок отводящий радиатора "БРТ" для Лада Веста</t>
  </si>
  <si>
    <t>Шланг пароотводящий радиатора "БРТ" для Лада Веста</t>
  </si>
  <si>
    <t>Уплотнитель ворсовой "БРТ" для Лада XRAY</t>
  </si>
  <si>
    <t>Молдинг стекла боковины "БРТ" для Лада Веста</t>
  </si>
  <si>
    <t>Чехол вилки выключения сцепления "БРТ" для ВАЗ 2110, 2115, Лада Калина</t>
  </si>
  <si>
    <t>Сальник коленчатого вала передний Таврия "БРТ" для ВАЗ 2101-2107, Лада Нива 4x4, Шевроле Нива</t>
  </si>
  <si>
    <t>Сальник первичного вала коробки передач с пружиной (малый) "БРТ" для ВАЗ 2101-2107, Лада Нива 4x4</t>
  </si>
  <si>
    <t>Сальник первичного вала коробки передач с пружиной (красный, малый) "БРТ" для ВАЗ 2101-2107, Лада Нива 4x4</t>
  </si>
  <si>
    <t>Патрубки системы охлаждения радиатора "БРТ" 185РШ Р/К (инжектор) для ВАЗ 2108-21099</t>
  </si>
  <si>
    <t>Кронштейн растяжки передней подвески в сборе (с подушкой) "БРТ" для Лада Калина</t>
  </si>
  <si>
    <t>Патрубок отопителя (печки) подводящий "БРТ" для ВАЗ 2111</t>
  </si>
  <si>
    <t>Ремень крепления запасного колеса и домкрата (левый) в сборе "БРТ" для Лада Нива 4x4</t>
  </si>
  <si>
    <t>Подушка подвески глушителя "БРТ" для Лада Ларгус, Renault Logan, Nissan Almera</t>
  </si>
  <si>
    <t>Гофра проводки задней двери "БРТ" (длинная) для ВАЗ 2110</t>
  </si>
  <si>
    <t>Патрубок вытяжной вентиляции картера верхний "БРТ" для ВАЗ 2110-2112 16v</t>
  </si>
  <si>
    <t>Патрубок отопителя (печки) отводящий "БРТ" передний для ВАЗ 2108-21099, 2113-2115</t>
  </si>
  <si>
    <t>Чехол рычага переключения передач наружный "БРТ" для ВАЗ 2101-2107, Лада Нива 4x4</t>
  </si>
  <si>
    <t>Опора карданного вала в сборе (с подшипником) "БРТ" для ВАЗ 2101-2107</t>
  </si>
  <si>
    <t>Опора ресивера "Мобиль" для ВАЗ 2110-2112, Лада Приора</t>
  </si>
  <si>
    <t>Подушка штанги стабилизатора передней подвески "БРТ" Лада Калина, Приора</t>
  </si>
  <si>
    <t>Патрубок соединительный термостата и подводящей трубы водяного насоса (угол) "БРТ" для Лада Калина</t>
  </si>
  <si>
    <t>Патрубок соединительный наливной горловины топливного бака "БРТ" большой для ВАЗ 2108-21099, 2113-2115</t>
  </si>
  <si>
    <t>Сальник коленчатого вала передний Таврия (красный) "БРТ" для ВАЗ 2101-2107, Лада Нива 4x4, Шевроле Нива</t>
  </si>
  <si>
    <t>Сальник коленчатого вала задний Таврия "БРТ" для ВАЗ 2101-2107, Лада Нива 4x4, Ока, Шевроле Нива</t>
  </si>
  <si>
    <t>Гофра проводки передней двери "БРТ" для ВАЗ 2108-21099</t>
  </si>
  <si>
    <t>Буфер хода сжатия передней подвески "БРТ" для ВАЗ 2101-2107</t>
  </si>
  <si>
    <t>Сальник вторичного вала коробки передач с пружиной (большой) "БРТ" для ВАЗ 2101-2107, Лада Нива 4x4</t>
  </si>
  <si>
    <t>Уплотнитель проёма двери задка "БРТ" для Шевроле Нива</t>
  </si>
  <si>
    <t>Уплотнители порогов "AD Plastik" для Лада (Нива, Нива Travel), Шевроле Нива</t>
  </si>
  <si>
    <t>Ремкомплект 21Р Р/К подушки крепления подвески глушителя "БРТ" для ВАЗ 2108-21099, 2113-2115</t>
  </si>
  <si>
    <t>Уплотнительное кольцо "БРТ" датчика фаз для ВАЗ (2108-21099, 2110-2112, 2113-2115), Лада (Калина, Приора)</t>
  </si>
  <si>
    <t>Брызговики передние для Лада Приора</t>
  </si>
  <si>
    <t>Ремень привода генератора поликлиновой "БРТ" для ВАЗ 2108-21099, 2113-2115, 2110-2112 (с 8 клапанными инжекторными двигателями)</t>
  </si>
  <si>
    <t>Уплотнитель багажника "БРТ" для Лада Ларгус</t>
  </si>
  <si>
    <t>Шарнир внутренних тяг левой трапеции в сборе "БРТ" для ВАЗ 2110-2112</t>
  </si>
  <si>
    <t>Ремень привода насоса ГУР в сборе "БРТ" для Лада Нива 4x4</t>
  </si>
  <si>
    <t>Чехол привода стояночного тормоза "БРТ" для LADA Samara, Samara 2, 110, Kalina, Kalina 2, Priora, Granta, 4x4</t>
  </si>
  <si>
    <t>Гофра проводки крышки багажника "БРТ" для ВАЗ 2108</t>
  </si>
  <si>
    <t>Патрубок радиатора отводящий "БРТ" нижний для Лада Калина</t>
  </si>
  <si>
    <t>Патрубок отопителя подводящий (радиатор и кожуха отопителя) "БРТ" для Лада Приора</t>
  </si>
  <si>
    <t>Патрубок радиатора подводящий "БРТ" верхний для Лада Калина</t>
  </si>
  <si>
    <t>Патрубок отопителя (печки) подводящий "БРТ" для Лада Калина</t>
  </si>
  <si>
    <t>Уплотнитель заднего окна "БРТ" для ВАЗ 2101-2107</t>
  </si>
  <si>
    <t>Патрубок соединительный термостата и водяного насоса "БРТ" для Лада Калина</t>
  </si>
  <si>
    <t>Патрубок отопителя (печки) отводящий "БРТ" для Лада Калина</t>
  </si>
  <si>
    <t>Муфта эластичная переднего карданного вала "БРТ" для ВАЗ 2101-2107</t>
  </si>
  <si>
    <t>Прокладка масляного картера "БРТ" для ВАЗ 2101-07, Москвич 2141, ИЖ 2126 (с двигателем ВАЗ)</t>
  </si>
  <si>
    <t>Чехол защитный рейки рулевого механизма "БРТ" для ВАЗ 2110-2112</t>
  </si>
  <si>
    <t>Чехол вилки выключения сцепления "БРТ" для ВАЗ 2108-21099</t>
  </si>
  <si>
    <t>Чехол пружины крышки багажника "БРТ" для Лада Веста</t>
  </si>
  <si>
    <t>Уплотнитель передней двери "БРТ" для Лада Ларгус</t>
  </si>
  <si>
    <t>Патрубок расширительного бачка к термостату "БРТ" для Лада Приора</t>
  </si>
  <si>
    <t>Шарнир нижнего рычага передней подвески в сборе "БРТ" ВАЗ 2108</t>
  </si>
  <si>
    <t>Патрубок отопителя (печки) подводящий "БРТ" для ВАЗ 2101-2107</t>
  </si>
  <si>
    <t>Патрубок подводящий радиатора "БРТ" для Лада Веста</t>
  </si>
  <si>
    <t>Патрубок вытяжной вентиляции картера "БРТ" для ВАЗ 2110-2112 16v</t>
  </si>
  <si>
    <t>Втулка амортизатора задней подвески "БРТ" ВАЗ 2108-21099, 2113-2115, 2110-2112, Лада Калина, Приора</t>
  </si>
  <si>
    <t>Патрубок отопителя (печки) отводящий "БРТ" для ВАЗ 2101-2107</t>
  </si>
  <si>
    <t>Гофра проводки крышки багажника "БРТ" для ВАЗ 2111</t>
  </si>
  <si>
    <t>Прокладка крышки головки цилиндров "БРТ" для ВАЗ 2101-07, Москвич 2141, ИЖ 2126 (с двигателем ВАЗ)</t>
  </si>
  <si>
    <t>Шарнир нижнего рычага передней подвески "БРТ" Лада Гранта</t>
  </si>
  <si>
    <t>Ремкомплект 20Р Р/К ремень и подушка подвески глушителя "БРТ" для ВАЗ 2101-2107</t>
  </si>
  <si>
    <t>Ремень крепления запасного колеса "БРТ" для Лада Нива 4x4</t>
  </si>
  <si>
    <t>Ремень привода вспомогательных агрегатов ГУРа поликлиновой "БРТ" для ВАЗ 2110-2112 (ГУР)</t>
  </si>
  <si>
    <t>Патрубок отопителя (печки) подводящий "БРТ" передний для ВАЗ 2108-21099</t>
  </si>
  <si>
    <t>Изолирующая прокладка пружины передней подвески "БРТ" для Лада Приора</t>
  </si>
  <si>
    <t>Патрубок отопителя (печки) отводящий "БРТ" передний для ВАЗ 2108-21099</t>
  </si>
  <si>
    <t>Ремень генератора поликлиновой "БРТ" для Шевроле Нива</t>
  </si>
  <si>
    <t>Шарнир крепления рычага задней подвески "БРТ" ВАЗ 2113-2115, 2110-2112, Лада Калина, Приора</t>
  </si>
  <si>
    <t>Ремкомплект 179Р Р/К подушки подвески глушителя "БРТ" для Лада Приора</t>
  </si>
  <si>
    <t>Изолирующая прокладка пружины задней подвески "БРТ" для ВАЗ 2101-2107</t>
  </si>
  <si>
    <t>Изолирующая прокладка пружины передней подвески "БРТ" для ВАЗ 2101-2107</t>
  </si>
  <si>
    <t>Подушка задней подвески двигателя "БРТ" для ВАЗ 2101-2107 с 4-х ступенчатой КПП</t>
  </si>
  <si>
    <t>Ремень крепления запасного колеса и домкрата (правый) в сборе "БРТ" для Лада Нива 4x4</t>
  </si>
  <si>
    <t>Шарнир рычагов задней подвески в сборе "БРТ" для Лада Веста</t>
  </si>
  <si>
    <t>Патрубок расширительного бачка к термостату (заправочный) "БРТ" для ВАЗ 2111</t>
  </si>
  <si>
    <t>Кожух амортизатора передней подвески "БРТ" для ВАЗ 2110-2112</t>
  </si>
  <si>
    <t>Обойма опоры шаровой рычага КПП в сборе "БРТ" для Лада Калина</t>
  </si>
  <si>
    <t>Уплотнитель проёма задней двери "БРТ" для Шевроле Нива</t>
  </si>
  <si>
    <t>Уплотнитель проёма передней двери "БРТ" для Шевроле Нива</t>
  </si>
  <si>
    <t>Ремень генератора клиновой (гладкий) "БРТ" для ВАЗ 2101-2107, Лада Нива 4x4</t>
  </si>
  <si>
    <t>Оригинальный патрубок термостата "БРТ" для Лада Калина</t>
  </si>
  <si>
    <t>Патрубки радиатора "БРТ" для ВАЗ 2108-21099</t>
  </si>
  <si>
    <t>Шланг гидротормоза (гибкий) передний "БРТ" для Лада Калина</t>
  </si>
  <si>
    <t>Прокладка крышки головки цилиндров "БРТ" для ВАЗ 2108-21099, 2113-2115</t>
  </si>
  <si>
    <t>Прокладка указателя поворота на ВАЗ 2106, Лада Нива 4х4</t>
  </si>
  <si>
    <t>Патрубок соединительный наливной горловины топливного бака "БРТ" для ВАЗ 2108-21099, 2113-2115</t>
  </si>
  <si>
    <t>Шланг гибкий переднего тормоза "БРТ" для Шевроле Нива</t>
  </si>
  <si>
    <t>Шланг гибкий заднего тормоза в сборе "БРТ" для Шевроле Нива</t>
  </si>
  <si>
    <t>Гофра проводки передних дверей (внутренняя) для Лада (Гранта, Калина, Калина 2), Датсун (mi-DO, on-DO)</t>
  </si>
  <si>
    <t>Ремкомплект 178Р Р/К подушки подвески глушителя "БРТ" для Лада Калина, Гранта</t>
  </si>
  <si>
    <t>Колпачок защитный шарового пальца тяг рулевой трапеции "БРТ" для ВАЗ 2101-2107, Лада Нива 4x4, Шевроле Нива</t>
  </si>
  <si>
    <t>Втулка стабилизатора "БРТ" для Лада Ларгус, Renault Logan, Sandero, SWAG</t>
  </si>
  <si>
    <t>Комплект внутренних бархоток для Лада Приора (седан, хэтчбек)</t>
  </si>
  <si>
    <t>Уплотнитель проёма передней двери "БРТ" для Лада Приора</t>
  </si>
  <si>
    <t>Ремень привода генератора поликлиновой "БРТ" для ВАЗ 2110-2112, Лада Приора (с 16 клапанными инжекторными двигателями)</t>
  </si>
  <si>
    <t>Уплотнители проемов дверей для Нива 4x4 (2 шт.)</t>
  </si>
  <si>
    <t>Ремкомплект 20РР Р/К ремень крепления подвески глушителя "БРТ" для ВАЗ 2101-2107</t>
  </si>
  <si>
    <t>Уплотнитель стекла ветрового окна "БРТ" для ВАЗ 2101-2107</t>
  </si>
  <si>
    <t>Шланг вакуумного усилителя тормозов "БРТ" для ВАЗ 2101-2107, Лада Нива 4x4</t>
  </si>
  <si>
    <t>Кронштейн растяжки передней подвески с подушкой в сборе "БРТ" для ВАЗ 2108-21099, 2113-2115</t>
  </si>
  <si>
    <t>Грязезащитные заглушки проема рулевых тяг на Лада Приора, ВАЗ 2110-2112</t>
  </si>
  <si>
    <t>Подушка переднего шарнира растяжки передней подвески "БРТ" ВАЗ 2108-21099, 2113-2115, Лада Калина</t>
  </si>
  <si>
    <t>Патрубок отопителя (печки) подводящий "БРТ" задний для ВАЗ 2108-21099, 2113-2115</t>
  </si>
  <si>
    <t>Накладка переднего бампера "БРТ" (средняя) для ВАЗ 2105</t>
  </si>
  <si>
    <t>Грязезащитные заглушки проема рулевых тяг на Лада 2108-21099, 2113-2115</t>
  </si>
  <si>
    <t>Комплект патрубков отопителя "БРТ" для ВАЗ 2108-21099, 2113-2115 (с инжекторным двигателем)</t>
  </si>
  <si>
    <t>Уплотнитель нового образца заднего стекла для Лада Нива "УРБАН" (без замка)</t>
  </si>
  <si>
    <t>Уплотнитель проёма двери задка "БРТ" для ВАЗ 2112</t>
  </si>
  <si>
    <t>Чехол вилки выключения сцепления "БРТ" для ВАЗ 2101-2107, Лада Нива 4x4</t>
  </si>
  <si>
    <t>Уплотнитель проёма задней двери "БРТ" для Лада Приора</t>
  </si>
  <si>
    <t>Шарнир крепления рычага задней подвески "БРТ" ВАЗ 2108-21099</t>
  </si>
  <si>
    <t>Кронштейн задней опоры подвески "БРТ" для ВАЗ 2108-21099, 2113-2115</t>
  </si>
  <si>
    <t>Кронштейн левой опоры подвески "БРТ" для ВАЗ 2108-21099, 2113-2115</t>
  </si>
  <si>
    <t>Кронштейн передней опоры двигателя "БРТ" для ВАЗ 2108-21099, 2113-2115</t>
  </si>
  <si>
    <t>Подушка крепления радиатора "БРТ" для Лада Ларгус, Renault Logan, Nissan Almera</t>
  </si>
  <si>
    <t>Патрубок печки отводящий с инжекторным двс "БРТ" для ВАЗ 21073</t>
  </si>
  <si>
    <t>Шланг вытяжной вентиляции картера "БРТ" верхний (L-образный) для ВАЗ 2108, 2110, 2111, 2115 8v инжектор</t>
  </si>
  <si>
    <t>Опора двигателя "БРТ" левая для ВАЗ 2110-2112</t>
  </si>
  <si>
    <t>Опора двигателя "БРТ" правая для ВАЗ 2110-2112</t>
  </si>
  <si>
    <t>Прокладка изолирующая пружины задней подвески "БРТ" для ВАЗ 2108-21099, 2110-2112</t>
  </si>
  <si>
    <t>Патрубок отопителя (печки) отводящий "БРТ" передний для ВАЗ 2114</t>
  </si>
  <si>
    <t>Патрубок отопителя (печки) подводящий "БРТ" передний для ВАЗ 2114</t>
  </si>
  <si>
    <t>Комплект бархоток стекол Нива 4x4 Урбан н/о</t>
  </si>
  <si>
    <t>Трубка пароотводящая отопителя "БРТ" для ВАЗ 2110</t>
  </si>
  <si>
    <t>Патрубок вытяжной вентиляции картера "БРТ" верхний для Лада Веста с 16v</t>
  </si>
  <si>
    <t>Ремонтный комплект рабочего цилиндра сцепления для Шевроле Нива</t>
  </si>
  <si>
    <t>Подушка двигателя "БРТ" в сборе для ВАЗ 2101-07</t>
  </si>
  <si>
    <t>Уплотнитель универсальный проёма передней двери "БРТ" для ВАЗ 2110</t>
  </si>
  <si>
    <t>Наименование</t>
  </si>
  <si>
    <t>1118-1001033-10РУ</t>
  </si>
  <si>
    <t>1118-1001045-10РУ</t>
  </si>
  <si>
    <t>1118-1001089-10РУ</t>
  </si>
  <si>
    <t>1118-1203073</t>
  </si>
  <si>
    <t>1118-1303008-01Р</t>
  </si>
  <si>
    <t>1118-1303025Р</t>
  </si>
  <si>
    <t>1118-1303093Р</t>
  </si>
  <si>
    <t>1118-1303095Р</t>
  </si>
  <si>
    <t>1118-1703182Р</t>
  </si>
  <si>
    <t>1118-1703182</t>
  </si>
  <si>
    <t>1118-1703190Р</t>
  </si>
  <si>
    <t>1118-1703190РУ</t>
  </si>
  <si>
    <t>1118-1703200Р</t>
  </si>
  <si>
    <t>1118-2215030Р</t>
  </si>
  <si>
    <t>1118-2902821РПУ</t>
  </si>
  <si>
    <t>1118-2902821РУ</t>
  </si>
  <si>
    <t>1118-2904049РУ</t>
  </si>
  <si>
    <t>1118-2906040Р</t>
  </si>
  <si>
    <t>1118-5206062</t>
  </si>
  <si>
    <t>1118-6107018-10</t>
  </si>
  <si>
    <t>1118-8101200-10Р</t>
  </si>
  <si>
    <t>1118-8101204-10Р</t>
  </si>
  <si>
    <t>2101-1001000РУ</t>
  </si>
  <si>
    <t>2101-1001020</t>
  </si>
  <si>
    <t>2101-1001045</t>
  </si>
  <si>
    <t>2101-1003270</t>
  </si>
  <si>
    <t>2101-1005034-02</t>
  </si>
  <si>
    <t>2101-1005034</t>
  </si>
  <si>
    <t>2101-1005160-02</t>
  </si>
  <si>
    <t>2101-1005160</t>
  </si>
  <si>
    <t>2101-1009055</t>
  </si>
  <si>
    <t>2101-1009070</t>
  </si>
  <si>
    <t>2101-1009140</t>
  </si>
  <si>
    <t>2101-1014056</t>
  </si>
  <si>
    <t>2101-1101150</t>
  </si>
  <si>
    <t>2101-1104090</t>
  </si>
  <si>
    <t>2101-1109129</t>
  </si>
  <si>
    <t>2101-1302060</t>
  </si>
  <si>
    <t>2101-1303010</t>
  </si>
  <si>
    <t>2101-1303025</t>
  </si>
  <si>
    <t>2101-1303090</t>
  </si>
  <si>
    <t>2101-1601211</t>
  </si>
  <si>
    <t>2101-1602518</t>
  </si>
  <si>
    <t>2101-1602590</t>
  </si>
  <si>
    <t>2101-1701043</t>
  </si>
  <si>
    <t>2101-1701210</t>
  </si>
  <si>
    <t>2101-1703096</t>
  </si>
  <si>
    <t>2101-1703101</t>
  </si>
  <si>
    <t>2101-2202120</t>
  </si>
  <si>
    <t>2101-2401034</t>
  </si>
  <si>
    <t>2101-2401034Р</t>
  </si>
  <si>
    <t>2101-2402052-01</t>
  </si>
  <si>
    <t>2101-2402052-01Р</t>
  </si>
  <si>
    <t>2101-2904070</t>
  </si>
  <si>
    <t>2101-2904195-10</t>
  </si>
  <si>
    <t>2101-2904195Р</t>
  </si>
  <si>
    <t>2101-2905448Р</t>
  </si>
  <si>
    <t>2101-2905450</t>
  </si>
  <si>
    <t>2101-2912652-10</t>
  </si>
  <si>
    <t>2101-2912652Р</t>
  </si>
  <si>
    <t>2101-3003074</t>
  </si>
  <si>
    <t>2101-3103038</t>
  </si>
  <si>
    <t>2101-3103038Р</t>
  </si>
  <si>
    <t>2101-3401023</t>
  </si>
  <si>
    <t>2101-3401026</t>
  </si>
  <si>
    <t>2101-3506060-01</t>
  </si>
  <si>
    <t>2101-3506085</t>
  </si>
  <si>
    <t>2101-3703095</t>
  </si>
  <si>
    <t>2101-5206050</t>
  </si>
  <si>
    <t>2101-5207050</t>
  </si>
  <si>
    <t>2101-5604040-10</t>
  </si>
  <si>
    <t>2101-8101200</t>
  </si>
  <si>
    <t>2101-8101204</t>
  </si>
  <si>
    <t>2101-8101332-10Р</t>
  </si>
  <si>
    <t>2102-1101080</t>
  </si>
  <si>
    <t>2103-1006090</t>
  </si>
  <si>
    <t>2103-1006100</t>
  </si>
  <si>
    <t>2103-1006100РУ</t>
  </si>
  <si>
    <t>2103-3510050-01</t>
  </si>
  <si>
    <t>2103-3724128-10</t>
  </si>
  <si>
    <t>2104-6303018</t>
  </si>
  <si>
    <t>2105-1003270-10</t>
  </si>
  <si>
    <t>2105-1006040РУ</t>
  </si>
  <si>
    <t>2105-1009070</t>
  </si>
  <si>
    <t>2105-1303010-10</t>
  </si>
  <si>
    <t>2105-1303010-10РП</t>
  </si>
  <si>
    <t>2105-1303025-10</t>
  </si>
  <si>
    <t>2105-1303025</t>
  </si>
  <si>
    <t>2105-1303025РП</t>
  </si>
  <si>
    <t>2105-1303092</t>
  </si>
  <si>
    <t>2105-1303092РП</t>
  </si>
  <si>
    <t>2105-2202078РУ</t>
  </si>
  <si>
    <t>2105-8402200</t>
  </si>
  <si>
    <t>2107-1001045</t>
  </si>
  <si>
    <t>2107-1308020</t>
  </si>
  <si>
    <t>2107-6107018</t>
  </si>
  <si>
    <t>21073-1148034</t>
  </si>
  <si>
    <t>21073-1303025</t>
  </si>
  <si>
    <t>21073-1303025РП</t>
  </si>
  <si>
    <t>21073-8101204-10</t>
  </si>
  <si>
    <t>2108-1001015-10РУ</t>
  </si>
  <si>
    <t>2108-1001031-10РУ</t>
  </si>
  <si>
    <t>2108-1001040-10РУ</t>
  </si>
  <si>
    <t>2108-1003270-01</t>
  </si>
  <si>
    <t>2108-1003277-01</t>
  </si>
  <si>
    <t>2108-1005034</t>
  </si>
  <si>
    <t>2108-1005160</t>
  </si>
  <si>
    <t>2108-1006040-10РУ</t>
  </si>
  <si>
    <t>2108-1009070К</t>
  </si>
  <si>
    <t>2108-1009070</t>
  </si>
  <si>
    <t>2108-1014050</t>
  </si>
  <si>
    <t>2108-1014050РП</t>
  </si>
  <si>
    <t>2108-1014056-10</t>
  </si>
  <si>
    <t>2108-1014056-10РП</t>
  </si>
  <si>
    <t>2108-1101080-10</t>
  </si>
  <si>
    <t>2108-1101080-21</t>
  </si>
  <si>
    <t>2108-1101080</t>
  </si>
  <si>
    <t>2108-1107033-01</t>
  </si>
  <si>
    <t>2108-1302060</t>
  </si>
  <si>
    <t>2108-1303010</t>
  </si>
  <si>
    <t>2108-1303010РП</t>
  </si>
  <si>
    <t>2108-1303025</t>
  </si>
  <si>
    <t>2108-1303025РП</t>
  </si>
  <si>
    <t>2108-1303080</t>
  </si>
  <si>
    <t>2108-1303092</t>
  </si>
  <si>
    <t>2108-1601211</t>
  </si>
  <si>
    <t>2108-1701043</t>
  </si>
  <si>
    <t>2108-1703042-01</t>
  </si>
  <si>
    <t>2108-1703182</t>
  </si>
  <si>
    <t>2108-1703200</t>
  </si>
  <si>
    <t>2108-2215030</t>
  </si>
  <si>
    <t>2108-2215068</t>
  </si>
  <si>
    <t>2108-2902820РУ</t>
  </si>
  <si>
    <t>2108-2904040</t>
  </si>
  <si>
    <t>2108-2904049РУ</t>
  </si>
  <si>
    <t>2108-2904050</t>
  </si>
  <si>
    <t>2108-2906040</t>
  </si>
  <si>
    <t>2108-2912652</t>
  </si>
  <si>
    <t>2108-2914054-10</t>
  </si>
  <si>
    <t>2108-2915446-01</t>
  </si>
  <si>
    <t>2108-2915681</t>
  </si>
  <si>
    <t>2108-3401224</t>
  </si>
  <si>
    <t>2108-3414070</t>
  </si>
  <si>
    <t>2108-3414077</t>
  </si>
  <si>
    <t>2108-3505092-01</t>
  </si>
  <si>
    <t>2108-3506060</t>
  </si>
  <si>
    <t>2108-3506085</t>
  </si>
  <si>
    <t>2108-3508046</t>
  </si>
  <si>
    <t>2108-5206054-01</t>
  </si>
  <si>
    <t>2108-6107018</t>
  </si>
  <si>
    <t>2108-6303018-01</t>
  </si>
  <si>
    <t>2108-6307024</t>
  </si>
  <si>
    <t>2108-8101200</t>
  </si>
  <si>
    <t>2108-8101204</t>
  </si>
  <si>
    <t>2108-8101206</t>
  </si>
  <si>
    <t>2108-8101208</t>
  </si>
  <si>
    <t>2108-8402200</t>
  </si>
  <si>
    <t>21082-1101138</t>
  </si>
  <si>
    <t>21082-1303010</t>
  </si>
  <si>
    <t>21082-1303010РП</t>
  </si>
  <si>
    <t>21082-1303025</t>
  </si>
  <si>
    <t>21082-1303025РП</t>
  </si>
  <si>
    <t>21082-1303080</t>
  </si>
  <si>
    <t>21082-3701720РУ</t>
  </si>
  <si>
    <t>21082-8101208РП</t>
  </si>
  <si>
    <t>2109-1303093-01</t>
  </si>
  <si>
    <t>2109-6103290-10</t>
  </si>
  <si>
    <t>2109-6103320-10</t>
  </si>
  <si>
    <t>2109-6107018</t>
  </si>
  <si>
    <t>21099-5603018-01</t>
  </si>
  <si>
    <t>2110-1001242ЛРУ</t>
  </si>
  <si>
    <t>2110-1001242ПРУ</t>
  </si>
  <si>
    <t>2110-1001242Р</t>
  </si>
  <si>
    <t>2110-1001286РУ</t>
  </si>
  <si>
    <t>2110-1041020РУ</t>
  </si>
  <si>
    <t>2110-1101150</t>
  </si>
  <si>
    <t>2110-1164086</t>
  </si>
  <si>
    <t>2110-1303010</t>
  </si>
  <si>
    <t>2110-1303025</t>
  </si>
  <si>
    <t>2110-1303080</t>
  </si>
  <si>
    <t>2110-1303095</t>
  </si>
  <si>
    <t>2110-1601211</t>
  </si>
  <si>
    <t>2110-1701043</t>
  </si>
  <si>
    <t>2110-1703190РУ</t>
  </si>
  <si>
    <t>2110-2902820РУ</t>
  </si>
  <si>
    <t>2110-2904070Р</t>
  </si>
  <si>
    <t>2110-2904070</t>
  </si>
  <si>
    <t>2110-2905681</t>
  </si>
  <si>
    <t>2110-2906040</t>
  </si>
  <si>
    <t>2110-2912652</t>
  </si>
  <si>
    <t>2110-2914054</t>
  </si>
  <si>
    <t>2110-2915450</t>
  </si>
  <si>
    <t>2110-3401224</t>
  </si>
  <si>
    <t>2110-3414070</t>
  </si>
  <si>
    <t>2110-3506060</t>
  </si>
  <si>
    <t>2110-3701720РУ</t>
  </si>
  <si>
    <t>2110-6103320</t>
  </si>
  <si>
    <t>2110-6107018</t>
  </si>
  <si>
    <t>2110-6203320</t>
  </si>
  <si>
    <t>2110-8101200</t>
  </si>
  <si>
    <t>2110-8101202</t>
  </si>
  <si>
    <t>2110-8114096РУ</t>
  </si>
  <si>
    <t>2111-1014058-10</t>
  </si>
  <si>
    <t>2111-1148035-10</t>
  </si>
  <si>
    <t>2111-1303080</t>
  </si>
  <si>
    <t>2111-8101200</t>
  </si>
  <si>
    <t>2111-8101208</t>
  </si>
  <si>
    <t>21116-1006040РУ</t>
  </si>
  <si>
    <t>2112-1001300РУ</t>
  </si>
  <si>
    <t>2112-1008088</t>
  </si>
  <si>
    <t>2112-1008104</t>
  </si>
  <si>
    <t>2112-1014056</t>
  </si>
  <si>
    <t>2112-1014058</t>
  </si>
  <si>
    <t>2112-1101080-01</t>
  </si>
  <si>
    <t>2112-1109249</t>
  </si>
  <si>
    <t>2112-1148035-10</t>
  </si>
  <si>
    <t>2112-1148038</t>
  </si>
  <si>
    <t>2112-1303010</t>
  </si>
  <si>
    <t>2112-1303025</t>
  </si>
  <si>
    <t>2112-1303080</t>
  </si>
  <si>
    <t>21126-1006040РУ</t>
  </si>
  <si>
    <t>2114-8101200</t>
  </si>
  <si>
    <t>2114-8101204</t>
  </si>
  <si>
    <t>2114-8101206</t>
  </si>
  <si>
    <t>2114-8101208</t>
  </si>
  <si>
    <t>2121-1001020РУ</t>
  </si>
  <si>
    <t>2121-1014056</t>
  </si>
  <si>
    <t>2121-1014240</t>
  </si>
  <si>
    <t>2121-1164083</t>
  </si>
  <si>
    <t>2121-1303010</t>
  </si>
  <si>
    <t>2121-1303025</t>
  </si>
  <si>
    <t>2121-1303090</t>
  </si>
  <si>
    <t>2121-2215030-01</t>
  </si>
  <si>
    <t>2121-2215068-01</t>
  </si>
  <si>
    <t>2121-2302052</t>
  </si>
  <si>
    <t>2121-2302052Р</t>
  </si>
  <si>
    <t>2121-2906040</t>
  </si>
  <si>
    <t>2121-2906046</t>
  </si>
  <si>
    <t>2121-3103038</t>
  </si>
  <si>
    <t>2121-3103038Р</t>
  </si>
  <si>
    <t>2121-3506060-10</t>
  </si>
  <si>
    <t>2121-3506061-10</t>
  </si>
  <si>
    <t>2121-3510050</t>
  </si>
  <si>
    <t>2121-5206054</t>
  </si>
  <si>
    <t>2121-5403122</t>
  </si>
  <si>
    <t>2121-6107018-10</t>
  </si>
  <si>
    <t>2121-6303018</t>
  </si>
  <si>
    <t>2121-8101200</t>
  </si>
  <si>
    <t>2121-8101204</t>
  </si>
  <si>
    <t>2121-8402200</t>
  </si>
  <si>
    <t>2121-8404312Р</t>
  </si>
  <si>
    <t>21213-1203073</t>
  </si>
  <si>
    <t>21213-1303010</t>
  </si>
  <si>
    <t>21213-1303025</t>
  </si>
  <si>
    <t>21213-1303090</t>
  </si>
  <si>
    <t>21213-1303092</t>
  </si>
  <si>
    <t>21213-2202068</t>
  </si>
  <si>
    <t>21213-2215030</t>
  </si>
  <si>
    <t>21213-3505125Р</t>
  </si>
  <si>
    <t>21213-3505125</t>
  </si>
  <si>
    <t>21213-3510050</t>
  </si>
  <si>
    <t>шланг</t>
  </si>
  <si>
    <t>21214-3407042РУ</t>
  </si>
  <si>
    <t>21214-5206054Р</t>
  </si>
  <si>
    <t>уплотнитель окна боковины правый</t>
  </si>
  <si>
    <t>21214-6303018Р</t>
  </si>
  <si>
    <t>21214-8101200</t>
  </si>
  <si>
    <t>21214-8101204</t>
  </si>
  <si>
    <t>2123-1001275Р</t>
  </si>
  <si>
    <t>2123-1014056Р</t>
  </si>
  <si>
    <t>2123-1014240Р</t>
  </si>
  <si>
    <t>2123-1041020-30РУ</t>
  </si>
  <si>
    <t>2123-1101070-20Р</t>
  </si>
  <si>
    <t>2123-1101080-20Р</t>
  </si>
  <si>
    <t>2123-1148034Р</t>
  </si>
  <si>
    <t>2123-1148035-10Р</t>
  </si>
  <si>
    <t>2123-1303010Р</t>
  </si>
  <si>
    <t>2123-1303010</t>
  </si>
  <si>
    <t>2123-1303025Р</t>
  </si>
  <si>
    <t>2123-1303025</t>
  </si>
  <si>
    <t>2123-1303074-01Р</t>
  </si>
  <si>
    <t>2123-1303095Р</t>
  </si>
  <si>
    <t>2123-1303156-01</t>
  </si>
  <si>
    <t>2123-1602518Р</t>
  </si>
  <si>
    <t>2123-1701246Р</t>
  </si>
  <si>
    <t>2123-1703096Р</t>
  </si>
  <si>
    <t>2123-1703101Р</t>
  </si>
  <si>
    <t>2123-1703145Р</t>
  </si>
  <si>
    <t>2123-1703225Р</t>
  </si>
  <si>
    <t>чехол переднего шарнира КПП ВАЗ 2123</t>
  </si>
  <si>
    <t>2123-1703430Р</t>
  </si>
  <si>
    <t>2123-1801010Р</t>
  </si>
  <si>
    <t>2123-2202068Р</t>
  </si>
  <si>
    <t>2123-2202120Р</t>
  </si>
  <si>
    <t>2123-2906040Р</t>
  </si>
  <si>
    <t>2123-2906046Р</t>
  </si>
  <si>
    <t>2123-2915446Р</t>
  </si>
  <si>
    <t>2123-3506060Р</t>
  </si>
  <si>
    <t>2123-3506085Р</t>
  </si>
  <si>
    <t>2123-5403122Р</t>
  </si>
  <si>
    <t>2123-5403123Р</t>
  </si>
  <si>
    <t>2123-6107018-01</t>
  </si>
  <si>
    <t>2123-6307024-02Р</t>
  </si>
  <si>
    <t>2123-8101200Р</t>
  </si>
  <si>
    <t>2123-8101204Р</t>
  </si>
  <si>
    <t>2123-8404412Р</t>
  </si>
  <si>
    <t>2123-8404413Р</t>
  </si>
  <si>
    <t>2170-1203073</t>
  </si>
  <si>
    <t>2170-1303010-10</t>
  </si>
  <si>
    <t>2170-1303025-10</t>
  </si>
  <si>
    <t>2170-1303080</t>
  </si>
  <si>
    <t>2170-2902821РПУ</t>
  </si>
  <si>
    <t>2170-2902821РУ</t>
  </si>
  <si>
    <t>2170-8101200-11</t>
  </si>
  <si>
    <t>2170-8101208-11</t>
  </si>
  <si>
    <t>2190-1303010-10Р</t>
  </si>
  <si>
    <t>2190-1303010Р</t>
  </si>
  <si>
    <t>2190-1303025-10Р</t>
  </si>
  <si>
    <t>2190-1303025Р</t>
  </si>
  <si>
    <t>2190-1303080-20</t>
  </si>
  <si>
    <t>2190-1303095-10Р</t>
  </si>
  <si>
    <t>2190-2904040Р</t>
  </si>
  <si>
    <t>2190-2904046Р</t>
  </si>
  <si>
    <t>2190-2904049РУ</t>
  </si>
  <si>
    <t>2190-2906040Р</t>
  </si>
  <si>
    <t>2190-8101200Р</t>
  </si>
  <si>
    <t>2190-8101204Р</t>
  </si>
  <si>
    <t>33.5205906</t>
  </si>
  <si>
    <t>6РК825РУ</t>
  </si>
  <si>
    <t>3102-1001020</t>
  </si>
  <si>
    <t>3102-1001020РУ</t>
  </si>
  <si>
    <t>406.1308020-14</t>
  </si>
  <si>
    <t>1111-1003270</t>
  </si>
  <si>
    <t>1111-1009070</t>
  </si>
  <si>
    <t>1111-1302060</t>
  </si>
  <si>
    <t>1111-1303010</t>
  </si>
  <si>
    <t>1111-1303025</t>
  </si>
  <si>
    <t>1111-2215030</t>
  </si>
  <si>
    <t>1111-2215068</t>
  </si>
  <si>
    <t>1111-3401224</t>
  </si>
  <si>
    <t>1111-8101202</t>
  </si>
  <si>
    <t>1111-8101204</t>
  </si>
  <si>
    <t>1111-8101206</t>
  </si>
  <si>
    <t>21725РУ</t>
  </si>
  <si>
    <t>2180-1014058Р</t>
  </si>
  <si>
    <t>2180-1303010Р</t>
  </si>
  <si>
    <t>2180-1303025Р</t>
  </si>
  <si>
    <t>2180-1303080Р</t>
  </si>
  <si>
    <t>2180-2904040Р</t>
  </si>
  <si>
    <t>2180-2914054РП</t>
  </si>
  <si>
    <t>2180-3506060Р</t>
  </si>
  <si>
    <t>2180-3506085Р</t>
  </si>
  <si>
    <t>2180-6107018Р</t>
  </si>
  <si>
    <t>2180-6307024Р</t>
  </si>
  <si>
    <t>2180-8101200Р</t>
  </si>
  <si>
    <t>2180-8101208Р</t>
  </si>
  <si>
    <t>21801-1014058Р</t>
  </si>
  <si>
    <t>2182-1601211</t>
  </si>
  <si>
    <t>530009210РУ</t>
  </si>
  <si>
    <t>5РК1110РУ</t>
  </si>
  <si>
    <t>6001547017Р</t>
  </si>
  <si>
    <t>6001547048Р</t>
  </si>
  <si>
    <t>6001547050Р</t>
  </si>
  <si>
    <t>6001547140РИ</t>
  </si>
  <si>
    <t>6001547472РИ</t>
  </si>
  <si>
    <t>подвеска глушителя Lada Largus  Renault Logan, Nissan Almera</t>
  </si>
  <si>
    <t>6001547494РИ</t>
  </si>
  <si>
    <t>6001547495РИ</t>
  </si>
  <si>
    <t>6001547499РУ</t>
  </si>
  <si>
    <t>6001547607РИ</t>
  </si>
  <si>
    <t>6001547819Р</t>
  </si>
  <si>
    <t>6001547820Р</t>
  </si>
  <si>
    <t>6001548021РУ</t>
  </si>
  <si>
    <t>6001549468Р</t>
  </si>
  <si>
    <t>7700273776РИ</t>
  </si>
  <si>
    <t>7700430992РИ</t>
  </si>
  <si>
    <t>8200833541РУ</t>
  </si>
  <si>
    <t>LR90132Р</t>
  </si>
  <si>
    <t>LR90163Р</t>
  </si>
  <si>
    <t>RF909488Р</t>
  </si>
  <si>
    <t>RF909489Р</t>
  </si>
  <si>
    <t>RF909490Р</t>
  </si>
  <si>
    <t>RF909491Р</t>
  </si>
  <si>
    <t>RF909492Р</t>
  </si>
  <si>
    <t>RF909493Р</t>
  </si>
  <si>
    <t>шланг радиатора отводящий</t>
  </si>
  <si>
    <t>740.20-1307170</t>
  </si>
  <si>
    <t>Шланг</t>
  </si>
  <si>
    <t>2181-1601211</t>
  </si>
  <si>
    <t>245.1006040РУ</t>
  </si>
  <si>
    <t>ремень поликлиновой</t>
  </si>
  <si>
    <t>РЕМКОМПЛЕКТ 185РШ</t>
  </si>
  <si>
    <t>РЕМКОМПЛЕКТ 187РШ</t>
  </si>
  <si>
    <t>РЕМКОМПЛЕКТ 220РШ</t>
  </si>
  <si>
    <t>РЕМКОМПЛЕКТ 221РШ</t>
  </si>
  <si>
    <t>РЕМКОМПЛЕКТ 222РШ</t>
  </si>
  <si>
    <t>РЕМКОМПЛЕКТ 223РШ</t>
  </si>
  <si>
    <t>ВАЗ Шланги системы охлаждения ВАЗ-2121 Lada 4x4</t>
  </si>
  <si>
    <t>РЕМКОМПЛЕКТ 224РШ</t>
  </si>
  <si>
    <t>ВАЗ Шланги системы охлаждения ВАЗ-21213 Lada 4x4</t>
  </si>
  <si>
    <t>РЕМКОМПЛЕКТ 225РШ</t>
  </si>
  <si>
    <t>ВАЗ Шланги системы охлаждения ВАЗ-2123 Niva Chevrolet</t>
  </si>
  <si>
    <t>РЕМКОМПЛЕКТ 226РШ</t>
  </si>
  <si>
    <t>РЕМКОМПЛЕКТ 227РШ</t>
  </si>
  <si>
    <t>ВАЗ Шланги системы охлаждения ВАЗ-2170</t>
  </si>
  <si>
    <t>РЕМКОМПЛЕКТ 228РШ</t>
  </si>
  <si>
    <t>РЕМКОМПЛЕКТ 229РШ</t>
  </si>
  <si>
    <t>РЕМКОМПЛЕКТ 230РШ</t>
  </si>
  <si>
    <t>РЕМКОМПЛЕКТ 231РШ</t>
  </si>
  <si>
    <t>РЕМКОМПЛЕКТ 232РШ</t>
  </si>
  <si>
    <t>ВАЗ Шланги системы отопителя ВАЗ 2121 Lada 4x4</t>
  </si>
  <si>
    <t>РЕМКОМПЛЕКТ 233РШ</t>
  </si>
  <si>
    <t>ВАЗ Шланги системы отопителя ВАЗ-2123 Niva Chevrolet</t>
  </si>
  <si>
    <t>РЕМКОМПЛЕКТ 234РШ</t>
  </si>
  <si>
    <t>РЕМКОМПЛЕКТ 235РШ</t>
  </si>
  <si>
    <t>РЕМКОМПЛЕКТ 236РШ</t>
  </si>
  <si>
    <t>РЕМКОМПЛЕКТ 237РШ1</t>
  </si>
  <si>
    <t>8450007106Р</t>
  </si>
  <si>
    <t>8450007107Р</t>
  </si>
  <si>
    <t>8450007108Р</t>
  </si>
  <si>
    <t>96181584БРИ</t>
  </si>
  <si>
    <t>И-587Р</t>
  </si>
  <si>
    <t>2172-6300032</t>
  </si>
  <si>
    <t>8450001269 / 2110-3403204</t>
  </si>
  <si>
    <t>2110-3726087</t>
  </si>
  <si>
    <t>21110-3706042-00</t>
  </si>
  <si>
    <t>1118-3724195</t>
  </si>
  <si>
    <t>1118-3724195-01</t>
  </si>
  <si>
    <t>Ремкомплект 21Р</t>
  </si>
  <si>
    <t>Ремкомплект 20Р</t>
  </si>
  <si>
    <t>Ремкомплект 20РР</t>
  </si>
  <si>
    <t>ремкомплект 88РШ</t>
  </si>
  <si>
    <t>ремкомплект 221РШ</t>
  </si>
  <si>
    <t>Патрубок сапуна вытяжной вентиляции картера для Шевроле Нива</t>
  </si>
  <si>
    <t>Патрубок соединительный наливной горловины топливного бака для Шевроле Нива</t>
  </si>
  <si>
    <t>Уплотнитель масляного щупа "БРТ" для ВАЗ (2101-2107, 2108-21099, 2115, 2110-2112), Лада (Калина седан, Ока)</t>
  </si>
  <si>
    <t>21010100905500</t>
  </si>
  <si>
    <t>Сальник коленвала "РЕЗИНОТЕХНИКА" передний, маленький (28х42х7 мм) для ВАЗ 2108-21099, 2113-2115</t>
  </si>
  <si>
    <t>Сальник коленвала "Резинотехника" передний, маленький, без пружины (28х42х7 мм) для ВАЗ 2108-21099, 2113-2115</t>
  </si>
  <si>
    <t>Колпачок рулевой рейки "БРТ" большой для ВАЗ 2110-2112, Лада Калина</t>
  </si>
  <si>
    <t>Конструкторский номер</t>
  </si>
  <si>
    <t>Ремни ПАО «БРТ»</t>
  </si>
  <si>
    <t>ремень вентиляторный Газель зуб.</t>
  </si>
  <si>
    <t>ремень</t>
  </si>
  <si>
    <t>ремень клиновой вентиляторный  зуб.</t>
  </si>
  <si>
    <t>ремень привода генератора (698) инд.упаковка</t>
  </si>
  <si>
    <t>ремень привода генератора (742) инд.упаковка</t>
  </si>
  <si>
    <t>ремень привода генератора</t>
  </si>
  <si>
    <t>ремень привода генератора зуб.</t>
  </si>
  <si>
    <t>ремень вентиляторный</t>
  </si>
  <si>
    <t>ремень привода вентилятора водяного насоса</t>
  </si>
  <si>
    <t>ремень привода водяного насоса зуб.</t>
  </si>
  <si>
    <t xml:space="preserve">ремень зубчатый ГРМ инд.упаковка </t>
  </si>
  <si>
    <t>ремень зубчатый ГРМ</t>
  </si>
  <si>
    <t>6к 1210РУ</t>
  </si>
  <si>
    <t>ремень 6к 1210</t>
  </si>
  <si>
    <t>6к 1370РУ</t>
  </si>
  <si>
    <t>ремень 6к 1370 (с ГУР)</t>
  </si>
  <si>
    <t>6рк 825РУ</t>
  </si>
  <si>
    <t>ремень генератора «Гранта»</t>
  </si>
  <si>
    <t>ремень 1220</t>
  </si>
  <si>
    <t>2112-1006040РУ</t>
  </si>
  <si>
    <t>ремень зубчатый инд.упаковка</t>
  </si>
  <si>
    <t xml:space="preserve">ремень привода компрессора 2110 с кондиц. (1125) </t>
  </si>
  <si>
    <t>ремень поликлиновой 2110 с ГУР (1115)</t>
  </si>
  <si>
    <t>ремень ГРМ "Таврия"</t>
  </si>
  <si>
    <t>ремень "Шевроле"  инд.упаковка</t>
  </si>
  <si>
    <t>ремень грм «приора» в уп.</t>
  </si>
  <si>
    <t xml:space="preserve">ремень ГРМ «Гранта» в уп. </t>
  </si>
  <si>
    <t>1118-1041020РУ</t>
  </si>
  <si>
    <t>ремень привода навесных агрегатов (Калина882)</t>
  </si>
  <si>
    <t xml:space="preserve">ремень с гур (838) </t>
  </si>
  <si>
    <t>ремень ГРМ  Renault Logan,Ларгус1,4л;1,6л (8 клап)</t>
  </si>
  <si>
    <t>5К1125Р</t>
  </si>
  <si>
    <t>ремень поликлиновой Урбан</t>
  </si>
  <si>
    <t>ремень ГРМ Renault Logan,Ларгус  1,6л  (16 клап)</t>
  </si>
  <si>
    <t>ременьУАЗ (1054)</t>
  </si>
  <si>
    <t>ремень ЕВРО-ГАЗель (1275)безГУР дв.405</t>
  </si>
  <si>
    <t>ремень ЕВРО-ГАЗель (1413)сГУР дв.405</t>
  </si>
  <si>
    <t>ремень генератора 2110 с конд.с ГУР 1703</t>
  </si>
  <si>
    <t>Сальники ПАО «БРТ»</t>
  </si>
  <si>
    <t>сальник коленчатого вала задний</t>
  </si>
  <si>
    <t xml:space="preserve">сальник коленчатого вала передний </t>
  </si>
  <si>
    <t>сальник коленчатого вала передний</t>
  </si>
  <si>
    <t>сальник переднего колеса с пружиной в сб</t>
  </si>
  <si>
    <t>сальник переднего колеса с пружиной в сб.(красный)</t>
  </si>
  <si>
    <t>сальник полуоси с пружиной</t>
  </si>
  <si>
    <t xml:space="preserve">сальник полуоси с пружиной (красный) </t>
  </si>
  <si>
    <t>2101-2401034Рн/о</t>
  </si>
  <si>
    <t>сальник полуоси с пружиной в упаковке</t>
  </si>
  <si>
    <t>сальник редуктора заднего моста</t>
  </si>
  <si>
    <t xml:space="preserve">сальник редуктора заднего моста (красный) </t>
  </si>
  <si>
    <t>сальник вторичного вала коробки передач</t>
  </si>
  <si>
    <t>сальник первичного вала коробки передач</t>
  </si>
  <si>
    <t>сальник вала сошки рулевого управления</t>
  </si>
  <si>
    <t>сальник вала червяка рулевого управления</t>
  </si>
  <si>
    <t>сальник коленчатого вала передний с пружиной</t>
  </si>
  <si>
    <t>сальник штока выбора передач с пружиной</t>
  </si>
  <si>
    <t>2109-1703042н/о</t>
  </si>
  <si>
    <t>сальник штока выбора передач с пружиной широкий</t>
  </si>
  <si>
    <t>2108-2301034(35)</t>
  </si>
  <si>
    <t>сальник полуоси правый (левый) с пружиной в сборе</t>
  </si>
  <si>
    <t>сальник редуктора переднего моста с пруж</t>
  </si>
  <si>
    <t xml:space="preserve">сальник редуктора переднего моста с пруж (красный) </t>
  </si>
  <si>
    <t>2110-2301034(35)</t>
  </si>
  <si>
    <t>сальник полуоси правый (левый) с пружиной</t>
  </si>
  <si>
    <t>21213-2301034(35)</t>
  </si>
  <si>
    <t>сальник корпуса внутреннего шарнира прав(лев)</t>
  </si>
  <si>
    <t>2123-1802120-30н/о</t>
  </si>
  <si>
    <t>сальник хвост. ведущего вала с реверсной насечкой</t>
  </si>
  <si>
    <t>2123-1802216-30н/о</t>
  </si>
  <si>
    <t>сальник вала привода заднего моста</t>
  </si>
  <si>
    <t>2123-1802120-11</t>
  </si>
  <si>
    <t>сальник хвостовика (упак)</t>
  </si>
  <si>
    <t>2123-2303120</t>
  </si>
  <si>
    <t>сальник привода универсальный</t>
  </si>
  <si>
    <t>2123-1701043</t>
  </si>
  <si>
    <t>Пыльники ПАО «БРТ»</t>
  </si>
  <si>
    <t>чехол вилки выключения сцепления</t>
  </si>
  <si>
    <t>чехол защитный шарнира тяги привода</t>
  </si>
  <si>
    <t>чехол защитный штока</t>
  </si>
  <si>
    <t>чехол рычага переключения передач наружний</t>
  </si>
  <si>
    <t>чехол рычага переключения передач внутр</t>
  </si>
  <si>
    <t>чехол внутреннего шарнира</t>
  </si>
  <si>
    <t>чехол наружного шарнира</t>
  </si>
  <si>
    <t>чехол наружнего шарнира</t>
  </si>
  <si>
    <t xml:space="preserve">колпачок защитный шарового пальца тяг рулевой </t>
  </si>
  <si>
    <t>колпачок защитный шарового пальца тяг рулевой</t>
  </si>
  <si>
    <t>чехол защитный шарового пальца передней</t>
  </si>
  <si>
    <t>пыльник промвала</t>
  </si>
  <si>
    <t>колпачок защитный поршня цилиндра привод</t>
  </si>
  <si>
    <t>чехол защитный тяги привода управления к</t>
  </si>
  <si>
    <t>кожух амортизатора задней подвески</t>
  </si>
  <si>
    <t>кожух стойки телескопической</t>
  </si>
  <si>
    <t>чехол защитный рейки рулевого механизма</t>
  </si>
  <si>
    <t>чехол рейки рулевого механизма</t>
  </si>
  <si>
    <t>Прокладки ПАО « БРТ»</t>
  </si>
  <si>
    <t>прокладка крышки головки цилиндров</t>
  </si>
  <si>
    <t>прокладка масляного картера</t>
  </si>
  <si>
    <t>прокладка изолирующая пружины передней станд.</t>
  </si>
  <si>
    <t>прокладка изолирующая пружины передней усиленная</t>
  </si>
  <si>
    <t>прокладка изолирующая пружины задней под</t>
  </si>
  <si>
    <t>прокладка изолирующая пружины задней усиленная</t>
  </si>
  <si>
    <t>прокладка изолирующая пружины задн.</t>
  </si>
  <si>
    <t>Прокладка бензонасоса</t>
  </si>
  <si>
    <t>21214-1101138</t>
  </si>
  <si>
    <t>прокладка воздушного фильтра</t>
  </si>
  <si>
    <t>прокладка уплотнительная краника печки</t>
  </si>
  <si>
    <t>прокладка масляной крышки</t>
  </si>
  <si>
    <t>Уплотнители ПАО « БРТ»</t>
  </si>
  <si>
    <t>2105-5604040</t>
  </si>
  <si>
    <t>уплотнитель крышки багажника</t>
  </si>
  <si>
    <t>уплотнитель проема двери задка (багажник)</t>
  </si>
  <si>
    <t>2112-6307024</t>
  </si>
  <si>
    <t>21213-6307024</t>
  </si>
  <si>
    <t>2172-6307024</t>
  </si>
  <si>
    <t>уплотнитель багажника (Хетчбек)</t>
  </si>
  <si>
    <t>уплотнитель проема передней двери</t>
  </si>
  <si>
    <t>уплотнитель проема передней двери универс</t>
  </si>
  <si>
    <t>уплотнитель заднего окна</t>
  </si>
  <si>
    <t>уплотнитель стекла окна двери задка</t>
  </si>
  <si>
    <t>уплотнитель стекла окна задка</t>
  </si>
  <si>
    <t>уплотнитель окна двери задка</t>
  </si>
  <si>
    <t>2112-6303018</t>
  </si>
  <si>
    <t>2110-6303018</t>
  </si>
  <si>
    <t>2111-6303018</t>
  </si>
  <si>
    <t>уплотнитель стекла ветрового окна</t>
  </si>
  <si>
    <t>2123-5206050</t>
  </si>
  <si>
    <t>уплотнитель стекла ветрового окна(верх+низ)</t>
  </si>
  <si>
    <t>2108-5403122/23</t>
  </si>
  <si>
    <t>2109-5403122/23</t>
  </si>
  <si>
    <t>21099-5403122/23</t>
  </si>
  <si>
    <t>уплотнитель окна боковины</t>
  </si>
  <si>
    <t>2123-5403122/23</t>
  </si>
  <si>
    <t>1119-5403122/22</t>
  </si>
  <si>
    <t>1118-5403122/23</t>
  </si>
  <si>
    <t>2110-5206050(верх)</t>
  </si>
  <si>
    <t>уплотнитель лобового стекла</t>
  </si>
  <si>
    <t>2110-5206050(низ)</t>
  </si>
  <si>
    <t>уплотнитель капота</t>
  </si>
  <si>
    <t>РКИ-19</t>
  </si>
  <si>
    <t>уплотнитель вертикальный 2123,1118,2190</t>
  </si>
  <si>
    <t>2123-6303018</t>
  </si>
  <si>
    <t>уплотнитель стекла ветрового окна УРБАН</t>
  </si>
  <si>
    <t>21214-5403122Р</t>
  </si>
  <si>
    <t>2170-5206050</t>
  </si>
  <si>
    <t>уплотнитель стекла ветрового окна 2170,2190</t>
  </si>
  <si>
    <t>Шланги, патрубки ПАО «БРТ»</t>
  </si>
  <si>
    <t xml:space="preserve">трубка пароотводящая радиатора </t>
  </si>
  <si>
    <t>шланг адсорбера и впускной трубы</t>
  </si>
  <si>
    <t>2101-1104091</t>
  </si>
  <si>
    <t>шланг гибкий от бензонасоса к карбюратору (кооп)</t>
  </si>
  <si>
    <t>шланг гибкий от бензонасоса к карбюратор</t>
  </si>
  <si>
    <t>шланг гибкий клапана паров бензина и пар</t>
  </si>
  <si>
    <t>шланг вакуумного усилителя тормозов</t>
  </si>
  <si>
    <t>шланг усилителя тормозов</t>
  </si>
  <si>
    <t>шланг гибкий привода выключения сцепления</t>
  </si>
  <si>
    <t>шланг гибкий заднего тормоза в сборе</t>
  </si>
  <si>
    <t>шланг гибкий от бачка к главному цилиндр</t>
  </si>
  <si>
    <t>шланг гибкий переднего тормоза в сборе</t>
  </si>
  <si>
    <t>шланг вентиляции картера от крышки сапуна</t>
  </si>
  <si>
    <t>шланг вытяжной вентиляции картера</t>
  </si>
  <si>
    <t>шланг вытяжной вентиляции картера нижний</t>
  </si>
  <si>
    <t>шланг вытяжной вентиляции картера верхний</t>
  </si>
  <si>
    <t xml:space="preserve">шланг вытяжной вентиляции картера </t>
  </si>
  <si>
    <t>шланг отопителя подводящий</t>
  </si>
  <si>
    <t>шланг отопителя отводящий</t>
  </si>
  <si>
    <t>шланг отопителя отводящий задний</t>
  </si>
  <si>
    <t>шланг отопителя</t>
  </si>
  <si>
    <t>шланг отопителя подводящий задний</t>
  </si>
  <si>
    <t>шланг отопителя подводящий передний</t>
  </si>
  <si>
    <t>шланг отопителя отводящий передний</t>
  </si>
  <si>
    <t>Шланг отопителя подводящий передний</t>
  </si>
  <si>
    <t>Шланг отопителя отводящий передний</t>
  </si>
  <si>
    <t>Шланг отопителя подводящий задний</t>
  </si>
  <si>
    <t>Шланг отопителя отводящий задний</t>
  </si>
  <si>
    <t>шланг отводящий радиатора</t>
  </si>
  <si>
    <t>шланг подводящий радиатора</t>
  </si>
  <si>
    <t>рукав подводящий радиатора</t>
  </si>
  <si>
    <t>рукав отводящий радиатора</t>
  </si>
  <si>
    <t>шланг перепускной термостата</t>
  </si>
  <si>
    <t>муфта соединительная термостата и водяного насоса</t>
  </si>
  <si>
    <t>шланг подводящий радиатора алюм.рад.</t>
  </si>
  <si>
    <t>шланг отводящий радиатора алюм.рад.</t>
  </si>
  <si>
    <t>шланг  радиатора отводящий</t>
  </si>
  <si>
    <t>шланг  радиатора подводящий</t>
  </si>
  <si>
    <t>шланг соединительный термостата и водяного насоса</t>
  </si>
  <si>
    <t>шланг заправочный системы охлаждения</t>
  </si>
  <si>
    <t>шланг расширительного бачка</t>
  </si>
  <si>
    <t>2180-1303080</t>
  </si>
  <si>
    <t>шланг заправочный системы охлаждения ВЕСТА</t>
  </si>
  <si>
    <t>RF909489</t>
  </si>
  <si>
    <t>шланг заправочный системы охлаждения ЛАРГУС</t>
  </si>
  <si>
    <t>XR20030</t>
  </si>
  <si>
    <t>шланг заправочный системы охлаждения X-RAY</t>
  </si>
  <si>
    <t>шланг выпускной трубы</t>
  </si>
  <si>
    <t>шланг впускной трубы</t>
  </si>
  <si>
    <t>2111-1148035</t>
  </si>
  <si>
    <t>шланг выпускной трубы (конвейер)</t>
  </si>
  <si>
    <t>2112-1148035</t>
  </si>
  <si>
    <t>шланг впускной трубы (конвейер)</t>
  </si>
  <si>
    <t>21214-1148034/35</t>
  </si>
  <si>
    <t xml:space="preserve">шланг </t>
  </si>
  <si>
    <t>шланг подводящий (кривой)</t>
  </si>
  <si>
    <t xml:space="preserve">шланг отводящий радиатора </t>
  </si>
  <si>
    <t>патрубок наливной горловины</t>
  </si>
  <si>
    <t>патрубок наливной горловины 2108</t>
  </si>
  <si>
    <t>патрубок наливной горловины 21099</t>
  </si>
  <si>
    <t>патрубок наливной горловины 2110,2111</t>
  </si>
  <si>
    <t>шланг соединительный наливной горловины</t>
  </si>
  <si>
    <t>Шланг подогрева карбюратора 48см</t>
  </si>
  <si>
    <t>2101-3706604-х</t>
  </si>
  <si>
    <t>шланг силиконовый тонкий</t>
  </si>
  <si>
    <t xml:space="preserve">облицовка горловины наливной трубы (телефон) </t>
  </si>
  <si>
    <t>2103-1101150</t>
  </si>
  <si>
    <t>облицовка горловины наливной трубы (телефон) ВРТ</t>
  </si>
  <si>
    <t>2180-8101200</t>
  </si>
  <si>
    <t>шланг отопителя подводящий ВЕСТА</t>
  </si>
  <si>
    <t>2180-8101208</t>
  </si>
  <si>
    <t>шланг отопителя отводящий ВЕСТА</t>
  </si>
  <si>
    <t>2180-1303010</t>
  </si>
  <si>
    <t>шланг отводящий радиатора ВЕСТА</t>
  </si>
  <si>
    <t>2180-1303025</t>
  </si>
  <si>
    <t>шланг подводящий радиатора ВЕСТА</t>
  </si>
  <si>
    <t>RF909491</t>
  </si>
  <si>
    <t>шланг подводящий отопителя ЛАРГУС</t>
  </si>
  <si>
    <t>RF909492</t>
  </si>
  <si>
    <t>шланг отводящий отопителя ЛАРГУС</t>
  </si>
  <si>
    <t>RF909488</t>
  </si>
  <si>
    <t>шланг подводящий радиатора ЛАРГУС</t>
  </si>
  <si>
    <t>RF909490</t>
  </si>
  <si>
    <t>шланг отводящий радиатора ЛАРГУС</t>
  </si>
  <si>
    <t>XR20027</t>
  </si>
  <si>
    <t>шланг подводящий радиатора X-RAY</t>
  </si>
  <si>
    <t>XR20028</t>
  </si>
  <si>
    <t>шланг отводящий радиатора X-RAY</t>
  </si>
  <si>
    <t>XR20032</t>
  </si>
  <si>
    <t>шланг подводящий отопителя X-RAY</t>
  </si>
  <si>
    <t>XR20033</t>
  </si>
  <si>
    <t>шланг отводящий отопителя X-RAY</t>
  </si>
  <si>
    <t>Втулки ПАО «БРТ»</t>
  </si>
  <si>
    <t>втулка клапанной крышки</t>
  </si>
  <si>
    <t>2112-1003290</t>
  </si>
  <si>
    <t>заглушка распредвала</t>
  </si>
  <si>
    <t>подушка крепления верхнего конца амортизатора</t>
  </si>
  <si>
    <t>шарнир крепления рычага задней подвески</t>
  </si>
  <si>
    <t>втулка амортизатора задней подвески в сб</t>
  </si>
  <si>
    <t>втулка бачка гидротормоза</t>
  </si>
  <si>
    <t>шарнир нижнего рычага передней подвески</t>
  </si>
  <si>
    <t xml:space="preserve">подушка штанги переднего стабилизатора </t>
  </si>
  <si>
    <t>подушка переднего шарнира растяжки перед</t>
  </si>
  <si>
    <t>Подушки ПАО «БРТ»</t>
  </si>
  <si>
    <t>2101-1006090ВРТ</t>
  </si>
  <si>
    <t>башмак натяжителя цепи в сборе</t>
  </si>
  <si>
    <t>21213-1006090</t>
  </si>
  <si>
    <t>башмак натяжителя цепи</t>
  </si>
  <si>
    <t>муфта эластичная переднего карданного вала</t>
  </si>
  <si>
    <t>2101-2202120 СТАФ</t>
  </si>
  <si>
    <t>подушка под радиатор</t>
  </si>
  <si>
    <t>подушка задней подвески двигателя</t>
  </si>
  <si>
    <t>подушка задней подвески двигателя в сбор</t>
  </si>
  <si>
    <t>подушка передней опоры двигателя голая</t>
  </si>
  <si>
    <t>подушка передней опоры двигателя в сборе</t>
  </si>
  <si>
    <t>подушка двигателя</t>
  </si>
  <si>
    <t>успокоитель цепи</t>
  </si>
  <si>
    <t>подушка подвески системы выпуска газов</t>
  </si>
  <si>
    <t xml:space="preserve">шарнир внутренний тяг рулевой трапеции </t>
  </si>
  <si>
    <t>2106-2803060/61-10</t>
  </si>
  <si>
    <t>буфер переднего бампера прав./лев.в сборе</t>
  </si>
  <si>
    <t>поддон аккумуляторной батареи</t>
  </si>
  <si>
    <t>уплотнитель указателя уровня масла</t>
  </si>
  <si>
    <t>опора крепления воздушного фильтра</t>
  </si>
  <si>
    <t>муфта рессивера</t>
  </si>
  <si>
    <t>опора рессивера</t>
  </si>
  <si>
    <t>СЛ193-5205902</t>
  </si>
  <si>
    <t>лента щетки 2101</t>
  </si>
  <si>
    <t>лента щетки 2108</t>
  </si>
  <si>
    <t>2101-1001020СЕБ</t>
  </si>
  <si>
    <t>подушка 2101 в сборе</t>
  </si>
  <si>
    <t>орех</t>
  </si>
  <si>
    <t>2101-2905447СЕБ</t>
  </si>
  <si>
    <t>орех (2 шт.)</t>
  </si>
  <si>
    <t>2101-2905448/50</t>
  </si>
  <si>
    <t>орех+бублик (4шт.)</t>
  </si>
  <si>
    <t>2108-2904049СЕБ</t>
  </si>
  <si>
    <t xml:space="preserve">краб </t>
  </si>
  <si>
    <t>подушка двигателя передняя (завод)</t>
  </si>
  <si>
    <t>подушка двигателя задняя (завод)</t>
  </si>
  <si>
    <t>подушка двигателябоковая  (завод)</t>
  </si>
  <si>
    <t>2110-1001042-10прав</t>
  </si>
  <si>
    <t>подушка двигателя передняя прав.кооп</t>
  </si>
  <si>
    <t>2110-1001043-10лев.</t>
  </si>
  <si>
    <t>подушка двигателя передняя лев.кооп.</t>
  </si>
  <si>
    <t>2110-1001240-02лев</t>
  </si>
  <si>
    <t xml:space="preserve">опора двигателя 2110/2170 нового образца </t>
  </si>
  <si>
    <t>2110-1001240-02прав</t>
  </si>
  <si>
    <t>подушка левой опоры двигателя</t>
  </si>
  <si>
    <t>2110-1001286Р</t>
  </si>
  <si>
    <t>подушка КПП задняя голая</t>
  </si>
  <si>
    <t>подушка двигателя дополнительная (гитара) завод</t>
  </si>
  <si>
    <t>2112-1001300СЕБ</t>
  </si>
  <si>
    <t xml:space="preserve">подушка двигателя дополнительная (гитара) </t>
  </si>
  <si>
    <t>2121-1001045СБ</t>
  </si>
  <si>
    <t>подушка опоры раздатки в сборе</t>
  </si>
  <si>
    <t>упор кулисы переключения передач</t>
  </si>
  <si>
    <t>2110-1703190СЕБ</t>
  </si>
  <si>
    <t>упор кулисы переключения передач в уп.</t>
  </si>
  <si>
    <t>упор кулисы переключения передач в сб</t>
  </si>
  <si>
    <t>опора передней подвески (без подшипника)</t>
  </si>
  <si>
    <t>опора передней подвески (с подшипником)</t>
  </si>
  <si>
    <t>кронштейн растяжки</t>
  </si>
  <si>
    <t>Ремкомплекты ПАО «БРТ»</t>
  </si>
  <si>
    <t>Ремкомплект 10Р</t>
  </si>
  <si>
    <t>ваз задней стойки 2101</t>
  </si>
  <si>
    <t>Ремкомплект 106РП</t>
  </si>
  <si>
    <t>втулка маятника</t>
  </si>
  <si>
    <t>Ремкомплект 10РА</t>
  </si>
  <si>
    <t>задняя подвеска 2121</t>
  </si>
  <si>
    <t>Ремкомплект 11Р</t>
  </si>
  <si>
    <t>ваз крепления заднего амортизатора 2101</t>
  </si>
  <si>
    <t>Ремкомплект 12Р</t>
  </si>
  <si>
    <t>ваз амортизатора 2101</t>
  </si>
  <si>
    <t>Ремкомплект 13Р</t>
  </si>
  <si>
    <t>ваз крепления переднего амортизатора</t>
  </si>
  <si>
    <t>Ремкомплект 13РУ</t>
  </si>
  <si>
    <t xml:space="preserve">ваз амортизатора  </t>
  </si>
  <si>
    <t>Ремкомплект 14Р</t>
  </si>
  <si>
    <t>ваз стабилизатора поперечной устойчивости 2101</t>
  </si>
  <si>
    <t>Ремкомплект 15Р</t>
  </si>
  <si>
    <t>ваз главного тормозного цилиндра 2101</t>
  </si>
  <si>
    <t>Ремкомплект 16Р</t>
  </si>
  <si>
    <t>ваз рабочего торм. цилиндра передний 2101</t>
  </si>
  <si>
    <t>Ремкомплект 17Р</t>
  </si>
  <si>
    <t>ваз рабочего торм. цилиндра задний</t>
  </si>
  <si>
    <t>Ремкомплект 18Р</t>
  </si>
  <si>
    <t>ваз рабочего цилиндра сцепления  2101</t>
  </si>
  <si>
    <t>Ремкомплект 19Р</t>
  </si>
  <si>
    <t>ваз главного цилиндра сцепления 2101</t>
  </si>
  <si>
    <t>ваз подвески глушителя 01-07(крючки)</t>
  </si>
  <si>
    <t>ваз подвески глушителя 01-07</t>
  </si>
  <si>
    <t>ваз подвески глушителя 08</t>
  </si>
  <si>
    <t>Ремкомплект 22Р</t>
  </si>
  <si>
    <t>ваз главного цилиндра гидротормоза 2108</t>
  </si>
  <si>
    <t>Ремкомплект 23Р</t>
  </si>
  <si>
    <t>ваз переднего тормозного цилиндра 2108</t>
  </si>
  <si>
    <t>Ремкомплект 24Р</t>
  </si>
  <si>
    <t>ваз стойка телескопическая 2108</t>
  </si>
  <si>
    <t>Ремкомплект 25Р</t>
  </si>
  <si>
    <t>ваз задняя стойка 2108</t>
  </si>
  <si>
    <t>Ремкомплект 50РР</t>
  </si>
  <si>
    <t>ваз вакуумного усилителя тормозов 2103</t>
  </si>
  <si>
    <t>Ремкомплект 51Р</t>
  </si>
  <si>
    <t>ваз система зажигания 2108</t>
  </si>
  <si>
    <t>Ремкомплект 63Р</t>
  </si>
  <si>
    <t>ваз вакуумного усилителя тормозов 2108</t>
  </si>
  <si>
    <t>Ремкомплект 115РУ</t>
  </si>
  <si>
    <t>ваз сальник коробки передач 2101</t>
  </si>
  <si>
    <t>Ремкомплект 116РУ</t>
  </si>
  <si>
    <t>ваз сальник рулевого управления 2101</t>
  </si>
  <si>
    <t>Ремкомплект 161РУ</t>
  </si>
  <si>
    <t>чехол наружнего шарнира 1118</t>
  </si>
  <si>
    <t>Ремкомплект 162РУ</t>
  </si>
  <si>
    <t>чехол наружнего шарнира 2121</t>
  </si>
  <si>
    <t>Ремкомплект 163РУ</t>
  </si>
  <si>
    <t>Чехол внутреннего шарнира 2121</t>
  </si>
  <si>
    <t>Ремкомплект 164РУ</t>
  </si>
  <si>
    <t>опора стойки стабилизатора 1118</t>
  </si>
  <si>
    <t>Ремкомплект 113РУ</t>
  </si>
  <si>
    <t>прокладки станд. пружины  задней и перед.  Подвески</t>
  </si>
  <si>
    <t>Ремкомплект 165РУ</t>
  </si>
  <si>
    <t>прокладки усиленные изолир. пружины  передней подвески</t>
  </si>
  <si>
    <t>Ремкомплект 166РУ</t>
  </si>
  <si>
    <t>прокладки усиленные изолир. пружины  задней  подвески</t>
  </si>
  <si>
    <t>Ремкомплект 152РУ</t>
  </si>
  <si>
    <t>Чехол внутреннего шарнира 2108</t>
  </si>
  <si>
    <t>Ремкомплект 153РУ</t>
  </si>
  <si>
    <t>чехол наружнего шарнира 2108</t>
  </si>
  <si>
    <t>Ремкомплект 158РУ</t>
  </si>
  <si>
    <t>р/к грм 8-ми клап. с роликом 2108</t>
  </si>
  <si>
    <t>Ремкомплект 159РУ</t>
  </si>
  <si>
    <t>р/к грм 16-ти клап. с роликом 2112</t>
  </si>
  <si>
    <t>Ремкомплект 169РУИ</t>
  </si>
  <si>
    <t>ваз 2170 механизм газораспред.привода</t>
  </si>
  <si>
    <t>Ремкомплект 173РУ</t>
  </si>
  <si>
    <t>подушка штанги переднего стабилизатора 2123</t>
  </si>
  <si>
    <t>Ремкомплект 174РУИ</t>
  </si>
  <si>
    <t>ваз 2190 механизм газораспред.привода (8 ми кл.)</t>
  </si>
  <si>
    <t>Ремкомплект 177РУ</t>
  </si>
  <si>
    <t>опора стойки стабилизатора 2190</t>
  </si>
  <si>
    <t>Ремкомплект 79РУ</t>
  </si>
  <si>
    <t>опора стойки стабилизатора 2108</t>
  </si>
  <si>
    <t>Ремкомплект 80РУ</t>
  </si>
  <si>
    <t>опора стойки стабилизатора 2110</t>
  </si>
  <si>
    <t>Ремкомплект 180РША</t>
  </si>
  <si>
    <t>ваз комплект патрубков на алюминиевый радиатор</t>
  </si>
  <si>
    <t>Ремкомплект 72Р</t>
  </si>
  <si>
    <t>рабочего тормозного цилиндр перед.2121</t>
  </si>
  <si>
    <t>Ремкомплект 73Р</t>
  </si>
  <si>
    <t>подушки стабилизатора 2121</t>
  </si>
  <si>
    <t>Ремкомплект 76Р</t>
  </si>
  <si>
    <t>пороги 2110</t>
  </si>
  <si>
    <t>Ремкомплект 74Р</t>
  </si>
  <si>
    <t>пороги 2108</t>
  </si>
  <si>
    <t xml:space="preserve">Ремкомплект 75Р </t>
  </si>
  <si>
    <t>пороги 2101-07</t>
  </si>
  <si>
    <t>Ремкомплект 77Р</t>
  </si>
  <si>
    <t>пороги 2109</t>
  </si>
  <si>
    <t>пороги 1118</t>
  </si>
  <si>
    <t>пороги 1118,2190</t>
  </si>
  <si>
    <t>Пороги 2110</t>
  </si>
  <si>
    <t>пороги 2123</t>
  </si>
  <si>
    <t>Ремкомплект 70РУ</t>
  </si>
  <si>
    <t>Растяжка передней подвески 2108</t>
  </si>
  <si>
    <t>Ремкомплект 84РШ</t>
  </si>
  <si>
    <t>шланги системы охлаждения 2101</t>
  </si>
  <si>
    <t>Ремкомплект 185РШ</t>
  </si>
  <si>
    <t>шланги системы охлаждения 21082</t>
  </si>
  <si>
    <t>Ремкомплект 186РШ</t>
  </si>
  <si>
    <t>шланги системы охлаждения 2123</t>
  </si>
  <si>
    <t>Ремкомплект 85РШ</t>
  </si>
  <si>
    <t>шланги системы отопления 2101</t>
  </si>
  <si>
    <t>Ремкомплект 86РШ</t>
  </si>
  <si>
    <t>Шланги системы охлаждения 2108</t>
  </si>
  <si>
    <t>Ремкомплект 87РШ</t>
  </si>
  <si>
    <t>шланги системы  отопления 2108</t>
  </si>
  <si>
    <t>Ремкомплект 88РШ</t>
  </si>
  <si>
    <t>Шланги системы охлаждения 2110</t>
  </si>
  <si>
    <t>Ремкомплект 89РШ</t>
  </si>
  <si>
    <t>Шланги системы отопления 2110</t>
  </si>
  <si>
    <t>Ремкомплект 91РУ</t>
  </si>
  <si>
    <t>ваз коробка передач ВАЗ 2108</t>
  </si>
  <si>
    <t>Ремкомплект 92Р</t>
  </si>
  <si>
    <t>ваз коробка передач ВАЗ 2110</t>
  </si>
  <si>
    <t>Ремкомплект 93Р</t>
  </si>
  <si>
    <t>сальники колен. вал 2101-2107</t>
  </si>
  <si>
    <t>Ремкомплект 94Р</t>
  </si>
  <si>
    <t>сальники колен. вал 2108</t>
  </si>
  <si>
    <t>Ремкомплект 9РУ-01</t>
  </si>
  <si>
    <t>рычаг передней подвески</t>
  </si>
  <si>
    <t>Ремкомплект 9РУ-01Н</t>
  </si>
  <si>
    <t>рычаг передней подвески нижний</t>
  </si>
  <si>
    <t>Ремкомплект 9РУ-21</t>
  </si>
  <si>
    <t>Ремкомплект 9РУ-21Н</t>
  </si>
  <si>
    <t>ВАЗ Шланги системы охлаждения ВАЗ-21082</t>
  </si>
  <si>
    <t>ВАЗ Шланги системы охлаждения ВАЗ-2112 16-клапан.(3)</t>
  </si>
  <si>
    <t>ВАЗ Шланги системы охлаждения ВАЗ-2112 16-клапан.(4)</t>
  </si>
  <si>
    <t>ВАЗ Шланги системы охлаждения ВАЗ 2190 АКПП</t>
  </si>
  <si>
    <t>ВАЗ Шланги системы охлаждения ВАЗ 2190 МКПП</t>
  </si>
  <si>
    <t>ВАЗ Шланги системы отопителя ВАЗ 1118</t>
  </si>
  <si>
    <t>ВАЗ Шланги системы отопителя ВАЗ 2170</t>
  </si>
  <si>
    <t>ВАЗ Шланги системы отопителя ВАЗ 2190</t>
  </si>
  <si>
    <t>ВАЗ: шланги системы отопителя ВАЗ-21073</t>
  </si>
  <si>
    <t>ВАЗ:шланги системы охлаждения ВАЗ-21073</t>
  </si>
  <si>
    <t>ВАЗ шланги системы отопителя ВАЗ-2111-12 двиг.1,6</t>
  </si>
  <si>
    <t>РЕМКОМПЛЕКТ 237РШ2</t>
  </si>
  <si>
    <t>ВАЗ шланги системы отопителя ВАЗ-2111-12 двиг.1,7</t>
  </si>
  <si>
    <t>РЕМКОМПЛЕКТ 237РШ3</t>
  </si>
  <si>
    <t>ВАЗ шланги системы отопителя ВАЗ-2111-12 двиг.1,8</t>
  </si>
  <si>
    <t>РЕМКОМПЛЕКТ 237РШ4</t>
  </si>
  <si>
    <t>ВАЗ шланги системы отопителя ВАЗ-2111-12 двиг.1,9</t>
  </si>
  <si>
    <t>РЕМКОМПЛЕКТ 237РШ5</t>
  </si>
  <si>
    <t>ВАЗ шланги системы отопителя ВАЗ-2111-12 двиг.1,10</t>
  </si>
  <si>
    <t>РЕМКОМПЛЕКТ 237РШ6</t>
  </si>
  <si>
    <t>ВАЗ шланги системы отопителя ВАЗ-2111-12 двиг.1,11</t>
  </si>
  <si>
    <t>РЕМКОМПЛЕКТ 237РШ7</t>
  </si>
  <si>
    <t>ВАЗ шланги системы отопителя ВАЗ-2111-12 двиг.1,12</t>
  </si>
  <si>
    <t>РЕМКОМПЛЕКТ 237РШ8</t>
  </si>
  <si>
    <t>ВАЗ шланги системы отопителя ВАЗ-2111-12 двиг.1,13</t>
  </si>
  <si>
    <t>РЕМКОМПЛЕКТ 237РШ9</t>
  </si>
  <si>
    <t>ВАЗ шланги системы отопителя ВАЗ-2111-12 двиг.1,14</t>
  </si>
  <si>
    <t>РЕМКОМПЛЕКТ 237РШ10</t>
  </si>
  <si>
    <t>ВАЗ шланги системы отопителя ВАЗ-2111-12 двиг.1,15</t>
  </si>
  <si>
    <t>РЕМКОМПЛЕКТ 237РШ11</t>
  </si>
  <si>
    <t>ВАЗ шланги системы отопителя ВАЗ-2111-12 двиг.1,16</t>
  </si>
  <si>
    <t>РЕМКОМПЛЕКТ 237РШ12</t>
  </si>
  <si>
    <t>ВАЗ шланги системы отопителя ВАЗ-2111-12 двиг.1,17</t>
  </si>
  <si>
    <t>РЕМКОМПЛЕКТ 237РШ13</t>
  </si>
  <si>
    <t>ВАЗ шланги системы отопителя ВАЗ-2111-12 двиг.1,18</t>
  </si>
  <si>
    <t>РЕМКОМПЛЕКТ 237РШ14</t>
  </si>
  <si>
    <t>ВАЗ шланги системы отопителя ВАЗ-2111-12 двиг.1,19</t>
  </si>
  <si>
    <t>РЕМКОМПЛЕКТ 237РШ15</t>
  </si>
  <si>
    <t>ВАЗ шланги системы отопителя ВАЗ-2111-12 двиг.1,20</t>
  </si>
  <si>
    <t>РЕМКОМПЛЕКТ 237РШ16</t>
  </si>
  <si>
    <t>ВАЗ шланги системы отопителя ВАЗ-2111-12 двиг.1,21</t>
  </si>
  <si>
    <t>ВАЗ шланги системы отопителя ВАЗ-2114</t>
  </si>
  <si>
    <t>РЕМКОМПЛЕКТ 176 РУ</t>
  </si>
  <si>
    <t>ВАЗ Шарнир растяжки задней подвески</t>
  </si>
  <si>
    <t>З/части к а/м Нива "Шевроле" ПАО «БРТ»</t>
  </si>
  <si>
    <t>Опора задней подвески двигателя</t>
  </si>
  <si>
    <t>труба вентиляции картера</t>
  </si>
  <si>
    <t>Шланг соединит.воздушного патрубка</t>
  </si>
  <si>
    <t>Шланг вентиляцион.топливного бака</t>
  </si>
  <si>
    <t>Шланг стыкованный</t>
  </si>
  <si>
    <t>шланг отводящий</t>
  </si>
  <si>
    <t xml:space="preserve">шланг подводящий </t>
  </si>
  <si>
    <t>шланг соединит.отопителя и термостата</t>
  </si>
  <si>
    <t>трубка пароотводящая радиатора</t>
  </si>
  <si>
    <t xml:space="preserve">чехол защитный рабочего цилиндра привода </t>
  </si>
  <si>
    <t>2123-1701043Р</t>
  </si>
  <si>
    <t>Сальник первичного вала коробки передач</t>
  </si>
  <si>
    <t>Чехол Уплотнительный рычага кулисы КПП внутренний</t>
  </si>
  <si>
    <t>чехол крышки люка</t>
  </si>
  <si>
    <t>Кольцо центрирующее в сб.</t>
  </si>
  <si>
    <t>Чехол тяги передний</t>
  </si>
  <si>
    <t>Кронштейн</t>
  </si>
  <si>
    <t>опора задняя сб</t>
  </si>
  <si>
    <t>чехол корпуса шарнира промежуточ. карданного осн вала</t>
  </si>
  <si>
    <t xml:space="preserve">2123-2202120 СТАФ </t>
  </si>
  <si>
    <t xml:space="preserve">муфта эластичная переднего карданного вала </t>
  </si>
  <si>
    <t>2123-2904040</t>
  </si>
  <si>
    <t>с/блок 2123</t>
  </si>
  <si>
    <t>2123-2904040упак</t>
  </si>
  <si>
    <t>с/блок 2123/21214 полный СЕБ</t>
  </si>
  <si>
    <t>2123-2904070</t>
  </si>
  <si>
    <t>чехол защитый шарового пальца</t>
  </si>
  <si>
    <t>подушка штанги переднего стабилизатора</t>
  </si>
  <si>
    <t>втулка амортизатора задней подвески</t>
  </si>
  <si>
    <t>шланг гибкая переднего тормоза</t>
  </si>
  <si>
    <t>Шланг гибкий заднего тормоза в сб.</t>
  </si>
  <si>
    <t>форточка правая</t>
  </si>
  <si>
    <t>Форточка левая</t>
  </si>
  <si>
    <t xml:space="preserve">Уплотнит. проема двери задка (крышки багаж) L=3878мм </t>
  </si>
  <si>
    <t>фартук задний прав</t>
  </si>
  <si>
    <t>фартук задний лев</t>
  </si>
  <si>
    <t>Продукция ООО "Химавто"</t>
  </si>
  <si>
    <t>2101-1006090-10</t>
  </si>
  <si>
    <t>2103-1006090-10</t>
  </si>
  <si>
    <t>2101-3003074-01</t>
  </si>
  <si>
    <t>колпачок защит.  рул. трапец.</t>
  </si>
  <si>
    <t>2101-2904070-01</t>
  </si>
  <si>
    <t>чехол защитный шарового пальца</t>
  </si>
  <si>
    <t>2101-2202080-00</t>
  </si>
  <si>
    <t>опора карданного вала</t>
  </si>
  <si>
    <t>2101(03)-1006100-00</t>
  </si>
  <si>
    <t>З/части к а/м "Калина"  ПАО «БРТ»</t>
  </si>
  <si>
    <t>опора подвески</t>
  </si>
  <si>
    <t>1118-1001045Элад</t>
  </si>
  <si>
    <t>опора подвески с резьбой</t>
  </si>
  <si>
    <t>1118-1001033Элад</t>
  </si>
  <si>
    <t>опора подвески задняя</t>
  </si>
  <si>
    <t>1118-1001089Элад</t>
  </si>
  <si>
    <t>опора подвески без резьбы</t>
  </si>
  <si>
    <t>ремень  привода навесных агрегатов</t>
  </si>
  <si>
    <t>подушка системы выпуска газа</t>
  </si>
  <si>
    <t>рукав стыковочный</t>
  </si>
  <si>
    <t>трубка пароотводящая генератора</t>
  </si>
  <si>
    <t>чехол защитный стока</t>
  </si>
  <si>
    <t>чехол защитный тяги привода</t>
  </si>
  <si>
    <t>Чехол наружного шарнира</t>
  </si>
  <si>
    <t>1118-2215068Р</t>
  </si>
  <si>
    <t>Чехол внутреннего шарнира</t>
  </si>
  <si>
    <t>1118-2916040Р</t>
  </si>
  <si>
    <t>подушка штанги заднего стабилизатора</t>
  </si>
  <si>
    <t>1118-3506060Р</t>
  </si>
  <si>
    <t xml:space="preserve">шланг отопителя </t>
  </si>
  <si>
    <t>11186-1148035</t>
  </si>
  <si>
    <t>штанга подвески двигателя (гитара)</t>
  </si>
  <si>
    <t xml:space="preserve">стойка стабилизатора </t>
  </si>
  <si>
    <t>2190-2906050СБЛ</t>
  </si>
  <si>
    <t>шарнир нижнего рычага  передней подвески</t>
  </si>
  <si>
    <t xml:space="preserve">Бархотка </t>
  </si>
  <si>
    <t>Ремкомплект 52Р</t>
  </si>
  <si>
    <t>ваз уплотнитель опускного стекла ВАЗ 2105</t>
  </si>
  <si>
    <t>Ремкомплект 52ХОРВАТ</t>
  </si>
  <si>
    <t xml:space="preserve">ваз уплотнитель опускного стекла ВАЗ 2105 литые </t>
  </si>
  <si>
    <t>Ремкомплект 53Р</t>
  </si>
  <si>
    <t>ваз уплотнитель опускного стекла 2108 низ</t>
  </si>
  <si>
    <t>Ремкомплект 54Р</t>
  </si>
  <si>
    <t>ваз уплотнитель опускного стекла 2109,099 низ</t>
  </si>
  <si>
    <t>Ремкомплект 47Р</t>
  </si>
  <si>
    <t>ваз уплотнители стекол 2101,03,06</t>
  </si>
  <si>
    <t>2108-6103292/93</t>
  </si>
  <si>
    <t>уплотнитель опускного стекла верх</t>
  </si>
  <si>
    <t>2109-6103292/93</t>
  </si>
  <si>
    <t>уплотнитель опускного стекла передней двери верх</t>
  </si>
  <si>
    <t>уплотнитель опускного стекла передней двери наружн</t>
  </si>
  <si>
    <t>уплотнитель опускного стекла передней двери внутрен</t>
  </si>
  <si>
    <t xml:space="preserve">2110-6203292/93 </t>
  </si>
  <si>
    <t>Уплотнитель опускного стекла  верх</t>
  </si>
  <si>
    <t>2110-6103320/21</t>
  </si>
  <si>
    <t xml:space="preserve">Уплотнитель опускного стекла нижний внутренний </t>
  </si>
  <si>
    <t>2110-6103290/91</t>
  </si>
  <si>
    <t>Уплотнитель опускного стекла  наружний</t>
  </si>
  <si>
    <t>2110-6103290-10</t>
  </si>
  <si>
    <t>2110-6203290-10</t>
  </si>
  <si>
    <t>уплотнитель опускного стекла задней двери наружн</t>
  </si>
  <si>
    <t>уплотнитель опускного стекла задней двери внутрен</t>
  </si>
  <si>
    <t>1118-610/6203320</t>
  </si>
  <si>
    <t>Уплотнитель опускного стекла  внутренний</t>
  </si>
  <si>
    <t>1118-6103290/91</t>
  </si>
  <si>
    <t>1118-6103292/93</t>
  </si>
  <si>
    <t>2123-610/6203320</t>
  </si>
  <si>
    <t>2123-6103290/91</t>
  </si>
  <si>
    <t>2123-6103292/93</t>
  </si>
  <si>
    <t>2170-6103290/91</t>
  </si>
  <si>
    <t>2170-6103320/21</t>
  </si>
  <si>
    <t>2170-6103292/93</t>
  </si>
  <si>
    <t>21214-6103320/21</t>
  </si>
  <si>
    <t>уплотнитель опускного стекла внутренний</t>
  </si>
  <si>
    <t>21214-6103282/83</t>
  </si>
  <si>
    <t>уплотнитель опусного стекла наружний</t>
  </si>
  <si>
    <t>21214-6103298/99</t>
  </si>
  <si>
    <t>уплотнитель опусного стекла верхний</t>
  </si>
  <si>
    <t>Брызговики</t>
  </si>
  <si>
    <t>2110-8404412Р/13Р</t>
  </si>
  <si>
    <t>брызговик задний (БРТ)</t>
  </si>
  <si>
    <t>2110-8403512Р/13Р</t>
  </si>
  <si>
    <t>брызговик передний (БРТ)</t>
  </si>
  <si>
    <t>2110-8403512/13 Н/О</t>
  </si>
  <si>
    <t>брызговик передний Н/О</t>
  </si>
  <si>
    <t>2110-8403512/13</t>
  </si>
  <si>
    <t>брызговик передний (кооп)</t>
  </si>
  <si>
    <t>2110-8404412/13</t>
  </si>
  <si>
    <t>брызговик задний (кооп)</t>
  </si>
  <si>
    <t>2114-8403512Р/13Р</t>
  </si>
  <si>
    <t>2114-8404412Р/13Р</t>
  </si>
  <si>
    <t>2114-8404412/13</t>
  </si>
  <si>
    <t>2114-8403512/13</t>
  </si>
  <si>
    <t>брызговик подкрылок 2101</t>
  </si>
  <si>
    <t xml:space="preserve">брызговик подкрылок широкий </t>
  </si>
  <si>
    <t>брызговик подкрылок 2108</t>
  </si>
  <si>
    <t>брызговик подкрылок узкий</t>
  </si>
  <si>
    <t>2101-8404310/11</t>
  </si>
  <si>
    <t>брызговик 01 задний в сборе</t>
  </si>
  <si>
    <t>2108-8404412/13</t>
  </si>
  <si>
    <t>брызговик 08 задний в сборе</t>
  </si>
  <si>
    <t>2121-8404310/11</t>
  </si>
  <si>
    <t>брызговик передний (кооп)4х4</t>
  </si>
  <si>
    <t>2121-8404412</t>
  </si>
  <si>
    <t>брызговик задний (кооп)4х4</t>
  </si>
  <si>
    <t>2121-8404310Р/11Р</t>
  </si>
  <si>
    <t>1118-8403512/13</t>
  </si>
  <si>
    <t xml:space="preserve">брызговик передний </t>
  </si>
  <si>
    <t>1118-8404412/13</t>
  </si>
  <si>
    <t>брызговик задний</t>
  </si>
  <si>
    <t>2170-8403512/13</t>
  </si>
  <si>
    <t>2170-8404412/13</t>
  </si>
  <si>
    <t>2172-8404412/13</t>
  </si>
  <si>
    <t>2123-8403512/13</t>
  </si>
  <si>
    <t>2123-8404412/13</t>
  </si>
  <si>
    <t xml:space="preserve">брызговик задний </t>
  </si>
  <si>
    <t>2123-8403512/13 Н/О (Bertone)</t>
  </si>
  <si>
    <t>2123-8404412/13 Н/О (Bertone)</t>
  </si>
  <si>
    <t>брызговик задний н/о</t>
  </si>
  <si>
    <t>2190-8404412/12Р</t>
  </si>
  <si>
    <t>брызговик задний завод б/крепл.</t>
  </si>
  <si>
    <t>2190-8403512/13Р</t>
  </si>
  <si>
    <t>брызговик передний завод б/крепл.</t>
  </si>
  <si>
    <t>Брызговик задн.Ларгус</t>
  </si>
  <si>
    <t>Брызговик пер.Ларгус</t>
  </si>
  <si>
    <t>2190-8403512/13 кооп</t>
  </si>
  <si>
    <t>брызговик передний Гранта</t>
  </si>
  <si>
    <t>2190-8404412/13 кооп</t>
  </si>
  <si>
    <t>брызговик задний Гранта</t>
  </si>
  <si>
    <t>Брызг.ВЕСТА задний</t>
  </si>
  <si>
    <t xml:space="preserve">брызговик </t>
  </si>
  <si>
    <t>Брызг.ВЕСТА передний</t>
  </si>
  <si>
    <t>Брызг.ВЕСТА КРОССзадний</t>
  </si>
  <si>
    <t>Брызг.ВЕСТА КРОССпередний</t>
  </si>
  <si>
    <t>Брызговик Лада X-RAY передний</t>
  </si>
  <si>
    <t>Брызговик Лада X-RAY задний</t>
  </si>
  <si>
    <t>водосток 2111(2110)</t>
  </si>
  <si>
    <t>водосток 2170</t>
  </si>
  <si>
    <t>водосток 2123</t>
  </si>
  <si>
    <t>21218-8404310/11</t>
  </si>
  <si>
    <t>брызговик (УРБАН) пер.задн.</t>
  </si>
  <si>
    <t>Детали и ремкомплекты ,упакованные в картонную коробку пр-ва ПАО "БРТ"</t>
  </si>
  <si>
    <t>подушка двигателя в сборе</t>
  </si>
  <si>
    <t>обойма шаровой опоры в сб</t>
  </si>
  <si>
    <t xml:space="preserve">опора верхней стойки </t>
  </si>
  <si>
    <t>опора верхней стойки с подшипником</t>
  </si>
  <si>
    <t xml:space="preserve">опора подвесного подшипника </t>
  </si>
  <si>
    <t xml:space="preserve">кронштейн передней опоры двигателя </t>
  </si>
  <si>
    <t>кронштейн задней опоры подвески</t>
  </si>
  <si>
    <t>кронштейн левой опоры подвески</t>
  </si>
  <si>
    <t xml:space="preserve">опора передней подвески </t>
  </si>
  <si>
    <t>кронштейн растяжки в сборе (краб)</t>
  </si>
  <si>
    <t>опора верхней стойки в сб.</t>
  </si>
  <si>
    <t>подушка шаровой опоры в сб (кулиса)</t>
  </si>
  <si>
    <t xml:space="preserve">опора двигателя в сборе </t>
  </si>
  <si>
    <t>опора двигателя задняя сб</t>
  </si>
  <si>
    <t>ремкомплект 13РУ</t>
  </si>
  <si>
    <t>Амортизатор  (орех+бублик)</t>
  </si>
  <si>
    <t>Передняя подвеска 2108</t>
  </si>
  <si>
    <t>ремкомплект 79РУ</t>
  </si>
  <si>
    <t>стойка стабилизатора подвески 2108</t>
  </si>
  <si>
    <t>ремкомплект 80РУ</t>
  </si>
  <si>
    <t>стойка стабилизатора подвески 2110</t>
  </si>
  <si>
    <t>Ремкомплект 9РУ21</t>
  </si>
  <si>
    <t>Рычаг передней подвески 2121</t>
  </si>
  <si>
    <t>Ремкомплект 9РУ01</t>
  </si>
  <si>
    <t>Рычаг передней подвески 2101</t>
  </si>
  <si>
    <t>к-т радиатора 2101медн</t>
  </si>
  <si>
    <t>патрубки радиатора 2101 кооп</t>
  </si>
  <si>
    <t>к-т радиатора 2105алюм.</t>
  </si>
  <si>
    <t>патрубки  радиатора 2105 кооп</t>
  </si>
  <si>
    <t>к-т радиатора 21073 АЛ</t>
  </si>
  <si>
    <t>патрубки радиатора 21073 (алюм.)</t>
  </si>
  <si>
    <t>к-т радиатора 2108</t>
  </si>
  <si>
    <t>патрубки радиатора 2108 кооп</t>
  </si>
  <si>
    <t>к-т радиатора 21082</t>
  </si>
  <si>
    <t>патрубки радиатора 21082 кооп</t>
  </si>
  <si>
    <t>к-т радиатора 2110</t>
  </si>
  <si>
    <t>патрубки радиатора 2110 кооп</t>
  </si>
  <si>
    <t>к-т радиатора 2112</t>
  </si>
  <si>
    <t>патрубки радиатора 2112 кооп</t>
  </si>
  <si>
    <t>к-т радиатора 2121</t>
  </si>
  <si>
    <t>патрубки радиатора 2121 кооп</t>
  </si>
  <si>
    <t>к-т радиатора 21213</t>
  </si>
  <si>
    <t>патрубки радиатора 21213 кооп</t>
  </si>
  <si>
    <t>к-т радиатора 2123</t>
  </si>
  <si>
    <t>патрубки радиатора 2123 кооп</t>
  </si>
  <si>
    <t>к-т печки 2101</t>
  </si>
  <si>
    <t>патрубки печки 2101 кооп</t>
  </si>
  <si>
    <t>к-т печки 21073</t>
  </si>
  <si>
    <t>патрубки печки 21073 кооп</t>
  </si>
  <si>
    <t>к-т печки 2108</t>
  </si>
  <si>
    <t>патрубки печки 2108 кооп</t>
  </si>
  <si>
    <t>к-т печки 21082</t>
  </si>
  <si>
    <t>патрубки печки 21082  кооп</t>
  </si>
  <si>
    <t>к-т печки 2110</t>
  </si>
  <si>
    <t>патрубки печки 2110  кооп</t>
  </si>
  <si>
    <t>к-т печки 2111</t>
  </si>
  <si>
    <t>патрубки печки 2111  кооп</t>
  </si>
  <si>
    <t>к-т печки 2112</t>
  </si>
  <si>
    <t>патрубки печки 2112  кооп</t>
  </si>
  <si>
    <t>к-т печки 2121</t>
  </si>
  <si>
    <t>патрубки печки 2121  кооп</t>
  </si>
  <si>
    <t>к-т печки 2122</t>
  </si>
  <si>
    <t>к-т печки 1118</t>
  </si>
  <si>
    <t>патрубки печки 1118  кооп</t>
  </si>
  <si>
    <t>к-т печки 21214</t>
  </si>
  <si>
    <t>патрубки печки 21214  кооп</t>
  </si>
  <si>
    <t>к-т печки 2123</t>
  </si>
  <si>
    <t>патрубки печки 2123  кооп</t>
  </si>
  <si>
    <t>Детали для а/м «ГРАНТА»</t>
  </si>
  <si>
    <t>шланг радиатора отводящий мкпп</t>
  </si>
  <si>
    <t>шланг радиатора отводящий авт</t>
  </si>
  <si>
    <t>патрубок расширительного бачка кооп</t>
  </si>
  <si>
    <t>2190-1703200Р</t>
  </si>
  <si>
    <t>чехол защитный тяги привода кпп</t>
  </si>
  <si>
    <t>2190-2902820 СЭВИ-ЭКСПЕРТ</t>
  </si>
  <si>
    <t>опора стойки передней подвески без подш. Со смещ.6мм</t>
  </si>
  <si>
    <t>опора стойки передней подвески с подш. со смещ.12мм</t>
  </si>
  <si>
    <t>опора стойки передней подвески  с подш. Со смещ.6мм</t>
  </si>
  <si>
    <t>опора стойки передней стойки без подш. со смещ.12мм</t>
  </si>
  <si>
    <t>2190-2902820СБЛ</t>
  </si>
  <si>
    <t>опора стойки передней подвески с подш. со смещ.6мм</t>
  </si>
  <si>
    <t>опора стойки передней подвески с подш. со смещ.12 мм</t>
  </si>
  <si>
    <t xml:space="preserve">2190-2902820 Ломов </t>
  </si>
  <si>
    <t>шарнир передней растяжки подвески задн.</t>
  </si>
  <si>
    <t>2190-2906040лом комп.</t>
  </si>
  <si>
    <t>подушки штанги передн.стаб.</t>
  </si>
  <si>
    <t>2190-2906040себ</t>
  </si>
  <si>
    <t>2190-2906050СЭВИ-ЭКСПЕРТ</t>
  </si>
  <si>
    <t>2190-2906050себ</t>
  </si>
  <si>
    <t>2190-6107018упак</t>
  </si>
  <si>
    <t>уплотнитель проема двери Гранта,Приора,Калина,Ларгус</t>
  </si>
  <si>
    <t>шланг отопителя подвод.</t>
  </si>
  <si>
    <t>шланг отопителя отвод.</t>
  </si>
  <si>
    <t>2190-8402200</t>
  </si>
  <si>
    <t xml:space="preserve">Уплотнитель капота </t>
  </si>
  <si>
    <t>2190-8403512/13</t>
  </si>
  <si>
    <t>брызговик передний завод</t>
  </si>
  <si>
    <t>2190-8404412/13</t>
  </si>
  <si>
    <t>брызговик задний завод</t>
  </si>
  <si>
    <t>брызговик задний кооп</t>
  </si>
  <si>
    <t>брызговик передний кооп</t>
  </si>
  <si>
    <t>2192-2906040себ</t>
  </si>
  <si>
    <t>подушка стабилиз.</t>
  </si>
  <si>
    <t>2192-2906050себ</t>
  </si>
  <si>
    <t>6рк825РУ</t>
  </si>
  <si>
    <t>ремень зубчатый грм</t>
  </si>
  <si>
    <t>чехол вилки 2190 2181-1601211-01(пирамида)</t>
  </si>
  <si>
    <t xml:space="preserve">чехол вилки 2190 </t>
  </si>
  <si>
    <t>ДЛЯ а/м ВЕСТА,ЛАРГУС,X-RAY</t>
  </si>
  <si>
    <t>шланг подводящий радиатора RF-90</t>
  </si>
  <si>
    <t>шланг заправочной системы охлаждения</t>
  </si>
  <si>
    <t>шланг отводящий радиатора нижний RF-90</t>
  </si>
  <si>
    <t xml:space="preserve">шланг подводящий отопителя RF-90 </t>
  </si>
  <si>
    <t>шланг отводящий отопителя RF-90 RF909492Р</t>
  </si>
  <si>
    <t xml:space="preserve">шланг пароотводящий расширительного бачка RF-90 </t>
  </si>
  <si>
    <t>шланг вентиляции картера Ларгус</t>
  </si>
  <si>
    <t>шланг пароотводящий термостата Ларгус LR90163Р</t>
  </si>
  <si>
    <t>XR20012Р</t>
  </si>
  <si>
    <t xml:space="preserve">шланг вытяжной вент. картера верхний X-Ray </t>
  </si>
  <si>
    <t>XR20015Р</t>
  </si>
  <si>
    <t>XR20027Р</t>
  </si>
  <si>
    <t xml:space="preserve">шланг подводящий радиатора X-Ray </t>
  </si>
  <si>
    <t>XR20028Р</t>
  </si>
  <si>
    <t>шланг отводящий радиатора X-Ray</t>
  </si>
  <si>
    <t>XR20029Р</t>
  </si>
  <si>
    <t xml:space="preserve">шланг пароотвод на компл.с любой КПП ВАЗ-21179 </t>
  </si>
  <si>
    <t>XR20030Р</t>
  </si>
  <si>
    <t xml:space="preserve">шланг заправочной системы охлаждения X-Ray </t>
  </si>
  <si>
    <t>XR20032Р</t>
  </si>
  <si>
    <t>шланг подводящий отопителя X-Ray</t>
  </si>
  <si>
    <t>XR20033Р</t>
  </si>
  <si>
    <t xml:space="preserve">шланг отводящий отопителя X-Ray </t>
  </si>
  <si>
    <t>XR20059Р</t>
  </si>
  <si>
    <t>шланг пароотводящий</t>
  </si>
  <si>
    <t>2180-2215030РИ</t>
  </si>
  <si>
    <t>чехол наружний</t>
  </si>
  <si>
    <t>шарнир рычага передний в сборе</t>
  </si>
  <si>
    <t>2180-2904044Р</t>
  </si>
  <si>
    <t>шарнир рычага задний в сборе</t>
  </si>
  <si>
    <t>шарнир рычага задней подвески</t>
  </si>
  <si>
    <t xml:space="preserve">шланг гидротормозной передний Веста </t>
  </si>
  <si>
    <t xml:space="preserve">шланг гидротормозной задний Веста </t>
  </si>
  <si>
    <t>шланг вытяжной вентиляции картера верхний на а/м Vesta</t>
  </si>
  <si>
    <t>уплотнитель проема передней двери ЛАРГУС (3400мм)</t>
  </si>
  <si>
    <t>втулка стабилизатора Renault Logan, Sandero, Lada Largus,</t>
  </si>
  <si>
    <t xml:space="preserve">опора задней пружины нижняя Lada Largus  Renault Logan, </t>
  </si>
  <si>
    <t>опора задней пружины верхняя Lada Largus  Renault Logan,</t>
  </si>
  <si>
    <t>опора амортизационной стойки (без подш.) Ларгус</t>
  </si>
  <si>
    <t>шланг тормозной передний в сборе Logan</t>
  </si>
  <si>
    <t>шланг тормозной задний в сборе Logan</t>
  </si>
  <si>
    <t>(4РК718) ремень генератора Renault Logan, б/кондиц., без ГУР</t>
  </si>
  <si>
    <t>уплотнитель багажника L3967мм, ЛАРГУС</t>
  </si>
  <si>
    <t xml:space="preserve">подушка крепления радиатора Lada Largus  Renault Logan, </t>
  </si>
  <si>
    <t>сальник двиг перед коленвала (35х47х6)  для а/м Renault,, Largus</t>
  </si>
  <si>
    <t>уплотнитель передней двери</t>
  </si>
  <si>
    <t xml:space="preserve">уплотнитель багажника </t>
  </si>
  <si>
    <t>РЕМКОМПЛЕКТ 173РУ</t>
  </si>
  <si>
    <t>2101350606001</t>
  </si>
  <si>
    <t>Шланг тормозной "БРТ" передний для ВАЗ 2101-2107</t>
  </si>
  <si>
    <t>Шланг тормозной "БРТ" задний для ВАЗ 2110-2112, Лада (Калина, Калина 2, Приора, Приора 2, Гранта, Нива 4x4), Шевроле Нива</t>
  </si>
  <si>
    <t>Уплотнитель стекла окна боковины "БРТ" для Лада Нива 4x4 "УРБАН"</t>
  </si>
  <si>
    <t>21210840220000</t>
  </si>
  <si>
    <t>Уплотнитель капота для Лада Нива 4х4</t>
  </si>
  <si>
    <t>Уплотнитель ветрового стекла Нива 4x4 (под майлар)</t>
  </si>
  <si>
    <t>21082301034</t>
  </si>
  <si>
    <t>Сальник привода "БРТ" правый для ВАЗ (2108-21099, 2113-2115), Лада Ока</t>
  </si>
  <si>
    <t>21102301034</t>
  </si>
  <si>
    <t>Сальник привода "БРТ" правый для ВАЗ (2108-21099, 2113-2115, 2110-2112), Лада (Калина, Калина 2, Приора, Приора 2, Гранта, Нива 4x4, Веста), Шевроле Нива</t>
  </si>
  <si>
    <t>21082301035</t>
  </si>
  <si>
    <t>Сальник привода "БРТ" левый для ВАЗ (2108-21099, 2113-2115), Лада Ока</t>
  </si>
  <si>
    <t>21102301035</t>
  </si>
  <si>
    <t>Сальник привода "БРТ" левый для ВАЗ (2108-21099, 2110-2112, 2113-2115), Лада (Калина, Калина 2, Приора, Приора 2, Гранта, Нива 4x4, Веста), Шевроле Нива</t>
  </si>
  <si>
    <t>21080100503400</t>
  </si>
  <si>
    <t>Сальник коленвала передний "БРТ" с пружиной (2-х компонентный) для ВАЗ (2108-21099, 2113-2115, 2110-2112), Лада (Калина, Ока)</t>
  </si>
  <si>
    <t>Сальник "БРТ" заднего моста (35,8х68х12 мм) для ВАЗ 2101-2107, Лада Нива 4х4</t>
  </si>
  <si>
    <t>Сайлентблок переднего амортизатора "БРТ" (нижний) для ВАЗ 2101-2107</t>
  </si>
  <si>
    <t>Сайлентблок задней балки "RENAULT" для Лада Веста</t>
  </si>
  <si>
    <t>Сайлентблок задней балки "Renault" для Лада (Ларгус, XRAY), Renault Logan</t>
  </si>
  <si>
    <t>Ремкомплект 173Р Р/К подушки штанги переднего стабилизатора "БРТ" для Лада Нива 4x4, Шевроле Нива</t>
  </si>
  <si>
    <t>Ремень привода навесных агрегатов поликлиновой 882 "БРТ" для Лада Калина</t>
  </si>
  <si>
    <t>21101001286</t>
  </si>
  <si>
    <t>Подушка двигателя "БРТ" задняя голая для ВАЗ 2110-2112</t>
  </si>
  <si>
    <t>Патрубок расширительного бачка к термостату "БРТ" заправочный для ВАЗ 2110 (С/О), 2112</t>
  </si>
  <si>
    <t>Патрубки "БРТ" радиатора для ВАЗ 2110-2112 (16-ти клапанный двигатель)</t>
  </si>
  <si>
    <t>21100290568100</t>
  </si>
  <si>
    <t>Опора двигателя в сборе "БРТ" задняя для ВАЗ 2110-2112</t>
  </si>
  <si>
    <t>Комплект уплотнителей стёкол задних дверей для Лада Нива (5-ти дверная)</t>
  </si>
  <si>
    <t>Верхние уплотнители дверей (водосток) "БРТ" для Лада Приора универсал</t>
  </si>
  <si>
    <t>Верхние уплотнители дверей (водосток) "БРТ" для Лада Калина, Калина 2, Гранта, Гранта FL (универсал, лифтбек)</t>
  </si>
  <si>
    <t>Верхние уплотнители дверей (водосток) "БРТ" для Лада Калина, Калина 2, Гранта, Гранта FL (седан, хэтчбек)</t>
  </si>
  <si>
    <t>Под заказ</t>
  </si>
  <si>
    <t>Артикул</t>
  </si>
  <si>
    <t>2108-3726087</t>
  </si>
  <si>
    <t>mailto:Kulikovng@mail.ru</t>
  </si>
  <si>
    <t>водосток 1118/1119/2190</t>
  </si>
  <si>
    <t>водосток 2171</t>
  </si>
  <si>
    <t>Комплект</t>
  </si>
  <si>
    <t>Поставщик</t>
  </si>
  <si>
    <t>Пыльник амортизатора задней подвески (аналог) для ВАЗ (2108-21099, 2113-2115, 2110-2112), Лада (Приора, Приора 2, Калина, Калина 2, Гранта, Гранта FL)</t>
  </si>
  <si>
    <t>21080291568100</t>
  </si>
  <si>
    <t>Пыльники передних стоек силиконовые "КРАСНЫЕ" для ВАЗ 2108-2115, Приора, Калина, Гранта</t>
  </si>
  <si>
    <t>Прокладка повторителя поворота "БРТ" для ВАЗ 2104-2107</t>
  </si>
  <si>
    <t>Прокладка повторителя поворота "БРТ" для ВАЗ 2110-2112</t>
  </si>
  <si>
    <t>Сайлентблок "БРТ" задней балки для Лада (Веста, Ларгус, XRAY), Renault Logan</t>
  </si>
  <si>
    <t>Ремень генератора "БРТ" поликлиновый для Лада Нива 4х4 Урбан</t>
  </si>
  <si>
    <t>Ремень "БРТ" поликлиновый для ВАЗ 2110-2112 (с кондиционером и ГУР 1703)</t>
  </si>
  <si>
    <t>Сальник "БРТ" переднего колеса с пружиной для ВАЗ 2101-2107</t>
  </si>
  <si>
    <t>Сальник "БРТ" переднего колеса с пружиной (красный) для ВАЗ 2101-2107</t>
  </si>
  <si>
    <t>Сальник "БРТ" полуоси с пружиной для ВАЗ 2101-2107</t>
  </si>
  <si>
    <t>Сальник "БРТ" полуоси с пружиной (красный) для ВАЗ 2101-2107</t>
  </si>
  <si>
    <t>Сальник "БРТ" полуоси с пружиной для ВАЗ 2101-2107, Лада Нива 4x4</t>
  </si>
  <si>
    <t>Сальник "БРТ" вала сошки рулевого управления для ВАЗ 2101-2107</t>
  </si>
  <si>
    <t>Сальник "БРТ" заднего моста красный (35,8х68х12 мм) для ВАЗ 2101-2107, Лада Нива 4х4</t>
  </si>
  <si>
    <t>Сальник "БРТ" вала червяка рулевого управления для ВАЗ 2101-2107</t>
  </si>
  <si>
    <t>Сальник "БРТ" коленчатого вала задний для ВАЗ (2108-2109, 2110-2112, 2113-2115), Лада (Калина, Калина 2, Гранта, Гранта FL, Приора, Приора 2, Веста, XRAY)</t>
  </si>
  <si>
    <t>Сальник "БРТ" первичного вала коробки передач для ВАЗ 2110-2112, Лада (Калина, Приора)</t>
  </si>
  <si>
    <t>Сальник "БРТ" штока выбора передач (с пружиной) для ВАЗ 2108-21099, 2110-2112, 2113-2115 Лада (Калина, Калина 2, Гранта, Приора, Приора 2)</t>
  </si>
  <si>
    <t>Сальник "БРТ" штока выбора передач (с пружиной, широкий, нового образца) для ВАЗ 2108-21099, 2110-2112, 2113-2115 Лада (Калина, Калина 2, Гранта, Приора, Приора 2)</t>
  </si>
  <si>
    <t>2109-1703042</t>
  </si>
  <si>
    <t>Сальник "БРТ" переднего колеса (с пружинной) для Лада Нива 4х4, Шевроле Нива</t>
  </si>
  <si>
    <t>Сальник "БРТ" переднего колеса (с пружинной, красный) для Лада Нива 4х4, Шевроле Нива</t>
  </si>
  <si>
    <t>Сальник "БРТ" редуктора переднего моста с пружиной для Лада Нива 4х4, Шевроле Нива</t>
  </si>
  <si>
    <t>Сальник "БРТ" редуктора переднего моста с пружиной (красный) для Лада Нива 4х4, Шевроле Нива</t>
  </si>
  <si>
    <t>Сальник "БРТ" привода правый для Лада Нива 4х4, Шевроле Нива</t>
  </si>
  <si>
    <t>21213-2301034</t>
  </si>
  <si>
    <t>Сальник "БРТ" привода левый для Лада Нива 4х4, Шевроле Нива</t>
  </si>
  <si>
    <t>21213-2301035</t>
  </si>
  <si>
    <t>Сальник "БРТ" ведущего вала правый (нового образца) для Шевроле Нива</t>
  </si>
  <si>
    <t>2123-1802120-30</t>
  </si>
  <si>
    <t>Сальник "БРТ" вала привода левый (нового образца) для Шевроле Нива</t>
  </si>
  <si>
    <t>2123-1802216-30</t>
  </si>
  <si>
    <t>Сальник "БРТ" ведущего вала правый для Шевроле Нива</t>
  </si>
  <si>
    <t>Сальник "БРТ" привода переднего моста комплект для Шевроле Нива</t>
  </si>
  <si>
    <t>Сальник "БРТ" первичного вала КПП для Шевроле Нива</t>
  </si>
  <si>
    <t>Пыльник "БРТ" шарнира кулисы КПП ВАЗ-1118 для Лада Калина, Калина 2 Гранта</t>
  </si>
  <si>
    <t>Прокладка "БРТ" клапанной крышки для ВАЗ 2104, 2105</t>
  </si>
  <si>
    <t>Прокладка "БРТ" масляного картера для ВАЗ 2104, 2105</t>
  </si>
  <si>
    <t>Прокладка "БРТ" датчика уровня топлива для Лада Нива 4х4</t>
  </si>
  <si>
    <t>Прокладка "БРТ" воздушного фильтра для ВАЗ 2101-2107</t>
  </si>
  <si>
    <t>Прокладка "БРТ" крышки маслозаливной горловины для ВАЗ 2101-2107</t>
  </si>
  <si>
    <t>Уплотнитель "БРТ" окна двери задка для ВАЗ 2104</t>
  </si>
  <si>
    <t>Уплотнитель "БРТ" заднего стекла для ВАЗ 2110</t>
  </si>
  <si>
    <t>Уплотнитель "БРТ" заднего бокового окна комплект для Шевроле Нива</t>
  </si>
  <si>
    <t>Уплотнитель "БРТ" лобового стекла нижний для ВАЗ 2110-2112</t>
  </si>
  <si>
    <t>Уплотнитель "БРТ" стекла задней двери для Шевроле Нива</t>
  </si>
  <si>
    <t>Уплотнитель "БРТ" лобового стекла комплект для Лада Приора, Приора 2, Гранта</t>
  </si>
  <si>
    <t>Патрубок "БРТ" радиатора пароотводящий для ВАЗ 2110-2112, Лада Приора</t>
  </si>
  <si>
    <t>Шланг "БРТ" топливный для ВАЗ 2110-2112</t>
  </si>
  <si>
    <t>Шланг "БРТ" вакуумного усилителя тормозов для Лада Нива 4х4</t>
  </si>
  <si>
    <t>Шланг "БРТ" тормозной задний для ВАЗ 2101-2107</t>
  </si>
  <si>
    <t>Шланг "БРТ" тормозной передний для ВАЗ 2108 -21099, 2113-2115</t>
  </si>
  <si>
    <t>Шланг "БРТ" тормозной передний, верхний для Лада Нива 4х4</t>
  </si>
  <si>
    <t>Шланг "БРТ" тормозной передний, нижний для Лада Нива 4х4</t>
  </si>
  <si>
    <t>Шланг "БРТ" тормозной передний для ВАЗ 2110-2112</t>
  </si>
  <si>
    <t>Шланг "БРТ" вентиляции картера от крышки сапуна на карбюратор для Лада Нива 4х4</t>
  </si>
  <si>
    <t>Патрубок "БРТ" отопителя (печки) подводящий для ВАЗ 2110-2112</t>
  </si>
  <si>
    <t>Патрубок "БРТ" отопителя (печки) отводящий, задний для ВАЗ 2113-2115</t>
  </si>
  <si>
    <t>Патрубок "БРТ" отопителя (печки) подводящий к радиатору для Лада Приора, Приора 2</t>
  </si>
  <si>
    <t>Патрубок "БРТ" 2110 расширительного бачка для ВАЗ 2110-2112</t>
  </si>
  <si>
    <t>Патрубок "БРТ" расширительного бачка для Лада Веста</t>
  </si>
  <si>
    <t>Патрубок "БРТ" расширительного бачка для Лада Ларгус (с двигателями РЗМ и Р4М)</t>
  </si>
  <si>
    <t>Патрубок "БРТ" расширительного бачка для Лада XRAY</t>
  </si>
  <si>
    <t>Патрубок "БРТ" фильтра воздушного к дросселю ВАЗ 2111 для ВАЗ 2108-21099, 2110-2111, 2113-2115</t>
  </si>
  <si>
    <t>Патрубок "БРТ" фильтра воздушного к дросселю ВАЗ 2112 для ВАЗ 2110-2112, Лада Приора (16 клапанный двигатель)</t>
  </si>
  <si>
    <t>Комплект патрубков "БРТ" к фильтру воздушному для Лада Нива 4х4</t>
  </si>
  <si>
    <t>Патрубок "БРТ" дроссельной заслонки для ВАЗ 2107</t>
  </si>
  <si>
    <t>Шланг "БРТ" подогрева карбюратора для ВАЗ 210-21099, 2113-2115</t>
  </si>
  <si>
    <t>Шланг "БРТ" подогрева дроссельной заслонки для ВАЗ (2110-2112, 2113-2114), Лада (Калина, Приора)</t>
  </si>
  <si>
    <t>Шланг "БРТ" вакуум-корректора (длинный, силикон) для ВАЗ 2101-2108</t>
  </si>
  <si>
    <t>2101-3706604</t>
  </si>
  <si>
    <t>Облицовка "БРТ" горловины наливной трубы бензобака для ВАЗ 2101, 2102</t>
  </si>
  <si>
    <t>Облицовка "БРТ" горловины наливной трубы бензобака для ВАЗ 2110-2112</t>
  </si>
  <si>
    <t>Облицовка "БРТ" горловины наливной трубы бензобака для ВАЗ 2103, 2105, 2107</t>
  </si>
  <si>
    <t>Патрубок "БРТ" отопителя, подводящий для Лада Веста</t>
  </si>
  <si>
    <t>Патрубок "БРТ" отопителя, отводящий для Лада Веста</t>
  </si>
  <si>
    <t>Патрубок "БРТ" отопителя, подводящий для Лада Ларгус (c 8-ми клапанным двигателем)</t>
  </si>
  <si>
    <t>Патрубок "БРТ" отопителя, отводящий для Лада Ларгус (c 8-ми клапанным двигателем)</t>
  </si>
  <si>
    <t>Патрубок "БРТ" радиатора, подводящий для Лада Ларгус (c 8-ми клапанным двигателем)</t>
  </si>
  <si>
    <t>Патрубок "БРТ" радиатора, отводящий для Лада Ларгус (c 8-ми клапанным двигателем)</t>
  </si>
  <si>
    <t>Патрубок "БРТ" радиатора, отводящий для Лада XRAY</t>
  </si>
  <si>
    <t>Патрубок "БРТ" отопителя, подводящий для Лада XRAY</t>
  </si>
  <si>
    <t>Подушка "БРТ" амортизатора заднего, верхняя для ВАЗ 2110-2112, Лада Калина, Калина 2, Гранта, Приора, Приора 2</t>
  </si>
  <si>
    <t>Втулка "БРТ" соединительная бочка гидротормоза для ВАЗ 2108-21099, 2110-2112, 2113-2115, Лада Нива 4х4</t>
  </si>
  <si>
    <t>Подушка "БРТ" стабилизатора для Лада Нива 4х4</t>
  </si>
  <si>
    <t>Подушка "БРТ" стабилизатора, малая для Лада Нива 4х4</t>
  </si>
  <si>
    <t>Подушка "БРТ" переднего стабилизатора для ВАЗ 2108-21099, 2113-2115</t>
  </si>
  <si>
    <t>Подушка "БРТ" переднего стабилизатора для ВАЗ 2110-2112, Лада Приора, Приора 2</t>
  </si>
  <si>
    <t>Подушка "БРТ" передней опоры двигателя (голая) для ВАЗ 2101-2107</t>
  </si>
  <si>
    <t>Подушка "БРТ" передней опоры двигателя для Лада Нива 4х4, Шевроле Нива</t>
  </si>
  <si>
    <t>Подушка "БРТ" крепления глушителя для ВАЗ 2110-2112, Лада (Калина, Калина 2, Гранта, Приора, Нива 4х4), Шевроле Нива</t>
  </si>
  <si>
    <t>Подушка "БРТ" крепления резонатора для Лада Приора, Веста</t>
  </si>
  <si>
    <t>Сайлентблок "БРТ" рулевой тяги для ВАЗ 2108-21099, 2110-2112, 2113-2115</t>
  </si>
  <si>
    <t>Буфер "БРТ" переднего бампера правый в сборе для ВАЗ 2106</t>
  </si>
  <si>
    <t>2106-2803060-10</t>
  </si>
  <si>
    <t>Буфер "БРТ" переднего бампера левый в сборе для ВАЗ 2106</t>
  </si>
  <si>
    <t>2106-2803061-10</t>
  </si>
  <si>
    <t>Лента "БРТ" щетки стеклоочистителя для ВАЗ 2101-2107</t>
  </si>
  <si>
    <t>Лента "БРТ" щетки стеклоочистителя для ВАЗ 2108-21099, 2113-2115</t>
  </si>
  <si>
    <t>Ремкомплект "БРТ" переднего амортизатора для ВАЗ 2101-2107</t>
  </si>
  <si>
    <t>Кронштейн "БРТ" растяжки передней подвески в сборе для ВАЗ 2108-21099, 2113-2115</t>
  </si>
  <si>
    <t>Опора двигателя "БРТ" левая (нового образца) для ВАЗ 2110-2112, Лада Приора</t>
  </si>
  <si>
    <t>Опора двигателя "БРТ" правая (нового образца) для ВАЗ 2110-2112, Лада Приора</t>
  </si>
  <si>
    <t>Подушка двигателя "БРТ" верхняя для ВАЗ 2110-2112, Лада Приора</t>
  </si>
  <si>
    <t>Опора двигателя "БРТ" задняя коробки раздаточной Лада Нива 4х4</t>
  </si>
  <si>
    <t>Опора "БРТ" задней подвески двигателя Шевроле Нива</t>
  </si>
  <si>
    <t>Шланг "БРТ" вентиляции картера (дополнительный) для Шевроле Нива</t>
  </si>
  <si>
    <t>Патрубок "БРТ" фильтра воздушного к дросселю для Шевроле Нива</t>
  </si>
  <si>
    <t>Патрубок "БРТ" фильтра воздушного к дросселю (инжекторный двигатель) для Шевроле Нива</t>
  </si>
  <si>
    <t>Патрубок "БРТ" термостата и водяного насоса для Шевроле Нива</t>
  </si>
  <si>
    <t>Чехол "БРТ" рычага КПП наружный для Шевроле Нива</t>
  </si>
  <si>
    <t>Кольцо "БРТ" центрирующее фланца КПП для Шевроле Нива</t>
  </si>
  <si>
    <t>Чехол "БРТ" тяги рычага переключения передач для Шевроле Нива</t>
  </si>
  <si>
    <t>Пыльник "БРТ" переднего шарнира КПП для Шевроле Нива</t>
  </si>
  <si>
    <t>Опора "БРТ" механизма переключения КПП задняя для Шевроле Нива</t>
  </si>
  <si>
    <t>Пыльник "БРТ" шарнира промежуточного карданного вала для Шевроле Нива</t>
  </si>
  <si>
    <t>Комплект "БРТ" сайлентблоков подвески для Лада Нива 4х4, Шевроле Нива</t>
  </si>
  <si>
    <t>Пыльник "БРТ" шаровой опоры для Шевроле Нива</t>
  </si>
  <si>
    <t>Втулка "БРТ" переднего стабилизатора для Шевроле Нива</t>
  </si>
  <si>
    <t>Втулка "БРТ" штанги переднего стабилизатора для Шевроле Нива</t>
  </si>
  <si>
    <t>Втулка "БРТ" амортизатора задней подвески, нижняя для Шевроле Нива</t>
  </si>
  <si>
    <t>Брызговик "БРТ" задний правый для Шевроле Нива</t>
  </si>
  <si>
    <t>Брызговик "БРТ" задний левый для Шевроле Нива</t>
  </si>
  <si>
    <t>Подушка двигателя "БРТ" задняя в сборе для Лада Калина, Гранта</t>
  </si>
  <si>
    <t>Патрубок радиатора "БРТ" отводящий, нижний для Лада Калина</t>
  </si>
  <si>
    <t>Патрубок "БРТ" бачка расширительного, отводящий для Лада Калина</t>
  </si>
  <si>
    <t>Пыльник "БРТ" тяги переключения передач для Лада Калина</t>
  </si>
  <si>
    <t>Пыльник "БРТ" ШРУСа наружного для Лада Калина</t>
  </si>
  <si>
    <t>Подушка "БРТ" штанги заднего стабилизатора для Лада Калина</t>
  </si>
  <si>
    <t>Подушка "БРТ" штанги переднего стабилизатора для Лада Калина</t>
  </si>
  <si>
    <t>Патрубок "БРТ" фильтра воздушного к дросселю для Лада Калина (8 клапанный двигатель)</t>
  </si>
  <si>
    <t>Ремкомплект 53P</t>
  </si>
  <si>
    <t>Ремкомплект 54P</t>
  </si>
  <si>
    <t>Уплотнитель "БРТ" опускного стекла наружный, передний, правый для ВАЗ 2110-2112</t>
  </si>
  <si>
    <t>Уплотнитель "БРТ" опускного стекла внутренний, передний для ВАЗ 2110-2112</t>
  </si>
  <si>
    <t>Уплотнитель "БРТ" опускного стекла задний, наружный, правый для ВАЗ 2110-2112</t>
  </si>
  <si>
    <t>Комплект "БРТ" внешних бархоток для Шевроле Нива</t>
  </si>
  <si>
    <t>Комплект "БРТ" наружных бархоток (старого образца) для Шевроле Нива</t>
  </si>
  <si>
    <t>Комплект "БРТ" верхних рамочных уплотнителей опускных стекол боковых дверей для Шевроле Нива</t>
  </si>
  <si>
    <t>Комплект "БРТ" задних брызговиков для ВАЗ 2110-2112</t>
  </si>
  <si>
    <t>Комплект "БРТ" передних брызговиков для ВАЗ 2110-2112</t>
  </si>
  <si>
    <t>Комплект "БРТ" передних брызговиков (нового образца) для ВАЗ 2110-2112</t>
  </si>
  <si>
    <t>Комплект "БРТ" передних брызговиков для ВАЗ 2113-2115</t>
  </si>
  <si>
    <t>Комплект "БРТ" задних брызговиков для ВАЗ 2113-2115</t>
  </si>
  <si>
    <t>Комплект "БРТ" задних брызговиков для ВАЗ 2108-21099</t>
  </si>
  <si>
    <t>Комплект "БРТ" передних брызговиков для Лада Нива 4х4</t>
  </si>
  <si>
    <t>Комплект "БРТ" передних брызговиков для Лада Калина</t>
  </si>
  <si>
    <t>Комплект "БРТ" задних брызговиков для Лада Калина</t>
  </si>
  <si>
    <t>Комплект "БРТ" задних брызговиков для Лада Приора, Приора 2</t>
  </si>
  <si>
    <t>Комплект "БРТ" передних брызговиков для Шевроле Нива</t>
  </si>
  <si>
    <t>Комплект "БРТ" задних брызговиков для Шевроле Нива</t>
  </si>
  <si>
    <t>Комплект "БРТ" передних брызговиков (Bertone) для Шевроле Нива</t>
  </si>
  <si>
    <t>Комплект "БРТ" задние брызговиков (Bertone) для Шевроле Нива</t>
  </si>
  <si>
    <t>2123-8404412/13 Н/О</t>
  </si>
  <si>
    <t>Комплект "БРТ" задних брызговиков для Лада Гранта, Калина 2</t>
  </si>
  <si>
    <t>Комплект "БРТ" передних брызговиков для Лада Гранта, Калина 2</t>
  </si>
  <si>
    <t>Комплект "БРТ" задних брызговиков для Лада Веста</t>
  </si>
  <si>
    <t>Комплект "БРТ" передних брызговиков для Лада Веста</t>
  </si>
  <si>
    <t>Комплект "БРТ" задних брызговиков для Лада Веста Кросс</t>
  </si>
  <si>
    <t>Комплект "БРТ" передних брызговиков для Лада Веста Кросс</t>
  </si>
  <si>
    <t>Комплект "БРТ" передних брызговиков для Лада XRAY</t>
  </si>
  <si>
    <t>Комплект "БРТ" задних брызговиков для Лада XRAY</t>
  </si>
  <si>
    <t>Комплект "БРТ" уплотнителей дверей, верхний (водосток) для Шевроле Нива</t>
  </si>
  <si>
    <t>Брызговики "БРТ" задние, комплект для Лада Нива Урбан</t>
  </si>
  <si>
    <t>Патрубок "БРТ" радиатора отводящий для Лада Гранта, Калина 2 (МКПП)</t>
  </si>
  <si>
    <t>Патрубок "БРТ" радиатора отводящий для Лада Гранта, Калина 2 (АКПП)</t>
  </si>
  <si>
    <t>Патрубок "БРТ" радиатора подводящий, верхний для Лада Гранта, Калина 2 (МКПП)</t>
  </si>
  <si>
    <t>Патрубок "БРТ" радиатора подводящий для Лада Гранта, Калина 2 (АКПП)</t>
  </si>
  <si>
    <t>Патрубок "БРТ" пароотводящий расширительного бачка для Лада Гранта, Калина 2</t>
  </si>
  <si>
    <t>Пыльник "БРТ" кулисы КПП для Лада Гранта</t>
  </si>
  <si>
    <t>Сайлентблок "БРТ" передней растяжки для Лада Гранта, Гранта FL, Калина 2</t>
  </si>
  <si>
    <t>Патрубок "БРТ" отопителя подводящий для Лада Гранта, Калина 2</t>
  </si>
  <si>
    <t>Патрубок "БРТ" отопителя отводящий, нижний для Лада Гранта, Калина 2</t>
  </si>
  <si>
    <t>Пыльник "БРТ" вилки сцепления для Лада Гранта, Гранта FL, Калина 2 (с КПП 2181)</t>
  </si>
  <si>
    <t>Пыльник "БРТ" вилки сцепления для Лада Гранта, Гранта FL, Калина 2, Приора FL, Веста, XRAY</t>
  </si>
  <si>
    <t>Патрубок "БРТ" расширительного бачка (RF-90) для Лада Ларгус</t>
  </si>
  <si>
    <t>Шланг "БРТ" расширительного бачка, пароотводящий (RF-90) для Лада Ларгус</t>
  </si>
  <si>
    <t>Патрубок "БРТ" сапуна для Лада Ларгус</t>
  </si>
  <si>
    <t>Шланг "БРТ" вентиляции картера, верхний для Лада XRAY</t>
  </si>
  <si>
    <t>Шланг "БРТ" усилителя вакуумного в сборе для Лада XRAY</t>
  </si>
  <si>
    <t>Патрубок "БРТ" радиатора подводящий, верхний для Лада XRAY</t>
  </si>
  <si>
    <t>Патрубок "БРТ" расширительного бачка, верхний для Лада XRAY</t>
  </si>
  <si>
    <t>Патрубок "БРТ" радиатора, заправочный, верхний для Лада XRAY</t>
  </si>
  <si>
    <t>Патрубок "БРТ" пароотводящий термостата (для двигателя Р4М) для Лада XRAY</t>
  </si>
  <si>
    <t>Чехол "БРТ" привода наружный для Лада Веста</t>
  </si>
  <si>
    <t>Опора "БРТ" стойки передней подвески для Лада Ларгус</t>
  </si>
  <si>
    <t>Сальник "БРТ" коленвала передний для Лада Ларгус</t>
  </si>
  <si>
    <t>Уплотнитель "БРТ" передней двери для Лада Веста</t>
  </si>
  <si>
    <t>Пыльники задних амортизаторов силикон "КРАСНЫЕ" ВАЗ 2108-2115, ПРИОРА, КАЛИНА, ГРАНТА</t>
  </si>
  <si>
    <t>Пыльники передних стоек силикон "СИНИЙ" для ВАЗ 2108-2115, Приора, Калина, Гранта (2 шт)</t>
  </si>
  <si>
    <t>Уплотнитель порога "РГИ-135" для Лада (Гранта, Гранта FL, Калина, Калина 2), Датсун (mi-DO, on-DO)</t>
  </si>
  <si>
    <t>Башмак натяжителя цепи "БРТ" в сборе для Лада Нива 4х4, 2107 (с двигателем 1,7 л.)</t>
  </si>
  <si>
    <t>2108-51120</t>
  </si>
  <si>
    <t>Патрубок "БРТ" отопителя, отводящий для Лада XRAY</t>
  </si>
  <si>
    <t>Комплект уплотнителей порогов "АвтоВАЗ" для Шевроле Нива</t>
  </si>
  <si>
    <t>Брызговики задние с надписью LARGUS для Лада Ларгус</t>
  </si>
  <si>
    <t>2</t>
  </si>
  <si>
    <t>Сайлентблок подвески "БРТ" ВАЗ 21214 (нижний) Лада Нива 4x4, Шевроле Нива</t>
  </si>
  <si>
    <t>Закуп</t>
  </si>
  <si>
    <t>Розница</t>
  </si>
  <si>
    <t>Стойки стабилизатора "БРТ" для Лада Калина 2, Гранта, Гранта FL</t>
  </si>
  <si>
    <t>Подушка стабилизатора "БРТ" для Лада Калина 2, Гранта</t>
  </si>
  <si>
    <t>Уплотнитель "БРТ" опускного стекла внутренний, задний для ВАЗ 2110-2112</t>
  </si>
  <si>
    <t>Ремень генератора "БРТ" зубчатый для ВАЗ 2101-2107, Лада Нива 4x4</t>
  </si>
  <si>
    <t>Сальник первичного вала КПП "БРТ" для ВАЗ 2108-21099, 2113-2115, 2110-2112</t>
  </si>
  <si>
    <t>Прокладка крана отопителя "БРТ" для ВАЗ (2105, 2106, 2107), Лада (Нива 4x4, Ока)</t>
  </si>
  <si>
    <t>Опора стойки передней подвески "БРТ" с подшипником, смещение 6 мм для Лада Гранта (без ЭУР)</t>
  </si>
  <si>
    <t>Опора стойки передней подвески "БРТ" с подшипником, смещение 12 мм для Лада Гранта (с ЭУР)</t>
  </si>
  <si>
    <t>Стойки стабилизатора "БРТ" для Лада Калина 2, Гранта</t>
  </si>
  <si>
    <t>Изолирующая прокладка пружины передней подвески "БРТ" усиленная для ВАЗ 2101-2107</t>
  </si>
  <si>
    <t>Изолирующая прокладка пружины задней подвески "БРТ" усиленная для ВАЗ 2101-2107</t>
  </si>
  <si>
    <t>Уплотнитель стекла ветрового окна "БРТ" комплект (верх+низ) для Шевроле Нива</t>
  </si>
  <si>
    <t>№ п/п</t>
  </si>
  <si>
    <t>5К1125РУ</t>
  </si>
  <si>
    <t>Ремкомплект 158РУМ</t>
  </si>
  <si>
    <t>Ремкомплект 159РУМ</t>
  </si>
  <si>
    <t>Продукция ИП Ломов</t>
  </si>
  <si>
    <t>2108-1001033СБЛ</t>
  </si>
  <si>
    <t xml:space="preserve">подушка двигателя задняя </t>
  </si>
  <si>
    <t>2108-1001046СБЛ</t>
  </si>
  <si>
    <t>подушка двигателя боковая</t>
  </si>
  <si>
    <t>2108-1001020СБЛ</t>
  </si>
  <si>
    <t xml:space="preserve">подушка двигателя передняя </t>
  </si>
  <si>
    <t>2110-2902820Лом</t>
  </si>
  <si>
    <t>опора верхняя стойки передней в кор.</t>
  </si>
  <si>
    <t>2108-2902820Лом</t>
  </si>
  <si>
    <t>опора верхняя стойки передней в короб.</t>
  </si>
  <si>
    <t>2112-1001300Лом</t>
  </si>
  <si>
    <t>2101-2904040лом</t>
  </si>
  <si>
    <t>сайлентблок</t>
  </si>
  <si>
    <t>2101-2904180лом</t>
  </si>
  <si>
    <t>2101-1001020СБЛ</t>
  </si>
  <si>
    <t xml:space="preserve">подушка 2101 в сборе </t>
  </si>
  <si>
    <t>2121-1001020лом</t>
  </si>
  <si>
    <t>подушка 2121 в сборе (Ломов)</t>
  </si>
  <si>
    <t>2108-2904046РЕМ</t>
  </si>
  <si>
    <t>шарнир растяжки передней подвески задний)</t>
  </si>
  <si>
    <t>шарнир рычага подвески (4шт.)</t>
  </si>
  <si>
    <t>2101-29040180лом</t>
  </si>
  <si>
    <t>2105-2202080СБЛ</t>
  </si>
  <si>
    <t>опора карданного вала в сборе</t>
  </si>
  <si>
    <t>2110-1001242/43лев/прав</t>
  </si>
  <si>
    <t>опора двигателя в сборе (лев.;прав.)</t>
  </si>
  <si>
    <t>2110-1001286СБЛ</t>
  </si>
  <si>
    <t>подушка задняя в сборе</t>
  </si>
  <si>
    <t>2110-1001242лом</t>
  </si>
  <si>
    <t>подушка боковая гол.</t>
  </si>
  <si>
    <t>2110-1001286лом</t>
  </si>
  <si>
    <t>подушка задняя гол.</t>
  </si>
  <si>
    <t>1118-2906050СБЛ</t>
  </si>
  <si>
    <t>2110-2906050СБЛ</t>
  </si>
  <si>
    <t>стойки стабилизатора</t>
  </si>
  <si>
    <t>2108-2906050СБЛ</t>
  </si>
  <si>
    <t>2108-2904040лом</t>
  </si>
  <si>
    <t>2110-1703190лом</t>
  </si>
  <si>
    <t>обойма шаровой</t>
  </si>
  <si>
    <t>2121-2904040лом в короб</t>
  </si>
  <si>
    <t>с/блок</t>
  </si>
  <si>
    <t>подшипник 1118/2170</t>
  </si>
  <si>
    <t>2170-2902820сбл</t>
  </si>
  <si>
    <t>опора передней стойки с подшипником</t>
  </si>
  <si>
    <t>2170-2902820лом</t>
  </si>
  <si>
    <t>опора передней стойки без подшипника</t>
  </si>
  <si>
    <t>1118-2902820сбл</t>
  </si>
  <si>
    <t>1118-2902820лом</t>
  </si>
  <si>
    <t>2190-2902820/6</t>
  </si>
  <si>
    <t>опора передней подвески с подш (для а/м без ЭУР)</t>
  </si>
  <si>
    <t>опора передней подвески без подш (для а/м без ЭУР)</t>
  </si>
  <si>
    <t>2190-2902820/12</t>
  </si>
  <si>
    <t>опора передней подвески с подш (для а/м с ЭУР)</t>
  </si>
  <si>
    <t>опора передней подвески без подш (для а/м с ЭУР)</t>
  </si>
  <si>
    <t>3102-1001020лом / инд.уп</t>
  </si>
  <si>
    <t xml:space="preserve">подушка двигателя </t>
  </si>
  <si>
    <t>3302-2902027лом</t>
  </si>
  <si>
    <t>шарнир резино-металлический</t>
  </si>
  <si>
    <t>СЭВИ</t>
  </si>
  <si>
    <t>2108-2902820СЭВИ-ЭКСПЕРТ</t>
  </si>
  <si>
    <t>2110-2902820CЭВИ-ЭКСПЕРТ</t>
  </si>
  <si>
    <t>1118-2902820СЭВИ-ЭКСПЕРТ</t>
  </si>
  <si>
    <t>опора передней подвески с подш (Вологда)</t>
  </si>
  <si>
    <t>2170-2902820СЭВИ-ЭКСПЕРТ</t>
  </si>
  <si>
    <t>2101-2906231 сэви</t>
  </si>
  <si>
    <t>втулки заднего амортизатора</t>
  </si>
  <si>
    <t>2108-1203073 сэви</t>
  </si>
  <si>
    <t>подушки крепления глушителя 2108</t>
  </si>
  <si>
    <t>2108-2904046 сэви</t>
  </si>
  <si>
    <t>шарнир растяжки</t>
  </si>
  <si>
    <t>2101-2919042/08 СЭВИ-ЭКСПЕРТ</t>
  </si>
  <si>
    <t>втулки реактивных штанг</t>
  </si>
  <si>
    <t>2101-2919042/08 СЭВИ-ЭКСТРИМ</t>
  </si>
  <si>
    <t>шарнир.штанг продольн. и поперечн. устойч</t>
  </si>
  <si>
    <t>штанги СЭВИ Эксперт 2101</t>
  </si>
  <si>
    <t>штанги продольной и поперечной устойч.без крепления</t>
  </si>
  <si>
    <t>штанги СЭВИ Эксперт 2121</t>
  </si>
  <si>
    <t>штанги СЭВИ Экстрим 2101</t>
  </si>
  <si>
    <t>поворотный узел 1118/2170</t>
  </si>
  <si>
    <t>поворотный узел</t>
  </si>
  <si>
    <t>Полный перечень по СЭВИ -по запросу!</t>
  </si>
  <si>
    <t>БРТ*2</t>
  </si>
  <si>
    <t>Колпачок рулевой рейки "БРТ" малый для ВАЗ 2110-2112, Лада (Калина, Приора)</t>
  </si>
  <si>
    <t>6001547049Р</t>
  </si>
  <si>
    <t>Прокладка "БРТ" масляного картера для ВАЗ (2108-21099, 2110-2112, 2113-2115), Лада (Калина, Приора)</t>
  </si>
  <si>
    <t>Патрубок "БРТ" отопителя (печки) отводящий (изогнутый) для ВАЗ 2111</t>
  </si>
  <si>
    <t>Патрубок "БРТ" 21214 перепускной от термостата к тройнику (средний) для Лада Нива 4х4</t>
  </si>
  <si>
    <t>не нашел</t>
  </si>
  <si>
    <t>БРТ*4</t>
  </si>
  <si>
    <t>4</t>
  </si>
  <si>
    <t>6</t>
  </si>
  <si>
    <t>210800100604000</t>
  </si>
  <si>
    <t>Пыльники задних амортизаторов силикон "СИНИЙ" для ВАЗ 2108-2115, Приора, Калина, Гранта (комплект 2шт)</t>
  </si>
  <si>
    <t>Уплотнитель "БРТ" проёма двери задка для Лада Нива 4x4</t>
  </si>
  <si>
    <t>21213-6307024-30Р</t>
  </si>
  <si>
    <t>Уплотнитель "БРТ" ветрового стекла для ВАЗ 2108-21099</t>
  </si>
  <si>
    <t>2108-5206054</t>
  </si>
  <si>
    <t>2108610701</t>
  </si>
  <si>
    <t>2108630301801</t>
  </si>
  <si>
    <t>Уплотнитель "БРТ" капота для ВАЗ 2108-21099, 2110-2112, 2113-2115</t>
  </si>
  <si>
    <t>Уплотнители "БРТ" порогов резиновые для ВАЗ 2108</t>
  </si>
  <si>
    <t>Уплотнители "БРТ" порогов резиновые для ВАЗ 2109, 21099</t>
  </si>
  <si>
    <t>Уплотнитель окна боковины правый для ВАЗ 2108</t>
  </si>
  <si>
    <t>21080-5403122-01</t>
  </si>
  <si>
    <t>Уплотнитель "БРТ" на окно боковины левый для ВАЗ 2108</t>
  </si>
  <si>
    <t>21080-5403122-01P</t>
  </si>
  <si>
    <t>Уплотнители "БРТ" проемов передних дверей 3-х камерные для ВАЗ 2109, 21099, 2114, 2115</t>
  </si>
  <si>
    <t>2109061070140</t>
  </si>
  <si>
    <t>Уплотнители "БРТ" проемов задних дверей 3-х камерные для ВАЗ 2109, 21099, 2114, 2115</t>
  </si>
  <si>
    <t>21090620701400</t>
  </si>
  <si>
    <t>Бархотки на двери "БРТ" внутренние для ВАЗ 2110-2112</t>
  </si>
  <si>
    <t>Уплотнитель ветрового стекла "БРТ"  верхний для ВАЗ 2110-2112</t>
  </si>
  <si>
    <t>2110-5206064-30</t>
  </si>
  <si>
    <t>Уплотнители проемов передних дверей "БРТ" для ВАЗ 2110-2112</t>
  </si>
  <si>
    <t>2110-6107014 (правый) / 2110-6107015 (левый)</t>
  </si>
  <si>
    <t>Уплотнители проема задних дверей "БРТ" для ВАЗ 2110-2112</t>
  </si>
  <si>
    <t>2110-6207014 (правый) / 2110-6207015 (левый)</t>
  </si>
  <si>
    <t>Уплотнитель заднего стекла "БРТ" для ВАЗ 2111</t>
  </si>
  <si>
    <t>Уплотнитель заднего стекла "БРТ" для ВАЗ 2112</t>
  </si>
  <si>
    <t>Уплотнитель заднего стекла "БРТ" верхний для ВАЗ 2110-2112</t>
  </si>
  <si>
    <t>2110-5603062</t>
  </si>
  <si>
    <t>Уплотнитель "БРТ" крышки багажника для ВАЗ 2110-2112, Лада (Калина, Калина 2, Гранта, Гранта FL)</t>
  </si>
  <si>
    <t>2112630702402</t>
  </si>
  <si>
    <t>Уплотнитель порогов "БРТ" резиновый для ВАЗ 2110-2112</t>
  </si>
  <si>
    <t>1118610701810</t>
  </si>
  <si>
    <t>Брызговики задние для Лада Приора (седан)</t>
  </si>
  <si>
    <t>217008404412 / 217008404413</t>
  </si>
  <si>
    <t>Уплотнители опускных стекол "БРТ" П-образные для ВАЗ 2111</t>
  </si>
  <si>
    <t>Уплотнители опускных стекол "БРТ" П-образные для ВАЗ 2110, 2112</t>
  </si>
  <si>
    <t>Уплотнитель локеров и подкрылков для Лада (Калина 2, Гранта), Датсун (mi-DO, on-DO)</t>
  </si>
  <si>
    <t>84РШХ</t>
  </si>
  <si>
    <t>21010130301086</t>
  </si>
  <si>
    <t>2110-1303025, 2110-1303010, 2110-1303093</t>
  </si>
  <si>
    <t>212131303010</t>
  </si>
  <si>
    <t>Комплект "БРТ" П-образных уплотнителей опускных стекол для ВАЗ 2109, 21099, 2114, 2115</t>
  </si>
  <si>
    <t>2109-6103292/293/6203292/293</t>
  </si>
  <si>
    <t>11180290282110</t>
  </si>
  <si>
    <t>Комплект "БРТ" 3-х камерных уплотнителей дверей для ВАЗ 2109, 21099, 2114, 2115</t>
  </si>
  <si>
    <t>2109-6107018Р | 2109-6207018Р</t>
  </si>
  <si>
    <t>Брызговики задние для Лада Приора (хэтчбек)</t>
  </si>
  <si>
    <t>111801303093</t>
  </si>
  <si>
    <t>2107-6107018Р</t>
  </si>
  <si>
    <t>Уплотнитель "БРТ" проёма задней двери ВАЗ 2101-2107</t>
  </si>
  <si>
    <t>21070-6107020-00</t>
  </si>
  <si>
    <t>180РШ</t>
  </si>
  <si>
    <t>212103726087</t>
  </si>
  <si>
    <t>Брызговики "БРТ" задние для Лада Нива 4х4</t>
  </si>
  <si>
    <t>136Р</t>
  </si>
  <si>
    <t>21214630301800</t>
  </si>
  <si>
    <t>61065-3710072</t>
  </si>
  <si>
    <t>21214520605400</t>
  </si>
  <si>
    <t>21310540312200</t>
  </si>
  <si>
    <t>Комплект "БРТ" уплотнителей проёма дверей для ВАЗ 2101-2107</t>
  </si>
  <si>
    <t>Чехол тяги привода переключения передач "БРТ" для ВАЗ 2108-21099, 2113-2115</t>
  </si>
  <si>
    <t>2108-1303010/25/90/92</t>
  </si>
  <si>
    <t>Комплект прокладок петли "БРТ" на двери задка для Лада Нива 4х4</t>
  </si>
  <si>
    <t>21213-6306026, 21213-6306027, 2121-6306034-10</t>
  </si>
  <si>
    <t>2101-1001045Р</t>
  </si>
  <si>
    <t>21010100327000</t>
  </si>
  <si>
    <t>2101-1009070К</t>
  </si>
  <si>
    <t>21010100610000</t>
  </si>
  <si>
    <t>21010110409000</t>
  </si>
  <si>
    <t>2103-1006090РУ</t>
  </si>
  <si>
    <t>21080100103100</t>
  </si>
  <si>
    <t>Подушка задней подвески двигателя "БРТ" в сборе для ВАЗ 2104-07 с  5-ти ступенчатой КПП</t>
  </si>
  <si>
    <t>21070100104500</t>
  </si>
  <si>
    <t>21080100101500</t>
  </si>
  <si>
    <t>21080100104000</t>
  </si>
  <si>
    <t>21080100327010</t>
  </si>
  <si>
    <t>21080100327700</t>
  </si>
  <si>
    <t>2121-1164083Р</t>
  </si>
  <si>
    <t>21213-1006090Р</t>
  </si>
  <si>
    <t>4РК708РУ</t>
  </si>
  <si>
    <t>Ремень поликлиновой "БРТ" для Лада Ларгус</t>
  </si>
  <si>
    <t>5К990Р</t>
  </si>
  <si>
    <t>Ремкомплект 202РУ Р/К, ремень ГРМ 132-26.</t>
  </si>
  <si>
    <t>Ремкомплект 203РУ Р/К, ремень ГРМ 21725Р.</t>
  </si>
  <si>
    <t>Ремкомплект 245РУ Р/К.</t>
  </si>
  <si>
    <t>1118-1303025РП</t>
  </si>
  <si>
    <t>11180350606010</t>
  </si>
  <si>
    <t>1118-1303093РП</t>
  </si>
  <si>
    <t>1118-8101200-10РП</t>
  </si>
  <si>
    <t>1118-8101204-10РП</t>
  </si>
  <si>
    <t>1119-1303010РП</t>
  </si>
  <si>
    <t>1119-1303025РП</t>
  </si>
  <si>
    <t>1119-1303093РП</t>
  </si>
  <si>
    <t>2101-1014056РП</t>
  </si>
  <si>
    <t>2101-1303010РП</t>
  </si>
  <si>
    <t>2101-1303025РП</t>
  </si>
  <si>
    <t>2101-1303090РП</t>
  </si>
  <si>
    <t>21010160259000</t>
  </si>
  <si>
    <t>2101-8101200РП</t>
  </si>
  <si>
    <t>21010810120400</t>
  </si>
  <si>
    <t>2102-1101080РП</t>
  </si>
  <si>
    <t>2103-1303025РП</t>
  </si>
  <si>
    <t>2103-3510050-01Р</t>
  </si>
  <si>
    <t>21045-1303025РП</t>
  </si>
  <si>
    <t>21073-8101204-10РП</t>
  </si>
  <si>
    <t>2108-1101080-10РП</t>
  </si>
  <si>
    <t>2108-1101080-21РП</t>
  </si>
  <si>
    <t>Патрубок радиатора отводящий  "БРТ" нижний для ВАЗ 2108-21099, 2113-2115</t>
  </si>
  <si>
    <t>Патрубок радиатора подводящий (волна)  "БРТ" верхний для ВАЗ 2108-21099, 2113-2115</t>
  </si>
  <si>
    <t>2108-1303080РП</t>
  </si>
  <si>
    <t>2108-1303092РП</t>
  </si>
  <si>
    <t>21082-1303080РП</t>
  </si>
  <si>
    <t>2108-8101200-20РП</t>
  </si>
  <si>
    <t>2108-8101206РП</t>
  </si>
  <si>
    <t>2108-8101204-20РП</t>
  </si>
  <si>
    <t>2108-8101200РП</t>
  </si>
  <si>
    <t>2108-8101204РП</t>
  </si>
  <si>
    <t>2110-1303010РП</t>
  </si>
  <si>
    <t>2110-1303025РП</t>
  </si>
  <si>
    <t>21083372419500</t>
  </si>
  <si>
    <t>2110-8101202РП.</t>
  </si>
  <si>
    <t>2110-8101208-11РП.</t>
  </si>
  <si>
    <t>2110-8101209РП.</t>
  </si>
  <si>
    <t>2111-1014058-10РП.</t>
  </si>
  <si>
    <t>2111-1303080РП.</t>
  </si>
  <si>
    <t>2111-8101200-10РП.</t>
  </si>
  <si>
    <t>21110810120000</t>
  </si>
  <si>
    <t>2101-1203047Р, 21213-1203073Р.</t>
  </si>
  <si>
    <t>2123-2906040Р, 2123-2906046Р.</t>
  </si>
  <si>
    <t>1118-1203073Р, 21213-1203073Р.</t>
  </si>
  <si>
    <t>2170-1203073Р, 21213-1203073Р.</t>
  </si>
  <si>
    <t>2101-1203047, 2101-1203072.</t>
  </si>
  <si>
    <t>2101-1203047.</t>
  </si>
  <si>
    <t>2108120307320</t>
  </si>
  <si>
    <t>1118-1203073Р.</t>
  </si>
  <si>
    <t>1118-2902821РПУ.</t>
  </si>
  <si>
    <t>1118-2902821РУ.</t>
  </si>
  <si>
    <t>2101-2202120РУ</t>
  </si>
  <si>
    <t>2101-2904070Р.</t>
  </si>
  <si>
    <t>2101-2904195-10Р.</t>
  </si>
  <si>
    <t>21010290423000</t>
  </si>
  <si>
    <t>2101-2912652-10Р.</t>
  </si>
  <si>
    <t>2108-2902820РУ.</t>
  </si>
  <si>
    <t>2108-2912652Р.</t>
  </si>
  <si>
    <t>Кожух амортизатора задней подвески "БРТ" для ВАЗ (2108-21099, 2113-2115, 2110-2112), Лада (Приора, Приора 2, Калина, Калина 2, Гранта, Гранта FL)</t>
  </si>
  <si>
    <t>2108-2915681К.</t>
  </si>
  <si>
    <t>2110-2902820РУ.</t>
  </si>
  <si>
    <t>2110-2905681Р.</t>
  </si>
  <si>
    <t>2110-2912652Р.</t>
  </si>
  <si>
    <t>2121-3105010Р</t>
  </si>
  <si>
    <t>2121-3105011Р</t>
  </si>
  <si>
    <t>21213-3105010Р</t>
  </si>
  <si>
    <t>21217-2919040РП.</t>
  </si>
  <si>
    <t>21217-2919041РП.</t>
  </si>
  <si>
    <t>21700290272300</t>
  </si>
  <si>
    <t>21700290282101</t>
  </si>
  <si>
    <t>Опора верхняя стойки передней подвески (люстра) в сборе "БМРТ" для Лада Приора</t>
  </si>
  <si>
    <t>2170-2902821РУ.</t>
  </si>
  <si>
    <t>2180-2904040Р.</t>
  </si>
  <si>
    <t>2180-2904044Р.</t>
  </si>
  <si>
    <t>2180-2914054Р.</t>
  </si>
  <si>
    <t>2190-2904049РУ.</t>
  </si>
  <si>
    <t>2108-2904040Р.</t>
  </si>
  <si>
    <t>2108-2904050Р.</t>
  </si>
  <si>
    <t>21080291405400</t>
  </si>
  <si>
    <t>21080291544601</t>
  </si>
  <si>
    <t>2110-2914054Р.</t>
  </si>
  <si>
    <t>2121-2904040Р.</t>
  </si>
  <si>
    <t>2190-2904040Р.</t>
  </si>
  <si>
    <t>21900290604000</t>
  </si>
  <si>
    <t>2101-2905450Р.</t>
  </si>
  <si>
    <t>21080170318200</t>
  </si>
  <si>
    <t>2121-1801010-02РУ.</t>
  </si>
  <si>
    <t>2180-3506060Р.</t>
  </si>
  <si>
    <t>2180-3506085Р.</t>
  </si>
  <si>
    <t>8200778634Р.</t>
  </si>
  <si>
    <t>8200958352Р.</t>
  </si>
  <si>
    <t>8450022221Р.</t>
  </si>
  <si>
    <t>8450031128Р.</t>
  </si>
  <si>
    <t>8450031129Р.</t>
  </si>
  <si>
    <t>4РК913РУ.</t>
  </si>
  <si>
    <t>1111-3701720-01РУ</t>
  </si>
  <si>
    <t>Ремень генератора клиновой "БРТ" для Лада Ока</t>
  </si>
  <si>
    <t>1111-3701720РУ</t>
  </si>
  <si>
    <t>1118-1041020-02РУ</t>
  </si>
  <si>
    <t>2101-1308020РУ</t>
  </si>
  <si>
    <t>21082370172000</t>
  </si>
  <si>
    <t>2108-3701720-01РУ</t>
  </si>
  <si>
    <t>2108-3701720РУ</t>
  </si>
  <si>
    <t>21100370172001</t>
  </si>
  <si>
    <t>21214340704200</t>
  </si>
  <si>
    <t>Ремень привода генератора  поликлиновой "БРТ" для Лада Гранта (с кондиционером)</t>
  </si>
  <si>
    <t>21120101405800</t>
  </si>
  <si>
    <t>21120110108001</t>
  </si>
  <si>
    <t>2112-1303080-10РП.</t>
  </si>
  <si>
    <t>2112-1303093РП.</t>
  </si>
  <si>
    <t>21124-1014058РП.</t>
  </si>
  <si>
    <t>Гофра "БРТ" проводки двери для ВАЗ 2101-2107</t>
  </si>
  <si>
    <t>Гофра "БРТ" проводки двери универсальная (средняя)</t>
  </si>
  <si>
    <t>2114-8101200РП.</t>
  </si>
  <si>
    <t>Гофра проводки короткая (задней двери) "БРТ" для Лада (Калина, Калина 2, Гранта), Датсун (mi-DO, on-DO)</t>
  </si>
  <si>
    <t>21103-3724196Р</t>
  </si>
  <si>
    <t>2114-8101204РП.</t>
  </si>
  <si>
    <t>2114-8101206РП.</t>
  </si>
  <si>
    <t>2121-1014056РП.</t>
  </si>
  <si>
    <t>2121-1101080РП.</t>
  </si>
  <si>
    <t>2108-3724195-10Р</t>
  </si>
  <si>
    <t>Гофра "БРТ" проводки двери универсальная (толстая)</t>
  </si>
  <si>
    <t>21103-3724195Р</t>
  </si>
  <si>
    <t>Гофра "БРТ" проводки двери (S-образная, толстая) для ВАЗ 2110-2112</t>
  </si>
  <si>
    <t>КР-19</t>
  </si>
  <si>
    <t>Гофра "БРТ" проводки двери для Лада Калина, Гранта</t>
  </si>
  <si>
    <t>2121-1303090РП.</t>
  </si>
  <si>
    <t>21213-1303090-10РП</t>
  </si>
  <si>
    <t>Гофра "БРТ" проводки двери универсальная (тонкая)</t>
  </si>
  <si>
    <t>21213-1303090РП</t>
  </si>
  <si>
    <t>Гофра "БРТ" проводки двери (S-образная, тонкая) для ВАЗ 2110-2112</t>
  </si>
  <si>
    <t>2111-3724195Р</t>
  </si>
  <si>
    <t>21213-1303092-10РП.</t>
  </si>
  <si>
    <t>21213-1303092РП.</t>
  </si>
  <si>
    <t>21213-3510050Р.</t>
  </si>
  <si>
    <t>21214-1101080-30РП.</t>
  </si>
  <si>
    <t>21214-1101080-40РП.</t>
  </si>
  <si>
    <t>21214-8101200РП.</t>
  </si>
  <si>
    <t>21214-8101204РП.</t>
  </si>
  <si>
    <t>2121-8101200РП.</t>
  </si>
  <si>
    <t>2121-8101204РП.</t>
  </si>
  <si>
    <t>2123-1014056РП.</t>
  </si>
  <si>
    <t>2123-1101080-20РП.</t>
  </si>
  <si>
    <t>2123-1303156-01РП.</t>
  </si>
  <si>
    <t>2123-3506060Р.</t>
  </si>
  <si>
    <t>2123-3506085Р.</t>
  </si>
  <si>
    <t>2123-8101200РП.</t>
  </si>
  <si>
    <t>2123-8101204РП.</t>
  </si>
  <si>
    <t>2101-5206050Р</t>
  </si>
  <si>
    <t>2101-5207050Р.</t>
  </si>
  <si>
    <t>Уплотнитель "БРТ" проёма передней двери для ВАЗ 2101-2107</t>
  </si>
  <si>
    <t>Уплотнитель "БРТ" проёма передней двери для ВАЗ 2108</t>
  </si>
  <si>
    <t>2108-6107018Р</t>
  </si>
  <si>
    <t>21099560301801</t>
  </si>
  <si>
    <t>Уплотнитель "БРТ" крышки багажника для ВАЗ (2101-2107, 2108-21099, 2113-2115), Лада Нива 4х4</t>
  </si>
  <si>
    <t>2108-6307024Р</t>
  </si>
  <si>
    <t>Уплотнитель "БРТ" проёма передней двери 3-х камерный для ВАЗ 2109, 21099, 2114, 2115</t>
  </si>
  <si>
    <t>2109-6107018Р</t>
  </si>
  <si>
    <t>Уплотнитель "БРТ" проёма задней двери 3-х камерный для ВАЗ 2109, 21099, 2114, 2115</t>
  </si>
  <si>
    <t>2109-6207018Р</t>
  </si>
  <si>
    <t>2110-6107018Р</t>
  </si>
  <si>
    <t>2112-6307024-02Р</t>
  </si>
  <si>
    <t>2170-1303080РП.</t>
  </si>
  <si>
    <t>Уплотнитель "БРТ" заднего стекла окна двери для Лада Нива 4x4, Урбан</t>
  </si>
  <si>
    <t>2180-1014058Р.</t>
  </si>
  <si>
    <t>21801-1014058Р.</t>
  </si>
  <si>
    <t>21214-5403122Р.</t>
  </si>
  <si>
    <t>Уплотнитель "БРТ" проёма передней двери для Лада Нива 4x4</t>
  </si>
  <si>
    <t>2121-6107018-10Р.</t>
  </si>
  <si>
    <t>2123-6107018-01Р</t>
  </si>
  <si>
    <t>2180-1303095Р.</t>
  </si>
  <si>
    <t>2123-6207018-01Р.</t>
  </si>
  <si>
    <t>2123-6307024-02Р.</t>
  </si>
  <si>
    <t>Уплотнитель "БРТ" крышки багажника для Лада Приора, Приора 2, Веста</t>
  </si>
  <si>
    <t>2172-6307024-02Р</t>
  </si>
  <si>
    <t>21800560513200</t>
  </si>
  <si>
    <t>505012100Р.</t>
  </si>
  <si>
    <t>2101-3003074Р.</t>
  </si>
  <si>
    <t>2108-3401224К.</t>
  </si>
  <si>
    <t>21100340122400</t>
  </si>
  <si>
    <t>2110-3414070Р.</t>
  </si>
  <si>
    <t>21080160121100</t>
  </si>
  <si>
    <t>2101-1005034-02Р.</t>
  </si>
  <si>
    <t>2101-1005034-02РЭ.</t>
  </si>
  <si>
    <t>21010100516002</t>
  </si>
  <si>
    <t>2101-1005160-02РЭ.</t>
  </si>
  <si>
    <t>2101-1701043К.</t>
  </si>
  <si>
    <t>2101-1701043Р.</t>
  </si>
  <si>
    <t>2101-1701210К.</t>
  </si>
  <si>
    <t>Кольцо уплотнительное системы кондиционирования (10 х 6 х 2 мм)</t>
  </si>
  <si>
    <t>8450039689</t>
  </si>
  <si>
    <t>Кольцо уплотнительное системы кондиционирования (11 х 8 х 2 мм)</t>
  </si>
  <si>
    <t>Кольцо уплотнительное системы кондиционирования (17 х 14 х 2 мм)</t>
  </si>
  <si>
    <t>21050-2803052-02</t>
  </si>
  <si>
    <t>21082-1303010Р, 21082-1303025Р, 2109-1303093-018</t>
  </si>
  <si>
    <t>Бархотки на двери "БРТ" наружные для ВАЗ 2111</t>
  </si>
  <si>
    <t>2111-6203290 / 2111-6203291 / 2110-6103290 / 2110-6103291</t>
  </si>
  <si>
    <t>Бархотки на двери "БРТ" внутренние для ВАЗ 2111</t>
  </si>
  <si>
    <t>2111-6203320 / 2110-6103320.</t>
  </si>
  <si>
    <t>Уплотнители передних опускных стекол "БРТ" П-образные для ВАЗ 2110-2112</t>
  </si>
  <si>
    <t>Втулка "БРТ" кронштейна упора капота для ВАЗ (2108-21099, 2110-2112, 2113-2115), Лада (Калина, Калина 2, Приора, Гранта, Ока), Шевроле Нива</t>
  </si>
  <si>
    <t>2170-8407134-00</t>
  </si>
  <si>
    <t>Буфер "БРТ" двери задка для Лада Приора, Гранта</t>
  </si>
  <si>
    <t>210503726087</t>
  </si>
  <si>
    <t>Прокладка "БРТ" повторителя поворота для ВАЗ 2108-21099</t>
  </si>
  <si>
    <t>21120-1008104-00</t>
  </si>
  <si>
    <t>Уплотнители "БРТ" опускного стекла для ВАЗ 2101, 2103, 2106</t>
  </si>
  <si>
    <t>47Р</t>
  </si>
  <si>
    <t>Уплотнители "БРТ" опускных стекол для ВАЗ 2104, 2105, 2107</t>
  </si>
  <si>
    <t>52Р</t>
  </si>
  <si>
    <t>Брызговики "БРТ" задние для Лада Ларгус</t>
  </si>
  <si>
    <t>8280</t>
  </si>
  <si>
    <t>Брызговики передние "АвтоВАЗ" для Лада Ларгус</t>
  </si>
  <si>
    <t>21230-6107034 / 8450085593, 21230-6207036 / 8450085597, 21230-6207037 / 8450085596</t>
  </si>
  <si>
    <t>6001549988</t>
  </si>
  <si>
    <t>2114-8101208/2114-8101200/2114-8101204/2114-8101206</t>
  </si>
  <si>
    <t>2123-1602518-20</t>
  </si>
  <si>
    <t>Комплект "БРТ" П-образных уплотнителей опускных стекол (2 шт.) для ВАЗ 2108</t>
  </si>
  <si>
    <t>210806103292 / 210806103293</t>
  </si>
  <si>
    <t>10559</t>
  </si>
  <si>
    <t>2108-100503401</t>
  </si>
  <si>
    <t>Гофра "БРТ" проводки двери толстая, S-образная для ВАЗ 2110-2112</t>
  </si>
  <si>
    <t>11755</t>
  </si>
  <si>
    <t>Колпачок концевика "АвтоВАЗ" двери защитный, с двойной гофрой для Лада (Калина, Калина 2 Гранта, Гранта FL, Нива 4х4, Веста), Датсун (mi-DO, on-DO)</t>
  </si>
  <si>
    <t>8450106958</t>
  </si>
  <si>
    <t>211003401223</t>
  </si>
  <si>
    <t>21103401225</t>
  </si>
  <si>
    <t>Защитные колпачки опор передних стоек для Лада (Калина 2, Гранта), Датсун (mi-Do, on-Do)</t>
  </si>
  <si>
    <t>2190-2901054</t>
  </si>
  <si>
    <t>2101240205201К</t>
  </si>
  <si>
    <t>21103506085</t>
  </si>
  <si>
    <t>21012905448</t>
  </si>
  <si>
    <t>Буфер "БРТ" капота и двери задка для ВАЗ (2108-21099, 2110-2112, 2113-2115), Лада (Приора, Приора 2, Калина, Калина 2, Ока, Надежда)</t>
  </si>
  <si>
    <t>2108-8402214-01, 2108-8402214-01Р</t>
  </si>
  <si>
    <t>Комплект резиновых заглушек пола кузова "БРТ" для ВАЗ 2110-2112</t>
  </si>
  <si>
    <t>21105002090, 21105002092</t>
  </si>
  <si>
    <t>222РШ</t>
  </si>
  <si>
    <t>Верхние уплотнители дверей (водосток) "БРТ" для ВАЗ 2110-2112</t>
  </si>
  <si>
    <t>2110-6107020 / 21</t>
  </si>
  <si>
    <t>2110-5206050</t>
  </si>
  <si>
    <t>Уплотнитель "БРТ" капота (задний) для ВАЗ 2105-2107</t>
  </si>
  <si>
    <t>Комплект резиновых заглушек пола кузова "БРТ" для ВАЗ 2101-2107</t>
  </si>
  <si>
    <t>Комплект "БРТ" резиновые заглушки пола кузова для ВАЗ 2108-21099, 2113-2115</t>
  </si>
  <si>
    <t>Комплект брызговиков "БРТ" задние для ВАЗ 2101-2107</t>
  </si>
  <si>
    <t>21214290404001Р</t>
  </si>
  <si>
    <t>Грязезащитные заглушки проема рулевых тяг "БРТ" для Лада Калина, Калина 2, Гранта</t>
  </si>
  <si>
    <t>Опора стойки передней подвески "БМРТ" без подшипника для Лада Веста</t>
  </si>
  <si>
    <t>18428</t>
  </si>
  <si>
    <t>Уплотнители "БРТ" проёмов дверей для ВАЗ 2110, 2112</t>
  </si>
  <si>
    <t>Прокладка пружины передней подвески "БРТ" для Лада Калина</t>
  </si>
  <si>
    <t>11180-2902723-00</t>
  </si>
  <si>
    <t>Уплотнительное кольцо "БРТ" главного тормозного цилиндра, рабочего цилиндра сцепления (d 19 мм) для ВАЗ 2101-2107</t>
  </si>
  <si>
    <t>2101-1602516Р</t>
  </si>
  <si>
    <t>Уплотнитель рычага ручного тормоза нового образца для Шевроле Нива (после 2009 г. в.), Лада Нива Travel</t>
  </si>
  <si>
    <t>212305109159550</t>
  </si>
  <si>
    <t>2121-8402214Р</t>
  </si>
  <si>
    <t>21218402214Р</t>
  </si>
  <si>
    <t>Буфер "БРТ" капота левый для Лада Нива 4х4</t>
  </si>
  <si>
    <t>2121-8402215Р</t>
  </si>
  <si>
    <t>21218402215Р</t>
  </si>
  <si>
    <t>Прокладки петли "БРТ" двери задка верхняя для Лада Нива 4x4</t>
  </si>
  <si>
    <t>2121-6306034</t>
  </si>
  <si>
    <t>Прокладка петли "БРТ" двери задка для Лада Нива 4x4</t>
  </si>
  <si>
    <t>2121-6306036-00</t>
  </si>
  <si>
    <t>Прокладка петли "БРТ" двери задка, правая для Лада Нива 4x4</t>
  </si>
  <si>
    <t>21213-6306026</t>
  </si>
  <si>
    <t>Прокладка петли "БРТ" двери задка, левая для Лада Нива 4x4</t>
  </si>
  <si>
    <t>21213-6306027</t>
  </si>
  <si>
    <t>Накладка "БРТ" на педаль тормоза для Лада (Калина 2, Гранта, Приора), Датсун (mi-DO, on-DO) (АКПП)</t>
  </si>
  <si>
    <t>21902-3504048</t>
  </si>
  <si>
    <t>211001602048</t>
  </si>
  <si>
    <t>Сальник "БРТ" привода для Лада 4х4 Нива</t>
  </si>
  <si>
    <t>12019142B</t>
  </si>
  <si>
    <t>Сальник распредвала, коленвала "БРТ" передний для ВАЗ (2108-21099, 2110-2112, 2113-2115), Лада (Калина, Калина 2, Приора, Гранта)</t>
  </si>
  <si>
    <t>21081005034</t>
  </si>
  <si>
    <t>Сайлентблоки "БРТ" растяжки передней подвески для ВАЗ (2108-21099, 2110-2112, 2113-2115), Лада (Калина, Приора)</t>
  </si>
  <si>
    <t>REMKOMPLEKT 70RU</t>
  </si>
  <si>
    <t>Стойки стабилизатора "БРТ" для Лада Гранта Спорт, Калина 2</t>
  </si>
  <si>
    <t>219282906050</t>
  </si>
  <si>
    <t>Ед.изм.</t>
  </si>
  <si>
    <t>10.7Х8-900РУ</t>
  </si>
  <si>
    <t>шт</t>
  </si>
  <si>
    <t>1-8.5Х8-1018 2К 1СРУ</t>
  </si>
  <si>
    <t>10.7Х8-1018РУ</t>
  </si>
  <si>
    <t>1-8.5Х8-1030 2К 2СРУ</t>
  </si>
  <si>
    <t>10.7Х8-1030РУ</t>
  </si>
  <si>
    <t>1-8.5Х8-875 2К 1СРУ</t>
  </si>
  <si>
    <t>10.7Х8-875РУ</t>
  </si>
  <si>
    <t>2107-1308020РУ</t>
  </si>
  <si>
    <t>4091.1308020-01РУ</t>
  </si>
  <si>
    <t>40624.1308020-01РУ</t>
  </si>
  <si>
    <t>40624.1308020-11РУ</t>
  </si>
  <si>
    <t>740.20-1307170РУ</t>
  </si>
  <si>
    <t>компл</t>
  </si>
  <si>
    <t>к-т</t>
  </si>
  <si>
    <t>2101-2905448/50СЕБ</t>
  </si>
  <si>
    <t>новые ремкомплекты</t>
  </si>
  <si>
    <t>прокладки усиленные изолирующие пружины передней подвески</t>
  </si>
  <si>
    <t>прокладки усиленные изолирующие пружины задней подвески</t>
  </si>
  <si>
    <t>ВАЗ 2101-07 подвеска передняя и задняя</t>
  </si>
  <si>
    <t>ВАЗ 2101-07 подвеска передняя</t>
  </si>
  <si>
    <t>ВАЗ фартуки заднего колеса 2108</t>
  </si>
  <si>
    <t>ВАЗ фартуки заднего колеса 21099</t>
  </si>
  <si>
    <t>ВАЗ фартуки заднего колеса 2101</t>
  </si>
  <si>
    <t>ваз 2121 фартуки заднего колеса</t>
  </si>
  <si>
    <t>ВАЗ фартуки  переднего колеса 2109</t>
  </si>
  <si>
    <t>ВАЗ фартуки  переднего крыла 2110</t>
  </si>
  <si>
    <t>ВАЗ 2110 фартуки задние</t>
  </si>
  <si>
    <t>ваз 2114 фартуки переднего колеса</t>
  </si>
  <si>
    <t>ВАЗ 2114 фартуки заднего колеса</t>
  </si>
  <si>
    <t>ВАЗ 2114-фартуки переднего колеса</t>
  </si>
  <si>
    <t>ВАЗ. Наконечник проводов высокого напряжения</t>
  </si>
  <si>
    <t>ВАЗ. Растяжка перед.подвески 2108</t>
  </si>
  <si>
    <t>ВАЗ. Уплотнитель стекол 2121</t>
  </si>
  <si>
    <t>ВАЗ. Уплотнитель стекол 21213</t>
  </si>
  <si>
    <t>шт.</t>
  </si>
  <si>
    <t>опора передней подвески подш.Вологда</t>
  </si>
  <si>
    <t xml:space="preserve">опора передней подвески подш. Вологда </t>
  </si>
  <si>
    <r>
      <t xml:space="preserve">                                </t>
    </r>
    <r>
      <rPr>
        <b/>
        <sz val="10"/>
        <rFont val="Arial"/>
        <family val="2"/>
        <charset val="204"/>
      </rPr>
      <t xml:space="preserve"> Патрубки радиатора, патрубки отопителя упакованные  (КООП)</t>
    </r>
  </si>
  <si>
    <t>Уплотнитель "БРТ" на заднее стекло (окна двери задка) для ВАЗ 2108, 2109, 2113, 2114</t>
  </si>
  <si>
    <t>Уплотнители (бархотки) "БРТ" порогов для ВАЗ 2114, 2115</t>
  </si>
  <si>
    <t>Уплотнители (бархотки) "БРТ" порогов для ВАЗ 2113</t>
  </si>
  <si>
    <t>Бархотки на двери "БРТ" наружные для ВАЗ 2110-2112</t>
  </si>
  <si>
    <t>Уплотнитель вертикальный "РКИ 19" для Лада Гранта, Калина, Калина 2</t>
  </si>
  <si>
    <t>Комплект наружных бархоток "БРТ" для Лада Приора</t>
  </si>
  <si>
    <t>Окантовка "БРТ" заднего ветрового стекла (П-образная) для Лада Гранта седан</t>
  </si>
  <si>
    <t>Уплотнитель капота "БРТ" для Лада Приора</t>
  </si>
  <si>
    <t>Окантовки ветрового (лобового) окна "БРТ" для ВАЗ 2110-2112, Лада Приора</t>
  </si>
  <si>
    <t>Верхние уплотнители дверей (водосток) "БРТ" для Лада Приора</t>
  </si>
  <si>
    <t>Уплотнители порогов "БРТ" для Лада Приора</t>
  </si>
  <si>
    <t>Комплект внешних бархоток "БРТ" для Лада Приора универсал</t>
  </si>
  <si>
    <t>Бархотки "БРТ" опускных стекол (П-образные) для Лада Калина, Калина 2, Гранта</t>
  </si>
  <si>
    <t>Пыльники "БРТ" подрулевого переключателя (высокие)</t>
  </si>
  <si>
    <t>Бархотки "БРТ" внешние для Лада Калина, Калина 2, Гранта</t>
  </si>
  <si>
    <t>Подушка подвески двигателя "БРТ" передняя для автомобилей ГАЗ</t>
  </si>
  <si>
    <t>Уплотнитель "БРТ" проёма передней двери для Лада Калина</t>
  </si>
  <si>
    <t>1118-6107018-10Р</t>
  </si>
  <si>
    <t>Уплотнитель "БРТ" проёма задней двери для Лада Калина седан</t>
  </si>
  <si>
    <t>1118-6207018-10Р</t>
  </si>
  <si>
    <t>2170-6107018-01Р</t>
  </si>
  <si>
    <t>2170-6207018-01Р</t>
  </si>
  <si>
    <t>Окантовка "БРТ" лобового стекла для Лада Калина</t>
  </si>
  <si>
    <t>Комплект внутренних бархоток "БРТ" для Лада Приора универсал</t>
  </si>
  <si>
    <t>Комплект П-образных уплотнителей опускных стекол "БРТ" (Н/О) для Лада Приора</t>
  </si>
  <si>
    <t>Комплект П-образных уплотнителей опускных стекол "БРТ" (Н/О) на Лада Приора универсал (4 шт)</t>
  </si>
  <si>
    <t>Опора "БРТ" корпуса воздушного фильтра для ВАЗ (2108-21099, 2113-2115, 2110-2112), Лада (Калина, Калина 2, Приора, Приора 2, Гранта, Гранта FL, Нива 4x4, Нива Legend, Нива Travel), Шевроле Нива</t>
  </si>
  <si>
    <t>Уплотнители "БРТ" проёмов дверей для Лада Калина, Калина 2, Гранта, Гранта FL (универсал, лифтбэк)</t>
  </si>
  <si>
    <t>Уплотнители проёмов дверей "БРТ" (комплект) для Лада Приора универсал</t>
  </si>
  <si>
    <t>Бархотки "БРТ" внутренние для Лада Калина, Калина 2, Гранта</t>
  </si>
  <si>
    <t>Пыльники "БРТ" подрулевого переключателя (короткие)</t>
  </si>
  <si>
    <t>Уплотнитель "БРТ" капота (задний) для Лада Гранта, Калина 2</t>
  </si>
  <si>
    <t>Уплотнитель "БРТ" заднего бокового окна для Лада Калина седан</t>
  </si>
  <si>
    <t>1118-3414088 / 89</t>
  </si>
  <si>
    <t>Гофра "БРТ" проводки сигнализации на дверь для Лада Нива 4x4 Урбан</t>
  </si>
  <si>
    <t>21214-3724195Р</t>
  </si>
  <si>
    <t>https://motorring.ru/product/10250-komplekt-narughnyh-barhotok-vaz-2111</t>
  </si>
  <si>
    <t>https://motorring.ru/product/699-opora-verhnyaya-stoyki-peredney-podveski-lyustra-sbore-vaz</t>
  </si>
  <si>
    <t>https://motorring.ru/product/25104-uplotniteli-opusknyh-stekol-bokovyh-dverey-verhnie</t>
  </si>
  <si>
    <t>https://motorring.ru/product/25107-uplotniteli-opusknyh-stekol-verhnie-priora-univarsal</t>
  </si>
  <si>
    <t>https://motorring.ru/product/1668-podushka-dvigatelya-sbore-vaz-2101-2107</t>
  </si>
  <si>
    <t>https://motorring.ru/product/8635-uplotniteli-porogov-vaz-2109-21099-2114-2115</t>
  </si>
  <si>
    <t>https://motorring.ru/product/8461-uplotnitely-poroga-rgi-135-dlya-lada-granta-granta-kalina</t>
  </si>
  <si>
    <t>https://motorring.ru/product/3222</t>
  </si>
  <si>
    <t>https://motorring.ru/product/815-kronshteyn-podveski-razdatochnoy-korobki-sbore-oporoy-lada</t>
  </si>
  <si>
    <t>https://motorring.ru/product/1018-remeny-generatora-brt-poliklinovyy-vaz-2108-21099-2113-2115</t>
  </si>
  <si>
    <t>https://motorring.ru/product/678-opora-dvigatelya-levaya-sbore-vaz-2110-2112</t>
  </si>
  <si>
    <t>https://motorring.ru/product/8610-uplotniteli-proemov-dverey-lada-priora-sedan-hetchbek</t>
  </si>
  <si>
    <t>https://motorring.ru/product/14696-komplekt-uplotniteley-proema-dverey-vaz-2101-2107</t>
  </si>
  <si>
    <t>https://motorring.ru/product/17165-uplotnitely-okna-bokoviny-pravyy-brt-vaz-2108</t>
  </si>
  <si>
    <t>https://motorring.ru/product/17166-uplotnitely-okna-bokoviny-levyy-brt-vaz-2108</t>
  </si>
  <si>
    <t>https://motorring.ru/product/18124-uplotnitely-proema-dveri-zadney-lada-priora</t>
  </si>
  <si>
    <t>https://motorring.ru/product/8699-komplekt-verhnih-uplotniteley-dverey-vodostok-shevrole-niva</t>
  </si>
  <si>
    <t>https://motorring.ru/product/1090-uplotniteli-proemov-dverey-sht-3-dvernuyu-lada-niva-4h4</t>
  </si>
  <si>
    <t>https://motorring.ru/product/18701-uplotnitely-proema-dveri-peredney-vaz-2109-21099</t>
  </si>
  <si>
    <t>https://motorring.ru/product/1091-uplotnitely-bagaghnika-lada-niva-4h4</t>
  </si>
  <si>
    <t>https://motorring.ru/product/8609</t>
  </si>
  <si>
    <t>https://motorring.ru/product/8638-uplotnitely-bagaghnika-vaz-2108-21099-2113-2115</t>
  </si>
  <si>
    <t>https://motorring.ru/product/1537-uplotnitely-kapota-vaz-2108-21099-2113-2115</t>
  </si>
  <si>
    <t>https://motorring.ru/product/8667-uplotniteli-bagaghnika-vaz-2110-2111-2112</t>
  </si>
  <si>
    <t>https://motorring.ru/product/8613-uplotnitel-bagaghnika-dlya-lada-priora</t>
  </si>
  <si>
    <t>https://motorring.ru/product/163-uplotnitely-kapota-zadniy-vaz-2105-2107</t>
  </si>
  <si>
    <t>https://motorring.ru/product/18152-kolyco-uplotnitelynoe-datchika-faz-vaz-2108-21099-2110-2112</t>
  </si>
  <si>
    <t>https://motorring.ru/product/18707-uplotnitely-maslyanogo-schupa-vaz-2110-2111-2112</t>
  </si>
  <si>
    <t>https://motorring.ru/product/18461-kolyco-uplotnitelynoe-gorloviny-benzobaka-lada-vesta</t>
  </si>
  <si>
    <t>https://motorring.ru/product/16547-kolyco-uplotnitelynoe-zamka-zaghiganiya-vaz-2110-2111-2112</t>
  </si>
  <si>
    <t>https://motorring.ru/product/17148-uplotnitely-proema-dveri-peredney-brt-3400-vaz-2101-2107</t>
  </si>
  <si>
    <t>https://motorring.ru/product/17149-uplotnitely-proema-zadney-dveri-brt-3160-vaz-2101-2107</t>
  </si>
  <si>
    <t>https://motorring.ru/product/3022-komplekt-uplotniteley-lokerov-podkrylkov-lada-granta-kalina</t>
  </si>
  <si>
    <t>https://motorring.ru/product/10243-komplekt-p-obraznyh-uplotniteley-opusknyh-stekol-vaz-2110</t>
  </si>
  <si>
    <t>https://motorring.ru/product/10245-komplekt-p-obraznyh-uplotniteley-opusknyh-stekol-vaz-2109</t>
  </si>
  <si>
    <t>https://motorring.ru/product/14691-uplotniteli-proemov-dverey-dlya-lada-granta-kalina-hetchbek</t>
  </si>
  <si>
    <t>https://motorring.ru/product/14692</t>
  </si>
  <si>
    <t>https://motorring.ru/product/10242-uplotniteli-perednih-opusknyh-stekol-p-obraznye-vaz</t>
  </si>
  <si>
    <t>https://motorring.ru/product/25124-uplotnitely-porogov-shevrole-lada-niva-2123</t>
  </si>
  <si>
    <t>https://motorring.ru/product/10246-uplotniteli-perednih-opusknyh-stekol-p-obraznye-vaz-2108</t>
  </si>
  <si>
    <t>https://motorring.ru/product/13476-vodostok-verhnie-uplotniteli-lada-kalina-sedan-hetchbek</t>
  </si>
  <si>
    <t>https://motorring.ru/product/13477-vodostok-verhnie-uplotniteli-lada-kalina-kalina-universal</t>
  </si>
  <si>
    <t>https://motorring.ru/product/16662-uplotnitely-zadnego-stekla-novogo-obrazca-lada-niva-21213</t>
  </si>
  <si>
    <t>https://motorring.ru/product/8615-verhniy-uplotnitely-dverey-vodostok-dlya-lada-priora</t>
  </si>
  <si>
    <t>https://motorring.ru/product/675-uplotnitely-okna-bokoviny-pravyy-vaz-2109-21099</t>
  </si>
  <si>
    <t>https://motorring.ru/product/8666-verhniy-uplotnitely-dverey-vodostok-dlya-vaz-2110-2112</t>
  </si>
  <si>
    <t>https://motorring.ru/product/18717-uplotnitely-kapota-lada-niva-21214-2131</t>
  </si>
  <si>
    <t>https://motorring.ru/product/1272</t>
  </si>
  <si>
    <t>https://motorring.ru/product/8634-uplotniteli-porogov-vaz-2108-2113</t>
  </si>
  <si>
    <t>https://motorring.ru/product/8636-komplekt-uplotniteley-proemov-dverey-vaz-2108-2113</t>
  </si>
  <si>
    <t>https://motorring.ru/product/777-remeny-zubchatyy-8kl-lada-kalina-granta-priora</t>
  </si>
  <si>
    <t>https://motorring.ru/product/8614</t>
  </si>
  <si>
    <t>https://motorring.ru/product/8637-uplotnitely-proema-dveri-dlya-vaz-2109-21099-2114-2115</t>
  </si>
  <si>
    <t>https://motorring.ru/product/8616-uplotniteli-porogov-lada-priora</t>
  </si>
  <si>
    <t>https://motorring.ru/product/12445-uplotnitely-lobovogo-stekla-lada-niva-4h4</t>
  </si>
  <si>
    <t>https://motorring.ru/product/1498-uplotnitely-vetrovogo-stekla-vaz-2108-21099-2113-2115</t>
  </si>
  <si>
    <t>https://motorring.ru/product/25105-uplotniteli-opusknyh-stekol-verhnie-priora-sedan</t>
  </si>
  <si>
    <t>https://motorring.ru/product/10690-komplekt-p-obraznyh-uplotniteley-opusknyh-stekol-dlya-lada</t>
  </si>
  <si>
    <t>https://motorring.ru/product/11313-shlang-zalivnoy-gorloviny-soedinitelynyy-dlya-vaz-2110-2112</t>
  </si>
  <si>
    <t>https://motorring.ru/product/20982-komplekt-uplotniteley-barhotok-opusknyh-stekol-elementov</t>
  </si>
  <si>
    <t>https://motorring.ru/product/14248-pylynik-amortizatora-peredney-stoyki-siniy-vaz-2108-2115-lada-gra</t>
  </si>
  <si>
    <t>https://motorring.ru/product/8698-uplotnitely-dveri-bagaghnika-shevrole-niva</t>
  </si>
  <si>
    <t>https://motorring.ru/product/18120-uplotnitely-proema-dveri-zadney-lada-kalina-kalina-granta</t>
  </si>
  <si>
    <t>https://motorring.ru/product/18020-uplotnitely-proema-dveri-peredney-lada-kalina-kalina-granta</t>
  </si>
  <si>
    <t>https://motorring.ru/product/21007-uplotnitely-zadney-pravoy-fortochki-dlya-lada-niva-urban</t>
  </si>
  <si>
    <t>https://motorring.ru/product/913-uplotnitely-okna-bokoviny-levyy-dlya-shevrole-lada-niva</t>
  </si>
  <si>
    <t>https://motorring.ru/product/18191-uplotnitely-proema-dveri-peredney-lada-niva-21214-2131</t>
  </si>
  <si>
    <t>https://motorring.ru/product/18566-uplotnitely-proema-dveri-peredney-vaz-2108</t>
  </si>
  <si>
    <t>https://motorring.ru/product/724-kolpak-zaglushka-rulevoy-reyki-zaschitnyy-pravyy-vaz</t>
  </si>
  <si>
    <t>https://motorring.ru/product/29015-kolpachki-zaschitnye-koncevikov-dverey-dvoynoy-gofroy-dlya</t>
  </si>
  <si>
    <t>https://motorring.ru/product/691-shlang-trubka-rasshiritelynogo-baka-parootvodyaschaya</t>
  </si>
  <si>
    <t>https://motorring.ru/product/1667</t>
  </si>
  <si>
    <t>https://motorring.ru/product/11432</t>
  </si>
  <si>
    <t>https://motorring.ru/product/21684-gryazezaschitnye-zaglushki-proema-rulevyh-tyag-vaz</t>
  </si>
  <si>
    <t>https://motorring.ru/product/8724-gryazezaschitnye-zaglushki-proema-rulevyh-tyag-lada-priora</t>
  </si>
  <si>
    <t>https://motorring.ru/product/7567-patrubki-radiatora-armirovannyy-kauchuk-chernye-lada-niva</t>
  </si>
  <si>
    <t>https://motorring.ru/product/957-salynik-pervichnogo-vala-korobki-peredach-prughinoy-vaz</t>
  </si>
  <si>
    <t>https://motorring.ru/product/862-salynik-pervichnogo-vala-korobki-peredach-prughinoy-vaz</t>
  </si>
  <si>
    <t>https://motorring.ru/product/995-prokladka-krana-pechki-vnutrennyaya-vaz-2101-2107</t>
  </si>
  <si>
    <t>https://motorring.ru/product/18304-prokladka-izoliruyuschaya-zadney-prughiny-vaz-2101-2107</t>
  </si>
  <si>
    <t>https://motorring.ru/product/670-prokladka-korpusa-vozdushnogo-filytra-vaz-2101-2107</t>
  </si>
  <si>
    <t>https://motorring.ru/product/85-prokladka-izoliruyuschaya-prughiny-peredney-podveski-vaz</t>
  </si>
  <si>
    <t>https://motorring.ru/product/1670-prokladka-kryshki-golovki-cilindrov-vaz-2101-2107-lada-niva</t>
  </si>
  <si>
    <t>https://motorring.ru/product/888-prokladka-zadney-prughiny-verhnyaya-vaz-2108-21099</t>
  </si>
  <si>
    <t>https://motorring.ru/product/1632-prokladka-maslyanogo-kartera-vaz-2101-2107-lada-4h4</t>
  </si>
  <si>
    <t>https://motorring.ru/product/872-prokladka-kryshki-golovki-bloka-cilindrov-brt-vaz</t>
  </si>
  <si>
    <t>https://motorring.ru/product/18565-shlang-tormoznoy-gibkiy-perednego-tormoza-vaz-2108-21099</t>
  </si>
  <si>
    <t>https://motorring.ru/product/507-shlang-gibkiy-privoda-vyklyucheniya-scepleniya-vaz</t>
  </si>
  <si>
    <t>https://motorring.ru/product/910-shlang-tormoznoy-peredniy-shevrole-niva</t>
  </si>
  <si>
    <t>https://motorring.ru/product/17169-shlang-tormozov-gibkiy-peredniy-verhniy-dlinnyy-brt-lada</t>
  </si>
  <si>
    <t>https://motorring.ru/product/14653-tormoznoy-shlang-zadnego-tormoza-vaz-2101-2107-lada-niva</t>
  </si>
  <si>
    <t>https://motorring.ru/product/17170-shlang-tormozov-gibkiy-peredniy-nighniy-korotkiy-lada-niva</t>
  </si>
  <si>
    <t>https://motorring.ru/product/689-shlang-toplivnyy-parov-benzina-adsorbera-vpusknoy-truby-vaz</t>
  </si>
  <si>
    <t>https://motorring.ru/product/1028-shlang-toplivnyy-karbyuratora-benzonasosu-670-vaz-2101-2107</t>
  </si>
  <si>
    <t>https://motorring.ru/product/18195-shlang-tormoznoy-zadniy-sbore-reno-logan-sandero-lada</t>
  </si>
  <si>
    <t>https://motorring.ru/product/18194-shlang-tormoznoy-peredniy-sbore-reno-logan-sandero</t>
  </si>
  <si>
    <t>https://motorring.ru/product/18185-shlang-gidrotormoznoy-peredniy-lada-vesta</t>
  </si>
  <si>
    <t>https://motorring.ru/product/11311-shlang-sapuna-verhniy-vaz-2110-2112-2113-2115-lada-priora</t>
  </si>
  <si>
    <t>https://motorring.ru/product/812-shlang-gibkiy-bachka-glavnomu-cilindru-scepleniya-lada-niva</t>
  </si>
  <si>
    <t>https://motorring.ru/product/18186-shlang-gidrotormoznoy-zadniy-sbore-lada-vesta</t>
  </si>
  <si>
    <t>https://motorring.ru/product/5228-shlang-ventilyacii-kartera-550mm-shevrole-niva</t>
  </si>
  <si>
    <t>https://motorring.ru/product/679-opora-dvigatelya-zadnyaya-vaz-2110-2112-sbore</t>
  </si>
  <si>
    <t>https://motorring.ru/product/14250-pylynik-amortizatora-zadney-stoyki-siniy-vaz-2108-21099</t>
  </si>
  <si>
    <t>https://motorring.ru/product/18383-pylyniki-podrulevogo-pereklyuchatelya-universalynye-lada</t>
  </si>
  <si>
    <t>https://motorring.ru/product/18490-zaschitnye-kolpaki-opor-perednih-stoek-lada-kalina-kalina</t>
  </si>
  <si>
    <t>https://motorring.ru/product/8504-gryazezaschitnye-zaglushki-proema-rulevyh-tyag-lada-granta</t>
  </si>
  <si>
    <t>https://motorring.ru/product/12608-uplotniteli-proemov-dverey-vaz-2110-2112</t>
  </si>
  <si>
    <t>https://motorring.ru/product/38863-prokladka-peredney-prughiny-brt-lada-priora</t>
  </si>
  <si>
    <t>https://motorring.ru/product/1172-kolyco-glavnogo-tormoznogo-cilindra-uplotnitelynoe-vaz</t>
  </si>
  <si>
    <t>https://motorring.ru/product/20986-uplotnitely-rychaga-ruchnogo-tormoza-novogo-obrazca</t>
  </si>
  <si>
    <t>https://motorring.ru/product/17171-bufer-kapota-pravyy-otboynik-brt-lada-niva-4h4</t>
  </si>
  <si>
    <t>https://motorring.ru/product/17172-bufer-kapota-otboynik-levyy-brt-lada-niva-4h4</t>
  </si>
  <si>
    <t>https://motorring.ru/product/873-salynik-kolenvala-peredniy-brt-prughinoy-vaz-2108-21099</t>
  </si>
  <si>
    <t>https://motorring.ru/product/885-opora-kardannogo-vala-podshipnik-podvesnoy-vaz-2101-2107</t>
  </si>
  <si>
    <t>https://motorring.ru/product/1656-patrubok-ohlaghdeniya-radiatora-stykovochnyy-nighniy-lada</t>
  </si>
  <si>
    <t>Column1</t>
  </si>
  <si>
    <t>Column2</t>
  </si>
  <si>
    <t>//*[@id="e-curr-price"]/text()</t>
  </si>
  <si>
    <t>//*[@class="p_club_price pb5"]/text()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</si>
  <si>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</si>
  <si>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</si>
  <si>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</si>
  <si>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</si>
  <si>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</si>
  <si>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</si>
  <si>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</si>
  <si>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</si>
  <si>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</si>
  <si>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</si>
  <si>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</si>
  <si>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</si>
  <si>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</si>
  <si>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#VALUE!</t>
  </si>
  <si>
    <t>Код</t>
  </si>
  <si>
    <t>Проверка</t>
  </si>
  <si>
    <t>снят с продажи</t>
  </si>
  <si>
    <t>Мн</t>
  </si>
  <si>
    <t>Кат. Номер</t>
  </si>
  <si>
    <t>Ст З</t>
  </si>
  <si>
    <t>Ст Р</t>
  </si>
  <si>
    <t>Разн</t>
  </si>
  <si>
    <t>Наименование элемента</t>
  </si>
  <si>
    <t>Y / N</t>
  </si>
  <si>
    <t>Ссылка на конкурентов</t>
  </si>
  <si>
    <t>Кол-во</t>
  </si>
  <si>
    <t>Склад</t>
  </si>
  <si>
    <t>Y</t>
  </si>
  <si>
    <t>Буфер (отбойник) "БРТ" полки багажника для ВАЗ 2110-2112</t>
  </si>
  <si>
    <t>21115607080</t>
  </si>
  <si>
    <t>210103706605сбR</t>
  </si>
  <si>
    <t>0</t>
  </si>
  <si>
    <t>217006107020 / 21</t>
  </si>
  <si>
    <t>Втулка "БРТ" насоса бачка омывателя для ВАЗ 2108-21099, 2110-2112, 2113-2115</t>
  </si>
  <si>
    <t>2108-5208458</t>
  </si>
  <si>
    <t>2108350509201</t>
  </si>
  <si>
    <t>Кольцо уплотнительное на лючок бензобака "БРТ" для Лада Веста</t>
  </si>
  <si>
    <t>8450039689Р</t>
  </si>
  <si>
    <t>10059719PS</t>
  </si>
  <si>
    <t>2131-6203292 / 293 / 320 / 320 / 290 / 290 / 122</t>
  </si>
  <si>
    <t>Кронштейн подвески "БРТ" раздаточной коробки (с опорой) в сборе для Лада Нива 4x4</t>
  </si>
  <si>
    <t>8450032254Р</t>
  </si>
  <si>
    <t>2123-2202120РУ</t>
  </si>
  <si>
    <t>Накладка педали газа для ВАЗ 2110-2112, Лада (Калина, Приора)</t>
  </si>
  <si>
    <t>21100110801900</t>
  </si>
  <si>
    <t>Накладка площадки педали сцепления и тормоза для ВАЗ 2101-2107, Лада Нива 4х4</t>
  </si>
  <si>
    <t>2101-1602048м</t>
  </si>
  <si>
    <t>Накладка педали сцепления 2101-1602048 деш (УНИП)</t>
  </si>
  <si>
    <t>Окантовки "БРТ" задних боковых стёкол для Лада Калина хэтчбек, Гранта седан</t>
  </si>
  <si>
    <t>Опора амортизатора задней подвески "БМРТ" верхняя для Лада Веста</t>
  </si>
  <si>
    <t>Опора двигателя "БРТ" боковая (левая с резьбой) для Лада Калина</t>
  </si>
  <si>
    <t>Опора радиатора "БРТ" (малая) для ВАЗ 2108-21099, 2110-2112, 2113-2115</t>
  </si>
  <si>
    <t>Опора радиатора "БРТ" нижняя для ВАЗ 2101-2107, Лада Нива 4х4</t>
  </si>
  <si>
    <t>Патрубок "БРТ" 21213 перепускной от термостата к тройнику (средний) для Лада Нива 4х4</t>
  </si>
  <si>
    <t>Патрубок сапуна (верхний) для ВАЗ (2110-2112, 2113-2115), Лада (Калина, Калина 2, Приора, Приора 2, Гранта)</t>
  </si>
  <si>
    <t>21110-1014058-10Р</t>
  </si>
  <si>
    <t>21214-1101070РП</t>
  </si>
  <si>
    <t>Патрубок соединительный "БРТ" наливной горловины топливного бака для ВАЗ (2108-21099, 2110-2112, 2113-2115), Лада (Калина, Калина 2, Приора, Гранта)</t>
  </si>
  <si>
    <t>Патрубок соединительный "БРТ" термостата и водяного насоса (малый) для Лада Нива 4х4</t>
  </si>
  <si>
    <t>Патрубок термостата "БРТ" для ВАЗ 2101-2107</t>
  </si>
  <si>
    <t>Поддон аккумулятора "БРТ" резиновый (универсальный)</t>
  </si>
  <si>
    <t>21010370309500</t>
  </si>
  <si>
    <t>Подушка двигателя "БРТ" боковая (правая, без резьбы) для Лада Калина</t>
  </si>
  <si>
    <t>Прокладка "БРТ" масляного картера для Лада Ларгус, Renault (Logan, Sandero, Clio, Fluence, Kangoo 2, Almera)</t>
  </si>
  <si>
    <t>7700273486РИ</t>
  </si>
  <si>
    <t>Прокладка "БРТ" передней пружины для Лада Калина</t>
  </si>
  <si>
    <t>1119-2902723</t>
  </si>
  <si>
    <t>Пыльник ШРУСа "PANTUS" внешний (синий) для ВАЗ (2108-21099, 2110-2112, 2113-2115), Лада (Калина, Калина 2, Приора, Гранта)</t>
  </si>
  <si>
    <t>Пыльник ШРУСа "PANTUS" внутренний (красный) для ВАЗ (2108-21099, 2110-2112, 2113-2115), Лада (Калина, Калина 2, Приора, Гранта)</t>
  </si>
  <si>
    <t>Пыльник ШРУСа "PANTUS" наружный (красный) для ВАЗ (2108-21099, 2110-2112, 2113-2115), Лада (Калина, Калина 2, Приора, Гранта)</t>
  </si>
  <si>
    <t>Пыльник ШРУСа "БРТ" внутренний для ВАЗ 2108-21099, 2110-2112, 2113-2115, Лада Приора</t>
  </si>
  <si>
    <t>Пыльник ШРУСа "БРТ" внутренний для Лада Калина</t>
  </si>
  <si>
    <t>Пыльник ШРУСа "БРТ" внутренний для Лада Нива 4х4, Шевроле Нива</t>
  </si>
  <si>
    <t>2110-1701043-Р</t>
  </si>
  <si>
    <t>Ремкомплект 91РБ</t>
  </si>
  <si>
    <t>Уплотнители "БРТ" задних боковых стекол для ВАЗ 2109, 2114</t>
  </si>
  <si>
    <t>2109-5403122 / 2109-5403123</t>
  </si>
  <si>
    <t>Уплотнители "БРТ" задних боковых стёкол для ВАЗ 21099, 2115</t>
  </si>
  <si>
    <t>21099-5403122 / 21099-5403123</t>
  </si>
  <si>
    <t>Уплотнитель "БРТ" заднего стекла для ВАЗ 21099, 2115</t>
  </si>
  <si>
    <t>N</t>
  </si>
  <si>
    <t>Уплотнитель "БРТ" окна боковины левый для ВАЗ 2108, 2113</t>
  </si>
  <si>
    <t>Уплотнитель "БРТ" окна боковины правый для ВАЗ 2108, 2113</t>
  </si>
  <si>
    <t>Уплотнитель "БРТ" передней двери 3-х камерная для ВАЗ 2108, 2113</t>
  </si>
  <si>
    <t>Уплотнитель "БРТ" стекла боковины для Лада Нива 4х4 (ВАЗ 2131)</t>
  </si>
  <si>
    <t>Уплотнитель "БРТ" стекла окна двери задка (под майлар) для Лада Нива 4x4</t>
  </si>
  <si>
    <t>2121-6303018Р</t>
  </si>
  <si>
    <t>505012099Р</t>
  </si>
  <si>
    <t>Уплотнитель лобового стекла Н/О для Лада Нива "УРБАН" (без замка)</t>
  </si>
  <si>
    <t>Уплотнитель РКИ-3Т (Z-образный) проема крыла и двери</t>
  </si>
  <si>
    <t>Уплотнитель стекла боковины для Нива 4x4 (3-х дверная, под майлар)</t>
  </si>
  <si>
    <t>Шланг "БРТ" гибкий от топливного насоса (бензонасоса) к карбюратору для ВАЗ 2101-2107, Лада Нива 4х4</t>
  </si>
  <si>
    <t>Шланг заливной горловины бензобака "БРТ" длинный для ВАЗ 2108-21099, 2113-2115</t>
  </si>
  <si>
    <t>21080-1101080-10Р</t>
  </si>
  <si>
    <t>Шланг пароотводящий "БРТ" расширительного бачка для Шевроле Нива</t>
  </si>
  <si>
    <t>Шланг соединительный  "БРТ" наливной горловины топливного бака (Евро-3) для Лада Нива 4х4</t>
  </si>
  <si>
    <t>Шланг соединительный "БРТ" наливной горловины топливного бака для Лада Нива 4х4</t>
  </si>
  <si>
    <t>Шланг сцепления "БРТ" гибкий для ВАЗ 2101-2107, Лада Нива 4x4, Шевроле Нива</t>
  </si>
  <si>
    <t>Шланг топливный "БРТ" гибкий для Лада Нива 4х4</t>
  </si>
  <si>
    <t>Шланг тормозного бачка "БРТ" гибкий для Лада Нива 4х4</t>
  </si>
  <si>
    <t>Шланги системы охлаждения радиатора "БРТ" ремкомплект 221РШ Р/К для ВАЗ 2110-2112 (с 16-ти клапанным двигателем)</t>
  </si>
  <si>
    <t>Факт</t>
  </si>
  <si>
    <t>%</t>
  </si>
  <si>
    <t>Рек</t>
  </si>
  <si>
    <t>MR</t>
  </si>
  <si>
    <t>https://motorring.ru/product/1550-shlang-podvodyaschiy-radiatora-verhniy-akkp-lada-granta</t>
  </si>
  <si>
    <t>не БРТ</t>
  </si>
  <si>
    <t>не такой</t>
  </si>
  <si>
    <t>https://motorring.ru/product/2432-uplotnitely-vertikalynyy-rki-dlya-lada-granta-granta-kalina</t>
  </si>
  <si>
    <t>https://motorring.ru/product/11022-opora-dvigatelya-pravaya-brt-lada-kalina</t>
  </si>
  <si>
    <t>https://motorring.ru/product/11026</t>
  </si>
  <si>
    <t>https://motorring.ru/product/18205-prokladka-podvighnogo-zvena-petli-dveri-zadka-levaya-lada</t>
  </si>
  <si>
    <t>https://motorring.ru/product/30439-nakladka-pedaly-tormoza-scepleniya-mkpp-dlya-vaz-2110-2112</t>
  </si>
  <si>
    <t>https://motorring.ru/product/12446-komplekt-uplotniteley-gluhih-fortochek-213-dlya-3-dvernoy</t>
  </si>
  <si>
    <t>https://motorring.ru/product/18713-remeny-poliklinovyy-gur-vaz-2110-2112</t>
  </si>
  <si>
    <t>https://motorring.ru/product/825-remeny-generatora-poliklinovoy-1888mm-shevrole-niva</t>
  </si>
  <si>
    <t>https://motorring.ru/product/11237-oboyma-rychaga-kulisy-dlya-lada-kalina</t>
  </si>
  <si>
    <t>https://motorring.ru/product/871-kronshteyn-peredney-opory-dvigatelya-brt-vaz-2108-21099</t>
  </si>
  <si>
    <t>https://motorring.ru/product/25099-okantovki-vetrovogo-lobovogo-okna-bokocie-priora-vaz-2110-2112</t>
  </si>
  <si>
    <t>https://motorring.ru/product/10248-komplekt-vneshnih-barhotok-lada-kalina-kalina-granta</t>
  </si>
  <si>
    <t>https://motorring.ru/product/25093-vneshnie-uplotniteli-opusknyh-stekol-starogo-obrazca</t>
  </si>
  <si>
    <t>https://motorring.ru/product/16785-bryzgoviki-perednih-krylev-novogo-obrazca-2123</t>
  </si>
  <si>
    <t>https://motorring.ru/product/1567-remeny-generatora-lada-granta</t>
  </si>
  <si>
    <t>https://motorring.ru/product/19953-narughnye-barhotki-vaz-2109-21099-2114-2115</t>
  </si>
  <si>
    <t>https://motorring.ru/product/3041-okantovki-zadnih-bokovyh-stekol-dlya-lada-granta-sedan</t>
  </si>
  <si>
    <t>https://motorring.ru/product/964-mufta-elastichnaya-perednego-kardannogo-vala-vaz-2101-2107</t>
  </si>
  <si>
    <t>https://motorring.ru/product/19592-uplotnitely-rki-zt-z-obraznyy-dlina-3metra</t>
  </si>
  <si>
    <t>https://motorring.ru/product/17996-salynik-pervichnogo-vala-kpp-vaz-2108-21099-2110-2112-lada</t>
  </si>
  <si>
    <t>https://motorring.ru/product/16395-kovrik-akkumulyatora-rezinovyy</t>
  </si>
  <si>
    <t>https://motorring.ru/product/38840-verhnyaya-opora-zadnego-amortizatora-bmrt-lada-vesta</t>
  </si>
  <si>
    <t>https://motorring.ru/product/25368-natyaghitely-cepi-lada-4h4-niva-21214</t>
  </si>
  <si>
    <t>https://motorring.ru/product/29896-natyaghitely-cepi-lada-2101-2107</t>
  </si>
  <si>
    <t>https://motorring.ru/product/14242-pylynik-shrusa-narughnyy-siniy-poliuretan-vaz-2108-21099</t>
  </si>
  <si>
    <t>https://motorring.ru/product/3959-pylynik-shrusa-narughnyy-krasnyy-poliuretan-vaz-2108-21099</t>
  </si>
  <si>
    <t>https://motorring.ru/product/16142-pylynik-shrusa-vnutrenniy-krasnyy-poliuretan-vaz-2108-21099</t>
  </si>
  <si>
    <t>https://motorring.ru/product/12524-komplekt-patrubkov-dvigatelya-21082-armirovannyy-kauchuk-krasniy</t>
  </si>
  <si>
    <t>https://motorring.ru/product/12313-patrubki-dvigatelya-armirovannyy-kauchuk-krasnye-vaz-2110</t>
  </si>
  <si>
    <t>https://motorring.ru/product/34394-gofra-provodki-peredney-dveri-urban-dlya-lada-4h4-niva</t>
  </si>
  <si>
    <t>https://motorring.ru/product/18080-opora-stoyki-stabilizatora-podveski-lada-granta</t>
  </si>
  <si>
    <t>https://motorring.ru/product/31391-saylentblok-zadnego-mosta-dlya-reno-logan-sandero</t>
  </si>
  <si>
    <t>https://motorring.ru/product/32705-opora-peredney-stoyki-podshipnikom-lada-kalina</t>
  </si>
  <si>
    <t>https://motorring.ru/product/907-mufta-elastichnaya-perednego-kardannogo-vala-shevrole-niva</t>
  </si>
  <si>
    <t>https://motorring.ru/product/25100-okantovka-vetrovogo-okna-lobovik-verhnyaya-shevrole-lada</t>
  </si>
  <si>
    <t>https://motorring.ru/product/10253-komplekt-vnutrennih-narughnyh-barhotok-vaz-2109-21099-1997</t>
  </si>
  <si>
    <t>https://motorring.ru/product/10249-komplekt-vnutrennih-barhotok-vaz-2111</t>
  </si>
  <si>
    <t>https://motorring.ru/product/10251-komplekt-vnutrennih-barhotok-vaz-2110-2112</t>
  </si>
  <si>
    <t>https://motorring.ru/product/11304-remeny-generatora-21100--brt-1125-dlya-vaz-2110-12-2113-14</t>
  </si>
  <si>
    <t>https://motorring.ru/product/12510</t>
  </si>
  <si>
    <t>https://motorring.ru/product/10255</t>
  </si>
  <si>
    <t>https://motorring.ru/product/10648-gofra-vozdushnogo-filytra-shevrole-niva</t>
  </si>
  <si>
    <t>https://motorring.ru/product/8612-okantovki-vetrovogo-lobovogo-okna-lada-priora-vaz-2110-2112</t>
  </si>
  <si>
    <t>https://motorring.ru/product/18746-komplekt-patrubkov-sistemy-ohlaghdeniya-vaz-2106</t>
  </si>
  <si>
    <t>https://motorring.ru/product/11303-remeny-generatora-brt-742-dlya-vaz-2110-12-lada-priora</t>
  </si>
  <si>
    <t>https://motorring.ru/product/18750-gofra-vozdushnogo-filytra-shlang-vpusknoy-truby-vaz</t>
  </si>
  <si>
    <t>https://motorring.ru/product/32870-shtanga-podveski-dvigatelya-avtostandart-2110</t>
  </si>
  <si>
    <t>https://motorring.ru/product/42080-komplekt-vnutrennih-barhotok-novogo-obrazca-vaz-2108-2113</t>
  </si>
  <si>
    <t>https://motorring.ru/product/807-shlang-soedinitelynyy-patrubok-nalivnoy-gorloviny</t>
  </si>
  <si>
    <t>https://motorring.ru/product/18153-patrubok-soedinitelynyy-nalivnoy-gorloviny-toplivnogo-baka</t>
  </si>
  <si>
    <t>https://motorring.ru/product/880-kronshteyn-zadney-opory-podveski-dvigatelya-brt-vaz</t>
  </si>
  <si>
    <t>https://motorring.ru/product/25057-komplekt-vnutrennih-barhotok-lada-kalina-kalina-granta</t>
  </si>
  <si>
    <t>https://motorring.ru/product/10247-komplekt-vnutrennih-barhotok-lada-priora</t>
  </si>
  <si>
    <t>https://motorring.ru/product/12303-komplekt-narughnyh-barhotok-lada-priora</t>
  </si>
  <si>
    <t>https://motorring.ru/product/25056-komplekt-vnutrennih-barhotok-lada-priora-universal</t>
  </si>
  <si>
    <t>https://motorring.ru/product/30122-komplekt-narughnyh-barhotok-lada-priora-universal</t>
  </si>
  <si>
    <t>https://motorring.ru/product/772-gofra-dmrv-rezina-vaz-2108-21099-2110-2112-2113-2115-klap</t>
  </si>
  <si>
    <t>https://motorring.ru/product/11239-oboyma-rychaga-kulisy-sbore-vaz-2110-2112</t>
  </si>
  <si>
    <t>https://motorring.ru/product/822-podushka-shtangi-perednego-stabilizatora-poperechnoy</t>
  </si>
  <si>
    <t>https://motorring.ru/product/10653-gofra-vozdushnogo-filytra-drosselyu-shevrole-niva</t>
  </si>
  <si>
    <t>https://motorring.ru/product/13667-komplekt-narughnyh-barhotok-vaz-2108-2113</t>
  </si>
  <si>
    <t>https://motorring.ru/product/10652-gofra-vozdushnogo-filytra-21214-1148035-12-dlya-lada-4h4</t>
  </si>
  <si>
    <t>https://motorring.ru/product/18708-shlang-patrubok-soedinitelynyy-nalivnoy-gorloviny</t>
  </si>
  <si>
    <t>https://motorring.ru/product/876-kronshteyn-dvigatelya-peredniy-levyy-brt-vaz-2108-21099</t>
  </si>
  <si>
    <t>https://motorring.ru/product/18139-uplotnitely-proema-peredney-dveri-shevrole-niva</t>
  </si>
  <si>
    <t>https://motorring.ru/product/8697-uplotniteli-proemov-dverey-shevrole-niva</t>
  </si>
  <si>
    <t>https://motorring.ru/product/1661-opora-stoyki-peredney-podveski-verhnyaya-lyustra-1118--lada</t>
  </si>
  <si>
    <t>https://motorring.ru/product/17827-kronshteyn-perednego-sharnira-rastyaghki-peredney-podveski</t>
  </si>
  <si>
    <t>https://motorring.ru/product/915-bryzgovik-zadnego-kolesa-starogo-obrazca-levyy-shevrole</t>
  </si>
  <si>
    <t>https://motorring.ru/product/5010-bryzgovik-zadniy-starogo-obrazca-pravyy-shevrole-niva-2009</t>
  </si>
  <si>
    <t>https://motorring.ru/product/690-shlang-rasshiritelynogo-bachka-termostatu-zapravochnyy-vaz</t>
  </si>
  <si>
    <t>https://motorring.ru/product/802-fartuk-bryzgovik-kryla-zadnego-levyy-vaz-2114-2115</t>
  </si>
  <si>
    <t>https://motorring.ru/product/867-bufer-perednego-bampera-pravyy-sbore-shpilykoy-vaz-2103</t>
  </si>
  <si>
    <t>https://motorring.ru/product/860-kronshteyn-rastyaghki-sbore-krab-vaz-2108-21099-2113-2115</t>
  </si>
  <si>
    <t>https://motorring.ru/product/722-chehol-pylynik-reyki-rulevogo-mehanizma-vaz-2110-2112</t>
  </si>
  <si>
    <t>https://motorring.ru/product/17228-shlang-podvodyaschiy-radiatora-brt-lada-niva-21214</t>
  </si>
  <si>
    <t>https://motorring.ru/product/810-patrubok-ohlaghdeniya-radiatora-verhniy-podvodyaschiy-lada</t>
  </si>
  <si>
    <t>https://motorring.ru/product/460-chehol-zaschitnyy-pylynik-tyagi-privoda-upravleniya-kpp-vaz</t>
  </si>
  <si>
    <t>https://motorring.ru/product/14249-pylynik-amortizatora-zadney-stoyki-krasnyy-vaz-2108-21099</t>
  </si>
  <si>
    <t>https://motorring.ru/product/14246-pylynik-amortizatora-peredney-stoyki-krasnyy-vaz-2108-2115</t>
  </si>
  <si>
    <t>https://motorring.ru/product/18722-shlang-vakuumnogo-usilitelya-lada-niva-21214-2131</t>
  </si>
  <si>
    <t>https://motorring.ru/product/804-podushka-peredney-opory-dvigatelya-lada-niva-4h4-shevrole</t>
  </si>
  <si>
    <t>https://motorring.ru/product/1549-shlang-otvodyaschiy-radiatora-nighniy-mkpp-lada-granta</t>
  </si>
  <si>
    <t>https://motorring.ru/product/18057-bufer-kapota-reguliruemyy-vaz-2108-21099-2113-2115-lada</t>
  </si>
  <si>
    <t>https://motorring.ru/product/385-kolpachok-pylynik-porshnya-cilindra-privoda-scepleniya</t>
  </si>
  <si>
    <t>https://motorring.ru/product/372-podushka-krepleniya-amortizatora-vaz-2101-2107-2108-21099</t>
  </si>
  <si>
    <t>https://motorring.ru/product/868-rezinovaya-vtulka-shpilyki-klapannoy-kryshki-vaz-2108-21099</t>
  </si>
  <si>
    <t>https://motorring.ru/product/859-salynik-shtoka-vybora-peredach-prughinoy-vaz-2108-21099</t>
  </si>
  <si>
    <t>https://motorring.ru/product/10096-salynik-kpp-vaz-novogo-obrazca</t>
  </si>
  <si>
    <t>https://motorring.ru/product/1658-podushka-shtangi-zadnego-stabilizatora-lada-kalina</t>
  </si>
  <si>
    <t>https://motorring.ru/product/864-salynik-privoda-pravyy-brt-vaz-2108-21099-2113-2115-lada</t>
  </si>
  <si>
    <t>https://motorring.ru/product/17159-salynik-privoda-levyy-brt-vaz-2108-21099-2113-2115-lada-oka</t>
  </si>
  <si>
    <t>https://motorring.ru/product/17167-podushka-shtangi-perednego-stabilizatora-poperechnoy</t>
  </si>
  <si>
    <t>https://motorring.ru/product/1012-shlang-patrubok-rasshiritelynogo-bachka-zapravochnyy-vaz</t>
  </si>
  <si>
    <t>https://motorring.ru/product/18719-shlang-termostata-korotkiy-lada-niva-21214-2131</t>
  </si>
  <si>
    <t>https://motorring.ru/product/831-patrubok-soedinitelynyy-otopitelya-termostatu-shevrole-niva</t>
  </si>
  <si>
    <t>https://motorring.ru/product/18749-komplekt-original-patrubkov-sistemy-otopitelya-vaz-2110-2112</t>
  </si>
  <si>
    <t>https://motorring.ru/product/870-chehol-vilki-vyklyucheniya-scepleniya-vaz-2108-21099</t>
  </si>
  <si>
    <t>https://motorring.ru/product/17997-shlang-podvodyaschiy-radiatora-vaz-2101-2107</t>
  </si>
  <si>
    <t>https://motorring.ru/product/5401</t>
  </si>
  <si>
    <t>https://motorring.ru/product/307-chehol-rulevoy-reyki-gofra-vaz-2108-21099-2110-2112</t>
  </si>
  <si>
    <t>https://motorring.ru/product/25132-okantovki-okna-bokovin-lada-kalina-sedan</t>
  </si>
  <si>
    <t>https://motorring.ru/product/766-bryzgovik-peredniy-levyy-vaz-2110-2112</t>
  </si>
  <si>
    <t>https://motorring.ru/product/768-bryzgovik-zadniy-pravyy-vaz-2110-2112</t>
  </si>
  <si>
    <t>https://motorring.ru/product/683-shlang-patrubok-radiatora-verhniy-podvodyaschiy-vaz</t>
  </si>
  <si>
    <t>https://motorring.ru/product/786-shlang-patrubok-otvodyaschiy-radiatora-nighniy-vaz</t>
  </si>
  <si>
    <t>https://motorring.ru/product/787-shlang-patrubok-verhniy-radiatora-podvodyaschiy-vaz</t>
  </si>
  <si>
    <t>https://motorring.ru/product/703-koghuh-pylynik-stoyki-teleskopicheskoy-vaz-2110-2112</t>
  </si>
  <si>
    <t>https://motorring.ru/product/918-bryzgovik-peredniy-pravyy-vaz-2113-2115</t>
  </si>
  <si>
    <t>https://motorring.ru/product/1174-shlang-podvodyaschiy-radiatora-karbyuratornye-vaz-2101-2102</t>
  </si>
  <si>
    <t>https://motorring.ru/product/1003-shlang-patrubok-podvodyaschiy-radiatora-vaz-2108-21099</t>
  </si>
  <si>
    <t>https://motorring.ru/product/18265-patrubok-podvodyaschiy-radiatora-nighniy-lada-kalina</t>
  </si>
  <si>
    <t>https://motorring.ru/product/20173-bryzgoviki-zadnie-lada-niva-4h4-urban</t>
  </si>
  <si>
    <t>https://motorring.ru/product/459-shlang-podvodyaschiy-radiatora-vaz-2108-21099-2113-2115</t>
  </si>
  <si>
    <t>https://motorring.ru/product/754-shlang-patrubok-radiatora-otvodyaschiy-vaz-2108-21099</t>
  </si>
  <si>
    <t>https://motorring.ru/product/8574-okantovka-zadnego-vetrovogo-stekla-p-obraznaya-lada-granta</t>
  </si>
  <si>
    <t>https://motorring.ru/product/17315-kronshteyn-perednego-sharnira-rastyaghki-peredney-podveski</t>
  </si>
  <si>
    <t>https://motorring.ru/product/20171-bryzgoviki-perednie-brt-lada-niva-4h4</t>
  </si>
  <si>
    <t>https://motorring.ru/product/143-nakladka-perednego-bampera-srednyaya-vaz-2104-2107</t>
  </si>
  <si>
    <t>https://motorring.ru/product/33302-patrubok-radiatora-brt-otvodyaschiy-nighniy-dlya-lada-vesta</t>
  </si>
  <si>
    <t>https://motorring.ru/product/14922-bryzgoviki-fartuki-zadnie-dlya-lada-granta-kalina-datsun</t>
  </si>
  <si>
    <t>https://motorring.ru/product/1190-uplotnitely-gorloviny-nalivnoy-truby-brt-dlya-vaz-2101-2102</t>
  </si>
  <si>
    <t>https://motorring.ru/product/17021-shlang-patrubok-rasshiritelynogo-bachka-termostatu-forvard</t>
  </si>
  <si>
    <t>https://motorring.ru/product/11357-originalynye-perednie-bryzgoviki-dlya-lada-vesta</t>
  </si>
  <si>
    <t>https://motorring.ru/product/10095-bryzgoviki-fartuki-zadnih-krylyev-dlya-lada-vesta</t>
  </si>
  <si>
    <t>https://motorring.ru/product/42293-bryzgovik-zadniy-levyy-fartuk-2101-2107</t>
  </si>
  <si>
    <t>https://motorring.ru/product/16861-bryzgovik-fartuk-zadniy-pravyy-brt-vaz-21099</t>
  </si>
  <si>
    <t>https://motorring.ru/product/8605-bryzgoviki-fartuki-perednie-lada-priora</t>
  </si>
  <si>
    <t>https://motorring.ru/product/8606-bryzgoviki-fartuki-zadnie-prighimnymi-plastinami-dlya-lada</t>
  </si>
  <si>
    <t>https://motorring.ru/product/16392-bryzgoviki-fartuki-perednie-dlya-lada-kalina</t>
  </si>
  <si>
    <t>https://motorring.ru/product/16393</t>
  </si>
  <si>
    <t>https://motorring.ru/product/37936-komplekt-bryzgovikov-zadnih-koles-lecar-lada-xray</t>
  </si>
  <si>
    <t>https://motorring.ru/product/8663-bryzgoviki-fartuki-perednih-krylyev-vaz-2110-2111-2112</t>
  </si>
  <si>
    <t>https://motorring.ru/product/13508-originalynye-bryzgoviki-perednih-koles-lada-vesta-kross</t>
  </si>
  <si>
    <t>https://motorring.ru/product/13509-originalynye-bryzgoviki-zadnih-koles-lada-vesta-kross</t>
  </si>
  <si>
    <t>https://motorring.ru/product/1492-mufta-soedinitelynaya-termostata-vodyanogo-nasosa-vaz</t>
  </si>
  <si>
    <t>https://motorring.ru/product/16984-kreplenie-glushitelya-forvard-avtozapchasty-lada-kalina</t>
  </si>
  <si>
    <t>https://motorring.ru/product/1015-chehol-pylynik-zaschitnyy-sharovogo-palyca-peredniy-vaz</t>
  </si>
  <si>
    <t>https://motorring.ru/product/869-patrubok-soedinitelynyy-termostata-korotkiy-vaz-2108-21099</t>
  </si>
  <si>
    <t>https://motorring.ru/product/309-vtulka-soedinitelynaya-bachka-gidrokorrektora-vaz</t>
  </si>
  <si>
    <t>https://motorring.ru/product/1651-okantovka-stekla-vetrovogo-okna-1118-lada-kalina</t>
  </si>
  <si>
    <t>https://motorring.ru/product/18690-chehol-prughiny-kryshki-bagaghnika-lada-vesta-sedan</t>
  </si>
  <si>
    <t>https://motorring.ru/product/1101-chehol-rychaga-pereklyucheniya-peredach-vnutrenniy-vaz</t>
  </si>
  <si>
    <t>https://motorring.ru/product/778-zaglushka-raspredvala-16kl-vaz</t>
  </si>
  <si>
    <t>https://motorring.ru/product/177-chehol-pylynik-vilki-vyklyucheniya-scepleniya-vaz-2101-2107</t>
  </si>
  <si>
    <t>https://motorring.ru/product/1545-shlang-vytyaghnoy-ventilyacii-kartera-verhniy-lada-vesta</t>
  </si>
  <si>
    <t>https://motorring.ru/product/775-shlang-podogreva-drosselynogo-patrubka-brt-dlya-vaz</t>
  </si>
  <si>
    <t>https://motorring.ru/product/17401-opora-krepleniya-vozdushnogo-filytra-2107-2115-lada-kalina</t>
  </si>
  <si>
    <t>https://motorring.ru/product/695-chehol-pylynik-vilki-vklyucheniya-scepleniya-vaz-2108-21099</t>
  </si>
  <si>
    <t>https://motorring.ru/product/1532-podushka-podveski-glushitelya-lada-priora</t>
  </si>
  <si>
    <t>https://motorring.ru/product/4824-chehol-pylynik-vilki-vyklyucheniya-scepleniya-lada-vesta</t>
  </si>
  <si>
    <t>https://motorring.ru/product/701-chehol-zaschitnyy-sharovogo-palyca-peredney-podveski-vaz</t>
  </si>
  <si>
    <t>https://motorring.ru/product/18715-remeny-krepleniya-zapasnogo-kolesa-lada-niva-21214-2131</t>
  </si>
  <si>
    <t>https://motorring.ru/product/198-shlang-patrubok-sapuna-vytyaghnoy-ventilyacii-kartera</t>
  </si>
  <si>
    <t>https://motorring.ru/product/1493-shlang-patrubok-otopitelya-pechki-otvodyaschiy-peredniy-vaz</t>
  </si>
  <si>
    <t>https://motorring.ru/product/999-shlang-otopitelya-otvodyaschiy-vaz-2101-2107</t>
  </si>
  <si>
    <t>https://motorring.ru/product/1660-shlang-rasshiritelynogo-bachka-bachka-radiatoru-1118--lada</t>
  </si>
  <si>
    <t>https://motorring.ru/product/17232-shlang-patrubok-otopitelya-pechki-podvodyaschiy-brt-lada</t>
  </si>
  <si>
    <t>https://motorring.ru/product/784-shlang-patrubok-vytyaghnoy-ventilyacii-kartera-verhniy-vaz</t>
  </si>
  <si>
    <t>https://motorring.ru/product/1525-shlang-patrubok-otopitelya-pechki-podvodyaschiy-peredniy</t>
  </si>
  <si>
    <t>https://motorring.ru/product/676-shlang-patrubok-otopitelya-otvodyaschiy-zadniy-vaz</t>
  </si>
  <si>
    <t>https://motorring.ru/product/1538-shlang-patrubok-otopitelya-podvodyaschiy-zadniy-vaz</t>
  </si>
  <si>
    <t>https://motorring.ru/product/197-shlang-patrubok-sapuna-vytyaghnoy-ventilyacii-kartera</t>
  </si>
  <si>
    <t>https://motorring.ru/product/996-shlang-sapuna-vytyaghnoy-ventilyacii-kartera-nighniy-vaz</t>
  </si>
  <si>
    <t>https://motorring.ru/product/154-patrubok-perepusknoy-termostata-vaz-2101-2107</t>
  </si>
  <si>
    <t>https://motorring.ru/product/292-patrubok-ohlaghdeniya-mednogo-radiatora-nighniy</t>
  </si>
  <si>
    <t>https://motorring.ru/product/774-shlang-patrubok-otopitelya-pechki-otvodyaschiy-zadniy</t>
  </si>
  <si>
    <t>https://motorring.ru/product/773-shlang-patrubok-otopitelya-pechki-podvodyaschiy-vaz-2111</t>
  </si>
  <si>
    <t>https://motorring.ru/product/1666-patrubok-pechki-otvodyaschiy-lada-kalina</t>
  </si>
  <si>
    <t>https://motorring.ru/product/1653-patrubok-pechki-podvodyaschiy-lada-kalina</t>
  </si>
  <si>
    <t>https://motorring.ru/product/17734-patrubok-vozduhozabornika-lada-kalina-kalina-granta</t>
  </si>
  <si>
    <t>https://motorring.ru/product/916-shlang-patrubok-otopitelya-podvodyaschiy-shevrole-niva</t>
  </si>
  <si>
    <t>https://motorring.ru/product/823-shlang-patrubok-sapuna-vytyaghnoy-ventilyacii-kartera</t>
  </si>
  <si>
    <t>https://motorring.ru/product/914-shlang-patrubok-otopitelya-otvodyaschiy-shevrole-niva</t>
  </si>
  <si>
    <t>https://motorring.ru/product/827-shlang-patrubok-otvodyaschiy-radiatora-shevrole-niva</t>
  </si>
  <si>
    <t>https://motorring.ru/product/828-patrubok-ohlaghdeniya-radiatora-verhniy-shevrole-niva</t>
  </si>
  <si>
    <t>https://motorring.ru/product/1559-shlang-otopitelya-otvodyaschiy-lada-granta</t>
  </si>
  <si>
    <t>https://motorring.ru/product/1553-shlang-parootvodyaschiy-mehanicheskoy-kpp-lada-granta</t>
  </si>
  <si>
    <t>https://motorring.ru/product/1557-shlang-otopitelya-podvodyaschiy-lada-granta</t>
  </si>
  <si>
    <t>https://motorring.ru/product/858-shlang-patrubok-radiatora-podvodyaschiy-verhniy-vaz-2106</t>
  </si>
  <si>
    <t>https://motorring.ru/product/17233-shlang-otopitelya-otvodyaschiy-brt-lada-niva-21214</t>
  </si>
  <si>
    <t>https://motorring.ru/product/18718-shlang-perepusknoy-termostata-lada-niva-21214-2131</t>
  </si>
  <si>
    <t>https://motorring.ru/product/811-shlang-patrubok-sredniy-perepusknoy-lada-niva-2121</t>
  </si>
  <si>
    <t>https://motorring.ru/product/808-patrubok-ohlaghdeniya-radiatora-nighniy-otvodyaschiy-lada</t>
  </si>
  <si>
    <t>https://motorring.ru/product/792-shlang-patrubok-sapuna-vytyaghnoy-ventilyacii-kartera</t>
  </si>
  <si>
    <t>https://motorring.ru/product/10252-komplekt-narughnyh-barhotok-vaz-2110-2112</t>
  </si>
  <si>
    <t>Column3</t>
  </si>
  <si>
    <t>Column4</t>
  </si>
  <si>
    <t>Column5</t>
  </si>
  <si>
    <t>Column19</t>
  </si>
  <si>
    <t>https://docs.google.com/spreadsheets/d/1f8_y-lcqVEuKpceVw_F97NEKzue5YmQtx8GIXUS_2B8/export?format=xlsx</t>
  </si>
  <si>
    <t/>
  </si>
  <si>
    <t>Каталожный номер</t>
  </si>
  <si>
    <t>Артикул поставщика</t>
  </si>
  <si>
    <t>2110-6203320 / 2110-6103320.</t>
  </si>
  <si>
    <t>Буфер "БРТ" капота правый для Лада Нива 4х4</t>
  </si>
  <si>
    <t>Вакуумный шланг пневмопривода красный (аналог) для Лада Гранта, Ларгус, Веста, XRAY</t>
  </si>
  <si>
    <t>Втулка "БРТ" шпильки крышки клапанной для ВАЗ 2108-21099</t>
  </si>
  <si>
    <t>Заглушка опоры стойки для ВАЗ 2110-2112</t>
  </si>
  <si>
    <t>2110-2901054</t>
  </si>
  <si>
    <t>Кольцо замка зажигания "БРТ" уплотнительное для Лада (Калина, Калина 2, Приора, Гранта), Шевроле Нива, Датсун (mi-DO, on-DO)</t>
  </si>
  <si>
    <t>Кронштейн растяжки передней подвески в сборе "БМРТ" для Лада Гранта</t>
  </si>
  <si>
    <t>Накладка "БРТ" на педаль тормоза, сцепления для ВАЗ 2110-2112, Лада (Калина, Гранта, Приора), Датсун (mi-DO, on-DO)</t>
  </si>
  <si>
    <t>Опора "БРТ" кулисы для ВАЗ 2110-2112, Лада Приора</t>
  </si>
  <si>
    <t>Опора "БРТ" кулисы для Лада Калина</t>
  </si>
  <si>
    <t>Опора "БРТ" рычага кулисы КПП для ВАЗ 2110-2112, Лада Приора</t>
  </si>
  <si>
    <t>8450033574</t>
  </si>
  <si>
    <t>2112-1303010РП</t>
  </si>
  <si>
    <t>Патрубок расширительного бачка к термостату (заправочный) "БРТ" для ВАЗ 2108-21099, 2113-2115</t>
  </si>
  <si>
    <t>Патрубок расширительного бачка к термостату (заправочный) "БРТ" для ВАЗ 2113-2115</t>
  </si>
  <si>
    <t>Патрубок соединительный "БРТ" наливной горловины топливного бака Евро-3 для Лада Нива 4х4</t>
  </si>
  <si>
    <t>Прокладка "БРТ" топливного насоса (бензонасоса) для ВАЗ 2108-21099, 2110-2112, 2113-2115 (с инжекторным двигателем)</t>
  </si>
  <si>
    <t>Пыльник "БРТ" рабочего цилиндра сцепления для ВАЗ 2101-2107</t>
  </si>
  <si>
    <t>Пыльник "БРТ" рулевого наконечника для ВАЗ 2108-21099, 2110-2112, 2113-2115, Лада Калина, Гранта, Приора</t>
  </si>
  <si>
    <t>Пыльник "БРТ" шарнира промежуточного карданного вала для Лада Нива 4х4</t>
  </si>
  <si>
    <t>Пыльник КПП "БРТ" внутренний (малый) для Шевроле Нива</t>
  </si>
  <si>
    <t>Пыльник стойки "БРТ" передней подвески для ВАЗ (2108-21099, 2110-2112, 2113-2115), Лада (Калина, Калина 2, Приора, Гранта)</t>
  </si>
  <si>
    <t>Пыльник ШРУСа "БРТ" внешний для ВАЗ 2108-21099, 2110-2112, 2113-2115, Лада Приора</t>
  </si>
  <si>
    <t>Пыльник ШРУСа "БРТ" внешний для Лада (Нива 4х4, Нива Урбан), Шевроле Нива</t>
  </si>
  <si>
    <t>Пыльник ШРУСа "БРТ" внешний для Лада Нива 4х4, Шевроле Нива</t>
  </si>
  <si>
    <t>Сальник "БРТ" первичного вала КПП для ВАЗ 2108-21099, 2113-2115, 2110-2112</t>
  </si>
  <si>
    <t>Сальники КПП "БРТ" 91РБ (4 шт.) для ВАЗ 2108-21099</t>
  </si>
  <si>
    <t>Уплотнители (бархотки) "БРТ" опускного стекла внешние С/О для ВАЗ 2108, 2113</t>
  </si>
  <si>
    <t>2108-6103290Р, 2108-6103291Р</t>
  </si>
  <si>
    <t>Уплотнители (бархотки) "БРТ" опускного стекла внутренние Н/О для ВАЗ 2108, 2113</t>
  </si>
  <si>
    <t>2108-6103320-10Р</t>
  </si>
  <si>
    <t>Уплотнители (бархотки) "БРТ" опускного стекла внутренние Н/О для ВАЗ 2109, 21099, 2114, 2115</t>
  </si>
  <si>
    <t>2109-6103320-10Р, 2109-6203320-10Р</t>
  </si>
  <si>
    <t>Уплотнители (бархотки) "БРТ" опускного стекла внутренние С/О для ВАЗ 2109, 21099, 2114, 2115</t>
  </si>
  <si>
    <t>2109-6103320Р, 2109-6203320Р</t>
  </si>
  <si>
    <t>Уплотнители (бархотки) "БРТ" опускного стекла Н/О для ВАЗ 2108, 2113</t>
  </si>
  <si>
    <t>2108-6103290-10Р, 2108-6103291-10Р, 2108-6103320-10Р</t>
  </si>
  <si>
    <t>Уплотнители (бархотки) "БРТ" опускного стекла Н/О для ВАЗ 2109, 21099, 2114, 2115</t>
  </si>
  <si>
    <t>2109-6103290-10Р, 2109-6103320-10Р, 2109-6203290-10Р, 2109-6203320-10Р</t>
  </si>
  <si>
    <t>Уплотнители (бархотки) "БРТ" опускного стекла наружние Н/О для ВАЗ 2109, 21099 2114, 2115</t>
  </si>
  <si>
    <t>2109-6103290-10Р, 2109-6203290-10Р</t>
  </si>
  <si>
    <t>Уплотнители (бархотки) "БРТ" опускного стекла С/О для ВАЗ 2108, 2113</t>
  </si>
  <si>
    <t>2108-6103290Р, 2108-6103291Р, 2108-6103320Р</t>
  </si>
  <si>
    <t>2123-5206062 / 2123-8212736</t>
  </si>
  <si>
    <t>2101-1601211Р</t>
  </si>
  <si>
    <t>2110-1601211Р</t>
  </si>
  <si>
    <t>Чехол защитный "БРТ" шарового пальца передней подвески для ВАЗ (2108-21099, 2110-2112, 2113-2115), Лада (Калина, Калина 2, Приора, Приора 2,, Гранта, Гранта FL)</t>
  </si>
  <si>
    <t>Чехол защитный рейки рулевого механизма "БРТ" для ВАЗ 2108-21099, 2110-2112, 2113-2115</t>
  </si>
  <si>
    <t>Чехол защитный шарнира тяги привода управления КПП "БРТ" для ВАЗ (2108-21099, 2110-2112, 2113-2115), Лада Ока</t>
  </si>
  <si>
    <t>2101-1703096Р</t>
  </si>
  <si>
    <t>2101-1703101Р</t>
  </si>
  <si>
    <t>2108-1703200Р</t>
  </si>
  <si>
    <t>СВОД</t>
  </si>
  <si>
    <t>Данные</t>
  </si>
  <si>
    <t>https://motorring.ru/product/18714-kolpak-zaschitnyy-verhney-gayki-opory-stoyki-peredney</t>
  </si>
  <si>
    <t>https://motorring.ru/product/830-shlang-patrubok-termostata-vodyanogo-nasosa-soedinitelynyy</t>
  </si>
  <si>
    <t>Башмак натяжителя цепи "БРТ" в сборе для ВАЗ 2101-07, Лада Нива 4x4</t>
  </si>
  <si>
    <t>Заглушка "БРТ" распредвала для ВАЗ 2110-2112, Лада (Калина, Калина 2, Приора, Гранта)</t>
  </si>
  <si>
    <t>Натяжитель цепи автоматический "ISAi" 21214 для Лада Нива 4x4</t>
  </si>
  <si>
    <t>Натяжитель цепи автоматический "ISAi" для ВАЗ 2101-2107</t>
  </si>
  <si>
    <t>Патрубок сапуна вытяжной вентиляции картера "БРТ" верхний (малый) для ВАЗ 2108-21099, 2113-2115</t>
  </si>
  <si>
    <t>Патрубок сапуна вытяжной вентиляции картера "БРТ" нижний (большой) для ВАЗ (2108-21099, 2110-2112, 2113-2115), Лада (Калина, Приора, Калина 2, Гранта, Ларгус, Гранта FL)</t>
  </si>
  <si>
    <t>Ремень генератора "БРТ" 6РК1822 для Лада Ларгус, Renault (Logan, Sandero) (с ГУР)</t>
  </si>
  <si>
    <t>8200598964РУ / 6РК1822</t>
  </si>
  <si>
    <t>6PK1823XS</t>
  </si>
  <si>
    <t>https://motorring.ru/product/20663-remeny-generatora-renault-6pk1823-lada-largus-gur</t>
  </si>
  <si>
    <t>Ремень ГРМ "Балаково" ВАЗ 2108 для ВАЗ 2108-21099, 2110-2112, 2113-2115</t>
  </si>
  <si>
    <t>Ремень ГРМ "БРТ" для Лада Ларгус, Renault (Logan, Clio, Laguna, Megane) (с 16-ти клапанным двигателем)</t>
  </si>
  <si>
    <t>Ремень ГРМ "БРТ" для Лада Ларгус, Renault Logan (с 8-ми клапанным двигателем)</t>
  </si>
  <si>
    <t>Ремень ГРМ зубчатый "БРТ" для ВАЗ 2110-2112 (с 16 клапанными инжекторными двигателями)</t>
  </si>
  <si>
    <t>2112-1006040-02РУ</t>
  </si>
  <si>
    <t>Ремень ГРМ зубчатый "БРТ" для Лада Гранта (с 8 клапанными двигателями)</t>
  </si>
  <si>
    <t>Ремень ГРМ зубчатый привода распределительного вала "БРТ" для ВАЗ 2104, 2105, 2107</t>
  </si>
  <si>
    <t>Ремень ГРМ зубчатый привода распределительного вала "БРТ" для Лада Приора (с 16-ти клапанным двигателем)</t>
  </si>
  <si>
    <t>Успокоитель цепи "БРТ" в сборе для ВАЗ 2101-2107</t>
  </si>
  <si>
    <t>Успокоитель цепи "БРТ" в сборе для ВАЗ 2101-2107, Лада Нива 4х4</t>
  </si>
  <si>
    <t>https://motorring.ru/product/1495-chehol-zaschitnyy-pylynik-tyagi-privoda-ruchnogo-tormoza</t>
  </si>
  <si>
    <t>https://www.avtoall.ru/vtulka_vaz_2170_kronshteiyna_upora_kapota-640472/</t>
  </si>
  <si>
    <t>https://www.avtoall.ru/salnik_vaz_2101_07_vala_mehanizma_rulevogo_brt-002999/</t>
  </si>
  <si>
    <t>https://www.avtoall.ru/salnik_vaz_2101_07_soshki_mehanizma_rulevogo_brt-003031/</t>
  </si>
  <si>
    <t>https://www.avtoall.ru/salnik_vaz_2101_2121_poluosi_krasnyiy_brt-096033/</t>
  </si>
  <si>
    <t>https://www.avtoall.ru/salnik_vaz_2101_2121_poluosi_brt-003021/</t>
  </si>
  <si>
    <t>https://motorring.ru/product/1663-podushka-shtangi-perednego-stabilizatora-lada-kalina-priora</t>
  </si>
  <si>
    <t>https://www.avtoall.ru/podushka_vaz_2190_stabilizatora_brt-939211/</t>
  </si>
  <si>
    <t>https://motorring.ru/product/1555-podushka-shtangi-perednego-stabilizatora-lada-granta</t>
  </si>
  <si>
    <t>https://motorring.ru/product/18437-gofra-provodki-zadnih-dverey-lada-kalina-granta-datsun</t>
  </si>
  <si>
    <t>https://motorring.ru/product/887-pylynik-nakonechnikov-rulevyh-tyag-vaz-2108-21099-2110-2112</t>
  </si>
  <si>
    <t>129 на 2190</t>
  </si>
  <si>
    <t>https://motorring.ru/product/1585-opora-zadney-prughiny-nighnyaya-upakovke-lada-largus</t>
  </si>
  <si>
    <t>https://motorring.ru/product/709-podushka-shtangi-stabilizatora-vaz-2110-2112</t>
  </si>
  <si>
    <t>https://motorring.ru/product/884-vtulka-stabilizatora-vaz-2108-21099-2113-2115-lada-oka</t>
  </si>
  <si>
    <t>https://motorring.ru/product/1530-salynik-reduktora-zadnego-mosta-vaz-2101-2103-2106-lada</t>
  </si>
  <si>
    <t>129 только черный</t>
  </si>
  <si>
    <t>https://www.avtoall.ru/salnik_vaz_2101_07_stupicy_peredneiy_brt-003032/</t>
  </si>
  <si>
    <t>https://www.avtoall.ru/salnik_vaz_2101_07_stupicy_peredneiy_krasnyiy_brt-124387/</t>
  </si>
  <si>
    <t>https://motorring.ru/product/842-chehol-rychaga-pereklyucheniya-peredach-vnutrenniy-shevrole</t>
  </si>
  <si>
    <t>https://motorring.ru/product/18712-salynik-stupicy-lada-21214-2131-shevrole-niva</t>
  </si>
  <si>
    <t>149 только черный</t>
  </si>
  <si>
    <t>https://motorring.ru/product/18151-chehol-zaschitnyy-rabochego-cilindra-privoda-lada-niva</t>
  </si>
  <si>
    <t>https://motorring.ru/product/18953-podushka-glushitelya-lada-iks-rey</t>
  </si>
  <si>
    <t>https://motorring.ru/product/17785-prokladka-datchika-ukazatelya-urovnya-topliva-vaz-2104-2107</t>
  </si>
  <si>
    <t>https://motorring.ru/product/1659</t>
  </si>
  <si>
    <t>https://www.avtoall.ru/trubka_vaz_2111_lektroprovodki_zashitnaya_brt-887352/</t>
  </si>
  <si>
    <t>https://motorring.ru/product/816-salynik-reduktora-mosta-perednego-prughinoy-sbore-lada-niva</t>
  </si>
  <si>
    <t>https://motorring.ru/product/202-shlang-otvodyaschiy-karbyuratora-vaz-2108-21099</t>
  </si>
  <si>
    <t>https://www.avtoall.ru/vtulka_stabilizatora_lada_largus_renault_logan_perednego_brt-811897/</t>
  </si>
  <si>
    <t>https://motorring.ru/product/42230-trubka-zaschitnaya-provodov-dveri-bagaghnika-vaz-2108</t>
  </si>
  <si>
    <t>https://motorring.ru/product/1568-shlang-sapuna-verhniy-105-fvn-lada-iks-rey</t>
  </si>
  <si>
    <t>https://motorring.ru/product/623-sharnir-rastyaghki-peredney-podveski-zadniy-vaz-2108-21099</t>
  </si>
  <si>
    <t>https://motorring.ru/product/17314-sharnir-nighnego-rychaga-peredney-podveski-vaz-2108-2115</t>
  </si>
  <si>
    <t>https://motorring.ru/product/1579-patrubok-pechki-podvodyaschiy-385-fvn18-lada-iks-rey</t>
  </si>
  <si>
    <t>https://motorring.ru/product/1580-patrubok-pechki-otvodyaschiy-364-fvn18-lada-iks-rey</t>
  </si>
  <si>
    <t>https://motorring.ru/product/903-salynik-veduschego-vala-pravyy-shevrole-niva</t>
  </si>
  <si>
    <t>https://www.avtoall.ru/chehol_vaz_2123_tyagi_rychaga_pereklyucheniya_peredach_brt-138315/</t>
  </si>
  <si>
    <t>https://motorring.ru/product/844-chehol-tyagi-privoda-kpp-peredniy-shevrole-niva</t>
  </si>
  <si>
    <t>https://motorring.ru/product/18436-gofra-provodki-perednih-dverey-vnutrennyaya-lada-kalina</t>
  </si>
  <si>
    <t>https://motorring.ru/product/1528-patrubok-pechki-otvodyaschiy-437-fvn18-lada-vesta</t>
  </si>
  <si>
    <t>https://motorring.ru/product/17145-uspokoitely-cepi-privoda-raspredvala-brt-vaz-2101-2107-lada</t>
  </si>
  <si>
    <t>https://motorring.ru/product/1587-patrubok-ohlaghdeniya-radiatora-zapravochnyy-385-fvn18-lada</t>
  </si>
  <si>
    <t>https://motorring.ru/product/1575-patrubok-ohlaghdeniya-radiatora-zapravochnyy-371-fvn-lada</t>
  </si>
  <si>
    <t>https://motorring.ru/product/1578-shlang-rasshiritelynogo-bachka-termostatu-875-fvn7-lada-iks</t>
  </si>
  <si>
    <t>https://motorring.ru/product/18044-podushka-shtangi-stabilizatora-perednego-malenykaya</t>
  </si>
  <si>
    <t>https://motorring.ru/product/1019-podushka-shtangi-stabilizatora-perednego-bolyshaya-shevrole</t>
  </si>
  <si>
    <t>https://motorring.ru/product/18133-opora-zadney-prughiny-verhnyaya-lada-largus-iks-rey</t>
  </si>
  <si>
    <t>https://motorring.ru/product/1572-shlang-rasshiritelynogo-bachka-bachka-termostatu-1030-fvn7</t>
  </si>
  <si>
    <t>https://motorring.ru/product/821-sharnir-nighnego-rychaga-peredney-podveski-lada-niva-4h4</t>
  </si>
  <si>
    <t>https://motorring.ru/product/18071-sharnir-nighnego-rychaga-peredney-podveski-lada-kalina</t>
  </si>
  <si>
    <t>https://motorring.ru/product/1541-shlang-otopitelya-podvodyaschiy-368-fvn18-lada-vesta</t>
  </si>
  <si>
    <t>https://motorring.ru/product/33304-shlang-zapravochnyy-sistemy-ohlaghdeniya-brt-lada-vesta</t>
  </si>
  <si>
    <t>https://motorring.ru/product/5234-shlang-parootvodyaschiy-radiatora-shevrole-niva</t>
  </si>
  <si>
    <t>https://motorring.ru/product/902-chehol-korpusa-perednego-sharnira-shevrole-niva</t>
  </si>
  <si>
    <t>https://motorring.ru/product/908-vtulka-amortizatora-podveski-zadney-shevrole-niva</t>
  </si>
  <si>
    <t>https://motorring.ru/product/18032-patrubok-termostata-inghektor-ugolok-vaz-2108-21099</t>
  </si>
  <si>
    <t>https://motorring.ru/product/905-chehol-pylynik-sharnira-promeghutochnogo-kardannogo-vala</t>
  </si>
  <si>
    <t>https://motorring.ru/product/17983-chehol-kardannogo-vala-lada-niva-21214-2131</t>
  </si>
  <si>
    <t>https://motorring.ru/product/612</t>
  </si>
  <si>
    <t>https://motorring.ru/product/18693-sharnir-nighnego-rychaga-peredniy-lada-vesta</t>
  </si>
  <si>
    <t>https://motorring.ru/product/729-sharnir-vnutrenniy-nakonechnika-rulevoy-tyagi-sbore-vtulkoy</t>
  </si>
  <si>
    <t>https://motorring.ru/product/1099-saylentblok-amortizatora-perednego-vaz-2101-2107-lada-niva</t>
  </si>
  <si>
    <t>https://motorring.ru/product/18070-remeny-privoda-generatora-vaz-2108-21099-2113-2115</t>
  </si>
  <si>
    <t>https://motorring.ru/product/10918-prokladka-maslyanogo-poddona-dlya-vaz-2108-2115-kalina</t>
  </si>
  <si>
    <t>https://motorring.ru/product/17144-bashmak-natyaghitelya-cepi-brt-vaz-2101-2107-lada-niva-4h4</t>
  </si>
  <si>
    <t>https://motorring.ru/product/5112</t>
  </si>
  <si>
    <t>1019 дорого</t>
  </si>
  <si>
    <t>https://motorring.ru/product/304-sharnir-vnutrenniy-rulevoy-tyagi-vaz-2108-21099-2113-2115</t>
  </si>
  <si>
    <t>https://motorring.ru/product/17355-remeny-grm-16kl-vaz-2110-2112-2114-super-avto</t>
  </si>
  <si>
    <t>https://motorring.ru/product/16989-komplekt-patrubkov-sistemy-ohlaghdeniya-mednyy-radiator</t>
  </si>
  <si>
    <t>1190 Форвард</t>
  </si>
  <si>
    <t>https://www.avtoall.ru/remen_grm_vaz_2108_brt-002838/</t>
  </si>
  <si>
    <t>https://motorring.ru/product/18747-komplekt-patrubkov-sistemy-otopitelya-vaz-2108-21099</t>
  </si>
  <si>
    <t>590 форвард</t>
  </si>
  <si>
    <t>https://motorring.ru/product/805-opora-podveski-razdatochnoy-korobki-zadnyaya-dlya-lada-4h4</t>
  </si>
  <si>
    <t>Комплект патрубков двигателя "PANTUS" (армированный каучук, красные) для ВАЗ 2110-2112 (8-ми клапанный двигатель)</t>
  </si>
  <si>
    <t>Комплект патрубков двигателя "PANTUS" 21082 (армированный каучук, красный) для ВАЗ 2108-21099, 2113-2115</t>
  </si>
  <si>
    <t>Комплект патрубков двигателя "PANTUS" 21082 для ВАЗ 2108-21099, 2113-2115</t>
  </si>
  <si>
    <t>Патрубки "БРТ" системы охлаждения для ВАЗ 2101-2107 (алюминиевый радиатор)</t>
  </si>
  <si>
    <t>Патрубки "БРТ" системы охлаждения для ВАЗ 2101-2107 (медный радиатор)</t>
  </si>
  <si>
    <t>Патрубки "БРТ" системы охлаждения для ВАЗ 2107 (инжектор)</t>
  </si>
  <si>
    <t>Патрубки радиатора 21213 "БРТ" армированный каучук, чёрные для Лада Нива 4x4</t>
  </si>
  <si>
    <t>Патрубки системы охлаждения "БРТ" для ВАЗ 2110-2112</t>
  </si>
  <si>
    <t>8450020033</t>
  </si>
  <si>
    <t>8450020032</t>
  </si>
  <si>
    <t>8450020059</t>
  </si>
  <si>
    <t>8450020030</t>
  </si>
  <si>
    <t>8450009489</t>
  </si>
  <si>
    <t>8450020029</t>
  </si>
  <si>
    <t>Патрубок (муфта) соединительный термостата и водяного насоса  "БРТ" для ВАЗ 2108-21099, 2110-2112, 2113-2115 (8-ми клапанный инжекторный двигатель)</t>
  </si>
  <si>
    <t>Патрубок верхний радиатора "БРТ" подводящий для ВАЗ 2110-2112, Лада Приора (16-ти клапанный двигатель)</t>
  </si>
  <si>
    <t>2112-1303025РП</t>
  </si>
  <si>
    <t>Патрубок верхний радиатора "БРТ" подводящий для Лада Приора (с кондиционером)</t>
  </si>
  <si>
    <t>2170-1303025-10РП</t>
  </si>
  <si>
    <t>Патрубок медного радиатора отводящий "БРТ" нижний для ВАЗ 2101, 2103, 2106</t>
  </si>
  <si>
    <t>Патрубок нижний радиатора "БРТ" отводящий для ВАЗ 2110-2112, Лада Приора (16-ти клапанный двигатель)</t>
  </si>
  <si>
    <t>Патрубок нижний радиатора "БРТ" отводящий для Лада Приора (с кондиционером)</t>
  </si>
  <si>
    <t>2170-1303010-10РП</t>
  </si>
  <si>
    <t>Патрубок радиатора отводящий  "БРТ" для ВАЗ 2108 (инжектор)</t>
  </si>
  <si>
    <t>Патрубок радиатора отводящий "БРТ" нижний для ВАЗ 2101, 2102 (с медным радиатором)</t>
  </si>
  <si>
    <t>Патрубок радиатора отводящий "БРТ" нижний для ВАЗ 2105, 2107 (с алюминиевым радиатором)</t>
  </si>
  <si>
    <t>Патрубок радиатора отводящий "БРТ" нижний для ВАЗ 2110-2112 (8-ми клапанный двигатель)</t>
  </si>
  <si>
    <t>2121-1303010РП</t>
  </si>
  <si>
    <t>21213-1303010-10РП</t>
  </si>
  <si>
    <t>21213-1303010РП</t>
  </si>
  <si>
    <t>2123-1303010РП</t>
  </si>
  <si>
    <t>Патрубок радиатора подводящий "БРТ" верхний для ВАЗ 2101, 2102 (с медным радиатором)</t>
  </si>
  <si>
    <t>Патрубок радиатора подводящий "БРТ" верхний для ВАЗ 2104</t>
  </si>
  <si>
    <t>Патрубок радиатора подводящий "БРТ" верхний для ВАЗ 2110-2112 (8-ми клапанный двигатель)</t>
  </si>
  <si>
    <t>2121-1303025РП</t>
  </si>
  <si>
    <t>21213-1303025РП</t>
  </si>
  <si>
    <t>21214-1303025РП</t>
  </si>
  <si>
    <t>2123-1303025РП</t>
  </si>
  <si>
    <t>Патрубок радиатора подводящий "БРТ" для ВАЗ 2108 (инжектор)</t>
  </si>
  <si>
    <t>Патрубок радиатора подводящий "БРТ" малый для ВАЗ 2107</t>
  </si>
  <si>
    <t>Патрубок соединительный муфта термостата и подводящей трубы водяного насоса (угол) "БРТ" для ВАЗ 2108-21099, 2113-2115</t>
  </si>
  <si>
    <t>21090130309301</t>
  </si>
  <si>
    <t>2112-1303092РП</t>
  </si>
  <si>
    <t>Уплотнители "АвтоВАЗ" проёмов дверей (спаянные) для Лада Калина, Калина 2, Гранта, Гранта FL (седан, хэтчбек)</t>
  </si>
  <si>
    <t>Шланг (патрубок) радиатора "БРТ" верхний для Лада Ларгус</t>
  </si>
  <si>
    <t>Шланг (патрубок) радиатора "БРТ" нижний для Лада Ларгус</t>
  </si>
  <si>
    <t>2112-1303010Р, 2112-1303025Р, 2112-1303092Р</t>
  </si>
  <si>
    <t>Шланги системы охлаждения радиатора "БРТ" ремкомплект 88РШ Р/К для ВАЗ 2110-2112 (с 8-ми клапанным двигателем)</t>
  </si>
  <si>
    <t>2108-1303092Р, 2110-1303010Р, 2110-1303025Р</t>
  </si>
  <si>
    <t>не такая</t>
  </si>
  <si>
    <t>https://motorring.ru/product/1573-patrubok-ohlaghdeniya-radiatora-otvodyaschiy-791-fvn-lada</t>
  </si>
  <si>
    <t>https://motorring.ru/product/18183-patrubok-podvodyaschiy-radiatora-lada-vesta</t>
  </si>
  <si>
    <t>https://motorring.ru/product/18094-bashmak-natyaghitelya-cepi-grm-lada-niva-4h4</t>
  </si>
  <si>
    <t>не то</t>
  </si>
  <si>
    <t>https://motorring.ru/product/904-kronshteyn-podushka-mehanizma-pereklyucheniya-peredach</t>
  </si>
  <si>
    <t>https://motorring.ru/product/4684-originalynye-pylyniki-amortizatorov-zadnih-stoek-vaz</t>
  </si>
  <si>
    <t>https://motorring.ru/product/715-sharnir-krepleniya-rychaga-zadney-podveski-vaz-2110-2115</t>
  </si>
  <si>
    <t>https://motorring.ru/product/17234-sharnir-prodolynoy-shtangi-nighniy-brt-lada-niva-urban</t>
  </si>
  <si>
    <t>https://motorring.ru/product/17235-sharnir-poperechnoy-shtangi-brt-lada-niva-4h4-urban</t>
  </si>
  <si>
    <t>https://www.avtoall.ru/patrubok_lada_x_ray_radiatora_podvodyashiiy_verhniiy_brt-488614/</t>
  </si>
  <si>
    <t>https://motorring.ru/product/1569-patrubok-ohlaghdeniya-radiatora-podvodyaschiy-606-fvn-33</t>
  </si>
  <si>
    <t>https://www.avtoall.ru/patrubok_lada_x_ray_radiatora_otvodyashiiy_nijniiy_dv_p3m_brt-824246/</t>
  </si>
  <si>
    <t>https://www.avtoall.ru/prokladka_vaz_2105_kartera_maslyanogo_brt-002561/</t>
  </si>
  <si>
    <t>https://motorring.ru/product/817-chehol-vnutrennego-sharnira-shrusa-lada-niva-4h4-shevrole</t>
  </si>
  <si>
    <t>https://www.avtoall.ru/chehol_vaz_2121_privoda_vnutrenniiy_brt-007368/</t>
  </si>
  <si>
    <t>https://motorring.ru/product/18298-remeny-generatora-vaz-2101-2107</t>
  </si>
  <si>
    <t>https://motorring.ru/product/1535-patrubok-verhniy-radiatora-podvodyaschiy-lada-priora</t>
  </si>
  <si>
    <t>https://motorring.ru/product/682-oblicovka-gorloviny-nalivnoy-truby-vaz-2110-2112</t>
  </si>
  <si>
    <t>https://motorring.ru/product/6252-shlang-vakuumnogo-usilitelya-tormozov-lada-iks-rey</t>
  </si>
  <si>
    <t>https://motorring.ru/product/1388-komplekt-shlangov-tormoznyh-perednih-gibkih-lada-kalina</t>
  </si>
  <si>
    <t>https://motorring.ru/product/617-komplekt-sistemy-podveski-glushitelya-vaz-2108-21099</t>
  </si>
  <si>
    <t>https://www.avtoall.ru/kolco_vaz_2123_centriruyushee_flanca_kpp_brt-143038/</t>
  </si>
  <si>
    <t>https://motorring.ru/product/17028-shlang-toplivnyy-forvard-avtozapchasty-lada-niva-4h4</t>
  </si>
  <si>
    <t>349 форвард</t>
  </si>
  <si>
    <t>https://motorring.ru/product/861-podushka-perednego-sharnira-rastyaghki-vaz-2108-2109-21099</t>
  </si>
  <si>
    <t>https://www.avtoall.ru/saiylentblok_vaz_2108_kronshteiyna_rastyajki_brt-008565/</t>
  </si>
  <si>
    <t>https://motorring.ru/product/18564-chehol-zaschitnyy-sharnira-tyagi-privoda-kpp-vaz-2108-21099</t>
  </si>
  <si>
    <t>https://www.avtoall.ru/chehol_vaz_2108_sharnira_pereklyuchatelya_peredach_brt-003722/</t>
  </si>
  <si>
    <t>https://motorring.ru/product/17157-chehol-pylynik-shrusa-narughnogo-brt-vaz-2108-21099</t>
  </si>
  <si>
    <t>https://www.avtoall.ru/chehol_vaz_1118_privoda_narujnyiy_brt-113009/</t>
  </si>
  <si>
    <t>https://www.avtoall.ru/zaglushka_vaz_2108_2114_otverstiiy_pola_komplekt_balakovozapchast_-533735/</t>
  </si>
  <si>
    <t>https://motorring.ru/product/17031-komplekt-sistemy-podveski-glushitelya-forvard-avtozapchasty</t>
  </si>
  <si>
    <t>369 форвард</t>
  </si>
  <si>
    <t>https://motorring.ru/product/17230-remeny-privoda-nasosa-gidrousilitelya-rulya-gur-brt-lada</t>
  </si>
  <si>
    <t>https://www.avtoall.ru/remen_vaz_21214_nasosa_gidrousilitelya_zubchatyiy_brt-991305/</t>
  </si>
  <si>
    <t>https://motorring.ru/product/5372-opora-resivera-vaz-2112</t>
  </si>
  <si>
    <t>https://motorring.ru/product/18721-chehol-narughnogo-sharnira-privoda-lada-niva-21214-2131</t>
  </si>
  <si>
    <t>https://motorring.ru/product/17998-podushka-zadney-podveski-dvigatelya-sbore-5-ti</t>
  </si>
  <si>
    <t>https://motorring.ru/product/17158-chehol-pylynik-vnutrennego-sharnira-granaty-brt-vaz</t>
  </si>
  <si>
    <t>https://motorring.ru/product/16983-komplekt-sistemy-podveski-glushitelya-forvard-lada-kalina</t>
  </si>
  <si>
    <t>490 форвард</t>
  </si>
  <si>
    <t>https://motorring.ru/product/730-shlang-zadnego-tormoza-gibkiy-vaz-2110-2112</t>
  </si>
  <si>
    <t>https://www.avtoall.ru/shlang_tormoznoiy_vaz_2108_zadniiy_brt-003827/</t>
  </si>
  <si>
    <t>https://motorring.ru/product/18150-prokladka-izoliruyuschaya-prughiny-zadney-podveski-vaz</t>
  </si>
  <si>
    <t>https://www.avtoall.ru/prokladka_vaz_2101_prujiny_zadneiy_usilennaya_brt-793504/</t>
  </si>
  <si>
    <t>https://www.avtoall.ru/salnik_vaz_2123_rzm_rpm_kr_universalnyiy_avtovaz-325293/</t>
  </si>
  <si>
    <t>Прим</t>
  </si>
  <si>
    <t>https://motorring.ru/product/120-chehol-rychaga-pereklyucheniya-peredach-narughniy-vaz</t>
  </si>
  <si>
    <t>https://www.avtoall.ru/chehol_rychaga_kpp_vaz_2101_07_narujnyiy_brt-010877/</t>
  </si>
  <si>
    <t>https://motorring.ru/product/893-vtulka-amortizatora-podveski-zadney-vaz-2108-21099</t>
  </si>
  <si>
    <t>https://www.avtoall.ru/saiylentblok_vaz_2108_gaz_3310_3302_gazel_next_gazon_next_amortizatora_stabilizatora__oao_gaz_-154322/</t>
  </si>
  <si>
    <t>https://motorring.ru/product/890-sharnir-krepleniya-rychaga-zadney-podveski-vaz-2108-21099</t>
  </si>
  <si>
    <t>https://www.avtoall.ru/saiylentblok_vaz_2108_balki_podveski_zadneiy_brt-007219/</t>
  </si>
  <si>
    <t>https://motorring.ru/product/18148-kreplenie-glushitelya-vaz-2110-2112-lada-kalina-kalina</t>
  </si>
  <si>
    <t>https://www.avtoall.ru/podushka_vaz_21213_2110_glushitelya_brt-116508/</t>
  </si>
  <si>
    <t>https://motorring.ru/product/814-chehol-narughnego-sharnira-shrusa-lada-niva-4h4-shevrole</t>
  </si>
  <si>
    <t>https://www.avtoall.ru/chehol_vaz_2121_privoda_narujnyiy_brt-003706/</t>
  </si>
  <si>
    <t>https://www.avtoall.ru/shlang_vaz_2170_bachka_rasshiritelnogo-195597/</t>
  </si>
  <si>
    <t>https://motorring.ru/product/18187-patrubok-radiatora-verhniy-reno-logan-sandero-lada-largus</t>
  </si>
  <si>
    <t>https://motorring.ru/product/16406-pylynik-kardanchika-kulisy-kpp-rezinovyy-usilennyy-lada</t>
  </si>
  <si>
    <t>https://motorring.ru/product/10397-prokladka-pod-benzonasos-vaz-2108-21099-2113-2115</t>
  </si>
  <si>
    <t>https://www.avtoall.ru/uplotnitel_vaz_21083_2110_nasosa_toplivnogo_injektor_brt-023299/</t>
  </si>
  <si>
    <t>https://motorring.ru/product/619</t>
  </si>
  <si>
    <t>https://www.avtoall.ru/chehol_rychaga_kpp_vaz_2123_narujnyiy-635634/</t>
  </si>
  <si>
    <t>https://www.avtoall.ru/shlang_tormoznoiy_lada_x_ray_cross__l420mm___peredniiy_brt-536300/</t>
  </si>
  <si>
    <t>https://motorring.ru/product/16988-komplekt-sistemy-podveski-glushitelya-forvard-avtozapchasty</t>
  </si>
  <si>
    <t>199 форвард</t>
  </si>
  <si>
    <t>https://motorring.ru/product/1543-patrubok-pechki-podvodyaschiy-motornyy-otsek-dlinnyy-lada</t>
  </si>
  <si>
    <t>https://www.avtoall.ru/patrubok_vaz_2170_otopitelya_podvodyashiiy_brt-836359/</t>
  </si>
  <si>
    <t>https://motorring.ru/product/1674-salynik-kolenvala-peredniy-tavriya-krasnyy-vaz-2101-2107</t>
  </si>
  <si>
    <t>249 снят</t>
  </si>
  <si>
    <t>https://motorring.ru/product/1675-salynik-kolenvala-peredniy-vaz-2101-2107-lada-4h4-shevrole</t>
  </si>
  <si>
    <t>https://motorring.ru/product/18435-gofra-provodki-perednih-dverey-lada-kalina-granta-datsun</t>
  </si>
  <si>
    <t>https://motorring.ru/product/17019-shlang-vytyaghnoy-ventilyacii-kartera-verhniy-forvard</t>
  </si>
  <si>
    <t>https://motorring.ru/product/18069-remeny-generatora-klinovoy-944-vaz-2101-2107-lada-niva-2121</t>
  </si>
  <si>
    <t>https://motorring.ru/product/17738-salynik-kolenvala-zadniy-vaz-2101-2102-2103-2104-2105-2106</t>
  </si>
  <si>
    <t>https://motorring.ru/product/17152-salynik-kolenvala-zadniy-brt-krasnyy-vaz-2108-21099</t>
  </si>
  <si>
    <t>AvtoAll</t>
  </si>
  <si>
    <t>25</t>
  </si>
  <si>
    <t>65</t>
  </si>
  <si>
    <t>60</t>
  </si>
  <si>
    <t>70</t>
  </si>
  <si>
    <t>67</t>
  </si>
  <si>
    <t>80</t>
  </si>
  <si>
    <t>85</t>
  </si>
  <si>
    <t>130</t>
  </si>
  <si>
    <t>90</t>
  </si>
  <si>
    <t>180</t>
  </si>
  <si>
    <t>250</t>
  </si>
  <si>
    <t>310</t>
  </si>
  <si>
    <t>270</t>
  </si>
  <si>
    <t>280</t>
  </si>
  <si>
    <t>220</t>
  </si>
  <si>
    <t>290</t>
  </si>
  <si>
    <t>100</t>
  </si>
  <si>
    <t>350</t>
  </si>
  <si>
    <t>305</t>
  </si>
  <si>
    <t>1060</t>
  </si>
  <si>
    <t>300</t>
  </si>
  <si>
    <t>320</t>
  </si>
  <si>
    <t>340</t>
  </si>
  <si>
    <t>360</t>
  </si>
  <si>
    <t>510</t>
  </si>
  <si>
    <t>450</t>
  </si>
  <si>
    <t>925</t>
  </si>
  <si>
    <t>снят</t>
  </si>
  <si>
    <t>https://www.avtoall.ru/zaglushka_vaz_2110_opory_stoiyki_komplekt_2sht__balakovozapchast_-546839/</t>
  </si>
  <si>
    <t>https://www.avtoall.ru/salnik_vaz_2110_kpp_vala_pervichnogo_brt-078226/</t>
  </si>
  <si>
    <t>https://www.avtoall.ru/prokladka_vaz_1119_prujiny_peredneiy_komplekt_2sht__balakovozapchast_-533757/</t>
  </si>
  <si>
    <t>https://www.avtoall.ru/poddon_akb_vaz_2101_rezina_brt-007191/</t>
  </si>
  <si>
    <t>https://www.avtoall.ru/nakladka_pedali_vaz_2101_tormoza_i_scepleniya_avtoplast-001699/</t>
  </si>
  <si>
    <t>https://www.avtoall.ru/nakladka_pedali_vaz_2110_akseleratora_avtoplast-007829/</t>
  </si>
  <si>
    <t>https://www.avtoall.ru/shlang_vaz_2101_07_vakuum_korrektora_silikonovyiy-007224/</t>
  </si>
  <si>
    <t>https://www.avtoall.ru/bufer_vaz_2111_opory_polki_bagajnika-148958/</t>
  </si>
  <si>
    <t>(дубль) Патрубок "БРТ" радиатора отводящий, нижний (RF-90) для Лада Ларгус</t>
  </si>
  <si>
    <t>(дубль) Патрубок "БРТ" радиатора отводящий, нижний для Лада XRAY</t>
  </si>
  <si>
    <t>(дубль) Патрубок "БРТ" радиатора подводящий (RF-90) для Лада Ларгус</t>
  </si>
  <si>
    <t>(дубль) Патрубок "БРТ" радиатора, подводящий для Лада XRAY</t>
  </si>
  <si>
    <t>8450020027</t>
  </si>
  <si>
    <t>8450020028</t>
  </si>
  <si>
    <t>8450009490</t>
  </si>
  <si>
    <t>8450009488</t>
  </si>
  <si>
    <t>Ремень зубчатый ГРМ "БРТ" для ВАЗ 2108-21099, 2113-2115, 2110-2112, 1111, Лада Калина (с 8 клапанными инжекторными двигателями)</t>
  </si>
  <si>
    <t>8450020015</t>
  </si>
  <si>
    <t>ЗЦ</t>
  </si>
  <si>
    <t>РЦ</t>
  </si>
  <si>
    <t>Выбор</t>
  </si>
  <si>
    <t>Google</t>
  </si>
  <si>
    <t>55</t>
  </si>
  <si>
    <t>35</t>
  </si>
  <si>
    <t>160</t>
  </si>
  <si>
    <t>190</t>
  </si>
  <si>
    <t>105</t>
  </si>
  <si>
    <t>50</t>
  </si>
  <si>
    <t>2290 дорого</t>
  </si>
  <si>
    <t>https://www.avtoall.ru/uplotnitel_stekla_vaz_2108_bokoviny_pravyiy_brt-003483/</t>
  </si>
  <si>
    <t>https://www.avtoall.ru/uplotnitel_stekla_vaz_2108_bokoviny_levyiy_brt-011882/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</si>
</sst>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0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sz val="10"/>
      <color theme="1"/>
      <name val="Calibri"/>
      <family val="2"/>
      <charset val="204"/>
      <scheme val="minor"/>
    </font>
    <font>
      <sz val="8"/>
      <name val="Arial"/>
      <family val="2"/>
      <charset val="204"/>
    </font>
    <font>
      <sz val="8"/>
      <name val="Arial Cyr"/>
      <family val="2"/>
      <charset val="204"/>
    </font>
    <font>
      <sz val="10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name val="Calibri"/>
      <family val="2"/>
      <charset val="204"/>
    </font>
    <font>
      <u/>
      <sz val="11"/>
      <color indexed="12"/>
      <name val="Calibri"/>
      <family val="2"/>
      <charset val="204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1"/>
      <charset val="204"/>
    </font>
    <font>
      <b/>
      <sz val="10"/>
      <color theme="1"/>
      <name val="Calibri"/>
      <family val="2"/>
      <charset val="204"/>
      <scheme val="minor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b/>
      <sz val="9"/>
      <name val="Arial Cyr"/>
      <family val="2"/>
      <charset val="204"/>
    </font>
    <font>
      <b/>
      <sz val="9"/>
      <name val="Arial"/>
      <family val="2"/>
      <charset val="204"/>
    </font>
    <font>
      <sz val="9"/>
      <name val="Arial Cyr"/>
      <family val="2"/>
      <charset val="204"/>
    </font>
    <font>
      <b/>
      <sz val="8"/>
      <name val="Arial"/>
      <family val="2"/>
      <charset val="204"/>
    </font>
    <font>
      <b/>
      <i/>
      <sz val="9"/>
      <name val="Arial"/>
      <family val="2"/>
      <charset val="204"/>
    </font>
    <font>
      <sz val="11"/>
      <name val="Arial"/>
      <family val="2"/>
      <charset val="204"/>
    </font>
    <font>
      <b/>
      <i/>
      <sz val="9"/>
      <name val="Arial Cyr"/>
      <family val="2"/>
      <charset val="204"/>
    </font>
    <font>
      <b/>
      <i/>
      <sz val="8"/>
      <name val="Arial"/>
      <family val="2"/>
      <charset val="204"/>
    </font>
    <font>
      <i/>
      <sz val="9"/>
      <name val="Arial"/>
      <family val="2"/>
      <charset val="204"/>
    </font>
    <font>
      <b/>
      <sz val="10"/>
      <name val="Arial"/>
      <family val="2"/>
      <charset val="204"/>
    </font>
    <font>
      <i/>
      <sz val="10"/>
      <name val="Arial"/>
      <family val="2"/>
      <charset val="204"/>
    </font>
    <font>
      <b/>
      <i/>
      <sz val="12"/>
      <name val="Times New Roman"/>
      <family val="1"/>
      <charset val="204"/>
    </font>
    <font>
      <sz val="10"/>
      <color rgb="FF006100"/>
      <name val="Calibri"/>
      <family val="2"/>
      <charset val="204"/>
    </font>
    <font>
      <sz val="10"/>
      <color rgb="FF9C0006"/>
      <name val="Calibri"/>
      <family val="2"/>
      <charset val="204"/>
    </font>
    <font>
      <sz val="10"/>
      <color rgb="FF9C5700"/>
      <name val="Calibri"/>
      <family val="2"/>
      <charset val="204"/>
    </font>
    <font>
      <sz val="10"/>
      <color rgb="FF3F3F76"/>
      <name val="Calibri"/>
      <family val="2"/>
      <charset val="204"/>
    </font>
    <font>
      <b/>
      <sz val="10"/>
      <color rgb="FF3F3F3F"/>
      <name val="Calibri"/>
      <family val="2"/>
      <charset val="204"/>
    </font>
    <font>
      <b/>
      <sz val="10"/>
      <color rgb="FFFA7D00"/>
      <name val="Calibri"/>
      <family val="2"/>
      <charset val="204"/>
    </font>
    <font>
      <sz val="10"/>
      <color rgb="FFFA7D00"/>
      <name val="Calibri"/>
      <family val="2"/>
      <charset val="204"/>
    </font>
    <font>
      <b/>
      <sz val="10"/>
      <color theme="0"/>
      <name val="Calibri"/>
      <family val="2"/>
      <charset val="204"/>
    </font>
    <font>
      <sz val="10"/>
      <color rgb="FFFF0000"/>
      <name val="Calibri"/>
      <family val="2"/>
      <charset val="204"/>
    </font>
    <font>
      <i/>
      <sz val="10"/>
      <color rgb="FF7F7F7F"/>
      <name val="Calibri"/>
      <family val="2"/>
      <charset val="204"/>
    </font>
    <font>
      <b/>
      <sz val="10"/>
      <color theme="1"/>
      <name val="Calibri"/>
      <family val="2"/>
      <charset val="204"/>
    </font>
    <font>
      <sz val="10"/>
      <color theme="0"/>
      <name val="Calibri"/>
      <family val="2"/>
      <charset val="204"/>
    </font>
    <font>
      <sz val="11"/>
      <name val="Calibri"/>
      <family val="2"/>
      <charset val="204"/>
      <scheme val="minor"/>
    </font>
    <font>
      <sz val="10"/>
      <color rgb="FFC00000"/>
      <name val="Calibri"/>
      <family val="2"/>
      <charset val="204"/>
    </font>
    <font>
      <sz val="10"/>
      <color rgb="FF7030A0"/>
      <name val="Calibri"/>
      <family val="2"/>
      <charset val="204"/>
    </font>
    <font>
      <sz val="10"/>
      <color theme="5" tint="-0.24994659260841701"/>
      <name val="Calibri"/>
      <family val="2"/>
      <charset val="204"/>
    </font>
    <font>
      <sz val="10"/>
      <name val="Calibri"/>
      <family val="2"/>
      <charset val="204"/>
    </font>
    <font>
      <sz val="8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Calibri"/>
      <family val="2"/>
      <charset val="204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27"/>
        <bgColor indexed="41"/>
      </patternFill>
    </fill>
    <fill>
      <patternFill patternType="solid">
        <fgColor theme="3" tint="0.59999389629810485"/>
        <bgColor indexed="24"/>
      </patternFill>
    </fill>
    <fill>
      <patternFill patternType="solid">
        <fgColor theme="3" tint="0.59999389629810485"/>
        <bgColor indexed="4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0070C0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double">
        <color rgb="FFFF0000"/>
      </right>
      <top/>
      <bottom style="double">
        <color rgb="FFFF0000"/>
      </bottom>
      <diagonal/>
    </border>
    <border>
      <left/>
      <right style="double">
        <color rgb="FF7030A0"/>
      </right>
      <top/>
      <bottom style="double">
        <color rgb="FF7030A0"/>
      </bottom>
      <diagonal/>
    </border>
    <border>
      <left/>
      <right style="double">
        <color theme="5" tint="-0.24994659260841701"/>
      </right>
      <top/>
      <bottom style="double">
        <color theme="5" tint="-0.24994659260841701"/>
      </bottom>
      <diagonal/>
    </border>
    <border diagonalUp="1" diagonalDown="1">
      <left/>
      <right/>
      <top/>
      <bottom/>
      <diagonal style="double">
        <color rgb="FFC00000"/>
      </diagonal>
    </border>
    <border>
      <left/>
      <right style="double">
        <color theme="0"/>
      </right>
      <top/>
      <bottom style="double">
        <color theme="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47">
    <xf numFmtId="0" fontId="0" fillId="0" borderId="0"/>
    <xf numFmtId="0" fontId="3" fillId="0" borderId="0" applyNumberFormat="0" applyFill="0" applyBorder="0" applyAlignment="0" applyProtection="0"/>
    <xf numFmtId="0" fontId="10" fillId="31" borderId="1" applyNumberFormat="0" applyBorder="0" applyAlignment="0" applyProtection="0"/>
    <xf numFmtId="0" fontId="10" fillId="27" borderId="2" applyNumberFormat="0" applyBorder="0" applyAlignment="0" applyProtection="0"/>
    <xf numFmtId="0" fontId="10" fillId="38" borderId="3" applyNumberFormat="0" applyBorder="0" applyAlignment="0" applyProtection="0"/>
    <xf numFmtId="0" fontId="10" fillId="43" borderId="12" applyNumberFormat="0" applyBorder="0" applyAlignment="0" applyProtection="0"/>
    <xf numFmtId="0" fontId="29" fillId="2" borderId="0" applyNumberFormat="0" applyBorder="0" applyAlignment="0" applyProtection="0"/>
    <xf numFmtId="0" fontId="30" fillId="3" borderId="0" applyNumberFormat="0" applyBorder="0" applyAlignment="0" applyProtection="0"/>
    <xf numFmtId="0" fontId="31" fillId="4" borderId="0" applyNumberFormat="0" applyBorder="0" applyAlignment="0" applyProtection="0"/>
    <xf numFmtId="0" fontId="32" fillId="5" borderId="4" applyNumberFormat="0" applyAlignment="0" applyProtection="0"/>
    <xf numFmtId="0" fontId="33" fillId="6" borderId="5" applyNumberFormat="0" applyAlignment="0" applyProtection="0"/>
    <xf numFmtId="0" fontId="34" fillId="6" borderId="4" applyNumberFormat="0" applyAlignment="0" applyProtection="0"/>
    <xf numFmtId="0" fontId="35" fillId="0" borderId="6" applyNumberFormat="0" applyFill="0" applyAlignment="0" applyProtection="0"/>
    <xf numFmtId="0" fontId="36" fillId="7" borderId="7" applyNumberFormat="0" applyAlignment="0" applyProtection="0"/>
    <xf numFmtId="0" fontId="37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2" fillId="0" borderId="15" applyNumberFormat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43" fillId="0" borderId="16" applyNumberFormat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44" fillId="0" borderId="17" applyNumberFormat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42" fillId="39" borderId="18" applyNumberFormat="0" applyProtection="0">
      <alignment horizontal="center" vertical="center"/>
    </xf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40" fillId="40" borderId="19" applyNumberForma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5" fillId="3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5" fillId="0" borderId="0">
      <alignment horizontal="left"/>
    </xf>
    <xf numFmtId="0" fontId="8" fillId="0" borderId="0" applyNumberFormat="0" applyFill="0" applyBorder="0" applyAlignment="0" applyProtection="0"/>
    <xf numFmtId="9" fontId="2" fillId="0" borderId="0" applyFont="0" applyFill="0" applyBorder="0" applyAlignment="0" applyProtection="0"/>
    <xf numFmtId="0" fontId="12" fillId="0" borderId="0"/>
    <xf numFmtId="0" fontId="15" fillId="0" borderId="0"/>
  </cellStyleXfs>
  <cellXfs count="176">
    <xf numFmtId="0" fontId="0" fillId="0" borderId="0" xfId="0"/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1" fontId="4" fillId="0" borderId="0" xfId="0" applyNumberFormat="1" applyFont="1" applyAlignment="1">
      <alignment horizontal="left" vertical="center"/>
    </xf>
    <xf numFmtId="49" fontId="4" fillId="0" borderId="10" xfId="0" applyNumberFormat="1" applyFont="1" applyBorder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1" fontId="4" fillId="30" borderId="0" xfId="0" applyNumberFormat="1" applyFont="1" applyFill="1" applyAlignment="1">
      <alignment horizontal="left" vertical="center"/>
    </xf>
    <xf numFmtId="49" fontId="4" fillId="0" borderId="10" xfId="0" applyNumberFormat="1" applyFont="1" applyBorder="1" applyAlignment="1">
      <alignment horizontal="left" wrapText="1"/>
    </xf>
    <xf numFmtId="0" fontId="0" fillId="0" borderId="12" xfId="0" applyBorder="1"/>
    <xf numFmtId="2" fontId="4" fillId="0" borderId="0" xfId="0" applyNumberFormat="1" applyFont="1" applyAlignment="1">
      <alignment horizontal="left" vertical="center"/>
    </xf>
    <xf numFmtId="0" fontId="9" fillId="0" borderId="0" xfId="0" applyFont="1"/>
    <xf numFmtId="0" fontId="10" fillId="0" borderId="0" xfId="0" applyFont="1"/>
    <xf numFmtId="0" fontId="9" fillId="28" borderId="0" xfId="0" applyFont="1" applyFill="1"/>
    <xf numFmtId="2" fontId="10" fillId="0" borderId="0" xfId="0" applyNumberFormat="1" applyFont="1"/>
    <xf numFmtId="0" fontId="10" fillId="28" borderId="0" xfId="0" applyFont="1" applyFill="1"/>
    <xf numFmtId="0" fontId="11" fillId="0" borderId="0" xfId="0" applyFont="1"/>
    <xf numFmtId="0" fontId="10" fillId="29" borderId="0" xfId="0" applyFont="1" applyFill="1"/>
    <xf numFmtId="0" fontId="15" fillId="0" borderId="0" xfId="46"/>
    <xf numFmtId="0" fontId="15" fillId="0" borderId="0" xfId="46" applyFont="1" applyBorder="1" applyAlignment="1">
      <alignment horizontal="center"/>
    </xf>
    <xf numFmtId="0" fontId="5" fillId="0" borderId="0" xfId="46" applyFont="1" applyBorder="1"/>
    <xf numFmtId="0" fontId="5" fillId="0" borderId="0" xfId="46" applyFont="1" applyBorder="1" applyAlignment="1">
      <alignment horizontal="center"/>
    </xf>
    <xf numFmtId="0" fontId="16" fillId="0" borderId="0" xfId="46" applyFont="1" applyBorder="1"/>
    <xf numFmtId="0" fontId="20" fillId="36" borderId="12" xfId="42" applyFont="1" applyFill="1" applyBorder="1" applyAlignment="1">
      <alignment horizontal="center" vertical="center" wrapText="1"/>
    </xf>
    <xf numFmtId="0" fontId="21" fillId="36" borderId="12" xfId="42" applyFont="1" applyFill="1" applyBorder="1" applyAlignment="1">
      <alignment horizontal="center" vertical="center" wrapText="1"/>
    </xf>
    <xf numFmtId="0" fontId="24" fillId="36" borderId="12" xfId="42" applyFont="1" applyFill="1" applyBorder="1" applyAlignment="1">
      <alignment horizontal="center" vertical="center" wrapText="1"/>
    </xf>
    <xf numFmtId="1" fontId="10" fillId="0" borderId="0" xfId="0" applyNumberFormat="1" applyFont="1"/>
    <xf numFmtId="1" fontId="9" fillId="0" borderId="0" xfId="0" applyNumberFormat="1" applyFont="1"/>
    <xf numFmtId="0" fontId="4" fillId="30" borderId="14" xfId="0" applyNumberFormat="1" applyFont="1" applyFill="1" applyBorder="1" applyAlignment="1">
      <alignment horizontal="left" vertical="center" wrapText="1"/>
    </xf>
    <xf numFmtId="49" fontId="4" fillId="0" borderId="13" xfId="0" applyNumberFormat="1" applyFont="1" applyBorder="1" applyAlignment="1">
      <alignment horizontal="left" vertical="center" wrapText="1"/>
    </xf>
    <xf numFmtId="49" fontId="4" fillId="30" borderId="14" xfId="0" applyNumberFormat="1" applyFont="1" applyFill="1" applyBorder="1" applyAlignment="1">
      <alignment horizontal="left" vertical="center" wrapText="1"/>
    </xf>
    <xf numFmtId="1" fontId="4" fillId="31" borderId="12" xfId="0" applyNumberFormat="1" applyFont="1" applyFill="1" applyBorder="1" applyAlignment="1">
      <alignment horizontal="left" vertical="center" wrapText="1"/>
    </xf>
    <xf numFmtId="1" fontId="4" fillId="0" borderId="12" xfId="0" applyNumberFormat="1" applyFont="1" applyBorder="1" applyAlignment="1">
      <alignment horizontal="left" vertical="center"/>
    </xf>
    <xf numFmtId="0" fontId="7" fillId="31" borderId="12" xfId="42" applyFont="1" applyFill="1" applyBorder="1" applyAlignment="1">
      <alignment horizontal="left" vertical="center" wrapText="1"/>
    </xf>
    <xf numFmtId="1" fontId="7" fillId="28" borderId="12" xfId="42" applyNumberFormat="1" applyFont="1" applyFill="1" applyBorder="1" applyAlignment="1">
      <alignment horizontal="left" vertical="center" wrapText="1"/>
    </xf>
    <xf numFmtId="0" fontId="7" fillId="0" borderId="12" xfId="42" applyFont="1" applyBorder="1" applyAlignment="1">
      <alignment horizontal="left" vertical="center" wrapText="1"/>
    </xf>
    <xf numFmtId="0" fontId="7" fillId="0" borderId="12" xfId="0" applyFont="1" applyBorder="1" applyAlignment="1">
      <alignment horizontal="left"/>
    </xf>
    <xf numFmtId="2" fontId="4" fillId="30" borderId="14" xfId="0" applyNumberFormat="1" applyFont="1" applyFill="1" applyBorder="1" applyAlignment="1">
      <alignment horizontal="left" vertical="center" wrapText="1"/>
    </xf>
    <xf numFmtId="1" fontId="7" fillId="31" borderId="12" xfId="42" applyNumberFormat="1" applyFont="1" applyFill="1" applyBorder="1" applyAlignment="1">
      <alignment horizontal="left" vertical="center" wrapText="1"/>
    </xf>
    <xf numFmtId="0" fontId="7" fillId="31" borderId="12" xfId="0" applyFont="1" applyFill="1" applyBorder="1" applyAlignment="1">
      <alignment horizontal="left"/>
    </xf>
    <xf numFmtId="1" fontId="7" fillId="0" borderId="12" xfId="0" applyNumberFormat="1" applyFont="1" applyBorder="1" applyAlignment="1">
      <alignment horizontal="left"/>
    </xf>
    <xf numFmtId="0" fontId="7" fillId="30" borderId="14" xfId="42" applyFont="1" applyFill="1" applyBorder="1" applyAlignment="1">
      <alignment horizontal="left" vertical="center" wrapText="1"/>
    </xf>
    <xf numFmtId="1" fontId="4" fillId="30" borderId="14" xfId="0" applyNumberFormat="1" applyFont="1" applyFill="1" applyBorder="1" applyAlignment="1">
      <alignment horizontal="left" vertical="center" wrapText="1"/>
    </xf>
    <xf numFmtId="1" fontId="7" fillId="0" borderId="12" xfId="42" applyNumberFormat="1" applyFont="1" applyBorder="1" applyAlignment="1">
      <alignment horizontal="left" vertical="center" wrapText="1"/>
    </xf>
    <xf numFmtId="1" fontId="7" fillId="0" borderId="12" xfId="0" applyNumberFormat="1" applyFont="1" applyBorder="1" applyAlignment="1">
      <alignment horizontal="left" vertical="center"/>
    </xf>
    <xf numFmtId="49" fontId="4" fillId="0" borderId="12" xfId="0" applyNumberFormat="1" applyFont="1" applyBorder="1" applyAlignment="1">
      <alignment horizontal="left" wrapText="1"/>
    </xf>
    <xf numFmtId="1" fontId="4" fillId="0" borderId="12" xfId="0" applyNumberFormat="1" applyFont="1" applyBorder="1" applyAlignment="1">
      <alignment horizontal="left" vertical="center" wrapText="1"/>
    </xf>
    <xf numFmtId="0" fontId="41" fillId="32" borderId="12" xfId="0" applyFont="1" applyFill="1" applyBorder="1" applyAlignment="1">
      <alignment horizontal="left" vertical="center"/>
    </xf>
    <xf numFmtId="0" fontId="0" fillId="0" borderId="0" xfId="0" applyNumberFormat="1"/>
    <xf numFmtId="0" fontId="17" fillId="0" borderId="12" xfId="0" applyFont="1" applyBorder="1" applyAlignment="1">
      <alignment horizontal="center"/>
    </xf>
    <xf numFmtId="0" fontId="18" fillId="0" borderId="12" xfId="42" applyFont="1" applyBorder="1" applyAlignment="1">
      <alignment horizontal="center" vertical="center" wrapText="1"/>
    </xf>
    <xf numFmtId="0" fontId="19" fillId="0" borderId="12" xfId="0" applyFont="1" applyBorder="1"/>
    <xf numFmtId="0" fontId="0" fillId="37" borderId="12" xfId="0" applyFill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5" fillId="0" borderId="12" xfId="42" applyBorder="1" applyAlignment="1">
      <alignment horizontal="left" vertical="center" wrapText="1"/>
    </xf>
    <xf numFmtId="164" fontId="5" fillId="0" borderId="12" xfId="0" applyNumberFormat="1" applyFont="1" applyBorder="1"/>
    <xf numFmtId="0" fontId="5" fillId="28" borderId="12" xfId="42" applyFill="1" applyBorder="1" applyAlignment="1">
      <alignment horizontal="left" vertical="center" wrapText="1"/>
    </xf>
    <xf numFmtId="0" fontId="5" fillId="28" borderId="12" xfId="0" applyFont="1" applyFill="1" applyBorder="1" applyAlignment="1">
      <alignment horizontal="center"/>
    </xf>
    <xf numFmtId="164" fontId="5" fillId="28" borderId="12" xfId="0" applyNumberFormat="1" applyFont="1" applyFill="1" applyBorder="1"/>
    <xf numFmtId="0" fontId="5" fillId="0" borderId="12" xfId="0" applyFont="1" applyBorder="1"/>
    <xf numFmtId="0" fontId="5" fillId="0" borderId="12" xfId="0" applyFont="1" applyBorder="1" applyAlignment="1">
      <alignment horizontal="left"/>
    </xf>
    <xf numFmtId="0" fontId="5" fillId="28" borderId="12" xfId="0" applyFont="1" applyFill="1" applyBorder="1"/>
    <xf numFmtId="0" fontId="5" fillId="36" borderId="12" xfId="0" applyFont="1" applyFill="1" applyBorder="1"/>
    <xf numFmtId="0" fontId="21" fillId="36" borderId="12" xfId="0" applyFont="1" applyFill="1" applyBorder="1" applyAlignment="1">
      <alignment horizontal="center"/>
    </xf>
    <xf numFmtId="0" fontId="5" fillId="36" borderId="12" xfId="0" applyFont="1" applyFill="1" applyBorder="1" applyAlignment="1">
      <alignment horizontal="center"/>
    </xf>
    <xf numFmtId="0" fontId="6" fillId="0" borderId="12" xfId="0" applyFont="1" applyBorder="1"/>
    <xf numFmtId="0" fontId="5" fillId="0" borderId="12" xfId="0" applyFont="1" applyBorder="1" applyAlignment="1">
      <alignment vertical="center"/>
    </xf>
    <xf numFmtId="164" fontId="0" fillId="0" borderId="12" xfId="0" applyNumberFormat="1" applyBorder="1"/>
    <xf numFmtId="0" fontId="5" fillId="0" borderId="12" xfId="42" applyBorder="1" applyAlignment="1">
      <alignment horizontal="center" vertical="center" wrapText="1"/>
    </xf>
    <xf numFmtId="0" fontId="5" fillId="36" borderId="12" xfId="42" applyFill="1" applyBorder="1" applyAlignment="1">
      <alignment horizontal="center" vertical="center" wrapText="1"/>
    </xf>
    <xf numFmtId="2" fontId="5" fillId="0" borderId="12" xfId="0" applyNumberFormat="1" applyFont="1" applyBorder="1" applyAlignment="1">
      <alignment vertical="center"/>
    </xf>
    <xf numFmtId="0" fontId="5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22" fillId="36" borderId="12" xfId="0" applyFont="1" applyFill="1" applyBorder="1"/>
    <xf numFmtId="0" fontId="22" fillId="36" borderId="12" xfId="0" applyFont="1" applyFill="1" applyBorder="1" applyAlignment="1">
      <alignment horizontal="center"/>
    </xf>
    <xf numFmtId="164" fontId="22" fillId="0" borderId="12" xfId="0" applyNumberFormat="1" applyFont="1" applyBorder="1"/>
    <xf numFmtId="164" fontId="5" fillId="29" borderId="12" xfId="0" applyNumberFormat="1" applyFont="1" applyFill="1" applyBorder="1"/>
    <xf numFmtId="0" fontId="21" fillId="35" borderId="12" xfId="0" applyFont="1" applyFill="1" applyBorder="1" applyAlignment="1">
      <alignment horizontal="center"/>
    </xf>
    <xf numFmtId="0" fontId="5" fillId="35" borderId="12" xfId="0" applyFont="1" applyFill="1" applyBorder="1" applyAlignment="1">
      <alignment horizontal="center"/>
    </xf>
    <xf numFmtId="0" fontId="5" fillId="0" borderId="12" xfId="0" applyFont="1" applyBorder="1" applyAlignment="1">
      <alignment vertical="center" wrapText="1"/>
    </xf>
    <xf numFmtId="0" fontId="5" fillId="36" borderId="12" xfId="0" applyFont="1" applyFill="1" applyBorder="1" applyAlignment="1">
      <alignment horizontal="left"/>
    </xf>
    <xf numFmtId="0" fontId="0" fillId="36" borderId="12" xfId="0" applyFill="1" applyBorder="1"/>
    <xf numFmtId="0" fontId="23" fillId="36" borderId="12" xfId="0" applyFont="1" applyFill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25" fillId="0" borderId="12" xfId="42" applyFont="1" applyBorder="1" applyAlignment="1">
      <alignment horizontal="left" vertical="center" wrapText="1"/>
    </xf>
    <xf numFmtId="0" fontId="6" fillId="36" borderId="12" xfId="0" applyFont="1" applyFill="1" applyBorder="1"/>
    <xf numFmtId="0" fontId="21" fillId="36" borderId="12" xfId="0" applyFont="1" applyFill="1" applyBorder="1" applyAlignment="1">
      <alignment horizontal="center" vertical="center"/>
    </xf>
    <xf numFmtId="0" fontId="27" fillId="36" borderId="12" xfId="0" applyFont="1" applyFill="1" applyBorder="1"/>
    <xf numFmtId="0" fontId="5" fillId="37" borderId="12" xfId="0" applyFont="1" applyFill="1" applyBorder="1"/>
    <xf numFmtId="0" fontId="26" fillId="37" borderId="12" xfId="0" applyFont="1" applyFill="1" applyBorder="1"/>
    <xf numFmtId="0" fontId="5" fillId="37" borderId="12" xfId="0" applyFont="1" applyFill="1" applyBorder="1" applyAlignment="1">
      <alignment horizontal="center"/>
    </xf>
    <xf numFmtId="164" fontId="0" fillId="28" borderId="12" xfId="0" applyNumberFormat="1" applyFill="1" applyBorder="1"/>
    <xf numFmtId="0" fontId="5" fillId="34" borderId="12" xfId="0" applyFont="1" applyFill="1" applyBorder="1"/>
    <xf numFmtId="0" fontId="20" fillId="34" borderId="12" xfId="0" applyFont="1" applyFill="1" applyBorder="1" applyAlignment="1">
      <alignment horizontal="center"/>
    </xf>
    <xf numFmtId="0" fontId="5" fillId="34" borderId="12" xfId="0" applyFont="1" applyFill="1" applyBorder="1" applyAlignment="1">
      <alignment horizontal="center"/>
    </xf>
    <xf numFmtId="0" fontId="5" fillId="0" borderId="12" xfId="0" applyFont="1" applyBorder="1" applyAlignment="1">
      <alignment wrapText="1"/>
    </xf>
    <xf numFmtId="2" fontId="4" fillId="0" borderId="12" xfId="0" applyNumberFormat="1" applyFont="1" applyBorder="1" applyAlignment="1">
      <alignment horizontal="left" vertical="center" wrapText="1"/>
    </xf>
    <xf numFmtId="0" fontId="46" fillId="0" borderId="12" xfId="0" applyFont="1" applyBorder="1"/>
    <xf numFmtId="0" fontId="46" fillId="0" borderId="12" xfId="42" applyFont="1" applyBorder="1" applyAlignment="1">
      <alignment horizontal="left" vertical="center" wrapText="1"/>
    </xf>
    <xf numFmtId="0" fontId="5" fillId="27" borderId="12" xfId="42" applyFill="1" applyBorder="1" applyAlignment="1">
      <alignment horizontal="left" vertical="center" wrapText="1"/>
    </xf>
    <xf numFmtId="1" fontId="7" fillId="0" borderId="12" xfId="0" applyNumberFormat="1" applyFont="1" applyBorder="1" applyAlignment="1">
      <alignment horizontal="left" vertical="center" wrapText="1"/>
    </xf>
    <xf numFmtId="0" fontId="7" fillId="0" borderId="12" xfId="0" applyFont="1" applyBorder="1" applyAlignment="1">
      <alignment horizontal="left" wrapText="1"/>
    </xf>
    <xf numFmtId="1" fontId="7" fillId="0" borderId="12" xfId="0" applyNumberFormat="1" applyFont="1" applyBorder="1" applyAlignment="1">
      <alignment horizontal="left" wrapText="1"/>
    </xf>
    <xf numFmtId="1" fontId="4" fillId="0" borderId="0" xfId="0" applyNumberFormat="1" applyFont="1" applyAlignment="1">
      <alignment horizontal="left" vertical="center" wrapText="1"/>
    </xf>
    <xf numFmtId="0" fontId="0" fillId="34" borderId="12" xfId="0" applyFill="1" applyBorder="1"/>
    <xf numFmtId="0" fontId="13" fillId="41" borderId="12" xfId="0" applyFont="1" applyFill="1" applyBorder="1" applyAlignment="1">
      <alignment horizontal="left" vertical="top" wrapText="1"/>
    </xf>
    <xf numFmtId="2" fontId="4" fillId="43" borderId="12" xfId="0" applyNumberFormat="1" applyFont="1" applyFill="1" applyBorder="1" applyAlignment="1">
      <alignment horizontal="left" vertical="center" wrapText="1"/>
    </xf>
    <xf numFmtId="3" fontId="13" fillId="41" borderId="12" xfId="0" applyNumberFormat="1" applyFont="1" applyFill="1" applyBorder="1" applyAlignment="1">
      <alignment horizontal="left" vertical="top" wrapText="1"/>
    </xf>
    <xf numFmtId="3" fontId="13" fillId="42" borderId="12" xfId="0" applyNumberFormat="1" applyFont="1" applyFill="1" applyBorder="1" applyAlignment="1">
      <alignment horizontal="left" vertical="top" wrapText="1"/>
    </xf>
    <xf numFmtId="2" fontId="41" fillId="32" borderId="12" xfId="0" applyNumberFormat="1" applyFont="1" applyFill="1" applyBorder="1" applyAlignment="1">
      <alignment horizontal="left" vertical="center"/>
    </xf>
    <xf numFmtId="9" fontId="13" fillId="32" borderId="12" xfId="44" applyFont="1" applyFill="1" applyBorder="1" applyAlignment="1">
      <alignment horizontal="left" vertical="top" wrapText="1"/>
    </xf>
    <xf numFmtId="1" fontId="13" fillId="32" borderId="12" xfId="44" applyNumberFormat="1" applyFont="1" applyFill="1" applyBorder="1" applyAlignment="1">
      <alignment horizontal="left" vertical="top" wrapText="1"/>
    </xf>
    <xf numFmtId="49" fontId="4" fillId="30" borderId="0" xfId="0" applyNumberFormat="1" applyFont="1" applyFill="1" applyBorder="1" applyAlignment="1">
      <alignment horizontal="left" vertical="center" wrapText="1"/>
    </xf>
    <xf numFmtId="2" fontId="0" fillId="0" borderId="11" xfId="0" applyNumberFormat="1" applyBorder="1" applyAlignment="1">
      <alignment horizontal="center"/>
    </xf>
    <xf numFmtId="0" fontId="8" fillId="32" borderId="12" xfId="43" applyFill="1" applyBorder="1" applyAlignment="1">
      <alignment horizontal="left" vertical="center"/>
    </xf>
    <xf numFmtId="1" fontId="41" fillId="32" borderId="12" xfId="0" applyNumberFormat="1" applyFont="1" applyFill="1" applyBorder="1" applyAlignment="1">
      <alignment horizontal="left" vertical="center"/>
    </xf>
    <xf numFmtId="0" fontId="4" fillId="0" borderId="12" xfId="0" applyFont="1" applyBorder="1" applyAlignment="1">
      <alignment horizontal="left" vertical="center"/>
    </xf>
    <xf numFmtId="0" fontId="14" fillId="0" borderId="12" xfId="0" applyFont="1" applyBorder="1" applyAlignment="1">
      <alignment horizontal="left" vertical="center"/>
    </xf>
    <xf numFmtId="0" fontId="0" fillId="32" borderId="12" xfId="0" applyFill="1" applyBorder="1" applyAlignment="1">
      <alignment horizontal="left" vertical="center"/>
    </xf>
    <xf numFmtId="0" fontId="0" fillId="30" borderId="12" xfId="0" applyFill="1" applyBorder="1" applyAlignment="1">
      <alignment horizontal="left" vertical="center"/>
    </xf>
    <xf numFmtId="0" fontId="13" fillId="0" borderId="12" xfId="0" applyFont="1" applyBorder="1" applyAlignment="1" applyProtection="1">
      <alignment horizontal="left" vertical="top" wrapText="1"/>
    </xf>
    <xf numFmtId="1" fontId="0" fillId="0" borderId="12" xfId="0" applyNumberFormat="1" applyBorder="1" applyAlignment="1" applyProtection="1">
      <alignment horizontal="left" vertical="top" wrapText="1"/>
    </xf>
    <xf numFmtId="0" fontId="0" fillId="0" borderId="12" xfId="0" applyBorder="1" applyAlignment="1" applyProtection="1">
      <alignment horizontal="left" vertical="top" wrapText="1"/>
    </xf>
    <xf numFmtId="1" fontId="13" fillId="27" borderId="12" xfId="0" applyNumberFormat="1" applyFont="1" applyFill="1" applyBorder="1" applyAlignment="1" applyProtection="1">
      <alignment horizontal="left" vertical="top" wrapText="1"/>
    </xf>
    <xf numFmtId="0" fontId="0" fillId="0" borderId="0" xfId="0" applyAlignment="1">
      <alignment horizontal="left" wrapText="1"/>
    </xf>
    <xf numFmtId="0" fontId="0" fillId="0" borderId="0" xfId="0" applyAlignment="1">
      <alignment horizontal="left"/>
    </xf>
    <xf numFmtId="9" fontId="0" fillId="0" borderId="0" xfId="44" applyFont="1" applyAlignment="1">
      <alignment horizontal="left"/>
    </xf>
    <xf numFmtId="3" fontId="0" fillId="0" borderId="0" xfId="0" applyNumberFormat="1" applyAlignment="1">
      <alignment horizontal="left"/>
    </xf>
    <xf numFmtId="9" fontId="0" fillId="27" borderId="12" xfId="0" applyNumberFormat="1" applyFill="1" applyBorder="1" applyAlignment="1">
      <alignment horizontal="left"/>
    </xf>
    <xf numFmtId="2" fontId="0" fillId="27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2" fontId="0" fillId="0" borderId="0" xfId="0" applyNumberFormat="1" applyAlignment="1">
      <alignment horizontal="left"/>
    </xf>
    <xf numFmtId="2" fontId="14" fillId="0" borderId="12" xfId="0" applyNumberFormat="1" applyFont="1" applyBorder="1" applyAlignment="1">
      <alignment horizontal="left" vertical="center" wrapText="1"/>
    </xf>
    <xf numFmtId="0" fontId="0" fillId="0" borderId="12" xfId="0" applyBorder="1" applyAlignment="1">
      <alignment horizontal="left"/>
    </xf>
    <xf numFmtId="0" fontId="0" fillId="0" borderId="12" xfId="0" applyBorder="1" applyAlignment="1">
      <alignment horizontal="left" wrapText="1"/>
    </xf>
    <xf numFmtId="3" fontId="0" fillId="0" borderId="12" xfId="0" applyNumberFormat="1" applyBorder="1" applyAlignment="1">
      <alignment horizontal="left"/>
    </xf>
    <xf numFmtId="9" fontId="2" fillId="0" borderId="12" xfId="44" applyFont="1" applyBorder="1" applyAlignment="1">
      <alignment horizontal="left" wrapText="1"/>
    </xf>
    <xf numFmtId="0" fontId="42" fillId="0" borderId="15" xfId="18" applyAlignment="1">
      <alignment horizontal="left"/>
    </xf>
    <xf numFmtId="1" fontId="42" fillId="0" borderId="15" xfId="18" applyNumberFormat="1" applyAlignment="1">
      <alignment horizontal="left" vertical="center"/>
    </xf>
    <xf numFmtId="1" fontId="42" fillId="0" borderId="15" xfId="18" applyNumberFormat="1" applyAlignment="1">
      <alignment horizontal="left"/>
    </xf>
    <xf numFmtId="1" fontId="8" fillId="0" borderId="12" xfId="43" applyNumberFormat="1" applyBorder="1" applyAlignment="1" applyProtection="1">
      <alignment horizontal="left" wrapText="1"/>
      <protection locked="0"/>
    </xf>
    <xf numFmtId="1" fontId="42" fillId="0" borderId="15" xfId="18" applyNumberFormat="1" applyAlignment="1" applyProtection="1">
      <alignment horizontal="left"/>
      <protection locked="0"/>
    </xf>
    <xf numFmtId="0" fontId="5" fillId="0" borderId="12" xfId="0" applyFont="1" applyBorder="1" applyAlignment="1">
      <alignment horizontal="left" wrapText="1"/>
    </xf>
    <xf numFmtId="0" fontId="4" fillId="0" borderId="12" xfId="0" applyFont="1" applyBorder="1" applyAlignment="1">
      <alignment horizontal="left"/>
    </xf>
    <xf numFmtId="0" fontId="8" fillId="0" borderId="12" xfId="43" applyBorder="1" applyAlignment="1" applyProtection="1">
      <alignment horizontal="left" wrapText="1"/>
      <protection locked="0"/>
    </xf>
    <xf numFmtId="0" fontId="4" fillId="0" borderId="12" xfId="0" applyFont="1" applyBorder="1" applyAlignment="1">
      <alignment horizontal="left" wrapText="1"/>
    </xf>
    <xf numFmtId="1" fontId="0" fillId="32" borderId="12" xfId="0" applyNumberFormat="1" applyFill="1" applyBorder="1" applyAlignment="1">
      <alignment horizontal="left"/>
    </xf>
    <xf numFmtId="1" fontId="0" fillId="44" borderId="12" xfId="0" applyNumberFormat="1" applyFill="1" applyBorder="1" applyAlignment="1">
      <alignment horizontal="left"/>
    </xf>
    <xf numFmtId="1" fontId="0" fillId="45" borderId="12" xfId="0" applyNumberFormat="1" applyFill="1" applyBorder="1" applyAlignment="1">
      <alignment horizontal="left"/>
    </xf>
    <xf numFmtId="1" fontId="0" fillId="46" borderId="12" xfId="0" applyNumberFormat="1" applyFill="1" applyBorder="1" applyAlignment="1">
      <alignment horizontal="left"/>
    </xf>
    <xf numFmtId="1" fontId="0" fillId="47" borderId="12" xfId="0" applyNumberFormat="1" applyFill="1" applyBorder="1" applyAlignment="1">
      <alignment horizontal="left"/>
    </xf>
    <xf numFmtId="1" fontId="4" fillId="38" borderId="12" xfId="0" applyNumberFormat="1" applyFont="1" applyFill="1" applyBorder="1" applyAlignment="1">
      <alignment horizontal="left" vertical="center"/>
    </xf>
    <xf numFmtId="1" fontId="4" fillId="48" borderId="12" xfId="0" applyNumberFormat="1" applyFont="1" applyFill="1" applyBorder="1" applyAlignment="1">
      <alignment horizontal="left" vertical="center"/>
    </xf>
    <xf numFmtId="0" fontId="28" fillId="0" borderId="0" xfId="46" applyFont="1" applyBorder="1" applyAlignment="1">
      <alignment wrapText="1"/>
    </xf>
    <xf numFmtId="0" fontId="26" fillId="36" borderId="12" xfId="0" applyFont="1" applyFill="1" applyBorder="1" applyAlignment="1">
      <alignment horizontal="center"/>
    </xf>
    <xf numFmtId="49" fontId="4" fillId="0" borderId="10" xfId="0" applyNumberFormat="1" applyFont="1" applyBorder="1" applyAlignment="1">
      <alignment horizontal="left" vertical="top" wrapText="1"/>
    </xf>
    <xf numFmtId="1" fontId="4" fillId="0" borderId="12" xfId="0" applyNumberFormat="1" applyFont="1" applyBorder="1" applyAlignment="1">
      <alignment horizontal="left" vertical="top" wrapText="1"/>
    </xf>
    <xf numFmtId="1" fontId="4" fillId="30" borderId="14" xfId="0" applyNumberFormat="1" applyFont="1" applyFill="1" applyBorder="1" applyAlignment="1">
      <alignment horizontal="left" vertical="top" wrapText="1"/>
    </xf>
    <xf numFmtId="2" fontId="4" fillId="0" borderId="20" xfId="0" applyNumberFormat="1" applyFont="1" applyBorder="1" applyAlignment="1">
      <alignment horizontal="left" vertical="top" wrapText="1"/>
    </xf>
    <xf numFmtId="0" fontId="14" fillId="0" borderId="12" xfId="0" applyFont="1" applyBorder="1" applyAlignment="1">
      <alignment horizontal="left" vertical="top" wrapText="1"/>
    </xf>
    <xf numFmtId="2" fontId="14" fillId="0" borderId="12" xfId="0" applyNumberFormat="1" applyFont="1" applyBorder="1" applyAlignment="1">
      <alignment horizontal="left" vertical="top" wrapText="1"/>
    </xf>
    <xf numFmtId="2" fontId="41" fillId="32" borderId="12" xfId="0" applyNumberFormat="1" applyFont="1" applyFill="1" applyBorder="1" applyAlignment="1">
      <alignment horizontal="left" vertical="top"/>
    </xf>
    <xf numFmtId="9" fontId="41" fillId="32" borderId="12" xfId="0" applyNumberFormat="1" applyFont="1" applyFill="1" applyBorder="1" applyAlignment="1">
      <alignment horizontal="left" vertical="top"/>
    </xf>
    <xf numFmtId="0" fontId="14" fillId="0" borderId="12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1" fontId="49" fillId="32" borderId="12" xfId="0" applyNumberFormat="1" applyFont="1" applyFill="1" applyBorder="1" applyAlignment="1">
      <alignment horizontal="left" vertical="top"/>
    </xf>
    <xf numFmtId="9" fontId="0" fillId="0" borderId="0" xfId="0" applyNumberFormat="1" applyAlignment="1">
      <alignment horizontal="left"/>
    </xf>
    <xf numFmtId="2" fontId="4" fillId="0" borderId="10" xfId="0" applyNumberFormat="1" applyFont="1" applyBorder="1" applyAlignment="1">
      <alignment horizontal="left" vertical="top" wrapText="1"/>
    </xf>
    <xf numFmtId="2" fontId="4" fillId="0" borderId="10" xfId="0" applyNumberFormat="1" applyFont="1" applyBorder="1" applyAlignment="1">
      <alignment horizontal="left" vertical="center" wrapText="1"/>
    </xf>
    <xf numFmtId="1" fontId="30" fillId="3" borderId="12" xfId="7" applyNumberFormat="1" applyBorder="1" applyAlignment="1">
      <alignment horizontal="left" vertical="center" wrapText="1"/>
    </xf>
    <xf numFmtId="1" fontId="30" fillId="3" borderId="10" xfId="7" applyNumberFormat="1" applyBorder="1" applyAlignment="1">
      <alignment horizontal="left" vertical="center" wrapText="1"/>
    </xf>
    <xf numFmtId="1" fontId="4" fillId="27" borderId="10" xfId="0" applyNumberFormat="1" applyFont="1" applyFill="1" applyBorder="1" applyAlignment="1">
      <alignment horizontal="left" vertical="top" wrapText="1"/>
    </xf>
    <xf numFmtId="1" fontId="4" fillId="0" borderId="10" xfId="0" applyNumberFormat="1" applyFont="1" applyBorder="1" applyAlignment="1">
      <alignment horizontal="left" vertical="top" wrapText="1"/>
    </xf>
    <xf numFmtId="1" fontId="4" fillId="0" borderId="10" xfId="0" applyNumberFormat="1" applyFont="1" applyBorder="1" applyAlignment="1">
      <alignment horizontal="left" vertical="center" wrapText="1"/>
    </xf>
    <xf numFmtId="1" fontId="4" fillId="27" borderId="10" xfId="0" applyNumberFormat="1" applyFont="1" applyFill="1" applyBorder="1" applyAlignment="1">
      <alignment horizontal="left" vertical="center" wrapText="1"/>
    </xf>
    <xf numFmtId="1" fontId="30" fillId="3" borderId="0" xfId="7" applyNumberFormat="1" applyBorder="1" applyAlignment="1">
      <alignment horizontal="left" vertical="center" wrapText="1"/>
    </xf>
    <xf numFmtId="1" fontId="4" fillId="31" borderId="10" xfId="0" applyNumberFormat="1" applyFont="1" applyFill="1" applyBorder="1" applyAlignment="1">
      <alignment horizontal="left" vertical="center" wrapText="1"/>
    </xf>
  </cellXfs>
  <cellStyles count="47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 customBuiltin="1"/>
    <cellStyle name="Обычный 2" xfId="45" xr:uid="{315E1420-D9F3-46A7-A403-715E7D742063}"/>
    <cellStyle name="Обычный 3" xfId="46" xr:uid="{8D25F3F2-3E56-40BC-A1B2-03A6BA2E5BCA}"/>
    <cellStyle name="Обычный_Лист1" xfId="42" xr:uid="{00000000-0005-0000-0000-000024000000}"/>
    <cellStyle name="Плохой" xfId="7" builtinId="27" customBuiltin="1"/>
    <cellStyle name="Пояснение" xfId="16" builtinId="53" customBuiltin="1"/>
    <cellStyle name="Примечание" xfId="15" builtinId="10" customBuiltin="1"/>
    <cellStyle name="Процентный" xfId="44" builtinId="5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5"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 patternType="lightDown">
          <fgColor rgb="FFFF0000"/>
        </patternFill>
      </fill>
    </dxf>
    <dxf>
      <fill>
        <patternFill>
          <bgColor theme="3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</xdr:row>
          <xdr:rowOff>152400</xdr:rowOff>
        </xdr:from>
        <xdr:to>
          <xdr:col>11</xdr:col>
          <xdr:colOff>590550</xdr:colOff>
          <xdr:row>8</xdr:row>
          <xdr:rowOff>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43783115-FF25-443D-9185-09439316B5CF}" autoFormatId="16" applyNumberFormats="0" applyBorderFormats="0" applyFontFormats="0" applyPatternFormats="0" applyAlignmentFormats="0" applyWidthHeightFormats="0">
  <queryTableRefresh nextId="20">
    <queryTableFields count="19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6BA0B7-0747-4B94-91E9-C9736494CEAF}" name="БРТ__2" displayName="БРТ__2" ref="A1:S1002" tableType="queryTable" totalsRowShown="0">
  <autoFilter ref="A1:S1002" xr:uid="{F86BA0B7-0747-4B94-91E9-C9736494CEAF}"/>
  <tableColumns count="19">
    <tableColumn id="1" xr3:uid="{1CDA6F0A-87B0-4D53-9DD3-E5E36E925991}" uniqueName="1" name="Column1" queryTableFieldId="1" dataDxfId="13"/>
    <tableColumn id="2" xr3:uid="{DAE5471D-36D0-4D29-A5E8-470DCDDAB9F9}" uniqueName="2" name="Column2" queryTableFieldId="2"/>
    <tableColumn id="3" xr3:uid="{D1B075D6-F4C0-4E72-9D8D-6B44E48AF2BD}" uniqueName="3" name="Column3" queryTableFieldId="3" dataDxfId="14"/>
    <tableColumn id="4" xr3:uid="{D068DFD1-71A0-4BA1-84D5-6BF325FA5CA9}" uniqueName="4" name="Column4" queryTableFieldId="4" dataDxfId="12"/>
    <tableColumn id="5" xr3:uid="{F09008E6-EAED-45F7-8807-929AC7818230}" uniqueName="5" name="Column5" queryTableFieldId="5" dataDxfId="11"/>
    <tableColumn id="6" xr3:uid="{EEF46AD6-D99D-4AFE-96FB-173DEF00036D}" uniqueName="6" name="Column6" queryTableFieldId="6"/>
    <tableColumn id="7" xr3:uid="{5BBED492-D8EF-4CD4-BE1C-7D91DE1770A1}" uniqueName="7" name="Column7" queryTableFieldId="7"/>
    <tableColumn id="8" xr3:uid="{8AC44872-3593-4174-BA5C-86033BC6FD92}" uniqueName="8" name="Column8" queryTableFieldId="8"/>
    <tableColumn id="9" xr3:uid="{67F5C3F8-6654-4591-8F22-EBDB96DF079B}" uniqueName="9" name="Column9" queryTableFieldId="9"/>
    <tableColumn id="10" xr3:uid="{DB5EF884-783A-4D1E-A92E-8CC703A3B08B}" uniqueName="10" name="Column10" queryTableFieldId="10"/>
    <tableColumn id="11" xr3:uid="{B72D0626-DE73-4F50-AE0E-8A46B0BA360D}" uniqueName="11" name="Column11" queryTableFieldId="11"/>
    <tableColumn id="12" xr3:uid="{D2E4B361-7E7A-4C07-BCB2-4FCFB8DE09A4}" uniqueName="12" name="Column12" queryTableFieldId="12"/>
    <tableColumn id="13" xr3:uid="{6653204C-CB9D-4E96-8172-A433493E651D}" uniqueName="13" name="Column13" queryTableFieldId="13"/>
    <tableColumn id="14" xr3:uid="{390AAB19-480C-453C-AC19-A0D7BD45CAB8}" uniqueName="14" name="Column14" queryTableFieldId="14"/>
    <tableColumn id="15" xr3:uid="{F005BD08-1E54-407D-9552-B2895C1E993C}" uniqueName="15" name="Column15" queryTableFieldId="15"/>
    <tableColumn id="16" xr3:uid="{65397155-E00D-4248-A63D-D633F19AB181}" uniqueName="16" name="Column16" queryTableFieldId="16"/>
    <tableColumn id="17" xr3:uid="{A217C4B5-FA60-4E0B-837C-7FC309CF10D5}" uniqueName="17" name="Column17" queryTableFieldId="17"/>
    <tableColumn id="18" xr3:uid="{381566C5-6B4B-4FB6-BEBD-939012BB4853}" uniqueName="18" name="Column18" queryTableFieldId="18"/>
    <tableColumn id="19" xr3:uid="{F5EA7E4F-AE03-4BA4-AFAD-C42C95C63154}" uniqueName="19" name="Column19" queryTableFieldId="1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otorring.ru/product/915-bryzgovik-zadnego-kolesa-starogo-obrazca-levyy-shevrole" TargetMode="External"/><Relationship Id="rId13" Type="http://schemas.openxmlformats.org/officeDocument/2006/relationships/hyperlink" Target="https://motorring.ru/product/18048-bryzgovik-zadniy-levyy-vaz-2110-2111-2112" TargetMode="External"/><Relationship Id="rId18" Type="http://schemas.openxmlformats.org/officeDocument/2006/relationships/vmlDrawing" Target="../drawings/vmlDrawing1.vml"/><Relationship Id="rId3" Type="http://schemas.openxmlformats.org/officeDocument/2006/relationships/hyperlink" Target="https://motorring.ru/product/10647-gofra-vozdushnogo-filytra-lada-niva-4h4" TargetMode="External"/><Relationship Id="rId7" Type="http://schemas.openxmlformats.org/officeDocument/2006/relationships/hyperlink" Target="https://motorring.ru/product/42294-bryzgovik-zadniy-pravyy-fartuk-vaz-2101-2107" TargetMode="External"/><Relationship Id="rId12" Type="http://schemas.openxmlformats.org/officeDocument/2006/relationships/hyperlink" Target="https://motorring.ru/product/753-bryzgovik-peredniy-pravyy-vaz-2110-2112" TargetMode="External"/><Relationship Id="rId17" Type="http://schemas.openxmlformats.org/officeDocument/2006/relationships/printerSettings" Target="../printerSettings/printerSettings1.bin"/><Relationship Id="rId2" Type="http://schemas.openxmlformats.org/officeDocument/2006/relationships/hyperlink" Target="https://motorring.ru/product/17167-podushka-shtangi-perednego-stabilizatora-poperechnoy" TargetMode="External"/><Relationship Id="rId16" Type="http://schemas.openxmlformats.org/officeDocument/2006/relationships/hyperlink" Target="https://motorring.ru/product/915-bryzgovik-zadnego-kolesa-starogo-obrazca-levyy-shevrole" TargetMode="External"/><Relationship Id="rId1" Type="http://schemas.openxmlformats.org/officeDocument/2006/relationships/hyperlink" Target="https://motorring.ru/product/18423-uplotnitely-lobovogo-stekla-shevrole-niva" TargetMode="External"/><Relationship Id="rId6" Type="http://schemas.openxmlformats.org/officeDocument/2006/relationships/hyperlink" Target="https://motorring.ru/product/919-bryzgovik-peredniy-levyy-vaz-2113-2115" TargetMode="External"/><Relationship Id="rId11" Type="http://schemas.openxmlformats.org/officeDocument/2006/relationships/hyperlink" Target="https://motorring.ru/product/10647-gofra-vozdushnogo-filytra-lada-niva-4h4" TargetMode="External"/><Relationship Id="rId5" Type="http://schemas.openxmlformats.org/officeDocument/2006/relationships/hyperlink" Target="https://motorring.ru/product/18048-bryzgovik-zadniy-levyy-vaz-2110-2111-2112" TargetMode="External"/><Relationship Id="rId15" Type="http://schemas.openxmlformats.org/officeDocument/2006/relationships/hyperlink" Target="https://motorring.ru/product/42294-bryzgovik-zadniy-pravyy-fartuk-vaz-2101-2107" TargetMode="External"/><Relationship Id="rId10" Type="http://schemas.openxmlformats.org/officeDocument/2006/relationships/hyperlink" Target="https://motorring.ru/product/17167-podushka-shtangi-perednego-stabilizatora-poperechnoy" TargetMode="External"/><Relationship Id="rId19" Type="http://schemas.openxmlformats.org/officeDocument/2006/relationships/comments" Target="../comments1.xml"/><Relationship Id="rId4" Type="http://schemas.openxmlformats.org/officeDocument/2006/relationships/hyperlink" Target="https://motorring.ru/product/753-bryzgovik-peredniy-pravyy-vaz-2110-2112" TargetMode="External"/><Relationship Id="rId9" Type="http://schemas.openxmlformats.org/officeDocument/2006/relationships/hyperlink" Target="https://motorring.ru/product/18423-uplotnitely-lobovogo-stekla-shevrole-niva" TargetMode="External"/><Relationship Id="rId14" Type="http://schemas.openxmlformats.org/officeDocument/2006/relationships/hyperlink" Target="https://motorring.ru/product/919-bryzgovik-peredniy-levyy-vaz-2113-2115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mailto:Kulikovng@mail.ru" TargetMode="External"/><Relationship Id="rId18" Type="http://schemas.openxmlformats.org/officeDocument/2006/relationships/hyperlink" Target="mailto:Kulikovng@mail.ru" TargetMode="External"/><Relationship Id="rId26" Type="http://schemas.openxmlformats.org/officeDocument/2006/relationships/hyperlink" Target="mailto:Kulikovng@mail.ru" TargetMode="External"/><Relationship Id="rId39" Type="http://schemas.openxmlformats.org/officeDocument/2006/relationships/hyperlink" Target="mailto:Kulikovng@mail.ru" TargetMode="External"/><Relationship Id="rId21" Type="http://schemas.openxmlformats.org/officeDocument/2006/relationships/hyperlink" Target="mailto:Kulikovng@mail.ru" TargetMode="External"/><Relationship Id="rId34" Type="http://schemas.openxmlformats.org/officeDocument/2006/relationships/hyperlink" Target="mailto:Kulikovng@mail.ru" TargetMode="External"/><Relationship Id="rId42" Type="http://schemas.openxmlformats.org/officeDocument/2006/relationships/hyperlink" Target="mailto:Kulikovng@mail.ru" TargetMode="External"/><Relationship Id="rId7" Type="http://schemas.openxmlformats.org/officeDocument/2006/relationships/hyperlink" Target="mailto:Kulikovng@mail.ru" TargetMode="External"/><Relationship Id="rId2" Type="http://schemas.openxmlformats.org/officeDocument/2006/relationships/hyperlink" Target="mailto:Kulikovng@mail.ru" TargetMode="External"/><Relationship Id="rId16" Type="http://schemas.openxmlformats.org/officeDocument/2006/relationships/hyperlink" Target="mailto:Kulikovng@mail.ru" TargetMode="External"/><Relationship Id="rId29" Type="http://schemas.openxmlformats.org/officeDocument/2006/relationships/hyperlink" Target="mailto:Kulikovng@mail.ru" TargetMode="External"/><Relationship Id="rId1" Type="http://schemas.openxmlformats.org/officeDocument/2006/relationships/hyperlink" Target="mailto:Kulikovng@mail.ru" TargetMode="External"/><Relationship Id="rId6" Type="http://schemas.openxmlformats.org/officeDocument/2006/relationships/hyperlink" Target="mailto:Kulikovng@mail.ru" TargetMode="External"/><Relationship Id="rId11" Type="http://schemas.openxmlformats.org/officeDocument/2006/relationships/hyperlink" Target="mailto:Kulikovng@mail.ru" TargetMode="External"/><Relationship Id="rId24" Type="http://schemas.openxmlformats.org/officeDocument/2006/relationships/hyperlink" Target="mailto:Kulikovng@mail.ru" TargetMode="External"/><Relationship Id="rId32" Type="http://schemas.openxmlformats.org/officeDocument/2006/relationships/hyperlink" Target="mailto:Kulikovng@mail.ru" TargetMode="External"/><Relationship Id="rId37" Type="http://schemas.openxmlformats.org/officeDocument/2006/relationships/hyperlink" Target="mailto:Kulikovng@mail.ru" TargetMode="External"/><Relationship Id="rId40" Type="http://schemas.openxmlformats.org/officeDocument/2006/relationships/hyperlink" Target="mailto:Kulikovng@mail.ru" TargetMode="External"/><Relationship Id="rId45" Type="http://schemas.openxmlformats.org/officeDocument/2006/relationships/hyperlink" Target="mailto:Kulikovng@mail.ru" TargetMode="External"/><Relationship Id="rId5" Type="http://schemas.openxmlformats.org/officeDocument/2006/relationships/hyperlink" Target="mailto:Kulikovng@mail.ru" TargetMode="External"/><Relationship Id="rId15" Type="http://schemas.openxmlformats.org/officeDocument/2006/relationships/hyperlink" Target="mailto:Kulikovng@mail.ru" TargetMode="External"/><Relationship Id="rId23" Type="http://schemas.openxmlformats.org/officeDocument/2006/relationships/hyperlink" Target="mailto:Kulikovng@mail.ru" TargetMode="External"/><Relationship Id="rId28" Type="http://schemas.openxmlformats.org/officeDocument/2006/relationships/hyperlink" Target="mailto:Kulikovng@mail.ru" TargetMode="External"/><Relationship Id="rId36" Type="http://schemas.openxmlformats.org/officeDocument/2006/relationships/hyperlink" Target="mailto:Kulikovng@mail.ru" TargetMode="External"/><Relationship Id="rId10" Type="http://schemas.openxmlformats.org/officeDocument/2006/relationships/hyperlink" Target="mailto:Kulikovng@mail.ru" TargetMode="External"/><Relationship Id="rId19" Type="http://schemas.openxmlformats.org/officeDocument/2006/relationships/hyperlink" Target="mailto:Kulikovng@mail.ru" TargetMode="External"/><Relationship Id="rId31" Type="http://schemas.openxmlformats.org/officeDocument/2006/relationships/hyperlink" Target="mailto:Kulikovng@mail.ru" TargetMode="External"/><Relationship Id="rId44" Type="http://schemas.openxmlformats.org/officeDocument/2006/relationships/hyperlink" Target="mailto:Kulikovng@mail.ru" TargetMode="External"/><Relationship Id="rId4" Type="http://schemas.openxmlformats.org/officeDocument/2006/relationships/hyperlink" Target="mailto:Kulikovng@mail.ru" TargetMode="External"/><Relationship Id="rId9" Type="http://schemas.openxmlformats.org/officeDocument/2006/relationships/hyperlink" Target="mailto:Kulikovng@mail.ru" TargetMode="External"/><Relationship Id="rId14" Type="http://schemas.openxmlformats.org/officeDocument/2006/relationships/hyperlink" Target="mailto:Kulikovng@mail.ru" TargetMode="External"/><Relationship Id="rId22" Type="http://schemas.openxmlformats.org/officeDocument/2006/relationships/hyperlink" Target="mailto:Kulikovng@mail.ru" TargetMode="External"/><Relationship Id="rId27" Type="http://schemas.openxmlformats.org/officeDocument/2006/relationships/hyperlink" Target="mailto:Kulikovng@mail.ru" TargetMode="External"/><Relationship Id="rId30" Type="http://schemas.openxmlformats.org/officeDocument/2006/relationships/hyperlink" Target="mailto:Kulikovng@mail.ru" TargetMode="External"/><Relationship Id="rId35" Type="http://schemas.openxmlformats.org/officeDocument/2006/relationships/hyperlink" Target="mailto:Kulikovng@mail.ru" TargetMode="External"/><Relationship Id="rId43" Type="http://schemas.openxmlformats.org/officeDocument/2006/relationships/hyperlink" Target="mailto:Kulikovng@mail.ru" TargetMode="External"/><Relationship Id="rId8" Type="http://schemas.openxmlformats.org/officeDocument/2006/relationships/hyperlink" Target="mailto:Kulikovng@mail.ru" TargetMode="External"/><Relationship Id="rId3" Type="http://schemas.openxmlformats.org/officeDocument/2006/relationships/hyperlink" Target="mailto:Kulikovng@mail.ru" TargetMode="External"/><Relationship Id="rId12" Type="http://schemas.openxmlformats.org/officeDocument/2006/relationships/hyperlink" Target="mailto:Kulikovng@mail.ru" TargetMode="External"/><Relationship Id="rId17" Type="http://schemas.openxmlformats.org/officeDocument/2006/relationships/hyperlink" Target="mailto:Kulikovng@mail.ru" TargetMode="External"/><Relationship Id="rId25" Type="http://schemas.openxmlformats.org/officeDocument/2006/relationships/hyperlink" Target="mailto:Kulikovng@mail.ru" TargetMode="External"/><Relationship Id="rId33" Type="http://schemas.openxmlformats.org/officeDocument/2006/relationships/hyperlink" Target="mailto:Kulikovng@mail.ru" TargetMode="External"/><Relationship Id="rId38" Type="http://schemas.openxmlformats.org/officeDocument/2006/relationships/hyperlink" Target="mailto:Kulikovng@mail.ru" TargetMode="External"/><Relationship Id="rId46" Type="http://schemas.openxmlformats.org/officeDocument/2006/relationships/printerSettings" Target="../printerSettings/printerSettings2.bin"/><Relationship Id="rId20" Type="http://schemas.openxmlformats.org/officeDocument/2006/relationships/hyperlink" Target="mailto:Kulikovng@mail.ru" TargetMode="External"/><Relationship Id="rId41" Type="http://schemas.openxmlformats.org/officeDocument/2006/relationships/hyperlink" Target="mailto:Kulikovng@mail.ru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U733"/>
  <sheetViews>
    <sheetView showGridLines="0" tabSelected="1" zoomScaleNormal="100" workbookViewId="0">
      <pane ySplit="2" topLeftCell="A3" activePane="bottomLeft" state="frozen"/>
      <selection pane="bottomLeft" activeCell="C8" sqref="C8"/>
    </sheetView>
  </sheetViews>
  <sheetFormatPr defaultRowHeight="15" outlineLevelCol="1" x14ac:dyDescent="0.25"/>
  <cols>
    <col min="1" max="2" width="7" style="5" customWidth="1"/>
    <col min="3" max="3" width="36.5703125" style="5" customWidth="1"/>
    <col min="4" max="4" width="5.5703125" style="3" bestFit="1" customWidth="1"/>
    <col min="5" max="5" width="5.5703125" style="5" bestFit="1" customWidth="1"/>
    <col min="6" max="6" width="17" style="5" customWidth="1"/>
    <col min="7" max="7" width="16.42578125" style="102" customWidth="1"/>
    <col min="8" max="8" width="8.42578125" style="124" bestFit="1" customWidth="1"/>
    <col min="9" max="9" width="6.5703125" style="5" customWidth="1"/>
    <col min="10" max="10" width="5.85546875" style="9" bestFit="1" customWidth="1"/>
    <col min="11" max="11" width="5.28515625" style="3" bestFit="1" customWidth="1"/>
    <col min="12" max="12" width="4.85546875" style="9" customWidth="1"/>
    <col min="13" max="13" width="5" style="3" bestFit="1" customWidth="1"/>
    <col min="14" max="14" width="5.42578125" style="129" bestFit="1" customWidth="1"/>
    <col min="15" max="15" width="5.85546875" style="124" customWidth="1" outlineLevel="1"/>
    <col min="16" max="16" width="6.42578125" style="124" customWidth="1" outlineLevel="1"/>
    <col min="17" max="18" width="6.140625" style="124" customWidth="1" outlineLevel="1"/>
    <col min="19" max="19" width="5.42578125" style="124" customWidth="1" outlineLevel="1"/>
    <col min="20" max="20" width="8.28515625" style="124" bestFit="1" customWidth="1"/>
    <col min="21" max="21" width="7.85546875" style="124" bestFit="1" customWidth="1"/>
    <col min="22" max="22" width="8.85546875" style="124" bestFit="1" customWidth="1"/>
    <col min="23" max="23" width="7" style="124" customWidth="1"/>
    <col min="24" max="24" width="7.42578125" style="124" customWidth="1" outlineLevel="1"/>
    <col min="25" max="25" width="4.5703125" style="124" customWidth="1" outlineLevel="1"/>
    <col min="26" max="26" width="4" style="124" customWidth="1" outlineLevel="1"/>
    <col min="27" max="27" width="9.7109375" style="124" customWidth="1" outlineLevel="1"/>
    <col min="28" max="28" width="9.140625" style="124"/>
    <col min="29" max="29" width="7.42578125" style="124" bestFit="1" customWidth="1" outlineLevel="1"/>
    <col min="30" max="30" width="4.5703125" style="124" bestFit="1" customWidth="1" outlineLevel="1"/>
    <col min="31" max="31" width="4" style="124" bestFit="1" customWidth="1" outlineLevel="1"/>
    <col min="32" max="32" width="9.140625" style="124" outlineLevel="1"/>
    <col min="33" max="47" width="9.140625" style="124"/>
    <col min="48" max="16384" width="9.140625" style="5"/>
  </cols>
  <sheetData>
    <row r="1" spans="1:33" s="5" customFormat="1" x14ac:dyDescent="0.25">
      <c r="B1" s="123">
        <v>2</v>
      </c>
      <c r="C1" s="123">
        <v>3</v>
      </c>
      <c r="D1" s="124">
        <v>4</v>
      </c>
      <c r="E1" s="124">
        <v>14</v>
      </c>
      <c r="F1" s="124">
        <v>5</v>
      </c>
      <c r="G1" s="45" t="s">
        <v>1821</v>
      </c>
      <c r="H1" s="6"/>
      <c r="I1" s="125">
        <f>COUNT($W:$W)/COUNT($A:$A)</f>
        <v>0.71794871794871795</v>
      </c>
      <c r="J1" s="9"/>
      <c r="K1" s="168">
        <f t="shared" ref="K1" si="0">O1</f>
        <v>8</v>
      </c>
      <c r="L1" s="9"/>
      <c r="M1" s="169">
        <f>P1</f>
        <v>9</v>
      </c>
      <c r="N1" s="3"/>
      <c r="O1" s="126">
        <v>8</v>
      </c>
      <c r="P1" s="126">
        <v>9</v>
      </c>
      <c r="Q1" s="126"/>
      <c r="R1" s="126"/>
      <c r="S1" s="165">
        <v>0.2</v>
      </c>
      <c r="T1" s="127" t="str">
        <f>_xlfn.CONCAT(ROUND(MIN(T3:T9006)*100,0),"-",ROUND(MAX(T3:T9006)*100,0),"%")</f>
        <v>20-452%</v>
      </c>
      <c r="U1" s="127" t="str">
        <f>_xlfn.CONCAT(ROUND(SUBTOTAL(5,U3:U9006)*100,0)," - ",ROUND(SUBTOTAL(4,U3:U9006)*100,0),"%")</f>
        <v>-466 - 70%</v>
      </c>
      <c r="V1" s="127" t="str">
        <f>_xlfn.CONCAT(ROUND(SUBTOTAL(5,V3:V90006)*100,0)," - ",ROUND(SUBTOTAL(4,V3:V90006)*100,0),"%")</f>
        <v>-77 - 760%</v>
      </c>
      <c r="W1" s="128"/>
      <c r="X1" s="129">
        <v>6</v>
      </c>
      <c r="Y1" s="130"/>
      <c r="Z1" s="117">
        <f>AD1</f>
        <v>0</v>
      </c>
      <c r="AA1" s="124"/>
      <c r="AB1" s="124"/>
      <c r="AC1" s="129">
        <v>7</v>
      </c>
      <c r="AD1" s="130"/>
      <c r="AE1" s="118">
        <f>AN1</f>
        <v>0</v>
      </c>
    </row>
    <row r="2" spans="1:33" s="163" customFormat="1" ht="40.5" customHeight="1" x14ac:dyDescent="0.25">
      <c r="A2" s="154" t="s">
        <v>0</v>
      </c>
      <c r="B2" s="104" t="s">
        <v>2401</v>
      </c>
      <c r="C2" s="104" t="s">
        <v>210</v>
      </c>
      <c r="D2" s="104"/>
      <c r="E2" s="104"/>
      <c r="F2" s="104" t="s">
        <v>2405</v>
      </c>
      <c r="G2" s="155" t="s">
        <v>1509</v>
      </c>
      <c r="H2" s="156" t="s">
        <v>2938</v>
      </c>
      <c r="I2" s="154"/>
      <c r="J2" s="157" t="s">
        <v>2404</v>
      </c>
      <c r="K2" s="170" t="s">
        <v>3016</v>
      </c>
      <c r="L2" s="166"/>
      <c r="M2" s="171"/>
      <c r="N2" s="170" t="s">
        <v>3017</v>
      </c>
      <c r="O2" s="106" t="s">
        <v>2406</v>
      </c>
      <c r="P2" s="106" t="s">
        <v>2407</v>
      </c>
      <c r="Q2" s="107" t="s">
        <v>2408</v>
      </c>
      <c r="R2" s="107" t="s">
        <v>2408</v>
      </c>
      <c r="S2" s="109">
        <v>7.0000000000000007E-2</v>
      </c>
      <c r="T2" s="158" t="s">
        <v>2488</v>
      </c>
      <c r="U2" s="158" t="s">
        <v>2489</v>
      </c>
      <c r="V2" s="158" t="s">
        <v>2490</v>
      </c>
      <c r="W2" s="159" t="s">
        <v>3018</v>
      </c>
      <c r="X2" s="164" t="s">
        <v>3019</v>
      </c>
      <c r="Y2" s="160"/>
      <c r="Z2" s="161"/>
      <c r="AA2" s="159" t="s">
        <v>2491</v>
      </c>
      <c r="AB2" s="159" t="s">
        <v>2491</v>
      </c>
      <c r="AC2" s="164" t="s">
        <v>3019</v>
      </c>
      <c r="AD2" s="160"/>
      <c r="AE2" s="161"/>
      <c r="AF2" s="162" t="s">
        <v>2969</v>
      </c>
      <c r="AG2" s="162" t="s">
        <v>2969</v>
      </c>
    </row>
    <row r="3" spans="1:33" s="5" customFormat="1" ht="45" x14ac:dyDescent="0.25">
      <c r="A3" s="132">
        <v>186830</v>
      </c>
      <c r="B3" s="132">
        <f>VLOOKUP($A3,'Выгр Кат'!$A:$S,B$1,0)</f>
        <v>19886</v>
      </c>
      <c r="C3" s="133" t="str">
        <f>VLOOKUP($A3,'Выгр Кат'!$A:$S,C$1,0)</f>
        <v>Патрубок системы охлаждения "БРТ" армированный нитью для Daewoo Nexia Dohc</v>
      </c>
      <c r="D3" s="132" t="str">
        <f>VLOOKUP($A3,'Выгр Кат'!$A:$S,D$1,0)</f>
        <v>Y</v>
      </c>
      <c r="E3" s="132" t="str">
        <f>VLOOKUP($A3,'Выгр Кат'!$A:$S,E$1,0)</f>
        <v>1</v>
      </c>
      <c r="F3" s="132" t="str">
        <f>VLOOKUP($A3,'Выгр Кат'!$A:$S,F$1,0)</f>
        <v>96181584БРИ</v>
      </c>
      <c r="G3" s="45" t="s">
        <v>1821</v>
      </c>
      <c r="H3" s="29" t="s">
        <v>1821</v>
      </c>
      <c r="I3" s="28" t="s">
        <v>2</v>
      </c>
      <c r="J3" s="95">
        <v>1</v>
      </c>
      <c r="K3" s="168">
        <f>O3</f>
        <v>0</v>
      </c>
      <c r="L3" s="167" t="e">
        <f>VLOOKUP(K3,Наценка!$A$1:$B$8,2,1)</f>
        <v>#N/A</v>
      </c>
      <c r="M3" s="169">
        <f>P3</f>
        <v>239</v>
      </c>
      <c r="N3" s="173">
        <f t="shared" ref="N3:N66" si="1">IF(M3&lt;=1000,(ROUNDUP(M3,-1)-1),(ROUNDUP(M3,-2)-10))</f>
        <v>239</v>
      </c>
      <c r="O3" s="134">
        <f>VLOOKUP($A3,'Выгр Кат'!$A:$S,O$1,0)</f>
        <v>0</v>
      </c>
      <c r="P3" s="134">
        <f>VLOOKUP($A3,'Выгр Кат'!$A:$S,P$1,0)</f>
        <v>239</v>
      </c>
      <c r="Q3" s="107">
        <f t="shared" ref="Q3:Q66" si="2">O3-K3</f>
        <v>0</v>
      </c>
      <c r="R3" s="107">
        <f t="shared" ref="R3:R66" si="3">P3-N3</f>
        <v>0</v>
      </c>
      <c r="S3" s="110">
        <f t="shared" ref="S3:S66" si="4">IFERROR(N3*(1-$S$2),"")</f>
        <v>222.26999999999998</v>
      </c>
      <c r="T3" s="135" t="str">
        <f t="shared" ref="T3:T66" si="5">IFERROR(S3/K3-1,"")</f>
        <v/>
      </c>
      <c r="U3" s="135" t="str">
        <f t="shared" ref="U3:U66" si="6">IFERROR((W3-S3)/W3,"")</f>
        <v/>
      </c>
      <c r="V3" s="135" t="str">
        <f t="shared" ref="V3:V66" si="7">IFERROR(IF(W3="","",W3/K3-1),"")</f>
        <v/>
      </c>
      <c r="W3" s="45"/>
      <c r="X3" s="114" t="str">
        <f>IFERROR((VLOOKUP($A3,'ИЗ ГУГЛА'!$B:$G,X$1,0)+Z3)*Y3,VLOOKUP($A3,'ИЗ ГУГЛА'!$B:$G,X$1,0))</f>
        <v/>
      </c>
      <c r="Y3" s="108">
        <v>1</v>
      </c>
      <c r="Z3" s="46"/>
      <c r="AA3" s="45" t="s">
        <v>1821</v>
      </c>
      <c r="AB3" s="124"/>
      <c r="AC3" s="114" t="str">
        <f>IFERROR((VLOOKUP($A3,'ИЗ ГУГЛА'!$B:$Z,AC$1,0)+AE3)*AD3,VLOOKUP($A3,'ИЗ ГУГЛА'!$B:$Z,AC$1,0))</f>
        <v/>
      </c>
      <c r="AD3" s="108">
        <v>1</v>
      </c>
      <c r="AE3" s="46"/>
      <c r="AF3" s="115"/>
    </row>
    <row r="4" spans="1:33" s="5" customFormat="1" ht="30" x14ac:dyDescent="0.25">
      <c r="A4" s="132">
        <v>180517</v>
      </c>
      <c r="B4" s="132">
        <f>VLOOKUP($A4,'Выгр Кат'!$A:$S,B$1,0)</f>
        <v>19821</v>
      </c>
      <c r="C4" s="133" t="str">
        <f>VLOOKUP($A4,'Выгр Кат'!$A:$S,C$1,0)</f>
        <v>Обивка пола шумоизоляционная "БРТ" средняя на LADA Vesta</v>
      </c>
      <c r="D4" s="132" t="str">
        <f>VLOOKUP($A4,'Выгр Кат'!$A:$S,D$1,0)</f>
        <v>Y</v>
      </c>
      <c r="E4" s="132" t="str">
        <f>VLOOKUP($A4,'Выгр Кат'!$A:$S,E$1,0)</f>
        <v>1</v>
      </c>
      <c r="F4" s="132" t="str">
        <f>VLOOKUP($A4,'Выгр Кат'!$A:$S,F$1,0)</f>
        <v>8450007106Р</v>
      </c>
      <c r="G4" s="45" t="s">
        <v>1821</v>
      </c>
      <c r="H4" s="29" t="s">
        <v>1821</v>
      </c>
      <c r="I4" s="4" t="s">
        <v>2</v>
      </c>
      <c r="J4" s="95">
        <v>1</v>
      </c>
      <c r="K4" s="168">
        <f t="shared" ref="K4:K67" si="8">O4</f>
        <v>0</v>
      </c>
      <c r="L4" s="167" t="e">
        <f>VLOOKUP(K4,Наценка!$A$1:$B$8,2,1)</f>
        <v>#N/A</v>
      </c>
      <c r="M4" s="169">
        <f>P4</f>
        <v>989</v>
      </c>
      <c r="N4" s="173">
        <f t="shared" si="1"/>
        <v>989</v>
      </c>
      <c r="O4" s="134">
        <f>VLOOKUP($A4,'Выгр Кат'!$A:$S,O$1,0)</f>
        <v>0</v>
      </c>
      <c r="P4" s="134">
        <f>VLOOKUP($A4,'Выгр Кат'!$A:$S,P$1,0)</f>
        <v>989</v>
      </c>
      <c r="Q4" s="107">
        <f t="shared" si="2"/>
        <v>0</v>
      </c>
      <c r="R4" s="107">
        <f t="shared" si="3"/>
        <v>0</v>
      </c>
      <c r="S4" s="110">
        <f t="shared" si="4"/>
        <v>919.77</v>
      </c>
      <c r="T4" s="135" t="str">
        <f t="shared" si="5"/>
        <v/>
      </c>
      <c r="U4" s="135" t="str">
        <f t="shared" si="6"/>
        <v/>
      </c>
      <c r="V4" s="135" t="str">
        <f t="shared" si="7"/>
        <v/>
      </c>
      <c r="W4" s="45"/>
      <c r="X4" s="114" t="str">
        <f>IFERROR((VLOOKUP($A4,'ИЗ ГУГЛА'!$B:$G,X$1,0)+Z4)*Y4,VLOOKUP($A4,'ИЗ ГУГЛА'!$B:$G,X$1,0))</f>
        <v/>
      </c>
      <c r="Y4" s="108">
        <v>1</v>
      </c>
      <c r="Z4" s="46"/>
      <c r="AA4" s="45" t="s">
        <v>1821</v>
      </c>
      <c r="AB4" s="124"/>
      <c r="AC4" s="114" t="str">
        <f>IFERROR((VLOOKUP($A4,'ИЗ ГУГЛА'!$B:$Z,AC$1,0)+AE4)*AD4,VLOOKUP($A4,'ИЗ ГУГЛА'!$B:$Z,AC$1,0))</f>
        <v/>
      </c>
      <c r="AD4" s="108">
        <v>1</v>
      </c>
      <c r="AE4" s="46"/>
      <c r="AF4" s="115"/>
    </row>
    <row r="5" spans="1:33" s="5" customFormat="1" ht="60.75" thickBot="1" x14ac:dyDescent="0.3">
      <c r="A5" s="132">
        <v>138872</v>
      </c>
      <c r="B5" s="132">
        <f>VLOOKUP($A5,'Выгр Кат'!$A:$S,B$1,0)</f>
        <v>32887</v>
      </c>
      <c r="C5" s="133" t="str">
        <f>VLOOKUP($A5,'Выгр Кат'!$A:$S,C$1,0)</f>
        <v>Буфер "БРТ" капота и двери задка для ВАЗ (2108-21099, 2110-2112, 2113-2115), Лада (Приора, Приора 2, Калина, Калина 2, Ока, Надежда)</v>
      </c>
      <c r="D5" s="132" t="str">
        <f>VLOOKUP($A5,'Выгр Кат'!$A:$S,D$1,0)</f>
        <v>Y</v>
      </c>
      <c r="E5" s="132" t="str">
        <f>VLOOKUP($A5,'Выгр Кат'!$A:$S,E$1,0)</f>
        <v>1</v>
      </c>
      <c r="F5" s="132" t="str">
        <f>VLOOKUP($A5,'Выгр Кат'!$A:$S,F$1,0)</f>
        <v>2108-8402214-01, 2108-8402214-01Р</v>
      </c>
      <c r="G5" s="45" t="s">
        <v>1821</v>
      </c>
      <c r="H5" s="29" t="s">
        <v>1821</v>
      </c>
      <c r="I5" s="4" t="s">
        <v>2</v>
      </c>
      <c r="J5" s="95">
        <v>1</v>
      </c>
      <c r="K5" s="168">
        <f t="shared" si="8"/>
        <v>8</v>
      </c>
      <c r="L5" s="167">
        <f>VLOOKUP(K5,Наценка!$A$1:$B$8,2,1)</f>
        <v>2.150537634408602</v>
      </c>
      <c r="M5" s="146">
        <f>W5*1.02</f>
        <v>29.580000000000002</v>
      </c>
      <c r="N5" s="173">
        <f t="shared" si="1"/>
        <v>29</v>
      </c>
      <c r="O5" s="134">
        <f>VLOOKUP($A5,'Выгр Кат'!$A:$S,O$1,0)</f>
        <v>8</v>
      </c>
      <c r="P5" s="134">
        <f>VLOOKUP($A5,'Выгр Кат'!$A:$S,P$1,0)</f>
        <v>29</v>
      </c>
      <c r="Q5" s="107">
        <f t="shared" si="2"/>
        <v>0</v>
      </c>
      <c r="R5" s="107">
        <f t="shared" si="3"/>
        <v>0</v>
      </c>
      <c r="S5" s="110">
        <f t="shared" si="4"/>
        <v>26.97</v>
      </c>
      <c r="T5" s="135">
        <f t="shared" si="5"/>
        <v>2.3712499999999999</v>
      </c>
      <c r="U5" s="135">
        <f t="shared" si="6"/>
        <v>7.0000000000000034E-2</v>
      </c>
      <c r="V5" s="135">
        <f t="shared" si="7"/>
        <v>2.625</v>
      </c>
      <c r="W5" s="117">
        <f>AA5</f>
        <v>29</v>
      </c>
      <c r="X5" s="114">
        <f>IFERROR((VLOOKUP($A5,'ИЗ ГУГЛА'!$B:$G,X$1,0)+Z5)*Y5,VLOOKUP($A5,'ИЗ ГУГЛА'!$B:$G,X$1,0))</f>
        <v>29</v>
      </c>
      <c r="Y5" s="108">
        <v>1</v>
      </c>
      <c r="Z5" s="46"/>
      <c r="AA5" s="136">
        <v>29</v>
      </c>
      <c r="AB5" s="124" t="s">
        <v>2578</v>
      </c>
      <c r="AC5" s="114" t="str">
        <f>IFERROR((VLOOKUP($A5,'ИЗ ГУГЛА'!$B:$Z,AC$1,0)+AE5)*AD5,VLOOKUP($A5,'ИЗ ГУГЛА'!$B:$Z,AC$1,0))</f>
        <v/>
      </c>
      <c r="AD5" s="108">
        <v>1</v>
      </c>
      <c r="AE5" s="46"/>
      <c r="AF5" s="115"/>
    </row>
    <row r="6" spans="1:33" s="5" customFormat="1" ht="31.5" thickTop="1" thickBot="1" x14ac:dyDescent="0.3">
      <c r="A6" s="132">
        <v>201336</v>
      </c>
      <c r="B6" s="132">
        <f>VLOOKUP($A6,'Выгр Кат'!$A:$S,B$1,0)</f>
        <v>26203</v>
      </c>
      <c r="C6" s="133" t="str">
        <f>VLOOKUP($A6,'Выгр Кат'!$A:$S,C$1,0)</f>
        <v>Прокладка "БРТ" повторителя поворота для ВАЗ 2108-21099</v>
      </c>
      <c r="D6" s="132" t="str">
        <f>VLOOKUP($A6,'Выгр Кат'!$A:$S,D$1,0)</f>
        <v>Y</v>
      </c>
      <c r="E6" s="132" t="str">
        <f>VLOOKUP($A6,'Выгр Кат'!$A:$S,E$1,0)</f>
        <v>1ск6</v>
      </c>
      <c r="F6" s="132" t="str">
        <f>VLOOKUP($A6,'Выгр Кат'!$A:$S,F$1,0)</f>
        <v>2108-3726087</v>
      </c>
      <c r="G6" s="45" t="s">
        <v>1821</v>
      </c>
      <c r="H6" s="29" t="s">
        <v>1821</v>
      </c>
      <c r="I6" s="4" t="s">
        <v>2</v>
      </c>
      <c r="J6" s="95">
        <v>1</v>
      </c>
      <c r="K6" s="168">
        <f t="shared" si="8"/>
        <v>10</v>
      </c>
      <c r="L6" s="167">
        <f>VLOOKUP(K6,Наценка!$A$1:$B$8,2,1)</f>
        <v>2.150537634408602</v>
      </c>
      <c r="M6" s="172">
        <f t="shared" ref="M5:M68" si="9">K6*L6</f>
        <v>21.50537634408602</v>
      </c>
      <c r="N6" s="173">
        <f t="shared" si="1"/>
        <v>29</v>
      </c>
      <c r="O6" s="134">
        <f>VLOOKUP($A6,'Выгр Кат'!$A:$S,O$1,0)</f>
        <v>10</v>
      </c>
      <c r="P6" s="134">
        <f>VLOOKUP($A6,'Выгр Кат'!$A:$S,P$1,0)</f>
        <v>29</v>
      </c>
      <c r="Q6" s="107">
        <f t="shared" si="2"/>
        <v>0</v>
      </c>
      <c r="R6" s="107">
        <f t="shared" si="3"/>
        <v>0</v>
      </c>
      <c r="S6" s="110">
        <f t="shared" si="4"/>
        <v>26.97</v>
      </c>
      <c r="T6" s="135">
        <f t="shared" si="5"/>
        <v>1.6970000000000001</v>
      </c>
      <c r="U6" s="135" t="str">
        <f t="shared" si="6"/>
        <v/>
      </c>
      <c r="V6" s="135" t="str">
        <f t="shared" si="7"/>
        <v/>
      </c>
      <c r="W6" s="45"/>
      <c r="X6" s="114" t="str">
        <f>IFERROR((VLOOKUP($A6,'ИЗ ГУГЛА'!$B:$G,X$1,0)+Z6)*Y6,VLOOKUP($A6,'ИЗ ГУГЛА'!$B:$G,X$1,0))</f>
        <v/>
      </c>
      <c r="Y6" s="108">
        <v>1</v>
      </c>
      <c r="Z6" s="46"/>
      <c r="AA6" s="137" t="s">
        <v>1821</v>
      </c>
      <c r="AB6" s="129"/>
      <c r="AC6" s="114" t="str">
        <f>IFERROR((VLOOKUP($A6,'ИЗ ГУГЛА'!$B:$Z,AC$1,0)+AE6)*AD6,VLOOKUP($A6,'ИЗ ГУГЛА'!$B:$Z,AC$1,0))</f>
        <v/>
      </c>
      <c r="AD6" s="108">
        <v>1</v>
      </c>
      <c r="AE6" s="46"/>
      <c r="AF6" s="115"/>
    </row>
    <row r="7" spans="1:33" s="5" customFormat="1" ht="45.75" thickTop="1" x14ac:dyDescent="0.25">
      <c r="A7" s="132">
        <v>225360</v>
      </c>
      <c r="B7" s="132">
        <f>VLOOKUP($A7,'Выгр Кат'!$A:$S,B$1,0)</f>
        <v>19715</v>
      </c>
      <c r="C7" s="133" t="str">
        <f>VLOOKUP($A7,'Выгр Кат'!$A:$S,C$1,0)</f>
        <v>Чехол привода стояночного тормоза "БРТ" для LADA Samara, Samara 2, 110, Kalina, Kalina 2, Priora, Granta, 4x4</v>
      </c>
      <c r="D7" s="132" t="str">
        <f>VLOOKUP($A7,'Выгр Кат'!$A:$S,D$1,0)</f>
        <v>Y</v>
      </c>
      <c r="E7" s="132" t="str">
        <f>VLOOKUP($A7,'Выгр Кат'!$A:$S,E$1,0)</f>
        <v>1</v>
      </c>
      <c r="F7" s="132" t="str">
        <f>VLOOKUP($A7,'Выгр Кат'!$A:$S,F$1,0)</f>
        <v>2108-3508046</v>
      </c>
      <c r="G7" s="45" t="s">
        <v>1821</v>
      </c>
      <c r="H7" s="29" t="s">
        <v>1821</v>
      </c>
      <c r="I7" s="4" t="s">
        <v>2</v>
      </c>
      <c r="J7" s="95">
        <v>1</v>
      </c>
      <c r="K7" s="168">
        <f t="shared" si="8"/>
        <v>10</v>
      </c>
      <c r="L7" s="167">
        <f>VLOOKUP(K7,Наценка!$A$1:$B$8,2,1)</f>
        <v>2.150537634408602</v>
      </c>
      <c r="M7" s="146">
        <f>W7*1.02</f>
        <v>49.980000000000004</v>
      </c>
      <c r="N7" s="173">
        <f t="shared" si="1"/>
        <v>49</v>
      </c>
      <c r="O7" s="134">
        <f>VLOOKUP($A7,'Выгр Кат'!$A:$S,O$1,0)</f>
        <v>10</v>
      </c>
      <c r="P7" s="134">
        <f>VLOOKUP($A7,'Выгр Кат'!$A:$S,P$1,0)</f>
        <v>29</v>
      </c>
      <c r="Q7" s="107">
        <f t="shared" si="2"/>
        <v>0</v>
      </c>
      <c r="R7" s="107">
        <f t="shared" si="3"/>
        <v>-20</v>
      </c>
      <c r="S7" s="110">
        <f t="shared" si="4"/>
        <v>45.57</v>
      </c>
      <c r="T7" s="135">
        <f t="shared" si="5"/>
        <v>3.5570000000000004</v>
      </c>
      <c r="U7" s="135">
        <f t="shared" si="6"/>
        <v>6.9999999999999993E-2</v>
      </c>
      <c r="V7" s="135">
        <f t="shared" si="7"/>
        <v>3.9000000000000004</v>
      </c>
      <c r="W7" s="117">
        <f>AA7</f>
        <v>49</v>
      </c>
      <c r="X7" s="114">
        <f>IFERROR((VLOOKUP($A7,'ИЗ ГУГЛА'!$B:$G,X$1,0)+Z7)*Y7,VLOOKUP($A7,'ИЗ ГУГЛА'!$B:$G,X$1,0))</f>
        <v>49</v>
      </c>
      <c r="Y7" s="108">
        <v>1</v>
      </c>
      <c r="Z7" s="46"/>
      <c r="AA7" s="45">
        <v>49</v>
      </c>
      <c r="AB7" s="124" t="s">
        <v>2766</v>
      </c>
      <c r="AC7" s="114" t="str">
        <f>IFERROR((VLOOKUP($A7,'ИЗ ГУГЛА'!$B:$Z,AC$1,0)+AE7)*AD7,VLOOKUP($A7,'ИЗ ГУГЛА'!$B:$Z,AC$1,0))</f>
        <v/>
      </c>
      <c r="AD7" s="108">
        <v>1</v>
      </c>
      <c r="AE7" s="46"/>
      <c r="AF7" s="115"/>
    </row>
    <row r="8" spans="1:33" s="5" customFormat="1" ht="30.75" thickBot="1" x14ac:dyDescent="0.3">
      <c r="A8" s="132">
        <v>201463</v>
      </c>
      <c r="B8" s="132">
        <f>VLOOKUP($A8,'Выгр Кат'!$A:$S,B$1,0)</f>
        <v>26204</v>
      </c>
      <c r="C8" s="133" t="str">
        <f>VLOOKUP($A8,'Выгр Кат'!$A:$S,C$1,0)</f>
        <v>Прокладка повторителя поворота "БРТ" для ВАЗ 2110-2112</v>
      </c>
      <c r="D8" s="132" t="str">
        <f>VLOOKUP($A8,'Выгр Кат'!$A:$S,D$1,0)</f>
        <v>Y</v>
      </c>
      <c r="E8" s="132" t="str">
        <f>VLOOKUP($A8,'Выгр Кат'!$A:$S,E$1,0)</f>
        <v>1</v>
      </c>
      <c r="F8" s="132" t="str">
        <f>VLOOKUP($A8,'Выгр Кат'!$A:$S,F$1,0)</f>
        <v>2110-3726087</v>
      </c>
      <c r="G8" s="45" t="s">
        <v>1821</v>
      </c>
      <c r="H8" s="29" t="s">
        <v>1821</v>
      </c>
      <c r="I8" s="4" t="s">
        <v>2</v>
      </c>
      <c r="J8" s="95">
        <v>1</v>
      </c>
      <c r="K8" s="168">
        <f t="shared" si="8"/>
        <v>12</v>
      </c>
      <c r="L8" s="167">
        <f>VLOOKUP(K8,Наценка!$A$1:$B$8,2,1)</f>
        <v>2.150537634408602</v>
      </c>
      <c r="M8" s="172">
        <f t="shared" si="9"/>
        <v>25.806451612903224</v>
      </c>
      <c r="N8" s="173">
        <f t="shared" si="1"/>
        <v>29</v>
      </c>
      <c r="O8" s="134">
        <f>VLOOKUP($A8,'Выгр Кат'!$A:$S,O$1,0)</f>
        <v>12</v>
      </c>
      <c r="P8" s="134">
        <f>VLOOKUP($A8,'Выгр Кат'!$A:$S,P$1,0)</f>
        <v>29</v>
      </c>
      <c r="Q8" s="107">
        <f t="shared" si="2"/>
        <v>0</v>
      </c>
      <c r="R8" s="107">
        <f t="shared" si="3"/>
        <v>0</v>
      </c>
      <c r="S8" s="110">
        <f t="shared" si="4"/>
        <v>26.97</v>
      </c>
      <c r="T8" s="135">
        <f t="shared" si="5"/>
        <v>1.2475000000000001</v>
      </c>
      <c r="U8" s="135" t="str">
        <f t="shared" si="6"/>
        <v/>
      </c>
      <c r="V8" s="135" t="str">
        <f t="shared" si="7"/>
        <v/>
      </c>
      <c r="W8" s="45"/>
      <c r="X8" s="114" t="str">
        <f>IFERROR((VLOOKUP($A8,'ИЗ ГУГЛА'!$B:$G,X$1,0)+Z8)*Y8,VLOOKUP($A8,'ИЗ ГУГЛА'!$B:$G,X$1,0))</f>
        <v/>
      </c>
      <c r="Y8" s="108">
        <v>1</v>
      </c>
      <c r="Z8" s="46"/>
      <c r="AA8" s="137" t="s">
        <v>1821</v>
      </c>
      <c r="AB8" s="129"/>
      <c r="AC8" s="114" t="str">
        <f>IFERROR((VLOOKUP($A8,'ИЗ ГУГЛА'!$B:$Z,AC$1,0)+AE8)*AD8,VLOOKUP($A8,'ИЗ ГУГЛА'!$B:$Z,AC$1,0))</f>
        <v/>
      </c>
      <c r="AD8" s="108">
        <v>1</v>
      </c>
      <c r="AE8" s="46"/>
      <c r="AF8" s="115"/>
    </row>
    <row r="9" spans="1:33" s="5" customFormat="1" ht="30.75" thickTop="1" x14ac:dyDescent="0.25">
      <c r="A9" s="132">
        <v>141791</v>
      </c>
      <c r="B9" s="132">
        <f>VLOOKUP($A9,'Выгр Кат'!$A:$S,B$1,0)</f>
        <v>20394</v>
      </c>
      <c r="C9" s="133" t="str">
        <f>VLOOKUP($A9,'Выгр Кат'!$A:$S,C$1,0)</f>
        <v>Гофра "БРТ" проводки двери для ВАЗ 2101-2107</v>
      </c>
      <c r="D9" s="132" t="str">
        <f>VLOOKUP($A9,'Выгр Кат'!$A:$S,D$1,0)</f>
        <v>Y</v>
      </c>
      <c r="E9" s="132" t="str">
        <f>VLOOKUP($A9,'Выгр Кат'!$A:$S,E$1,0)</f>
        <v>1ск6</v>
      </c>
      <c r="F9" s="132" t="str">
        <f>VLOOKUP($A9,'Выгр Кат'!$A:$S,F$1,0)</f>
        <v>2103-3724128-10</v>
      </c>
      <c r="G9" s="45" t="s">
        <v>1821</v>
      </c>
      <c r="H9" s="29" t="s">
        <v>1821</v>
      </c>
      <c r="I9" s="4" t="s">
        <v>2</v>
      </c>
      <c r="J9" s="95">
        <v>1</v>
      </c>
      <c r="K9" s="168">
        <f t="shared" si="8"/>
        <v>17</v>
      </c>
      <c r="L9" s="167">
        <f>VLOOKUP(K9,Наценка!$A$1:$B$8,2,1)</f>
        <v>2.150537634408602</v>
      </c>
      <c r="M9" s="172">
        <f t="shared" si="9"/>
        <v>36.559139784946233</v>
      </c>
      <c r="N9" s="173">
        <f t="shared" si="1"/>
        <v>39</v>
      </c>
      <c r="O9" s="134">
        <f>VLOOKUP($A9,'Выгр Кат'!$A:$S,O$1,0)</f>
        <v>17</v>
      </c>
      <c r="P9" s="134">
        <f>VLOOKUP($A9,'Выгр Кат'!$A:$S,P$1,0)</f>
        <v>39</v>
      </c>
      <c r="Q9" s="107">
        <f t="shared" si="2"/>
        <v>0</v>
      </c>
      <c r="R9" s="107">
        <f t="shared" si="3"/>
        <v>0</v>
      </c>
      <c r="S9" s="110">
        <f t="shared" si="4"/>
        <v>36.269999999999996</v>
      </c>
      <c r="T9" s="135">
        <f t="shared" si="5"/>
        <v>1.1335294117647057</v>
      </c>
      <c r="U9" s="135" t="str">
        <f t="shared" si="6"/>
        <v/>
      </c>
      <c r="V9" s="135" t="str">
        <f t="shared" si="7"/>
        <v/>
      </c>
      <c r="W9" s="45"/>
      <c r="X9" s="114" t="str">
        <f>IFERROR((VLOOKUP($A9,'ИЗ ГУГЛА'!$B:$G,X$1,0)+Z9)*Y9,VLOOKUP($A9,'ИЗ ГУГЛА'!$B:$G,X$1,0))</f>
        <v/>
      </c>
      <c r="Y9" s="108">
        <v>1</v>
      </c>
      <c r="Z9" s="46"/>
      <c r="AA9" s="45" t="s">
        <v>1821</v>
      </c>
      <c r="AB9" s="124"/>
      <c r="AC9" s="114" t="str">
        <f>IFERROR((VLOOKUP($A9,'ИЗ ГУГЛА'!$B:$Z,AC$1,0)+AE9)*AD9,VLOOKUP($A9,'ИЗ ГУГЛА'!$B:$Z,AC$1,0))</f>
        <v/>
      </c>
      <c r="AD9" s="108">
        <v>1</v>
      </c>
      <c r="AE9" s="46"/>
      <c r="AF9" s="115"/>
    </row>
    <row r="10" spans="1:33" s="5" customFormat="1" ht="30.75" thickBot="1" x14ac:dyDescent="0.3">
      <c r="A10" s="132">
        <v>201462</v>
      </c>
      <c r="B10" s="132">
        <f>VLOOKUP($A10,'Выгр Кат'!$A:$S,B$1,0)</f>
        <v>26202</v>
      </c>
      <c r="C10" s="133" t="str">
        <f>VLOOKUP($A10,'Выгр Кат'!$A:$S,C$1,0)</f>
        <v>Прокладка повторителя поворота "БРТ" для ВАЗ 2104-2107</v>
      </c>
      <c r="D10" s="132" t="str">
        <f>VLOOKUP($A10,'Выгр Кат'!$A:$S,D$1,0)</f>
        <v>Y</v>
      </c>
      <c r="E10" s="132" t="str">
        <f>VLOOKUP($A10,'Выгр Кат'!$A:$S,E$1,0)</f>
        <v>1</v>
      </c>
      <c r="F10" s="132" t="str">
        <f>VLOOKUP($A10,'Выгр Кат'!$A:$S,F$1,0)</f>
        <v>210503726087</v>
      </c>
      <c r="G10" s="45" t="s">
        <v>1821</v>
      </c>
      <c r="H10" s="29" t="s">
        <v>1821</v>
      </c>
      <c r="I10" s="4" t="s">
        <v>2</v>
      </c>
      <c r="J10" s="95">
        <v>1</v>
      </c>
      <c r="K10" s="168">
        <f t="shared" si="8"/>
        <v>15</v>
      </c>
      <c r="L10" s="167">
        <f>VLOOKUP(K10,Наценка!$A$1:$B$8,2,1)</f>
        <v>2.150537634408602</v>
      </c>
      <c r="M10" s="172">
        <f t="shared" si="9"/>
        <v>32.258064516129032</v>
      </c>
      <c r="N10" s="173">
        <f t="shared" si="1"/>
        <v>39</v>
      </c>
      <c r="O10" s="134">
        <f>VLOOKUP($A10,'Выгр Кат'!$A:$S,O$1,0)</f>
        <v>15</v>
      </c>
      <c r="P10" s="134">
        <f>VLOOKUP($A10,'Выгр Кат'!$A:$S,P$1,0)</f>
        <v>39</v>
      </c>
      <c r="Q10" s="107">
        <f t="shared" si="2"/>
        <v>0</v>
      </c>
      <c r="R10" s="107">
        <f t="shared" si="3"/>
        <v>0</v>
      </c>
      <c r="S10" s="110">
        <f t="shared" si="4"/>
        <v>36.269999999999996</v>
      </c>
      <c r="T10" s="135">
        <f t="shared" si="5"/>
        <v>1.4179999999999997</v>
      </c>
      <c r="U10" s="135" t="str">
        <f t="shared" si="6"/>
        <v/>
      </c>
      <c r="V10" s="135" t="str">
        <f t="shared" si="7"/>
        <v/>
      </c>
      <c r="W10" s="45"/>
      <c r="X10" s="114" t="str">
        <f>IFERROR((VLOOKUP($A10,'ИЗ ГУГЛА'!$B:$G,X$1,0)+Z10)*Y10,VLOOKUP($A10,'ИЗ ГУГЛА'!$B:$G,X$1,0))</f>
        <v/>
      </c>
      <c r="Y10" s="108">
        <v>1</v>
      </c>
      <c r="Z10" s="46"/>
      <c r="AA10" s="137" t="s">
        <v>1821</v>
      </c>
      <c r="AB10" s="129"/>
      <c r="AC10" s="114" t="str">
        <f>IFERROR((VLOOKUP($A10,'ИЗ ГУГЛА'!$B:$Z,AC$1,0)+AE10)*AD10,VLOOKUP($A10,'ИЗ ГУГЛА'!$B:$Z,AC$1,0))</f>
        <v/>
      </c>
      <c r="AD10" s="108">
        <v>1</v>
      </c>
      <c r="AE10" s="46"/>
      <c r="AF10" s="115"/>
    </row>
    <row r="11" spans="1:33" s="5" customFormat="1" ht="31.5" thickTop="1" thickBot="1" x14ac:dyDescent="0.3">
      <c r="A11" s="132">
        <v>138871</v>
      </c>
      <c r="B11" s="132">
        <f>VLOOKUP($A11,'Выгр Кат'!$A:$S,B$1,0)</f>
        <v>25147</v>
      </c>
      <c r="C11" s="133" t="str">
        <f>VLOOKUP($A11,'Выгр Кат'!$A:$S,C$1,0)</f>
        <v>Буфер "БРТ" двери задка для Лада Приора, Гранта</v>
      </c>
      <c r="D11" s="132" t="str">
        <f>VLOOKUP($A11,'Выгр Кат'!$A:$S,D$1,0)</f>
        <v>Y</v>
      </c>
      <c r="E11" s="132" t="str">
        <f>VLOOKUP($A11,'Выгр Кат'!$A:$S,E$1,0)</f>
        <v>1</v>
      </c>
      <c r="F11" s="132" t="str">
        <f>VLOOKUP($A11,'Выгр Кат'!$A:$S,F$1,0)</f>
        <v>2172-6300032</v>
      </c>
      <c r="G11" s="45" t="s">
        <v>1821</v>
      </c>
      <c r="H11" s="29" t="s">
        <v>1821</v>
      </c>
      <c r="I11" s="4" t="s">
        <v>2</v>
      </c>
      <c r="J11" s="95">
        <v>1</v>
      </c>
      <c r="K11" s="168">
        <f t="shared" si="8"/>
        <v>55</v>
      </c>
      <c r="L11" s="167">
        <f>VLOOKUP(K11,Наценка!$A$1:$B$8,2,1)</f>
        <v>2.150537634408602</v>
      </c>
      <c r="M11" s="172">
        <f t="shared" si="9"/>
        <v>118.27956989247311</v>
      </c>
      <c r="N11" s="173">
        <f t="shared" si="1"/>
        <v>119</v>
      </c>
      <c r="O11" s="134">
        <f>VLOOKUP($A11,'Выгр Кат'!$A:$S,O$1,0)</f>
        <v>55</v>
      </c>
      <c r="P11" s="134">
        <f>VLOOKUP($A11,'Выгр Кат'!$A:$S,P$1,0)</f>
        <v>119</v>
      </c>
      <c r="Q11" s="107">
        <f t="shared" si="2"/>
        <v>0</v>
      </c>
      <c r="R11" s="107">
        <f t="shared" si="3"/>
        <v>0</v>
      </c>
      <c r="S11" s="110">
        <f t="shared" si="4"/>
        <v>110.66999999999999</v>
      </c>
      <c r="T11" s="135">
        <f t="shared" si="5"/>
        <v>1.0121818181818178</v>
      </c>
      <c r="U11" s="135" t="str">
        <f t="shared" si="6"/>
        <v/>
      </c>
      <c r="V11" s="135" t="str">
        <f t="shared" si="7"/>
        <v/>
      </c>
      <c r="W11" s="45"/>
      <c r="X11" s="114" t="str">
        <f>IFERROR((VLOOKUP($A11,'ИЗ ГУГЛА'!$B:$G,X$1,0)+Z11)*Y11,VLOOKUP($A11,'ИЗ ГУГЛА'!$B:$G,X$1,0))</f>
        <v/>
      </c>
      <c r="Y11" s="108">
        <v>1</v>
      </c>
      <c r="Z11" s="46"/>
      <c r="AA11" s="137" t="s">
        <v>1821</v>
      </c>
      <c r="AB11" s="129"/>
      <c r="AC11" s="114" t="str">
        <f>IFERROR((VLOOKUP($A11,'ИЗ ГУГЛА'!$B:$Z,AC$1,0)+AE11)*AD11,VLOOKUP($A11,'ИЗ ГУГЛА'!$B:$Z,AC$1,0))</f>
        <v/>
      </c>
      <c r="AD11" s="108">
        <v>1</v>
      </c>
      <c r="AE11" s="46"/>
      <c r="AF11" s="115"/>
    </row>
    <row r="12" spans="1:33" s="5" customFormat="1" ht="75.75" thickTop="1" x14ac:dyDescent="0.25">
      <c r="A12" s="132">
        <v>139794</v>
      </c>
      <c r="B12" s="132">
        <f>VLOOKUP($A12,'Выгр Кат'!$A:$S,B$1,0)</f>
        <v>25145</v>
      </c>
      <c r="C12" s="133" t="str">
        <f>VLOOKUP($A12,'Выгр Кат'!$A:$S,C$1,0)</f>
        <v>Втулка "БРТ" кронштейна упора капота для ВАЗ (2108-21099, 2110-2112, 2113-2115), Лада (Калина, Калина 2, Приора, Гранта, Ока), Шевроле Нива</v>
      </c>
      <c r="D12" s="132" t="str">
        <f>VLOOKUP($A12,'Выгр Кат'!$A:$S,D$1,0)</f>
        <v>Y</v>
      </c>
      <c r="E12" s="132" t="str">
        <f>VLOOKUP($A12,'Выгр Кат'!$A:$S,E$1,0)</f>
        <v>1</v>
      </c>
      <c r="F12" s="132" t="str">
        <f>VLOOKUP($A12,'Выгр Кат'!$A:$S,F$1,0)</f>
        <v>2170-8407134-00</v>
      </c>
      <c r="G12" s="45" t="s">
        <v>1821</v>
      </c>
      <c r="H12" s="29" t="s">
        <v>1821</v>
      </c>
      <c r="I12" s="4" t="s">
        <v>2</v>
      </c>
      <c r="J12" s="95">
        <v>1</v>
      </c>
      <c r="K12" s="168">
        <f t="shared" si="8"/>
        <v>15</v>
      </c>
      <c r="L12" s="167">
        <f>VLOOKUP(K12,Наценка!$A$1:$B$8,2,1)</f>
        <v>2.150537634408602</v>
      </c>
      <c r="M12" s="145">
        <f>W12*1</f>
        <v>25</v>
      </c>
      <c r="N12" s="173">
        <f t="shared" si="1"/>
        <v>29</v>
      </c>
      <c r="O12" s="134">
        <f>VLOOKUP($A12,'Выгр Кат'!$A:$S,O$1,0)</f>
        <v>15</v>
      </c>
      <c r="P12" s="134">
        <f>VLOOKUP($A12,'Выгр Кат'!$A:$S,P$1,0)</f>
        <v>39</v>
      </c>
      <c r="Q12" s="107">
        <f t="shared" si="2"/>
        <v>0</v>
      </c>
      <c r="R12" s="107">
        <f t="shared" si="3"/>
        <v>10</v>
      </c>
      <c r="S12" s="110">
        <f t="shared" si="4"/>
        <v>26.97</v>
      </c>
      <c r="T12" s="135">
        <f t="shared" si="5"/>
        <v>0.79799999999999982</v>
      </c>
      <c r="U12" s="135">
        <f t="shared" si="6"/>
        <v>-7.8799999999999953E-2</v>
      </c>
      <c r="V12" s="135">
        <f t="shared" si="7"/>
        <v>0.66666666666666674</v>
      </c>
      <c r="W12" s="118">
        <f>AF12</f>
        <v>25</v>
      </c>
      <c r="X12" s="114" t="str">
        <f>IFERROR((VLOOKUP($A12,'ИЗ ГУГЛА'!$B:$G,X$1,0)+Z12)*Y12,VLOOKUP($A12,'ИЗ ГУГЛА'!$B:$G,X$1,0))</f>
        <v/>
      </c>
      <c r="Y12" s="108">
        <v>1</v>
      </c>
      <c r="Z12" s="46"/>
      <c r="AA12" s="45" t="s">
        <v>1821</v>
      </c>
      <c r="AB12" s="124"/>
      <c r="AC12" s="114">
        <f>IFERROR((VLOOKUP($A12,'ИЗ ГУГЛА'!$B:$Z,AC$1,0)+AE12)*AD12,VLOOKUP($A12,'ИЗ ГУГЛА'!$B:$Z,AC$1,0))</f>
        <v>25</v>
      </c>
      <c r="AD12" s="108">
        <v>1</v>
      </c>
      <c r="AE12" s="46"/>
      <c r="AF12" s="115">
        <v>25</v>
      </c>
      <c r="AG12" s="5" t="s">
        <v>2767</v>
      </c>
    </row>
    <row r="13" spans="1:33" s="5" customFormat="1" ht="30.75" thickBot="1" x14ac:dyDescent="0.3">
      <c r="A13" s="132">
        <v>201510</v>
      </c>
      <c r="B13" s="132">
        <f>VLOOKUP($A13,'Выгр Кат'!$A:$S,B$1,0)</f>
        <v>17354</v>
      </c>
      <c r="C13" s="133" t="str">
        <f>VLOOKUP($A13,'Выгр Кат'!$A:$S,C$1,0)</f>
        <v>Прокладка указателя поворота на ВАЗ 2106, Лада Нива 4х4</v>
      </c>
      <c r="D13" s="132" t="str">
        <f>VLOOKUP($A13,'Выгр Кат'!$A:$S,D$1,0)</f>
        <v>Y</v>
      </c>
      <c r="E13" s="132" t="str">
        <f>VLOOKUP($A13,'Выгр Кат'!$A:$S,E$1,0)</f>
        <v>1ск6</v>
      </c>
      <c r="F13" s="132" t="str">
        <f>VLOOKUP($A13,'Выгр Кат'!$A:$S,F$1,0)</f>
        <v>212103726087</v>
      </c>
      <c r="G13" s="45" t="s">
        <v>1821</v>
      </c>
      <c r="H13" s="29" t="s">
        <v>1821</v>
      </c>
      <c r="I13" s="4" t="s">
        <v>2</v>
      </c>
      <c r="J13" s="95">
        <v>1</v>
      </c>
      <c r="K13" s="168">
        <f t="shared" si="8"/>
        <v>15</v>
      </c>
      <c r="L13" s="167">
        <f>VLOOKUP(K13,Наценка!$A$1:$B$8,2,1)</f>
        <v>2.150537634408602</v>
      </c>
      <c r="M13" s="172">
        <f t="shared" si="9"/>
        <v>32.258064516129032</v>
      </c>
      <c r="N13" s="173">
        <f t="shared" si="1"/>
        <v>39</v>
      </c>
      <c r="O13" s="134">
        <f>VLOOKUP($A13,'Выгр Кат'!$A:$S,O$1,0)</f>
        <v>15</v>
      </c>
      <c r="P13" s="134">
        <f>VLOOKUP($A13,'Выгр Кат'!$A:$S,P$1,0)</f>
        <v>39</v>
      </c>
      <c r="Q13" s="107">
        <f t="shared" si="2"/>
        <v>0</v>
      </c>
      <c r="R13" s="107">
        <f t="shared" si="3"/>
        <v>0</v>
      </c>
      <c r="S13" s="110">
        <f t="shared" si="4"/>
        <v>36.269999999999996</v>
      </c>
      <c r="T13" s="135">
        <f t="shared" si="5"/>
        <v>1.4179999999999997</v>
      </c>
      <c r="U13" s="135" t="str">
        <f t="shared" si="6"/>
        <v/>
      </c>
      <c r="V13" s="135" t="str">
        <f t="shared" si="7"/>
        <v/>
      </c>
      <c r="W13" s="45"/>
      <c r="X13" s="114" t="str">
        <f>IFERROR((VLOOKUP($A13,'ИЗ ГУГЛА'!$B:$G,X$1,0)+Z13)*Y13,VLOOKUP($A13,'ИЗ ГУГЛА'!$B:$G,X$1,0))</f>
        <v/>
      </c>
      <c r="Y13" s="108">
        <v>1</v>
      </c>
      <c r="Z13" s="46"/>
      <c r="AA13" s="137" t="s">
        <v>1821</v>
      </c>
      <c r="AB13" s="129"/>
      <c r="AC13" s="114" t="str">
        <f>IFERROR((VLOOKUP($A13,'ИЗ ГУГЛА'!$B:$Z,AC$1,0)+AE13)*AD13,VLOOKUP($A13,'ИЗ ГУГЛА'!$B:$Z,AC$1,0))</f>
        <v/>
      </c>
      <c r="AD13" s="108">
        <v>1</v>
      </c>
      <c r="AE13" s="46"/>
      <c r="AF13" s="115"/>
    </row>
    <row r="14" spans="1:33" s="5" customFormat="1" ht="31.5" thickTop="1" thickBot="1" x14ac:dyDescent="0.3">
      <c r="A14" s="132">
        <v>202083</v>
      </c>
      <c r="B14" s="132">
        <f>VLOOKUP($A14,'Выгр Кат'!$A:$S,B$1,0)</f>
        <v>35260</v>
      </c>
      <c r="C14" s="133" t="str">
        <f>VLOOKUP($A14,'Выгр Кат'!$A:$S,C$1,0)</f>
        <v>Пыльник "БРТ" рабочего цилиндра сцепления для ВАЗ 2101-2107</v>
      </c>
      <c r="D14" s="132" t="str">
        <f>VLOOKUP($A14,'Выгр Кат'!$A:$S,D$1,0)</f>
        <v>Y</v>
      </c>
      <c r="E14" s="132" t="str">
        <f>VLOOKUP($A14,'Выгр Кат'!$A:$S,E$1,0)</f>
        <v>1</v>
      </c>
      <c r="F14" s="132" t="str">
        <f>VLOOKUP($A14,'Выгр Кат'!$A:$S,F$1,0)</f>
        <v>2101-1602518</v>
      </c>
      <c r="G14" s="44" t="s">
        <v>253</v>
      </c>
      <c r="H14" s="29"/>
      <c r="I14" s="4" t="s">
        <v>2</v>
      </c>
      <c r="J14" s="95">
        <v>1</v>
      </c>
      <c r="K14" s="168">
        <f t="shared" si="8"/>
        <v>34</v>
      </c>
      <c r="L14" s="167">
        <f>VLOOKUP(K14,Наценка!$A$1:$B$8,2,1)</f>
        <v>2.150537634408602</v>
      </c>
      <c r="M14" s="149">
        <f t="shared" ref="M14:M16" si="10">W14*1.07</f>
        <v>159.43</v>
      </c>
      <c r="N14" s="173">
        <f t="shared" si="1"/>
        <v>159</v>
      </c>
      <c r="O14" s="134">
        <f>VLOOKUP($A14,'Выгр Кат'!$A:$S,O$1,0)</f>
        <v>34</v>
      </c>
      <c r="P14" s="134">
        <f>VLOOKUP($A14,'Выгр Кат'!$A:$S,P$1,0)</f>
        <v>79</v>
      </c>
      <c r="Q14" s="107">
        <f t="shared" si="2"/>
        <v>0</v>
      </c>
      <c r="R14" s="107">
        <f t="shared" si="3"/>
        <v>-80</v>
      </c>
      <c r="S14" s="110">
        <f t="shared" si="4"/>
        <v>147.86999999999998</v>
      </c>
      <c r="T14" s="135">
        <f t="shared" si="5"/>
        <v>3.3491176470588231</v>
      </c>
      <c r="U14" s="135">
        <f t="shared" si="6"/>
        <v>7.5838926174498248E-3</v>
      </c>
      <c r="V14" s="135">
        <f t="shared" si="7"/>
        <v>3.382352941176471</v>
      </c>
      <c r="W14" s="117">
        <f t="shared" ref="W14:W16" si="11">AA14</f>
        <v>149</v>
      </c>
      <c r="X14" s="114">
        <f>IFERROR((VLOOKUP($A14,'ИЗ ГУГЛА'!$B:$G,X$1,0)+Z14)*Y14,VLOOKUP($A14,'ИЗ ГУГЛА'!$B:$G,X$1,0))</f>
        <v>149</v>
      </c>
      <c r="Y14" s="108">
        <v>1</v>
      </c>
      <c r="Z14" s="46"/>
      <c r="AA14" s="136">
        <v>149</v>
      </c>
      <c r="AB14" s="124" t="s">
        <v>2579</v>
      </c>
      <c r="AC14" s="114" t="str">
        <f>IFERROR((VLOOKUP($A14,'ИЗ ГУГЛА'!$B:$Z,AC$1,0)+AE14)*AD14,VLOOKUP($A14,'ИЗ ГУГЛА'!$B:$Z,AC$1,0))</f>
        <v/>
      </c>
      <c r="AD14" s="108">
        <v>1</v>
      </c>
      <c r="AE14" s="46"/>
      <c r="AF14" s="115"/>
    </row>
    <row r="15" spans="1:33" s="5" customFormat="1" ht="61.5" thickTop="1" thickBot="1" x14ac:dyDescent="0.3">
      <c r="A15" s="132">
        <v>194565</v>
      </c>
      <c r="B15" s="132">
        <f>VLOOKUP($A15,'Выгр Кат'!$A:$S,B$1,0)</f>
        <v>35400</v>
      </c>
      <c r="C15" s="133" t="str">
        <f>VLOOKUP($A15,'Выгр Кат'!$A:$S,C$1,0)</f>
        <v>Подушка "БРТ" амортизатора заднего, верхняя для ВАЗ 2110-2112, Лада Калина, Калина 2, Гранта, Приора, Приора 2</v>
      </c>
      <c r="D15" s="132" t="str">
        <f>VLOOKUP($A15,'Выгр Кат'!$A:$S,D$1,0)</f>
        <v>Y</v>
      </c>
      <c r="E15" s="132" t="str">
        <f>VLOOKUP($A15,'Выгр Кат'!$A:$S,E$1,0)</f>
        <v>1</v>
      </c>
      <c r="F15" s="132" t="str">
        <f>VLOOKUP($A15,'Выгр Кат'!$A:$S,F$1,0)</f>
        <v>2110-2915450</v>
      </c>
      <c r="G15" s="44" t="s">
        <v>402</v>
      </c>
      <c r="H15" s="29"/>
      <c r="I15" s="4" t="s">
        <v>2</v>
      </c>
      <c r="J15" s="95">
        <v>1</v>
      </c>
      <c r="K15" s="168">
        <f t="shared" si="8"/>
        <v>15</v>
      </c>
      <c r="L15" s="167">
        <f>VLOOKUP(K15,Наценка!$A$1:$B$8,2,1)</f>
        <v>2.150537634408602</v>
      </c>
      <c r="M15" s="145">
        <f t="shared" ref="M15:M16" si="12">W15*1</f>
        <v>69</v>
      </c>
      <c r="N15" s="173">
        <f t="shared" si="1"/>
        <v>69</v>
      </c>
      <c r="O15" s="134">
        <f>VLOOKUP($A15,'Выгр Кат'!$A:$S,O$1,0)</f>
        <v>15</v>
      </c>
      <c r="P15" s="134">
        <f>VLOOKUP($A15,'Выгр Кат'!$A:$S,P$1,0)</f>
        <v>69</v>
      </c>
      <c r="Q15" s="107">
        <f t="shared" si="2"/>
        <v>0</v>
      </c>
      <c r="R15" s="107">
        <f t="shared" si="3"/>
        <v>0</v>
      </c>
      <c r="S15" s="110">
        <f t="shared" si="4"/>
        <v>64.17</v>
      </c>
      <c r="T15" s="135">
        <f t="shared" si="5"/>
        <v>3.2780000000000005</v>
      </c>
      <c r="U15" s="135">
        <f t="shared" si="6"/>
        <v>6.9999999999999979E-2</v>
      </c>
      <c r="V15" s="135">
        <f t="shared" si="7"/>
        <v>3.5999999999999996</v>
      </c>
      <c r="W15" s="117">
        <f t="shared" si="11"/>
        <v>69</v>
      </c>
      <c r="X15" s="114">
        <f>IFERROR((VLOOKUP($A15,'ИЗ ГУГЛА'!$B:$G,X$1,0)+Z15)*Y15,VLOOKUP($A15,'ИЗ ГУГЛА'!$B:$G,X$1,0))</f>
        <v>69</v>
      </c>
      <c r="Y15" s="108">
        <v>1</v>
      </c>
      <c r="Z15" s="46"/>
      <c r="AA15" s="136">
        <v>69</v>
      </c>
      <c r="AB15" s="124" t="s">
        <v>2580</v>
      </c>
      <c r="AC15" s="114" t="str">
        <f>IFERROR((VLOOKUP($A15,'ИЗ ГУГЛА'!$B:$Z,AC$1,0)+AE15)*AD15,VLOOKUP($A15,'ИЗ ГУГЛА'!$B:$Z,AC$1,0))</f>
        <v/>
      </c>
      <c r="AD15" s="108">
        <v>1</v>
      </c>
      <c r="AE15" s="46"/>
      <c r="AF15" s="115"/>
    </row>
    <row r="16" spans="1:33" s="5" customFormat="1" ht="31.5" thickTop="1" thickBot="1" x14ac:dyDescent="0.3">
      <c r="A16" s="132">
        <v>194610</v>
      </c>
      <c r="B16" s="132">
        <f>VLOOKUP($A16,'Выгр Кат'!$A:$S,B$1,0)</f>
        <v>20324</v>
      </c>
      <c r="C16" s="133" t="str">
        <f>VLOOKUP($A16,'Выгр Кат'!$A:$S,C$1,0)</f>
        <v>Подушка крепления верхнего конца амортизатора "БРТ" ВАЗ 2101</v>
      </c>
      <c r="D16" s="132" t="str">
        <f>VLOOKUP($A16,'Выгр Кат'!$A:$S,D$1,0)</f>
        <v>Y</v>
      </c>
      <c r="E16" s="132" t="str">
        <f>VLOOKUP($A16,'Выгр Кат'!$A:$S,E$1,0)</f>
        <v>1</v>
      </c>
      <c r="F16" s="132" t="str">
        <f>VLOOKUP($A16,'Выгр Кат'!$A:$S,F$1,0)</f>
        <v>2101-2905450Р.</v>
      </c>
      <c r="G16" s="45" t="s">
        <v>268</v>
      </c>
      <c r="H16" s="29"/>
      <c r="I16" s="4" t="s">
        <v>2</v>
      </c>
      <c r="J16" s="95">
        <v>1</v>
      </c>
      <c r="K16" s="168">
        <f t="shared" si="8"/>
        <v>21</v>
      </c>
      <c r="L16" s="167">
        <f>VLOOKUP(K16,Наценка!$A$1:$B$8,2,1)</f>
        <v>2.150537634408602</v>
      </c>
      <c r="M16" s="145">
        <f t="shared" si="12"/>
        <v>69</v>
      </c>
      <c r="N16" s="173">
        <f t="shared" si="1"/>
        <v>69</v>
      </c>
      <c r="O16" s="134">
        <f>VLOOKUP($A16,'Выгр Кат'!$A:$S,O$1,0)</f>
        <v>21</v>
      </c>
      <c r="P16" s="134">
        <f>VLOOKUP($A16,'Выгр Кат'!$A:$S,P$1,0)</f>
        <v>69</v>
      </c>
      <c r="Q16" s="107">
        <f t="shared" si="2"/>
        <v>0</v>
      </c>
      <c r="R16" s="107">
        <f t="shared" si="3"/>
        <v>0</v>
      </c>
      <c r="S16" s="110">
        <f t="shared" si="4"/>
        <v>64.17</v>
      </c>
      <c r="T16" s="135">
        <f t="shared" si="5"/>
        <v>2.0557142857142856</v>
      </c>
      <c r="U16" s="135">
        <f t="shared" si="6"/>
        <v>6.9999999999999979E-2</v>
      </c>
      <c r="V16" s="135">
        <f t="shared" si="7"/>
        <v>2.2857142857142856</v>
      </c>
      <c r="W16" s="117">
        <f t="shared" si="11"/>
        <v>69</v>
      </c>
      <c r="X16" s="114">
        <f>IFERROR((VLOOKUP($A16,'ИЗ ГУГЛА'!$B:$G,X$1,0)+Z16)*Y16,VLOOKUP($A16,'ИЗ ГУГЛА'!$B:$G,X$1,0))</f>
        <v>69</v>
      </c>
      <c r="Y16" s="108">
        <v>1</v>
      </c>
      <c r="Z16" s="46"/>
      <c r="AA16" s="136">
        <v>69</v>
      </c>
      <c r="AB16" s="124" t="s">
        <v>2580</v>
      </c>
      <c r="AC16" s="114" t="str">
        <f>IFERROR((VLOOKUP($A16,'ИЗ ГУГЛА'!$B:$Z,AC$1,0)+AE16)*AD16,VLOOKUP($A16,'ИЗ ГУГЛА'!$B:$Z,AC$1,0))</f>
        <v/>
      </c>
      <c r="AD16" s="108">
        <v>1</v>
      </c>
      <c r="AE16" s="46"/>
      <c r="AF16" s="115"/>
    </row>
    <row r="17" spans="1:33" s="5" customFormat="1" ht="46.5" thickTop="1" thickBot="1" x14ac:dyDescent="0.3">
      <c r="A17" s="132">
        <v>201333</v>
      </c>
      <c r="B17" s="132">
        <f>VLOOKUP($A17,'Выгр Кат'!$A:$S,B$1,0)</f>
        <v>35285</v>
      </c>
      <c r="C17" s="133" t="str">
        <f>VLOOKUP($A17,'Выгр Кат'!$A:$S,C$1,0)</f>
        <v>Прокладка "БРТ" крышки маслозаливной горловины для ВАЗ 2101-2107</v>
      </c>
      <c r="D17" s="132" t="str">
        <f>VLOOKUP($A17,'Выгр Кат'!$A:$S,D$1,0)</f>
        <v>Y</v>
      </c>
      <c r="E17" s="132" t="str">
        <f>VLOOKUP($A17,'Выгр Кат'!$A:$S,E$1,0)</f>
        <v>1</v>
      </c>
      <c r="F17" s="132" t="str">
        <f>VLOOKUP($A17,'Выгр Кат'!$A:$S,F$1,0)</f>
        <v>2101-1009140</v>
      </c>
      <c r="G17" s="44" t="s">
        <v>243</v>
      </c>
      <c r="H17" s="29"/>
      <c r="I17" s="4" t="s">
        <v>2</v>
      </c>
      <c r="J17" s="95">
        <v>1</v>
      </c>
      <c r="K17" s="168">
        <f t="shared" si="8"/>
        <v>22</v>
      </c>
      <c r="L17" s="167">
        <f>VLOOKUP(K17,Наценка!$A$1:$B$8,2,1)</f>
        <v>2.150537634408602</v>
      </c>
      <c r="M17" s="172">
        <f t="shared" si="9"/>
        <v>47.311827956989248</v>
      </c>
      <c r="N17" s="173">
        <f t="shared" si="1"/>
        <v>49</v>
      </c>
      <c r="O17" s="134">
        <f>VLOOKUP($A17,'Выгр Кат'!$A:$S,O$1,0)</f>
        <v>22</v>
      </c>
      <c r="P17" s="134">
        <f>VLOOKUP($A17,'Выгр Кат'!$A:$S,P$1,0)</f>
        <v>49</v>
      </c>
      <c r="Q17" s="107">
        <f t="shared" si="2"/>
        <v>0</v>
      </c>
      <c r="R17" s="107">
        <f t="shared" si="3"/>
        <v>0</v>
      </c>
      <c r="S17" s="110">
        <f t="shared" si="4"/>
        <v>45.57</v>
      </c>
      <c r="T17" s="135">
        <f t="shared" si="5"/>
        <v>1.0713636363636363</v>
      </c>
      <c r="U17" s="135" t="str">
        <f t="shared" si="6"/>
        <v/>
      </c>
      <c r="V17" s="135" t="str">
        <f t="shared" si="7"/>
        <v/>
      </c>
      <c r="W17" s="45"/>
      <c r="X17" s="114" t="str">
        <f>IFERROR((VLOOKUP($A17,'ИЗ ГУГЛА'!$B:$G,X$1,0)+Z17)*Y17,VLOOKUP($A17,'ИЗ ГУГЛА'!$B:$G,X$1,0))</f>
        <v/>
      </c>
      <c r="Y17" s="108">
        <v>1</v>
      </c>
      <c r="Z17" s="46"/>
      <c r="AA17" s="137" t="s">
        <v>1821</v>
      </c>
      <c r="AB17" s="129"/>
      <c r="AC17" s="114" t="str">
        <f>IFERROR((VLOOKUP($A17,'ИЗ ГУГЛА'!$B:$Z,AC$1,0)+AE17)*AD17,VLOOKUP($A17,'ИЗ ГУГЛА'!$B:$Z,AC$1,0))</f>
        <v/>
      </c>
      <c r="AD17" s="108">
        <v>1</v>
      </c>
      <c r="AE17" s="46"/>
      <c r="AF17" s="115"/>
    </row>
    <row r="18" spans="1:33" s="5" customFormat="1" ht="31.5" thickTop="1" thickBot="1" x14ac:dyDescent="0.3">
      <c r="A18" s="132">
        <v>139793</v>
      </c>
      <c r="B18" s="132">
        <f>VLOOKUP($A18,'Выгр Кат'!$A:$S,B$1,0)</f>
        <v>19807</v>
      </c>
      <c r="C18" s="133" t="str">
        <f>VLOOKUP($A18,'Выгр Кат'!$A:$S,C$1,0)</f>
        <v>Втулка "БРТ" шпильки крышки клапанной для ВАЗ 2108-21099</v>
      </c>
      <c r="D18" s="132" t="str">
        <f>VLOOKUP($A18,'Выгр Кат'!$A:$S,D$1,0)</f>
        <v>Y</v>
      </c>
      <c r="E18" s="132" t="str">
        <f>VLOOKUP($A18,'Выгр Кат'!$A:$S,E$1,0)</f>
        <v>1</v>
      </c>
      <c r="F18" s="132" t="str">
        <f>VLOOKUP($A18,'Выгр Кат'!$A:$S,F$1,0)</f>
        <v>21080100327700</v>
      </c>
      <c r="G18" s="42" t="s">
        <v>315</v>
      </c>
      <c r="H18" s="29"/>
      <c r="I18" s="4" t="s">
        <v>2</v>
      </c>
      <c r="J18" s="95">
        <v>1</v>
      </c>
      <c r="K18" s="168">
        <f t="shared" si="8"/>
        <v>23</v>
      </c>
      <c r="L18" s="167">
        <f>VLOOKUP(K18,Наценка!$A$1:$B$8,2,1)</f>
        <v>2.150537634408602</v>
      </c>
      <c r="M18" s="145">
        <v>60</v>
      </c>
      <c r="N18" s="173">
        <f t="shared" si="1"/>
        <v>59</v>
      </c>
      <c r="O18" s="134">
        <f>VLOOKUP($A18,'Выгр Кат'!$A:$S,O$1,0)</f>
        <v>23</v>
      </c>
      <c r="P18" s="134">
        <f>VLOOKUP($A18,'Выгр Кат'!$A:$S,P$1,0)</f>
        <v>69</v>
      </c>
      <c r="Q18" s="107">
        <f t="shared" si="2"/>
        <v>0</v>
      </c>
      <c r="R18" s="107">
        <f t="shared" si="3"/>
        <v>10</v>
      </c>
      <c r="S18" s="110">
        <f t="shared" si="4"/>
        <v>54.87</v>
      </c>
      <c r="T18" s="135">
        <f t="shared" si="5"/>
        <v>1.3856521739130434</v>
      </c>
      <c r="U18" s="135">
        <f t="shared" si="6"/>
        <v>0.57465116279069761</v>
      </c>
      <c r="V18" s="135">
        <f t="shared" si="7"/>
        <v>4.6086956521739131</v>
      </c>
      <c r="W18" s="117">
        <f t="shared" ref="W18:W21" si="13">AA18</f>
        <v>129</v>
      </c>
      <c r="X18" s="114">
        <f>IFERROR((VLOOKUP($A18,'ИЗ ГУГЛА'!$B:$G,X$1,0)+Z18)*Y18,VLOOKUP($A18,'ИЗ ГУГЛА'!$B:$G,X$1,0))</f>
        <v>129</v>
      </c>
      <c r="Y18" s="108">
        <v>1</v>
      </c>
      <c r="Z18" s="46"/>
      <c r="AA18" s="136">
        <v>129</v>
      </c>
      <c r="AB18" s="124" t="s">
        <v>2581</v>
      </c>
      <c r="AC18" s="114" t="str">
        <f>IFERROR((VLOOKUP($A18,'ИЗ ГУГЛА'!$B:$Z,AC$1,0)+AE18)*AD18,VLOOKUP($A18,'ИЗ ГУГЛА'!$B:$Z,AC$1,0))</f>
        <v/>
      </c>
      <c r="AD18" s="108">
        <v>1</v>
      </c>
      <c r="AE18" s="46"/>
      <c r="AF18" s="115"/>
    </row>
    <row r="19" spans="1:33" s="5" customFormat="1" ht="46.5" thickTop="1" thickBot="1" x14ac:dyDescent="0.3">
      <c r="A19" s="132">
        <v>223270</v>
      </c>
      <c r="B19" s="132">
        <f>VLOOKUP($A19,'Выгр Кат'!$A:$S,B$1,0)</f>
        <v>30504</v>
      </c>
      <c r="C19" s="133" t="str">
        <f>VLOOKUP($A19,'Выгр Кат'!$A:$S,C$1,0)</f>
        <v>Уплотнитель масляного щупа "БРТ" для ВАЗ (2101-2107, 2108-21099, 2115, 2110-2112), Лада (Калина седан, Ока)</v>
      </c>
      <c r="D19" s="132" t="str">
        <f>VLOOKUP($A19,'Выгр Кат'!$A:$S,D$1,0)</f>
        <v>Y</v>
      </c>
      <c r="E19" s="132" t="str">
        <f>VLOOKUP($A19,'Выгр Кат'!$A:$S,E$1,0)</f>
        <v>1</v>
      </c>
      <c r="F19" s="132" t="str">
        <f>VLOOKUP($A19,'Выгр Кат'!$A:$S,F$1,0)</f>
        <v>21010100905500</v>
      </c>
      <c r="G19" s="42" t="s">
        <v>241</v>
      </c>
      <c r="H19" s="29"/>
      <c r="I19" s="4" t="s">
        <v>2</v>
      </c>
      <c r="J19" s="95">
        <v>1</v>
      </c>
      <c r="K19" s="168">
        <f t="shared" si="8"/>
        <v>23</v>
      </c>
      <c r="L19" s="167">
        <f>VLOOKUP(K19,Наценка!$A$1:$B$8,2,1)</f>
        <v>2.150537634408602</v>
      </c>
      <c r="M19" s="145">
        <f t="shared" ref="M18:M21" si="14">W19*1</f>
        <v>89</v>
      </c>
      <c r="N19" s="173">
        <f t="shared" si="1"/>
        <v>89</v>
      </c>
      <c r="O19" s="134">
        <f>VLOOKUP($A19,'Выгр Кат'!$A:$S,O$1,0)</f>
        <v>23</v>
      </c>
      <c r="P19" s="134">
        <f>VLOOKUP($A19,'Выгр Кат'!$A:$S,P$1,0)</f>
        <v>89</v>
      </c>
      <c r="Q19" s="107">
        <f t="shared" si="2"/>
        <v>0</v>
      </c>
      <c r="R19" s="107">
        <f t="shared" si="3"/>
        <v>0</v>
      </c>
      <c r="S19" s="110">
        <f t="shared" si="4"/>
        <v>82.77</v>
      </c>
      <c r="T19" s="135">
        <f t="shared" si="5"/>
        <v>2.5986956521739129</v>
      </c>
      <c r="U19" s="135">
        <f t="shared" si="6"/>
        <v>7.0000000000000048E-2</v>
      </c>
      <c r="V19" s="135">
        <f t="shared" si="7"/>
        <v>2.8695652173913042</v>
      </c>
      <c r="W19" s="117">
        <f t="shared" si="13"/>
        <v>89</v>
      </c>
      <c r="X19" s="114">
        <f>IFERROR((VLOOKUP($A19,'ИЗ ГУГЛА'!$B:$G,X$1,0)+Z19)*Y19,VLOOKUP($A19,'ИЗ ГУГЛА'!$B:$G,X$1,0))</f>
        <v>89</v>
      </c>
      <c r="Y19" s="46">
        <v>1</v>
      </c>
      <c r="Z19" s="46"/>
      <c r="AA19" s="138">
        <v>89</v>
      </c>
      <c r="AB19" s="124" t="s">
        <v>2295</v>
      </c>
      <c r="AC19" s="114" t="str">
        <f>IFERROR((VLOOKUP($A19,'ИЗ ГУГЛА'!$B:$Z,AC$1,0)+AE19)*AD19,VLOOKUP($A19,'ИЗ ГУГЛА'!$B:$Z,AC$1,0))</f>
        <v/>
      </c>
      <c r="AD19" s="46">
        <v>1</v>
      </c>
      <c r="AE19" s="46"/>
      <c r="AF19" s="115"/>
    </row>
    <row r="20" spans="1:33" s="5" customFormat="1" ht="61.5" thickTop="1" thickBot="1" x14ac:dyDescent="0.3">
      <c r="A20" s="132">
        <v>223303</v>
      </c>
      <c r="B20" s="132">
        <f>VLOOKUP($A20,'Выгр Кат'!$A:$S,B$1,0)</f>
        <v>24867</v>
      </c>
      <c r="C20" s="133" t="str">
        <f>VLOOKUP($A20,'Выгр Кат'!$A:$S,C$1,0)</f>
        <v>Уплотнительное кольцо "БРТ" датчика фаз для ВАЗ (2108-21099, 2110-2112, 2113-2115), Лада (Калина, Приора)</v>
      </c>
      <c r="D20" s="132" t="str">
        <f>VLOOKUP($A20,'Выгр Кат'!$A:$S,D$1,0)</f>
        <v>Y</v>
      </c>
      <c r="E20" s="132" t="str">
        <f>VLOOKUP($A20,'Выгр Кат'!$A:$S,E$1,0)</f>
        <v>1ск6</v>
      </c>
      <c r="F20" s="132" t="str">
        <f>VLOOKUP($A20,'Выгр Кат'!$A:$S,F$1,0)</f>
        <v>21110-3706042-00</v>
      </c>
      <c r="G20" s="45" t="s">
        <v>1821</v>
      </c>
      <c r="H20" s="29" t="s">
        <v>1821</v>
      </c>
      <c r="I20" s="4" t="s">
        <v>2</v>
      </c>
      <c r="J20" s="95">
        <v>1</v>
      </c>
      <c r="K20" s="168">
        <f t="shared" si="8"/>
        <v>20</v>
      </c>
      <c r="L20" s="167">
        <f>VLOOKUP(K20,Наценка!$A$1:$B$8,2,1)</f>
        <v>2.150537634408602</v>
      </c>
      <c r="M20" s="145">
        <f t="shared" si="14"/>
        <v>69</v>
      </c>
      <c r="N20" s="173">
        <f t="shared" si="1"/>
        <v>69</v>
      </c>
      <c r="O20" s="134">
        <f>VLOOKUP($A20,'Выгр Кат'!$A:$S,O$1,0)</f>
        <v>20</v>
      </c>
      <c r="P20" s="134">
        <f>VLOOKUP($A20,'Выгр Кат'!$A:$S,P$1,0)</f>
        <v>69</v>
      </c>
      <c r="Q20" s="107">
        <f t="shared" si="2"/>
        <v>0</v>
      </c>
      <c r="R20" s="107">
        <f t="shared" si="3"/>
        <v>0</v>
      </c>
      <c r="S20" s="110">
        <f t="shared" si="4"/>
        <v>64.17</v>
      </c>
      <c r="T20" s="135">
        <f t="shared" si="5"/>
        <v>2.2084999999999999</v>
      </c>
      <c r="U20" s="135">
        <f t="shared" si="6"/>
        <v>6.9999999999999979E-2</v>
      </c>
      <c r="V20" s="135">
        <f t="shared" si="7"/>
        <v>2.4500000000000002</v>
      </c>
      <c r="W20" s="117">
        <f t="shared" si="13"/>
        <v>69</v>
      </c>
      <c r="X20" s="114">
        <f>IFERROR((VLOOKUP($A20,'ИЗ ГУГЛА'!$B:$G,X$1,0)+Z20)*Y20,VLOOKUP($A20,'ИЗ ГУГЛА'!$B:$G,X$1,0))</f>
        <v>69</v>
      </c>
      <c r="Y20" s="46">
        <v>1</v>
      </c>
      <c r="Z20" s="46"/>
      <c r="AA20" s="138">
        <v>69</v>
      </c>
      <c r="AB20" s="124" t="s">
        <v>2294</v>
      </c>
      <c r="AC20" s="114" t="str">
        <f>IFERROR((VLOOKUP($A20,'ИЗ ГУГЛА'!$B:$Z,AC$1,0)+AE20)*AD20,VLOOKUP($A20,'ИЗ ГУГЛА'!$B:$Z,AC$1,0))</f>
        <v/>
      </c>
      <c r="AD20" s="46">
        <v>1</v>
      </c>
      <c r="AE20" s="46"/>
      <c r="AF20" s="115"/>
    </row>
    <row r="21" spans="1:33" s="5" customFormat="1" ht="61.5" thickTop="1" thickBot="1" x14ac:dyDescent="0.3">
      <c r="A21" s="132">
        <v>213314</v>
      </c>
      <c r="B21" s="132">
        <f>VLOOKUP($A21,'Выгр Кат'!$A:$S,B$1,0)</f>
        <v>35222</v>
      </c>
      <c r="C21" s="133" t="str">
        <f>VLOOKUP($A21,'Выгр Кат'!$A:$S,C$1,0)</f>
        <v>Сальник "БРТ" штока выбора передач (с пружиной) для ВАЗ 2108-21099, 2110-2112, 2113-2115 Лада (Калина, Калина 2, Гранта, Приора, Приора 2)</v>
      </c>
      <c r="D21" s="132" t="str">
        <f>VLOOKUP($A21,'Выгр Кат'!$A:$S,D$1,0)</f>
        <v>Y</v>
      </c>
      <c r="E21" s="132" t="str">
        <f>VLOOKUP($A21,'Выгр Кат'!$A:$S,E$1,0)</f>
        <v>1</v>
      </c>
      <c r="F21" s="132" t="str">
        <f>VLOOKUP($A21,'Выгр Кат'!$A:$S,F$1,0)</f>
        <v>2108-1703042-01</v>
      </c>
      <c r="G21" s="44" t="s">
        <v>338</v>
      </c>
      <c r="H21" s="29"/>
      <c r="I21" s="4" t="s">
        <v>2</v>
      </c>
      <c r="J21" s="95">
        <v>1</v>
      </c>
      <c r="K21" s="168">
        <f t="shared" si="8"/>
        <v>23</v>
      </c>
      <c r="L21" s="167">
        <f>VLOOKUP(K21,Наценка!$A$1:$B$8,2,1)</f>
        <v>2.150537634408602</v>
      </c>
      <c r="M21" s="145">
        <v>60</v>
      </c>
      <c r="N21" s="173">
        <f t="shared" si="1"/>
        <v>59</v>
      </c>
      <c r="O21" s="134">
        <f>VLOOKUP($A21,'Выгр Кат'!$A:$S,O$1,0)</f>
        <v>23</v>
      </c>
      <c r="P21" s="134">
        <f>VLOOKUP($A21,'Выгр Кат'!$A:$S,P$1,0)</f>
        <v>69</v>
      </c>
      <c r="Q21" s="107">
        <f t="shared" si="2"/>
        <v>0</v>
      </c>
      <c r="R21" s="107">
        <f t="shared" si="3"/>
        <v>10</v>
      </c>
      <c r="S21" s="110">
        <f t="shared" si="4"/>
        <v>54.87</v>
      </c>
      <c r="T21" s="135">
        <f t="shared" si="5"/>
        <v>1.3856521739130434</v>
      </c>
      <c r="U21" s="135">
        <f t="shared" si="6"/>
        <v>0.57465116279069761</v>
      </c>
      <c r="V21" s="135">
        <f t="shared" si="7"/>
        <v>4.6086956521739131</v>
      </c>
      <c r="W21" s="117">
        <f t="shared" si="13"/>
        <v>129</v>
      </c>
      <c r="X21" s="114">
        <f>IFERROR((VLOOKUP($A21,'ИЗ ГУГЛА'!$B:$G,X$1,0)+Z21)*Y21,VLOOKUP($A21,'ИЗ ГУГЛА'!$B:$G,X$1,0))</f>
        <v>129</v>
      </c>
      <c r="Y21" s="108">
        <v>1</v>
      </c>
      <c r="Z21" s="46"/>
      <c r="AA21" s="136">
        <v>129</v>
      </c>
      <c r="AB21" s="124" t="s">
        <v>2582</v>
      </c>
      <c r="AC21" s="114" t="str">
        <f>IFERROR((VLOOKUP($A21,'ИЗ ГУГЛА'!$B:$Z,AC$1,0)+AE21)*AD21,VLOOKUP($A21,'ИЗ ГУГЛА'!$B:$Z,AC$1,0))</f>
        <v/>
      </c>
      <c r="AD21" s="108">
        <v>1</v>
      </c>
      <c r="AE21" s="46"/>
      <c r="AF21" s="115"/>
    </row>
    <row r="22" spans="1:33" s="5" customFormat="1" ht="30.75" thickTop="1" x14ac:dyDescent="0.25">
      <c r="A22" s="132">
        <v>181551</v>
      </c>
      <c r="B22" s="132">
        <f>VLOOKUP($A22,'Выгр Кат'!$A:$S,B$1,0)</f>
        <v>35409</v>
      </c>
      <c r="C22" s="133" t="str">
        <f>VLOOKUP($A22,'Выгр Кат'!$A:$S,C$1,0)</f>
        <v>Опора радиатора "БРТ" (малая) для ВАЗ 2108-21099, 2110-2112, 2113-2115</v>
      </c>
      <c r="D22" s="132" t="str">
        <f>VLOOKUP($A22,'Выгр Кат'!$A:$S,D$1,0)</f>
        <v>Y</v>
      </c>
      <c r="E22" s="132" t="str">
        <f>VLOOKUP($A22,'Выгр Кат'!$A:$S,E$1,0)</f>
        <v>1</v>
      </c>
      <c r="F22" s="132" t="str">
        <f>VLOOKUP($A22,'Выгр Кат'!$A:$S,F$1,0)</f>
        <v>2108-1302060</v>
      </c>
      <c r="G22" s="44" t="s">
        <v>329</v>
      </c>
      <c r="H22" s="29"/>
      <c r="I22" s="4" t="s">
        <v>2</v>
      </c>
      <c r="J22" s="95">
        <v>1</v>
      </c>
      <c r="K22" s="168">
        <f t="shared" si="8"/>
        <v>15</v>
      </c>
      <c r="L22" s="167">
        <f>VLOOKUP(K22,Наценка!$A$1:$B$8,2,1)</f>
        <v>2.150537634408602</v>
      </c>
      <c r="M22" s="172">
        <f t="shared" si="9"/>
        <v>32.258064516129032</v>
      </c>
      <c r="N22" s="173">
        <f t="shared" si="1"/>
        <v>39</v>
      </c>
      <c r="O22" s="134">
        <f>VLOOKUP($A22,'Выгр Кат'!$A:$S,O$1,0)</f>
        <v>15</v>
      </c>
      <c r="P22" s="134">
        <f>VLOOKUP($A22,'Выгр Кат'!$A:$S,P$1,0)</f>
        <v>39</v>
      </c>
      <c r="Q22" s="107">
        <f t="shared" si="2"/>
        <v>0</v>
      </c>
      <c r="R22" s="107">
        <f t="shared" si="3"/>
        <v>0</v>
      </c>
      <c r="S22" s="110">
        <f t="shared" si="4"/>
        <v>36.269999999999996</v>
      </c>
      <c r="T22" s="135">
        <f t="shared" si="5"/>
        <v>1.4179999999999997</v>
      </c>
      <c r="U22" s="135" t="str">
        <f t="shared" si="6"/>
        <v/>
      </c>
      <c r="V22" s="135" t="str">
        <f t="shared" si="7"/>
        <v/>
      </c>
      <c r="W22" s="45"/>
      <c r="X22" s="114" t="str">
        <f>IFERROR((VLOOKUP($A22,'ИЗ ГУГЛА'!$B:$G,X$1,0)+Z22)*Y22,VLOOKUP($A22,'ИЗ ГУГЛА'!$B:$G,X$1,0))</f>
        <v/>
      </c>
      <c r="Y22" s="108">
        <v>1</v>
      </c>
      <c r="Z22" s="46"/>
      <c r="AA22" s="45" t="s">
        <v>1821</v>
      </c>
      <c r="AB22" s="124"/>
      <c r="AC22" s="114" t="str">
        <f>IFERROR((VLOOKUP($A22,'ИЗ ГУГЛА'!$B:$Z,AC$1,0)+AE22)*AD22,VLOOKUP($A22,'ИЗ ГУГЛА'!$B:$Z,AC$1,0))</f>
        <v/>
      </c>
      <c r="AD22" s="108">
        <v>1</v>
      </c>
      <c r="AE22" s="46"/>
      <c r="AF22" s="115"/>
    </row>
    <row r="23" spans="1:33" s="5" customFormat="1" ht="45" x14ac:dyDescent="0.25">
      <c r="A23" s="132">
        <v>194617</v>
      </c>
      <c r="B23" s="132">
        <f>VLOOKUP($A23,'Выгр Кат'!$A:$S,B$1,0)</f>
        <v>19862</v>
      </c>
      <c r="C23" s="133" t="str">
        <f>VLOOKUP($A23,'Выгр Кат'!$A:$S,C$1,0)</f>
        <v>Подушка крепления радиатора "БРТ" для Лада Ларгус, Renault Logan, Nissan Almera</v>
      </c>
      <c r="D23" s="132" t="str">
        <f>VLOOKUP($A23,'Выгр Кат'!$A:$S,D$1,0)</f>
        <v>Y</v>
      </c>
      <c r="E23" s="132" t="str">
        <f>VLOOKUP($A23,'Выгр Кат'!$A:$S,E$1,0)</f>
        <v>1</v>
      </c>
      <c r="F23" s="132" t="str">
        <f>VLOOKUP($A23,'Выгр Кат'!$A:$S,F$1,0)</f>
        <v>7700430992РИ</v>
      </c>
      <c r="G23" s="45" t="s">
        <v>586</v>
      </c>
      <c r="H23" s="29"/>
      <c r="I23" s="4" t="s">
        <v>2</v>
      </c>
      <c r="J23" s="95">
        <v>1</v>
      </c>
      <c r="K23" s="168">
        <f t="shared" si="8"/>
        <v>33</v>
      </c>
      <c r="L23" s="167">
        <f>VLOOKUP(K23,Наценка!$A$1:$B$8,2,1)</f>
        <v>2.150537634408602</v>
      </c>
      <c r="M23" s="172">
        <f t="shared" si="9"/>
        <v>70.967741935483872</v>
      </c>
      <c r="N23" s="173">
        <f t="shared" si="1"/>
        <v>79</v>
      </c>
      <c r="O23" s="134">
        <f>VLOOKUP($A23,'Выгр Кат'!$A:$S,O$1,0)</f>
        <v>33</v>
      </c>
      <c r="P23" s="134">
        <f>VLOOKUP($A23,'Выгр Кат'!$A:$S,P$1,0)</f>
        <v>79</v>
      </c>
      <c r="Q23" s="107">
        <f t="shared" si="2"/>
        <v>0</v>
      </c>
      <c r="R23" s="107">
        <f t="shared" si="3"/>
        <v>0</v>
      </c>
      <c r="S23" s="110">
        <f t="shared" si="4"/>
        <v>73.47</v>
      </c>
      <c r="T23" s="135">
        <f t="shared" si="5"/>
        <v>1.2263636363636365</v>
      </c>
      <c r="U23" s="135" t="str">
        <f t="shared" si="6"/>
        <v/>
      </c>
      <c r="V23" s="135" t="str">
        <f t="shared" si="7"/>
        <v/>
      </c>
      <c r="W23" s="45"/>
      <c r="X23" s="114" t="str">
        <f>IFERROR((VLOOKUP($A23,'ИЗ ГУГЛА'!$B:$G,X$1,0)+Z23)*Y23,VLOOKUP($A23,'ИЗ ГУГЛА'!$B:$G,X$1,0))</f>
        <v/>
      </c>
      <c r="Y23" s="108">
        <v>1</v>
      </c>
      <c r="Z23" s="46"/>
      <c r="AA23" s="45" t="s">
        <v>1821</v>
      </c>
      <c r="AB23" s="124"/>
      <c r="AC23" s="114" t="str">
        <f>IFERROR((VLOOKUP($A23,'ИЗ ГУГЛА'!$B:$Z,AC$1,0)+AE23)*AD23,VLOOKUP($A23,'ИЗ ГУГЛА'!$B:$Z,AC$1,0))</f>
        <v/>
      </c>
      <c r="AD23" s="108">
        <v>1</v>
      </c>
      <c r="AE23" s="46"/>
      <c r="AF23" s="115"/>
    </row>
    <row r="24" spans="1:33" s="5" customFormat="1" ht="45.75" thickBot="1" x14ac:dyDescent="0.3">
      <c r="A24" s="132">
        <v>201432</v>
      </c>
      <c r="B24" s="132">
        <f>VLOOKUP($A24,'Выгр Кат'!$A:$S,B$1,0)</f>
        <v>36966</v>
      </c>
      <c r="C24" s="133" t="str">
        <f>VLOOKUP($A24,'Выгр Кат'!$A:$S,C$1,0)</f>
        <v>Прокладка крана отопителя "БРТ" для ВАЗ (2105, 2106, 2107), Лада (Нива 4x4, Ока)</v>
      </c>
      <c r="D24" s="132" t="str">
        <f>VLOOKUP($A24,'Выгр Кат'!$A:$S,D$1,0)</f>
        <v>Y</v>
      </c>
      <c r="E24" s="132" t="str">
        <f>VLOOKUP($A24,'Выгр Кат'!$A:$S,E$1,0)</f>
        <v>1ск6</v>
      </c>
      <c r="F24" s="132" t="str">
        <f>VLOOKUP($A24,'Выгр Кат'!$A:$S,F$1,0)</f>
        <v>2101-8101332-10Р</v>
      </c>
      <c r="G24" s="44" t="s">
        <v>284</v>
      </c>
      <c r="H24" s="29"/>
      <c r="I24" s="7" t="s">
        <v>2</v>
      </c>
      <c r="J24" s="95">
        <v>1</v>
      </c>
      <c r="K24" s="168">
        <f t="shared" si="8"/>
        <v>24</v>
      </c>
      <c r="L24" s="167">
        <f>VLOOKUP(K24,Наценка!$A$1:$B$8,2,1)</f>
        <v>2.150537634408602</v>
      </c>
      <c r="M24" s="145">
        <v>60</v>
      </c>
      <c r="N24" s="173">
        <f t="shared" si="1"/>
        <v>59</v>
      </c>
      <c r="O24" s="134">
        <f>VLOOKUP($A24,'Выгр Кат'!$A:$S,O$1,0)</f>
        <v>24</v>
      </c>
      <c r="P24" s="134">
        <f>VLOOKUP($A24,'Выгр Кат'!$A:$S,P$1,0)</f>
        <v>69</v>
      </c>
      <c r="Q24" s="107">
        <f t="shared" si="2"/>
        <v>0</v>
      </c>
      <c r="R24" s="107">
        <f t="shared" si="3"/>
        <v>10</v>
      </c>
      <c r="S24" s="110">
        <f t="shared" si="4"/>
        <v>54.87</v>
      </c>
      <c r="T24" s="135">
        <f t="shared" si="5"/>
        <v>1.2862499999999999</v>
      </c>
      <c r="U24" s="135">
        <f t="shared" si="6"/>
        <v>0.57465116279069761</v>
      </c>
      <c r="V24" s="135">
        <f t="shared" si="7"/>
        <v>4.375</v>
      </c>
      <c r="W24" s="117">
        <f>AA24</f>
        <v>129</v>
      </c>
      <c r="X24" s="114">
        <f>IFERROR((VLOOKUP($A24,'ИЗ ГУГЛА'!$B:$G,X$1,0)+Z24)*Y24,VLOOKUP($A24,'ИЗ ГУГЛА'!$B:$G,X$1,0))</f>
        <v>129</v>
      </c>
      <c r="Y24" s="46">
        <v>1</v>
      </c>
      <c r="Z24" s="46"/>
      <c r="AA24" s="138">
        <v>129</v>
      </c>
      <c r="AB24" s="124" t="s">
        <v>2346</v>
      </c>
      <c r="AC24" s="114" t="str">
        <f>IFERROR((VLOOKUP($A24,'ИЗ ГУГЛА'!$B:$Z,AC$1,0)+AE24)*AD24,VLOOKUP($A24,'ИЗ ГУГЛА'!$B:$Z,AC$1,0))</f>
        <v/>
      </c>
      <c r="AD24" s="46">
        <v>1</v>
      </c>
      <c r="AE24" s="46"/>
      <c r="AF24" s="115"/>
    </row>
    <row r="25" spans="1:33" s="5" customFormat="1" ht="30.75" thickTop="1" x14ac:dyDescent="0.25">
      <c r="A25" s="132">
        <v>213291</v>
      </c>
      <c r="B25" s="132">
        <f>VLOOKUP($A25,'Выгр Кат'!$A:$S,B$1,0)</f>
        <v>35213</v>
      </c>
      <c r="C25" s="133" t="str">
        <f>VLOOKUP($A25,'Выгр Кат'!$A:$S,C$1,0)</f>
        <v>Сальник "БРТ" вала червяка рулевого управления для ВАЗ 2101-2107</v>
      </c>
      <c r="D25" s="132" t="str">
        <f>VLOOKUP($A25,'Выгр Кат'!$A:$S,D$1,0)</f>
        <v>Y</v>
      </c>
      <c r="E25" s="132" t="str">
        <f>VLOOKUP($A25,'Выгр Кат'!$A:$S,E$1,0)</f>
        <v>1</v>
      </c>
      <c r="F25" s="132" t="str">
        <f>VLOOKUP($A25,'Выгр Кат'!$A:$S,F$1,0)</f>
        <v>2101-3401026</v>
      </c>
      <c r="G25" s="44" t="s">
        <v>275</v>
      </c>
      <c r="H25" s="29"/>
      <c r="I25" s="4" t="s">
        <v>2</v>
      </c>
      <c r="J25" s="95">
        <v>1</v>
      </c>
      <c r="K25" s="168">
        <f t="shared" si="8"/>
        <v>24</v>
      </c>
      <c r="L25" s="167">
        <f>VLOOKUP(K25,Наценка!$A$1:$B$8,2,1)</f>
        <v>2.150537634408602</v>
      </c>
      <c r="M25" s="149">
        <f t="shared" ref="M24:M25" si="15">W25*1.07</f>
        <v>69.55</v>
      </c>
      <c r="N25" s="173">
        <f t="shared" si="1"/>
        <v>69</v>
      </c>
      <c r="O25" s="134">
        <f>VLOOKUP($A25,'Выгр Кат'!$A:$S,O$1,0)</f>
        <v>24</v>
      </c>
      <c r="P25" s="134">
        <f>VLOOKUP($A25,'Выгр Кат'!$A:$S,P$1,0)</f>
        <v>59</v>
      </c>
      <c r="Q25" s="107">
        <f t="shared" si="2"/>
        <v>0</v>
      </c>
      <c r="R25" s="107">
        <f t="shared" si="3"/>
        <v>-10</v>
      </c>
      <c r="S25" s="110">
        <f t="shared" si="4"/>
        <v>64.17</v>
      </c>
      <c r="T25" s="135">
        <f t="shared" si="5"/>
        <v>1.6737500000000001</v>
      </c>
      <c r="U25" s="135">
        <f t="shared" si="6"/>
        <v>1.2769230769230743E-2</v>
      </c>
      <c r="V25" s="135">
        <f t="shared" si="7"/>
        <v>1.7083333333333335</v>
      </c>
      <c r="W25" s="118">
        <f>AF25</f>
        <v>65</v>
      </c>
      <c r="X25" s="114" t="str">
        <f>IFERROR((VLOOKUP($A25,'ИЗ ГУГЛА'!$B:$G,X$1,0)+Z25)*Y25,VLOOKUP($A25,'ИЗ ГУГЛА'!$B:$G,X$1,0))</f>
        <v/>
      </c>
      <c r="Y25" s="108">
        <v>1</v>
      </c>
      <c r="Z25" s="46"/>
      <c r="AA25" s="45" t="s">
        <v>1821</v>
      </c>
      <c r="AB25" s="124"/>
      <c r="AC25" s="114">
        <f>IFERROR((VLOOKUP($A25,'ИЗ ГУГЛА'!$B:$Z,AC$1,0)+AE25)*AD25,VLOOKUP($A25,'ИЗ ГУГЛА'!$B:$Z,AC$1,0))</f>
        <v>65</v>
      </c>
      <c r="AD25" s="108">
        <v>1</v>
      </c>
      <c r="AE25" s="46"/>
      <c r="AF25" s="115">
        <v>65</v>
      </c>
      <c r="AG25" s="5" t="s">
        <v>2768</v>
      </c>
    </row>
    <row r="26" spans="1:33" s="5" customFormat="1" ht="45.75" thickBot="1" x14ac:dyDescent="0.3">
      <c r="A26" s="132">
        <v>225912</v>
      </c>
      <c r="B26" s="132">
        <f>VLOOKUP($A26,'Выгр Кат'!$A:$S,B$1,0)</f>
        <v>35368</v>
      </c>
      <c r="C26" s="133" t="str">
        <f>VLOOKUP($A26,'Выгр Кат'!$A:$S,C$1,0)</f>
        <v>Шланг "БРТ" вакуум-корректора (длинный, силикон) для ВАЗ 2101-2108</v>
      </c>
      <c r="D26" s="132" t="str">
        <f>VLOOKUP($A26,'Выгр Кат'!$A:$S,D$1,0)</f>
        <v>Y</v>
      </c>
      <c r="E26" s="132" t="str">
        <f>VLOOKUP($A26,'Выгр Кат'!$A:$S,E$1,0)</f>
        <v>1</v>
      </c>
      <c r="F26" s="132" t="str">
        <f>VLOOKUP($A26,'Выгр Кат'!$A:$S,F$1,0)</f>
        <v>2101-3706604</v>
      </c>
      <c r="G26" s="34" t="s">
        <v>862</v>
      </c>
      <c r="H26" s="29"/>
      <c r="I26" s="4" t="s">
        <v>2</v>
      </c>
      <c r="J26" s="95">
        <v>1</v>
      </c>
      <c r="K26" s="168">
        <f t="shared" si="8"/>
        <v>30</v>
      </c>
      <c r="L26" s="167">
        <f>VLOOKUP(K26,Наценка!$A$1:$B$8,2,1)</f>
        <v>2.150537634408602</v>
      </c>
      <c r="M26" s="172">
        <f t="shared" si="9"/>
        <v>64.516129032258064</v>
      </c>
      <c r="N26" s="173">
        <f t="shared" si="1"/>
        <v>69</v>
      </c>
      <c r="O26" s="134">
        <f>VLOOKUP($A26,'Выгр Кат'!$A:$S,O$1,0)</f>
        <v>30</v>
      </c>
      <c r="P26" s="134">
        <f>VLOOKUP($A26,'Выгр Кат'!$A:$S,P$1,0)</f>
        <v>69</v>
      </c>
      <c r="Q26" s="107">
        <f t="shared" si="2"/>
        <v>0</v>
      </c>
      <c r="R26" s="107">
        <f t="shared" si="3"/>
        <v>0</v>
      </c>
      <c r="S26" s="110">
        <f t="shared" si="4"/>
        <v>64.17</v>
      </c>
      <c r="T26" s="135">
        <f t="shared" si="5"/>
        <v>1.1390000000000002</v>
      </c>
      <c r="U26" s="135" t="str">
        <f t="shared" si="6"/>
        <v/>
      </c>
      <c r="V26" s="135" t="str">
        <f t="shared" si="7"/>
        <v/>
      </c>
      <c r="W26" s="45"/>
      <c r="X26" s="114" t="str">
        <f>IFERROR((VLOOKUP($A26,'ИЗ ГУГЛА'!$B:$G,X$1,0)+Z26)*Y26,VLOOKUP($A26,'ИЗ ГУГЛА'!$B:$G,X$1,0))</f>
        <v/>
      </c>
      <c r="Y26" s="108">
        <v>1</v>
      </c>
      <c r="Z26" s="46"/>
      <c r="AA26" s="137" t="s">
        <v>1821</v>
      </c>
      <c r="AB26" s="129"/>
      <c r="AC26" s="114" t="str">
        <f>IFERROR((VLOOKUP($A26,'ИЗ ГУГЛА'!$B:$Z,AC$1,0)+AE26)*AD26,VLOOKUP($A26,'ИЗ ГУГЛА'!$B:$Z,AC$1,0))</f>
        <v/>
      </c>
      <c r="AD26" s="108">
        <v>1</v>
      </c>
      <c r="AE26" s="46"/>
      <c r="AF26" s="115"/>
    </row>
    <row r="27" spans="1:33" s="5" customFormat="1" ht="31.5" thickTop="1" thickBot="1" x14ac:dyDescent="0.3">
      <c r="A27" s="132">
        <v>162924</v>
      </c>
      <c r="B27" s="132">
        <f>VLOOKUP($A27,'Выгр Кат'!$A:$S,B$1,0)</f>
        <v>35417</v>
      </c>
      <c r="C27" s="133" t="str">
        <f>VLOOKUP($A27,'Выгр Кат'!$A:$S,C$1,0)</f>
        <v>Лента "БРТ" щетки стеклоочистителя для ВАЗ 2101-2107</v>
      </c>
      <c r="D27" s="132" t="str">
        <f>VLOOKUP($A27,'Выгр Кат'!$A:$S,D$1,0)</f>
        <v>Y</v>
      </c>
      <c r="E27" s="132" t="str">
        <f>VLOOKUP($A27,'Выгр Кат'!$A:$S,E$1,0)</f>
        <v>1</v>
      </c>
      <c r="F27" s="132" t="str">
        <f>VLOOKUP($A27,'Выгр Кат'!$A:$S,F$1,0)</f>
        <v>СЛ193-5205902</v>
      </c>
      <c r="G27" s="44" t="s">
        <v>925</v>
      </c>
      <c r="H27" s="29"/>
      <c r="I27" s="4" t="s">
        <v>2</v>
      </c>
      <c r="J27" s="95">
        <v>1</v>
      </c>
      <c r="K27" s="168">
        <f t="shared" si="8"/>
        <v>25</v>
      </c>
      <c r="L27" s="167">
        <f>VLOOKUP(K27,Наценка!$A$1:$B$8,2,1)</f>
        <v>2.150537634408602</v>
      </c>
      <c r="M27" s="172">
        <f t="shared" si="9"/>
        <v>53.763440860215049</v>
      </c>
      <c r="N27" s="173">
        <f t="shared" si="1"/>
        <v>59</v>
      </c>
      <c r="O27" s="134">
        <f>VLOOKUP($A27,'Выгр Кат'!$A:$S,O$1,0)</f>
        <v>25</v>
      </c>
      <c r="P27" s="134">
        <f>VLOOKUP($A27,'Выгр Кат'!$A:$S,P$1,0)</f>
        <v>59</v>
      </c>
      <c r="Q27" s="107">
        <f t="shared" si="2"/>
        <v>0</v>
      </c>
      <c r="R27" s="107">
        <f t="shared" si="3"/>
        <v>0</v>
      </c>
      <c r="S27" s="110">
        <f t="shared" si="4"/>
        <v>54.87</v>
      </c>
      <c r="T27" s="135">
        <f t="shared" si="5"/>
        <v>1.1947999999999999</v>
      </c>
      <c r="U27" s="135" t="str">
        <f t="shared" si="6"/>
        <v/>
      </c>
      <c r="V27" s="135" t="str">
        <f t="shared" si="7"/>
        <v/>
      </c>
      <c r="W27" s="45"/>
      <c r="X27" s="114" t="str">
        <f>IFERROR((VLOOKUP($A27,'ИЗ ГУГЛА'!$B:$G,X$1,0)+Z27)*Y27,VLOOKUP($A27,'ИЗ ГУГЛА'!$B:$G,X$1,0))</f>
        <v/>
      </c>
      <c r="Y27" s="108">
        <v>1</v>
      </c>
      <c r="Z27" s="46"/>
      <c r="AA27" s="137" t="s">
        <v>1821</v>
      </c>
      <c r="AB27" s="129"/>
      <c r="AC27" s="114" t="str">
        <f>IFERROR((VLOOKUP($A27,'ИЗ ГУГЛА'!$B:$Z,AC$1,0)+AE27)*AD27,VLOOKUP($A27,'ИЗ ГУГЛА'!$B:$Z,AC$1,0))</f>
        <v/>
      </c>
      <c r="AD27" s="108">
        <v>1</v>
      </c>
      <c r="AE27" s="46"/>
      <c r="AF27" s="115"/>
    </row>
    <row r="28" spans="1:33" s="5" customFormat="1" ht="30.75" thickTop="1" x14ac:dyDescent="0.25">
      <c r="A28" s="132">
        <v>213290</v>
      </c>
      <c r="B28" s="132">
        <f>VLOOKUP($A28,'Выгр Кат'!$A:$S,B$1,0)</f>
        <v>35205</v>
      </c>
      <c r="C28" s="133" t="str">
        <f>VLOOKUP($A28,'Выгр Кат'!$A:$S,C$1,0)</f>
        <v>Сальник "БРТ" вала сошки рулевого управления для ВАЗ 2101-2107</v>
      </c>
      <c r="D28" s="132" t="str">
        <f>VLOOKUP($A28,'Выгр Кат'!$A:$S,D$1,0)</f>
        <v>Y</v>
      </c>
      <c r="E28" s="132" t="str">
        <f>VLOOKUP($A28,'Выгр Кат'!$A:$S,E$1,0)</f>
        <v>1</v>
      </c>
      <c r="F28" s="132" t="str">
        <f>VLOOKUP($A28,'Выгр Кат'!$A:$S,F$1,0)</f>
        <v>2101-3401023</v>
      </c>
      <c r="G28" s="44" t="s">
        <v>274</v>
      </c>
      <c r="H28" s="29"/>
      <c r="I28" s="4" t="s">
        <v>2</v>
      </c>
      <c r="J28" s="95">
        <v>1</v>
      </c>
      <c r="K28" s="168">
        <f t="shared" si="8"/>
        <v>24</v>
      </c>
      <c r="L28" s="167">
        <f>VLOOKUP(K28,Наценка!$A$1:$B$8,2,1)</f>
        <v>2.150537634408602</v>
      </c>
      <c r="M28" s="145">
        <f t="shared" ref="M28:M29" si="16">W28*1</f>
        <v>60</v>
      </c>
      <c r="N28" s="173">
        <f t="shared" si="1"/>
        <v>59</v>
      </c>
      <c r="O28" s="134">
        <f>VLOOKUP($A28,'Выгр Кат'!$A:$S,O$1,0)</f>
        <v>24</v>
      </c>
      <c r="P28" s="134">
        <f>VLOOKUP($A28,'Выгр Кат'!$A:$S,P$1,0)</f>
        <v>59</v>
      </c>
      <c r="Q28" s="107">
        <f t="shared" si="2"/>
        <v>0</v>
      </c>
      <c r="R28" s="107">
        <f t="shared" si="3"/>
        <v>0</v>
      </c>
      <c r="S28" s="110">
        <f t="shared" si="4"/>
        <v>54.87</v>
      </c>
      <c r="T28" s="135">
        <f t="shared" si="5"/>
        <v>1.2862499999999999</v>
      </c>
      <c r="U28" s="135">
        <f t="shared" si="6"/>
        <v>8.5500000000000048E-2</v>
      </c>
      <c r="V28" s="135">
        <f t="shared" si="7"/>
        <v>1.5</v>
      </c>
      <c r="W28" s="118">
        <f>AF28</f>
        <v>60</v>
      </c>
      <c r="X28" s="114" t="str">
        <f>IFERROR((VLOOKUP($A28,'ИЗ ГУГЛА'!$B:$G,X$1,0)+Z28)*Y28,VLOOKUP($A28,'ИЗ ГУГЛА'!$B:$G,X$1,0))</f>
        <v/>
      </c>
      <c r="Y28" s="108">
        <v>1</v>
      </c>
      <c r="Z28" s="46"/>
      <c r="AA28" s="45" t="s">
        <v>1821</v>
      </c>
      <c r="AB28" s="124"/>
      <c r="AC28" s="114">
        <f>IFERROR((VLOOKUP($A28,'ИЗ ГУГЛА'!$B:$Z,AC$1,0)+AE28)*AD28,VLOOKUP($A28,'ИЗ ГУГЛА'!$B:$Z,AC$1,0))</f>
        <v>60</v>
      </c>
      <c r="AD28" s="108">
        <v>1</v>
      </c>
      <c r="AE28" s="46"/>
      <c r="AF28" s="115">
        <v>60</v>
      </c>
      <c r="AG28" s="5" t="s">
        <v>2769</v>
      </c>
    </row>
    <row r="29" spans="1:33" s="5" customFormat="1" ht="30.75" thickBot="1" x14ac:dyDescent="0.3">
      <c r="A29" s="132">
        <v>194573</v>
      </c>
      <c r="B29" s="132">
        <f>VLOOKUP($A29,'Выгр Кат'!$A:$S,B$1,0)</f>
        <v>35403</v>
      </c>
      <c r="C29" s="133" t="str">
        <f>VLOOKUP($A29,'Выгр Кат'!$A:$S,C$1,0)</f>
        <v>Подушка "БРТ" стабилизатора, малая для Лада Нива 4х4</v>
      </c>
      <c r="D29" s="132" t="str">
        <f>VLOOKUP($A29,'Выгр Кат'!$A:$S,D$1,0)</f>
        <v>Y</v>
      </c>
      <c r="E29" s="132" t="str">
        <f>VLOOKUP($A29,'Выгр Кат'!$A:$S,E$1,0)</f>
        <v>1</v>
      </c>
      <c r="F29" s="132" t="str">
        <f>VLOOKUP($A29,'Выгр Кат'!$A:$S,F$1,0)</f>
        <v>2121-2906046</v>
      </c>
      <c r="G29" s="44" t="s">
        <v>448</v>
      </c>
      <c r="H29" s="29"/>
      <c r="I29" s="4" t="s">
        <v>2</v>
      </c>
      <c r="J29" s="95">
        <v>1</v>
      </c>
      <c r="K29" s="168">
        <f t="shared" si="8"/>
        <v>27</v>
      </c>
      <c r="L29" s="167">
        <f>VLOOKUP(K29,Наценка!$A$1:$B$8,2,1)</f>
        <v>2.150537634408602</v>
      </c>
      <c r="M29" s="145">
        <f t="shared" si="16"/>
        <v>89</v>
      </c>
      <c r="N29" s="173">
        <f t="shared" si="1"/>
        <v>89</v>
      </c>
      <c r="O29" s="134">
        <f>VLOOKUP($A29,'Выгр Кат'!$A:$S,O$1,0)</f>
        <v>27</v>
      </c>
      <c r="P29" s="134">
        <f>VLOOKUP($A29,'Выгр Кат'!$A:$S,P$1,0)</f>
        <v>89</v>
      </c>
      <c r="Q29" s="107">
        <f t="shared" si="2"/>
        <v>0</v>
      </c>
      <c r="R29" s="107">
        <f t="shared" si="3"/>
        <v>0</v>
      </c>
      <c r="S29" s="110">
        <f t="shared" si="4"/>
        <v>82.77</v>
      </c>
      <c r="T29" s="135">
        <f t="shared" si="5"/>
        <v>2.0655555555555556</v>
      </c>
      <c r="U29" s="135">
        <f t="shared" si="6"/>
        <v>7.0000000000000048E-2</v>
      </c>
      <c r="V29" s="135">
        <f t="shared" si="7"/>
        <v>2.2962962962962963</v>
      </c>
      <c r="W29" s="117">
        <f>AA29</f>
        <v>89</v>
      </c>
      <c r="X29" s="114">
        <f>IFERROR((VLOOKUP($A29,'ИЗ ГУГЛА'!$B:$G,X$1,0)+Z29)*Y29,VLOOKUP($A29,'ИЗ ГУГЛА'!$B:$G,X$1,0))</f>
        <v>89</v>
      </c>
      <c r="Y29" s="108">
        <v>1</v>
      </c>
      <c r="Z29" s="46"/>
      <c r="AA29" s="136">
        <v>89</v>
      </c>
      <c r="AB29" s="124" t="s">
        <v>2587</v>
      </c>
      <c r="AC29" s="114" t="str">
        <f>IFERROR((VLOOKUP($A29,'ИЗ ГУГЛА'!$B:$Z,AC$1,0)+AE29)*AD29,VLOOKUP($A29,'ИЗ ГУГЛА'!$B:$Z,AC$1,0))</f>
        <v/>
      </c>
      <c r="AD29" s="108">
        <v>1</v>
      </c>
      <c r="AE29" s="46"/>
      <c r="AF29" s="115"/>
    </row>
    <row r="30" spans="1:33" s="5" customFormat="1" ht="31.5" thickTop="1" thickBot="1" x14ac:dyDescent="0.3">
      <c r="A30" s="132">
        <v>223212</v>
      </c>
      <c r="B30" s="132">
        <f>VLOOKUP($A30,'Выгр Кат'!$A:$S,B$1,0)</f>
        <v>35304</v>
      </c>
      <c r="C30" s="133" t="str">
        <f>VLOOKUP($A30,'Выгр Кат'!$A:$S,C$1,0)</f>
        <v>Уплотнитель "БРТ" заднего стекла для ВАЗ 2110</v>
      </c>
      <c r="D30" s="132" t="str">
        <f>VLOOKUP($A30,'Выгр Кат'!$A:$S,D$1,0)</f>
        <v>Y</v>
      </c>
      <c r="E30" s="132" t="str">
        <f>VLOOKUP($A30,'Выгр Кат'!$A:$S,E$1,0)</f>
        <v>1</v>
      </c>
      <c r="F30" s="132" t="str">
        <f>VLOOKUP($A30,'Выгр Кат'!$A:$S,F$1,0)</f>
        <v>2110-6303018</v>
      </c>
      <c r="G30" s="44" t="s">
        <v>775</v>
      </c>
      <c r="H30" s="29"/>
      <c r="I30" s="4" t="s">
        <v>2</v>
      </c>
      <c r="J30" s="95">
        <v>1</v>
      </c>
      <c r="K30" s="168">
        <f t="shared" si="8"/>
        <v>360</v>
      </c>
      <c r="L30" s="167">
        <f>VLOOKUP(K30,Наценка!$A$1:$B$8,2,1)</f>
        <v>1.5053763440860215</v>
      </c>
      <c r="M30" s="172">
        <f t="shared" si="9"/>
        <v>541.93548387096769</v>
      </c>
      <c r="N30" s="173">
        <f t="shared" si="1"/>
        <v>549</v>
      </c>
      <c r="O30" s="134">
        <f>VLOOKUP($A30,'Выгр Кат'!$A:$S,O$1,0)</f>
        <v>360</v>
      </c>
      <c r="P30" s="134">
        <f>VLOOKUP($A30,'Выгр Кат'!$A:$S,P$1,0)</f>
        <v>549</v>
      </c>
      <c r="Q30" s="107">
        <f t="shared" si="2"/>
        <v>0</v>
      </c>
      <c r="R30" s="107">
        <f t="shared" si="3"/>
        <v>0</v>
      </c>
      <c r="S30" s="110">
        <f t="shared" si="4"/>
        <v>510.57</v>
      </c>
      <c r="T30" s="135">
        <f t="shared" si="5"/>
        <v>0.41825000000000001</v>
      </c>
      <c r="U30" s="135" t="str">
        <f t="shared" si="6"/>
        <v/>
      </c>
      <c r="V30" s="135" t="str">
        <f t="shared" si="7"/>
        <v/>
      </c>
      <c r="W30" s="45"/>
      <c r="X30" s="114" t="str">
        <f>IFERROR((VLOOKUP($A30,'ИЗ ГУГЛА'!$B:$G,X$1,0)+Z30)*Y30,VLOOKUP($A30,'ИЗ ГУГЛА'!$B:$G,X$1,0))</f>
        <v/>
      </c>
      <c r="Y30" s="108">
        <v>1</v>
      </c>
      <c r="Z30" s="46"/>
      <c r="AA30" s="137" t="s">
        <v>1821</v>
      </c>
      <c r="AB30" s="129"/>
      <c r="AC30" s="114" t="str">
        <f>IFERROR((VLOOKUP($A30,'ИЗ ГУГЛА'!$B:$Z,AC$1,0)+AE30)*AD30,VLOOKUP($A30,'ИЗ ГУГЛА'!$B:$Z,AC$1,0))</f>
        <v/>
      </c>
      <c r="AD30" s="108">
        <v>1</v>
      </c>
      <c r="AE30" s="46"/>
      <c r="AF30" s="115"/>
    </row>
    <row r="31" spans="1:33" s="5" customFormat="1" ht="30.75" thickTop="1" x14ac:dyDescent="0.25">
      <c r="A31" s="132">
        <v>213299</v>
      </c>
      <c r="B31" s="132">
        <f>VLOOKUP($A31,'Выгр Кат'!$A:$S,B$1,0)</f>
        <v>35250</v>
      </c>
      <c r="C31" s="133" t="str">
        <f>VLOOKUP($A31,'Выгр Кат'!$A:$S,C$1,0)</f>
        <v>Сальник "БРТ" первичного вала КПП для Шевроле Нива</v>
      </c>
      <c r="D31" s="132" t="str">
        <f>VLOOKUP($A31,'Выгр Кат'!$A:$S,D$1,0)</f>
        <v>Y</v>
      </c>
      <c r="E31" s="132" t="str">
        <f>VLOOKUP($A31,'Выгр Кат'!$A:$S,E$1,0)</f>
        <v>1</v>
      </c>
      <c r="F31" s="132" t="str">
        <f>VLOOKUP($A31,'Выгр Кат'!$A:$S,F$1,0)</f>
        <v>2123-1701043</v>
      </c>
      <c r="G31" s="44" t="s">
        <v>727</v>
      </c>
      <c r="H31" s="29"/>
      <c r="I31" s="4" t="s">
        <v>2</v>
      </c>
      <c r="J31" s="95">
        <v>1</v>
      </c>
      <c r="K31" s="168">
        <f t="shared" si="8"/>
        <v>38</v>
      </c>
      <c r="L31" s="167">
        <f>VLOOKUP(K31,Наценка!$A$1:$B$8,2,1)</f>
        <v>2.150537634408602</v>
      </c>
      <c r="M31" s="172">
        <f t="shared" si="9"/>
        <v>81.72043010752688</v>
      </c>
      <c r="N31" s="173">
        <f t="shared" si="1"/>
        <v>89</v>
      </c>
      <c r="O31" s="134">
        <f>VLOOKUP($A31,'Выгр Кат'!$A:$S,O$1,0)</f>
        <v>38</v>
      </c>
      <c r="P31" s="134">
        <f>VLOOKUP($A31,'Выгр Кат'!$A:$S,P$1,0)</f>
        <v>89</v>
      </c>
      <c r="Q31" s="107">
        <f t="shared" si="2"/>
        <v>0</v>
      </c>
      <c r="R31" s="107">
        <f t="shared" si="3"/>
        <v>0</v>
      </c>
      <c r="S31" s="110">
        <f t="shared" si="4"/>
        <v>82.77</v>
      </c>
      <c r="T31" s="135">
        <f t="shared" si="5"/>
        <v>1.1781578947368421</v>
      </c>
      <c r="U31" s="135" t="str">
        <f t="shared" si="6"/>
        <v/>
      </c>
      <c r="V31" s="135" t="str">
        <f t="shared" si="7"/>
        <v/>
      </c>
      <c r="W31" s="45"/>
      <c r="X31" s="114" t="str">
        <f>IFERROR((VLOOKUP($A31,'ИЗ ГУГЛА'!$B:$G,X$1,0)+Z31)*Y31,VLOOKUP($A31,'ИЗ ГУГЛА'!$B:$G,X$1,0))</f>
        <v/>
      </c>
      <c r="Y31" s="108">
        <v>1</v>
      </c>
      <c r="Z31" s="46"/>
      <c r="AA31" s="45" t="s">
        <v>1821</v>
      </c>
      <c r="AB31" s="124"/>
      <c r="AC31" s="114" t="str">
        <f>IFERROR((VLOOKUP($A31,'ИЗ ГУГЛА'!$B:$Z,AC$1,0)+AE31)*AD31,VLOOKUP($A31,'ИЗ ГУГЛА'!$B:$Z,AC$1,0))</f>
        <v/>
      </c>
      <c r="AD31" s="108">
        <v>1</v>
      </c>
      <c r="AE31" s="46"/>
      <c r="AF31" s="115"/>
    </row>
    <row r="32" spans="1:33" s="5" customFormat="1" ht="75.75" thickBot="1" x14ac:dyDescent="0.3">
      <c r="A32" s="132">
        <v>213313</v>
      </c>
      <c r="B32" s="132">
        <f>VLOOKUP($A32,'Выгр Кат'!$A:$S,B$1,0)</f>
        <v>35225</v>
      </c>
      <c r="C32" s="133" t="str">
        <f>VLOOKUP($A32,'Выгр Кат'!$A:$S,C$1,0)</f>
        <v>Сальник "БРТ" штока выбора передач (с пружиной, широкий, нового образца) для ВАЗ 2108-21099, 2110-2112, 2113-2115 Лада (Калина, Калина 2, Гранта, Приора, Приора 2)</v>
      </c>
      <c r="D32" s="132" t="str">
        <f>VLOOKUP($A32,'Выгр Кат'!$A:$S,D$1,0)</f>
        <v>Y</v>
      </c>
      <c r="E32" s="132" t="str">
        <f>VLOOKUP($A32,'Выгр Кат'!$A:$S,E$1,0)</f>
        <v>1</v>
      </c>
      <c r="F32" s="132" t="str">
        <f>VLOOKUP($A32,'Выгр Кат'!$A:$S,F$1,0)</f>
        <v>2109-1703042</v>
      </c>
      <c r="G32" s="34" t="s">
        <v>709</v>
      </c>
      <c r="H32" s="29"/>
      <c r="I32" s="4" t="s">
        <v>2</v>
      </c>
      <c r="J32" s="95">
        <v>1</v>
      </c>
      <c r="K32" s="168">
        <f t="shared" si="8"/>
        <v>29</v>
      </c>
      <c r="L32" s="167">
        <f>VLOOKUP(K32,Наценка!$A$1:$B$8,2,1)</f>
        <v>2.150537634408602</v>
      </c>
      <c r="M32" s="145">
        <f>W32*1</f>
        <v>129</v>
      </c>
      <c r="N32" s="173">
        <f t="shared" si="1"/>
        <v>129</v>
      </c>
      <c r="O32" s="134">
        <f>VLOOKUP($A32,'Выгр Кат'!$A:$S,O$1,0)</f>
        <v>29</v>
      </c>
      <c r="P32" s="134">
        <f>VLOOKUP($A32,'Выгр Кат'!$A:$S,P$1,0)</f>
        <v>129</v>
      </c>
      <c r="Q32" s="107">
        <f t="shared" si="2"/>
        <v>0</v>
      </c>
      <c r="R32" s="107">
        <f t="shared" si="3"/>
        <v>0</v>
      </c>
      <c r="S32" s="110">
        <f t="shared" si="4"/>
        <v>119.97</v>
      </c>
      <c r="T32" s="135">
        <f t="shared" si="5"/>
        <v>3.1368965517241376</v>
      </c>
      <c r="U32" s="135">
        <f t="shared" si="6"/>
        <v>7.0000000000000007E-2</v>
      </c>
      <c r="V32" s="135">
        <f t="shared" si="7"/>
        <v>3.4482758620689653</v>
      </c>
      <c r="W32" s="117">
        <f>AA32</f>
        <v>129</v>
      </c>
      <c r="X32" s="114">
        <f>IFERROR((VLOOKUP($A32,'ИЗ ГУГЛА'!$B:$G,X$1,0)+Z32)*Y32,VLOOKUP($A32,'ИЗ ГУГЛА'!$B:$G,X$1,0))</f>
        <v>129</v>
      </c>
      <c r="Y32" s="108">
        <v>1</v>
      </c>
      <c r="Z32" s="46"/>
      <c r="AA32" s="136">
        <v>129</v>
      </c>
      <c r="AB32" s="124" t="s">
        <v>2583</v>
      </c>
      <c r="AC32" s="114" t="str">
        <f>IFERROR((VLOOKUP($A32,'ИЗ ГУГЛА'!$B:$Z,AC$1,0)+AE32)*AD32,VLOOKUP($A32,'ИЗ ГУГЛА'!$B:$Z,AC$1,0))</f>
        <v/>
      </c>
      <c r="AD32" s="108">
        <v>1</v>
      </c>
      <c r="AE32" s="46"/>
      <c r="AF32" s="115"/>
    </row>
    <row r="33" spans="1:33" s="5" customFormat="1" ht="30.75" thickTop="1" x14ac:dyDescent="0.25">
      <c r="A33" s="132">
        <v>141794</v>
      </c>
      <c r="B33" s="132">
        <f>VLOOKUP($A33,'Выгр Кат'!$A:$S,B$1,0)</f>
        <v>20395</v>
      </c>
      <c r="C33" s="133" t="str">
        <f>VLOOKUP($A33,'Выгр Кат'!$A:$S,C$1,0)</f>
        <v>Гофра "БРТ" проводки двери универсальная (средняя)</v>
      </c>
      <c r="D33" s="132" t="str">
        <f>VLOOKUP($A33,'Выгр Кат'!$A:$S,D$1,0)</f>
        <v>Y</v>
      </c>
      <c r="E33" s="132" t="str">
        <f>VLOOKUP($A33,'Выгр Кат'!$A:$S,E$1,0)</f>
        <v>1</v>
      </c>
      <c r="F33" s="132">
        <f>VLOOKUP($A33,'Выгр Кат'!$A:$S,F$1,0)</f>
        <v>0</v>
      </c>
      <c r="G33" s="45" t="s">
        <v>1821</v>
      </c>
      <c r="H33" s="29" t="s">
        <v>1821</v>
      </c>
      <c r="I33" s="4" t="s">
        <v>2</v>
      </c>
      <c r="J33" s="95">
        <v>1</v>
      </c>
      <c r="K33" s="168">
        <f t="shared" si="8"/>
        <v>28</v>
      </c>
      <c r="L33" s="167">
        <f>VLOOKUP(K33,Наценка!$A$1:$B$8,2,1)</f>
        <v>2.150537634408602</v>
      </c>
      <c r="M33" s="172">
        <f t="shared" si="9"/>
        <v>60.215053763440856</v>
      </c>
      <c r="N33" s="173">
        <f t="shared" si="1"/>
        <v>69</v>
      </c>
      <c r="O33" s="134">
        <f>VLOOKUP($A33,'Выгр Кат'!$A:$S,O$1,0)</f>
        <v>28</v>
      </c>
      <c r="P33" s="134">
        <f>VLOOKUP($A33,'Выгр Кат'!$A:$S,P$1,0)</f>
        <v>69</v>
      </c>
      <c r="Q33" s="107">
        <f t="shared" si="2"/>
        <v>0</v>
      </c>
      <c r="R33" s="107">
        <f t="shared" si="3"/>
        <v>0</v>
      </c>
      <c r="S33" s="110">
        <f t="shared" si="4"/>
        <v>64.17</v>
      </c>
      <c r="T33" s="135">
        <f t="shared" si="5"/>
        <v>1.2917857142857145</v>
      </c>
      <c r="U33" s="135" t="str">
        <f t="shared" si="6"/>
        <v/>
      </c>
      <c r="V33" s="135" t="str">
        <f t="shared" si="7"/>
        <v/>
      </c>
      <c r="W33" s="45"/>
      <c r="X33" s="114" t="str">
        <f>IFERROR((VLOOKUP($A33,'ИЗ ГУГЛА'!$B:$G,X$1,0)+Z33)*Y33,VLOOKUP($A33,'ИЗ ГУГЛА'!$B:$G,X$1,0))</f>
        <v/>
      </c>
      <c r="Y33" s="108">
        <v>1</v>
      </c>
      <c r="Z33" s="46"/>
      <c r="AA33" s="45" t="s">
        <v>1821</v>
      </c>
      <c r="AB33" s="124"/>
      <c r="AC33" s="114" t="str">
        <f>IFERROR((VLOOKUP($A33,'ИЗ ГУГЛА'!$B:$Z,AC$1,0)+AE33)*AD33,VLOOKUP($A33,'ИЗ ГУГЛА'!$B:$Z,AC$1,0))</f>
        <v/>
      </c>
      <c r="AD33" s="108">
        <v>1</v>
      </c>
      <c r="AE33" s="46"/>
      <c r="AF33" s="115"/>
    </row>
    <row r="34" spans="1:33" s="5" customFormat="1" ht="60.75" thickBot="1" x14ac:dyDescent="0.3">
      <c r="A34" s="132">
        <v>213366</v>
      </c>
      <c r="B34" s="132">
        <f>VLOOKUP($A34,'Выгр Кат'!$A:$S,B$1,0)</f>
        <v>20529</v>
      </c>
      <c r="C34" s="133" t="str">
        <f>VLOOKUP($A34,'Выгр Кат'!$A:$S,C$1,0)</f>
        <v>Сальник первичного вала коробки передач с пружиной (красный, малый) "БРТ" для ВАЗ 2101-2107, Лада Нива 4x4</v>
      </c>
      <c r="D34" s="132" t="str">
        <f>VLOOKUP($A34,'Выгр Кат'!$A:$S,D$1,0)</f>
        <v>Y</v>
      </c>
      <c r="E34" s="132" t="str">
        <f>VLOOKUP($A34,'Выгр Кат'!$A:$S,E$1,0)</f>
        <v>1</v>
      </c>
      <c r="F34" s="132" t="str">
        <f>VLOOKUP($A34,'Выгр Кат'!$A:$S,F$1,0)</f>
        <v>2101-1701043Р.</v>
      </c>
      <c r="G34" s="45" t="s">
        <v>255</v>
      </c>
      <c r="H34" s="29"/>
      <c r="I34" s="4" t="s">
        <v>2</v>
      </c>
      <c r="J34" s="95">
        <v>1</v>
      </c>
      <c r="K34" s="168">
        <f t="shared" si="8"/>
        <v>32</v>
      </c>
      <c r="L34" s="167">
        <f>VLOOKUP(K34,Наценка!$A$1:$B$8,2,1)</f>
        <v>2.150537634408602</v>
      </c>
      <c r="M34" s="145">
        <f t="shared" ref="M34:M35" si="17">W34*1</f>
        <v>129</v>
      </c>
      <c r="N34" s="173">
        <f t="shared" si="1"/>
        <v>129</v>
      </c>
      <c r="O34" s="134">
        <f>VLOOKUP($A34,'Выгр Кат'!$A:$S,O$1,0)</f>
        <v>32</v>
      </c>
      <c r="P34" s="134">
        <f>VLOOKUP($A34,'Выгр Кат'!$A:$S,P$1,0)</f>
        <v>129</v>
      </c>
      <c r="Q34" s="107">
        <f t="shared" si="2"/>
        <v>0</v>
      </c>
      <c r="R34" s="107">
        <f t="shared" si="3"/>
        <v>0</v>
      </c>
      <c r="S34" s="110">
        <f t="shared" si="4"/>
        <v>119.97</v>
      </c>
      <c r="T34" s="135">
        <f t="shared" si="5"/>
        <v>2.7490625</v>
      </c>
      <c r="U34" s="135">
        <f t="shared" si="6"/>
        <v>7.0000000000000007E-2</v>
      </c>
      <c r="V34" s="135">
        <f t="shared" si="7"/>
        <v>3.03125</v>
      </c>
      <c r="W34" s="117">
        <f t="shared" ref="W34:W36" si="18">AA34</f>
        <v>129</v>
      </c>
      <c r="X34" s="114">
        <f>IFERROR((VLOOKUP($A34,'ИЗ ГУГЛА'!$B:$G,X$1,0)+Z34)*Y34,VLOOKUP($A34,'ИЗ ГУГЛА'!$B:$G,X$1,0))</f>
        <v>129</v>
      </c>
      <c r="Y34" s="108">
        <v>1</v>
      </c>
      <c r="Z34" s="46"/>
      <c r="AA34" s="136">
        <v>129</v>
      </c>
      <c r="AB34" s="124" t="s">
        <v>2344</v>
      </c>
      <c r="AC34" s="114" t="str">
        <f>IFERROR((VLOOKUP($A34,'ИЗ ГУГЛА'!$B:$Z,AC$1,0)+AE34)*AD34,VLOOKUP($A34,'ИЗ ГУГЛА'!$B:$Z,AC$1,0))</f>
        <v/>
      </c>
      <c r="AD34" s="108">
        <v>1</v>
      </c>
      <c r="AE34" s="46"/>
      <c r="AF34" s="115"/>
    </row>
    <row r="35" spans="1:33" s="5" customFormat="1" ht="46.5" thickTop="1" thickBot="1" x14ac:dyDescent="0.3">
      <c r="A35" s="132">
        <v>213367</v>
      </c>
      <c r="B35" s="132">
        <f>VLOOKUP($A35,'Выгр Кат'!$A:$S,B$1,0)</f>
        <v>20527</v>
      </c>
      <c r="C35" s="133" t="str">
        <f>VLOOKUP($A35,'Выгр Кат'!$A:$S,C$1,0)</f>
        <v>Сальник первичного вала коробки передач с пружиной (малый) "БРТ" для ВАЗ 2101-2107, Лада Нива 4x4</v>
      </c>
      <c r="D35" s="132" t="str">
        <f>VLOOKUP($A35,'Выгр Кат'!$A:$S,D$1,0)</f>
        <v>Y</v>
      </c>
      <c r="E35" s="132" t="str">
        <f>VLOOKUP($A35,'Выгр Кат'!$A:$S,E$1,0)</f>
        <v>1</v>
      </c>
      <c r="F35" s="132" t="str">
        <f>VLOOKUP($A35,'Выгр Кат'!$A:$S,F$1,0)</f>
        <v>2101-1701043К.</v>
      </c>
      <c r="G35" s="45" t="s">
        <v>255</v>
      </c>
      <c r="H35" s="29"/>
      <c r="I35" s="4" t="s">
        <v>2</v>
      </c>
      <c r="J35" s="95">
        <v>1</v>
      </c>
      <c r="K35" s="168">
        <f t="shared" si="8"/>
        <v>32</v>
      </c>
      <c r="L35" s="167">
        <f>VLOOKUP(K35,Наценка!$A$1:$B$8,2,1)</f>
        <v>2.150537634408602</v>
      </c>
      <c r="M35" s="145">
        <f t="shared" si="17"/>
        <v>129</v>
      </c>
      <c r="N35" s="173">
        <f t="shared" si="1"/>
        <v>129</v>
      </c>
      <c r="O35" s="134">
        <f>VLOOKUP($A35,'Выгр Кат'!$A:$S,O$1,0)</f>
        <v>32</v>
      </c>
      <c r="P35" s="134">
        <f>VLOOKUP($A35,'Выгр Кат'!$A:$S,P$1,0)</f>
        <v>129</v>
      </c>
      <c r="Q35" s="107">
        <f t="shared" si="2"/>
        <v>0</v>
      </c>
      <c r="R35" s="107">
        <f t="shared" si="3"/>
        <v>0</v>
      </c>
      <c r="S35" s="110">
        <f t="shared" si="4"/>
        <v>119.97</v>
      </c>
      <c r="T35" s="135">
        <f t="shared" si="5"/>
        <v>2.7490625</v>
      </c>
      <c r="U35" s="135">
        <f t="shared" si="6"/>
        <v>7.0000000000000007E-2</v>
      </c>
      <c r="V35" s="135">
        <f t="shared" si="7"/>
        <v>3.03125</v>
      </c>
      <c r="W35" s="117">
        <f t="shared" si="18"/>
        <v>129</v>
      </c>
      <c r="X35" s="114">
        <f>IFERROR((VLOOKUP($A35,'ИЗ ГУГЛА'!$B:$G,X$1,0)+Z35)*Y35,VLOOKUP($A35,'ИЗ ГУГЛА'!$B:$G,X$1,0))</f>
        <v>129</v>
      </c>
      <c r="Y35" s="46">
        <v>1</v>
      </c>
      <c r="Z35" s="46"/>
      <c r="AA35" s="138">
        <v>129</v>
      </c>
      <c r="AB35" s="124" t="s">
        <v>2344</v>
      </c>
      <c r="AC35" s="114" t="str">
        <f>IFERROR((VLOOKUP($A35,'ИЗ ГУГЛА'!$B:$Z,AC$1,0)+AE35)*AD35,VLOOKUP($A35,'ИЗ ГУГЛА'!$B:$Z,AC$1,0))</f>
        <v/>
      </c>
      <c r="AD35" s="46">
        <v>1</v>
      </c>
      <c r="AE35" s="46"/>
      <c r="AF35" s="115"/>
    </row>
    <row r="36" spans="1:33" s="5" customFormat="1" ht="31.5" thickTop="1" thickBot="1" x14ac:dyDescent="0.3">
      <c r="A36" s="132">
        <v>194574</v>
      </c>
      <c r="B36" s="132">
        <f>VLOOKUP($A36,'Выгр Кат'!$A:$S,B$1,0)</f>
        <v>35479</v>
      </c>
      <c r="C36" s="133" t="str">
        <f>VLOOKUP($A36,'Выгр Кат'!$A:$S,C$1,0)</f>
        <v>Подушка "БРТ" штанги заднего стабилизатора для Лада Калина</v>
      </c>
      <c r="D36" s="132" t="str">
        <f>VLOOKUP($A36,'Выгр Кат'!$A:$S,D$1,0)</f>
        <v>Y</v>
      </c>
      <c r="E36" s="132" t="str">
        <f>VLOOKUP($A36,'Выгр Кат'!$A:$S,E$1,0)</f>
        <v>1</v>
      </c>
      <c r="F36" s="132" t="str">
        <f>VLOOKUP($A36,'Выгр Кат'!$A:$S,F$1,0)</f>
        <v>1118-2916040Р</v>
      </c>
      <c r="G36" s="44" t="s">
        <v>1202</v>
      </c>
      <c r="H36" s="29"/>
      <c r="I36" s="4" t="s">
        <v>2</v>
      </c>
      <c r="J36" s="95">
        <v>1</v>
      </c>
      <c r="K36" s="168">
        <f t="shared" si="8"/>
        <v>34</v>
      </c>
      <c r="L36" s="167">
        <f>VLOOKUP(K36,Наценка!$A$1:$B$8,2,1)</f>
        <v>2.150537634408602</v>
      </c>
      <c r="M36" s="149">
        <f t="shared" ref="M34:M36" si="19">W36*1.07</f>
        <v>159.43</v>
      </c>
      <c r="N36" s="173">
        <f t="shared" si="1"/>
        <v>159</v>
      </c>
      <c r="O36" s="134">
        <f>VLOOKUP($A36,'Выгр Кат'!$A:$S,O$1,0)</f>
        <v>34</v>
      </c>
      <c r="P36" s="134">
        <f>VLOOKUP($A36,'Выгр Кат'!$A:$S,P$1,0)</f>
        <v>159</v>
      </c>
      <c r="Q36" s="107">
        <f t="shared" si="2"/>
        <v>0</v>
      </c>
      <c r="R36" s="107">
        <f t="shared" si="3"/>
        <v>0</v>
      </c>
      <c r="S36" s="110">
        <f t="shared" si="4"/>
        <v>147.86999999999998</v>
      </c>
      <c r="T36" s="135">
        <f t="shared" si="5"/>
        <v>3.3491176470588231</v>
      </c>
      <c r="U36" s="135">
        <f t="shared" si="6"/>
        <v>7.5838926174498248E-3</v>
      </c>
      <c r="V36" s="135">
        <f t="shared" si="7"/>
        <v>3.382352941176471</v>
      </c>
      <c r="W36" s="117">
        <f t="shared" si="18"/>
        <v>149</v>
      </c>
      <c r="X36" s="114">
        <f>IFERROR((VLOOKUP($A36,'ИЗ ГУГЛА'!$B:$G,X$1,0)+Z36)*Y36,VLOOKUP($A36,'ИЗ ГУГЛА'!$B:$G,X$1,0))</f>
        <v>149</v>
      </c>
      <c r="Y36" s="108">
        <v>1</v>
      </c>
      <c r="Z36" s="46"/>
      <c r="AA36" s="136">
        <v>149</v>
      </c>
      <c r="AB36" s="124" t="s">
        <v>2584</v>
      </c>
      <c r="AC36" s="114" t="str">
        <f>IFERROR((VLOOKUP($A36,'ИЗ ГУГЛА'!$B:$Z,AC$1,0)+AE36)*AD36,VLOOKUP($A36,'ИЗ ГУГЛА'!$B:$Z,AC$1,0))</f>
        <v/>
      </c>
      <c r="AD36" s="108">
        <v>1</v>
      </c>
      <c r="AE36" s="46"/>
      <c r="AF36" s="115"/>
    </row>
    <row r="37" spans="1:33" s="5" customFormat="1" ht="30.75" thickTop="1" x14ac:dyDescent="0.25">
      <c r="A37" s="132">
        <v>223253</v>
      </c>
      <c r="B37" s="132">
        <f>VLOOKUP($A37,'Выгр Кат'!$A:$S,B$1,0)</f>
        <v>20506</v>
      </c>
      <c r="C37" s="133" t="str">
        <f>VLOOKUP($A37,'Выгр Кат'!$A:$S,C$1,0)</f>
        <v>Уплотнитель ворсовой "БРТ" для Лада XRAY</v>
      </c>
      <c r="D37" s="132" t="str">
        <f>VLOOKUP($A37,'Выгр Кат'!$A:$S,D$1,0)</f>
        <v>Y</v>
      </c>
      <c r="E37" s="132" t="str">
        <f>VLOOKUP($A37,'Выгр Кат'!$A:$S,E$1,0)</f>
        <v>1</v>
      </c>
      <c r="F37" s="132" t="str">
        <f>VLOOKUP($A37,'Выгр Кат'!$A:$S,F$1,0)</f>
        <v>505012100Р.</v>
      </c>
      <c r="G37" s="45" t="s">
        <v>1821</v>
      </c>
      <c r="H37" s="29" t="s">
        <v>1821</v>
      </c>
      <c r="I37" s="4" t="s">
        <v>2</v>
      </c>
      <c r="J37" s="95">
        <v>1</v>
      </c>
      <c r="K37" s="168">
        <f t="shared" si="8"/>
        <v>30</v>
      </c>
      <c r="L37" s="167">
        <f>VLOOKUP(K37,Наценка!$A$1:$B$8,2,1)</f>
        <v>2.150537634408602</v>
      </c>
      <c r="M37" s="172">
        <f t="shared" si="9"/>
        <v>64.516129032258064</v>
      </c>
      <c r="N37" s="173">
        <f t="shared" si="1"/>
        <v>69</v>
      </c>
      <c r="O37" s="134">
        <f>VLOOKUP($A37,'Выгр Кат'!$A:$S,O$1,0)</f>
        <v>30</v>
      </c>
      <c r="P37" s="134">
        <f>VLOOKUP($A37,'Выгр Кат'!$A:$S,P$1,0)</f>
        <v>69</v>
      </c>
      <c r="Q37" s="107">
        <f t="shared" si="2"/>
        <v>0</v>
      </c>
      <c r="R37" s="107">
        <f t="shared" si="3"/>
        <v>0</v>
      </c>
      <c r="S37" s="110">
        <f t="shared" si="4"/>
        <v>64.17</v>
      </c>
      <c r="T37" s="135">
        <f t="shared" si="5"/>
        <v>1.1390000000000002</v>
      </c>
      <c r="U37" s="135" t="str">
        <f t="shared" si="6"/>
        <v/>
      </c>
      <c r="V37" s="135" t="str">
        <f t="shared" si="7"/>
        <v/>
      </c>
      <c r="W37" s="45"/>
      <c r="X37" s="114" t="str">
        <f>IFERROR((VLOOKUP($A37,'ИЗ ГУГЛА'!$B:$G,X$1,0)+Z37)*Y37,VLOOKUP($A37,'ИЗ ГУГЛА'!$B:$G,X$1,0))</f>
        <v/>
      </c>
      <c r="Y37" s="108">
        <v>1</v>
      </c>
      <c r="Z37" s="46"/>
      <c r="AA37" s="45" t="s">
        <v>1821</v>
      </c>
      <c r="AB37" s="124"/>
      <c r="AC37" s="114" t="str">
        <f>IFERROR((VLOOKUP($A37,'ИЗ ГУГЛА'!$B:$Z,AC$1,0)+AE37)*AD37,VLOOKUP($A37,'ИЗ ГУГЛА'!$B:$Z,AC$1,0))</f>
        <v/>
      </c>
      <c r="AD37" s="108">
        <v>1</v>
      </c>
      <c r="AE37" s="46"/>
      <c r="AF37" s="115"/>
    </row>
    <row r="38" spans="1:33" s="5" customFormat="1" ht="30" x14ac:dyDescent="0.25">
      <c r="A38" s="132">
        <v>213306</v>
      </c>
      <c r="B38" s="132">
        <f>VLOOKUP($A38,'Выгр Кат'!$A:$S,B$1,0)</f>
        <v>35200</v>
      </c>
      <c r="C38" s="133" t="str">
        <f>VLOOKUP($A38,'Выгр Кат'!$A:$S,C$1,0)</f>
        <v>Сальник "БРТ" полуоси с пружиной для ВАЗ 2101-2107, Лада Нива 4x4</v>
      </c>
      <c r="D38" s="132" t="str">
        <f>VLOOKUP($A38,'Выгр Кат'!$A:$S,D$1,0)</f>
        <v>Y</v>
      </c>
      <c r="E38" s="132" t="str">
        <f>VLOOKUP($A38,'Выгр Кат'!$A:$S,E$1,0)</f>
        <v>1</v>
      </c>
      <c r="F38" s="132" t="str">
        <f>VLOOKUP($A38,'Выгр Кат'!$A:$S,F$1,0)</f>
        <v>2101-2401034Рн/о</v>
      </c>
      <c r="G38" s="44" t="s">
        <v>699</v>
      </c>
      <c r="H38" s="29"/>
      <c r="I38" s="4" t="s">
        <v>2</v>
      </c>
      <c r="J38" s="95">
        <v>1</v>
      </c>
      <c r="K38" s="168">
        <f t="shared" si="8"/>
        <v>42</v>
      </c>
      <c r="L38" s="167">
        <f>VLOOKUP(K38,Наценка!$A$1:$B$8,2,1)</f>
        <v>2.150537634408602</v>
      </c>
      <c r="M38" s="172">
        <f t="shared" si="9"/>
        <v>90.322580645161281</v>
      </c>
      <c r="N38" s="173">
        <f t="shared" si="1"/>
        <v>99</v>
      </c>
      <c r="O38" s="134">
        <f>VLOOKUP($A38,'Выгр Кат'!$A:$S,O$1,0)</f>
        <v>42</v>
      </c>
      <c r="P38" s="134">
        <f>VLOOKUP($A38,'Выгр Кат'!$A:$S,P$1,0)</f>
        <v>99</v>
      </c>
      <c r="Q38" s="107">
        <f t="shared" si="2"/>
        <v>0</v>
      </c>
      <c r="R38" s="107">
        <f t="shared" si="3"/>
        <v>0</v>
      </c>
      <c r="S38" s="110">
        <f t="shared" si="4"/>
        <v>92.07</v>
      </c>
      <c r="T38" s="135">
        <f t="shared" si="5"/>
        <v>1.1921428571428572</v>
      </c>
      <c r="U38" s="135" t="str">
        <f t="shared" si="6"/>
        <v/>
      </c>
      <c r="V38" s="135" t="str">
        <f t="shared" si="7"/>
        <v/>
      </c>
      <c r="W38" s="45"/>
      <c r="X38" s="114" t="str">
        <f>IFERROR((VLOOKUP($A38,'ИЗ ГУГЛА'!$B:$G,X$1,0)+Z38)*Y38,VLOOKUP($A38,'ИЗ ГУГЛА'!$B:$G,X$1,0))</f>
        <v/>
      </c>
      <c r="Y38" s="108">
        <v>1</v>
      </c>
      <c r="Z38" s="46"/>
      <c r="AA38" s="45" t="s">
        <v>1821</v>
      </c>
      <c r="AB38" s="124"/>
      <c r="AC38" s="114" t="str">
        <f>IFERROR((VLOOKUP($A38,'ИЗ ГУГЛА'!$B:$Z,AC$1,0)+AE38)*AD38,VLOOKUP($A38,'ИЗ ГУГЛА'!$B:$Z,AC$1,0))</f>
        <v/>
      </c>
      <c r="AD38" s="108">
        <v>1</v>
      </c>
      <c r="AE38" s="46"/>
      <c r="AF38" s="115"/>
    </row>
    <row r="39" spans="1:33" s="5" customFormat="1" ht="30" x14ac:dyDescent="0.25">
      <c r="A39" s="132">
        <v>213304</v>
      </c>
      <c r="B39" s="132">
        <f>VLOOKUP($A39,'Выгр Кат'!$A:$S,B$1,0)</f>
        <v>35198</v>
      </c>
      <c r="C39" s="133" t="str">
        <f>VLOOKUP($A39,'Выгр Кат'!$A:$S,C$1,0)</f>
        <v>Сальник "БРТ" полуоси с пружиной (красный) для ВАЗ 2101-2107</v>
      </c>
      <c r="D39" s="132" t="str">
        <f>VLOOKUP($A39,'Выгр Кат'!$A:$S,D$1,0)</f>
        <v>Y</v>
      </c>
      <c r="E39" s="132" t="str">
        <f>VLOOKUP($A39,'Выгр Кат'!$A:$S,E$1,0)</f>
        <v>1</v>
      </c>
      <c r="F39" s="132" t="str">
        <f>VLOOKUP($A39,'Выгр Кат'!$A:$S,F$1,0)</f>
        <v>2101-2401034Р</v>
      </c>
      <c r="G39" s="44" t="s">
        <v>261</v>
      </c>
      <c r="H39" s="29"/>
      <c r="I39" s="4" t="s">
        <v>2</v>
      </c>
      <c r="J39" s="95">
        <v>1</v>
      </c>
      <c r="K39" s="168">
        <f t="shared" si="8"/>
        <v>34</v>
      </c>
      <c r="L39" s="167">
        <f>VLOOKUP(K39,Наценка!$A$1:$B$8,2,1)</f>
        <v>2.150537634408602</v>
      </c>
      <c r="M39" s="145">
        <f>W39*1</f>
        <v>70</v>
      </c>
      <c r="N39" s="173">
        <f t="shared" si="1"/>
        <v>69</v>
      </c>
      <c r="O39" s="134">
        <f>VLOOKUP($A39,'Выгр Кат'!$A:$S,O$1,0)</f>
        <v>34</v>
      </c>
      <c r="P39" s="134">
        <f>VLOOKUP($A39,'Выгр Кат'!$A:$S,P$1,0)</f>
        <v>79</v>
      </c>
      <c r="Q39" s="107">
        <f t="shared" si="2"/>
        <v>0</v>
      </c>
      <c r="R39" s="107">
        <f t="shared" si="3"/>
        <v>10</v>
      </c>
      <c r="S39" s="110">
        <f t="shared" si="4"/>
        <v>64.17</v>
      </c>
      <c r="T39" s="135">
        <f t="shared" si="5"/>
        <v>0.88735294117647068</v>
      </c>
      <c r="U39" s="135">
        <f t="shared" si="6"/>
        <v>8.3285714285714255E-2</v>
      </c>
      <c r="V39" s="135">
        <f t="shared" si="7"/>
        <v>1.0588235294117645</v>
      </c>
      <c r="W39" s="118">
        <f t="shared" ref="W39:W40" si="20">AF39</f>
        <v>70</v>
      </c>
      <c r="X39" s="114" t="str">
        <f>IFERROR((VLOOKUP($A39,'ИЗ ГУГЛА'!$B:$G,X$1,0)+Z39)*Y39,VLOOKUP($A39,'ИЗ ГУГЛА'!$B:$G,X$1,0))</f>
        <v/>
      </c>
      <c r="Y39" s="108">
        <v>1</v>
      </c>
      <c r="Z39" s="46"/>
      <c r="AA39" s="45" t="s">
        <v>1821</v>
      </c>
      <c r="AB39" s="124"/>
      <c r="AC39" s="114">
        <f>IFERROR((VLOOKUP($A39,'ИЗ ГУГЛА'!$B:$Z,AC$1,0)+AE39)*AD39,VLOOKUP($A39,'ИЗ ГУГЛА'!$B:$Z,AC$1,0))</f>
        <v>70</v>
      </c>
      <c r="AD39" s="108">
        <v>1</v>
      </c>
      <c r="AE39" s="46"/>
      <c r="AF39" s="115">
        <v>70</v>
      </c>
      <c r="AG39" s="5" t="s">
        <v>2770</v>
      </c>
    </row>
    <row r="40" spans="1:33" s="5" customFormat="1" ht="30" x14ac:dyDescent="0.25">
      <c r="A40" s="132">
        <v>213305</v>
      </c>
      <c r="B40" s="132">
        <f>VLOOKUP($A40,'Выгр Кат'!$A:$S,B$1,0)</f>
        <v>35196</v>
      </c>
      <c r="C40" s="133" t="str">
        <f>VLOOKUP($A40,'Выгр Кат'!$A:$S,C$1,0)</f>
        <v>Сальник "БРТ" полуоси с пружиной для ВАЗ 2101-2107</v>
      </c>
      <c r="D40" s="132" t="str">
        <f>VLOOKUP($A40,'Выгр Кат'!$A:$S,D$1,0)</f>
        <v>Y</v>
      </c>
      <c r="E40" s="132" t="str">
        <f>VLOOKUP($A40,'Выгр Кат'!$A:$S,E$1,0)</f>
        <v>1</v>
      </c>
      <c r="F40" s="132" t="str">
        <f>VLOOKUP($A40,'Выгр Кат'!$A:$S,F$1,0)</f>
        <v>2101-2401034</v>
      </c>
      <c r="G40" s="44" t="s">
        <v>260</v>
      </c>
      <c r="H40" s="29"/>
      <c r="I40" s="4" t="s">
        <v>2</v>
      </c>
      <c r="J40" s="95">
        <v>1</v>
      </c>
      <c r="K40" s="168">
        <f t="shared" si="8"/>
        <v>34</v>
      </c>
      <c r="L40" s="167">
        <f>VLOOKUP(K40,Наценка!$A$1:$B$8,2,1)</f>
        <v>2.150537634408602</v>
      </c>
      <c r="M40" s="147">
        <f t="shared" ref="M39:M44" si="21">W40*1.04</f>
        <v>69.680000000000007</v>
      </c>
      <c r="N40" s="173">
        <f t="shared" si="1"/>
        <v>69</v>
      </c>
      <c r="O40" s="134">
        <f>VLOOKUP($A40,'Выгр Кат'!$A:$S,O$1,0)</f>
        <v>34</v>
      </c>
      <c r="P40" s="134">
        <f>VLOOKUP($A40,'Выгр Кат'!$A:$S,P$1,0)</f>
        <v>79</v>
      </c>
      <c r="Q40" s="107">
        <f t="shared" si="2"/>
        <v>0</v>
      </c>
      <c r="R40" s="107">
        <f t="shared" si="3"/>
        <v>10</v>
      </c>
      <c r="S40" s="110">
        <f t="shared" si="4"/>
        <v>64.17</v>
      </c>
      <c r="T40" s="135">
        <f t="shared" si="5"/>
        <v>0.88735294117647068</v>
      </c>
      <c r="U40" s="135">
        <f t="shared" si="6"/>
        <v>4.2238805970149229E-2</v>
      </c>
      <c r="V40" s="135">
        <f t="shared" si="7"/>
        <v>0.97058823529411775</v>
      </c>
      <c r="W40" s="118">
        <f t="shared" si="20"/>
        <v>67</v>
      </c>
      <c r="X40" s="114" t="str">
        <f>IFERROR((VLOOKUP($A40,'ИЗ ГУГЛА'!$B:$G,X$1,0)+Z40)*Y40,VLOOKUP($A40,'ИЗ ГУГЛА'!$B:$G,X$1,0))</f>
        <v/>
      </c>
      <c r="Y40" s="108">
        <v>1</v>
      </c>
      <c r="Z40" s="46"/>
      <c r="AA40" s="45" t="s">
        <v>1821</v>
      </c>
      <c r="AB40" s="124"/>
      <c r="AC40" s="114">
        <f>IFERROR((VLOOKUP($A40,'ИЗ ГУГЛА'!$B:$Z,AC$1,0)+AE40)*AD40,VLOOKUP($A40,'ИЗ ГУГЛА'!$B:$Z,AC$1,0))</f>
        <v>67</v>
      </c>
      <c r="AD40" s="108">
        <v>1</v>
      </c>
      <c r="AE40" s="46"/>
      <c r="AF40" s="115">
        <v>67</v>
      </c>
      <c r="AG40" s="5" t="s">
        <v>2771</v>
      </c>
    </row>
    <row r="41" spans="1:33" s="5" customFormat="1" ht="30.75" thickBot="1" x14ac:dyDescent="0.3">
      <c r="A41" s="132">
        <v>213389</v>
      </c>
      <c r="B41" s="132">
        <f>VLOOKUP($A41,'Выгр Кат'!$A:$S,B$1,0)</f>
        <v>32890</v>
      </c>
      <c r="C41" s="133" t="str">
        <f>VLOOKUP($A41,'Выгр Кат'!$A:$S,C$1,0)</f>
        <v>Сальник привода "БРТ" правый для ВАЗ (2108-21099, 2113-2115), Лада Ока</v>
      </c>
      <c r="D41" s="132" t="str">
        <f>VLOOKUP($A41,'Выгр Кат'!$A:$S,D$1,0)</f>
        <v>Y</v>
      </c>
      <c r="E41" s="132" t="str">
        <f>VLOOKUP($A41,'Выгр Кат'!$A:$S,E$1,0)</f>
        <v>1</v>
      </c>
      <c r="F41" s="132" t="str">
        <f>VLOOKUP($A41,'Выгр Кат'!$A:$S,F$1,0)</f>
        <v>21082301034</v>
      </c>
      <c r="G41" s="34" t="s">
        <v>711</v>
      </c>
      <c r="H41" s="29"/>
      <c r="I41" s="4" t="s">
        <v>2</v>
      </c>
      <c r="J41" s="95">
        <v>1</v>
      </c>
      <c r="K41" s="168">
        <f t="shared" si="8"/>
        <v>35</v>
      </c>
      <c r="L41" s="167">
        <f>VLOOKUP(K41,Наценка!$A$1:$B$8,2,1)</f>
        <v>2.150537634408602</v>
      </c>
      <c r="M41" s="145">
        <f t="shared" ref="M41:M44" si="22">W41*1</f>
        <v>129</v>
      </c>
      <c r="N41" s="173">
        <f t="shared" si="1"/>
        <v>129</v>
      </c>
      <c r="O41" s="134">
        <f>VLOOKUP($A41,'Выгр Кат'!$A:$S,O$1,0)</f>
        <v>35</v>
      </c>
      <c r="P41" s="134">
        <f>VLOOKUP($A41,'Выгр Кат'!$A:$S,P$1,0)</f>
        <v>129</v>
      </c>
      <c r="Q41" s="107">
        <f t="shared" si="2"/>
        <v>0</v>
      </c>
      <c r="R41" s="107">
        <f t="shared" si="3"/>
        <v>0</v>
      </c>
      <c r="S41" s="110">
        <f t="shared" si="4"/>
        <v>119.97</v>
      </c>
      <c r="T41" s="135">
        <f t="shared" si="5"/>
        <v>2.4277142857142855</v>
      </c>
      <c r="U41" s="135">
        <f t="shared" si="6"/>
        <v>7.0000000000000007E-2</v>
      </c>
      <c r="V41" s="135">
        <f t="shared" si="7"/>
        <v>2.6857142857142855</v>
      </c>
      <c r="W41" s="117">
        <f t="shared" ref="W41:W44" si="23">AA41</f>
        <v>129</v>
      </c>
      <c r="X41" s="114">
        <f>IFERROR((VLOOKUP($A41,'ИЗ ГУГЛА'!$B:$G,X$1,0)+Z41)*Y41,VLOOKUP($A41,'ИЗ ГУГЛА'!$B:$G,X$1,0))</f>
        <v>129</v>
      </c>
      <c r="Y41" s="108">
        <v>1</v>
      </c>
      <c r="Z41" s="46"/>
      <c r="AA41" s="136">
        <v>129</v>
      </c>
      <c r="AB41" s="124" t="s">
        <v>2585</v>
      </c>
      <c r="AC41" s="114" t="str">
        <f>IFERROR((VLOOKUP($A41,'ИЗ ГУГЛА'!$B:$Z,AC$1,0)+AE41)*AD41,VLOOKUP($A41,'ИЗ ГУГЛА'!$B:$Z,AC$1,0))</f>
        <v/>
      </c>
      <c r="AD41" s="108">
        <v>1</v>
      </c>
      <c r="AE41" s="46"/>
      <c r="AF41" s="115"/>
    </row>
    <row r="42" spans="1:33" s="5" customFormat="1" ht="31.5" thickTop="1" thickBot="1" x14ac:dyDescent="0.3">
      <c r="A42" s="132">
        <v>213387</v>
      </c>
      <c r="B42" s="132">
        <f>VLOOKUP($A42,'Выгр Кат'!$A:$S,B$1,0)</f>
        <v>32889</v>
      </c>
      <c r="C42" s="133" t="str">
        <f>VLOOKUP($A42,'Выгр Кат'!$A:$S,C$1,0)</f>
        <v>Сальник привода "БРТ" левый для ВАЗ (2108-21099, 2113-2115), Лада Ока</v>
      </c>
      <c r="D42" s="132" t="str">
        <f>VLOOKUP($A42,'Выгр Кат'!$A:$S,D$1,0)</f>
        <v>Y</v>
      </c>
      <c r="E42" s="132" t="str">
        <f>VLOOKUP($A42,'Выгр Кат'!$A:$S,E$1,0)</f>
        <v>1</v>
      </c>
      <c r="F42" s="132" t="str">
        <f>VLOOKUP($A42,'Выгр Кат'!$A:$S,F$1,0)</f>
        <v>21082301035</v>
      </c>
      <c r="G42" s="34" t="s">
        <v>711</v>
      </c>
      <c r="H42" s="29"/>
      <c r="I42" s="4" t="s">
        <v>2</v>
      </c>
      <c r="J42" s="95">
        <v>1</v>
      </c>
      <c r="K42" s="168">
        <f t="shared" si="8"/>
        <v>35</v>
      </c>
      <c r="L42" s="167">
        <f>VLOOKUP(K42,Наценка!$A$1:$B$8,2,1)</f>
        <v>2.150537634408602</v>
      </c>
      <c r="M42" s="145">
        <f t="shared" si="22"/>
        <v>129</v>
      </c>
      <c r="N42" s="173">
        <f t="shared" si="1"/>
        <v>129</v>
      </c>
      <c r="O42" s="134">
        <f>VLOOKUP($A42,'Выгр Кат'!$A:$S,O$1,0)</f>
        <v>35</v>
      </c>
      <c r="P42" s="134">
        <f>VLOOKUP($A42,'Выгр Кат'!$A:$S,P$1,0)</f>
        <v>129</v>
      </c>
      <c r="Q42" s="107">
        <f t="shared" si="2"/>
        <v>0</v>
      </c>
      <c r="R42" s="107">
        <f t="shared" si="3"/>
        <v>0</v>
      </c>
      <c r="S42" s="110">
        <f t="shared" si="4"/>
        <v>119.97</v>
      </c>
      <c r="T42" s="135">
        <f t="shared" si="5"/>
        <v>2.4277142857142855</v>
      </c>
      <c r="U42" s="135">
        <f t="shared" si="6"/>
        <v>7.0000000000000007E-2</v>
      </c>
      <c r="V42" s="135">
        <f t="shared" si="7"/>
        <v>2.6857142857142855</v>
      </c>
      <c r="W42" s="117">
        <f t="shared" si="23"/>
        <v>129</v>
      </c>
      <c r="X42" s="114">
        <f>IFERROR((VLOOKUP($A42,'ИЗ ГУГЛА'!$B:$G,X$1,0)+Z42)*Y42,VLOOKUP($A42,'ИЗ ГУГЛА'!$B:$G,X$1,0))</f>
        <v>129</v>
      </c>
      <c r="Y42" s="108">
        <v>1</v>
      </c>
      <c r="Z42" s="46"/>
      <c r="AA42" s="136">
        <v>129</v>
      </c>
      <c r="AB42" s="124" t="s">
        <v>2586</v>
      </c>
      <c r="AC42" s="114" t="str">
        <f>IFERROR((VLOOKUP($A42,'ИЗ ГУГЛА'!$B:$Z,AC$1,0)+AE42)*AD42,VLOOKUP($A42,'ИЗ ГУГЛА'!$B:$Z,AC$1,0))</f>
        <v/>
      </c>
      <c r="AD42" s="108">
        <v>1</v>
      </c>
      <c r="AE42" s="46"/>
      <c r="AF42" s="115"/>
    </row>
    <row r="43" spans="1:33" s="5" customFormat="1" ht="31.5" thickTop="1" thickBot="1" x14ac:dyDescent="0.3">
      <c r="A43" s="132">
        <v>194572</v>
      </c>
      <c r="B43" s="132">
        <f>VLOOKUP($A43,'Выгр Кат'!$A:$S,B$1,0)</f>
        <v>35402</v>
      </c>
      <c r="C43" s="133" t="str">
        <f>VLOOKUP($A43,'Выгр Кат'!$A:$S,C$1,0)</f>
        <v>Подушка "БРТ" стабилизатора для Лада Нива 4х4</v>
      </c>
      <c r="D43" s="132" t="str">
        <f>VLOOKUP($A43,'Выгр Кат'!$A:$S,D$1,0)</f>
        <v>Y</v>
      </c>
      <c r="E43" s="132" t="str">
        <f>VLOOKUP($A43,'Выгр Кат'!$A:$S,E$1,0)</f>
        <v>1</v>
      </c>
      <c r="F43" s="132" t="str">
        <f>VLOOKUP($A43,'Выгр Кат'!$A:$S,F$1,0)</f>
        <v>2121-2906040</v>
      </c>
      <c r="G43" s="44" t="s">
        <v>447</v>
      </c>
      <c r="H43" s="29"/>
      <c r="I43" s="4" t="s">
        <v>2</v>
      </c>
      <c r="J43" s="95">
        <v>1</v>
      </c>
      <c r="K43" s="168">
        <f t="shared" si="8"/>
        <v>36</v>
      </c>
      <c r="L43" s="167">
        <f>VLOOKUP(K43,Наценка!$A$1:$B$8,2,1)</f>
        <v>2.150537634408602</v>
      </c>
      <c r="M43" s="145">
        <f t="shared" si="22"/>
        <v>129</v>
      </c>
      <c r="N43" s="173">
        <f t="shared" si="1"/>
        <v>129</v>
      </c>
      <c r="O43" s="134">
        <f>VLOOKUP($A43,'Выгр Кат'!$A:$S,O$1,0)</f>
        <v>36</v>
      </c>
      <c r="P43" s="134">
        <f>VLOOKUP($A43,'Выгр Кат'!$A:$S,P$1,0)</f>
        <v>129</v>
      </c>
      <c r="Q43" s="107">
        <f t="shared" si="2"/>
        <v>0</v>
      </c>
      <c r="R43" s="107">
        <f t="shared" si="3"/>
        <v>0</v>
      </c>
      <c r="S43" s="110">
        <f t="shared" si="4"/>
        <v>119.97</v>
      </c>
      <c r="T43" s="135">
        <f t="shared" si="5"/>
        <v>2.3325</v>
      </c>
      <c r="U43" s="135">
        <f t="shared" si="6"/>
        <v>7.0000000000000007E-2</v>
      </c>
      <c r="V43" s="135">
        <f t="shared" si="7"/>
        <v>2.5833333333333335</v>
      </c>
      <c r="W43" s="117">
        <f t="shared" si="23"/>
        <v>129</v>
      </c>
      <c r="X43" s="114">
        <f>IFERROR((VLOOKUP($A43,'ИЗ ГУГЛА'!$B:$G,X$1,0)+Z43)*Y43,VLOOKUP($A43,'ИЗ ГУГЛА'!$B:$G,X$1,0))</f>
        <v>129</v>
      </c>
      <c r="Y43" s="108">
        <v>1</v>
      </c>
      <c r="Z43" s="46"/>
      <c r="AA43" s="136">
        <v>129</v>
      </c>
      <c r="AB43" s="124" t="s">
        <v>2553</v>
      </c>
      <c r="AC43" s="114" t="str">
        <f>IFERROR((VLOOKUP($A43,'ИЗ ГУГЛА'!$B:$Z,AC$1,0)+AE43)*AD43,VLOOKUP($A43,'ИЗ ГУГЛА'!$B:$Z,AC$1,0))</f>
        <v/>
      </c>
      <c r="AD43" s="108">
        <v>1</v>
      </c>
      <c r="AE43" s="46"/>
      <c r="AF43" s="115"/>
    </row>
    <row r="44" spans="1:33" s="5" customFormat="1" ht="45.75" thickTop="1" x14ac:dyDescent="0.25">
      <c r="A44" s="132">
        <v>194874</v>
      </c>
      <c r="B44" s="132">
        <f>VLOOKUP($A44,'Выгр Кат'!$A:$S,B$1,0)</f>
        <v>20322</v>
      </c>
      <c r="C44" s="133" t="str">
        <f>VLOOKUP($A44,'Выгр Кат'!$A:$S,C$1,0)</f>
        <v>Подушка штанги стабилизатора передней подвески "БРТ" Лада Калина, Приора</v>
      </c>
      <c r="D44" s="132" t="str">
        <f>VLOOKUP($A44,'Выгр Кат'!$A:$S,D$1,0)</f>
        <v>Y</v>
      </c>
      <c r="E44" s="132" t="str">
        <f>VLOOKUP($A44,'Выгр Кат'!$A:$S,E$1,0)</f>
        <v>1</v>
      </c>
      <c r="F44" s="132" t="str">
        <f>VLOOKUP($A44,'Выгр Кат'!$A:$S,F$1,0)</f>
        <v>21900290604000</v>
      </c>
      <c r="G44" s="45" t="s">
        <v>535</v>
      </c>
      <c r="H44" s="29"/>
      <c r="I44" s="4" t="s">
        <v>2</v>
      </c>
      <c r="J44" s="95">
        <v>1</v>
      </c>
      <c r="K44" s="168">
        <f t="shared" si="8"/>
        <v>37</v>
      </c>
      <c r="L44" s="167">
        <f>VLOOKUP(K44,Наценка!$A$1:$B$8,2,1)</f>
        <v>2.150537634408602</v>
      </c>
      <c r="M44" s="145">
        <f t="shared" si="22"/>
        <v>80</v>
      </c>
      <c r="N44" s="173">
        <f t="shared" si="1"/>
        <v>79</v>
      </c>
      <c r="O44" s="134">
        <f>VLOOKUP($A44,'Выгр Кат'!$A:$S,O$1,0)</f>
        <v>37</v>
      </c>
      <c r="P44" s="134">
        <f>VLOOKUP($A44,'Выгр Кат'!$A:$S,P$1,0)</f>
        <v>79</v>
      </c>
      <c r="Q44" s="107">
        <f t="shared" si="2"/>
        <v>0</v>
      </c>
      <c r="R44" s="107">
        <f t="shared" si="3"/>
        <v>0</v>
      </c>
      <c r="S44" s="110">
        <f t="shared" si="4"/>
        <v>73.47</v>
      </c>
      <c r="T44" s="135">
        <f t="shared" si="5"/>
        <v>0.98567567567567571</v>
      </c>
      <c r="U44" s="135">
        <f t="shared" si="6"/>
        <v>8.1625000000000017E-2</v>
      </c>
      <c r="V44" s="135">
        <f t="shared" si="7"/>
        <v>1.1621621621621623</v>
      </c>
      <c r="W44" s="118">
        <f t="shared" ref="W44" si="24">AF44</f>
        <v>80</v>
      </c>
      <c r="X44" s="114">
        <f>IFERROR((VLOOKUP($A44,'ИЗ ГУГЛА'!$B:$G,X$1,0)+Z44)*Y44,VLOOKUP($A44,'ИЗ ГУГЛА'!$B:$G,X$1,0))</f>
        <v>129</v>
      </c>
      <c r="Y44" s="108">
        <v>1</v>
      </c>
      <c r="Z44" s="46"/>
      <c r="AA44" s="139">
        <v>129</v>
      </c>
      <c r="AB44" s="124" t="s">
        <v>2774</v>
      </c>
      <c r="AC44" s="114">
        <f>IFERROR((VLOOKUP($A44,'ИЗ ГУГЛА'!$B:$Z,AC$1,0)+AE44)*AD44,VLOOKUP($A44,'ИЗ ГУГЛА'!$B:$Z,AC$1,0))</f>
        <v>80</v>
      </c>
      <c r="AD44" s="108">
        <v>1</v>
      </c>
      <c r="AE44" s="46"/>
      <c r="AF44" s="115">
        <v>80</v>
      </c>
      <c r="AG44" s="5" t="s">
        <v>2773</v>
      </c>
    </row>
    <row r="45" spans="1:33" s="5" customFormat="1" ht="30" x14ac:dyDescent="0.25">
      <c r="A45" s="132">
        <v>141790</v>
      </c>
      <c r="B45" s="132">
        <f>VLOOKUP($A45,'Выгр Кат'!$A:$S,B$1,0)</f>
        <v>20416</v>
      </c>
      <c r="C45" s="133" t="str">
        <f>VLOOKUP($A45,'Выгр Кат'!$A:$S,C$1,0)</f>
        <v>Гофра "БРТ" проводки двери (S-образная, тонкая) для ВАЗ 2110-2112</v>
      </c>
      <c r="D45" s="132" t="str">
        <f>VLOOKUP($A45,'Выгр Кат'!$A:$S,D$1,0)</f>
        <v>Y</v>
      </c>
      <c r="E45" s="132" t="str">
        <f>VLOOKUP($A45,'Выгр Кат'!$A:$S,E$1,0)</f>
        <v>1</v>
      </c>
      <c r="F45" s="132">
        <f>VLOOKUP($A45,'Выгр Кат'!$A:$S,F$1,0)</f>
        <v>0</v>
      </c>
      <c r="G45" s="45" t="s">
        <v>1821</v>
      </c>
      <c r="H45" s="29" t="s">
        <v>1821</v>
      </c>
      <c r="I45" s="4" t="s">
        <v>2</v>
      </c>
      <c r="J45" s="95">
        <v>1</v>
      </c>
      <c r="K45" s="168">
        <f t="shared" si="8"/>
        <v>35</v>
      </c>
      <c r="L45" s="167">
        <f>VLOOKUP(K45,Наценка!$A$1:$B$8,2,1)</f>
        <v>2.150537634408602</v>
      </c>
      <c r="M45" s="172">
        <f t="shared" si="9"/>
        <v>75.268817204301072</v>
      </c>
      <c r="N45" s="173">
        <f t="shared" si="1"/>
        <v>79</v>
      </c>
      <c r="O45" s="134">
        <f>VLOOKUP($A45,'Выгр Кат'!$A:$S,O$1,0)</f>
        <v>35</v>
      </c>
      <c r="P45" s="134">
        <f>VLOOKUP($A45,'Выгр Кат'!$A:$S,P$1,0)</f>
        <v>79</v>
      </c>
      <c r="Q45" s="107">
        <f t="shared" si="2"/>
        <v>0</v>
      </c>
      <c r="R45" s="107">
        <f t="shared" si="3"/>
        <v>0</v>
      </c>
      <c r="S45" s="110">
        <f t="shared" si="4"/>
        <v>73.47</v>
      </c>
      <c r="T45" s="135">
        <f t="shared" si="5"/>
        <v>1.0991428571428572</v>
      </c>
      <c r="U45" s="135" t="str">
        <f t="shared" si="6"/>
        <v/>
      </c>
      <c r="V45" s="135" t="str">
        <f t="shared" si="7"/>
        <v/>
      </c>
      <c r="W45" s="45"/>
      <c r="X45" s="114" t="str">
        <f>IFERROR((VLOOKUP($A45,'ИЗ ГУГЛА'!$B:$G,X$1,0)+Z45)*Y45,VLOOKUP($A45,'ИЗ ГУГЛА'!$B:$G,X$1,0))</f>
        <v/>
      </c>
      <c r="Y45" s="108">
        <v>1</v>
      </c>
      <c r="Z45" s="46"/>
      <c r="AA45" s="45" t="s">
        <v>1821</v>
      </c>
      <c r="AB45" s="124"/>
      <c r="AC45" s="114" t="str">
        <f>IFERROR((VLOOKUP($A45,'ИЗ ГУГЛА'!$B:$Z,AC$1,0)+AE45)*AD45,VLOOKUP($A45,'ИЗ ГУГЛА'!$B:$Z,AC$1,0))</f>
        <v/>
      </c>
      <c r="AD45" s="108">
        <v>1</v>
      </c>
      <c r="AE45" s="46"/>
      <c r="AF45" s="115"/>
    </row>
    <row r="46" spans="1:33" s="5" customFormat="1" ht="45.75" thickBot="1" x14ac:dyDescent="0.3">
      <c r="A46" s="132">
        <v>213373</v>
      </c>
      <c r="B46" s="132">
        <f>VLOOKUP($A46,'Выгр Кат'!$A:$S,B$1,0)</f>
        <v>36965</v>
      </c>
      <c r="C46" s="133" t="str">
        <f>VLOOKUP($A46,'Выгр Кат'!$A:$S,C$1,0)</f>
        <v>Сальник первичного вала КПП "БРТ" для ВАЗ 2108-21099, 2113-2115, 2110-2112</v>
      </c>
      <c r="D46" s="132" t="str">
        <f>VLOOKUP($A46,'Выгр Кат'!$A:$S,D$1,0)</f>
        <v>Y</v>
      </c>
      <c r="E46" s="132" t="str">
        <f>VLOOKUP($A46,'Выгр Кат'!$A:$S,E$1,0)</f>
        <v>1</v>
      </c>
      <c r="F46" s="132" t="str">
        <f>VLOOKUP($A46,'Выгр Кат'!$A:$S,F$1,0)</f>
        <v>2108-1701043</v>
      </c>
      <c r="G46" s="44" t="s">
        <v>337</v>
      </c>
      <c r="H46" s="29"/>
      <c r="I46" s="7" t="s">
        <v>2</v>
      </c>
      <c r="J46" s="95">
        <v>1</v>
      </c>
      <c r="K46" s="168">
        <f t="shared" si="8"/>
        <v>50</v>
      </c>
      <c r="L46" s="167">
        <f>VLOOKUP(K46,Наценка!$A$1:$B$8,2,1)</f>
        <v>2.150537634408602</v>
      </c>
      <c r="M46" s="145">
        <f t="shared" ref="M46:M47" si="25">W46*1</f>
        <v>129</v>
      </c>
      <c r="N46" s="173">
        <f t="shared" si="1"/>
        <v>129</v>
      </c>
      <c r="O46" s="134">
        <f>VLOOKUP($A46,'Выгр Кат'!$A:$S,O$1,0)</f>
        <v>50</v>
      </c>
      <c r="P46" s="134">
        <f>VLOOKUP($A46,'Выгр Кат'!$A:$S,P$1,0)</f>
        <v>129</v>
      </c>
      <c r="Q46" s="107">
        <f t="shared" si="2"/>
        <v>0</v>
      </c>
      <c r="R46" s="107">
        <f t="shared" si="3"/>
        <v>0</v>
      </c>
      <c r="S46" s="110">
        <f t="shared" si="4"/>
        <v>119.97</v>
      </c>
      <c r="T46" s="135">
        <f t="shared" si="5"/>
        <v>1.3994</v>
      </c>
      <c r="U46" s="135">
        <f t="shared" si="6"/>
        <v>7.0000000000000007E-2</v>
      </c>
      <c r="V46" s="135">
        <f t="shared" si="7"/>
        <v>1.58</v>
      </c>
      <c r="W46" s="117">
        <f t="shared" ref="W46:W48" si="26">AA46</f>
        <v>129</v>
      </c>
      <c r="X46" s="114">
        <f>IFERROR((VLOOKUP($A46,'ИЗ ГУГЛА'!$B:$G,X$1,0)+Z46)*Y46,VLOOKUP($A46,'ИЗ ГУГЛА'!$B:$G,X$1,0))</f>
        <v>129</v>
      </c>
      <c r="Y46" s="46">
        <v>1</v>
      </c>
      <c r="Z46" s="46"/>
      <c r="AA46" s="138">
        <v>129</v>
      </c>
      <c r="AB46" s="124" t="s">
        <v>2345</v>
      </c>
      <c r="AC46" s="114" t="str">
        <f>IFERROR((VLOOKUP($A46,'ИЗ ГУГЛА'!$B:$Z,AC$1,0)+AE46)*AD46,VLOOKUP($A46,'ИЗ ГУГЛА'!$B:$Z,AC$1,0))</f>
        <v/>
      </c>
      <c r="AD46" s="46">
        <v>1</v>
      </c>
      <c r="AE46" s="46"/>
      <c r="AF46" s="115"/>
    </row>
    <row r="47" spans="1:33" s="5" customFormat="1" ht="45.75" thickTop="1" x14ac:dyDescent="0.25">
      <c r="A47" s="132">
        <v>202084</v>
      </c>
      <c r="B47" s="132">
        <f>VLOOKUP($A47,'Выгр Кат'!$A:$S,B$1,0)</f>
        <v>35258</v>
      </c>
      <c r="C47" s="133" t="str">
        <f>VLOOKUP($A47,'Выгр Кат'!$A:$S,C$1,0)</f>
        <v>Пыльник "БРТ" рулевого наконечника для ВАЗ 2108-21099, 2110-2112, 2113-2115, Лада Калина, Гранта, Приора</v>
      </c>
      <c r="D47" s="132" t="str">
        <f>VLOOKUP($A47,'Выгр Кат'!$A:$S,D$1,0)</f>
        <v>Y</v>
      </c>
      <c r="E47" s="132" t="str">
        <f>VLOOKUP($A47,'Выгр Кат'!$A:$S,E$1,0)</f>
        <v>1</v>
      </c>
      <c r="F47" s="132" t="str">
        <f>VLOOKUP($A47,'Выгр Кат'!$A:$S,F$1,0)</f>
        <v>2108-3414077</v>
      </c>
      <c r="G47" s="44" t="s">
        <v>354</v>
      </c>
      <c r="H47" s="29"/>
      <c r="I47" s="4" t="s">
        <v>2</v>
      </c>
      <c r="J47" s="95">
        <v>1</v>
      </c>
      <c r="K47" s="168">
        <f t="shared" si="8"/>
        <v>38</v>
      </c>
      <c r="L47" s="167">
        <f>VLOOKUP(K47,Наценка!$A$1:$B$8,2,1)</f>
        <v>2.150537634408602</v>
      </c>
      <c r="M47" s="145">
        <f t="shared" si="25"/>
        <v>89</v>
      </c>
      <c r="N47" s="173">
        <f t="shared" si="1"/>
        <v>89</v>
      </c>
      <c r="O47" s="134">
        <f>VLOOKUP($A47,'Выгр Кат'!$A:$S,O$1,0)</f>
        <v>38</v>
      </c>
      <c r="P47" s="134">
        <f>VLOOKUP($A47,'Выгр Кат'!$A:$S,P$1,0)</f>
        <v>89</v>
      </c>
      <c r="Q47" s="107">
        <f t="shared" si="2"/>
        <v>0</v>
      </c>
      <c r="R47" s="107">
        <f t="shared" si="3"/>
        <v>0</v>
      </c>
      <c r="S47" s="110">
        <f t="shared" si="4"/>
        <v>82.77</v>
      </c>
      <c r="T47" s="135">
        <f t="shared" si="5"/>
        <v>1.1781578947368421</v>
      </c>
      <c r="U47" s="135">
        <f t="shared" si="6"/>
        <v>7.0000000000000048E-2</v>
      </c>
      <c r="V47" s="135">
        <f t="shared" si="7"/>
        <v>1.3421052631578947</v>
      </c>
      <c r="W47" s="117">
        <f t="shared" si="26"/>
        <v>89</v>
      </c>
      <c r="X47" s="114">
        <f>IFERROR((VLOOKUP($A47,'ИЗ ГУГЛА'!$B:$G,X$1,0)+Z47)*Y47,VLOOKUP($A47,'ИЗ ГУГЛА'!$B:$G,X$1,0))</f>
        <v>89</v>
      </c>
      <c r="Y47" s="108">
        <v>1</v>
      </c>
      <c r="Z47" s="46"/>
      <c r="AA47" s="139">
        <v>89</v>
      </c>
      <c r="AB47" s="124" t="s">
        <v>2776</v>
      </c>
      <c r="AC47" s="114" t="str">
        <f>IFERROR((VLOOKUP($A47,'ИЗ ГУГЛА'!$B:$Z,AC$1,0)+AE47)*AD47,VLOOKUP($A47,'ИЗ ГУГЛА'!$B:$Z,AC$1,0))</f>
        <v/>
      </c>
      <c r="AD47" s="108">
        <v>1</v>
      </c>
      <c r="AE47" s="46"/>
      <c r="AF47" s="115"/>
    </row>
    <row r="48" spans="1:33" s="5" customFormat="1" ht="30" x14ac:dyDescent="0.25">
      <c r="A48" s="132">
        <v>194575</v>
      </c>
      <c r="B48" s="132">
        <f>VLOOKUP($A48,'Выгр Кат'!$A:$S,B$1,0)</f>
        <v>35480</v>
      </c>
      <c r="C48" s="133" t="str">
        <f>VLOOKUP($A48,'Выгр Кат'!$A:$S,C$1,0)</f>
        <v>Подушка "БРТ" штанги переднего стабилизатора для Лада Калина</v>
      </c>
      <c r="D48" s="132" t="str">
        <f>VLOOKUP($A48,'Выгр Кат'!$A:$S,D$1,0)</f>
        <v>Y</v>
      </c>
      <c r="E48" s="132" t="str">
        <f>VLOOKUP($A48,'Выгр Кат'!$A:$S,E$1,0)</f>
        <v>1</v>
      </c>
      <c r="F48" s="132" t="str">
        <f>VLOOKUP($A48,'Выгр Кат'!$A:$S,F$1,0)</f>
        <v>1118-2906040Р</v>
      </c>
      <c r="G48" s="44" t="s">
        <v>228</v>
      </c>
      <c r="H48" s="29"/>
      <c r="I48" s="4" t="s">
        <v>2</v>
      </c>
      <c r="J48" s="95">
        <v>1</v>
      </c>
      <c r="K48" s="168">
        <f t="shared" si="8"/>
        <v>38</v>
      </c>
      <c r="L48" s="167">
        <f>VLOOKUP(K48,Наценка!$A$1:$B$8,2,1)</f>
        <v>2.150537634408602</v>
      </c>
      <c r="M48" s="149">
        <f t="shared" ref="M46:M48" si="27">W48*1.07</f>
        <v>159.43</v>
      </c>
      <c r="N48" s="173">
        <f t="shared" si="1"/>
        <v>159</v>
      </c>
      <c r="O48" s="134">
        <f>VLOOKUP($A48,'Выгр Кат'!$A:$S,O$1,0)</f>
        <v>38</v>
      </c>
      <c r="P48" s="134">
        <f>VLOOKUP($A48,'Выгр Кат'!$A:$S,P$1,0)</f>
        <v>89</v>
      </c>
      <c r="Q48" s="107">
        <f t="shared" si="2"/>
        <v>0</v>
      </c>
      <c r="R48" s="107">
        <f t="shared" si="3"/>
        <v>-70</v>
      </c>
      <c r="S48" s="110">
        <f t="shared" si="4"/>
        <v>147.86999999999998</v>
      </c>
      <c r="T48" s="135">
        <f t="shared" si="5"/>
        <v>2.8913157894736834</v>
      </c>
      <c r="U48" s="135">
        <f t="shared" si="6"/>
        <v>7.5838926174498248E-3</v>
      </c>
      <c r="V48" s="135">
        <f t="shared" si="7"/>
        <v>2.9210526315789473</v>
      </c>
      <c r="W48" s="117">
        <f t="shared" si="26"/>
        <v>149</v>
      </c>
      <c r="X48" s="114">
        <f>IFERROR((VLOOKUP($A48,'ИЗ ГУГЛА'!$B:$G,X$1,0)+Z48)*Y48,VLOOKUP($A48,'ИЗ ГУГЛА'!$B:$G,X$1,0))</f>
        <v>149</v>
      </c>
      <c r="Y48" s="108">
        <v>1</v>
      </c>
      <c r="Z48" s="46"/>
      <c r="AA48" s="139">
        <v>149</v>
      </c>
      <c r="AB48" s="124" t="s">
        <v>2772</v>
      </c>
      <c r="AC48" s="114" t="str">
        <f>IFERROR((VLOOKUP($A48,'ИЗ ГУГЛА'!$B:$Z,AC$1,0)+AE48)*AD48,VLOOKUP($A48,'ИЗ ГУГЛА'!$B:$Z,AC$1,0))</f>
        <v/>
      </c>
      <c r="AD48" s="108">
        <v>1</v>
      </c>
      <c r="AE48" s="46"/>
      <c r="AF48" s="115"/>
    </row>
    <row r="49" spans="1:33" s="5" customFormat="1" ht="30" x14ac:dyDescent="0.25">
      <c r="A49" s="132">
        <v>194873</v>
      </c>
      <c r="B49" s="132">
        <f>VLOOKUP($A49,'Выгр Кат'!$A:$S,B$1,0)</f>
        <v>36956</v>
      </c>
      <c r="C49" s="133" t="str">
        <f>VLOOKUP($A49,'Выгр Кат'!$A:$S,C$1,0)</f>
        <v>Подушка стабилизатора "БРТ" для Лада Калина 2, Гранта</v>
      </c>
      <c r="D49" s="132" t="str">
        <f>VLOOKUP($A49,'Выгр Кат'!$A:$S,D$1,0)</f>
        <v>Y</v>
      </c>
      <c r="E49" s="132" t="str">
        <f>VLOOKUP($A49,'Выгр Кат'!$A:$S,E$1,0)</f>
        <v>1</v>
      </c>
      <c r="F49" s="132" t="str">
        <f>VLOOKUP($A49,'Выгр Кат'!$A:$S,F$1,0)</f>
        <v>2192-2906040себ</v>
      </c>
      <c r="G49" s="44" t="s">
        <v>1419</v>
      </c>
      <c r="H49" s="29"/>
      <c r="I49" s="7" t="s">
        <v>2</v>
      </c>
      <c r="J49" s="95">
        <v>1</v>
      </c>
      <c r="K49" s="168">
        <f t="shared" si="8"/>
        <v>34</v>
      </c>
      <c r="L49" s="167">
        <f>VLOOKUP(K49,Наценка!$A$1:$B$8,2,1)</f>
        <v>2.150537634408602</v>
      </c>
      <c r="M49" s="172">
        <f t="shared" si="9"/>
        <v>73.118279569892465</v>
      </c>
      <c r="N49" s="173">
        <f t="shared" si="1"/>
        <v>79</v>
      </c>
      <c r="O49" s="134">
        <f>VLOOKUP($A49,'Выгр Кат'!$A:$S,O$1,0)</f>
        <v>34</v>
      </c>
      <c r="P49" s="134">
        <f>VLOOKUP($A49,'Выгр Кат'!$A:$S,P$1,0)</f>
        <v>79</v>
      </c>
      <c r="Q49" s="107">
        <f t="shared" si="2"/>
        <v>0</v>
      </c>
      <c r="R49" s="107">
        <f t="shared" si="3"/>
        <v>0</v>
      </c>
      <c r="S49" s="110">
        <f t="shared" si="4"/>
        <v>73.47</v>
      </c>
      <c r="T49" s="135">
        <f t="shared" si="5"/>
        <v>1.1608823529411763</v>
      </c>
      <c r="U49" s="135" t="str">
        <f t="shared" si="6"/>
        <v/>
      </c>
      <c r="V49" s="135" t="str">
        <f t="shared" si="7"/>
        <v/>
      </c>
      <c r="W49" s="45"/>
      <c r="X49" s="114">
        <f>IFERROR((VLOOKUP($A49,'ИЗ ГУГЛА'!$B:$G,X$1,0)+Z49)*Y49,VLOOKUP($A49,'ИЗ ГУГЛА'!$B:$G,X$1,0))</f>
        <v>129</v>
      </c>
      <c r="Y49" s="108">
        <v>1</v>
      </c>
      <c r="Z49" s="46"/>
      <c r="AA49" s="139" t="s">
        <v>2777</v>
      </c>
      <c r="AB49" s="124" t="s">
        <v>2774</v>
      </c>
      <c r="AC49" s="114" t="str">
        <f>IFERROR((VLOOKUP($A49,'ИЗ ГУГЛА'!$B:$Z,AC$1,0)+AE49)*AD49,VLOOKUP($A49,'ИЗ ГУГЛА'!$B:$Z,AC$1,0))</f>
        <v/>
      </c>
      <c r="AD49" s="108">
        <v>1</v>
      </c>
      <c r="AE49" s="46"/>
      <c r="AF49" s="115"/>
    </row>
    <row r="50" spans="1:33" s="5" customFormat="1" ht="30" x14ac:dyDescent="0.25">
      <c r="A50" s="132">
        <v>141795</v>
      </c>
      <c r="B50" s="132">
        <f>VLOOKUP($A50,'Выгр Кат'!$A:$S,B$1,0)</f>
        <v>20403</v>
      </c>
      <c r="C50" s="133" t="str">
        <f>VLOOKUP($A50,'Выгр Кат'!$A:$S,C$1,0)</f>
        <v>Гофра "БРТ" проводки двери универсальная (толстая)</v>
      </c>
      <c r="D50" s="132" t="str">
        <f>VLOOKUP($A50,'Выгр Кат'!$A:$S,D$1,0)</f>
        <v>Y</v>
      </c>
      <c r="E50" s="132" t="str">
        <f>VLOOKUP($A50,'Выгр Кат'!$A:$S,E$1,0)</f>
        <v>1</v>
      </c>
      <c r="F50" s="132">
        <f>VLOOKUP($A50,'Выгр Кат'!$A:$S,F$1,0)</f>
        <v>0</v>
      </c>
      <c r="G50" s="45" t="s">
        <v>1821</v>
      </c>
      <c r="H50" s="29" t="s">
        <v>1821</v>
      </c>
      <c r="I50" s="4" t="s">
        <v>2</v>
      </c>
      <c r="J50" s="95">
        <v>1</v>
      </c>
      <c r="K50" s="168">
        <f t="shared" si="8"/>
        <v>35</v>
      </c>
      <c r="L50" s="167">
        <f>VLOOKUP(K50,Наценка!$A$1:$B$8,2,1)</f>
        <v>2.150537634408602</v>
      </c>
      <c r="M50" s="172">
        <f t="shared" si="9"/>
        <v>75.268817204301072</v>
      </c>
      <c r="N50" s="173">
        <f t="shared" si="1"/>
        <v>79</v>
      </c>
      <c r="O50" s="134">
        <f>VLOOKUP($A50,'Выгр Кат'!$A:$S,O$1,0)</f>
        <v>35</v>
      </c>
      <c r="P50" s="134">
        <f>VLOOKUP($A50,'Выгр Кат'!$A:$S,P$1,0)</f>
        <v>79</v>
      </c>
      <c r="Q50" s="107">
        <f t="shared" si="2"/>
        <v>0</v>
      </c>
      <c r="R50" s="107">
        <f t="shared" si="3"/>
        <v>0</v>
      </c>
      <c r="S50" s="110">
        <f t="shared" si="4"/>
        <v>73.47</v>
      </c>
      <c r="T50" s="135">
        <f t="shared" si="5"/>
        <v>1.0991428571428572</v>
      </c>
      <c r="U50" s="135" t="str">
        <f t="shared" si="6"/>
        <v/>
      </c>
      <c r="V50" s="135" t="str">
        <f t="shared" si="7"/>
        <v/>
      </c>
      <c r="W50" s="45"/>
      <c r="X50" s="114" t="str">
        <f>IFERROR((VLOOKUP($A50,'ИЗ ГУГЛА'!$B:$G,X$1,0)+Z50)*Y50,VLOOKUP($A50,'ИЗ ГУГЛА'!$B:$G,X$1,0))</f>
        <v/>
      </c>
      <c r="Y50" s="108">
        <v>1</v>
      </c>
      <c r="Z50" s="46"/>
      <c r="AA50" s="45" t="s">
        <v>1821</v>
      </c>
      <c r="AB50" s="124"/>
      <c r="AC50" s="114" t="str">
        <f>IFERROR((VLOOKUP($A50,'ИЗ ГУГЛА'!$B:$Z,AC$1,0)+AE50)*AD50,VLOOKUP($A50,'ИЗ ГУГЛА'!$B:$Z,AC$1,0))</f>
        <v/>
      </c>
      <c r="AD50" s="108">
        <v>1</v>
      </c>
      <c r="AE50" s="46"/>
      <c r="AF50" s="115"/>
    </row>
    <row r="51" spans="1:33" s="5" customFormat="1" ht="60" x14ac:dyDescent="0.25">
      <c r="A51" s="132">
        <v>141808</v>
      </c>
      <c r="B51" s="132">
        <f>VLOOKUP($A51,'Выгр Кат'!$A:$S,B$1,0)</f>
        <v>20397</v>
      </c>
      <c r="C51" s="133" t="str">
        <f>VLOOKUP($A51,'Выгр Кат'!$A:$S,C$1,0)</f>
        <v>Гофра проводки короткая (задней двери) "БРТ" для Лада (Калина, Калина 2, Гранта), Датсун (mi-DO, on-DO)</v>
      </c>
      <c r="D51" s="132" t="str">
        <f>VLOOKUP($A51,'Выгр Кат'!$A:$S,D$1,0)</f>
        <v>Y</v>
      </c>
      <c r="E51" s="132" t="str">
        <f>VLOOKUP($A51,'Выгр Кат'!$A:$S,E$1,0)</f>
        <v>1</v>
      </c>
      <c r="F51" s="132" t="str">
        <f>VLOOKUP($A51,'Выгр Кат'!$A:$S,F$1,0)</f>
        <v>21103-3724196Р</v>
      </c>
      <c r="G51" s="45" t="s">
        <v>1821</v>
      </c>
      <c r="H51" s="29" t="s">
        <v>1821</v>
      </c>
      <c r="I51" s="4" t="s">
        <v>2</v>
      </c>
      <c r="J51" s="95">
        <v>1</v>
      </c>
      <c r="K51" s="168">
        <f t="shared" si="8"/>
        <v>35</v>
      </c>
      <c r="L51" s="167">
        <f>VLOOKUP(K51,Наценка!$A$1:$B$8,2,1)</f>
        <v>2.150537634408602</v>
      </c>
      <c r="M51" s="149">
        <f>W51*1.07</f>
        <v>159.43</v>
      </c>
      <c r="N51" s="173">
        <f t="shared" si="1"/>
        <v>159</v>
      </c>
      <c r="O51" s="134">
        <f>VLOOKUP($A51,'Выгр Кат'!$A:$S,O$1,0)</f>
        <v>35</v>
      </c>
      <c r="P51" s="134">
        <f>VLOOKUP($A51,'Выгр Кат'!$A:$S,P$1,0)</f>
        <v>79</v>
      </c>
      <c r="Q51" s="107">
        <f t="shared" si="2"/>
        <v>0</v>
      </c>
      <c r="R51" s="107">
        <f t="shared" si="3"/>
        <v>-80</v>
      </c>
      <c r="S51" s="110">
        <f t="shared" si="4"/>
        <v>147.86999999999998</v>
      </c>
      <c r="T51" s="135">
        <f t="shared" si="5"/>
        <v>3.2248571428571422</v>
      </c>
      <c r="U51" s="135">
        <f t="shared" si="6"/>
        <v>7.5838926174498248E-3</v>
      </c>
      <c r="V51" s="135">
        <f t="shared" si="7"/>
        <v>3.2571428571428571</v>
      </c>
      <c r="W51" s="117">
        <f>AA51</f>
        <v>149</v>
      </c>
      <c r="X51" s="114">
        <f>IFERROR((VLOOKUP($A51,'ИЗ ГУГЛА'!$B:$G,X$1,0)+Z51)*Y51,VLOOKUP($A51,'ИЗ ГУГЛА'!$B:$G,X$1,0))</f>
        <v>149</v>
      </c>
      <c r="Y51" s="108">
        <v>1</v>
      </c>
      <c r="Z51" s="46"/>
      <c r="AA51" s="139">
        <v>149</v>
      </c>
      <c r="AB51" s="124" t="s">
        <v>2775</v>
      </c>
      <c r="AC51" s="114" t="str">
        <f>IFERROR((VLOOKUP($A51,'ИЗ ГУГЛА'!$B:$Z,AC$1,0)+AE51)*AD51,VLOOKUP($A51,'ИЗ ГУГЛА'!$B:$Z,AC$1,0))</f>
        <v/>
      </c>
      <c r="AD51" s="108">
        <v>1</v>
      </c>
      <c r="AE51" s="46"/>
      <c r="AF51" s="115"/>
    </row>
    <row r="52" spans="1:33" s="5" customFormat="1" ht="30" x14ac:dyDescent="0.25">
      <c r="A52" s="132">
        <v>202115</v>
      </c>
      <c r="B52" s="132">
        <f>VLOOKUP($A52,'Выгр Кат'!$A:$S,B$1,0)</f>
        <v>35457</v>
      </c>
      <c r="C52" s="133" t="str">
        <f>VLOOKUP($A52,'Выгр Кат'!$A:$S,C$1,0)</f>
        <v>Пыльник "БРТ" шаровой опоры для Шевроле Нива</v>
      </c>
      <c r="D52" s="132" t="str">
        <f>VLOOKUP($A52,'Выгр Кат'!$A:$S,D$1,0)</f>
        <v>Y</v>
      </c>
      <c r="E52" s="132" t="str">
        <f>VLOOKUP($A52,'Выгр Кат'!$A:$S,E$1,0)</f>
        <v>1</v>
      </c>
      <c r="F52" s="132" t="str">
        <f>VLOOKUP($A52,'Выгр Кат'!$A:$S,F$1,0)</f>
        <v>2123-2904070</v>
      </c>
      <c r="G52" s="44" t="s">
        <v>1164</v>
      </c>
      <c r="H52" s="29"/>
      <c r="I52" s="4" t="s">
        <v>2</v>
      </c>
      <c r="J52" s="95">
        <v>1</v>
      </c>
      <c r="K52" s="168">
        <f t="shared" si="8"/>
        <v>45</v>
      </c>
      <c r="L52" s="167">
        <f>VLOOKUP(K52,Наценка!$A$1:$B$8,2,1)</f>
        <v>2.150537634408602</v>
      </c>
      <c r="M52" s="172">
        <f t="shared" si="9"/>
        <v>96.774193548387089</v>
      </c>
      <c r="N52" s="173">
        <f t="shared" si="1"/>
        <v>99</v>
      </c>
      <c r="O52" s="134">
        <f>VLOOKUP($A52,'Выгр Кат'!$A:$S,O$1,0)</f>
        <v>45</v>
      </c>
      <c r="P52" s="134">
        <f>VLOOKUP($A52,'Выгр Кат'!$A:$S,P$1,0)</f>
        <v>99</v>
      </c>
      <c r="Q52" s="107">
        <f t="shared" si="2"/>
        <v>0</v>
      </c>
      <c r="R52" s="107">
        <f t="shared" si="3"/>
        <v>0</v>
      </c>
      <c r="S52" s="110">
        <f t="shared" si="4"/>
        <v>92.07</v>
      </c>
      <c r="T52" s="135">
        <f t="shared" si="5"/>
        <v>1.0459999999999998</v>
      </c>
      <c r="U52" s="135" t="str">
        <f t="shared" si="6"/>
        <v/>
      </c>
      <c r="V52" s="135" t="str">
        <f t="shared" si="7"/>
        <v/>
      </c>
      <c r="W52" s="45"/>
      <c r="X52" s="114" t="str">
        <f>IFERROR((VLOOKUP($A52,'ИЗ ГУГЛА'!$B:$G,X$1,0)+Z52)*Y52,VLOOKUP($A52,'ИЗ ГУГЛА'!$B:$G,X$1,0))</f>
        <v/>
      </c>
      <c r="Y52" s="108">
        <v>1</v>
      </c>
      <c r="Z52" s="46"/>
      <c r="AA52" s="45" t="s">
        <v>1821</v>
      </c>
      <c r="AB52" s="124"/>
      <c r="AC52" s="114" t="str">
        <f>IFERROR((VLOOKUP($A52,'ИЗ ГУГЛА'!$B:$Z,AC$1,0)+AE52)*AD52,VLOOKUP($A52,'ИЗ ГУГЛА'!$B:$Z,AC$1,0))</f>
        <v/>
      </c>
      <c r="AD52" s="108">
        <v>1</v>
      </c>
      <c r="AE52" s="46"/>
      <c r="AF52" s="115"/>
    </row>
    <row r="53" spans="1:33" s="5" customFormat="1" ht="45" x14ac:dyDescent="0.25">
      <c r="A53" s="132">
        <v>181647</v>
      </c>
      <c r="B53" s="132">
        <f>VLOOKUP($A53,'Выгр Кат'!$A:$S,B$1,0)</f>
        <v>19850</v>
      </c>
      <c r="C53" s="133" t="str">
        <f>VLOOKUP($A53,'Выгр Кат'!$A:$S,C$1,0)</f>
        <v>Опора задней пружины "БРТ" нижняя для Лада Ларгус, Renault Logan, Nissan Almera</v>
      </c>
      <c r="D53" s="132" t="str">
        <f>VLOOKUP($A53,'Выгр Кат'!$A:$S,D$1,0)</f>
        <v>Y</v>
      </c>
      <c r="E53" s="132" t="str">
        <f>VLOOKUP($A53,'Выгр Кат'!$A:$S,E$1,0)</f>
        <v>1</v>
      </c>
      <c r="F53" s="132" t="str">
        <f>VLOOKUP($A53,'Выгр Кат'!$A:$S,F$1,0)</f>
        <v>6001547494РИ</v>
      </c>
      <c r="G53" s="45" t="s">
        <v>577</v>
      </c>
      <c r="H53" s="29"/>
      <c r="I53" s="4" t="s">
        <v>2</v>
      </c>
      <c r="J53" s="95">
        <v>1</v>
      </c>
      <c r="K53" s="168">
        <f t="shared" si="8"/>
        <v>36</v>
      </c>
      <c r="L53" s="167">
        <f>VLOOKUP(K53,Наценка!$A$1:$B$8,2,1)</f>
        <v>2.150537634408602</v>
      </c>
      <c r="M53" s="148">
        <f t="shared" ref="M53:M55" si="28">W53*1.06</f>
        <v>168.54000000000002</v>
      </c>
      <c r="N53" s="173">
        <f t="shared" si="1"/>
        <v>169</v>
      </c>
      <c r="O53" s="134">
        <f>VLOOKUP($A53,'Выгр Кат'!$A:$S,O$1,0)</f>
        <v>36</v>
      </c>
      <c r="P53" s="134">
        <f>VLOOKUP($A53,'Выгр Кат'!$A:$S,P$1,0)</f>
        <v>79</v>
      </c>
      <c r="Q53" s="107">
        <f t="shared" si="2"/>
        <v>0</v>
      </c>
      <c r="R53" s="107">
        <f t="shared" si="3"/>
        <v>-90</v>
      </c>
      <c r="S53" s="110">
        <f t="shared" si="4"/>
        <v>157.16999999999999</v>
      </c>
      <c r="T53" s="135">
        <f t="shared" si="5"/>
        <v>3.3658333333333328</v>
      </c>
      <c r="U53" s="135">
        <f t="shared" si="6"/>
        <v>1.150943396226423E-2</v>
      </c>
      <c r="V53" s="135">
        <f t="shared" si="7"/>
        <v>3.416666666666667</v>
      </c>
      <c r="W53" s="117">
        <f t="shared" ref="W53:W55" si="29">AA53</f>
        <v>159</v>
      </c>
      <c r="X53" s="114">
        <f>IFERROR((VLOOKUP($A53,'ИЗ ГУГЛА'!$B:$G,X$1,0)+Z53)*Y53,VLOOKUP($A53,'ИЗ ГУГЛА'!$B:$G,X$1,0))</f>
        <v>159</v>
      </c>
      <c r="Y53" s="108">
        <v>1</v>
      </c>
      <c r="Z53" s="46"/>
      <c r="AA53" s="139">
        <v>159</v>
      </c>
      <c r="AB53" s="124" t="s">
        <v>2778</v>
      </c>
      <c r="AC53" s="114" t="str">
        <f>IFERROR((VLOOKUP($A53,'ИЗ ГУГЛА'!$B:$Z,AC$1,0)+AE53)*AD53,VLOOKUP($A53,'ИЗ ГУГЛА'!$B:$Z,AC$1,0))</f>
        <v/>
      </c>
      <c r="AD53" s="108">
        <v>1</v>
      </c>
      <c r="AE53" s="46"/>
      <c r="AF53" s="115"/>
    </row>
    <row r="54" spans="1:33" s="5" customFormat="1" ht="45" x14ac:dyDescent="0.25">
      <c r="A54" s="132">
        <v>194569</v>
      </c>
      <c r="B54" s="132">
        <f>VLOOKUP($A54,'Выгр Кат'!$A:$S,B$1,0)</f>
        <v>35405</v>
      </c>
      <c r="C54" s="133" t="str">
        <f>VLOOKUP($A54,'Выгр Кат'!$A:$S,C$1,0)</f>
        <v>Подушка "БРТ" переднего стабилизатора для ВАЗ 2110-2112, Лада Приора, Приора 2</v>
      </c>
      <c r="D54" s="132" t="str">
        <f>VLOOKUP($A54,'Выгр Кат'!$A:$S,D$1,0)</f>
        <v>Y</v>
      </c>
      <c r="E54" s="132" t="str">
        <f>VLOOKUP($A54,'Выгр Кат'!$A:$S,E$1,0)</f>
        <v>1</v>
      </c>
      <c r="F54" s="132" t="str">
        <f>VLOOKUP($A54,'Выгр Кат'!$A:$S,F$1,0)</f>
        <v>2110-2906040</v>
      </c>
      <c r="G54" s="44" t="s">
        <v>399</v>
      </c>
      <c r="H54" s="29"/>
      <c r="I54" s="4" t="s">
        <v>2</v>
      </c>
      <c r="J54" s="95">
        <v>1</v>
      </c>
      <c r="K54" s="168">
        <f t="shared" si="8"/>
        <v>41</v>
      </c>
      <c r="L54" s="167">
        <f>VLOOKUP(K54,Наценка!$A$1:$B$8,2,1)</f>
        <v>2.150537634408602</v>
      </c>
      <c r="M54" s="145">
        <f t="shared" ref="M54:M55" si="30">W54*1</f>
        <v>129</v>
      </c>
      <c r="N54" s="173">
        <f t="shared" si="1"/>
        <v>129</v>
      </c>
      <c r="O54" s="134">
        <f>VLOOKUP($A54,'Выгр Кат'!$A:$S,O$1,0)</f>
        <v>41</v>
      </c>
      <c r="P54" s="134">
        <f>VLOOKUP($A54,'Выгр Кат'!$A:$S,P$1,0)</f>
        <v>89</v>
      </c>
      <c r="Q54" s="107">
        <f t="shared" si="2"/>
        <v>0</v>
      </c>
      <c r="R54" s="107">
        <f t="shared" si="3"/>
        <v>-40</v>
      </c>
      <c r="S54" s="110">
        <f t="shared" si="4"/>
        <v>119.97</v>
      </c>
      <c r="T54" s="135">
        <f t="shared" si="5"/>
        <v>1.9260975609756099</v>
      </c>
      <c r="U54" s="135">
        <f t="shared" si="6"/>
        <v>7.0000000000000007E-2</v>
      </c>
      <c r="V54" s="135">
        <f t="shared" si="7"/>
        <v>2.1463414634146343</v>
      </c>
      <c r="W54" s="117">
        <f t="shared" si="29"/>
        <v>129</v>
      </c>
      <c r="X54" s="114">
        <f>IFERROR((VLOOKUP($A54,'ИЗ ГУГЛА'!$B:$G,X$1,0)+Z54)*Y54,VLOOKUP($A54,'ИЗ ГУГЛА'!$B:$G,X$1,0))</f>
        <v>129</v>
      </c>
      <c r="Y54" s="108">
        <v>1</v>
      </c>
      <c r="Z54" s="46"/>
      <c r="AA54" s="139">
        <v>129</v>
      </c>
      <c r="AB54" s="124" t="s">
        <v>2779</v>
      </c>
      <c r="AC54" s="114" t="str">
        <f>IFERROR((VLOOKUP($A54,'ИЗ ГУГЛА'!$B:$Z,AC$1,0)+AE54)*AD54,VLOOKUP($A54,'ИЗ ГУГЛА'!$B:$Z,AC$1,0))</f>
        <v/>
      </c>
      <c r="AD54" s="108">
        <v>1</v>
      </c>
      <c r="AE54" s="46"/>
      <c r="AF54" s="115"/>
    </row>
    <row r="55" spans="1:33" s="5" customFormat="1" ht="45" x14ac:dyDescent="0.25">
      <c r="A55" s="132">
        <v>194568</v>
      </c>
      <c r="B55" s="132">
        <f>VLOOKUP($A55,'Выгр Кат'!$A:$S,B$1,0)</f>
        <v>35404</v>
      </c>
      <c r="C55" s="133" t="str">
        <f>VLOOKUP($A55,'Выгр Кат'!$A:$S,C$1,0)</f>
        <v>Подушка "БРТ" переднего стабилизатора для ВАЗ 2108-21099, 2113-2115</v>
      </c>
      <c r="D55" s="132" t="str">
        <f>VLOOKUP($A55,'Выгр Кат'!$A:$S,D$1,0)</f>
        <v>Y</v>
      </c>
      <c r="E55" s="132" t="str">
        <f>VLOOKUP($A55,'Выгр Кат'!$A:$S,E$1,0)</f>
        <v>1</v>
      </c>
      <c r="F55" s="132" t="str">
        <f>VLOOKUP($A55,'Выгр Кат'!$A:$S,F$1,0)</f>
        <v>2108-2906040</v>
      </c>
      <c r="G55" s="44" t="s">
        <v>347</v>
      </c>
      <c r="H55" s="29"/>
      <c r="I55" s="4" t="s">
        <v>2</v>
      </c>
      <c r="J55" s="95">
        <v>1</v>
      </c>
      <c r="K55" s="168">
        <f t="shared" si="8"/>
        <v>41</v>
      </c>
      <c r="L55" s="167">
        <f>VLOOKUP(K55,Наценка!$A$1:$B$8,2,1)</f>
        <v>2.150537634408602</v>
      </c>
      <c r="M55" s="145">
        <f t="shared" si="30"/>
        <v>129</v>
      </c>
      <c r="N55" s="173">
        <f t="shared" si="1"/>
        <v>129</v>
      </c>
      <c r="O55" s="134">
        <f>VLOOKUP($A55,'Выгр Кат'!$A:$S,O$1,0)</f>
        <v>41</v>
      </c>
      <c r="P55" s="134">
        <f>VLOOKUP($A55,'Выгр Кат'!$A:$S,P$1,0)</f>
        <v>89</v>
      </c>
      <c r="Q55" s="107">
        <f t="shared" si="2"/>
        <v>0</v>
      </c>
      <c r="R55" s="107">
        <f t="shared" si="3"/>
        <v>-40</v>
      </c>
      <c r="S55" s="110">
        <f t="shared" si="4"/>
        <v>119.97</v>
      </c>
      <c r="T55" s="135">
        <f t="shared" si="5"/>
        <v>1.9260975609756099</v>
      </c>
      <c r="U55" s="135">
        <f t="shared" si="6"/>
        <v>7.0000000000000007E-2</v>
      </c>
      <c r="V55" s="135">
        <f t="shared" si="7"/>
        <v>2.1463414634146343</v>
      </c>
      <c r="W55" s="117">
        <f t="shared" si="29"/>
        <v>129</v>
      </c>
      <c r="X55" s="114">
        <f>IFERROR((VLOOKUP($A55,'ИЗ ГУГЛА'!$B:$G,X$1,0)+Z55)*Y55,VLOOKUP($A55,'ИЗ ГУГЛА'!$B:$G,X$1,0))</f>
        <v>129</v>
      </c>
      <c r="Y55" s="108">
        <v>1</v>
      </c>
      <c r="Z55" s="46"/>
      <c r="AA55" s="139">
        <v>129</v>
      </c>
      <c r="AB55" s="124" t="s">
        <v>2780</v>
      </c>
      <c r="AC55" s="114" t="str">
        <f>IFERROR((VLOOKUP($A55,'ИЗ ГУГЛА'!$B:$Z,AC$1,0)+AE55)*AD55,VLOOKUP($A55,'ИЗ ГУГЛА'!$B:$Z,AC$1,0))</f>
        <v/>
      </c>
      <c r="AD55" s="108">
        <v>1</v>
      </c>
      <c r="AE55" s="46"/>
      <c r="AF55" s="115"/>
    </row>
    <row r="56" spans="1:33" s="5" customFormat="1" ht="45" x14ac:dyDescent="0.25">
      <c r="A56" s="132">
        <v>213295</v>
      </c>
      <c r="B56" s="132">
        <f>VLOOKUP($A56,'Выгр Кат'!$A:$S,B$1,0)</f>
        <v>35207</v>
      </c>
      <c r="C56" s="133" t="str">
        <f>VLOOKUP($A56,'Выгр Кат'!$A:$S,C$1,0)</f>
        <v>Сальник "БРТ" заднего моста красный (35,8х68х12 мм) для ВАЗ 2101-2107, Лада Нива 4х4</v>
      </c>
      <c r="D56" s="132" t="str">
        <f>VLOOKUP($A56,'Выгр Кат'!$A:$S,D$1,0)</f>
        <v>Y</v>
      </c>
      <c r="E56" s="132" t="str">
        <f>VLOOKUP($A56,'Выгр Кат'!$A:$S,E$1,0)</f>
        <v>1</v>
      </c>
      <c r="F56" s="132" t="str">
        <f>VLOOKUP($A56,'Выгр Кат'!$A:$S,F$1,0)</f>
        <v>2101-2402052-01Р</v>
      </c>
      <c r="G56" s="44" t="s">
        <v>263</v>
      </c>
      <c r="H56" s="29"/>
      <c r="I56" s="4" t="s">
        <v>2</v>
      </c>
      <c r="J56" s="95">
        <v>1</v>
      </c>
      <c r="K56" s="168">
        <f t="shared" si="8"/>
        <v>46</v>
      </c>
      <c r="L56" s="167">
        <f>VLOOKUP(K56,Наценка!$A$1:$B$8,2,1)</f>
        <v>2.150537634408602</v>
      </c>
      <c r="M56" s="172">
        <f t="shared" si="9"/>
        <v>98.924731182795696</v>
      </c>
      <c r="N56" s="173">
        <f t="shared" si="1"/>
        <v>99</v>
      </c>
      <c r="O56" s="134">
        <f>VLOOKUP($A56,'Выгр Кат'!$A:$S,O$1,0)</f>
        <v>46</v>
      </c>
      <c r="P56" s="134">
        <f>VLOOKUP($A56,'Выгр Кат'!$A:$S,P$1,0)</f>
        <v>99</v>
      </c>
      <c r="Q56" s="107">
        <f t="shared" si="2"/>
        <v>0</v>
      </c>
      <c r="R56" s="107">
        <f t="shared" si="3"/>
        <v>0</v>
      </c>
      <c r="S56" s="110">
        <f t="shared" si="4"/>
        <v>92.07</v>
      </c>
      <c r="T56" s="135">
        <f t="shared" si="5"/>
        <v>1.0015217391304345</v>
      </c>
      <c r="U56" s="135" t="str">
        <f t="shared" si="6"/>
        <v/>
      </c>
      <c r="V56" s="135" t="str">
        <f t="shared" si="7"/>
        <v/>
      </c>
      <c r="W56" s="45"/>
      <c r="X56" s="114">
        <f>IFERROR((VLOOKUP($A56,'ИЗ ГУГЛА'!$B:$G,X$1,0)+Z56)*Y56,VLOOKUP($A56,'ИЗ ГУГЛА'!$B:$G,X$1,0))</f>
        <v>129</v>
      </c>
      <c r="Y56" s="108">
        <v>1</v>
      </c>
      <c r="Z56" s="46"/>
      <c r="AA56" s="139" t="s">
        <v>2782</v>
      </c>
      <c r="AB56" s="124" t="s">
        <v>2781</v>
      </c>
      <c r="AC56" s="114" t="str">
        <f>IFERROR((VLOOKUP($A56,'ИЗ ГУГЛА'!$B:$Z,AC$1,0)+AE56)*AD56,VLOOKUP($A56,'ИЗ ГУГЛА'!$B:$Z,AC$1,0))</f>
        <v/>
      </c>
      <c r="AD56" s="108">
        <v>1</v>
      </c>
      <c r="AE56" s="46"/>
      <c r="AF56" s="115"/>
    </row>
    <row r="57" spans="1:33" s="5" customFormat="1" ht="45" x14ac:dyDescent="0.25">
      <c r="A57" s="132">
        <v>213294</v>
      </c>
      <c r="B57" s="132">
        <f>VLOOKUP($A57,'Выгр Кат'!$A:$S,B$1,0)</f>
        <v>32110</v>
      </c>
      <c r="C57" s="133" t="str">
        <f>VLOOKUP($A57,'Выгр Кат'!$A:$S,C$1,0)</f>
        <v>Сальник "БРТ" заднего моста (35,8х68х12 мм) для ВАЗ 2101-2107, Лада Нива 4х4</v>
      </c>
      <c r="D57" s="132" t="str">
        <f>VLOOKUP($A57,'Выгр Кат'!$A:$S,D$1,0)</f>
        <v>Y</v>
      </c>
      <c r="E57" s="132" t="str">
        <f>VLOOKUP($A57,'Выгр Кат'!$A:$S,E$1,0)</f>
        <v>1</v>
      </c>
      <c r="F57" s="132" t="str">
        <f>VLOOKUP($A57,'Выгр Кат'!$A:$S,F$1,0)</f>
        <v>2101240205201К</v>
      </c>
      <c r="G57" s="34" t="s">
        <v>262</v>
      </c>
      <c r="H57" s="29"/>
      <c r="I57" s="4" t="s">
        <v>2</v>
      </c>
      <c r="J57" s="95">
        <v>1</v>
      </c>
      <c r="K57" s="168">
        <f t="shared" si="8"/>
        <v>41</v>
      </c>
      <c r="L57" s="167">
        <f>VLOOKUP(K57,Наценка!$A$1:$B$8,2,1)</f>
        <v>2.150537634408602</v>
      </c>
      <c r="M57" s="145">
        <f>W57*1</f>
        <v>129</v>
      </c>
      <c r="N57" s="173">
        <f t="shared" si="1"/>
        <v>129</v>
      </c>
      <c r="O57" s="134">
        <f>VLOOKUP($A57,'Выгр Кат'!$A:$S,O$1,0)</f>
        <v>41</v>
      </c>
      <c r="P57" s="134">
        <f>VLOOKUP($A57,'Выгр Кат'!$A:$S,P$1,0)</f>
        <v>89</v>
      </c>
      <c r="Q57" s="107">
        <f t="shared" si="2"/>
        <v>0</v>
      </c>
      <c r="R57" s="107">
        <f t="shared" si="3"/>
        <v>-40</v>
      </c>
      <c r="S57" s="110">
        <f t="shared" si="4"/>
        <v>119.97</v>
      </c>
      <c r="T57" s="135">
        <f t="shared" si="5"/>
        <v>1.9260975609756099</v>
      </c>
      <c r="U57" s="135">
        <f t="shared" si="6"/>
        <v>7.0000000000000007E-2</v>
      </c>
      <c r="V57" s="135">
        <f t="shared" si="7"/>
        <v>2.1463414634146343</v>
      </c>
      <c r="W57" s="117">
        <f>AA57</f>
        <v>129</v>
      </c>
      <c r="X57" s="114">
        <f>IFERROR((VLOOKUP($A57,'ИЗ ГУГЛА'!$B:$G,X$1,0)+Z57)*Y57,VLOOKUP($A57,'ИЗ ГУГЛА'!$B:$G,X$1,0))</f>
        <v>129</v>
      </c>
      <c r="Y57" s="108">
        <v>1</v>
      </c>
      <c r="Z57" s="46"/>
      <c r="AA57" s="139">
        <v>129</v>
      </c>
      <c r="AB57" s="124" t="s">
        <v>2781</v>
      </c>
      <c r="AC57" s="114" t="str">
        <f>IFERROR((VLOOKUP($A57,'ИЗ ГУГЛА'!$B:$Z,AC$1,0)+AE57)*AD57,VLOOKUP($A57,'ИЗ ГУГЛА'!$B:$Z,AC$1,0))</f>
        <v/>
      </c>
      <c r="AD57" s="108">
        <v>1</v>
      </c>
      <c r="AE57" s="46"/>
      <c r="AF57" s="115"/>
    </row>
    <row r="58" spans="1:33" s="5" customFormat="1" ht="45" x14ac:dyDescent="0.25">
      <c r="A58" s="132">
        <v>213302</v>
      </c>
      <c r="B58" s="132">
        <f>VLOOKUP($A58,'Выгр Кат'!$A:$S,B$1,0)</f>
        <v>35194</v>
      </c>
      <c r="C58" s="133" t="str">
        <f>VLOOKUP($A58,'Выгр Кат'!$A:$S,C$1,0)</f>
        <v>Сальник "БРТ" переднего колеса с пружиной (красный) для ВАЗ 2101-2107</v>
      </c>
      <c r="D58" s="132" t="str">
        <f>VLOOKUP($A58,'Выгр Кат'!$A:$S,D$1,0)</f>
        <v>Y</v>
      </c>
      <c r="E58" s="132" t="str">
        <f>VLOOKUP($A58,'Выгр Кат'!$A:$S,E$1,0)</f>
        <v>1</v>
      </c>
      <c r="F58" s="132" t="str">
        <f>VLOOKUP($A58,'Выгр Кат'!$A:$S,F$1,0)</f>
        <v>2101-3103038Р</v>
      </c>
      <c r="G58" s="44" t="s">
        <v>273</v>
      </c>
      <c r="H58" s="29"/>
      <c r="I58" s="4" t="s">
        <v>2</v>
      </c>
      <c r="J58" s="95">
        <v>1</v>
      </c>
      <c r="K58" s="168">
        <f t="shared" si="8"/>
        <v>42</v>
      </c>
      <c r="L58" s="167">
        <f>VLOOKUP(K58,Наценка!$A$1:$B$8,2,1)</f>
        <v>2.150537634408602</v>
      </c>
      <c r="M58" s="148">
        <f t="shared" ref="M57:M59" si="31">W58*1.05</f>
        <v>89.25</v>
      </c>
      <c r="N58" s="173">
        <f t="shared" si="1"/>
        <v>89</v>
      </c>
      <c r="O58" s="134">
        <f>VLOOKUP($A58,'Выгр Кат'!$A:$S,O$1,0)</f>
        <v>42</v>
      </c>
      <c r="P58" s="134">
        <f>VLOOKUP($A58,'Выгр Кат'!$A:$S,P$1,0)</f>
        <v>99</v>
      </c>
      <c r="Q58" s="107">
        <f t="shared" si="2"/>
        <v>0</v>
      </c>
      <c r="R58" s="107">
        <f t="shared" si="3"/>
        <v>10</v>
      </c>
      <c r="S58" s="110">
        <f t="shared" si="4"/>
        <v>82.77</v>
      </c>
      <c r="T58" s="135">
        <f t="shared" si="5"/>
        <v>0.97071428571428564</v>
      </c>
      <c r="U58" s="135">
        <f t="shared" si="6"/>
        <v>2.6235294117647107E-2</v>
      </c>
      <c r="V58" s="135">
        <f t="shared" si="7"/>
        <v>1.0238095238095237</v>
      </c>
      <c r="W58" s="118">
        <f t="shared" ref="W58:W59" si="32">AF58</f>
        <v>85</v>
      </c>
      <c r="X58" s="114" t="str">
        <f>IFERROR((VLOOKUP($A58,'ИЗ ГУГЛА'!$B:$G,X$1,0)+Z58)*Y58,VLOOKUP($A58,'ИЗ ГУГЛА'!$B:$G,X$1,0))</f>
        <v/>
      </c>
      <c r="Y58" s="108">
        <v>1</v>
      </c>
      <c r="Z58" s="46"/>
      <c r="AA58" s="45" t="s">
        <v>1821</v>
      </c>
      <c r="AB58" s="124"/>
      <c r="AC58" s="114">
        <f>IFERROR((VLOOKUP($A58,'ИЗ ГУГЛА'!$B:$Z,AC$1,0)+AE58)*AD58,VLOOKUP($A58,'ИЗ ГУГЛА'!$B:$Z,AC$1,0))</f>
        <v>85</v>
      </c>
      <c r="AD58" s="108">
        <v>1</v>
      </c>
      <c r="AE58" s="46"/>
      <c r="AF58" s="115">
        <v>85</v>
      </c>
      <c r="AG58" s="5" t="s">
        <v>2784</v>
      </c>
    </row>
    <row r="59" spans="1:33" s="5" customFormat="1" ht="30" x14ac:dyDescent="0.25">
      <c r="A59" s="132">
        <v>213303</v>
      </c>
      <c r="B59" s="132">
        <f>VLOOKUP($A59,'Выгр Кат'!$A:$S,B$1,0)</f>
        <v>35193</v>
      </c>
      <c r="C59" s="133" t="str">
        <f>VLOOKUP($A59,'Выгр Кат'!$A:$S,C$1,0)</f>
        <v>Сальник "БРТ" переднего колеса с пружиной для ВАЗ 2101-2107</v>
      </c>
      <c r="D59" s="132" t="str">
        <f>VLOOKUP($A59,'Выгр Кат'!$A:$S,D$1,0)</f>
        <v>Y</v>
      </c>
      <c r="E59" s="132" t="str">
        <f>VLOOKUP($A59,'Выгр Кат'!$A:$S,E$1,0)</f>
        <v>1</v>
      </c>
      <c r="F59" s="132" t="str">
        <f>VLOOKUP($A59,'Выгр Кат'!$A:$S,F$1,0)</f>
        <v>2101-3103038</v>
      </c>
      <c r="G59" s="44" t="s">
        <v>272</v>
      </c>
      <c r="H59" s="29"/>
      <c r="I59" s="4" t="s">
        <v>2</v>
      </c>
      <c r="J59" s="95">
        <v>1</v>
      </c>
      <c r="K59" s="168">
        <f t="shared" si="8"/>
        <v>41</v>
      </c>
      <c r="L59" s="167">
        <f>VLOOKUP(K59,Наценка!$A$1:$B$8,2,1)</f>
        <v>2.150537634408602</v>
      </c>
      <c r="M59" s="148">
        <f t="shared" si="31"/>
        <v>89.25</v>
      </c>
      <c r="N59" s="173">
        <f t="shared" si="1"/>
        <v>89</v>
      </c>
      <c r="O59" s="134">
        <f>VLOOKUP($A59,'Выгр Кат'!$A:$S,O$1,0)</f>
        <v>41</v>
      </c>
      <c r="P59" s="134">
        <f>VLOOKUP($A59,'Выгр Кат'!$A:$S,P$1,0)</f>
        <v>89</v>
      </c>
      <c r="Q59" s="107">
        <f t="shared" si="2"/>
        <v>0</v>
      </c>
      <c r="R59" s="107">
        <f t="shared" si="3"/>
        <v>0</v>
      </c>
      <c r="S59" s="110">
        <f t="shared" si="4"/>
        <v>82.77</v>
      </c>
      <c r="T59" s="135">
        <f t="shared" si="5"/>
        <v>1.0187804878048778</v>
      </c>
      <c r="U59" s="135">
        <f t="shared" si="6"/>
        <v>2.6235294117647107E-2</v>
      </c>
      <c r="V59" s="135">
        <f t="shared" si="7"/>
        <v>1.0731707317073171</v>
      </c>
      <c r="W59" s="118">
        <f t="shared" si="32"/>
        <v>85</v>
      </c>
      <c r="X59" s="114" t="str">
        <f>IFERROR((VLOOKUP($A59,'ИЗ ГУГЛА'!$B:$G,X$1,0)+Z59)*Y59,VLOOKUP($A59,'ИЗ ГУГЛА'!$B:$G,X$1,0))</f>
        <v/>
      </c>
      <c r="Y59" s="108">
        <v>1</v>
      </c>
      <c r="Z59" s="46"/>
      <c r="AA59" s="45" t="s">
        <v>1821</v>
      </c>
      <c r="AB59" s="124"/>
      <c r="AC59" s="114">
        <f>IFERROR((VLOOKUP($A59,'ИЗ ГУГЛА'!$B:$Z,AC$1,0)+AE59)*AD59,VLOOKUP($A59,'ИЗ ГУГЛА'!$B:$Z,AC$1,0))</f>
        <v>85</v>
      </c>
      <c r="AD59" s="108">
        <v>1</v>
      </c>
      <c r="AE59" s="46"/>
      <c r="AF59" s="115">
        <v>85</v>
      </c>
      <c r="AG59" s="5" t="s">
        <v>2783</v>
      </c>
    </row>
    <row r="60" spans="1:33" s="5" customFormat="1" ht="45" x14ac:dyDescent="0.25">
      <c r="A60" s="132">
        <v>213315</v>
      </c>
      <c r="B60" s="132">
        <f>VLOOKUP($A60,'Выгр Кат'!$A:$S,B$1,0)</f>
        <v>20530</v>
      </c>
      <c r="C60" s="133" t="str">
        <f>VLOOKUP($A60,'Выгр Кат'!$A:$S,C$1,0)</f>
        <v>Сальник вторичного вала коробки передач с пружиной (большой) "БРТ" для ВАЗ 2101-2107, Лада Нива 4x4</v>
      </c>
      <c r="D60" s="132" t="str">
        <f>VLOOKUP($A60,'Выгр Кат'!$A:$S,D$1,0)</f>
        <v>Y</v>
      </c>
      <c r="E60" s="132" t="str">
        <f>VLOOKUP($A60,'Выгр Кат'!$A:$S,E$1,0)</f>
        <v>1</v>
      </c>
      <c r="F60" s="132" t="str">
        <f>VLOOKUP($A60,'Выгр Кат'!$A:$S,F$1,0)</f>
        <v>2101-1701210К.</v>
      </c>
      <c r="G60" s="45" t="s">
        <v>256</v>
      </c>
      <c r="H60" s="29"/>
      <c r="I60" s="4" t="s">
        <v>2</v>
      </c>
      <c r="J60" s="95">
        <v>1</v>
      </c>
      <c r="K60" s="168">
        <f t="shared" si="8"/>
        <v>50</v>
      </c>
      <c r="L60" s="167">
        <f>VLOOKUP(K60,Наценка!$A$1:$B$8,2,1)</f>
        <v>2.150537634408602</v>
      </c>
      <c r="M60" s="172">
        <f t="shared" si="9"/>
        <v>107.5268817204301</v>
      </c>
      <c r="N60" s="173">
        <f t="shared" si="1"/>
        <v>109</v>
      </c>
      <c r="O60" s="134">
        <f>VLOOKUP($A60,'Выгр Кат'!$A:$S,O$1,0)</f>
        <v>50</v>
      </c>
      <c r="P60" s="134">
        <f>VLOOKUP($A60,'Выгр Кат'!$A:$S,P$1,0)</f>
        <v>109</v>
      </c>
      <c r="Q60" s="107">
        <f t="shared" si="2"/>
        <v>0</v>
      </c>
      <c r="R60" s="107">
        <f t="shared" si="3"/>
        <v>0</v>
      </c>
      <c r="S60" s="110">
        <f t="shared" si="4"/>
        <v>101.36999999999999</v>
      </c>
      <c r="T60" s="135">
        <f t="shared" si="5"/>
        <v>1.0273999999999996</v>
      </c>
      <c r="U60" s="135" t="str">
        <f t="shared" si="6"/>
        <v/>
      </c>
      <c r="V60" s="135" t="str">
        <f t="shared" si="7"/>
        <v/>
      </c>
      <c r="W60" s="45"/>
      <c r="X60" s="114" t="str">
        <f>IFERROR((VLOOKUP($A60,'ИЗ ГУГЛА'!$B:$G,X$1,0)+Z60)*Y60,VLOOKUP($A60,'ИЗ ГУГЛА'!$B:$G,X$1,0))</f>
        <v/>
      </c>
      <c r="Y60" s="108">
        <v>1</v>
      </c>
      <c r="Z60" s="46"/>
      <c r="AA60" s="45" t="s">
        <v>1821</v>
      </c>
      <c r="AB60" s="124"/>
      <c r="AC60" s="114" t="str">
        <f>IFERROR((VLOOKUP($A60,'ИЗ ГУГЛА'!$B:$Z,AC$1,0)+AE60)*AD60,VLOOKUP($A60,'ИЗ ГУГЛА'!$B:$Z,AC$1,0))</f>
        <v/>
      </c>
      <c r="AD60" s="108">
        <v>1</v>
      </c>
      <c r="AE60" s="46"/>
      <c r="AF60" s="115"/>
    </row>
    <row r="61" spans="1:33" s="5" customFormat="1" ht="30" x14ac:dyDescent="0.25">
      <c r="A61" s="132">
        <v>223221</v>
      </c>
      <c r="B61" s="132">
        <f>VLOOKUP($A61,'Выгр Кат'!$A:$S,B$1,0)</f>
        <v>35317</v>
      </c>
      <c r="C61" s="133" t="str">
        <f>VLOOKUP($A61,'Выгр Кат'!$A:$S,C$1,0)</f>
        <v>Уплотнитель "БРТ" лобового стекла нижний для ВАЗ 2110-2112</v>
      </c>
      <c r="D61" s="132" t="str">
        <f>VLOOKUP($A61,'Выгр Кат'!$A:$S,D$1,0)</f>
        <v>Y</v>
      </c>
      <c r="E61" s="132" t="str">
        <f>VLOOKUP($A61,'Выгр Кат'!$A:$S,E$1,0)</f>
        <v>1</v>
      </c>
      <c r="F61" s="132" t="str">
        <f>VLOOKUP($A61,'Выгр Кат'!$A:$S,F$1,0)</f>
        <v>2110-5206050</v>
      </c>
      <c r="G61" s="44" t="s">
        <v>789</v>
      </c>
      <c r="H61" s="29"/>
      <c r="I61" s="4" t="s">
        <v>2</v>
      </c>
      <c r="J61" s="95">
        <v>1</v>
      </c>
      <c r="K61" s="168">
        <f t="shared" si="8"/>
        <v>42</v>
      </c>
      <c r="L61" s="167">
        <f>VLOOKUP(K61,Наценка!$A$1:$B$8,2,1)</f>
        <v>2.150537634408602</v>
      </c>
      <c r="M61" s="172">
        <f t="shared" si="9"/>
        <v>90.322580645161281</v>
      </c>
      <c r="N61" s="173">
        <f t="shared" si="1"/>
        <v>99</v>
      </c>
      <c r="O61" s="134">
        <f>VLOOKUP($A61,'Выгр Кат'!$A:$S,O$1,0)</f>
        <v>42</v>
      </c>
      <c r="P61" s="134">
        <f>VLOOKUP($A61,'Выгр Кат'!$A:$S,P$1,0)</f>
        <v>99</v>
      </c>
      <c r="Q61" s="107">
        <f t="shared" si="2"/>
        <v>0</v>
      </c>
      <c r="R61" s="107">
        <f t="shared" si="3"/>
        <v>0</v>
      </c>
      <c r="S61" s="110">
        <f t="shared" si="4"/>
        <v>92.07</v>
      </c>
      <c r="T61" s="135">
        <f t="shared" si="5"/>
        <v>1.1921428571428572</v>
      </c>
      <c r="U61" s="135" t="str">
        <f t="shared" si="6"/>
        <v/>
      </c>
      <c r="V61" s="135" t="str">
        <f t="shared" si="7"/>
        <v/>
      </c>
      <c r="W61" s="45"/>
      <c r="X61" s="114" t="str">
        <f>IFERROR((VLOOKUP($A61,'ИЗ ГУГЛА'!$B:$G,X$1,0)+Z61)*Y61,VLOOKUP($A61,'ИЗ ГУГЛА'!$B:$G,X$1,0))</f>
        <v/>
      </c>
      <c r="Y61" s="108">
        <v>1</v>
      </c>
      <c r="Z61" s="46"/>
      <c r="AA61" s="45" t="s">
        <v>1821</v>
      </c>
      <c r="AB61" s="124"/>
      <c r="AC61" s="114" t="str">
        <f>IFERROR((VLOOKUP($A61,'ИЗ ГУГЛА'!$B:$Z,AC$1,0)+AE61)*AD61,VLOOKUP($A61,'ИЗ ГУГЛА'!$B:$Z,AC$1,0))</f>
        <v/>
      </c>
      <c r="AD61" s="108">
        <v>1</v>
      </c>
      <c r="AE61" s="46"/>
      <c r="AF61" s="115"/>
    </row>
    <row r="62" spans="1:33" s="5" customFormat="1" ht="30" x14ac:dyDescent="0.25">
      <c r="A62" s="132">
        <v>202140</v>
      </c>
      <c r="B62" s="132">
        <f>VLOOKUP($A62,'Выгр Кат'!$A:$S,B$1,0)</f>
        <v>35439</v>
      </c>
      <c r="C62" s="133" t="str">
        <f>VLOOKUP($A62,'Выгр Кат'!$A:$S,C$1,0)</f>
        <v>Пыльник КПП "БРТ" внутренний (малый) для Шевроле Нива</v>
      </c>
      <c r="D62" s="132" t="str">
        <f>VLOOKUP($A62,'Выгр Кат'!$A:$S,D$1,0)</f>
        <v>Y</v>
      </c>
      <c r="E62" s="132" t="str">
        <f>VLOOKUP($A62,'Выгр Кат'!$A:$S,E$1,0)</f>
        <v>1</v>
      </c>
      <c r="F62" s="132" t="str">
        <f>VLOOKUP($A62,'Выгр Кат'!$A:$S,F$1,0)</f>
        <v>2123-1703096Р</v>
      </c>
      <c r="G62" s="44" t="s">
        <v>496</v>
      </c>
      <c r="H62" s="29"/>
      <c r="I62" s="4" t="s">
        <v>2</v>
      </c>
      <c r="J62" s="95">
        <v>1</v>
      </c>
      <c r="K62" s="168">
        <f t="shared" si="8"/>
        <v>70</v>
      </c>
      <c r="L62" s="167">
        <f>VLOOKUP(K62,Наценка!$A$1:$B$8,2,1)</f>
        <v>2.150537634408602</v>
      </c>
      <c r="M62" s="148">
        <f>W62*1.05</f>
        <v>198.45000000000002</v>
      </c>
      <c r="N62" s="173">
        <f t="shared" si="1"/>
        <v>199</v>
      </c>
      <c r="O62" s="134">
        <f>VLOOKUP($A62,'Выгр Кат'!$A:$S,O$1,0)</f>
        <v>70</v>
      </c>
      <c r="P62" s="134">
        <f>VLOOKUP($A62,'Выгр Кат'!$A:$S,P$1,0)</f>
        <v>159</v>
      </c>
      <c r="Q62" s="107">
        <f t="shared" si="2"/>
        <v>0</v>
      </c>
      <c r="R62" s="107">
        <f t="shared" si="3"/>
        <v>-40</v>
      </c>
      <c r="S62" s="110">
        <f t="shared" si="4"/>
        <v>185.07</v>
      </c>
      <c r="T62" s="135">
        <f t="shared" si="5"/>
        <v>1.6438571428571427</v>
      </c>
      <c r="U62" s="135">
        <f t="shared" si="6"/>
        <v>2.0793650793650829E-2</v>
      </c>
      <c r="V62" s="135">
        <f t="shared" si="7"/>
        <v>1.7000000000000002</v>
      </c>
      <c r="W62" s="117">
        <f>AA62</f>
        <v>189</v>
      </c>
      <c r="X62" s="114">
        <f>IFERROR((VLOOKUP($A62,'ИЗ ГУГЛА'!$B:$G,X$1,0)+Z62)*Y62,VLOOKUP($A62,'ИЗ ГУГЛА'!$B:$G,X$1,0))</f>
        <v>189</v>
      </c>
      <c r="Y62" s="108">
        <v>1</v>
      </c>
      <c r="Z62" s="46"/>
      <c r="AA62" s="139">
        <v>189</v>
      </c>
      <c r="AB62" s="124" t="s">
        <v>2785</v>
      </c>
      <c r="AC62" s="114" t="str">
        <f>IFERROR((VLOOKUP($A62,'ИЗ ГУГЛА'!$B:$Z,AC$1,0)+AE62)*AD62,VLOOKUP($A62,'ИЗ ГУГЛА'!$B:$Z,AC$1,0))</f>
        <v/>
      </c>
      <c r="AD62" s="108">
        <v>1</v>
      </c>
      <c r="AE62" s="46"/>
      <c r="AF62" s="115"/>
    </row>
    <row r="63" spans="1:33" s="5" customFormat="1" ht="45" x14ac:dyDescent="0.25">
      <c r="A63" s="132">
        <v>213300</v>
      </c>
      <c r="B63" s="132">
        <f>VLOOKUP($A63,'Выгр Кат'!$A:$S,B$1,0)</f>
        <v>35230</v>
      </c>
      <c r="C63" s="133" t="str">
        <f>VLOOKUP($A63,'Выгр Кат'!$A:$S,C$1,0)</f>
        <v>Сальник "БРТ" переднего колеса (с пружинной, красный) для Лада Нива 4х4, Шевроле Нива</v>
      </c>
      <c r="D63" s="132" t="str">
        <f>VLOOKUP($A63,'Выгр Кат'!$A:$S,D$1,0)</f>
        <v>Y</v>
      </c>
      <c r="E63" s="132" t="str">
        <f>VLOOKUP($A63,'Выгр Кат'!$A:$S,E$1,0)</f>
        <v>1</v>
      </c>
      <c r="F63" s="132" t="str">
        <f>VLOOKUP($A63,'Выгр Кат'!$A:$S,F$1,0)</f>
        <v>2121-3103038Р</v>
      </c>
      <c r="G63" s="44" t="s">
        <v>450</v>
      </c>
      <c r="H63" s="29"/>
      <c r="I63" s="4" t="s">
        <v>2</v>
      </c>
      <c r="J63" s="95">
        <v>1</v>
      </c>
      <c r="K63" s="168">
        <f t="shared" si="8"/>
        <v>44</v>
      </c>
      <c r="L63" s="167">
        <f>VLOOKUP(K63,Наценка!$A$1:$B$8,2,1)</f>
        <v>2.150537634408602</v>
      </c>
      <c r="M63" s="172">
        <f t="shared" si="9"/>
        <v>94.623655913978496</v>
      </c>
      <c r="N63" s="173">
        <f t="shared" si="1"/>
        <v>99</v>
      </c>
      <c r="O63" s="134">
        <f>VLOOKUP($A63,'Выгр Кат'!$A:$S,O$1,0)</f>
        <v>44</v>
      </c>
      <c r="P63" s="134">
        <f>VLOOKUP($A63,'Выгр Кат'!$A:$S,P$1,0)</f>
        <v>99</v>
      </c>
      <c r="Q63" s="107">
        <f t="shared" si="2"/>
        <v>0</v>
      </c>
      <c r="R63" s="107">
        <f t="shared" si="3"/>
        <v>0</v>
      </c>
      <c r="S63" s="110">
        <f t="shared" si="4"/>
        <v>92.07</v>
      </c>
      <c r="T63" s="135">
        <f t="shared" si="5"/>
        <v>1.0924999999999998</v>
      </c>
      <c r="U63" s="135" t="str">
        <f t="shared" si="6"/>
        <v/>
      </c>
      <c r="V63" s="135" t="str">
        <f t="shared" si="7"/>
        <v/>
      </c>
      <c r="W63" s="45"/>
      <c r="X63" s="114">
        <f>IFERROR((VLOOKUP($A63,'ИЗ ГУГЛА'!$B:$G,X$1,0)+Z63)*Y63,VLOOKUP($A63,'ИЗ ГУГЛА'!$B:$G,X$1,0))</f>
        <v>149</v>
      </c>
      <c r="Y63" s="108">
        <v>1</v>
      </c>
      <c r="Z63" s="46"/>
      <c r="AA63" s="139" t="s">
        <v>2787</v>
      </c>
      <c r="AB63" s="124" t="s">
        <v>2786</v>
      </c>
      <c r="AC63" s="114" t="str">
        <f>IFERROR((VLOOKUP($A63,'ИЗ ГУГЛА'!$B:$Z,AC$1,0)+AE63)*AD63,VLOOKUP($A63,'ИЗ ГУГЛА'!$B:$Z,AC$1,0))</f>
        <v/>
      </c>
      <c r="AD63" s="108">
        <v>1</v>
      </c>
      <c r="AE63" s="46"/>
      <c r="AF63" s="115"/>
    </row>
    <row r="64" spans="1:33" s="5" customFormat="1" ht="45" x14ac:dyDescent="0.25">
      <c r="A64" s="132">
        <v>213301</v>
      </c>
      <c r="B64" s="132">
        <f>VLOOKUP($A64,'Выгр Кат'!$A:$S,B$1,0)</f>
        <v>35226</v>
      </c>
      <c r="C64" s="133" t="str">
        <f>VLOOKUP($A64,'Выгр Кат'!$A:$S,C$1,0)</f>
        <v>Сальник "БРТ" переднего колеса (с пружинной) для Лада Нива 4х4, Шевроле Нива</v>
      </c>
      <c r="D64" s="132" t="str">
        <f>VLOOKUP($A64,'Выгр Кат'!$A:$S,D$1,0)</f>
        <v>Y</v>
      </c>
      <c r="E64" s="132" t="str">
        <f>VLOOKUP($A64,'Выгр Кат'!$A:$S,E$1,0)</f>
        <v>1</v>
      </c>
      <c r="F64" s="132" t="str">
        <f>VLOOKUP($A64,'Выгр Кат'!$A:$S,F$1,0)</f>
        <v>2121-3103038</v>
      </c>
      <c r="G64" s="44" t="s">
        <v>449</v>
      </c>
      <c r="H64" s="29"/>
      <c r="I64" s="4" t="s">
        <v>2</v>
      </c>
      <c r="J64" s="95">
        <v>1</v>
      </c>
      <c r="K64" s="168">
        <f t="shared" si="8"/>
        <v>44</v>
      </c>
      <c r="L64" s="167">
        <f>VLOOKUP(K64,Наценка!$A$1:$B$8,2,1)</f>
        <v>2.150537634408602</v>
      </c>
      <c r="M64" s="149">
        <f t="shared" ref="M64:M65" si="33">W64*1.07</f>
        <v>159.43</v>
      </c>
      <c r="N64" s="173">
        <f t="shared" si="1"/>
        <v>159</v>
      </c>
      <c r="O64" s="134">
        <f>VLOOKUP($A64,'Выгр Кат'!$A:$S,O$1,0)</f>
        <v>44</v>
      </c>
      <c r="P64" s="134">
        <f>VLOOKUP($A64,'Выгр Кат'!$A:$S,P$1,0)</f>
        <v>99</v>
      </c>
      <c r="Q64" s="107">
        <f t="shared" si="2"/>
        <v>0</v>
      </c>
      <c r="R64" s="107">
        <f t="shared" si="3"/>
        <v>-60</v>
      </c>
      <c r="S64" s="110">
        <f t="shared" si="4"/>
        <v>147.86999999999998</v>
      </c>
      <c r="T64" s="135">
        <f t="shared" si="5"/>
        <v>2.3606818181818174</v>
      </c>
      <c r="U64" s="135">
        <f t="shared" si="6"/>
        <v>7.5838926174498248E-3</v>
      </c>
      <c r="V64" s="135">
        <f t="shared" si="7"/>
        <v>2.3863636363636362</v>
      </c>
      <c r="W64" s="117">
        <f t="shared" ref="W64:W65" si="34">AA64</f>
        <v>149</v>
      </c>
      <c r="X64" s="114">
        <f>IFERROR((VLOOKUP($A64,'ИЗ ГУГЛА'!$B:$G,X$1,0)+Z64)*Y64,VLOOKUP($A64,'ИЗ ГУГЛА'!$B:$G,X$1,0))</f>
        <v>149</v>
      </c>
      <c r="Y64" s="108">
        <v>1</v>
      </c>
      <c r="Z64" s="46"/>
      <c r="AA64" s="139">
        <v>149</v>
      </c>
      <c r="AB64" s="124" t="s">
        <v>2786</v>
      </c>
      <c r="AC64" s="114" t="str">
        <f>IFERROR((VLOOKUP($A64,'ИЗ ГУГЛА'!$B:$Z,AC$1,0)+AE64)*AD64,VLOOKUP($A64,'ИЗ ГУГЛА'!$B:$Z,AC$1,0))</f>
        <v/>
      </c>
      <c r="AD64" s="108">
        <v>1</v>
      </c>
      <c r="AE64" s="46"/>
      <c r="AF64" s="115"/>
    </row>
    <row r="65" spans="1:33" s="5" customFormat="1" ht="45" x14ac:dyDescent="0.25">
      <c r="A65" s="132">
        <v>204517</v>
      </c>
      <c r="B65" s="132">
        <f>VLOOKUP($A65,'Выгр Кат'!$A:$S,B$1,0)</f>
        <v>30465</v>
      </c>
      <c r="C65" s="133" t="str">
        <f>VLOOKUP($A65,'Выгр Кат'!$A:$S,C$1,0)</f>
        <v>Ремонтный комплект рабочего цилиндра сцепления для Шевроле Нива</v>
      </c>
      <c r="D65" s="132" t="str">
        <f>VLOOKUP($A65,'Выгр Кат'!$A:$S,D$1,0)</f>
        <v>Y</v>
      </c>
      <c r="E65" s="132" t="str">
        <f>VLOOKUP($A65,'Выгр Кат'!$A:$S,E$1,0)</f>
        <v>1</v>
      </c>
      <c r="F65" s="132" t="str">
        <f>VLOOKUP($A65,'Выгр Кат'!$A:$S,F$1,0)</f>
        <v>2123-1602518-20</v>
      </c>
      <c r="G65" s="43" t="s">
        <v>494</v>
      </c>
      <c r="H65" s="29"/>
      <c r="I65" s="4" t="s">
        <v>2</v>
      </c>
      <c r="J65" s="95">
        <v>1</v>
      </c>
      <c r="K65" s="168">
        <f t="shared" si="8"/>
        <v>45</v>
      </c>
      <c r="L65" s="167">
        <f>VLOOKUP(K65,Наценка!$A$1:$B$8,2,1)</f>
        <v>2.150537634408602</v>
      </c>
      <c r="M65" s="148">
        <f>W65*1.06</f>
        <v>179.14000000000001</v>
      </c>
      <c r="N65" s="173">
        <f t="shared" si="1"/>
        <v>179</v>
      </c>
      <c r="O65" s="134">
        <f>VLOOKUP($A65,'Выгр Кат'!$A:$S,O$1,0)</f>
        <v>45</v>
      </c>
      <c r="P65" s="134">
        <f>VLOOKUP($A65,'Выгр Кат'!$A:$S,P$1,0)</f>
        <v>99</v>
      </c>
      <c r="Q65" s="107">
        <f t="shared" si="2"/>
        <v>0</v>
      </c>
      <c r="R65" s="107">
        <f t="shared" si="3"/>
        <v>-80</v>
      </c>
      <c r="S65" s="110">
        <f t="shared" si="4"/>
        <v>166.47</v>
      </c>
      <c r="T65" s="135">
        <f t="shared" si="5"/>
        <v>2.6993333333333331</v>
      </c>
      <c r="U65" s="135">
        <f t="shared" si="6"/>
        <v>1.4970414201183439E-2</v>
      </c>
      <c r="V65" s="135">
        <f t="shared" si="7"/>
        <v>2.7555555555555555</v>
      </c>
      <c r="W65" s="117">
        <f t="shared" si="34"/>
        <v>169</v>
      </c>
      <c r="X65" s="114">
        <f>IFERROR((VLOOKUP($A65,'ИЗ ГУГЛА'!$B:$G,X$1,0)+Z65)*Y65,VLOOKUP($A65,'ИЗ ГУГЛА'!$B:$G,X$1,0))</f>
        <v>169</v>
      </c>
      <c r="Y65" s="108">
        <v>1</v>
      </c>
      <c r="Z65" s="46"/>
      <c r="AA65" s="139">
        <v>169</v>
      </c>
      <c r="AB65" s="124" t="s">
        <v>2788</v>
      </c>
      <c r="AC65" s="114" t="str">
        <f>IFERROR((VLOOKUP($A65,'ИЗ ГУГЛА'!$B:$Z,AC$1,0)+AE65)*AD65,VLOOKUP($A65,'ИЗ ГУГЛА'!$B:$Z,AC$1,0))</f>
        <v/>
      </c>
      <c r="AD65" s="108">
        <v>1</v>
      </c>
      <c r="AE65" s="46"/>
      <c r="AF65" s="115"/>
    </row>
    <row r="66" spans="1:33" s="5" customFormat="1" ht="30" x14ac:dyDescent="0.25">
      <c r="A66" s="132">
        <v>141807</v>
      </c>
      <c r="B66" s="132">
        <f>VLOOKUP($A66,'Выгр Кат'!$A:$S,B$1,0)</f>
        <v>20406</v>
      </c>
      <c r="C66" s="133" t="str">
        <f>VLOOKUP($A66,'Выгр Кат'!$A:$S,C$1,0)</f>
        <v>Гофра проводки задней двери "БРТ" (длинная) для ВАЗ 2110</v>
      </c>
      <c r="D66" s="132" t="str">
        <f>VLOOKUP($A66,'Выгр Кат'!$A:$S,D$1,0)</f>
        <v>Y</v>
      </c>
      <c r="E66" s="132" t="str">
        <f>VLOOKUP($A66,'Выгр Кат'!$A:$S,E$1,0)</f>
        <v>1</v>
      </c>
      <c r="F66" s="132" t="str">
        <f>VLOOKUP($A66,'Выгр Кат'!$A:$S,F$1,0)</f>
        <v>21103-3724195Р</v>
      </c>
      <c r="G66" s="45" t="s">
        <v>1821</v>
      </c>
      <c r="H66" s="29" t="s">
        <v>1821</v>
      </c>
      <c r="I66" s="4" t="s">
        <v>2</v>
      </c>
      <c r="J66" s="95">
        <v>1</v>
      </c>
      <c r="K66" s="168">
        <f t="shared" si="8"/>
        <v>55</v>
      </c>
      <c r="L66" s="167">
        <f>VLOOKUP(K66,Наценка!$A$1:$B$8,2,1)</f>
        <v>2.150537634408602</v>
      </c>
      <c r="M66" s="172">
        <f t="shared" si="9"/>
        <v>118.27956989247311</v>
      </c>
      <c r="N66" s="173">
        <f t="shared" si="1"/>
        <v>119</v>
      </c>
      <c r="O66" s="134">
        <f>VLOOKUP($A66,'Выгр Кат'!$A:$S,O$1,0)</f>
        <v>55</v>
      </c>
      <c r="P66" s="134">
        <f>VLOOKUP($A66,'Выгр Кат'!$A:$S,P$1,0)</f>
        <v>119</v>
      </c>
      <c r="Q66" s="107">
        <f t="shared" si="2"/>
        <v>0</v>
      </c>
      <c r="R66" s="107">
        <f t="shared" si="3"/>
        <v>0</v>
      </c>
      <c r="S66" s="110">
        <f t="shared" si="4"/>
        <v>110.66999999999999</v>
      </c>
      <c r="T66" s="135">
        <f t="shared" si="5"/>
        <v>1.0121818181818178</v>
      </c>
      <c r="U66" s="135" t="str">
        <f t="shared" si="6"/>
        <v/>
      </c>
      <c r="V66" s="135" t="str">
        <f t="shared" si="7"/>
        <v/>
      </c>
      <c r="W66" s="45"/>
      <c r="X66" s="114" t="str">
        <f>IFERROR((VLOOKUP($A66,'ИЗ ГУГЛА'!$B:$G,X$1,0)+Z66)*Y66,VLOOKUP($A66,'ИЗ ГУГЛА'!$B:$G,X$1,0))</f>
        <v/>
      </c>
      <c r="Y66" s="108">
        <v>1</v>
      </c>
      <c r="Z66" s="46"/>
      <c r="AA66" s="45" t="s">
        <v>1821</v>
      </c>
      <c r="AB66" s="124"/>
      <c r="AC66" s="114" t="str">
        <f>IFERROR((VLOOKUP($A66,'ИЗ ГУГЛА'!$B:$Z,AC$1,0)+AE66)*AD66,VLOOKUP($A66,'ИЗ ГУГЛА'!$B:$Z,AC$1,0))</f>
        <v/>
      </c>
      <c r="AD66" s="108">
        <v>1</v>
      </c>
      <c r="AE66" s="46"/>
      <c r="AF66" s="115"/>
    </row>
    <row r="67" spans="1:33" s="5" customFormat="1" ht="30" x14ac:dyDescent="0.25">
      <c r="A67" s="132">
        <v>223254</v>
      </c>
      <c r="B67" s="132">
        <f>VLOOKUP($A67,'Выгр Кат'!$A:$S,B$1,0)</f>
        <v>20505</v>
      </c>
      <c r="C67" s="133" t="str">
        <f>VLOOKUP($A67,'Выгр Кат'!$A:$S,C$1,0)</f>
        <v>Уплотнитель ворсовой "БРТ" для Лада XRAY</v>
      </c>
      <c r="D67" s="132" t="str">
        <f>VLOOKUP($A67,'Выгр Кат'!$A:$S,D$1,0)</f>
        <v>Y</v>
      </c>
      <c r="E67" s="132" t="str">
        <f>VLOOKUP($A67,'Выгр Кат'!$A:$S,E$1,0)</f>
        <v>1</v>
      </c>
      <c r="F67" s="132" t="str">
        <f>VLOOKUP($A67,'Выгр Кат'!$A:$S,F$1,0)</f>
        <v>505012099Р</v>
      </c>
      <c r="G67" s="45" t="s">
        <v>1821</v>
      </c>
      <c r="H67" s="29" t="s">
        <v>1821</v>
      </c>
      <c r="I67" s="4" t="s">
        <v>2</v>
      </c>
      <c r="J67" s="95">
        <v>1</v>
      </c>
      <c r="K67" s="168">
        <f t="shared" si="8"/>
        <v>40</v>
      </c>
      <c r="L67" s="167">
        <f>VLOOKUP(K67,Наценка!$A$1:$B$8,2,1)</f>
        <v>2.150537634408602</v>
      </c>
      <c r="M67" s="172">
        <f t="shared" si="9"/>
        <v>86.021505376344081</v>
      </c>
      <c r="N67" s="173">
        <f t="shared" ref="N67:N130" si="35">IF(M67&lt;=1000,(ROUNDUP(M67,-1)-1),(ROUNDUP(M67,-2)-10))</f>
        <v>89</v>
      </c>
      <c r="O67" s="134">
        <f>VLOOKUP($A67,'Выгр Кат'!$A:$S,O$1,0)</f>
        <v>40</v>
      </c>
      <c r="P67" s="134">
        <f>VLOOKUP($A67,'Выгр Кат'!$A:$S,P$1,0)</f>
        <v>89</v>
      </c>
      <c r="Q67" s="107">
        <f t="shared" ref="Q67:Q130" si="36">O67-K67</f>
        <v>0</v>
      </c>
      <c r="R67" s="107">
        <f t="shared" ref="R67:R130" si="37">P67-N67</f>
        <v>0</v>
      </c>
      <c r="S67" s="110">
        <f t="shared" ref="S67:S130" si="38">IFERROR(N67*(1-$S$2),"")</f>
        <v>82.77</v>
      </c>
      <c r="T67" s="135">
        <f t="shared" ref="T67:T130" si="39">IFERROR(S67/K67-1,"")</f>
        <v>1.0692499999999998</v>
      </c>
      <c r="U67" s="135" t="str">
        <f t="shared" ref="U67:U130" si="40">IFERROR((W67-S67)/W67,"")</f>
        <v/>
      </c>
      <c r="V67" s="135" t="str">
        <f t="shared" ref="V67:V130" si="41">IFERROR(IF(W67="","",W67/K67-1),"")</f>
        <v/>
      </c>
      <c r="W67" s="45"/>
      <c r="X67" s="114" t="str">
        <f>IFERROR((VLOOKUP($A67,'ИЗ ГУГЛА'!$B:$G,X$1,0)+Z67)*Y67,VLOOKUP($A67,'ИЗ ГУГЛА'!$B:$G,X$1,0))</f>
        <v/>
      </c>
      <c r="Y67" s="108">
        <v>1</v>
      </c>
      <c r="Z67" s="46"/>
      <c r="AA67" s="45" t="s">
        <v>1821</v>
      </c>
      <c r="AB67" s="124"/>
      <c r="AC67" s="114" t="str">
        <f>IFERROR((VLOOKUP($A67,'ИЗ ГУГЛА'!$B:$Z,AC$1,0)+AE67)*AD67,VLOOKUP($A67,'ИЗ ГУГЛА'!$B:$Z,AC$1,0))</f>
        <v/>
      </c>
      <c r="AD67" s="108">
        <v>1</v>
      </c>
      <c r="AE67" s="46"/>
      <c r="AF67" s="115"/>
    </row>
    <row r="68" spans="1:33" s="5" customFormat="1" ht="30" x14ac:dyDescent="0.25">
      <c r="A68" s="132">
        <v>213308</v>
      </c>
      <c r="B68" s="132">
        <f>VLOOKUP($A68,'Выгр Кат'!$A:$S,B$1,0)</f>
        <v>35237</v>
      </c>
      <c r="C68" s="133" t="str">
        <f>VLOOKUP($A68,'Выгр Кат'!$A:$S,C$1,0)</f>
        <v>Сальник "БРТ" привода левый для Лада Нива 4х4, Шевроле Нива</v>
      </c>
      <c r="D68" s="132" t="str">
        <f>VLOOKUP($A68,'Выгр Кат'!$A:$S,D$1,0)</f>
        <v>Y</v>
      </c>
      <c r="E68" s="132" t="str">
        <f>VLOOKUP($A68,'Выгр Кат'!$A:$S,E$1,0)</f>
        <v>1</v>
      </c>
      <c r="F68" s="132" t="str">
        <f>VLOOKUP($A68,'Выгр Кат'!$A:$S,F$1,0)</f>
        <v>21213-2301035</v>
      </c>
      <c r="G68" s="34" t="s">
        <v>717</v>
      </c>
      <c r="H68" s="29"/>
      <c r="I68" s="4" t="s">
        <v>2</v>
      </c>
      <c r="J68" s="95">
        <v>1</v>
      </c>
      <c r="K68" s="168">
        <f t="shared" ref="K68:K131" si="42">O68</f>
        <v>45</v>
      </c>
      <c r="L68" s="167">
        <f>VLOOKUP(K68,Наценка!$A$1:$B$8,2,1)</f>
        <v>2.150537634408602</v>
      </c>
      <c r="M68" s="172">
        <f t="shared" si="9"/>
        <v>96.774193548387089</v>
      </c>
      <c r="N68" s="173">
        <f t="shared" si="35"/>
        <v>99</v>
      </c>
      <c r="O68" s="134">
        <f>VLOOKUP($A68,'Выгр Кат'!$A:$S,O$1,0)</f>
        <v>45</v>
      </c>
      <c r="P68" s="134">
        <f>VLOOKUP($A68,'Выгр Кат'!$A:$S,P$1,0)</f>
        <v>99</v>
      </c>
      <c r="Q68" s="107">
        <f t="shared" si="36"/>
        <v>0</v>
      </c>
      <c r="R68" s="107">
        <f t="shared" si="37"/>
        <v>0</v>
      </c>
      <c r="S68" s="110">
        <f t="shared" si="38"/>
        <v>92.07</v>
      </c>
      <c r="T68" s="135">
        <f t="shared" si="39"/>
        <v>1.0459999999999998</v>
      </c>
      <c r="U68" s="135" t="str">
        <f t="shared" si="40"/>
        <v/>
      </c>
      <c r="V68" s="135" t="str">
        <f t="shared" si="41"/>
        <v/>
      </c>
      <c r="W68" s="45"/>
      <c r="X68" s="114" t="str">
        <f>IFERROR((VLOOKUP($A68,'ИЗ ГУГЛА'!$B:$G,X$1,0)+Z68)*Y68,VLOOKUP($A68,'ИЗ ГУГЛА'!$B:$G,X$1,0))</f>
        <v/>
      </c>
      <c r="Y68" s="108">
        <v>1</v>
      </c>
      <c r="Z68" s="46"/>
      <c r="AA68" s="45" t="s">
        <v>1821</v>
      </c>
      <c r="AB68" s="124"/>
      <c r="AC68" s="114" t="str">
        <f>IFERROR((VLOOKUP($A68,'ИЗ ГУГЛА'!$B:$Z,AC$1,0)+AE68)*AD68,VLOOKUP($A68,'ИЗ ГУГЛА'!$B:$Z,AC$1,0))</f>
        <v/>
      </c>
      <c r="AD68" s="108">
        <v>1</v>
      </c>
      <c r="AE68" s="46"/>
      <c r="AF68" s="115"/>
    </row>
    <row r="69" spans="1:33" s="5" customFormat="1" ht="30" x14ac:dyDescent="0.25">
      <c r="A69" s="132">
        <v>213310</v>
      </c>
      <c r="B69" s="132">
        <f>VLOOKUP($A69,'Выгр Кат'!$A:$S,B$1,0)</f>
        <v>35236</v>
      </c>
      <c r="C69" s="133" t="str">
        <f>VLOOKUP($A69,'Выгр Кат'!$A:$S,C$1,0)</f>
        <v>Сальник "БРТ" привода правый для Лада Нива 4х4, Шевроле Нива</v>
      </c>
      <c r="D69" s="132" t="str">
        <f>VLOOKUP($A69,'Выгр Кат'!$A:$S,D$1,0)</f>
        <v>Y</v>
      </c>
      <c r="E69" s="132" t="str">
        <f>VLOOKUP($A69,'Выгр Кат'!$A:$S,E$1,0)</f>
        <v>1</v>
      </c>
      <c r="F69" s="132" t="str">
        <f>VLOOKUP($A69,'Выгр Кат'!$A:$S,F$1,0)</f>
        <v>21213-2301034</v>
      </c>
      <c r="G69" s="34" t="s">
        <v>717</v>
      </c>
      <c r="H69" s="29"/>
      <c r="I69" s="4" t="s">
        <v>2</v>
      </c>
      <c r="J69" s="95">
        <v>1</v>
      </c>
      <c r="K69" s="168">
        <f t="shared" si="42"/>
        <v>45</v>
      </c>
      <c r="L69" s="167">
        <f>VLOOKUP(K69,Наценка!$A$1:$B$8,2,1)</f>
        <v>2.150537634408602</v>
      </c>
      <c r="M69" s="172">
        <f t="shared" ref="M69:M132" si="43">K69*L69</f>
        <v>96.774193548387089</v>
      </c>
      <c r="N69" s="173">
        <f t="shared" si="35"/>
        <v>99</v>
      </c>
      <c r="O69" s="134">
        <f>VLOOKUP($A69,'Выгр Кат'!$A:$S,O$1,0)</f>
        <v>45</v>
      </c>
      <c r="P69" s="134">
        <f>VLOOKUP($A69,'Выгр Кат'!$A:$S,P$1,0)</f>
        <v>99</v>
      </c>
      <c r="Q69" s="107">
        <f t="shared" si="36"/>
        <v>0</v>
      </c>
      <c r="R69" s="107">
        <f t="shared" si="37"/>
        <v>0</v>
      </c>
      <c r="S69" s="110">
        <f t="shared" si="38"/>
        <v>92.07</v>
      </c>
      <c r="T69" s="135">
        <f t="shared" si="39"/>
        <v>1.0459999999999998</v>
      </c>
      <c r="U69" s="135" t="str">
        <f t="shared" si="40"/>
        <v/>
      </c>
      <c r="V69" s="135" t="str">
        <f t="shared" si="41"/>
        <v/>
      </c>
      <c r="W69" s="45"/>
      <c r="X69" s="114" t="str">
        <f>IFERROR((VLOOKUP($A69,'ИЗ ГУГЛА'!$B:$G,X$1,0)+Z69)*Y69,VLOOKUP($A69,'ИЗ ГУГЛА'!$B:$G,X$1,0))</f>
        <v/>
      </c>
      <c r="Y69" s="108">
        <v>1</v>
      </c>
      <c r="Z69" s="46"/>
      <c r="AA69" s="45" t="s">
        <v>1821</v>
      </c>
      <c r="AB69" s="124"/>
      <c r="AC69" s="114" t="str">
        <f>IFERROR((VLOOKUP($A69,'ИЗ ГУГЛА'!$B:$Z,AC$1,0)+AE69)*AD69,VLOOKUP($A69,'ИЗ ГУГЛА'!$B:$Z,AC$1,0))</f>
        <v/>
      </c>
      <c r="AD69" s="108">
        <v>1</v>
      </c>
      <c r="AE69" s="46"/>
      <c r="AF69" s="115"/>
    </row>
    <row r="70" spans="1:33" s="5" customFormat="1" ht="30" x14ac:dyDescent="0.25">
      <c r="A70" s="132">
        <v>181552</v>
      </c>
      <c r="B70" s="132">
        <f>VLOOKUP($A70,'Выгр Кат'!$A:$S,B$1,0)</f>
        <v>35408</v>
      </c>
      <c r="C70" s="133" t="str">
        <f>VLOOKUP($A70,'Выгр Кат'!$A:$S,C$1,0)</f>
        <v>Опора радиатора "БРТ" нижняя для ВАЗ 2101-2107, Лада Нива 4х4</v>
      </c>
      <c r="D70" s="132" t="str">
        <f>VLOOKUP($A70,'Выгр Кат'!$A:$S,D$1,0)</f>
        <v>Y</v>
      </c>
      <c r="E70" s="132" t="str">
        <f>VLOOKUP($A70,'Выгр Кат'!$A:$S,E$1,0)</f>
        <v>1</v>
      </c>
      <c r="F70" s="132" t="str">
        <f>VLOOKUP($A70,'Выгр Кат'!$A:$S,F$1,0)</f>
        <v>2101-1302060</v>
      </c>
      <c r="G70" s="44" t="s">
        <v>248</v>
      </c>
      <c r="H70" s="29"/>
      <c r="I70" s="4" t="s">
        <v>2</v>
      </c>
      <c r="J70" s="95">
        <v>1</v>
      </c>
      <c r="K70" s="168">
        <f t="shared" si="42"/>
        <v>47</v>
      </c>
      <c r="L70" s="167">
        <f>VLOOKUP(K70,Наценка!$A$1:$B$8,2,1)</f>
        <v>2.150537634408602</v>
      </c>
      <c r="M70" s="172">
        <f t="shared" si="43"/>
        <v>101.07526881720429</v>
      </c>
      <c r="N70" s="173">
        <f t="shared" si="35"/>
        <v>109</v>
      </c>
      <c r="O70" s="134">
        <f>VLOOKUP($A70,'Выгр Кат'!$A:$S,O$1,0)</f>
        <v>47</v>
      </c>
      <c r="P70" s="134">
        <f>VLOOKUP($A70,'Выгр Кат'!$A:$S,P$1,0)</f>
        <v>109</v>
      </c>
      <c r="Q70" s="107">
        <f t="shared" si="36"/>
        <v>0</v>
      </c>
      <c r="R70" s="107">
        <f t="shared" si="37"/>
        <v>0</v>
      </c>
      <c r="S70" s="110">
        <f t="shared" si="38"/>
        <v>101.36999999999999</v>
      </c>
      <c r="T70" s="135">
        <f t="shared" si="39"/>
        <v>1.1568085106382977</v>
      </c>
      <c r="U70" s="135" t="str">
        <f t="shared" si="40"/>
        <v/>
      </c>
      <c r="V70" s="135" t="str">
        <f t="shared" si="41"/>
        <v/>
      </c>
      <c r="W70" s="45"/>
      <c r="X70" s="114" t="str">
        <f>IFERROR((VLOOKUP($A70,'ИЗ ГУГЛА'!$B:$G,X$1,0)+Z70)*Y70,VLOOKUP($A70,'ИЗ ГУГЛА'!$B:$G,X$1,0))</f>
        <v/>
      </c>
      <c r="Y70" s="108">
        <v>1</v>
      </c>
      <c r="Z70" s="46"/>
      <c r="AA70" s="45" t="s">
        <v>1821</v>
      </c>
      <c r="AB70" s="124"/>
      <c r="AC70" s="114" t="str">
        <f>IFERROR((VLOOKUP($A70,'ИЗ ГУГЛА'!$B:$Z,AC$1,0)+AE70)*AD70,VLOOKUP($A70,'ИЗ ГУГЛА'!$B:$Z,AC$1,0))</f>
        <v/>
      </c>
      <c r="AD70" s="108">
        <v>1</v>
      </c>
      <c r="AE70" s="46"/>
      <c r="AF70" s="115"/>
    </row>
    <row r="71" spans="1:33" s="5" customFormat="1" ht="45" x14ac:dyDescent="0.25">
      <c r="A71" s="132">
        <v>194865</v>
      </c>
      <c r="B71" s="132">
        <f>VLOOKUP($A71,'Выгр Кат'!$A:$S,B$1,0)</f>
        <v>19849</v>
      </c>
      <c r="C71" s="133" t="str">
        <f>VLOOKUP($A71,'Выгр Кат'!$A:$S,C$1,0)</f>
        <v>Подушка подвески глушителя "БРТ" для Лада Ларгус, Renault Logan, Nissan Almera</v>
      </c>
      <c r="D71" s="132" t="str">
        <f>VLOOKUP($A71,'Выгр Кат'!$A:$S,D$1,0)</f>
        <v>Y</v>
      </c>
      <c r="E71" s="132" t="str">
        <f>VLOOKUP($A71,'Выгр Кат'!$A:$S,E$1,0)</f>
        <v>1</v>
      </c>
      <c r="F71" s="132" t="str">
        <f>VLOOKUP($A71,'Выгр Кат'!$A:$S,F$1,0)</f>
        <v>6001547472РИ</v>
      </c>
      <c r="G71" s="45" t="s">
        <v>575</v>
      </c>
      <c r="H71" s="29"/>
      <c r="I71" s="4" t="s">
        <v>2</v>
      </c>
      <c r="J71" s="95">
        <v>1</v>
      </c>
      <c r="K71" s="168">
        <f t="shared" si="42"/>
        <v>42</v>
      </c>
      <c r="L71" s="167">
        <f>VLOOKUP(K71,Наценка!$A$1:$B$8,2,1)</f>
        <v>2.150537634408602</v>
      </c>
      <c r="M71" s="145">
        <f>W71*1</f>
        <v>109</v>
      </c>
      <c r="N71" s="173">
        <f t="shared" si="35"/>
        <v>109</v>
      </c>
      <c r="O71" s="134">
        <f>VLOOKUP($A71,'Выгр Кат'!$A:$S,O$1,0)</f>
        <v>42</v>
      </c>
      <c r="P71" s="134">
        <f>VLOOKUP($A71,'Выгр Кат'!$A:$S,P$1,0)</f>
        <v>99</v>
      </c>
      <c r="Q71" s="107">
        <f t="shared" si="36"/>
        <v>0</v>
      </c>
      <c r="R71" s="107">
        <f t="shared" si="37"/>
        <v>-10</v>
      </c>
      <c r="S71" s="110">
        <f t="shared" si="38"/>
        <v>101.36999999999999</v>
      </c>
      <c r="T71" s="135">
        <f t="shared" si="39"/>
        <v>1.4135714285714283</v>
      </c>
      <c r="U71" s="135">
        <f t="shared" si="40"/>
        <v>7.000000000000009E-2</v>
      </c>
      <c r="V71" s="135">
        <f t="shared" si="41"/>
        <v>1.5952380952380953</v>
      </c>
      <c r="W71" s="117">
        <f t="shared" ref="W71:W74" si="44">AA71</f>
        <v>109</v>
      </c>
      <c r="X71" s="114">
        <f>IFERROR((VLOOKUP($A71,'ИЗ ГУГЛА'!$B:$G,X$1,0)+Z71)*Y71,VLOOKUP($A71,'ИЗ ГУГЛА'!$B:$G,X$1,0))</f>
        <v>109</v>
      </c>
      <c r="Y71" s="108">
        <v>1</v>
      </c>
      <c r="Z71" s="46"/>
      <c r="AA71" s="139">
        <v>109</v>
      </c>
      <c r="AB71" s="124" t="s">
        <v>2789</v>
      </c>
      <c r="AC71" s="114" t="str">
        <f>IFERROR((VLOOKUP($A71,'ИЗ ГУГЛА'!$B:$Z,AC$1,0)+AE71)*AD71,VLOOKUP($A71,'ИЗ ГУГЛА'!$B:$Z,AC$1,0))</f>
        <v/>
      </c>
      <c r="AD71" s="108">
        <v>1</v>
      </c>
      <c r="AE71" s="46"/>
      <c r="AF71" s="115"/>
    </row>
    <row r="72" spans="1:33" s="5" customFormat="1" ht="30" x14ac:dyDescent="0.25">
      <c r="A72" s="132">
        <v>201331</v>
      </c>
      <c r="B72" s="132">
        <f>VLOOKUP($A72,'Выгр Кат'!$A:$S,B$1,0)</f>
        <v>35281</v>
      </c>
      <c r="C72" s="133" t="str">
        <f>VLOOKUP($A72,'Выгр Кат'!$A:$S,C$1,0)</f>
        <v>Прокладка "БРТ" датчика уровня топлива для Лада Нива 4х4</v>
      </c>
      <c r="D72" s="132" t="str">
        <f>VLOOKUP($A72,'Выгр Кат'!$A:$S,D$1,0)</f>
        <v>Y</v>
      </c>
      <c r="E72" s="132" t="str">
        <f>VLOOKUP($A72,'Выгр Кат'!$A:$S,E$1,0)</f>
        <v>1</v>
      </c>
      <c r="F72" s="132" t="str">
        <f>VLOOKUP($A72,'Выгр Кат'!$A:$S,F$1,0)</f>
        <v>21214-1101138</v>
      </c>
      <c r="G72" s="44" t="s">
        <v>756</v>
      </c>
      <c r="H72" s="29"/>
      <c r="I72" s="4" t="s">
        <v>2</v>
      </c>
      <c r="J72" s="95">
        <v>1</v>
      </c>
      <c r="K72" s="168">
        <f t="shared" si="42"/>
        <v>49</v>
      </c>
      <c r="L72" s="167">
        <f>VLOOKUP(K72,Наценка!$A$1:$B$8,2,1)</f>
        <v>2.150537634408602</v>
      </c>
      <c r="M72" s="148">
        <f t="shared" ref="M71:M72" si="45">W72*1.06</f>
        <v>179.14000000000001</v>
      </c>
      <c r="N72" s="173">
        <f t="shared" si="35"/>
        <v>179</v>
      </c>
      <c r="O72" s="134">
        <f>VLOOKUP($A72,'Выгр Кат'!$A:$S,O$1,0)</f>
        <v>49</v>
      </c>
      <c r="P72" s="134">
        <f>VLOOKUP($A72,'Выгр Кат'!$A:$S,P$1,0)</f>
        <v>109</v>
      </c>
      <c r="Q72" s="107">
        <f t="shared" si="36"/>
        <v>0</v>
      </c>
      <c r="R72" s="107">
        <f t="shared" si="37"/>
        <v>-70</v>
      </c>
      <c r="S72" s="110">
        <f t="shared" si="38"/>
        <v>166.47</v>
      </c>
      <c r="T72" s="135">
        <f t="shared" si="39"/>
        <v>2.39734693877551</v>
      </c>
      <c r="U72" s="135">
        <f t="shared" si="40"/>
        <v>1.4970414201183439E-2</v>
      </c>
      <c r="V72" s="135">
        <f t="shared" si="41"/>
        <v>2.4489795918367347</v>
      </c>
      <c r="W72" s="117">
        <f t="shared" si="44"/>
        <v>169</v>
      </c>
      <c r="X72" s="114">
        <f>IFERROR((VLOOKUP($A72,'ИЗ ГУГЛА'!$B:$G,X$1,0)+Z72)*Y72,VLOOKUP($A72,'ИЗ ГУГЛА'!$B:$G,X$1,0))</f>
        <v>169</v>
      </c>
      <c r="Y72" s="108">
        <v>1</v>
      </c>
      <c r="Z72" s="46"/>
      <c r="AA72" s="139">
        <v>169</v>
      </c>
      <c r="AB72" s="124" t="s">
        <v>2790</v>
      </c>
      <c r="AC72" s="114" t="str">
        <f>IFERROR((VLOOKUP($A72,'ИЗ ГУГЛА'!$B:$Z,AC$1,0)+AE72)*AD72,VLOOKUP($A72,'ИЗ ГУГЛА'!$B:$Z,AC$1,0))</f>
        <v/>
      </c>
      <c r="AD72" s="108">
        <v>1</v>
      </c>
      <c r="AE72" s="46"/>
      <c r="AF72" s="115"/>
    </row>
    <row r="73" spans="1:33" s="5" customFormat="1" ht="30.75" thickBot="1" x14ac:dyDescent="0.3">
      <c r="A73" s="132">
        <v>186680</v>
      </c>
      <c r="B73" s="132">
        <f>VLOOKUP($A73,'Выгр Кат'!$A:$S,B$1,0)</f>
        <v>20430</v>
      </c>
      <c r="C73" s="133" t="str">
        <f>VLOOKUP($A73,'Выгр Кат'!$A:$S,C$1,0)</f>
        <v>Патрубок отопителя (печки) "БРТ" подводящий для Лада Нива 4х4</v>
      </c>
      <c r="D73" s="132" t="str">
        <f>VLOOKUP($A73,'Выгр Кат'!$A:$S,D$1,0)</f>
        <v>Y</v>
      </c>
      <c r="E73" s="132" t="str">
        <f>VLOOKUP($A73,'Выгр Кат'!$A:$S,E$1,0)</f>
        <v>1</v>
      </c>
      <c r="F73" s="132" t="str">
        <f>VLOOKUP($A73,'Выгр Кат'!$A:$S,F$1,0)</f>
        <v>21214-8101200РП.</v>
      </c>
      <c r="G73" s="45" t="s">
        <v>477</v>
      </c>
      <c r="H73" s="29"/>
      <c r="I73" s="4" t="s">
        <v>2</v>
      </c>
      <c r="J73" s="95">
        <v>1</v>
      </c>
      <c r="K73" s="168">
        <f t="shared" si="42"/>
        <v>49</v>
      </c>
      <c r="L73" s="167">
        <f>VLOOKUP(K73,Наценка!$A$1:$B$8,2,1)</f>
        <v>2.150537634408602</v>
      </c>
      <c r="M73" s="149">
        <f t="shared" ref="M71:M74" si="46">W73*1.07</f>
        <v>159.43</v>
      </c>
      <c r="N73" s="173">
        <f t="shared" si="35"/>
        <v>159</v>
      </c>
      <c r="O73" s="134">
        <f>VLOOKUP($A73,'Выгр Кат'!$A:$S,O$1,0)</f>
        <v>49</v>
      </c>
      <c r="P73" s="134">
        <f>VLOOKUP($A73,'Выгр Кат'!$A:$S,P$1,0)</f>
        <v>159</v>
      </c>
      <c r="Q73" s="107">
        <f t="shared" si="36"/>
        <v>0</v>
      </c>
      <c r="R73" s="107">
        <f t="shared" si="37"/>
        <v>0</v>
      </c>
      <c r="S73" s="110">
        <f t="shared" si="38"/>
        <v>147.86999999999998</v>
      </c>
      <c r="T73" s="135">
        <f t="shared" si="39"/>
        <v>2.017755102040816</v>
      </c>
      <c r="U73" s="135">
        <f t="shared" si="40"/>
        <v>7.5838926174498248E-3</v>
      </c>
      <c r="V73" s="135">
        <f t="shared" si="41"/>
        <v>2.0408163265306123</v>
      </c>
      <c r="W73" s="117">
        <f t="shared" si="44"/>
        <v>149</v>
      </c>
      <c r="X73" s="114">
        <f>IFERROR((VLOOKUP($A73,'ИЗ ГУГЛА'!$B:$G,X$1,0)+Z73)*Y73,VLOOKUP($A73,'ИЗ ГУГЛА'!$B:$G,X$1,0))</f>
        <v>149</v>
      </c>
      <c r="Y73" s="108">
        <v>1</v>
      </c>
      <c r="Z73" s="46"/>
      <c r="AA73" s="136">
        <v>149</v>
      </c>
      <c r="AB73" s="124" t="s">
        <v>2652</v>
      </c>
      <c r="AC73" s="114" t="str">
        <f>IFERROR((VLOOKUP($A73,'ИЗ ГУГЛА'!$B:$Z,AC$1,0)+AE73)*AD73,VLOOKUP($A73,'ИЗ ГУГЛА'!$B:$Z,AC$1,0))</f>
        <v/>
      </c>
      <c r="AD73" s="108">
        <v>1</v>
      </c>
      <c r="AE73" s="46"/>
      <c r="AF73" s="115"/>
    </row>
    <row r="74" spans="1:33" s="5" customFormat="1" ht="60.75" thickTop="1" x14ac:dyDescent="0.25">
      <c r="A74" s="132">
        <v>158105</v>
      </c>
      <c r="B74" s="132">
        <f>VLOOKUP($A74,'Выгр Кат'!$A:$S,B$1,0)</f>
        <v>20514</v>
      </c>
      <c r="C74" s="133" t="str">
        <f>VLOOKUP($A74,'Выгр Кат'!$A:$S,C$1,0)</f>
        <v>Колпачок защитный шарового пальца тяг рулевой трапеции "БРТ" для ВАЗ 2101-2107, Лада Нива 4x4, Шевроле Нива</v>
      </c>
      <c r="D74" s="132" t="str">
        <f>VLOOKUP($A74,'Выгр Кат'!$A:$S,D$1,0)</f>
        <v>Y</v>
      </c>
      <c r="E74" s="132" t="str">
        <f>VLOOKUP($A74,'Выгр Кат'!$A:$S,E$1,0)</f>
        <v>1</v>
      </c>
      <c r="F74" s="132" t="str">
        <f>VLOOKUP($A74,'Выгр Кат'!$A:$S,F$1,0)</f>
        <v>2101-3003074Р.</v>
      </c>
      <c r="G74" s="45" t="s">
        <v>271</v>
      </c>
      <c r="H74" s="29"/>
      <c r="I74" s="4" t="s">
        <v>2</v>
      </c>
      <c r="J74" s="95">
        <v>1</v>
      </c>
      <c r="K74" s="168">
        <f t="shared" si="42"/>
        <v>50</v>
      </c>
      <c r="L74" s="167">
        <f>VLOOKUP(K74,Наценка!$A$1:$B$8,2,1)</f>
        <v>2.150537634408602</v>
      </c>
      <c r="M74" s="148">
        <f>W74*1.06</f>
        <v>168.54000000000002</v>
      </c>
      <c r="N74" s="173">
        <f t="shared" si="35"/>
        <v>169</v>
      </c>
      <c r="O74" s="134">
        <f>VLOOKUP($A74,'Выгр Кат'!$A:$S,O$1,0)</f>
        <v>50</v>
      </c>
      <c r="P74" s="134">
        <f>VLOOKUP($A74,'Выгр Кат'!$A:$S,P$1,0)</f>
        <v>109</v>
      </c>
      <c r="Q74" s="107">
        <f t="shared" si="36"/>
        <v>0</v>
      </c>
      <c r="R74" s="107">
        <f t="shared" si="37"/>
        <v>-60</v>
      </c>
      <c r="S74" s="110">
        <f t="shared" si="38"/>
        <v>157.16999999999999</v>
      </c>
      <c r="T74" s="135">
        <f t="shared" si="39"/>
        <v>2.1433999999999997</v>
      </c>
      <c r="U74" s="135">
        <f t="shared" si="40"/>
        <v>1.150943396226423E-2</v>
      </c>
      <c r="V74" s="135">
        <f t="shared" si="41"/>
        <v>2.1800000000000002</v>
      </c>
      <c r="W74" s="117">
        <f t="shared" si="44"/>
        <v>159</v>
      </c>
      <c r="X74" s="114">
        <f>IFERROR((VLOOKUP($A74,'ИЗ ГУГЛА'!$B:$G,X$1,0)+Z74)*Y74,VLOOKUP($A74,'ИЗ ГУГЛА'!$B:$G,X$1,0))</f>
        <v>159</v>
      </c>
      <c r="Y74" s="108">
        <v>1</v>
      </c>
      <c r="Z74" s="46"/>
      <c r="AA74" s="139">
        <v>159</v>
      </c>
      <c r="AB74" s="124" t="s">
        <v>2791</v>
      </c>
      <c r="AC74" s="114" t="str">
        <f>IFERROR((VLOOKUP($A74,'ИЗ ГУГЛА'!$B:$Z,AC$1,0)+AE74)*AD74,VLOOKUP($A74,'ИЗ ГУГЛА'!$B:$Z,AC$1,0))</f>
        <v/>
      </c>
      <c r="AD74" s="108">
        <v>1</v>
      </c>
      <c r="AE74" s="46"/>
      <c r="AF74" s="115"/>
    </row>
    <row r="75" spans="1:33" s="5" customFormat="1" ht="30" x14ac:dyDescent="0.25">
      <c r="A75" s="132">
        <v>162925</v>
      </c>
      <c r="B75" s="132">
        <f>VLOOKUP($A75,'Выгр Кат'!$A:$S,B$1,0)</f>
        <v>35418</v>
      </c>
      <c r="C75" s="133" t="str">
        <f>VLOOKUP($A75,'Выгр Кат'!$A:$S,C$1,0)</f>
        <v>Лента "БРТ" щетки стеклоочистителя для ВАЗ 2108-21099, 2113-2115</v>
      </c>
      <c r="D75" s="132" t="str">
        <f>VLOOKUP($A75,'Выгр Кат'!$A:$S,D$1,0)</f>
        <v>Y</v>
      </c>
      <c r="E75" s="132" t="str">
        <f>VLOOKUP($A75,'Выгр Кат'!$A:$S,E$1,0)</f>
        <v>1</v>
      </c>
      <c r="F75" s="132" t="str">
        <f>VLOOKUP($A75,'Выгр Кат'!$A:$S,F$1,0)</f>
        <v>33.5205906</v>
      </c>
      <c r="G75" s="44" t="s">
        <v>538</v>
      </c>
      <c r="H75" s="29"/>
      <c r="I75" s="4" t="s">
        <v>2</v>
      </c>
      <c r="J75" s="95">
        <v>1</v>
      </c>
      <c r="K75" s="168">
        <f t="shared" si="42"/>
        <v>51</v>
      </c>
      <c r="L75" s="167">
        <f>VLOOKUP(K75,Наценка!$A$1:$B$8,2,1)</f>
        <v>2.150537634408602</v>
      </c>
      <c r="M75" s="172">
        <f t="shared" si="43"/>
        <v>109.6774193548387</v>
      </c>
      <c r="N75" s="173">
        <f t="shared" si="35"/>
        <v>109</v>
      </c>
      <c r="O75" s="134">
        <f>VLOOKUP($A75,'Выгр Кат'!$A:$S,O$1,0)</f>
        <v>51</v>
      </c>
      <c r="P75" s="134">
        <f>VLOOKUP($A75,'Выгр Кат'!$A:$S,P$1,0)</f>
        <v>109</v>
      </c>
      <c r="Q75" s="107">
        <f t="shared" si="36"/>
        <v>0</v>
      </c>
      <c r="R75" s="107">
        <f t="shared" si="37"/>
        <v>0</v>
      </c>
      <c r="S75" s="110">
        <f t="shared" si="38"/>
        <v>101.36999999999999</v>
      </c>
      <c r="T75" s="135">
        <f t="shared" si="39"/>
        <v>0.98764705882352932</v>
      </c>
      <c r="U75" s="135" t="str">
        <f t="shared" si="40"/>
        <v/>
      </c>
      <c r="V75" s="135" t="str">
        <f t="shared" si="41"/>
        <v/>
      </c>
      <c r="W75" s="45"/>
      <c r="X75" s="114" t="str">
        <f>IFERROR((VLOOKUP($A75,'ИЗ ГУГЛА'!$B:$G,X$1,0)+Z75)*Y75,VLOOKUP($A75,'ИЗ ГУГЛА'!$B:$G,X$1,0))</f>
        <v/>
      </c>
      <c r="Y75" s="108">
        <v>1</v>
      </c>
      <c r="Z75" s="46"/>
      <c r="AA75" s="45" t="s">
        <v>1821</v>
      </c>
      <c r="AB75" s="124"/>
      <c r="AC75" s="114" t="str">
        <f>IFERROR((VLOOKUP($A75,'ИЗ ГУГЛА'!$B:$Z,AC$1,0)+AE75)*AD75,VLOOKUP($A75,'ИЗ ГУГЛА'!$B:$Z,AC$1,0))</f>
        <v/>
      </c>
      <c r="AD75" s="108">
        <v>1</v>
      </c>
      <c r="AE75" s="46"/>
      <c r="AF75" s="115"/>
    </row>
    <row r="76" spans="1:33" s="5" customFormat="1" ht="30" x14ac:dyDescent="0.25">
      <c r="A76" s="132">
        <v>141793</v>
      </c>
      <c r="B76" s="132">
        <f>VLOOKUP($A76,'Выгр Кат'!$A:$S,B$1,0)</f>
        <v>30610</v>
      </c>
      <c r="C76" s="133" t="str">
        <f>VLOOKUP($A76,'Выгр Кат'!$A:$S,C$1,0)</f>
        <v>Гофра "БРТ" проводки двери толстая, S-образная для ВАЗ 2110-2112</v>
      </c>
      <c r="D76" s="132" t="str">
        <f>VLOOKUP($A76,'Выгр Кат'!$A:$S,D$1,0)</f>
        <v>Y</v>
      </c>
      <c r="E76" s="132" t="str">
        <f>VLOOKUP($A76,'Выгр Кат'!$A:$S,E$1,0)</f>
        <v>0</v>
      </c>
      <c r="F76" s="132" t="str">
        <f>VLOOKUP($A76,'Выгр Кат'!$A:$S,F$1,0)</f>
        <v>11755</v>
      </c>
      <c r="G76" s="45" t="s">
        <v>1821</v>
      </c>
      <c r="H76" s="29" t="s">
        <v>1821</v>
      </c>
      <c r="I76" s="4" t="s">
        <v>2</v>
      </c>
      <c r="J76" s="95">
        <v>1</v>
      </c>
      <c r="K76" s="168">
        <f t="shared" si="42"/>
        <v>60</v>
      </c>
      <c r="L76" s="167">
        <f>VLOOKUP(K76,Наценка!$A$1:$B$8,2,1)</f>
        <v>2.150537634408602</v>
      </c>
      <c r="M76" s="172">
        <f t="shared" si="43"/>
        <v>129.03225806451613</v>
      </c>
      <c r="N76" s="173">
        <f t="shared" si="35"/>
        <v>129</v>
      </c>
      <c r="O76" s="134">
        <f>VLOOKUP($A76,'Выгр Кат'!$A:$S,O$1,0)</f>
        <v>60</v>
      </c>
      <c r="P76" s="134">
        <f>VLOOKUP($A76,'Выгр Кат'!$A:$S,P$1,0)</f>
        <v>129</v>
      </c>
      <c r="Q76" s="107">
        <f t="shared" si="36"/>
        <v>0</v>
      </c>
      <c r="R76" s="107">
        <f t="shared" si="37"/>
        <v>0</v>
      </c>
      <c r="S76" s="110">
        <f t="shared" si="38"/>
        <v>119.97</v>
      </c>
      <c r="T76" s="135">
        <f t="shared" si="39"/>
        <v>0.99950000000000006</v>
      </c>
      <c r="U76" s="135" t="str">
        <f t="shared" si="40"/>
        <v/>
      </c>
      <c r="V76" s="135" t="str">
        <f t="shared" si="41"/>
        <v/>
      </c>
      <c r="W76" s="45"/>
      <c r="X76" s="114" t="str">
        <f>IFERROR((VLOOKUP($A76,'ИЗ ГУГЛА'!$B:$G,X$1,0)+Z76)*Y76,VLOOKUP($A76,'ИЗ ГУГЛА'!$B:$G,X$1,0))</f>
        <v/>
      </c>
      <c r="Y76" s="108">
        <v>1</v>
      </c>
      <c r="Z76" s="46"/>
      <c r="AA76" s="45" t="s">
        <v>1821</v>
      </c>
      <c r="AB76" s="124"/>
      <c r="AC76" s="114" t="str">
        <f>IFERROR((VLOOKUP($A76,'ИЗ ГУГЛА'!$B:$Z,AC$1,0)+AE76)*AD76,VLOOKUP($A76,'ИЗ ГУГЛА'!$B:$Z,AC$1,0))</f>
        <v/>
      </c>
      <c r="AD76" s="108">
        <v>1</v>
      </c>
      <c r="AE76" s="46"/>
      <c r="AF76" s="115"/>
    </row>
    <row r="77" spans="1:33" s="5" customFormat="1" ht="30" x14ac:dyDescent="0.25">
      <c r="A77" s="132">
        <v>141810</v>
      </c>
      <c r="B77" s="132">
        <f>VLOOKUP($A77,'Выгр Кат'!$A:$S,B$1,0)</f>
        <v>20417</v>
      </c>
      <c r="C77" s="133" t="str">
        <f>VLOOKUP($A77,'Выгр Кат'!$A:$S,C$1,0)</f>
        <v>Гофра проводки крышки багажника "БРТ" для ВАЗ 2111</v>
      </c>
      <c r="D77" s="132" t="str">
        <f>VLOOKUP($A77,'Выгр Кат'!$A:$S,D$1,0)</f>
        <v>Y</v>
      </c>
      <c r="E77" s="132" t="str">
        <f>VLOOKUP($A77,'Выгр Кат'!$A:$S,E$1,0)</f>
        <v>1</v>
      </c>
      <c r="F77" s="132" t="str">
        <f>VLOOKUP($A77,'Выгр Кат'!$A:$S,F$1,0)</f>
        <v>2111-3724195Р</v>
      </c>
      <c r="G77" s="45" t="s">
        <v>1821</v>
      </c>
      <c r="H77" s="29" t="s">
        <v>1821</v>
      </c>
      <c r="I77" s="4" t="s">
        <v>2</v>
      </c>
      <c r="J77" s="95">
        <v>1</v>
      </c>
      <c r="K77" s="168">
        <f t="shared" si="42"/>
        <v>60</v>
      </c>
      <c r="L77" s="167">
        <f>VLOOKUP(K77,Наценка!$A$1:$B$8,2,1)</f>
        <v>2.150537634408602</v>
      </c>
      <c r="M77" s="149">
        <f>W77*1.07</f>
        <v>139.1</v>
      </c>
      <c r="N77" s="173">
        <f t="shared" si="35"/>
        <v>139</v>
      </c>
      <c r="O77" s="134">
        <f>VLOOKUP($A77,'Выгр Кат'!$A:$S,O$1,0)</f>
        <v>60</v>
      </c>
      <c r="P77" s="134">
        <f>VLOOKUP($A77,'Выгр Кат'!$A:$S,P$1,0)</f>
        <v>129</v>
      </c>
      <c r="Q77" s="107">
        <f t="shared" si="36"/>
        <v>0</v>
      </c>
      <c r="R77" s="107">
        <f t="shared" si="37"/>
        <v>-10</v>
      </c>
      <c r="S77" s="110">
        <f t="shared" si="38"/>
        <v>129.26999999999998</v>
      </c>
      <c r="T77" s="135">
        <f t="shared" si="39"/>
        <v>1.1544999999999996</v>
      </c>
      <c r="U77" s="135">
        <f t="shared" si="40"/>
        <v>5.6153846153847555E-3</v>
      </c>
      <c r="V77" s="135">
        <f t="shared" si="41"/>
        <v>1.1666666666666665</v>
      </c>
      <c r="W77" s="118">
        <f>AF77</f>
        <v>130</v>
      </c>
      <c r="X77" s="114" t="str">
        <f>IFERROR((VLOOKUP($A77,'ИЗ ГУГЛА'!$B:$G,X$1,0)+Z77)*Y77,VLOOKUP($A77,'ИЗ ГУГЛА'!$B:$G,X$1,0))</f>
        <v/>
      </c>
      <c r="Y77" s="108">
        <v>1</v>
      </c>
      <c r="Z77" s="46"/>
      <c r="AA77" s="45" t="s">
        <v>1821</v>
      </c>
      <c r="AB77" s="124"/>
      <c r="AC77" s="114" t="str">
        <f>IFERROR((VLOOKUP($A77,'ИЗ ГУГЛА'!$B:$Z,AC$1,0)+AE77)*AD77,VLOOKUP($A77,'ИЗ ГУГЛА'!$B:$Z,AC$1,0))</f>
        <v/>
      </c>
      <c r="AD77" s="108">
        <v>1</v>
      </c>
      <c r="AE77" s="46"/>
      <c r="AF77" s="115">
        <v>130</v>
      </c>
      <c r="AG77" s="5" t="s">
        <v>2792</v>
      </c>
    </row>
    <row r="78" spans="1:33" s="5" customFormat="1" ht="30" x14ac:dyDescent="0.25">
      <c r="A78" s="132">
        <v>141789</v>
      </c>
      <c r="B78" s="132">
        <f>VLOOKUP($A78,'Выгр Кат'!$A:$S,B$1,0)</f>
        <v>20409</v>
      </c>
      <c r="C78" s="133" t="str">
        <f>VLOOKUP($A78,'Выгр Кат'!$A:$S,C$1,0)</f>
        <v>Гофра "БРТ" проводки двери (S-образная, толстая) для ВАЗ 2110-2112</v>
      </c>
      <c r="D78" s="132" t="str">
        <f>VLOOKUP($A78,'Выгр Кат'!$A:$S,D$1,0)</f>
        <v>Y</v>
      </c>
      <c r="E78" s="132" t="str">
        <f>VLOOKUP($A78,'Выгр Кат'!$A:$S,E$1,0)</f>
        <v>1</v>
      </c>
      <c r="F78" s="132" t="str">
        <f>VLOOKUP($A78,'Выгр Кат'!$A:$S,F$1,0)</f>
        <v>КР-19</v>
      </c>
      <c r="G78" s="45" t="s">
        <v>1821</v>
      </c>
      <c r="H78" s="29" t="s">
        <v>1821</v>
      </c>
      <c r="I78" s="4" t="s">
        <v>2</v>
      </c>
      <c r="J78" s="95">
        <v>1</v>
      </c>
      <c r="K78" s="168">
        <f t="shared" si="42"/>
        <v>60</v>
      </c>
      <c r="L78" s="167">
        <f>VLOOKUP(K78,Наценка!$A$1:$B$8,2,1)</f>
        <v>2.150537634408602</v>
      </c>
      <c r="M78" s="172">
        <f t="shared" si="43"/>
        <v>129.03225806451613</v>
      </c>
      <c r="N78" s="173">
        <f t="shared" si="35"/>
        <v>129</v>
      </c>
      <c r="O78" s="134">
        <f>VLOOKUP($A78,'Выгр Кат'!$A:$S,O$1,0)</f>
        <v>60</v>
      </c>
      <c r="P78" s="134">
        <f>VLOOKUP($A78,'Выгр Кат'!$A:$S,P$1,0)</f>
        <v>129</v>
      </c>
      <c r="Q78" s="107">
        <f t="shared" si="36"/>
        <v>0</v>
      </c>
      <c r="R78" s="107">
        <f t="shared" si="37"/>
        <v>0</v>
      </c>
      <c r="S78" s="110">
        <f t="shared" si="38"/>
        <v>119.97</v>
      </c>
      <c r="T78" s="135">
        <f t="shared" si="39"/>
        <v>0.99950000000000006</v>
      </c>
      <c r="U78" s="135" t="str">
        <f t="shared" si="40"/>
        <v/>
      </c>
      <c r="V78" s="135" t="str">
        <f t="shared" si="41"/>
        <v/>
      </c>
      <c r="W78" s="45"/>
      <c r="X78" s="114" t="str">
        <f>IFERROR((VLOOKUP($A78,'ИЗ ГУГЛА'!$B:$G,X$1,0)+Z78)*Y78,VLOOKUP($A78,'ИЗ ГУГЛА'!$B:$G,X$1,0))</f>
        <v/>
      </c>
      <c r="Y78" s="108">
        <v>1</v>
      </c>
      <c r="Z78" s="46"/>
      <c r="AA78" s="45" t="s">
        <v>1821</v>
      </c>
      <c r="AB78" s="124"/>
      <c r="AC78" s="114" t="str">
        <f>IFERROR((VLOOKUP($A78,'ИЗ ГУГЛА'!$B:$Z,AC$1,0)+AE78)*AD78,VLOOKUP($A78,'ИЗ ГУГЛА'!$B:$Z,AC$1,0))</f>
        <v/>
      </c>
      <c r="AD78" s="108">
        <v>1</v>
      </c>
      <c r="AE78" s="46"/>
      <c r="AF78" s="115"/>
    </row>
    <row r="79" spans="1:33" s="5" customFormat="1" ht="60.75" thickBot="1" x14ac:dyDescent="0.3">
      <c r="A79" s="132">
        <v>186845</v>
      </c>
      <c r="B79" s="132">
        <f>VLOOKUP($A79,'Выгр Кат'!$A:$S,B$1,0)</f>
        <v>20390</v>
      </c>
      <c r="C79" s="133" t="str">
        <f>VLOOKUP($A79,'Выгр Кат'!$A:$S,C$1,0)</f>
        <v>Патрубок соединительный термостата и металлической трубки водяного насоса (термостата и тройника) "БРТ" для ВАЗ 2110-2112</v>
      </c>
      <c r="D79" s="132" t="str">
        <f>VLOOKUP($A79,'Выгр Кат'!$A:$S,D$1,0)</f>
        <v>Y</v>
      </c>
      <c r="E79" s="132" t="str">
        <f>VLOOKUP($A79,'Выгр Кат'!$A:$S,E$1,0)</f>
        <v>1</v>
      </c>
      <c r="F79" s="132" t="str">
        <f>VLOOKUP($A79,'Выгр Кат'!$A:$S,F$1,0)</f>
        <v>2112-1303092РП</v>
      </c>
      <c r="G79" s="45" t="s">
        <v>1821</v>
      </c>
      <c r="H79" s="29" t="s">
        <v>1821</v>
      </c>
      <c r="I79" s="4" t="s">
        <v>2</v>
      </c>
      <c r="J79" s="95">
        <v>1</v>
      </c>
      <c r="K79" s="168">
        <f t="shared" si="42"/>
        <v>45</v>
      </c>
      <c r="L79" s="167">
        <f>VLOOKUP(K79,Наценка!$A$1:$B$8,2,1)</f>
        <v>2.150537634408602</v>
      </c>
      <c r="M79" s="172">
        <f t="shared" si="43"/>
        <v>96.774193548387089</v>
      </c>
      <c r="N79" s="173">
        <f t="shared" si="35"/>
        <v>99</v>
      </c>
      <c r="O79" s="134">
        <f>VLOOKUP($A79,'Выгр Кат'!$A:$S,O$1,0)</f>
        <v>45</v>
      </c>
      <c r="P79" s="134">
        <f>VLOOKUP($A79,'Выгр Кат'!$A:$S,P$1,0)</f>
        <v>99</v>
      </c>
      <c r="Q79" s="107">
        <f t="shared" si="36"/>
        <v>0</v>
      </c>
      <c r="R79" s="107">
        <f t="shared" si="37"/>
        <v>0</v>
      </c>
      <c r="S79" s="110">
        <f t="shared" si="38"/>
        <v>92.07</v>
      </c>
      <c r="T79" s="135">
        <f t="shared" si="39"/>
        <v>1.0459999999999998</v>
      </c>
      <c r="U79" s="135" t="str">
        <f t="shared" si="40"/>
        <v/>
      </c>
      <c r="V79" s="135" t="str">
        <f t="shared" si="41"/>
        <v/>
      </c>
      <c r="W79" s="45"/>
      <c r="X79" s="114" t="str">
        <f>IFERROR((VLOOKUP($A79,'ИЗ ГУГЛА'!$B:$G,X$1,0)+Z79)*Y79,VLOOKUP($A79,'ИЗ ГУГЛА'!$B:$G,X$1,0))</f>
        <v/>
      </c>
      <c r="Y79" s="108">
        <v>1</v>
      </c>
      <c r="Z79" s="46"/>
      <c r="AA79" s="140" t="s">
        <v>1821</v>
      </c>
      <c r="AB79" s="129"/>
      <c r="AC79" s="114" t="str">
        <f>IFERROR((VLOOKUP($A79,'ИЗ ГУГЛА'!$B:$Z,AC$1,0)+AE79)*AD79,VLOOKUP($A79,'ИЗ ГУГЛА'!$B:$Z,AC$1,0))</f>
        <v/>
      </c>
      <c r="AD79" s="108">
        <v>1</v>
      </c>
      <c r="AE79" s="46"/>
      <c r="AF79" s="115"/>
    </row>
    <row r="80" spans="1:33" s="5" customFormat="1" ht="45.75" thickTop="1" x14ac:dyDescent="0.25">
      <c r="A80" s="132">
        <v>213311</v>
      </c>
      <c r="B80" s="132">
        <f>VLOOKUP($A80,'Выгр Кат'!$A:$S,B$1,0)</f>
        <v>35234</v>
      </c>
      <c r="C80" s="133" t="str">
        <f>VLOOKUP($A80,'Выгр Кат'!$A:$S,C$1,0)</f>
        <v>Сальник "БРТ" редуктора переднего моста с пружиной (красный) для Лада Нива 4х4, Шевроле Нива</v>
      </c>
      <c r="D80" s="132" t="str">
        <f>VLOOKUP($A80,'Выгр Кат'!$A:$S,D$1,0)</f>
        <v>Y</v>
      </c>
      <c r="E80" s="132" t="str">
        <f>VLOOKUP($A80,'Выгр Кат'!$A:$S,E$1,0)</f>
        <v>1</v>
      </c>
      <c r="F80" s="132" t="str">
        <f>VLOOKUP($A80,'Выгр Кат'!$A:$S,F$1,0)</f>
        <v>2121-2302052Р</v>
      </c>
      <c r="G80" s="44" t="s">
        <v>446</v>
      </c>
      <c r="H80" s="29"/>
      <c r="I80" s="4" t="s">
        <v>2</v>
      </c>
      <c r="J80" s="95">
        <v>1</v>
      </c>
      <c r="K80" s="168">
        <f t="shared" si="42"/>
        <v>51</v>
      </c>
      <c r="L80" s="167">
        <f>VLOOKUP(K80,Наценка!$A$1:$B$8,2,1)</f>
        <v>2.150537634408602</v>
      </c>
      <c r="M80" s="172">
        <f t="shared" si="43"/>
        <v>109.6774193548387</v>
      </c>
      <c r="N80" s="173">
        <f t="shared" si="35"/>
        <v>109</v>
      </c>
      <c r="O80" s="134">
        <f>VLOOKUP($A80,'Выгр Кат'!$A:$S,O$1,0)</f>
        <v>51</v>
      </c>
      <c r="P80" s="134">
        <f>VLOOKUP($A80,'Выгр Кат'!$A:$S,P$1,0)</f>
        <v>109</v>
      </c>
      <c r="Q80" s="107">
        <f t="shared" si="36"/>
        <v>0</v>
      </c>
      <c r="R80" s="107">
        <f t="shared" si="37"/>
        <v>0</v>
      </c>
      <c r="S80" s="110">
        <f t="shared" si="38"/>
        <v>101.36999999999999</v>
      </c>
      <c r="T80" s="135">
        <f t="shared" si="39"/>
        <v>0.98764705882352932</v>
      </c>
      <c r="U80" s="135" t="str">
        <f t="shared" si="40"/>
        <v/>
      </c>
      <c r="V80" s="135" t="str">
        <f t="shared" si="41"/>
        <v/>
      </c>
      <c r="W80" s="45"/>
      <c r="X80" s="114" t="str">
        <f>IFERROR((VLOOKUP($A80,'ИЗ ГУГЛА'!$B:$G,X$1,0)+Z80)*Y80,VLOOKUP($A80,'ИЗ ГУГЛА'!$B:$G,X$1,0))</f>
        <v/>
      </c>
      <c r="Y80" s="108">
        <v>1</v>
      </c>
      <c r="Z80" s="46"/>
      <c r="AA80" s="45" t="s">
        <v>1821</v>
      </c>
      <c r="AB80" s="124"/>
      <c r="AC80" s="114" t="str">
        <f>IFERROR((VLOOKUP($A80,'ИЗ ГУГЛА'!$B:$Z,AC$1,0)+AE80)*AD80,VLOOKUP($A80,'ИЗ ГУГЛА'!$B:$Z,AC$1,0))</f>
        <v/>
      </c>
      <c r="AD80" s="108">
        <v>1</v>
      </c>
      <c r="AE80" s="46"/>
      <c r="AF80" s="115"/>
    </row>
    <row r="81" spans="1:33" s="5" customFormat="1" ht="45" x14ac:dyDescent="0.25">
      <c r="A81" s="132">
        <v>213312</v>
      </c>
      <c r="B81" s="132">
        <f>VLOOKUP($A81,'Выгр Кат'!$A:$S,B$1,0)</f>
        <v>35232</v>
      </c>
      <c r="C81" s="133" t="str">
        <f>VLOOKUP($A81,'Выгр Кат'!$A:$S,C$1,0)</f>
        <v>Сальник "БРТ" редуктора переднего моста с пружиной для Лада Нива 4х4, Шевроле Нива</v>
      </c>
      <c r="D81" s="132" t="str">
        <f>VLOOKUP($A81,'Выгр Кат'!$A:$S,D$1,0)</f>
        <v>Y</v>
      </c>
      <c r="E81" s="132" t="str">
        <f>VLOOKUP($A81,'Выгр Кат'!$A:$S,E$1,0)</f>
        <v>1</v>
      </c>
      <c r="F81" s="132" t="str">
        <f>VLOOKUP($A81,'Выгр Кат'!$A:$S,F$1,0)</f>
        <v>2121-2302052</v>
      </c>
      <c r="G81" s="44" t="s">
        <v>445</v>
      </c>
      <c r="H81" s="29"/>
      <c r="I81" s="4" t="s">
        <v>2</v>
      </c>
      <c r="J81" s="95">
        <v>1</v>
      </c>
      <c r="K81" s="168">
        <f t="shared" si="42"/>
        <v>51</v>
      </c>
      <c r="L81" s="167">
        <f>VLOOKUP(K81,Наценка!$A$1:$B$8,2,1)</f>
        <v>2.150537634408602</v>
      </c>
      <c r="M81" s="149">
        <f t="shared" ref="M81:M83" si="47">W81*1.07</f>
        <v>159.43</v>
      </c>
      <c r="N81" s="173">
        <f t="shared" si="35"/>
        <v>159</v>
      </c>
      <c r="O81" s="134">
        <f>VLOOKUP($A81,'Выгр Кат'!$A:$S,O$1,0)</f>
        <v>51</v>
      </c>
      <c r="P81" s="134">
        <f>VLOOKUP($A81,'Выгр Кат'!$A:$S,P$1,0)</f>
        <v>109</v>
      </c>
      <c r="Q81" s="107">
        <f t="shared" si="36"/>
        <v>0</v>
      </c>
      <c r="R81" s="107">
        <f t="shared" si="37"/>
        <v>-50</v>
      </c>
      <c r="S81" s="110">
        <f t="shared" si="38"/>
        <v>147.86999999999998</v>
      </c>
      <c r="T81" s="135">
        <f t="shared" si="39"/>
        <v>1.8994117647058819</v>
      </c>
      <c r="U81" s="135">
        <f t="shared" si="40"/>
        <v>7.5838926174498248E-3</v>
      </c>
      <c r="V81" s="135">
        <f t="shared" si="41"/>
        <v>1.9215686274509802</v>
      </c>
      <c r="W81" s="117">
        <f t="shared" ref="W81:W83" si="48">AA81</f>
        <v>149</v>
      </c>
      <c r="X81" s="114">
        <f>IFERROR((VLOOKUP($A81,'ИЗ ГУГЛА'!$B:$G,X$1,0)+Z81)*Y81,VLOOKUP($A81,'ИЗ ГУГЛА'!$B:$G,X$1,0))</f>
        <v>149</v>
      </c>
      <c r="Y81" s="108">
        <v>1</v>
      </c>
      <c r="Z81" s="46"/>
      <c r="AA81" s="139">
        <v>149</v>
      </c>
      <c r="AB81" s="124" t="s">
        <v>2793</v>
      </c>
      <c r="AC81" s="114" t="str">
        <f>IFERROR((VLOOKUP($A81,'ИЗ ГУГЛА'!$B:$Z,AC$1,0)+AE81)*AD81,VLOOKUP($A81,'ИЗ ГУГЛА'!$B:$Z,AC$1,0))</f>
        <v/>
      </c>
      <c r="AD81" s="108">
        <v>1</v>
      </c>
      <c r="AE81" s="46"/>
      <c r="AF81" s="115"/>
    </row>
    <row r="82" spans="1:33" s="5" customFormat="1" ht="45.75" thickBot="1" x14ac:dyDescent="0.3">
      <c r="A82" s="132">
        <v>164751</v>
      </c>
      <c r="B82" s="132">
        <f>VLOOKUP($A82,'Выгр Кат'!$A:$S,B$1,0)</f>
        <v>19957</v>
      </c>
      <c r="C82" s="133" t="str">
        <f>VLOOKUP($A82,'Выгр Кат'!$A:$S,C$1,0)</f>
        <v>Муфта соединительная термостата и водяного насоса "БРТ" малый для ВАЗ 2105</v>
      </c>
      <c r="D82" s="132" t="str">
        <f>VLOOKUP($A82,'Выгр Кат'!$A:$S,D$1,0)</f>
        <v>Y</v>
      </c>
      <c r="E82" s="132" t="str">
        <f>VLOOKUP($A82,'Выгр Кат'!$A:$S,E$1,0)</f>
        <v>1</v>
      </c>
      <c r="F82" s="132" t="str">
        <f>VLOOKUP($A82,'Выгр Кат'!$A:$S,F$1,0)</f>
        <v>2105-1303092РП</v>
      </c>
      <c r="G82" s="45" t="s">
        <v>300</v>
      </c>
      <c r="H82" s="29"/>
      <c r="I82" s="4" t="s">
        <v>2</v>
      </c>
      <c r="J82" s="95">
        <v>1</v>
      </c>
      <c r="K82" s="168">
        <f t="shared" si="42"/>
        <v>56</v>
      </c>
      <c r="L82" s="167">
        <f>VLOOKUP(K82,Наценка!$A$1:$B$8,2,1)</f>
        <v>2.150537634408602</v>
      </c>
      <c r="M82" s="149">
        <f t="shared" si="47"/>
        <v>159.43</v>
      </c>
      <c r="N82" s="173">
        <f t="shared" si="35"/>
        <v>159</v>
      </c>
      <c r="O82" s="134">
        <f>VLOOKUP($A82,'Выгр Кат'!$A:$S,O$1,0)</f>
        <v>56</v>
      </c>
      <c r="P82" s="134">
        <f>VLOOKUP($A82,'Выгр Кат'!$A:$S,P$1,0)</f>
        <v>159</v>
      </c>
      <c r="Q82" s="107">
        <f t="shared" si="36"/>
        <v>0</v>
      </c>
      <c r="R82" s="107">
        <f t="shared" si="37"/>
        <v>0</v>
      </c>
      <c r="S82" s="110">
        <f t="shared" si="38"/>
        <v>147.86999999999998</v>
      </c>
      <c r="T82" s="135">
        <f t="shared" si="39"/>
        <v>1.640535714285714</v>
      </c>
      <c r="U82" s="135">
        <f t="shared" si="40"/>
        <v>7.5838926174498248E-3</v>
      </c>
      <c r="V82" s="135">
        <f t="shared" si="41"/>
        <v>1.6607142857142856</v>
      </c>
      <c r="W82" s="117">
        <f t="shared" si="48"/>
        <v>149</v>
      </c>
      <c r="X82" s="114">
        <f>IFERROR((VLOOKUP($A82,'ИЗ ГУГЛА'!$B:$G,X$1,0)+Z82)*Y82,VLOOKUP($A82,'ИЗ ГУГЛА'!$B:$G,X$1,0))</f>
        <v>149</v>
      </c>
      <c r="Y82" s="108">
        <v>1</v>
      </c>
      <c r="Z82" s="46"/>
      <c r="AA82" s="136">
        <v>149</v>
      </c>
      <c r="AB82" s="124" t="s">
        <v>2630</v>
      </c>
      <c r="AC82" s="114" t="str">
        <f>IFERROR((VLOOKUP($A82,'ИЗ ГУГЛА'!$B:$Z,AC$1,0)+AE82)*AD82,VLOOKUP($A82,'ИЗ ГУГЛА'!$B:$Z,AC$1,0))</f>
        <v/>
      </c>
      <c r="AD82" s="108">
        <v>1</v>
      </c>
      <c r="AE82" s="46"/>
      <c r="AF82" s="115"/>
    </row>
    <row r="83" spans="1:33" s="5" customFormat="1" ht="30.75" thickTop="1" x14ac:dyDescent="0.25">
      <c r="A83" s="132">
        <v>225920</v>
      </c>
      <c r="B83" s="132">
        <f>VLOOKUP($A83,'Выгр Кат'!$A:$S,B$1,0)</f>
        <v>35355</v>
      </c>
      <c r="C83" s="133" t="str">
        <f>VLOOKUP($A83,'Выгр Кат'!$A:$S,C$1,0)</f>
        <v>Шланг "БРТ" подогрева карбюратора для ВАЗ 210-21099, 2113-2115</v>
      </c>
      <c r="D83" s="132" t="str">
        <f>VLOOKUP($A83,'Выгр Кат'!$A:$S,D$1,0)</f>
        <v>Y</v>
      </c>
      <c r="E83" s="132" t="str">
        <f>VLOOKUP($A83,'Выгр Кат'!$A:$S,E$1,0)</f>
        <v>1</v>
      </c>
      <c r="F83" s="132" t="str">
        <f>VLOOKUP($A83,'Выгр Кат'!$A:$S,F$1,0)</f>
        <v>2108-1107033-01</v>
      </c>
      <c r="G83" s="44" t="s">
        <v>328</v>
      </c>
      <c r="H83" s="29"/>
      <c r="I83" s="4" t="s">
        <v>2</v>
      </c>
      <c r="J83" s="95">
        <v>1</v>
      </c>
      <c r="K83" s="168">
        <f t="shared" si="42"/>
        <v>57</v>
      </c>
      <c r="L83" s="167">
        <f>VLOOKUP(K83,Наценка!$A$1:$B$8,2,1)</f>
        <v>2.150537634408602</v>
      </c>
      <c r="M83" s="148">
        <f>W83*1.05</f>
        <v>198.45000000000002</v>
      </c>
      <c r="N83" s="173">
        <f t="shared" si="35"/>
        <v>199</v>
      </c>
      <c r="O83" s="134">
        <f>VLOOKUP($A83,'Выгр Кат'!$A:$S,O$1,0)</f>
        <v>57</v>
      </c>
      <c r="P83" s="134">
        <f>VLOOKUP($A83,'Выгр Кат'!$A:$S,P$1,0)</f>
        <v>129</v>
      </c>
      <c r="Q83" s="107">
        <f t="shared" si="36"/>
        <v>0</v>
      </c>
      <c r="R83" s="107">
        <f t="shared" si="37"/>
        <v>-70</v>
      </c>
      <c r="S83" s="110">
        <f t="shared" si="38"/>
        <v>185.07</v>
      </c>
      <c r="T83" s="135">
        <f t="shared" si="39"/>
        <v>2.2468421052631578</v>
      </c>
      <c r="U83" s="135">
        <f t="shared" si="40"/>
        <v>2.0793650793650829E-2</v>
      </c>
      <c r="V83" s="135">
        <f t="shared" si="41"/>
        <v>2.3157894736842106</v>
      </c>
      <c r="W83" s="117">
        <f t="shared" si="48"/>
        <v>189</v>
      </c>
      <c r="X83" s="114">
        <f>IFERROR((VLOOKUP($A83,'ИЗ ГУГЛА'!$B:$G,X$1,0)+Z83)*Y83,VLOOKUP($A83,'ИЗ ГУГЛА'!$B:$G,X$1,0))</f>
        <v>189</v>
      </c>
      <c r="Y83" s="108">
        <v>1</v>
      </c>
      <c r="Z83" s="46"/>
      <c r="AA83" s="139">
        <v>189</v>
      </c>
      <c r="AB83" s="124" t="s">
        <v>2794</v>
      </c>
      <c r="AC83" s="114" t="str">
        <f>IFERROR((VLOOKUP($A83,'ИЗ ГУГЛА'!$B:$Z,AC$1,0)+AE83)*AD83,VLOOKUP($A83,'ИЗ ГУГЛА'!$B:$Z,AC$1,0))</f>
        <v/>
      </c>
      <c r="AD83" s="108">
        <v>1</v>
      </c>
      <c r="AE83" s="46"/>
      <c r="AF83" s="115"/>
    </row>
    <row r="84" spans="1:33" s="5" customFormat="1" ht="30" x14ac:dyDescent="0.25">
      <c r="A84" s="132">
        <v>138896</v>
      </c>
      <c r="B84" s="132">
        <f>VLOOKUP($A84,'Выгр Кат'!$A:$S,B$1,0)</f>
        <v>20274</v>
      </c>
      <c r="C84" s="133" t="str">
        <f>VLOOKUP($A84,'Выгр Кат'!$A:$S,C$1,0)</f>
        <v>Буфер хода сжатия передней подвески "БРТ" для ВАЗ 2101-2107</v>
      </c>
      <c r="D84" s="132" t="str">
        <f>VLOOKUP($A84,'Выгр Кат'!$A:$S,D$1,0)</f>
        <v>Y</v>
      </c>
      <c r="E84" s="132" t="str">
        <f>VLOOKUP($A84,'Выгр Кат'!$A:$S,E$1,0)</f>
        <v>1</v>
      </c>
      <c r="F84" s="132" t="str">
        <f>VLOOKUP($A84,'Выгр Кат'!$A:$S,F$1,0)</f>
        <v>21010290423000</v>
      </c>
      <c r="G84" s="45" t="s">
        <v>1821</v>
      </c>
      <c r="H84" s="29" t="s">
        <v>1821</v>
      </c>
      <c r="I84" s="4" t="s">
        <v>2</v>
      </c>
      <c r="J84" s="95">
        <v>1</v>
      </c>
      <c r="K84" s="168">
        <f t="shared" si="42"/>
        <v>60</v>
      </c>
      <c r="L84" s="167">
        <f>VLOOKUP(K84,Наценка!$A$1:$B$8,2,1)</f>
        <v>2.150537634408602</v>
      </c>
      <c r="M84" s="172">
        <f t="shared" si="43"/>
        <v>129.03225806451613</v>
      </c>
      <c r="N84" s="173">
        <f t="shared" si="35"/>
        <v>129</v>
      </c>
      <c r="O84" s="134">
        <f>VLOOKUP($A84,'Выгр Кат'!$A:$S,O$1,0)</f>
        <v>60</v>
      </c>
      <c r="P84" s="134">
        <f>VLOOKUP($A84,'Выгр Кат'!$A:$S,P$1,0)</f>
        <v>129</v>
      </c>
      <c r="Q84" s="107">
        <f t="shared" si="36"/>
        <v>0</v>
      </c>
      <c r="R84" s="107">
        <f t="shared" si="37"/>
        <v>0</v>
      </c>
      <c r="S84" s="110">
        <f t="shared" si="38"/>
        <v>119.97</v>
      </c>
      <c r="T84" s="135">
        <f t="shared" si="39"/>
        <v>0.99950000000000006</v>
      </c>
      <c r="U84" s="135" t="str">
        <f t="shared" si="40"/>
        <v/>
      </c>
      <c r="V84" s="135" t="str">
        <f t="shared" si="41"/>
        <v/>
      </c>
      <c r="W84" s="45"/>
      <c r="X84" s="114" t="str">
        <f>IFERROR((VLOOKUP($A84,'ИЗ ГУГЛА'!$B:$G,X$1,0)+Z84)*Y84,VLOOKUP($A84,'ИЗ ГУГЛА'!$B:$G,X$1,0))</f>
        <v/>
      </c>
      <c r="Y84" s="108">
        <v>1</v>
      </c>
      <c r="Z84" s="46"/>
      <c r="AA84" s="45" t="s">
        <v>1821</v>
      </c>
      <c r="AB84" s="124"/>
      <c r="AC84" s="114" t="str">
        <f>IFERROR((VLOOKUP($A84,'ИЗ ГУГЛА'!$B:$Z,AC$1,0)+AE84)*AD84,VLOOKUP($A84,'ИЗ ГУГЛА'!$B:$Z,AC$1,0))</f>
        <v/>
      </c>
      <c r="AD84" s="108">
        <v>1</v>
      </c>
      <c r="AE84" s="46"/>
      <c r="AF84" s="115"/>
    </row>
    <row r="85" spans="1:33" s="5" customFormat="1" ht="30.75" thickBot="1" x14ac:dyDescent="0.3">
      <c r="A85" s="132">
        <v>194864</v>
      </c>
      <c r="B85" s="132">
        <f>VLOOKUP($A85,'Выгр Кат'!$A:$S,B$1,0)</f>
        <v>20267</v>
      </c>
      <c r="C85" s="133" t="str">
        <f>VLOOKUP($A85,'Выгр Кат'!$A:$S,C$1,0)</f>
        <v>Подушка подвески глушителя "БРТ" для Лада Калина</v>
      </c>
      <c r="D85" s="132" t="str">
        <f>VLOOKUP($A85,'Выгр Кат'!$A:$S,D$1,0)</f>
        <v>Y</v>
      </c>
      <c r="E85" s="132" t="str">
        <f>VLOOKUP($A85,'Выгр Кат'!$A:$S,E$1,0)</f>
        <v>1</v>
      </c>
      <c r="F85" s="132" t="str">
        <f>VLOOKUP($A85,'Выгр Кат'!$A:$S,F$1,0)</f>
        <v>1118-1203073Р.</v>
      </c>
      <c r="G85" s="45" t="s">
        <v>214</v>
      </c>
      <c r="H85" s="29"/>
      <c r="I85" s="4" t="s">
        <v>2</v>
      </c>
      <c r="J85" s="95">
        <v>1</v>
      </c>
      <c r="K85" s="168">
        <f t="shared" si="42"/>
        <v>58</v>
      </c>
      <c r="L85" s="167">
        <f>VLOOKUP(K85,Наценка!$A$1:$B$8,2,1)</f>
        <v>2.150537634408602</v>
      </c>
      <c r="M85" s="145">
        <f>W85*1</f>
        <v>129</v>
      </c>
      <c r="N85" s="173">
        <f t="shared" si="35"/>
        <v>129</v>
      </c>
      <c r="O85" s="134">
        <f>VLOOKUP($A85,'Выгр Кат'!$A:$S,O$1,0)</f>
        <v>58</v>
      </c>
      <c r="P85" s="134">
        <f>VLOOKUP($A85,'Выгр Кат'!$A:$S,P$1,0)</f>
        <v>129</v>
      </c>
      <c r="Q85" s="107">
        <f t="shared" si="36"/>
        <v>0</v>
      </c>
      <c r="R85" s="107">
        <f t="shared" si="37"/>
        <v>0</v>
      </c>
      <c r="S85" s="110">
        <f t="shared" si="38"/>
        <v>119.97</v>
      </c>
      <c r="T85" s="135">
        <f t="shared" si="39"/>
        <v>1.0684482758620688</v>
      </c>
      <c r="U85" s="135">
        <f t="shared" si="40"/>
        <v>7.0000000000000007E-2</v>
      </c>
      <c r="V85" s="135">
        <f t="shared" si="41"/>
        <v>1.2241379310344827</v>
      </c>
      <c r="W85" s="117">
        <f>AA85</f>
        <v>129</v>
      </c>
      <c r="X85" s="114">
        <f>IFERROR((VLOOKUP($A85,'ИЗ ГУГЛА'!$B:$G,X$1,0)+Z85)*Y85,VLOOKUP($A85,'ИЗ ГУГЛА'!$B:$G,X$1,0))</f>
        <v>129</v>
      </c>
      <c r="Y85" s="108">
        <v>1</v>
      </c>
      <c r="Z85" s="46"/>
      <c r="AA85" s="136">
        <v>129</v>
      </c>
      <c r="AB85" s="124" t="s">
        <v>2631</v>
      </c>
      <c r="AC85" s="114" t="str">
        <f>IFERROR((VLOOKUP($A85,'ИЗ ГУГЛА'!$B:$Z,AC$1,0)+AE85)*AD85,VLOOKUP($A85,'ИЗ ГУГЛА'!$B:$Z,AC$1,0))</f>
        <v/>
      </c>
      <c r="AD85" s="108">
        <v>1</v>
      </c>
      <c r="AE85" s="46"/>
      <c r="AF85" s="115"/>
    </row>
    <row r="86" spans="1:33" s="5" customFormat="1" ht="46.5" thickTop="1" thickBot="1" x14ac:dyDescent="0.3">
      <c r="A86" s="132">
        <v>186679</v>
      </c>
      <c r="B86" s="132">
        <f>VLOOKUP($A86,'Выгр Кат'!$A:$S,B$1,0)</f>
        <v>20434</v>
      </c>
      <c r="C86" s="133" t="str">
        <f>VLOOKUP($A86,'Выгр Кат'!$A:$S,C$1,0)</f>
        <v>Патрубок отопителя (печки) "БРТ" подводящий (длинный) для Лада Нива 4х4</v>
      </c>
      <c r="D86" s="132" t="str">
        <f>VLOOKUP($A86,'Выгр Кат'!$A:$S,D$1,0)</f>
        <v>Y</v>
      </c>
      <c r="E86" s="132" t="str">
        <f>VLOOKUP($A86,'Выгр Кат'!$A:$S,E$1,0)</f>
        <v>1</v>
      </c>
      <c r="F86" s="132" t="str">
        <f>VLOOKUP($A86,'Выгр Кат'!$A:$S,F$1,0)</f>
        <v>2121-8101200РП.</v>
      </c>
      <c r="G86" s="45" t="s">
        <v>458</v>
      </c>
      <c r="H86" s="29"/>
      <c r="I86" s="4" t="s">
        <v>2</v>
      </c>
      <c r="J86" s="95">
        <v>1</v>
      </c>
      <c r="K86" s="168">
        <f t="shared" si="42"/>
        <v>59</v>
      </c>
      <c r="L86" s="167">
        <f>VLOOKUP(K86,Наценка!$A$1:$B$8,2,1)</f>
        <v>2.150537634408602</v>
      </c>
      <c r="M86" s="172">
        <f t="shared" si="43"/>
        <v>126.88172043010752</v>
      </c>
      <c r="N86" s="173">
        <f t="shared" si="35"/>
        <v>129</v>
      </c>
      <c r="O86" s="134">
        <f>VLOOKUP($A86,'Выгр Кат'!$A:$S,O$1,0)</f>
        <v>59</v>
      </c>
      <c r="P86" s="134">
        <f>VLOOKUP($A86,'Выгр Кат'!$A:$S,P$1,0)</f>
        <v>129</v>
      </c>
      <c r="Q86" s="107">
        <f t="shared" si="36"/>
        <v>0</v>
      </c>
      <c r="R86" s="107">
        <f t="shared" si="37"/>
        <v>0</v>
      </c>
      <c r="S86" s="110">
        <f t="shared" si="38"/>
        <v>119.97</v>
      </c>
      <c r="T86" s="135">
        <f t="shared" si="39"/>
        <v>1.0333898305084745</v>
      </c>
      <c r="U86" s="135" t="str">
        <f t="shared" si="40"/>
        <v/>
      </c>
      <c r="V86" s="135" t="str">
        <f t="shared" si="41"/>
        <v/>
      </c>
      <c r="W86" s="45"/>
      <c r="X86" s="114" t="str">
        <f>IFERROR((VLOOKUP($A86,'ИЗ ГУГЛА'!$B:$G,X$1,0)+Z86)*Y86,VLOOKUP($A86,'ИЗ ГУГЛА'!$B:$G,X$1,0))</f>
        <v/>
      </c>
      <c r="Y86" s="108">
        <v>1</v>
      </c>
      <c r="Z86" s="46"/>
      <c r="AA86" s="140" t="s">
        <v>1821</v>
      </c>
      <c r="AB86" s="129"/>
      <c r="AC86" s="114" t="str">
        <f>IFERROR((VLOOKUP($A86,'ИЗ ГУГЛА'!$B:$Z,AC$1,0)+AE86)*AD86,VLOOKUP($A86,'ИЗ ГУГЛА'!$B:$Z,AC$1,0))</f>
        <v/>
      </c>
      <c r="AD86" s="108">
        <v>1</v>
      </c>
      <c r="AE86" s="46"/>
      <c r="AF86" s="115"/>
    </row>
    <row r="87" spans="1:33" s="5" customFormat="1" ht="75.75" thickTop="1" x14ac:dyDescent="0.25">
      <c r="A87" s="132">
        <v>213386</v>
      </c>
      <c r="B87" s="132">
        <f>VLOOKUP($A87,'Выгр Кат'!$A:$S,B$1,0)</f>
        <v>32475</v>
      </c>
      <c r="C87" s="133" t="str">
        <f>VLOOKUP($A87,'Выгр Кат'!$A:$S,C$1,0)</f>
        <v>Сальник привода "БРТ" левый для ВАЗ (2108-21099, 2110-2112, 2113-2115), Лада (Калина, Калина 2, Приора, Приора 2, Гранта, Нива 4x4, Веста), Шевроле Нива</v>
      </c>
      <c r="D87" s="132" t="str">
        <f>VLOOKUP($A87,'Выгр Кат'!$A:$S,D$1,0)</f>
        <v>Y</v>
      </c>
      <c r="E87" s="132" t="str">
        <f>VLOOKUP($A87,'Выгр Кат'!$A:$S,E$1,0)</f>
        <v>1</v>
      </c>
      <c r="F87" s="132" t="str">
        <f>VLOOKUP($A87,'Выгр Кат'!$A:$S,F$1,0)</f>
        <v>21102301035</v>
      </c>
      <c r="G87" s="34" t="s">
        <v>715</v>
      </c>
      <c r="H87" s="29"/>
      <c r="I87" s="4" t="s">
        <v>2</v>
      </c>
      <c r="J87" s="95">
        <v>1</v>
      </c>
      <c r="K87" s="168">
        <f t="shared" si="42"/>
        <v>73</v>
      </c>
      <c r="L87" s="167">
        <f>VLOOKUP(K87,Наценка!$A$1:$B$8,2,1)</f>
        <v>2.150537634408602</v>
      </c>
      <c r="M87" s="145">
        <f t="shared" ref="M87:M89" si="49">W87*1</f>
        <v>129</v>
      </c>
      <c r="N87" s="173">
        <f t="shared" si="35"/>
        <v>129</v>
      </c>
      <c r="O87" s="134">
        <f>VLOOKUP($A87,'Выгр Кат'!$A:$S,O$1,0)</f>
        <v>73</v>
      </c>
      <c r="P87" s="134">
        <f>VLOOKUP($A87,'Выгр Кат'!$A:$S,P$1,0)</f>
        <v>159</v>
      </c>
      <c r="Q87" s="107">
        <f t="shared" si="36"/>
        <v>0</v>
      </c>
      <c r="R87" s="107">
        <f t="shared" si="37"/>
        <v>30</v>
      </c>
      <c r="S87" s="110">
        <f t="shared" si="38"/>
        <v>119.97</v>
      </c>
      <c r="T87" s="135">
        <f t="shared" si="39"/>
        <v>0.6434246575342466</v>
      </c>
      <c r="U87" s="135">
        <f t="shared" si="40"/>
        <v>7.0000000000000007E-2</v>
      </c>
      <c r="V87" s="135">
        <f t="shared" si="41"/>
        <v>0.76712328767123283</v>
      </c>
      <c r="W87" s="117">
        <f t="shared" ref="W87:W88" si="50">AA87</f>
        <v>129</v>
      </c>
      <c r="X87" s="114">
        <f>IFERROR((VLOOKUP($A87,'ИЗ ГУГЛА'!$B:$G,X$1,0)+Z87)*Y87,VLOOKUP($A87,'ИЗ ГУГЛА'!$B:$G,X$1,0))</f>
        <v>129</v>
      </c>
      <c r="Y87" s="108">
        <v>1</v>
      </c>
      <c r="Z87" s="46"/>
      <c r="AA87" s="139">
        <v>129</v>
      </c>
      <c r="AB87" s="124" t="s">
        <v>2586</v>
      </c>
      <c r="AC87" s="114" t="str">
        <f>IFERROR((VLOOKUP($A87,'ИЗ ГУГЛА'!$B:$Z,AC$1,0)+AE87)*AD87,VLOOKUP($A87,'ИЗ ГУГЛА'!$B:$Z,AC$1,0))</f>
        <v/>
      </c>
      <c r="AD87" s="108">
        <v>1</v>
      </c>
      <c r="AE87" s="46"/>
      <c r="AF87" s="115"/>
    </row>
    <row r="88" spans="1:33" s="5" customFormat="1" ht="75" x14ac:dyDescent="0.25">
      <c r="A88" s="132">
        <v>213388</v>
      </c>
      <c r="B88" s="132">
        <f>VLOOKUP($A88,'Выгр Кат'!$A:$S,B$1,0)</f>
        <v>32322</v>
      </c>
      <c r="C88" s="133" t="str">
        <f>VLOOKUP($A88,'Выгр Кат'!$A:$S,C$1,0)</f>
        <v>Сальник привода "БРТ" правый для ВАЗ (2108-21099, 2113-2115, 2110-2112), Лада (Калина, Калина 2, Приора, Приора 2, Гранта, Нива 4x4, Веста), Шевроле Нива</v>
      </c>
      <c r="D88" s="132" t="str">
        <f>VLOOKUP($A88,'Выгр Кат'!$A:$S,D$1,0)</f>
        <v>Y</v>
      </c>
      <c r="E88" s="132" t="str">
        <f>VLOOKUP($A88,'Выгр Кат'!$A:$S,E$1,0)</f>
        <v>1</v>
      </c>
      <c r="F88" s="132" t="str">
        <f>VLOOKUP($A88,'Выгр Кат'!$A:$S,F$1,0)</f>
        <v>21102301034</v>
      </c>
      <c r="G88" s="34" t="s">
        <v>715</v>
      </c>
      <c r="H88" s="29"/>
      <c r="I88" s="4" t="s">
        <v>2</v>
      </c>
      <c r="J88" s="95">
        <v>1</v>
      </c>
      <c r="K88" s="168">
        <f t="shared" si="42"/>
        <v>73</v>
      </c>
      <c r="L88" s="167">
        <f>VLOOKUP(K88,Наценка!$A$1:$B$8,2,1)</f>
        <v>2.150537634408602</v>
      </c>
      <c r="M88" s="145">
        <f t="shared" si="49"/>
        <v>129</v>
      </c>
      <c r="N88" s="173">
        <f t="shared" si="35"/>
        <v>129</v>
      </c>
      <c r="O88" s="134">
        <f>VLOOKUP($A88,'Выгр Кат'!$A:$S,O$1,0)</f>
        <v>73</v>
      </c>
      <c r="P88" s="134">
        <f>VLOOKUP($A88,'Выгр Кат'!$A:$S,P$1,0)</f>
        <v>159</v>
      </c>
      <c r="Q88" s="107">
        <f t="shared" si="36"/>
        <v>0</v>
      </c>
      <c r="R88" s="107">
        <f t="shared" si="37"/>
        <v>30</v>
      </c>
      <c r="S88" s="110">
        <f t="shared" si="38"/>
        <v>119.97</v>
      </c>
      <c r="T88" s="135">
        <f t="shared" si="39"/>
        <v>0.6434246575342466</v>
      </c>
      <c r="U88" s="135">
        <f t="shared" si="40"/>
        <v>7.0000000000000007E-2</v>
      </c>
      <c r="V88" s="135">
        <f t="shared" si="41"/>
        <v>0.76712328767123283</v>
      </c>
      <c r="W88" s="117">
        <f t="shared" si="50"/>
        <v>129</v>
      </c>
      <c r="X88" s="114">
        <f>IFERROR((VLOOKUP($A88,'ИЗ ГУГЛА'!$B:$G,X$1,0)+Z88)*Y88,VLOOKUP($A88,'ИЗ ГУГЛА'!$B:$G,X$1,0))</f>
        <v>129</v>
      </c>
      <c r="Y88" s="108">
        <v>1</v>
      </c>
      <c r="Z88" s="46"/>
      <c r="AA88" s="139">
        <v>129</v>
      </c>
      <c r="AB88" s="124" t="s">
        <v>2585</v>
      </c>
      <c r="AC88" s="114" t="str">
        <f>IFERROR((VLOOKUP($A88,'ИЗ ГУГЛА'!$B:$Z,AC$1,0)+AE88)*AD88,VLOOKUP($A88,'ИЗ ГУГЛА'!$B:$Z,AC$1,0))</f>
        <v/>
      </c>
      <c r="AD88" s="108">
        <v>1</v>
      </c>
      <c r="AE88" s="46"/>
      <c r="AF88" s="115"/>
    </row>
    <row r="89" spans="1:33" s="5" customFormat="1" ht="30" x14ac:dyDescent="0.25">
      <c r="A89" s="132">
        <v>139834</v>
      </c>
      <c r="B89" s="132">
        <f>VLOOKUP($A89,'Выгр Кат'!$A:$S,B$1,0)</f>
        <v>19848</v>
      </c>
      <c r="C89" s="133" t="str">
        <f>VLOOKUP($A89,'Выгр Кат'!$A:$S,C$1,0)</f>
        <v>Втулка стабилизатора "БРТ" для Лада Ларгус, Renault Logan, Sandero, SWAG</v>
      </c>
      <c r="D89" s="132" t="str">
        <f>VLOOKUP($A89,'Выгр Кат'!$A:$S,D$1,0)</f>
        <v>Y</v>
      </c>
      <c r="E89" s="132" t="str">
        <f>VLOOKUP($A89,'Выгр Кат'!$A:$S,E$1,0)</f>
        <v>1</v>
      </c>
      <c r="F89" s="132" t="str">
        <f>VLOOKUP($A89,'Выгр Кат'!$A:$S,F$1,0)</f>
        <v>6001547140РИ</v>
      </c>
      <c r="G89" s="45" t="s">
        <v>574</v>
      </c>
      <c r="H89" s="29"/>
      <c r="I89" s="4" t="s">
        <v>2</v>
      </c>
      <c r="J89" s="95">
        <v>1</v>
      </c>
      <c r="K89" s="168">
        <f t="shared" si="42"/>
        <v>53</v>
      </c>
      <c r="L89" s="167">
        <f>VLOOKUP(K89,Наценка!$A$1:$B$8,2,1)</f>
        <v>2.150537634408602</v>
      </c>
      <c r="M89" s="145">
        <f t="shared" si="49"/>
        <v>90</v>
      </c>
      <c r="N89" s="173">
        <f t="shared" si="35"/>
        <v>89</v>
      </c>
      <c r="O89" s="134">
        <f>VLOOKUP($A89,'Выгр Кат'!$A:$S,O$1,0)</f>
        <v>53</v>
      </c>
      <c r="P89" s="134">
        <f>VLOOKUP($A89,'Выгр Кат'!$A:$S,P$1,0)</f>
        <v>119</v>
      </c>
      <c r="Q89" s="107">
        <f t="shared" si="36"/>
        <v>0</v>
      </c>
      <c r="R89" s="107">
        <f t="shared" si="37"/>
        <v>30</v>
      </c>
      <c r="S89" s="110">
        <f t="shared" si="38"/>
        <v>82.77</v>
      </c>
      <c r="T89" s="135">
        <f t="shared" si="39"/>
        <v>0.56169811320754715</v>
      </c>
      <c r="U89" s="135">
        <f t="shared" si="40"/>
        <v>8.0333333333333382E-2</v>
      </c>
      <c r="V89" s="135">
        <f t="shared" si="41"/>
        <v>0.69811320754716988</v>
      </c>
      <c r="W89" s="118">
        <f>AF89</f>
        <v>90</v>
      </c>
      <c r="X89" s="114" t="str">
        <f>IFERROR((VLOOKUP($A89,'ИЗ ГУГЛА'!$B:$G,X$1,0)+Z89)*Y89,VLOOKUP($A89,'ИЗ ГУГЛА'!$B:$G,X$1,0))</f>
        <v/>
      </c>
      <c r="Y89" s="108">
        <v>1</v>
      </c>
      <c r="Z89" s="46"/>
      <c r="AA89" s="45" t="s">
        <v>1821</v>
      </c>
      <c r="AB89" s="124"/>
      <c r="AC89" s="114" t="str">
        <f>IFERROR((VLOOKUP($A89,'ИЗ ГУГЛА'!$B:$Z,AC$1,0)+AE89)*AD89,VLOOKUP($A89,'ИЗ ГУГЛА'!$B:$Z,AC$1,0))</f>
        <v/>
      </c>
      <c r="AD89" s="108">
        <v>1</v>
      </c>
      <c r="AE89" s="46"/>
      <c r="AF89" s="115">
        <v>90</v>
      </c>
      <c r="AG89" s="5" t="s">
        <v>2795</v>
      </c>
    </row>
    <row r="90" spans="1:33" s="5" customFormat="1" ht="30" x14ac:dyDescent="0.25">
      <c r="A90" s="132">
        <v>223215</v>
      </c>
      <c r="B90" s="132">
        <f>VLOOKUP($A90,'Выгр Кат'!$A:$S,B$1,0)</f>
        <v>35573</v>
      </c>
      <c r="C90" s="133" t="str">
        <f>VLOOKUP($A90,'Выгр Кат'!$A:$S,C$1,0)</f>
        <v>Уплотнитель "БРТ" капота (задний) для Лада Гранта, Калина 2</v>
      </c>
      <c r="D90" s="132" t="str">
        <f>VLOOKUP($A90,'Выгр Кат'!$A:$S,D$1,0)</f>
        <v>Y</v>
      </c>
      <c r="E90" s="132" t="str">
        <f>VLOOKUP($A90,'Выгр Кат'!$A:$S,E$1,0)</f>
        <v>1</v>
      </c>
      <c r="F90" s="132" t="str">
        <f>VLOOKUP($A90,'Выгр Кат'!$A:$S,F$1,0)</f>
        <v>2190-8402200</v>
      </c>
      <c r="G90" s="44" t="s">
        <v>1411</v>
      </c>
      <c r="H90" s="29"/>
      <c r="I90" s="4" t="s">
        <v>2</v>
      </c>
      <c r="J90" s="95">
        <v>1</v>
      </c>
      <c r="K90" s="168">
        <f t="shared" si="42"/>
        <v>220</v>
      </c>
      <c r="L90" s="167">
        <f>VLOOKUP(K90,Наценка!$A$1:$B$8,2,1)</f>
        <v>1.7204301075268817</v>
      </c>
      <c r="M90" s="172">
        <f t="shared" si="43"/>
        <v>378.49462365591398</v>
      </c>
      <c r="N90" s="173">
        <f t="shared" si="35"/>
        <v>379</v>
      </c>
      <c r="O90" s="134">
        <f>VLOOKUP($A90,'Выгр Кат'!$A:$S,O$1,0)</f>
        <v>220</v>
      </c>
      <c r="P90" s="134">
        <f>VLOOKUP($A90,'Выгр Кат'!$A:$S,P$1,0)</f>
        <v>379</v>
      </c>
      <c r="Q90" s="107">
        <f t="shared" si="36"/>
        <v>0</v>
      </c>
      <c r="R90" s="107">
        <f t="shared" si="37"/>
        <v>0</v>
      </c>
      <c r="S90" s="110">
        <f t="shared" si="38"/>
        <v>352.46999999999997</v>
      </c>
      <c r="T90" s="135">
        <f t="shared" si="39"/>
        <v>0.60213636363636347</v>
      </c>
      <c r="U90" s="135" t="str">
        <f t="shared" si="40"/>
        <v/>
      </c>
      <c r="V90" s="135" t="str">
        <f t="shared" si="41"/>
        <v/>
      </c>
      <c r="W90" s="45"/>
      <c r="X90" s="114" t="str">
        <f>IFERROR((VLOOKUP($A90,'ИЗ ГУГЛА'!$B:$G,X$1,0)+Z90)*Y90,VLOOKUP($A90,'ИЗ ГУГЛА'!$B:$G,X$1,0))</f>
        <v/>
      </c>
      <c r="Y90" s="108">
        <v>1</v>
      </c>
      <c r="Z90" s="46"/>
      <c r="AA90" s="45" t="s">
        <v>1821</v>
      </c>
      <c r="AB90" s="124"/>
      <c r="AC90" s="114" t="str">
        <f>IFERROR((VLOOKUP($A90,'ИЗ ГУГЛА'!$B:$Z,AC$1,0)+AE90)*AD90,VLOOKUP($A90,'ИЗ ГУГЛА'!$B:$Z,AC$1,0))</f>
        <v/>
      </c>
      <c r="AD90" s="108">
        <v>1</v>
      </c>
      <c r="AE90" s="46"/>
      <c r="AF90" s="115"/>
    </row>
    <row r="91" spans="1:33" s="5" customFormat="1" ht="45.75" thickBot="1" x14ac:dyDescent="0.3">
      <c r="A91" s="132">
        <v>186655</v>
      </c>
      <c r="B91" s="132">
        <f>VLOOKUP($A91,'Выгр Кат'!$A:$S,B$1,0)</f>
        <v>20485</v>
      </c>
      <c r="C91" s="133" t="str">
        <f>VLOOKUP($A91,'Выгр Кат'!$A:$S,C$1,0)</f>
        <v>Патрубок вытяжной вентиляции картера "БРТ" верхний для Лада Веста с 16v</v>
      </c>
      <c r="D91" s="132" t="str">
        <f>VLOOKUP($A91,'Выгр Кат'!$A:$S,D$1,0)</f>
        <v>Y</v>
      </c>
      <c r="E91" s="132" t="str">
        <f>VLOOKUP($A91,'Выгр Кат'!$A:$S,E$1,0)</f>
        <v>1</v>
      </c>
      <c r="F91" s="132" t="str">
        <f>VLOOKUP($A91,'Выгр Кат'!$A:$S,F$1,0)</f>
        <v>2180-1014058Р.</v>
      </c>
      <c r="G91" s="45" t="s">
        <v>555</v>
      </c>
      <c r="H91" s="29"/>
      <c r="I91" s="4" t="s">
        <v>2</v>
      </c>
      <c r="J91" s="95">
        <v>1</v>
      </c>
      <c r="K91" s="168">
        <f t="shared" si="42"/>
        <v>55</v>
      </c>
      <c r="L91" s="167">
        <f>VLOOKUP(K91,Наценка!$A$1:$B$8,2,1)</f>
        <v>2.150537634408602</v>
      </c>
      <c r="M91" s="149">
        <f t="shared" ref="M91:M92" si="51">W91*1.07</f>
        <v>159.43</v>
      </c>
      <c r="N91" s="173">
        <f t="shared" si="35"/>
        <v>159</v>
      </c>
      <c r="O91" s="134">
        <f>VLOOKUP($A91,'Выгр Кат'!$A:$S,O$1,0)</f>
        <v>55</v>
      </c>
      <c r="P91" s="134">
        <f>VLOOKUP($A91,'Выгр Кат'!$A:$S,P$1,0)</f>
        <v>159</v>
      </c>
      <c r="Q91" s="107">
        <f t="shared" si="36"/>
        <v>0</v>
      </c>
      <c r="R91" s="107">
        <f t="shared" si="37"/>
        <v>0</v>
      </c>
      <c r="S91" s="110">
        <f t="shared" si="38"/>
        <v>147.86999999999998</v>
      </c>
      <c r="T91" s="135">
        <f t="shared" si="39"/>
        <v>1.6885454545454541</v>
      </c>
      <c r="U91" s="135">
        <f t="shared" si="40"/>
        <v>7.5838926174498248E-3</v>
      </c>
      <c r="V91" s="135">
        <f t="shared" si="41"/>
        <v>1.709090909090909</v>
      </c>
      <c r="W91" s="117">
        <f t="shared" ref="W91:W92" si="52">AA91</f>
        <v>149</v>
      </c>
      <c r="X91" s="114">
        <f>IFERROR((VLOOKUP($A91,'ИЗ ГУГЛА'!$B:$G,X$1,0)+Z91)*Y91,VLOOKUP($A91,'ИЗ ГУГЛА'!$B:$G,X$1,0))</f>
        <v>149</v>
      </c>
      <c r="Y91" s="46">
        <v>1</v>
      </c>
      <c r="Z91" s="46"/>
      <c r="AA91" s="136">
        <v>149</v>
      </c>
      <c r="AB91" s="124" t="s">
        <v>2340</v>
      </c>
      <c r="AC91" s="114" t="str">
        <f>IFERROR((VLOOKUP($A91,'ИЗ ГУГЛА'!$B:$Z,AC$1,0)+AE91)*AD91,VLOOKUP($A91,'ИЗ ГУГЛА'!$B:$Z,AC$1,0))</f>
        <v/>
      </c>
      <c r="AD91" s="46">
        <v>1</v>
      </c>
      <c r="AE91" s="46"/>
      <c r="AF91" s="115"/>
    </row>
    <row r="92" spans="1:33" s="5" customFormat="1" ht="30.75" thickTop="1" x14ac:dyDescent="0.25">
      <c r="A92" s="132">
        <v>141809</v>
      </c>
      <c r="B92" s="132">
        <f>VLOOKUP($A92,'Выгр Кат'!$A:$S,B$1,0)</f>
        <v>20402</v>
      </c>
      <c r="C92" s="133" t="str">
        <f>VLOOKUP($A92,'Выгр Кат'!$A:$S,C$1,0)</f>
        <v>Гофра проводки крышки багажника "БРТ" для ВАЗ 2108</v>
      </c>
      <c r="D92" s="132" t="str">
        <f>VLOOKUP($A92,'Выгр Кат'!$A:$S,D$1,0)</f>
        <v>Y</v>
      </c>
      <c r="E92" s="132" t="str">
        <f>VLOOKUP($A92,'Выгр Кат'!$A:$S,E$1,0)</f>
        <v>1</v>
      </c>
      <c r="F92" s="132" t="str">
        <f>VLOOKUP($A92,'Выгр Кат'!$A:$S,F$1,0)</f>
        <v>2108-3724195-10Р</v>
      </c>
      <c r="G92" s="45" t="s">
        <v>1821</v>
      </c>
      <c r="H92" s="29" t="s">
        <v>1821</v>
      </c>
      <c r="I92" s="4" t="s">
        <v>2</v>
      </c>
      <c r="J92" s="95">
        <v>1</v>
      </c>
      <c r="K92" s="168">
        <f t="shared" si="42"/>
        <v>60</v>
      </c>
      <c r="L92" s="167">
        <f>VLOOKUP(K92,Наценка!$A$1:$B$8,2,1)</f>
        <v>2.150537634408602</v>
      </c>
      <c r="M92" s="148">
        <f>W92*1.05</f>
        <v>198.45000000000002</v>
      </c>
      <c r="N92" s="173">
        <f t="shared" si="35"/>
        <v>199</v>
      </c>
      <c r="O92" s="134">
        <f>VLOOKUP($A92,'Выгр Кат'!$A:$S,O$1,0)</f>
        <v>60</v>
      </c>
      <c r="P92" s="134">
        <f>VLOOKUP($A92,'Выгр Кат'!$A:$S,P$1,0)</f>
        <v>129</v>
      </c>
      <c r="Q92" s="107">
        <f t="shared" si="36"/>
        <v>0</v>
      </c>
      <c r="R92" s="107">
        <f t="shared" si="37"/>
        <v>-70</v>
      </c>
      <c r="S92" s="110">
        <f t="shared" si="38"/>
        <v>185.07</v>
      </c>
      <c r="T92" s="135">
        <f t="shared" si="39"/>
        <v>2.0844999999999998</v>
      </c>
      <c r="U92" s="135">
        <f t="shared" si="40"/>
        <v>2.0793650793650829E-2</v>
      </c>
      <c r="V92" s="135">
        <f t="shared" si="41"/>
        <v>2.15</v>
      </c>
      <c r="W92" s="117">
        <f t="shared" si="52"/>
        <v>189</v>
      </c>
      <c r="X92" s="114">
        <f>IFERROR((VLOOKUP($A92,'ИЗ ГУГЛА'!$B:$G,X$1,0)+Z92)*Y92,VLOOKUP($A92,'ИЗ ГУГЛА'!$B:$G,X$1,0))</f>
        <v>189</v>
      </c>
      <c r="Y92" s="108">
        <v>1</v>
      </c>
      <c r="Z92" s="46"/>
      <c r="AA92" s="45">
        <v>189</v>
      </c>
      <c r="AB92" s="124" t="s">
        <v>2796</v>
      </c>
      <c r="AC92" s="114" t="str">
        <f>IFERROR((VLOOKUP($A92,'ИЗ ГУГЛА'!$B:$Z,AC$1,0)+AE92)*AD92,VLOOKUP($A92,'ИЗ ГУГЛА'!$B:$Z,AC$1,0))</f>
        <v/>
      </c>
      <c r="AD92" s="108">
        <v>1</v>
      </c>
      <c r="AE92" s="46"/>
      <c r="AF92" s="115"/>
    </row>
    <row r="93" spans="1:33" s="5" customFormat="1" ht="30" x14ac:dyDescent="0.25">
      <c r="A93" s="132">
        <v>141812</v>
      </c>
      <c r="B93" s="132">
        <f>VLOOKUP($A93,'Выгр Кат'!$A:$S,B$1,0)</f>
        <v>20208</v>
      </c>
      <c r="C93" s="133" t="str">
        <f>VLOOKUP($A93,'Выгр Кат'!$A:$S,C$1,0)</f>
        <v>Гофра проводки передней двери "БРТ" для ВАЗ 2108-21099</v>
      </c>
      <c r="D93" s="132" t="str">
        <f>VLOOKUP($A93,'Выгр Кат'!$A:$S,D$1,0)</f>
        <v>Y</v>
      </c>
      <c r="E93" s="132" t="str">
        <f>VLOOKUP($A93,'Выгр Кат'!$A:$S,E$1,0)</f>
        <v>1</v>
      </c>
      <c r="F93" s="132" t="str">
        <f>VLOOKUP($A93,'Выгр Кат'!$A:$S,F$1,0)</f>
        <v>21083372419500</v>
      </c>
      <c r="G93" s="45" t="s">
        <v>1821</v>
      </c>
      <c r="H93" s="29" t="s">
        <v>1821</v>
      </c>
      <c r="I93" s="4" t="s">
        <v>2</v>
      </c>
      <c r="J93" s="95">
        <v>1</v>
      </c>
      <c r="K93" s="168">
        <f t="shared" si="42"/>
        <v>65</v>
      </c>
      <c r="L93" s="167">
        <f>VLOOKUP(K93,Наценка!$A$1:$B$8,2,1)</f>
        <v>2.150537634408602</v>
      </c>
      <c r="M93" s="172">
        <f t="shared" si="43"/>
        <v>139.78494623655914</v>
      </c>
      <c r="N93" s="173">
        <f t="shared" si="35"/>
        <v>139</v>
      </c>
      <c r="O93" s="134">
        <f>VLOOKUP($A93,'Выгр Кат'!$A:$S,O$1,0)</f>
        <v>65</v>
      </c>
      <c r="P93" s="134">
        <f>VLOOKUP($A93,'Выгр Кат'!$A:$S,P$1,0)</f>
        <v>139</v>
      </c>
      <c r="Q93" s="107">
        <f t="shared" si="36"/>
        <v>0</v>
      </c>
      <c r="R93" s="107">
        <f t="shared" si="37"/>
        <v>0</v>
      </c>
      <c r="S93" s="110">
        <f t="shared" si="38"/>
        <v>129.26999999999998</v>
      </c>
      <c r="T93" s="135">
        <f t="shared" si="39"/>
        <v>0.9887692307692304</v>
      </c>
      <c r="U93" s="135" t="str">
        <f t="shared" si="40"/>
        <v/>
      </c>
      <c r="V93" s="135" t="str">
        <f t="shared" si="41"/>
        <v/>
      </c>
      <c r="W93" s="45"/>
      <c r="X93" s="114" t="str">
        <f>IFERROR((VLOOKUP($A93,'ИЗ ГУГЛА'!$B:$G,X$1,0)+Z93)*Y93,VLOOKUP($A93,'ИЗ ГУГЛА'!$B:$G,X$1,0))</f>
        <v/>
      </c>
      <c r="Y93" s="108">
        <v>1</v>
      </c>
      <c r="Z93" s="46"/>
      <c r="AA93" s="45" t="s">
        <v>1821</v>
      </c>
      <c r="AB93" s="124"/>
      <c r="AC93" s="114" t="str">
        <f>IFERROR((VLOOKUP($A93,'ИЗ ГУГЛА'!$B:$Z,AC$1,0)+AE93)*AD93,VLOOKUP($A93,'ИЗ ГУГЛА'!$B:$Z,AC$1,0))</f>
        <v/>
      </c>
      <c r="AD93" s="108">
        <v>1</v>
      </c>
      <c r="AE93" s="46"/>
      <c r="AF93" s="115"/>
    </row>
    <row r="94" spans="1:33" s="5" customFormat="1" ht="45.75" thickBot="1" x14ac:dyDescent="0.3">
      <c r="A94" s="132">
        <v>225060</v>
      </c>
      <c r="B94" s="132">
        <f>VLOOKUP($A94,'Выгр Кат'!$A:$S,B$1,0)</f>
        <v>20272</v>
      </c>
      <c r="C94" s="133" t="str">
        <f>VLOOKUP($A94,'Выгр Кат'!$A:$S,C$1,0)</f>
        <v>Чехол защитный шарового пальца передней подвески "БРТ" для ВАЗ 2101-2107, Лада Нива 4x4</v>
      </c>
      <c r="D94" s="132" t="str">
        <f>VLOOKUP($A94,'Выгр Кат'!$A:$S,D$1,0)</f>
        <v>Y</v>
      </c>
      <c r="E94" s="132" t="str">
        <f>VLOOKUP($A94,'Выгр Кат'!$A:$S,E$1,0)</f>
        <v>1</v>
      </c>
      <c r="F94" s="132" t="str">
        <f>VLOOKUP($A94,'Выгр Кат'!$A:$S,F$1,0)</f>
        <v>2101-2904070Р.</v>
      </c>
      <c r="G94" s="45" t="s">
        <v>264</v>
      </c>
      <c r="H94" s="29"/>
      <c r="I94" s="4" t="s">
        <v>2</v>
      </c>
      <c r="J94" s="95">
        <v>1</v>
      </c>
      <c r="K94" s="168">
        <f t="shared" si="42"/>
        <v>63</v>
      </c>
      <c r="L94" s="167">
        <f>VLOOKUP(K94,Наценка!$A$1:$B$8,2,1)</f>
        <v>2.150537634408602</v>
      </c>
      <c r="M94" s="149">
        <f t="shared" ref="M94:M98" si="53">W94*1.07</f>
        <v>159.43</v>
      </c>
      <c r="N94" s="173">
        <f t="shared" si="35"/>
        <v>159</v>
      </c>
      <c r="O94" s="134">
        <f>VLOOKUP($A94,'Выгр Кат'!$A:$S,O$1,0)</f>
        <v>63</v>
      </c>
      <c r="P94" s="134">
        <f>VLOOKUP($A94,'Выгр Кат'!$A:$S,P$1,0)</f>
        <v>159</v>
      </c>
      <c r="Q94" s="107">
        <f t="shared" si="36"/>
        <v>0</v>
      </c>
      <c r="R94" s="107">
        <f t="shared" si="37"/>
        <v>0</v>
      </c>
      <c r="S94" s="110">
        <f t="shared" si="38"/>
        <v>147.86999999999998</v>
      </c>
      <c r="T94" s="135">
        <f t="shared" si="39"/>
        <v>1.347142857142857</v>
      </c>
      <c r="U94" s="135">
        <f t="shared" si="40"/>
        <v>7.5838926174498248E-3</v>
      </c>
      <c r="V94" s="135">
        <f t="shared" si="41"/>
        <v>1.3650793650793651</v>
      </c>
      <c r="W94" s="117">
        <f t="shared" ref="W94:W98" si="54">AA94</f>
        <v>149</v>
      </c>
      <c r="X94" s="114">
        <f>IFERROR((VLOOKUP($A94,'ИЗ ГУГЛА'!$B:$G,X$1,0)+Z94)*Y94,VLOOKUP($A94,'ИЗ ГУГЛА'!$B:$G,X$1,0))</f>
        <v>149</v>
      </c>
      <c r="Y94" s="108">
        <v>1</v>
      </c>
      <c r="Z94" s="46"/>
      <c r="AA94" s="136">
        <v>149</v>
      </c>
      <c r="AB94" s="124" t="s">
        <v>2632</v>
      </c>
      <c r="AC94" s="114" t="str">
        <f>IFERROR((VLOOKUP($A94,'ИЗ ГУГЛА'!$B:$Z,AC$1,0)+AE94)*AD94,VLOOKUP($A94,'ИЗ ГУГЛА'!$B:$Z,AC$1,0))</f>
        <v/>
      </c>
      <c r="AD94" s="108">
        <v>1</v>
      </c>
      <c r="AE94" s="46"/>
      <c r="AF94" s="115"/>
    </row>
    <row r="95" spans="1:33" s="5" customFormat="1" ht="76.5" thickTop="1" thickBot="1" x14ac:dyDescent="0.3">
      <c r="A95" s="132">
        <v>186598</v>
      </c>
      <c r="B95" s="132">
        <f>VLOOKUP($A95,'Выгр Кат'!$A:$S,B$1,0)</f>
        <v>19972</v>
      </c>
      <c r="C95" s="133" t="str">
        <f>VLOOKUP($A95,'Выгр Кат'!$A:$S,C$1,0)</f>
        <v>Патрубок (муфта) соединительный термостата и водяного насоса  "БРТ" для ВАЗ 2108-21099, 2110-2112, 2113-2115 (8-ми клапанный инжекторный двигатель)</v>
      </c>
      <c r="D95" s="132" t="str">
        <f>VLOOKUP($A95,'Выгр Кат'!$A:$S,D$1,0)</f>
        <v>Y</v>
      </c>
      <c r="E95" s="132" t="str">
        <f>VLOOKUP($A95,'Выгр Кат'!$A:$S,E$1,0)</f>
        <v>1</v>
      </c>
      <c r="F95" s="132" t="str">
        <f>VLOOKUP($A95,'Выгр Кат'!$A:$S,F$1,0)</f>
        <v>2108-1303092РП</v>
      </c>
      <c r="G95" s="45" t="s">
        <v>335</v>
      </c>
      <c r="H95" s="29"/>
      <c r="I95" s="4" t="s">
        <v>2</v>
      </c>
      <c r="J95" s="95">
        <v>1</v>
      </c>
      <c r="K95" s="168">
        <f t="shared" si="42"/>
        <v>64</v>
      </c>
      <c r="L95" s="167">
        <f>VLOOKUP(K95,Наценка!$A$1:$B$8,2,1)</f>
        <v>2.150537634408602</v>
      </c>
      <c r="M95" s="149">
        <f t="shared" si="53"/>
        <v>159.43</v>
      </c>
      <c r="N95" s="173">
        <f t="shared" si="35"/>
        <v>159</v>
      </c>
      <c r="O95" s="134">
        <f>VLOOKUP($A95,'Выгр Кат'!$A:$S,O$1,0)</f>
        <v>64</v>
      </c>
      <c r="P95" s="134">
        <f>VLOOKUP($A95,'Выгр Кат'!$A:$S,P$1,0)</f>
        <v>159</v>
      </c>
      <c r="Q95" s="107">
        <f t="shared" si="36"/>
        <v>0</v>
      </c>
      <c r="R95" s="107">
        <f t="shared" si="37"/>
        <v>0</v>
      </c>
      <c r="S95" s="110">
        <f t="shared" si="38"/>
        <v>147.86999999999998</v>
      </c>
      <c r="T95" s="135">
        <f t="shared" si="39"/>
        <v>1.3104687499999996</v>
      </c>
      <c r="U95" s="135">
        <f t="shared" si="40"/>
        <v>7.5838926174498248E-3</v>
      </c>
      <c r="V95" s="135">
        <f t="shared" si="41"/>
        <v>1.328125</v>
      </c>
      <c r="W95" s="117">
        <f t="shared" si="54"/>
        <v>149</v>
      </c>
      <c r="X95" s="114">
        <f>IFERROR((VLOOKUP($A95,'ИЗ ГУГЛА'!$B:$G,X$1,0)+Z95)*Y95,VLOOKUP($A95,'ИЗ ГУГЛА'!$B:$G,X$1,0))</f>
        <v>149</v>
      </c>
      <c r="Y95" s="108">
        <v>1</v>
      </c>
      <c r="Z95" s="46"/>
      <c r="AA95" s="136">
        <v>149</v>
      </c>
      <c r="AB95" s="124" t="s">
        <v>2633</v>
      </c>
      <c r="AC95" s="114" t="str">
        <f>IFERROR((VLOOKUP($A95,'ИЗ ГУГЛА'!$B:$Z,AC$1,0)+AE95)*AD95,VLOOKUP($A95,'ИЗ ГУГЛА'!$B:$Z,AC$1,0))</f>
        <v/>
      </c>
      <c r="AD95" s="108">
        <v>1</v>
      </c>
      <c r="AE95" s="46"/>
      <c r="AF95" s="115"/>
    </row>
    <row r="96" spans="1:33" s="5" customFormat="1" ht="46.5" thickTop="1" thickBot="1" x14ac:dyDescent="0.3">
      <c r="A96" s="132">
        <v>139797</v>
      </c>
      <c r="B96" s="132">
        <f>VLOOKUP($A96,'Выгр Кат'!$A:$S,B$1,0)</f>
        <v>35401</v>
      </c>
      <c r="C96" s="133" t="str">
        <f>VLOOKUP($A96,'Выгр Кат'!$A:$S,C$1,0)</f>
        <v>Втулка "БРТ" соединительная бочка гидротормоза для ВАЗ 2108-21099, 2110-2112, 2113-2115, Лада Нива 4х4</v>
      </c>
      <c r="D96" s="132" t="str">
        <f>VLOOKUP($A96,'Выгр Кат'!$A:$S,D$1,0)</f>
        <v>Y</v>
      </c>
      <c r="E96" s="132" t="str">
        <f>VLOOKUP($A96,'Выгр Кат'!$A:$S,E$1,0)</f>
        <v>1</v>
      </c>
      <c r="F96" s="132" t="str">
        <f>VLOOKUP($A96,'Выгр Кат'!$A:$S,F$1,0)</f>
        <v>2108350509201</v>
      </c>
      <c r="G96" s="44" t="s">
        <v>355</v>
      </c>
      <c r="H96" s="29"/>
      <c r="I96" s="4" t="s">
        <v>2</v>
      </c>
      <c r="J96" s="95">
        <v>1</v>
      </c>
      <c r="K96" s="168">
        <f t="shared" si="42"/>
        <v>64</v>
      </c>
      <c r="L96" s="167">
        <f>VLOOKUP(K96,Наценка!$A$1:$B$8,2,1)</f>
        <v>2.150537634408602</v>
      </c>
      <c r="M96" s="149">
        <f t="shared" si="53"/>
        <v>159.43</v>
      </c>
      <c r="N96" s="173">
        <f t="shared" si="35"/>
        <v>159</v>
      </c>
      <c r="O96" s="134">
        <f>VLOOKUP($A96,'Выгр Кат'!$A:$S,O$1,0)</f>
        <v>64</v>
      </c>
      <c r="P96" s="134">
        <f>VLOOKUP($A96,'Выгр Кат'!$A:$S,P$1,0)</f>
        <v>159</v>
      </c>
      <c r="Q96" s="107">
        <f t="shared" si="36"/>
        <v>0</v>
      </c>
      <c r="R96" s="107">
        <f t="shared" si="37"/>
        <v>0</v>
      </c>
      <c r="S96" s="110">
        <f t="shared" si="38"/>
        <v>147.86999999999998</v>
      </c>
      <c r="T96" s="135">
        <f t="shared" si="39"/>
        <v>1.3104687499999996</v>
      </c>
      <c r="U96" s="135">
        <f t="shared" si="40"/>
        <v>7.5838926174498248E-3</v>
      </c>
      <c r="V96" s="135">
        <f t="shared" si="41"/>
        <v>1.328125</v>
      </c>
      <c r="W96" s="117">
        <f t="shared" si="54"/>
        <v>149</v>
      </c>
      <c r="X96" s="114">
        <f>IFERROR((VLOOKUP($A96,'ИЗ ГУГЛА'!$B:$G,X$1,0)+Z96)*Y96,VLOOKUP($A96,'ИЗ ГУГЛА'!$B:$G,X$1,0))</f>
        <v>149</v>
      </c>
      <c r="Y96" s="108">
        <v>1</v>
      </c>
      <c r="Z96" s="46"/>
      <c r="AA96" s="136">
        <v>149</v>
      </c>
      <c r="AB96" s="124" t="s">
        <v>2634</v>
      </c>
      <c r="AC96" s="114" t="str">
        <f>IFERROR((VLOOKUP($A96,'ИЗ ГУГЛА'!$B:$Z,AC$1,0)+AE96)*AD96,VLOOKUP($A96,'ИЗ ГУГЛА'!$B:$Z,AC$1,0))</f>
        <v/>
      </c>
      <c r="AD96" s="108">
        <v>1</v>
      </c>
      <c r="AE96" s="46"/>
      <c r="AF96" s="115"/>
    </row>
    <row r="97" spans="1:32" s="5" customFormat="1" ht="31.5" thickTop="1" thickBot="1" x14ac:dyDescent="0.3">
      <c r="A97" s="132">
        <v>158181</v>
      </c>
      <c r="B97" s="132">
        <f>VLOOKUP($A97,'Выгр Кат'!$A:$S,B$1,0)</f>
        <v>20309</v>
      </c>
      <c r="C97" s="133" t="str">
        <f>VLOOKUP($A97,'Выгр Кат'!$A:$S,C$1,0)</f>
        <v>Кольцо уплотнительное на лючок бензобака "БРТ" для Лада Веста</v>
      </c>
      <c r="D97" s="132" t="str">
        <f>VLOOKUP($A97,'Выгр Кат'!$A:$S,D$1,0)</f>
        <v>Y</v>
      </c>
      <c r="E97" s="132" t="str">
        <f>VLOOKUP($A97,'Выгр Кат'!$A:$S,E$1,0)</f>
        <v>1</v>
      </c>
      <c r="F97" s="132" t="str">
        <f>VLOOKUP($A97,'Выгр Кат'!$A:$S,F$1,0)</f>
        <v>8450039689Р</v>
      </c>
      <c r="G97" s="45" t="s">
        <v>1821</v>
      </c>
      <c r="H97" s="29" t="s">
        <v>1821</v>
      </c>
      <c r="I97" s="4" t="s">
        <v>2</v>
      </c>
      <c r="J97" s="95">
        <v>1</v>
      </c>
      <c r="K97" s="168">
        <f t="shared" si="42"/>
        <v>60</v>
      </c>
      <c r="L97" s="167">
        <f>VLOOKUP(K97,Наценка!$A$1:$B$8,2,1)</f>
        <v>2.150537634408602</v>
      </c>
      <c r="M97" s="145">
        <f>W97*1</f>
        <v>129</v>
      </c>
      <c r="N97" s="173">
        <f t="shared" si="35"/>
        <v>129</v>
      </c>
      <c r="O97" s="134">
        <f>VLOOKUP($A97,'Выгр Кат'!$A:$S,O$1,0)</f>
        <v>60</v>
      </c>
      <c r="P97" s="134">
        <f>VLOOKUP($A97,'Выгр Кат'!$A:$S,P$1,0)</f>
        <v>129</v>
      </c>
      <c r="Q97" s="107">
        <f t="shared" si="36"/>
        <v>0</v>
      </c>
      <c r="R97" s="107">
        <f t="shared" si="37"/>
        <v>0</v>
      </c>
      <c r="S97" s="110">
        <f t="shared" si="38"/>
        <v>119.97</v>
      </c>
      <c r="T97" s="135">
        <f t="shared" si="39"/>
        <v>0.99950000000000006</v>
      </c>
      <c r="U97" s="135">
        <f t="shared" si="40"/>
        <v>7.0000000000000007E-2</v>
      </c>
      <c r="V97" s="135">
        <f t="shared" si="41"/>
        <v>1.1499999999999999</v>
      </c>
      <c r="W97" s="117">
        <f t="shared" si="54"/>
        <v>129</v>
      </c>
      <c r="X97" s="114">
        <f>IFERROR((VLOOKUP($A97,'ИЗ ГУГЛА'!$B:$G,X$1,0)+Z97)*Y97,VLOOKUP($A97,'ИЗ ГУГЛА'!$B:$G,X$1,0))</f>
        <v>129</v>
      </c>
      <c r="Y97" s="46">
        <v>1</v>
      </c>
      <c r="Z97" s="46"/>
      <c r="AA97" s="138">
        <v>129</v>
      </c>
      <c r="AB97" s="124" t="s">
        <v>2296</v>
      </c>
      <c r="AC97" s="114" t="str">
        <f>IFERROR((VLOOKUP($A97,'ИЗ ГУГЛА'!$B:$Z,AC$1,0)+AE97)*AD97,VLOOKUP($A97,'ИЗ ГУГЛА'!$B:$Z,AC$1,0))</f>
        <v/>
      </c>
      <c r="AD97" s="46">
        <v>1</v>
      </c>
      <c r="AE97" s="46"/>
      <c r="AF97" s="115"/>
    </row>
    <row r="98" spans="1:32" s="5" customFormat="1" ht="31.5" thickTop="1" thickBot="1" x14ac:dyDescent="0.3">
      <c r="A98" s="132">
        <v>181311</v>
      </c>
      <c r="B98" s="132">
        <f>VLOOKUP($A98,'Выгр Кат'!$A:$S,B$1,0)</f>
        <v>20518</v>
      </c>
      <c r="C98" s="133" t="str">
        <f>VLOOKUP($A98,'Выгр Кат'!$A:$S,C$1,0)</f>
        <v>Окантовка "БРТ" лобового стекла для Лада Калина</v>
      </c>
      <c r="D98" s="132" t="str">
        <f>VLOOKUP($A98,'Выгр Кат'!$A:$S,D$1,0)</f>
        <v>Y</v>
      </c>
      <c r="E98" s="132" t="str">
        <f>VLOOKUP($A98,'Выгр Кат'!$A:$S,E$1,0)</f>
        <v>1</v>
      </c>
      <c r="F98" s="132" t="str">
        <f>VLOOKUP($A98,'Выгр Кат'!$A:$S,F$1,0)</f>
        <v>1118-5206062</v>
      </c>
      <c r="G98" s="45" t="s">
        <v>1821</v>
      </c>
      <c r="H98" s="29" t="s">
        <v>1821</v>
      </c>
      <c r="I98" s="4" t="s">
        <v>2</v>
      </c>
      <c r="J98" s="95">
        <v>1</v>
      </c>
      <c r="K98" s="168">
        <f t="shared" si="42"/>
        <v>60</v>
      </c>
      <c r="L98" s="167">
        <f>VLOOKUP(K98,Наценка!$A$1:$B$8,2,1)</f>
        <v>2.150537634408602</v>
      </c>
      <c r="M98" s="147">
        <f t="shared" ref="M97:M98" si="55">W98*1.04</f>
        <v>258.96000000000004</v>
      </c>
      <c r="N98" s="173">
        <f t="shared" si="35"/>
        <v>259</v>
      </c>
      <c r="O98" s="134">
        <f>VLOOKUP($A98,'Выгр Кат'!$A:$S,O$1,0)</f>
        <v>60</v>
      </c>
      <c r="P98" s="134">
        <f>VLOOKUP($A98,'Выгр Кат'!$A:$S,P$1,0)</f>
        <v>239</v>
      </c>
      <c r="Q98" s="107">
        <f t="shared" si="36"/>
        <v>0</v>
      </c>
      <c r="R98" s="107">
        <f t="shared" si="37"/>
        <v>-20</v>
      </c>
      <c r="S98" s="110">
        <f t="shared" si="38"/>
        <v>240.86999999999998</v>
      </c>
      <c r="T98" s="135">
        <f t="shared" si="39"/>
        <v>3.0145</v>
      </c>
      <c r="U98" s="135">
        <f t="shared" si="40"/>
        <v>3.265060240963865E-2</v>
      </c>
      <c r="V98" s="135">
        <f t="shared" si="41"/>
        <v>3.1500000000000004</v>
      </c>
      <c r="W98" s="117">
        <f t="shared" si="54"/>
        <v>249</v>
      </c>
      <c r="X98" s="114">
        <f>IFERROR((VLOOKUP($A98,'ИЗ ГУГЛА'!$B:$G,X$1,0)+Z98)*Y98,VLOOKUP($A98,'ИЗ ГУГЛА'!$B:$G,X$1,0))</f>
        <v>249</v>
      </c>
      <c r="Y98" s="108">
        <v>1</v>
      </c>
      <c r="Z98" s="46"/>
      <c r="AA98" s="136">
        <v>249</v>
      </c>
      <c r="AB98" s="124" t="s">
        <v>2635</v>
      </c>
      <c r="AC98" s="114" t="str">
        <f>IFERROR((VLOOKUP($A98,'ИЗ ГУГЛА'!$B:$Z,AC$1,0)+AE98)*AD98,VLOOKUP($A98,'ИЗ ГУГЛА'!$B:$Z,AC$1,0))</f>
        <v/>
      </c>
      <c r="AD98" s="108">
        <v>1</v>
      </c>
      <c r="AE98" s="46"/>
      <c r="AF98" s="115"/>
    </row>
    <row r="99" spans="1:32" s="5" customFormat="1" ht="30.75" thickTop="1" x14ac:dyDescent="0.25">
      <c r="A99" s="132">
        <v>223256</v>
      </c>
      <c r="B99" s="132">
        <f>VLOOKUP($A99,'Выгр Кат'!$A:$S,B$1,0)</f>
        <v>6152</v>
      </c>
      <c r="C99" s="133" t="str">
        <f>VLOOKUP($A99,'Выгр Кат'!$A:$S,C$1,0)</f>
        <v>Уплотнитель заднего стекла "БРТ" верхний для ВАЗ 2110-2112</v>
      </c>
      <c r="D99" s="132" t="str">
        <f>VLOOKUP($A99,'Выгр Кат'!$A:$S,D$1,0)</f>
        <v>Y</v>
      </c>
      <c r="E99" s="132" t="str">
        <f>VLOOKUP($A99,'Выгр Кат'!$A:$S,E$1,0)</f>
        <v>1</v>
      </c>
      <c r="F99" s="132" t="str">
        <f>VLOOKUP($A99,'Выгр Кат'!$A:$S,F$1,0)</f>
        <v>2110-5603062</v>
      </c>
      <c r="G99" s="45" t="s">
        <v>775</v>
      </c>
      <c r="H99" s="29"/>
      <c r="I99" s="4" t="s">
        <v>2</v>
      </c>
      <c r="J99" s="95">
        <v>1</v>
      </c>
      <c r="K99" s="168">
        <f t="shared" si="42"/>
        <v>360</v>
      </c>
      <c r="L99" s="167">
        <f>VLOOKUP(K99,Наценка!$A$1:$B$8,2,1)</f>
        <v>1.5053763440860215</v>
      </c>
      <c r="M99" s="172">
        <f t="shared" si="43"/>
        <v>541.93548387096769</v>
      </c>
      <c r="N99" s="173">
        <f t="shared" si="35"/>
        <v>549</v>
      </c>
      <c r="O99" s="134">
        <f>VLOOKUP($A99,'Выгр Кат'!$A:$S,O$1,0)</f>
        <v>360</v>
      </c>
      <c r="P99" s="134">
        <f>VLOOKUP($A99,'Выгр Кат'!$A:$S,P$1,0)</f>
        <v>549</v>
      </c>
      <c r="Q99" s="107">
        <f t="shared" si="36"/>
        <v>0</v>
      </c>
      <c r="R99" s="107">
        <f t="shared" si="37"/>
        <v>0</v>
      </c>
      <c r="S99" s="110">
        <f t="shared" si="38"/>
        <v>510.57</v>
      </c>
      <c r="T99" s="135">
        <f t="shared" si="39"/>
        <v>0.41825000000000001</v>
      </c>
      <c r="U99" s="135" t="str">
        <f t="shared" si="40"/>
        <v/>
      </c>
      <c r="V99" s="135" t="str">
        <f t="shared" si="41"/>
        <v/>
      </c>
      <c r="W99" s="45"/>
      <c r="X99" s="114" t="str">
        <f>IFERROR((VLOOKUP($A99,'ИЗ ГУГЛА'!$B:$G,X$1,0)+Z99)*Y99,VLOOKUP($A99,'ИЗ ГУГЛА'!$B:$G,X$1,0))</f>
        <v/>
      </c>
      <c r="Y99" s="108">
        <v>1</v>
      </c>
      <c r="Z99" s="46"/>
      <c r="AA99" s="45" t="s">
        <v>1821</v>
      </c>
      <c r="AB99" s="124"/>
      <c r="AC99" s="114" t="str">
        <f>IFERROR((VLOOKUP($A99,'ИЗ ГУГЛА'!$B:$Z,AC$1,0)+AE99)*AD99,VLOOKUP($A99,'ИЗ ГУГЛА'!$B:$Z,AC$1,0))</f>
        <v/>
      </c>
      <c r="AD99" s="108">
        <v>1</v>
      </c>
      <c r="AE99" s="46"/>
      <c r="AF99" s="115"/>
    </row>
    <row r="100" spans="1:32" s="5" customFormat="1" ht="60.75" thickBot="1" x14ac:dyDescent="0.3">
      <c r="A100" s="132">
        <v>223304</v>
      </c>
      <c r="B100" s="132">
        <f>VLOOKUP($A100,'Выгр Кат'!$A:$S,B$1,0)</f>
        <v>12267</v>
      </c>
      <c r="C100" s="133" t="str">
        <f>VLOOKUP($A100,'Выгр Кат'!$A:$S,C$1,0)</f>
        <v>Кольцо замка зажигания "БРТ" уплотнительное для Лада (Калина, Калина 2, Приора, Гранта), Шевроле Нива, Датсун (mi-DO, on-DO)</v>
      </c>
      <c r="D100" s="132" t="str">
        <f>VLOOKUP($A100,'Выгр Кат'!$A:$S,D$1,0)</f>
        <v>Y</v>
      </c>
      <c r="E100" s="132" t="str">
        <f>VLOOKUP($A100,'Выгр Кат'!$A:$S,E$1,0)</f>
        <v>1ск6</v>
      </c>
      <c r="F100" s="132" t="str">
        <f>VLOOKUP($A100,'Выгр Кат'!$A:$S,F$1,0)</f>
        <v>8450001269 / 2110-3403204</v>
      </c>
      <c r="G100" s="45" t="s">
        <v>1821</v>
      </c>
      <c r="H100" s="29" t="s">
        <v>1821</v>
      </c>
      <c r="I100" s="4" t="s">
        <v>2</v>
      </c>
      <c r="J100" s="95">
        <v>1</v>
      </c>
      <c r="K100" s="168">
        <f t="shared" si="42"/>
        <v>60</v>
      </c>
      <c r="L100" s="167">
        <f>VLOOKUP(K100,Наценка!$A$1:$B$8,2,1)</f>
        <v>2.150537634408602</v>
      </c>
      <c r="M100" s="148">
        <f>W100*1.06</f>
        <v>179.14000000000001</v>
      </c>
      <c r="N100" s="173">
        <f t="shared" si="35"/>
        <v>179</v>
      </c>
      <c r="O100" s="134">
        <f>VLOOKUP($A100,'Выгр Кат'!$A:$S,O$1,0)</f>
        <v>60</v>
      </c>
      <c r="P100" s="134">
        <f>VLOOKUP($A100,'Выгр Кат'!$A:$S,P$1,0)</f>
        <v>179</v>
      </c>
      <c r="Q100" s="107">
        <f t="shared" si="36"/>
        <v>0</v>
      </c>
      <c r="R100" s="107">
        <f t="shared" si="37"/>
        <v>0</v>
      </c>
      <c r="S100" s="110">
        <f t="shared" si="38"/>
        <v>166.47</v>
      </c>
      <c r="T100" s="135">
        <f t="shared" si="39"/>
        <v>1.7745000000000002</v>
      </c>
      <c r="U100" s="135">
        <f t="shared" si="40"/>
        <v>1.4970414201183439E-2</v>
      </c>
      <c r="V100" s="135">
        <f t="shared" si="41"/>
        <v>1.8166666666666669</v>
      </c>
      <c r="W100" s="117">
        <f t="shared" ref="W100:W101" si="56">AA100</f>
        <v>169</v>
      </c>
      <c r="X100" s="114">
        <f>IFERROR((VLOOKUP($A100,'ИЗ ГУГЛА'!$B:$G,X$1,0)+Z100)*Y100,VLOOKUP($A100,'ИЗ ГУГЛА'!$B:$G,X$1,0))</f>
        <v>169</v>
      </c>
      <c r="Y100" s="46">
        <v>1</v>
      </c>
      <c r="Z100" s="46"/>
      <c r="AA100" s="138">
        <v>169</v>
      </c>
      <c r="AB100" s="124" t="s">
        <v>2297</v>
      </c>
      <c r="AC100" s="114" t="str">
        <f>IFERROR((VLOOKUP($A100,'ИЗ ГУГЛА'!$B:$Z,AC$1,0)+AE100)*AD100,VLOOKUP($A100,'ИЗ ГУГЛА'!$B:$Z,AC$1,0))</f>
        <v/>
      </c>
      <c r="AD100" s="46">
        <v>1</v>
      </c>
      <c r="AE100" s="46"/>
      <c r="AF100" s="115"/>
    </row>
    <row r="101" spans="1:32" s="5" customFormat="1" ht="31.5" thickTop="1" thickBot="1" x14ac:dyDescent="0.3">
      <c r="A101" s="132">
        <v>225361</v>
      </c>
      <c r="B101" s="132">
        <f>VLOOKUP($A101,'Выгр Кат'!$A:$S,B$1,0)</f>
        <v>20503</v>
      </c>
      <c r="C101" s="133" t="str">
        <f>VLOOKUP($A101,'Выгр Кат'!$A:$S,C$1,0)</f>
        <v>Чехол пружины крышки багажника "БРТ" для Лада Веста</v>
      </c>
      <c r="D101" s="132" t="str">
        <f>VLOOKUP($A101,'Выгр Кат'!$A:$S,D$1,0)</f>
        <v>Y</v>
      </c>
      <c r="E101" s="132" t="str">
        <f>VLOOKUP($A101,'Выгр Кат'!$A:$S,E$1,0)</f>
        <v>0</v>
      </c>
      <c r="F101" s="132" t="str">
        <f>VLOOKUP($A101,'Выгр Кат'!$A:$S,F$1,0)</f>
        <v>21800560513200</v>
      </c>
      <c r="G101" s="45" t="s">
        <v>2403</v>
      </c>
      <c r="H101" s="29" t="s">
        <v>2403</v>
      </c>
      <c r="I101" s="4" t="s">
        <v>2</v>
      </c>
      <c r="J101" s="95">
        <v>1</v>
      </c>
      <c r="K101" s="168">
        <f t="shared" si="42"/>
        <v>60</v>
      </c>
      <c r="L101" s="167">
        <f>VLOOKUP(K101,Наценка!$A$1:$B$8,2,1)</f>
        <v>2.150537634408602</v>
      </c>
      <c r="M101" s="172">
        <f t="shared" si="43"/>
        <v>129.03225806451613</v>
      </c>
      <c r="N101" s="173">
        <f t="shared" si="35"/>
        <v>129</v>
      </c>
      <c r="O101" s="134">
        <f>VLOOKUP($A101,'Выгр Кат'!$A:$S,O$1,0)</f>
        <v>60</v>
      </c>
      <c r="P101" s="134">
        <f>VLOOKUP($A101,'Выгр Кат'!$A:$S,P$1,0)</f>
        <v>129</v>
      </c>
      <c r="Q101" s="107">
        <f t="shared" si="36"/>
        <v>0</v>
      </c>
      <c r="R101" s="107">
        <f t="shared" si="37"/>
        <v>0</v>
      </c>
      <c r="S101" s="110">
        <f t="shared" si="38"/>
        <v>119.97</v>
      </c>
      <c r="T101" s="135">
        <f t="shared" si="39"/>
        <v>0.99950000000000006</v>
      </c>
      <c r="U101" s="135">
        <f t="shared" si="40"/>
        <v>-1.0333898305084745</v>
      </c>
      <c r="V101" s="135">
        <f t="shared" si="41"/>
        <v>-1.6666666666666718E-2</v>
      </c>
      <c r="W101" s="117">
        <f t="shared" si="56"/>
        <v>59</v>
      </c>
      <c r="X101" s="114">
        <f>IFERROR((VLOOKUP($A101,'ИЗ ГУГЛА'!$B:$G,X$1,0)+Z101)*Y101,VLOOKUP($A101,'ИЗ ГУГЛА'!$B:$G,X$1,0))</f>
        <v>59</v>
      </c>
      <c r="Y101" s="108">
        <v>1</v>
      </c>
      <c r="Z101" s="46"/>
      <c r="AA101" s="136">
        <v>59</v>
      </c>
      <c r="AB101" s="124" t="s">
        <v>2636</v>
      </c>
      <c r="AC101" s="114" t="str">
        <f>IFERROR((VLOOKUP($A101,'ИЗ ГУГЛА'!$B:$Z,AC$1,0)+AE101)*AD101,VLOOKUP($A101,'ИЗ ГУГЛА'!$B:$Z,AC$1,0))</f>
        <v/>
      </c>
      <c r="AD101" s="108">
        <v>1</v>
      </c>
      <c r="AE101" s="46"/>
      <c r="AF101" s="115"/>
    </row>
    <row r="102" spans="1:32" s="5" customFormat="1" ht="46.5" thickTop="1" thickBot="1" x14ac:dyDescent="0.3">
      <c r="A102" s="132">
        <v>186847</v>
      </c>
      <c r="B102" s="132">
        <f>VLOOKUP($A102,'Выгр Кат'!$A:$S,B$1,0)</f>
        <v>20391</v>
      </c>
      <c r="C102" s="133" t="str">
        <f>VLOOKUP($A102,'Выгр Кат'!$A:$S,C$1,0)</f>
        <v>Патрубок соединительный термостата и подводящей трубы "БРТ" для ВАЗ 2112</v>
      </c>
      <c r="D102" s="132" t="str">
        <f>VLOOKUP($A102,'Выгр Кат'!$A:$S,D$1,0)</f>
        <v>Y</v>
      </c>
      <c r="E102" s="132" t="str">
        <f>VLOOKUP($A102,'Выгр Кат'!$A:$S,E$1,0)</f>
        <v>1</v>
      </c>
      <c r="F102" s="132" t="str">
        <f>VLOOKUP($A102,'Выгр Кат'!$A:$S,F$1,0)</f>
        <v>2112-1303093РП.</v>
      </c>
      <c r="G102" s="45" t="s">
        <v>1821</v>
      </c>
      <c r="H102" s="29" t="s">
        <v>1821</v>
      </c>
      <c r="I102" s="4" t="s">
        <v>2</v>
      </c>
      <c r="J102" s="95">
        <v>1</v>
      </c>
      <c r="K102" s="168">
        <f t="shared" si="42"/>
        <v>60</v>
      </c>
      <c r="L102" s="167">
        <f>VLOOKUP(K102,Наценка!$A$1:$B$8,2,1)</f>
        <v>2.150537634408602</v>
      </c>
      <c r="M102" s="172">
        <f t="shared" si="43"/>
        <v>129.03225806451613</v>
      </c>
      <c r="N102" s="173">
        <f t="shared" si="35"/>
        <v>129</v>
      </c>
      <c r="O102" s="134">
        <f>VLOOKUP($A102,'Выгр Кат'!$A:$S,O$1,0)</f>
        <v>60</v>
      </c>
      <c r="P102" s="134">
        <f>VLOOKUP($A102,'Выгр Кат'!$A:$S,P$1,0)</f>
        <v>129</v>
      </c>
      <c r="Q102" s="107">
        <f t="shared" si="36"/>
        <v>0</v>
      </c>
      <c r="R102" s="107">
        <f t="shared" si="37"/>
        <v>0</v>
      </c>
      <c r="S102" s="110">
        <f t="shared" si="38"/>
        <v>119.97</v>
      </c>
      <c r="T102" s="135">
        <f t="shared" si="39"/>
        <v>0.99950000000000006</v>
      </c>
      <c r="U102" s="135" t="str">
        <f t="shared" si="40"/>
        <v/>
      </c>
      <c r="V102" s="135" t="str">
        <f t="shared" si="41"/>
        <v/>
      </c>
      <c r="W102" s="45"/>
      <c r="X102" s="114" t="str">
        <f>IFERROR((VLOOKUP($A102,'ИЗ ГУГЛА'!$B:$G,X$1,0)+Z102)*Y102,VLOOKUP($A102,'ИЗ ГУГЛА'!$B:$G,X$1,0))</f>
        <v/>
      </c>
      <c r="Y102" s="108">
        <v>1</v>
      </c>
      <c r="Z102" s="46"/>
      <c r="AA102" s="140" t="s">
        <v>1821</v>
      </c>
      <c r="AB102" s="129"/>
      <c r="AC102" s="114" t="str">
        <f>IFERROR((VLOOKUP($A102,'ИЗ ГУГЛА'!$B:$Z,AC$1,0)+AE102)*AD102,VLOOKUP($A102,'ИЗ ГУГЛА'!$B:$Z,AC$1,0))</f>
        <v/>
      </c>
      <c r="AD102" s="108">
        <v>1</v>
      </c>
      <c r="AE102" s="46"/>
      <c r="AF102" s="115"/>
    </row>
    <row r="103" spans="1:32" s="5" customFormat="1" ht="31.5" thickTop="1" thickBot="1" x14ac:dyDescent="0.3">
      <c r="A103" s="132">
        <v>225365</v>
      </c>
      <c r="B103" s="132">
        <f>VLOOKUP($A103,'Выгр Кат'!$A:$S,B$1,0)</f>
        <v>20331</v>
      </c>
      <c r="C103" s="133" t="str">
        <f>VLOOKUP($A103,'Выгр Кат'!$A:$S,C$1,0)</f>
        <v>Чехол рычага переключения передач внутренний "БРТ" для ВАЗ 2101-2107</v>
      </c>
      <c r="D103" s="132" t="str">
        <f>VLOOKUP($A103,'Выгр Кат'!$A:$S,D$1,0)</f>
        <v>Y</v>
      </c>
      <c r="E103" s="132" t="str">
        <f>VLOOKUP($A103,'Выгр Кат'!$A:$S,E$1,0)</f>
        <v>1</v>
      </c>
      <c r="F103" s="132" t="str">
        <f>VLOOKUP($A103,'Выгр Кат'!$A:$S,F$1,0)</f>
        <v>2101-1703096Р</v>
      </c>
      <c r="G103" s="45" t="s">
        <v>257</v>
      </c>
      <c r="H103" s="29"/>
      <c r="I103" s="4" t="s">
        <v>2</v>
      </c>
      <c r="J103" s="95">
        <v>1</v>
      </c>
      <c r="K103" s="168">
        <f t="shared" si="42"/>
        <v>65</v>
      </c>
      <c r="L103" s="167">
        <f>VLOOKUP(K103,Наценка!$A$1:$B$8,2,1)</f>
        <v>2.150537634408602</v>
      </c>
      <c r="M103" s="149">
        <f t="shared" ref="M103:M106" si="57">W103*1.07</f>
        <v>159.43</v>
      </c>
      <c r="N103" s="173">
        <f t="shared" si="35"/>
        <v>159</v>
      </c>
      <c r="O103" s="134">
        <f>VLOOKUP($A103,'Выгр Кат'!$A:$S,O$1,0)</f>
        <v>65</v>
      </c>
      <c r="P103" s="134">
        <f>VLOOKUP($A103,'Выгр Кат'!$A:$S,P$1,0)</f>
        <v>159</v>
      </c>
      <c r="Q103" s="107">
        <f t="shared" si="36"/>
        <v>0</v>
      </c>
      <c r="R103" s="107">
        <f t="shared" si="37"/>
        <v>0</v>
      </c>
      <c r="S103" s="110">
        <f t="shared" si="38"/>
        <v>147.86999999999998</v>
      </c>
      <c r="T103" s="135">
        <f t="shared" si="39"/>
        <v>1.2749230769230766</v>
      </c>
      <c r="U103" s="135">
        <f t="shared" si="40"/>
        <v>7.5838926174498248E-3</v>
      </c>
      <c r="V103" s="135">
        <f t="shared" si="41"/>
        <v>1.2923076923076922</v>
      </c>
      <c r="W103" s="117">
        <f t="shared" ref="W103:W106" si="58">AA103</f>
        <v>149</v>
      </c>
      <c r="X103" s="114">
        <f>IFERROR((VLOOKUP($A103,'ИЗ ГУГЛА'!$B:$G,X$1,0)+Z103)*Y103,VLOOKUP($A103,'ИЗ ГУГЛА'!$B:$G,X$1,0))</f>
        <v>149</v>
      </c>
      <c r="Y103" s="108">
        <v>1</v>
      </c>
      <c r="Z103" s="46"/>
      <c r="AA103" s="136">
        <v>149</v>
      </c>
      <c r="AB103" s="124" t="s">
        <v>2637</v>
      </c>
      <c r="AC103" s="114" t="str">
        <f>IFERROR((VLOOKUP($A103,'ИЗ ГУГЛА'!$B:$Z,AC$1,0)+AE103)*AD103,VLOOKUP($A103,'ИЗ ГУГЛА'!$B:$Z,AC$1,0))</f>
        <v/>
      </c>
      <c r="AD103" s="108">
        <v>1</v>
      </c>
      <c r="AE103" s="46"/>
      <c r="AF103" s="115"/>
    </row>
    <row r="104" spans="1:32" s="5" customFormat="1" ht="46.5" thickTop="1" thickBot="1" x14ac:dyDescent="0.3">
      <c r="A104" s="132">
        <v>145220</v>
      </c>
      <c r="B104" s="132">
        <f>VLOOKUP($A104,'Выгр Кат'!$A:$S,B$1,0)</f>
        <v>35395</v>
      </c>
      <c r="C104" s="133" t="str">
        <f>VLOOKUP($A104,'Выгр Кат'!$A:$S,C$1,0)</f>
        <v>Заглушка "БРТ" распредвала для ВАЗ 2110-2112, Лада (Калина, Калина 2, Приора, Гранта)</v>
      </c>
      <c r="D104" s="132" t="str">
        <f>VLOOKUP($A104,'Выгр Кат'!$A:$S,D$1,0)</f>
        <v>Y</v>
      </c>
      <c r="E104" s="132" t="str">
        <f>VLOOKUP($A104,'Выгр Кат'!$A:$S,E$1,0)</f>
        <v>1ск6</v>
      </c>
      <c r="F104" s="132" t="str">
        <f>VLOOKUP($A104,'Выгр Кат'!$A:$S,F$1,0)</f>
        <v>2112-1003290</v>
      </c>
      <c r="G104" s="44" t="s">
        <v>893</v>
      </c>
      <c r="H104" s="29"/>
      <c r="I104" s="4" t="s">
        <v>2</v>
      </c>
      <c r="J104" s="95">
        <v>1</v>
      </c>
      <c r="K104" s="168">
        <f t="shared" si="42"/>
        <v>72</v>
      </c>
      <c r="L104" s="167">
        <f>VLOOKUP(K104,Наценка!$A$1:$B$8,2,1)</f>
        <v>2.150537634408602</v>
      </c>
      <c r="M104" s="148">
        <f>W104*1.05</f>
        <v>198.45000000000002</v>
      </c>
      <c r="N104" s="173">
        <f t="shared" si="35"/>
        <v>199</v>
      </c>
      <c r="O104" s="134">
        <f>VLOOKUP($A104,'Выгр Кат'!$A:$S,O$1,0)</f>
        <v>72</v>
      </c>
      <c r="P104" s="134">
        <f>VLOOKUP($A104,'Выгр Кат'!$A:$S,P$1,0)</f>
        <v>129</v>
      </c>
      <c r="Q104" s="107">
        <f t="shared" si="36"/>
        <v>0</v>
      </c>
      <c r="R104" s="107">
        <f t="shared" si="37"/>
        <v>-70</v>
      </c>
      <c r="S104" s="110">
        <f t="shared" si="38"/>
        <v>185.07</v>
      </c>
      <c r="T104" s="135">
        <f t="shared" si="39"/>
        <v>1.5704166666666666</v>
      </c>
      <c r="U104" s="135">
        <f t="shared" si="40"/>
        <v>2.0793650793650829E-2</v>
      </c>
      <c r="V104" s="135">
        <f t="shared" si="41"/>
        <v>1.625</v>
      </c>
      <c r="W104" s="117">
        <f t="shared" si="58"/>
        <v>189</v>
      </c>
      <c r="X104" s="114">
        <f>IFERROR((VLOOKUP($A104,'ИЗ ГУГЛА'!$B:$G,X$1,0)+Z104)*Y104,VLOOKUP($A104,'ИЗ ГУГЛА'!$B:$G,X$1,0))</f>
        <v>189</v>
      </c>
      <c r="Y104" s="108">
        <v>1</v>
      </c>
      <c r="Z104" s="46"/>
      <c r="AA104" s="138">
        <v>189</v>
      </c>
      <c r="AB104" s="124" t="s">
        <v>2638</v>
      </c>
      <c r="AC104" s="114" t="str">
        <f>IFERROR((VLOOKUP($A104,'ИЗ ГУГЛА'!$B:$Z,AC$1,0)+AE104)*AD104,VLOOKUP($A104,'ИЗ ГУГЛА'!$B:$Z,AC$1,0))</f>
        <v/>
      </c>
      <c r="AD104" s="108">
        <v>1</v>
      </c>
      <c r="AE104" s="46"/>
      <c r="AF104" s="115"/>
    </row>
    <row r="105" spans="1:32" s="5" customFormat="1" ht="46.5" thickTop="1" thickBot="1" x14ac:dyDescent="0.3">
      <c r="A105" s="132">
        <v>224906</v>
      </c>
      <c r="B105" s="132">
        <f>VLOOKUP($A105,'Выгр Кат'!$A:$S,B$1,0)</f>
        <v>20519</v>
      </c>
      <c r="C105" s="133" t="str">
        <f>VLOOKUP($A105,'Выгр Кат'!$A:$S,C$1,0)</f>
        <v>Чехол вилки выключения сцепления "БРТ" для ВАЗ 2101-2107, Лада Нива 4x4</v>
      </c>
      <c r="D105" s="132" t="str">
        <f>VLOOKUP($A105,'Выгр Кат'!$A:$S,D$1,0)</f>
        <v>Y</v>
      </c>
      <c r="E105" s="132" t="str">
        <f>VLOOKUP($A105,'Выгр Кат'!$A:$S,E$1,0)</f>
        <v>1</v>
      </c>
      <c r="F105" s="132" t="str">
        <f>VLOOKUP($A105,'Выгр Кат'!$A:$S,F$1,0)</f>
        <v>2101-1601211Р</v>
      </c>
      <c r="G105" s="45" t="s">
        <v>252</v>
      </c>
      <c r="H105" s="29"/>
      <c r="I105" s="4" t="s">
        <v>2</v>
      </c>
      <c r="J105" s="95">
        <v>1</v>
      </c>
      <c r="K105" s="168">
        <f t="shared" si="42"/>
        <v>69</v>
      </c>
      <c r="L105" s="167">
        <f>VLOOKUP(K105,Наценка!$A$1:$B$8,2,1)</f>
        <v>2.150537634408602</v>
      </c>
      <c r="M105" s="148">
        <f t="shared" ref="M104:M106" si="59">W105*1.06</f>
        <v>307.40000000000003</v>
      </c>
      <c r="N105" s="173">
        <f t="shared" si="35"/>
        <v>309</v>
      </c>
      <c r="O105" s="134">
        <f>VLOOKUP($A105,'Выгр Кат'!$A:$S,O$1,0)</f>
        <v>69</v>
      </c>
      <c r="P105" s="134">
        <f>VLOOKUP($A105,'Выгр Кат'!$A:$S,P$1,0)</f>
        <v>309</v>
      </c>
      <c r="Q105" s="107">
        <f t="shared" si="36"/>
        <v>0</v>
      </c>
      <c r="R105" s="107">
        <f t="shared" si="37"/>
        <v>0</v>
      </c>
      <c r="S105" s="110">
        <f t="shared" si="38"/>
        <v>287.37</v>
      </c>
      <c r="T105" s="135">
        <f t="shared" si="39"/>
        <v>3.1647826086956519</v>
      </c>
      <c r="U105" s="135">
        <f t="shared" si="40"/>
        <v>9.0689655172413643E-3</v>
      </c>
      <c r="V105" s="135">
        <f t="shared" si="41"/>
        <v>3.2028985507246377</v>
      </c>
      <c r="W105" s="117">
        <f t="shared" si="58"/>
        <v>290</v>
      </c>
      <c r="X105" s="114">
        <f>IFERROR((VLOOKUP($A105,'ИЗ ГУГЛА'!$B:$G,X$1,0)+Z105)*Y105,VLOOKUP($A105,'ИЗ ГУГЛА'!$B:$G,X$1,0))</f>
        <v>290</v>
      </c>
      <c r="Y105" s="108">
        <v>1</v>
      </c>
      <c r="Z105" s="46"/>
      <c r="AA105" s="136">
        <v>290</v>
      </c>
      <c r="AB105" s="124" t="s">
        <v>2639</v>
      </c>
      <c r="AC105" s="114" t="str">
        <f>IFERROR((VLOOKUP($A105,'ИЗ ГУГЛА'!$B:$Z,AC$1,0)+AE105)*AD105,VLOOKUP($A105,'ИЗ ГУГЛА'!$B:$Z,AC$1,0))</f>
        <v/>
      </c>
      <c r="AD105" s="108">
        <v>1</v>
      </c>
      <c r="AE105" s="46"/>
      <c r="AF105" s="115"/>
    </row>
    <row r="106" spans="1:32" s="5" customFormat="1" ht="46.5" thickTop="1" thickBot="1" x14ac:dyDescent="0.3">
      <c r="A106" s="132">
        <v>186656</v>
      </c>
      <c r="B106" s="132">
        <f>VLOOKUP($A106,'Выгр Кат'!$A:$S,B$1,0)</f>
        <v>20487</v>
      </c>
      <c r="C106" s="133" t="str">
        <f>VLOOKUP($A106,'Выгр Кат'!$A:$S,C$1,0)</f>
        <v>Патрубок вытяжной вентиляции картера "БРТ" верхний для Лада Веста с 8v</v>
      </c>
      <c r="D106" s="132" t="str">
        <f>VLOOKUP($A106,'Выгр Кат'!$A:$S,D$1,0)</f>
        <v>Y</v>
      </c>
      <c r="E106" s="132" t="str">
        <f>VLOOKUP($A106,'Выгр Кат'!$A:$S,E$1,0)</f>
        <v>1</v>
      </c>
      <c r="F106" s="132" t="str">
        <f>VLOOKUP($A106,'Выгр Кат'!$A:$S,F$1,0)</f>
        <v>21801-1014058Р.</v>
      </c>
      <c r="G106" s="45" t="s">
        <v>567</v>
      </c>
      <c r="H106" s="29"/>
      <c r="I106" s="4" t="s">
        <v>2</v>
      </c>
      <c r="J106" s="95">
        <v>1</v>
      </c>
      <c r="K106" s="168">
        <f t="shared" si="42"/>
        <v>62</v>
      </c>
      <c r="L106" s="167">
        <f>VLOOKUP(K106,Наценка!$A$1:$B$8,2,1)</f>
        <v>2.150537634408602</v>
      </c>
      <c r="M106" s="148">
        <f t="shared" si="59"/>
        <v>179.14000000000001</v>
      </c>
      <c r="N106" s="173">
        <f t="shared" si="35"/>
        <v>179</v>
      </c>
      <c r="O106" s="134">
        <f>VLOOKUP($A106,'Выгр Кат'!$A:$S,O$1,0)</f>
        <v>62</v>
      </c>
      <c r="P106" s="134">
        <f>VLOOKUP($A106,'Выгр Кат'!$A:$S,P$1,0)</f>
        <v>179</v>
      </c>
      <c r="Q106" s="107">
        <f t="shared" si="36"/>
        <v>0</v>
      </c>
      <c r="R106" s="107">
        <f t="shared" si="37"/>
        <v>0</v>
      </c>
      <c r="S106" s="110">
        <f t="shared" si="38"/>
        <v>166.47</v>
      </c>
      <c r="T106" s="135">
        <f t="shared" si="39"/>
        <v>1.6850000000000001</v>
      </c>
      <c r="U106" s="135">
        <f t="shared" si="40"/>
        <v>1.4970414201183439E-2</v>
      </c>
      <c r="V106" s="135">
        <f t="shared" si="41"/>
        <v>1.725806451612903</v>
      </c>
      <c r="W106" s="117">
        <f t="shared" si="58"/>
        <v>169</v>
      </c>
      <c r="X106" s="114">
        <f>IFERROR((VLOOKUP($A106,'ИЗ ГУГЛА'!$B:$G,X$1,0)+Z106)*Y106,VLOOKUP($A106,'ИЗ ГУГЛА'!$B:$G,X$1,0))</f>
        <v>169</v>
      </c>
      <c r="Y106" s="108">
        <v>1</v>
      </c>
      <c r="Z106" s="46"/>
      <c r="AA106" s="136">
        <v>169</v>
      </c>
      <c r="AB106" s="124" t="s">
        <v>2640</v>
      </c>
      <c r="AC106" s="114" t="str">
        <f>IFERROR((VLOOKUP($A106,'ИЗ ГУГЛА'!$B:$Z,AC$1,0)+AE106)*AD106,VLOOKUP($A106,'ИЗ ГУГЛА'!$B:$Z,AC$1,0))</f>
        <v/>
      </c>
      <c r="AD106" s="108">
        <v>1</v>
      </c>
      <c r="AE106" s="46"/>
      <c r="AF106" s="115"/>
    </row>
    <row r="107" spans="1:32" s="5" customFormat="1" ht="30.75" thickTop="1" x14ac:dyDescent="0.25">
      <c r="A107" s="132">
        <v>213296</v>
      </c>
      <c r="B107" s="132">
        <f>VLOOKUP($A107,'Выгр Кат'!$A:$S,B$1,0)</f>
        <v>35598</v>
      </c>
      <c r="C107" s="133" t="str">
        <f>VLOOKUP($A107,'Выгр Кат'!$A:$S,C$1,0)</f>
        <v>Сальник "БРТ" коленвала передний для Лада Ларгус</v>
      </c>
      <c r="D107" s="132" t="str">
        <f>VLOOKUP($A107,'Выгр Кат'!$A:$S,D$1,0)</f>
        <v>Y</v>
      </c>
      <c r="E107" s="132" t="str">
        <f>VLOOKUP($A107,'Выгр Кат'!$A:$S,E$1,0)</f>
        <v>1</v>
      </c>
      <c r="F107" s="132" t="str">
        <f>VLOOKUP($A107,'Выгр Кат'!$A:$S,F$1,0)</f>
        <v>7700273776РИ</v>
      </c>
      <c r="G107" s="44" t="s">
        <v>585</v>
      </c>
      <c r="H107" s="29"/>
      <c r="I107" s="4" t="s">
        <v>2</v>
      </c>
      <c r="J107" s="95">
        <v>1</v>
      </c>
      <c r="K107" s="168">
        <f t="shared" si="42"/>
        <v>62</v>
      </c>
      <c r="L107" s="167">
        <f>VLOOKUP(K107,Наценка!$A$1:$B$8,2,1)</f>
        <v>2.150537634408602</v>
      </c>
      <c r="M107" s="172">
        <f t="shared" si="43"/>
        <v>133.33333333333331</v>
      </c>
      <c r="N107" s="173">
        <f t="shared" si="35"/>
        <v>139</v>
      </c>
      <c r="O107" s="134">
        <f>VLOOKUP($A107,'Выгр Кат'!$A:$S,O$1,0)</f>
        <v>62</v>
      </c>
      <c r="P107" s="134">
        <f>VLOOKUP($A107,'Выгр Кат'!$A:$S,P$1,0)</f>
        <v>139</v>
      </c>
      <c r="Q107" s="107">
        <f t="shared" si="36"/>
        <v>0</v>
      </c>
      <c r="R107" s="107">
        <f t="shared" si="37"/>
        <v>0</v>
      </c>
      <c r="S107" s="110">
        <f t="shared" si="38"/>
        <v>129.26999999999998</v>
      </c>
      <c r="T107" s="135">
        <f t="shared" si="39"/>
        <v>1.0849999999999995</v>
      </c>
      <c r="U107" s="135" t="str">
        <f t="shared" si="40"/>
        <v/>
      </c>
      <c r="V107" s="135" t="str">
        <f t="shared" si="41"/>
        <v/>
      </c>
      <c r="W107" s="45"/>
      <c r="X107" s="114" t="str">
        <f>IFERROR((VLOOKUP($A107,'ИЗ ГУГЛА'!$B:$G,X$1,0)+Z107)*Y107,VLOOKUP($A107,'ИЗ ГУГЛА'!$B:$G,X$1,0))</f>
        <v/>
      </c>
      <c r="Y107" s="108">
        <v>1</v>
      </c>
      <c r="Z107" s="46"/>
      <c r="AA107" s="45" t="s">
        <v>1821</v>
      </c>
      <c r="AB107" s="124"/>
      <c r="AC107" s="114" t="str">
        <f>IFERROR((VLOOKUP($A107,'ИЗ ГУГЛА'!$B:$Z,AC$1,0)+AE107)*AD107,VLOOKUP($A107,'ИЗ ГУГЛА'!$B:$Z,AC$1,0))</f>
        <v/>
      </c>
      <c r="AD107" s="108">
        <v>1</v>
      </c>
      <c r="AE107" s="46"/>
      <c r="AF107" s="115"/>
    </row>
    <row r="108" spans="1:32" s="5" customFormat="1" ht="30.75" thickBot="1" x14ac:dyDescent="0.3">
      <c r="A108" s="132">
        <v>202116</v>
      </c>
      <c r="B108" s="132">
        <f>VLOOKUP($A108,'Выгр Кат'!$A:$S,B$1,0)</f>
        <v>35478</v>
      </c>
      <c r="C108" s="133" t="str">
        <f>VLOOKUP($A108,'Выгр Кат'!$A:$S,C$1,0)</f>
        <v>Пыльник ШРУСа "БРТ" внутренний для Лада Калина</v>
      </c>
      <c r="D108" s="132" t="str">
        <f>VLOOKUP($A108,'Выгр Кат'!$A:$S,D$1,0)</f>
        <v>Y</v>
      </c>
      <c r="E108" s="132" t="str">
        <f>VLOOKUP($A108,'Выгр Кат'!$A:$S,E$1,0)</f>
        <v>1</v>
      </c>
      <c r="F108" s="132" t="str">
        <f>VLOOKUP($A108,'Выгр Кат'!$A:$S,F$1,0)</f>
        <v>1118-2215068Р</v>
      </c>
      <c r="G108" s="44" t="s">
        <v>1200</v>
      </c>
      <c r="H108" s="29"/>
      <c r="I108" s="4" t="s">
        <v>2</v>
      </c>
      <c r="J108" s="95">
        <v>1</v>
      </c>
      <c r="K108" s="168">
        <f t="shared" si="42"/>
        <v>77</v>
      </c>
      <c r="L108" s="167">
        <f>VLOOKUP(K108,Наценка!$A$1:$B$8,2,1)</f>
        <v>2.150537634408602</v>
      </c>
      <c r="M108" s="172">
        <f t="shared" si="43"/>
        <v>165.59139784946237</v>
      </c>
      <c r="N108" s="173">
        <f t="shared" si="35"/>
        <v>169</v>
      </c>
      <c r="O108" s="134">
        <f>VLOOKUP($A108,'Выгр Кат'!$A:$S,O$1,0)</f>
        <v>77</v>
      </c>
      <c r="P108" s="134">
        <f>VLOOKUP($A108,'Выгр Кат'!$A:$S,P$1,0)</f>
        <v>169</v>
      </c>
      <c r="Q108" s="107">
        <f t="shared" si="36"/>
        <v>0</v>
      </c>
      <c r="R108" s="107">
        <f t="shared" si="37"/>
        <v>0</v>
      </c>
      <c r="S108" s="110">
        <f t="shared" si="38"/>
        <v>157.16999999999999</v>
      </c>
      <c r="T108" s="135">
        <f t="shared" si="39"/>
        <v>1.041168831168831</v>
      </c>
      <c r="U108" s="135" t="str">
        <f t="shared" si="40"/>
        <v/>
      </c>
      <c r="V108" s="135" t="str">
        <f t="shared" si="41"/>
        <v/>
      </c>
      <c r="W108" s="45"/>
      <c r="X108" s="114" t="str">
        <f>IFERROR((VLOOKUP($A108,'ИЗ ГУГЛА'!$B:$G,X$1,0)+Z108)*Y108,VLOOKUP($A108,'ИЗ ГУГЛА'!$B:$G,X$1,0))</f>
        <v/>
      </c>
      <c r="Y108" s="108">
        <v>1</v>
      </c>
      <c r="Z108" s="46"/>
      <c r="AA108" s="140" t="s">
        <v>2493</v>
      </c>
      <c r="AB108" s="129"/>
      <c r="AC108" s="114" t="str">
        <f>IFERROR((VLOOKUP($A108,'ИЗ ГУГЛА'!$B:$Z,AC$1,0)+AE108)*AD108,VLOOKUP($A108,'ИЗ ГУГЛА'!$B:$Z,AC$1,0))</f>
        <v/>
      </c>
      <c r="AD108" s="108">
        <v>1</v>
      </c>
      <c r="AE108" s="46"/>
      <c r="AF108" s="115"/>
    </row>
    <row r="109" spans="1:32" s="5" customFormat="1" ht="46.5" thickTop="1" thickBot="1" x14ac:dyDescent="0.3">
      <c r="A109" s="132">
        <v>213298</v>
      </c>
      <c r="B109" s="132">
        <f>VLOOKUP($A109,'Выгр Кат'!$A:$S,B$1,0)</f>
        <v>35220</v>
      </c>
      <c r="C109" s="133" t="str">
        <f>VLOOKUP($A109,'Выгр Кат'!$A:$S,C$1,0)</f>
        <v>Сальник "БРТ" первичного вала коробки передач для ВАЗ 2110-2112, Лада (Калина, Приора)</v>
      </c>
      <c r="D109" s="132" t="str">
        <f>VLOOKUP($A109,'Выгр Кат'!$A:$S,D$1,0)</f>
        <v>Y</v>
      </c>
      <c r="E109" s="132" t="str">
        <f>VLOOKUP($A109,'Выгр Кат'!$A:$S,E$1,0)</f>
        <v>1</v>
      </c>
      <c r="F109" s="132" t="str">
        <f>VLOOKUP($A109,'Выгр Кат'!$A:$S,F$1,0)</f>
        <v>2110-1701043</v>
      </c>
      <c r="G109" s="44" t="s">
        <v>393</v>
      </c>
      <c r="H109" s="29"/>
      <c r="I109" s="4" t="s">
        <v>2</v>
      </c>
      <c r="J109" s="95">
        <v>1</v>
      </c>
      <c r="K109" s="168">
        <f t="shared" si="42"/>
        <v>69</v>
      </c>
      <c r="L109" s="167">
        <f>VLOOKUP(K109,Наценка!$A$1:$B$8,2,1)</f>
        <v>2.150537634408602</v>
      </c>
      <c r="M109" s="148">
        <f>W109*1.06</f>
        <v>179.14000000000001</v>
      </c>
      <c r="N109" s="173">
        <f t="shared" si="35"/>
        <v>179</v>
      </c>
      <c r="O109" s="134">
        <f>VLOOKUP($A109,'Выгр Кат'!$A:$S,O$1,0)</f>
        <v>69</v>
      </c>
      <c r="P109" s="134">
        <f>VLOOKUP($A109,'Выгр Кат'!$A:$S,P$1,0)</f>
        <v>179</v>
      </c>
      <c r="Q109" s="107">
        <f t="shared" si="36"/>
        <v>0</v>
      </c>
      <c r="R109" s="107">
        <f t="shared" si="37"/>
        <v>0</v>
      </c>
      <c r="S109" s="110">
        <f t="shared" si="38"/>
        <v>166.47</v>
      </c>
      <c r="T109" s="135">
        <f t="shared" si="39"/>
        <v>1.4126086956521737</v>
      </c>
      <c r="U109" s="135">
        <f t="shared" si="40"/>
        <v>1.4970414201183439E-2</v>
      </c>
      <c r="V109" s="135">
        <f t="shared" si="41"/>
        <v>1.4492753623188408</v>
      </c>
      <c r="W109" s="117">
        <f>AA109</f>
        <v>169</v>
      </c>
      <c r="X109" s="114">
        <f>IFERROR((VLOOKUP($A109,'ИЗ ГУГЛА'!$B:$G,X$1,0)+Z109)*Y109,VLOOKUP($A109,'ИЗ ГУГЛА'!$B:$G,X$1,0))</f>
        <v>169</v>
      </c>
      <c r="Y109" s="108">
        <v>1</v>
      </c>
      <c r="Z109" s="46"/>
      <c r="AA109" s="136">
        <v>169</v>
      </c>
      <c r="AB109" s="124" t="s">
        <v>2514</v>
      </c>
      <c r="AC109" s="114" t="str">
        <f>IFERROR((VLOOKUP($A109,'ИЗ ГУГЛА'!$B:$Z,AC$1,0)+AE109)*AD109,VLOOKUP($A109,'ИЗ ГУГЛА'!$B:$Z,AC$1,0))</f>
        <v/>
      </c>
      <c r="AD109" s="108">
        <v>1</v>
      </c>
      <c r="AE109" s="46"/>
      <c r="AF109" s="115"/>
    </row>
    <row r="110" spans="1:32" s="5" customFormat="1" ht="46.5" thickTop="1" thickBot="1" x14ac:dyDescent="0.3">
      <c r="A110" s="132">
        <v>186676</v>
      </c>
      <c r="B110" s="132">
        <f>VLOOKUP($A110,'Выгр Кат'!$A:$S,B$1,0)</f>
        <v>20437</v>
      </c>
      <c r="C110" s="133" t="str">
        <f>VLOOKUP($A110,'Выгр Кат'!$A:$S,C$1,0)</f>
        <v>Патрубок отопителя (печки) "БРТ" отводящий (короткий) для Лада Нива 4х4</v>
      </c>
      <c r="D110" s="132" t="str">
        <f>VLOOKUP($A110,'Выгр Кат'!$A:$S,D$1,0)</f>
        <v>Y</v>
      </c>
      <c r="E110" s="132" t="str">
        <f>VLOOKUP($A110,'Выгр Кат'!$A:$S,E$1,0)</f>
        <v>1</v>
      </c>
      <c r="F110" s="132" t="str">
        <f>VLOOKUP($A110,'Выгр Кат'!$A:$S,F$1,0)</f>
        <v>2121-8101204РП.</v>
      </c>
      <c r="G110" s="45" t="s">
        <v>459</v>
      </c>
      <c r="H110" s="29"/>
      <c r="I110" s="4" t="s">
        <v>2</v>
      </c>
      <c r="J110" s="95">
        <v>1</v>
      </c>
      <c r="K110" s="168">
        <f t="shared" si="42"/>
        <v>71</v>
      </c>
      <c r="L110" s="167">
        <f>VLOOKUP(K110,Наценка!$A$1:$B$8,2,1)</f>
        <v>2.150537634408602</v>
      </c>
      <c r="M110" s="172">
        <f t="shared" si="43"/>
        <v>152.68817204301075</v>
      </c>
      <c r="N110" s="173">
        <f t="shared" si="35"/>
        <v>159</v>
      </c>
      <c r="O110" s="134">
        <f>VLOOKUP($A110,'Выгр Кат'!$A:$S,O$1,0)</f>
        <v>71</v>
      </c>
      <c r="P110" s="134">
        <f>VLOOKUP($A110,'Выгр Кат'!$A:$S,P$1,0)</f>
        <v>159</v>
      </c>
      <c r="Q110" s="107">
        <f t="shared" si="36"/>
        <v>0</v>
      </c>
      <c r="R110" s="107">
        <f t="shared" si="37"/>
        <v>0</v>
      </c>
      <c r="S110" s="110">
        <f t="shared" si="38"/>
        <v>147.86999999999998</v>
      </c>
      <c r="T110" s="135">
        <f t="shared" si="39"/>
        <v>1.0826760563380278</v>
      </c>
      <c r="U110" s="135" t="str">
        <f t="shared" si="40"/>
        <v/>
      </c>
      <c r="V110" s="135" t="str">
        <f t="shared" si="41"/>
        <v/>
      </c>
      <c r="W110" s="45"/>
      <c r="X110" s="114" t="str">
        <f>IFERROR((VLOOKUP($A110,'ИЗ ГУГЛА'!$B:$G,X$1,0)+Z110)*Y110,VLOOKUP($A110,'ИЗ ГУГЛА'!$B:$G,X$1,0))</f>
        <v/>
      </c>
      <c r="Y110" s="108">
        <v>1</v>
      </c>
      <c r="Z110" s="46"/>
      <c r="AA110" s="140" t="s">
        <v>1821</v>
      </c>
      <c r="AB110" s="129"/>
      <c r="AC110" s="114" t="str">
        <f>IFERROR((VLOOKUP($A110,'ИЗ ГУГЛА'!$B:$Z,AC$1,0)+AE110)*AD110,VLOOKUP($A110,'ИЗ ГУГЛА'!$B:$Z,AC$1,0))</f>
        <v/>
      </c>
      <c r="AD110" s="108">
        <v>1</v>
      </c>
      <c r="AE110" s="46"/>
      <c r="AF110" s="115"/>
    </row>
    <row r="111" spans="1:32" s="5" customFormat="1" ht="46.5" thickTop="1" thickBot="1" x14ac:dyDescent="0.3">
      <c r="A111" s="132">
        <v>225919</v>
      </c>
      <c r="B111" s="132">
        <f>VLOOKUP($A111,'Выгр Кат'!$A:$S,B$1,0)</f>
        <v>35365</v>
      </c>
      <c r="C111" s="133" t="str">
        <f>VLOOKUP($A111,'Выгр Кат'!$A:$S,C$1,0)</f>
        <v>Шланг "БРТ" подогрева дроссельной заслонки для ВАЗ (2110-2112, 2113-2114), Лада (Калина, Приора)</v>
      </c>
      <c r="D111" s="132" t="str">
        <f>VLOOKUP($A111,'Выгр Кат'!$A:$S,D$1,0)</f>
        <v>Y</v>
      </c>
      <c r="E111" s="132" t="str">
        <f>VLOOKUP($A111,'Выгр Кат'!$A:$S,E$1,0)</f>
        <v>1</v>
      </c>
      <c r="F111" s="132" t="str">
        <f>VLOOKUP($A111,'Выгр Кат'!$A:$S,F$1,0)</f>
        <v>2112-1148038</v>
      </c>
      <c r="G111" s="44" t="s">
        <v>427</v>
      </c>
      <c r="H111" s="29"/>
      <c r="I111" s="4" t="s">
        <v>2</v>
      </c>
      <c r="J111" s="95">
        <v>1</v>
      </c>
      <c r="K111" s="168">
        <f t="shared" si="42"/>
        <v>72</v>
      </c>
      <c r="L111" s="167">
        <f>VLOOKUP(K111,Наценка!$A$1:$B$8,2,1)</f>
        <v>2.150537634408602</v>
      </c>
      <c r="M111" s="147">
        <f t="shared" ref="M111:M112" si="60">W111*1.04</f>
        <v>238.16</v>
      </c>
      <c r="N111" s="173">
        <f t="shared" si="35"/>
        <v>239</v>
      </c>
      <c r="O111" s="134">
        <f>VLOOKUP($A111,'Выгр Кат'!$A:$S,O$1,0)</f>
        <v>72</v>
      </c>
      <c r="P111" s="134">
        <f>VLOOKUP($A111,'Выгр Кат'!$A:$S,P$1,0)</f>
        <v>239</v>
      </c>
      <c r="Q111" s="107">
        <f t="shared" si="36"/>
        <v>0</v>
      </c>
      <c r="R111" s="107">
        <f t="shared" si="37"/>
        <v>0</v>
      </c>
      <c r="S111" s="110">
        <f t="shared" si="38"/>
        <v>222.26999999999998</v>
      </c>
      <c r="T111" s="135">
        <f t="shared" si="39"/>
        <v>2.0870833333333332</v>
      </c>
      <c r="U111" s="135">
        <f t="shared" si="40"/>
        <v>2.9388646288209686E-2</v>
      </c>
      <c r="V111" s="135">
        <f t="shared" si="41"/>
        <v>2.1805555555555554</v>
      </c>
      <c r="W111" s="117">
        <f t="shared" ref="W111:W114" si="61">AA111</f>
        <v>229</v>
      </c>
      <c r="X111" s="114">
        <f>IFERROR((VLOOKUP($A111,'ИЗ ГУГЛА'!$B:$G,X$1,0)+Z111)*Y111,VLOOKUP($A111,'ИЗ ГУГЛА'!$B:$G,X$1,0))</f>
        <v>229</v>
      </c>
      <c r="Y111" s="108">
        <v>1</v>
      </c>
      <c r="Z111" s="46"/>
      <c r="AA111" s="136">
        <v>229</v>
      </c>
      <c r="AB111" s="124" t="s">
        <v>2641</v>
      </c>
      <c r="AC111" s="114" t="str">
        <f>IFERROR((VLOOKUP($A111,'ИЗ ГУГЛА'!$B:$Z,AC$1,0)+AE111)*AD111,VLOOKUP($A111,'ИЗ ГУГЛА'!$B:$Z,AC$1,0))</f>
        <v/>
      </c>
      <c r="AD111" s="108">
        <v>1</v>
      </c>
      <c r="AE111" s="46"/>
      <c r="AF111" s="115"/>
    </row>
    <row r="112" spans="1:32" s="5" customFormat="1" ht="91.5" thickTop="1" thickBot="1" x14ac:dyDescent="0.3">
      <c r="A112" s="132">
        <v>181547</v>
      </c>
      <c r="B112" s="132">
        <f>VLOOKUP($A112,'Выгр Кат'!$A:$S,B$1,0)</f>
        <v>30645</v>
      </c>
      <c r="C112" s="133" t="str">
        <f>VLOOKUP($A112,'Выгр Кат'!$A:$S,C$1,0)</f>
        <v>Опора "БРТ" корпуса воздушного фильтра для ВАЗ (2108-21099, 2113-2115, 2110-2112), Лада (Калина, Калина 2, Приора, Приора 2, Гранта, Гранта FL, Нива 4x4, Нива Legend, Нива Travel), Шевроле Нива</v>
      </c>
      <c r="D112" s="132" t="str">
        <f>VLOOKUP($A112,'Выгр Кат'!$A:$S,D$1,0)</f>
        <v>Y</v>
      </c>
      <c r="E112" s="132" t="str">
        <f>VLOOKUP($A112,'Выгр Кат'!$A:$S,E$1,0)</f>
        <v>1</v>
      </c>
      <c r="F112" s="132" t="str">
        <f>VLOOKUP($A112,'Выгр Кат'!$A:$S,F$1,0)</f>
        <v>2112-1109249</v>
      </c>
      <c r="G112" s="43" t="s">
        <v>425</v>
      </c>
      <c r="H112" s="41"/>
      <c r="I112" s="4" t="s">
        <v>2</v>
      </c>
      <c r="J112" s="95">
        <v>1</v>
      </c>
      <c r="K112" s="168">
        <f t="shared" si="42"/>
        <v>25</v>
      </c>
      <c r="L112" s="167">
        <f>VLOOKUP(K112,Наценка!$A$1:$B$8,2,1)</f>
        <v>2.150537634408602</v>
      </c>
      <c r="M112" s="145">
        <f>W112*1</f>
        <v>89</v>
      </c>
      <c r="N112" s="173">
        <f t="shared" si="35"/>
        <v>89</v>
      </c>
      <c r="O112" s="134">
        <f>VLOOKUP($A112,'Выгр Кат'!$A:$S,O$1,0)</f>
        <v>25</v>
      </c>
      <c r="P112" s="134">
        <f>VLOOKUP($A112,'Выгр Кат'!$A:$S,P$1,0)</f>
        <v>89</v>
      </c>
      <c r="Q112" s="107">
        <f t="shared" si="36"/>
        <v>0</v>
      </c>
      <c r="R112" s="107">
        <f t="shared" si="37"/>
        <v>0</v>
      </c>
      <c r="S112" s="110">
        <f t="shared" si="38"/>
        <v>82.77</v>
      </c>
      <c r="T112" s="135">
        <f t="shared" si="39"/>
        <v>2.3108</v>
      </c>
      <c r="U112" s="135">
        <f t="shared" si="40"/>
        <v>7.0000000000000048E-2</v>
      </c>
      <c r="V112" s="135">
        <f t="shared" si="41"/>
        <v>2.56</v>
      </c>
      <c r="W112" s="117">
        <f t="shared" si="61"/>
        <v>89</v>
      </c>
      <c r="X112" s="114">
        <f>IFERROR((VLOOKUP($A112,'ИЗ ГУГЛА'!$B:$G,X$1,0)+Z112)*Y112,VLOOKUP($A112,'ИЗ ГУГЛА'!$B:$G,X$1,0))</f>
        <v>89</v>
      </c>
      <c r="Y112" s="108">
        <v>1</v>
      </c>
      <c r="Z112" s="46"/>
      <c r="AA112" s="136">
        <v>89</v>
      </c>
      <c r="AB112" s="124" t="s">
        <v>2642</v>
      </c>
      <c r="AC112" s="114" t="str">
        <f>IFERROR((VLOOKUP($A112,'ИЗ ГУГЛА'!$B:$Z,AC$1,0)+AE112)*AD112,VLOOKUP($A112,'ИЗ ГУГЛА'!$B:$Z,AC$1,0))</f>
        <v/>
      </c>
      <c r="AD112" s="108">
        <v>1</v>
      </c>
      <c r="AE112" s="46"/>
      <c r="AF112" s="115"/>
    </row>
    <row r="113" spans="1:32" s="5" customFormat="1" ht="46.5" thickTop="1" thickBot="1" x14ac:dyDescent="0.3">
      <c r="A113" s="132">
        <v>141826</v>
      </c>
      <c r="B113" s="132">
        <f>VLOOKUP($A113,'Выгр Кат'!$A:$S,B$1,0)</f>
        <v>16955</v>
      </c>
      <c r="C113" s="133" t="str">
        <f>VLOOKUP($A113,'Выгр Кат'!$A:$S,C$1,0)</f>
        <v>Грязезащитные заглушки проема рулевых тяг на Лада 2108-21099, 2113-2115</v>
      </c>
      <c r="D113" s="132" t="str">
        <f>VLOOKUP($A113,'Выгр Кат'!$A:$S,D$1,0)</f>
        <v>Y</v>
      </c>
      <c r="E113" s="132" t="str">
        <f>VLOOKUP($A113,'Выгр Кат'!$A:$S,E$1,0)</f>
        <v>1ск6</v>
      </c>
      <c r="F113" s="132">
        <f>VLOOKUP($A113,'Выгр Кат'!$A:$S,F$1,0)</f>
        <v>0</v>
      </c>
      <c r="G113" s="45" t="s">
        <v>1821</v>
      </c>
      <c r="H113" s="29" t="s">
        <v>1821</v>
      </c>
      <c r="I113" s="4" t="s">
        <v>2</v>
      </c>
      <c r="J113" s="95">
        <v>1</v>
      </c>
      <c r="K113" s="168">
        <f t="shared" si="42"/>
        <v>156</v>
      </c>
      <c r="L113" s="167">
        <f>VLOOKUP(K113,Наценка!$A$1:$B$8,2,1)</f>
        <v>1.7204301075268817</v>
      </c>
      <c r="M113" s="148">
        <f t="shared" ref="M111:M114" si="62">W113*1.06</f>
        <v>307.40000000000003</v>
      </c>
      <c r="N113" s="173">
        <f t="shared" si="35"/>
        <v>309</v>
      </c>
      <c r="O113" s="134">
        <f>VLOOKUP($A113,'Выгр Кат'!$A:$S,O$1,0)</f>
        <v>156</v>
      </c>
      <c r="P113" s="134">
        <f>VLOOKUP($A113,'Выгр Кат'!$A:$S,P$1,0)</f>
        <v>309</v>
      </c>
      <c r="Q113" s="107">
        <f t="shared" si="36"/>
        <v>0</v>
      </c>
      <c r="R113" s="107">
        <f t="shared" si="37"/>
        <v>0</v>
      </c>
      <c r="S113" s="110">
        <f t="shared" si="38"/>
        <v>287.37</v>
      </c>
      <c r="T113" s="135">
        <f t="shared" si="39"/>
        <v>0.8421153846153846</v>
      </c>
      <c r="U113" s="135">
        <f t="shared" si="40"/>
        <v>9.0689655172413643E-3</v>
      </c>
      <c r="V113" s="135">
        <f t="shared" si="41"/>
        <v>0.85897435897435903</v>
      </c>
      <c r="W113" s="117">
        <f t="shared" si="61"/>
        <v>290</v>
      </c>
      <c r="X113" s="114">
        <f>IFERROR((VLOOKUP($A113,'ИЗ ГУГЛА'!$B:$G,X$1,0)+Z113)*Y113,VLOOKUP($A113,'ИЗ ГУГЛА'!$B:$G,X$1,0))</f>
        <v>290</v>
      </c>
      <c r="Y113" s="46">
        <v>1</v>
      </c>
      <c r="Z113" s="46"/>
      <c r="AA113" s="138">
        <v>290</v>
      </c>
      <c r="AB113" s="124" t="s">
        <v>2341</v>
      </c>
      <c r="AC113" s="114" t="str">
        <f>IFERROR((VLOOKUP($A113,'ИЗ ГУГЛА'!$B:$Z,AC$1,0)+AE113)*AD113,VLOOKUP($A113,'ИЗ ГУГЛА'!$B:$Z,AC$1,0))</f>
        <v/>
      </c>
      <c r="AD113" s="46">
        <v>1</v>
      </c>
      <c r="AE113" s="46"/>
      <c r="AF113" s="115"/>
    </row>
    <row r="114" spans="1:32" s="5" customFormat="1" ht="46.5" thickTop="1" thickBot="1" x14ac:dyDescent="0.3">
      <c r="A114" s="132">
        <v>141827</v>
      </c>
      <c r="B114" s="132">
        <f>VLOOKUP($A114,'Выгр Кат'!$A:$S,B$1,0)</f>
        <v>12304</v>
      </c>
      <c r="C114" s="133" t="str">
        <f>VLOOKUP($A114,'Выгр Кат'!$A:$S,C$1,0)</f>
        <v>Грязезащитные заглушки проема рулевых тяг на Лада Приора, ВАЗ 2110-2112</v>
      </c>
      <c r="D114" s="132" t="str">
        <f>VLOOKUP($A114,'Выгр Кат'!$A:$S,D$1,0)</f>
        <v>Y</v>
      </c>
      <c r="E114" s="132" t="str">
        <f>VLOOKUP($A114,'Выгр Кат'!$A:$S,E$1,0)</f>
        <v>1</v>
      </c>
      <c r="F114" s="132">
        <f>VLOOKUP($A114,'Выгр Кат'!$A:$S,F$1,0)</f>
        <v>0</v>
      </c>
      <c r="G114" s="45" t="s">
        <v>1821</v>
      </c>
      <c r="H114" s="29" t="s">
        <v>1821</v>
      </c>
      <c r="I114" s="4" t="s">
        <v>2</v>
      </c>
      <c r="J114" s="95">
        <v>1</v>
      </c>
      <c r="K114" s="168">
        <f t="shared" si="42"/>
        <v>156</v>
      </c>
      <c r="L114" s="167">
        <f>VLOOKUP(K114,Наценка!$A$1:$B$8,2,1)</f>
        <v>1.7204301075268817</v>
      </c>
      <c r="M114" s="148">
        <f t="shared" si="62"/>
        <v>348.74</v>
      </c>
      <c r="N114" s="173">
        <f t="shared" si="35"/>
        <v>349</v>
      </c>
      <c r="O114" s="134">
        <f>VLOOKUP($A114,'Выгр Кат'!$A:$S,O$1,0)</f>
        <v>156</v>
      </c>
      <c r="P114" s="134">
        <f>VLOOKUP($A114,'Выгр Кат'!$A:$S,P$1,0)</f>
        <v>349</v>
      </c>
      <c r="Q114" s="107">
        <f t="shared" si="36"/>
        <v>0</v>
      </c>
      <c r="R114" s="107">
        <f t="shared" si="37"/>
        <v>0</v>
      </c>
      <c r="S114" s="110">
        <f t="shared" si="38"/>
        <v>324.57</v>
      </c>
      <c r="T114" s="135">
        <f t="shared" si="39"/>
        <v>1.0805769230769231</v>
      </c>
      <c r="U114" s="135">
        <f t="shared" si="40"/>
        <v>1.3465045592705187E-2</v>
      </c>
      <c r="V114" s="135">
        <f t="shared" si="41"/>
        <v>1.108974358974359</v>
      </c>
      <c r="W114" s="117">
        <f t="shared" si="61"/>
        <v>329</v>
      </c>
      <c r="X114" s="114">
        <f>IFERROR((VLOOKUP($A114,'ИЗ ГУГЛА'!$B:$G,X$1,0)+Z114)*Y114,VLOOKUP($A114,'ИЗ ГУГЛА'!$B:$G,X$1,0))</f>
        <v>329</v>
      </c>
      <c r="Y114" s="46">
        <v>1</v>
      </c>
      <c r="Z114" s="46"/>
      <c r="AA114" s="138">
        <v>329</v>
      </c>
      <c r="AB114" s="124" t="s">
        <v>2342</v>
      </c>
      <c r="AC114" s="114" t="str">
        <f>IFERROR((VLOOKUP($A114,'ИЗ ГУГЛА'!$B:$Z,AC$1,0)+AE114)*AD114,VLOOKUP($A114,'ИЗ ГУГЛА'!$B:$Z,AC$1,0))</f>
        <v/>
      </c>
      <c r="AD114" s="46">
        <v>1</v>
      </c>
      <c r="AE114" s="46"/>
      <c r="AF114" s="115"/>
    </row>
    <row r="115" spans="1:32" s="5" customFormat="1" ht="30.75" thickTop="1" x14ac:dyDescent="0.25">
      <c r="A115" s="132">
        <v>186591</v>
      </c>
      <c r="B115" s="132">
        <f>VLOOKUP($A115,'Выгр Кат'!$A:$S,B$1,0)</f>
        <v>35581</v>
      </c>
      <c r="C115" s="133" t="str">
        <f>VLOOKUP($A115,'Выгр Кат'!$A:$S,C$1,0)</f>
        <v>Патрубок "БРТ" сапуна для Лада Ларгус</v>
      </c>
      <c r="D115" s="132" t="str">
        <f>VLOOKUP($A115,'Выгр Кат'!$A:$S,D$1,0)</f>
        <v>Y</v>
      </c>
      <c r="E115" s="132" t="str">
        <f>VLOOKUP($A115,'Выгр Кат'!$A:$S,E$1,0)</f>
        <v>1</v>
      </c>
      <c r="F115" s="132" t="str">
        <f>VLOOKUP($A115,'Выгр Кат'!$A:$S,F$1,0)</f>
        <v>LR90132Р</v>
      </c>
      <c r="G115" s="44" t="s">
        <v>588</v>
      </c>
      <c r="H115" s="29"/>
      <c r="I115" s="4" t="s">
        <v>2</v>
      </c>
      <c r="J115" s="95">
        <v>1</v>
      </c>
      <c r="K115" s="168">
        <f t="shared" si="42"/>
        <v>101</v>
      </c>
      <c r="L115" s="167">
        <f>VLOOKUP(K115,Наценка!$A$1:$B$8,2,1)</f>
        <v>1.7204301075268817</v>
      </c>
      <c r="M115" s="172">
        <f t="shared" si="43"/>
        <v>173.76344086021507</v>
      </c>
      <c r="N115" s="173">
        <f t="shared" si="35"/>
        <v>179</v>
      </c>
      <c r="O115" s="134">
        <f>VLOOKUP($A115,'Выгр Кат'!$A:$S,O$1,0)</f>
        <v>101</v>
      </c>
      <c r="P115" s="134">
        <f>VLOOKUP($A115,'Выгр Кат'!$A:$S,P$1,0)</f>
        <v>179</v>
      </c>
      <c r="Q115" s="107">
        <f t="shared" si="36"/>
        <v>0</v>
      </c>
      <c r="R115" s="107">
        <f t="shared" si="37"/>
        <v>0</v>
      </c>
      <c r="S115" s="110">
        <f t="shared" si="38"/>
        <v>166.47</v>
      </c>
      <c r="T115" s="135">
        <f t="shared" si="39"/>
        <v>0.64821782178217813</v>
      </c>
      <c r="U115" s="135" t="str">
        <f t="shared" si="40"/>
        <v/>
      </c>
      <c r="V115" s="135" t="str">
        <f t="shared" si="41"/>
        <v/>
      </c>
      <c r="W115" s="45"/>
      <c r="X115" s="114" t="str">
        <f>IFERROR((VLOOKUP($A115,'ИЗ ГУГЛА'!$B:$G,X$1,0)+Z115)*Y115,VLOOKUP($A115,'ИЗ ГУГЛА'!$B:$G,X$1,0))</f>
        <v/>
      </c>
      <c r="Y115" s="108">
        <v>1</v>
      </c>
      <c r="Z115" s="46"/>
      <c r="AA115" s="45" t="s">
        <v>1821</v>
      </c>
      <c r="AB115" s="124"/>
      <c r="AC115" s="114" t="str">
        <f>IFERROR((VLOOKUP($A115,'ИЗ ГУГЛА'!$B:$Z,AC$1,0)+AE115)*AD115,VLOOKUP($A115,'ИЗ ГУГЛА'!$B:$Z,AC$1,0))</f>
        <v/>
      </c>
      <c r="AD115" s="108">
        <v>1</v>
      </c>
      <c r="AE115" s="46"/>
      <c r="AF115" s="115"/>
    </row>
    <row r="116" spans="1:32" s="5" customFormat="1" ht="30.75" thickBot="1" x14ac:dyDescent="0.3">
      <c r="A116" s="132">
        <v>224908</v>
      </c>
      <c r="B116" s="132">
        <f>VLOOKUP($A116,'Выгр Кат'!$A:$S,B$1,0)</f>
        <v>20521</v>
      </c>
      <c r="C116" s="133" t="str">
        <f>VLOOKUP($A116,'Выгр Кат'!$A:$S,C$1,0)</f>
        <v>Чехол вилки выключения сцепления "БРТ" для ВАЗ 2110, 2115, Лада Калина</v>
      </c>
      <c r="D116" s="132" t="str">
        <f>VLOOKUP($A116,'Выгр Кат'!$A:$S,D$1,0)</f>
        <v>Y</v>
      </c>
      <c r="E116" s="132" t="str">
        <f>VLOOKUP($A116,'Выгр Кат'!$A:$S,E$1,0)</f>
        <v>1</v>
      </c>
      <c r="F116" s="132" t="str">
        <f>VLOOKUP($A116,'Выгр Кат'!$A:$S,F$1,0)</f>
        <v>2110-1601211Р</v>
      </c>
      <c r="G116" s="45" t="s">
        <v>392</v>
      </c>
      <c r="H116" s="29"/>
      <c r="I116" s="4" t="s">
        <v>2</v>
      </c>
      <c r="J116" s="95">
        <v>1</v>
      </c>
      <c r="K116" s="168">
        <f t="shared" si="42"/>
        <v>75</v>
      </c>
      <c r="L116" s="167">
        <f>VLOOKUP(K116,Наценка!$A$1:$B$8,2,1)</f>
        <v>2.150537634408602</v>
      </c>
      <c r="M116" s="149">
        <f t="shared" ref="M116:M118" si="63">W116*1.07</f>
        <v>159.43</v>
      </c>
      <c r="N116" s="173">
        <f t="shared" si="35"/>
        <v>159</v>
      </c>
      <c r="O116" s="134">
        <f>VLOOKUP($A116,'Выгр Кат'!$A:$S,O$1,0)</f>
        <v>75</v>
      </c>
      <c r="P116" s="134">
        <f>VLOOKUP($A116,'Выгр Кат'!$A:$S,P$1,0)</f>
        <v>159</v>
      </c>
      <c r="Q116" s="107">
        <f t="shared" si="36"/>
        <v>0</v>
      </c>
      <c r="R116" s="107">
        <f t="shared" si="37"/>
        <v>0</v>
      </c>
      <c r="S116" s="110">
        <f t="shared" si="38"/>
        <v>147.86999999999998</v>
      </c>
      <c r="T116" s="135">
        <f t="shared" si="39"/>
        <v>0.97159999999999958</v>
      </c>
      <c r="U116" s="135">
        <f t="shared" si="40"/>
        <v>7.5838926174498248E-3</v>
      </c>
      <c r="V116" s="135">
        <f t="shared" si="41"/>
        <v>0.98666666666666658</v>
      </c>
      <c r="W116" s="117">
        <f t="shared" ref="W116:W118" si="64">AA116</f>
        <v>149</v>
      </c>
      <c r="X116" s="114">
        <f>IFERROR((VLOOKUP($A116,'ИЗ ГУГЛА'!$B:$G,X$1,0)+Z116)*Y116,VLOOKUP($A116,'ИЗ ГУГЛА'!$B:$G,X$1,0))</f>
        <v>149</v>
      </c>
      <c r="Y116" s="108">
        <v>1</v>
      </c>
      <c r="Z116" s="46"/>
      <c r="AA116" s="136">
        <v>149</v>
      </c>
      <c r="AB116" s="124" t="s">
        <v>2643</v>
      </c>
      <c r="AC116" s="114" t="str">
        <f>IFERROR((VLOOKUP($A116,'ИЗ ГУГЛА'!$B:$Z,AC$1,0)+AE116)*AD116,VLOOKUP($A116,'ИЗ ГУГЛА'!$B:$Z,AC$1,0))</f>
        <v/>
      </c>
      <c r="AD116" s="108">
        <v>1</v>
      </c>
      <c r="AE116" s="46"/>
      <c r="AF116" s="115"/>
    </row>
    <row r="117" spans="1:32" s="5" customFormat="1" ht="31.5" thickTop="1" thickBot="1" x14ac:dyDescent="0.3">
      <c r="A117" s="132">
        <v>194567</v>
      </c>
      <c r="B117" s="132">
        <f>VLOOKUP($A117,'Выгр Кат'!$A:$S,B$1,0)</f>
        <v>35413</v>
      </c>
      <c r="C117" s="133" t="str">
        <f>VLOOKUP($A117,'Выгр Кат'!$A:$S,C$1,0)</f>
        <v>Подушка "БРТ" крепления резонатора для Лада Приора, Веста</v>
      </c>
      <c r="D117" s="132" t="str">
        <f>VLOOKUP($A117,'Выгр Кат'!$A:$S,D$1,0)</f>
        <v>Y</v>
      </c>
      <c r="E117" s="132" t="str">
        <f>VLOOKUP($A117,'Выгр Кат'!$A:$S,E$1,0)</f>
        <v>1</v>
      </c>
      <c r="F117" s="132" t="str">
        <f>VLOOKUP($A117,'Выгр Кат'!$A:$S,F$1,0)</f>
        <v>2170-1203073</v>
      </c>
      <c r="G117" s="44" t="s">
        <v>518</v>
      </c>
      <c r="H117" s="29"/>
      <c r="I117" s="4" t="s">
        <v>2</v>
      </c>
      <c r="J117" s="95">
        <v>1</v>
      </c>
      <c r="K117" s="168">
        <f t="shared" si="42"/>
        <v>76</v>
      </c>
      <c r="L117" s="167">
        <f>VLOOKUP(K117,Наценка!$A$1:$B$8,2,1)</f>
        <v>2.150537634408602</v>
      </c>
      <c r="M117" s="145">
        <f>W117*1</f>
        <v>129</v>
      </c>
      <c r="N117" s="173">
        <f t="shared" si="35"/>
        <v>129</v>
      </c>
      <c r="O117" s="134">
        <f>VLOOKUP($A117,'Выгр Кат'!$A:$S,O$1,0)</f>
        <v>76</v>
      </c>
      <c r="P117" s="134">
        <f>VLOOKUP($A117,'Выгр Кат'!$A:$S,P$1,0)</f>
        <v>129</v>
      </c>
      <c r="Q117" s="107">
        <f t="shared" si="36"/>
        <v>0</v>
      </c>
      <c r="R117" s="107">
        <f t="shared" si="37"/>
        <v>0</v>
      </c>
      <c r="S117" s="110">
        <f t="shared" si="38"/>
        <v>119.97</v>
      </c>
      <c r="T117" s="135">
        <f t="shared" si="39"/>
        <v>0.57855263157894732</v>
      </c>
      <c r="U117" s="135">
        <f t="shared" si="40"/>
        <v>7.0000000000000007E-2</v>
      </c>
      <c r="V117" s="135">
        <f t="shared" si="41"/>
        <v>0.69736842105263164</v>
      </c>
      <c r="W117" s="117">
        <f t="shared" si="64"/>
        <v>129</v>
      </c>
      <c r="X117" s="114">
        <f>IFERROR((VLOOKUP($A117,'ИЗ ГУГЛА'!$B:$G,X$1,0)+Z117)*Y117,VLOOKUP($A117,'ИЗ ГУГЛА'!$B:$G,X$1,0))</f>
        <v>129</v>
      </c>
      <c r="Y117" s="108">
        <v>1</v>
      </c>
      <c r="Z117" s="46"/>
      <c r="AA117" s="136">
        <v>129</v>
      </c>
      <c r="AB117" s="124" t="s">
        <v>2644</v>
      </c>
      <c r="AC117" s="114" t="str">
        <f>IFERROR((VLOOKUP($A117,'ИЗ ГУГЛА'!$B:$Z,AC$1,0)+AE117)*AD117,VLOOKUP($A117,'ИЗ ГУГЛА'!$B:$Z,AC$1,0))</f>
        <v/>
      </c>
      <c r="AD117" s="108">
        <v>1</v>
      </c>
      <c r="AE117" s="46"/>
      <c r="AF117" s="115"/>
    </row>
    <row r="118" spans="1:32" s="5" customFormat="1" ht="46.5" thickTop="1" thickBot="1" x14ac:dyDescent="0.3">
      <c r="A118" s="132">
        <v>202108</v>
      </c>
      <c r="B118" s="132">
        <f>VLOOKUP($A118,'Выгр Кат'!$A:$S,B$1,0)</f>
        <v>35575</v>
      </c>
      <c r="C118" s="133" t="str">
        <f>VLOOKUP($A118,'Выгр Кат'!$A:$S,C$1,0)</f>
        <v>Пыльник "БРТ" вилки сцепления для Лада Гранта, Гранта FL, Калина 2 (с КПП 2181)</v>
      </c>
      <c r="D118" s="132" t="str">
        <f>VLOOKUP($A118,'Выгр Кат'!$A:$S,D$1,0)</f>
        <v>Y</v>
      </c>
      <c r="E118" s="132" t="str">
        <f>VLOOKUP($A118,'Выгр Кат'!$A:$S,E$1,0)</f>
        <v>1</v>
      </c>
      <c r="F118" s="132" t="str">
        <f>VLOOKUP($A118,'Выгр Кат'!$A:$S,F$1,0)</f>
        <v>2181-1601211</v>
      </c>
      <c r="G118" s="44" t="s">
        <v>599</v>
      </c>
      <c r="H118" s="29"/>
      <c r="I118" s="4" t="s">
        <v>2</v>
      </c>
      <c r="J118" s="95">
        <v>1</v>
      </c>
      <c r="K118" s="168">
        <f t="shared" si="42"/>
        <v>80</v>
      </c>
      <c r="L118" s="167">
        <f>VLOOKUP(K118,Наценка!$A$1:$B$8,2,1)</f>
        <v>2.150537634408602</v>
      </c>
      <c r="M118" s="148">
        <f t="shared" ref="M117:M118" si="65">W118*1.05</f>
        <v>198.45000000000002</v>
      </c>
      <c r="N118" s="173">
        <f t="shared" si="35"/>
        <v>199</v>
      </c>
      <c r="O118" s="134">
        <f>VLOOKUP($A118,'Выгр Кат'!$A:$S,O$1,0)</f>
        <v>80</v>
      </c>
      <c r="P118" s="134">
        <f>VLOOKUP($A118,'Выгр Кат'!$A:$S,P$1,0)</f>
        <v>199</v>
      </c>
      <c r="Q118" s="107">
        <f t="shared" si="36"/>
        <v>0</v>
      </c>
      <c r="R118" s="107">
        <f t="shared" si="37"/>
        <v>0</v>
      </c>
      <c r="S118" s="110">
        <f t="shared" si="38"/>
        <v>185.07</v>
      </c>
      <c r="T118" s="135">
        <f t="shared" si="39"/>
        <v>1.3133749999999997</v>
      </c>
      <c r="U118" s="135">
        <f t="shared" si="40"/>
        <v>2.0793650793650829E-2</v>
      </c>
      <c r="V118" s="135">
        <f t="shared" si="41"/>
        <v>1.3624999999999998</v>
      </c>
      <c r="W118" s="117">
        <f t="shared" si="64"/>
        <v>189</v>
      </c>
      <c r="X118" s="114">
        <f>IFERROR((VLOOKUP($A118,'ИЗ ГУГЛА'!$B:$G,X$1,0)+Z118)*Y118,VLOOKUP($A118,'ИЗ ГУГЛА'!$B:$G,X$1,0))</f>
        <v>189</v>
      </c>
      <c r="Y118" s="108">
        <v>1</v>
      </c>
      <c r="Z118" s="46"/>
      <c r="AA118" s="136">
        <v>189</v>
      </c>
      <c r="AB118" s="124" t="s">
        <v>2645</v>
      </c>
      <c r="AC118" s="114" t="str">
        <f>IFERROR((VLOOKUP($A118,'ИЗ ГУГЛА'!$B:$Z,AC$1,0)+AE118)*AD118,VLOOKUP($A118,'ИЗ ГУГЛА'!$B:$Z,AC$1,0))</f>
        <v/>
      </c>
      <c r="AD118" s="108">
        <v>1</v>
      </c>
      <c r="AE118" s="46"/>
      <c r="AF118" s="115"/>
    </row>
    <row r="119" spans="1:32" s="5" customFormat="1" ht="46.5" thickTop="1" thickBot="1" x14ac:dyDescent="0.3">
      <c r="A119" s="132">
        <v>186696</v>
      </c>
      <c r="B119" s="132">
        <f>VLOOKUP($A119,'Выгр Кат'!$A:$S,B$1,0)</f>
        <v>20396</v>
      </c>
      <c r="C119" s="133" t="str">
        <f>VLOOKUP($A119,'Выгр Кат'!$A:$S,C$1,0)</f>
        <v>Патрубок отопителя (печки) подводящий "БРТ" передний для ВАЗ 2114</v>
      </c>
      <c r="D119" s="132" t="str">
        <f>VLOOKUP($A119,'Выгр Кат'!$A:$S,D$1,0)</f>
        <v>Y</v>
      </c>
      <c r="E119" s="132" t="str">
        <f>VLOOKUP($A119,'Выгр Кат'!$A:$S,E$1,0)</f>
        <v>1</v>
      </c>
      <c r="F119" s="132" t="str">
        <f>VLOOKUP($A119,'Выгр Кат'!$A:$S,F$1,0)</f>
        <v>2114-8101200РП.</v>
      </c>
      <c r="G119" s="45" t="s">
        <v>432</v>
      </c>
      <c r="H119" s="29"/>
      <c r="I119" s="4" t="s">
        <v>2</v>
      </c>
      <c r="J119" s="95">
        <v>1</v>
      </c>
      <c r="K119" s="168">
        <f t="shared" si="42"/>
        <v>77</v>
      </c>
      <c r="L119" s="167">
        <f>VLOOKUP(K119,Наценка!$A$1:$B$8,2,1)</f>
        <v>2.150537634408602</v>
      </c>
      <c r="M119" s="172">
        <f t="shared" si="43"/>
        <v>165.59139784946237</v>
      </c>
      <c r="N119" s="173">
        <f t="shared" si="35"/>
        <v>169</v>
      </c>
      <c r="O119" s="134">
        <f>VLOOKUP($A119,'Выгр Кат'!$A:$S,O$1,0)</f>
        <v>77</v>
      </c>
      <c r="P119" s="134">
        <f>VLOOKUP($A119,'Выгр Кат'!$A:$S,P$1,0)</f>
        <v>169</v>
      </c>
      <c r="Q119" s="107">
        <f t="shared" si="36"/>
        <v>0</v>
      </c>
      <c r="R119" s="107">
        <f t="shared" si="37"/>
        <v>0</v>
      </c>
      <c r="S119" s="110">
        <f t="shared" si="38"/>
        <v>157.16999999999999</v>
      </c>
      <c r="T119" s="135">
        <f t="shared" si="39"/>
        <v>1.041168831168831</v>
      </c>
      <c r="U119" s="135" t="str">
        <f t="shared" si="40"/>
        <v/>
      </c>
      <c r="V119" s="135" t="str">
        <f t="shared" si="41"/>
        <v/>
      </c>
      <c r="W119" s="45"/>
      <c r="X119" s="114" t="str">
        <f>IFERROR((VLOOKUP($A119,'ИЗ ГУГЛА'!$B:$G,X$1,0)+Z119)*Y119,VLOOKUP($A119,'ИЗ ГУГЛА'!$B:$G,X$1,0))</f>
        <v/>
      </c>
      <c r="Y119" s="108">
        <v>1</v>
      </c>
      <c r="Z119" s="46"/>
      <c r="AA119" s="140" t="s">
        <v>1821</v>
      </c>
      <c r="AB119" s="129"/>
      <c r="AC119" s="114" t="str">
        <f>IFERROR((VLOOKUP($A119,'ИЗ ГУГЛА'!$B:$Z,AC$1,0)+AE119)*AD119,VLOOKUP($A119,'ИЗ ГУГЛА'!$B:$Z,AC$1,0))</f>
        <v/>
      </c>
      <c r="AD119" s="108">
        <v>1</v>
      </c>
      <c r="AE119" s="46"/>
      <c r="AF119" s="115"/>
    </row>
    <row r="120" spans="1:32" s="5" customFormat="1" ht="45.75" thickTop="1" x14ac:dyDescent="0.25">
      <c r="A120" s="132">
        <v>213136</v>
      </c>
      <c r="B120" s="132">
        <f>VLOOKUP($A120,'Выгр Кат'!$A:$S,B$1,0)</f>
        <v>35569</v>
      </c>
      <c r="C120" s="133" t="str">
        <f>VLOOKUP($A120,'Выгр Кат'!$A:$S,C$1,0)</f>
        <v>Сайлентблок "БРТ" передней растяжки для Лада Гранта, Гранта FL, Калина 2</v>
      </c>
      <c r="D120" s="132" t="str">
        <f>VLOOKUP($A120,'Выгр Кат'!$A:$S,D$1,0)</f>
        <v>Y</v>
      </c>
      <c r="E120" s="132" t="str">
        <f>VLOOKUP($A120,'Выгр Кат'!$A:$S,E$1,0)</f>
        <v>1</v>
      </c>
      <c r="F120" s="132" t="str">
        <f>VLOOKUP($A120,'Выгр Кат'!$A:$S,F$1,0)</f>
        <v>2190-2904046Р</v>
      </c>
      <c r="G120" s="44" t="s">
        <v>533</v>
      </c>
      <c r="H120" s="29"/>
      <c r="I120" s="4" t="s">
        <v>2</v>
      </c>
      <c r="J120" s="95">
        <v>1</v>
      </c>
      <c r="K120" s="168">
        <f t="shared" si="42"/>
        <v>76</v>
      </c>
      <c r="L120" s="167">
        <f>VLOOKUP(K120,Наценка!$A$1:$B$8,2,1)</f>
        <v>2.150537634408602</v>
      </c>
      <c r="M120" s="149">
        <f t="shared" ref="M120:M121" si="66">W120*1.07</f>
        <v>159.43</v>
      </c>
      <c r="N120" s="173">
        <f t="shared" si="35"/>
        <v>159</v>
      </c>
      <c r="O120" s="134">
        <f>VLOOKUP($A120,'Выгр Кат'!$A:$S,O$1,0)</f>
        <v>76</v>
      </c>
      <c r="P120" s="134">
        <f>VLOOKUP($A120,'Выгр Кат'!$A:$S,P$1,0)</f>
        <v>169</v>
      </c>
      <c r="Q120" s="107">
        <f t="shared" si="36"/>
        <v>0</v>
      </c>
      <c r="R120" s="107">
        <f t="shared" si="37"/>
        <v>10</v>
      </c>
      <c r="S120" s="110">
        <f t="shared" si="38"/>
        <v>147.86999999999998</v>
      </c>
      <c r="T120" s="135">
        <f t="shared" si="39"/>
        <v>0.9456578947368417</v>
      </c>
      <c r="U120" s="135">
        <f t="shared" si="40"/>
        <v>7.5838926174498248E-3</v>
      </c>
      <c r="V120" s="135">
        <f t="shared" si="41"/>
        <v>0.96052631578947367</v>
      </c>
      <c r="W120" s="117">
        <f t="shared" ref="W120:W121" si="67">AA120</f>
        <v>149</v>
      </c>
      <c r="X120" s="114">
        <f>IFERROR((VLOOKUP($A120,'ИЗ ГУГЛА'!$B:$G,X$1,0)+Z120)*Y120,VLOOKUP($A120,'ИЗ ГУГЛА'!$B:$G,X$1,0))</f>
        <v>149</v>
      </c>
      <c r="Y120" s="108">
        <v>1</v>
      </c>
      <c r="Z120" s="46"/>
      <c r="AA120" s="139">
        <v>149</v>
      </c>
      <c r="AB120" s="124" t="s">
        <v>2798</v>
      </c>
      <c r="AC120" s="114" t="str">
        <f>IFERROR((VLOOKUP($A120,'ИЗ ГУГЛА'!$B:$Z,AC$1,0)+AE120)*AD120,VLOOKUP($A120,'ИЗ ГУГЛА'!$B:$Z,AC$1,0))</f>
        <v/>
      </c>
      <c r="AD120" s="108">
        <v>0.25</v>
      </c>
      <c r="AE120" s="46"/>
      <c r="AF120" s="115"/>
    </row>
    <row r="121" spans="1:32" s="5" customFormat="1" ht="45.75" thickBot="1" x14ac:dyDescent="0.3">
      <c r="A121" s="132">
        <v>153070</v>
      </c>
      <c r="B121" s="132">
        <f>VLOOKUP($A121,'Выгр Кат'!$A:$S,B$1,0)</f>
        <v>20273</v>
      </c>
      <c r="C121" s="133" t="str">
        <f>VLOOKUP($A121,'Выгр Кат'!$A:$S,C$1,0)</f>
        <v>Изолирующая прокладка пружины передней подвески "БРТ" для ВАЗ 2101-2107</v>
      </c>
      <c r="D121" s="132" t="str">
        <f>VLOOKUP($A121,'Выгр Кат'!$A:$S,D$1,0)</f>
        <v>Y</v>
      </c>
      <c r="E121" s="132" t="str">
        <f>VLOOKUP($A121,'Выгр Кат'!$A:$S,E$1,0)</f>
        <v>1</v>
      </c>
      <c r="F121" s="132" t="str">
        <f>VLOOKUP($A121,'Выгр Кат'!$A:$S,F$1,0)</f>
        <v>2101-2904195-10Р.</v>
      </c>
      <c r="G121" s="45" t="s">
        <v>265</v>
      </c>
      <c r="H121" s="29"/>
      <c r="I121" s="4" t="s">
        <v>2</v>
      </c>
      <c r="J121" s="95">
        <v>1</v>
      </c>
      <c r="K121" s="168">
        <f t="shared" si="42"/>
        <v>77</v>
      </c>
      <c r="L121" s="167">
        <f>VLOOKUP(K121,Наценка!$A$1:$B$8,2,1)</f>
        <v>2.150537634408602</v>
      </c>
      <c r="M121" s="148">
        <f>W121*1.06</f>
        <v>179.14000000000001</v>
      </c>
      <c r="N121" s="173">
        <f t="shared" si="35"/>
        <v>179</v>
      </c>
      <c r="O121" s="134">
        <f>VLOOKUP($A121,'Выгр Кат'!$A:$S,O$1,0)</f>
        <v>77</v>
      </c>
      <c r="P121" s="134">
        <f>VLOOKUP($A121,'Выгр Кат'!$A:$S,P$1,0)</f>
        <v>179</v>
      </c>
      <c r="Q121" s="107">
        <f t="shared" si="36"/>
        <v>0</v>
      </c>
      <c r="R121" s="107">
        <f t="shared" si="37"/>
        <v>0</v>
      </c>
      <c r="S121" s="110">
        <f t="shared" si="38"/>
        <v>166.47</v>
      </c>
      <c r="T121" s="135">
        <f t="shared" si="39"/>
        <v>1.1619480519480518</v>
      </c>
      <c r="U121" s="135">
        <f t="shared" si="40"/>
        <v>1.4970414201183439E-2</v>
      </c>
      <c r="V121" s="135">
        <f t="shared" si="41"/>
        <v>1.1948051948051948</v>
      </c>
      <c r="W121" s="117">
        <f t="shared" si="67"/>
        <v>169</v>
      </c>
      <c r="X121" s="114">
        <f>IFERROR((VLOOKUP($A121,'ИЗ ГУГЛА'!$B:$G,X$1,0)+Z121)*Y121,VLOOKUP($A121,'ИЗ ГУГЛА'!$B:$G,X$1,0))</f>
        <v>169</v>
      </c>
      <c r="Y121" s="108">
        <v>1</v>
      </c>
      <c r="Z121" s="46"/>
      <c r="AA121" s="136">
        <v>169</v>
      </c>
      <c r="AB121" s="124" t="s">
        <v>2349</v>
      </c>
      <c r="AC121" s="114" t="str">
        <f>IFERROR((VLOOKUP($A121,'ИЗ ГУГЛА'!$B:$Z,AC$1,0)+AE121)*AD121,VLOOKUP($A121,'ИЗ ГУГЛА'!$B:$Z,AC$1,0))</f>
        <v/>
      </c>
      <c r="AD121" s="108">
        <v>1</v>
      </c>
      <c r="AE121" s="46"/>
      <c r="AF121" s="115"/>
    </row>
    <row r="122" spans="1:32" s="5" customFormat="1" ht="46.5" thickTop="1" thickBot="1" x14ac:dyDescent="0.3">
      <c r="A122" s="132">
        <v>186701</v>
      </c>
      <c r="B122" s="132">
        <f>VLOOKUP($A122,'Выгр Кат'!$A:$S,B$1,0)</f>
        <v>19960</v>
      </c>
      <c r="C122" s="133" t="str">
        <f>VLOOKUP($A122,'Выгр Кат'!$A:$S,C$1,0)</f>
        <v>Патрубок печки отводящий с инжекторным двс "БРТ" для ВАЗ 21073</v>
      </c>
      <c r="D122" s="132" t="str">
        <f>VLOOKUP($A122,'Выгр Кат'!$A:$S,D$1,0)</f>
        <v>Y</v>
      </c>
      <c r="E122" s="132" t="str">
        <f>VLOOKUP($A122,'Выгр Кат'!$A:$S,E$1,0)</f>
        <v>1</v>
      </c>
      <c r="F122" s="132" t="str">
        <f>VLOOKUP($A122,'Выгр Кат'!$A:$S,F$1,0)</f>
        <v>21073-8101204-10РП</v>
      </c>
      <c r="G122" s="45" t="s">
        <v>310</v>
      </c>
      <c r="H122" s="29"/>
      <c r="I122" s="4" t="s">
        <v>2</v>
      </c>
      <c r="J122" s="95">
        <v>1</v>
      </c>
      <c r="K122" s="168">
        <f t="shared" si="42"/>
        <v>79</v>
      </c>
      <c r="L122" s="167">
        <f>VLOOKUP(K122,Наценка!$A$1:$B$8,2,1)</f>
        <v>2.150537634408602</v>
      </c>
      <c r="M122" s="172">
        <f t="shared" si="43"/>
        <v>169.89247311827955</v>
      </c>
      <c r="N122" s="173">
        <f t="shared" si="35"/>
        <v>169</v>
      </c>
      <c r="O122" s="134">
        <f>VLOOKUP($A122,'Выгр Кат'!$A:$S,O$1,0)</f>
        <v>79</v>
      </c>
      <c r="P122" s="134">
        <f>VLOOKUP($A122,'Выгр Кат'!$A:$S,P$1,0)</f>
        <v>169</v>
      </c>
      <c r="Q122" s="107">
        <f t="shared" si="36"/>
        <v>0</v>
      </c>
      <c r="R122" s="107">
        <f t="shared" si="37"/>
        <v>0</v>
      </c>
      <c r="S122" s="110">
        <f t="shared" si="38"/>
        <v>157.16999999999999</v>
      </c>
      <c r="T122" s="135">
        <f t="shared" si="39"/>
        <v>0.98949367088607576</v>
      </c>
      <c r="U122" s="135" t="str">
        <f t="shared" si="40"/>
        <v/>
      </c>
      <c r="V122" s="135" t="str">
        <f t="shared" si="41"/>
        <v/>
      </c>
      <c r="W122" s="45"/>
      <c r="X122" s="114" t="str">
        <f>IFERROR((VLOOKUP($A122,'ИЗ ГУГЛА'!$B:$G,X$1,0)+Z122)*Y122,VLOOKUP($A122,'ИЗ ГУГЛА'!$B:$G,X$1,0))</f>
        <v/>
      </c>
      <c r="Y122" s="108">
        <v>1</v>
      </c>
      <c r="Z122" s="46"/>
      <c r="AA122" s="140" t="s">
        <v>1821</v>
      </c>
      <c r="AB122" s="129"/>
      <c r="AC122" s="114" t="str">
        <f>IFERROR((VLOOKUP($A122,'ИЗ ГУГЛА'!$B:$Z,AC$1,0)+AE122)*AD122,VLOOKUP($A122,'ИЗ ГУГЛА'!$B:$Z,AC$1,0))</f>
        <v/>
      </c>
      <c r="AD122" s="108">
        <v>1</v>
      </c>
      <c r="AE122" s="46"/>
      <c r="AF122" s="115"/>
    </row>
    <row r="123" spans="1:32" s="5" customFormat="1" ht="76.5" thickTop="1" thickBot="1" x14ac:dyDescent="0.3">
      <c r="A123" s="132">
        <v>225055</v>
      </c>
      <c r="B123" s="132">
        <f>VLOOKUP($A123,'Выгр Кат'!$A:$S,B$1,0)</f>
        <v>20291</v>
      </c>
      <c r="C123" s="133" t="str">
        <f>VLOOKUP($A123,'Выгр Кат'!$A:$S,C$1,0)</f>
        <v>Чехол защитный "БРТ" шарового пальца передней подвески для ВАЗ (2108-21099, 2110-2112, 2113-2115), Лада (Калина, Калина 2, Приора, Приора 2,, Гранта, Гранта FL)</v>
      </c>
      <c r="D123" s="132" t="str">
        <f>VLOOKUP($A123,'Выгр Кат'!$A:$S,D$1,0)</f>
        <v>Y</v>
      </c>
      <c r="E123" s="132" t="str">
        <f>VLOOKUP($A123,'Выгр Кат'!$A:$S,E$1,0)</f>
        <v>1</v>
      </c>
      <c r="F123" s="132" t="str">
        <f>VLOOKUP($A123,'Выгр Кат'!$A:$S,F$1,0)</f>
        <v>2110-2904070Р</v>
      </c>
      <c r="G123" s="45" t="s">
        <v>397</v>
      </c>
      <c r="H123" s="29"/>
      <c r="I123" s="4" t="s">
        <v>2</v>
      </c>
      <c r="J123" s="95">
        <v>1</v>
      </c>
      <c r="K123" s="168">
        <f t="shared" si="42"/>
        <v>78</v>
      </c>
      <c r="L123" s="167">
        <f>VLOOKUP(K123,Наценка!$A$1:$B$8,2,1)</f>
        <v>2.150537634408602</v>
      </c>
      <c r="M123" s="149">
        <f t="shared" ref="M123:M126" si="68">W123*1.07</f>
        <v>159.43</v>
      </c>
      <c r="N123" s="173">
        <f t="shared" si="35"/>
        <v>159</v>
      </c>
      <c r="O123" s="134">
        <f>VLOOKUP($A123,'Выгр Кат'!$A:$S,O$1,0)</f>
        <v>78</v>
      </c>
      <c r="P123" s="134">
        <f>VLOOKUP($A123,'Выгр Кат'!$A:$S,P$1,0)</f>
        <v>159</v>
      </c>
      <c r="Q123" s="107">
        <f t="shared" si="36"/>
        <v>0</v>
      </c>
      <c r="R123" s="107">
        <f t="shared" si="37"/>
        <v>0</v>
      </c>
      <c r="S123" s="110">
        <f t="shared" si="38"/>
        <v>147.86999999999998</v>
      </c>
      <c r="T123" s="135">
        <f t="shared" si="39"/>
        <v>0.89576923076923043</v>
      </c>
      <c r="U123" s="135">
        <f t="shared" si="40"/>
        <v>7.5838926174498248E-3</v>
      </c>
      <c r="V123" s="135">
        <f t="shared" si="41"/>
        <v>0.91025641025641035</v>
      </c>
      <c r="W123" s="117">
        <f t="shared" ref="W123:W126" si="69">AA123</f>
        <v>149</v>
      </c>
      <c r="X123" s="114">
        <f>IFERROR((VLOOKUP($A123,'ИЗ ГУГЛА'!$B:$G,X$1,0)+Z123)*Y123,VLOOKUP($A123,'ИЗ ГУГЛА'!$B:$G,X$1,0))</f>
        <v>149</v>
      </c>
      <c r="Y123" s="108">
        <v>1</v>
      </c>
      <c r="Z123" s="46"/>
      <c r="AA123" s="136">
        <v>149</v>
      </c>
      <c r="AB123" s="124" t="s">
        <v>2646</v>
      </c>
      <c r="AC123" s="114" t="str">
        <f>IFERROR((VLOOKUP($A123,'ИЗ ГУГЛА'!$B:$Z,AC$1,0)+AE123)*AD123,VLOOKUP($A123,'ИЗ ГУГЛА'!$B:$Z,AC$1,0))</f>
        <v/>
      </c>
      <c r="AD123" s="108">
        <v>1</v>
      </c>
      <c r="AE123" s="46"/>
      <c r="AF123" s="115"/>
    </row>
    <row r="124" spans="1:32" s="5" customFormat="1" ht="30.75" thickTop="1" x14ac:dyDescent="0.25">
      <c r="A124" s="132">
        <v>225917</v>
      </c>
      <c r="B124" s="132">
        <f>VLOOKUP($A124,'Выгр Кат'!$A:$S,B$1,0)</f>
        <v>35582</v>
      </c>
      <c r="C124" s="133" t="str">
        <f>VLOOKUP($A124,'Выгр Кат'!$A:$S,C$1,0)</f>
        <v>Шланг "БРТ" вентиляции картера, верхний для Лада XRAY</v>
      </c>
      <c r="D124" s="132" t="str">
        <f>VLOOKUP($A124,'Выгр Кат'!$A:$S,D$1,0)</f>
        <v>Y</v>
      </c>
      <c r="E124" s="132" t="str">
        <f>VLOOKUP($A124,'Выгр Кат'!$A:$S,E$1,0)</f>
        <v>1</v>
      </c>
      <c r="F124" s="132" t="str">
        <f>VLOOKUP($A124,'Выгр Кат'!$A:$S,F$1,0)</f>
        <v>XR20012Р</v>
      </c>
      <c r="G124" s="44" t="s">
        <v>1435</v>
      </c>
      <c r="H124" s="29"/>
      <c r="I124" s="4" t="s">
        <v>2</v>
      </c>
      <c r="J124" s="95">
        <v>1</v>
      </c>
      <c r="K124" s="168">
        <f t="shared" si="42"/>
        <v>70</v>
      </c>
      <c r="L124" s="167">
        <f>VLOOKUP(K124,Наценка!$A$1:$B$8,2,1)</f>
        <v>2.150537634408602</v>
      </c>
      <c r="M124" s="172">
        <f t="shared" ref="M124" si="70">K124*L124</f>
        <v>150.53763440860214</v>
      </c>
      <c r="N124" s="173">
        <f t="shared" si="35"/>
        <v>159</v>
      </c>
      <c r="O124" s="134">
        <f>VLOOKUP($A124,'Выгр Кат'!$A:$S,O$1,0)</f>
        <v>70</v>
      </c>
      <c r="P124" s="134">
        <f>VLOOKUP($A124,'Выгр Кат'!$A:$S,P$1,0)</f>
        <v>159</v>
      </c>
      <c r="Q124" s="107">
        <f t="shared" si="36"/>
        <v>0</v>
      </c>
      <c r="R124" s="107">
        <f t="shared" si="37"/>
        <v>0</v>
      </c>
      <c r="S124" s="110">
        <f t="shared" si="38"/>
        <v>147.86999999999998</v>
      </c>
      <c r="T124" s="135">
        <f t="shared" si="39"/>
        <v>1.1124285714285711</v>
      </c>
      <c r="U124" s="135">
        <f t="shared" si="40"/>
        <v>0.59926829268292692</v>
      </c>
      <c r="V124" s="135">
        <f t="shared" si="41"/>
        <v>4.2714285714285714</v>
      </c>
      <c r="W124" s="117">
        <f t="shared" si="69"/>
        <v>369</v>
      </c>
      <c r="X124" s="114">
        <f>IFERROR((VLOOKUP($A124,'ИЗ ГУГЛА'!$B:$G,X$1,0)+Z124)*Y124,VLOOKUP($A124,'ИЗ ГУГЛА'!$B:$G,X$1,0))</f>
        <v>369</v>
      </c>
      <c r="Y124" s="108">
        <v>1</v>
      </c>
      <c r="Z124" s="46"/>
      <c r="AA124" s="139">
        <v>369</v>
      </c>
      <c r="AB124" s="124" t="s">
        <v>2797</v>
      </c>
      <c r="AC124" s="114" t="str">
        <f>IFERROR((VLOOKUP($A124,'ИЗ ГУГЛА'!$B:$Z,AC$1,0)+AE124)*AD124,VLOOKUP($A124,'ИЗ ГУГЛА'!$B:$Z,AC$1,0))</f>
        <v/>
      </c>
      <c r="AD124" s="108">
        <v>1</v>
      </c>
      <c r="AE124" s="46"/>
      <c r="AF124" s="115"/>
    </row>
    <row r="125" spans="1:32" s="5" customFormat="1" ht="30.75" thickBot="1" x14ac:dyDescent="0.3">
      <c r="A125" s="132">
        <v>204299</v>
      </c>
      <c r="B125" s="132">
        <f>VLOOKUP($A125,'Выгр Кат'!$A:$S,B$1,0)</f>
        <v>20296</v>
      </c>
      <c r="C125" s="133" t="str">
        <f>VLOOKUP($A125,'Выгр Кат'!$A:$S,C$1,0)</f>
        <v>Ремень крепления запасного колеса "БРТ" для Лада Нива 4x4</v>
      </c>
      <c r="D125" s="132" t="str">
        <f>VLOOKUP($A125,'Выгр Кат'!$A:$S,D$1,0)</f>
        <v>Y</v>
      </c>
      <c r="E125" s="132" t="str">
        <f>VLOOKUP($A125,'Выгр Кат'!$A:$S,E$1,0)</f>
        <v>1</v>
      </c>
      <c r="F125" s="132" t="str">
        <f>VLOOKUP($A125,'Выгр Кат'!$A:$S,F$1,0)</f>
        <v>21213-3105010Р</v>
      </c>
      <c r="G125" s="45" t="s">
        <v>1821</v>
      </c>
      <c r="H125" s="29" t="s">
        <v>1821</v>
      </c>
      <c r="I125" s="4" t="s">
        <v>2</v>
      </c>
      <c r="J125" s="95">
        <v>1</v>
      </c>
      <c r="K125" s="168">
        <f t="shared" si="42"/>
        <v>90</v>
      </c>
      <c r="L125" s="167">
        <f>VLOOKUP(K125,Наценка!$A$1:$B$8,2,1)</f>
        <v>2.150537634408602</v>
      </c>
      <c r="M125" s="148">
        <f t="shared" ref="M124:M125" si="71">W125*1.05</f>
        <v>208.95000000000002</v>
      </c>
      <c r="N125" s="173">
        <f t="shared" si="35"/>
        <v>209</v>
      </c>
      <c r="O125" s="134">
        <f>VLOOKUP($A125,'Выгр Кат'!$A:$S,O$1,0)</f>
        <v>90</v>
      </c>
      <c r="P125" s="134">
        <f>VLOOKUP($A125,'Выгр Кат'!$A:$S,P$1,0)</f>
        <v>209</v>
      </c>
      <c r="Q125" s="107">
        <f t="shared" si="36"/>
        <v>0</v>
      </c>
      <c r="R125" s="107">
        <f t="shared" si="37"/>
        <v>0</v>
      </c>
      <c r="S125" s="110">
        <f t="shared" si="38"/>
        <v>194.36999999999998</v>
      </c>
      <c r="T125" s="135">
        <f t="shared" si="39"/>
        <v>1.1596666666666664</v>
      </c>
      <c r="U125" s="135">
        <f t="shared" si="40"/>
        <v>2.3266331658291579E-2</v>
      </c>
      <c r="V125" s="135">
        <f t="shared" si="41"/>
        <v>1.2111111111111112</v>
      </c>
      <c r="W125" s="117">
        <f t="shared" si="69"/>
        <v>199</v>
      </c>
      <c r="X125" s="114">
        <f>IFERROR((VLOOKUP($A125,'ИЗ ГУГЛА'!$B:$G,X$1,0)+Z125)*Y125,VLOOKUP($A125,'ИЗ ГУГЛА'!$B:$G,X$1,0))</f>
        <v>199</v>
      </c>
      <c r="Y125" s="108">
        <v>1</v>
      </c>
      <c r="Z125" s="46"/>
      <c r="AA125" s="136">
        <v>199</v>
      </c>
      <c r="AB125" s="124" t="s">
        <v>2647</v>
      </c>
      <c r="AC125" s="114" t="str">
        <f>IFERROR((VLOOKUP($A125,'ИЗ ГУГЛА'!$B:$Z,AC$1,0)+AE125)*AD125,VLOOKUP($A125,'ИЗ ГУГЛА'!$B:$Z,AC$1,0))</f>
        <v/>
      </c>
      <c r="AD125" s="108">
        <v>1</v>
      </c>
      <c r="AE125" s="46"/>
      <c r="AF125" s="115"/>
    </row>
    <row r="126" spans="1:32" s="5" customFormat="1" ht="61.5" thickTop="1" thickBot="1" x14ac:dyDescent="0.3">
      <c r="A126" s="132">
        <v>186771</v>
      </c>
      <c r="B126" s="132">
        <f>VLOOKUP($A126,'Выгр Кат'!$A:$S,B$1,0)</f>
        <v>19961</v>
      </c>
      <c r="C126" s="133" t="str">
        <f>VLOOKUP($A126,'Выгр Кат'!$A:$S,C$1,0)</f>
        <v>Патрубок сапуна вытяжной вентиляции картера "БРТ" верхний (малый) для ВАЗ 2108-21099, 2113-2115</v>
      </c>
      <c r="D126" s="132" t="str">
        <f>VLOOKUP($A126,'Выгр Кат'!$A:$S,D$1,0)</f>
        <v>Y</v>
      </c>
      <c r="E126" s="132" t="str">
        <f>VLOOKUP($A126,'Выгр Кат'!$A:$S,E$1,0)</f>
        <v>1</v>
      </c>
      <c r="F126" s="132" t="str">
        <f>VLOOKUP($A126,'Выгр Кат'!$A:$S,F$1,0)</f>
        <v>2108-1014050РП</v>
      </c>
      <c r="G126" s="45" t="s">
        <v>321</v>
      </c>
      <c r="H126" s="29"/>
      <c r="I126" s="4" t="s">
        <v>2</v>
      </c>
      <c r="J126" s="95">
        <v>1</v>
      </c>
      <c r="K126" s="168">
        <f t="shared" si="42"/>
        <v>80</v>
      </c>
      <c r="L126" s="167">
        <f>VLOOKUP(K126,Наценка!$A$1:$B$8,2,1)</f>
        <v>2.150537634408602</v>
      </c>
      <c r="M126" s="148">
        <f t="shared" ref="M124:M126" si="72">W126*1.06</f>
        <v>179.14000000000001</v>
      </c>
      <c r="N126" s="173">
        <f t="shared" si="35"/>
        <v>179</v>
      </c>
      <c r="O126" s="134">
        <f>VLOOKUP($A126,'Выгр Кат'!$A:$S,O$1,0)</f>
        <v>80</v>
      </c>
      <c r="P126" s="134">
        <f>VLOOKUP($A126,'Выгр Кат'!$A:$S,P$1,0)</f>
        <v>179</v>
      </c>
      <c r="Q126" s="107">
        <f t="shared" si="36"/>
        <v>0</v>
      </c>
      <c r="R126" s="107">
        <f t="shared" si="37"/>
        <v>0</v>
      </c>
      <c r="S126" s="110">
        <f t="shared" si="38"/>
        <v>166.47</v>
      </c>
      <c r="T126" s="135">
        <f t="shared" si="39"/>
        <v>1.0808749999999998</v>
      </c>
      <c r="U126" s="135">
        <f t="shared" si="40"/>
        <v>1.4970414201183439E-2</v>
      </c>
      <c r="V126" s="135">
        <f t="shared" si="41"/>
        <v>1.1124999999999998</v>
      </c>
      <c r="W126" s="117">
        <f t="shared" si="69"/>
        <v>169</v>
      </c>
      <c r="X126" s="114">
        <f>IFERROR((VLOOKUP($A126,'ИЗ ГУГЛА'!$B:$G,X$1,0)+Z126)*Y126,VLOOKUP($A126,'ИЗ ГУГЛА'!$B:$G,X$1,0))</f>
        <v>169</v>
      </c>
      <c r="Y126" s="108">
        <v>1</v>
      </c>
      <c r="Z126" s="46"/>
      <c r="AA126" s="136">
        <v>169</v>
      </c>
      <c r="AB126" s="124" t="s">
        <v>2648</v>
      </c>
      <c r="AC126" s="114" t="str">
        <f>IFERROR((VLOOKUP($A126,'ИЗ ГУГЛА'!$B:$Z,AC$1,0)+AE126)*AD126,VLOOKUP($A126,'ИЗ ГУГЛА'!$B:$Z,AC$1,0))</f>
        <v/>
      </c>
      <c r="AD126" s="108">
        <v>1</v>
      </c>
      <c r="AE126" s="46"/>
      <c r="AF126" s="115"/>
    </row>
    <row r="127" spans="1:32" s="5" customFormat="1" ht="46.5" thickTop="1" thickBot="1" x14ac:dyDescent="0.3">
      <c r="A127" s="132">
        <v>186686</v>
      </c>
      <c r="B127" s="132">
        <f>VLOOKUP($A127,'Выгр Кат'!$A:$S,B$1,0)</f>
        <v>20010</v>
      </c>
      <c r="C127" s="133" t="str">
        <f>VLOOKUP($A127,'Выгр Кат'!$A:$S,C$1,0)</f>
        <v>Патрубок отопителя (печки) отводящий "БРТ" передний для ВАЗ 2108-21099</v>
      </c>
      <c r="D127" s="132" t="str">
        <f>VLOOKUP($A127,'Выгр Кат'!$A:$S,D$1,0)</f>
        <v>Y</v>
      </c>
      <c r="E127" s="132" t="str">
        <f>VLOOKUP($A127,'Выгр Кат'!$A:$S,E$1,0)</f>
        <v>1</v>
      </c>
      <c r="F127" s="132" t="str">
        <f>VLOOKUP($A127,'Выгр Кат'!$A:$S,F$1,0)</f>
        <v>2108-8101204РП</v>
      </c>
      <c r="G127" s="45" t="s">
        <v>364</v>
      </c>
      <c r="H127" s="29"/>
      <c r="I127" s="4" t="s">
        <v>2</v>
      </c>
      <c r="J127" s="95">
        <v>1</v>
      </c>
      <c r="K127" s="168">
        <f t="shared" si="42"/>
        <v>83</v>
      </c>
      <c r="L127" s="167">
        <f>VLOOKUP(K127,Наценка!$A$1:$B$8,2,1)</f>
        <v>2.150537634408602</v>
      </c>
      <c r="M127" s="172">
        <f t="shared" si="43"/>
        <v>178.49462365591395</v>
      </c>
      <c r="N127" s="173">
        <f t="shared" si="35"/>
        <v>179</v>
      </c>
      <c r="O127" s="134">
        <f>VLOOKUP($A127,'Выгр Кат'!$A:$S,O$1,0)</f>
        <v>83</v>
      </c>
      <c r="P127" s="134">
        <f>VLOOKUP($A127,'Выгр Кат'!$A:$S,P$1,0)</f>
        <v>179</v>
      </c>
      <c r="Q127" s="107">
        <f t="shared" si="36"/>
        <v>0</v>
      </c>
      <c r="R127" s="107">
        <f t="shared" si="37"/>
        <v>0</v>
      </c>
      <c r="S127" s="110">
        <f t="shared" si="38"/>
        <v>166.47</v>
      </c>
      <c r="T127" s="135">
        <f t="shared" si="39"/>
        <v>1.0056626506024098</v>
      </c>
      <c r="U127" s="135" t="str">
        <f t="shared" si="40"/>
        <v/>
      </c>
      <c r="V127" s="135" t="str">
        <f t="shared" si="41"/>
        <v/>
      </c>
      <c r="W127" s="45"/>
      <c r="X127" s="114" t="str">
        <f>IFERROR((VLOOKUP($A127,'ИЗ ГУГЛА'!$B:$G,X$1,0)+Z127)*Y127,VLOOKUP($A127,'ИЗ ГУГЛА'!$B:$G,X$1,0))</f>
        <v/>
      </c>
      <c r="Y127" s="108">
        <v>1</v>
      </c>
      <c r="Z127" s="46"/>
      <c r="AA127" s="140" t="s">
        <v>2494</v>
      </c>
      <c r="AB127" s="129"/>
      <c r="AC127" s="114" t="str">
        <f>IFERROR((VLOOKUP($A127,'ИЗ ГУГЛА'!$B:$Z,AC$1,0)+AE127)*AD127,VLOOKUP($A127,'ИЗ ГУГЛА'!$B:$Z,AC$1,0))</f>
        <v/>
      </c>
      <c r="AD127" s="108">
        <v>1</v>
      </c>
      <c r="AE127" s="46"/>
      <c r="AF127" s="115"/>
    </row>
    <row r="128" spans="1:32" s="5" customFormat="1" ht="46.5" thickTop="1" thickBot="1" x14ac:dyDescent="0.3">
      <c r="A128" s="132">
        <v>186687</v>
      </c>
      <c r="B128" s="132">
        <f>VLOOKUP($A128,'Выгр Кат'!$A:$S,B$1,0)</f>
        <v>20008</v>
      </c>
      <c r="C128" s="133" t="str">
        <f>VLOOKUP($A128,'Выгр Кат'!$A:$S,C$1,0)</f>
        <v>Патрубок отопителя (печки) отводящий "БРТ" передний для ВАЗ 2108-21099, 2113-2115</v>
      </c>
      <c r="D128" s="132" t="str">
        <f>VLOOKUP($A128,'Выгр Кат'!$A:$S,D$1,0)</f>
        <v>Y</v>
      </c>
      <c r="E128" s="132" t="str">
        <f>VLOOKUP($A128,'Выгр Кат'!$A:$S,E$1,0)</f>
        <v>1</v>
      </c>
      <c r="F128" s="132" t="str">
        <f>VLOOKUP($A128,'Выгр Кат'!$A:$S,F$1,0)</f>
        <v>2108-8101204-20РП</v>
      </c>
      <c r="G128" s="42" t="s">
        <v>364</v>
      </c>
      <c r="H128" s="29"/>
      <c r="I128" s="4" t="s">
        <v>2</v>
      </c>
      <c r="J128" s="95">
        <v>1</v>
      </c>
      <c r="K128" s="168">
        <f t="shared" si="42"/>
        <v>83</v>
      </c>
      <c r="L128" s="167">
        <f>VLOOKUP(K128,Наценка!$A$1:$B$8,2,1)</f>
        <v>2.150537634408602</v>
      </c>
      <c r="M128" s="148">
        <f t="shared" ref="M128:M129" si="73">W128*1.06</f>
        <v>179.14000000000001</v>
      </c>
      <c r="N128" s="173">
        <f t="shared" si="35"/>
        <v>179</v>
      </c>
      <c r="O128" s="134">
        <f>VLOOKUP($A128,'Выгр Кат'!$A:$S,O$1,0)</f>
        <v>83</v>
      </c>
      <c r="P128" s="134">
        <f>VLOOKUP($A128,'Выгр Кат'!$A:$S,P$1,0)</f>
        <v>179</v>
      </c>
      <c r="Q128" s="107">
        <f t="shared" si="36"/>
        <v>0</v>
      </c>
      <c r="R128" s="107">
        <f t="shared" si="37"/>
        <v>0</v>
      </c>
      <c r="S128" s="110">
        <f t="shared" si="38"/>
        <v>166.47</v>
      </c>
      <c r="T128" s="135">
        <f t="shared" si="39"/>
        <v>1.0056626506024098</v>
      </c>
      <c r="U128" s="135">
        <f t="shared" si="40"/>
        <v>1.4970414201183439E-2</v>
      </c>
      <c r="V128" s="135">
        <f t="shared" si="41"/>
        <v>1.036144578313253</v>
      </c>
      <c r="W128" s="117">
        <f t="shared" ref="W128:W131" si="74">AA128</f>
        <v>169</v>
      </c>
      <c r="X128" s="114">
        <f>IFERROR((VLOOKUP($A128,'ИЗ ГУГЛА'!$B:$G,X$1,0)+Z128)*Y128,VLOOKUP($A128,'ИЗ ГУГЛА'!$B:$G,X$1,0))</f>
        <v>169</v>
      </c>
      <c r="Y128" s="108">
        <v>1</v>
      </c>
      <c r="Z128" s="46"/>
      <c r="AA128" s="136">
        <v>169</v>
      </c>
      <c r="AB128" s="124" t="s">
        <v>2649</v>
      </c>
      <c r="AC128" s="114" t="str">
        <f>IFERROR((VLOOKUP($A128,'ИЗ ГУГЛА'!$B:$Z,AC$1,0)+AE128)*AD128,VLOOKUP($A128,'ИЗ ГУГЛА'!$B:$Z,AC$1,0))</f>
        <v/>
      </c>
      <c r="AD128" s="108">
        <v>1</v>
      </c>
      <c r="AE128" s="46"/>
      <c r="AF128" s="115"/>
    </row>
    <row r="129" spans="1:33" s="5" customFormat="1" ht="30.75" thickTop="1" x14ac:dyDescent="0.25">
      <c r="A129" s="132">
        <v>225395</v>
      </c>
      <c r="B129" s="132">
        <f>VLOOKUP($A129,'Выгр Кат'!$A:$S,B$1,0)</f>
        <v>20321</v>
      </c>
      <c r="C129" s="133" t="str">
        <f>VLOOKUP($A129,'Выгр Кат'!$A:$S,C$1,0)</f>
        <v>Шарнир нижнего рычага передней подвески "БРТ" Лада Гранта</v>
      </c>
      <c r="D129" s="132" t="str">
        <f>VLOOKUP($A129,'Выгр Кат'!$A:$S,D$1,0)</f>
        <v>Y</v>
      </c>
      <c r="E129" s="132" t="str">
        <f>VLOOKUP($A129,'Выгр Кат'!$A:$S,E$1,0)</f>
        <v>1</v>
      </c>
      <c r="F129" s="132" t="str">
        <f>VLOOKUP($A129,'Выгр Кат'!$A:$S,F$1,0)</f>
        <v>2190-2904040Р.</v>
      </c>
      <c r="G129" s="45" t="s">
        <v>532</v>
      </c>
      <c r="H129" s="29"/>
      <c r="I129" s="4" t="s">
        <v>2</v>
      </c>
      <c r="J129" s="95">
        <v>1</v>
      </c>
      <c r="K129" s="168">
        <f t="shared" si="42"/>
        <v>81</v>
      </c>
      <c r="L129" s="167">
        <f>VLOOKUP(K129,Наценка!$A$1:$B$8,2,1)</f>
        <v>2.150537634408602</v>
      </c>
      <c r="M129" s="148">
        <f>W129*1.05</f>
        <v>208.95000000000002</v>
      </c>
      <c r="N129" s="173">
        <f t="shared" si="35"/>
        <v>209</v>
      </c>
      <c r="O129" s="134">
        <f>VLOOKUP($A129,'Выгр Кат'!$A:$S,O$1,0)</f>
        <v>81</v>
      </c>
      <c r="P129" s="134">
        <f>VLOOKUP($A129,'Выгр Кат'!$A:$S,P$1,0)</f>
        <v>179</v>
      </c>
      <c r="Q129" s="107">
        <f t="shared" si="36"/>
        <v>0</v>
      </c>
      <c r="R129" s="107">
        <f t="shared" si="37"/>
        <v>-30</v>
      </c>
      <c r="S129" s="110">
        <f t="shared" si="38"/>
        <v>194.36999999999998</v>
      </c>
      <c r="T129" s="135">
        <f t="shared" si="39"/>
        <v>1.3996296296296293</v>
      </c>
      <c r="U129" s="135">
        <f t="shared" si="40"/>
        <v>2.3266331658291579E-2</v>
      </c>
      <c r="V129" s="135">
        <f t="shared" si="41"/>
        <v>1.4567901234567899</v>
      </c>
      <c r="W129" s="117">
        <f t="shared" si="74"/>
        <v>199</v>
      </c>
      <c r="X129" s="114">
        <f>IFERROR((VLOOKUP($A129,'ИЗ ГУГЛА'!$B:$G,X$1,0)+Z129)*Y129,VLOOKUP($A129,'ИЗ ГУГЛА'!$B:$G,X$1,0))</f>
        <v>199</v>
      </c>
      <c r="Y129" s="108">
        <v>1</v>
      </c>
      <c r="Z129" s="46"/>
      <c r="AA129" s="139">
        <v>199</v>
      </c>
      <c r="AB129" s="124" t="s">
        <v>2799</v>
      </c>
      <c r="AC129" s="114" t="str">
        <f>IFERROR((VLOOKUP($A129,'ИЗ ГУГЛА'!$B:$Z,AC$1,0)+AE129)*AD129,VLOOKUP($A129,'ИЗ ГУГЛА'!$B:$Z,AC$1,0))</f>
        <v/>
      </c>
      <c r="AD129" s="108">
        <v>0.5</v>
      </c>
      <c r="AE129" s="46"/>
      <c r="AF129" s="115"/>
    </row>
    <row r="130" spans="1:33" s="5" customFormat="1" ht="30.75" thickBot="1" x14ac:dyDescent="0.3">
      <c r="A130" s="132">
        <v>186682</v>
      </c>
      <c r="B130" s="132">
        <f>VLOOKUP($A130,'Выгр Кат'!$A:$S,B$1,0)</f>
        <v>19947</v>
      </c>
      <c r="C130" s="133" t="str">
        <f>VLOOKUP($A130,'Выгр Кат'!$A:$S,C$1,0)</f>
        <v>Патрубок отопителя (печки) отводящий "БРТ" для ВАЗ 2101-2107</v>
      </c>
      <c r="D130" s="132" t="str">
        <f>VLOOKUP($A130,'Выгр Кат'!$A:$S,D$1,0)</f>
        <v>Y</v>
      </c>
      <c r="E130" s="132" t="str">
        <f>VLOOKUP($A130,'Выгр Кат'!$A:$S,E$1,0)</f>
        <v>1</v>
      </c>
      <c r="F130" s="132" t="str">
        <f>VLOOKUP($A130,'Выгр Кат'!$A:$S,F$1,0)</f>
        <v>21010810120400</v>
      </c>
      <c r="G130" s="42" t="s">
        <v>283</v>
      </c>
      <c r="H130" s="29"/>
      <c r="I130" s="4" t="s">
        <v>2</v>
      </c>
      <c r="J130" s="95">
        <v>1</v>
      </c>
      <c r="K130" s="168">
        <f t="shared" si="42"/>
        <v>83</v>
      </c>
      <c r="L130" s="167">
        <f>VLOOKUP(K130,Наценка!$A$1:$B$8,2,1)</f>
        <v>2.150537634408602</v>
      </c>
      <c r="M130" s="172">
        <f t="shared" si="43"/>
        <v>178.49462365591395</v>
      </c>
      <c r="N130" s="173">
        <f t="shared" si="35"/>
        <v>179</v>
      </c>
      <c r="O130" s="134">
        <f>VLOOKUP($A130,'Выгр Кат'!$A:$S,O$1,0)</f>
        <v>83</v>
      </c>
      <c r="P130" s="134">
        <f>VLOOKUP($A130,'Выгр Кат'!$A:$S,P$1,0)</f>
        <v>179</v>
      </c>
      <c r="Q130" s="107">
        <f t="shared" si="36"/>
        <v>0</v>
      </c>
      <c r="R130" s="107">
        <f t="shared" si="37"/>
        <v>0</v>
      </c>
      <c r="S130" s="110">
        <f t="shared" si="38"/>
        <v>166.47</v>
      </c>
      <c r="T130" s="135">
        <f t="shared" si="39"/>
        <v>1.0056626506024098</v>
      </c>
      <c r="U130" s="135">
        <f t="shared" si="40"/>
        <v>-0.87044943820224718</v>
      </c>
      <c r="V130" s="135">
        <f t="shared" si="41"/>
        <v>7.2289156626506035E-2</v>
      </c>
      <c r="W130" s="117">
        <f t="shared" si="74"/>
        <v>89</v>
      </c>
      <c r="X130" s="114">
        <f>IFERROR((VLOOKUP($A130,'ИЗ ГУГЛА'!$B:$G,X$1,0)+Z130)*Y130,VLOOKUP($A130,'ИЗ ГУГЛА'!$B:$G,X$1,0))</f>
        <v>89</v>
      </c>
      <c r="Y130" s="108">
        <v>1</v>
      </c>
      <c r="Z130" s="46"/>
      <c r="AA130" s="136">
        <v>89</v>
      </c>
      <c r="AB130" s="124" t="s">
        <v>2650</v>
      </c>
      <c r="AC130" s="114" t="str">
        <f>IFERROR((VLOOKUP($A130,'ИЗ ГУГЛА'!$B:$Z,AC$1,0)+AE130)*AD130,VLOOKUP($A130,'ИЗ ГУГЛА'!$B:$Z,AC$1,0))</f>
        <v/>
      </c>
      <c r="AD130" s="108">
        <v>1</v>
      </c>
      <c r="AE130" s="46"/>
      <c r="AF130" s="115"/>
    </row>
    <row r="131" spans="1:33" s="5" customFormat="1" ht="46.5" thickTop="1" thickBot="1" x14ac:dyDescent="0.3">
      <c r="A131" s="132">
        <v>186555</v>
      </c>
      <c r="B131" s="132">
        <f>VLOOKUP($A131,'Выгр Кат'!$A:$S,B$1,0)</f>
        <v>35475</v>
      </c>
      <c r="C131" s="133" t="str">
        <f>VLOOKUP($A131,'Выгр Кат'!$A:$S,C$1,0)</f>
        <v>Патрубок "БРТ" бачка расширительного, отводящий для Лада Калина</v>
      </c>
      <c r="D131" s="132" t="str">
        <f>VLOOKUP($A131,'Выгр Кат'!$A:$S,D$1,0)</f>
        <v>Y</v>
      </c>
      <c r="E131" s="132" t="str">
        <f>VLOOKUP($A131,'Выгр Кат'!$A:$S,E$1,0)</f>
        <v>1</v>
      </c>
      <c r="F131" s="132" t="str">
        <f>VLOOKUP($A131,'Выгр Кат'!$A:$S,F$1,0)</f>
        <v>1118-1303095Р</v>
      </c>
      <c r="G131" s="44" t="s">
        <v>218</v>
      </c>
      <c r="H131" s="29"/>
      <c r="I131" s="4" t="s">
        <v>2</v>
      </c>
      <c r="J131" s="95">
        <v>1</v>
      </c>
      <c r="K131" s="168">
        <f t="shared" si="42"/>
        <v>84</v>
      </c>
      <c r="L131" s="167">
        <f>VLOOKUP(K131,Наценка!$A$1:$B$8,2,1)</f>
        <v>2.150537634408602</v>
      </c>
      <c r="M131" s="148">
        <f>W131*1.06</f>
        <v>369.94</v>
      </c>
      <c r="N131" s="173">
        <f t="shared" ref="N131:N194" si="75">IF(M131&lt;=1000,(ROUNDUP(M131,-1)-1),(ROUNDUP(M131,-2)-10))</f>
        <v>369</v>
      </c>
      <c r="O131" s="134">
        <f>VLOOKUP($A131,'Выгр Кат'!$A:$S,O$1,0)</f>
        <v>84</v>
      </c>
      <c r="P131" s="134">
        <f>VLOOKUP($A131,'Выгр Кат'!$A:$S,P$1,0)</f>
        <v>369</v>
      </c>
      <c r="Q131" s="107">
        <f t="shared" ref="Q131:Q194" si="76">O131-K131</f>
        <v>0</v>
      </c>
      <c r="R131" s="107">
        <f t="shared" ref="R131:R194" si="77">P131-N131</f>
        <v>0</v>
      </c>
      <c r="S131" s="110">
        <f t="shared" ref="S131:S194" si="78">IFERROR(N131*(1-$S$2),"")</f>
        <v>343.16999999999996</v>
      </c>
      <c r="T131" s="135">
        <f t="shared" ref="T131:T194" si="79">IFERROR(S131/K131-1,"")</f>
        <v>3.0853571428571422</v>
      </c>
      <c r="U131" s="135">
        <f t="shared" ref="U131:U194" si="80">IFERROR((W131-S131)/W131,"")</f>
        <v>1.6704871060172037E-2</v>
      </c>
      <c r="V131" s="135">
        <f t="shared" ref="V131:V194" si="81">IFERROR(IF(W131="","",W131/K131-1),"")</f>
        <v>3.1547619047619051</v>
      </c>
      <c r="W131" s="117">
        <f t="shared" si="74"/>
        <v>349</v>
      </c>
      <c r="X131" s="114">
        <f>IFERROR((VLOOKUP($A131,'ИЗ ГУГЛА'!$B:$G,X$1,0)+Z131)*Y131,VLOOKUP($A131,'ИЗ ГУГЛА'!$B:$G,X$1,0))</f>
        <v>349</v>
      </c>
      <c r="Y131" s="108">
        <v>1</v>
      </c>
      <c r="Z131" s="46"/>
      <c r="AA131" s="136">
        <v>349</v>
      </c>
      <c r="AB131" s="124" t="s">
        <v>2651</v>
      </c>
      <c r="AC131" s="114" t="str">
        <f>IFERROR((VLOOKUP($A131,'ИЗ ГУГЛА'!$B:$Z,AC$1,0)+AE131)*AD131,VLOOKUP($A131,'ИЗ ГУГЛА'!$B:$Z,AC$1,0))</f>
        <v/>
      </c>
      <c r="AD131" s="108">
        <v>1</v>
      </c>
      <c r="AE131" s="46"/>
      <c r="AF131" s="115"/>
    </row>
    <row r="132" spans="1:33" s="5" customFormat="1" ht="46.5" thickTop="1" thickBot="1" x14ac:dyDescent="0.3">
      <c r="A132" s="132">
        <v>186688</v>
      </c>
      <c r="B132" s="132">
        <f>VLOOKUP($A132,'Выгр Кат'!$A:$S,B$1,0)</f>
        <v>20398</v>
      </c>
      <c r="C132" s="133" t="str">
        <f>VLOOKUP($A132,'Выгр Кат'!$A:$S,C$1,0)</f>
        <v>Патрубок отопителя (печки) отводящий "БРТ" передний для ВАЗ 2114</v>
      </c>
      <c r="D132" s="132" t="str">
        <f>VLOOKUP($A132,'Выгр Кат'!$A:$S,D$1,0)</f>
        <v>Y</v>
      </c>
      <c r="E132" s="132" t="str">
        <f>VLOOKUP($A132,'Выгр Кат'!$A:$S,E$1,0)</f>
        <v>1</v>
      </c>
      <c r="F132" s="132" t="str">
        <f>VLOOKUP($A132,'Выгр Кат'!$A:$S,F$1,0)</f>
        <v>2114-8101204РП.</v>
      </c>
      <c r="G132" s="45" t="s">
        <v>433</v>
      </c>
      <c r="H132" s="29"/>
      <c r="I132" s="4" t="s">
        <v>2</v>
      </c>
      <c r="J132" s="95">
        <v>1</v>
      </c>
      <c r="K132" s="168">
        <f t="shared" ref="K132:K195" si="82">O132</f>
        <v>84</v>
      </c>
      <c r="L132" s="167">
        <f>VLOOKUP(K132,Наценка!$A$1:$B$8,2,1)</f>
        <v>2.150537634408602</v>
      </c>
      <c r="M132" s="172">
        <f t="shared" si="43"/>
        <v>180.64516129032256</v>
      </c>
      <c r="N132" s="173">
        <f t="shared" si="75"/>
        <v>189</v>
      </c>
      <c r="O132" s="134">
        <f>VLOOKUP($A132,'Выгр Кат'!$A:$S,O$1,0)</f>
        <v>84</v>
      </c>
      <c r="P132" s="134">
        <f>VLOOKUP($A132,'Выгр Кат'!$A:$S,P$1,0)</f>
        <v>189</v>
      </c>
      <c r="Q132" s="107">
        <f t="shared" si="76"/>
        <v>0</v>
      </c>
      <c r="R132" s="107">
        <f t="shared" si="77"/>
        <v>0</v>
      </c>
      <c r="S132" s="110">
        <f t="shared" si="78"/>
        <v>175.76999999999998</v>
      </c>
      <c r="T132" s="135">
        <f t="shared" si="79"/>
        <v>1.0924999999999998</v>
      </c>
      <c r="U132" s="135" t="str">
        <f t="shared" si="80"/>
        <v/>
      </c>
      <c r="V132" s="135" t="str">
        <f t="shared" si="81"/>
        <v/>
      </c>
      <c r="W132" s="45"/>
      <c r="X132" s="114" t="str">
        <f>IFERROR((VLOOKUP($A132,'ИЗ ГУГЛА'!$B:$G,X$1,0)+Z132)*Y132,VLOOKUP($A132,'ИЗ ГУГЛА'!$B:$G,X$1,0))</f>
        <v/>
      </c>
      <c r="Y132" s="108">
        <v>1</v>
      </c>
      <c r="Z132" s="46"/>
      <c r="AA132" s="140" t="s">
        <v>1821</v>
      </c>
      <c r="AB132" s="129"/>
      <c r="AC132" s="114" t="str">
        <f>IFERROR((VLOOKUP($A132,'ИЗ ГУГЛА'!$B:$Z,AC$1,0)+AE132)*AD132,VLOOKUP($A132,'ИЗ ГУГЛА'!$B:$Z,AC$1,0))</f>
        <v/>
      </c>
      <c r="AD132" s="108">
        <v>1</v>
      </c>
      <c r="AE132" s="46"/>
      <c r="AF132" s="115"/>
    </row>
    <row r="133" spans="1:33" s="5" customFormat="1" ht="31.5" thickTop="1" thickBot="1" x14ac:dyDescent="0.3">
      <c r="A133" s="132">
        <v>158351</v>
      </c>
      <c r="B133" s="132">
        <f>VLOOKUP($A133,'Выгр Кат'!$A:$S,B$1,0)</f>
        <v>35515</v>
      </c>
      <c r="C133" s="133" t="str">
        <f>VLOOKUP($A133,'Выгр Кат'!$A:$S,C$1,0)</f>
        <v>Комплект брызговиков "БРТ" задние для ВАЗ 2101-2107</v>
      </c>
      <c r="D133" s="132" t="str">
        <f>VLOOKUP($A133,'Выгр Кат'!$A:$S,D$1,0)</f>
        <v>Y</v>
      </c>
      <c r="E133" s="132" t="str">
        <f>VLOOKUP($A133,'Выгр Кат'!$A:$S,E$1,0)</f>
        <v>1</v>
      </c>
      <c r="F133" s="132" t="str">
        <f>VLOOKUP($A133,'Выгр Кат'!$A:$S,F$1,0)</f>
        <v>2101-8404310/11</v>
      </c>
      <c r="G133" s="44" t="s">
        <v>1273</v>
      </c>
      <c r="H133" s="29"/>
      <c r="I133" s="4" t="s">
        <v>2</v>
      </c>
      <c r="J133" s="95">
        <v>1</v>
      </c>
      <c r="K133" s="168">
        <f t="shared" si="82"/>
        <v>91</v>
      </c>
      <c r="L133" s="167">
        <f>VLOOKUP(K133,Наценка!$A$1:$B$8,2,1)</f>
        <v>2.150537634408602</v>
      </c>
      <c r="M133" s="148">
        <f>W133*1.05</f>
        <v>417.90000000000003</v>
      </c>
      <c r="N133" s="173">
        <f t="shared" si="75"/>
        <v>419</v>
      </c>
      <c r="O133" s="134">
        <f>VLOOKUP($A133,'Выгр Кат'!$A:$S,O$1,0)</f>
        <v>91</v>
      </c>
      <c r="P133" s="134">
        <f>VLOOKUP($A133,'Выгр Кат'!$A:$S,P$1,0)</f>
        <v>419</v>
      </c>
      <c r="Q133" s="107">
        <f t="shared" si="76"/>
        <v>0</v>
      </c>
      <c r="R133" s="107">
        <f t="shared" si="77"/>
        <v>0</v>
      </c>
      <c r="S133" s="110">
        <f t="shared" si="78"/>
        <v>389.66999999999996</v>
      </c>
      <c r="T133" s="135">
        <f t="shared" si="79"/>
        <v>3.2820879120879116</v>
      </c>
      <c r="U133" s="135">
        <f t="shared" si="80"/>
        <v>2.0929648241206134E-2</v>
      </c>
      <c r="V133" s="135">
        <f t="shared" si="81"/>
        <v>3.3736263736263732</v>
      </c>
      <c r="W133" s="117">
        <f>AA133</f>
        <v>398</v>
      </c>
      <c r="X133" s="114">
        <f>IFERROR((VLOOKUP($A133,'ИЗ ГУГЛА'!$B:$G,X$1,0)+Z133)*Y133,VLOOKUP($A133,'ИЗ ГУГЛА'!$B:$G,X$1,0))</f>
        <v>398</v>
      </c>
      <c r="Y133" s="108">
        <v>1</v>
      </c>
      <c r="Z133" s="113">
        <v>199</v>
      </c>
      <c r="AA133" s="138">
        <v>398</v>
      </c>
      <c r="AB133" s="124" t="s">
        <v>2620</v>
      </c>
      <c r="AC133" s="114" t="str">
        <f>IFERROR((VLOOKUP($A133,'ИЗ ГУГЛА'!$B:$Z,AC$1,0)+AE133)*AD133,VLOOKUP($A133,'ИЗ ГУГЛА'!$B:$Z,AC$1,0))</f>
        <v/>
      </c>
      <c r="AD133" s="108">
        <v>1</v>
      </c>
      <c r="AE133" s="113">
        <v>199</v>
      </c>
      <c r="AF133" s="115"/>
    </row>
    <row r="134" spans="1:33" s="5" customFormat="1" ht="45.75" thickTop="1" x14ac:dyDescent="0.25">
      <c r="A134" s="132">
        <v>153071</v>
      </c>
      <c r="B134" s="132">
        <f>VLOOKUP($A134,'Выгр Кат'!$A:$S,B$1,0)</f>
        <v>20300</v>
      </c>
      <c r="C134" s="133" t="str">
        <f>VLOOKUP($A134,'Выгр Кат'!$A:$S,C$1,0)</f>
        <v>Изолирующая прокладка пружины передней подвески "БРТ" для Лада Приора</v>
      </c>
      <c r="D134" s="132" t="str">
        <f>VLOOKUP($A134,'Выгр Кат'!$A:$S,D$1,0)</f>
        <v>N</v>
      </c>
      <c r="E134" s="132" t="str">
        <f>VLOOKUP($A134,'Выгр Кат'!$A:$S,E$1,0)</f>
        <v>1ск6</v>
      </c>
      <c r="F134" s="132" t="str">
        <f>VLOOKUP($A134,'Выгр Кат'!$A:$S,F$1,0)</f>
        <v>21700290272300</v>
      </c>
      <c r="G134" s="45" t="s">
        <v>1821</v>
      </c>
      <c r="H134" s="29" t="s">
        <v>1821</v>
      </c>
      <c r="I134" s="4" t="s">
        <v>2</v>
      </c>
      <c r="J134" s="95">
        <v>1</v>
      </c>
      <c r="K134" s="168">
        <f t="shared" si="82"/>
        <v>75</v>
      </c>
      <c r="L134" s="167">
        <f>VLOOKUP(K134,Наценка!$A$1:$B$8,2,1)</f>
        <v>2.150537634408602</v>
      </c>
      <c r="M134" s="172">
        <f t="shared" ref="M133:M196" si="83">K134*L134</f>
        <v>161.29032258064515</v>
      </c>
      <c r="N134" s="173">
        <f t="shared" si="75"/>
        <v>169</v>
      </c>
      <c r="O134" s="134">
        <f>VLOOKUP($A134,'Выгр Кат'!$A:$S,O$1,0)</f>
        <v>75</v>
      </c>
      <c r="P134" s="134">
        <f>VLOOKUP($A134,'Выгр Кат'!$A:$S,P$1,0)</f>
        <v>169</v>
      </c>
      <c r="Q134" s="107">
        <f t="shared" si="76"/>
        <v>0</v>
      </c>
      <c r="R134" s="107">
        <f t="shared" si="77"/>
        <v>0</v>
      </c>
      <c r="S134" s="110">
        <f t="shared" si="78"/>
        <v>157.16999999999999</v>
      </c>
      <c r="T134" s="135">
        <f t="shared" si="79"/>
        <v>1.0955999999999997</v>
      </c>
      <c r="U134" s="135" t="str">
        <f t="shared" si="80"/>
        <v/>
      </c>
      <c r="V134" s="135" t="str">
        <f t="shared" si="81"/>
        <v/>
      </c>
      <c r="W134" s="45"/>
      <c r="X134" s="114" t="str">
        <f>IFERROR((VLOOKUP($A134,'ИЗ ГУГЛА'!$B:$G,X$1,0)+Z134)*Y134,VLOOKUP($A134,'ИЗ ГУГЛА'!$B:$G,X$1,0))</f>
        <v/>
      </c>
      <c r="Y134" s="108">
        <v>1</v>
      </c>
      <c r="Z134" s="46"/>
      <c r="AA134" s="139"/>
      <c r="AB134" s="124"/>
      <c r="AC134" s="114" t="str">
        <f>IFERROR((VLOOKUP($A134,'ИЗ ГУГЛА'!$B:$Z,AC$1,0)+AE134)*AD134,VLOOKUP($A134,'ИЗ ГУГЛА'!$B:$Z,AC$1,0))</f>
        <v/>
      </c>
      <c r="AD134" s="108">
        <v>1</v>
      </c>
      <c r="AE134" s="46"/>
      <c r="AF134" s="115"/>
    </row>
    <row r="135" spans="1:33" s="5" customFormat="1" ht="30" x14ac:dyDescent="0.25">
      <c r="A135" s="132">
        <v>186567</v>
      </c>
      <c r="B135" s="132">
        <f>VLOOKUP($A135,'Выгр Кат'!$A:$S,B$1,0)</f>
        <v>35589</v>
      </c>
      <c r="C135" s="133" t="str">
        <f>VLOOKUP($A135,'Выгр Кат'!$A:$S,C$1,0)</f>
        <v>Патрубок "БРТ" отопителя, подводящий для Лада XRAY</v>
      </c>
      <c r="D135" s="132" t="str">
        <f>VLOOKUP($A135,'Выгр Кат'!$A:$S,D$1,0)</f>
        <v>N</v>
      </c>
      <c r="E135" s="132" t="str">
        <f>VLOOKUP($A135,'Выгр Кат'!$A:$S,E$1,0)</f>
        <v>1</v>
      </c>
      <c r="F135" s="132" t="str">
        <f>VLOOKUP($A135,'Выгр Кат'!$A:$S,F$1,0)</f>
        <v>XR20032Р</v>
      </c>
      <c r="G135" s="44" t="s">
        <v>1446</v>
      </c>
      <c r="H135" s="29"/>
      <c r="I135" s="4" t="s">
        <v>2</v>
      </c>
      <c r="J135" s="95">
        <v>1</v>
      </c>
      <c r="K135" s="168">
        <f t="shared" si="82"/>
        <v>76</v>
      </c>
      <c r="L135" s="167">
        <f>VLOOKUP(K135,Наценка!$A$1:$B$8,2,1)</f>
        <v>2.150537634408602</v>
      </c>
      <c r="M135" s="147">
        <f t="shared" ref="M135:M136" si="84">W135*1.04</f>
        <v>238.16</v>
      </c>
      <c r="N135" s="173">
        <f t="shared" si="75"/>
        <v>239</v>
      </c>
      <c r="O135" s="134">
        <f>VLOOKUP($A135,'Выгр Кат'!$A:$S,O$1,0)</f>
        <v>76</v>
      </c>
      <c r="P135" s="134">
        <f>VLOOKUP($A135,'Выгр Кат'!$A:$S,P$1,0)</f>
        <v>169</v>
      </c>
      <c r="Q135" s="107">
        <f t="shared" si="76"/>
        <v>0</v>
      </c>
      <c r="R135" s="107">
        <f t="shared" si="77"/>
        <v>-70</v>
      </c>
      <c r="S135" s="110">
        <f t="shared" si="78"/>
        <v>222.26999999999998</v>
      </c>
      <c r="T135" s="135">
        <f t="shared" si="79"/>
        <v>1.9246052631578947</v>
      </c>
      <c r="U135" s="135">
        <f t="shared" si="80"/>
        <v>2.9388646288209686E-2</v>
      </c>
      <c r="V135" s="135">
        <f t="shared" si="81"/>
        <v>2.013157894736842</v>
      </c>
      <c r="W135" s="117">
        <f t="shared" ref="W135:W136" si="85">AA135</f>
        <v>229</v>
      </c>
      <c r="X135" s="114">
        <f>IFERROR((VLOOKUP($A135,'ИЗ ГУГЛА'!$B:$G,X$1,0)+Z135)*Y135,VLOOKUP($A135,'ИЗ ГУГЛА'!$B:$G,X$1,0))</f>
        <v>229</v>
      </c>
      <c r="Y135" s="108">
        <v>1</v>
      </c>
      <c r="Z135" s="46"/>
      <c r="AA135" s="139">
        <v>229</v>
      </c>
      <c r="AB135" s="124" t="s">
        <v>2800</v>
      </c>
      <c r="AC135" s="114" t="str">
        <f>IFERROR((VLOOKUP($A135,'ИЗ ГУГЛА'!$B:$Z,AC$1,0)+AE135)*AD135,VLOOKUP($A135,'ИЗ ГУГЛА'!$B:$Z,AC$1,0))</f>
        <v/>
      </c>
      <c r="AD135" s="108">
        <v>1</v>
      </c>
      <c r="AE135" s="46"/>
      <c r="AF135" s="115"/>
    </row>
    <row r="136" spans="1:33" s="5" customFormat="1" ht="30" x14ac:dyDescent="0.25">
      <c r="A136" s="132">
        <v>186566</v>
      </c>
      <c r="B136" s="132">
        <f>VLOOKUP($A136,'Выгр Кат'!$A:$S,B$1,0)</f>
        <v>35393</v>
      </c>
      <c r="C136" s="133" t="str">
        <f>VLOOKUP($A136,'Выгр Кат'!$A:$S,C$1,0)</f>
        <v>Патрубок "БРТ" отопителя, подводящий для Лада XRAY</v>
      </c>
      <c r="D136" s="132" t="str">
        <f>VLOOKUP($A136,'Выгр Кат'!$A:$S,D$1,0)</f>
        <v>Y</v>
      </c>
      <c r="E136" s="132" t="str">
        <f>VLOOKUP($A136,'Выгр Кат'!$A:$S,E$1,0)</f>
        <v>1</v>
      </c>
      <c r="F136" s="132" t="str">
        <f>VLOOKUP($A136,'Выгр Кат'!$A:$S,F$1,0)</f>
        <v>8450020032</v>
      </c>
      <c r="G136" s="44" t="s">
        <v>887</v>
      </c>
      <c r="H136" s="29"/>
      <c r="I136" s="4" t="s">
        <v>2</v>
      </c>
      <c r="J136" s="95">
        <v>1</v>
      </c>
      <c r="K136" s="168">
        <f t="shared" si="82"/>
        <v>76</v>
      </c>
      <c r="L136" s="167">
        <f>VLOOKUP(K136,Наценка!$A$1:$B$8,2,1)</f>
        <v>2.150537634408602</v>
      </c>
      <c r="M136" s="147">
        <f t="shared" si="84"/>
        <v>238.16</v>
      </c>
      <c r="N136" s="173">
        <f t="shared" si="75"/>
        <v>239</v>
      </c>
      <c r="O136" s="134">
        <f>VLOOKUP($A136,'Выгр Кат'!$A:$S,O$1,0)</f>
        <v>76</v>
      </c>
      <c r="P136" s="134">
        <f>VLOOKUP($A136,'Выгр Кат'!$A:$S,P$1,0)</f>
        <v>169</v>
      </c>
      <c r="Q136" s="107">
        <f t="shared" si="76"/>
        <v>0</v>
      </c>
      <c r="R136" s="107">
        <f t="shared" si="77"/>
        <v>-70</v>
      </c>
      <c r="S136" s="110">
        <f t="shared" si="78"/>
        <v>222.26999999999998</v>
      </c>
      <c r="T136" s="135">
        <f t="shared" si="79"/>
        <v>1.9246052631578947</v>
      </c>
      <c r="U136" s="135">
        <f t="shared" si="80"/>
        <v>2.9388646288209686E-2</v>
      </c>
      <c r="V136" s="135">
        <f t="shared" si="81"/>
        <v>2.013157894736842</v>
      </c>
      <c r="W136" s="117">
        <f t="shared" si="85"/>
        <v>229</v>
      </c>
      <c r="X136" s="114">
        <f>IFERROR((VLOOKUP($A136,'ИЗ ГУГЛА'!$B:$G,X$1,0)+Z136)*Y136,VLOOKUP($A136,'ИЗ ГУГЛА'!$B:$G,X$1,0))</f>
        <v>229</v>
      </c>
      <c r="Y136" s="108">
        <v>1</v>
      </c>
      <c r="Z136" s="46"/>
      <c r="AA136" s="139">
        <v>229</v>
      </c>
      <c r="AB136" s="124" t="s">
        <v>2800</v>
      </c>
      <c r="AC136" s="114" t="str">
        <f>IFERROR((VLOOKUP($A136,'ИЗ ГУГЛА'!$B:$Z,AC$1,0)+AE136)*AD136,VLOOKUP($A136,'ИЗ ГУГЛА'!$B:$Z,AC$1,0))</f>
        <v/>
      </c>
      <c r="AD136" s="108">
        <v>1</v>
      </c>
      <c r="AE136" s="46"/>
      <c r="AF136" s="115"/>
    </row>
    <row r="137" spans="1:33" s="5" customFormat="1" ht="30.75" thickBot="1" x14ac:dyDescent="0.3">
      <c r="A137" s="132">
        <v>186689</v>
      </c>
      <c r="B137" s="132">
        <f>VLOOKUP($A137,'Выгр Кат'!$A:$S,B$1,0)</f>
        <v>19946</v>
      </c>
      <c r="C137" s="133" t="str">
        <f>VLOOKUP($A137,'Выгр Кат'!$A:$S,C$1,0)</f>
        <v>Патрубок отопителя (печки) подводящий "БРТ" для ВАЗ 2101-2107</v>
      </c>
      <c r="D137" s="132" t="str">
        <f>VLOOKUP($A137,'Выгр Кат'!$A:$S,D$1,0)</f>
        <v>Y</v>
      </c>
      <c r="E137" s="132" t="str">
        <f>VLOOKUP($A137,'Выгр Кат'!$A:$S,E$1,0)</f>
        <v>1</v>
      </c>
      <c r="F137" s="132" t="str">
        <f>VLOOKUP($A137,'Выгр Кат'!$A:$S,F$1,0)</f>
        <v>2101-8101200РП</v>
      </c>
      <c r="G137" s="45" t="s">
        <v>282</v>
      </c>
      <c r="H137" s="29"/>
      <c r="I137" s="4" t="s">
        <v>2</v>
      </c>
      <c r="J137" s="95">
        <v>1</v>
      </c>
      <c r="K137" s="168">
        <f t="shared" si="82"/>
        <v>86</v>
      </c>
      <c r="L137" s="167">
        <f>VLOOKUP(K137,Наценка!$A$1:$B$8,2,1)</f>
        <v>2.150537634408602</v>
      </c>
      <c r="M137" s="172">
        <f t="shared" si="83"/>
        <v>184.94623655913978</v>
      </c>
      <c r="N137" s="173">
        <f t="shared" si="75"/>
        <v>189</v>
      </c>
      <c r="O137" s="134">
        <f>VLOOKUP($A137,'Выгр Кат'!$A:$S,O$1,0)</f>
        <v>86</v>
      </c>
      <c r="P137" s="134">
        <f>VLOOKUP($A137,'Выгр Кат'!$A:$S,P$1,0)</f>
        <v>189</v>
      </c>
      <c r="Q137" s="107">
        <f t="shared" si="76"/>
        <v>0</v>
      </c>
      <c r="R137" s="107">
        <f t="shared" si="77"/>
        <v>0</v>
      </c>
      <c r="S137" s="110">
        <f t="shared" si="78"/>
        <v>175.76999999999998</v>
      </c>
      <c r="T137" s="135">
        <f t="shared" si="79"/>
        <v>1.0438372093023252</v>
      </c>
      <c r="U137" s="135" t="str">
        <f t="shared" si="80"/>
        <v/>
      </c>
      <c r="V137" s="135" t="str">
        <f t="shared" si="81"/>
        <v/>
      </c>
      <c r="W137" s="45"/>
      <c r="X137" s="114" t="str">
        <f>IFERROR((VLOOKUP($A137,'ИЗ ГУГЛА'!$B:$G,X$1,0)+Z137)*Y137,VLOOKUP($A137,'ИЗ ГУГЛА'!$B:$G,X$1,0))</f>
        <v/>
      </c>
      <c r="Y137" s="108">
        <v>1</v>
      </c>
      <c r="Z137" s="46"/>
      <c r="AA137" s="140" t="s">
        <v>1821</v>
      </c>
      <c r="AB137" s="129"/>
      <c r="AC137" s="114" t="str">
        <f>IFERROR((VLOOKUP($A137,'ИЗ ГУГЛА'!$B:$Z,AC$1,0)+AE137)*AD137,VLOOKUP($A137,'ИЗ ГУГЛА'!$B:$Z,AC$1,0))</f>
        <v/>
      </c>
      <c r="AD137" s="108">
        <v>1</v>
      </c>
      <c r="AE137" s="46"/>
      <c r="AF137" s="115"/>
    </row>
    <row r="138" spans="1:33" s="5" customFormat="1" ht="30.75" thickTop="1" x14ac:dyDescent="0.25">
      <c r="A138" s="132">
        <v>186563</v>
      </c>
      <c r="B138" s="132">
        <f>VLOOKUP($A138,'Выгр Кат'!$A:$S,B$1,0)</f>
        <v>35590</v>
      </c>
      <c r="C138" s="133" t="str">
        <f>VLOOKUP($A138,'Выгр Кат'!$A:$S,C$1,0)</f>
        <v>Патрубок "БРТ" отопителя, отводящий для Лада XRAY</v>
      </c>
      <c r="D138" s="132" t="str">
        <f>VLOOKUP($A138,'Выгр Кат'!$A:$S,D$1,0)</f>
        <v>Y</v>
      </c>
      <c r="E138" s="132" t="str">
        <f>VLOOKUP($A138,'Выгр Кат'!$A:$S,E$1,0)</f>
        <v>1</v>
      </c>
      <c r="F138" s="132" t="str">
        <f>VLOOKUP($A138,'Выгр Кат'!$A:$S,F$1,0)</f>
        <v>8450020033</v>
      </c>
      <c r="G138" s="44" t="s">
        <v>1448</v>
      </c>
      <c r="H138" s="29"/>
      <c r="I138" s="4" t="s">
        <v>2</v>
      </c>
      <c r="J138" s="95">
        <v>1</v>
      </c>
      <c r="K138" s="168">
        <f t="shared" si="82"/>
        <v>77</v>
      </c>
      <c r="L138" s="167">
        <f>VLOOKUP(K138,Наценка!$A$1:$B$8,2,1)</f>
        <v>2.150537634408602</v>
      </c>
      <c r="M138" s="147">
        <f>W138*1.04</f>
        <v>238.16</v>
      </c>
      <c r="N138" s="173">
        <f t="shared" si="75"/>
        <v>239</v>
      </c>
      <c r="O138" s="134">
        <f>VLOOKUP($A138,'Выгр Кат'!$A:$S,O$1,0)</f>
        <v>77</v>
      </c>
      <c r="P138" s="134">
        <f>VLOOKUP($A138,'Выгр Кат'!$A:$S,P$1,0)</f>
        <v>169</v>
      </c>
      <c r="Q138" s="107">
        <f t="shared" si="76"/>
        <v>0</v>
      </c>
      <c r="R138" s="107">
        <f t="shared" si="77"/>
        <v>-70</v>
      </c>
      <c r="S138" s="110">
        <f t="shared" si="78"/>
        <v>222.26999999999998</v>
      </c>
      <c r="T138" s="135">
        <f t="shared" si="79"/>
        <v>1.8866233766233762</v>
      </c>
      <c r="U138" s="135">
        <f t="shared" si="80"/>
        <v>2.9388646288209686E-2</v>
      </c>
      <c r="V138" s="135">
        <f t="shared" si="81"/>
        <v>1.9740259740259742</v>
      </c>
      <c r="W138" s="117">
        <f t="shared" ref="W138:W139" si="86">AA138</f>
        <v>229</v>
      </c>
      <c r="X138" s="114">
        <f>IFERROR((VLOOKUP($A138,'ИЗ ГУГЛА'!$B:$G,X$1,0)+Z138)*Y138,VLOOKUP($A138,'ИЗ ГУГЛА'!$B:$G,X$1,0))</f>
        <v>229</v>
      </c>
      <c r="Y138" s="108">
        <v>1</v>
      </c>
      <c r="Z138" s="46"/>
      <c r="AA138" s="139">
        <v>229</v>
      </c>
      <c r="AB138" s="124" t="s">
        <v>2801</v>
      </c>
      <c r="AC138" s="114" t="str">
        <f>IFERROR((VLOOKUP($A138,'ИЗ ГУГЛА'!$B:$Z,AC$1,0)+AE138)*AD138,VLOOKUP($A138,'ИЗ ГУГЛА'!$B:$Z,AC$1,0))</f>
        <v/>
      </c>
      <c r="AD138" s="108">
        <v>1</v>
      </c>
      <c r="AE138" s="46"/>
      <c r="AF138" s="115"/>
    </row>
    <row r="139" spans="1:33" s="5" customFormat="1" ht="30.75" thickBot="1" x14ac:dyDescent="0.3">
      <c r="A139" s="132">
        <v>138833</v>
      </c>
      <c r="B139" s="132">
        <f>VLOOKUP($A139,'Выгр Кат'!$A:$S,B$1,0)</f>
        <v>6704</v>
      </c>
      <c r="C139" s="133" t="str">
        <f>VLOOKUP($A139,'Выгр Кат'!$A:$S,C$1,0)</f>
        <v>Брызговики передние для Лада Приора</v>
      </c>
      <c r="D139" s="132" t="str">
        <f>VLOOKUP($A139,'Выгр Кат'!$A:$S,D$1,0)</f>
        <v>Y</v>
      </c>
      <c r="E139" s="132" t="str">
        <f>VLOOKUP($A139,'Выгр Кат'!$A:$S,E$1,0)</f>
        <v>1</v>
      </c>
      <c r="F139" s="132">
        <f>VLOOKUP($A139,'Выгр Кат'!$A:$S,F$1,0)</f>
        <v>0</v>
      </c>
      <c r="G139" s="43" t="s">
        <v>1286</v>
      </c>
      <c r="H139" s="29"/>
      <c r="I139" s="4" t="s">
        <v>2</v>
      </c>
      <c r="J139" s="95">
        <v>1</v>
      </c>
      <c r="K139" s="168">
        <f t="shared" si="82"/>
        <v>140</v>
      </c>
      <c r="L139" s="167">
        <f>VLOOKUP(K139,Наценка!$A$1:$B$8,2,1)</f>
        <v>1.7204301075268817</v>
      </c>
      <c r="M139" s="148">
        <f t="shared" ref="M138:M139" si="87">W139*1.05</f>
        <v>408.45000000000005</v>
      </c>
      <c r="N139" s="173">
        <f t="shared" si="75"/>
        <v>409</v>
      </c>
      <c r="O139" s="134">
        <f>VLOOKUP($A139,'Выгр Кат'!$A:$S,O$1,0)</f>
        <v>140</v>
      </c>
      <c r="P139" s="134">
        <f>VLOOKUP($A139,'Выгр Кат'!$A:$S,P$1,0)</f>
        <v>409</v>
      </c>
      <c r="Q139" s="107">
        <f t="shared" si="76"/>
        <v>0</v>
      </c>
      <c r="R139" s="107">
        <f t="shared" si="77"/>
        <v>0</v>
      </c>
      <c r="S139" s="110">
        <f t="shared" si="78"/>
        <v>380.36999999999995</v>
      </c>
      <c r="T139" s="135">
        <f t="shared" si="79"/>
        <v>1.7169285714285709</v>
      </c>
      <c r="U139" s="135">
        <f t="shared" si="80"/>
        <v>2.2185089974293193E-2</v>
      </c>
      <c r="V139" s="135">
        <f t="shared" si="81"/>
        <v>1.7785714285714285</v>
      </c>
      <c r="W139" s="117">
        <f t="shared" si="86"/>
        <v>389</v>
      </c>
      <c r="X139" s="114">
        <f>IFERROR((VLOOKUP($A139,'ИЗ ГУГЛА'!$B:$G,X$1,0)+Z139)*Y139,VLOOKUP($A139,'ИЗ ГУГЛА'!$B:$G,X$1,0))</f>
        <v>389</v>
      </c>
      <c r="Y139" s="108">
        <v>1</v>
      </c>
      <c r="Z139" s="46"/>
      <c r="AA139" s="136">
        <v>389</v>
      </c>
      <c r="AB139" s="124" t="s">
        <v>2622</v>
      </c>
      <c r="AC139" s="114" t="str">
        <f>IFERROR((VLOOKUP($A139,'ИЗ ГУГЛА'!$B:$Z,AC$1,0)+AE139)*AD139,VLOOKUP($A139,'ИЗ ГУГЛА'!$B:$Z,AC$1,0))</f>
        <v/>
      </c>
      <c r="AD139" s="108">
        <v>1</v>
      </c>
      <c r="AE139" s="46"/>
      <c r="AF139" s="115"/>
    </row>
    <row r="140" spans="1:33" s="5" customFormat="1" ht="30.75" thickTop="1" x14ac:dyDescent="0.25">
      <c r="A140" s="132">
        <v>213289</v>
      </c>
      <c r="B140" s="132">
        <f>VLOOKUP($A140,'Выгр Кат'!$A:$S,B$1,0)</f>
        <v>35245</v>
      </c>
      <c r="C140" s="133" t="str">
        <f>VLOOKUP($A140,'Выгр Кат'!$A:$S,C$1,0)</f>
        <v>Сальник "БРТ" вала привода левый (нового образца) для Шевроле Нива</v>
      </c>
      <c r="D140" s="132" t="str">
        <f>VLOOKUP($A140,'Выгр Кат'!$A:$S,D$1,0)</f>
        <v>Y</v>
      </c>
      <c r="E140" s="132" t="str">
        <f>VLOOKUP($A140,'Выгр Кат'!$A:$S,E$1,0)</f>
        <v>1</v>
      </c>
      <c r="F140" s="132" t="str">
        <f>VLOOKUP($A140,'Выгр Кат'!$A:$S,F$1,0)</f>
        <v>2123-1802216-30</v>
      </c>
      <c r="G140" s="44" t="s">
        <v>721</v>
      </c>
      <c r="H140" s="29"/>
      <c r="I140" s="4" t="s">
        <v>2</v>
      </c>
      <c r="J140" s="95">
        <v>1</v>
      </c>
      <c r="K140" s="168">
        <f t="shared" si="82"/>
        <v>84</v>
      </c>
      <c r="L140" s="167">
        <f>VLOOKUP(K140,Наценка!$A$1:$B$8,2,1)</f>
        <v>2.150537634408602</v>
      </c>
      <c r="M140" s="172">
        <f t="shared" si="83"/>
        <v>180.64516129032256</v>
      </c>
      <c r="N140" s="173">
        <f t="shared" si="75"/>
        <v>189</v>
      </c>
      <c r="O140" s="134">
        <f>VLOOKUP($A140,'Выгр Кат'!$A:$S,O$1,0)</f>
        <v>84</v>
      </c>
      <c r="P140" s="134">
        <f>VLOOKUP($A140,'Выгр Кат'!$A:$S,P$1,0)</f>
        <v>189</v>
      </c>
      <c r="Q140" s="107">
        <f t="shared" si="76"/>
        <v>0</v>
      </c>
      <c r="R140" s="107">
        <f t="shared" si="77"/>
        <v>0</v>
      </c>
      <c r="S140" s="110">
        <f t="shared" si="78"/>
        <v>175.76999999999998</v>
      </c>
      <c r="T140" s="135">
        <f t="shared" si="79"/>
        <v>1.0924999999999998</v>
      </c>
      <c r="U140" s="135" t="str">
        <f t="shared" si="80"/>
        <v/>
      </c>
      <c r="V140" s="135" t="str">
        <f t="shared" si="81"/>
        <v/>
      </c>
      <c r="W140" s="45"/>
      <c r="X140" s="114" t="str">
        <f>IFERROR((VLOOKUP($A140,'ИЗ ГУГЛА'!$B:$G,X$1,0)+Z140)*Y140,VLOOKUP($A140,'ИЗ ГУГЛА'!$B:$G,X$1,0))</f>
        <v/>
      </c>
      <c r="Y140" s="108">
        <v>1</v>
      </c>
      <c r="Z140" s="46"/>
      <c r="AA140" s="45" t="s">
        <v>1821</v>
      </c>
      <c r="AB140" s="124"/>
      <c r="AC140" s="114" t="str">
        <f>IFERROR((VLOOKUP($A140,'ИЗ ГУГЛА'!$B:$Z,AC$1,0)+AE140)*AD140,VLOOKUP($A140,'ИЗ ГУГЛА'!$B:$Z,AC$1,0))</f>
        <v/>
      </c>
      <c r="AD140" s="108">
        <v>1</v>
      </c>
      <c r="AE140" s="46"/>
      <c r="AF140" s="115"/>
    </row>
    <row r="141" spans="1:33" s="5" customFormat="1" ht="30" x14ac:dyDescent="0.25">
      <c r="A141" s="132">
        <v>213292</v>
      </c>
      <c r="B141" s="132">
        <f>VLOOKUP($A141,'Выгр Кат'!$A:$S,B$1,0)</f>
        <v>35242</v>
      </c>
      <c r="C141" s="133" t="str">
        <f>VLOOKUP($A141,'Выгр Кат'!$A:$S,C$1,0)</f>
        <v>Сальник "БРТ" ведущего вала правый (нового образца) для Шевроле Нива</v>
      </c>
      <c r="D141" s="132" t="str">
        <f>VLOOKUP($A141,'Выгр Кат'!$A:$S,D$1,0)</f>
        <v>Y</v>
      </c>
      <c r="E141" s="132" t="str">
        <f>VLOOKUP($A141,'Выгр Кат'!$A:$S,E$1,0)</f>
        <v>1</v>
      </c>
      <c r="F141" s="132" t="str">
        <f>VLOOKUP($A141,'Выгр Кат'!$A:$S,F$1,0)</f>
        <v>2123-1802120-30</v>
      </c>
      <c r="G141" s="34" t="s">
        <v>719</v>
      </c>
      <c r="H141" s="29"/>
      <c r="I141" s="4" t="s">
        <v>2</v>
      </c>
      <c r="J141" s="95">
        <v>1</v>
      </c>
      <c r="K141" s="168">
        <f t="shared" si="82"/>
        <v>84</v>
      </c>
      <c r="L141" s="167">
        <f>VLOOKUP(K141,Наценка!$A$1:$B$8,2,1)</f>
        <v>2.150537634408602</v>
      </c>
      <c r="M141" s="148">
        <f>W141*1.06</f>
        <v>179.14000000000001</v>
      </c>
      <c r="N141" s="173">
        <f t="shared" si="75"/>
        <v>179</v>
      </c>
      <c r="O141" s="134">
        <f>VLOOKUP($A141,'Выгр Кат'!$A:$S,O$1,0)</f>
        <v>84</v>
      </c>
      <c r="P141" s="134">
        <f>VLOOKUP($A141,'Выгр Кат'!$A:$S,P$1,0)</f>
        <v>189</v>
      </c>
      <c r="Q141" s="107">
        <f t="shared" si="76"/>
        <v>0</v>
      </c>
      <c r="R141" s="107">
        <f t="shared" si="77"/>
        <v>10</v>
      </c>
      <c r="S141" s="110">
        <f t="shared" si="78"/>
        <v>166.47</v>
      </c>
      <c r="T141" s="135">
        <f t="shared" si="79"/>
        <v>0.98178571428571426</v>
      </c>
      <c r="U141" s="135">
        <f t="shared" si="80"/>
        <v>1.4970414201183439E-2</v>
      </c>
      <c r="V141" s="135">
        <f t="shared" si="81"/>
        <v>1.0119047619047619</v>
      </c>
      <c r="W141" s="117">
        <f t="shared" ref="W141:W147" si="88">AA141</f>
        <v>169</v>
      </c>
      <c r="X141" s="114">
        <f>IFERROR((VLOOKUP($A141,'ИЗ ГУГЛА'!$B:$G,X$1,0)+Z141)*Y141,VLOOKUP($A141,'ИЗ ГУГЛА'!$B:$G,X$1,0))</f>
        <v>169</v>
      </c>
      <c r="Y141" s="108">
        <v>1</v>
      </c>
      <c r="Z141" s="46"/>
      <c r="AA141" s="139">
        <v>169</v>
      </c>
      <c r="AB141" s="124" t="s">
        <v>2802</v>
      </c>
      <c r="AC141" s="114" t="str">
        <f>IFERROR((VLOOKUP($A141,'ИЗ ГУГЛА'!$B:$Z,AC$1,0)+AE141)*AD141,VLOOKUP($A141,'ИЗ ГУГЛА'!$B:$Z,AC$1,0))</f>
        <v/>
      </c>
      <c r="AD141" s="108">
        <v>1</v>
      </c>
      <c r="AE141" s="46"/>
      <c r="AF141" s="115"/>
    </row>
    <row r="142" spans="1:33" s="5" customFormat="1" ht="30.75" thickBot="1" x14ac:dyDescent="0.3">
      <c r="A142" s="132">
        <v>186677</v>
      </c>
      <c r="B142" s="132">
        <f>VLOOKUP($A142,'Выгр Кат'!$A:$S,B$1,0)</f>
        <v>20433</v>
      </c>
      <c r="C142" s="133" t="str">
        <f>VLOOKUP($A142,'Выгр Кат'!$A:$S,C$1,0)</f>
        <v>Патрубок отопителя (печки) "БРТ" отводящий для Лада Нива 4х4</v>
      </c>
      <c r="D142" s="132" t="str">
        <f>VLOOKUP($A142,'Выгр Кат'!$A:$S,D$1,0)</f>
        <v>Y</v>
      </c>
      <c r="E142" s="132" t="str">
        <f>VLOOKUP($A142,'Выгр Кат'!$A:$S,E$1,0)</f>
        <v>1</v>
      </c>
      <c r="F142" s="132" t="str">
        <f>VLOOKUP($A142,'Выгр Кат'!$A:$S,F$1,0)</f>
        <v>21214-8101204РП.</v>
      </c>
      <c r="G142" s="45" t="s">
        <v>478</v>
      </c>
      <c r="H142" s="29"/>
      <c r="I142" s="4" t="s">
        <v>2</v>
      </c>
      <c r="J142" s="95">
        <v>1</v>
      </c>
      <c r="K142" s="168">
        <f t="shared" si="82"/>
        <v>90</v>
      </c>
      <c r="L142" s="167">
        <f>VLOOKUP(K142,Наценка!$A$1:$B$8,2,1)</f>
        <v>2.150537634408602</v>
      </c>
      <c r="M142" s="149">
        <f t="shared" ref="M141:M147" si="89">W142*1.07</f>
        <v>319.93</v>
      </c>
      <c r="N142" s="173">
        <f t="shared" si="75"/>
        <v>319</v>
      </c>
      <c r="O142" s="134">
        <f>VLOOKUP($A142,'Выгр Кат'!$A:$S,O$1,0)</f>
        <v>90</v>
      </c>
      <c r="P142" s="134">
        <f>VLOOKUP($A142,'Выгр Кат'!$A:$S,P$1,0)</f>
        <v>319</v>
      </c>
      <c r="Q142" s="107">
        <f t="shared" si="76"/>
        <v>0</v>
      </c>
      <c r="R142" s="107">
        <f t="shared" si="77"/>
        <v>0</v>
      </c>
      <c r="S142" s="110">
        <f t="shared" si="78"/>
        <v>296.66999999999996</v>
      </c>
      <c r="T142" s="135">
        <f t="shared" si="79"/>
        <v>2.2963333333333327</v>
      </c>
      <c r="U142" s="135">
        <f t="shared" si="80"/>
        <v>7.7926421404683642E-3</v>
      </c>
      <c r="V142" s="135">
        <f t="shared" si="81"/>
        <v>2.3222222222222224</v>
      </c>
      <c r="W142" s="117">
        <f t="shared" si="88"/>
        <v>299</v>
      </c>
      <c r="X142" s="114">
        <f>IFERROR((VLOOKUP($A142,'ИЗ ГУГЛА'!$B:$G,X$1,0)+Z142)*Y142,VLOOKUP($A142,'ИЗ ГУГЛА'!$B:$G,X$1,0))</f>
        <v>299</v>
      </c>
      <c r="Y142" s="108">
        <v>1</v>
      </c>
      <c r="Z142" s="46"/>
      <c r="AA142" s="136">
        <v>299</v>
      </c>
      <c r="AB142" s="124" t="s">
        <v>2675</v>
      </c>
      <c r="AC142" s="114" t="str">
        <f>IFERROR((VLOOKUP($A142,'ИЗ ГУГЛА'!$B:$Z,AC$1,0)+AE142)*AD142,VLOOKUP($A142,'ИЗ ГУГЛА'!$B:$Z,AC$1,0))</f>
        <v/>
      </c>
      <c r="AD142" s="108">
        <v>1</v>
      </c>
      <c r="AE142" s="46"/>
      <c r="AF142" s="115"/>
    </row>
    <row r="143" spans="1:33" s="5" customFormat="1" ht="45.75" thickTop="1" x14ac:dyDescent="0.25">
      <c r="A143" s="132">
        <v>224899</v>
      </c>
      <c r="B143" s="132">
        <f>VLOOKUP($A143,'Выгр Кат'!$A:$S,B$1,0)</f>
        <v>35447</v>
      </c>
      <c r="C143" s="133" t="str">
        <f>VLOOKUP($A143,'Выгр Кат'!$A:$S,C$1,0)</f>
        <v>Чехол "БРТ" тяги рычага переключения передач для Шевроле Нива</v>
      </c>
      <c r="D143" s="132" t="str">
        <f>VLOOKUP($A143,'Выгр Кат'!$A:$S,D$1,0)</f>
        <v>Y</v>
      </c>
      <c r="E143" s="132" t="str">
        <f>VLOOKUP($A143,'Выгр Кат'!$A:$S,E$1,0)</f>
        <v>1</v>
      </c>
      <c r="F143" s="132" t="str">
        <f>VLOOKUP($A143,'Выгр Кат'!$A:$S,F$1,0)</f>
        <v>2123-1703145Р</v>
      </c>
      <c r="G143" s="44" t="s">
        <v>498</v>
      </c>
      <c r="H143" s="29"/>
      <c r="I143" s="4" t="s">
        <v>2</v>
      </c>
      <c r="J143" s="95">
        <v>1</v>
      </c>
      <c r="K143" s="168">
        <f t="shared" si="82"/>
        <v>86</v>
      </c>
      <c r="L143" s="167">
        <f>VLOOKUP(K143,Наценка!$A$1:$B$8,2,1)</f>
        <v>2.150537634408602</v>
      </c>
      <c r="M143" s="148">
        <f t="shared" ref="M143:M147" si="90">W143*1.06</f>
        <v>179.14000000000001</v>
      </c>
      <c r="N143" s="173">
        <f t="shared" si="75"/>
        <v>179</v>
      </c>
      <c r="O143" s="134">
        <f>VLOOKUP($A143,'Выгр Кат'!$A:$S,O$1,0)</f>
        <v>86</v>
      </c>
      <c r="P143" s="134">
        <f>VLOOKUP($A143,'Выгр Кат'!$A:$S,P$1,0)</f>
        <v>189</v>
      </c>
      <c r="Q143" s="107">
        <f t="shared" si="76"/>
        <v>0</v>
      </c>
      <c r="R143" s="107">
        <f t="shared" si="77"/>
        <v>10</v>
      </c>
      <c r="S143" s="110">
        <f t="shared" si="78"/>
        <v>166.47</v>
      </c>
      <c r="T143" s="135">
        <f t="shared" si="79"/>
        <v>0.93569767441860474</v>
      </c>
      <c r="U143" s="135">
        <f t="shared" si="80"/>
        <v>1.4970414201183439E-2</v>
      </c>
      <c r="V143" s="135">
        <f t="shared" si="81"/>
        <v>0.96511627906976738</v>
      </c>
      <c r="W143" s="117">
        <f t="shared" si="88"/>
        <v>169</v>
      </c>
      <c r="X143" s="114">
        <f>IFERROR((VLOOKUP($A143,'ИЗ ГУГЛА'!$B:$G,X$1,0)+Z143)*Y143,VLOOKUP($A143,'ИЗ ГУГЛА'!$B:$G,X$1,0))</f>
        <v>169</v>
      </c>
      <c r="Y143" s="108">
        <v>1</v>
      </c>
      <c r="Z143" s="46"/>
      <c r="AA143" s="45">
        <v>169</v>
      </c>
      <c r="AB143" s="124" t="s">
        <v>2804</v>
      </c>
      <c r="AC143" s="114">
        <f>IFERROR((VLOOKUP($A143,'ИЗ ГУГЛА'!$B:$Z,AC$1,0)+AE143)*AD143,VLOOKUP($A143,'ИЗ ГУГЛА'!$B:$Z,AC$1,0))</f>
        <v>180</v>
      </c>
      <c r="AD143" s="108">
        <v>1</v>
      </c>
      <c r="AE143" s="46"/>
      <c r="AF143" s="115">
        <v>180</v>
      </c>
      <c r="AG143" s="5" t="s">
        <v>2803</v>
      </c>
    </row>
    <row r="144" spans="1:33" s="5" customFormat="1" ht="60" x14ac:dyDescent="0.25">
      <c r="A144" s="132">
        <v>141813</v>
      </c>
      <c r="B144" s="132">
        <f>VLOOKUP($A144,'Выгр Кат'!$A:$S,B$1,0)</f>
        <v>23774</v>
      </c>
      <c r="C144" s="133" t="str">
        <f>VLOOKUP($A144,'Выгр Кат'!$A:$S,C$1,0)</f>
        <v>Гофра проводки передних дверей (внутренняя) для Лада (Гранта, Калина, Калина 2), Датсун (mi-DO, on-DO)</v>
      </c>
      <c r="D144" s="132" t="str">
        <f>VLOOKUP($A144,'Выгр Кат'!$A:$S,D$1,0)</f>
        <v>Y</v>
      </c>
      <c r="E144" s="132" t="str">
        <f>VLOOKUP($A144,'Выгр Кат'!$A:$S,E$1,0)</f>
        <v>1</v>
      </c>
      <c r="F144" s="132" t="str">
        <f>VLOOKUP($A144,'Выгр Кат'!$A:$S,F$1,0)</f>
        <v>1118-3724195-01</v>
      </c>
      <c r="G144" s="45" t="s">
        <v>1821</v>
      </c>
      <c r="H144" s="29" t="s">
        <v>1821</v>
      </c>
      <c r="I144" s="4" t="s">
        <v>2</v>
      </c>
      <c r="J144" s="95">
        <v>1</v>
      </c>
      <c r="K144" s="168">
        <f t="shared" si="82"/>
        <v>80</v>
      </c>
      <c r="L144" s="167">
        <f>VLOOKUP(K144,Наценка!$A$1:$B$8,2,1)</f>
        <v>2.150537634408602</v>
      </c>
      <c r="M144" s="148">
        <f t="shared" ref="M144:M147" si="91">W144*1.05</f>
        <v>229.95000000000002</v>
      </c>
      <c r="N144" s="173">
        <f t="shared" si="75"/>
        <v>229</v>
      </c>
      <c r="O144" s="134">
        <f>VLOOKUP($A144,'Выгр Кат'!$A:$S,O$1,0)</f>
        <v>80</v>
      </c>
      <c r="P144" s="134">
        <f>VLOOKUP($A144,'Выгр Кат'!$A:$S,P$1,0)</f>
        <v>179</v>
      </c>
      <c r="Q144" s="107">
        <f t="shared" si="76"/>
        <v>0</v>
      </c>
      <c r="R144" s="107">
        <f t="shared" si="77"/>
        <v>-50</v>
      </c>
      <c r="S144" s="110">
        <f t="shared" si="78"/>
        <v>212.97</v>
      </c>
      <c r="T144" s="135">
        <f t="shared" si="79"/>
        <v>1.6621250000000001</v>
      </c>
      <c r="U144" s="135">
        <f t="shared" si="80"/>
        <v>2.753424657534247E-2</v>
      </c>
      <c r="V144" s="135">
        <f t="shared" si="81"/>
        <v>1.7374999999999998</v>
      </c>
      <c r="W144" s="117">
        <f t="shared" si="88"/>
        <v>219</v>
      </c>
      <c r="X144" s="114">
        <f>IFERROR((VLOOKUP($A144,'ИЗ ГУГЛА'!$B:$G,X$1,0)+Z144)*Y144,VLOOKUP($A144,'ИЗ ГУГЛА'!$B:$G,X$1,0))</f>
        <v>219</v>
      </c>
      <c r="Y144" s="108">
        <v>1</v>
      </c>
      <c r="Z144" s="46"/>
      <c r="AA144" s="139">
        <v>219</v>
      </c>
      <c r="AB144" s="124" t="s">
        <v>2805</v>
      </c>
      <c r="AC144" s="114" t="str">
        <f>IFERROR((VLOOKUP($A144,'ИЗ ГУГЛА'!$B:$Z,AC$1,0)+AE144)*AD144,VLOOKUP($A144,'ИЗ ГУГЛА'!$B:$Z,AC$1,0))</f>
        <v/>
      </c>
      <c r="AD144" s="108">
        <v>1</v>
      </c>
      <c r="AE144" s="46"/>
      <c r="AF144" s="115"/>
    </row>
    <row r="145" spans="1:32" s="5" customFormat="1" ht="45" x14ac:dyDescent="0.25">
      <c r="A145" s="132">
        <v>202109</v>
      </c>
      <c r="B145" s="132">
        <f>VLOOKUP($A145,'Выгр Кат'!$A:$S,B$1,0)</f>
        <v>35576</v>
      </c>
      <c r="C145" s="133" t="str">
        <f>VLOOKUP($A145,'Выгр Кат'!$A:$S,C$1,0)</f>
        <v>Пыльник "БРТ" вилки сцепления для Лада Гранта, Гранта FL, Калина 2, Приора FL, Веста, XRAY</v>
      </c>
      <c r="D145" s="132" t="str">
        <f>VLOOKUP($A145,'Выгр Кат'!$A:$S,D$1,0)</f>
        <v>Y</v>
      </c>
      <c r="E145" s="132" t="str">
        <f>VLOOKUP($A145,'Выгр Кат'!$A:$S,E$1,0)</f>
        <v>1</v>
      </c>
      <c r="F145" s="132" t="str">
        <f>VLOOKUP($A145,'Выгр Кат'!$A:$S,F$1,0)</f>
        <v>2182-1601211</v>
      </c>
      <c r="G145" s="44" t="s">
        <v>568</v>
      </c>
      <c r="H145" s="29"/>
      <c r="I145" s="4" t="s">
        <v>2</v>
      </c>
      <c r="J145" s="95">
        <v>1</v>
      </c>
      <c r="K145" s="168">
        <f t="shared" si="82"/>
        <v>90</v>
      </c>
      <c r="L145" s="167">
        <f>VLOOKUP(K145,Наценка!$A$1:$B$8,2,1)</f>
        <v>2.150537634408602</v>
      </c>
      <c r="M145" s="148">
        <f t="shared" si="91"/>
        <v>198.45000000000002</v>
      </c>
      <c r="N145" s="173">
        <f t="shared" si="75"/>
        <v>199</v>
      </c>
      <c r="O145" s="134">
        <f>VLOOKUP($A145,'Выгр Кат'!$A:$S,O$1,0)</f>
        <v>90</v>
      </c>
      <c r="P145" s="134">
        <f>VLOOKUP($A145,'Выгр Кат'!$A:$S,P$1,0)</f>
        <v>199</v>
      </c>
      <c r="Q145" s="107">
        <f t="shared" si="76"/>
        <v>0</v>
      </c>
      <c r="R145" s="107">
        <f t="shared" si="77"/>
        <v>0</v>
      </c>
      <c r="S145" s="110">
        <f t="shared" si="78"/>
        <v>185.07</v>
      </c>
      <c r="T145" s="135">
        <f t="shared" si="79"/>
        <v>1.0563333333333333</v>
      </c>
      <c r="U145" s="135">
        <f t="shared" si="80"/>
        <v>2.0793650793650829E-2</v>
      </c>
      <c r="V145" s="135">
        <f t="shared" si="81"/>
        <v>1.1000000000000001</v>
      </c>
      <c r="W145" s="117">
        <f t="shared" si="88"/>
        <v>189</v>
      </c>
      <c r="X145" s="114">
        <f>IFERROR((VLOOKUP($A145,'ИЗ ГУГЛА'!$B:$G,X$1,0)+Z145)*Y145,VLOOKUP($A145,'ИЗ ГУГЛА'!$B:$G,X$1,0))</f>
        <v>189</v>
      </c>
      <c r="Y145" s="108">
        <v>1</v>
      </c>
      <c r="Z145" s="46"/>
      <c r="AA145" s="139">
        <v>189</v>
      </c>
      <c r="AB145" s="124" t="s">
        <v>2645</v>
      </c>
      <c r="AC145" s="114" t="str">
        <f>IFERROR((VLOOKUP($A145,'ИЗ ГУГЛА'!$B:$Z,AC$1,0)+AE145)*AD145,VLOOKUP($A145,'ИЗ ГУГЛА'!$B:$Z,AC$1,0))</f>
        <v/>
      </c>
      <c r="AD145" s="108">
        <v>1</v>
      </c>
      <c r="AE145" s="46"/>
      <c r="AF145" s="115"/>
    </row>
    <row r="146" spans="1:32" s="5" customFormat="1" ht="30" x14ac:dyDescent="0.25">
      <c r="A146" s="132">
        <v>186564</v>
      </c>
      <c r="B146" s="132">
        <f>VLOOKUP($A146,'Выгр Кат'!$A:$S,B$1,0)</f>
        <v>35378</v>
      </c>
      <c r="C146" s="133" t="str">
        <f>VLOOKUP($A146,'Выгр Кат'!$A:$S,C$1,0)</f>
        <v>Патрубок "БРТ" отопителя, отводящий для Лада Веста</v>
      </c>
      <c r="D146" s="132" t="str">
        <f>VLOOKUP($A146,'Выгр Кат'!$A:$S,D$1,0)</f>
        <v>Y</v>
      </c>
      <c r="E146" s="132" t="str">
        <f>VLOOKUP($A146,'Выгр Кат'!$A:$S,E$1,0)</f>
        <v>1</v>
      </c>
      <c r="F146" s="132" t="str">
        <f>VLOOKUP($A146,'Выгр Кат'!$A:$S,F$1,0)</f>
        <v>2180-8101208</v>
      </c>
      <c r="G146" s="44" t="s">
        <v>869</v>
      </c>
      <c r="H146" s="29"/>
      <c r="I146" s="4" t="s">
        <v>2</v>
      </c>
      <c r="J146" s="95">
        <v>1</v>
      </c>
      <c r="K146" s="168">
        <f t="shared" si="82"/>
        <v>98</v>
      </c>
      <c r="L146" s="167">
        <f>VLOOKUP(K146,Наценка!$A$1:$B$8,2,1)</f>
        <v>2.150537634408602</v>
      </c>
      <c r="M146" s="148">
        <f t="shared" si="91"/>
        <v>199.5</v>
      </c>
      <c r="N146" s="173">
        <f t="shared" si="75"/>
        <v>199</v>
      </c>
      <c r="O146" s="134">
        <f>VLOOKUP($A146,'Выгр Кат'!$A:$S,O$1,0)</f>
        <v>98</v>
      </c>
      <c r="P146" s="134">
        <f>VLOOKUP($A146,'Выгр Кат'!$A:$S,P$1,0)</f>
        <v>219</v>
      </c>
      <c r="Q146" s="107">
        <f t="shared" si="76"/>
        <v>0</v>
      </c>
      <c r="R146" s="107">
        <f t="shared" si="77"/>
        <v>20</v>
      </c>
      <c r="S146" s="110">
        <f t="shared" si="78"/>
        <v>185.07</v>
      </c>
      <c r="T146" s="135">
        <f t="shared" si="79"/>
        <v>0.88846938775510198</v>
      </c>
      <c r="U146" s="135">
        <f t="shared" si="80"/>
        <v>2.5947368421052667E-2</v>
      </c>
      <c r="V146" s="135">
        <f t="shared" si="81"/>
        <v>0.93877551020408156</v>
      </c>
      <c r="W146" s="117">
        <f t="shared" si="88"/>
        <v>190</v>
      </c>
      <c r="X146" s="114">
        <f>IFERROR((VLOOKUP($A146,'ИЗ ГУГЛА'!$B:$G,X$1,0)+Z146)*Y146,VLOOKUP($A146,'ИЗ ГУГЛА'!$B:$G,X$1,0))</f>
        <v>190</v>
      </c>
      <c r="Y146" s="108">
        <v>1</v>
      </c>
      <c r="Z146" s="46"/>
      <c r="AA146" s="139">
        <v>190</v>
      </c>
      <c r="AB146" s="124" t="s">
        <v>2806</v>
      </c>
      <c r="AC146" s="114" t="str">
        <f>IFERROR((VLOOKUP($A146,'ИЗ ГУГЛА'!$B:$Z,AC$1,0)+AE146)*AD146,VLOOKUP($A146,'ИЗ ГУГЛА'!$B:$Z,AC$1,0))</f>
        <v/>
      </c>
      <c r="AD146" s="108">
        <v>1</v>
      </c>
      <c r="AE146" s="46"/>
      <c r="AF146" s="115"/>
    </row>
    <row r="147" spans="1:32" s="5" customFormat="1" ht="30" x14ac:dyDescent="0.25">
      <c r="A147" s="132">
        <v>223705</v>
      </c>
      <c r="B147" s="132">
        <f>VLOOKUP($A147,'Выгр Кат'!$A:$S,B$1,0)</f>
        <v>19798</v>
      </c>
      <c r="C147" s="133" t="str">
        <f>VLOOKUP($A147,'Выгр Кат'!$A:$S,C$1,0)</f>
        <v>Успокоитель цепи "БРТ" в сборе для ВАЗ 2101-2107</v>
      </c>
      <c r="D147" s="132" t="str">
        <f>VLOOKUP($A147,'Выгр Кат'!$A:$S,D$1,0)</f>
        <v>N</v>
      </c>
      <c r="E147" s="132" t="str">
        <f>VLOOKUP($A147,'Выгр Кат'!$A:$S,E$1,0)</f>
        <v>1</v>
      </c>
      <c r="F147" s="132" t="str">
        <f>VLOOKUP($A147,'Выгр Кат'!$A:$S,F$1,0)</f>
        <v>21010100610000</v>
      </c>
      <c r="G147" s="43" t="s">
        <v>1184</v>
      </c>
      <c r="H147" s="29"/>
      <c r="I147" s="4" t="s">
        <v>2</v>
      </c>
      <c r="J147" s="95">
        <v>1</v>
      </c>
      <c r="K147" s="168">
        <f t="shared" si="82"/>
        <v>90</v>
      </c>
      <c r="L147" s="167">
        <f>VLOOKUP(K147,Наценка!$A$1:$B$8,2,1)</f>
        <v>2.150537634408602</v>
      </c>
      <c r="M147" s="147">
        <f>W147*1.04</f>
        <v>238.16</v>
      </c>
      <c r="N147" s="173">
        <f t="shared" si="75"/>
        <v>239</v>
      </c>
      <c r="O147" s="134">
        <f>VLOOKUP($A147,'Выгр Кат'!$A:$S,O$1,0)</f>
        <v>90</v>
      </c>
      <c r="P147" s="134">
        <f>VLOOKUP($A147,'Выгр Кат'!$A:$S,P$1,0)</f>
        <v>199</v>
      </c>
      <c r="Q147" s="107">
        <f t="shared" si="76"/>
        <v>0</v>
      </c>
      <c r="R147" s="107">
        <f t="shared" si="77"/>
        <v>-40</v>
      </c>
      <c r="S147" s="110">
        <f t="shared" si="78"/>
        <v>222.26999999999998</v>
      </c>
      <c r="T147" s="135">
        <f t="shared" si="79"/>
        <v>1.4696666666666665</v>
      </c>
      <c r="U147" s="135">
        <f t="shared" si="80"/>
        <v>2.9388646288209686E-2</v>
      </c>
      <c r="V147" s="135">
        <f t="shared" si="81"/>
        <v>1.5444444444444443</v>
      </c>
      <c r="W147" s="117">
        <f t="shared" si="88"/>
        <v>229</v>
      </c>
      <c r="X147" s="114">
        <f>IFERROR((VLOOKUP($A147,'ИЗ ГУГЛА'!$B:$G,X$1,0)+Z147)*Y147,VLOOKUP($A147,'ИЗ ГУГЛА'!$B:$G,X$1,0))</f>
        <v>229</v>
      </c>
      <c r="Y147" s="108">
        <v>1</v>
      </c>
      <c r="Z147" s="46"/>
      <c r="AA147" s="139">
        <v>229</v>
      </c>
      <c r="AB147" s="124" t="s">
        <v>2807</v>
      </c>
      <c r="AC147" s="114" t="str">
        <f>IFERROR((VLOOKUP($A147,'ИЗ ГУГЛА'!$B:$Z,AC$1,0)+AE147)*AD147,VLOOKUP($A147,'ИЗ ГУГЛА'!$B:$Z,AC$1,0))</f>
        <v/>
      </c>
      <c r="AD147" s="108">
        <v>1</v>
      </c>
      <c r="AE147" s="46"/>
      <c r="AF147" s="115"/>
    </row>
    <row r="148" spans="1:32" s="5" customFormat="1" ht="45" x14ac:dyDescent="0.25">
      <c r="A148" s="132">
        <v>186569</v>
      </c>
      <c r="B148" s="132">
        <f>VLOOKUP($A148,'Выгр Кат'!$A:$S,B$1,0)</f>
        <v>35380</v>
      </c>
      <c r="C148" s="133" t="str">
        <f>VLOOKUP($A148,'Выгр Кат'!$A:$S,C$1,0)</f>
        <v>Патрубок "БРТ" отопителя, подводящий для Лада Ларгус (c 8-ми клапанным двигателем)</v>
      </c>
      <c r="D148" s="132" t="str">
        <f>VLOOKUP($A148,'Выгр Кат'!$A:$S,D$1,0)</f>
        <v>Y</v>
      </c>
      <c r="E148" s="132" t="str">
        <f>VLOOKUP($A148,'Выгр Кат'!$A:$S,E$1,0)</f>
        <v>1</v>
      </c>
      <c r="F148" s="132" t="str">
        <f>VLOOKUP($A148,'Выгр Кат'!$A:$S,F$1,0)</f>
        <v>RF909491</v>
      </c>
      <c r="G148" s="44" t="s">
        <v>875</v>
      </c>
      <c r="H148" s="29"/>
      <c r="I148" s="4" t="s">
        <v>2</v>
      </c>
      <c r="J148" s="95">
        <v>1</v>
      </c>
      <c r="K148" s="168">
        <f t="shared" si="82"/>
        <v>103</v>
      </c>
      <c r="L148" s="167">
        <f>VLOOKUP(K148,Наценка!$A$1:$B$8,2,1)</f>
        <v>1.7204301075268817</v>
      </c>
      <c r="M148" s="172">
        <f t="shared" si="83"/>
        <v>177.20430107526883</v>
      </c>
      <c r="N148" s="173">
        <f t="shared" si="75"/>
        <v>179</v>
      </c>
      <c r="O148" s="134">
        <f>VLOOKUP($A148,'Выгр Кат'!$A:$S,O$1,0)</f>
        <v>103</v>
      </c>
      <c r="P148" s="134">
        <f>VLOOKUP($A148,'Выгр Кат'!$A:$S,P$1,0)</f>
        <v>179</v>
      </c>
      <c r="Q148" s="107">
        <f t="shared" si="76"/>
        <v>0</v>
      </c>
      <c r="R148" s="107">
        <f t="shared" si="77"/>
        <v>0</v>
      </c>
      <c r="S148" s="110">
        <f t="shared" si="78"/>
        <v>166.47</v>
      </c>
      <c r="T148" s="135">
        <f t="shared" si="79"/>
        <v>0.61621359223300964</v>
      </c>
      <c r="U148" s="135" t="str">
        <f t="shared" si="80"/>
        <v/>
      </c>
      <c r="V148" s="135" t="str">
        <f t="shared" si="81"/>
        <v/>
      </c>
      <c r="W148" s="45"/>
      <c r="X148" s="114" t="str">
        <f>IFERROR((VLOOKUP($A148,'ИЗ ГУГЛА'!$B:$G,X$1,0)+Z148)*Y148,VLOOKUP($A148,'ИЗ ГУГЛА'!$B:$G,X$1,0))</f>
        <v/>
      </c>
      <c r="Y148" s="108">
        <v>1</v>
      </c>
      <c r="Z148" s="46"/>
      <c r="AA148" s="45" t="s">
        <v>1821</v>
      </c>
      <c r="AB148" s="124"/>
      <c r="AC148" s="114" t="str">
        <f>IFERROR((VLOOKUP($A148,'ИЗ ГУГЛА'!$B:$Z,AC$1,0)+AE148)*AD148,VLOOKUP($A148,'ИЗ ГУГЛА'!$B:$Z,AC$1,0))</f>
        <v/>
      </c>
      <c r="AD148" s="108">
        <v>1</v>
      </c>
      <c r="AE148" s="46"/>
      <c r="AF148" s="115"/>
    </row>
    <row r="149" spans="1:32" s="5" customFormat="1" ht="45" x14ac:dyDescent="0.25">
      <c r="A149" s="132">
        <v>180670</v>
      </c>
      <c r="B149" s="132">
        <f>VLOOKUP($A149,'Выгр Кат'!$A:$S,B$1,0)</f>
        <v>35375</v>
      </c>
      <c r="C149" s="133" t="str">
        <f>VLOOKUP($A149,'Выгр Кат'!$A:$S,C$1,0)</f>
        <v>Облицовка "БРТ" горловины наливной трубы бензобака для ВАЗ 2103, 2105, 2107</v>
      </c>
      <c r="D149" s="132" t="str">
        <f>VLOOKUP($A149,'Выгр Кат'!$A:$S,D$1,0)</f>
        <v>Y</v>
      </c>
      <c r="E149" s="132" t="str">
        <f>VLOOKUP($A149,'Выгр Кат'!$A:$S,E$1,0)</f>
        <v>1</v>
      </c>
      <c r="F149" s="132" t="str">
        <f>VLOOKUP($A149,'Выгр Кат'!$A:$S,F$1,0)</f>
        <v>2103-1101150</v>
      </c>
      <c r="G149" s="44" t="s">
        <v>865</v>
      </c>
      <c r="H149" s="29"/>
      <c r="I149" s="4" t="s">
        <v>2</v>
      </c>
      <c r="J149" s="95">
        <v>1</v>
      </c>
      <c r="K149" s="168">
        <f t="shared" si="82"/>
        <v>185</v>
      </c>
      <c r="L149" s="167">
        <f>VLOOKUP(K149,Наценка!$A$1:$B$8,2,1)</f>
        <v>1.7204301075268817</v>
      </c>
      <c r="M149" s="148">
        <f t="shared" ref="M149:M150" si="92">W149*1.06</f>
        <v>625.4</v>
      </c>
      <c r="N149" s="173">
        <f t="shared" si="75"/>
        <v>629</v>
      </c>
      <c r="O149" s="134">
        <f>VLOOKUP($A149,'Выгр Кат'!$A:$S,O$1,0)</f>
        <v>185</v>
      </c>
      <c r="P149" s="134">
        <f>VLOOKUP($A149,'Выгр Кат'!$A:$S,P$1,0)</f>
        <v>319</v>
      </c>
      <c r="Q149" s="107">
        <f t="shared" si="76"/>
        <v>0</v>
      </c>
      <c r="R149" s="107">
        <f t="shared" si="77"/>
        <v>-310</v>
      </c>
      <c r="S149" s="110">
        <f t="shared" si="78"/>
        <v>584.96999999999991</v>
      </c>
      <c r="T149" s="135">
        <f t="shared" si="79"/>
        <v>2.1619999999999995</v>
      </c>
      <c r="U149" s="135">
        <f t="shared" si="80"/>
        <v>8.5254237288137063E-3</v>
      </c>
      <c r="V149" s="135">
        <f t="shared" si="81"/>
        <v>2.189189189189189</v>
      </c>
      <c r="W149" s="117">
        <f t="shared" ref="W149:W150" si="93">AA149</f>
        <v>590</v>
      </c>
      <c r="X149" s="114">
        <f>IFERROR((VLOOKUP($A149,'ИЗ ГУГЛА'!$B:$G,X$1,0)+Z149)*Y149,VLOOKUP($A149,'ИЗ ГУГЛА'!$B:$G,X$1,0))</f>
        <v>590</v>
      </c>
      <c r="Y149" s="108">
        <v>1</v>
      </c>
      <c r="Z149" s="46"/>
      <c r="AA149" s="139">
        <v>590</v>
      </c>
      <c r="AB149" s="124" t="s">
        <v>2616</v>
      </c>
      <c r="AC149" s="114" t="str">
        <f>IFERROR((VLOOKUP($A149,'ИЗ ГУГЛА'!$B:$Z,AC$1,0)+AE149)*AD149,VLOOKUP($A149,'ИЗ ГУГЛА'!$B:$Z,AC$1,0))</f>
        <v/>
      </c>
      <c r="AD149" s="108">
        <v>1</v>
      </c>
      <c r="AE149" s="46"/>
      <c r="AF149" s="115"/>
    </row>
    <row r="150" spans="1:32" s="5" customFormat="1" ht="45.75" thickBot="1" x14ac:dyDescent="0.3">
      <c r="A150" s="132">
        <v>186694</v>
      </c>
      <c r="B150" s="132">
        <f>VLOOKUP($A150,'Выгр Кат'!$A:$S,B$1,0)</f>
        <v>20009</v>
      </c>
      <c r="C150" s="133" t="str">
        <f>VLOOKUP($A150,'Выгр Кат'!$A:$S,C$1,0)</f>
        <v>Патрубок отопителя (печки) подводящий "БРТ" передний для ВАЗ 2108-21099</v>
      </c>
      <c r="D150" s="132" t="str">
        <f>VLOOKUP($A150,'Выгр Кат'!$A:$S,D$1,0)</f>
        <v>Y</v>
      </c>
      <c r="E150" s="132" t="str">
        <f>VLOOKUP($A150,'Выгр Кат'!$A:$S,E$1,0)</f>
        <v>1</v>
      </c>
      <c r="F150" s="132" t="str">
        <f>VLOOKUP($A150,'Выгр Кат'!$A:$S,F$1,0)</f>
        <v>2108-8101200РП</v>
      </c>
      <c r="G150" s="45" t="s">
        <v>363</v>
      </c>
      <c r="H150" s="29"/>
      <c r="I150" s="4" t="s">
        <v>2</v>
      </c>
      <c r="J150" s="95">
        <v>1</v>
      </c>
      <c r="K150" s="168">
        <f t="shared" si="82"/>
        <v>94</v>
      </c>
      <c r="L150" s="167">
        <f>VLOOKUP(K150,Наценка!$A$1:$B$8,2,1)</f>
        <v>2.150537634408602</v>
      </c>
      <c r="M150" s="148">
        <f t="shared" si="92"/>
        <v>168.54000000000002</v>
      </c>
      <c r="N150" s="173">
        <f t="shared" si="75"/>
        <v>169</v>
      </c>
      <c r="O150" s="134">
        <f>VLOOKUP($A150,'Выгр Кат'!$A:$S,O$1,0)</f>
        <v>94</v>
      </c>
      <c r="P150" s="134">
        <f>VLOOKUP($A150,'Выгр Кат'!$A:$S,P$1,0)</f>
        <v>169</v>
      </c>
      <c r="Q150" s="107">
        <f t="shared" si="76"/>
        <v>0</v>
      </c>
      <c r="R150" s="107">
        <f t="shared" si="77"/>
        <v>0</v>
      </c>
      <c r="S150" s="110">
        <f t="shared" si="78"/>
        <v>157.16999999999999</v>
      </c>
      <c r="T150" s="135">
        <f t="shared" si="79"/>
        <v>0.67202127659574451</v>
      </c>
      <c r="U150" s="135">
        <f t="shared" si="80"/>
        <v>1.150943396226423E-2</v>
      </c>
      <c r="V150" s="135">
        <f t="shared" si="81"/>
        <v>0.6914893617021276</v>
      </c>
      <c r="W150" s="117">
        <f t="shared" si="93"/>
        <v>159</v>
      </c>
      <c r="X150" s="114">
        <f>IFERROR((VLOOKUP($A150,'ИЗ ГУГЛА'!$B:$G,X$1,0)+Z150)*Y150,VLOOKUP($A150,'ИЗ ГУГЛА'!$B:$G,X$1,0))</f>
        <v>159</v>
      </c>
      <c r="Y150" s="108">
        <v>1</v>
      </c>
      <c r="Z150" s="46"/>
      <c r="AA150" s="136">
        <v>159</v>
      </c>
      <c r="AB150" s="124" t="s">
        <v>2654</v>
      </c>
      <c r="AC150" s="114" t="str">
        <f>IFERROR((VLOOKUP($A150,'ИЗ ГУГЛА'!$B:$Z,AC$1,0)+AE150)*AD150,VLOOKUP($A150,'ИЗ ГУГЛА'!$B:$Z,AC$1,0))</f>
        <v/>
      </c>
      <c r="AD150" s="108">
        <v>1</v>
      </c>
      <c r="AE150" s="46"/>
      <c r="AF150" s="115"/>
    </row>
    <row r="151" spans="1:32" s="5" customFormat="1" ht="46.5" thickTop="1" thickBot="1" x14ac:dyDescent="0.3">
      <c r="A151" s="132">
        <v>186695</v>
      </c>
      <c r="B151" s="132">
        <f>VLOOKUP($A151,'Выгр Кат'!$A:$S,B$1,0)</f>
        <v>20006</v>
      </c>
      <c r="C151" s="133" t="str">
        <f>VLOOKUP($A151,'Выгр Кат'!$A:$S,C$1,0)</f>
        <v>Патрубок отопителя (печки) подводящий "БРТ" передний для ВАЗ 2108-21099, 2113-2115</v>
      </c>
      <c r="D151" s="132" t="str">
        <f>VLOOKUP($A151,'Выгр Кат'!$A:$S,D$1,0)</f>
        <v>Y</v>
      </c>
      <c r="E151" s="132" t="str">
        <f>VLOOKUP($A151,'Выгр Кат'!$A:$S,E$1,0)</f>
        <v>1</v>
      </c>
      <c r="F151" s="132" t="str">
        <f>VLOOKUP($A151,'Выгр Кат'!$A:$S,F$1,0)</f>
        <v>2108-8101200-20РП</v>
      </c>
      <c r="G151" s="42" t="s">
        <v>363</v>
      </c>
      <c r="H151" s="29"/>
      <c r="I151" s="4" t="s">
        <v>2</v>
      </c>
      <c r="J151" s="95">
        <v>1</v>
      </c>
      <c r="K151" s="168">
        <f t="shared" si="82"/>
        <v>94</v>
      </c>
      <c r="L151" s="167">
        <f>VLOOKUP(K151,Наценка!$A$1:$B$8,2,1)</f>
        <v>2.150537634408602</v>
      </c>
      <c r="M151" s="172">
        <f t="shared" si="83"/>
        <v>202.15053763440858</v>
      </c>
      <c r="N151" s="173">
        <f t="shared" si="75"/>
        <v>209</v>
      </c>
      <c r="O151" s="134">
        <f>VLOOKUP($A151,'Выгр Кат'!$A:$S,O$1,0)</f>
        <v>94</v>
      </c>
      <c r="P151" s="134">
        <f>VLOOKUP($A151,'Выгр Кат'!$A:$S,P$1,0)</f>
        <v>209</v>
      </c>
      <c r="Q151" s="107">
        <f t="shared" si="76"/>
        <v>0</v>
      </c>
      <c r="R151" s="107">
        <f t="shared" si="77"/>
        <v>0</v>
      </c>
      <c r="S151" s="110">
        <f t="shared" si="78"/>
        <v>194.36999999999998</v>
      </c>
      <c r="T151" s="135">
        <f t="shared" si="79"/>
        <v>1.0677659574468081</v>
      </c>
      <c r="U151" s="135" t="str">
        <f t="shared" si="80"/>
        <v/>
      </c>
      <c r="V151" s="135" t="str">
        <f t="shared" si="81"/>
        <v/>
      </c>
      <c r="W151" s="45"/>
      <c r="X151" s="114" t="str">
        <f>IFERROR((VLOOKUP($A151,'ИЗ ГУГЛА'!$B:$G,X$1,0)+Z151)*Y151,VLOOKUP($A151,'ИЗ ГУГЛА'!$B:$G,X$1,0))</f>
        <v/>
      </c>
      <c r="Y151" s="108">
        <v>1</v>
      </c>
      <c r="Z151" s="46"/>
      <c r="AA151" s="140" t="s">
        <v>2494</v>
      </c>
      <c r="AB151" s="129"/>
      <c r="AC151" s="114" t="str">
        <f>IFERROR((VLOOKUP($A151,'ИЗ ГУГЛА'!$B:$Z,AC$1,0)+AE151)*AD151,VLOOKUP($A151,'ИЗ ГУГЛА'!$B:$Z,AC$1,0))</f>
        <v/>
      </c>
      <c r="AD151" s="108">
        <v>1</v>
      </c>
      <c r="AE151" s="46"/>
      <c r="AF151" s="115"/>
    </row>
    <row r="152" spans="1:32" s="5" customFormat="1" ht="30.75" thickTop="1" x14ac:dyDescent="0.25">
      <c r="A152" s="132">
        <v>186586</v>
      </c>
      <c r="B152" s="132">
        <f>VLOOKUP($A152,'Выгр Кат'!$A:$S,B$1,0)</f>
        <v>35578</v>
      </c>
      <c r="C152" s="133" t="str">
        <f>VLOOKUP($A152,'Выгр Кат'!$A:$S,C$1,0)</f>
        <v>Патрубок "БРТ" расширительного бачка (RF-90) для Лада Ларгус</v>
      </c>
      <c r="D152" s="132" t="str">
        <f>VLOOKUP($A152,'Выгр Кат'!$A:$S,D$1,0)</f>
        <v>N</v>
      </c>
      <c r="E152" s="132" t="str">
        <f>VLOOKUP($A152,'Выгр Кат'!$A:$S,E$1,0)</f>
        <v>1</v>
      </c>
      <c r="F152" s="132" t="str">
        <f>VLOOKUP($A152,'Выгр Кат'!$A:$S,F$1,0)</f>
        <v>8450009489</v>
      </c>
      <c r="G152" s="44" t="s">
        <v>591</v>
      </c>
      <c r="H152" s="29"/>
      <c r="I152" s="4" t="s">
        <v>2</v>
      </c>
      <c r="J152" s="95">
        <v>1</v>
      </c>
      <c r="K152" s="168">
        <f t="shared" si="82"/>
        <v>84</v>
      </c>
      <c r="L152" s="167">
        <f>VLOOKUP(K152,Наценка!$A$1:$B$8,2,1)</f>
        <v>2.150537634408602</v>
      </c>
      <c r="M152" s="145">
        <f>W152*1</f>
        <v>129</v>
      </c>
      <c r="N152" s="173">
        <f t="shared" si="75"/>
        <v>129</v>
      </c>
      <c r="O152" s="134">
        <f>VLOOKUP($A152,'Выгр Кат'!$A:$S,O$1,0)</f>
        <v>84</v>
      </c>
      <c r="P152" s="134">
        <f>VLOOKUP($A152,'Выгр Кат'!$A:$S,P$1,0)</f>
        <v>189</v>
      </c>
      <c r="Q152" s="107">
        <f t="shared" si="76"/>
        <v>0</v>
      </c>
      <c r="R152" s="107">
        <f t="shared" si="77"/>
        <v>60</v>
      </c>
      <c r="S152" s="110">
        <f t="shared" si="78"/>
        <v>119.97</v>
      </c>
      <c r="T152" s="135">
        <f t="shared" si="79"/>
        <v>0.42821428571428566</v>
      </c>
      <c r="U152" s="135">
        <f t="shared" si="80"/>
        <v>7.0000000000000007E-2</v>
      </c>
      <c r="V152" s="135">
        <f t="shared" si="81"/>
        <v>0.53571428571428581</v>
      </c>
      <c r="W152" s="117">
        <f t="shared" ref="W152:W154" si="94">AA152</f>
        <v>129</v>
      </c>
      <c r="X152" s="114">
        <f>IFERROR((VLOOKUP($A152,'ИЗ ГУГЛА'!$B:$G,X$1,0)+Z152)*Y152,VLOOKUP($A152,'ИЗ ГУГЛА'!$B:$G,X$1,0))</f>
        <v>129</v>
      </c>
      <c r="Y152" s="108">
        <v>1</v>
      </c>
      <c r="Z152" s="46"/>
      <c r="AA152" s="139">
        <v>129</v>
      </c>
      <c r="AB152" s="124" t="s">
        <v>2808</v>
      </c>
      <c r="AC152" s="114" t="str">
        <f>IFERROR((VLOOKUP($A152,'ИЗ ГУГЛА'!$B:$Z,AC$1,0)+AE152)*AD152,VLOOKUP($A152,'ИЗ ГУГЛА'!$B:$Z,AC$1,0))</f>
        <v/>
      </c>
      <c r="AD152" s="108">
        <v>1</v>
      </c>
      <c r="AE152" s="46"/>
      <c r="AF152" s="115"/>
    </row>
    <row r="153" spans="1:32" s="5" customFormat="1" ht="30" x14ac:dyDescent="0.25">
      <c r="A153" s="132">
        <v>186587</v>
      </c>
      <c r="B153" s="132">
        <f>VLOOKUP($A153,'Выгр Кат'!$A:$S,B$1,0)</f>
        <v>35347</v>
      </c>
      <c r="C153" s="133" t="str">
        <f>VLOOKUP($A153,'Выгр Кат'!$A:$S,C$1,0)</f>
        <v>Патрубок "БРТ" расширительного бачка для Лада XRAY</v>
      </c>
      <c r="D153" s="132" t="str">
        <f>VLOOKUP($A153,'Выгр Кат'!$A:$S,D$1,0)</f>
        <v>Y</v>
      </c>
      <c r="E153" s="132" t="str">
        <f>VLOOKUP($A153,'Выгр Кат'!$A:$S,E$1,0)</f>
        <v>1</v>
      </c>
      <c r="F153" s="132" t="str">
        <f>VLOOKUP($A153,'Выгр Кат'!$A:$S,F$1,0)</f>
        <v>8450020030</v>
      </c>
      <c r="G153" s="44" t="s">
        <v>844</v>
      </c>
      <c r="H153" s="29"/>
      <c r="I153" s="4" t="s">
        <v>2</v>
      </c>
      <c r="J153" s="95">
        <v>1</v>
      </c>
      <c r="K153" s="168">
        <f t="shared" si="82"/>
        <v>101</v>
      </c>
      <c r="L153" s="167">
        <f>VLOOKUP(K153,Наценка!$A$1:$B$8,2,1)</f>
        <v>1.7204301075268817</v>
      </c>
      <c r="M153" s="148">
        <f t="shared" ref="M152:M154" si="95">W153*1.06</f>
        <v>189.74</v>
      </c>
      <c r="N153" s="173">
        <f t="shared" si="75"/>
        <v>189</v>
      </c>
      <c r="O153" s="134">
        <f>VLOOKUP($A153,'Выгр Кат'!$A:$S,O$1,0)</f>
        <v>101</v>
      </c>
      <c r="P153" s="134">
        <f>VLOOKUP($A153,'Выгр Кат'!$A:$S,P$1,0)</f>
        <v>179</v>
      </c>
      <c r="Q153" s="107">
        <f t="shared" si="76"/>
        <v>0</v>
      </c>
      <c r="R153" s="107">
        <f t="shared" si="77"/>
        <v>-10</v>
      </c>
      <c r="S153" s="110">
        <f t="shared" si="78"/>
        <v>175.76999999999998</v>
      </c>
      <c r="T153" s="135">
        <f t="shared" si="79"/>
        <v>0.74029702970297007</v>
      </c>
      <c r="U153" s="135">
        <f t="shared" si="80"/>
        <v>1.8044692737430271E-2</v>
      </c>
      <c r="V153" s="135">
        <f t="shared" si="81"/>
        <v>0.7722772277227723</v>
      </c>
      <c r="W153" s="117">
        <f t="shared" si="94"/>
        <v>179</v>
      </c>
      <c r="X153" s="114">
        <f>IFERROR((VLOOKUP($A153,'ИЗ ГУГЛА'!$B:$G,X$1,0)+Z153)*Y153,VLOOKUP($A153,'ИЗ ГУГЛА'!$B:$G,X$1,0))</f>
        <v>179</v>
      </c>
      <c r="Y153" s="108">
        <v>1</v>
      </c>
      <c r="Z153" s="46"/>
      <c r="AA153" s="139">
        <v>179</v>
      </c>
      <c r="AB153" s="124" t="s">
        <v>2809</v>
      </c>
      <c r="AC153" s="114" t="str">
        <f>IFERROR((VLOOKUP($A153,'ИЗ ГУГЛА'!$B:$Z,AC$1,0)+AE153)*AD153,VLOOKUP($A153,'ИЗ ГУГЛА'!$B:$Z,AC$1,0))</f>
        <v/>
      </c>
      <c r="AD153" s="108">
        <v>1</v>
      </c>
      <c r="AE153" s="46"/>
      <c r="AF153" s="115"/>
    </row>
    <row r="154" spans="1:32" s="5" customFormat="1" ht="45" x14ac:dyDescent="0.25">
      <c r="A154" s="132">
        <v>186589</v>
      </c>
      <c r="B154" s="132">
        <f>VLOOKUP($A154,'Выгр Кат'!$A:$S,B$1,0)</f>
        <v>35346</v>
      </c>
      <c r="C154" s="133" t="str">
        <f>VLOOKUP($A154,'Выгр Кат'!$A:$S,C$1,0)</f>
        <v>Патрубок "БРТ" расширительного бачка для Лада Ларгус (с двигателями РЗМ и Р4М)</v>
      </c>
      <c r="D154" s="132" t="str">
        <f>VLOOKUP($A154,'Выгр Кат'!$A:$S,D$1,0)</f>
        <v>Y</v>
      </c>
      <c r="E154" s="132" t="str">
        <f>VLOOKUP($A154,'Выгр Кат'!$A:$S,E$1,0)</f>
        <v>1</v>
      </c>
      <c r="F154" s="132" t="str">
        <f>VLOOKUP($A154,'Выгр Кат'!$A:$S,F$1,0)</f>
        <v>8450009489</v>
      </c>
      <c r="G154" s="44" t="s">
        <v>842</v>
      </c>
      <c r="H154" s="29"/>
      <c r="I154" s="4" t="s">
        <v>2</v>
      </c>
      <c r="J154" s="95">
        <v>1</v>
      </c>
      <c r="K154" s="168">
        <f t="shared" si="82"/>
        <v>84</v>
      </c>
      <c r="L154" s="167">
        <f>VLOOKUP(K154,Наценка!$A$1:$B$8,2,1)</f>
        <v>2.150537634408602</v>
      </c>
      <c r="M154" s="145">
        <f>W154*1</f>
        <v>129</v>
      </c>
      <c r="N154" s="173">
        <f t="shared" si="75"/>
        <v>129</v>
      </c>
      <c r="O154" s="134">
        <f>VLOOKUP($A154,'Выгр Кат'!$A:$S,O$1,0)</f>
        <v>84</v>
      </c>
      <c r="P154" s="134">
        <f>VLOOKUP($A154,'Выгр Кат'!$A:$S,P$1,0)</f>
        <v>189</v>
      </c>
      <c r="Q154" s="107">
        <f t="shared" si="76"/>
        <v>0</v>
      </c>
      <c r="R154" s="107">
        <f t="shared" si="77"/>
        <v>60</v>
      </c>
      <c r="S154" s="110">
        <f t="shared" si="78"/>
        <v>119.97</v>
      </c>
      <c r="T154" s="135">
        <f t="shared" si="79"/>
        <v>0.42821428571428566</v>
      </c>
      <c r="U154" s="135">
        <f t="shared" si="80"/>
        <v>7.0000000000000007E-2</v>
      </c>
      <c r="V154" s="135">
        <f t="shared" si="81"/>
        <v>0.53571428571428581</v>
      </c>
      <c r="W154" s="117">
        <f t="shared" si="94"/>
        <v>129</v>
      </c>
      <c r="X154" s="114">
        <f>IFERROR((VLOOKUP($A154,'ИЗ ГУГЛА'!$B:$G,X$1,0)+Z154)*Y154,VLOOKUP($A154,'ИЗ ГУГЛА'!$B:$G,X$1,0))</f>
        <v>129</v>
      </c>
      <c r="Y154" s="108">
        <v>1</v>
      </c>
      <c r="Z154" s="46"/>
      <c r="AA154" s="139">
        <v>129</v>
      </c>
      <c r="AB154" s="124" t="s">
        <v>2808</v>
      </c>
      <c r="AC154" s="114" t="str">
        <f>IFERROR((VLOOKUP($A154,'ИЗ ГУГЛА'!$B:$Z,AC$1,0)+AE154)*AD154,VLOOKUP($A154,'ИЗ ГУГЛА'!$B:$Z,AC$1,0))</f>
        <v/>
      </c>
      <c r="AD154" s="108">
        <v>1</v>
      </c>
      <c r="AE154" s="46"/>
      <c r="AF154" s="115"/>
    </row>
    <row r="155" spans="1:32" s="5" customFormat="1" ht="45" x14ac:dyDescent="0.25">
      <c r="A155" s="132">
        <v>186565</v>
      </c>
      <c r="B155" s="132">
        <f>VLOOKUP($A155,'Выгр Кат'!$A:$S,B$1,0)</f>
        <v>35382</v>
      </c>
      <c r="C155" s="133" t="str">
        <f>VLOOKUP($A155,'Выгр Кат'!$A:$S,C$1,0)</f>
        <v>Патрубок "БРТ" отопителя, отводящий для Лада Ларгус (c 8-ми клапанным двигателем)</v>
      </c>
      <c r="D155" s="132" t="str">
        <f>VLOOKUP($A155,'Выгр Кат'!$A:$S,D$1,0)</f>
        <v>Y</v>
      </c>
      <c r="E155" s="132" t="str">
        <f>VLOOKUP($A155,'Выгр Кат'!$A:$S,E$1,0)</f>
        <v>1</v>
      </c>
      <c r="F155" s="132" t="str">
        <f>VLOOKUP($A155,'Выгр Кат'!$A:$S,F$1,0)</f>
        <v>RF909492</v>
      </c>
      <c r="G155" s="44" t="s">
        <v>877</v>
      </c>
      <c r="H155" s="29"/>
      <c r="I155" s="4" t="s">
        <v>2</v>
      </c>
      <c r="J155" s="95">
        <v>1</v>
      </c>
      <c r="K155" s="168">
        <f t="shared" si="82"/>
        <v>103</v>
      </c>
      <c r="L155" s="167">
        <f>VLOOKUP(K155,Наценка!$A$1:$B$8,2,1)</f>
        <v>1.7204301075268817</v>
      </c>
      <c r="M155" s="172">
        <f t="shared" si="83"/>
        <v>177.20430107526883</v>
      </c>
      <c r="N155" s="173">
        <f t="shared" si="75"/>
        <v>179</v>
      </c>
      <c r="O155" s="134">
        <f>VLOOKUP($A155,'Выгр Кат'!$A:$S,O$1,0)</f>
        <v>103</v>
      </c>
      <c r="P155" s="134">
        <f>VLOOKUP($A155,'Выгр Кат'!$A:$S,P$1,0)</f>
        <v>179</v>
      </c>
      <c r="Q155" s="107">
        <f t="shared" si="76"/>
        <v>0</v>
      </c>
      <c r="R155" s="107">
        <f t="shared" si="77"/>
        <v>0</v>
      </c>
      <c r="S155" s="110">
        <f t="shared" si="78"/>
        <v>166.47</v>
      </c>
      <c r="T155" s="135">
        <f t="shared" si="79"/>
        <v>0.61621359223300964</v>
      </c>
      <c r="U155" s="135" t="str">
        <f t="shared" si="80"/>
        <v/>
      </c>
      <c r="V155" s="135" t="str">
        <f t="shared" si="81"/>
        <v/>
      </c>
      <c r="W155" s="45"/>
      <c r="X155" s="114" t="str">
        <f>IFERROR((VLOOKUP($A155,'ИЗ ГУГЛА'!$B:$G,X$1,0)+Z155)*Y155,VLOOKUP($A155,'ИЗ ГУГЛА'!$B:$G,X$1,0))</f>
        <v/>
      </c>
      <c r="Y155" s="108">
        <v>1</v>
      </c>
      <c r="Z155" s="46"/>
      <c r="AA155" s="45" t="s">
        <v>1821</v>
      </c>
      <c r="AB155" s="124"/>
      <c r="AC155" s="114" t="str">
        <f>IFERROR((VLOOKUP($A155,'ИЗ ГУГЛА'!$B:$Z,AC$1,0)+AE155)*AD155,VLOOKUP($A155,'ИЗ ГУГЛА'!$B:$Z,AC$1,0))</f>
        <v/>
      </c>
      <c r="AD155" s="108">
        <v>1</v>
      </c>
      <c r="AE155" s="46"/>
      <c r="AF155" s="115"/>
    </row>
    <row r="156" spans="1:32" s="5" customFormat="1" ht="45" x14ac:dyDescent="0.25">
      <c r="A156" s="132">
        <v>186571</v>
      </c>
      <c r="B156" s="132">
        <f>VLOOKUP($A156,'Выгр Кат'!$A:$S,B$1,0)</f>
        <v>35592</v>
      </c>
      <c r="C156" s="133" t="str">
        <f>VLOOKUP($A156,'Выгр Кат'!$A:$S,C$1,0)</f>
        <v>Патрубок "БРТ" пароотводящий термостата (для двигателя Р4М) для Лада XRAY</v>
      </c>
      <c r="D156" s="132" t="str">
        <f>VLOOKUP($A156,'Выгр Кат'!$A:$S,D$1,0)</f>
        <v>Y</v>
      </c>
      <c r="E156" s="132" t="str">
        <f>VLOOKUP($A156,'Выгр Кат'!$A:$S,E$1,0)</f>
        <v>1</v>
      </c>
      <c r="F156" s="132" t="str">
        <f>VLOOKUP($A156,'Выгр Кат'!$A:$S,F$1,0)</f>
        <v>8450020059</v>
      </c>
      <c r="G156" s="44" t="s">
        <v>1450</v>
      </c>
      <c r="H156" s="29"/>
      <c r="I156" s="4" t="s">
        <v>2</v>
      </c>
      <c r="J156" s="95">
        <v>1</v>
      </c>
      <c r="K156" s="168">
        <f t="shared" si="82"/>
        <v>86</v>
      </c>
      <c r="L156" s="167">
        <f>VLOOKUP(K156,Наценка!$A$1:$B$8,2,1)</f>
        <v>2.150537634408602</v>
      </c>
      <c r="M156" s="148">
        <f>W156*1.05</f>
        <v>199.5</v>
      </c>
      <c r="N156" s="173">
        <f t="shared" si="75"/>
        <v>199</v>
      </c>
      <c r="O156" s="134">
        <f>VLOOKUP($A156,'Выгр Кат'!$A:$S,O$1,0)</f>
        <v>86</v>
      </c>
      <c r="P156" s="134">
        <f>VLOOKUP($A156,'Выгр Кат'!$A:$S,P$1,0)</f>
        <v>189</v>
      </c>
      <c r="Q156" s="107">
        <f t="shared" si="76"/>
        <v>0</v>
      </c>
      <c r="R156" s="107">
        <f t="shared" si="77"/>
        <v>-10</v>
      </c>
      <c r="S156" s="110">
        <f t="shared" si="78"/>
        <v>185.07</v>
      </c>
      <c r="T156" s="135">
        <f t="shared" si="79"/>
        <v>1.1519767441860465</v>
      </c>
      <c r="U156" s="135">
        <f t="shared" si="80"/>
        <v>2.5947368421052667E-2</v>
      </c>
      <c r="V156" s="135">
        <f t="shared" si="81"/>
        <v>1.2093023255813953</v>
      </c>
      <c r="W156" s="117">
        <f>AA156</f>
        <v>190</v>
      </c>
      <c r="X156" s="114">
        <f>IFERROR((VLOOKUP($A156,'ИЗ ГУГЛА'!$B:$G,X$1,0)+Z156)*Y156,VLOOKUP($A156,'ИЗ ГУГЛА'!$B:$G,X$1,0))</f>
        <v>190</v>
      </c>
      <c r="Y156" s="108">
        <v>1</v>
      </c>
      <c r="Z156" s="46"/>
      <c r="AA156" s="139">
        <v>190</v>
      </c>
      <c r="AB156" s="124" t="s">
        <v>2810</v>
      </c>
      <c r="AC156" s="114" t="str">
        <f>IFERROR((VLOOKUP($A156,'ИЗ ГУГЛА'!$B:$Z,AC$1,0)+AE156)*AD156,VLOOKUP($A156,'ИЗ ГУГЛА'!$B:$Z,AC$1,0))</f>
        <v/>
      </c>
      <c r="AD156" s="108">
        <v>1</v>
      </c>
      <c r="AE156" s="46"/>
      <c r="AF156" s="115"/>
    </row>
    <row r="157" spans="1:32" s="5" customFormat="1" ht="45" x14ac:dyDescent="0.25">
      <c r="A157" s="132">
        <v>204180</v>
      </c>
      <c r="B157" s="132">
        <f>VLOOKUP($A157,'Выгр Кат'!$A:$S,B$1,0)</f>
        <v>19854</v>
      </c>
      <c r="C157" s="133" t="str">
        <f>VLOOKUP($A157,'Выгр Кат'!$A:$S,C$1,0)</f>
        <v>Ремень генератора "БРТ" (4РК718) для Renault Logan без кондиционера и ГУР</v>
      </c>
      <c r="D157" s="132" t="str">
        <f>VLOOKUP($A157,'Выгр Кат'!$A:$S,D$1,0)</f>
        <v>Y</v>
      </c>
      <c r="E157" s="132" t="str">
        <f>VLOOKUP($A157,'Выгр Кат'!$A:$S,E$1,0)</f>
        <v>1</v>
      </c>
      <c r="F157" s="132" t="str">
        <f>VLOOKUP($A157,'Выгр Кат'!$A:$S,F$1,0)</f>
        <v>6001548021РУ</v>
      </c>
      <c r="G157" s="45" t="s">
        <v>583</v>
      </c>
      <c r="H157" s="29"/>
      <c r="I157" s="4" t="s">
        <v>2</v>
      </c>
      <c r="J157" s="95">
        <v>1</v>
      </c>
      <c r="K157" s="168">
        <f t="shared" si="82"/>
        <v>124</v>
      </c>
      <c r="L157" s="167">
        <f>VLOOKUP(K157,Наценка!$A$1:$B$8,2,1)</f>
        <v>1.7204301075268817</v>
      </c>
      <c r="M157" s="172">
        <f t="shared" si="83"/>
        <v>213.33333333333334</v>
      </c>
      <c r="N157" s="173">
        <f t="shared" si="75"/>
        <v>219</v>
      </c>
      <c r="O157" s="134">
        <f>VLOOKUP($A157,'Выгр Кат'!$A:$S,O$1,0)</f>
        <v>124</v>
      </c>
      <c r="P157" s="134">
        <f>VLOOKUP($A157,'Выгр Кат'!$A:$S,P$1,0)</f>
        <v>219</v>
      </c>
      <c r="Q157" s="107">
        <f t="shared" si="76"/>
        <v>0</v>
      </c>
      <c r="R157" s="107">
        <f t="shared" si="77"/>
        <v>0</v>
      </c>
      <c r="S157" s="110">
        <f t="shared" si="78"/>
        <v>203.67</v>
      </c>
      <c r="T157" s="135">
        <f t="shared" si="79"/>
        <v>0.64249999999999985</v>
      </c>
      <c r="U157" s="135" t="str">
        <f t="shared" si="80"/>
        <v/>
      </c>
      <c r="V157" s="135" t="str">
        <f t="shared" si="81"/>
        <v/>
      </c>
      <c r="W157" s="45"/>
      <c r="X157" s="114" t="str">
        <f>IFERROR((VLOOKUP($A157,'ИЗ ГУГЛА'!$B:$G,X$1,0)+Z157)*Y157,VLOOKUP($A157,'ИЗ ГУГЛА'!$B:$G,X$1,0))</f>
        <v/>
      </c>
      <c r="Y157" s="108">
        <v>1</v>
      </c>
      <c r="Z157" s="46"/>
      <c r="AA157" s="45" t="s">
        <v>1821</v>
      </c>
      <c r="AB157" s="124"/>
      <c r="AC157" s="114" t="str">
        <f>IFERROR((VLOOKUP($A157,'ИЗ ГУГЛА'!$B:$Z,AC$1,0)+AE157)*AD157,VLOOKUP($A157,'ИЗ ГУГЛА'!$B:$Z,AC$1,0))</f>
        <v/>
      </c>
      <c r="AD157" s="108">
        <v>1</v>
      </c>
      <c r="AE157" s="46"/>
      <c r="AF157" s="115"/>
    </row>
    <row r="158" spans="1:32" s="5" customFormat="1" ht="30" x14ac:dyDescent="0.25">
      <c r="A158" s="132">
        <v>204183</v>
      </c>
      <c r="B158" s="132">
        <f>VLOOKUP($A158,'Выгр Кат'!$A:$S,B$1,0)</f>
        <v>19839</v>
      </c>
      <c r="C158" s="133" t="str">
        <f>VLOOKUP($A158,'Выгр Кат'!$A:$S,C$1,0)</f>
        <v>Ремень генератора "БРТ" для Renault Logan 8v без кондиционера и ГУР</v>
      </c>
      <c r="D158" s="132" t="str">
        <f>VLOOKUP($A158,'Выгр Кат'!$A:$S,D$1,0)</f>
        <v>Y</v>
      </c>
      <c r="E158" s="132" t="str">
        <f>VLOOKUP($A158,'Выгр Кат'!$A:$S,E$1,0)</f>
        <v>1</v>
      </c>
      <c r="F158" s="132" t="str">
        <f>VLOOKUP($A158,'Выгр Кат'!$A:$S,F$1,0)</f>
        <v>4РК708РУ</v>
      </c>
      <c r="G158" s="43" t="s">
        <v>583</v>
      </c>
      <c r="H158" s="29"/>
      <c r="I158" s="4" t="s">
        <v>2</v>
      </c>
      <c r="J158" s="95">
        <v>1</v>
      </c>
      <c r="K158" s="168">
        <f t="shared" si="82"/>
        <v>124</v>
      </c>
      <c r="L158" s="167">
        <f>VLOOKUP(K158,Наценка!$A$1:$B$8,2,1)</f>
        <v>1.7204301075268817</v>
      </c>
      <c r="M158" s="172">
        <f t="shared" si="83"/>
        <v>213.33333333333334</v>
      </c>
      <c r="N158" s="173">
        <f t="shared" si="75"/>
        <v>219</v>
      </c>
      <c r="O158" s="134">
        <f>VLOOKUP($A158,'Выгр Кат'!$A:$S,O$1,0)</f>
        <v>124</v>
      </c>
      <c r="P158" s="134">
        <f>VLOOKUP($A158,'Выгр Кат'!$A:$S,P$1,0)</f>
        <v>219</v>
      </c>
      <c r="Q158" s="107">
        <f t="shared" si="76"/>
        <v>0</v>
      </c>
      <c r="R158" s="107">
        <f t="shared" si="77"/>
        <v>0</v>
      </c>
      <c r="S158" s="110">
        <f t="shared" si="78"/>
        <v>203.67</v>
      </c>
      <c r="T158" s="135">
        <f t="shared" si="79"/>
        <v>0.64249999999999985</v>
      </c>
      <c r="U158" s="135" t="str">
        <f t="shared" si="80"/>
        <v/>
      </c>
      <c r="V158" s="135" t="str">
        <f t="shared" si="81"/>
        <v/>
      </c>
      <c r="W158" s="45"/>
      <c r="X158" s="114" t="str">
        <f>IFERROR((VLOOKUP($A158,'ИЗ ГУГЛА'!$B:$G,X$1,0)+Z158)*Y158,VLOOKUP($A158,'ИЗ ГУГЛА'!$B:$G,X$1,0))</f>
        <v/>
      </c>
      <c r="Y158" s="108">
        <v>1</v>
      </c>
      <c r="Z158" s="46"/>
      <c r="AA158" s="45" t="s">
        <v>1821</v>
      </c>
      <c r="AB158" s="124"/>
      <c r="AC158" s="114" t="str">
        <f>IFERROR((VLOOKUP($A158,'ИЗ ГУГЛА'!$B:$Z,AC$1,0)+AE158)*AD158,VLOOKUP($A158,'ИЗ ГУГЛА'!$B:$Z,AC$1,0))</f>
        <v/>
      </c>
      <c r="AD158" s="108">
        <v>1</v>
      </c>
      <c r="AE158" s="46"/>
      <c r="AF158" s="115"/>
    </row>
    <row r="159" spans="1:32" s="5" customFormat="1" ht="30.75" thickBot="1" x14ac:dyDescent="0.3">
      <c r="A159" s="132">
        <v>158273</v>
      </c>
      <c r="B159" s="132">
        <f>VLOOKUP($A159,'Выгр Кат'!$A:$S,B$1,0)</f>
        <v>35516</v>
      </c>
      <c r="C159" s="133" t="str">
        <f>VLOOKUP($A159,'Выгр Кат'!$A:$S,C$1,0)</f>
        <v>Комплект "БРТ" задних брызговиков для ВАЗ 2108-21099</v>
      </c>
      <c r="D159" s="132" t="str">
        <f>VLOOKUP($A159,'Выгр Кат'!$A:$S,D$1,0)</f>
        <v>Y</v>
      </c>
      <c r="E159" s="132" t="str">
        <f>VLOOKUP($A159,'Выгр Кат'!$A:$S,E$1,0)</f>
        <v>1</v>
      </c>
      <c r="F159" s="132" t="str">
        <f>VLOOKUP($A159,'Выгр Кат'!$A:$S,F$1,0)</f>
        <v>2108-8404412/13</v>
      </c>
      <c r="G159" s="44" t="s">
        <v>1275</v>
      </c>
      <c r="H159" s="29"/>
      <c r="I159" s="4" t="s">
        <v>2</v>
      </c>
      <c r="J159" s="95">
        <v>1</v>
      </c>
      <c r="K159" s="168">
        <f t="shared" si="82"/>
        <v>90</v>
      </c>
      <c r="L159" s="167">
        <f>VLOOKUP(K159,Наценка!$A$1:$B$8,2,1)</f>
        <v>2.150537634408602</v>
      </c>
      <c r="M159" s="148">
        <f>W159*1.05</f>
        <v>399</v>
      </c>
      <c r="N159" s="173">
        <f t="shared" si="75"/>
        <v>399</v>
      </c>
      <c r="O159" s="134">
        <f>VLOOKUP($A159,'Выгр Кат'!$A:$S,O$1,0)</f>
        <v>90</v>
      </c>
      <c r="P159" s="134">
        <f>VLOOKUP($A159,'Выгр Кат'!$A:$S,P$1,0)</f>
        <v>399</v>
      </c>
      <c r="Q159" s="107">
        <f t="shared" si="76"/>
        <v>0</v>
      </c>
      <c r="R159" s="107">
        <f t="shared" si="77"/>
        <v>0</v>
      </c>
      <c r="S159" s="110">
        <f t="shared" si="78"/>
        <v>371.07</v>
      </c>
      <c r="T159" s="135">
        <f t="shared" si="79"/>
        <v>3.1230000000000002</v>
      </c>
      <c r="U159" s="135">
        <f t="shared" si="80"/>
        <v>2.3500000000000017E-2</v>
      </c>
      <c r="V159" s="135">
        <f t="shared" si="81"/>
        <v>3.2222222222222223</v>
      </c>
      <c r="W159" s="117">
        <f t="shared" ref="W159:W163" si="96">AA159</f>
        <v>380</v>
      </c>
      <c r="X159" s="114">
        <f>IFERROR((VLOOKUP($A159,'ИЗ ГУГЛА'!$B:$G,X$1,0)+Z159)*Y159,VLOOKUP($A159,'ИЗ ГУГЛА'!$B:$G,X$1,0))</f>
        <v>380</v>
      </c>
      <c r="Y159" s="108">
        <v>2</v>
      </c>
      <c r="Z159" s="46"/>
      <c r="AA159" s="138">
        <v>380</v>
      </c>
      <c r="AB159" s="124" t="s">
        <v>2621</v>
      </c>
      <c r="AC159" s="114" t="str">
        <f>IFERROR((VLOOKUP($A159,'ИЗ ГУГЛА'!$B:$Z,AC$1,0)+AE159)*AD159,VLOOKUP($A159,'ИЗ ГУГЛА'!$B:$Z,AC$1,0))</f>
        <v/>
      </c>
      <c r="AD159" s="108">
        <v>2</v>
      </c>
      <c r="AE159" s="46"/>
      <c r="AF159" s="115"/>
    </row>
    <row r="160" spans="1:32" s="5" customFormat="1" ht="30.75" thickTop="1" x14ac:dyDescent="0.25">
      <c r="A160" s="132">
        <v>139796</v>
      </c>
      <c r="B160" s="132">
        <f>VLOOKUP($A160,'Выгр Кат'!$A:$S,B$1,0)</f>
        <v>35460</v>
      </c>
      <c r="C160" s="133" t="str">
        <f>VLOOKUP($A160,'Выгр Кат'!$A:$S,C$1,0)</f>
        <v>Втулка "БРТ" переднего стабилизатора для Шевроле Нива</v>
      </c>
      <c r="D160" s="132" t="str">
        <f>VLOOKUP($A160,'Выгр Кат'!$A:$S,D$1,0)</f>
        <v>Y</v>
      </c>
      <c r="E160" s="132" t="str">
        <f>VLOOKUP($A160,'Выгр Кат'!$A:$S,E$1,0)</f>
        <v>1</v>
      </c>
      <c r="F160" s="132" t="str">
        <f>VLOOKUP($A160,'Выгр Кат'!$A:$S,F$1,0)</f>
        <v>2123-2906040Р</v>
      </c>
      <c r="G160" s="44" t="s">
        <v>505</v>
      </c>
      <c r="H160" s="29"/>
      <c r="I160" s="4" t="s">
        <v>2</v>
      </c>
      <c r="J160" s="95">
        <v>1</v>
      </c>
      <c r="K160" s="168">
        <f t="shared" si="82"/>
        <v>98</v>
      </c>
      <c r="L160" s="167">
        <f>VLOOKUP(K160,Наценка!$A$1:$B$8,2,1)</f>
        <v>2.150537634408602</v>
      </c>
      <c r="M160" s="149">
        <f t="shared" ref="M159:M163" si="97">W160*1.07</f>
        <v>159.43</v>
      </c>
      <c r="N160" s="173">
        <f t="shared" si="75"/>
        <v>159</v>
      </c>
      <c r="O160" s="134">
        <f>VLOOKUP($A160,'Выгр Кат'!$A:$S,O$1,0)</f>
        <v>98</v>
      </c>
      <c r="P160" s="134">
        <f>VLOOKUP($A160,'Выгр Кат'!$A:$S,P$1,0)</f>
        <v>219</v>
      </c>
      <c r="Q160" s="107">
        <f t="shared" si="76"/>
        <v>0</v>
      </c>
      <c r="R160" s="107">
        <f t="shared" si="77"/>
        <v>60</v>
      </c>
      <c r="S160" s="110">
        <f t="shared" si="78"/>
        <v>147.86999999999998</v>
      </c>
      <c r="T160" s="135">
        <f t="shared" si="79"/>
        <v>0.50887755102040799</v>
      </c>
      <c r="U160" s="135">
        <f t="shared" si="80"/>
        <v>7.5838926174498248E-3</v>
      </c>
      <c r="V160" s="135">
        <f t="shared" si="81"/>
        <v>0.52040816326530615</v>
      </c>
      <c r="W160" s="117">
        <f t="shared" si="96"/>
        <v>149</v>
      </c>
      <c r="X160" s="114">
        <f>IFERROR((VLOOKUP($A160,'ИЗ ГУГЛА'!$B:$G,X$1,0)+Z160)*Y160,VLOOKUP($A160,'ИЗ ГУГЛА'!$B:$G,X$1,0))</f>
        <v>149</v>
      </c>
      <c r="Y160" s="108">
        <v>1</v>
      </c>
      <c r="Z160" s="46"/>
      <c r="AA160" s="139">
        <v>149</v>
      </c>
      <c r="AB160" s="124" t="s">
        <v>2811</v>
      </c>
      <c r="AC160" s="114" t="str">
        <f>IFERROR((VLOOKUP($A160,'ИЗ ГУГЛА'!$B:$Z,AC$1,0)+AE160)*AD160,VLOOKUP($A160,'ИЗ ГУГЛА'!$B:$Z,AC$1,0))</f>
        <v/>
      </c>
      <c r="AD160" s="108">
        <v>1</v>
      </c>
      <c r="AE160" s="46"/>
      <c r="AF160" s="115"/>
    </row>
    <row r="161" spans="1:32" s="5" customFormat="1" ht="45" x14ac:dyDescent="0.25">
      <c r="A161" s="132">
        <v>181646</v>
      </c>
      <c r="B161" s="132">
        <f>VLOOKUP($A161,'Выгр Кат'!$A:$S,B$1,0)</f>
        <v>19851</v>
      </c>
      <c r="C161" s="133" t="str">
        <f>VLOOKUP($A161,'Выгр Кат'!$A:$S,C$1,0)</f>
        <v>Опора задней пружины "БРТ" верхняя для Лада Ларгус, Renault Logan, Nissan Almera</v>
      </c>
      <c r="D161" s="132" t="str">
        <f>VLOOKUP($A161,'Выгр Кат'!$A:$S,D$1,0)</f>
        <v>Y</v>
      </c>
      <c r="E161" s="132" t="str">
        <f>VLOOKUP($A161,'Выгр Кат'!$A:$S,E$1,0)</f>
        <v>1</v>
      </c>
      <c r="F161" s="132" t="str">
        <f>VLOOKUP($A161,'Выгр Кат'!$A:$S,F$1,0)</f>
        <v>6001547495РИ</v>
      </c>
      <c r="G161" s="45" t="s">
        <v>578</v>
      </c>
      <c r="H161" s="29"/>
      <c r="I161" s="4" t="s">
        <v>2</v>
      </c>
      <c r="J161" s="95">
        <v>1</v>
      </c>
      <c r="K161" s="168">
        <f t="shared" si="82"/>
        <v>88</v>
      </c>
      <c r="L161" s="167">
        <f>VLOOKUP(K161,Наценка!$A$1:$B$8,2,1)</f>
        <v>2.150537634408602</v>
      </c>
      <c r="M161" s="147">
        <f t="shared" ref="M161:M162" si="98">W161*1.04</f>
        <v>258.96000000000004</v>
      </c>
      <c r="N161" s="173">
        <f t="shared" si="75"/>
        <v>259</v>
      </c>
      <c r="O161" s="134">
        <f>VLOOKUP($A161,'Выгр Кат'!$A:$S,O$1,0)</f>
        <v>88</v>
      </c>
      <c r="P161" s="134">
        <f>VLOOKUP($A161,'Выгр Кат'!$A:$S,P$1,0)</f>
        <v>189</v>
      </c>
      <c r="Q161" s="107">
        <f t="shared" si="76"/>
        <v>0</v>
      </c>
      <c r="R161" s="107">
        <f t="shared" si="77"/>
        <v>-70</v>
      </c>
      <c r="S161" s="110">
        <f t="shared" si="78"/>
        <v>240.86999999999998</v>
      </c>
      <c r="T161" s="135">
        <f t="shared" si="79"/>
        <v>1.7371590909090906</v>
      </c>
      <c r="U161" s="135">
        <f t="shared" si="80"/>
        <v>3.265060240963865E-2</v>
      </c>
      <c r="V161" s="135">
        <f t="shared" si="81"/>
        <v>1.8295454545454546</v>
      </c>
      <c r="W161" s="117">
        <f t="shared" si="96"/>
        <v>249</v>
      </c>
      <c r="X161" s="114">
        <f>IFERROR((VLOOKUP($A161,'ИЗ ГУГЛА'!$B:$G,X$1,0)+Z161)*Y161,VLOOKUP($A161,'ИЗ ГУГЛА'!$B:$G,X$1,0))</f>
        <v>249</v>
      </c>
      <c r="Y161" s="108">
        <v>1</v>
      </c>
      <c r="Z161" s="46"/>
      <c r="AA161" s="139">
        <v>249</v>
      </c>
      <c r="AB161" s="124" t="s">
        <v>2813</v>
      </c>
      <c r="AC161" s="114" t="str">
        <f>IFERROR((VLOOKUP($A161,'ИЗ ГУГЛА'!$B:$Z,AC$1,0)+AE161)*AD161,VLOOKUP($A161,'ИЗ ГУГЛА'!$B:$Z,AC$1,0))</f>
        <v/>
      </c>
      <c r="AD161" s="108">
        <v>1</v>
      </c>
      <c r="AE161" s="46"/>
      <c r="AF161" s="115"/>
    </row>
    <row r="162" spans="1:32" s="5" customFormat="1" ht="30" x14ac:dyDescent="0.25">
      <c r="A162" s="132">
        <v>223706</v>
      </c>
      <c r="B162" s="132">
        <f>VLOOKUP($A162,'Выгр Кат'!$A:$S,B$1,0)</f>
        <v>19799</v>
      </c>
      <c r="C162" s="133" t="str">
        <f>VLOOKUP($A162,'Выгр Кат'!$A:$S,C$1,0)</f>
        <v>Успокоитель цепи "БРТ" в сборе для ВАЗ 2101-2107, Лада Нива 4х4</v>
      </c>
      <c r="D162" s="132" t="str">
        <f>VLOOKUP($A162,'Выгр Кат'!$A:$S,D$1,0)</f>
        <v>Y</v>
      </c>
      <c r="E162" s="132" t="str">
        <f>VLOOKUP($A162,'Выгр Кат'!$A:$S,E$1,0)</f>
        <v>1</v>
      </c>
      <c r="F162" s="132" t="str">
        <f>VLOOKUP($A162,'Выгр Кат'!$A:$S,F$1,0)</f>
        <v>2103-1006100РУ</v>
      </c>
      <c r="G162" s="45" t="s">
        <v>287</v>
      </c>
      <c r="H162" s="29"/>
      <c r="I162" s="4" t="s">
        <v>2</v>
      </c>
      <c r="J162" s="95">
        <v>1</v>
      </c>
      <c r="K162" s="168">
        <f t="shared" si="82"/>
        <v>99</v>
      </c>
      <c r="L162" s="167">
        <f>VLOOKUP(K162,Наценка!$A$1:$B$8,2,1)</f>
        <v>2.150537634408602</v>
      </c>
      <c r="M162" s="147">
        <f t="shared" si="98"/>
        <v>238.16</v>
      </c>
      <c r="N162" s="173">
        <f t="shared" si="75"/>
        <v>239</v>
      </c>
      <c r="O162" s="134">
        <f>VLOOKUP($A162,'Выгр Кат'!$A:$S,O$1,0)</f>
        <v>99</v>
      </c>
      <c r="P162" s="134">
        <f>VLOOKUP($A162,'Выгр Кат'!$A:$S,P$1,0)</f>
        <v>219</v>
      </c>
      <c r="Q162" s="107">
        <f t="shared" si="76"/>
        <v>0</v>
      </c>
      <c r="R162" s="107">
        <f t="shared" si="77"/>
        <v>-20</v>
      </c>
      <c r="S162" s="110">
        <f t="shared" si="78"/>
        <v>222.26999999999998</v>
      </c>
      <c r="T162" s="135">
        <f t="shared" si="79"/>
        <v>1.2451515151515151</v>
      </c>
      <c r="U162" s="135">
        <f t="shared" si="80"/>
        <v>2.9388646288209686E-2</v>
      </c>
      <c r="V162" s="135">
        <f t="shared" si="81"/>
        <v>1.3131313131313131</v>
      </c>
      <c r="W162" s="117">
        <f t="shared" si="96"/>
        <v>229</v>
      </c>
      <c r="X162" s="114">
        <f>IFERROR((VLOOKUP($A162,'ИЗ ГУГЛА'!$B:$G,X$1,0)+Z162)*Y162,VLOOKUP($A162,'ИЗ ГУГЛА'!$B:$G,X$1,0))</f>
        <v>229</v>
      </c>
      <c r="Y162" s="108">
        <v>1</v>
      </c>
      <c r="Z162" s="46"/>
      <c r="AA162" s="139">
        <v>229</v>
      </c>
      <c r="AB162" s="124" t="s">
        <v>2807</v>
      </c>
      <c r="AC162" s="114" t="str">
        <f>IFERROR((VLOOKUP($A162,'ИЗ ГУГЛА'!$B:$Z,AC$1,0)+AE162)*AD162,VLOOKUP($A162,'ИЗ ГУГЛА'!$B:$Z,AC$1,0))</f>
        <v/>
      </c>
      <c r="AD162" s="108">
        <v>1</v>
      </c>
      <c r="AE162" s="46"/>
      <c r="AF162" s="115"/>
    </row>
    <row r="163" spans="1:32" s="5" customFormat="1" ht="30" x14ac:dyDescent="0.25">
      <c r="A163" s="132">
        <v>186590</v>
      </c>
      <c r="B163" s="132">
        <f>VLOOKUP($A163,'Выгр Кат'!$A:$S,B$1,0)</f>
        <v>35587</v>
      </c>
      <c r="C163" s="133" t="str">
        <f>VLOOKUP($A163,'Выгр Кат'!$A:$S,C$1,0)</f>
        <v>Патрубок "БРТ" расширительного бачка, верхний для Лада XRAY</v>
      </c>
      <c r="D163" s="132" t="str">
        <f>VLOOKUP($A163,'Выгр Кат'!$A:$S,D$1,0)</f>
        <v>Y</v>
      </c>
      <c r="E163" s="132" t="str">
        <f>VLOOKUP($A163,'Выгр Кат'!$A:$S,E$1,0)</f>
        <v>1</v>
      </c>
      <c r="F163" s="132" t="str">
        <f>VLOOKUP($A163,'Выгр Кат'!$A:$S,F$1,0)</f>
        <v>8450020029</v>
      </c>
      <c r="G163" s="44" t="s">
        <v>1442</v>
      </c>
      <c r="H163" s="29"/>
      <c r="I163" s="4" t="s">
        <v>2</v>
      </c>
      <c r="J163" s="95">
        <v>1</v>
      </c>
      <c r="K163" s="168">
        <f t="shared" si="82"/>
        <v>90</v>
      </c>
      <c r="L163" s="167">
        <f>VLOOKUP(K163,Наценка!$A$1:$B$8,2,1)</f>
        <v>2.150537634408602</v>
      </c>
      <c r="M163" s="148">
        <f t="shared" ref="M161:M163" si="99">W163*1.05</f>
        <v>199.5</v>
      </c>
      <c r="N163" s="173">
        <f t="shared" si="75"/>
        <v>199</v>
      </c>
      <c r="O163" s="134">
        <f>VLOOKUP($A163,'Выгр Кат'!$A:$S,O$1,0)</f>
        <v>90</v>
      </c>
      <c r="P163" s="134">
        <f>VLOOKUP($A163,'Выгр Кат'!$A:$S,P$1,0)</f>
        <v>199</v>
      </c>
      <c r="Q163" s="107">
        <f t="shared" si="76"/>
        <v>0</v>
      </c>
      <c r="R163" s="107">
        <f t="shared" si="77"/>
        <v>0</v>
      </c>
      <c r="S163" s="110">
        <f t="shared" si="78"/>
        <v>185.07</v>
      </c>
      <c r="T163" s="135">
        <f t="shared" si="79"/>
        <v>1.0563333333333333</v>
      </c>
      <c r="U163" s="135">
        <f t="shared" si="80"/>
        <v>2.5947368421052667E-2</v>
      </c>
      <c r="V163" s="135">
        <f t="shared" si="81"/>
        <v>1.1111111111111112</v>
      </c>
      <c r="W163" s="117">
        <f t="shared" si="96"/>
        <v>190</v>
      </c>
      <c r="X163" s="114">
        <f>IFERROR((VLOOKUP($A163,'ИЗ ГУГЛА'!$B:$G,X$1,0)+Z163)*Y163,VLOOKUP($A163,'ИЗ ГУГЛА'!$B:$G,X$1,0))</f>
        <v>190</v>
      </c>
      <c r="Y163" s="108">
        <v>1</v>
      </c>
      <c r="Z163" s="46"/>
      <c r="AA163" s="139">
        <v>190</v>
      </c>
      <c r="AB163" s="124" t="s">
        <v>2814</v>
      </c>
      <c r="AC163" s="114" t="str">
        <f>IFERROR((VLOOKUP($A163,'ИЗ ГУГЛА'!$B:$Z,AC$1,0)+AE163)*AD163,VLOOKUP($A163,'ИЗ ГУГЛА'!$B:$Z,AC$1,0))</f>
        <v/>
      </c>
      <c r="AD163" s="108">
        <v>1</v>
      </c>
      <c r="AE163" s="46"/>
      <c r="AF163" s="115"/>
    </row>
    <row r="164" spans="1:32" s="5" customFormat="1" ht="30" x14ac:dyDescent="0.25">
      <c r="A164" s="132">
        <v>159546</v>
      </c>
      <c r="B164" s="132">
        <f>VLOOKUP($A164,'Выгр Кат'!$A:$S,B$1,0)</f>
        <v>35481</v>
      </c>
      <c r="C164" s="133" t="str">
        <f>VLOOKUP($A164,'Выгр Кат'!$A:$S,C$1,0)</f>
        <v>Комплект резиновых заглушек пола кузова "БРТ" для ВАЗ 2101-2107</v>
      </c>
      <c r="D164" s="132" t="str">
        <f>VLOOKUP($A164,'Выгр Кат'!$A:$S,D$1,0)</f>
        <v>Y</v>
      </c>
      <c r="E164" s="132" t="str">
        <f>VLOOKUP($A164,'Выгр Кат'!$A:$S,E$1,0)</f>
        <v>1</v>
      </c>
      <c r="F164" s="132">
        <f>VLOOKUP($A164,'Выгр Кат'!$A:$S,F$1,0)</f>
        <v>0</v>
      </c>
      <c r="G164" s="45" t="s">
        <v>1821</v>
      </c>
      <c r="H164" s="29" t="s">
        <v>1821</v>
      </c>
      <c r="I164" s="4" t="s">
        <v>2</v>
      </c>
      <c r="J164" s="95">
        <v>1</v>
      </c>
      <c r="K164" s="168">
        <f t="shared" si="82"/>
        <v>200</v>
      </c>
      <c r="L164" s="167">
        <f>VLOOKUP(K164,Наценка!$A$1:$B$8,2,1)</f>
        <v>1.7204301075268817</v>
      </c>
      <c r="M164" s="172">
        <f t="shared" si="83"/>
        <v>344.08602150537632</v>
      </c>
      <c r="N164" s="173">
        <f t="shared" si="75"/>
        <v>349</v>
      </c>
      <c r="O164" s="134">
        <f>VLOOKUP($A164,'Выгр Кат'!$A:$S,O$1,0)</f>
        <v>200</v>
      </c>
      <c r="P164" s="134">
        <f>VLOOKUP($A164,'Выгр Кат'!$A:$S,P$1,0)</f>
        <v>349</v>
      </c>
      <c r="Q164" s="107">
        <f t="shared" si="76"/>
        <v>0</v>
      </c>
      <c r="R164" s="107">
        <f t="shared" si="77"/>
        <v>0</v>
      </c>
      <c r="S164" s="110">
        <f t="shared" si="78"/>
        <v>324.57</v>
      </c>
      <c r="T164" s="135">
        <f t="shared" si="79"/>
        <v>0.6228499999999999</v>
      </c>
      <c r="U164" s="135" t="str">
        <f t="shared" si="80"/>
        <v/>
      </c>
      <c r="V164" s="135" t="str">
        <f t="shared" si="81"/>
        <v/>
      </c>
      <c r="W164" s="45"/>
      <c r="X164" s="114" t="str">
        <f>IFERROR((VLOOKUP($A164,'ИЗ ГУГЛА'!$B:$G,X$1,0)+Z164)*Y164,VLOOKUP($A164,'ИЗ ГУГЛА'!$B:$G,X$1,0))</f>
        <v/>
      </c>
      <c r="Y164" s="108">
        <v>1</v>
      </c>
      <c r="Z164" s="46"/>
      <c r="AA164" s="45" t="s">
        <v>1821</v>
      </c>
      <c r="AB164" s="124"/>
      <c r="AC164" s="114" t="str">
        <f>IFERROR((VLOOKUP($A164,'ИЗ ГУГЛА'!$B:$Z,AC$1,0)+AE164)*AD164,VLOOKUP($A164,'ИЗ ГУГЛА'!$B:$Z,AC$1,0))</f>
        <v/>
      </c>
      <c r="AD164" s="108">
        <v>1</v>
      </c>
      <c r="AE164" s="46"/>
      <c r="AF164" s="115"/>
    </row>
    <row r="165" spans="1:32" s="5" customFormat="1" ht="30" x14ac:dyDescent="0.25">
      <c r="A165" s="132">
        <v>225397</v>
      </c>
      <c r="B165" s="132">
        <f>VLOOKUP($A165,'Выгр Кат'!$A:$S,B$1,0)</f>
        <v>20314</v>
      </c>
      <c r="C165" s="133" t="str">
        <f>VLOOKUP($A165,'Выгр Кат'!$A:$S,C$1,0)</f>
        <v>Шарнир нижнего рычага передней подвески в сборе "БРТ" ВАЗ 2108</v>
      </c>
      <c r="D165" s="132" t="str">
        <f>VLOOKUP($A165,'Выгр Кат'!$A:$S,D$1,0)</f>
        <v>Y</v>
      </c>
      <c r="E165" s="132" t="str">
        <f>VLOOKUP($A165,'Выгр Кат'!$A:$S,E$1,0)</f>
        <v>1</v>
      </c>
      <c r="F165" s="132" t="str">
        <f>VLOOKUP($A165,'Выгр Кат'!$A:$S,F$1,0)</f>
        <v>2108-2904040Р.</v>
      </c>
      <c r="G165" s="45" t="s">
        <v>344</v>
      </c>
      <c r="H165" s="29"/>
      <c r="I165" s="4" t="s">
        <v>2</v>
      </c>
      <c r="J165" s="95">
        <v>1</v>
      </c>
      <c r="K165" s="168">
        <f t="shared" si="82"/>
        <v>101</v>
      </c>
      <c r="L165" s="167">
        <f>VLOOKUP(K165,Наценка!$A$1:$B$8,2,1)</f>
        <v>1.7204301075268817</v>
      </c>
      <c r="M165" s="148">
        <f>W165*1.05</f>
        <v>208.95000000000002</v>
      </c>
      <c r="N165" s="173">
        <f t="shared" si="75"/>
        <v>209</v>
      </c>
      <c r="O165" s="134">
        <f>VLOOKUP($A165,'Выгр Кат'!$A:$S,O$1,0)</f>
        <v>101</v>
      </c>
      <c r="P165" s="134">
        <f>VLOOKUP($A165,'Выгр Кат'!$A:$S,P$1,0)</f>
        <v>179</v>
      </c>
      <c r="Q165" s="107">
        <f t="shared" si="76"/>
        <v>0</v>
      </c>
      <c r="R165" s="107">
        <f t="shared" si="77"/>
        <v>-30</v>
      </c>
      <c r="S165" s="110">
        <f t="shared" si="78"/>
        <v>194.36999999999998</v>
      </c>
      <c r="T165" s="135">
        <f t="shared" si="79"/>
        <v>0.92445544554455417</v>
      </c>
      <c r="U165" s="135">
        <f t="shared" si="80"/>
        <v>2.3266331658291579E-2</v>
      </c>
      <c r="V165" s="135">
        <f t="shared" si="81"/>
        <v>0.97029702970297027</v>
      </c>
      <c r="W165" s="117">
        <f t="shared" ref="W165:W174" si="100">AA165</f>
        <v>199</v>
      </c>
      <c r="X165" s="114">
        <f>IFERROR((VLOOKUP($A165,'ИЗ ГУГЛА'!$B:$G,X$1,0)+Z165)*Y165,VLOOKUP($A165,'ИЗ ГУГЛА'!$B:$G,X$1,0))</f>
        <v>199</v>
      </c>
      <c r="Y165" s="108">
        <v>1</v>
      </c>
      <c r="Z165" s="46"/>
      <c r="AA165" s="139">
        <v>199</v>
      </c>
      <c r="AB165" s="124" t="s">
        <v>2816</v>
      </c>
      <c r="AC165" s="114" t="str">
        <f>IFERROR((VLOOKUP($A165,'ИЗ ГУГЛА'!$B:$Z,AC$1,0)+AE165)*AD165,VLOOKUP($A165,'ИЗ ГУГЛА'!$B:$Z,AC$1,0))</f>
        <v/>
      </c>
      <c r="AD165" s="108">
        <v>1</v>
      </c>
      <c r="AE165" s="46"/>
      <c r="AF165" s="115"/>
    </row>
    <row r="166" spans="1:32" s="5" customFormat="1" ht="30" x14ac:dyDescent="0.25">
      <c r="A166" s="132">
        <v>139798</v>
      </c>
      <c r="B166" s="132">
        <f>VLOOKUP($A166,'Выгр Кат'!$A:$S,B$1,0)</f>
        <v>35461</v>
      </c>
      <c r="C166" s="133" t="str">
        <f>VLOOKUP($A166,'Выгр Кат'!$A:$S,C$1,0)</f>
        <v>Втулка "БРТ" штанги переднего стабилизатора для Шевроле Нива</v>
      </c>
      <c r="D166" s="132" t="str">
        <f>VLOOKUP($A166,'Выгр Кат'!$A:$S,D$1,0)</f>
        <v>Y</v>
      </c>
      <c r="E166" s="132" t="str">
        <f>VLOOKUP($A166,'Выгр Кат'!$A:$S,E$1,0)</f>
        <v>1</v>
      </c>
      <c r="F166" s="132" t="str">
        <f>VLOOKUP($A166,'Выгр Кат'!$A:$S,F$1,0)</f>
        <v>2123-2906046Р</v>
      </c>
      <c r="G166" s="44" t="s">
        <v>506</v>
      </c>
      <c r="H166" s="29"/>
      <c r="I166" s="4" t="s">
        <v>2</v>
      </c>
      <c r="J166" s="95">
        <v>1</v>
      </c>
      <c r="K166" s="168">
        <f t="shared" si="82"/>
        <v>103</v>
      </c>
      <c r="L166" s="167">
        <f>VLOOKUP(K166,Наценка!$A$1:$B$8,2,1)</f>
        <v>1.7204301075268817</v>
      </c>
      <c r="M166" s="149">
        <f t="shared" ref="M165:M174" si="101">W166*1.07</f>
        <v>159.43</v>
      </c>
      <c r="N166" s="173">
        <f t="shared" si="75"/>
        <v>159</v>
      </c>
      <c r="O166" s="134">
        <f>VLOOKUP($A166,'Выгр Кат'!$A:$S,O$1,0)</f>
        <v>103</v>
      </c>
      <c r="P166" s="134">
        <f>VLOOKUP($A166,'Выгр Кат'!$A:$S,P$1,0)</f>
        <v>179</v>
      </c>
      <c r="Q166" s="107">
        <f t="shared" si="76"/>
        <v>0</v>
      </c>
      <c r="R166" s="107">
        <f t="shared" si="77"/>
        <v>20</v>
      </c>
      <c r="S166" s="110">
        <f t="shared" si="78"/>
        <v>147.86999999999998</v>
      </c>
      <c r="T166" s="135">
        <f t="shared" si="79"/>
        <v>0.4356310679611648</v>
      </c>
      <c r="U166" s="135">
        <f t="shared" si="80"/>
        <v>7.5838926174498248E-3</v>
      </c>
      <c r="V166" s="135">
        <f t="shared" si="81"/>
        <v>0.44660194174757284</v>
      </c>
      <c r="W166" s="117">
        <f t="shared" si="100"/>
        <v>149</v>
      </c>
      <c r="X166" s="114">
        <f>IFERROR((VLOOKUP($A166,'ИЗ ГУГЛА'!$B:$G,X$1,0)+Z166)*Y166,VLOOKUP($A166,'ИЗ ГУГЛА'!$B:$G,X$1,0))</f>
        <v>149</v>
      </c>
      <c r="Y166" s="108">
        <v>1</v>
      </c>
      <c r="Z166" s="46"/>
      <c r="AA166" s="139">
        <v>149</v>
      </c>
      <c r="AB166" s="124" t="s">
        <v>2812</v>
      </c>
      <c r="AC166" s="114" t="str">
        <f>IFERROR((VLOOKUP($A166,'ИЗ ГУГЛА'!$B:$Z,AC$1,0)+AE166)*AD166,VLOOKUP($A166,'ИЗ ГУГЛА'!$B:$Z,AC$1,0))</f>
        <v/>
      </c>
      <c r="AD166" s="108">
        <v>1</v>
      </c>
      <c r="AE166" s="46"/>
      <c r="AF166" s="115"/>
    </row>
    <row r="167" spans="1:32" s="5" customFormat="1" ht="45" x14ac:dyDescent="0.25">
      <c r="A167" s="132">
        <v>225916</v>
      </c>
      <c r="B167" s="132">
        <f>VLOOKUP($A167,'Выгр Кат'!$A:$S,B$1,0)</f>
        <v>35336</v>
      </c>
      <c r="C167" s="133" t="str">
        <f>VLOOKUP($A167,'Выгр Кат'!$A:$S,C$1,0)</f>
        <v>Шланг "БРТ" вентиляции картера от крышки сапуна на карбюратор для Лада Нива 4х4</v>
      </c>
      <c r="D167" s="132" t="str">
        <f>VLOOKUP($A167,'Выгр Кат'!$A:$S,D$1,0)</f>
        <v>Y</v>
      </c>
      <c r="E167" s="132" t="str">
        <f>VLOOKUP($A167,'Выгр Кат'!$A:$S,E$1,0)</f>
        <v>1</v>
      </c>
      <c r="F167" s="132" t="str">
        <f>VLOOKUP($A167,'Выгр Кат'!$A:$S,F$1,0)</f>
        <v>2121-1014240</v>
      </c>
      <c r="G167" s="44" t="s">
        <v>438</v>
      </c>
      <c r="H167" s="29"/>
      <c r="I167" s="4" t="s">
        <v>2</v>
      </c>
      <c r="J167" s="95">
        <v>1</v>
      </c>
      <c r="K167" s="168">
        <f t="shared" si="82"/>
        <v>105</v>
      </c>
      <c r="L167" s="167">
        <f>VLOOKUP(K167,Наценка!$A$1:$B$8,2,1)</f>
        <v>1.7204301075268817</v>
      </c>
      <c r="M167" s="148">
        <f t="shared" ref="M167:M168" si="102">W167*1.05</f>
        <v>199.5</v>
      </c>
      <c r="N167" s="173">
        <f t="shared" si="75"/>
        <v>199</v>
      </c>
      <c r="O167" s="134">
        <f>VLOOKUP($A167,'Выгр Кат'!$A:$S,O$1,0)</f>
        <v>105</v>
      </c>
      <c r="P167" s="134">
        <f>VLOOKUP($A167,'Выгр Кат'!$A:$S,P$1,0)</f>
        <v>189</v>
      </c>
      <c r="Q167" s="107">
        <f t="shared" si="76"/>
        <v>0</v>
      </c>
      <c r="R167" s="107">
        <f t="shared" si="77"/>
        <v>-10</v>
      </c>
      <c r="S167" s="110">
        <f t="shared" si="78"/>
        <v>185.07</v>
      </c>
      <c r="T167" s="135">
        <f t="shared" si="79"/>
        <v>0.76257142857142846</v>
      </c>
      <c r="U167" s="135">
        <f t="shared" si="80"/>
        <v>2.5947368421052667E-2</v>
      </c>
      <c r="V167" s="135">
        <f t="shared" si="81"/>
        <v>0.80952380952380953</v>
      </c>
      <c r="W167" s="117">
        <f t="shared" si="100"/>
        <v>190</v>
      </c>
      <c r="X167" s="114">
        <f>IFERROR((VLOOKUP($A167,'ИЗ ГУГЛА'!$B:$G,X$1,0)+Z167)*Y167,VLOOKUP($A167,'ИЗ ГУГЛА'!$B:$G,X$1,0))</f>
        <v>190</v>
      </c>
      <c r="Y167" s="108">
        <v>1</v>
      </c>
      <c r="Z167" s="46"/>
      <c r="AA167" s="139">
        <v>190</v>
      </c>
      <c r="AB167" s="124" t="s">
        <v>2815</v>
      </c>
      <c r="AC167" s="114" t="str">
        <f>IFERROR((VLOOKUP($A167,'ИЗ ГУГЛА'!$B:$Z,AC$1,0)+AE167)*AD167,VLOOKUP($A167,'ИЗ ГУГЛА'!$B:$Z,AC$1,0))</f>
        <v/>
      </c>
      <c r="AD167" s="108">
        <v>1</v>
      </c>
      <c r="AE167" s="46"/>
      <c r="AF167" s="115"/>
    </row>
    <row r="168" spans="1:32" s="5" customFormat="1" ht="30.75" thickBot="1" x14ac:dyDescent="0.3">
      <c r="A168" s="132">
        <v>186557</v>
      </c>
      <c r="B168" s="132">
        <f>VLOOKUP($A168,'Выгр Кат'!$A:$S,B$1,0)</f>
        <v>20374</v>
      </c>
      <c r="C168" s="133" t="str">
        <f>VLOOKUP($A168,'Выгр Кат'!$A:$S,C$1,0)</f>
        <v>Патрубок "БРТ" отопителя (печки) отводящий (изогнутый) для ВАЗ 2111</v>
      </c>
      <c r="D168" s="132" t="str">
        <f>VLOOKUP($A168,'Выгр Кат'!$A:$S,D$1,0)</f>
        <v>Y</v>
      </c>
      <c r="E168" s="132" t="str">
        <f>VLOOKUP($A168,'Выгр Кат'!$A:$S,E$1,0)</f>
        <v>1</v>
      </c>
      <c r="F168" s="132" t="str">
        <f>VLOOKUP($A168,'Выгр Кат'!$A:$S,F$1,0)</f>
        <v>2111-8101208</v>
      </c>
      <c r="G168" s="45" t="s">
        <v>417</v>
      </c>
      <c r="H168" s="29"/>
      <c r="I168" s="4" t="s">
        <v>2</v>
      </c>
      <c r="J168" s="95">
        <v>1</v>
      </c>
      <c r="K168" s="168">
        <f t="shared" si="82"/>
        <v>106</v>
      </c>
      <c r="L168" s="167">
        <f>VLOOKUP(K168,Наценка!$A$1:$B$8,2,1)</f>
        <v>1.7204301075268817</v>
      </c>
      <c r="M168" s="147">
        <f>W168*1.04</f>
        <v>279.76</v>
      </c>
      <c r="N168" s="173">
        <f t="shared" si="75"/>
        <v>279</v>
      </c>
      <c r="O168" s="134">
        <f>VLOOKUP($A168,'Выгр Кат'!$A:$S,O$1,0)</f>
        <v>106</v>
      </c>
      <c r="P168" s="134">
        <f>VLOOKUP($A168,'Выгр Кат'!$A:$S,P$1,0)</f>
        <v>279</v>
      </c>
      <c r="Q168" s="107">
        <f t="shared" si="76"/>
        <v>0</v>
      </c>
      <c r="R168" s="107">
        <f t="shared" si="77"/>
        <v>0</v>
      </c>
      <c r="S168" s="110">
        <f t="shared" si="78"/>
        <v>259.46999999999997</v>
      </c>
      <c r="T168" s="135">
        <f t="shared" si="79"/>
        <v>1.4478301886792448</v>
      </c>
      <c r="U168" s="135">
        <f t="shared" si="80"/>
        <v>3.5427509293680409E-2</v>
      </c>
      <c r="V168" s="135">
        <f t="shared" si="81"/>
        <v>1.5377358490566038</v>
      </c>
      <c r="W168" s="117">
        <f t="shared" si="100"/>
        <v>269</v>
      </c>
      <c r="X168" s="114">
        <f>IFERROR((VLOOKUP($A168,'ИЗ ГУГЛА'!$B:$G,X$1,0)+Z168)*Y168,VLOOKUP($A168,'ИЗ ГУГЛА'!$B:$G,X$1,0))</f>
        <v>269</v>
      </c>
      <c r="Y168" s="108">
        <v>1</v>
      </c>
      <c r="Z168" s="46"/>
      <c r="AA168" s="136">
        <v>269</v>
      </c>
      <c r="AB168" s="124" t="s">
        <v>2661</v>
      </c>
      <c r="AC168" s="114" t="str">
        <f>IFERROR((VLOOKUP($A168,'ИЗ ГУГЛА'!$B:$Z,AC$1,0)+AE168)*AD168,VLOOKUP($A168,'ИЗ ГУГЛА'!$B:$Z,AC$1,0))</f>
        <v/>
      </c>
      <c r="AD168" s="108">
        <v>1</v>
      </c>
      <c r="AE168" s="46"/>
      <c r="AF168" s="115"/>
    </row>
    <row r="169" spans="1:32" s="5" customFormat="1" ht="30.75" thickTop="1" x14ac:dyDescent="0.25">
      <c r="A169" s="132">
        <v>186568</v>
      </c>
      <c r="B169" s="132">
        <f>VLOOKUP($A169,'Выгр Кат'!$A:$S,B$1,0)</f>
        <v>35377</v>
      </c>
      <c r="C169" s="133" t="str">
        <f>VLOOKUP($A169,'Выгр Кат'!$A:$S,C$1,0)</f>
        <v>Патрубок "БРТ" отопителя, подводящий для Лада Веста</v>
      </c>
      <c r="D169" s="132" t="str">
        <f>VLOOKUP($A169,'Выгр Кат'!$A:$S,D$1,0)</f>
        <v>Y</v>
      </c>
      <c r="E169" s="132" t="str">
        <f>VLOOKUP($A169,'Выгр Кат'!$A:$S,E$1,0)</f>
        <v>1</v>
      </c>
      <c r="F169" s="132" t="str">
        <f>VLOOKUP($A169,'Выгр Кат'!$A:$S,F$1,0)</f>
        <v>2180-8101200</v>
      </c>
      <c r="G169" s="44" t="s">
        <v>867</v>
      </c>
      <c r="H169" s="29"/>
      <c r="I169" s="4" t="s">
        <v>2</v>
      </c>
      <c r="J169" s="95">
        <v>1</v>
      </c>
      <c r="K169" s="168">
        <f t="shared" si="82"/>
        <v>105</v>
      </c>
      <c r="L169" s="167">
        <f>VLOOKUP(K169,Наценка!$A$1:$B$8,2,1)</f>
        <v>1.7204301075268817</v>
      </c>
      <c r="M169" s="148">
        <f t="shared" ref="M167:M174" si="103">W169*1.06</f>
        <v>307.40000000000003</v>
      </c>
      <c r="N169" s="173">
        <f t="shared" si="75"/>
        <v>309</v>
      </c>
      <c r="O169" s="134">
        <f>VLOOKUP($A169,'Выгр Кат'!$A:$S,O$1,0)</f>
        <v>105</v>
      </c>
      <c r="P169" s="134">
        <f>VLOOKUP($A169,'Выгр Кат'!$A:$S,P$1,0)</f>
        <v>189</v>
      </c>
      <c r="Q169" s="107">
        <f t="shared" si="76"/>
        <v>0</v>
      </c>
      <c r="R169" s="107">
        <f t="shared" si="77"/>
        <v>-120</v>
      </c>
      <c r="S169" s="110">
        <f t="shared" si="78"/>
        <v>287.37</v>
      </c>
      <c r="T169" s="135">
        <f t="shared" si="79"/>
        <v>1.7368571428571431</v>
      </c>
      <c r="U169" s="135">
        <f t="shared" si="80"/>
        <v>9.0689655172413643E-3</v>
      </c>
      <c r="V169" s="135">
        <f t="shared" si="81"/>
        <v>1.7619047619047619</v>
      </c>
      <c r="W169" s="117">
        <f t="shared" si="100"/>
        <v>290</v>
      </c>
      <c r="X169" s="114">
        <f>IFERROR((VLOOKUP($A169,'ИЗ ГУГЛА'!$B:$G,X$1,0)+Z169)*Y169,VLOOKUP($A169,'ИЗ ГУГЛА'!$B:$G,X$1,0))</f>
        <v>290</v>
      </c>
      <c r="Y169" s="108">
        <v>1</v>
      </c>
      <c r="Z169" s="46"/>
      <c r="AA169" s="139">
        <v>290</v>
      </c>
      <c r="AB169" s="124" t="s">
        <v>2817</v>
      </c>
      <c r="AC169" s="114" t="str">
        <f>IFERROR((VLOOKUP($A169,'ИЗ ГУГЛА'!$B:$Z,AC$1,0)+AE169)*AD169,VLOOKUP($A169,'ИЗ ГУГЛА'!$B:$Z,AC$1,0))</f>
        <v/>
      </c>
      <c r="AD169" s="108">
        <v>1</v>
      </c>
      <c r="AE169" s="46"/>
      <c r="AF169" s="115"/>
    </row>
    <row r="170" spans="1:32" s="5" customFormat="1" ht="30" x14ac:dyDescent="0.25">
      <c r="A170" s="132">
        <v>186588</v>
      </c>
      <c r="B170" s="132">
        <f>VLOOKUP($A170,'Выгр Кат'!$A:$S,B$1,0)</f>
        <v>35344</v>
      </c>
      <c r="C170" s="133" t="str">
        <f>VLOOKUP($A170,'Выгр Кат'!$A:$S,C$1,0)</f>
        <v>Патрубок "БРТ" расширительного бачка для Лада Веста</v>
      </c>
      <c r="D170" s="132" t="str">
        <f>VLOOKUP($A170,'Выгр Кат'!$A:$S,D$1,0)</f>
        <v>N</v>
      </c>
      <c r="E170" s="132" t="str">
        <f>VLOOKUP($A170,'Выгр Кат'!$A:$S,E$1,0)</f>
        <v>1</v>
      </c>
      <c r="F170" s="132" t="str">
        <f>VLOOKUP($A170,'Выгр Кат'!$A:$S,F$1,0)</f>
        <v>2180-1303080</v>
      </c>
      <c r="G170" s="44" t="s">
        <v>840</v>
      </c>
      <c r="H170" s="29"/>
      <c r="I170" s="4" t="s">
        <v>2</v>
      </c>
      <c r="J170" s="95">
        <v>1</v>
      </c>
      <c r="K170" s="168">
        <f t="shared" si="82"/>
        <v>130</v>
      </c>
      <c r="L170" s="167">
        <f>VLOOKUP(K170,Наценка!$A$1:$B$8,2,1)</f>
        <v>1.7204301075268817</v>
      </c>
      <c r="M170" s="148">
        <f t="shared" ref="M170:M174" si="104">W170*1.05</f>
        <v>199.5</v>
      </c>
      <c r="N170" s="173">
        <f t="shared" si="75"/>
        <v>199</v>
      </c>
      <c r="O170" s="134">
        <f>VLOOKUP($A170,'Выгр Кат'!$A:$S,O$1,0)</f>
        <v>130</v>
      </c>
      <c r="P170" s="134">
        <f>VLOOKUP($A170,'Выгр Кат'!$A:$S,P$1,0)</f>
        <v>229</v>
      </c>
      <c r="Q170" s="107">
        <f t="shared" si="76"/>
        <v>0</v>
      </c>
      <c r="R170" s="107">
        <f t="shared" si="77"/>
        <v>30</v>
      </c>
      <c r="S170" s="110">
        <f t="shared" si="78"/>
        <v>185.07</v>
      </c>
      <c r="T170" s="135">
        <f t="shared" si="79"/>
        <v>0.4236153846153845</v>
      </c>
      <c r="U170" s="135">
        <f t="shared" si="80"/>
        <v>2.5947368421052667E-2</v>
      </c>
      <c r="V170" s="135">
        <f t="shared" si="81"/>
        <v>0.46153846153846145</v>
      </c>
      <c r="W170" s="117">
        <f t="shared" si="100"/>
        <v>190</v>
      </c>
      <c r="X170" s="114">
        <f>IFERROR((VLOOKUP($A170,'ИЗ ГУГЛА'!$B:$G,X$1,0)+Z170)*Y170,VLOOKUP($A170,'ИЗ ГУГЛА'!$B:$G,X$1,0))</f>
        <v>190</v>
      </c>
      <c r="Y170" s="108">
        <v>1</v>
      </c>
      <c r="Z170" s="46"/>
      <c r="AA170" s="139">
        <v>190</v>
      </c>
      <c r="AB170" s="124" t="s">
        <v>2818</v>
      </c>
      <c r="AC170" s="114" t="str">
        <f>IFERROR((VLOOKUP($A170,'ИЗ ГУГЛА'!$B:$Z,AC$1,0)+AE170)*AD170,VLOOKUP($A170,'ИЗ ГУГЛА'!$B:$Z,AC$1,0))</f>
        <v/>
      </c>
      <c r="AD170" s="108">
        <v>1</v>
      </c>
      <c r="AE170" s="46"/>
      <c r="AF170" s="115"/>
    </row>
    <row r="171" spans="1:32" s="5" customFormat="1" ht="30" x14ac:dyDescent="0.25">
      <c r="A171" s="132">
        <v>186668</v>
      </c>
      <c r="B171" s="132">
        <f>VLOOKUP($A171,'Выгр Кат'!$A:$S,B$1,0)</f>
        <v>20493</v>
      </c>
      <c r="C171" s="133" t="str">
        <f>VLOOKUP($A171,'Выгр Кат'!$A:$S,C$1,0)</f>
        <v>Патрубок "БРТ" расширительного бачка для Лада Веста</v>
      </c>
      <c r="D171" s="132" t="str">
        <f>VLOOKUP($A171,'Выгр Кат'!$A:$S,D$1,0)</f>
        <v>Y</v>
      </c>
      <c r="E171" s="132" t="str">
        <f>VLOOKUP($A171,'Выгр Кат'!$A:$S,E$1,0)</f>
        <v>1</v>
      </c>
      <c r="F171" s="132" t="str">
        <f>VLOOKUP($A171,'Выгр Кат'!$A:$S,F$1,0)</f>
        <v>2180-1303080Р</v>
      </c>
      <c r="G171" s="45" t="s">
        <v>558</v>
      </c>
      <c r="H171" s="29"/>
      <c r="I171" s="4" t="s">
        <v>2</v>
      </c>
      <c r="J171" s="95">
        <v>1</v>
      </c>
      <c r="K171" s="168">
        <f t="shared" si="82"/>
        <v>130</v>
      </c>
      <c r="L171" s="167">
        <f>VLOOKUP(K171,Наценка!$A$1:$B$8,2,1)</f>
        <v>1.7204301075268817</v>
      </c>
      <c r="M171" s="148">
        <f t="shared" si="104"/>
        <v>199.5</v>
      </c>
      <c r="N171" s="173">
        <f t="shared" si="75"/>
        <v>199</v>
      </c>
      <c r="O171" s="134">
        <f>VLOOKUP($A171,'Выгр Кат'!$A:$S,O$1,0)</f>
        <v>130</v>
      </c>
      <c r="P171" s="134">
        <f>VLOOKUP($A171,'Выгр Кат'!$A:$S,P$1,0)</f>
        <v>229</v>
      </c>
      <c r="Q171" s="107">
        <f t="shared" si="76"/>
        <v>0</v>
      </c>
      <c r="R171" s="107">
        <f t="shared" si="77"/>
        <v>30</v>
      </c>
      <c r="S171" s="110">
        <f t="shared" si="78"/>
        <v>185.07</v>
      </c>
      <c r="T171" s="135">
        <f t="shared" si="79"/>
        <v>0.4236153846153845</v>
      </c>
      <c r="U171" s="135">
        <f t="shared" si="80"/>
        <v>2.5947368421052667E-2</v>
      </c>
      <c r="V171" s="135">
        <f t="shared" si="81"/>
        <v>0.46153846153846145</v>
      </c>
      <c r="W171" s="117">
        <f t="shared" si="100"/>
        <v>190</v>
      </c>
      <c r="X171" s="114">
        <f>IFERROR((VLOOKUP($A171,'ИЗ ГУГЛА'!$B:$G,X$1,0)+Z171)*Y171,VLOOKUP($A171,'ИЗ ГУГЛА'!$B:$G,X$1,0))</f>
        <v>190</v>
      </c>
      <c r="Y171" s="108">
        <v>1</v>
      </c>
      <c r="Z171" s="46"/>
      <c r="AA171" s="139">
        <v>190</v>
      </c>
      <c r="AB171" s="124" t="s">
        <v>2818</v>
      </c>
      <c r="AC171" s="114" t="str">
        <f>IFERROR((VLOOKUP($A171,'ИЗ ГУГЛА'!$B:$Z,AC$1,0)+AE171)*AD171,VLOOKUP($A171,'ИЗ ГУГЛА'!$B:$Z,AC$1,0))</f>
        <v/>
      </c>
      <c r="AD171" s="108">
        <v>1</v>
      </c>
      <c r="AE171" s="46"/>
      <c r="AF171" s="115"/>
    </row>
    <row r="172" spans="1:32" s="5" customFormat="1" ht="45" x14ac:dyDescent="0.25">
      <c r="A172" s="132">
        <v>204301</v>
      </c>
      <c r="B172" s="132">
        <f>VLOOKUP($A172,'Выгр Кат'!$A:$S,B$1,0)</f>
        <v>20294</v>
      </c>
      <c r="C172" s="133" t="str">
        <f>VLOOKUP($A172,'Выгр Кат'!$A:$S,C$1,0)</f>
        <v>Ремень крепления запасного колеса и домкрата (правый) в сборе "БРТ" для Лада Нива 4x4</v>
      </c>
      <c r="D172" s="132" t="str">
        <f>VLOOKUP($A172,'Выгр Кат'!$A:$S,D$1,0)</f>
        <v>Y</v>
      </c>
      <c r="E172" s="132" t="str">
        <f>VLOOKUP($A172,'Выгр Кат'!$A:$S,E$1,0)</f>
        <v>1</v>
      </c>
      <c r="F172" s="132" t="str">
        <f>VLOOKUP($A172,'Выгр Кат'!$A:$S,F$1,0)</f>
        <v>2121-3105010Р</v>
      </c>
      <c r="G172" s="45" t="s">
        <v>1821</v>
      </c>
      <c r="H172" s="29" t="s">
        <v>1821</v>
      </c>
      <c r="I172" s="4" t="s">
        <v>2</v>
      </c>
      <c r="J172" s="95">
        <v>1</v>
      </c>
      <c r="K172" s="168">
        <f t="shared" si="82"/>
        <v>115</v>
      </c>
      <c r="L172" s="167">
        <f>VLOOKUP(K172,Наценка!$A$1:$B$8,2,1)</f>
        <v>1.7204301075268817</v>
      </c>
      <c r="M172" s="148">
        <f t="shared" si="104"/>
        <v>208.95000000000002</v>
      </c>
      <c r="N172" s="173">
        <f t="shared" si="75"/>
        <v>209</v>
      </c>
      <c r="O172" s="134">
        <f>VLOOKUP($A172,'Выгр Кат'!$A:$S,O$1,0)</f>
        <v>115</v>
      </c>
      <c r="P172" s="134">
        <f>VLOOKUP($A172,'Выгр Кат'!$A:$S,P$1,0)</f>
        <v>199</v>
      </c>
      <c r="Q172" s="107">
        <f t="shared" si="76"/>
        <v>0</v>
      </c>
      <c r="R172" s="107">
        <f t="shared" si="77"/>
        <v>-10</v>
      </c>
      <c r="S172" s="110">
        <f t="shared" si="78"/>
        <v>194.36999999999998</v>
      </c>
      <c r="T172" s="135">
        <f t="shared" si="79"/>
        <v>0.69017391304347808</v>
      </c>
      <c r="U172" s="135">
        <f t="shared" si="80"/>
        <v>2.3266331658291579E-2</v>
      </c>
      <c r="V172" s="135">
        <f t="shared" si="81"/>
        <v>0.73043478260869565</v>
      </c>
      <c r="W172" s="117">
        <f t="shared" si="100"/>
        <v>199</v>
      </c>
      <c r="X172" s="114">
        <f>IFERROR((VLOOKUP($A172,'ИЗ ГУГЛА'!$B:$G,X$1,0)+Z172)*Y172,VLOOKUP($A172,'ИЗ ГУГЛА'!$B:$G,X$1,0))</f>
        <v>199</v>
      </c>
      <c r="Y172" s="108">
        <v>1</v>
      </c>
      <c r="Z172" s="46"/>
      <c r="AA172" s="139">
        <v>199</v>
      </c>
      <c r="AB172" s="124" t="s">
        <v>2647</v>
      </c>
      <c r="AC172" s="114" t="str">
        <f>IFERROR((VLOOKUP($A172,'ИЗ ГУГЛА'!$B:$Z,AC$1,0)+AE172)*AD172,VLOOKUP($A172,'ИЗ ГУГЛА'!$B:$Z,AC$1,0))</f>
        <v/>
      </c>
      <c r="AD172" s="108">
        <v>1</v>
      </c>
      <c r="AE172" s="46"/>
      <c r="AF172" s="115"/>
    </row>
    <row r="173" spans="1:32" s="5" customFormat="1" ht="45" x14ac:dyDescent="0.25">
      <c r="A173" s="132">
        <v>225985</v>
      </c>
      <c r="B173" s="132">
        <f>VLOOKUP($A173,'Выгр Кат'!$A:$S,B$1,0)</f>
        <v>36963</v>
      </c>
      <c r="C173" s="133" t="str">
        <f>VLOOKUP($A173,'Выгр Кат'!$A:$S,C$1,0)</f>
        <v>Шланг пароотводящий "БРТ" расширительного бачка для Шевроле Нива</v>
      </c>
      <c r="D173" s="132" t="str">
        <f>VLOOKUP($A173,'Выгр Кат'!$A:$S,D$1,0)</f>
        <v>Y</v>
      </c>
      <c r="E173" s="132" t="str">
        <f>VLOOKUP($A173,'Выгр Кат'!$A:$S,E$1,0)</f>
        <v>1</v>
      </c>
      <c r="F173" s="132" t="str">
        <f>VLOOKUP($A173,'Выгр Кат'!$A:$S,F$1,0)</f>
        <v>2123-1303095Р</v>
      </c>
      <c r="G173" s="44" t="s">
        <v>492</v>
      </c>
      <c r="H173" s="29"/>
      <c r="I173" s="7" t="s">
        <v>2</v>
      </c>
      <c r="J173" s="95">
        <v>1</v>
      </c>
      <c r="K173" s="168">
        <f t="shared" si="82"/>
        <v>110</v>
      </c>
      <c r="L173" s="167">
        <f>VLOOKUP(K173,Наценка!$A$1:$B$8,2,1)</f>
        <v>1.7204301075268817</v>
      </c>
      <c r="M173" s="147">
        <f t="shared" ref="M173:M174" si="105">W173*1.04</f>
        <v>238.16</v>
      </c>
      <c r="N173" s="173">
        <f t="shared" si="75"/>
        <v>239</v>
      </c>
      <c r="O173" s="134">
        <f>VLOOKUP($A173,'Выгр Кат'!$A:$S,O$1,0)</f>
        <v>110</v>
      </c>
      <c r="P173" s="134">
        <f>VLOOKUP($A173,'Выгр Кат'!$A:$S,P$1,0)</f>
        <v>189</v>
      </c>
      <c r="Q173" s="107">
        <f t="shared" si="76"/>
        <v>0</v>
      </c>
      <c r="R173" s="107">
        <f t="shared" si="77"/>
        <v>-50</v>
      </c>
      <c r="S173" s="110">
        <f t="shared" si="78"/>
        <v>222.26999999999998</v>
      </c>
      <c r="T173" s="135">
        <f t="shared" si="79"/>
        <v>1.0206363636363633</v>
      </c>
      <c r="U173" s="135">
        <f t="shared" si="80"/>
        <v>2.9388646288209686E-2</v>
      </c>
      <c r="V173" s="135">
        <f t="shared" si="81"/>
        <v>1.081818181818182</v>
      </c>
      <c r="W173" s="117">
        <f t="shared" si="100"/>
        <v>229</v>
      </c>
      <c r="X173" s="114">
        <f>IFERROR((VLOOKUP($A173,'ИЗ ГУГЛА'!$B:$G,X$1,0)+Z173)*Y173,VLOOKUP($A173,'ИЗ ГУГЛА'!$B:$G,X$1,0))</f>
        <v>229</v>
      </c>
      <c r="Y173" s="108">
        <v>1</v>
      </c>
      <c r="Z173" s="46"/>
      <c r="AA173" s="139">
        <v>229</v>
      </c>
      <c r="AB173" s="124" t="s">
        <v>2819</v>
      </c>
      <c r="AC173" s="114" t="str">
        <f>IFERROR((VLOOKUP($A173,'ИЗ ГУГЛА'!$B:$Z,AC$1,0)+AE173)*AD173,VLOOKUP($A173,'ИЗ ГУГЛА'!$B:$Z,AC$1,0))</f>
        <v/>
      </c>
      <c r="AD173" s="108">
        <v>1</v>
      </c>
      <c r="AE173" s="46"/>
      <c r="AF173" s="115"/>
    </row>
    <row r="174" spans="1:32" s="5" customFormat="1" ht="30.75" thickBot="1" x14ac:dyDescent="0.3">
      <c r="A174" s="132">
        <v>202111</v>
      </c>
      <c r="B174" s="132">
        <f>VLOOKUP($A174,'Выгр Кат'!$A:$S,B$1,0)</f>
        <v>35449</v>
      </c>
      <c r="C174" s="133" t="str">
        <f>VLOOKUP($A174,'Выгр Кат'!$A:$S,C$1,0)</f>
        <v>Пыльник "БРТ" переднего шарнира КПП для Шевроле Нива</v>
      </c>
      <c r="D174" s="132" t="str">
        <f>VLOOKUP($A174,'Выгр Кат'!$A:$S,D$1,0)</f>
        <v>Y</v>
      </c>
      <c r="E174" s="132" t="str">
        <f>VLOOKUP($A174,'Выгр Кат'!$A:$S,E$1,0)</f>
        <v>1</v>
      </c>
      <c r="F174" s="132" t="str">
        <f>VLOOKUP($A174,'Выгр Кат'!$A:$S,F$1,0)</f>
        <v>2123-1703225Р</v>
      </c>
      <c r="G174" s="44" t="s">
        <v>499</v>
      </c>
      <c r="H174" s="29"/>
      <c r="I174" s="4" t="s">
        <v>2</v>
      </c>
      <c r="J174" s="95">
        <v>1</v>
      </c>
      <c r="K174" s="168">
        <f t="shared" si="82"/>
        <v>105</v>
      </c>
      <c r="L174" s="167">
        <f>VLOOKUP(K174,Наценка!$A$1:$B$8,2,1)</f>
        <v>1.7204301075268817</v>
      </c>
      <c r="M174" s="147">
        <f t="shared" si="105"/>
        <v>238.16</v>
      </c>
      <c r="N174" s="173">
        <f t="shared" si="75"/>
        <v>239</v>
      </c>
      <c r="O174" s="134">
        <f>VLOOKUP($A174,'Выгр Кат'!$A:$S,O$1,0)</f>
        <v>105</v>
      </c>
      <c r="P174" s="134">
        <f>VLOOKUP($A174,'Выгр Кат'!$A:$S,P$1,0)</f>
        <v>189</v>
      </c>
      <c r="Q174" s="107">
        <f t="shared" si="76"/>
        <v>0</v>
      </c>
      <c r="R174" s="107">
        <f t="shared" si="77"/>
        <v>-50</v>
      </c>
      <c r="S174" s="110">
        <f t="shared" si="78"/>
        <v>222.26999999999998</v>
      </c>
      <c r="T174" s="135">
        <f t="shared" si="79"/>
        <v>1.1168571428571425</v>
      </c>
      <c r="U174" s="135">
        <f t="shared" si="80"/>
        <v>2.9388646288209686E-2</v>
      </c>
      <c r="V174" s="135">
        <f t="shared" si="81"/>
        <v>1.1809523809523808</v>
      </c>
      <c r="W174" s="117">
        <f t="shared" si="100"/>
        <v>229</v>
      </c>
      <c r="X174" s="114">
        <f>IFERROR((VLOOKUP($A174,'ИЗ ГУГЛА'!$B:$G,X$1,0)+Z174)*Y174,VLOOKUP($A174,'ИЗ ГУГЛА'!$B:$G,X$1,0))</f>
        <v>229</v>
      </c>
      <c r="Y174" s="108">
        <v>1</v>
      </c>
      <c r="Z174" s="46"/>
      <c r="AA174" s="138">
        <v>229</v>
      </c>
      <c r="AB174" s="124" t="s">
        <v>2820</v>
      </c>
      <c r="AC174" s="114" t="str">
        <f>IFERROR((VLOOKUP($A174,'ИЗ ГУГЛА'!$B:$Z,AC$1,0)+AE174)*AD174,VLOOKUP($A174,'ИЗ ГУГЛА'!$B:$Z,AC$1,0))</f>
        <v/>
      </c>
      <c r="AD174" s="108">
        <v>1</v>
      </c>
      <c r="AE174" s="46"/>
      <c r="AF174" s="115"/>
    </row>
    <row r="175" spans="1:32" s="5" customFormat="1" ht="30.75" thickTop="1" x14ac:dyDescent="0.25">
      <c r="A175" s="132">
        <v>202110</v>
      </c>
      <c r="B175" s="132">
        <f>VLOOKUP($A175,'Выгр Кат'!$A:$S,B$1,0)</f>
        <v>35566</v>
      </c>
      <c r="C175" s="133" t="str">
        <f>VLOOKUP($A175,'Выгр Кат'!$A:$S,C$1,0)</f>
        <v>Пыльник "БРТ" кулисы КПП для Лада Гранта</v>
      </c>
      <c r="D175" s="132" t="str">
        <f>VLOOKUP($A175,'Выгр Кат'!$A:$S,D$1,0)</f>
        <v>Y</v>
      </c>
      <c r="E175" s="132" t="str">
        <f>VLOOKUP($A175,'Выгр Кат'!$A:$S,E$1,0)</f>
        <v>1</v>
      </c>
      <c r="F175" s="132" t="str">
        <f>VLOOKUP($A175,'Выгр Кат'!$A:$S,F$1,0)</f>
        <v>2190-1703200Р</v>
      </c>
      <c r="G175" s="44" t="s">
        <v>1390</v>
      </c>
      <c r="H175" s="29"/>
      <c r="I175" s="4" t="s">
        <v>2</v>
      </c>
      <c r="J175" s="95">
        <v>1</v>
      </c>
      <c r="K175" s="168">
        <f t="shared" si="82"/>
        <v>200</v>
      </c>
      <c r="L175" s="167">
        <f>VLOOKUP(K175,Наценка!$A$1:$B$8,2,1)</f>
        <v>1.7204301075268817</v>
      </c>
      <c r="M175" s="172">
        <f t="shared" si="83"/>
        <v>344.08602150537632</v>
      </c>
      <c r="N175" s="173">
        <f t="shared" si="75"/>
        <v>349</v>
      </c>
      <c r="O175" s="134">
        <f>VLOOKUP($A175,'Выгр Кат'!$A:$S,O$1,0)</f>
        <v>200</v>
      </c>
      <c r="P175" s="134">
        <f>VLOOKUP($A175,'Выгр Кат'!$A:$S,P$1,0)</f>
        <v>349</v>
      </c>
      <c r="Q175" s="107">
        <f t="shared" si="76"/>
        <v>0</v>
      </c>
      <c r="R175" s="107">
        <f t="shared" si="77"/>
        <v>0</v>
      </c>
      <c r="S175" s="110">
        <f t="shared" si="78"/>
        <v>324.57</v>
      </c>
      <c r="T175" s="135">
        <f t="shared" si="79"/>
        <v>0.6228499999999999</v>
      </c>
      <c r="U175" s="135" t="str">
        <f t="shared" si="80"/>
        <v/>
      </c>
      <c r="V175" s="135" t="str">
        <f t="shared" si="81"/>
        <v/>
      </c>
      <c r="W175" s="45"/>
      <c r="X175" s="114" t="str">
        <f>IFERROR((VLOOKUP($A175,'ИЗ ГУГЛА'!$B:$G,X$1,0)+Z175)*Y175,VLOOKUP($A175,'ИЗ ГУГЛА'!$B:$G,X$1,0))</f>
        <v/>
      </c>
      <c r="Y175" s="108">
        <v>1</v>
      </c>
      <c r="Z175" s="46"/>
      <c r="AA175" s="45" t="s">
        <v>1821</v>
      </c>
      <c r="AB175" s="124"/>
      <c r="AC175" s="114" t="str">
        <f>IFERROR((VLOOKUP($A175,'ИЗ ГУГЛА'!$B:$Z,AC$1,0)+AE175)*AD175,VLOOKUP($A175,'ИЗ ГУГЛА'!$B:$Z,AC$1,0))</f>
        <v/>
      </c>
      <c r="AD175" s="108">
        <v>1</v>
      </c>
      <c r="AE175" s="46"/>
      <c r="AF175" s="115"/>
    </row>
    <row r="176" spans="1:32" s="5" customFormat="1" ht="30" x14ac:dyDescent="0.25">
      <c r="A176" s="132">
        <v>139792</v>
      </c>
      <c r="B176" s="132">
        <f>VLOOKUP($A176,'Выгр Кат'!$A:$S,B$1,0)</f>
        <v>35463</v>
      </c>
      <c r="C176" s="133" t="str">
        <f>VLOOKUP($A176,'Выгр Кат'!$A:$S,C$1,0)</f>
        <v>Втулка "БРТ" амортизатора задней подвески, нижняя для Шевроле Нива</v>
      </c>
      <c r="D176" s="132" t="str">
        <f>VLOOKUP($A176,'Выгр Кат'!$A:$S,D$1,0)</f>
        <v>Y</v>
      </c>
      <c r="E176" s="132" t="str">
        <f>VLOOKUP($A176,'Выгр Кат'!$A:$S,E$1,0)</f>
        <v>1</v>
      </c>
      <c r="F176" s="132" t="str">
        <f>VLOOKUP($A176,'Выгр Кат'!$A:$S,F$1,0)</f>
        <v>2123-2915446Р</v>
      </c>
      <c r="G176" s="44" t="s">
        <v>507</v>
      </c>
      <c r="H176" s="29"/>
      <c r="I176" s="4" t="s">
        <v>2</v>
      </c>
      <c r="J176" s="95">
        <v>1</v>
      </c>
      <c r="K176" s="168">
        <f t="shared" si="82"/>
        <v>110</v>
      </c>
      <c r="L176" s="167">
        <f>VLOOKUP(K176,Наценка!$A$1:$B$8,2,1)</f>
        <v>1.7204301075268817</v>
      </c>
      <c r="M176" s="148">
        <f t="shared" ref="M176:M177" si="106">W176*1.06</f>
        <v>307.40000000000003</v>
      </c>
      <c r="N176" s="173">
        <f t="shared" si="75"/>
        <v>309</v>
      </c>
      <c r="O176" s="134">
        <f>VLOOKUP($A176,'Выгр Кат'!$A:$S,O$1,0)</f>
        <v>110</v>
      </c>
      <c r="P176" s="134">
        <f>VLOOKUP($A176,'Выгр Кат'!$A:$S,P$1,0)</f>
        <v>189</v>
      </c>
      <c r="Q176" s="107">
        <f t="shared" si="76"/>
        <v>0</v>
      </c>
      <c r="R176" s="107">
        <f t="shared" si="77"/>
        <v>-120</v>
      </c>
      <c r="S176" s="110">
        <f t="shared" si="78"/>
        <v>287.37</v>
      </c>
      <c r="T176" s="135">
        <f t="shared" si="79"/>
        <v>1.6124545454545456</v>
      </c>
      <c r="U176" s="135">
        <f t="shared" si="80"/>
        <v>9.0689655172413643E-3</v>
      </c>
      <c r="V176" s="135">
        <f t="shared" si="81"/>
        <v>1.6363636363636362</v>
      </c>
      <c r="W176" s="117">
        <f t="shared" ref="W176:W177" si="107">AA176</f>
        <v>290</v>
      </c>
      <c r="X176" s="114">
        <f>IFERROR((VLOOKUP($A176,'ИЗ ГУГЛА'!$B:$G,X$1,0)+Z176)*Y176,VLOOKUP($A176,'ИЗ ГУГЛА'!$B:$G,X$1,0))</f>
        <v>290</v>
      </c>
      <c r="Y176" s="108">
        <v>1</v>
      </c>
      <c r="Z176" s="46"/>
      <c r="AA176" s="139">
        <v>290</v>
      </c>
      <c r="AB176" s="124" t="s">
        <v>2821</v>
      </c>
      <c r="AC176" s="114" t="str">
        <f>IFERROR((VLOOKUP($A176,'ИЗ ГУГЛА'!$B:$Z,AC$1,0)+AE176)*AD176,VLOOKUP($A176,'ИЗ ГУГЛА'!$B:$Z,AC$1,0))</f>
        <v/>
      </c>
      <c r="AD176" s="108">
        <v>1</v>
      </c>
      <c r="AE176" s="46"/>
      <c r="AF176" s="115"/>
    </row>
    <row r="177" spans="1:32" s="5" customFormat="1" ht="60" x14ac:dyDescent="0.25">
      <c r="A177" s="132">
        <v>186831</v>
      </c>
      <c r="B177" s="132">
        <f>VLOOKUP($A177,'Выгр Кат'!$A:$S,B$1,0)</f>
        <v>20011</v>
      </c>
      <c r="C177" s="133" t="str">
        <f>VLOOKUP($A177,'Выгр Кат'!$A:$S,C$1,0)</f>
        <v>Патрубок соединительный муфта термостата и подводящей трубы водяного насоса (угол) "БРТ" для ВАЗ 2108-21099, 2113-2115</v>
      </c>
      <c r="D177" s="132" t="str">
        <f>VLOOKUP($A177,'Выгр Кат'!$A:$S,D$1,0)</f>
        <v>Y</v>
      </c>
      <c r="E177" s="132" t="str">
        <f>VLOOKUP($A177,'Выгр Кат'!$A:$S,E$1,0)</f>
        <v>1</v>
      </c>
      <c r="F177" s="132" t="str">
        <f>VLOOKUP($A177,'Выгр Кат'!$A:$S,F$1,0)</f>
        <v>21090130309301</v>
      </c>
      <c r="G177" s="42" t="s">
        <v>376</v>
      </c>
      <c r="H177" s="29"/>
      <c r="I177" s="4" t="s">
        <v>2</v>
      </c>
      <c r="J177" s="95">
        <v>1</v>
      </c>
      <c r="K177" s="168">
        <f t="shared" si="82"/>
        <v>112</v>
      </c>
      <c r="L177" s="167">
        <f>VLOOKUP(K177,Наценка!$A$1:$B$8,2,1)</f>
        <v>1.7204301075268817</v>
      </c>
      <c r="M177" s="148">
        <f t="shared" si="106"/>
        <v>307.40000000000003</v>
      </c>
      <c r="N177" s="173">
        <f t="shared" si="75"/>
        <v>309</v>
      </c>
      <c r="O177" s="134">
        <f>VLOOKUP($A177,'Выгр Кат'!$A:$S,O$1,0)</f>
        <v>112</v>
      </c>
      <c r="P177" s="134">
        <f>VLOOKUP($A177,'Выгр Кат'!$A:$S,P$1,0)</f>
        <v>199</v>
      </c>
      <c r="Q177" s="107">
        <f t="shared" si="76"/>
        <v>0</v>
      </c>
      <c r="R177" s="107">
        <f t="shared" si="77"/>
        <v>-110</v>
      </c>
      <c r="S177" s="110">
        <f t="shared" si="78"/>
        <v>287.37</v>
      </c>
      <c r="T177" s="135">
        <f t="shared" si="79"/>
        <v>1.5658035714285714</v>
      </c>
      <c r="U177" s="135">
        <f t="shared" si="80"/>
        <v>9.0689655172413643E-3</v>
      </c>
      <c r="V177" s="135">
        <f t="shared" si="81"/>
        <v>1.5892857142857144</v>
      </c>
      <c r="W177" s="117">
        <f t="shared" si="107"/>
        <v>290</v>
      </c>
      <c r="X177" s="114">
        <f>IFERROR((VLOOKUP($A177,'ИЗ ГУГЛА'!$B:$G,X$1,0)+Z177)*Y177,VLOOKUP($A177,'ИЗ ГУГЛА'!$B:$G,X$1,0))</f>
        <v>290</v>
      </c>
      <c r="Y177" s="108">
        <v>1</v>
      </c>
      <c r="Z177" s="46"/>
      <c r="AA177" s="139">
        <v>290</v>
      </c>
      <c r="AB177" s="124" t="s">
        <v>2822</v>
      </c>
      <c r="AC177" s="114" t="str">
        <f>IFERROR((VLOOKUP($A177,'ИЗ ГУГЛА'!$B:$Z,AC$1,0)+AE177)*AD177,VLOOKUP($A177,'ИЗ ГУГЛА'!$B:$Z,AC$1,0))</f>
        <v/>
      </c>
      <c r="AD177" s="108">
        <v>1</v>
      </c>
      <c r="AE177" s="46"/>
      <c r="AF177" s="115"/>
    </row>
    <row r="178" spans="1:32" s="5" customFormat="1" ht="30" x14ac:dyDescent="0.25">
      <c r="A178" s="132">
        <v>213309</v>
      </c>
      <c r="B178" s="132">
        <f>VLOOKUP($A178,'Выгр Кат'!$A:$S,B$1,0)</f>
        <v>35249</v>
      </c>
      <c r="C178" s="133" t="str">
        <f>VLOOKUP($A178,'Выгр Кат'!$A:$S,C$1,0)</f>
        <v>Сальник "БРТ" привода переднего моста комплект для Шевроле Нива</v>
      </c>
      <c r="D178" s="132" t="str">
        <f>VLOOKUP($A178,'Выгр Кат'!$A:$S,D$1,0)</f>
        <v>Y</v>
      </c>
      <c r="E178" s="132" t="str">
        <f>VLOOKUP($A178,'Выгр Кат'!$A:$S,E$1,0)</f>
        <v>1</v>
      </c>
      <c r="F178" s="132" t="str">
        <f>VLOOKUP($A178,'Выгр Кат'!$A:$S,F$1,0)</f>
        <v>2123-2303120</v>
      </c>
      <c r="G178" s="44" t="s">
        <v>725</v>
      </c>
      <c r="H178" s="29"/>
      <c r="I178" s="4" t="s">
        <v>2</v>
      </c>
      <c r="J178" s="95">
        <v>1</v>
      </c>
      <c r="K178" s="168">
        <f t="shared" si="82"/>
        <v>108</v>
      </c>
      <c r="L178" s="167">
        <f>VLOOKUP(K178,Наценка!$A$1:$B$8,2,1)</f>
        <v>1.7204301075268817</v>
      </c>
      <c r="M178" s="172">
        <f t="shared" si="83"/>
        <v>185.80645161290323</v>
      </c>
      <c r="N178" s="173">
        <f t="shared" si="75"/>
        <v>189</v>
      </c>
      <c r="O178" s="134">
        <f>VLOOKUP($A178,'Выгр Кат'!$A:$S,O$1,0)</f>
        <v>108</v>
      </c>
      <c r="P178" s="134">
        <f>VLOOKUP($A178,'Выгр Кат'!$A:$S,P$1,0)</f>
        <v>189</v>
      </c>
      <c r="Q178" s="107">
        <f t="shared" si="76"/>
        <v>0</v>
      </c>
      <c r="R178" s="107">
        <f t="shared" si="77"/>
        <v>0</v>
      </c>
      <c r="S178" s="110">
        <f t="shared" si="78"/>
        <v>175.76999999999998</v>
      </c>
      <c r="T178" s="135">
        <f t="shared" si="79"/>
        <v>0.62749999999999972</v>
      </c>
      <c r="U178" s="135" t="str">
        <f t="shared" si="80"/>
        <v/>
      </c>
      <c r="V178" s="135" t="str">
        <f t="shared" si="81"/>
        <v/>
      </c>
      <c r="W178" s="45"/>
      <c r="X178" s="114" t="str">
        <f>IFERROR((VLOOKUP($A178,'ИЗ ГУГЛА'!$B:$G,X$1,0)+Z178)*Y178,VLOOKUP($A178,'ИЗ ГУГЛА'!$B:$G,X$1,0))</f>
        <v/>
      </c>
      <c r="Y178" s="108">
        <v>1</v>
      </c>
      <c r="Z178" s="46"/>
      <c r="AA178" s="45" t="s">
        <v>1821</v>
      </c>
      <c r="AB178" s="124"/>
      <c r="AC178" s="114" t="str">
        <f>IFERROR((VLOOKUP($A178,'ИЗ ГУГЛА'!$B:$Z,AC$1,0)+AE178)*AD178,VLOOKUP($A178,'ИЗ ГУГЛА'!$B:$Z,AC$1,0))</f>
        <v/>
      </c>
      <c r="AD178" s="108">
        <v>1</v>
      </c>
      <c r="AE178" s="46"/>
      <c r="AF178" s="115"/>
    </row>
    <row r="179" spans="1:32" s="5" customFormat="1" ht="45" x14ac:dyDescent="0.25">
      <c r="A179" s="132">
        <v>202085</v>
      </c>
      <c r="B179" s="132">
        <f>VLOOKUP($A179,'Выгр Кат'!$A:$S,B$1,0)</f>
        <v>35259</v>
      </c>
      <c r="C179" s="133" t="str">
        <f>VLOOKUP($A179,'Выгр Кат'!$A:$S,C$1,0)</f>
        <v>Пыльник "БРТ" шарнира промежуточного карданного вала для Лада Нива 4х4</v>
      </c>
      <c r="D179" s="132" t="str">
        <f>VLOOKUP($A179,'Выгр Кат'!$A:$S,D$1,0)</f>
        <v>Y</v>
      </c>
      <c r="E179" s="132" t="str">
        <f>VLOOKUP($A179,'Выгр Кат'!$A:$S,E$1,0)</f>
        <v>1</v>
      </c>
      <c r="F179" s="132" t="str">
        <f>VLOOKUP($A179,'Выгр Кат'!$A:$S,F$1,0)</f>
        <v>21213-2202068</v>
      </c>
      <c r="G179" s="44" t="s">
        <v>467</v>
      </c>
      <c r="H179" s="29"/>
      <c r="I179" s="4" t="s">
        <v>2</v>
      </c>
      <c r="J179" s="95">
        <v>1</v>
      </c>
      <c r="K179" s="168">
        <f t="shared" si="82"/>
        <v>107</v>
      </c>
      <c r="L179" s="167">
        <f>VLOOKUP(K179,Наценка!$A$1:$B$8,2,1)</f>
        <v>1.7204301075268817</v>
      </c>
      <c r="M179" s="148">
        <f>W179*1.05</f>
        <v>199.5</v>
      </c>
      <c r="N179" s="173">
        <f t="shared" si="75"/>
        <v>199</v>
      </c>
      <c r="O179" s="134">
        <f>VLOOKUP($A179,'Выгр Кат'!$A:$S,O$1,0)</f>
        <v>107</v>
      </c>
      <c r="P179" s="134">
        <f>VLOOKUP($A179,'Выгр Кат'!$A:$S,P$1,0)</f>
        <v>189</v>
      </c>
      <c r="Q179" s="107">
        <f t="shared" si="76"/>
        <v>0</v>
      </c>
      <c r="R179" s="107">
        <f t="shared" si="77"/>
        <v>-10</v>
      </c>
      <c r="S179" s="110">
        <f t="shared" si="78"/>
        <v>185.07</v>
      </c>
      <c r="T179" s="135">
        <f t="shared" si="79"/>
        <v>0.72962616822429904</v>
      </c>
      <c r="U179" s="135">
        <f t="shared" si="80"/>
        <v>2.5947368421052667E-2</v>
      </c>
      <c r="V179" s="135">
        <f t="shared" si="81"/>
        <v>0.77570093457943923</v>
      </c>
      <c r="W179" s="117">
        <f t="shared" ref="W179:W183" si="108">AA179</f>
        <v>190</v>
      </c>
      <c r="X179" s="114">
        <f>IFERROR((VLOOKUP($A179,'ИЗ ГУГЛА'!$B:$G,X$1,0)+Z179)*Y179,VLOOKUP($A179,'ИЗ ГУГЛА'!$B:$G,X$1,0))</f>
        <v>190</v>
      </c>
      <c r="Y179" s="108">
        <v>1</v>
      </c>
      <c r="Z179" s="46"/>
      <c r="AA179" s="139">
        <v>190</v>
      </c>
      <c r="AB179" s="124" t="s">
        <v>2824</v>
      </c>
      <c r="AC179" s="114" t="str">
        <f>IFERROR((VLOOKUP($A179,'ИЗ ГУГЛА'!$B:$Z,AC$1,0)+AE179)*AD179,VLOOKUP($A179,'ИЗ ГУГЛА'!$B:$Z,AC$1,0))</f>
        <v/>
      </c>
      <c r="AD179" s="108">
        <v>1</v>
      </c>
      <c r="AE179" s="46"/>
      <c r="AF179" s="115"/>
    </row>
    <row r="180" spans="1:32" s="5" customFormat="1" ht="30.75" thickBot="1" x14ac:dyDescent="0.3">
      <c r="A180" s="132">
        <v>138805</v>
      </c>
      <c r="B180" s="132">
        <f>VLOOKUP($A180,'Выгр Кат'!$A:$S,B$1,0)</f>
        <v>15416</v>
      </c>
      <c r="C180" s="133" t="str">
        <f>VLOOKUP($A180,'Выгр Кат'!$A:$S,C$1,0)</f>
        <v>Брызговики задние для Лада Приора (хэтчбек)</v>
      </c>
      <c r="D180" s="132" t="str">
        <f>VLOOKUP($A180,'Выгр Кат'!$A:$S,D$1,0)</f>
        <v>Y</v>
      </c>
      <c r="E180" s="132" t="str">
        <f>VLOOKUP($A180,'Выгр Кат'!$A:$S,E$1,0)</f>
        <v>1</v>
      </c>
      <c r="F180" s="132">
        <f>VLOOKUP($A180,'Выгр Кат'!$A:$S,F$1,0)</f>
        <v>0</v>
      </c>
      <c r="G180" s="43" t="s">
        <v>1287</v>
      </c>
      <c r="H180" s="29"/>
      <c r="I180" s="4" t="s">
        <v>2</v>
      </c>
      <c r="J180" s="95">
        <v>1</v>
      </c>
      <c r="K180" s="168">
        <f t="shared" si="82"/>
        <v>260</v>
      </c>
      <c r="L180" s="167">
        <f>VLOOKUP(K180,Наценка!$A$1:$B$8,2,1)</f>
        <v>1.7204301075268817</v>
      </c>
      <c r="M180" s="148">
        <f t="shared" ref="M179:M183" si="109">W180*1.06</f>
        <v>519.4</v>
      </c>
      <c r="N180" s="173">
        <f t="shared" si="75"/>
        <v>519</v>
      </c>
      <c r="O180" s="134">
        <f>VLOOKUP($A180,'Выгр Кат'!$A:$S,O$1,0)</f>
        <v>260</v>
      </c>
      <c r="P180" s="134">
        <f>VLOOKUP($A180,'Выгр Кат'!$A:$S,P$1,0)</f>
        <v>509</v>
      </c>
      <c r="Q180" s="107">
        <f t="shared" si="76"/>
        <v>0</v>
      </c>
      <c r="R180" s="107">
        <f t="shared" si="77"/>
        <v>-10</v>
      </c>
      <c r="S180" s="110">
        <f t="shared" si="78"/>
        <v>482.66999999999996</v>
      </c>
      <c r="T180" s="135">
        <f t="shared" si="79"/>
        <v>0.85642307692307673</v>
      </c>
      <c r="U180" s="135">
        <f t="shared" si="80"/>
        <v>1.4959183673469472E-2</v>
      </c>
      <c r="V180" s="135">
        <f t="shared" si="81"/>
        <v>0.88461538461538458</v>
      </c>
      <c r="W180" s="117">
        <f t="shared" si="108"/>
        <v>490</v>
      </c>
      <c r="X180" s="114">
        <f>IFERROR((VLOOKUP($A180,'ИЗ ГУГЛА'!$B:$G,X$1,0)+Z180)*Y180,VLOOKUP($A180,'ИЗ ГУГЛА'!$B:$G,X$1,0))</f>
        <v>490</v>
      </c>
      <c r="Y180" s="108">
        <v>1</v>
      </c>
      <c r="Z180" s="46"/>
      <c r="AA180" s="136">
        <v>490</v>
      </c>
      <c r="AB180" s="124" t="s">
        <v>2623</v>
      </c>
      <c r="AC180" s="114" t="str">
        <f>IFERROR((VLOOKUP($A180,'ИЗ ГУГЛА'!$B:$Z,AC$1,0)+AE180)*AD180,VLOOKUP($A180,'ИЗ ГУГЛА'!$B:$Z,AC$1,0))</f>
        <v/>
      </c>
      <c r="AD180" s="108">
        <v>1</v>
      </c>
      <c r="AE180" s="46"/>
      <c r="AF180" s="115"/>
    </row>
    <row r="181" spans="1:32" s="5" customFormat="1" ht="31.5" thickTop="1" thickBot="1" x14ac:dyDescent="0.3">
      <c r="A181" s="132">
        <v>138804</v>
      </c>
      <c r="B181" s="132">
        <f>VLOOKUP($A181,'Выгр Кат'!$A:$S,B$1,0)</f>
        <v>6705</v>
      </c>
      <c r="C181" s="133" t="str">
        <f>VLOOKUP($A181,'Выгр Кат'!$A:$S,C$1,0)</f>
        <v>Брызговики задние для Лада Приора (седан)</v>
      </c>
      <c r="D181" s="132" t="str">
        <f>VLOOKUP($A181,'Выгр Кат'!$A:$S,D$1,0)</f>
        <v>Y</v>
      </c>
      <c r="E181" s="132" t="str">
        <f>VLOOKUP($A181,'Выгр Кат'!$A:$S,E$1,0)</f>
        <v>1</v>
      </c>
      <c r="F181" s="132" t="str">
        <f>VLOOKUP($A181,'Выгр Кат'!$A:$S,F$1,0)</f>
        <v>217008404412 / 217008404413</v>
      </c>
      <c r="G181" s="43" t="s">
        <v>1287</v>
      </c>
      <c r="H181" s="29"/>
      <c r="I181" s="4" t="s">
        <v>2</v>
      </c>
      <c r="J181" s="95">
        <v>1</v>
      </c>
      <c r="K181" s="168">
        <f t="shared" si="82"/>
        <v>175</v>
      </c>
      <c r="L181" s="167">
        <f>VLOOKUP(K181,Наценка!$A$1:$B$8,2,1)</f>
        <v>1.7204301075268817</v>
      </c>
      <c r="M181" s="148">
        <f t="shared" si="109"/>
        <v>519.4</v>
      </c>
      <c r="N181" s="173">
        <f t="shared" si="75"/>
        <v>519</v>
      </c>
      <c r="O181" s="134">
        <f>VLOOKUP($A181,'Выгр Кат'!$A:$S,O$1,0)</f>
        <v>175</v>
      </c>
      <c r="P181" s="134">
        <f>VLOOKUP($A181,'Выгр Кат'!$A:$S,P$1,0)</f>
        <v>509</v>
      </c>
      <c r="Q181" s="107">
        <f t="shared" si="76"/>
        <v>0</v>
      </c>
      <c r="R181" s="107">
        <f t="shared" si="77"/>
        <v>-10</v>
      </c>
      <c r="S181" s="110">
        <f t="shared" si="78"/>
        <v>482.66999999999996</v>
      </c>
      <c r="T181" s="135">
        <f t="shared" si="79"/>
        <v>1.7581142857142855</v>
      </c>
      <c r="U181" s="135">
        <f t="shared" si="80"/>
        <v>1.4959183673469472E-2</v>
      </c>
      <c r="V181" s="135">
        <f t="shared" si="81"/>
        <v>1.7999999999999998</v>
      </c>
      <c r="W181" s="117">
        <f t="shared" si="108"/>
        <v>490</v>
      </c>
      <c r="X181" s="114">
        <f>IFERROR((VLOOKUP($A181,'ИЗ ГУГЛА'!$B:$G,X$1,0)+Z181)*Y181,VLOOKUP($A181,'ИЗ ГУГЛА'!$B:$G,X$1,0))</f>
        <v>490</v>
      </c>
      <c r="Y181" s="108">
        <v>1</v>
      </c>
      <c r="Z181" s="46"/>
      <c r="AA181" s="136">
        <v>490</v>
      </c>
      <c r="AB181" s="124" t="s">
        <v>2623</v>
      </c>
      <c r="AC181" s="114" t="str">
        <f>IFERROR((VLOOKUP($A181,'ИЗ ГУГЛА'!$B:$Z,AC$1,0)+AE181)*AD181,VLOOKUP($A181,'ИЗ ГУГЛА'!$B:$Z,AC$1,0))</f>
        <v/>
      </c>
      <c r="AD181" s="108">
        <v>1</v>
      </c>
      <c r="AE181" s="46"/>
      <c r="AF181" s="115"/>
    </row>
    <row r="182" spans="1:32" s="5" customFormat="1" ht="30.75" thickTop="1" x14ac:dyDescent="0.25">
      <c r="A182" s="132">
        <v>186581</v>
      </c>
      <c r="B182" s="132">
        <f>VLOOKUP($A182,'Выгр Кат'!$A:$S,B$1,0)</f>
        <v>35588</v>
      </c>
      <c r="C182" s="133" t="str">
        <f>VLOOKUP($A182,'Выгр Кат'!$A:$S,C$1,0)</f>
        <v>Патрубок "БРТ" радиатора, заправочный, верхний для Лада XRAY</v>
      </c>
      <c r="D182" s="132" t="str">
        <f>VLOOKUP($A182,'Выгр Кат'!$A:$S,D$1,0)</f>
        <v>Y</v>
      </c>
      <c r="E182" s="132" t="str">
        <f>VLOOKUP($A182,'Выгр Кат'!$A:$S,E$1,0)</f>
        <v>1</v>
      </c>
      <c r="F182" s="132" t="str">
        <f>VLOOKUP($A182,'Выгр Кат'!$A:$S,F$1,0)</f>
        <v>8450020030</v>
      </c>
      <c r="G182" s="44" t="s">
        <v>1444</v>
      </c>
      <c r="H182" s="29"/>
      <c r="I182" s="4" t="s">
        <v>2</v>
      </c>
      <c r="J182" s="95">
        <v>1</v>
      </c>
      <c r="K182" s="168">
        <f t="shared" si="82"/>
        <v>101</v>
      </c>
      <c r="L182" s="167">
        <f>VLOOKUP(K182,Наценка!$A$1:$B$8,2,1)</f>
        <v>1.7204301075268817</v>
      </c>
      <c r="M182" s="148">
        <f t="shared" si="109"/>
        <v>189.74</v>
      </c>
      <c r="N182" s="173">
        <f t="shared" si="75"/>
        <v>189</v>
      </c>
      <c r="O182" s="134">
        <f>VLOOKUP($A182,'Выгр Кат'!$A:$S,O$1,0)</f>
        <v>101</v>
      </c>
      <c r="P182" s="134">
        <f>VLOOKUP($A182,'Выгр Кат'!$A:$S,P$1,0)</f>
        <v>179</v>
      </c>
      <c r="Q182" s="107">
        <f t="shared" si="76"/>
        <v>0</v>
      </c>
      <c r="R182" s="107">
        <f t="shared" si="77"/>
        <v>-10</v>
      </c>
      <c r="S182" s="110">
        <f t="shared" si="78"/>
        <v>175.76999999999998</v>
      </c>
      <c r="T182" s="135">
        <f t="shared" si="79"/>
        <v>0.74029702970297007</v>
      </c>
      <c r="U182" s="135">
        <f t="shared" si="80"/>
        <v>1.8044692737430271E-2</v>
      </c>
      <c r="V182" s="135">
        <f t="shared" si="81"/>
        <v>0.7722772277227723</v>
      </c>
      <c r="W182" s="117">
        <f t="shared" si="108"/>
        <v>179</v>
      </c>
      <c r="X182" s="114">
        <f>IFERROR((VLOOKUP($A182,'ИЗ ГУГЛА'!$B:$G,X$1,0)+Z182)*Y182,VLOOKUP($A182,'ИЗ ГУГЛА'!$B:$G,X$1,0))</f>
        <v>179</v>
      </c>
      <c r="Y182" s="108">
        <v>1</v>
      </c>
      <c r="Z182" s="46"/>
      <c r="AA182" s="139">
        <v>179</v>
      </c>
      <c r="AB182" s="124" t="s">
        <v>2809</v>
      </c>
      <c r="AC182" s="114" t="str">
        <f>IFERROR((VLOOKUP($A182,'ИЗ ГУГЛА'!$B:$Z,AC$1,0)+AE182)*AD182,VLOOKUP($A182,'ИЗ ГУГЛА'!$B:$Z,AC$1,0))</f>
        <v/>
      </c>
      <c r="AD182" s="108">
        <v>1</v>
      </c>
      <c r="AE182" s="46"/>
      <c r="AF182" s="115"/>
    </row>
    <row r="183" spans="1:32" s="5" customFormat="1" ht="45.75" thickBot="1" x14ac:dyDescent="0.3">
      <c r="A183" s="132">
        <v>186553</v>
      </c>
      <c r="B183" s="132">
        <f>VLOOKUP($A183,'Выгр Кат'!$A:$S,B$1,0)</f>
        <v>20415</v>
      </c>
      <c r="C183" s="133" t="str">
        <f>VLOOKUP($A183,'Выгр Кат'!$A:$S,C$1,0)</f>
        <v>Патрубок "БРТ" 21213 перепускной от термостата к тройнику (средний) для Лада Нива 4х4</v>
      </c>
      <c r="D183" s="132" t="str">
        <f>VLOOKUP($A183,'Выгр Кат'!$A:$S,D$1,0)</f>
        <v>Y</v>
      </c>
      <c r="E183" s="132" t="str">
        <f>VLOOKUP($A183,'Выгр Кат'!$A:$S,E$1,0)</f>
        <v>1</v>
      </c>
      <c r="F183" s="132" t="str">
        <f>VLOOKUP($A183,'Выгр Кат'!$A:$S,F$1,0)</f>
        <v>21213-1303090РП</v>
      </c>
      <c r="G183" s="45" t="s">
        <v>465</v>
      </c>
      <c r="H183" s="29"/>
      <c r="I183" s="4" t="s">
        <v>2</v>
      </c>
      <c r="J183" s="95">
        <v>1</v>
      </c>
      <c r="K183" s="168">
        <f t="shared" si="82"/>
        <v>114</v>
      </c>
      <c r="L183" s="167">
        <f>VLOOKUP(K183,Наценка!$A$1:$B$8,2,1)</f>
        <v>1.7204301075268817</v>
      </c>
      <c r="M183" s="147">
        <f>W183*1.04</f>
        <v>279.76</v>
      </c>
      <c r="N183" s="173">
        <f t="shared" si="75"/>
        <v>279</v>
      </c>
      <c r="O183" s="134">
        <f>VLOOKUP($A183,'Выгр Кат'!$A:$S,O$1,0)</f>
        <v>114</v>
      </c>
      <c r="P183" s="134">
        <f>VLOOKUP($A183,'Выгр Кат'!$A:$S,P$1,0)</f>
        <v>279</v>
      </c>
      <c r="Q183" s="107">
        <f t="shared" si="76"/>
        <v>0</v>
      </c>
      <c r="R183" s="107">
        <f t="shared" si="77"/>
        <v>0</v>
      </c>
      <c r="S183" s="110">
        <f t="shared" si="78"/>
        <v>259.46999999999997</v>
      </c>
      <c r="T183" s="135">
        <f t="shared" si="79"/>
        <v>1.2760526315789473</v>
      </c>
      <c r="U183" s="135">
        <f t="shared" si="80"/>
        <v>3.5427509293680409E-2</v>
      </c>
      <c r="V183" s="135">
        <f t="shared" si="81"/>
        <v>1.3596491228070176</v>
      </c>
      <c r="W183" s="117">
        <f t="shared" si="108"/>
        <v>269</v>
      </c>
      <c r="X183" s="114">
        <f>IFERROR((VLOOKUP($A183,'ИЗ ГУГЛА'!$B:$G,X$1,0)+Z183)*Y183,VLOOKUP($A183,'ИЗ ГУГЛА'!$B:$G,X$1,0))</f>
        <v>269</v>
      </c>
      <c r="Y183" s="108">
        <v>1</v>
      </c>
      <c r="Z183" s="46"/>
      <c r="AA183" s="136">
        <v>269</v>
      </c>
      <c r="AB183" s="124" t="s">
        <v>2676</v>
      </c>
      <c r="AC183" s="114" t="str">
        <f>IFERROR((VLOOKUP($A183,'ИЗ ГУГЛА'!$B:$Z,AC$1,0)+AE183)*AD183,VLOOKUP($A183,'ИЗ ГУГЛА'!$B:$Z,AC$1,0))</f>
        <v/>
      </c>
      <c r="AD183" s="108">
        <v>1</v>
      </c>
      <c r="AE183" s="46"/>
      <c r="AF183" s="115"/>
    </row>
    <row r="184" spans="1:32" s="5" customFormat="1" ht="46.5" thickTop="1" thickBot="1" x14ac:dyDescent="0.3">
      <c r="A184" s="132">
        <v>186554</v>
      </c>
      <c r="B184" s="132">
        <f>VLOOKUP($A184,'Выгр Кат'!$A:$S,B$1,0)</f>
        <v>20413</v>
      </c>
      <c r="C184" s="133" t="str">
        <f>VLOOKUP($A184,'Выгр Кат'!$A:$S,C$1,0)</f>
        <v>Патрубок "БРТ" 21214 перепускной от термостата к тройнику (средний) для Лада Нива 4х4</v>
      </c>
      <c r="D184" s="132" t="str">
        <f>VLOOKUP($A184,'Выгр Кат'!$A:$S,D$1,0)</f>
        <v>Y</v>
      </c>
      <c r="E184" s="132" t="str">
        <f>VLOOKUP($A184,'Выгр Кат'!$A:$S,E$1,0)</f>
        <v>1</v>
      </c>
      <c r="F184" s="132" t="str">
        <f>VLOOKUP($A184,'Выгр Кат'!$A:$S,F$1,0)</f>
        <v>21213-1303090-10РП</v>
      </c>
      <c r="G184" s="45" t="s">
        <v>465</v>
      </c>
      <c r="H184" s="29"/>
      <c r="I184" s="4" t="s">
        <v>2</v>
      </c>
      <c r="J184" s="95">
        <v>1</v>
      </c>
      <c r="K184" s="168">
        <f t="shared" si="82"/>
        <v>114</v>
      </c>
      <c r="L184" s="167">
        <f>VLOOKUP(K184,Наценка!$A$1:$B$8,2,1)</f>
        <v>1.7204301075268817</v>
      </c>
      <c r="M184" s="172">
        <f t="shared" si="83"/>
        <v>196.12903225806451</v>
      </c>
      <c r="N184" s="173">
        <f t="shared" si="75"/>
        <v>199</v>
      </c>
      <c r="O184" s="134">
        <f>VLOOKUP($A184,'Выгр Кат'!$A:$S,O$1,0)</f>
        <v>114</v>
      </c>
      <c r="P184" s="134">
        <f>VLOOKUP($A184,'Выгр Кат'!$A:$S,P$1,0)</f>
        <v>199</v>
      </c>
      <c r="Q184" s="107">
        <f t="shared" si="76"/>
        <v>0</v>
      </c>
      <c r="R184" s="107">
        <f t="shared" si="77"/>
        <v>0</v>
      </c>
      <c r="S184" s="110">
        <f t="shared" si="78"/>
        <v>185.07</v>
      </c>
      <c r="T184" s="135">
        <f t="shared" si="79"/>
        <v>0.62342105263157888</v>
      </c>
      <c r="U184" s="135" t="str">
        <f t="shared" si="80"/>
        <v/>
      </c>
      <c r="V184" s="135" t="str">
        <f t="shared" si="81"/>
        <v/>
      </c>
      <c r="W184" s="45"/>
      <c r="X184" s="114" t="str">
        <f>IFERROR((VLOOKUP($A184,'ИЗ ГУГЛА'!$B:$G,X$1,0)+Z184)*Y184,VLOOKUP($A184,'ИЗ ГУГЛА'!$B:$G,X$1,0))</f>
        <v/>
      </c>
      <c r="Y184" s="108">
        <v>1</v>
      </c>
      <c r="Z184" s="46"/>
      <c r="AA184" s="140" t="s">
        <v>1821</v>
      </c>
      <c r="AB184" s="129"/>
      <c r="AC184" s="114" t="str">
        <f>IFERROR((VLOOKUP($A184,'ИЗ ГУГЛА'!$B:$Z,AC$1,0)+AE184)*AD184,VLOOKUP($A184,'ИЗ ГУГЛА'!$B:$Z,AC$1,0))</f>
        <v/>
      </c>
      <c r="AD184" s="108">
        <v>1</v>
      </c>
      <c r="AE184" s="46"/>
      <c r="AF184" s="115"/>
    </row>
    <row r="185" spans="1:32" s="5" customFormat="1" ht="45.75" thickTop="1" x14ac:dyDescent="0.25">
      <c r="A185" s="132">
        <v>204352</v>
      </c>
      <c r="B185" s="132">
        <f>VLOOKUP($A185,'Выгр Кат'!$A:$S,B$1,0)</f>
        <v>20265</v>
      </c>
      <c r="C185" s="133" t="str">
        <f>VLOOKUP($A185,'Выгр Кат'!$A:$S,C$1,0)</f>
        <v>Ремкомплект 20РР Р/К ремень крепления подвески глушителя "БРТ" для ВАЗ 2101-2107</v>
      </c>
      <c r="D185" s="132" t="str">
        <f>VLOOKUP($A185,'Выгр Кат'!$A:$S,D$1,0)</f>
        <v>Y</v>
      </c>
      <c r="E185" s="132" t="str">
        <f>VLOOKUP($A185,'Выгр Кат'!$A:$S,E$1,0)</f>
        <v>1</v>
      </c>
      <c r="F185" s="132" t="str">
        <f>VLOOKUP($A185,'Выгр Кат'!$A:$S,F$1,0)</f>
        <v>2101-1203047.</v>
      </c>
      <c r="G185" s="45" t="s">
        <v>641</v>
      </c>
      <c r="H185" s="29"/>
      <c r="I185" s="4" t="s">
        <v>2</v>
      </c>
      <c r="J185" s="95">
        <v>1</v>
      </c>
      <c r="K185" s="168">
        <f t="shared" si="82"/>
        <v>115</v>
      </c>
      <c r="L185" s="167">
        <f>VLOOKUP(K185,Наценка!$A$1:$B$8,2,1)</f>
        <v>1.7204301075268817</v>
      </c>
      <c r="M185" s="147">
        <f>W185*1.04</f>
        <v>268.32</v>
      </c>
      <c r="N185" s="173">
        <f t="shared" si="75"/>
        <v>269</v>
      </c>
      <c r="O185" s="134">
        <f>VLOOKUP($A185,'Выгр Кат'!$A:$S,O$1,0)</f>
        <v>115</v>
      </c>
      <c r="P185" s="134">
        <f>VLOOKUP($A185,'Выгр Кат'!$A:$S,P$1,0)</f>
        <v>199</v>
      </c>
      <c r="Q185" s="107">
        <f t="shared" si="76"/>
        <v>0</v>
      </c>
      <c r="R185" s="107">
        <f t="shared" si="77"/>
        <v>-70</v>
      </c>
      <c r="S185" s="110">
        <f t="shared" si="78"/>
        <v>250.17</v>
      </c>
      <c r="T185" s="135">
        <f t="shared" si="79"/>
        <v>1.1753913043478259</v>
      </c>
      <c r="U185" s="135">
        <f t="shared" si="80"/>
        <v>3.0348837209302374E-2</v>
      </c>
      <c r="V185" s="135">
        <f t="shared" si="81"/>
        <v>1.2434782608695651</v>
      </c>
      <c r="W185" s="117">
        <f t="shared" ref="W185:W187" si="110">AA185</f>
        <v>258</v>
      </c>
      <c r="X185" s="114">
        <f>IFERROR((VLOOKUP($A185,'ИЗ ГУГЛА'!$B:$G,X$1,0)+Z185)*Y185,VLOOKUP($A185,'ИЗ ГУГЛА'!$B:$G,X$1,0))</f>
        <v>258</v>
      </c>
      <c r="Y185" s="108">
        <v>2</v>
      </c>
      <c r="Z185" s="46"/>
      <c r="AA185" s="139">
        <v>258</v>
      </c>
      <c r="AB185" s="124" t="s">
        <v>2825</v>
      </c>
      <c r="AC185" s="114" t="str">
        <f>IFERROR((VLOOKUP($A185,'ИЗ ГУГЛА'!$B:$Z,AC$1,0)+AE185)*AD185,VLOOKUP($A185,'ИЗ ГУГЛА'!$B:$Z,AC$1,0))</f>
        <v/>
      </c>
      <c r="AD185" s="108">
        <v>2</v>
      </c>
      <c r="AE185" s="46"/>
      <c r="AF185" s="115"/>
    </row>
    <row r="186" spans="1:32" s="5" customFormat="1" ht="45" x14ac:dyDescent="0.25">
      <c r="A186" s="132">
        <v>226006</v>
      </c>
      <c r="B186" s="132">
        <f>VLOOKUP($A186,'Выгр Кат'!$A:$S,B$1,0)</f>
        <v>20427</v>
      </c>
      <c r="C186" s="133" t="str">
        <f>VLOOKUP($A186,'Выгр Кат'!$A:$S,C$1,0)</f>
        <v>Шланг соединительный "БРТ" наливной горловины топливного бака для Лада Нива 4х4</v>
      </c>
      <c r="D186" s="132" t="str">
        <f>VLOOKUP($A186,'Выгр Кат'!$A:$S,D$1,0)</f>
        <v>Y</v>
      </c>
      <c r="E186" s="132" t="str">
        <f>VLOOKUP($A186,'Выгр Кат'!$A:$S,E$1,0)</f>
        <v>1</v>
      </c>
      <c r="F186" s="132" t="str">
        <f>VLOOKUP($A186,'Выгр Кат'!$A:$S,F$1,0)</f>
        <v>21214-1101080-40РП.</v>
      </c>
      <c r="G186" s="45" t="s">
        <v>1821</v>
      </c>
      <c r="H186" s="29" t="s">
        <v>1821</v>
      </c>
      <c r="I186" s="4" t="s">
        <v>2</v>
      </c>
      <c r="J186" s="95">
        <v>1</v>
      </c>
      <c r="K186" s="168">
        <f t="shared" si="82"/>
        <v>104</v>
      </c>
      <c r="L186" s="167">
        <f>VLOOKUP(K186,Наценка!$A$1:$B$8,2,1)</f>
        <v>1.7204301075268817</v>
      </c>
      <c r="M186" s="148">
        <f t="shared" ref="M185:M186" si="111">W186*1.06</f>
        <v>189.74</v>
      </c>
      <c r="N186" s="173">
        <f t="shared" si="75"/>
        <v>189</v>
      </c>
      <c r="O186" s="134">
        <f>VLOOKUP($A186,'Выгр Кат'!$A:$S,O$1,0)</f>
        <v>104</v>
      </c>
      <c r="P186" s="134">
        <f>VLOOKUP($A186,'Выгр Кат'!$A:$S,P$1,0)</f>
        <v>179</v>
      </c>
      <c r="Q186" s="107">
        <f t="shared" si="76"/>
        <v>0</v>
      </c>
      <c r="R186" s="107">
        <f t="shared" si="77"/>
        <v>-10</v>
      </c>
      <c r="S186" s="110">
        <f t="shared" si="78"/>
        <v>175.76999999999998</v>
      </c>
      <c r="T186" s="135">
        <f t="shared" si="79"/>
        <v>0.69009615384615364</v>
      </c>
      <c r="U186" s="135">
        <f t="shared" si="80"/>
        <v>1.8044692737430271E-2</v>
      </c>
      <c r="V186" s="135">
        <f t="shared" si="81"/>
        <v>0.72115384615384626</v>
      </c>
      <c r="W186" s="117">
        <f t="shared" si="110"/>
        <v>179</v>
      </c>
      <c r="X186" s="114">
        <f>IFERROR((VLOOKUP($A186,'ИЗ ГУГЛА'!$B:$G,X$1,0)+Z186)*Y186,VLOOKUP($A186,'ИЗ ГУГЛА'!$B:$G,X$1,0))</f>
        <v>179</v>
      </c>
      <c r="Y186" s="108">
        <v>1</v>
      </c>
      <c r="Z186" s="46"/>
      <c r="AA186" s="139">
        <v>179</v>
      </c>
      <c r="AB186" s="124" t="s">
        <v>2543</v>
      </c>
      <c r="AC186" s="114" t="str">
        <f>IFERROR((VLOOKUP($A186,'ИЗ ГУГЛА'!$B:$Z,AC$1,0)+AE186)*AD186,VLOOKUP($A186,'ИЗ ГУГЛА'!$B:$Z,AC$1,0))</f>
        <v/>
      </c>
      <c r="AD186" s="108">
        <v>1</v>
      </c>
      <c r="AE186" s="46"/>
      <c r="AF186" s="115"/>
    </row>
    <row r="187" spans="1:32" s="5" customFormat="1" ht="45.75" thickBot="1" x14ac:dyDescent="0.3">
      <c r="A187" s="132">
        <v>153068</v>
      </c>
      <c r="B187" s="132">
        <f>VLOOKUP($A187,'Выгр Кат'!$A:$S,B$1,0)</f>
        <v>20275</v>
      </c>
      <c r="C187" s="133" t="str">
        <f>VLOOKUP($A187,'Выгр Кат'!$A:$S,C$1,0)</f>
        <v>Изолирующая прокладка пружины задней подвески "БРТ" для ВАЗ 2101-2107</v>
      </c>
      <c r="D187" s="132" t="str">
        <f>VLOOKUP($A187,'Выгр Кат'!$A:$S,D$1,0)</f>
        <v>Y</v>
      </c>
      <c r="E187" s="132" t="str">
        <f>VLOOKUP($A187,'Выгр Кат'!$A:$S,E$1,0)</f>
        <v>1</v>
      </c>
      <c r="F187" s="132" t="str">
        <f>VLOOKUP($A187,'Выгр Кат'!$A:$S,F$1,0)</f>
        <v>2101-2912652-10Р.</v>
      </c>
      <c r="G187" s="45" t="s">
        <v>269</v>
      </c>
      <c r="H187" s="29"/>
      <c r="I187" s="4" t="s">
        <v>2</v>
      </c>
      <c r="J187" s="95">
        <v>1</v>
      </c>
      <c r="K187" s="168">
        <f t="shared" si="82"/>
        <v>119</v>
      </c>
      <c r="L187" s="167">
        <f>VLOOKUP(K187,Наценка!$A$1:$B$8,2,1)</f>
        <v>1.7204301075268817</v>
      </c>
      <c r="M187" s="149">
        <f t="shared" ref="M185:M187" si="112">W187*1.07</f>
        <v>159.43</v>
      </c>
      <c r="N187" s="173">
        <f t="shared" si="75"/>
        <v>159</v>
      </c>
      <c r="O187" s="134">
        <f>VLOOKUP($A187,'Выгр Кат'!$A:$S,O$1,0)</f>
        <v>119</v>
      </c>
      <c r="P187" s="134">
        <f>VLOOKUP($A187,'Выгр Кат'!$A:$S,P$1,0)</f>
        <v>159</v>
      </c>
      <c r="Q187" s="107">
        <f t="shared" si="76"/>
        <v>0</v>
      </c>
      <c r="R187" s="107">
        <f t="shared" si="77"/>
        <v>0</v>
      </c>
      <c r="S187" s="110">
        <f t="shared" si="78"/>
        <v>147.86999999999998</v>
      </c>
      <c r="T187" s="135">
        <f t="shared" si="79"/>
        <v>0.24260504201680644</v>
      </c>
      <c r="U187" s="135">
        <f t="shared" si="80"/>
        <v>7.5838926174498248E-3</v>
      </c>
      <c r="V187" s="135">
        <f t="shared" si="81"/>
        <v>0.25210084033613445</v>
      </c>
      <c r="W187" s="117">
        <f t="shared" si="110"/>
        <v>149</v>
      </c>
      <c r="X187" s="114">
        <f>IFERROR((VLOOKUP($A187,'ИЗ ГУГЛА'!$B:$G,X$1,0)+Z187)*Y187,VLOOKUP($A187,'ИЗ ГУГЛА'!$B:$G,X$1,0))</f>
        <v>149</v>
      </c>
      <c r="Y187" s="46">
        <v>1</v>
      </c>
      <c r="Z187" s="46"/>
      <c r="AA187" s="138">
        <v>149</v>
      </c>
      <c r="AB187" s="124" t="s">
        <v>2347</v>
      </c>
      <c r="AC187" s="114" t="str">
        <f>IFERROR((VLOOKUP($A187,'ИЗ ГУГЛА'!$B:$Z,AC$1,0)+AE187)*AD187,VLOOKUP($A187,'ИЗ ГУГЛА'!$B:$Z,AC$1,0))</f>
        <v/>
      </c>
      <c r="AD187" s="46">
        <v>1</v>
      </c>
      <c r="AE187" s="46"/>
      <c r="AF187" s="115"/>
    </row>
    <row r="188" spans="1:32" s="5" customFormat="1" ht="30.75" thickTop="1" x14ac:dyDescent="0.25">
      <c r="A188" s="132">
        <v>202167</v>
      </c>
      <c r="B188" s="132">
        <f>VLOOKUP($A188,'Выгр Кат'!$A:$S,B$1,0)</f>
        <v>19823</v>
      </c>
      <c r="C188" s="133" t="str">
        <f>VLOOKUP($A188,'Выгр Кат'!$A:$S,C$1,0)</f>
        <v>Пыльник рулевой тяги "БРТ" для Renault Logan, Sandero</v>
      </c>
      <c r="D188" s="132" t="str">
        <f>VLOOKUP($A188,'Выгр Кат'!$A:$S,D$1,0)</f>
        <v>Y</v>
      </c>
      <c r="E188" s="132" t="str">
        <f>VLOOKUP($A188,'Выгр Кат'!$A:$S,E$1,0)</f>
        <v>1</v>
      </c>
      <c r="F188" s="132" t="str">
        <f>VLOOKUP($A188,'Выгр Кат'!$A:$S,F$1,0)</f>
        <v>6001547607РИ</v>
      </c>
      <c r="G188" s="45" t="s">
        <v>1821</v>
      </c>
      <c r="H188" s="29" t="s">
        <v>1821</v>
      </c>
      <c r="I188" s="4" t="s">
        <v>2</v>
      </c>
      <c r="J188" s="95">
        <v>1</v>
      </c>
      <c r="K188" s="168">
        <f t="shared" si="82"/>
        <v>105</v>
      </c>
      <c r="L188" s="167">
        <f>VLOOKUP(K188,Наценка!$A$1:$B$8,2,1)</f>
        <v>1.7204301075268817</v>
      </c>
      <c r="M188" s="172">
        <f t="shared" si="83"/>
        <v>180.64516129032259</v>
      </c>
      <c r="N188" s="173">
        <f t="shared" si="75"/>
        <v>189</v>
      </c>
      <c r="O188" s="134">
        <f>VLOOKUP($A188,'Выгр Кат'!$A:$S,O$1,0)</f>
        <v>105</v>
      </c>
      <c r="P188" s="134">
        <f>VLOOKUP($A188,'Выгр Кат'!$A:$S,P$1,0)</f>
        <v>189</v>
      </c>
      <c r="Q188" s="107">
        <f t="shared" si="76"/>
        <v>0</v>
      </c>
      <c r="R188" s="107">
        <f t="shared" si="77"/>
        <v>0</v>
      </c>
      <c r="S188" s="110">
        <f t="shared" si="78"/>
        <v>175.76999999999998</v>
      </c>
      <c r="T188" s="135">
        <f t="shared" si="79"/>
        <v>0.67399999999999993</v>
      </c>
      <c r="U188" s="135" t="str">
        <f t="shared" si="80"/>
        <v/>
      </c>
      <c r="V188" s="135" t="str">
        <f t="shared" si="81"/>
        <v/>
      </c>
      <c r="W188" s="45"/>
      <c r="X188" s="114" t="str">
        <f>IFERROR((VLOOKUP($A188,'ИЗ ГУГЛА'!$B:$G,X$1,0)+Z188)*Y188,VLOOKUP($A188,'ИЗ ГУГЛА'!$B:$G,X$1,0))</f>
        <v/>
      </c>
      <c r="Y188" s="108">
        <v>1</v>
      </c>
      <c r="Z188" s="46"/>
      <c r="AA188" s="45" t="s">
        <v>1821</v>
      </c>
      <c r="AB188" s="124"/>
      <c r="AC188" s="114" t="str">
        <f>IFERROR((VLOOKUP($A188,'ИЗ ГУГЛА'!$B:$Z,AC$1,0)+AE188)*AD188,VLOOKUP($A188,'ИЗ ГУГЛА'!$B:$Z,AC$1,0))</f>
        <v/>
      </c>
      <c r="AD188" s="108">
        <v>1</v>
      </c>
      <c r="AE188" s="46"/>
      <c r="AF188" s="115"/>
    </row>
    <row r="189" spans="1:32" s="5" customFormat="1" ht="45" x14ac:dyDescent="0.25">
      <c r="A189" s="132">
        <v>202114</v>
      </c>
      <c r="B189" s="132">
        <f>VLOOKUP($A189,'Выгр Кат'!$A:$S,B$1,0)</f>
        <v>35453</v>
      </c>
      <c r="C189" s="133" t="str">
        <f>VLOOKUP($A189,'Выгр Кат'!$A:$S,C$1,0)</f>
        <v>Пыльник "БРТ" шарнира промежуточного карданного вала для Шевроле Нива</v>
      </c>
      <c r="D189" s="132" t="str">
        <f>VLOOKUP($A189,'Выгр Кат'!$A:$S,D$1,0)</f>
        <v>Y</v>
      </c>
      <c r="E189" s="132" t="str">
        <f>VLOOKUP($A189,'Выгр Кат'!$A:$S,E$1,0)</f>
        <v>1</v>
      </c>
      <c r="F189" s="132" t="str">
        <f>VLOOKUP($A189,'Выгр Кат'!$A:$S,F$1,0)</f>
        <v>2123-2202068Р</v>
      </c>
      <c r="G189" s="44" t="s">
        <v>503</v>
      </c>
      <c r="H189" s="29"/>
      <c r="I189" s="4" t="s">
        <v>2</v>
      </c>
      <c r="J189" s="95">
        <v>1</v>
      </c>
      <c r="K189" s="168">
        <f t="shared" si="82"/>
        <v>113</v>
      </c>
      <c r="L189" s="167">
        <f>VLOOKUP(K189,Наценка!$A$1:$B$8,2,1)</f>
        <v>1.7204301075268817</v>
      </c>
      <c r="M189" s="147">
        <f>W189*1.04</f>
        <v>258.96000000000004</v>
      </c>
      <c r="N189" s="173">
        <f t="shared" si="75"/>
        <v>259</v>
      </c>
      <c r="O189" s="134">
        <f>VLOOKUP($A189,'Выгр Кат'!$A:$S,O$1,0)</f>
        <v>113</v>
      </c>
      <c r="P189" s="134">
        <f>VLOOKUP($A189,'Выгр Кат'!$A:$S,P$1,0)</f>
        <v>199</v>
      </c>
      <c r="Q189" s="107">
        <f t="shared" si="76"/>
        <v>0</v>
      </c>
      <c r="R189" s="107">
        <f t="shared" si="77"/>
        <v>-60</v>
      </c>
      <c r="S189" s="110">
        <f t="shared" si="78"/>
        <v>240.86999999999998</v>
      </c>
      <c r="T189" s="135">
        <f t="shared" si="79"/>
        <v>1.1315929203539823</v>
      </c>
      <c r="U189" s="135">
        <f t="shared" si="80"/>
        <v>3.265060240963865E-2</v>
      </c>
      <c r="V189" s="135">
        <f t="shared" si="81"/>
        <v>1.2035398230088497</v>
      </c>
      <c r="W189" s="117">
        <f t="shared" ref="W189:W191" si="113">AA189</f>
        <v>249</v>
      </c>
      <c r="X189" s="114">
        <f>IFERROR((VLOOKUP($A189,'ИЗ ГУГЛА'!$B:$G,X$1,0)+Z189)*Y189,VLOOKUP($A189,'ИЗ ГУГЛА'!$B:$G,X$1,0))</f>
        <v>249</v>
      </c>
      <c r="Y189" s="108">
        <v>1</v>
      </c>
      <c r="Z189" s="46"/>
      <c r="AA189" s="139">
        <v>249</v>
      </c>
      <c r="AB189" s="124" t="s">
        <v>2823</v>
      </c>
      <c r="AC189" s="114" t="str">
        <f>IFERROR((VLOOKUP($A189,'ИЗ ГУГЛА'!$B:$Z,AC$1,0)+AE189)*AD189,VLOOKUP($A189,'ИЗ ГУГЛА'!$B:$Z,AC$1,0))</f>
        <v/>
      </c>
      <c r="AD189" s="108">
        <v>1</v>
      </c>
      <c r="AE189" s="46"/>
      <c r="AF189" s="115"/>
    </row>
    <row r="190" spans="1:32" s="5" customFormat="1" ht="45.75" thickBot="1" x14ac:dyDescent="0.3">
      <c r="A190" s="132">
        <v>225915</v>
      </c>
      <c r="B190" s="132">
        <f>VLOOKUP($A190,'Выгр Кат'!$A:$S,B$1,0)</f>
        <v>35434</v>
      </c>
      <c r="C190" s="133" t="str">
        <f>VLOOKUP($A190,'Выгр Кат'!$A:$S,C$1,0)</f>
        <v>Шланг "БРТ" вентиляции картера (дополнительный) для Шевроле Нива</v>
      </c>
      <c r="D190" s="132" t="str">
        <f>VLOOKUP($A190,'Выгр Кат'!$A:$S,D$1,0)</f>
        <v>Y</v>
      </c>
      <c r="E190" s="132" t="str">
        <f>VLOOKUP($A190,'Выгр Кат'!$A:$S,E$1,0)</f>
        <v>1</v>
      </c>
      <c r="F190" s="132" t="str">
        <f>VLOOKUP($A190,'Выгр Кат'!$A:$S,F$1,0)</f>
        <v>2123-1014240Р</v>
      </c>
      <c r="G190" s="44" t="s">
        <v>481</v>
      </c>
      <c r="H190" s="29"/>
      <c r="I190" s="4" t="s">
        <v>2</v>
      </c>
      <c r="J190" s="95">
        <v>1</v>
      </c>
      <c r="K190" s="168">
        <f t="shared" si="82"/>
        <v>120</v>
      </c>
      <c r="L190" s="167">
        <f>VLOOKUP(K190,Наценка!$A$1:$B$8,2,1)</f>
        <v>1.7204301075268817</v>
      </c>
      <c r="M190" s="148">
        <f t="shared" ref="M189:M190" si="114">W190*1.05</f>
        <v>199.5</v>
      </c>
      <c r="N190" s="173">
        <f t="shared" si="75"/>
        <v>199</v>
      </c>
      <c r="O190" s="134">
        <f>VLOOKUP($A190,'Выгр Кат'!$A:$S,O$1,0)</f>
        <v>120</v>
      </c>
      <c r="P190" s="134">
        <f>VLOOKUP($A190,'Выгр Кат'!$A:$S,P$1,0)</f>
        <v>199</v>
      </c>
      <c r="Q190" s="107">
        <f t="shared" si="76"/>
        <v>0</v>
      </c>
      <c r="R190" s="107">
        <f t="shared" si="77"/>
        <v>0</v>
      </c>
      <c r="S190" s="110">
        <f t="shared" si="78"/>
        <v>185.07</v>
      </c>
      <c r="T190" s="135">
        <f t="shared" si="79"/>
        <v>0.5422499999999999</v>
      </c>
      <c r="U190" s="135">
        <f t="shared" si="80"/>
        <v>2.5947368421052667E-2</v>
      </c>
      <c r="V190" s="135">
        <f t="shared" si="81"/>
        <v>0.58333333333333326</v>
      </c>
      <c r="W190" s="117">
        <f t="shared" si="113"/>
        <v>190</v>
      </c>
      <c r="X190" s="114">
        <f>IFERROR((VLOOKUP($A190,'ИЗ ГУГЛА'!$B:$G,X$1,0)+Z190)*Y190,VLOOKUP($A190,'ИЗ ГУГЛА'!$B:$G,X$1,0))</f>
        <v>190</v>
      </c>
      <c r="Y190" s="46">
        <v>1</v>
      </c>
      <c r="Z190" s="46"/>
      <c r="AA190" s="138">
        <v>190</v>
      </c>
      <c r="AB190" s="124" t="s">
        <v>2368</v>
      </c>
      <c r="AC190" s="114" t="str">
        <f>IFERROR((VLOOKUP($A190,'ИЗ ГУГЛА'!$B:$Z,AC$1,0)+AE190)*AD190,VLOOKUP($A190,'ИЗ ГУГЛА'!$B:$Z,AC$1,0))</f>
        <v/>
      </c>
      <c r="AD190" s="46">
        <v>1</v>
      </c>
      <c r="AE190" s="46"/>
      <c r="AF190" s="115"/>
    </row>
    <row r="191" spans="1:32" s="5" customFormat="1" ht="31.5" thickTop="1" thickBot="1" x14ac:dyDescent="0.3">
      <c r="A191" s="132">
        <v>201330</v>
      </c>
      <c r="B191" s="132">
        <f>VLOOKUP($A191,'Выгр Кат'!$A:$S,B$1,0)</f>
        <v>35282</v>
      </c>
      <c r="C191" s="133" t="str">
        <f>VLOOKUP($A191,'Выгр Кат'!$A:$S,C$1,0)</f>
        <v>Прокладка "БРТ" воздушного фильтра для ВАЗ 2101-2107</v>
      </c>
      <c r="D191" s="132" t="str">
        <f>VLOOKUP($A191,'Выгр Кат'!$A:$S,D$1,0)</f>
        <v>Y</v>
      </c>
      <c r="E191" s="132" t="str">
        <f>VLOOKUP($A191,'Выгр Кат'!$A:$S,E$1,0)</f>
        <v>1</v>
      </c>
      <c r="F191" s="132" t="str">
        <f>VLOOKUP($A191,'Выгр Кат'!$A:$S,F$1,0)</f>
        <v>2101-1109129</v>
      </c>
      <c r="G191" s="44" t="s">
        <v>247</v>
      </c>
      <c r="H191" s="29"/>
      <c r="I191" s="4" t="s">
        <v>2</v>
      </c>
      <c r="J191" s="95">
        <v>1</v>
      </c>
      <c r="K191" s="168">
        <f t="shared" si="82"/>
        <v>120</v>
      </c>
      <c r="L191" s="167">
        <f>VLOOKUP(K191,Наценка!$A$1:$B$8,2,1)</f>
        <v>1.7204301075268817</v>
      </c>
      <c r="M191" s="148">
        <f t="shared" ref="M189:M191" si="115">W191*1.06</f>
        <v>307.40000000000003</v>
      </c>
      <c r="N191" s="173">
        <f t="shared" si="75"/>
        <v>309</v>
      </c>
      <c r="O191" s="134">
        <f>VLOOKUP($A191,'Выгр Кат'!$A:$S,O$1,0)</f>
        <v>120</v>
      </c>
      <c r="P191" s="134">
        <f>VLOOKUP($A191,'Выгр Кат'!$A:$S,P$1,0)</f>
        <v>309</v>
      </c>
      <c r="Q191" s="107">
        <f t="shared" si="76"/>
        <v>0</v>
      </c>
      <c r="R191" s="107">
        <f t="shared" si="77"/>
        <v>0</v>
      </c>
      <c r="S191" s="110">
        <f t="shared" si="78"/>
        <v>287.37</v>
      </c>
      <c r="T191" s="135">
        <f t="shared" si="79"/>
        <v>1.3947500000000002</v>
      </c>
      <c r="U191" s="135">
        <f t="shared" si="80"/>
        <v>9.0689655172413643E-3</v>
      </c>
      <c r="V191" s="135">
        <f t="shared" si="81"/>
        <v>1.4166666666666665</v>
      </c>
      <c r="W191" s="117">
        <f t="shared" si="113"/>
        <v>290</v>
      </c>
      <c r="X191" s="114">
        <f>IFERROR((VLOOKUP($A191,'ИЗ ГУГЛА'!$B:$G,X$1,0)+Z191)*Y191,VLOOKUP($A191,'ИЗ ГУГЛА'!$B:$G,X$1,0))</f>
        <v>290</v>
      </c>
      <c r="Y191" s="46">
        <v>1</v>
      </c>
      <c r="Z191" s="46"/>
      <c r="AA191" s="138">
        <v>290</v>
      </c>
      <c r="AB191" s="124" t="s">
        <v>2348</v>
      </c>
      <c r="AC191" s="114" t="str">
        <f>IFERROR((VLOOKUP($A191,'ИЗ ГУГЛА'!$B:$Z,AC$1,0)+AE191)*AD191,VLOOKUP($A191,'ИЗ ГУГЛА'!$B:$Z,AC$1,0))</f>
        <v/>
      </c>
      <c r="AD191" s="46">
        <v>1</v>
      </c>
      <c r="AE191" s="46"/>
      <c r="AF191" s="115"/>
    </row>
    <row r="192" spans="1:32" s="5" customFormat="1" ht="31.5" thickTop="1" thickBot="1" x14ac:dyDescent="0.3">
      <c r="A192" s="132">
        <v>186556</v>
      </c>
      <c r="B192" s="132">
        <f>VLOOKUP($A192,'Выгр Кат'!$A:$S,B$1,0)</f>
        <v>35353</v>
      </c>
      <c r="C192" s="133" t="str">
        <f>VLOOKUP($A192,'Выгр Кат'!$A:$S,C$1,0)</f>
        <v>Патрубок "БРТ" дроссельной заслонки для ВАЗ 2107</v>
      </c>
      <c r="D192" s="132" t="str">
        <f>VLOOKUP($A192,'Выгр Кат'!$A:$S,D$1,0)</f>
        <v>Y</v>
      </c>
      <c r="E192" s="132" t="str">
        <f>VLOOKUP($A192,'Выгр Кат'!$A:$S,E$1,0)</f>
        <v>1</v>
      </c>
      <c r="F192" s="132" t="str">
        <f>VLOOKUP($A192,'Выгр Кат'!$A:$S,F$1,0)</f>
        <v>21073-1148034</v>
      </c>
      <c r="G192" s="44" t="s">
        <v>307</v>
      </c>
      <c r="H192" s="29"/>
      <c r="I192" s="4" t="s">
        <v>2</v>
      </c>
      <c r="J192" s="95">
        <v>1</v>
      </c>
      <c r="K192" s="168">
        <f t="shared" si="82"/>
        <v>250</v>
      </c>
      <c r="L192" s="167">
        <f>VLOOKUP(K192,Наценка!$A$1:$B$8,2,1)</f>
        <v>1.7204301075268817</v>
      </c>
      <c r="M192" s="172">
        <f t="shared" si="83"/>
        <v>430.10752688172045</v>
      </c>
      <c r="N192" s="173">
        <f t="shared" si="75"/>
        <v>439</v>
      </c>
      <c r="O192" s="134">
        <f>VLOOKUP($A192,'Выгр Кат'!$A:$S,O$1,0)</f>
        <v>250</v>
      </c>
      <c r="P192" s="134">
        <f>VLOOKUP($A192,'Выгр Кат'!$A:$S,P$1,0)</f>
        <v>429</v>
      </c>
      <c r="Q192" s="107">
        <f t="shared" si="76"/>
        <v>0</v>
      </c>
      <c r="R192" s="107">
        <f t="shared" si="77"/>
        <v>-10</v>
      </c>
      <c r="S192" s="110">
        <f t="shared" si="78"/>
        <v>408.27</v>
      </c>
      <c r="T192" s="135">
        <f t="shared" si="79"/>
        <v>0.63307999999999987</v>
      </c>
      <c r="U192" s="135" t="str">
        <f t="shared" si="80"/>
        <v/>
      </c>
      <c r="V192" s="135" t="str">
        <f t="shared" si="81"/>
        <v/>
      </c>
      <c r="W192" s="45"/>
      <c r="X192" s="114" t="str">
        <f>IFERROR((VLOOKUP($A192,'ИЗ ГУГЛА'!$B:$G,X$1,0)+Z192)*Y192,VLOOKUP($A192,'ИЗ ГУГЛА'!$B:$G,X$1,0))</f>
        <v/>
      </c>
      <c r="Y192" s="108">
        <v>1</v>
      </c>
      <c r="Z192" s="46"/>
      <c r="AA192" s="140" t="s">
        <v>1821</v>
      </c>
      <c r="AB192" s="129"/>
      <c r="AC192" s="114" t="str">
        <f>IFERROR((VLOOKUP($A192,'ИЗ ГУГЛА'!$B:$Z,AC$1,0)+AE192)*AD192,VLOOKUP($A192,'ИЗ ГУГЛА'!$B:$Z,AC$1,0))</f>
        <v/>
      </c>
      <c r="AD192" s="108">
        <v>1</v>
      </c>
      <c r="AE192" s="46"/>
      <c r="AF192" s="115"/>
    </row>
    <row r="193" spans="1:32" s="5" customFormat="1" ht="30.75" thickTop="1" x14ac:dyDescent="0.25">
      <c r="A193" s="132">
        <v>225426</v>
      </c>
      <c r="B193" s="132">
        <f>VLOOKUP($A193,'Выгр Кат'!$A:$S,B$1,0)</f>
        <v>20304</v>
      </c>
      <c r="C193" s="133" t="str">
        <f>VLOOKUP($A193,'Выгр Кат'!$A:$S,C$1,0)</f>
        <v>Шарнир рычага передний в сборе "БРТ" для Лада Веста</v>
      </c>
      <c r="D193" s="132" t="str">
        <f>VLOOKUP($A193,'Выгр Кат'!$A:$S,D$1,0)</f>
        <v>Y</v>
      </c>
      <c r="E193" s="132" t="str">
        <f>VLOOKUP($A193,'Выгр Кат'!$A:$S,E$1,0)</f>
        <v>1</v>
      </c>
      <c r="F193" s="132" t="str">
        <f>VLOOKUP($A193,'Выгр Кат'!$A:$S,F$1,0)</f>
        <v>2180-2904040Р.</v>
      </c>
      <c r="G193" s="45" t="s">
        <v>559</v>
      </c>
      <c r="H193" s="29"/>
      <c r="I193" s="4" t="s">
        <v>2</v>
      </c>
      <c r="J193" s="95">
        <v>1</v>
      </c>
      <c r="K193" s="168">
        <f t="shared" si="82"/>
        <v>110</v>
      </c>
      <c r="L193" s="167">
        <f>VLOOKUP(K193,Наценка!$A$1:$B$8,2,1)</f>
        <v>1.7204301075268817</v>
      </c>
      <c r="M193" s="172">
        <f t="shared" si="83"/>
        <v>189.24731182795699</v>
      </c>
      <c r="N193" s="173">
        <f t="shared" si="75"/>
        <v>189</v>
      </c>
      <c r="O193" s="134">
        <f>VLOOKUP($A193,'Выгр Кат'!$A:$S,O$1,0)</f>
        <v>110</v>
      </c>
      <c r="P193" s="134">
        <f>VLOOKUP($A193,'Выгр Кат'!$A:$S,P$1,0)</f>
        <v>189</v>
      </c>
      <c r="Q193" s="107">
        <f t="shared" si="76"/>
        <v>0</v>
      </c>
      <c r="R193" s="107">
        <f t="shared" si="77"/>
        <v>0</v>
      </c>
      <c r="S193" s="110">
        <f t="shared" si="78"/>
        <v>175.76999999999998</v>
      </c>
      <c r="T193" s="135">
        <f t="shared" si="79"/>
        <v>0.59790909090909072</v>
      </c>
      <c r="U193" s="135">
        <f t="shared" si="80"/>
        <v>0.70208474576271185</v>
      </c>
      <c r="V193" s="135">
        <f t="shared" si="81"/>
        <v>4.3636363636363633</v>
      </c>
      <c r="W193" s="117">
        <f t="shared" ref="W193:W195" si="116">AA193</f>
        <v>590</v>
      </c>
      <c r="X193" s="114">
        <f>IFERROR((VLOOKUP($A193,'ИЗ ГУГЛА'!$B:$G,X$1,0)+Z193)*Y193,VLOOKUP($A193,'ИЗ ГУГЛА'!$B:$G,X$1,0))</f>
        <v>590</v>
      </c>
      <c r="Y193" s="108">
        <v>1</v>
      </c>
      <c r="Z193" s="46"/>
      <c r="AA193" s="139">
        <v>590</v>
      </c>
      <c r="AB193" s="124" t="s">
        <v>2826</v>
      </c>
      <c r="AC193" s="114" t="str">
        <f>IFERROR((VLOOKUP($A193,'ИЗ ГУГЛА'!$B:$Z,AC$1,0)+AE193)*AD193,VLOOKUP($A193,'ИЗ ГУГЛА'!$B:$Z,AC$1,0))</f>
        <v/>
      </c>
      <c r="AD193" s="108">
        <v>1</v>
      </c>
      <c r="AE193" s="46"/>
      <c r="AF193" s="115"/>
    </row>
    <row r="194" spans="1:32" s="5" customFormat="1" ht="45.75" thickBot="1" x14ac:dyDescent="0.3">
      <c r="A194" s="132">
        <v>153072</v>
      </c>
      <c r="B194" s="132">
        <f>VLOOKUP($A194,'Выгр Кат'!$A:$S,B$1,0)</f>
        <v>36977</v>
      </c>
      <c r="C194" s="133" t="str">
        <f>VLOOKUP($A194,'Выгр Кат'!$A:$S,C$1,0)</f>
        <v>Изолирующая прокладка пружины передней подвески "БРТ" усиленная для ВАЗ 2101-2107</v>
      </c>
      <c r="D194" s="132" t="str">
        <f>VLOOKUP($A194,'Выгр Кат'!$A:$S,D$1,0)</f>
        <v>Y</v>
      </c>
      <c r="E194" s="132" t="str">
        <f>VLOOKUP($A194,'Выгр Кат'!$A:$S,E$1,0)</f>
        <v>1</v>
      </c>
      <c r="F194" s="132" t="str">
        <f>VLOOKUP($A194,'Выгр Кат'!$A:$S,F$1,0)</f>
        <v>2101-2904195Р</v>
      </c>
      <c r="G194" s="44" t="s">
        <v>266</v>
      </c>
      <c r="H194" s="29"/>
      <c r="I194" s="7" t="s">
        <v>2</v>
      </c>
      <c r="J194" s="95">
        <v>1</v>
      </c>
      <c r="K194" s="168">
        <f t="shared" si="82"/>
        <v>125</v>
      </c>
      <c r="L194" s="167">
        <f>VLOOKUP(K194,Наценка!$A$1:$B$8,2,1)</f>
        <v>1.7204301075268817</v>
      </c>
      <c r="M194" s="148">
        <f t="shared" ref="M193:M195" si="117">W194*1.06</f>
        <v>179.14000000000001</v>
      </c>
      <c r="N194" s="173">
        <f t="shared" si="75"/>
        <v>179</v>
      </c>
      <c r="O194" s="134">
        <f>VLOOKUP($A194,'Выгр Кат'!$A:$S,O$1,0)</f>
        <v>125</v>
      </c>
      <c r="P194" s="134">
        <f>VLOOKUP($A194,'Выгр Кат'!$A:$S,P$1,0)</f>
        <v>179</v>
      </c>
      <c r="Q194" s="107">
        <f t="shared" si="76"/>
        <v>0</v>
      </c>
      <c r="R194" s="107">
        <f t="shared" si="77"/>
        <v>0</v>
      </c>
      <c r="S194" s="110">
        <f t="shared" si="78"/>
        <v>166.47</v>
      </c>
      <c r="T194" s="135">
        <f t="shared" si="79"/>
        <v>0.33176000000000005</v>
      </c>
      <c r="U194" s="135">
        <f t="shared" si="80"/>
        <v>1.4970414201183439E-2</v>
      </c>
      <c r="V194" s="135">
        <f t="shared" si="81"/>
        <v>0.35200000000000009</v>
      </c>
      <c r="W194" s="117">
        <f t="shared" si="116"/>
        <v>169</v>
      </c>
      <c r="X194" s="114">
        <f>IFERROR((VLOOKUP($A194,'ИЗ ГУГЛА'!$B:$G,X$1,0)+Z194)*Y194,VLOOKUP($A194,'ИЗ ГУГЛА'!$B:$G,X$1,0))</f>
        <v>169</v>
      </c>
      <c r="Y194" s="46">
        <v>1</v>
      </c>
      <c r="Z194" s="46"/>
      <c r="AA194" s="138">
        <v>169</v>
      </c>
      <c r="AB194" s="124" t="s">
        <v>2349</v>
      </c>
      <c r="AC194" s="114" t="str">
        <f>IFERROR((VLOOKUP($A194,'ИЗ ГУГЛА'!$B:$Z,AC$1,0)+AE194)*AD194,VLOOKUP($A194,'ИЗ ГУГЛА'!$B:$Z,AC$1,0))</f>
        <v/>
      </c>
      <c r="AD194" s="46">
        <v>1</v>
      </c>
      <c r="AE194" s="46"/>
      <c r="AF194" s="115"/>
    </row>
    <row r="195" spans="1:32" s="5" customFormat="1" ht="45.75" thickTop="1" x14ac:dyDescent="0.25">
      <c r="A195" s="132">
        <v>225389</v>
      </c>
      <c r="B195" s="132">
        <f>VLOOKUP($A195,'Выгр Кат'!$A:$S,B$1,0)</f>
        <v>20517</v>
      </c>
      <c r="C195" s="133" t="str">
        <f>VLOOKUP($A195,'Выгр Кат'!$A:$S,C$1,0)</f>
        <v>Шарнир внутренних тяг левой трапеции в сборе "БРТ" для ВАЗ 2110-2112</v>
      </c>
      <c r="D195" s="132" t="str">
        <f>VLOOKUP($A195,'Выгр Кат'!$A:$S,D$1,0)</f>
        <v>Y</v>
      </c>
      <c r="E195" s="132" t="str">
        <f>VLOOKUP($A195,'Выгр Кат'!$A:$S,E$1,0)</f>
        <v>1</v>
      </c>
      <c r="F195" s="132" t="str">
        <f>VLOOKUP($A195,'Выгр Кат'!$A:$S,F$1,0)</f>
        <v>2110-3414070Р.</v>
      </c>
      <c r="G195" s="45" t="s">
        <v>404</v>
      </c>
      <c r="H195" s="29"/>
      <c r="I195" s="4" t="s">
        <v>2</v>
      </c>
      <c r="J195" s="95">
        <v>1</v>
      </c>
      <c r="K195" s="168">
        <f t="shared" si="82"/>
        <v>123</v>
      </c>
      <c r="L195" s="167">
        <f>VLOOKUP(K195,Наценка!$A$1:$B$8,2,1)</f>
        <v>1.7204301075268817</v>
      </c>
      <c r="M195" s="148">
        <f t="shared" si="117"/>
        <v>179.14000000000001</v>
      </c>
      <c r="N195" s="173">
        <f t="shared" ref="N195:N258" si="118">IF(M195&lt;=1000,(ROUNDUP(M195,-1)-1),(ROUNDUP(M195,-2)-10))</f>
        <v>179</v>
      </c>
      <c r="O195" s="134">
        <f>VLOOKUP($A195,'Выгр Кат'!$A:$S,O$1,0)</f>
        <v>123</v>
      </c>
      <c r="P195" s="134">
        <f>VLOOKUP($A195,'Выгр Кат'!$A:$S,P$1,0)</f>
        <v>219</v>
      </c>
      <c r="Q195" s="107">
        <f t="shared" ref="Q195:Q258" si="119">O195-K195</f>
        <v>0</v>
      </c>
      <c r="R195" s="107">
        <f t="shared" ref="R195:R258" si="120">P195-N195</f>
        <v>40</v>
      </c>
      <c r="S195" s="110">
        <f t="shared" ref="S195:S258" si="121">IFERROR(N195*(1-$S$2),"")</f>
        <v>166.47</v>
      </c>
      <c r="T195" s="135">
        <f t="shared" ref="T195:T258" si="122">IFERROR(S195/K195-1,"")</f>
        <v>0.35341463414634156</v>
      </c>
      <c r="U195" s="135">
        <f t="shared" ref="U195:U258" si="123">IFERROR((W195-S195)/W195,"")</f>
        <v>1.4970414201183439E-2</v>
      </c>
      <c r="V195" s="135">
        <f t="shared" ref="V195:V258" si="124">IFERROR(IF(W195="","",W195/K195-1),"")</f>
        <v>0.37398373983739841</v>
      </c>
      <c r="W195" s="117">
        <f t="shared" si="116"/>
        <v>169</v>
      </c>
      <c r="X195" s="114">
        <f>IFERROR((VLOOKUP($A195,'ИЗ ГУГЛА'!$B:$G,X$1,0)+Z195)*Y195,VLOOKUP($A195,'ИЗ ГУГЛА'!$B:$G,X$1,0))</f>
        <v>169</v>
      </c>
      <c r="Y195" s="108">
        <v>1</v>
      </c>
      <c r="Z195" s="46"/>
      <c r="AA195" s="139">
        <v>169</v>
      </c>
      <c r="AB195" s="124" t="s">
        <v>2827</v>
      </c>
      <c r="AC195" s="114" t="str">
        <f>IFERROR((VLOOKUP($A195,'ИЗ ГУГЛА'!$B:$Z,AC$1,0)+AE195)*AD195,VLOOKUP($A195,'ИЗ ГУГЛА'!$B:$Z,AC$1,0))</f>
        <v/>
      </c>
      <c r="AD195" s="108">
        <v>1</v>
      </c>
      <c r="AE195" s="46"/>
      <c r="AF195" s="115"/>
    </row>
    <row r="196" spans="1:32" s="5" customFormat="1" ht="45.75" thickBot="1" x14ac:dyDescent="0.3">
      <c r="A196" s="132">
        <v>186685</v>
      </c>
      <c r="B196" s="132">
        <f>VLOOKUP($A196,'Выгр Кат'!$A:$S,B$1,0)</f>
        <v>20236</v>
      </c>
      <c r="C196" s="133" t="str">
        <f>VLOOKUP($A196,'Выгр Кат'!$A:$S,C$1,0)</f>
        <v>Патрубок отопителя (печки) отводящий "БРТ" задний для ВАЗ 2110-2112</v>
      </c>
      <c r="D196" s="132" t="str">
        <f>VLOOKUP($A196,'Выгр Кат'!$A:$S,D$1,0)</f>
        <v>Y</v>
      </c>
      <c r="E196" s="132" t="str">
        <f>VLOOKUP($A196,'Выгр Кат'!$A:$S,E$1,0)</f>
        <v>1</v>
      </c>
      <c r="F196" s="132" t="str">
        <f>VLOOKUP($A196,'Выгр Кат'!$A:$S,F$1,0)</f>
        <v>2110-8101208-11РП.</v>
      </c>
      <c r="G196" s="45" t="s">
        <v>525</v>
      </c>
      <c r="H196" s="29"/>
      <c r="I196" s="4" t="s">
        <v>2</v>
      </c>
      <c r="J196" s="95">
        <v>1</v>
      </c>
      <c r="K196" s="168">
        <f t="shared" ref="K196:K259" si="125">O196</f>
        <v>126</v>
      </c>
      <c r="L196" s="167">
        <f>VLOOKUP(K196,Наценка!$A$1:$B$8,2,1)</f>
        <v>1.7204301075268817</v>
      </c>
      <c r="M196" s="172">
        <f t="shared" si="83"/>
        <v>216.7741935483871</v>
      </c>
      <c r="N196" s="173">
        <f t="shared" si="118"/>
        <v>219</v>
      </c>
      <c r="O196" s="134">
        <f>VLOOKUP($A196,'Выгр Кат'!$A:$S,O$1,0)</f>
        <v>126</v>
      </c>
      <c r="P196" s="134">
        <f>VLOOKUP($A196,'Выгр Кат'!$A:$S,P$1,0)</f>
        <v>219</v>
      </c>
      <c r="Q196" s="107">
        <f t="shared" si="119"/>
        <v>0</v>
      </c>
      <c r="R196" s="107">
        <f t="shared" si="120"/>
        <v>0</v>
      </c>
      <c r="S196" s="110">
        <f t="shared" si="121"/>
        <v>203.67</v>
      </c>
      <c r="T196" s="135">
        <f t="shared" si="122"/>
        <v>0.61642857142857133</v>
      </c>
      <c r="U196" s="135" t="str">
        <f t="shared" si="123"/>
        <v/>
      </c>
      <c r="V196" s="135" t="str">
        <f t="shared" si="124"/>
        <v/>
      </c>
      <c r="W196" s="45"/>
      <c r="X196" s="114" t="str">
        <f>IFERROR((VLOOKUP($A196,'ИЗ ГУГЛА'!$B:$G,X$1,0)+Z196)*Y196,VLOOKUP($A196,'ИЗ ГУГЛА'!$B:$G,X$1,0))</f>
        <v/>
      </c>
      <c r="Y196" s="108">
        <v>1</v>
      </c>
      <c r="Z196" s="46"/>
      <c r="AA196" s="140" t="s">
        <v>1821</v>
      </c>
      <c r="AB196" s="129"/>
      <c r="AC196" s="114" t="str">
        <f>IFERROR((VLOOKUP($A196,'ИЗ ГУГЛА'!$B:$Z,AC$1,0)+AE196)*AD196,VLOOKUP($A196,'ИЗ ГУГЛА'!$B:$Z,AC$1,0))</f>
        <v/>
      </c>
      <c r="AD196" s="108">
        <v>1</v>
      </c>
      <c r="AE196" s="46"/>
      <c r="AF196" s="115"/>
    </row>
    <row r="197" spans="1:32" s="5" customFormat="1" ht="31.5" thickTop="1" thickBot="1" x14ac:dyDescent="0.3">
      <c r="A197" s="132">
        <v>186657</v>
      </c>
      <c r="B197" s="132">
        <f>VLOOKUP($A197,'Выгр Кат'!$A:$S,B$1,0)</f>
        <v>20392</v>
      </c>
      <c r="C197" s="133" t="str">
        <f>VLOOKUP($A197,'Выгр Кат'!$A:$S,C$1,0)</f>
        <v>Патрубок вытяжной вентиляции картера "БРТ" для ВАЗ 2110-2112 16v</v>
      </c>
      <c r="D197" s="132" t="str">
        <f>VLOOKUP($A197,'Выгр Кат'!$A:$S,D$1,0)</f>
        <v>Y</v>
      </c>
      <c r="E197" s="132" t="str">
        <f>VLOOKUP($A197,'Выгр Кат'!$A:$S,E$1,0)</f>
        <v>1</v>
      </c>
      <c r="F197" s="132" t="str">
        <f>VLOOKUP($A197,'Выгр Кат'!$A:$S,F$1,0)</f>
        <v>21124-1014058РП.</v>
      </c>
      <c r="G197" s="42" t="s">
        <v>423</v>
      </c>
      <c r="H197" s="29"/>
      <c r="I197" s="4" t="s">
        <v>2</v>
      </c>
      <c r="J197" s="95">
        <v>1</v>
      </c>
      <c r="K197" s="168">
        <f t="shared" si="125"/>
        <v>127</v>
      </c>
      <c r="L197" s="167">
        <f>VLOOKUP(K197,Наценка!$A$1:$B$8,2,1)</f>
        <v>1.7204301075268817</v>
      </c>
      <c r="M197" s="149">
        <f t="shared" ref="M197:M202" si="126">W197*1.07</f>
        <v>319.93</v>
      </c>
      <c r="N197" s="173">
        <f t="shared" si="118"/>
        <v>319</v>
      </c>
      <c r="O197" s="134">
        <f>VLOOKUP($A197,'Выгр Кат'!$A:$S,O$1,0)</f>
        <v>127</v>
      </c>
      <c r="P197" s="134">
        <f>VLOOKUP($A197,'Выгр Кат'!$A:$S,P$1,0)</f>
        <v>239</v>
      </c>
      <c r="Q197" s="107">
        <f t="shared" si="119"/>
        <v>0</v>
      </c>
      <c r="R197" s="107">
        <f t="shared" si="120"/>
        <v>-80</v>
      </c>
      <c r="S197" s="110">
        <f t="shared" si="121"/>
        <v>296.66999999999996</v>
      </c>
      <c r="T197" s="135">
        <f t="shared" si="122"/>
        <v>1.3359842519685037</v>
      </c>
      <c r="U197" s="135">
        <f t="shared" si="123"/>
        <v>7.7926421404683642E-3</v>
      </c>
      <c r="V197" s="135">
        <f t="shared" si="124"/>
        <v>1.3543307086614171</v>
      </c>
      <c r="W197" s="117">
        <f t="shared" ref="W197:W202" si="127">AA197</f>
        <v>299</v>
      </c>
      <c r="X197" s="114">
        <f>IFERROR((VLOOKUP($A197,'ИЗ ГУГЛА'!$B:$G,X$1,0)+Z197)*Y197,VLOOKUP($A197,'ИЗ ГУГЛА'!$B:$G,X$1,0))</f>
        <v>299</v>
      </c>
      <c r="Y197" s="108">
        <v>1</v>
      </c>
      <c r="Z197" s="46"/>
      <c r="AA197" s="138">
        <v>299</v>
      </c>
      <c r="AB197" s="124" t="s">
        <v>2653</v>
      </c>
      <c r="AC197" s="114" t="str">
        <f>IFERROR((VLOOKUP($A197,'ИЗ ГУГЛА'!$B:$Z,AC$1,0)+AE197)*AD197,VLOOKUP($A197,'ИЗ ГУГЛА'!$B:$Z,AC$1,0))</f>
        <v/>
      </c>
      <c r="AD197" s="108">
        <v>1</v>
      </c>
      <c r="AE197" s="46"/>
      <c r="AF197" s="115"/>
    </row>
    <row r="198" spans="1:32" s="5" customFormat="1" ht="46.5" thickTop="1" thickBot="1" x14ac:dyDescent="0.3">
      <c r="A198" s="132">
        <v>186658</v>
      </c>
      <c r="B198" s="132">
        <f>VLOOKUP($A198,'Выгр Кат'!$A:$S,B$1,0)</f>
        <v>20378</v>
      </c>
      <c r="C198" s="133" t="str">
        <f>VLOOKUP($A198,'Выгр Кат'!$A:$S,C$1,0)</f>
        <v>Патрубок вытяжной вентиляции картера верхний "БРТ" для ВАЗ 2110-2112 16v</v>
      </c>
      <c r="D198" s="132" t="str">
        <f>VLOOKUP($A198,'Выгр Кат'!$A:$S,D$1,0)</f>
        <v>Y</v>
      </c>
      <c r="E198" s="132" t="str">
        <f>VLOOKUP($A198,'Выгр Кат'!$A:$S,E$1,0)</f>
        <v>1</v>
      </c>
      <c r="F198" s="132" t="str">
        <f>VLOOKUP($A198,'Выгр Кат'!$A:$S,F$1,0)</f>
        <v>21120101405800</v>
      </c>
      <c r="G198" s="45" t="s">
        <v>423</v>
      </c>
      <c r="H198" s="29"/>
      <c r="I198" s="4" t="s">
        <v>2</v>
      </c>
      <c r="J198" s="95">
        <v>1</v>
      </c>
      <c r="K198" s="168">
        <f t="shared" si="125"/>
        <v>127</v>
      </c>
      <c r="L198" s="167">
        <f>VLOOKUP(K198,Наценка!$A$1:$B$8,2,1)</f>
        <v>1.7204301075268817</v>
      </c>
      <c r="M198" s="149">
        <f t="shared" si="126"/>
        <v>319.93</v>
      </c>
      <c r="N198" s="173">
        <f t="shared" si="118"/>
        <v>319</v>
      </c>
      <c r="O198" s="134">
        <f>VLOOKUP($A198,'Выгр Кат'!$A:$S,O$1,0)</f>
        <v>127</v>
      </c>
      <c r="P198" s="134">
        <f>VLOOKUP($A198,'Выгр Кат'!$A:$S,P$1,0)</f>
        <v>239</v>
      </c>
      <c r="Q198" s="107">
        <f t="shared" si="119"/>
        <v>0</v>
      </c>
      <c r="R198" s="107">
        <f t="shared" si="120"/>
        <v>-80</v>
      </c>
      <c r="S198" s="110">
        <f t="shared" si="121"/>
        <v>296.66999999999996</v>
      </c>
      <c r="T198" s="135">
        <f t="shared" si="122"/>
        <v>1.3359842519685037</v>
      </c>
      <c r="U198" s="135">
        <f t="shared" si="123"/>
        <v>7.7926421404683642E-3</v>
      </c>
      <c r="V198" s="135">
        <f t="shared" si="124"/>
        <v>1.3543307086614171</v>
      </c>
      <c r="W198" s="117">
        <f t="shared" si="127"/>
        <v>299</v>
      </c>
      <c r="X198" s="114">
        <f>IFERROR((VLOOKUP($A198,'ИЗ ГУГЛА'!$B:$G,X$1,0)+Z198)*Y198,VLOOKUP($A198,'ИЗ ГУГЛА'!$B:$G,X$1,0))</f>
        <v>299</v>
      </c>
      <c r="Y198" s="108">
        <v>1</v>
      </c>
      <c r="Z198" s="46"/>
      <c r="AA198" s="138">
        <v>299</v>
      </c>
      <c r="AB198" s="124" t="s">
        <v>2653</v>
      </c>
      <c r="AC198" s="114" t="str">
        <f>IFERROR((VLOOKUP($A198,'ИЗ ГУГЛА'!$B:$Z,AC$1,0)+AE198)*AD198,VLOOKUP($A198,'ИЗ ГУГЛА'!$B:$Z,AC$1,0))</f>
        <v/>
      </c>
      <c r="AD198" s="108">
        <v>1</v>
      </c>
      <c r="AE198" s="46"/>
      <c r="AF198" s="115"/>
    </row>
    <row r="199" spans="1:32" s="5" customFormat="1" ht="45.75" thickTop="1" x14ac:dyDescent="0.25">
      <c r="A199" s="132">
        <v>213159</v>
      </c>
      <c r="B199" s="132">
        <f>VLOOKUP($A199,'Выгр Кат'!$A:$S,B$1,0)</f>
        <v>32806</v>
      </c>
      <c r="C199" s="133" t="str">
        <f>VLOOKUP($A199,'Выгр Кат'!$A:$S,C$1,0)</f>
        <v>Сайлентблок переднего амортизатора "БРТ" (нижний) для ВАЗ 2101-2107</v>
      </c>
      <c r="D199" s="132" t="str">
        <f>VLOOKUP($A199,'Выгр Кат'!$A:$S,D$1,0)</f>
        <v>Y</v>
      </c>
      <c r="E199" s="132" t="str">
        <f>VLOOKUP($A199,'Выгр Кат'!$A:$S,E$1,0)</f>
        <v>1ск4</v>
      </c>
      <c r="F199" s="132" t="str">
        <f>VLOOKUP($A199,'Выгр Кат'!$A:$S,F$1,0)</f>
        <v>21012905448</v>
      </c>
      <c r="G199" s="35" t="s">
        <v>267</v>
      </c>
      <c r="H199" s="29"/>
      <c r="I199" s="4" t="s">
        <v>2</v>
      </c>
      <c r="J199" s="95">
        <v>1</v>
      </c>
      <c r="K199" s="168">
        <f t="shared" si="125"/>
        <v>126</v>
      </c>
      <c r="L199" s="167">
        <f>VLOOKUP(K199,Наценка!$A$1:$B$8,2,1)</f>
        <v>1.7204301075268817</v>
      </c>
      <c r="M199" s="147">
        <f>W199*1.04</f>
        <v>238.16</v>
      </c>
      <c r="N199" s="173">
        <f t="shared" si="118"/>
        <v>239</v>
      </c>
      <c r="O199" s="134">
        <f>VLOOKUP($A199,'Выгр Кат'!$A:$S,O$1,0)</f>
        <v>126</v>
      </c>
      <c r="P199" s="134">
        <f>VLOOKUP($A199,'Выгр Кат'!$A:$S,P$1,0)</f>
        <v>219</v>
      </c>
      <c r="Q199" s="107">
        <f t="shared" si="119"/>
        <v>0</v>
      </c>
      <c r="R199" s="107">
        <f t="shared" si="120"/>
        <v>-20</v>
      </c>
      <c r="S199" s="110">
        <f t="shared" si="121"/>
        <v>222.26999999999998</v>
      </c>
      <c r="T199" s="135">
        <f t="shared" si="122"/>
        <v>0.76404761904761886</v>
      </c>
      <c r="U199" s="135">
        <f t="shared" si="123"/>
        <v>2.9388646288209686E-2</v>
      </c>
      <c r="V199" s="135">
        <f t="shared" si="124"/>
        <v>0.81746031746031744</v>
      </c>
      <c r="W199" s="117">
        <f t="shared" si="127"/>
        <v>229</v>
      </c>
      <c r="X199" s="114">
        <f>IFERROR((VLOOKUP($A199,'ИЗ ГУГЛА'!$B:$G,X$1,0)+Z199)*Y199,VLOOKUP($A199,'ИЗ ГУГЛА'!$B:$G,X$1,0))</f>
        <v>229</v>
      </c>
      <c r="Y199" s="108">
        <v>1</v>
      </c>
      <c r="Z199" s="46"/>
      <c r="AA199" s="139">
        <v>229</v>
      </c>
      <c r="AB199" s="124" t="s">
        <v>2828</v>
      </c>
      <c r="AC199" s="114" t="str">
        <f>IFERROR((VLOOKUP($A199,'ИЗ ГУГЛА'!$B:$Z,AC$1,0)+AE199)*AD199,VLOOKUP($A199,'ИЗ ГУГЛА'!$B:$Z,AC$1,0))</f>
        <v/>
      </c>
      <c r="AD199" s="108">
        <v>1</v>
      </c>
      <c r="AE199" s="46"/>
      <c r="AF199" s="115"/>
    </row>
    <row r="200" spans="1:32" s="5" customFormat="1" ht="45.75" thickBot="1" x14ac:dyDescent="0.3">
      <c r="A200" s="132">
        <v>186684</v>
      </c>
      <c r="B200" s="132">
        <f>VLOOKUP($A200,'Выгр Кат'!$A:$S,B$1,0)</f>
        <v>19975</v>
      </c>
      <c r="C200" s="133" t="str">
        <f>VLOOKUP($A200,'Выгр Кат'!$A:$S,C$1,0)</f>
        <v>Патрубок отопителя (печки) отводящий "БРТ" задний для ВАЗ 2108-21099, 2113-2115</v>
      </c>
      <c r="D200" s="132" t="str">
        <f>VLOOKUP($A200,'Выгр Кат'!$A:$S,D$1,0)</f>
        <v>Y</v>
      </c>
      <c r="E200" s="132" t="str">
        <f>VLOOKUP($A200,'Выгр Кат'!$A:$S,E$1,0)</f>
        <v>1</v>
      </c>
      <c r="F200" s="132" t="str">
        <f>VLOOKUP($A200,'Выгр Кат'!$A:$S,F$1,0)</f>
        <v>21082-8101208РП</v>
      </c>
      <c r="G200" s="45" t="s">
        <v>366</v>
      </c>
      <c r="H200" s="29"/>
      <c r="I200" s="4" t="s">
        <v>2</v>
      </c>
      <c r="J200" s="95">
        <v>1</v>
      </c>
      <c r="K200" s="168">
        <f t="shared" si="125"/>
        <v>129</v>
      </c>
      <c r="L200" s="167">
        <f>VLOOKUP(K200,Наценка!$A$1:$B$8,2,1)</f>
        <v>1.7204301075268817</v>
      </c>
      <c r="M200" s="148">
        <f t="shared" ref="M199:M202" si="128">W200*1.06</f>
        <v>179.14000000000001</v>
      </c>
      <c r="N200" s="173">
        <f t="shared" si="118"/>
        <v>179</v>
      </c>
      <c r="O200" s="134">
        <f>VLOOKUP($A200,'Выгр Кат'!$A:$S,O$1,0)</f>
        <v>129</v>
      </c>
      <c r="P200" s="134">
        <f>VLOOKUP($A200,'Выгр Кат'!$A:$S,P$1,0)</f>
        <v>179</v>
      </c>
      <c r="Q200" s="107">
        <f t="shared" si="119"/>
        <v>0</v>
      </c>
      <c r="R200" s="107">
        <f t="shared" si="120"/>
        <v>0</v>
      </c>
      <c r="S200" s="110">
        <f t="shared" si="121"/>
        <v>166.47</v>
      </c>
      <c r="T200" s="135">
        <f t="shared" si="122"/>
        <v>0.29046511627906968</v>
      </c>
      <c r="U200" s="135">
        <f t="shared" si="123"/>
        <v>1.4970414201183439E-2</v>
      </c>
      <c r="V200" s="135">
        <f t="shared" si="124"/>
        <v>0.31007751937984507</v>
      </c>
      <c r="W200" s="117">
        <f t="shared" si="127"/>
        <v>169</v>
      </c>
      <c r="X200" s="114">
        <f>IFERROR((VLOOKUP($A200,'ИЗ ГУГЛА'!$B:$G,X$1,0)+Z200)*Y200,VLOOKUP($A200,'ИЗ ГУГЛА'!$B:$G,X$1,0))</f>
        <v>169</v>
      </c>
      <c r="Y200" s="108">
        <v>1</v>
      </c>
      <c r="Z200" s="46"/>
      <c r="AA200" s="136">
        <v>169</v>
      </c>
      <c r="AB200" s="124" t="s">
        <v>2655</v>
      </c>
      <c r="AC200" s="114" t="str">
        <f>IFERROR((VLOOKUP($A200,'ИЗ ГУГЛА'!$B:$Z,AC$1,0)+AE200)*AD200,VLOOKUP($A200,'ИЗ ГУГЛА'!$B:$Z,AC$1,0))</f>
        <v/>
      </c>
      <c r="AD200" s="108">
        <v>1</v>
      </c>
      <c r="AE200" s="46"/>
      <c r="AF200" s="115"/>
    </row>
    <row r="201" spans="1:32" s="5" customFormat="1" ht="31.5" thickTop="1" thickBot="1" x14ac:dyDescent="0.3">
      <c r="A201" s="132">
        <v>158294</v>
      </c>
      <c r="B201" s="132">
        <f>VLOOKUP($A201,'Выгр Кат'!$A:$S,B$1,0)</f>
        <v>35518</v>
      </c>
      <c r="C201" s="133" t="str">
        <f>VLOOKUP($A201,'Выгр Кат'!$A:$S,C$1,0)</f>
        <v>Комплект "БРТ" передних брызговиков для Лада Калина</v>
      </c>
      <c r="D201" s="132" t="str">
        <f>VLOOKUP($A201,'Выгр Кат'!$A:$S,D$1,0)</f>
        <v>Y</v>
      </c>
      <c r="E201" s="132" t="str">
        <f>VLOOKUP($A201,'Выгр Кат'!$A:$S,E$1,0)</f>
        <v>1</v>
      </c>
      <c r="F201" s="132" t="str">
        <f>VLOOKUP($A201,'Выгр Кат'!$A:$S,F$1,0)</f>
        <v>1118-8403512/13</v>
      </c>
      <c r="G201" s="44" t="s">
        <v>1282</v>
      </c>
      <c r="H201" s="29"/>
      <c r="I201" s="4" t="s">
        <v>2</v>
      </c>
      <c r="J201" s="95">
        <v>1</v>
      </c>
      <c r="K201" s="168">
        <f t="shared" si="125"/>
        <v>165</v>
      </c>
      <c r="L201" s="167">
        <f>VLOOKUP(K201,Наценка!$A$1:$B$8,2,1)</f>
        <v>1.7204301075268817</v>
      </c>
      <c r="M201" s="148">
        <f t="shared" ref="M201:M202" si="129">W201*1.05</f>
        <v>409.5</v>
      </c>
      <c r="N201" s="173">
        <f t="shared" si="118"/>
        <v>409</v>
      </c>
      <c r="O201" s="134">
        <f>VLOOKUP($A201,'Выгр Кат'!$A:$S,O$1,0)</f>
        <v>165</v>
      </c>
      <c r="P201" s="134">
        <f>VLOOKUP($A201,'Выгр Кат'!$A:$S,P$1,0)</f>
        <v>409</v>
      </c>
      <c r="Q201" s="107">
        <f t="shared" si="119"/>
        <v>0</v>
      </c>
      <c r="R201" s="107">
        <f t="shared" si="120"/>
        <v>0</v>
      </c>
      <c r="S201" s="110">
        <f t="shared" si="121"/>
        <v>380.36999999999995</v>
      </c>
      <c r="T201" s="135">
        <f t="shared" si="122"/>
        <v>1.3052727272727269</v>
      </c>
      <c r="U201" s="135">
        <f t="shared" si="123"/>
        <v>2.4692307692307826E-2</v>
      </c>
      <c r="V201" s="135">
        <f t="shared" si="124"/>
        <v>1.3636363636363638</v>
      </c>
      <c r="W201" s="117">
        <f t="shared" si="127"/>
        <v>390</v>
      </c>
      <c r="X201" s="114">
        <f>IFERROR((VLOOKUP($A201,'ИЗ ГУГЛА'!$B:$G,X$1,0)+Z201)*Y201,VLOOKUP($A201,'ИЗ ГУГЛА'!$B:$G,X$1,0))</f>
        <v>390</v>
      </c>
      <c r="Y201" s="108">
        <v>1</v>
      </c>
      <c r="Z201" s="46"/>
      <c r="AA201" s="136">
        <v>390</v>
      </c>
      <c r="AB201" s="124" t="s">
        <v>2624</v>
      </c>
      <c r="AC201" s="114" t="str">
        <f>IFERROR((VLOOKUP($A201,'ИЗ ГУГЛА'!$B:$Z,AC$1,0)+AE201)*AD201,VLOOKUP($A201,'ИЗ ГУГЛА'!$B:$Z,AC$1,0))</f>
        <v/>
      </c>
      <c r="AD201" s="108">
        <v>1</v>
      </c>
      <c r="AE201" s="46"/>
      <c r="AF201" s="115"/>
    </row>
    <row r="202" spans="1:32" s="5" customFormat="1" ht="60.75" thickTop="1" x14ac:dyDescent="0.25">
      <c r="A202" s="132">
        <v>204308</v>
      </c>
      <c r="B202" s="132">
        <f>VLOOKUP($A202,'Выгр Кат'!$A:$S,B$1,0)</f>
        <v>20365</v>
      </c>
      <c r="C202" s="133" t="str">
        <f>VLOOKUP($A202,'Выгр Кат'!$A:$S,C$1,0)</f>
        <v>Ремень привода генератора клиновой (гладкий) "БРТ" для ВАЗ 2108-21099 (с карбюраторными двигателями)</v>
      </c>
      <c r="D202" s="132" t="str">
        <f>VLOOKUP($A202,'Выгр Кат'!$A:$S,D$1,0)</f>
        <v>Y</v>
      </c>
      <c r="E202" s="132" t="str">
        <f>VLOOKUP($A202,'Выгр Кат'!$A:$S,E$1,0)</f>
        <v>1</v>
      </c>
      <c r="F202" s="132" t="str">
        <f>VLOOKUP($A202,'Выгр Кат'!$A:$S,F$1,0)</f>
        <v>2108-3701720РУ</v>
      </c>
      <c r="G202" s="45" t="str">
        <f>VLOOKUP($A202,'Выгр Кат'!$A:$N,4,0)</f>
        <v>Y</v>
      </c>
      <c r="H202" s="29"/>
      <c r="I202" s="4" t="s">
        <v>2</v>
      </c>
      <c r="J202" s="95">
        <v>1</v>
      </c>
      <c r="K202" s="168">
        <f t="shared" si="125"/>
        <v>131</v>
      </c>
      <c r="L202" s="167">
        <f>VLOOKUP(K202,Наценка!$A$1:$B$8,2,1)</f>
        <v>1.7204301075268817</v>
      </c>
      <c r="M202" s="147">
        <f>W202*1.04</f>
        <v>238.16</v>
      </c>
      <c r="N202" s="173">
        <f t="shared" si="118"/>
        <v>239</v>
      </c>
      <c r="O202" s="134">
        <f>VLOOKUP($A202,'Выгр Кат'!$A:$S,O$1,0)</f>
        <v>131</v>
      </c>
      <c r="P202" s="134">
        <f>VLOOKUP($A202,'Выгр Кат'!$A:$S,P$1,0)</f>
        <v>229</v>
      </c>
      <c r="Q202" s="107">
        <f t="shared" si="119"/>
        <v>0</v>
      </c>
      <c r="R202" s="107">
        <f t="shared" si="120"/>
        <v>-10</v>
      </c>
      <c r="S202" s="110">
        <f t="shared" si="121"/>
        <v>222.26999999999998</v>
      </c>
      <c r="T202" s="135">
        <f t="shared" si="122"/>
        <v>0.6967175572519082</v>
      </c>
      <c r="U202" s="135">
        <f t="shared" si="123"/>
        <v>2.9388646288209686E-2</v>
      </c>
      <c r="V202" s="135">
        <f t="shared" si="124"/>
        <v>0.74809160305343503</v>
      </c>
      <c r="W202" s="117">
        <f t="shared" si="127"/>
        <v>229</v>
      </c>
      <c r="X202" s="114">
        <f>IFERROR((VLOOKUP($A202,'ИЗ ГУГЛА'!$B:$G,X$1,0)+Z202)*Y202,VLOOKUP($A202,'ИЗ ГУГЛА'!$B:$G,X$1,0))</f>
        <v>229</v>
      </c>
      <c r="Y202" s="108">
        <v>1</v>
      </c>
      <c r="Z202" s="46"/>
      <c r="AA202" s="139">
        <v>229</v>
      </c>
      <c r="AB202" s="124" t="s">
        <v>2829</v>
      </c>
      <c r="AC202" s="114" t="str">
        <f>IFERROR((VLOOKUP($A202,'ИЗ ГУГЛА'!$B:$Z,AC$1,0)+AE202)*AD202,VLOOKUP($A202,'ИЗ ГУГЛА'!$B:$Z,AC$1,0))</f>
        <v/>
      </c>
      <c r="AD202" s="108">
        <v>1</v>
      </c>
      <c r="AE202" s="46"/>
      <c r="AF202" s="115"/>
    </row>
    <row r="203" spans="1:32" s="5" customFormat="1" ht="30" x14ac:dyDescent="0.25">
      <c r="A203" s="132">
        <v>180515</v>
      </c>
      <c r="B203" s="132">
        <f>VLOOKUP($A203,'Выгр Кат'!$A:$S,B$1,0)</f>
        <v>19824</v>
      </c>
      <c r="C203" s="133" t="str">
        <f>VLOOKUP($A203,'Выгр Кат'!$A:$S,C$1,0)</f>
        <v>Обивка пола шумоизоляционная "БРТ" задняя левая на LADA Vesta</v>
      </c>
      <c r="D203" s="132" t="str">
        <f>VLOOKUP($A203,'Выгр Кат'!$A:$S,D$1,0)</f>
        <v>Y</v>
      </c>
      <c r="E203" s="132" t="str">
        <f>VLOOKUP($A203,'Выгр Кат'!$A:$S,E$1,0)</f>
        <v>1</v>
      </c>
      <c r="F203" s="132" t="str">
        <f>VLOOKUP($A203,'Выгр Кат'!$A:$S,F$1,0)</f>
        <v>8450007108Р</v>
      </c>
      <c r="G203" s="45" t="s">
        <v>1821</v>
      </c>
      <c r="H203" s="29" t="s">
        <v>1821</v>
      </c>
      <c r="I203" s="4" t="s">
        <v>2</v>
      </c>
      <c r="J203" s="95">
        <v>1</v>
      </c>
      <c r="K203" s="168">
        <f t="shared" si="125"/>
        <v>115</v>
      </c>
      <c r="L203" s="167">
        <f>VLOOKUP(K203,Наценка!$A$1:$B$8,2,1)</f>
        <v>1.7204301075268817</v>
      </c>
      <c r="M203" s="172">
        <f t="shared" ref="M197:M260" si="130">K203*L203</f>
        <v>197.84946236559139</v>
      </c>
      <c r="N203" s="173">
        <f t="shared" si="118"/>
        <v>199</v>
      </c>
      <c r="O203" s="134">
        <f>VLOOKUP($A203,'Выгр Кат'!$A:$S,O$1,0)</f>
        <v>115</v>
      </c>
      <c r="P203" s="134">
        <f>VLOOKUP($A203,'Выгр Кат'!$A:$S,P$1,0)</f>
        <v>199</v>
      </c>
      <c r="Q203" s="107">
        <f t="shared" si="119"/>
        <v>0</v>
      </c>
      <c r="R203" s="107">
        <f t="shared" si="120"/>
        <v>0</v>
      </c>
      <c r="S203" s="110">
        <f t="shared" si="121"/>
        <v>185.07</v>
      </c>
      <c r="T203" s="135">
        <f t="shared" si="122"/>
        <v>0.60930434782608689</v>
      </c>
      <c r="U203" s="135" t="str">
        <f t="shared" si="123"/>
        <v/>
      </c>
      <c r="V203" s="135" t="str">
        <f t="shared" si="124"/>
        <v/>
      </c>
      <c r="W203" s="45"/>
      <c r="X203" s="114" t="str">
        <f>IFERROR((VLOOKUP($A203,'ИЗ ГУГЛА'!$B:$G,X$1,0)+Z203)*Y203,VLOOKUP($A203,'ИЗ ГУГЛА'!$B:$G,X$1,0))</f>
        <v/>
      </c>
      <c r="Y203" s="108">
        <v>1</v>
      </c>
      <c r="Z203" s="46"/>
      <c r="AA203" s="45" t="s">
        <v>1821</v>
      </c>
      <c r="AB203" s="124"/>
      <c r="AC203" s="114" t="str">
        <f>IFERROR((VLOOKUP($A203,'ИЗ ГУГЛА'!$B:$Z,AC$1,0)+AE203)*AD203,VLOOKUP($A203,'ИЗ ГУГЛА'!$B:$Z,AC$1,0))</f>
        <v/>
      </c>
      <c r="AD203" s="108">
        <v>1</v>
      </c>
      <c r="AE203" s="46"/>
      <c r="AF203" s="115"/>
    </row>
    <row r="204" spans="1:32" s="5" customFormat="1" ht="30" x14ac:dyDescent="0.25">
      <c r="A204" s="132">
        <v>225983</v>
      </c>
      <c r="B204" s="132">
        <f>VLOOKUP($A204,'Выгр Кат'!$A:$S,B$1,0)</f>
        <v>20495</v>
      </c>
      <c r="C204" s="133" t="str">
        <f>VLOOKUP($A204,'Выгр Кат'!$A:$S,C$1,0)</f>
        <v>Шланг пароотводящий радиатора "БРТ" для Лада Веста</v>
      </c>
      <c r="D204" s="132" t="str">
        <f>VLOOKUP($A204,'Выгр Кат'!$A:$S,D$1,0)</f>
        <v>Y</v>
      </c>
      <c r="E204" s="132" t="str">
        <f>VLOOKUP($A204,'Выгр Кат'!$A:$S,E$1,0)</f>
        <v>1</v>
      </c>
      <c r="F204" s="132" t="str">
        <f>VLOOKUP($A204,'Выгр Кат'!$A:$S,F$1,0)</f>
        <v>2180-1303095Р.</v>
      </c>
      <c r="G204" s="45" t="s">
        <v>1821</v>
      </c>
      <c r="H204" s="29" t="s">
        <v>1821</v>
      </c>
      <c r="I204" s="4" t="s">
        <v>2</v>
      </c>
      <c r="J204" s="95">
        <v>1</v>
      </c>
      <c r="K204" s="168">
        <f t="shared" si="125"/>
        <v>116</v>
      </c>
      <c r="L204" s="167">
        <f>VLOOKUP(K204,Наценка!$A$1:$B$8,2,1)</f>
        <v>1.7204301075268817</v>
      </c>
      <c r="M204" s="172">
        <f t="shared" si="130"/>
        <v>199.56989247311827</v>
      </c>
      <c r="N204" s="173">
        <f t="shared" si="118"/>
        <v>199</v>
      </c>
      <c r="O204" s="134">
        <f>VLOOKUP($A204,'Выгр Кат'!$A:$S,O$1,0)</f>
        <v>116</v>
      </c>
      <c r="P204" s="134">
        <f>VLOOKUP($A204,'Выгр Кат'!$A:$S,P$1,0)</f>
        <v>199</v>
      </c>
      <c r="Q204" s="107">
        <f t="shared" si="119"/>
        <v>0</v>
      </c>
      <c r="R204" s="107">
        <f t="shared" si="120"/>
        <v>0</v>
      </c>
      <c r="S204" s="110">
        <f t="shared" si="121"/>
        <v>185.07</v>
      </c>
      <c r="T204" s="135">
        <f t="shared" si="122"/>
        <v>0.59543103448275847</v>
      </c>
      <c r="U204" s="135" t="str">
        <f t="shared" si="123"/>
        <v/>
      </c>
      <c r="V204" s="135" t="str">
        <f t="shared" si="124"/>
        <v/>
      </c>
      <c r="W204" s="45"/>
      <c r="X204" s="114" t="str">
        <f>IFERROR((VLOOKUP($A204,'ИЗ ГУГЛА'!$B:$G,X$1,0)+Z204)*Y204,VLOOKUP($A204,'ИЗ ГУГЛА'!$B:$G,X$1,0))</f>
        <v/>
      </c>
      <c r="Y204" s="108">
        <v>1</v>
      </c>
      <c r="Z204" s="46"/>
      <c r="AA204" s="45" t="s">
        <v>1821</v>
      </c>
      <c r="AB204" s="124"/>
      <c r="AC204" s="114" t="str">
        <f>IFERROR((VLOOKUP($A204,'ИЗ ГУГЛА'!$B:$Z,AC$1,0)+AE204)*AD204,VLOOKUP($A204,'ИЗ ГУГЛА'!$B:$Z,AC$1,0))</f>
        <v/>
      </c>
      <c r="AD204" s="108">
        <v>1</v>
      </c>
      <c r="AE204" s="46"/>
      <c r="AF204" s="115"/>
    </row>
    <row r="205" spans="1:32" s="5" customFormat="1" ht="45" x14ac:dyDescent="0.25">
      <c r="A205" s="132">
        <v>201334</v>
      </c>
      <c r="B205" s="132">
        <f>VLOOKUP($A205,'Выгр Кат'!$A:$S,B$1,0)</f>
        <v>19808</v>
      </c>
      <c r="C205" s="133" t="str">
        <f>VLOOKUP($A205,'Выгр Кат'!$A:$S,C$1,0)</f>
        <v>Прокладка "БРТ" масляного картера для ВАЗ (2108-21099, 2110-2112, 2113-2115), Лада (Калина, Приора)</v>
      </c>
      <c r="D205" s="132" t="str">
        <f>VLOOKUP($A205,'Выгр Кат'!$A:$S,D$1,0)</f>
        <v>Y</v>
      </c>
      <c r="E205" s="132" t="str">
        <f>VLOOKUP($A205,'Выгр Кат'!$A:$S,E$1,0)</f>
        <v>1</v>
      </c>
      <c r="F205" s="132" t="str">
        <f>VLOOKUP($A205,'Выгр Кат'!$A:$S,F$1,0)</f>
        <v>2108-1009070К</v>
      </c>
      <c r="G205" s="45" t="s">
        <v>320</v>
      </c>
      <c r="H205" s="29"/>
      <c r="I205" s="4" t="s">
        <v>2</v>
      </c>
      <c r="J205" s="95">
        <v>1</v>
      </c>
      <c r="K205" s="168">
        <f t="shared" si="125"/>
        <v>131</v>
      </c>
      <c r="L205" s="167">
        <f>VLOOKUP(K205,Наценка!$A$1:$B$8,2,1)</f>
        <v>1.7204301075268817</v>
      </c>
      <c r="M205" s="148">
        <f t="shared" ref="M205:M208" si="131">W205*1.06</f>
        <v>179.14000000000001</v>
      </c>
      <c r="N205" s="173">
        <f t="shared" si="118"/>
        <v>179</v>
      </c>
      <c r="O205" s="134">
        <f>VLOOKUP($A205,'Выгр Кат'!$A:$S,O$1,0)</f>
        <v>131</v>
      </c>
      <c r="P205" s="134">
        <f>VLOOKUP($A205,'Выгр Кат'!$A:$S,P$1,0)</f>
        <v>229</v>
      </c>
      <c r="Q205" s="107">
        <f t="shared" si="119"/>
        <v>0</v>
      </c>
      <c r="R205" s="107">
        <f t="shared" si="120"/>
        <v>50</v>
      </c>
      <c r="S205" s="110">
        <f t="shared" si="121"/>
        <v>166.47</v>
      </c>
      <c r="T205" s="135">
        <f t="shared" si="122"/>
        <v>0.27076335877862601</v>
      </c>
      <c r="U205" s="135">
        <f t="shared" si="123"/>
        <v>1.4970414201183439E-2</v>
      </c>
      <c r="V205" s="135">
        <f t="shared" si="124"/>
        <v>0.29007633587786263</v>
      </c>
      <c r="W205" s="117">
        <f t="shared" ref="W205:W208" si="132">AA205</f>
        <v>169</v>
      </c>
      <c r="X205" s="114">
        <f>IFERROR((VLOOKUP($A205,'ИЗ ГУГЛА'!$B:$G,X$1,0)+Z205)*Y205,VLOOKUP($A205,'ИЗ ГУГЛА'!$B:$G,X$1,0))</f>
        <v>169</v>
      </c>
      <c r="Y205" s="108">
        <v>1</v>
      </c>
      <c r="Z205" s="46"/>
      <c r="AA205" s="139">
        <v>169</v>
      </c>
      <c r="AB205" s="124" t="s">
        <v>2830</v>
      </c>
      <c r="AC205" s="114" t="str">
        <f>IFERROR((VLOOKUP($A205,'ИЗ ГУГЛА'!$B:$Z,AC$1,0)+AE205)*AD205,VLOOKUP($A205,'ИЗ ГУГЛА'!$B:$Z,AC$1,0))</f>
        <v/>
      </c>
      <c r="AD205" s="108">
        <v>1</v>
      </c>
      <c r="AE205" s="46"/>
      <c r="AF205" s="115"/>
    </row>
    <row r="206" spans="1:32" s="5" customFormat="1" ht="60.75" thickBot="1" x14ac:dyDescent="0.3">
      <c r="A206" s="132">
        <v>201443</v>
      </c>
      <c r="B206" s="132">
        <f>VLOOKUP($A206,'Выгр Кат'!$A:$S,B$1,0)</f>
        <v>19796</v>
      </c>
      <c r="C206" s="133" t="str">
        <f>VLOOKUP($A206,'Выгр Кат'!$A:$S,C$1,0)</f>
        <v>Прокладка крышки головки цилиндров "БРТ" для ВАЗ 2101-07, Москвич 2141, ИЖ 2126 (с двигателем ВАЗ)</v>
      </c>
      <c r="D206" s="132" t="str">
        <f>VLOOKUP($A206,'Выгр Кат'!$A:$S,D$1,0)</f>
        <v>Y</v>
      </c>
      <c r="E206" s="132" t="str">
        <f>VLOOKUP($A206,'Выгр Кат'!$A:$S,E$1,0)</f>
        <v>1</v>
      </c>
      <c r="F206" s="132" t="str">
        <f>VLOOKUP($A206,'Выгр Кат'!$A:$S,F$1,0)</f>
        <v>21010100327000</v>
      </c>
      <c r="G206" s="42" t="s">
        <v>236</v>
      </c>
      <c r="H206" s="29"/>
      <c r="I206" s="4" t="s">
        <v>2</v>
      </c>
      <c r="J206" s="95">
        <v>1</v>
      </c>
      <c r="K206" s="168">
        <f t="shared" si="125"/>
        <v>132</v>
      </c>
      <c r="L206" s="167">
        <f>VLOOKUP(K206,Наценка!$A$1:$B$8,2,1)</f>
        <v>1.7204301075268817</v>
      </c>
      <c r="M206" s="148">
        <f t="shared" si="131"/>
        <v>307.40000000000003</v>
      </c>
      <c r="N206" s="173">
        <f t="shared" si="118"/>
        <v>309</v>
      </c>
      <c r="O206" s="134">
        <f>VLOOKUP($A206,'Выгр Кат'!$A:$S,O$1,0)</f>
        <v>132</v>
      </c>
      <c r="P206" s="134">
        <f>VLOOKUP($A206,'Выгр Кат'!$A:$S,P$1,0)</f>
        <v>309</v>
      </c>
      <c r="Q206" s="107">
        <f t="shared" si="119"/>
        <v>0</v>
      </c>
      <c r="R206" s="107">
        <f t="shared" si="120"/>
        <v>0</v>
      </c>
      <c r="S206" s="110">
        <f t="shared" si="121"/>
        <v>287.37</v>
      </c>
      <c r="T206" s="135">
        <f t="shared" si="122"/>
        <v>1.1770454545454547</v>
      </c>
      <c r="U206" s="135">
        <f t="shared" si="123"/>
        <v>9.0689655172413643E-3</v>
      </c>
      <c r="V206" s="135">
        <f t="shared" si="124"/>
        <v>1.1969696969696968</v>
      </c>
      <c r="W206" s="117">
        <f t="shared" si="132"/>
        <v>290</v>
      </c>
      <c r="X206" s="114">
        <f>IFERROR((VLOOKUP($A206,'ИЗ ГУГЛА'!$B:$G,X$1,0)+Z206)*Y206,VLOOKUP($A206,'ИЗ ГУГЛА'!$B:$G,X$1,0))</f>
        <v>290</v>
      </c>
      <c r="Y206" s="46">
        <v>1</v>
      </c>
      <c r="Z206" s="46"/>
      <c r="AA206" s="138">
        <v>290</v>
      </c>
      <c r="AB206" s="124" t="s">
        <v>2350</v>
      </c>
      <c r="AC206" s="114" t="str">
        <f>IFERROR((VLOOKUP($A206,'ИЗ ГУГЛА'!$B:$Z,AC$1,0)+AE206)*AD206,VLOOKUP($A206,'ИЗ ГУГЛА'!$B:$Z,AC$1,0))</f>
        <v/>
      </c>
      <c r="AD206" s="46">
        <v>1</v>
      </c>
      <c r="AE206" s="46"/>
      <c r="AF206" s="115"/>
    </row>
    <row r="207" spans="1:32" s="5" customFormat="1" ht="31.5" thickTop="1" thickBot="1" x14ac:dyDescent="0.3">
      <c r="A207" s="132">
        <v>186683</v>
      </c>
      <c r="B207" s="132">
        <f>VLOOKUP($A207,'Выгр Кат'!$A:$S,B$1,0)</f>
        <v>19935</v>
      </c>
      <c r="C207" s="133" t="str">
        <f>VLOOKUP($A207,'Выгр Кат'!$A:$S,C$1,0)</f>
        <v>Патрубок отопителя (печки) отводящий "БРТ" для Лада Калина</v>
      </c>
      <c r="D207" s="132" t="str">
        <f>VLOOKUP($A207,'Выгр Кат'!$A:$S,D$1,0)</f>
        <v>Y</v>
      </c>
      <c r="E207" s="132" t="str">
        <f>VLOOKUP($A207,'Выгр Кат'!$A:$S,E$1,0)</f>
        <v>1</v>
      </c>
      <c r="F207" s="132" t="str">
        <f>VLOOKUP($A207,'Выгр Кат'!$A:$S,F$1,0)</f>
        <v>1118-8101204-10РП</v>
      </c>
      <c r="G207" s="43" t="s">
        <v>232</v>
      </c>
      <c r="H207" s="29"/>
      <c r="I207" s="4" t="s">
        <v>2</v>
      </c>
      <c r="J207" s="95">
        <v>1</v>
      </c>
      <c r="K207" s="168">
        <f t="shared" si="125"/>
        <v>132</v>
      </c>
      <c r="L207" s="167">
        <f>VLOOKUP(K207,Наценка!$A$1:$B$8,2,1)</f>
        <v>1.7204301075268817</v>
      </c>
      <c r="M207" s="147">
        <f t="shared" ref="M207:M208" si="133">W207*1.04</f>
        <v>238.16</v>
      </c>
      <c r="N207" s="173">
        <f t="shared" si="118"/>
        <v>239</v>
      </c>
      <c r="O207" s="134">
        <f>VLOOKUP($A207,'Выгр Кат'!$A:$S,O$1,0)</f>
        <v>132</v>
      </c>
      <c r="P207" s="134">
        <f>VLOOKUP($A207,'Выгр Кат'!$A:$S,P$1,0)</f>
        <v>239</v>
      </c>
      <c r="Q207" s="107">
        <f t="shared" si="119"/>
        <v>0</v>
      </c>
      <c r="R207" s="107">
        <f t="shared" si="120"/>
        <v>0</v>
      </c>
      <c r="S207" s="110">
        <f t="shared" si="121"/>
        <v>222.26999999999998</v>
      </c>
      <c r="T207" s="135">
        <f t="shared" si="122"/>
        <v>0.68386363636363612</v>
      </c>
      <c r="U207" s="135">
        <f t="shared" si="123"/>
        <v>2.9388646288209686E-2</v>
      </c>
      <c r="V207" s="135">
        <f t="shared" si="124"/>
        <v>0.73484848484848486</v>
      </c>
      <c r="W207" s="117">
        <f t="shared" si="132"/>
        <v>229</v>
      </c>
      <c r="X207" s="114">
        <f>IFERROR((VLOOKUP($A207,'ИЗ ГУГЛА'!$B:$G,X$1,0)+Z207)*Y207,VLOOKUP($A207,'ИЗ ГУГЛА'!$B:$G,X$1,0))</f>
        <v>229</v>
      </c>
      <c r="Y207" s="108">
        <v>1</v>
      </c>
      <c r="Z207" s="46"/>
      <c r="AA207" s="136">
        <v>229</v>
      </c>
      <c r="AB207" s="124" t="s">
        <v>2663</v>
      </c>
      <c r="AC207" s="114" t="str">
        <f>IFERROR((VLOOKUP($A207,'ИЗ ГУГЛА'!$B:$Z,AC$1,0)+AE207)*AD207,VLOOKUP($A207,'ИЗ ГУГЛА'!$B:$Z,AC$1,0))</f>
        <v/>
      </c>
      <c r="AD207" s="108">
        <v>1</v>
      </c>
      <c r="AE207" s="46"/>
      <c r="AF207" s="115"/>
    </row>
    <row r="208" spans="1:32" s="5" customFormat="1" ht="46.5" thickTop="1" thickBot="1" x14ac:dyDescent="0.3">
      <c r="A208" s="132">
        <v>186772</v>
      </c>
      <c r="B208" s="132">
        <f>VLOOKUP($A208,'Выгр Кат'!$A:$S,B$1,0)</f>
        <v>19940</v>
      </c>
      <c r="C208" s="133" t="str">
        <f>VLOOKUP($A208,'Выгр Кат'!$A:$S,C$1,0)</f>
        <v>Патрубок сапуна вытяжной вентиляции картера "БРТ" для ВАЗ 2101-2107</v>
      </c>
      <c r="D208" s="132" t="str">
        <f>VLOOKUP($A208,'Выгр Кат'!$A:$S,D$1,0)</f>
        <v>Y</v>
      </c>
      <c r="E208" s="132" t="str">
        <f>VLOOKUP($A208,'Выгр Кат'!$A:$S,E$1,0)</f>
        <v>1</v>
      </c>
      <c r="F208" s="132" t="str">
        <f>VLOOKUP($A208,'Выгр Кат'!$A:$S,F$1,0)</f>
        <v>2101-1014056РП</v>
      </c>
      <c r="G208" s="45" t="s">
        <v>244</v>
      </c>
      <c r="H208" s="29"/>
      <c r="I208" s="4" t="s">
        <v>2</v>
      </c>
      <c r="J208" s="95">
        <v>1</v>
      </c>
      <c r="K208" s="168">
        <f t="shared" si="125"/>
        <v>132</v>
      </c>
      <c r="L208" s="167">
        <f>VLOOKUP(K208,Наценка!$A$1:$B$8,2,1)</f>
        <v>1.7204301075268817</v>
      </c>
      <c r="M208" s="147">
        <f t="shared" si="133"/>
        <v>279.76</v>
      </c>
      <c r="N208" s="173">
        <f t="shared" si="118"/>
        <v>279</v>
      </c>
      <c r="O208" s="134">
        <f>VLOOKUP($A208,'Выгр Кат'!$A:$S,O$1,0)</f>
        <v>132</v>
      </c>
      <c r="P208" s="134">
        <f>VLOOKUP($A208,'Выгр Кат'!$A:$S,P$1,0)</f>
        <v>279</v>
      </c>
      <c r="Q208" s="107">
        <f t="shared" si="119"/>
        <v>0</v>
      </c>
      <c r="R208" s="107">
        <f t="shared" si="120"/>
        <v>0</v>
      </c>
      <c r="S208" s="110">
        <f t="shared" si="121"/>
        <v>259.46999999999997</v>
      </c>
      <c r="T208" s="135">
        <f t="shared" si="122"/>
        <v>0.96568181818181786</v>
      </c>
      <c r="U208" s="135">
        <f t="shared" si="123"/>
        <v>3.5427509293680409E-2</v>
      </c>
      <c r="V208" s="135">
        <f t="shared" si="124"/>
        <v>1.0378787878787881</v>
      </c>
      <c r="W208" s="117">
        <f t="shared" si="132"/>
        <v>269</v>
      </c>
      <c r="X208" s="114">
        <f>IFERROR((VLOOKUP($A208,'ИЗ ГУГЛА'!$B:$G,X$1,0)+Z208)*Y208,VLOOKUP($A208,'ИЗ ГУГЛА'!$B:$G,X$1,0))</f>
        <v>269</v>
      </c>
      <c r="Y208" s="108">
        <v>1</v>
      </c>
      <c r="Z208" s="46"/>
      <c r="AA208" s="136">
        <v>269</v>
      </c>
      <c r="AB208" s="124" t="s">
        <v>2658</v>
      </c>
      <c r="AC208" s="114" t="str">
        <f>IFERROR((VLOOKUP($A208,'ИЗ ГУГЛА'!$B:$Z,AC$1,0)+AE208)*AD208,VLOOKUP($A208,'ИЗ ГУГЛА'!$B:$Z,AC$1,0))</f>
        <v/>
      </c>
      <c r="AD208" s="108">
        <v>1</v>
      </c>
      <c r="AE208" s="46"/>
      <c r="AF208" s="115"/>
    </row>
    <row r="209" spans="1:32" s="5" customFormat="1" ht="30.75" thickTop="1" x14ac:dyDescent="0.25">
      <c r="A209" s="132">
        <v>204321</v>
      </c>
      <c r="B209" s="132">
        <f>VLOOKUP($A209,'Выгр Кат'!$A:$S,B$1,0)</f>
        <v>35419</v>
      </c>
      <c r="C209" s="133" t="str">
        <f>VLOOKUP($A209,'Выгр Кат'!$A:$S,C$1,0)</f>
        <v>Ремкомплект "БРТ" переднего амортизатора для ВАЗ 2101-2107</v>
      </c>
      <c r="D209" s="132" t="str">
        <f>VLOOKUP($A209,'Выгр Кат'!$A:$S,D$1,0)</f>
        <v>Y</v>
      </c>
      <c r="E209" s="132" t="str">
        <f>VLOOKUP($A209,'Выгр Кат'!$A:$S,E$1,0)</f>
        <v>1</v>
      </c>
      <c r="F209" s="132" t="str">
        <f>VLOOKUP($A209,'Выгр Кат'!$A:$S,F$1,0)</f>
        <v>2101-2905448/50</v>
      </c>
      <c r="G209" s="59" t="s">
        <v>2208</v>
      </c>
      <c r="H209" s="29"/>
      <c r="I209" s="4" t="s">
        <v>2</v>
      </c>
      <c r="J209" s="95">
        <v>1</v>
      </c>
      <c r="K209" s="168">
        <f t="shared" si="125"/>
        <v>120</v>
      </c>
      <c r="L209" s="167">
        <f>VLOOKUP(K209,Наценка!$A$1:$B$8,2,1)</f>
        <v>1.7204301075268817</v>
      </c>
      <c r="M209" s="172">
        <f t="shared" si="130"/>
        <v>206.45161290322582</v>
      </c>
      <c r="N209" s="173">
        <f t="shared" si="118"/>
        <v>209</v>
      </c>
      <c r="O209" s="134">
        <f>VLOOKUP($A209,'Выгр Кат'!$A:$S,O$1,0)</f>
        <v>120</v>
      </c>
      <c r="P209" s="134">
        <f>VLOOKUP($A209,'Выгр Кат'!$A:$S,P$1,0)</f>
        <v>209</v>
      </c>
      <c r="Q209" s="107">
        <f t="shared" si="119"/>
        <v>0</v>
      </c>
      <c r="R209" s="107">
        <f t="shared" si="120"/>
        <v>0</v>
      </c>
      <c r="S209" s="110">
        <f t="shared" si="121"/>
        <v>194.36999999999998</v>
      </c>
      <c r="T209" s="135">
        <f t="shared" si="122"/>
        <v>0.6197499999999998</v>
      </c>
      <c r="U209" s="135" t="str">
        <f t="shared" si="123"/>
        <v/>
      </c>
      <c r="V209" s="135" t="str">
        <f t="shared" si="124"/>
        <v/>
      </c>
      <c r="W209" s="45"/>
      <c r="X209" s="114" t="str">
        <f>IFERROR((VLOOKUP($A209,'ИЗ ГУГЛА'!$B:$G,X$1,0)+Z209)*Y209,VLOOKUP($A209,'ИЗ ГУГЛА'!$B:$G,X$1,0))</f>
        <v/>
      </c>
      <c r="Y209" s="108">
        <v>1</v>
      </c>
      <c r="Z209" s="46"/>
      <c r="AA209" s="45" t="s">
        <v>1821</v>
      </c>
      <c r="AB209" s="124"/>
      <c r="AC209" s="114" t="str">
        <f>IFERROR((VLOOKUP($A209,'ИЗ ГУГЛА'!$B:$Z,AC$1,0)+AE209)*AD209,VLOOKUP($A209,'ИЗ ГУГЛА'!$B:$Z,AC$1,0))</f>
        <v/>
      </c>
      <c r="AD209" s="108">
        <v>1</v>
      </c>
      <c r="AE209" s="46"/>
      <c r="AF209" s="115"/>
    </row>
    <row r="210" spans="1:32" s="5" customFormat="1" ht="30" x14ac:dyDescent="0.25">
      <c r="A210" s="132">
        <v>136653</v>
      </c>
      <c r="B210" s="132">
        <f>VLOOKUP($A210,'Выгр Кат'!$A:$S,B$1,0)</f>
        <v>19801</v>
      </c>
      <c r="C210" s="133" t="str">
        <f>VLOOKUP($A210,'Выгр Кат'!$A:$S,C$1,0)</f>
        <v>Башмак натяжителя цепи "БРТ" в сборе для ВАЗ 2101-07, Лада Нива 4x4</v>
      </c>
      <c r="D210" s="132" t="str">
        <f>VLOOKUP($A210,'Выгр Кат'!$A:$S,D$1,0)</f>
        <v>Y</v>
      </c>
      <c r="E210" s="132" t="str">
        <f>VLOOKUP($A210,'Выгр Кат'!$A:$S,E$1,0)</f>
        <v>1ск6</v>
      </c>
      <c r="F210" s="132" t="str">
        <f>VLOOKUP($A210,'Выгр Кат'!$A:$S,F$1,0)</f>
        <v>2103-1006090РУ</v>
      </c>
      <c r="G210" s="45" t="s">
        <v>286</v>
      </c>
      <c r="H210" s="29"/>
      <c r="I210" s="4" t="s">
        <v>2</v>
      </c>
      <c r="J210" s="95">
        <v>1</v>
      </c>
      <c r="K210" s="168">
        <f t="shared" si="125"/>
        <v>167</v>
      </c>
      <c r="L210" s="167">
        <f>VLOOKUP(K210,Наценка!$A$1:$B$8,2,1)</f>
        <v>1.7204301075268817</v>
      </c>
      <c r="M210" s="147">
        <f>W210*1.04</f>
        <v>258.96000000000004</v>
      </c>
      <c r="N210" s="173">
        <f t="shared" si="118"/>
        <v>259</v>
      </c>
      <c r="O210" s="134">
        <f>VLOOKUP($A210,'Выгр Кат'!$A:$S,O$1,0)</f>
        <v>167</v>
      </c>
      <c r="P210" s="134">
        <f>VLOOKUP($A210,'Выгр Кат'!$A:$S,P$1,0)</f>
        <v>289</v>
      </c>
      <c r="Q210" s="107">
        <f t="shared" si="119"/>
        <v>0</v>
      </c>
      <c r="R210" s="107">
        <f t="shared" si="120"/>
        <v>30</v>
      </c>
      <c r="S210" s="110">
        <f t="shared" si="121"/>
        <v>240.86999999999998</v>
      </c>
      <c r="T210" s="135">
        <f t="shared" si="122"/>
        <v>0.44233532934131725</v>
      </c>
      <c r="U210" s="135">
        <f t="shared" si="123"/>
        <v>3.265060240963865E-2</v>
      </c>
      <c r="V210" s="135">
        <f t="shared" si="124"/>
        <v>0.49101796407185638</v>
      </c>
      <c r="W210" s="117">
        <f>AA210</f>
        <v>249</v>
      </c>
      <c r="X210" s="114">
        <f>IFERROR((VLOOKUP($A210,'ИЗ ГУГЛА'!$B:$G,X$1,0)+Z210)*Y210,VLOOKUP($A210,'ИЗ ГУГЛА'!$B:$G,X$1,0))</f>
        <v>249</v>
      </c>
      <c r="Y210" s="108">
        <v>1</v>
      </c>
      <c r="Z210" s="46"/>
      <c r="AA210" s="139">
        <v>249</v>
      </c>
      <c r="AB210" s="124" t="s">
        <v>2831</v>
      </c>
      <c r="AC210" s="114" t="str">
        <f>IFERROR((VLOOKUP($A210,'ИЗ ГУГЛА'!$B:$Z,AC$1,0)+AE210)*AD210,VLOOKUP($A210,'ИЗ ГУГЛА'!$B:$Z,AC$1,0))</f>
        <v/>
      </c>
      <c r="AD210" s="108">
        <v>1</v>
      </c>
      <c r="AE210" s="46"/>
      <c r="AF210" s="115"/>
    </row>
    <row r="211" spans="1:32" s="5" customFormat="1" ht="45" x14ac:dyDescent="0.25">
      <c r="A211" s="132">
        <v>158112</v>
      </c>
      <c r="B211" s="132">
        <f>VLOOKUP($A211,'Выгр Кат'!$A:$S,B$1,0)</f>
        <v>31101</v>
      </c>
      <c r="C211" s="133" t="str">
        <f>VLOOKUP($A211,'Выгр Кат'!$A:$S,C$1,0)</f>
        <v>Колпачок рулевой рейки "БРТ" малый для ВАЗ 2110-2112, Лада (Калина, Приора)</v>
      </c>
      <c r="D211" s="132" t="str">
        <f>VLOOKUP($A211,'Выгр Кат'!$A:$S,D$1,0)</f>
        <v>Y</v>
      </c>
      <c r="E211" s="132" t="str">
        <f>VLOOKUP($A211,'Выгр Кат'!$A:$S,E$1,0)</f>
        <v>1</v>
      </c>
      <c r="F211" s="132" t="str">
        <f>VLOOKUP($A211,'Выгр Кат'!$A:$S,F$1,0)</f>
        <v>211003401223</v>
      </c>
      <c r="G211" s="45" t="s">
        <v>1821</v>
      </c>
      <c r="H211" s="29" t="s">
        <v>1821</v>
      </c>
      <c r="I211" s="4" t="s">
        <v>2</v>
      </c>
      <c r="J211" s="95">
        <v>1</v>
      </c>
      <c r="K211" s="168">
        <f t="shared" si="125"/>
        <v>120</v>
      </c>
      <c r="L211" s="167">
        <f>VLOOKUP(K211,Наценка!$A$1:$B$8,2,1)</f>
        <v>1.7204301075268817</v>
      </c>
      <c r="M211" s="172">
        <f t="shared" si="130"/>
        <v>206.45161290322582</v>
      </c>
      <c r="N211" s="173">
        <f t="shared" si="118"/>
        <v>209</v>
      </c>
      <c r="O211" s="134">
        <f>VLOOKUP($A211,'Выгр Кат'!$A:$S,O$1,0)</f>
        <v>120</v>
      </c>
      <c r="P211" s="134">
        <f>VLOOKUP($A211,'Выгр Кат'!$A:$S,P$1,0)</f>
        <v>209</v>
      </c>
      <c r="Q211" s="107">
        <f t="shared" si="119"/>
        <v>0</v>
      </c>
      <c r="R211" s="107">
        <f t="shared" si="120"/>
        <v>0</v>
      </c>
      <c r="S211" s="110">
        <f t="shared" si="121"/>
        <v>194.36999999999998</v>
      </c>
      <c r="T211" s="135">
        <f t="shared" si="122"/>
        <v>0.6197499999999998</v>
      </c>
      <c r="U211" s="135" t="str">
        <f t="shared" si="123"/>
        <v/>
      </c>
      <c r="V211" s="135" t="str">
        <f t="shared" si="124"/>
        <v/>
      </c>
      <c r="W211" s="45"/>
      <c r="X211" s="114" t="str">
        <f>IFERROR((VLOOKUP($A211,'ИЗ ГУГЛА'!$B:$G,X$1,0)+Z211)*Y211,VLOOKUP($A211,'ИЗ ГУГЛА'!$B:$G,X$1,0))</f>
        <v/>
      </c>
      <c r="Y211" s="108">
        <v>1</v>
      </c>
      <c r="Z211" s="46"/>
      <c r="AA211" s="45" t="s">
        <v>1821</v>
      </c>
      <c r="AB211" s="124"/>
      <c r="AC211" s="114" t="str">
        <f>IFERROR((VLOOKUP($A211,'ИЗ ГУГЛА'!$B:$Z,AC$1,0)+AE211)*AD211,VLOOKUP($A211,'ИЗ ГУГЛА'!$B:$Z,AC$1,0))</f>
        <v/>
      </c>
      <c r="AD211" s="108">
        <v>1</v>
      </c>
      <c r="AE211" s="46"/>
      <c r="AF211" s="115"/>
    </row>
    <row r="212" spans="1:32" s="5" customFormat="1" ht="45" x14ac:dyDescent="0.25">
      <c r="A212" s="132">
        <v>204300</v>
      </c>
      <c r="B212" s="132">
        <f>VLOOKUP($A212,'Выгр Кат'!$A:$S,B$1,0)</f>
        <v>20295</v>
      </c>
      <c r="C212" s="133" t="str">
        <f>VLOOKUP($A212,'Выгр Кат'!$A:$S,C$1,0)</f>
        <v>Ремень крепления запасного колеса и домкрата (левый) в сборе "БРТ" для Лада Нива 4x4</v>
      </c>
      <c r="D212" s="132" t="str">
        <f>VLOOKUP($A212,'Выгр Кат'!$A:$S,D$1,0)</f>
        <v>Y</v>
      </c>
      <c r="E212" s="132" t="str">
        <f>VLOOKUP($A212,'Выгр Кат'!$A:$S,E$1,0)</f>
        <v>1</v>
      </c>
      <c r="F212" s="132" t="str">
        <f>VLOOKUP($A212,'Выгр Кат'!$A:$S,F$1,0)</f>
        <v>2121-3105011Р</v>
      </c>
      <c r="G212" s="45" t="s">
        <v>1821</v>
      </c>
      <c r="H212" s="29" t="s">
        <v>1821</v>
      </c>
      <c r="I212" s="4" t="s">
        <v>2</v>
      </c>
      <c r="J212" s="95">
        <v>1</v>
      </c>
      <c r="K212" s="168">
        <f t="shared" si="125"/>
        <v>120</v>
      </c>
      <c r="L212" s="167">
        <f>VLOOKUP(K212,Наценка!$A$1:$B$8,2,1)</f>
        <v>1.7204301075268817</v>
      </c>
      <c r="M212" s="172">
        <f t="shared" si="130"/>
        <v>206.45161290322582</v>
      </c>
      <c r="N212" s="173">
        <f t="shared" si="118"/>
        <v>209</v>
      </c>
      <c r="O212" s="134">
        <f>VLOOKUP($A212,'Выгр Кат'!$A:$S,O$1,0)</f>
        <v>120</v>
      </c>
      <c r="P212" s="134">
        <f>VLOOKUP($A212,'Выгр Кат'!$A:$S,P$1,0)</f>
        <v>209</v>
      </c>
      <c r="Q212" s="107">
        <f t="shared" si="119"/>
        <v>0</v>
      </c>
      <c r="R212" s="107">
        <f t="shared" si="120"/>
        <v>0</v>
      </c>
      <c r="S212" s="110">
        <f t="shared" si="121"/>
        <v>194.36999999999998</v>
      </c>
      <c r="T212" s="135">
        <f t="shared" si="122"/>
        <v>0.6197499999999998</v>
      </c>
      <c r="U212" s="135" t="str">
        <f t="shared" si="123"/>
        <v/>
      </c>
      <c r="V212" s="135" t="str">
        <f t="shared" si="124"/>
        <v/>
      </c>
      <c r="W212" s="45"/>
      <c r="X212" s="114" t="str">
        <f>IFERROR((VLOOKUP($A212,'ИЗ ГУГЛА'!$B:$G,X$1,0)+Z212)*Y212,VLOOKUP($A212,'ИЗ ГУГЛА'!$B:$G,X$1,0))</f>
        <v/>
      </c>
      <c r="Y212" s="108">
        <v>1</v>
      </c>
      <c r="Z212" s="46"/>
      <c r="AA212" s="139" t="s">
        <v>2494</v>
      </c>
      <c r="AB212" s="124"/>
      <c r="AC212" s="114" t="str">
        <f>IFERROR((VLOOKUP($A212,'ИЗ ГУГЛА'!$B:$Z,AC$1,0)+AE212)*AD212,VLOOKUP($A212,'ИЗ ГУГЛА'!$B:$Z,AC$1,0))</f>
        <v/>
      </c>
      <c r="AD212" s="108">
        <v>1</v>
      </c>
      <c r="AE212" s="46"/>
      <c r="AF212" s="115"/>
    </row>
    <row r="213" spans="1:32" s="5" customFormat="1" ht="30" x14ac:dyDescent="0.25">
      <c r="A213" s="132">
        <v>186760</v>
      </c>
      <c r="B213" s="132">
        <f>VLOOKUP($A213,'Выгр Кат'!$A:$S,B$1,0)</f>
        <v>19847</v>
      </c>
      <c r="C213" s="133" t="str">
        <f>VLOOKUP($A213,'Выгр Кат'!$A:$S,C$1,0)</f>
        <v>Патрубок расширительного бачка к двигателю "БРТ" для Renault</v>
      </c>
      <c r="D213" s="132" t="str">
        <f>VLOOKUP($A213,'Выгр Кат'!$A:$S,D$1,0)</f>
        <v>Y</v>
      </c>
      <c r="E213" s="132" t="str">
        <f>VLOOKUP($A213,'Выгр Кат'!$A:$S,E$1,0)</f>
        <v>1</v>
      </c>
      <c r="F213" s="132" t="str">
        <f>VLOOKUP($A213,'Выгр Кат'!$A:$S,F$1,0)</f>
        <v>6001547050Р</v>
      </c>
      <c r="G213" s="45" t="s">
        <v>1821</v>
      </c>
      <c r="H213" s="29" t="s">
        <v>1821</v>
      </c>
      <c r="I213" s="4" t="s">
        <v>2</v>
      </c>
      <c r="J213" s="95">
        <v>1</v>
      </c>
      <c r="K213" s="168">
        <f t="shared" si="125"/>
        <v>120</v>
      </c>
      <c r="L213" s="167">
        <f>VLOOKUP(K213,Наценка!$A$1:$B$8,2,1)</f>
        <v>1.7204301075268817</v>
      </c>
      <c r="M213" s="172">
        <f t="shared" si="130"/>
        <v>206.45161290322582</v>
      </c>
      <c r="N213" s="173">
        <f t="shared" si="118"/>
        <v>209</v>
      </c>
      <c r="O213" s="134">
        <f>VLOOKUP($A213,'Выгр Кат'!$A:$S,O$1,0)</f>
        <v>120</v>
      </c>
      <c r="P213" s="134">
        <f>VLOOKUP($A213,'Выгр Кат'!$A:$S,P$1,0)</f>
        <v>209</v>
      </c>
      <c r="Q213" s="107">
        <f t="shared" si="119"/>
        <v>0</v>
      </c>
      <c r="R213" s="107">
        <f t="shared" si="120"/>
        <v>0</v>
      </c>
      <c r="S213" s="110">
        <f t="shared" si="121"/>
        <v>194.36999999999998</v>
      </c>
      <c r="T213" s="135">
        <f t="shared" si="122"/>
        <v>0.6197499999999998</v>
      </c>
      <c r="U213" s="135" t="str">
        <f t="shared" si="123"/>
        <v/>
      </c>
      <c r="V213" s="135" t="str">
        <f t="shared" si="124"/>
        <v/>
      </c>
      <c r="W213" s="45"/>
      <c r="X213" s="114">
        <f>IFERROR((VLOOKUP($A213,'ИЗ ГУГЛА'!$B:$G,X$1,0)+Z213)*Y213,VLOOKUP($A213,'ИЗ ГУГЛА'!$B:$G,X$1,0))</f>
        <v>1019</v>
      </c>
      <c r="Y213" s="108">
        <v>1</v>
      </c>
      <c r="Z213" s="46"/>
      <c r="AA213" s="139" t="s">
        <v>2833</v>
      </c>
      <c r="AB213" s="124" t="s">
        <v>2832</v>
      </c>
      <c r="AC213" s="114" t="str">
        <f>IFERROR((VLOOKUP($A213,'ИЗ ГУГЛА'!$B:$Z,AC$1,0)+AE213)*AD213,VLOOKUP($A213,'ИЗ ГУГЛА'!$B:$Z,AC$1,0))</f>
        <v/>
      </c>
      <c r="AD213" s="108">
        <v>1</v>
      </c>
      <c r="AE213" s="46"/>
      <c r="AF213" s="115"/>
    </row>
    <row r="214" spans="1:32" s="5" customFormat="1" ht="30" x14ac:dyDescent="0.25">
      <c r="A214" s="132">
        <v>180516</v>
      </c>
      <c r="B214" s="132">
        <f>VLOOKUP($A214,'Выгр Кат'!$A:$S,B$1,0)</f>
        <v>19822</v>
      </c>
      <c r="C214" s="133" t="str">
        <f>VLOOKUP($A214,'Выгр Кат'!$A:$S,C$1,0)</f>
        <v>Обивка пола шумоизоляционная "БРТ" задняя правая на LADA Vesta</v>
      </c>
      <c r="D214" s="132" t="str">
        <f>VLOOKUP($A214,'Выгр Кат'!$A:$S,D$1,0)</f>
        <v>Y</v>
      </c>
      <c r="E214" s="132" t="str">
        <f>VLOOKUP($A214,'Выгр Кат'!$A:$S,E$1,0)</f>
        <v>1</v>
      </c>
      <c r="F214" s="132" t="str">
        <f>VLOOKUP($A214,'Выгр Кат'!$A:$S,F$1,0)</f>
        <v>8450007107Р</v>
      </c>
      <c r="G214" s="45" t="s">
        <v>1821</v>
      </c>
      <c r="H214" s="29" t="s">
        <v>1821</v>
      </c>
      <c r="I214" s="4" t="s">
        <v>2</v>
      </c>
      <c r="J214" s="95">
        <v>1</v>
      </c>
      <c r="K214" s="168">
        <f t="shared" si="125"/>
        <v>120</v>
      </c>
      <c r="L214" s="167">
        <f>VLOOKUP(K214,Наценка!$A$1:$B$8,2,1)</f>
        <v>1.7204301075268817</v>
      </c>
      <c r="M214" s="172">
        <f t="shared" si="130"/>
        <v>206.45161290322582</v>
      </c>
      <c r="N214" s="173">
        <f t="shared" si="118"/>
        <v>209</v>
      </c>
      <c r="O214" s="134">
        <f>VLOOKUP($A214,'Выгр Кат'!$A:$S,O$1,0)</f>
        <v>120</v>
      </c>
      <c r="P214" s="134">
        <f>VLOOKUP($A214,'Выгр Кат'!$A:$S,P$1,0)</f>
        <v>209</v>
      </c>
      <c r="Q214" s="107">
        <f t="shared" si="119"/>
        <v>0</v>
      </c>
      <c r="R214" s="107">
        <f t="shared" si="120"/>
        <v>0</v>
      </c>
      <c r="S214" s="110">
        <f t="shared" si="121"/>
        <v>194.36999999999998</v>
      </c>
      <c r="T214" s="135">
        <f t="shared" si="122"/>
        <v>0.6197499999999998</v>
      </c>
      <c r="U214" s="135" t="str">
        <f t="shared" si="123"/>
        <v/>
      </c>
      <c r="V214" s="135" t="str">
        <f t="shared" si="124"/>
        <v/>
      </c>
      <c r="W214" s="45"/>
      <c r="X214" s="114" t="str">
        <f>IFERROR((VLOOKUP($A214,'ИЗ ГУГЛА'!$B:$G,X$1,0)+Z214)*Y214,VLOOKUP($A214,'ИЗ ГУГЛА'!$B:$G,X$1,0))</f>
        <v/>
      </c>
      <c r="Y214" s="108">
        <v>1</v>
      </c>
      <c r="Z214" s="46"/>
      <c r="AA214" s="45" t="s">
        <v>1821</v>
      </c>
      <c r="AB214" s="124"/>
      <c r="AC214" s="114" t="str">
        <f>IFERROR((VLOOKUP($A214,'ИЗ ГУГЛА'!$B:$Z,AC$1,0)+AE214)*AD214,VLOOKUP($A214,'ИЗ ГУГЛА'!$B:$Z,AC$1,0))</f>
        <v/>
      </c>
      <c r="AD214" s="108">
        <v>1</v>
      </c>
      <c r="AE214" s="46"/>
      <c r="AF214" s="115"/>
    </row>
    <row r="215" spans="1:32" s="5" customFormat="1" ht="45.75" thickBot="1" x14ac:dyDescent="0.3">
      <c r="A215" s="132">
        <v>186763</v>
      </c>
      <c r="B215" s="132">
        <f>VLOOKUP($A215,'Выгр Кат'!$A:$S,B$1,0)</f>
        <v>19971</v>
      </c>
      <c r="C215" s="133" t="str">
        <f>VLOOKUP($A215,'Выгр Кат'!$A:$S,C$1,0)</f>
        <v>Патрубок расширительного бачка к термостату (заправочный) "БРТ" для ВАЗ 2108-21099, 2113-2115</v>
      </c>
      <c r="D215" s="132" t="str">
        <f>VLOOKUP($A215,'Выгр Кат'!$A:$S,D$1,0)</f>
        <v>Y</v>
      </c>
      <c r="E215" s="132" t="str">
        <f>VLOOKUP($A215,'Выгр Кат'!$A:$S,E$1,0)</f>
        <v>1</v>
      </c>
      <c r="F215" s="132" t="str">
        <f>VLOOKUP($A215,'Выгр Кат'!$A:$S,F$1,0)</f>
        <v>2108-1303080РП</v>
      </c>
      <c r="G215" s="45" t="s">
        <v>334</v>
      </c>
      <c r="H215" s="29"/>
      <c r="I215" s="4" t="s">
        <v>2</v>
      </c>
      <c r="J215" s="95">
        <v>1</v>
      </c>
      <c r="K215" s="168">
        <f t="shared" si="125"/>
        <v>136</v>
      </c>
      <c r="L215" s="167">
        <f>VLOOKUP(K215,Наценка!$A$1:$B$8,2,1)</f>
        <v>1.7204301075268817</v>
      </c>
      <c r="M215" s="148">
        <f t="shared" ref="M215:M217" si="134">W215*1.06</f>
        <v>307.40000000000003</v>
      </c>
      <c r="N215" s="173">
        <f t="shared" si="118"/>
        <v>309</v>
      </c>
      <c r="O215" s="134">
        <f>VLOOKUP($A215,'Выгр Кат'!$A:$S,O$1,0)</f>
        <v>136</v>
      </c>
      <c r="P215" s="134">
        <f>VLOOKUP($A215,'Выгр Кат'!$A:$S,P$1,0)</f>
        <v>309</v>
      </c>
      <c r="Q215" s="107">
        <f t="shared" si="119"/>
        <v>0</v>
      </c>
      <c r="R215" s="107">
        <f t="shared" si="120"/>
        <v>0</v>
      </c>
      <c r="S215" s="110">
        <f t="shared" si="121"/>
        <v>287.37</v>
      </c>
      <c r="T215" s="135">
        <f t="shared" si="122"/>
        <v>1.1130147058823532</v>
      </c>
      <c r="U215" s="135">
        <f t="shared" si="123"/>
        <v>9.0689655172413643E-3</v>
      </c>
      <c r="V215" s="135">
        <f t="shared" si="124"/>
        <v>1.1323529411764706</v>
      </c>
      <c r="W215" s="117">
        <f t="shared" ref="W215:W217" si="135">AA215</f>
        <v>290</v>
      </c>
      <c r="X215" s="114">
        <f>IFERROR((VLOOKUP($A215,'ИЗ ГУГЛА'!$B:$G,X$1,0)+Z215)*Y215,VLOOKUP($A215,'ИЗ ГУГЛА'!$B:$G,X$1,0))</f>
        <v>290</v>
      </c>
      <c r="Y215" s="108">
        <v>1</v>
      </c>
      <c r="Z215" s="46"/>
      <c r="AA215" s="136">
        <v>290</v>
      </c>
      <c r="AB215" s="124" t="s">
        <v>2588</v>
      </c>
      <c r="AC215" s="114" t="str">
        <f>IFERROR((VLOOKUP($A215,'ИЗ ГУГЛА'!$B:$Z,AC$1,0)+AE215)*AD215,VLOOKUP($A215,'ИЗ ГУГЛА'!$B:$Z,AC$1,0))</f>
        <v/>
      </c>
      <c r="AD215" s="108">
        <v>1</v>
      </c>
      <c r="AE215" s="46"/>
      <c r="AF215" s="115"/>
    </row>
    <row r="216" spans="1:32" s="5" customFormat="1" ht="46.5" thickTop="1" thickBot="1" x14ac:dyDescent="0.3">
      <c r="A216" s="132">
        <v>225957</v>
      </c>
      <c r="B216" s="132">
        <f>VLOOKUP($A216,'Выгр Кат'!$A:$S,B$1,0)</f>
        <v>20344</v>
      </c>
      <c r="C216" s="133" t="str">
        <f>VLOOKUP($A216,'Выгр Кат'!$A:$S,C$1,0)</f>
        <v>Шланг гидротормозной задний гибкий в сборе "БРТ" для Лада Веста Универсал</v>
      </c>
      <c r="D216" s="132" t="str">
        <f>VLOOKUP($A216,'Выгр Кат'!$A:$S,D$1,0)</f>
        <v>Y</v>
      </c>
      <c r="E216" s="132" t="str">
        <f>VLOOKUP($A216,'Выгр Кат'!$A:$S,E$1,0)</f>
        <v>1</v>
      </c>
      <c r="F216" s="132" t="str">
        <f>VLOOKUP($A216,'Выгр Кат'!$A:$S,F$1,0)</f>
        <v>8450031129Р.</v>
      </c>
      <c r="G216" s="99" t="s">
        <v>562</v>
      </c>
      <c r="H216" s="29"/>
      <c r="I216" s="4" t="s">
        <v>2</v>
      </c>
      <c r="J216" s="95">
        <v>1</v>
      </c>
      <c r="K216" s="168">
        <f t="shared" si="125"/>
        <v>131</v>
      </c>
      <c r="L216" s="167">
        <f>VLOOKUP(K216,Наценка!$A$1:$B$8,2,1)</f>
        <v>1.7204301075268817</v>
      </c>
      <c r="M216" s="147">
        <f t="shared" ref="M216:M217" si="136">W216*1.04</f>
        <v>238.16</v>
      </c>
      <c r="N216" s="173">
        <f t="shared" si="118"/>
        <v>239</v>
      </c>
      <c r="O216" s="134">
        <f>VLOOKUP($A216,'Выгр Кат'!$A:$S,O$1,0)</f>
        <v>131</v>
      </c>
      <c r="P216" s="134">
        <f>VLOOKUP($A216,'Выгр Кат'!$A:$S,P$1,0)</f>
        <v>239</v>
      </c>
      <c r="Q216" s="107">
        <f t="shared" si="119"/>
        <v>0</v>
      </c>
      <c r="R216" s="107">
        <f t="shared" si="120"/>
        <v>0</v>
      </c>
      <c r="S216" s="110">
        <f t="shared" si="121"/>
        <v>222.26999999999998</v>
      </c>
      <c r="T216" s="135">
        <f t="shared" si="122"/>
        <v>0.6967175572519082</v>
      </c>
      <c r="U216" s="135">
        <f t="shared" si="123"/>
        <v>2.9388646288209686E-2</v>
      </c>
      <c r="V216" s="135">
        <f t="shared" si="124"/>
        <v>0.74809160305343503</v>
      </c>
      <c r="W216" s="117">
        <f t="shared" si="135"/>
        <v>229</v>
      </c>
      <c r="X216" s="114">
        <f>IFERROR((VLOOKUP($A216,'ИЗ ГУГЛА'!$B:$G,X$1,0)+Z216)*Y216,VLOOKUP($A216,'ИЗ ГУГЛА'!$B:$G,X$1,0))</f>
        <v>229</v>
      </c>
      <c r="Y216" s="46">
        <v>1</v>
      </c>
      <c r="Z216" s="46"/>
      <c r="AA216" s="138">
        <v>229</v>
      </c>
      <c r="AB216" s="124" t="s">
        <v>2367</v>
      </c>
      <c r="AC216" s="114" t="str">
        <f>IFERROR((VLOOKUP($A216,'ИЗ ГУГЛА'!$B:$Z,AC$1,0)+AE216)*AD216,VLOOKUP($A216,'ИЗ ГУГЛА'!$B:$Z,AC$1,0))</f>
        <v/>
      </c>
      <c r="AD216" s="46">
        <v>1</v>
      </c>
      <c r="AE216" s="46"/>
      <c r="AF216" s="115"/>
    </row>
    <row r="217" spans="1:32" s="5" customFormat="1" ht="31.5" thickTop="1" thickBot="1" x14ac:dyDescent="0.3">
      <c r="A217" s="132">
        <v>225955</v>
      </c>
      <c r="B217" s="132">
        <f>VLOOKUP($A217,'Выгр Кат'!$A:$S,B$1,0)</f>
        <v>20339</v>
      </c>
      <c r="C217" s="133" t="str">
        <f>VLOOKUP($A217,'Выгр Кат'!$A:$S,C$1,0)</f>
        <v>Шланг гидротормозной задний в сборе "БРТ" для Лада Веста</v>
      </c>
      <c r="D217" s="132" t="str">
        <f>VLOOKUP($A217,'Выгр Кат'!$A:$S,D$1,0)</f>
        <v>Y</v>
      </c>
      <c r="E217" s="132" t="str">
        <f>VLOOKUP($A217,'Выгр Кат'!$A:$S,E$1,0)</f>
        <v>1</v>
      </c>
      <c r="F217" s="132" t="str">
        <f>VLOOKUP($A217,'Выгр Кат'!$A:$S,F$1,0)</f>
        <v>2180-3506085Р.</v>
      </c>
      <c r="G217" s="45" t="s">
        <v>562</v>
      </c>
      <c r="H217" s="29"/>
      <c r="I217" s="4" t="s">
        <v>2</v>
      </c>
      <c r="J217" s="95">
        <v>1</v>
      </c>
      <c r="K217" s="168">
        <f t="shared" si="125"/>
        <v>131</v>
      </c>
      <c r="L217" s="167">
        <f>VLOOKUP(K217,Наценка!$A$1:$B$8,2,1)</f>
        <v>1.7204301075268817</v>
      </c>
      <c r="M217" s="147">
        <f t="shared" si="136"/>
        <v>238.16</v>
      </c>
      <c r="N217" s="173">
        <f t="shared" si="118"/>
        <v>239</v>
      </c>
      <c r="O217" s="134">
        <f>VLOOKUP($A217,'Выгр Кат'!$A:$S,O$1,0)</f>
        <v>131</v>
      </c>
      <c r="P217" s="134">
        <f>VLOOKUP($A217,'Выгр Кат'!$A:$S,P$1,0)</f>
        <v>239</v>
      </c>
      <c r="Q217" s="107">
        <f t="shared" si="119"/>
        <v>0</v>
      </c>
      <c r="R217" s="107">
        <f t="shared" si="120"/>
        <v>0</v>
      </c>
      <c r="S217" s="110">
        <f t="shared" si="121"/>
        <v>222.26999999999998</v>
      </c>
      <c r="T217" s="135">
        <f t="shared" si="122"/>
        <v>0.6967175572519082</v>
      </c>
      <c r="U217" s="135">
        <f t="shared" si="123"/>
        <v>2.9388646288209686E-2</v>
      </c>
      <c r="V217" s="135">
        <f t="shared" si="124"/>
        <v>0.74809160305343503</v>
      </c>
      <c r="W217" s="117">
        <f t="shared" si="135"/>
        <v>229</v>
      </c>
      <c r="X217" s="114">
        <f>IFERROR((VLOOKUP($A217,'ИЗ ГУГЛА'!$B:$G,X$1,0)+Z217)*Y217,VLOOKUP($A217,'ИЗ ГУГЛА'!$B:$G,X$1,0))</f>
        <v>229</v>
      </c>
      <c r="Y217" s="46">
        <v>1</v>
      </c>
      <c r="Z217" s="46"/>
      <c r="AA217" s="138">
        <v>229</v>
      </c>
      <c r="AB217" s="124" t="s">
        <v>2367</v>
      </c>
      <c r="AC217" s="114" t="str">
        <f>IFERROR((VLOOKUP($A217,'ИЗ ГУГЛА'!$B:$Z,AC$1,0)+AE217)*AD217,VLOOKUP($A217,'ИЗ ГУГЛА'!$B:$Z,AC$1,0))</f>
        <v/>
      </c>
      <c r="AD217" s="46">
        <v>1</v>
      </c>
      <c r="AE217" s="46"/>
      <c r="AF217" s="115"/>
    </row>
    <row r="218" spans="1:32" s="5" customFormat="1" ht="45.75" thickTop="1" x14ac:dyDescent="0.25">
      <c r="A218" s="132">
        <v>225921</v>
      </c>
      <c r="B218" s="132">
        <f>VLOOKUP($A218,'Выгр Кат'!$A:$S,B$1,0)</f>
        <v>35580</v>
      </c>
      <c r="C218" s="133" t="str">
        <f>VLOOKUP($A218,'Выгр Кат'!$A:$S,C$1,0)</f>
        <v>Шланг "БРТ" расширительного бачка, пароотводящий (RF-90) для Лада Ларгус</v>
      </c>
      <c r="D218" s="132" t="str">
        <f>VLOOKUP($A218,'Выгр Кат'!$A:$S,D$1,0)</f>
        <v>Y</v>
      </c>
      <c r="E218" s="132" t="str">
        <f>VLOOKUP($A218,'Выгр Кат'!$A:$S,E$1,0)</f>
        <v>1</v>
      </c>
      <c r="F218" s="132" t="str">
        <f>VLOOKUP($A218,'Выгр Кат'!$A:$S,F$1,0)</f>
        <v>RF909493Р</v>
      </c>
      <c r="G218" s="44" t="s">
        <v>595</v>
      </c>
      <c r="H218" s="29"/>
      <c r="I218" s="4" t="s">
        <v>2</v>
      </c>
      <c r="J218" s="95">
        <v>1</v>
      </c>
      <c r="K218" s="168">
        <f t="shared" si="125"/>
        <v>123</v>
      </c>
      <c r="L218" s="167">
        <f>VLOOKUP(K218,Наценка!$A$1:$B$8,2,1)</f>
        <v>1.7204301075268817</v>
      </c>
      <c r="M218" s="172">
        <f t="shared" si="130"/>
        <v>211.61290322580646</v>
      </c>
      <c r="N218" s="173">
        <f t="shared" si="118"/>
        <v>219</v>
      </c>
      <c r="O218" s="134">
        <f>VLOOKUP($A218,'Выгр Кат'!$A:$S,O$1,0)</f>
        <v>123</v>
      </c>
      <c r="P218" s="134">
        <f>VLOOKUP($A218,'Выгр Кат'!$A:$S,P$1,0)</f>
        <v>219</v>
      </c>
      <c r="Q218" s="107">
        <f t="shared" si="119"/>
        <v>0</v>
      </c>
      <c r="R218" s="107">
        <f t="shared" si="120"/>
        <v>0</v>
      </c>
      <c r="S218" s="110">
        <f t="shared" si="121"/>
        <v>203.67</v>
      </c>
      <c r="T218" s="135">
        <f t="shared" si="122"/>
        <v>0.65585365853658528</v>
      </c>
      <c r="U218" s="135" t="str">
        <f t="shared" si="123"/>
        <v/>
      </c>
      <c r="V218" s="135" t="str">
        <f t="shared" si="124"/>
        <v/>
      </c>
      <c r="W218" s="45"/>
      <c r="X218" s="114" t="str">
        <f>IFERROR((VLOOKUP($A218,'ИЗ ГУГЛА'!$B:$G,X$1,0)+Z218)*Y218,VLOOKUP($A218,'ИЗ ГУГЛА'!$B:$G,X$1,0))</f>
        <v/>
      </c>
      <c r="Y218" s="108">
        <v>1</v>
      </c>
      <c r="Z218" s="46"/>
      <c r="AA218" s="45" t="s">
        <v>1821</v>
      </c>
      <c r="AB218" s="124"/>
      <c r="AC218" s="114" t="str">
        <f>IFERROR((VLOOKUP($A218,'ИЗ ГУГЛА'!$B:$Z,AC$1,0)+AE218)*AD218,VLOOKUP($A218,'ИЗ ГУГЛА'!$B:$Z,AC$1,0))</f>
        <v/>
      </c>
      <c r="AD218" s="108">
        <v>1</v>
      </c>
      <c r="AE218" s="46"/>
      <c r="AF218" s="115"/>
    </row>
    <row r="219" spans="1:32" s="5" customFormat="1" ht="30" x14ac:dyDescent="0.25">
      <c r="A219" s="132">
        <v>213137</v>
      </c>
      <c r="B219" s="132">
        <f>VLOOKUP($A219,'Выгр Кат'!$A:$S,B$1,0)</f>
        <v>35414</v>
      </c>
      <c r="C219" s="133" t="str">
        <f>VLOOKUP($A219,'Выгр Кат'!$A:$S,C$1,0)</f>
        <v>Сайлентблок "БРТ" рулевой тяги для ВАЗ 2108-21099, 2110-2112, 2113-2115</v>
      </c>
      <c r="D219" s="132" t="str">
        <f>VLOOKUP($A219,'Выгр Кат'!$A:$S,D$1,0)</f>
        <v>Y</v>
      </c>
      <c r="E219" s="132" t="str">
        <f>VLOOKUP($A219,'Выгр Кат'!$A:$S,E$1,0)</f>
        <v>1</v>
      </c>
      <c r="F219" s="132" t="str">
        <f>VLOOKUP($A219,'Выгр Кат'!$A:$S,F$1,0)</f>
        <v>2108-3414070</v>
      </c>
      <c r="G219" s="44" t="s">
        <v>353</v>
      </c>
      <c r="H219" s="29"/>
      <c r="I219" s="4" t="s">
        <v>2</v>
      </c>
      <c r="J219" s="95">
        <v>1</v>
      </c>
      <c r="K219" s="168">
        <f t="shared" si="125"/>
        <v>136</v>
      </c>
      <c r="L219" s="167">
        <f>VLOOKUP(K219,Наценка!$A$1:$B$8,2,1)</f>
        <v>1.7204301075268817</v>
      </c>
      <c r="M219" s="148">
        <f t="shared" ref="M219:M233" si="137">W219*1.06</f>
        <v>307.40000000000003</v>
      </c>
      <c r="N219" s="173">
        <f t="shared" si="118"/>
        <v>309</v>
      </c>
      <c r="O219" s="134">
        <f>VLOOKUP($A219,'Выгр Кат'!$A:$S,O$1,0)</f>
        <v>136</v>
      </c>
      <c r="P219" s="134">
        <f>VLOOKUP($A219,'Выгр Кат'!$A:$S,P$1,0)</f>
        <v>239</v>
      </c>
      <c r="Q219" s="107">
        <f t="shared" si="119"/>
        <v>0</v>
      </c>
      <c r="R219" s="107">
        <f t="shared" si="120"/>
        <v>-70</v>
      </c>
      <c r="S219" s="110">
        <f t="shared" si="121"/>
        <v>287.37</v>
      </c>
      <c r="T219" s="135">
        <f t="shared" si="122"/>
        <v>1.1130147058823532</v>
      </c>
      <c r="U219" s="135">
        <f t="shared" si="123"/>
        <v>9.0689655172413643E-3</v>
      </c>
      <c r="V219" s="135">
        <f t="shared" si="124"/>
        <v>1.1323529411764706</v>
      </c>
      <c r="W219" s="117">
        <f t="shared" ref="W219:W233" si="138">AA219</f>
        <v>290</v>
      </c>
      <c r="X219" s="114">
        <f>IFERROR((VLOOKUP($A219,'ИЗ ГУГЛА'!$B:$G,X$1,0)+Z219)*Y219,VLOOKUP($A219,'ИЗ ГУГЛА'!$B:$G,X$1,0))</f>
        <v>290</v>
      </c>
      <c r="Y219" s="108">
        <v>1</v>
      </c>
      <c r="Z219" s="46"/>
      <c r="AA219" s="139">
        <v>290</v>
      </c>
      <c r="AB219" s="124" t="s">
        <v>2834</v>
      </c>
      <c r="AC219" s="114" t="str">
        <f>IFERROR((VLOOKUP($A219,'ИЗ ГУГЛА'!$B:$Z,AC$1,0)+AE219)*AD219,VLOOKUP($A219,'ИЗ ГУГЛА'!$B:$Z,AC$1,0))</f>
        <v/>
      </c>
      <c r="AD219" s="108">
        <v>1</v>
      </c>
      <c r="AE219" s="46"/>
      <c r="AF219" s="115"/>
    </row>
    <row r="220" spans="1:32" s="5" customFormat="1" ht="45.75" thickBot="1" x14ac:dyDescent="0.3">
      <c r="A220" s="132">
        <v>186762</v>
      </c>
      <c r="B220" s="132">
        <f>VLOOKUP($A220,'Выгр Кат'!$A:$S,B$1,0)</f>
        <v>20383</v>
      </c>
      <c r="C220" s="133" t="str">
        <f>VLOOKUP($A220,'Выгр Кат'!$A:$S,C$1,0)</f>
        <v>Патрубок расширительного бачка к термостату "БРТ" заправочный для ВАЗ 2110 (С/О), 2112</v>
      </c>
      <c r="D220" s="132" t="str">
        <f>VLOOKUP($A220,'Выгр Кат'!$A:$S,D$1,0)</f>
        <v>Y</v>
      </c>
      <c r="E220" s="132" t="str">
        <f>VLOOKUP($A220,'Выгр Кат'!$A:$S,E$1,0)</f>
        <v>1</v>
      </c>
      <c r="F220" s="132" t="str">
        <f>VLOOKUP($A220,'Выгр Кат'!$A:$S,F$1,0)</f>
        <v>2112-1303080-10РП.</v>
      </c>
      <c r="G220" s="42" t="s">
        <v>430</v>
      </c>
      <c r="H220" s="29"/>
      <c r="I220" s="4" t="s">
        <v>2</v>
      </c>
      <c r="J220" s="95">
        <v>1</v>
      </c>
      <c r="K220" s="168">
        <f t="shared" si="125"/>
        <v>140</v>
      </c>
      <c r="L220" s="167">
        <f>VLOOKUP(K220,Наценка!$A$1:$B$8,2,1)</f>
        <v>1.7204301075268817</v>
      </c>
      <c r="M220" s="148">
        <f t="shared" ref="M220:M223" si="139">W220*1.05</f>
        <v>199.5</v>
      </c>
      <c r="N220" s="173">
        <f t="shared" si="118"/>
        <v>199</v>
      </c>
      <c r="O220" s="134">
        <f>VLOOKUP($A220,'Выгр Кат'!$A:$S,O$1,0)</f>
        <v>140</v>
      </c>
      <c r="P220" s="134">
        <f>VLOOKUP($A220,'Выгр Кат'!$A:$S,P$1,0)</f>
        <v>199</v>
      </c>
      <c r="Q220" s="107">
        <f t="shared" si="119"/>
        <v>0</v>
      </c>
      <c r="R220" s="107">
        <f t="shared" si="120"/>
        <v>0</v>
      </c>
      <c r="S220" s="110">
        <f t="shared" si="121"/>
        <v>185.07</v>
      </c>
      <c r="T220" s="135">
        <f t="shared" si="122"/>
        <v>0.32192857142857134</v>
      </c>
      <c r="U220" s="135">
        <f t="shared" si="123"/>
        <v>2.5947368421052667E-2</v>
      </c>
      <c r="V220" s="135">
        <f t="shared" si="124"/>
        <v>0.35714285714285721</v>
      </c>
      <c r="W220" s="117">
        <f t="shared" si="138"/>
        <v>190</v>
      </c>
      <c r="X220" s="114">
        <f>IFERROR((VLOOKUP($A220,'ИЗ ГУГЛА'!$B:$G,X$1,0)+Z220)*Y220,VLOOKUP($A220,'ИЗ ГУГЛА'!$B:$G,X$1,0))</f>
        <v>190</v>
      </c>
      <c r="Y220" s="108">
        <v>1</v>
      </c>
      <c r="Z220" s="46"/>
      <c r="AA220" s="136">
        <v>190</v>
      </c>
      <c r="AB220" s="124" t="s">
        <v>2565</v>
      </c>
      <c r="AC220" s="114" t="str">
        <f>IFERROR((VLOOKUP($A220,'ИЗ ГУГЛА'!$B:$Z,AC$1,0)+AE220)*AD220,VLOOKUP($A220,'ИЗ ГУГЛА'!$B:$Z,AC$1,0))</f>
        <v/>
      </c>
      <c r="AD220" s="108">
        <v>1</v>
      </c>
      <c r="AE220" s="46"/>
      <c r="AF220" s="115"/>
    </row>
    <row r="221" spans="1:32" s="5" customFormat="1" ht="31.5" thickTop="1" thickBot="1" x14ac:dyDescent="0.3">
      <c r="A221" s="132">
        <v>186681</v>
      </c>
      <c r="B221" s="132">
        <f>VLOOKUP($A221,'Выгр Кат'!$A:$S,B$1,0)</f>
        <v>20449</v>
      </c>
      <c r="C221" s="133" t="str">
        <f>VLOOKUP($A221,'Выгр Кат'!$A:$S,C$1,0)</f>
        <v>Патрубок отопителя (печки) "БРТ" подводящий для Шевроле Нива</v>
      </c>
      <c r="D221" s="132" t="str">
        <f>VLOOKUP($A221,'Выгр Кат'!$A:$S,D$1,0)</f>
        <v>Y</v>
      </c>
      <c r="E221" s="132" t="str">
        <f>VLOOKUP($A221,'Выгр Кат'!$A:$S,E$1,0)</f>
        <v>1</v>
      </c>
      <c r="F221" s="132" t="str">
        <f>VLOOKUP($A221,'Выгр Кат'!$A:$S,F$1,0)</f>
        <v>2123-8101200РП.</v>
      </c>
      <c r="G221" s="43" t="s">
        <v>514</v>
      </c>
      <c r="H221" s="29"/>
      <c r="I221" s="4" t="s">
        <v>2</v>
      </c>
      <c r="J221" s="95">
        <v>1</v>
      </c>
      <c r="K221" s="168">
        <f t="shared" si="125"/>
        <v>140</v>
      </c>
      <c r="L221" s="167">
        <f>VLOOKUP(K221,Наценка!$A$1:$B$8,2,1)</f>
        <v>1.7204301075268817</v>
      </c>
      <c r="M221" s="147">
        <f t="shared" ref="M221:M223" si="140">W221*1.04</f>
        <v>269.36</v>
      </c>
      <c r="N221" s="173">
        <f t="shared" si="118"/>
        <v>269</v>
      </c>
      <c r="O221" s="134">
        <f>VLOOKUP($A221,'Выгр Кат'!$A:$S,O$1,0)</f>
        <v>140</v>
      </c>
      <c r="P221" s="134">
        <f>VLOOKUP($A221,'Выгр Кат'!$A:$S,P$1,0)</f>
        <v>269</v>
      </c>
      <c r="Q221" s="107">
        <f t="shared" si="119"/>
        <v>0</v>
      </c>
      <c r="R221" s="107">
        <f t="shared" si="120"/>
        <v>0</v>
      </c>
      <c r="S221" s="110">
        <f t="shared" si="121"/>
        <v>250.17</v>
      </c>
      <c r="T221" s="135">
        <f t="shared" si="122"/>
        <v>0.78692857142857142</v>
      </c>
      <c r="U221" s="135">
        <f t="shared" si="123"/>
        <v>3.4092664092664142E-2</v>
      </c>
      <c r="V221" s="135">
        <f t="shared" si="124"/>
        <v>0.85000000000000009</v>
      </c>
      <c r="W221" s="117">
        <f t="shared" si="138"/>
        <v>259</v>
      </c>
      <c r="X221" s="114">
        <f>IFERROR((VLOOKUP($A221,'ИЗ ГУГЛА'!$B:$G,X$1,0)+Z221)*Y221,VLOOKUP($A221,'ИЗ ГУГЛА'!$B:$G,X$1,0))</f>
        <v>259</v>
      </c>
      <c r="Y221" s="108">
        <v>1</v>
      </c>
      <c r="Z221" s="46"/>
      <c r="AA221" s="136">
        <v>259</v>
      </c>
      <c r="AB221" s="124" t="s">
        <v>2666</v>
      </c>
      <c r="AC221" s="114" t="str">
        <f>IFERROR((VLOOKUP($A221,'ИЗ ГУГЛА'!$B:$Z,AC$1,0)+AE221)*AD221,VLOOKUP($A221,'ИЗ ГУГЛА'!$B:$Z,AC$1,0))</f>
        <v/>
      </c>
      <c r="AD221" s="108">
        <v>1</v>
      </c>
      <c r="AE221" s="46"/>
      <c r="AF221" s="115"/>
    </row>
    <row r="222" spans="1:32" s="5" customFormat="1" ht="46.5" thickTop="1" thickBot="1" x14ac:dyDescent="0.3">
      <c r="A222" s="132">
        <v>186844</v>
      </c>
      <c r="B222" s="132">
        <f>VLOOKUP($A222,'Выгр Кат'!$A:$S,B$1,0)</f>
        <v>20421</v>
      </c>
      <c r="C222" s="133" t="str">
        <f>VLOOKUP($A222,'Выгр Кат'!$A:$S,C$1,0)</f>
        <v>Патрубок соединительный "БРТ" термостата и водяного насоса (малый) для Лада Нива 4х4</v>
      </c>
      <c r="D222" s="132" t="str">
        <f>VLOOKUP($A222,'Выгр Кат'!$A:$S,D$1,0)</f>
        <v>Y</v>
      </c>
      <c r="E222" s="132" t="str">
        <f>VLOOKUP($A222,'Выгр Кат'!$A:$S,E$1,0)</f>
        <v>1</v>
      </c>
      <c r="F222" s="132" t="str">
        <f>VLOOKUP($A222,'Выгр Кат'!$A:$S,F$1,0)</f>
        <v>21213-1303092РП.</v>
      </c>
      <c r="G222" s="45" t="s">
        <v>466</v>
      </c>
      <c r="H222" s="29"/>
      <c r="I222" s="4" t="s">
        <v>2</v>
      </c>
      <c r="J222" s="95">
        <v>1</v>
      </c>
      <c r="K222" s="168">
        <f t="shared" si="125"/>
        <v>141</v>
      </c>
      <c r="L222" s="167">
        <f>VLOOKUP(K222,Наценка!$A$1:$B$8,2,1)</f>
        <v>1.7204301075268817</v>
      </c>
      <c r="M222" s="147">
        <f t="shared" si="140"/>
        <v>238.16</v>
      </c>
      <c r="N222" s="173">
        <f t="shared" si="118"/>
        <v>239</v>
      </c>
      <c r="O222" s="134">
        <f>VLOOKUP($A222,'Выгр Кат'!$A:$S,O$1,0)</f>
        <v>141</v>
      </c>
      <c r="P222" s="134">
        <f>VLOOKUP($A222,'Выгр Кат'!$A:$S,P$1,0)</f>
        <v>239</v>
      </c>
      <c r="Q222" s="107">
        <f t="shared" si="119"/>
        <v>0</v>
      </c>
      <c r="R222" s="107">
        <f t="shared" si="120"/>
        <v>0</v>
      </c>
      <c r="S222" s="110">
        <f t="shared" si="121"/>
        <v>222.26999999999998</v>
      </c>
      <c r="T222" s="135">
        <f t="shared" si="122"/>
        <v>0.57638297872340405</v>
      </c>
      <c r="U222" s="135">
        <f t="shared" si="123"/>
        <v>2.9388646288209686E-2</v>
      </c>
      <c r="V222" s="135">
        <f t="shared" si="124"/>
        <v>0.62411347517730498</v>
      </c>
      <c r="W222" s="117">
        <f t="shared" si="138"/>
        <v>229</v>
      </c>
      <c r="X222" s="114">
        <f>IFERROR((VLOOKUP($A222,'ИЗ ГУГЛА'!$B:$G,X$1,0)+Z222)*Y222,VLOOKUP($A222,'ИЗ ГУГЛА'!$B:$G,X$1,0))</f>
        <v>229</v>
      </c>
      <c r="Y222" s="108">
        <v>1</v>
      </c>
      <c r="Z222" s="46"/>
      <c r="AA222" s="136">
        <v>229</v>
      </c>
      <c r="AB222" s="124" t="s">
        <v>2589</v>
      </c>
      <c r="AC222" s="114" t="str">
        <f>IFERROR((VLOOKUP($A222,'ИЗ ГУГЛА'!$B:$Z,AC$1,0)+AE222)*AD222,VLOOKUP($A222,'ИЗ ГУГЛА'!$B:$Z,AC$1,0))</f>
        <v/>
      </c>
      <c r="AD222" s="108">
        <v>1</v>
      </c>
      <c r="AE222" s="46"/>
      <c r="AF222" s="115"/>
    </row>
    <row r="223" spans="1:32" s="5" customFormat="1" ht="46.5" thickTop="1" thickBot="1" x14ac:dyDescent="0.3">
      <c r="A223" s="132">
        <v>186843</v>
      </c>
      <c r="B223" s="132">
        <f>VLOOKUP($A223,'Выгр Кат'!$A:$S,B$1,0)</f>
        <v>20418</v>
      </c>
      <c r="C223" s="133" t="str">
        <f>VLOOKUP($A223,'Выгр Кат'!$A:$S,C$1,0)</f>
        <v>Патрубок соединительный "БРТ" термостата и водяного насоса (малый) для Лада Нива 4х4</v>
      </c>
      <c r="D223" s="132" t="str">
        <f>VLOOKUP($A223,'Выгр Кат'!$A:$S,D$1,0)</f>
        <v>Y</v>
      </c>
      <c r="E223" s="132" t="str">
        <f>VLOOKUP($A223,'Выгр Кат'!$A:$S,E$1,0)</f>
        <v>1</v>
      </c>
      <c r="F223" s="132" t="str">
        <f>VLOOKUP($A223,'Выгр Кат'!$A:$S,F$1,0)</f>
        <v>21213-1303092-10РП.</v>
      </c>
      <c r="G223" s="42" t="s">
        <v>466</v>
      </c>
      <c r="H223" s="29"/>
      <c r="I223" s="4" t="s">
        <v>2</v>
      </c>
      <c r="J223" s="95">
        <v>1</v>
      </c>
      <c r="K223" s="168">
        <f t="shared" si="125"/>
        <v>141</v>
      </c>
      <c r="L223" s="167">
        <f>VLOOKUP(K223,Наценка!$A$1:$B$8,2,1)</f>
        <v>1.7204301075268817</v>
      </c>
      <c r="M223" s="147">
        <f t="shared" si="140"/>
        <v>238.16</v>
      </c>
      <c r="N223" s="173">
        <f t="shared" si="118"/>
        <v>239</v>
      </c>
      <c r="O223" s="134">
        <f>VLOOKUP($A223,'Выгр Кат'!$A:$S,O$1,0)</f>
        <v>141</v>
      </c>
      <c r="P223" s="134">
        <f>VLOOKUP($A223,'Выгр Кат'!$A:$S,P$1,0)</f>
        <v>239</v>
      </c>
      <c r="Q223" s="107">
        <f t="shared" si="119"/>
        <v>0</v>
      </c>
      <c r="R223" s="107">
        <f t="shared" si="120"/>
        <v>0</v>
      </c>
      <c r="S223" s="110">
        <f t="shared" si="121"/>
        <v>222.26999999999998</v>
      </c>
      <c r="T223" s="135">
        <f t="shared" si="122"/>
        <v>0.57638297872340405</v>
      </c>
      <c r="U223" s="135">
        <f t="shared" si="123"/>
        <v>2.9388646288209686E-2</v>
      </c>
      <c r="V223" s="135">
        <f t="shared" si="124"/>
        <v>0.62411347517730498</v>
      </c>
      <c r="W223" s="117">
        <f t="shared" si="138"/>
        <v>229</v>
      </c>
      <c r="X223" s="114">
        <f>IFERROR((VLOOKUP($A223,'ИЗ ГУГЛА'!$B:$G,X$1,0)+Z223)*Y223,VLOOKUP($A223,'ИЗ ГУГЛА'!$B:$G,X$1,0))</f>
        <v>229</v>
      </c>
      <c r="Y223" s="108">
        <v>1</v>
      </c>
      <c r="Z223" s="46"/>
      <c r="AA223" s="136">
        <v>229</v>
      </c>
      <c r="AB223" s="124" t="s">
        <v>2589</v>
      </c>
      <c r="AC223" s="114" t="str">
        <f>IFERROR((VLOOKUP($A223,'ИЗ ГУГЛА'!$B:$Z,AC$1,0)+AE223)*AD223,VLOOKUP($A223,'ИЗ ГУГЛА'!$B:$Z,AC$1,0))</f>
        <v/>
      </c>
      <c r="AD223" s="108">
        <v>1</v>
      </c>
      <c r="AE223" s="46"/>
      <c r="AF223" s="115"/>
    </row>
    <row r="224" spans="1:32" s="5" customFormat="1" ht="46.5" thickTop="1" thickBot="1" x14ac:dyDescent="0.3">
      <c r="A224" s="132">
        <v>186775</v>
      </c>
      <c r="B224" s="132">
        <f>VLOOKUP($A224,'Выгр Кат'!$A:$S,B$1,0)</f>
        <v>20438</v>
      </c>
      <c r="C224" s="133" t="str">
        <f>VLOOKUP($A224,'Выгр Кат'!$A:$S,C$1,0)</f>
        <v>Патрубок сапуна вытяжной вентиляции картера для Шевроле Нива</v>
      </c>
      <c r="D224" s="132" t="str">
        <f>VLOOKUP($A224,'Выгр Кат'!$A:$S,D$1,0)</f>
        <v>Y</v>
      </c>
      <c r="E224" s="132" t="str">
        <f>VLOOKUP($A224,'Выгр Кат'!$A:$S,E$1,0)</f>
        <v>1</v>
      </c>
      <c r="F224" s="132" t="str">
        <f>VLOOKUP($A224,'Выгр Кат'!$A:$S,F$1,0)</f>
        <v>2123-1014056РП.</v>
      </c>
      <c r="G224" s="43" t="s">
        <v>480</v>
      </c>
      <c r="H224" s="29"/>
      <c r="I224" s="4" t="s">
        <v>2</v>
      </c>
      <c r="J224" s="95">
        <v>1</v>
      </c>
      <c r="K224" s="168">
        <f t="shared" si="125"/>
        <v>143</v>
      </c>
      <c r="L224" s="167">
        <f>VLOOKUP(K224,Наценка!$A$1:$B$8,2,1)</f>
        <v>1.7204301075268817</v>
      </c>
      <c r="M224" s="148">
        <f t="shared" si="137"/>
        <v>307.40000000000003</v>
      </c>
      <c r="N224" s="173">
        <f t="shared" si="118"/>
        <v>309</v>
      </c>
      <c r="O224" s="134">
        <f>VLOOKUP($A224,'Выгр Кат'!$A:$S,O$1,0)</f>
        <v>143</v>
      </c>
      <c r="P224" s="134">
        <f>VLOOKUP($A224,'Выгр Кат'!$A:$S,P$1,0)</f>
        <v>309</v>
      </c>
      <c r="Q224" s="107">
        <f t="shared" si="119"/>
        <v>0</v>
      </c>
      <c r="R224" s="107">
        <f t="shared" si="120"/>
        <v>0</v>
      </c>
      <c r="S224" s="110">
        <f t="shared" si="121"/>
        <v>287.37</v>
      </c>
      <c r="T224" s="135">
        <f t="shared" si="122"/>
        <v>1.0095804195804194</v>
      </c>
      <c r="U224" s="135">
        <f t="shared" si="123"/>
        <v>9.0689655172413643E-3</v>
      </c>
      <c r="V224" s="135">
        <f t="shared" si="124"/>
        <v>1.0279720279720279</v>
      </c>
      <c r="W224" s="117">
        <f t="shared" si="138"/>
        <v>290</v>
      </c>
      <c r="X224" s="114">
        <f>IFERROR((VLOOKUP($A224,'ИЗ ГУГЛА'!$B:$G,X$1,0)+Z224)*Y224,VLOOKUP($A224,'ИЗ ГУГЛА'!$B:$G,X$1,0))</f>
        <v>290</v>
      </c>
      <c r="Y224" s="108">
        <v>1</v>
      </c>
      <c r="Z224" s="46"/>
      <c r="AA224" s="136">
        <v>290</v>
      </c>
      <c r="AB224" s="124" t="s">
        <v>2667</v>
      </c>
      <c r="AC224" s="114" t="str">
        <f>IFERROR((VLOOKUP($A224,'ИЗ ГУГЛА'!$B:$Z,AC$1,0)+AE224)*AD224,VLOOKUP($A224,'ИЗ ГУГЛА'!$B:$Z,AC$1,0))</f>
        <v/>
      </c>
      <c r="AD224" s="108">
        <v>1</v>
      </c>
      <c r="AE224" s="46"/>
      <c r="AF224" s="115"/>
    </row>
    <row r="225" spans="1:32" s="5" customFormat="1" ht="31.5" thickTop="1" thickBot="1" x14ac:dyDescent="0.3">
      <c r="A225" s="132">
        <v>225950</v>
      </c>
      <c r="B225" s="132">
        <f>VLOOKUP($A225,'Выгр Кат'!$A:$S,B$1,0)</f>
        <v>19816</v>
      </c>
      <c r="C225" s="133" t="str">
        <f>VLOOKUP($A225,'Выгр Кат'!$A:$S,C$1,0)</f>
        <v>Шланг тормозного бачка "БРТ" гибкий для Лада Нива 4х4</v>
      </c>
      <c r="D225" s="132" t="str">
        <f>VLOOKUP($A225,'Выгр Кат'!$A:$S,D$1,0)</f>
        <v>Y</v>
      </c>
      <c r="E225" s="132" t="str">
        <f>VLOOKUP($A225,'Выгр Кат'!$A:$S,E$1,0)</f>
        <v>1</v>
      </c>
      <c r="F225" s="132" t="str">
        <f>VLOOKUP($A225,'Выгр Кат'!$A:$S,F$1,0)</f>
        <v>21213-3505125Р</v>
      </c>
      <c r="G225" s="45" t="s">
        <v>470</v>
      </c>
      <c r="H225" s="29"/>
      <c r="I225" s="4" t="s">
        <v>2</v>
      </c>
      <c r="J225" s="95">
        <v>1</v>
      </c>
      <c r="K225" s="168">
        <f t="shared" si="125"/>
        <v>143</v>
      </c>
      <c r="L225" s="167">
        <f>VLOOKUP(K225,Наценка!$A$1:$B$8,2,1)</f>
        <v>1.7204301075268817</v>
      </c>
      <c r="M225" s="148">
        <f t="shared" si="137"/>
        <v>369.94</v>
      </c>
      <c r="N225" s="173">
        <f t="shared" si="118"/>
        <v>369</v>
      </c>
      <c r="O225" s="134">
        <f>VLOOKUP($A225,'Выгр Кат'!$A:$S,O$1,0)</f>
        <v>143</v>
      </c>
      <c r="P225" s="134">
        <f>VLOOKUP($A225,'Выгр Кат'!$A:$S,P$1,0)</f>
        <v>309</v>
      </c>
      <c r="Q225" s="107">
        <f t="shared" si="119"/>
        <v>0</v>
      </c>
      <c r="R225" s="107">
        <f t="shared" si="120"/>
        <v>-60</v>
      </c>
      <c r="S225" s="110">
        <f t="shared" si="121"/>
        <v>343.16999999999996</v>
      </c>
      <c r="T225" s="135">
        <f t="shared" si="122"/>
        <v>1.3997902097902095</v>
      </c>
      <c r="U225" s="135">
        <f t="shared" si="123"/>
        <v>1.6704871060172037E-2</v>
      </c>
      <c r="V225" s="135">
        <f t="shared" si="124"/>
        <v>1.4405594405594404</v>
      </c>
      <c r="W225" s="117">
        <f t="shared" si="138"/>
        <v>349</v>
      </c>
      <c r="X225" s="114">
        <f>IFERROR((VLOOKUP($A225,'ИЗ ГУГЛА'!$B:$G,X$1,0)+Z225)*Y225,VLOOKUP($A225,'ИЗ ГУГЛА'!$B:$G,X$1,0))</f>
        <v>349</v>
      </c>
      <c r="Y225" s="46">
        <v>1</v>
      </c>
      <c r="Z225" s="46"/>
      <c r="AA225" s="138">
        <v>349</v>
      </c>
      <c r="AB225" s="124" t="s">
        <v>2366</v>
      </c>
      <c r="AC225" s="114" t="str">
        <f>IFERROR((VLOOKUP($A225,'ИЗ ГУГЛА'!$B:$Z,AC$1,0)+AE225)*AD225,VLOOKUP($A225,'ИЗ ГУГЛА'!$B:$Z,AC$1,0))</f>
        <v/>
      </c>
      <c r="AD225" s="46">
        <v>1</v>
      </c>
      <c r="AE225" s="46"/>
      <c r="AF225" s="115"/>
    </row>
    <row r="226" spans="1:32" s="5" customFormat="1" ht="46.5" thickTop="1" thickBot="1" x14ac:dyDescent="0.3">
      <c r="A226" s="132">
        <v>186846</v>
      </c>
      <c r="B226" s="132">
        <f>VLOOKUP($A226,'Выгр Кат'!$A:$S,B$1,0)</f>
        <v>20444</v>
      </c>
      <c r="C226" s="133" t="str">
        <f>VLOOKUP($A226,'Выгр Кат'!$A:$S,C$1,0)</f>
        <v>Патрубок соединительный термостата и отопителя "БРТ" для Шевроле Нива</v>
      </c>
      <c r="D226" s="132" t="str">
        <f>VLOOKUP($A226,'Выгр Кат'!$A:$S,D$1,0)</f>
        <v>Y</v>
      </c>
      <c r="E226" s="132" t="str">
        <f>VLOOKUP($A226,'Выгр Кат'!$A:$S,E$1,0)</f>
        <v>1</v>
      </c>
      <c r="F226" s="132" t="str">
        <f>VLOOKUP($A226,'Выгр Кат'!$A:$S,F$1,0)</f>
        <v>2123-1303156-01РП.</v>
      </c>
      <c r="G226" s="45" t="s">
        <v>493</v>
      </c>
      <c r="H226" s="29"/>
      <c r="I226" s="4" t="s">
        <v>2</v>
      </c>
      <c r="J226" s="95">
        <v>1</v>
      </c>
      <c r="K226" s="168">
        <f t="shared" si="125"/>
        <v>144</v>
      </c>
      <c r="L226" s="167">
        <f>VLOOKUP(K226,Наценка!$A$1:$B$8,2,1)</f>
        <v>1.7204301075268817</v>
      </c>
      <c r="M226" s="148">
        <f>W226*1.05</f>
        <v>576.45000000000005</v>
      </c>
      <c r="N226" s="173">
        <f t="shared" si="118"/>
        <v>579</v>
      </c>
      <c r="O226" s="134">
        <f>VLOOKUP($A226,'Выгр Кат'!$A:$S,O$1,0)</f>
        <v>144</v>
      </c>
      <c r="P226" s="134">
        <f>VLOOKUP($A226,'Выгр Кат'!$A:$S,P$1,0)</f>
        <v>579</v>
      </c>
      <c r="Q226" s="107">
        <f t="shared" si="119"/>
        <v>0</v>
      </c>
      <c r="R226" s="107">
        <f t="shared" si="120"/>
        <v>0</v>
      </c>
      <c r="S226" s="110">
        <f t="shared" si="121"/>
        <v>538.46999999999991</v>
      </c>
      <c r="T226" s="135">
        <f t="shared" si="122"/>
        <v>2.7393749999999994</v>
      </c>
      <c r="U226" s="135">
        <f t="shared" si="123"/>
        <v>1.9180327868852615E-2</v>
      </c>
      <c r="V226" s="135">
        <f t="shared" si="124"/>
        <v>2.8125</v>
      </c>
      <c r="W226" s="117">
        <f t="shared" si="138"/>
        <v>549</v>
      </c>
      <c r="X226" s="114">
        <f>IFERROR((VLOOKUP($A226,'ИЗ ГУГЛА'!$B:$G,X$1,0)+Z226)*Y226,VLOOKUP($A226,'ИЗ ГУГЛА'!$B:$G,X$1,0))</f>
        <v>549</v>
      </c>
      <c r="Y226" s="108">
        <v>1</v>
      </c>
      <c r="Z226" s="46"/>
      <c r="AA226" s="136">
        <v>549</v>
      </c>
      <c r="AB226" s="124" t="s">
        <v>2590</v>
      </c>
      <c r="AC226" s="114" t="str">
        <f>IFERROR((VLOOKUP($A226,'ИЗ ГУГЛА'!$B:$Z,AC$1,0)+AE226)*AD226,VLOOKUP($A226,'ИЗ ГУГЛА'!$B:$Z,AC$1,0))</f>
        <v/>
      </c>
      <c r="AD226" s="108">
        <v>1</v>
      </c>
      <c r="AE226" s="46"/>
      <c r="AF226" s="115"/>
    </row>
    <row r="227" spans="1:32" s="5" customFormat="1" ht="46.5" thickTop="1" thickBot="1" x14ac:dyDescent="0.3">
      <c r="A227" s="132">
        <v>201422</v>
      </c>
      <c r="B227" s="132">
        <f>VLOOKUP($A227,'Выгр Кат'!$A:$S,B$1,0)</f>
        <v>20293</v>
      </c>
      <c r="C227" s="133" t="str">
        <f>VLOOKUP($A227,'Выгр Кат'!$A:$S,C$1,0)</f>
        <v>Прокладка изолирующая пружины задней подвески "БРТ" для ВАЗ 2110-2112</v>
      </c>
      <c r="D227" s="132" t="str">
        <f>VLOOKUP($A227,'Выгр Кат'!$A:$S,D$1,0)</f>
        <v>Y</v>
      </c>
      <c r="E227" s="132" t="str">
        <f>VLOOKUP($A227,'Выгр Кат'!$A:$S,E$1,0)</f>
        <v>1</v>
      </c>
      <c r="F227" s="132" t="str">
        <f>VLOOKUP($A227,'Выгр Кат'!$A:$S,F$1,0)</f>
        <v>2110-2912652Р.</v>
      </c>
      <c r="G227" s="45" t="s">
        <v>400</v>
      </c>
      <c r="H227" s="29"/>
      <c r="I227" s="4" t="s">
        <v>2</v>
      </c>
      <c r="J227" s="95">
        <v>1</v>
      </c>
      <c r="K227" s="168">
        <f t="shared" si="125"/>
        <v>145</v>
      </c>
      <c r="L227" s="167">
        <f>VLOOKUP(K227,Наценка!$A$1:$B$8,2,1)</f>
        <v>1.7204301075268817</v>
      </c>
      <c r="M227" s="148">
        <f t="shared" si="137"/>
        <v>307.40000000000003</v>
      </c>
      <c r="N227" s="173">
        <f t="shared" si="118"/>
        <v>309</v>
      </c>
      <c r="O227" s="134">
        <f>VLOOKUP($A227,'Выгр Кат'!$A:$S,O$1,0)</f>
        <v>145</v>
      </c>
      <c r="P227" s="134">
        <f>VLOOKUP($A227,'Выгр Кат'!$A:$S,P$1,0)</f>
        <v>309</v>
      </c>
      <c r="Q227" s="107">
        <f t="shared" si="119"/>
        <v>0</v>
      </c>
      <c r="R227" s="107">
        <f t="shared" si="120"/>
        <v>0</v>
      </c>
      <c r="S227" s="110">
        <f t="shared" si="121"/>
        <v>287.37</v>
      </c>
      <c r="T227" s="135">
        <f t="shared" si="122"/>
        <v>0.98186206896551731</v>
      </c>
      <c r="U227" s="135">
        <f t="shared" si="123"/>
        <v>9.0689655172413643E-3</v>
      </c>
      <c r="V227" s="135">
        <f t="shared" si="124"/>
        <v>1</v>
      </c>
      <c r="W227" s="117">
        <f t="shared" si="138"/>
        <v>290</v>
      </c>
      <c r="X227" s="114">
        <f>IFERROR((VLOOKUP($A227,'ИЗ ГУГЛА'!$B:$G,X$1,0)+Z227)*Y227,VLOOKUP($A227,'ИЗ ГУГЛА'!$B:$G,X$1,0))</f>
        <v>290</v>
      </c>
      <c r="Y227" s="46">
        <v>1</v>
      </c>
      <c r="Z227" s="46"/>
      <c r="AA227" s="138">
        <v>290</v>
      </c>
      <c r="AB227" s="124" t="s">
        <v>2351</v>
      </c>
      <c r="AC227" s="114" t="str">
        <f>IFERROR((VLOOKUP($A227,'ИЗ ГУГЛА'!$B:$Z,AC$1,0)+AE227)*AD227,VLOOKUP($A227,'ИЗ ГУГЛА'!$B:$Z,AC$1,0))</f>
        <v/>
      </c>
      <c r="AD227" s="46">
        <v>1</v>
      </c>
      <c r="AE227" s="46"/>
      <c r="AF227" s="115"/>
    </row>
    <row r="228" spans="1:32" s="5" customFormat="1" ht="45.75" thickTop="1" x14ac:dyDescent="0.25">
      <c r="A228" s="132">
        <v>204213</v>
      </c>
      <c r="B228" s="132">
        <f>VLOOKUP($A228,'Выгр Кат'!$A:$S,B$1,0)</f>
        <v>20354</v>
      </c>
      <c r="C228" s="133" t="str">
        <f>VLOOKUP($A228,'Выгр Кат'!$A:$S,C$1,0)</f>
        <v>Ремень генератора клиновой (гладкий) "БРТ" для ВАЗ 2101-2107, Лада Нива 4x4</v>
      </c>
      <c r="D228" s="132" t="str">
        <f>VLOOKUP($A228,'Выгр Кат'!$A:$S,D$1,0)</f>
        <v>Y</v>
      </c>
      <c r="E228" s="132" t="str">
        <f>VLOOKUP($A228,'Выгр Кат'!$A:$S,E$1,0)</f>
        <v>1</v>
      </c>
      <c r="F228" s="132" t="str">
        <f>VLOOKUP($A228,'Выгр Кат'!$A:$S,F$1,0)</f>
        <v>2101-1308020РУ</v>
      </c>
      <c r="G228" s="53" t="s">
        <v>2012</v>
      </c>
      <c r="H228" s="29"/>
      <c r="I228" s="4" t="s">
        <v>2</v>
      </c>
      <c r="J228" s="95">
        <v>1</v>
      </c>
      <c r="K228" s="168">
        <f t="shared" si="125"/>
        <v>145</v>
      </c>
      <c r="L228" s="167">
        <f>VLOOKUP(K228,Наценка!$A$1:$B$8,2,1)</f>
        <v>1.7204301075268817</v>
      </c>
      <c r="M228" s="148">
        <f t="shared" ref="M228:M232" si="141">W228*1.05</f>
        <v>387.45</v>
      </c>
      <c r="N228" s="173">
        <f t="shared" si="118"/>
        <v>389</v>
      </c>
      <c r="O228" s="134">
        <f>VLOOKUP($A228,'Выгр Кат'!$A:$S,O$1,0)</f>
        <v>145</v>
      </c>
      <c r="P228" s="134">
        <f>VLOOKUP($A228,'Выгр Кат'!$A:$S,P$1,0)</f>
        <v>249</v>
      </c>
      <c r="Q228" s="107">
        <f t="shared" si="119"/>
        <v>0</v>
      </c>
      <c r="R228" s="107">
        <f t="shared" si="120"/>
        <v>-140</v>
      </c>
      <c r="S228" s="110">
        <f t="shared" si="121"/>
        <v>361.77</v>
      </c>
      <c r="T228" s="135">
        <f t="shared" si="122"/>
        <v>1.4949655172413792</v>
      </c>
      <c r="U228" s="135">
        <f t="shared" si="123"/>
        <v>1.9593495934959401E-2</v>
      </c>
      <c r="V228" s="135">
        <f t="shared" si="124"/>
        <v>1.5448275862068965</v>
      </c>
      <c r="W228" s="117">
        <f t="shared" si="138"/>
        <v>369</v>
      </c>
      <c r="X228" s="114">
        <f>IFERROR((VLOOKUP($A228,'ИЗ ГУГЛА'!$B:$G,X$1,0)+Z228)*Y228,VLOOKUP($A228,'ИЗ ГУГЛА'!$B:$G,X$1,0))</f>
        <v>369</v>
      </c>
      <c r="Y228" s="108">
        <v>1</v>
      </c>
      <c r="Z228" s="46"/>
      <c r="AA228" s="139">
        <v>369</v>
      </c>
      <c r="AB228" s="124" t="s">
        <v>2966</v>
      </c>
      <c r="AC228" s="114" t="str">
        <f>IFERROR((VLOOKUP($A228,'ИЗ ГУГЛА'!$B:$Z,AC$1,0)+AE228)*AD228,VLOOKUP($A228,'ИЗ ГУГЛА'!$B:$Z,AC$1,0))</f>
        <v/>
      </c>
      <c r="AD228" s="108">
        <v>1</v>
      </c>
      <c r="AE228" s="46"/>
      <c r="AF228" s="115"/>
    </row>
    <row r="229" spans="1:32" s="5" customFormat="1" ht="45" x14ac:dyDescent="0.25">
      <c r="A229" s="132">
        <v>225947</v>
      </c>
      <c r="B229" s="132">
        <f>VLOOKUP($A229,'Выгр Кат'!$A:$S,B$1,0)</f>
        <v>20238</v>
      </c>
      <c r="C229" s="133" t="str">
        <f>VLOOKUP($A229,'Выгр Кат'!$A:$S,C$1,0)</f>
        <v>Шланг вытяжной вентиляции картера "БРТ" верхний (L-образный) для ВАЗ 2108, 2110, 2111, 2115 8v инжектор</v>
      </c>
      <c r="D229" s="132" t="str">
        <f>VLOOKUP($A229,'Выгр Кат'!$A:$S,D$1,0)</f>
        <v>Y</v>
      </c>
      <c r="E229" s="132" t="str">
        <f>VLOOKUP($A229,'Выгр Кат'!$A:$S,E$1,0)</f>
        <v>1</v>
      </c>
      <c r="F229" s="132" t="str">
        <f>VLOOKUP($A229,'Выгр Кат'!$A:$S,F$1,0)</f>
        <v>2111-1014058-10РП.</v>
      </c>
      <c r="G229" s="45" t="s">
        <v>413</v>
      </c>
      <c r="H229" s="29"/>
      <c r="I229" s="4" t="s">
        <v>2</v>
      </c>
      <c r="J229" s="95">
        <v>1</v>
      </c>
      <c r="K229" s="168">
        <f t="shared" si="125"/>
        <v>146</v>
      </c>
      <c r="L229" s="167">
        <f>VLOOKUP(K229,Наценка!$A$1:$B$8,2,1)</f>
        <v>1.7204301075268817</v>
      </c>
      <c r="M229" s="147">
        <f>W229*1.04</f>
        <v>279.76</v>
      </c>
      <c r="N229" s="173">
        <f t="shared" si="118"/>
        <v>279</v>
      </c>
      <c r="O229" s="134">
        <f>VLOOKUP($A229,'Выгр Кат'!$A:$S,O$1,0)</f>
        <v>146</v>
      </c>
      <c r="P229" s="134">
        <f>VLOOKUP($A229,'Выгр Кат'!$A:$S,P$1,0)</f>
        <v>259</v>
      </c>
      <c r="Q229" s="107">
        <f t="shared" si="119"/>
        <v>0</v>
      </c>
      <c r="R229" s="107">
        <f t="shared" si="120"/>
        <v>-20</v>
      </c>
      <c r="S229" s="110">
        <f t="shared" si="121"/>
        <v>259.46999999999997</v>
      </c>
      <c r="T229" s="135">
        <f t="shared" si="122"/>
        <v>0.77719178082191753</v>
      </c>
      <c r="U229" s="135">
        <f t="shared" si="123"/>
        <v>3.5427509293680409E-2</v>
      </c>
      <c r="V229" s="135">
        <f t="shared" si="124"/>
        <v>0.84246575342465757</v>
      </c>
      <c r="W229" s="117">
        <f t="shared" si="138"/>
        <v>269</v>
      </c>
      <c r="X229" s="114">
        <f>IFERROR((VLOOKUP($A229,'ИЗ ГУГЛА'!$B:$G,X$1,0)+Z229)*Y229,VLOOKUP($A229,'ИЗ ГУГЛА'!$B:$G,X$1,0))</f>
        <v>269</v>
      </c>
      <c r="Y229" s="108">
        <v>1</v>
      </c>
      <c r="Z229" s="46"/>
      <c r="AA229" s="139">
        <v>269</v>
      </c>
      <c r="AB229" s="124" t="s">
        <v>2965</v>
      </c>
      <c r="AC229" s="114" t="str">
        <f>IFERROR((VLOOKUP($A229,'ИЗ ГУГЛА'!$B:$Z,AC$1,0)+AE229)*AD229,VLOOKUP($A229,'ИЗ ГУГЛА'!$B:$Z,AC$1,0))</f>
        <v/>
      </c>
      <c r="AD229" s="108">
        <v>1</v>
      </c>
      <c r="AE229" s="46"/>
      <c r="AF229" s="115"/>
    </row>
    <row r="230" spans="1:32" s="5" customFormat="1" ht="45.75" thickBot="1" x14ac:dyDescent="0.3">
      <c r="A230" s="132">
        <v>225994</v>
      </c>
      <c r="B230" s="132">
        <f>VLOOKUP($A230,'Выгр Кат'!$A:$S,B$1,0)</f>
        <v>13034</v>
      </c>
      <c r="C230" s="133" t="str">
        <f>VLOOKUP($A230,'Выгр Кат'!$A:$S,C$1,0)</f>
        <v>Патрубок сапуна (верхний) для ВАЗ (2110-2112, 2113-2115), Лада (Калина, Калина 2, Приора, Приора 2, Гранта)</v>
      </c>
      <c r="D230" s="132" t="str">
        <f>VLOOKUP($A230,'Выгр Кат'!$A:$S,D$1,0)</f>
        <v>Y</v>
      </c>
      <c r="E230" s="132" t="str">
        <f>VLOOKUP($A230,'Выгр Кат'!$A:$S,E$1,0)</f>
        <v>1</v>
      </c>
      <c r="F230" s="132" t="str">
        <f>VLOOKUP($A230,'Выгр Кат'!$A:$S,F$1,0)</f>
        <v>21110-1014058-10Р</v>
      </c>
      <c r="G230" s="45" t="s">
        <v>413</v>
      </c>
      <c r="H230" s="29"/>
      <c r="I230" s="4" t="s">
        <v>2</v>
      </c>
      <c r="J230" s="95">
        <v>1</v>
      </c>
      <c r="K230" s="168">
        <f t="shared" si="125"/>
        <v>146</v>
      </c>
      <c r="L230" s="167">
        <f>VLOOKUP(K230,Наценка!$A$1:$B$8,2,1)</f>
        <v>1.7204301075268817</v>
      </c>
      <c r="M230" s="148">
        <f t="shared" si="141"/>
        <v>409.5</v>
      </c>
      <c r="N230" s="173">
        <f t="shared" si="118"/>
        <v>409</v>
      </c>
      <c r="O230" s="134">
        <f>VLOOKUP($A230,'Выгр Кат'!$A:$S,O$1,0)</f>
        <v>146</v>
      </c>
      <c r="P230" s="134">
        <f>VLOOKUP($A230,'Выгр Кат'!$A:$S,P$1,0)</f>
        <v>409</v>
      </c>
      <c r="Q230" s="107">
        <f t="shared" si="119"/>
        <v>0</v>
      </c>
      <c r="R230" s="107">
        <f t="shared" si="120"/>
        <v>0</v>
      </c>
      <c r="S230" s="110">
        <f t="shared" si="121"/>
        <v>380.36999999999995</v>
      </c>
      <c r="T230" s="135">
        <f t="shared" si="122"/>
        <v>1.6052739726027392</v>
      </c>
      <c r="U230" s="135">
        <f t="shared" si="123"/>
        <v>2.4692307692307826E-2</v>
      </c>
      <c r="V230" s="135">
        <f t="shared" si="124"/>
        <v>1.6712328767123288</v>
      </c>
      <c r="W230" s="117">
        <f t="shared" si="138"/>
        <v>390</v>
      </c>
      <c r="X230" s="114">
        <f>IFERROR((VLOOKUP($A230,'ИЗ ГУГЛА'!$B:$G,X$1,0)+Z230)*Y230,VLOOKUP($A230,'ИЗ ГУГЛА'!$B:$G,X$1,0))</f>
        <v>390</v>
      </c>
      <c r="Y230" s="46">
        <v>1</v>
      </c>
      <c r="Z230" s="46"/>
      <c r="AA230" s="138">
        <v>390</v>
      </c>
      <c r="AB230" s="124" t="s">
        <v>2365</v>
      </c>
      <c r="AC230" s="114" t="str">
        <f>IFERROR((VLOOKUP($A230,'ИЗ ГУГЛА'!$B:$Z,AC$1,0)+AE230)*AD230,VLOOKUP($A230,'ИЗ ГУГЛА'!$B:$Z,AC$1,0))</f>
        <v/>
      </c>
      <c r="AD230" s="46">
        <v>1</v>
      </c>
      <c r="AE230" s="46"/>
      <c r="AF230" s="115"/>
    </row>
    <row r="231" spans="1:32" s="5" customFormat="1" ht="31.5" thickTop="1" thickBot="1" x14ac:dyDescent="0.3">
      <c r="A231" s="132">
        <v>186559</v>
      </c>
      <c r="B231" s="132">
        <f>VLOOKUP($A231,'Выгр Кат'!$A:$S,B$1,0)</f>
        <v>35338</v>
      </c>
      <c r="C231" s="133" t="str">
        <f>VLOOKUP($A231,'Выгр Кат'!$A:$S,C$1,0)</f>
        <v>Патрубок "БРТ" отопителя (печки) подводящий для ВАЗ 2110-2112</v>
      </c>
      <c r="D231" s="132" t="str">
        <f>VLOOKUP($A231,'Выгр Кат'!$A:$S,D$1,0)</f>
        <v>Y</v>
      </c>
      <c r="E231" s="132" t="str">
        <f>VLOOKUP($A231,'Выгр Кат'!$A:$S,E$1,0)</f>
        <v>1</v>
      </c>
      <c r="F231" s="132" t="str">
        <f>VLOOKUP($A231,'Выгр Кат'!$A:$S,F$1,0)</f>
        <v>2110-8101200</v>
      </c>
      <c r="G231" s="44" t="s">
        <v>410</v>
      </c>
      <c r="H231" s="29"/>
      <c r="I231" s="4" t="s">
        <v>2</v>
      </c>
      <c r="J231" s="95">
        <v>1</v>
      </c>
      <c r="K231" s="168">
        <f t="shared" si="125"/>
        <v>170</v>
      </c>
      <c r="L231" s="167">
        <f>VLOOKUP(K231,Наценка!$A$1:$B$8,2,1)</f>
        <v>1.7204301075268817</v>
      </c>
      <c r="M231" s="148">
        <f t="shared" si="141"/>
        <v>387.45</v>
      </c>
      <c r="N231" s="173">
        <f t="shared" si="118"/>
        <v>389</v>
      </c>
      <c r="O231" s="134">
        <f>VLOOKUP($A231,'Выгр Кат'!$A:$S,O$1,0)</f>
        <v>170</v>
      </c>
      <c r="P231" s="134">
        <f>VLOOKUP($A231,'Выгр Кат'!$A:$S,P$1,0)</f>
        <v>389</v>
      </c>
      <c r="Q231" s="107">
        <f t="shared" si="119"/>
        <v>0</v>
      </c>
      <c r="R231" s="107">
        <f t="shared" si="120"/>
        <v>0</v>
      </c>
      <c r="S231" s="110">
        <f t="shared" si="121"/>
        <v>361.77</v>
      </c>
      <c r="T231" s="135">
        <f t="shared" si="122"/>
        <v>1.1280588235294116</v>
      </c>
      <c r="U231" s="135">
        <f t="shared" si="123"/>
        <v>1.9593495934959401E-2</v>
      </c>
      <c r="V231" s="135">
        <f t="shared" si="124"/>
        <v>1.1705882352941175</v>
      </c>
      <c r="W231" s="117">
        <f t="shared" si="138"/>
        <v>369</v>
      </c>
      <c r="X231" s="114">
        <f>IFERROR((VLOOKUP($A231,'ИЗ ГУГЛА'!$B:$G,X$1,0)+Z231)*Y231,VLOOKUP($A231,'ИЗ ГУГЛА'!$B:$G,X$1,0))</f>
        <v>369</v>
      </c>
      <c r="Y231" s="108">
        <v>1</v>
      </c>
      <c r="Z231" s="46"/>
      <c r="AA231" s="136">
        <v>369</v>
      </c>
      <c r="AB231" s="124" t="s">
        <v>2591</v>
      </c>
      <c r="AC231" s="114" t="str">
        <f>IFERROR((VLOOKUP($A231,'ИЗ ГУГЛА'!$B:$Z,AC$1,0)+AE231)*AD231,VLOOKUP($A231,'ИЗ ГУГЛА'!$B:$Z,AC$1,0))</f>
        <v/>
      </c>
      <c r="AD231" s="108">
        <v>1</v>
      </c>
      <c r="AE231" s="46"/>
      <c r="AF231" s="115"/>
    </row>
    <row r="232" spans="1:32" s="5" customFormat="1" ht="46.5" thickTop="1" thickBot="1" x14ac:dyDescent="0.3">
      <c r="A232" s="132">
        <v>158111</v>
      </c>
      <c r="B232" s="132">
        <f>VLOOKUP($A232,'Выгр Кат'!$A:$S,B$1,0)</f>
        <v>31104</v>
      </c>
      <c r="C232" s="133" t="str">
        <f>VLOOKUP($A232,'Выгр Кат'!$A:$S,C$1,0)</f>
        <v>Колпачок рулевой рейки "БРТ" большой для ВАЗ 2110-2112, Лада Калина</v>
      </c>
      <c r="D232" s="132" t="str">
        <f>VLOOKUP($A232,'Выгр Кат'!$A:$S,D$1,0)</f>
        <v>Y</v>
      </c>
      <c r="E232" s="132" t="str">
        <f>VLOOKUP($A232,'Выгр Кат'!$A:$S,E$1,0)</f>
        <v>1</v>
      </c>
      <c r="F232" s="132" t="str">
        <f>VLOOKUP($A232,'Выгр Кат'!$A:$S,F$1,0)</f>
        <v>21103401225</v>
      </c>
      <c r="G232" s="45" t="s">
        <v>1821</v>
      </c>
      <c r="H232" s="29" t="s">
        <v>1821</v>
      </c>
      <c r="I232" s="4" t="s">
        <v>2</v>
      </c>
      <c r="J232" s="95">
        <v>1</v>
      </c>
      <c r="K232" s="168">
        <f t="shared" si="125"/>
        <v>130</v>
      </c>
      <c r="L232" s="167">
        <f>VLOOKUP(K232,Наценка!$A$1:$B$8,2,1)</f>
        <v>1.7204301075268817</v>
      </c>
      <c r="M232" s="148">
        <f t="shared" si="141"/>
        <v>198.45000000000002</v>
      </c>
      <c r="N232" s="173">
        <f t="shared" si="118"/>
        <v>199</v>
      </c>
      <c r="O232" s="134">
        <f>VLOOKUP($A232,'Выгр Кат'!$A:$S,O$1,0)</f>
        <v>130</v>
      </c>
      <c r="P232" s="134">
        <f>VLOOKUP($A232,'Выгр Кат'!$A:$S,P$1,0)</f>
        <v>199</v>
      </c>
      <c r="Q232" s="107">
        <f t="shared" si="119"/>
        <v>0</v>
      </c>
      <c r="R232" s="107">
        <f t="shared" si="120"/>
        <v>0</v>
      </c>
      <c r="S232" s="110">
        <f t="shared" si="121"/>
        <v>185.07</v>
      </c>
      <c r="T232" s="135">
        <f t="shared" si="122"/>
        <v>0.4236153846153845</v>
      </c>
      <c r="U232" s="135">
        <f t="shared" si="123"/>
        <v>2.0793650793650829E-2</v>
      </c>
      <c r="V232" s="135">
        <f t="shared" si="124"/>
        <v>0.45384615384615379</v>
      </c>
      <c r="W232" s="117">
        <f t="shared" si="138"/>
        <v>189</v>
      </c>
      <c r="X232" s="114">
        <f>IFERROR((VLOOKUP($A232,'ИЗ ГУГЛА'!$B:$G,X$1,0)+Z232)*Y232,VLOOKUP($A232,'ИЗ ГУГЛА'!$B:$G,X$1,0))</f>
        <v>189</v>
      </c>
      <c r="Y232" s="46">
        <v>1</v>
      </c>
      <c r="Z232" s="46"/>
      <c r="AA232" s="138">
        <v>189</v>
      </c>
      <c r="AB232" s="124" t="s">
        <v>2336</v>
      </c>
      <c r="AC232" s="114" t="str">
        <f>IFERROR((VLOOKUP($A232,'ИЗ ГУГЛА'!$B:$Z,AC$1,0)+AE232)*AD232,VLOOKUP($A232,'ИЗ ГУГЛА'!$B:$Z,AC$1,0))</f>
        <v/>
      </c>
      <c r="AD232" s="46">
        <v>1</v>
      </c>
      <c r="AE232" s="46"/>
      <c r="AF232" s="115"/>
    </row>
    <row r="233" spans="1:32" s="5" customFormat="1" ht="30.75" thickTop="1" x14ac:dyDescent="0.25">
      <c r="A233" s="132">
        <v>141792</v>
      </c>
      <c r="B233" s="132">
        <f>VLOOKUP($A233,'Выгр Кат'!$A:$S,B$1,0)</f>
        <v>20411</v>
      </c>
      <c r="C233" s="133" t="str">
        <f>VLOOKUP($A233,'Выгр Кат'!$A:$S,C$1,0)</f>
        <v>Гофра "БРТ" проводки двери для Лада Калина, Гранта</v>
      </c>
      <c r="D233" s="132" t="str">
        <f>VLOOKUP($A233,'Выгр Кат'!$A:$S,D$1,0)</f>
        <v>Y</v>
      </c>
      <c r="E233" s="132" t="str">
        <f>VLOOKUP($A233,'Выгр Кат'!$A:$S,E$1,0)</f>
        <v>1</v>
      </c>
      <c r="F233" s="132" t="str">
        <f>VLOOKUP($A233,'Выгр Кат'!$A:$S,F$1,0)</f>
        <v>1118-3724195</v>
      </c>
      <c r="G233" s="45" t="s">
        <v>1821</v>
      </c>
      <c r="H233" s="29" t="s">
        <v>1821</v>
      </c>
      <c r="I233" s="4" t="s">
        <v>2</v>
      </c>
      <c r="J233" s="95">
        <v>1</v>
      </c>
      <c r="K233" s="168">
        <f t="shared" si="125"/>
        <v>130</v>
      </c>
      <c r="L233" s="167">
        <f>VLOOKUP(K233,Наценка!$A$1:$B$8,2,1)</f>
        <v>1.7204301075268817</v>
      </c>
      <c r="M233" s="148">
        <f t="shared" si="137"/>
        <v>307.40000000000003</v>
      </c>
      <c r="N233" s="173">
        <f t="shared" si="118"/>
        <v>309</v>
      </c>
      <c r="O233" s="134">
        <f>VLOOKUP($A233,'Выгр Кат'!$A:$S,O$1,0)</f>
        <v>130</v>
      </c>
      <c r="P233" s="134">
        <f>VLOOKUP($A233,'Выгр Кат'!$A:$S,P$1,0)</f>
        <v>229</v>
      </c>
      <c r="Q233" s="107">
        <f t="shared" si="119"/>
        <v>0</v>
      </c>
      <c r="R233" s="107">
        <f t="shared" si="120"/>
        <v>-80</v>
      </c>
      <c r="S233" s="110">
        <f t="shared" si="121"/>
        <v>287.37</v>
      </c>
      <c r="T233" s="135">
        <f t="shared" si="122"/>
        <v>1.2105384615384618</v>
      </c>
      <c r="U233" s="135">
        <f t="shared" si="123"/>
        <v>9.0689655172413643E-3</v>
      </c>
      <c r="V233" s="135">
        <f t="shared" si="124"/>
        <v>1.2307692307692308</v>
      </c>
      <c r="W233" s="117">
        <f t="shared" si="138"/>
        <v>290</v>
      </c>
      <c r="X233" s="114">
        <f>IFERROR((VLOOKUP($A233,'ИЗ ГУГЛА'!$B:$G,X$1,0)+Z233)*Y233,VLOOKUP($A233,'ИЗ ГУГЛА'!$B:$G,X$1,0))</f>
        <v>290</v>
      </c>
      <c r="Y233" s="108">
        <v>1</v>
      </c>
      <c r="Z233" s="46"/>
      <c r="AA233" s="139">
        <v>290</v>
      </c>
      <c r="AB233" s="124" t="s">
        <v>2964</v>
      </c>
      <c r="AC233" s="114" t="str">
        <f>IFERROR((VLOOKUP($A233,'ИЗ ГУГЛА'!$B:$Z,AC$1,0)+AE233)*AD233,VLOOKUP($A233,'ИЗ ГУГЛА'!$B:$Z,AC$1,0))</f>
        <v/>
      </c>
      <c r="AD233" s="108">
        <v>1</v>
      </c>
      <c r="AE233" s="46"/>
      <c r="AF233" s="115"/>
    </row>
    <row r="234" spans="1:32" s="5" customFormat="1" ht="30.75" thickBot="1" x14ac:dyDescent="0.3">
      <c r="A234" s="132">
        <v>201332</v>
      </c>
      <c r="B234" s="132">
        <f>VLOOKUP($A234,'Выгр Кат'!$A:$S,B$1,0)</f>
        <v>35276</v>
      </c>
      <c r="C234" s="133" t="str">
        <f>VLOOKUP($A234,'Выгр Кат'!$A:$S,C$1,0)</f>
        <v>Прокладка "БРТ" клапанной крышки для ВАЗ 2104, 2105</v>
      </c>
      <c r="D234" s="132" t="str">
        <f>VLOOKUP($A234,'Выгр Кат'!$A:$S,D$1,0)</f>
        <v>Y</v>
      </c>
      <c r="E234" s="132" t="str">
        <f>VLOOKUP($A234,'Выгр Кат'!$A:$S,E$1,0)</f>
        <v>1</v>
      </c>
      <c r="F234" s="132" t="str">
        <f>VLOOKUP($A234,'Выгр Кат'!$A:$S,F$1,0)</f>
        <v>2105-1003270-10</v>
      </c>
      <c r="G234" s="44" t="s">
        <v>292</v>
      </c>
      <c r="H234" s="29"/>
      <c r="I234" s="4" t="s">
        <v>2</v>
      </c>
      <c r="J234" s="95">
        <v>1</v>
      </c>
      <c r="K234" s="168">
        <f t="shared" si="125"/>
        <v>148</v>
      </c>
      <c r="L234" s="167">
        <f>VLOOKUP(K234,Наценка!$A$1:$B$8,2,1)</f>
        <v>1.7204301075268817</v>
      </c>
      <c r="M234" s="172">
        <f t="shared" si="130"/>
        <v>254.6236559139785</v>
      </c>
      <c r="N234" s="173">
        <f t="shared" si="118"/>
        <v>259</v>
      </c>
      <c r="O234" s="134">
        <f>VLOOKUP($A234,'Выгр Кат'!$A:$S,O$1,0)</f>
        <v>148</v>
      </c>
      <c r="P234" s="134">
        <f>VLOOKUP($A234,'Выгр Кат'!$A:$S,P$1,0)</f>
        <v>259</v>
      </c>
      <c r="Q234" s="107">
        <f t="shared" si="119"/>
        <v>0</v>
      </c>
      <c r="R234" s="107">
        <f t="shared" si="120"/>
        <v>0</v>
      </c>
      <c r="S234" s="110">
        <f t="shared" si="121"/>
        <v>240.86999999999998</v>
      </c>
      <c r="T234" s="135">
        <f t="shared" si="122"/>
        <v>0.62749999999999995</v>
      </c>
      <c r="U234" s="135" t="str">
        <f t="shared" si="123"/>
        <v/>
      </c>
      <c r="V234" s="135" t="str">
        <f t="shared" si="124"/>
        <v/>
      </c>
      <c r="W234" s="45"/>
      <c r="X234" s="114" t="str">
        <f>IFERROR((VLOOKUP($A234,'ИЗ ГУГЛА'!$B:$G,X$1,0)+Z234)*Y234,VLOOKUP($A234,'ИЗ ГУГЛА'!$B:$G,X$1,0))</f>
        <v/>
      </c>
      <c r="Y234" s="108">
        <v>1</v>
      </c>
      <c r="Z234" s="46"/>
      <c r="AA234" s="140" t="s">
        <v>1821</v>
      </c>
      <c r="AB234" s="129"/>
      <c r="AC234" s="114" t="str">
        <f>IFERROR((VLOOKUP($A234,'ИЗ ГУГЛА'!$B:$Z,AC$1,0)+AE234)*AD234,VLOOKUP($A234,'ИЗ ГУГЛА'!$B:$Z,AC$1,0))</f>
        <v/>
      </c>
      <c r="AD234" s="108">
        <v>1</v>
      </c>
      <c r="AE234" s="46"/>
      <c r="AF234" s="115"/>
    </row>
    <row r="235" spans="1:32" s="5" customFormat="1" ht="60.75" thickTop="1" x14ac:dyDescent="0.25">
      <c r="A235" s="132">
        <v>213345</v>
      </c>
      <c r="B235" s="132">
        <f>VLOOKUP($A235,'Выгр Кат'!$A:$S,B$1,0)</f>
        <v>30839</v>
      </c>
      <c r="C235" s="133" t="str">
        <f>VLOOKUP($A235,'Выгр Кат'!$A:$S,C$1,0)</f>
        <v>Сальник коленвала передний "БРТ" с пружиной (2-х компонентный) для ВАЗ (2108-21099, 2113-2115, 2110-2112), Лада (Калина, Ока)</v>
      </c>
      <c r="D235" s="132" t="str">
        <f>VLOOKUP($A235,'Выгр Кат'!$A:$S,D$1,0)</f>
        <v>Y</v>
      </c>
      <c r="E235" s="132" t="str">
        <f>VLOOKUP($A235,'Выгр Кат'!$A:$S,E$1,0)</f>
        <v>1</v>
      </c>
      <c r="F235" s="132" t="str">
        <f>VLOOKUP($A235,'Выгр Кат'!$A:$S,F$1,0)</f>
        <v>21080100503400</v>
      </c>
      <c r="G235" s="34" t="s">
        <v>316</v>
      </c>
      <c r="H235" s="29"/>
      <c r="I235" s="4" t="s">
        <v>2</v>
      </c>
      <c r="J235" s="95">
        <v>1</v>
      </c>
      <c r="K235" s="168">
        <f t="shared" si="125"/>
        <v>145</v>
      </c>
      <c r="L235" s="167">
        <f>VLOOKUP(K235,Наценка!$A$1:$B$8,2,1)</f>
        <v>1.7204301075268817</v>
      </c>
      <c r="M235" s="148">
        <f>W235*1.06</f>
        <v>307.40000000000003</v>
      </c>
      <c r="N235" s="173">
        <f t="shared" si="118"/>
        <v>309</v>
      </c>
      <c r="O235" s="134">
        <f>VLOOKUP($A235,'Выгр Кат'!$A:$S,O$1,0)</f>
        <v>145</v>
      </c>
      <c r="P235" s="134">
        <f>VLOOKUP($A235,'Выгр Кат'!$A:$S,P$1,0)</f>
        <v>249</v>
      </c>
      <c r="Q235" s="107">
        <f t="shared" si="119"/>
        <v>0</v>
      </c>
      <c r="R235" s="107">
        <f t="shared" si="120"/>
        <v>-60</v>
      </c>
      <c r="S235" s="110">
        <f t="shared" si="121"/>
        <v>287.37</v>
      </c>
      <c r="T235" s="135">
        <f t="shared" si="122"/>
        <v>0.98186206896551731</v>
      </c>
      <c r="U235" s="135">
        <f t="shared" si="123"/>
        <v>9.0689655172413643E-3</v>
      </c>
      <c r="V235" s="135">
        <f t="shared" si="124"/>
        <v>1</v>
      </c>
      <c r="W235" s="117">
        <f>AA235</f>
        <v>290</v>
      </c>
      <c r="X235" s="114">
        <f>IFERROR((VLOOKUP($A235,'ИЗ ГУГЛА'!$B:$G,X$1,0)+Z235)*Y235,VLOOKUP($A235,'ИЗ ГУГЛА'!$B:$G,X$1,0))</f>
        <v>290</v>
      </c>
      <c r="Y235" s="108">
        <v>1</v>
      </c>
      <c r="Z235" s="46"/>
      <c r="AA235" s="139">
        <v>290</v>
      </c>
      <c r="AB235" s="124" t="s">
        <v>2380</v>
      </c>
      <c r="AC235" s="114" t="str">
        <f>IFERROR((VLOOKUP($A235,'ИЗ ГУГЛА'!$B:$Z,AC$1,0)+AE235)*AD235,VLOOKUP($A235,'ИЗ ГУГЛА'!$B:$Z,AC$1,0))</f>
        <v/>
      </c>
      <c r="AD235" s="108">
        <v>1</v>
      </c>
      <c r="AE235" s="46"/>
      <c r="AF235" s="115"/>
    </row>
    <row r="236" spans="1:32" s="5" customFormat="1" ht="60" x14ac:dyDescent="0.25">
      <c r="A236" s="132">
        <v>213336</v>
      </c>
      <c r="B236" s="132">
        <f>VLOOKUP($A236,'Выгр Кат'!$A:$S,B$1,0)</f>
        <v>30557</v>
      </c>
      <c r="C236" s="133" t="str">
        <f>VLOOKUP($A236,'Выгр Кат'!$A:$S,C$1,0)</f>
        <v>Сальник коленвала "Резинотехника" передний, маленький, без пружины (28х42х7 мм) для ВАЗ 2108-21099, 2113-2115</v>
      </c>
      <c r="D236" s="132" t="str">
        <f>VLOOKUP($A236,'Выгр Кат'!$A:$S,D$1,0)</f>
        <v>Y</v>
      </c>
      <c r="E236" s="132" t="str">
        <f>VLOOKUP($A236,'Выгр Кат'!$A:$S,E$1,0)</f>
        <v>1</v>
      </c>
      <c r="F236" s="132" t="str">
        <f>VLOOKUP($A236,'Выгр Кат'!$A:$S,F$1,0)</f>
        <v>2108-100503401</v>
      </c>
      <c r="G236" s="42" t="s">
        <v>316</v>
      </c>
      <c r="H236" s="29"/>
      <c r="I236" s="4" t="s">
        <v>2</v>
      </c>
      <c r="J236" s="95">
        <v>1</v>
      </c>
      <c r="K236" s="168">
        <f t="shared" si="125"/>
        <v>145</v>
      </c>
      <c r="L236" s="167">
        <f>VLOOKUP(K236,Наценка!$A$1:$B$8,2,1)</f>
        <v>1.7204301075268817</v>
      </c>
      <c r="M236" s="172">
        <f t="shared" si="130"/>
        <v>249.46236559139786</v>
      </c>
      <c r="N236" s="173">
        <f t="shared" si="118"/>
        <v>249</v>
      </c>
      <c r="O236" s="134">
        <f>VLOOKUP($A236,'Выгр Кат'!$A:$S,O$1,0)</f>
        <v>145</v>
      </c>
      <c r="P236" s="134">
        <f>VLOOKUP($A236,'Выгр Кат'!$A:$S,P$1,0)</f>
        <v>249</v>
      </c>
      <c r="Q236" s="107">
        <f t="shared" si="119"/>
        <v>0</v>
      </c>
      <c r="R236" s="107">
        <f t="shared" si="120"/>
        <v>0</v>
      </c>
      <c r="S236" s="110">
        <f t="shared" si="121"/>
        <v>231.57</v>
      </c>
      <c r="T236" s="135">
        <f t="shared" si="122"/>
        <v>0.5970344827586207</v>
      </c>
      <c r="U236" s="135" t="str">
        <f t="shared" si="123"/>
        <v/>
      </c>
      <c r="V236" s="135" t="str">
        <f t="shared" si="124"/>
        <v/>
      </c>
      <c r="W236" s="45"/>
      <c r="X236" s="114" t="str">
        <f>IFERROR((VLOOKUP($A236,'ИЗ ГУГЛА'!$B:$G,X$1,0)+Z236)*Y236,VLOOKUP($A236,'ИЗ ГУГЛА'!$B:$G,X$1,0))</f>
        <v/>
      </c>
      <c r="Y236" s="108">
        <v>1</v>
      </c>
      <c r="Z236" s="46"/>
      <c r="AA236" s="139" t="s">
        <v>2895</v>
      </c>
      <c r="AB236" s="124"/>
      <c r="AC236" s="114" t="str">
        <f>IFERROR((VLOOKUP($A236,'ИЗ ГУГЛА'!$B:$Z,AC$1,0)+AE236)*AD236,VLOOKUP($A236,'ИЗ ГУГЛА'!$B:$Z,AC$1,0))</f>
        <v/>
      </c>
      <c r="AD236" s="108">
        <v>1</v>
      </c>
      <c r="AE236" s="46"/>
      <c r="AF236" s="115"/>
    </row>
    <row r="237" spans="1:32" s="5" customFormat="1" ht="60" x14ac:dyDescent="0.25">
      <c r="A237" s="132">
        <v>213335</v>
      </c>
      <c r="B237" s="132">
        <f>VLOOKUP($A237,'Выгр Кат'!$A:$S,B$1,0)</f>
        <v>30556</v>
      </c>
      <c r="C237" s="133" t="str">
        <f>VLOOKUP($A237,'Выгр Кат'!$A:$S,C$1,0)</f>
        <v>Сальник коленвала "РЕЗИНОТЕХНИКА" передний, маленький (28х42х7 мм) для ВАЗ 2108-21099, 2113-2115</v>
      </c>
      <c r="D237" s="132" t="str">
        <f>VLOOKUP($A237,'Выгр Кат'!$A:$S,D$1,0)</f>
        <v>Y</v>
      </c>
      <c r="E237" s="132" t="str">
        <f>VLOOKUP($A237,'Выгр Кат'!$A:$S,E$1,0)</f>
        <v>1</v>
      </c>
      <c r="F237" s="132" t="str">
        <f>VLOOKUP($A237,'Выгр Кат'!$A:$S,F$1,0)</f>
        <v>10559</v>
      </c>
      <c r="G237" s="42" t="s">
        <v>316</v>
      </c>
      <c r="H237" s="29"/>
      <c r="I237" s="4" t="s">
        <v>2</v>
      </c>
      <c r="J237" s="95">
        <v>1</v>
      </c>
      <c r="K237" s="168">
        <f t="shared" si="125"/>
        <v>145</v>
      </c>
      <c r="L237" s="167">
        <f>VLOOKUP(K237,Наценка!$A$1:$B$8,2,1)</f>
        <v>1.7204301075268817</v>
      </c>
      <c r="M237" s="148">
        <f t="shared" ref="M237:M239" si="142">W237*1.06</f>
        <v>307.40000000000003</v>
      </c>
      <c r="N237" s="173">
        <f t="shared" si="118"/>
        <v>309</v>
      </c>
      <c r="O237" s="134">
        <f>VLOOKUP($A237,'Выгр Кат'!$A:$S,O$1,0)</f>
        <v>145</v>
      </c>
      <c r="P237" s="134">
        <f>VLOOKUP($A237,'Выгр Кат'!$A:$S,P$1,0)</f>
        <v>249</v>
      </c>
      <c r="Q237" s="107">
        <f t="shared" si="119"/>
        <v>0</v>
      </c>
      <c r="R237" s="107">
        <f t="shared" si="120"/>
        <v>-60</v>
      </c>
      <c r="S237" s="110">
        <f t="shared" si="121"/>
        <v>287.37</v>
      </c>
      <c r="T237" s="135">
        <f t="shared" si="122"/>
        <v>0.98186206896551731</v>
      </c>
      <c r="U237" s="135">
        <f t="shared" si="123"/>
        <v>9.0689655172413643E-3</v>
      </c>
      <c r="V237" s="135">
        <f t="shared" si="124"/>
        <v>1</v>
      </c>
      <c r="W237" s="117">
        <f t="shared" ref="W237:W239" si="143">AA237</f>
        <v>290</v>
      </c>
      <c r="X237" s="114">
        <f>IFERROR((VLOOKUP($A237,'ИЗ ГУГЛА'!$B:$G,X$1,0)+Z237)*Y237,VLOOKUP($A237,'ИЗ ГУГЛА'!$B:$G,X$1,0))</f>
        <v>290</v>
      </c>
      <c r="Y237" s="108">
        <v>1</v>
      </c>
      <c r="Z237" s="46"/>
      <c r="AA237" s="139">
        <v>290</v>
      </c>
      <c r="AB237" s="124" t="s">
        <v>2380</v>
      </c>
      <c r="AC237" s="114" t="str">
        <f>IFERROR((VLOOKUP($A237,'ИЗ ГУГЛА'!$B:$Z,AC$1,0)+AE237)*AD237,VLOOKUP($A237,'ИЗ ГУГЛА'!$B:$Z,AC$1,0))</f>
        <v/>
      </c>
      <c r="AD237" s="108">
        <v>1</v>
      </c>
      <c r="AE237" s="46"/>
      <c r="AF237" s="115"/>
    </row>
    <row r="238" spans="1:32" s="5" customFormat="1" ht="30.75" thickBot="1" x14ac:dyDescent="0.3">
      <c r="A238" s="132">
        <v>224907</v>
      </c>
      <c r="B238" s="132">
        <f>VLOOKUP($A238,'Выгр Кат'!$A:$S,B$1,0)</f>
        <v>20520</v>
      </c>
      <c r="C238" s="133" t="str">
        <f>VLOOKUP($A238,'Выгр Кат'!$A:$S,C$1,0)</f>
        <v>Чехол вилки выключения сцепления "БРТ" для ВАЗ 2108-21099</v>
      </c>
      <c r="D238" s="132" t="str">
        <f>VLOOKUP($A238,'Выгр Кат'!$A:$S,D$1,0)</f>
        <v>Y</v>
      </c>
      <c r="E238" s="132" t="str">
        <f>VLOOKUP($A238,'Выгр Кат'!$A:$S,E$1,0)</f>
        <v>1</v>
      </c>
      <c r="F238" s="132" t="str">
        <f>VLOOKUP($A238,'Выгр Кат'!$A:$S,F$1,0)</f>
        <v>21080160121100</v>
      </c>
      <c r="G238" s="43" t="s">
        <v>336</v>
      </c>
      <c r="H238" s="29"/>
      <c r="I238" s="4" t="s">
        <v>2</v>
      </c>
      <c r="J238" s="95">
        <v>1</v>
      </c>
      <c r="K238" s="168">
        <f t="shared" si="125"/>
        <v>149</v>
      </c>
      <c r="L238" s="167">
        <f>VLOOKUP(K238,Наценка!$A$1:$B$8,2,1)</f>
        <v>1.7204301075268817</v>
      </c>
      <c r="M238" s="147">
        <f>W238*1.04</f>
        <v>258.96000000000004</v>
      </c>
      <c r="N238" s="173">
        <f t="shared" si="118"/>
        <v>259</v>
      </c>
      <c r="O238" s="134">
        <f>VLOOKUP($A238,'Выгр Кат'!$A:$S,O$1,0)</f>
        <v>149</v>
      </c>
      <c r="P238" s="134">
        <f>VLOOKUP($A238,'Выгр Кат'!$A:$S,P$1,0)</f>
        <v>259</v>
      </c>
      <c r="Q238" s="107">
        <f t="shared" si="119"/>
        <v>0</v>
      </c>
      <c r="R238" s="107">
        <f t="shared" si="120"/>
        <v>0</v>
      </c>
      <c r="S238" s="110">
        <f t="shared" si="121"/>
        <v>240.86999999999998</v>
      </c>
      <c r="T238" s="135">
        <f t="shared" si="122"/>
        <v>0.6165771812080536</v>
      </c>
      <c r="U238" s="135">
        <f t="shared" si="123"/>
        <v>3.265060240963865E-2</v>
      </c>
      <c r="V238" s="135">
        <f t="shared" si="124"/>
        <v>0.67114093959731536</v>
      </c>
      <c r="W238" s="117">
        <f t="shared" si="143"/>
        <v>249</v>
      </c>
      <c r="X238" s="114">
        <f>IFERROR((VLOOKUP($A238,'ИЗ ГУГЛА'!$B:$G,X$1,0)+Z238)*Y238,VLOOKUP($A238,'ИЗ ГУГЛА'!$B:$G,X$1,0))</f>
        <v>249</v>
      </c>
      <c r="Y238" s="108">
        <v>1</v>
      </c>
      <c r="Z238" s="46"/>
      <c r="AA238" s="136">
        <v>249</v>
      </c>
      <c r="AB238" s="124" t="s">
        <v>2592</v>
      </c>
      <c r="AC238" s="114" t="str">
        <f>IFERROR((VLOOKUP($A238,'ИЗ ГУГЛА'!$B:$Z,AC$1,0)+AE238)*AD238,VLOOKUP($A238,'ИЗ ГУГЛА'!$B:$Z,AC$1,0))</f>
        <v/>
      </c>
      <c r="AD238" s="108">
        <v>1</v>
      </c>
      <c r="AE238" s="46"/>
      <c r="AF238" s="115"/>
    </row>
    <row r="239" spans="1:32" s="5" customFormat="1" ht="30.75" thickTop="1" x14ac:dyDescent="0.25">
      <c r="A239" s="132">
        <v>225396</v>
      </c>
      <c r="B239" s="132">
        <f>VLOOKUP($A239,'Выгр Кат'!$A:$S,B$1,0)</f>
        <v>20320</v>
      </c>
      <c r="C239" s="133" t="str">
        <f>VLOOKUP($A239,'Выгр Кат'!$A:$S,C$1,0)</f>
        <v>Шарнир нижнего рычага передней подвески "БРТ" Лада Нива 4x4</v>
      </c>
      <c r="D239" s="132" t="str">
        <f>VLOOKUP($A239,'Выгр Кат'!$A:$S,D$1,0)</f>
        <v>Y</v>
      </c>
      <c r="E239" s="132" t="str">
        <f>VLOOKUP($A239,'Выгр Кат'!$A:$S,E$1,0)</f>
        <v>1</v>
      </c>
      <c r="F239" s="132" t="str">
        <f>VLOOKUP($A239,'Выгр Кат'!$A:$S,F$1,0)</f>
        <v>2121-2904040Р.</v>
      </c>
      <c r="G239" s="43" t="s">
        <v>1160</v>
      </c>
      <c r="H239" s="29"/>
      <c r="I239" s="4" t="s">
        <v>2</v>
      </c>
      <c r="J239" s="95">
        <v>1</v>
      </c>
      <c r="K239" s="168">
        <f t="shared" si="125"/>
        <v>138</v>
      </c>
      <c r="L239" s="167">
        <f>VLOOKUP(K239,Наценка!$A$1:$B$8,2,1)</f>
        <v>1.7204301075268817</v>
      </c>
      <c r="M239" s="148">
        <f t="shared" ref="M238:M239" si="144">W239*1.05</f>
        <v>199.5</v>
      </c>
      <c r="N239" s="173">
        <f t="shared" si="118"/>
        <v>199</v>
      </c>
      <c r="O239" s="134">
        <f>VLOOKUP($A239,'Выгр Кат'!$A:$S,O$1,0)</f>
        <v>138</v>
      </c>
      <c r="P239" s="134">
        <f>VLOOKUP($A239,'Выгр Кат'!$A:$S,P$1,0)</f>
        <v>239</v>
      </c>
      <c r="Q239" s="107">
        <f t="shared" si="119"/>
        <v>0</v>
      </c>
      <c r="R239" s="107">
        <f t="shared" si="120"/>
        <v>40</v>
      </c>
      <c r="S239" s="110">
        <f t="shared" si="121"/>
        <v>185.07</v>
      </c>
      <c r="T239" s="135">
        <f t="shared" si="122"/>
        <v>0.34108695652173915</v>
      </c>
      <c r="U239" s="135">
        <f t="shared" si="123"/>
        <v>2.5947368421052667E-2</v>
      </c>
      <c r="V239" s="135">
        <f t="shared" si="124"/>
        <v>0.37681159420289845</v>
      </c>
      <c r="W239" s="117">
        <f t="shared" si="143"/>
        <v>190</v>
      </c>
      <c r="X239" s="114">
        <f>IFERROR((VLOOKUP($A239,'ИЗ ГУГЛА'!$B:$G,X$1,0)+Z239)*Y239,VLOOKUP($A239,'ИЗ ГУГЛА'!$B:$G,X$1,0))</f>
        <v>190</v>
      </c>
      <c r="Y239" s="108">
        <v>1</v>
      </c>
      <c r="Z239" s="46"/>
      <c r="AA239" s="139">
        <v>190</v>
      </c>
      <c r="AB239" s="124" t="s">
        <v>2815</v>
      </c>
      <c r="AC239" s="114" t="str">
        <f>IFERROR((VLOOKUP($A239,'ИЗ ГУГЛА'!$B:$Z,AC$1,0)+AE239)*AD239,VLOOKUP($A239,'ИЗ ГУГЛА'!$B:$Z,AC$1,0))</f>
        <v/>
      </c>
      <c r="AD239" s="108">
        <v>1</v>
      </c>
      <c r="AE239" s="46"/>
      <c r="AF239" s="115"/>
    </row>
    <row r="240" spans="1:32" s="5" customFormat="1" ht="45.75" thickBot="1" x14ac:dyDescent="0.3">
      <c r="A240" s="132">
        <v>186764</v>
      </c>
      <c r="B240" s="132">
        <f>VLOOKUP($A240,'Выгр Кат'!$A:$S,B$1,0)</f>
        <v>19973</v>
      </c>
      <c r="C240" s="133" t="str">
        <f>VLOOKUP($A240,'Выгр Кат'!$A:$S,C$1,0)</f>
        <v>Патрубок расширительного бачка к термостату (заправочный) "БРТ" для ВАЗ 2113-2115</v>
      </c>
      <c r="D240" s="132" t="str">
        <f>VLOOKUP($A240,'Выгр Кат'!$A:$S,D$1,0)</f>
        <v>Y</v>
      </c>
      <c r="E240" s="132" t="str">
        <f>VLOOKUP($A240,'Выгр Кат'!$A:$S,E$1,0)</f>
        <v>1</v>
      </c>
      <c r="F240" s="132" t="str">
        <f>VLOOKUP($A240,'Выгр Кат'!$A:$S,F$1,0)</f>
        <v>21082-1303080РП</v>
      </c>
      <c r="G240" s="45" t="s">
        <v>373</v>
      </c>
      <c r="H240" s="29"/>
      <c r="I240" s="4" t="s">
        <v>2</v>
      </c>
      <c r="J240" s="95">
        <v>1</v>
      </c>
      <c r="K240" s="168">
        <f t="shared" si="125"/>
        <v>151</v>
      </c>
      <c r="L240" s="167">
        <f>VLOOKUP(K240,Наценка!$A$1:$B$8,2,1)</f>
        <v>1.7204301075268817</v>
      </c>
      <c r="M240" s="172">
        <f t="shared" si="130"/>
        <v>259.78494623655916</v>
      </c>
      <c r="N240" s="173">
        <f t="shared" si="118"/>
        <v>259</v>
      </c>
      <c r="O240" s="134">
        <f>VLOOKUP($A240,'Выгр Кат'!$A:$S,O$1,0)</f>
        <v>151</v>
      </c>
      <c r="P240" s="134">
        <f>VLOOKUP($A240,'Выгр Кат'!$A:$S,P$1,0)</f>
        <v>259</v>
      </c>
      <c r="Q240" s="107">
        <f t="shared" si="119"/>
        <v>0</v>
      </c>
      <c r="R240" s="107">
        <f t="shared" si="120"/>
        <v>0</v>
      </c>
      <c r="S240" s="110">
        <f t="shared" si="121"/>
        <v>240.86999999999998</v>
      </c>
      <c r="T240" s="135">
        <f t="shared" si="122"/>
        <v>0.59516556291390721</v>
      </c>
      <c r="U240" s="135" t="str">
        <f t="shared" si="123"/>
        <v/>
      </c>
      <c r="V240" s="135" t="str">
        <f t="shared" si="124"/>
        <v/>
      </c>
      <c r="W240" s="45"/>
      <c r="X240" s="114" t="str">
        <f>IFERROR((VLOOKUP($A240,'ИЗ ГУГЛА'!$B:$G,X$1,0)+Z240)*Y240,VLOOKUP($A240,'ИЗ ГУГЛА'!$B:$G,X$1,0))</f>
        <v/>
      </c>
      <c r="Y240" s="108">
        <v>1</v>
      </c>
      <c r="Z240" s="46"/>
      <c r="AA240" s="140" t="s">
        <v>2494</v>
      </c>
      <c r="AB240" s="129"/>
      <c r="AC240" s="114" t="str">
        <f>IFERROR((VLOOKUP($A240,'ИЗ ГУГЛА'!$B:$Z,AC$1,0)+AE240)*AD240,VLOOKUP($A240,'ИЗ ГУГЛА'!$B:$Z,AC$1,0))</f>
        <v/>
      </c>
      <c r="AD240" s="108">
        <v>1</v>
      </c>
      <c r="AE240" s="46"/>
      <c r="AF240" s="115"/>
    </row>
    <row r="241" spans="1:33" s="5" customFormat="1" ht="31.5" thickTop="1" thickBot="1" x14ac:dyDescent="0.3">
      <c r="A241" s="132">
        <v>186731</v>
      </c>
      <c r="B241" s="132">
        <f>VLOOKUP($A241,'Выгр Кат'!$A:$S,B$1,0)</f>
        <v>20408</v>
      </c>
      <c r="C241" s="133" t="str">
        <f>VLOOKUP($A241,'Выгр Кат'!$A:$S,C$1,0)</f>
        <v>Патрубок радиатора отводящий "БРТ" нижний для Лада Нива 4х4</v>
      </c>
      <c r="D241" s="132" t="str">
        <f>VLOOKUP($A241,'Выгр Кат'!$A:$S,D$1,0)</f>
        <v>Y</v>
      </c>
      <c r="E241" s="132" t="str">
        <f>VLOOKUP($A241,'Выгр Кат'!$A:$S,E$1,0)</f>
        <v>1</v>
      </c>
      <c r="F241" s="132" t="str">
        <f>VLOOKUP($A241,'Выгр Кат'!$A:$S,F$1,0)</f>
        <v>21213-1303010РП</v>
      </c>
      <c r="G241" s="45" t="s">
        <v>463</v>
      </c>
      <c r="H241" s="29"/>
      <c r="I241" s="4" t="s">
        <v>2</v>
      </c>
      <c r="J241" s="95">
        <v>1</v>
      </c>
      <c r="K241" s="168">
        <f t="shared" si="125"/>
        <v>151</v>
      </c>
      <c r="L241" s="167">
        <f>VLOOKUP(K241,Наценка!$A$1:$B$8,2,1)</f>
        <v>1.7204301075268817</v>
      </c>
      <c r="M241" s="172">
        <f t="shared" si="130"/>
        <v>259.78494623655916</v>
      </c>
      <c r="N241" s="173">
        <f t="shared" si="118"/>
        <v>259</v>
      </c>
      <c r="O241" s="134">
        <f>VLOOKUP($A241,'Выгр Кат'!$A:$S,O$1,0)</f>
        <v>151</v>
      </c>
      <c r="P241" s="134">
        <f>VLOOKUP($A241,'Выгр Кат'!$A:$S,P$1,0)</f>
        <v>259</v>
      </c>
      <c r="Q241" s="107">
        <f t="shared" si="119"/>
        <v>0</v>
      </c>
      <c r="R241" s="107">
        <f t="shared" si="120"/>
        <v>0</v>
      </c>
      <c r="S241" s="110">
        <f t="shared" si="121"/>
        <v>240.86999999999998</v>
      </c>
      <c r="T241" s="135">
        <f t="shared" si="122"/>
        <v>0.59516556291390721</v>
      </c>
      <c r="U241" s="135" t="str">
        <f t="shared" si="123"/>
        <v/>
      </c>
      <c r="V241" s="135" t="str">
        <f t="shared" si="124"/>
        <v/>
      </c>
      <c r="W241" s="45"/>
      <c r="X241" s="114" t="str">
        <f>IFERROR((VLOOKUP($A241,'ИЗ ГУГЛА'!$B:$G,X$1,0)+Z241)*Y241,VLOOKUP($A241,'ИЗ ГУГЛА'!$B:$G,X$1,0))</f>
        <v/>
      </c>
      <c r="Y241" s="108">
        <v>1</v>
      </c>
      <c r="Z241" s="46"/>
      <c r="AA241" s="140" t="s">
        <v>1821</v>
      </c>
      <c r="AB241" s="129"/>
      <c r="AC241" s="114" t="str">
        <f>IFERROR((VLOOKUP($A241,'ИЗ ГУГЛА'!$B:$Z,AC$1,0)+AE241)*AD241,VLOOKUP($A241,'ИЗ ГУГЛА'!$B:$Z,AC$1,0))</f>
        <v/>
      </c>
      <c r="AD241" s="108">
        <v>1</v>
      </c>
      <c r="AE241" s="46"/>
      <c r="AF241" s="115"/>
    </row>
    <row r="242" spans="1:33" s="5" customFormat="1" ht="31.5" thickTop="1" thickBot="1" x14ac:dyDescent="0.3">
      <c r="A242" s="132">
        <v>186730</v>
      </c>
      <c r="B242" s="132">
        <f>VLOOKUP($A242,'Выгр Кат'!$A:$S,B$1,0)</f>
        <v>20407</v>
      </c>
      <c r="C242" s="133" t="str">
        <f>VLOOKUP($A242,'Выгр Кат'!$A:$S,C$1,0)</f>
        <v>Патрубок радиатора отводящий "БРТ" нижний для Лада Нива 4х4</v>
      </c>
      <c r="D242" s="132" t="str">
        <f>VLOOKUP($A242,'Выгр Кат'!$A:$S,D$1,0)</f>
        <v>Y</v>
      </c>
      <c r="E242" s="132" t="str">
        <f>VLOOKUP($A242,'Выгр Кат'!$A:$S,E$1,0)</f>
        <v>1</v>
      </c>
      <c r="F242" s="132" t="str">
        <f>VLOOKUP($A242,'Выгр Кат'!$A:$S,F$1,0)</f>
        <v>21213-1303010-10РП</v>
      </c>
      <c r="G242" s="42" t="s">
        <v>463</v>
      </c>
      <c r="H242" s="29"/>
      <c r="I242" s="4" t="s">
        <v>2</v>
      </c>
      <c r="J242" s="95">
        <v>1</v>
      </c>
      <c r="K242" s="168">
        <f t="shared" si="125"/>
        <v>151</v>
      </c>
      <c r="L242" s="167">
        <f>VLOOKUP(K242,Наценка!$A$1:$B$8,2,1)</f>
        <v>1.7204301075268817</v>
      </c>
      <c r="M242" s="172">
        <f t="shared" si="130"/>
        <v>259.78494623655916</v>
      </c>
      <c r="N242" s="173">
        <f t="shared" si="118"/>
        <v>259</v>
      </c>
      <c r="O242" s="134">
        <f>VLOOKUP($A242,'Выгр Кат'!$A:$S,O$1,0)</f>
        <v>151</v>
      </c>
      <c r="P242" s="134">
        <f>VLOOKUP($A242,'Выгр Кат'!$A:$S,P$1,0)</f>
        <v>259</v>
      </c>
      <c r="Q242" s="107">
        <f t="shared" si="119"/>
        <v>0</v>
      </c>
      <c r="R242" s="107">
        <f t="shared" si="120"/>
        <v>0</v>
      </c>
      <c r="S242" s="110">
        <f t="shared" si="121"/>
        <v>240.86999999999998</v>
      </c>
      <c r="T242" s="135">
        <f t="shared" si="122"/>
        <v>0.59516556291390721</v>
      </c>
      <c r="U242" s="135" t="str">
        <f t="shared" si="123"/>
        <v/>
      </c>
      <c r="V242" s="135" t="str">
        <f t="shared" si="124"/>
        <v/>
      </c>
      <c r="W242" s="45"/>
      <c r="X242" s="114" t="str">
        <f>IFERROR((VLOOKUP($A242,'ИЗ ГУГЛА'!$B:$G,X$1,0)+Z242)*Y242,VLOOKUP($A242,'ИЗ ГУГЛА'!$B:$G,X$1,0))</f>
        <v/>
      </c>
      <c r="Y242" s="108">
        <v>1</v>
      </c>
      <c r="Z242" s="46"/>
      <c r="AA242" s="140" t="s">
        <v>1821</v>
      </c>
      <c r="AB242" s="129"/>
      <c r="AC242" s="114" t="str">
        <f>IFERROR((VLOOKUP($A242,'ИЗ ГУГЛА'!$B:$Z,AC$1,0)+AE242)*AD242,VLOOKUP($A242,'ИЗ ГУГЛА'!$B:$Z,AC$1,0))</f>
        <v/>
      </c>
      <c r="AD242" s="108">
        <v>1</v>
      </c>
      <c r="AE242" s="46"/>
      <c r="AF242" s="115"/>
    </row>
    <row r="243" spans="1:33" s="5" customFormat="1" ht="31.5" thickTop="1" thickBot="1" x14ac:dyDescent="0.3">
      <c r="A243" s="132">
        <v>158281</v>
      </c>
      <c r="B243" s="132">
        <f>VLOOKUP($A243,'Выгр Кат'!$A:$S,B$1,0)</f>
        <v>35520</v>
      </c>
      <c r="C243" s="133" t="str">
        <f>VLOOKUP($A243,'Выгр Кат'!$A:$S,C$1,0)</f>
        <v>Комплект "БРТ" задних брызговиков для Лада Приора, Приора 2</v>
      </c>
      <c r="D243" s="132" t="str">
        <f>VLOOKUP($A243,'Выгр Кат'!$A:$S,D$1,0)</f>
        <v>Y</v>
      </c>
      <c r="E243" s="132" t="str">
        <f>VLOOKUP($A243,'Выгр Кат'!$A:$S,E$1,0)</f>
        <v>1</v>
      </c>
      <c r="F243" s="132" t="str">
        <f>VLOOKUP($A243,'Выгр Кат'!$A:$S,F$1,0)</f>
        <v>2172-8404412/13</v>
      </c>
      <c r="G243" s="44" t="s">
        <v>1288</v>
      </c>
      <c r="H243" s="29"/>
      <c r="I243" s="4" t="s">
        <v>2</v>
      </c>
      <c r="J243" s="95">
        <v>1</v>
      </c>
      <c r="K243" s="168">
        <f t="shared" si="125"/>
        <v>135</v>
      </c>
      <c r="L243" s="167">
        <f>VLOOKUP(K243,Наценка!$A$1:$B$8,2,1)</f>
        <v>1.7204301075268817</v>
      </c>
      <c r="M243" s="148">
        <f t="shared" ref="M243:M244" si="145">W243*1.06</f>
        <v>519.4</v>
      </c>
      <c r="N243" s="173">
        <f t="shared" si="118"/>
        <v>519</v>
      </c>
      <c r="O243" s="134">
        <f>VLOOKUP($A243,'Выгр Кат'!$A:$S,O$1,0)</f>
        <v>135</v>
      </c>
      <c r="P243" s="134">
        <f>VLOOKUP($A243,'Выгр Кат'!$A:$S,P$1,0)</f>
        <v>509</v>
      </c>
      <c r="Q243" s="107">
        <f t="shared" si="119"/>
        <v>0</v>
      </c>
      <c r="R243" s="107">
        <f t="shared" si="120"/>
        <v>-10</v>
      </c>
      <c r="S243" s="110">
        <f t="shared" si="121"/>
        <v>482.66999999999996</v>
      </c>
      <c r="T243" s="135">
        <f t="shared" si="122"/>
        <v>2.575333333333333</v>
      </c>
      <c r="U243" s="135">
        <f t="shared" si="123"/>
        <v>1.4959183673469472E-2</v>
      </c>
      <c r="V243" s="135">
        <f t="shared" si="124"/>
        <v>2.6296296296296298</v>
      </c>
      <c r="W243" s="117">
        <f t="shared" ref="W243:W244" si="146">AA243</f>
        <v>490</v>
      </c>
      <c r="X243" s="114">
        <f>IFERROR((VLOOKUP($A243,'ИЗ ГУГЛА'!$B:$G,X$1,0)+Z243)*Y243,VLOOKUP($A243,'ИЗ ГУГЛА'!$B:$G,X$1,0))</f>
        <v>490</v>
      </c>
      <c r="Y243" s="108">
        <v>1</v>
      </c>
      <c r="Z243" s="46"/>
      <c r="AA243" s="136">
        <v>490</v>
      </c>
      <c r="AB243" s="124" t="s">
        <v>2623</v>
      </c>
      <c r="AC243" s="114" t="str">
        <f>IFERROR((VLOOKUP($A243,'ИЗ ГУГЛА'!$B:$Z,AC$1,0)+AE243)*AD243,VLOOKUP($A243,'ИЗ ГУГЛА'!$B:$Z,AC$1,0))</f>
        <v/>
      </c>
      <c r="AD243" s="108">
        <v>1</v>
      </c>
      <c r="AE243" s="46"/>
      <c r="AF243" s="115"/>
    </row>
    <row r="244" spans="1:33" s="5" customFormat="1" ht="31.5" thickTop="1" thickBot="1" x14ac:dyDescent="0.3">
      <c r="A244" s="132">
        <v>219975</v>
      </c>
      <c r="B244" s="132">
        <f>VLOOKUP($A244,'Выгр Кат'!$A:$S,B$1,0)</f>
        <v>20237</v>
      </c>
      <c r="C244" s="133" t="str">
        <f>VLOOKUP($A244,'Выгр Кат'!$A:$S,C$1,0)</f>
        <v>Трубка пароотводящая отопителя "БРТ" для ВАЗ 2110</v>
      </c>
      <c r="D244" s="132" t="str">
        <f>VLOOKUP($A244,'Выгр Кат'!$A:$S,D$1,0)</f>
        <v>Y</v>
      </c>
      <c r="E244" s="132" t="str">
        <f>VLOOKUP($A244,'Выгр Кат'!$A:$S,E$1,0)</f>
        <v>1</v>
      </c>
      <c r="F244" s="132" t="str">
        <f>VLOOKUP($A244,'Выгр Кат'!$A:$S,F$1,0)</f>
        <v>2110-8101209РП.</v>
      </c>
      <c r="G244" s="45" t="s">
        <v>1821</v>
      </c>
      <c r="H244" s="29" t="s">
        <v>1821</v>
      </c>
      <c r="I244" s="4" t="s">
        <v>2</v>
      </c>
      <c r="J244" s="95">
        <v>1</v>
      </c>
      <c r="K244" s="168">
        <f t="shared" si="125"/>
        <v>135</v>
      </c>
      <c r="L244" s="167">
        <f>VLOOKUP(K244,Наценка!$A$1:$B$8,2,1)</f>
        <v>1.7204301075268817</v>
      </c>
      <c r="M244" s="148">
        <f>W244*1.05</f>
        <v>198.45000000000002</v>
      </c>
      <c r="N244" s="173">
        <f t="shared" si="118"/>
        <v>199</v>
      </c>
      <c r="O244" s="134">
        <f>VLOOKUP($A244,'Выгр Кат'!$A:$S,O$1,0)</f>
        <v>135</v>
      </c>
      <c r="P244" s="134">
        <f>VLOOKUP($A244,'Выгр Кат'!$A:$S,P$1,0)</f>
        <v>199</v>
      </c>
      <c r="Q244" s="107">
        <f t="shared" si="119"/>
        <v>0</v>
      </c>
      <c r="R244" s="107">
        <f t="shared" si="120"/>
        <v>0</v>
      </c>
      <c r="S244" s="110">
        <f t="shared" si="121"/>
        <v>185.07</v>
      </c>
      <c r="T244" s="135">
        <f t="shared" si="122"/>
        <v>0.37088888888888882</v>
      </c>
      <c r="U244" s="135">
        <f t="shared" si="123"/>
        <v>2.0793650793650829E-2</v>
      </c>
      <c r="V244" s="135">
        <f t="shared" si="124"/>
        <v>0.39999999999999991</v>
      </c>
      <c r="W244" s="117">
        <f t="shared" si="146"/>
        <v>189</v>
      </c>
      <c r="X244" s="114">
        <f>IFERROR((VLOOKUP($A244,'ИЗ ГУГЛА'!$B:$G,X$1,0)+Z244)*Y244,VLOOKUP($A244,'ИЗ ГУГЛА'!$B:$G,X$1,0))</f>
        <v>189</v>
      </c>
      <c r="Y244" s="46">
        <v>1</v>
      </c>
      <c r="Z244" s="46"/>
      <c r="AA244" s="138">
        <v>189</v>
      </c>
      <c r="AB244" s="124" t="s">
        <v>2338</v>
      </c>
      <c r="AC244" s="114" t="str">
        <f>IFERROR((VLOOKUP($A244,'ИЗ ГУГЛА'!$B:$Z,AC$1,0)+AE244)*AD244,VLOOKUP($A244,'ИЗ ГУГЛА'!$B:$Z,AC$1,0))</f>
        <v/>
      </c>
      <c r="AD244" s="46">
        <v>1</v>
      </c>
      <c r="AE244" s="46"/>
      <c r="AF244" s="115"/>
    </row>
    <row r="245" spans="1:33" s="5" customFormat="1" ht="30.75" thickTop="1" x14ac:dyDescent="0.25">
      <c r="A245" s="132">
        <v>213437</v>
      </c>
      <c r="B245" s="132">
        <f>VLOOKUP($A245,'Выгр Кат'!$A:$S,B$1,0)</f>
        <v>19624</v>
      </c>
      <c r="C245" s="133" t="str">
        <f>VLOOKUP($A245,'Выгр Кат'!$A:$S,C$1,0)</f>
        <v>Сальники КПП "БРТ" 91РБ (4 шт.) для ВАЗ 2108-21099</v>
      </c>
      <c r="D245" s="132" t="str">
        <f>VLOOKUP($A245,'Выгр Кат'!$A:$S,D$1,0)</f>
        <v>Y</v>
      </c>
      <c r="E245" s="132" t="str">
        <f>VLOOKUP($A245,'Выгр Кат'!$A:$S,E$1,0)</f>
        <v>1</v>
      </c>
      <c r="F245" s="132" t="str">
        <f>VLOOKUP($A245,'Выгр Кат'!$A:$S,F$1,0)</f>
        <v>Ремкомплект 91РБ</v>
      </c>
      <c r="G245" s="43" t="s">
        <v>1080</v>
      </c>
      <c r="H245" s="29"/>
      <c r="I245" s="4" t="s">
        <v>2</v>
      </c>
      <c r="J245" s="95">
        <v>1</v>
      </c>
      <c r="K245" s="168">
        <f t="shared" si="125"/>
        <v>167</v>
      </c>
      <c r="L245" s="167">
        <f>VLOOKUP(K245,Наценка!$A$1:$B$8,2,1)</f>
        <v>1.7204301075268817</v>
      </c>
      <c r="M245" s="172">
        <f t="shared" si="130"/>
        <v>287.31182795698925</v>
      </c>
      <c r="N245" s="173">
        <f t="shared" si="118"/>
        <v>289</v>
      </c>
      <c r="O245" s="134">
        <f>VLOOKUP($A245,'Выгр Кат'!$A:$S,O$1,0)</f>
        <v>167</v>
      </c>
      <c r="P245" s="134">
        <f>VLOOKUP($A245,'Выгр Кат'!$A:$S,P$1,0)</f>
        <v>289</v>
      </c>
      <c r="Q245" s="107">
        <f t="shared" si="119"/>
        <v>0</v>
      </c>
      <c r="R245" s="107">
        <f t="shared" si="120"/>
        <v>0</v>
      </c>
      <c r="S245" s="110">
        <f t="shared" si="121"/>
        <v>268.77</v>
      </c>
      <c r="T245" s="135">
        <f t="shared" si="122"/>
        <v>0.60940119760479039</v>
      </c>
      <c r="U245" s="135" t="str">
        <f t="shared" si="123"/>
        <v/>
      </c>
      <c r="V245" s="135" t="str">
        <f t="shared" si="124"/>
        <v/>
      </c>
      <c r="W245" s="45"/>
      <c r="X245" s="114" t="str">
        <f>IFERROR((VLOOKUP($A245,'ИЗ ГУГЛА'!$B:$G,X$1,0)+Z245)*Y245,VLOOKUP($A245,'ИЗ ГУГЛА'!$B:$G,X$1,0))</f>
        <v/>
      </c>
      <c r="Y245" s="108">
        <v>1</v>
      </c>
      <c r="Z245" s="46"/>
      <c r="AA245" s="139" t="s">
        <v>1821</v>
      </c>
      <c r="AB245" s="124"/>
      <c r="AC245" s="114" t="str">
        <f>IFERROR((VLOOKUP($A245,'ИЗ ГУГЛА'!$B:$Z,AC$1,0)+AE245)*AD245,VLOOKUP($A245,'ИЗ ГУГЛА'!$B:$Z,AC$1,0))</f>
        <v/>
      </c>
      <c r="AD245" s="108">
        <v>1</v>
      </c>
      <c r="AE245" s="46"/>
      <c r="AF245" s="115"/>
    </row>
    <row r="246" spans="1:33" s="5" customFormat="1" ht="30.75" thickBot="1" x14ac:dyDescent="0.3">
      <c r="A246" s="132">
        <v>186690</v>
      </c>
      <c r="B246" s="132">
        <f>VLOOKUP($A246,'Выгр Кат'!$A:$S,B$1,0)</f>
        <v>20241</v>
      </c>
      <c r="C246" s="133" t="str">
        <f>VLOOKUP($A246,'Выгр Кат'!$A:$S,C$1,0)</f>
        <v>Патрубок отопителя (печки) подводящий "БРТ" для ВАЗ 2111</v>
      </c>
      <c r="D246" s="132" t="str">
        <f>VLOOKUP($A246,'Выгр Кат'!$A:$S,D$1,0)</f>
        <v>Y</v>
      </c>
      <c r="E246" s="132" t="str">
        <f>VLOOKUP($A246,'Выгр Кат'!$A:$S,E$1,0)</f>
        <v>1</v>
      </c>
      <c r="F246" s="132" t="str">
        <f>VLOOKUP($A246,'Выгр Кат'!$A:$S,F$1,0)</f>
        <v>21110810120000</v>
      </c>
      <c r="G246" s="42" t="s">
        <v>416</v>
      </c>
      <c r="H246" s="29"/>
      <c r="I246" s="4" t="s">
        <v>2</v>
      </c>
      <c r="J246" s="95">
        <v>1</v>
      </c>
      <c r="K246" s="168">
        <f t="shared" si="125"/>
        <v>153</v>
      </c>
      <c r="L246" s="167">
        <f>VLOOKUP(K246,Наценка!$A$1:$B$8,2,1)</f>
        <v>1.7204301075268817</v>
      </c>
      <c r="M246" s="172">
        <f t="shared" si="130"/>
        <v>263.22580645161293</v>
      </c>
      <c r="N246" s="173">
        <f t="shared" si="118"/>
        <v>269</v>
      </c>
      <c r="O246" s="134">
        <f>VLOOKUP($A246,'Выгр Кат'!$A:$S,O$1,0)</f>
        <v>153</v>
      </c>
      <c r="P246" s="134">
        <f>VLOOKUP($A246,'Выгр Кат'!$A:$S,P$1,0)</f>
        <v>269</v>
      </c>
      <c r="Q246" s="107">
        <f t="shared" si="119"/>
        <v>0</v>
      </c>
      <c r="R246" s="107">
        <f t="shared" si="120"/>
        <v>0</v>
      </c>
      <c r="S246" s="110">
        <f t="shared" si="121"/>
        <v>250.17</v>
      </c>
      <c r="T246" s="135">
        <f t="shared" si="122"/>
        <v>0.63509803921568619</v>
      </c>
      <c r="U246" s="135" t="str">
        <f t="shared" si="123"/>
        <v/>
      </c>
      <c r="V246" s="135" t="str">
        <f t="shared" si="124"/>
        <v/>
      </c>
      <c r="W246" s="45"/>
      <c r="X246" s="114" t="str">
        <f>IFERROR((VLOOKUP($A246,'ИЗ ГУГЛА'!$B:$G,X$1,0)+Z246)*Y246,VLOOKUP($A246,'ИЗ ГУГЛА'!$B:$G,X$1,0))</f>
        <v/>
      </c>
      <c r="Y246" s="108">
        <v>1</v>
      </c>
      <c r="Z246" s="46"/>
      <c r="AA246" s="140" t="s">
        <v>1821</v>
      </c>
      <c r="AB246" s="129"/>
      <c r="AC246" s="114" t="str">
        <f>IFERROR((VLOOKUP($A246,'ИЗ ГУГЛА'!$B:$Z,AC$1,0)+AE246)*AD246,VLOOKUP($A246,'ИЗ ГУГЛА'!$B:$Z,AC$1,0))</f>
        <v/>
      </c>
      <c r="AD246" s="108">
        <v>1</v>
      </c>
      <c r="AE246" s="46"/>
      <c r="AF246" s="115"/>
    </row>
    <row r="247" spans="1:33" s="5" customFormat="1" ht="46.5" thickTop="1" thickBot="1" x14ac:dyDescent="0.3">
      <c r="A247" s="132">
        <v>186698</v>
      </c>
      <c r="B247" s="132">
        <f>VLOOKUP($A247,'Выгр Кат'!$A:$S,B$1,0)</f>
        <v>20240</v>
      </c>
      <c r="C247" s="133" t="str">
        <f>VLOOKUP($A247,'Выгр Кат'!$A:$S,C$1,0)</f>
        <v>Патрубок отопителя подводящий (радиатор и кожуха отопителя) "БРТ" для Лада Приора</v>
      </c>
      <c r="D247" s="132" t="str">
        <f>VLOOKUP($A247,'Выгр Кат'!$A:$S,D$1,0)</f>
        <v>Y</v>
      </c>
      <c r="E247" s="132" t="str">
        <f>VLOOKUP($A247,'Выгр Кат'!$A:$S,E$1,0)</f>
        <v>1</v>
      </c>
      <c r="F247" s="132" t="str">
        <f>VLOOKUP($A247,'Выгр Кат'!$A:$S,F$1,0)</f>
        <v>2111-8101200-10РП.</v>
      </c>
      <c r="G247" s="42" t="s">
        <v>416</v>
      </c>
      <c r="H247" s="29"/>
      <c r="I247" s="4" t="s">
        <v>2</v>
      </c>
      <c r="J247" s="95">
        <v>1</v>
      </c>
      <c r="K247" s="168">
        <f t="shared" si="125"/>
        <v>153</v>
      </c>
      <c r="L247" s="167">
        <f>VLOOKUP(K247,Наценка!$A$1:$B$8,2,1)</f>
        <v>1.7204301075268817</v>
      </c>
      <c r="M247" s="148">
        <f t="shared" ref="M247:M249" si="147">W247*1.06</f>
        <v>348.74</v>
      </c>
      <c r="N247" s="173">
        <f t="shared" si="118"/>
        <v>349</v>
      </c>
      <c r="O247" s="134">
        <f>VLOOKUP($A247,'Выгр Кат'!$A:$S,O$1,0)</f>
        <v>153</v>
      </c>
      <c r="P247" s="134">
        <f>VLOOKUP($A247,'Выгр Кат'!$A:$S,P$1,0)</f>
        <v>349</v>
      </c>
      <c r="Q247" s="107">
        <f t="shared" si="119"/>
        <v>0</v>
      </c>
      <c r="R247" s="107">
        <f t="shared" si="120"/>
        <v>0</v>
      </c>
      <c r="S247" s="110">
        <f t="shared" si="121"/>
        <v>324.57</v>
      </c>
      <c r="T247" s="135">
        <f t="shared" si="122"/>
        <v>1.1213725490196076</v>
      </c>
      <c r="U247" s="135">
        <f t="shared" si="123"/>
        <v>1.3465045592705187E-2</v>
      </c>
      <c r="V247" s="135">
        <f t="shared" si="124"/>
        <v>1.1503267973856208</v>
      </c>
      <c r="W247" s="117">
        <f t="shared" ref="W247:W249" si="148">AA247</f>
        <v>329</v>
      </c>
      <c r="X247" s="114">
        <f>IFERROR((VLOOKUP($A247,'ИЗ ГУГЛА'!$B:$G,X$1,0)+Z247)*Y247,VLOOKUP($A247,'ИЗ ГУГЛА'!$B:$G,X$1,0))</f>
        <v>329</v>
      </c>
      <c r="Y247" s="108">
        <v>1</v>
      </c>
      <c r="Z247" s="46"/>
      <c r="AA247" s="136">
        <v>329</v>
      </c>
      <c r="AB247" s="124" t="s">
        <v>2662</v>
      </c>
      <c r="AC247" s="114" t="str">
        <f>IFERROR((VLOOKUP($A247,'ИЗ ГУГЛА'!$B:$Z,AC$1,0)+AE247)*AD247,VLOOKUP($A247,'ИЗ ГУГЛА'!$B:$Z,AC$1,0))</f>
        <v/>
      </c>
      <c r="AD247" s="108">
        <v>1</v>
      </c>
      <c r="AE247" s="46"/>
      <c r="AF247" s="115"/>
    </row>
    <row r="248" spans="1:33" s="5" customFormat="1" ht="46.5" thickTop="1" thickBot="1" x14ac:dyDescent="0.3">
      <c r="A248" s="132">
        <v>201449</v>
      </c>
      <c r="B248" s="132">
        <f>VLOOKUP($A248,'Выгр Кат'!$A:$S,B$1,0)</f>
        <v>19797</v>
      </c>
      <c r="C248" s="133" t="str">
        <f>VLOOKUP($A248,'Выгр Кат'!$A:$S,C$1,0)</f>
        <v>Прокладка масляного картера "БРТ" для ВАЗ 2101-07, Москвич 2141, ИЖ 2126 (с двигателем ВАЗ)</v>
      </c>
      <c r="D248" s="132" t="str">
        <f>VLOOKUP($A248,'Выгр Кат'!$A:$S,D$1,0)</f>
        <v>Y</v>
      </c>
      <c r="E248" s="132" t="str">
        <f>VLOOKUP($A248,'Выгр Кат'!$A:$S,E$1,0)</f>
        <v>1</v>
      </c>
      <c r="F248" s="132" t="str">
        <f>VLOOKUP($A248,'Выгр Кат'!$A:$S,F$1,0)</f>
        <v>2101-1009070К</v>
      </c>
      <c r="G248" s="45" t="s">
        <v>242</v>
      </c>
      <c r="H248" s="29"/>
      <c r="I248" s="4" t="s">
        <v>2</v>
      </c>
      <c r="J248" s="95">
        <v>1</v>
      </c>
      <c r="K248" s="168">
        <f t="shared" si="125"/>
        <v>155</v>
      </c>
      <c r="L248" s="167">
        <f>VLOOKUP(K248,Наценка!$A$1:$B$8,2,1)</f>
        <v>1.7204301075268817</v>
      </c>
      <c r="M248" s="147">
        <f>W248*1.04</f>
        <v>238.16</v>
      </c>
      <c r="N248" s="173">
        <f t="shared" si="118"/>
        <v>239</v>
      </c>
      <c r="O248" s="134">
        <f>VLOOKUP($A248,'Выгр Кат'!$A:$S,O$1,0)</f>
        <v>155</v>
      </c>
      <c r="P248" s="134">
        <f>VLOOKUP($A248,'Выгр Кат'!$A:$S,P$1,0)</f>
        <v>239</v>
      </c>
      <c r="Q248" s="107">
        <f t="shared" si="119"/>
        <v>0</v>
      </c>
      <c r="R248" s="107">
        <f t="shared" si="120"/>
        <v>0</v>
      </c>
      <c r="S248" s="110">
        <f t="shared" si="121"/>
        <v>222.26999999999998</v>
      </c>
      <c r="T248" s="135">
        <f t="shared" si="122"/>
        <v>0.43399999999999994</v>
      </c>
      <c r="U248" s="135">
        <f t="shared" si="123"/>
        <v>2.9388646288209686E-2</v>
      </c>
      <c r="V248" s="135">
        <f t="shared" si="124"/>
        <v>0.47741935483870979</v>
      </c>
      <c r="W248" s="117">
        <f t="shared" si="148"/>
        <v>229</v>
      </c>
      <c r="X248" s="114">
        <f>IFERROR((VLOOKUP($A248,'ИЗ ГУГЛА'!$B:$G,X$1,0)+Z248)*Y248,VLOOKUP($A248,'ИЗ ГУГЛА'!$B:$G,X$1,0))</f>
        <v>229</v>
      </c>
      <c r="Y248" s="46">
        <v>1</v>
      </c>
      <c r="Z248" s="46"/>
      <c r="AA248" s="138">
        <v>229</v>
      </c>
      <c r="AB248" s="124" t="s">
        <v>2352</v>
      </c>
      <c r="AC248" s="114" t="str">
        <f>IFERROR((VLOOKUP($A248,'ИЗ ГУГЛА'!$B:$Z,AC$1,0)+AE248)*AD248,VLOOKUP($A248,'ИЗ ГУГЛА'!$B:$Z,AC$1,0))</f>
        <v/>
      </c>
      <c r="AD248" s="46">
        <v>1</v>
      </c>
      <c r="AE248" s="46"/>
      <c r="AF248" s="115"/>
    </row>
    <row r="249" spans="1:33" s="5" customFormat="1" ht="45.75" thickTop="1" x14ac:dyDescent="0.25">
      <c r="A249" s="132">
        <v>213358</v>
      </c>
      <c r="B249" s="132">
        <f>VLOOKUP($A249,'Выгр Кат'!$A:$S,B$1,0)</f>
        <v>20523</v>
      </c>
      <c r="C249" s="133" t="str">
        <f>VLOOKUP($A249,'Выгр Кат'!$A:$S,C$1,0)</f>
        <v>Сальник коленчатого вала передний Таврия "БРТ" для ВАЗ 2101-2107, Лада Нива 4x4, Шевроле Нива</v>
      </c>
      <c r="D249" s="132" t="str">
        <f>VLOOKUP($A249,'Выгр Кат'!$A:$S,D$1,0)</f>
        <v>Y</v>
      </c>
      <c r="E249" s="132" t="str">
        <f>VLOOKUP($A249,'Выгр Кат'!$A:$S,E$1,0)</f>
        <v>1</v>
      </c>
      <c r="F249" s="132" t="str">
        <f>VLOOKUP($A249,'Выгр Кат'!$A:$S,F$1,0)</f>
        <v>2101-1005034-02РЭ.</v>
      </c>
      <c r="G249" s="45" t="s">
        <v>237</v>
      </c>
      <c r="H249" s="29"/>
      <c r="I249" s="4" t="s">
        <v>2</v>
      </c>
      <c r="J249" s="95">
        <v>1</v>
      </c>
      <c r="K249" s="168">
        <f t="shared" si="125"/>
        <v>153</v>
      </c>
      <c r="L249" s="167">
        <f>VLOOKUP(K249,Наценка!$A$1:$B$8,2,1)</f>
        <v>1.7204301075268817</v>
      </c>
      <c r="M249" s="148">
        <f t="shared" si="147"/>
        <v>369.94</v>
      </c>
      <c r="N249" s="173">
        <f t="shared" si="118"/>
        <v>369</v>
      </c>
      <c r="O249" s="134">
        <f>VLOOKUP($A249,'Выгр Кат'!$A:$S,O$1,0)</f>
        <v>153</v>
      </c>
      <c r="P249" s="134">
        <f>VLOOKUP($A249,'Выгр Кат'!$A:$S,P$1,0)</f>
        <v>269</v>
      </c>
      <c r="Q249" s="107">
        <f t="shared" si="119"/>
        <v>0</v>
      </c>
      <c r="R249" s="107">
        <f t="shared" si="120"/>
        <v>-100</v>
      </c>
      <c r="S249" s="110">
        <f t="shared" si="121"/>
        <v>343.16999999999996</v>
      </c>
      <c r="T249" s="135">
        <f t="shared" si="122"/>
        <v>1.242941176470588</v>
      </c>
      <c r="U249" s="135">
        <f t="shared" si="123"/>
        <v>1.6704871060172037E-2</v>
      </c>
      <c r="V249" s="135">
        <f t="shared" si="124"/>
        <v>1.2810457516339868</v>
      </c>
      <c r="W249" s="117">
        <f t="shared" si="148"/>
        <v>349</v>
      </c>
      <c r="X249" s="114">
        <f>IFERROR((VLOOKUP($A249,'ИЗ ГУГЛА'!$B:$G,X$1,0)+Z249)*Y249,VLOOKUP($A249,'ИЗ ГУГЛА'!$B:$G,X$1,0))</f>
        <v>349</v>
      </c>
      <c r="Y249" s="108">
        <v>1</v>
      </c>
      <c r="Z249" s="46"/>
      <c r="AA249" s="139">
        <v>349</v>
      </c>
      <c r="AB249" s="124" t="s">
        <v>2963</v>
      </c>
      <c r="AC249" s="114" t="str">
        <f>IFERROR((VLOOKUP($A249,'ИЗ ГУГЛА'!$B:$Z,AC$1,0)+AE249)*AD249,VLOOKUP($A249,'ИЗ ГУГЛА'!$B:$Z,AC$1,0))</f>
        <v/>
      </c>
      <c r="AD249" s="108">
        <v>1</v>
      </c>
      <c r="AE249" s="46"/>
      <c r="AF249" s="115"/>
    </row>
    <row r="250" spans="1:33" s="5" customFormat="1" ht="45" x14ac:dyDescent="0.25">
      <c r="A250" s="132">
        <v>213359</v>
      </c>
      <c r="B250" s="132">
        <f>VLOOKUP($A250,'Выгр Кат'!$A:$S,B$1,0)</f>
        <v>20522</v>
      </c>
      <c r="C250" s="133" t="str">
        <f>VLOOKUP($A250,'Выгр Кат'!$A:$S,C$1,0)</f>
        <v>Сальник коленчатого вала передний Таврия (красный) "БРТ" для ВАЗ 2101-2107, Лада Нива 4x4, Шевроле Нива</v>
      </c>
      <c r="D250" s="132" t="str">
        <f>VLOOKUP($A250,'Выгр Кат'!$A:$S,D$1,0)</f>
        <v>Y</v>
      </c>
      <c r="E250" s="132" t="str">
        <f>VLOOKUP($A250,'Выгр Кат'!$A:$S,E$1,0)</f>
        <v>1</v>
      </c>
      <c r="F250" s="132" t="str">
        <f>VLOOKUP($A250,'Выгр Кат'!$A:$S,F$1,0)</f>
        <v>2101-1005034-02Р.</v>
      </c>
      <c r="G250" s="45" t="s">
        <v>237</v>
      </c>
      <c r="H250" s="29"/>
      <c r="I250" s="4" t="s">
        <v>2</v>
      </c>
      <c r="J250" s="95">
        <v>1</v>
      </c>
      <c r="K250" s="168">
        <f t="shared" si="125"/>
        <v>153</v>
      </c>
      <c r="L250" s="167">
        <f>VLOOKUP(K250,Наценка!$A$1:$B$8,2,1)</f>
        <v>1.7204301075268817</v>
      </c>
      <c r="M250" s="172">
        <f t="shared" si="130"/>
        <v>263.22580645161293</v>
      </c>
      <c r="N250" s="173">
        <f t="shared" si="118"/>
        <v>269</v>
      </c>
      <c r="O250" s="134">
        <f>VLOOKUP($A250,'Выгр Кат'!$A:$S,O$1,0)</f>
        <v>153</v>
      </c>
      <c r="P250" s="134">
        <f>VLOOKUP($A250,'Выгр Кат'!$A:$S,P$1,0)</f>
        <v>269</v>
      </c>
      <c r="Q250" s="107">
        <f t="shared" si="119"/>
        <v>0</v>
      </c>
      <c r="R250" s="107">
        <f t="shared" si="120"/>
        <v>0</v>
      </c>
      <c r="S250" s="110">
        <f t="shared" si="121"/>
        <v>250.17</v>
      </c>
      <c r="T250" s="135">
        <f t="shared" si="122"/>
        <v>0.63509803921568619</v>
      </c>
      <c r="U250" s="135" t="str">
        <f t="shared" si="123"/>
        <v/>
      </c>
      <c r="V250" s="135" t="str">
        <f t="shared" si="124"/>
        <v/>
      </c>
      <c r="W250" s="45"/>
      <c r="X250" s="114">
        <f>IFERROR((VLOOKUP($A250,'ИЗ ГУГЛА'!$B:$G,X$1,0)+Z250)*Y250,VLOOKUP($A250,'ИЗ ГУГЛА'!$B:$G,X$1,0))</f>
        <v>249</v>
      </c>
      <c r="Y250" s="108">
        <v>1</v>
      </c>
      <c r="Z250" s="46"/>
      <c r="AA250" s="139" t="s">
        <v>2962</v>
      </c>
      <c r="AB250" s="124" t="s">
        <v>2961</v>
      </c>
      <c r="AC250" s="114" t="str">
        <f>IFERROR((VLOOKUP($A250,'ИЗ ГУГЛА'!$B:$Z,AC$1,0)+AE250)*AD250,VLOOKUP($A250,'ИЗ ГУГЛА'!$B:$Z,AC$1,0))</f>
        <v/>
      </c>
      <c r="AD250" s="108">
        <v>1</v>
      </c>
      <c r="AE250" s="46"/>
      <c r="AF250" s="115"/>
    </row>
    <row r="251" spans="1:33" s="5" customFormat="1" ht="45.75" thickBot="1" x14ac:dyDescent="0.3">
      <c r="A251" s="132">
        <v>201444</v>
      </c>
      <c r="B251" s="132">
        <f>VLOOKUP($A251,'Выгр Кат'!$A:$S,B$1,0)</f>
        <v>19806</v>
      </c>
      <c r="C251" s="133" t="str">
        <f>VLOOKUP($A251,'Выгр Кат'!$A:$S,C$1,0)</f>
        <v>Прокладка крышки головки цилиндров "БРТ" для ВАЗ 2108-21099, 2113-2115</v>
      </c>
      <c r="D251" s="132" t="str">
        <f>VLOOKUP($A251,'Выгр Кат'!$A:$S,D$1,0)</f>
        <v>Y</v>
      </c>
      <c r="E251" s="132" t="str">
        <f>VLOOKUP($A251,'Выгр Кат'!$A:$S,E$1,0)</f>
        <v>1</v>
      </c>
      <c r="F251" s="132" t="str">
        <f>VLOOKUP($A251,'Выгр Кат'!$A:$S,F$1,0)</f>
        <v>21080100327010</v>
      </c>
      <c r="G251" s="42" t="s">
        <v>314</v>
      </c>
      <c r="H251" s="29"/>
      <c r="I251" s="4" t="s">
        <v>2</v>
      </c>
      <c r="J251" s="95">
        <v>1</v>
      </c>
      <c r="K251" s="168">
        <f t="shared" si="125"/>
        <v>157</v>
      </c>
      <c r="L251" s="167">
        <f>VLOOKUP(K251,Наценка!$A$1:$B$8,2,1)</f>
        <v>1.7204301075268817</v>
      </c>
      <c r="M251" s="172">
        <f t="shared" si="130"/>
        <v>270.10752688172045</v>
      </c>
      <c r="N251" s="173">
        <f t="shared" si="118"/>
        <v>279</v>
      </c>
      <c r="O251" s="134">
        <f>VLOOKUP($A251,'Выгр Кат'!$A:$S,O$1,0)</f>
        <v>157</v>
      </c>
      <c r="P251" s="134">
        <f>VLOOKUP($A251,'Выгр Кат'!$A:$S,P$1,0)</f>
        <v>279</v>
      </c>
      <c r="Q251" s="107">
        <f t="shared" si="119"/>
        <v>0</v>
      </c>
      <c r="R251" s="107">
        <f t="shared" si="120"/>
        <v>0</v>
      </c>
      <c r="S251" s="110">
        <f t="shared" si="121"/>
        <v>259.46999999999997</v>
      </c>
      <c r="T251" s="135">
        <f t="shared" si="122"/>
        <v>0.65267515923566854</v>
      </c>
      <c r="U251" s="135">
        <f t="shared" si="123"/>
        <v>-0.5353254437869821</v>
      </c>
      <c r="V251" s="135">
        <f t="shared" si="124"/>
        <v>7.6433121019108263E-2</v>
      </c>
      <c r="W251" s="117">
        <f t="shared" ref="W251:W254" si="149">AA251</f>
        <v>169</v>
      </c>
      <c r="X251" s="114">
        <f>IFERROR((VLOOKUP($A251,'ИЗ ГУГЛА'!$B:$G,X$1,0)+Z251)*Y251,VLOOKUP($A251,'ИЗ ГУГЛА'!$B:$G,X$1,0))</f>
        <v>169</v>
      </c>
      <c r="Y251" s="46">
        <v>1</v>
      </c>
      <c r="Z251" s="46"/>
      <c r="AA251" s="138">
        <v>169</v>
      </c>
      <c r="AB251" s="124" t="s">
        <v>2353</v>
      </c>
      <c r="AC251" s="114" t="str">
        <f>IFERROR((VLOOKUP($A251,'ИЗ ГУГЛА'!$B:$Z,AC$1,0)+AE251)*AD251,VLOOKUP($A251,'ИЗ ГУГЛА'!$B:$Z,AC$1,0))</f>
        <v/>
      </c>
      <c r="AD251" s="46">
        <v>1</v>
      </c>
      <c r="AE251" s="46"/>
      <c r="AF251" s="115"/>
    </row>
    <row r="252" spans="1:33" s="5" customFormat="1" ht="46.5" thickTop="1" thickBot="1" x14ac:dyDescent="0.3">
      <c r="A252" s="132">
        <v>186576</v>
      </c>
      <c r="B252" s="132">
        <f>VLOOKUP($A252,'Выгр Кат'!$A:$S,B$1,0)</f>
        <v>35325</v>
      </c>
      <c r="C252" s="133" t="str">
        <f>VLOOKUP($A252,'Выгр Кат'!$A:$S,C$1,0)</f>
        <v>Патрубок "БРТ" радиатора пароотводящий для ВАЗ 2110-2112, Лада Приора</v>
      </c>
      <c r="D252" s="132" t="str">
        <f>VLOOKUP($A252,'Выгр Кат'!$A:$S,D$1,0)</f>
        <v>Y</v>
      </c>
      <c r="E252" s="132" t="str">
        <f>VLOOKUP($A252,'Выгр Кат'!$A:$S,E$1,0)</f>
        <v>1</v>
      </c>
      <c r="F252" s="132" t="str">
        <f>VLOOKUP($A252,'Выгр Кат'!$A:$S,F$1,0)</f>
        <v>2110-1303095</v>
      </c>
      <c r="G252" s="44" t="s">
        <v>391</v>
      </c>
      <c r="H252" s="29"/>
      <c r="I252" s="4" t="s">
        <v>2</v>
      </c>
      <c r="J252" s="95">
        <v>1</v>
      </c>
      <c r="K252" s="168">
        <f t="shared" si="125"/>
        <v>158</v>
      </c>
      <c r="L252" s="167">
        <f>VLOOKUP(K252,Наценка!$A$1:$B$8,2,1)</f>
        <v>1.7204301075268817</v>
      </c>
      <c r="M252" s="151">
        <f>K252*1.2*100/93</f>
        <v>203.87096774193549</v>
      </c>
      <c r="N252" s="173">
        <f t="shared" si="118"/>
        <v>209</v>
      </c>
      <c r="O252" s="134">
        <f>VLOOKUP($A252,'Выгр Кат'!$A:$S,O$1,0)</f>
        <v>158</v>
      </c>
      <c r="P252" s="134">
        <f>VLOOKUP($A252,'Выгр Кат'!$A:$S,P$1,0)</f>
        <v>209</v>
      </c>
      <c r="Q252" s="107">
        <f t="shared" si="119"/>
        <v>0</v>
      </c>
      <c r="R252" s="107">
        <f t="shared" si="120"/>
        <v>0</v>
      </c>
      <c r="S252" s="110">
        <f t="shared" si="121"/>
        <v>194.36999999999998</v>
      </c>
      <c r="T252" s="135">
        <f t="shared" si="122"/>
        <v>0.23018987341772146</v>
      </c>
      <c r="U252" s="135">
        <f t="shared" si="123"/>
        <v>-2.8412698412698285E-2</v>
      </c>
      <c r="V252" s="135">
        <f t="shared" si="124"/>
        <v>0.19620253164556956</v>
      </c>
      <c r="W252" s="117">
        <f t="shared" si="149"/>
        <v>189</v>
      </c>
      <c r="X252" s="114">
        <f>IFERROR((VLOOKUP($A252,'ИЗ ГУГЛА'!$B:$G,X$1,0)+Z252)*Y252,VLOOKUP($A252,'ИЗ ГУГЛА'!$B:$G,X$1,0))</f>
        <v>189</v>
      </c>
      <c r="Y252" s="108">
        <v>1</v>
      </c>
      <c r="Z252" s="46"/>
      <c r="AA252" s="136">
        <v>189</v>
      </c>
      <c r="AB252" s="124" t="s">
        <v>2338</v>
      </c>
      <c r="AC252" s="114" t="str">
        <f>IFERROR((VLOOKUP($A252,'ИЗ ГУГЛА'!$B:$Z,AC$1,0)+AE252)*AD252,VLOOKUP($A252,'ИЗ ГУГЛА'!$B:$Z,AC$1,0))</f>
        <v/>
      </c>
      <c r="AD252" s="108">
        <v>1</v>
      </c>
      <c r="AE252" s="46"/>
      <c r="AF252" s="115"/>
    </row>
    <row r="253" spans="1:33" s="5" customFormat="1" ht="76.5" thickTop="1" thickBot="1" x14ac:dyDescent="0.3">
      <c r="A253" s="132">
        <v>158108</v>
      </c>
      <c r="B253" s="132">
        <f>VLOOKUP($A253,'Выгр Кат'!$A:$S,B$1,0)</f>
        <v>30781</v>
      </c>
      <c r="C253" s="133" t="str">
        <f>VLOOKUP($A253,'Выгр Кат'!$A:$S,C$1,0)</f>
        <v>Колпачок концевика "АвтоВАЗ" двери защитный, с двойной гофрой для Лада (Калина, Калина 2 Гранта, Гранта FL, Нива 4х4, Веста), Датсун (mi-DO, on-DO)</v>
      </c>
      <c r="D253" s="132" t="str">
        <f>VLOOKUP($A253,'Выгр Кат'!$A:$S,D$1,0)</f>
        <v>Y</v>
      </c>
      <c r="E253" s="132" t="str">
        <f>VLOOKUP($A253,'Выгр Кат'!$A:$S,E$1,0)</f>
        <v>1ск6</v>
      </c>
      <c r="F253" s="132" t="str">
        <f>VLOOKUP($A253,'Выгр Кат'!$A:$S,F$1,0)</f>
        <v>8450106958</v>
      </c>
      <c r="G253" s="45" t="s">
        <v>1821</v>
      </c>
      <c r="H253" s="29" t="s">
        <v>1821</v>
      </c>
      <c r="I253" s="4" t="s">
        <v>2</v>
      </c>
      <c r="J253" s="95">
        <v>1</v>
      </c>
      <c r="K253" s="168">
        <f t="shared" si="125"/>
        <v>40</v>
      </c>
      <c r="L253" s="167">
        <f>VLOOKUP(K253,Наценка!$A$1:$B$8,2,1)</f>
        <v>2.150537634408602</v>
      </c>
      <c r="M253" s="145">
        <f>W253*1</f>
        <v>92.25</v>
      </c>
      <c r="N253" s="173">
        <f t="shared" si="118"/>
        <v>99</v>
      </c>
      <c r="O253" s="134">
        <f>VLOOKUP($A253,'Выгр Кат'!$A:$S,O$1,0)</f>
        <v>40</v>
      </c>
      <c r="P253" s="134">
        <f>VLOOKUP($A253,'Выгр Кат'!$A:$S,P$1,0)</f>
        <v>79</v>
      </c>
      <c r="Q253" s="107">
        <f t="shared" si="119"/>
        <v>0</v>
      </c>
      <c r="R253" s="107">
        <f t="shared" si="120"/>
        <v>-20</v>
      </c>
      <c r="S253" s="110">
        <f t="shared" si="121"/>
        <v>92.07</v>
      </c>
      <c r="T253" s="135">
        <f t="shared" si="122"/>
        <v>1.3017499999999997</v>
      </c>
      <c r="U253" s="135">
        <f t="shared" si="123"/>
        <v>1.9512195121951959E-3</v>
      </c>
      <c r="V253" s="135">
        <f t="shared" si="124"/>
        <v>1.3062499999999999</v>
      </c>
      <c r="W253" s="117">
        <f t="shared" si="149"/>
        <v>92.25</v>
      </c>
      <c r="X253" s="114">
        <f>IFERROR((VLOOKUP($A253,'ИЗ ГУГЛА'!$B:$G,X$1,0)+Z253)*Y253,VLOOKUP($A253,'ИЗ ГУГЛА'!$B:$G,X$1,0))</f>
        <v>92.25</v>
      </c>
      <c r="Y253" s="46">
        <v>0.25</v>
      </c>
      <c r="Z253" s="46"/>
      <c r="AA253" s="138">
        <v>92.25</v>
      </c>
      <c r="AB253" s="124" t="s">
        <v>2337</v>
      </c>
      <c r="AC253" s="114" t="str">
        <f>IFERROR((VLOOKUP($A253,'ИЗ ГУГЛА'!$B:$Z,AC$1,0)+AE253)*AD253,VLOOKUP($A253,'ИЗ ГУГЛА'!$B:$Z,AC$1,0))</f>
        <v/>
      </c>
      <c r="AD253" s="46">
        <v>0.25</v>
      </c>
      <c r="AE253" s="46"/>
      <c r="AF253" s="115"/>
    </row>
    <row r="254" spans="1:33" s="5" customFormat="1" ht="45.75" thickTop="1" x14ac:dyDescent="0.25">
      <c r="A254" s="132">
        <v>186560</v>
      </c>
      <c r="B254" s="132">
        <f>VLOOKUP($A254,'Выгр Кат'!$A:$S,B$1,0)</f>
        <v>35340</v>
      </c>
      <c r="C254" s="133" t="str">
        <f>VLOOKUP($A254,'Выгр Кат'!$A:$S,C$1,0)</f>
        <v>Патрубок "БРТ" отопителя (печки) подводящий к радиатору для Лада Приора, Приора 2</v>
      </c>
      <c r="D254" s="132" t="str">
        <f>VLOOKUP($A254,'Выгр Кат'!$A:$S,D$1,0)</f>
        <v>Y</v>
      </c>
      <c r="E254" s="132" t="str">
        <f>VLOOKUP($A254,'Выгр Кат'!$A:$S,E$1,0)</f>
        <v>1</v>
      </c>
      <c r="F254" s="132" t="str">
        <f>VLOOKUP($A254,'Выгр Кат'!$A:$S,F$1,0)</f>
        <v>2170-8101200-11</v>
      </c>
      <c r="G254" s="44" t="s">
        <v>524</v>
      </c>
      <c r="H254" s="29"/>
      <c r="I254" s="4" t="s">
        <v>2</v>
      </c>
      <c r="J254" s="95">
        <v>1</v>
      </c>
      <c r="K254" s="168">
        <f t="shared" si="125"/>
        <v>160</v>
      </c>
      <c r="L254" s="167">
        <f>VLOOKUP(K254,Наценка!$A$1:$B$8,2,1)</f>
        <v>1.7204301075268817</v>
      </c>
      <c r="M254" s="147">
        <f t="shared" ref="M253:M254" si="150">W254*1.04</f>
        <v>279.76</v>
      </c>
      <c r="N254" s="173">
        <f t="shared" si="118"/>
        <v>279</v>
      </c>
      <c r="O254" s="134">
        <f>VLOOKUP($A254,'Выгр Кат'!$A:$S,O$1,0)</f>
        <v>160</v>
      </c>
      <c r="P254" s="134">
        <f>VLOOKUP($A254,'Выгр Кат'!$A:$S,P$1,0)</f>
        <v>279</v>
      </c>
      <c r="Q254" s="107">
        <f t="shared" si="119"/>
        <v>0</v>
      </c>
      <c r="R254" s="107">
        <f t="shared" si="120"/>
        <v>0</v>
      </c>
      <c r="S254" s="110">
        <f t="shared" si="121"/>
        <v>259.46999999999997</v>
      </c>
      <c r="T254" s="135">
        <f t="shared" si="122"/>
        <v>0.62168749999999973</v>
      </c>
      <c r="U254" s="135">
        <f t="shared" si="123"/>
        <v>3.5427509293680409E-2</v>
      </c>
      <c r="V254" s="135">
        <f t="shared" si="124"/>
        <v>0.68124999999999991</v>
      </c>
      <c r="W254" s="117">
        <f t="shared" si="149"/>
        <v>269</v>
      </c>
      <c r="X254" s="114">
        <f>IFERROR((VLOOKUP($A254,'ИЗ ГУГЛА'!$B:$G,X$1,0)+Z254)*Y254,VLOOKUP($A254,'ИЗ ГУГЛА'!$B:$G,X$1,0))</f>
        <v>269</v>
      </c>
      <c r="Y254" s="108">
        <v>1</v>
      </c>
      <c r="Z254" s="46"/>
      <c r="AA254" s="139">
        <v>269</v>
      </c>
      <c r="AB254" s="124" t="s">
        <v>2959</v>
      </c>
      <c r="AC254" s="114">
        <f>IFERROR((VLOOKUP($A254,'ИЗ ГУГЛА'!$B:$Z,AC$1,0)+AE254)*AD254,VLOOKUP($A254,'ИЗ ГУГЛА'!$B:$Z,AC$1,0))</f>
        <v>250</v>
      </c>
      <c r="AD254" s="108">
        <v>1</v>
      </c>
      <c r="AE254" s="46"/>
      <c r="AF254" s="115">
        <v>250</v>
      </c>
      <c r="AG254" s="5" t="s">
        <v>2960</v>
      </c>
    </row>
    <row r="255" spans="1:33" s="5" customFormat="1" ht="45" x14ac:dyDescent="0.25">
      <c r="A255" s="132">
        <v>204351</v>
      </c>
      <c r="B255" s="132">
        <f>VLOOKUP($A255,'Выгр Кат'!$A:$S,B$1,0)</f>
        <v>20264</v>
      </c>
      <c r="C255" s="133" t="str">
        <f>VLOOKUP($A255,'Выгр Кат'!$A:$S,C$1,0)</f>
        <v>Ремкомплект 20Р Р/К ремень и подушка подвески глушителя "БРТ" для ВАЗ 2101-2107</v>
      </c>
      <c r="D255" s="132" t="str">
        <f>VLOOKUP($A255,'Выгр Кат'!$A:$S,D$1,0)</f>
        <v>Y</v>
      </c>
      <c r="E255" s="132" t="str">
        <f>VLOOKUP($A255,'Выгр Кат'!$A:$S,E$1,0)</f>
        <v>1</v>
      </c>
      <c r="F255" s="132" t="str">
        <f>VLOOKUP($A255,'Выгр Кат'!$A:$S,F$1,0)</f>
        <v>2101-1203047, 2101-1203072.</v>
      </c>
      <c r="G255" s="45" t="s">
        <v>640</v>
      </c>
      <c r="H255" s="29"/>
      <c r="I255" s="4" t="s">
        <v>2</v>
      </c>
      <c r="J255" s="95">
        <v>1</v>
      </c>
      <c r="K255" s="168">
        <f t="shared" si="125"/>
        <v>159</v>
      </c>
      <c r="L255" s="167">
        <f>VLOOKUP(K255,Наценка!$A$1:$B$8,2,1)</f>
        <v>1.7204301075268817</v>
      </c>
      <c r="M255" s="172">
        <f t="shared" si="130"/>
        <v>273.54838709677421</v>
      </c>
      <c r="N255" s="173">
        <f t="shared" si="118"/>
        <v>279</v>
      </c>
      <c r="O255" s="134">
        <f>VLOOKUP($A255,'Выгр Кат'!$A:$S,O$1,0)</f>
        <v>159</v>
      </c>
      <c r="P255" s="134">
        <f>VLOOKUP($A255,'Выгр Кат'!$A:$S,P$1,0)</f>
        <v>279</v>
      </c>
      <c r="Q255" s="107">
        <f t="shared" si="119"/>
        <v>0</v>
      </c>
      <c r="R255" s="107">
        <f t="shared" si="120"/>
        <v>0</v>
      </c>
      <c r="S255" s="110">
        <f t="shared" si="121"/>
        <v>259.46999999999997</v>
      </c>
      <c r="T255" s="135">
        <f t="shared" si="122"/>
        <v>0.63188679245282997</v>
      </c>
      <c r="U255" s="135" t="str">
        <f t="shared" si="123"/>
        <v/>
      </c>
      <c r="V255" s="135" t="str">
        <f t="shared" si="124"/>
        <v/>
      </c>
      <c r="W255" s="45"/>
      <c r="X255" s="114">
        <f>IFERROR((VLOOKUP($A255,'ИЗ ГУГЛА'!$B:$G,X$1,0)+Z255)*Y255,VLOOKUP($A255,'ИЗ ГУГЛА'!$B:$G,X$1,0))</f>
        <v>199</v>
      </c>
      <c r="Y255" s="108">
        <v>1</v>
      </c>
      <c r="Z255" s="46"/>
      <c r="AA255" s="139" t="s">
        <v>2958</v>
      </c>
      <c r="AB255" s="124" t="s">
        <v>2957</v>
      </c>
      <c r="AC255" s="114" t="str">
        <f>IFERROR((VLOOKUP($A255,'ИЗ ГУГЛА'!$B:$Z,AC$1,0)+AE255)*AD255,VLOOKUP($A255,'ИЗ ГУГЛА'!$B:$Z,AC$1,0))</f>
        <v/>
      </c>
      <c r="AD255" s="108">
        <v>1</v>
      </c>
      <c r="AE255" s="46"/>
      <c r="AF255" s="115"/>
    </row>
    <row r="256" spans="1:33" s="5" customFormat="1" ht="30" x14ac:dyDescent="0.25">
      <c r="A256" s="132">
        <v>225928</v>
      </c>
      <c r="B256" s="132">
        <f>VLOOKUP($A256,'Выгр Кат'!$A:$S,B$1,0)</f>
        <v>35583</v>
      </c>
      <c r="C256" s="133" t="str">
        <f>VLOOKUP($A256,'Выгр Кат'!$A:$S,C$1,0)</f>
        <v>Шланг "БРТ" усилителя вакуумного в сборе для Лада XRAY</v>
      </c>
      <c r="D256" s="132" t="str">
        <f>VLOOKUP($A256,'Выгр Кат'!$A:$S,D$1,0)</f>
        <v>Y</v>
      </c>
      <c r="E256" s="132" t="str">
        <f>VLOOKUP($A256,'Выгр Кат'!$A:$S,E$1,0)</f>
        <v>1</v>
      </c>
      <c r="F256" s="132" t="str">
        <f>VLOOKUP($A256,'Выгр Кат'!$A:$S,F$1,0)</f>
        <v>8450020015</v>
      </c>
      <c r="G256" s="44" t="s">
        <v>1437</v>
      </c>
      <c r="H256" s="29"/>
      <c r="I256" s="4" t="s">
        <v>2</v>
      </c>
      <c r="J256" s="95">
        <v>1</v>
      </c>
      <c r="K256" s="168">
        <f t="shared" si="125"/>
        <v>144</v>
      </c>
      <c r="L256" s="167">
        <f>VLOOKUP(K256,Наценка!$A$1:$B$8,2,1)</f>
        <v>1.7204301075268817</v>
      </c>
      <c r="M256" s="148">
        <f>W256*1.05</f>
        <v>724.5</v>
      </c>
      <c r="N256" s="173">
        <f t="shared" si="118"/>
        <v>729</v>
      </c>
      <c r="O256" s="134">
        <f>VLOOKUP($A256,'Выгр Кат'!$A:$S,O$1,0)</f>
        <v>144</v>
      </c>
      <c r="P256" s="134">
        <f>VLOOKUP($A256,'Выгр Кат'!$A:$S,P$1,0)</f>
        <v>249</v>
      </c>
      <c r="Q256" s="107">
        <f t="shared" si="119"/>
        <v>0</v>
      </c>
      <c r="R256" s="107">
        <f t="shared" si="120"/>
        <v>-480</v>
      </c>
      <c r="S256" s="110">
        <f t="shared" si="121"/>
        <v>677.96999999999991</v>
      </c>
      <c r="T256" s="135">
        <f t="shared" si="122"/>
        <v>3.708124999999999</v>
      </c>
      <c r="U256" s="135">
        <f t="shared" si="123"/>
        <v>1.7434782608695777E-2</v>
      </c>
      <c r="V256" s="135">
        <f t="shared" si="124"/>
        <v>3.791666666666667</v>
      </c>
      <c r="W256" s="117">
        <f t="shared" ref="W256:W259" si="151">AA256</f>
        <v>690</v>
      </c>
      <c r="X256" s="114">
        <f>IFERROR((VLOOKUP($A256,'ИЗ ГУГЛА'!$B:$G,X$1,0)+Z256)*Y256,VLOOKUP($A256,'ИЗ ГУГЛА'!$B:$G,X$1,0))</f>
        <v>690</v>
      </c>
      <c r="Y256" s="108">
        <v>1</v>
      </c>
      <c r="Z256" s="46"/>
      <c r="AA256" s="139">
        <v>690</v>
      </c>
      <c r="AB256" s="124" t="s">
        <v>2910</v>
      </c>
      <c r="AC256" s="114" t="str">
        <f>IFERROR((VLOOKUP($A256,'ИЗ ГУГЛА'!$B:$Z,AC$1,0)+AE256)*AD256,VLOOKUP($A256,'ИЗ ГУГЛА'!$B:$Z,AC$1,0))</f>
        <v/>
      </c>
      <c r="AD256" s="108">
        <v>1</v>
      </c>
      <c r="AE256" s="46"/>
      <c r="AF256" s="115"/>
    </row>
    <row r="257" spans="1:33" s="5" customFormat="1" ht="30.75" thickBot="1" x14ac:dyDescent="0.3">
      <c r="A257" s="132">
        <v>225952</v>
      </c>
      <c r="B257" s="132">
        <f>VLOOKUP($A257,'Выгр Кат'!$A:$S,B$1,0)</f>
        <v>19944</v>
      </c>
      <c r="C257" s="133" t="str">
        <f>VLOOKUP($A257,'Выгр Кат'!$A:$S,C$1,0)</f>
        <v>Патрубок термостата "БРТ" для ВАЗ 2101-2107</v>
      </c>
      <c r="D257" s="132" t="str">
        <f>VLOOKUP($A257,'Выгр Кат'!$A:$S,D$1,0)</f>
        <v>Y</v>
      </c>
      <c r="E257" s="132" t="str">
        <f>VLOOKUP($A257,'Выгр Кат'!$A:$S,E$1,0)</f>
        <v>1</v>
      </c>
      <c r="F257" s="132" t="str">
        <f>VLOOKUP($A257,'Выгр Кат'!$A:$S,F$1,0)</f>
        <v>2101-1303090РП</v>
      </c>
      <c r="G257" s="45" t="s">
        <v>251</v>
      </c>
      <c r="H257" s="29"/>
      <c r="I257" s="4" t="s">
        <v>2</v>
      </c>
      <c r="J257" s="95">
        <v>1</v>
      </c>
      <c r="K257" s="168">
        <f t="shared" si="125"/>
        <v>163</v>
      </c>
      <c r="L257" s="167">
        <f>VLOOKUP(K257,Наценка!$A$1:$B$8,2,1)</f>
        <v>1.7204301075268817</v>
      </c>
      <c r="M257" s="172">
        <f t="shared" si="130"/>
        <v>280.43010752688173</v>
      </c>
      <c r="N257" s="173">
        <f t="shared" si="118"/>
        <v>289</v>
      </c>
      <c r="O257" s="134">
        <f>VLOOKUP($A257,'Выгр Кат'!$A:$S,O$1,0)</f>
        <v>163</v>
      </c>
      <c r="P257" s="134">
        <f>VLOOKUP($A257,'Выгр Кат'!$A:$S,P$1,0)</f>
        <v>289</v>
      </c>
      <c r="Q257" s="107">
        <f t="shared" si="119"/>
        <v>0</v>
      </c>
      <c r="R257" s="107">
        <f t="shared" si="120"/>
        <v>0</v>
      </c>
      <c r="S257" s="110">
        <f t="shared" si="121"/>
        <v>268.77</v>
      </c>
      <c r="T257" s="135">
        <f t="shared" si="122"/>
        <v>0.64889570552147235</v>
      </c>
      <c r="U257" s="135">
        <f t="shared" si="123"/>
        <v>-0.80382550335570457</v>
      </c>
      <c r="V257" s="135">
        <f t="shared" si="124"/>
        <v>-8.5889570552147187E-2</v>
      </c>
      <c r="W257" s="117">
        <f t="shared" si="151"/>
        <v>149</v>
      </c>
      <c r="X257" s="114">
        <f>IFERROR((VLOOKUP($A257,'ИЗ ГУГЛА'!$B:$G,X$1,0)+Z257)*Y257,VLOOKUP($A257,'ИЗ ГУГЛА'!$B:$G,X$1,0))</f>
        <v>149</v>
      </c>
      <c r="Y257" s="108">
        <v>1</v>
      </c>
      <c r="Z257" s="46"/>
      <c r="AA257" s="136">
        <v>149</v>
      </c>
      <c r="AB257" s="124" t="s">
        <v>2659</v>
      </c>
      <c r="AC257" s="114" t="str">
        <f>IFERROR((VLOOKUP($A257,'ИЗ ГУГЛА'!$B:$Z,AC$1,0)+AE257)*AD257,VLOOKUP($A257,'ИЗ ГУГЛА'!$B:$Z,AC$1,0))</f>
        <v/>
      </c>
      <c r="AD257" s="108">
        <v>1</v>
      </c>
      <c r="AE257" s="46"/>
      <c r="AF257" s="115"/>
    </row>
    <row r="258" spans="1:33" s="5" customFormat="1" ht="46.5" thickTop="1" thickBot="1" x14ac:dyDescent="0.3">
      <c r="A258" s="132">
        <v>186700</v>
      </c>
      <c r="B258" s="132">
        <f>VLOOKUP($A258,'Выгр Кат'!$A:$S,B$1,0)</f>
        <v>19943</v>
      </c>
      <c r="C258" s="133" t="str">
        <f>VLOOKUP($A258,'Выгр Кат'!$A:$S,C$1,0)</f>
        <v>Патрубок перепускной средний угол (от термостата к тройнику) "БРТ" для ВАЗ 2101-2107</v>
      </c>
      <c r="D258" s="132" t="str">
        <f>VLOOKUP($A258,'Выгр Кат'!$A:$S,D$1,0)</f>
        <v>N</v>
      </c>
      <c r="E258" s="132" t="str">
        <f>VLOOKUP($A258,'Выгр Кат'!$A:$S,E$1,0)</f>
        <v>1</v>
      </c>
      <c r="F258" s="132" t="str">
        <f>VLOOKUP($A258,'Выгр Кат'!$A:$S,F$1,0)</f>
        <v>2101-1303090РП</v>
      </c>
      <c r="G258" s="45" t="s">
        <v>251</v>
      </c>
      <c r="H258" s="29"/>
      <c r="I258" s="4" t="s">
        <v>2</v>
      </c>
      <c r="J258" s="95">
        <v>1</v>
      </c>
      <c r="K258" s="168">
        <f t="shared" si="125"/>
        <v>163</v>
      </c>
      <c r="L258" s="167">
        <f>VLOOKUP(K258,Наценка!$A$1:$B$8,2,1)</f>
        <v>1.7204301075268817</v>
      </c>
      <c r="M258" s="172">
        <f t="shared" si="130"/>
        <v>280.43010752688173</v>
      </c>
      <c r="N258" s="173">
        <f t="shared" si="118"/>
        <v>289</v>
      </c>
      <c r="O258" s="134">
        <f>VLOOKUP($A258,'Выгр Кат'!$A:$S,O$1,0)</f>
        <v>163</v>
      </c>
      <c r="P258" s="134">
        <f>VLOOKUP($A258,'Выгр Кат'!$A:$S,P$1,0)</f>
        <v>289</v>
      </c>
      <c r="Q258" s="107">
        <f t="shared" si="119"/>
        <v>0</v>
      </c>
      <c r="R258" s="107">
        <f t="shared" si="120"/>
        <v>0</v>
      </c>
      <c r="S258" s="110">
        <f t="shared" si="121"/>
        <v>268.77</v>
      </c>
      <c r="T258" s="135">
        <f t="shared" si="122"/>
        <v>0.64889570552147235</v>
      </c>
      <c r="U258" s="135">
        <f t="shared" si="123"/>
        <v>-0.80382550335570457</v>
      </c>
      <c r="V258" s="135">
        <f t="shared" si="124"/>
        <v>-8.5889570552147187E-2</v>
      </c>
      <c r="W258" s="117">
        <f t="shared" si="151"/>
        <v>149</v>
      </c>
      <c r="X258" s="114">
        <f>IFERROR((VLOOKUP($A258,'ИЗ ГУГЛА'!$B:$G,X$1,0)+Z258)*Y258,VLOOKUP($A258,'ИЗ ГУГЛА'!$B:$G,X$1,0))</f>
        <v>149</v>
      </c>
      <c r="Y258" s="108">
        <v>1</v>
      </c>
      <c r="Z258" s="46"/>
      <c r="AA258" s="136">
        <v>149</v>
      </c>
      <c r="AB258" s="124" t="s">
        <v>2659</v>
      </c>
      <c r="AC258" s="114" t="str">
        <f>IFERROR((VLOOKUP($A258,'ИЗ ГУГЛА'!$B:$Z,AC$1,0)+AE258)*AD258,VLOOKUP($A258,'ИЗ ГУГЛА'!$B:$Z,AC$1,0))</f>
        <v/>
      </c>
      <c r="AD258" s="108">
        <v>1</v>
      </c>
      <c r="AE258" s="46"/>
      <c r="AF258" s="115"/>
    </row>
    <row r="259" spans="1:33" s="5" customFormat="1" ht="30.75" thickTop="1" x14ac:dyDescent="0.25">
      <c r="A259" s="132">
        <v>224898</v>
      </c>
      <c r="B259" s="132">
        <f>VLOOKUP($A259,'Выгр Кат'!$A:$S,B$1,0)</f>
        <v>35440</v>
      </c>
      <c r="C259" s="133" t="str">
        <f>VLOOKUP($A259,'Выгр Кат'!$A:$S,C$1,0)</f>
        <v>Чехол "БРТ" рычага КПП наружный для Шевроле Нива</v>
      </c>
      <c r="D259" s="132" t="str">
        <f>VLOOKUP($A259,'Выгр Кат'!$A:$S,D$1,0)</f>
        <v>Y</v>
      </c>
      <c r="E259" s="132" t="str">
        <f>VLOOKUP($A259,'Выгр Кат'!$A:$S,E$1,0)</f>
        <v>1</v>
      </c>
      <c r="F259" s="132" t="str">
        <f>VLOOKUP($A259,'Выгр Кат'!$A:$S,F$1,0)</f>
        <v>2123-1703101Р</v>
      </c>
      <c r="G259" s="44" t="s">
        <v>497</v>
      </c>
      <c r="H259" s="29"/>
      <c r="I259" s="4" t="s">
        <v>2</v>
      </c>
      <c r="J259" s="95">
        <v>1</v>
      </c>
      <c r="K259" s="168">
        <f t="shared" si="125"/>
        <v>155</v>
      </c>
      <c r="L259" s="167">
        <f>VLOOKUP(K259,Наценка!$A$1:$B$8,2,1)</f>
        <v>1.7204301075268817</v>
      </c>
      <c r="M259" s="148">
        <f>W259*1.06</f>
        <v>348.74</v>
      </c>
      <c r="N259" s="173">
        <f t="shared" ref="N259:N322" si="152">IF(M259&lt;=1000,(ROUNDUP(M259,-1)-1),(ROUNDUP(M259,-2)-10))</f>
        <v>349</v>
      </c>
      <c r="O259" s="134">
        <f>VLOOKUP($A259,'Выгр Кат'!$A:$S,O$1,0)</f>
        <v>155</v>
      </c>
      <c r="P259" s="134">
        <f>VLOOKUP($A259,'Выгр Кат'!$A:$S,P$1,0)</f>
        <v>269</v>
      </c>
      <c r="Q259" s="107">
        <f t="shared" ref="Q259:Q322" si="153">O259-K259</f>
        <v>0</v>
      </c>
      <c r="R259" s="107">
        <f t="shared" ref="R259:R322" si="154">P259-N259</f>
        <v>-80</v>
      </c>
      <c r="S259" s="110">
        <f t="shared" ref="S259:S322" si="155">IFERROR(N259*(1-$S$2),"")</f>
        <v>324.57</v>
      </c>
      <c r="T259" s="135">
        <f t="shared" ref="T259:T322" si="156">IFERROR(S259/K259-1,"")</f>
        <v>1.0939999999999999</v>
      </c>
      <c r="U259" s="135">
        <f t="shared" ref="U259:U322" si="157">IFERROR((W259-S259)/W259,"")</f>
        <v>1.3465045592705187E-2</v>
      </c>
      <c r="V259" s="135">
        <f t="shared" ref="V259:V322" si="158">IFERROR(IF(W259="","",W259/K259-1),"")</f>
        <v>1.1225806451612903</v>
      </c>
      <c r="W259" s="117">
        <f t="shared" si="151"/>
        <v>329</v>
      </c>
      <c r="X259" s="114">
        <f>IFERROR((VLOOKUP($A259,'ИЗ ГУГЛА'!$B:$G,X$1,0)+Z259)*Y259,VLOOKUP($A259,'ИЗ ГУГЛА'!$B:$G,X$1,0))</f>
        <v>329</v>
      </c>
      <c r="Y259" s="108">
        <v>1</v>
      </c>
      <c r="Z259" s="46"/>
      <c r="AA259" s="139">
        <v>329</v>
      </c>
      <c r="AB259" s="124" t="s">
        <v>2954</v>
      </c>
      <c r="AC259" s="114">
        <f>IFERROR((VLOOKUP($A259,'ИЗ ГУГЛА'!$B:$Z,AC$1,0)+AE259)*AD259,VLOOKUP($A259,'ИЗ ГУГЛА'!$B:$Z,AC$1,0))</f>
        <v>310</v>
      </c>
      <c r="AD259" s="108">
        <v>1</v>
      </c>
      <c r="AE259" s="46"/>
      <c r="AF259" s="115">
        <v>310</v>
      </c>
      <c r="AG259" s="5" t="s">
        <v>2955</v>
      </c>
    </row>
    <row r="260" spans="1:33" s="5" customFormat="1" ht="30" x14ac:dyDescent="0.25">
      <c r="A260" s="132">
        <v>204185</v>
      </c>
      <c r="B260" s="132">
        <f>VLOOKUP($A260,'Выгр Кат'!$A:$S,B$1,0)</f>
        <v>20345</v>
      </c>
      <c r="C260" s="133" t="str">
        <f>VLOOKUP($A260,'Выгр Кат'!$A:$S,C$1,0)</f>
        <v>Ремень генератора "БРТ" для Renault Logan с кондиционером без ГУР</v>
      </c>
      <c r="D260" s="132" t="str">
        <f>VLOOKUP($A260,'Выгр Кат'!$A:$S,D$1,0)</f>
        <v>Y</v>
      </c>
      <c r="E260" s="132" t="str">
        <f>VLOOKUP($A260,'Выгр Кат'!$A:$S,E$1,0)</f>
        <v>1</v>
      </c>
      <c r="F260" s="132" t="str">
        <f>VLOOKUP($A260,'Выгр Кат'!$A:$S,F$1,0)</f>
        <v>4РК913РУ.</v>
      </c>
      <c r="G260" s="45" t="s">
        <v>1821</v>
      </c>
      <c r="H260" s="29" t="s">
        <v>1821</v>
      </c>
      <c r="I260" s="4" t="s">
        <v>2</v>
      </c>
      <c r="J260" s="95">
        <v>1</v>
      </c>
      <c r="K260" s="168">
        <f t="shared" ref="K260:K323" si="159">O260</f>
        <v>145</v>
      </c>
      <c r="L260" s="167">
        <f>VLOOKUP(K260,Наценка!$A$1:$B$8,2,1)</f>
        <v>1.7204301075268817</v>
      </c>
      <c r="M260" s="172">
        <f t="shared" si="130"/>
        <v>249.46236559139786</v>
      </c>
      <c r="N260" s="173">
        <f t="shared" si="152"/>
        <v>249</v>
      </c>
      <c r="O260" s="134">
        <f>VLOOKUP($A260,'Выгр Кат'!$A:$S,O$1,0)</f>
        <v>145</v>
      </c>
      <c r="P260" s="134">
        <f>VLOOKUP($A260,'Выгр Кат'!$A:$S,P$1,0)</f>
        <v>249</v>
      </c>
      <c r="Q260" s="107">
        <f t="shared" si="153"/>
        <v>0</v>
      </c>
      <c r="R260" s="107">
        <f t="shared" si="154"/>
        <v>0</v>
      </c>
      <c r="S260" s="110">
        <f t="shared" si="155"/>
        <v>231.57</v>
      </c>
      <c r="T260" s="135">
        <f t="shared" si="156"/>
        <v>0.5970344827586207</v>
      </c>
      <c r="U260" s="135" t="str">
        <f t="shared" si="157"/>
        <v/>
      </c>
      <c r="V260" s="135" t="str">
        <f t="shared" si="158"/>
        <v/>
      </c>
      <c r="W260" s="45"/>
      <c r="X260" s="114" t="str">
        <f>IFERROR((VLOOKUP($A260,'ИЗ ГУГЛА'!$B:$G,X$1,0)+Z260)*Y260,VLOOKUP($A260,'ИЗ ГУГЛА'!$B:$G,X$1,0))</f>
        <v/>
      </c>
      <c r="Y260" s="108">
        <v>1</v>
      </c>
      <c r="Z260" s="46"/>
      <c r="AA260" s="139" t="s">
        <v>1821</v>
      </c>
      <c r="AB260" s="124"/>
      <c r="AC260" s="114" t="str">
        <f>IFERROR((VLOOKUP($A260,'ИЗ ГУГЛА'!$B:$Z,AC$1,0)+AE260)*AD260,VLOOKUP($A260,'ИЗ ГУГЛА'!$B:$Z,AC$1,0))</f>
        <v/>
      </c>
      <c r="AD260" s="108">
        <v>1</v>
      </c>
      <c r="AE260" s="46"/>
      <c r="AF260" s="115"/>
    </row>
    <row r="261" spans="1:33" s="5" customFormat="1" ht="30.75" thickBot="1" x14ac:dyDescent="0.3">
      <c r="A261" s="132">
        <v>223214</v>
      </c>
      <c r="B261" s="132">
        <f>VLOOKUP($A261,'Выгр Кат'!$A:$S,B$1,0)</f>
        <v>35321</v>
      </c>
      <c r="C261" s="133" t="str">
        <f>VLOOKUP($A261,'Выгр Кат'!$A:$S,C$1,0)</f>
        <v>Уплотнитель "БРТ" капота (задний) для ВАЗ 2105-2107</v>
      </c>
      <c r="D261" s="132" t="str">
        <f>VLOOKUP($A261,'Выгр Кат'!$A:$S,D$1,0)</f>
        <v>Y</v>
      </c>
      <c r="E261" s="132" t="str">
        <f>VLOOKUP($A261,'Выгр Кат'!$A:$S,E$1,0)</f>
        <v>1</v>
      </c>
      <c r="F261" s="132" t="str">
        <f>VLOOKUP($A261,'Выгр Кат'!$A:$S,F$1,0)</f>
        <v>2105-8402200</v>
      </c>
      <c r="G261" s="44" t="s">
        <v>303</v>
      </c>
      <c r="H261" s="29"/>
      <c r="I261" s="4" t="s">
        <v>2</v>
      </c>
      <c r="J261" s="95">
        <v>1</v>
      </c>
      <c r="K261" s="168">
        <f t="shared" si="159"/>
        <v>240</v>
      </c>
      <c r="L261" s="167">
        <f>VLOOKUP(K261,Наценка!$A$1:$B$8,2,1)</f>
        <v>1.7204301075268817</v>
      </c>
      <c r="M261" s="148">
        <f t="shared" ref="M261:M262" si="160">W261*1.06</f>
        <v>519.4</v>
      </c>
      <c r="N261" s="173">
        <f t="shared" si="152"/>
        <v>519</v>
      </c>
      <c r="O261" s="134">
        <f>VLOOKUP($A261,'Выгр Кат'!$A:$S,O$1,0)</f>
        <v>240</v>
      </c>
      <c r="P261" s="134">
        <f>VLOOKUP($A261,'Выгр Кат'!$A:$S,P$1,0)</f>
        <v>509</v>
      </c>
      <c r="Q261" s="107">
        <f t="shared" si="153"/>
        <v>0</v>
      </c>
      <c r="R261" s="107">
        <f t="shared" si="154"/>
        <v>-10</v>
      </c>
      <c r="S261" s="110">
        <f t="shared" si="155"/>
        <v>482.66999999999996</v>
      </c>
      <c r="T261" s="135">
        <f t="shared" si="156"/>
        <v>1.0111249999999998</v>
      </c>
      <c r="U261" s="135">
        <f t="shared" si="157"/>
        <v>1.4959183673469472E-2</v>
      </c>
      <c r="V261" s="135">
        <f t="shared" si="158"/>
        <v>1.0416666666666665</v>
      </c>
      <c r="W261" s="117">
        <f t="shared" ref="W261:W262" si="161">AA261</f>
        <v>490</v>
      </c>
      <c r="X261" s="114">
        <f>IFERROR((VLOOKUP($A261,'ИЗ ГУГЛА'!$B:$G,X$1,0)+Z261)*Y261,VLOOKUP($A261,'ИЗ ГУГЛА'!$B:$G,X$1,0))</f>
        <v>490</v>
      </c>
      <c r="Y261" s="46">
        <v>1</v>
      </c>
      <c r="Z261" s="46"/>
      <c r="AA261" s="138">
        <v>490</v>
      </c>
      <c r="AB261" s="124" t="s">
        <v>2293</v>
      </c>
      <c r="AC261" s="114" t="str">
        <f>IFERROR((VLOOKUP($A261,'ИЗ ГУГЛА'!$B:$Z,AC$1,0)+AE261)*AD261,VLOOKUP($A261,'ИЗ ГУГЛА'!$B:$Z,AC$1,0))</f>
        <v/>
      </c>
      <c r="AD261" s="46">
        <v>1</v>
      </c>
      <c r="AE261" s="46"/>
      <c r="AF261" s="115"/>
    </row>
    <row r="262" spans="1:33" s="5" customFormat="1" ht="46.5" thickTop="1" thickBot="1" x14ac:dyDescent="0.3">
      <c r="A262" s="132">
        <v>158293</v>
      </c>
      <c r="B262" s="132">
        <f>VLOOKUP($A262,'Выгр Кат'!$A:$S,B$1,0)</f>
        <v>35539</v>
      </c>
      <c r="C262" s="133" t="str">
        <f>VLOOKUP($A262,'Выгр Кат'!$A:$S,C$1,0)</f>
        <v>Комплект "БРТ" передних брызговиков для Лада Гранта, Калина 2</v>
      </c>
      <c r="D262" s="132" t="str">
        <f>VLOOKUP($A262,'Выгр Кат'!$A:$S,D$1,0)</f>
        <v>Y</v>
      </c>
      <c r="E262" s="132" t="str">
        <f>VLOOKUP($A262,'Выгр Кат'!$A:$S,E$1,0)</f>
        <v>1</v>
      </c>
      <c r="F262" s="132" t="str">
        <f>VLOOKUP($A262,'Выгр Кат'!$A:$S,F$1,0)</f>
        <v>2190-8403512/13Р</v>
      </c>
      <c r="G262" s="44" t="s">
        <v>1297</v>
      </c>
      <c r="H262" s="29"/>
      <c r="I262" s="4" t="s">
        <v>2</v>
      </c>
      <c r="J262" s="95">
        <v>1</v>
      </c>
      <c r="K262" s="168">
        <f t="shared" si="159"/>
        <v>164</v>
      </c>
      <c r="L262" s="167">
        <f>VLOOKUP(K262,Наценка!$A$1:$B$8,2,1)</f>
        <v>1.7204301075268817</v>
      </c>
      <c r="M262" s="148">
        <f>W262*1.05</f>
        <v>376.95</v>
      </c>
      <c r="N262" s="173">
        <f t="shared" si="152"/>
        <v>379</v>
      </c>
      <c r="O262" s="134">
        <f>VLOOKUP($A262,'Выгр Кат'!$A:$S,O$1,0)</f>
        <v>164</v>
      </c>
      <c r="P262" s="134">
        <f>VLOOKUP($A262,'Выгр Кат'!$A:$S,P$1,0)</f>
        <v>379</v>
      </c>
      <c r="Q262" s="107">
        <f t="shared" si="153"/>
        <v>0</v>
      </c>
      <c r="R262" s="107">
        <f t="shared" si="154"/>
        <v>0</v>
      </c>
      <c r="S262" s="110">
        <f t="shared" si="155"/>
        <v>352.46999999999997</v>
      </c>
      <c r="T262" s="135">
        <f t="shared" si="156"/>
        <v>1.1492073170731705</v>
      </c>
      <c r="U262" s="135">
        <f t="shared" si="157"/>
        <v>1.8189415041782814E-2</v>
      </c>
      <c r="V262" s="135">
        <f t="shared" si="158"/>
        <v>1.1890243902439024</v>
      </c>
      <c r="W262" s="117">
        <f t="shared" si="161"/>
        <v>359</v>
      </c>
      <c r="X262" s="114">
        <f>IFERROR((VLOOKUP($A262,'ИЗ ГУГЛА'!$B:$G,X$1,0)+Z262)*Y262,VLOOKUP($A262,'ИЗ ГУГЛА'!$B:$G,X$1,0))</f>
        <v>359</v>
      </c>
      <c r="Y262" s="108">
        <v>1</v>
      </c>
      <c r="Z262" s="46"/>
      <c r="AA262" s="136">
        <v>359</v>
      </c>
      <c r="AB262" s="124" t="s">
        <v>2625</v>
      </c>
      <c r="AC262" s="114" t="str">
        <f>IFERROR((VLOOKUP($A262,'ИЗ ГУГЛА'!$B:$Z,AC$1,0)+AE262)*AD262,VLOOKUP($A262,'ИЗ ГУГЛА'!$B:$Z,AC$1,0))</f>
        <v/>
      </c>
      <c r="AD262" s="108">
        <v>1</v>
      </c>
      <c r="AE262" s="46"/>
      <c r="AF262" s="115"/>
    </row>
    <row r="263" spans="1:33" s="5" customFormat="1" ht="45.75" thickTop="1" x14ac:dyDescent="0.25">
      <c r="A263" s="132">
        <v>204354</v>
      </c>
      <c r="B263" s="132">
        <f>VLOOKUP($A263,'Выгр Кат'!$A:$S,B$1,0)</f>
        <v>19921</v>
      </c>
      <c r="C263" s="133" t="str">
        <f>VLOOKUP($A263,'Выгр Кат'!$A:$S,C$1,0)</f>
        <v>Ремкомплект 245РУ Р/К "БРТ" пыльник ШРУС с хомутами и смазкой универсальный</v>
      </c>
      <c r="D263" s="132" t="str">
        <f>VLOOKUP($A263,'Выгр Кат'!$A:$S,D$1,0)</f>
        <v>Y</v>
      </c>
      <c r="E263" s="132" t="str">
        <f>VLOOKUP($A263,'Выгр Кат'!$A:$S,E$1,0)</f>
        <v>1</v>
      </c>
      <c r="F263" s="132" t="str">
        <f>VLOOKUP($A263,'Выгр Кат'!$A:$S,F$1,0)</f>
        <v>Ремкомплект 245РУ Р/К.</v>
      </c>
      <c r="G263" s="45" t="s">
        <v>1821</v>
      </c>
      <c r="H263" s="29" t="s">
        <v>1821</v>
      </c>
      <c r="I263" s="4" t="s">
        <v>2</v>
      </c>
      <c r="J263" s="95">
        <v>1</v>
      </c>
      <c r="K263" s="168">
        <f t="shared" si="159"/>
        <v>146</v>
      </c>
      <c r="L263" s="167">
        <f>VLOOKUP(K263,Наценка!$A$1:$B$8,2,1)</f>
        <v>1.7204301075268817</v>
      </c>
      <c r="M263" s="172">
        <f t="shared" ref="M261:M324" si="162">K263*L263</f>
        <v>251.18279569892474</v>
      </c>
      <c r="N263" s="173">
        <f t="shared" si="152"/>
        <v>259</v>
      </c>
      <c r="O263" s="134">
        <f>VLOOKUP($A263,'Выгр Кат'!$A:$S,O$1,0)</f>
        <v>146</v>
      </c>
      <c r="P263" s="134">
        <f>VLOOKUP($A263,'Выгр Кат'!$A:$S,P$1,0)</f>
        <v>259</v>
      </c>
      <c r="Q263" s="107">
        <f t="shared" si="153"/>
        <v>0</v>
      </c>
      <c r="R263" s="107">
        <f t="shared" si="154"/>
        <v>0</v>
      </c>
      <c r="S263" s="110">
        <f t="shared" si="155"/>
        <v>240.86999999999998</v>
      </c>
      <c r="T263" s="135">
        <f t="shared" si="156"/>
        <v>0.64979452054794495</v>
      </c>
      <c r="U263" s="135" t="str">
        <f t="shared" si="157"/>
        <v/>
      </c>
      <c r="V263" s="135" t="str">
        <f t="shared" si="158"/>
        <v/>
      </c>
      <c r="W263" s="45"/>
      <c r="X263" s="114" t="str">
        <f>IFERROR((VLOOKUP($A263,'ИЗ ГУГЛА'!$B:$G,X$1,0)+Z263)*Y263,VLOOKUP($A263,'ИЗ ГУГЛА'!$B:$G,X$1,0))</f>
        <v/>
      </c>
      <c r="Y263" s="108">
        <v>1</v>
      </c>
      <c r="Z263" s="46"/>
      <c r="AA263" s="139" t="s">
        <v>1821</v>
      </c>
      <c r="AB263" s="124"/>
      <c r="AC263" s="114" t="str">
        <f>IFERROR((VLOOKUP($A263,'ИЗ ГУГЛА'!$B:$Z,AC$1,0)+AE263)*AD263,VLOOKUP($A263,'ИЗ ГУГЛА'!$B:$Z,AC$1,0))</f>
        <v/>
      </c>
      <c r="AD263" s="108">
        <v>1</v>
      </c>
      <c r="AE263" s="46"/>
      <c r="AF263" s="115"/>
    </row>
    <row r="264" spans="1:33" s="5" customFormat="1" ht="60" x14ac:dyDescent="0.25">
      <c r="A264" s="132">
        <v>201513</v>
      </c>
      <c r="B264" s="132">
        <f>VLOOKUP($A264,'Выгр Кат'!$A:$S,B$1,0)</f>
        <v>35280</v>
      </c>
      <c r="C264" s="133" t="str">
        <f>VLOOKUP($A264,'Выгр Кат'!$A:$S,C$1,0)</f>
        <v>Прокладка "БРТ" топливного насоса (бензонасоса) для ВАЗ 2108-21099, 2110-2112, 2113-2115 (с инжекторным двигателем)</v>
      </c>
      <c r="D264" s="132" t="str">
        <f>VLOOKUP($A264,'Выгр Кат'!$A:$S,D$1,0)</f>
        <v>Y</v>
      </c>
      <c r="E264" s="132" t="str">
        <f>VLOOKUP($A264,'Выгр Кат'!$A:$S,E$1,0)</f>
        <v>1</v>
      </c>
      <c r="F264" s="132" t="str">
        <f>VLOOKUP($A264,'Выгр Кат'!$A:$S,F$1,0)</f>
        <v>21082-1101138</v>
      </c>
      <c r="G264" s="44" t="s">
        <v>368</v>
      </c>
      <c r="H264" s="29"/>
      <c r="I264" s="4" t="s">
        <v>2</v>
      </c>
      <c r="J264" s="95">
        <v>1</v>
      </c>
      <c r="K264" s="168">
        <f t="shared" si="159"/>
        <v>165</v>
      </c>
      <c r="L264" s="167">
        <f>VLOOKUP(K264,Наценка!$A$1:$B$8,2,1)</f>
        <v>1.7204301075268817</v>
      </c>
      <c r="M264" s="172">
        <f t="shared" si="162"/>
        <v>283.87096774193549</v>
      </c>
      <c r="N264" s="173">
        <f t="shared" si="152"/>
        <v>289</v>
      </c>
      <c r="O264" s="134">
        <f>VLOOKUP($A264,'Выгр Кат'!$A:$S,O$1,0)</f>
        <v>165</v>
      </c>
      <c r="P264" s="134">
        <f>VLOOKUP($A264,'Выгр Кат'!$A:$S,P$1,0)</f>
        <v>289</v>
      </c>
      <c r="Q264" s="107">
        <f t="shared" si="153"/>
        <v>0</v>
      </c>
      <c r="R264" s="107">
        <f t="shared" si="154"/>
        <v>0</v>
      </c>
      <c r="S264" s="110">
        <f t="shared" si="155"/>
        <v>268.77</v>
      </c>
      <c r="T264" s="135">
        <f t="shared" si="156"/>
        <v>0.62890909090909086</v>
      </c>
      <c r="U264" s="135">
        <f t="shared" si="157"/>
        <v>-1.0834883720930231</v>
      </c>
      <c r="V264" s="135">
        <f t="shared" si="158"/>
        <v>-0.21818181818181814</v>
      </c>
      <c r="W264" s="117">
        <f t="shared" ref="W264:W276" si="163">AA264</f>
        <v>129</v>
      </c>
      <c r="X264" s="114">
        <f>IFERROR((VLOOKUP($A264,'ИЗ ГУГЛА'!$B:$G,X$1,0)+Z264)*Y264,VLOOKUP($A264,'ИЗ ГУГЛА'!$B:$G,X$1,0))</f>
        <v>129</v>
      </c>
      <c r="Y264" s="108">
        <v>1</v>
      </c>
      <c r="Z264" s="46"/>
      <c r="AA264" s="139">
        <v>129</v>
      </c>
      <c r="AB264" s="124" t="s">
        <v>2952</v>
      </c>
      <c r="AC264" s="114">
        <f>IFERROR((VLOOKUP($A264,'ИЗ ГУГЛА'!$B:$Z,AC$1,0)+AE264)*AD264,VLOOKUP($A264,'ИЗ ГУГЛА'!$B:$Z,AC$1,0))</f>
        <v>270</v>
      </c>
      <c r="AD264" s="108">
        <v>1</v>
      </c>
      <c r="AE264" s="46"/>
      <c r="AF264" s="115">
        <v>270</v>
      </c>
      <c r="AG264" s="5" t="s">
        <v>2953</v>
      </c>
    </row>
    <row r="265" spans="1:33" s="5" customFormat="1" ht="45.75" thickBot="1" x14ac:dyDescent="0.3">
      <c r="A265" s="132">
        <v>225961</v>
      </c>
      <c r="B265" s="132">
        <f>VLOOKUP($A265,'Выгр Кат'!$A:$S,B$1,0)</f>
        <v>20343</v>
      </c>
      <c r="C265" s="133" t="str">
        <f>VLOOKUP($A265,'Выгр Кат'!$A:$S,C$1,0)</f>
        <v>Шланг гидротормозной передний гибкий в сборе "БРТ" для Лада Веста Универсал</v>
      </c>
      <c r="D265" s="132" t="str">
        <f>VLOOKUP($A265,'Выгр Кат'!$A:$S,D$1,0)</f>
        <v>Y</v>
      </c>
      <c r="E265" s="132" t="str">
        <f>VLOOKUP($A265,'Выгр Кат'!$A:$S,E$1,0)</f>
        <v>1</v>
      </c>
      <c r="F265" s="132" t="str">
        <f>VLOOKUP($A265,'Выгр Кат'!$A:$S,F$1,0)</f>
        <v>8450031128Р.</v>
      </c>
      <c r="G265" s="99" t="s">
        <v>561</v>
      </c>
      <c r="H265" s="29"/>
      <c r="I265" s="4" t="s">
        <v>2</v>
      </c>
      <c r="J265" s="95">
        <v>1</v>
      </c>
      <c r="K265" s="168">
        <f t="shared" si="159"/>
        <v>165</v>
      </c>
      <c r="L265" s="167">
        <f>VLOOKUP(K265,Наценка!$A$1:$B$8,2,1)</f>
        <v>1.7204301075268817</v>
      </c>
      <c r="M265" s="147">
        <f t="shared" ref="M265:M266" si="164">W265*1.04</f>
        <v>279.76</v>
      </c>
      <c r="N265" s="173">
        <f t="shared" si="152"/>
        <v>279</v>
      </c>
      <c r="O265" s="134">
        <f>VLOOKUP($A265,'Выгр Кат'!$A:$S,O$1,0)</f>
        <v>165</v>
      </c>
      <c r="P265" s="134">
        <f>VLOOKUP($A265,'Выгр Кат'!$A:$S,P$1,0)</f>
        <v>279</v>
      </c>
      <c r="Q265" s="107">
        <f t="shared" si="153"/>
        <v>0</v>
      </c>
      <c r="R265" s="107">
        <f t="shared" si="154"/>
        <v>0</v>
      </c>
      <c r="S265" s="110">
        <f t="shared" si="155"/>
        <v>259.46999999999997</v>
      </c>
      <c r="T265" s="135">
        <f t="shared" si="156"/>
        <v>0.57254545454545447</v>
      </c>
      <c r="U265" s="135">
        <f t="shared" si="157"/>
        <v>3.5427509293680409E-2</v>
      </c>
      <c r="V265" s="135">
        <f t="shared" si="158"/>
        <v>0.63030303030303036</v>
      </c>
      <c r="W265" s="117">
        <f t="shared" si="163"/>
        <v>269</v>
      </c>
      <c r="X265" s="114">
        <f>IFERROR((VLOOKUP($A265,'ИЗ ГУГЛА'!$B:$G,X$1,0)+Z265)*Y265,VLOOKUP($A265,'ИЗ ГУГЛА'!$B:$G,X$1,0))</f>
        <v>269</v>
      </c>
      <c r="Y265" s="46">
        <v>1</v>
      </c>
      <c r="Z265" s="46"/>
      <c r="AA265" s="138">
        <v>269</v>
      </c>
      <c r="AB265" s="124" t="s">
        <v>2364</v>
      </c>
      <c r="AC265" s="114" t="str">
        <f>IFERROR((VLOOKUP($A265,'ИЗ ГУГЛА'!$B:$Z,AC$1,0)+AE265)*AD265,VLOOKUP($A265,'ИЗ ГУГЛА'!$B:$Z,AC$1,0))</f>
        <v/>
      </c>
      <c r="AD265" s="46">
        <v>1</v>
      </c>
      <c r="AE265" s="46"/>
      <c r="AF265" s="115"/>
    </row>
    <row r="266" spans="1:33" s="5" customFormat="1" ht="31.5" thickTop="1" thickBot="1" x14ac:dyDescent="0.3">
      <c r="A266" s="132">
        <v>225958</v>
      </c>
      <c r="B266" s="132">
        <f>VLOOKUP($A266,'Выгр Кат'!$A:$S,B$1,0)</f>
        <v>20338</v>
      </c>
      <c r="C266" s="133" t="str">
        <f>VLOOKUP($A266,'Выгр Кат'!$A:$S,C$1,0)</f>
        <v>Шланг гидротормозной передний в сборе "БРТ" для Лада Веста</v>
      </c>
      <c r="D266" s="132" t="str">
        <f>VLOOKUP($A266,'Выгр Кат'!$A:$S,D$1,0)</f>
        <v>Y</v>
      </c>
      <c r="E266" s="132" t="str">
        <f>VLOOKUP($A266,'Выгр Кат'!$A:$S,E$1,0)</f>
        <v>1</v>
      </c>
      <c r="F266" s="132" t="str">
        <f>VLOOKUP($A266,'Выгр Кат'!$A:$S,F$1,0)</f>
        <v>2180-3506060Р.</v>
      </c>
      <c r="G266" s="45" t="s">
        <v>561</v>
      </c>
      <c r="H266" s="29"/>
      <c r="I266" s="4" t="s">
        <v>2</v>
      </c>
      <c r="J266" s="95">
        <v>1</v>
      </c>
      <c r="K266" s="168">
        <f t="shared" si="159"/>
        <v>165</v>
      </c>
      <c r="L266" s="167">
        <f>VLOOKUP(K266,Наценка!$A$1:$B$8,2,1)</f>
        <v>1.7204301075268817</v>
      </c>
      <c r="M266" s="147">
        <f t="shared" si="164"/>
        <v>279.76</v>
      </c>
      <c r="N266" s="173">
        <f t="shared" si="152"/>
        <v>279</v>
      </c>
      <c r="O266" s="134">
        <f>VLOOKUP($A266,'Выгр Кат'!$A:$S,O$1,0)</f>
        <v>165</v>
      </c>
      <c r="P266" s="134">
        <f>VLOOKUP($A266,'Выгр Кат'!$A:$S,P$1,0)</f>
        <v>279</v>
      </c>
      <c r="Q266" s="107">
        <f t="shared" si="153"/>
        <v>0</v>
      </c>
      <c r="R266" s="107">
        <f t="shared" si="154"/>
        <v>0</v>
      </c>
      <c r="S266" s="110">
        <f t="shared" si="155"/>
        <v>259.46999999999997</v>
      </c>
      <c r="T266" s="135">
        <f t="shared" si="156"/>
        <v>0.57254545454545447</v>
      </c>
      <c r="U266" s="135">
        <f t="shared" si="157"/>
        <v>3.5427509293680409E-2</v>
      </c>
      <c r="V266" s="135">
        <f t="shared" si="158"/>
        <v>0.63030303030303036</v>
      </c>
      <c r="W266" s="117">
        <f t="shared" si="163"/>
        <v>269</v>
      </c>
      <c r="X266" s="114">
        <f>IFERROR((VLOOKUP($A266,'ИЗ ГУГЛА'!$B:$G,X$1,0)+Z266)*Y266,VLOOKUP($A266,'ИЗ ГУГЛА'!$B:$G,X$1,0))</f>
        <v>269</v>
      </c>
      <c r="Y266" s="46">
        <v>1</v>
      </c>
      <c r="Z266" s="46"/>
      <c r="AA266" s="138">
        <v>269</v>
      </c>
      <c r="AB266" s="124" t="s">
        <v>2364</v>
      </c>
      <c r="AC266" s="114" t="str">
        <f>IFERROR((VLOOKUP($A266,'ИЗ ГУГЛА'!$B:$Z,AC$1,0)+AE266)*AD266,VLOOKUP($A266,'ИЗ ГУГЛА'!$B:$Z,AC$1,0))</f>
        <v/>
      </c>
      <c r="AD266" s="46">
        <v>1</v>
      </c>
      <c r="AE266" s="46"/>
      <c r="AF266" s="115"/>
    </row>
    <row r="267" spans="1:33" s="5" customFormat="1" ht="31.5" thickTop="1" thickBot="1" x14ac:dyDescent="0.3">
      <c r="A267" s="132">
        <v>226091</v>
      </c>
      <c r="B267" s="132">
        <f>VLOOKUP($A267,'Выгр Кат'!$A:$S,B$1,0)</f>
        <v>19853</v>
      </c>
      <c r="C267" s="133" t="str">
        <f>VLOOKUP($A267,'Выгр Кат'!$A:$S,C$1,0)</f>
        <v>Шланг тормозной "БРТ" задний в сборе для Renault Logan, Sandero</v>
      </c>
      <c r="D267" s="132" t="str">
        <f>VLOOKUP($A267,'Выгр Кат'!$A:$S,D$1,0)</f>
        <v>Y</v>
      </c>
      <c r="E267" s="132" t="str">
        <f>VLOOKUP($A267,'Выгр Кат'!$A:$S,E$1,0)</f>
        <v>1</v>
      </c>
      <c r="F267" s="132" t="str">
        <f>VLOOKUP($A267,'Выгр Кат'!$A:$S,F$1,0)</f>
        <v>6001547820Р</v>
      </c>
      <c r="G267" s="45" t="s">
        <v>582</v>
      </c>
      <c r="H267" s="29"/>
      <c r="I267" s="4" t="s">
        <v>2</v>
      </c>
      <c r="J267" s="95">
        <v>1</v>
      </c>
      <c r="K267" s="168">
        <f t="shared" si="159"/>
        <v>166</v>
      </c>
      <c r="L267" s="167">
        <f>VLOOKUP(K267,Наценка!$A$1:$B$8,2,1)</f>
        <v>1.7204301075268817</v>
      </c>
      <c r="M267" s="172">
        <f t="shared" si="162"/>
        <v>285.5913978494624</v>
      </c>
      <c r="N267" s="173">
        <f t="shared" si="152"/>
        <v>289</v>
      </c>
      <c r="O267" s="134">
        <f>VLOOKUP($A267,'Выгр Кат'!$A:$S,O$1,0)</f>
        <v>166</v>
      </c>
      <c r="P267" s="134">
        <f>VLOOKUP($A267,'Выгр Кат'!$A:$S,P$1,0)</f>
        <v>289</v>
      </c>
      <c r="Q267" s="107">
        <f t="shared" si="153"/>
        <v>0</v>
      </c>
      <c r="R267" s="107">
        <f t="shared" si="154"/>
        <v>0</v>
      </c>
      <c r="S267" s="110">
        <f t="shared" si="155"/>
        <v>268.77</v>
      </c>
      <c r="T267" s="135">
        <f t="shared" si="156"/>
        <v>0.6190963855421685</v>
      </c>
      <c r="U267" s="135">
        <f t="shared" si="157"/>
        <v>-0.80382550335570457</v>
      </c>
      <c r="V267" s="135">
        <f t="shared" si="158"/>
        <v>-0.10240963855421692</v>
      </c>
      <c r="W267" s="117">
        <f t="shared" si="163"/>
        <v>149</v>
      </c>
      <c r="X267" s="114">
        <f>IFERROR((VLOOKUP($A267,'ИЗ ГУГЛА'!$B:$G,X$1,0)+Z267)*Y267,VLOOKUP($A267,'ИЗ ГУГЛА'!$B:$G,X$1,0))</f>
        <v>149</v>
      </c>
      <c r="Y267" s="46">
        <v>1</v>
      </c>
      <c r="Z267" s="46"/>
      <c r="AA267" s="138">
        <v>149</v>
      </c>
      <c r="AB267" s="124" t="s">
        <v>2362</v>
      </c>
      <c r="AC267" s="114" t="str">
        <f>IFERROR((VLOOKUP($A267,'ИЗ ГУГЛА'!$B:$Z,AC$1,0)+AE267)*AD267,VLOOKUP($A267,'ИЗ ГУГЛА'!$B:$Z,AC$1,0))</f>
        <v/>
      </c>
      <c r="AD267" s="46">
        <v>1</v>
      </c>
      <c r="AE267" s="46"/>
      <c r="AF267" s="115"/>
    </row>
    <row r="268" spans="1:33" s="5" customFormat="1" ht="31.5" thickTop="1" thickBot="1" x14ac:dyDescent="0.3">
      <c r="A268" s="132">
        <v>226093</v>
      </c>
      <c r="B268" s="132">
        <f>VLOOKUP($A268,'Выгр Кат'!$A:$S,B$1,0)</f>
        <v>19852</v>
      </c>
      <c r="C268" s="133" t="str">
        <f>VLOOKUP($A268,'Выгр Кат'!$A:$S,C$1,0)</f>
        <v>Шланг тормозной "БРТ" передний в сборе для Renault Logan, Sandero</v>
      </c>
      <c r="D268" s="132" t="str">
        <f>VLOOKUP($A268,'Выгр Кат'!$A:$S,D$1,0)</f>
        <v>Y</v>
      </c>
      <c r="E268" s="132" t="str">
        <f>VLOOKUP($A268,'Выгр Кат'!$A:$S,E$1,0)</f>
        <v>1</v>
      </c>
      <c r="F268" s="132" t="str">
        <f>VLOOKUP($A268,'Выгр Кат'!$A:$S,F$1,0)</f>
        <v>6001547819Р</v>
      </c>
      <c r="G268" s="45" t="s">
        <v>581</v>
      </c>
      <c r="H268" s="29"/>
      <c r="I268" s="4" t="s">
        <v>2</v>
      </c>
      <c r="J268" s="95">
        <v>1</v>
      </c>
      <c r="K268" s="168">
        <f t="shared" si="159"/>
        <v>165</v>
      </c>
      <c r="L268" s="167">
        <f>VLOOKUP(K268,Наценка!$A$1:$B$8,2,1)</f>
        <v>1.7204301075268817</v>
      </c>
      <c r="M268" s="147">
        <f t="shared" ref="M268:M269" si="165">W268*1.04</f>
        <v>279.76</v>
      </c>
      <c r="N268" s="173">
        <f t="shared" si="152"/>
        <v>279</v>
      </c>
      <c r="O268" s="134">
        <f>VLOOKUP($A268,'Выгр Кат'!$A:$S,O$1,0)</f>
        <v>165</v>
      </c>
      <c r="P268" s="134">
        <f>VLOOKUP($A268,'Выгр Кат'!$A:$S,P$1,0)</f>
        <v>279</v>
      </c>
      <c r="Q268" s="107">
        <f t="shared" si="153"/>
        <v>0</v>
      </c>
      <c r="R268" s="107">
        <f t="shared" si="154"/>
        <v>0</v>
      </c>
      <c r="S268" s="110">
        <f t="shared" si="155"/>
        <v>259.46999999999997</v>
      </c>
      <c r="T268" s="135">
        <f t="shared" si="156"/>
        <v>0.57254545454545447</v>
      </c>
      <c r="U268" s="135">
        <f t="shared" si="157"/>
        <v>3.5427509293680409E-2</v>
      </c>
      <c r="V268" s="135">
        <f t="shared" si="158"/>
        <v>0.63030303030303036</v>
      </c>
      <c r="W268" s="117">
        <f t="shared" si="163"/>
        <v>269</v>
      </c>
      <c r="X268" s="114">
        <f>IFERROR((VLOOKUP($A268,'ИЗ ГУГЛА'!$B:$G,X$1,0)+Z268)*Y268,VLOOKUP($A268,'ИЗ ГУГЛА'!$B:$G,X$1,0))</f>
        <v>269</v>
      </c>
      <c r="Y268" s="46">
        <v>1</v>
      </c>
      <c r="Z268" s="46"/>
      <c r="AA268" s="138">
        <v>269</v>
      </c>
      <c r="AB268" s="124" t="s">
        <v>2363</v>
      </c>
      <c r="AC268" s="114" t="str">
        <f>IFERROR((VLOOKUP($A268,'ИЗ ГУГЛА'!$B:$Z,AC$1,0)+AE268)*AD268,VLOOKUP($A268,'ИЗ ГУГЛА'!$B:$Z,AC$1,0))</f>
        <v/>
      </c>
      <c r="AD268" s="46">
        <v>1</v>
      </c>
      <c r="AE268" s="46"/>
      <c r="AF268" s="115"/>
    </row>
    <row r="269" spans="1:33" s="5" customFormat="1" ht="46.5" thickTop="1" thickBot="1" x14ac:dyDescent="0.3">
      <c r="A269" s="132">
        <v>186699</v>
      </c>
      <c r="B269" s="132">
        <f>VLOOKUP($A269,'Выгр Кат'!$A:$S,B$1,0)</f>
        <v>20412</v>
      </c>
      <c r="C269" s="133" t="str">
        <f>VLOOKUP($A269,'Выгр Кат'!$A:$S,C$1,0)</f>
        <v>Патрубок перепускной от термостата к тройнику "БРТ" средний для Лада Нива 4х4</v>
      </c>
      <c r="D269" s="132" t="str">
        <f>VLOOKUP($A269,'Выгр Кат'!$A:$S,D$1,0)</f>
        <v>Y</v>
      </c>
      <c r="E269" s="132" t="str">
        <f>VLOOKUP($A269,'Выгр Кат'!$A:$S,E$1,0)</f>
        <v>1</v>
      </c>
      <c r="F269" s="132" t="str">
        <f>VLOOKUP($A269,'Выгр Кат'!$A:$S,F$1,0)</f>
        <v>2121-1303090РП.</v>
      </c>
      <c r="G269" s="45" t="s">
        <v>442</v>
      </c>
      <c r="H269" s="29"/>
      <c r="I269" s="4" t="s">
        <v>2</v>
      </c>
      <c r="J269" s="95">
        <v>1</v>
      </c>
      <c r="K269" s="168">
        <f t="shared" si="159"/>
        <v>166</v>
      </c>
      <c r="L269" s="167">
        <f>VLOOKUP(K269,Наценка!$A$1:$B$8,2,1)</f>
        <v>1.7204301075268817</v>
      </c>
      <c r="M269" s="147">
        <f t="shared" si="165"/>
        <v>279.76</v>
      </c>
      <c r="N269" s="173">
        <f t="shared" si="152"/>
        <v>279</v>
      </c>
      <c r="O269" s="134">
        <f>VLOOKUP($A269,'Выгр Кат'!$A:$S,O$1,0)</f>
        <v>166</v>
      </c>
      <c r="P269" s="134">
        <f>VLOOKUP($A269,'Выгр Кат'!$A:$S,P$1,0)</f>
        <v>279</v>
      </c>
      <c r="Q269" s="107">
        <f t="shared" si="153"/>
        <v>0</v>
      </c>
      <c r="R269" s="107">
        <f t="shared" si="154"/>
        <v>0</v>
      </c>
      <c r="S269" s="110">
        <f t="shared" si="155"/>
        <v>259.46999999999997</v>
      </c>
      <c r="T269" s="135">
        <f t="shared" si="156"/>
        <v>0.56307228915662644</v>
      </c>
      <c r="U269" s="135">
        <f t="shared" si="157"/>
        <v>3.5427509293680409E-2</v>
      </c>
      <c r="V269" s="135">
        <f t="shared" si="158"/>
        <v>0.62048192771084332</v>
      </c>
      <c r="W269" s="117">
        <f t="shared" si="163"/>
        <v>269</v>
      </c>
      <c r="X269" s="114">
        <f>IFERROR((VLOOKUP($A269,'ИЗ ГУГЛА'!$B:$G,X$1,0)+Z269)*Y269,VLOOKUP($A269,'ИЗ ГУГЛА'!$B:$G,X$1,0))</f>
        <v>269</v>
      </c>
      <c r="Y269" s="108">
        <v>1</v>
      </c>
      <c r="Z269" s="46"/>
      <c r="AA269" s="136">
        <v>269</v>
      </c>
      <c r="AB269" s="124" t="s">
        <v>2677</v>
      </c>
      <c r="AC269" s="114" t="str">
        <f>IFERROR((VLOOKUP($A269,'ИЗ ГУГЛА'!$B:$Z,AC$1,0)+AE269)*AD269,VLOOKUP($A269,'ИЗ ГУГЛА'!$B:$Z,AC$1,0))</f>
        <v/>
      </c>
      <c r="AD269" s="108">
        <v>1</v>
      </c>
      <c r="AE269" s="46"/>
      <c r="AF269" s="115"/>
    </row>
    <row r="270" spans="1:33" s="5" customFormat="1" ht="45.75" thickTop="1" x14ac:dyDescent="0.25">
      <c r="A270" s="132">
        <v>202113</v>
      </c>
      <c r="B270" s="132">
        <f>VLOOKUP($A270,'Выгр Кат'!$A:$S,B$1,0)</f>
        <v>35251</v>
      </c>
      <c r="C270" s="133" t="str">
        <f>VLOOKUP($A270,'Выгр Кат'!$A:$S,C$1,0)</f>
        <v>Пыльник "БРТ" шарнира кулисы КПП ВАЗ-1118 для Лада Калина, Калина 2 Гранта</v>
      </c>
      <c r="D270" s="132" t="str">
        <f>VLOOKUP($A270,'Выгр Кат'!$A:$S,D$1,0)</f>
        <v>Y</v>
      </c>
      <c r="E270" s="132" t="str">
        <f>VLOOKUP($A270,'Выгр Кат'!$A:$S,E$1,0)</f>
        <v>1ск6</v>
      </c>
      <c r="F270" s="132" t="str">
        <f>VLOOKUP($A270,'Выгр Кат'!$A:$S,F$1,0)</f>
        <v>1118-1703182</v>
      </c>
      <c r="G270" s="44" t="s">
        <v>220</v>
      </c>
      <c r="H270" s="29"/>
      <c r="I270" s="4" t="s">
        <v>2</v>
      </c>
      <c r="J270" s="95">
        <v>1</v>
      </c>
      <c r="K270" s="168">
        <f t="shared" si="159"/>
        <v>160</v>
      </c>
      <c r="L270" s="167">
        <f>VLOOKUP(K270,Наценка!$A$1:$B$8,2,1)</f>
        <v>1.7204301075268817</v>
      </c>
      <c r="M270" s="172">
        <f t="shared" si="162"/>
        <v>275.26881720430106</v>
      </c>
      <c r="N270" s="173">
        <f t="shared" si="152"/>
        <v>279</v>
      </c>
      <c r="O270" s="134">
        <f>VLOOKUP($A270,'Выгр Кат'!$A:$S,O$1,0)</f>
        <v>160</v>
      </c>
      <c r="P270" s="134">
        <f>VLOOKUP($A270,'Выгр Кат'!$A:$S,P$1,0)</f>
        <v>279</v>
      </c>
      <c r="Q270" s="107">
        <f t="shared" si="153"/>
        <v>0</v>
      </c>
      <c r="R270" s="107">
        <f t="shared" si="154"/>
        <v>0</v>
      </c>
      <c r="S270" s="110">
        <f t="shared" si="155"/>
        <v>259.46999999999997</v>
      </c>
      <c r="T270" s="135">
        <f t="shared" si="156"/>
        <v>0.62168749999999973</v>
      </c>
      <c r="U270" s="135">
        <f t="shared" si="157"/>
        <v>-0.74140939597315414</v>
      </c>
      <c r="V270" s="135">
        <f t="shared" si="158"/>
        <v>-6.8749999999999978E-2</v>
      </c>
      <c r="W270" s="117">
        <f t="shared" si="163"/>
        <v>149</v>
      </c>
      <c r="X270" s="114">
        <f>IFERROR((VLOOKUP($A270,'ИЗ ГУГЛА'!$B:$G,X$1,0)+Z270)*Y270,VLOOKUP($A270,'ИЗ ГУГЛА'!$B:$G,X$1,0))</f>
        <v>149</v>
      </c>
      <c r="Y270" s="108">
        <v>1</v>
      </c>
      <c r="Z270" s="46"/>
      <c r="AA270" s="139">
        <v>149</v>
      </c>
      <c r="AB270" s="124" t="s">
        <v>2951</v>
      </c>
      <c r="AC270" s="114" t="str">
        <f>IFERROR((VLOOKUP($A270,'ИЗ ГУГЛА'!$B:$Z,AC$1,0)+AE270)*AD270,VLOOKUP($A270,'ИЗ ГУГЛА'!$B:$Z,AC$1,0))</f>
        <v/>
      </c>
      <c r="AD270" s="108">
        <v>1</v>
      </c>
      <c r="AE270" s="46"/>
      <c r="AF270" s="115"/>
    </row>
    <row r="271" spans="1:33" s="5" customFormat="1" ht="30.75" thickBot="1" x14ac:dyDescent="0.3">
      <c r="A271" s="132">
        <v>225959</v>
      </c>
      <c r="B271" s="132">
        <f>VLOOKUP($A271,'Выгр Кат'!$A:$S,B$1,0)</f>
        <v>20341</v>
      </c>
      <c r="C271" s="133" t="str">
        <f>VLOOKUP($A271,'Выгр Кат'!$A:$S,C$1,0)</f>
        <v>Шланг гидротормозной передний в сборе "БРТ" для Лада Ларгус</v>
      </c>
      <c r="D271" s="132" t="str">
        <f>VLOOKUP($A271,'Выгр Кат'!$A:$S,D$1,0)</f>
        <v>Y</v>
      </c>
      <c r="E271" s="132" t="str">
        <f>VLOOKUP($A271,'Выгр Кат'!$A:$S,E$1,0)</f>
        <v>1</v>
      </c>
      <c r="F271" s="132" t="str">
        <f>VLOOKUP($A271,'Выгр Кат'!$A:$S,F$1,0)</f>
        <v>8200958352Р.</v>
      </c>
      <c r="G271" s="141" t="s">
        <v>581</v>
      </c>
      <c r="H271" s="29"/>
      <c r="I271" s="4" t="s">
        <v>2</v>
      </c>
      <c r="J271" s="95">
        <v>1</v>
      </c>
      <c r="K271" s="168">
        <f t="shared" si="159"/>
        <v>165</v>
      </c>
      <c r="L271" s="167">
        <f>VLOOKUP(K271,Наценка!$A$1:$B$8,2,1)</f>
        <v>1.7204301075268817</v>
      </c>
      <c r="M271" s="147">
        <f>W271*1.04</f>
        <v>279.76</v>
      </c>
      <c r="N271" s="173">
        <f t="shared" si="152"/>
        <v>279</v>
      </c>
      <c r="O271" s="134">
        <f>VLOOKUP($A271,'Выгр Кат'!$A:$S,O$1,0)</f>
        <v>165</v>
      </c>
      <c r="P271" s="134">
        <f>VLOOKUP($A271,'Выгр Кат'!$A:$S,P$1,0)</f>
        <v>279</v>
      </c>
      <c r="Q271" s="107">
        <f t="shared" si="153"/>
        <v>0</v>
      </c>
      <c r="R271" s="107">
        <f t="shared" si="154"/>
        <v>0</v>
      </c>
      <c r="S271" s="110">
        <f t="shared" si="155"/>
        <v>259.46999999999997</v>
      </c>
      <c r="T271" s="135">
        <f t="shared" si="156"/>
        <v>0.57254545454545447</v>
      </c>
      <c r="U271" s="135">
        <f t="shared" si="157"/>
        <v>3.5427509293680409E-2</v>
      </c>
      <c r="V271" s="135">
        <f t="shared" si="158"/>
        <v>0.63030303030303036</v>
      </c>
      <c r="W271" s="117">
        <f t="shared" si="163"/>
        <v>269</v>
      </c>
      <c r="X271" s="114">
        <f>IFERROR((VLOOKUP($A271,'ИЗ ГУГЛА'!$B:$G,X$1,0)+Z271)*Y271,VLOOKUP($A271,'ИЗ ГУГЛА'!$B:$G,X$1,0))</f>
        <v>269</v>
      </c>
      <c r="Y271" s="46">
        <v>1</v>
      </c>
      <c r="Z271" s="46"/>
      <c r="AA271" s="138">
        <v>269</v>
      </c>
      <c r="AB271" s="124" t="s">
        <v>2363</v>
      </c>
      <c r="AC271" s="114" t="str">
        <f>IFERROR((VLOOKUP($A271,'ИЗ ГУГЛА'!$B:$Z,AC$1,0)+AE271)*AD271,VLOOKUP($A271,'ИЗ ГУГЛА'!$B:$Z,AC$1,0))</f>
        <v/>
      </c>
      <c r="AD271" s="46">
        <v>1</v>
      </c>
      <c r="AE271" s="46"/>
      <c r="AF271" s="115"/>
    </row>
    <row r="272" spans="1:33" s="5" customFormat="1" ht="31.5" thickTop="1" thickBot="1" x14ac:dyDescent="0.3">
      <c r="A272" s="132">
        <v>225956</v>
      </c>
      <c r="B272" s="132">
        <f>VLOOKUP($A272,'Выгр Кат'!$A:$S,B$1,0)</f>
        <v>20340</v>
      </c>
      <c r="C272" s="133" t="str">
        <f>VLOOKUP($A272,'Выгр Кат'!$A:$S,C$1,0)</f>
        <v>Шланг гидротормозной задний в сборе "БРТ" для Лада Ларгус</v>
      </c>
      <c r="D272" s="132" t="str">
        <f>VLOOKUP($A272,'Выгр Кат'!$A:$S,D$1,0)</f>
        <v>Y</v>
      </c>
      <c r="E272" s="132" t="str">
        <f>VLOOKUP($A272,'Выгр Кат'!$A:$S,E$1,0)</f>
        <v>1</v>
      </c>
      <c r="F272" s="132" t="str">
        <f>VLOOKUP($A272,'Выгр Кат'!$A:$S,F$1,0)</f>
        <v>8200778634Р.</v>
      </c>
      <c r="G272" s="141" t="s">
        <v>582</v>
      </c>
      <c r="H272" s="29"/>
      <c r="I272" s="4" t="s">
        <v>2</v>
      </c>
      <c r="J272" s="95">
        <v>1</v>
      </c>
      <c r="K272" s="168">
        <f t="shared" si="159"/>
        <v>166</v>
      </c>
      <c r="L272" s="167">
        <f>VLOOKUP(K272,Наценка!$A$1:$B$8,2,1)</f>
        <v>1.7204301075268817</v>
      </c>
      <c r="M272" s="172">
        <f t="shared" si="162"/>
        <v>285.5913978494624</v>
      </c>
      <c r="N272" s="173">
        <f t="shared" si="152"/>
        <v>289</v>
      </c>
      <c r="O272" s="134">
        <f>VLOOKUP($A272,'Выгр Кат'!$A:$S,O$1,0)</f>
        <v>166</v>
      </c>
      <c r="P272" s="134">
        <f>VLOOKUP($A272,'Выгр Кат'!$A:$S,P$1,0)</f>
        <v>289</v>
      </c>
      <c r="Q272" s="107">
        <f t="shared" si="153"/>
        <v>0</v>
      </c>
      <c r="R272" s="107">
        <f t="shared" si="154"/>
        <v>0</v>
      </c>
      <c r="S272" s="110">
        <f t="shared" si="155"/>
        <v>268.77</v>
      </c>
      <c r="T272" s="135">
        <f t="shared" si="156"/>
        <v>0.6190963855421685</v>
      </c>
      <c r="U272" s="135">
        <f t="shared" si="157"/>
        <v>-0.80382550335570457</v>
      </c>
      <c r="V272" s="135">
        <f t="shared" si="158"/>
        <v>-0.10240963855421692</v>
      </c>
      <c r="W272" s="117">
        <f t="shared" si="163"/>
        <v>149</v>
      </c>
      <c r="X272" s="114">
        <f>IFERROR((VLOOKUP($A272,'ИЗ ГУГЛА'!$B:$G,X$1,0)+Z272)*Y272,VLOOKUP($A272,'ИЗ ГУГЛА'!$B:$G,X$1,0))</f>
        <v>149</v>
      </c>
      <c r="Y272" s="46">
        <v>1</v>
      </c>
      <c r="Z272" s="46"/>
      <c r="AA272" s="138">
        <v>149</v>
      </c>
      <c r="AB272" s="124" t="s">
        <v>2362</v>
      </c>
      <c r="AC272" s="114" t="str">
        <f>IFERROR((VLOOKUP($A272,'ИЗ ГУГЛА'!$B:$Z,AC$1,0)+AE272)*AD272,VLOOKUP($A272,'ИЗ ГУГЛА'!$B:$Z,AC$1,0))</f>
        <v/>
      </c>
      <c r="AD272" s="46">
        <v>1</v>
      </c>
      <c r="AE272" s="46"/>
      <c r="AF272" s="115"/>
    </row>
    <row r="273" spans="1:33" s="5" customFormat="1" ht="30.75" thickTop="1" x14ac:dyDescent="0.25">
      <c r="A273" s="132">
        <v>225932</v>
      </c>
      <c r="B273" s="132">
        <f>VLOOKUP($A273,'Выгр Кат'!$A:$S,B$1,0)</f>
        <v>19846</v>
      </c>
      <c r="C273" s="133" t="str">
        <f>VLOOKUP($A273,'Выгр Кат'!$A:$S,C$1,0)</f>
        <v>Шланг (патрубок) радиатора "БРТ" верхний для Лада Ларгус</v>
      </c>
      <c r="D273" s="132" t="str">
        <f>VLOOKUP($A273,'Выгр Кат'!$A:$S,D$1,0)</f>
        <v>Y</v>
      </c>
      <c r="E273" s="132" t="str">
        <f>VLOOKUP($A273,'Выгр Кат'!$A:$S,E$1,0)</f>
        <v>1</v>
      </c>
      <c r="F273" s="132" t="str">
        <f>VLOOKUP($A273,'Выгр Кат'!$A:$S,F$1,0)</f>
        <v>6001547048Р</v>
      </c>
      <c r="G273" s="45" t="s">
        <v>1821</v>
      </c>
      <c r="H273" s="29" t="s">
        <v>1821</v>
      </c>
      <c r="I273" s="4" t="s">
        <v>2</v>
      </c>
      <c r="J273" s="95">
        <v>1</v>
      </c>
      <c r="K273" s="168">
        <f t="shared" si="159"/>
        <v>255</v>
      </c>
      <c r="L273" s="167">
        <f>VLOOKUP(K273,Наценка!$A$1:$B$8,2,1)</f>
        <v>1.7204301075268817</v>
      </c>
      <c r="M273" s="172">
        <f t="shared" si="162"/>
        <v>438.70967741935482</v>
      </c>
      <c r="N273" s="173">
        <f t="shared" si="152"/>
        <v>439</v>
      </c>
      <c r="O273" s="134">
        <f>VLOOKUP($A273,'Выгр Кат'!$A:$S,O$1,0)</f>
        <v>255</v>
      </c>
      <c r="P273" s="134">
        <f>VLOOKUP($A273,'Выгр Кат'!$A:$S,P$1,0)</f>
        <v>439</v>
      </c>
      <c r="Q273" s="107">
        <f t="shared" si="153"/>
        <v>0</v>
      </c>
      <c r="R273" s="107">
        <f t="shared" si="154"/>
        <v>0</v>
      </c>
      <c r="S273" s="110">
        <f t="shared" si="155"/>
        <v>408.27</v>
      </c>
      <c r="T273" s="135">
        <f t="shared" si="156"/>
        <v>0.60105882352941165</v>
      </c>
      <c r="U273" s="135">
        <f t="shared" si="157"/>
        <v>-0.63963855421686744</v>
      </c>
      <c r="V273" s="135">
        <f t="shared" si="158"/>
        <v>-2.352941176470591E-2</v>
      </c>
      <c r="W273" s="117">
        <f t="shared" si="163"/>
        <v>249</v>
      </c>
      <c r="X273" s="114">
        <f>IFERROR((VLOOKUP($A273,'ИЗ ГУГЛА'!$B:$G,X$1,0)+Z273)*Y273,VLOOKUP($A273,'ИЗ ГУГЛА'!$B:$G,X$1,0))</f>
        <v>249</v>
      </c>
      <c r="Y273" s="108">
        <v>1</v>
      </c>
      <c r="Z273" s="46"/>
      <c r="AA273" s="139">
        <v>249</v>
      </c>
      <c r="AB273" s="124" t="s">
        <v>2950</v>
      </c>
      <c r="AC273" s="114" t="str">
        <f>IFERROR((VLOOKUP($A273,'ИЗ ГУГЛА'!$B:$Z,AC$1,0)+AE273)*AD273,VLOOKUP($A273,'ИЗ ГУГЛА'!$B:$Z,AC$1,0))</f>
        <v/>
      </c>
      <c r="AD273" s="108">
        <v>1</v>
      </c>
      <c r="AE273" s="46"/>
      <c r="AF273" s="115"/>
    </row>
    <row r="274" spans="1:33" s="5" customFormat="1" ht="45.75" thickBot="1" x14ac:dyDescent="0.3">
      <c r="A274" s="132">
        <v>186561</v>
      </c>
      <c r="B274" s="132">
        <f>VLOOKUP($A274,'Выгр Кат'!$A:$S,B$1,0)</f>
        <v>35572</v>
      </c>
      <c r="C274" s="133" t="str">
        <f>VLOOKUP($A274,'Выгр Кат'!$A:$S,C$1,0)</f>
        <v>Патрубок "БРТ" отопителя отводящий, нижний для Лада Гранта, Калина 2</v>
      </c>
      <c r="D274" s="132" t="str">
        <f>VLOOKUP($A274,'Выгр Кат'!$A:$S,D$1,0)</f>
        <v>Y</v>
      </c>
      <c r="E274" s="132" t="str">
        <f>VLOOKUP($A274,'Выгр Кат'!$A:$S,E$1,0)</f>
        <v>1</v>
      </c>
      <c r="F274" s="132" t="str">
        <f>VLOOKUP($A274,'Выгр Кат'!$A:$S,F$1,0)</f>
        <v>2190-8101204Р</v>
      </c>
      <c r="G274" s="44" t="s">
        <v>537</v>
      </c>
      <c r="H274" s="29"/>
      <c r="I274" s="4" t="s">
        <v>2</v>
      </c>
      <c r="J274" s="95">
        <v>1</v>
      </c>
      <c r="K274" s="168">
        <f t="shared" si="159"/>
        <v>172</v>
      </c>
      <c r="L274" s="167">
        <f>VLOOKUP(K274,Наценка!$A$1:$B$8,2,1)</f>
        <v>1.7204301075268817</v>
      </c>
      <c r="M274" s="148">
        <f>W274*1.05</f>
        <v>409.5</v>
      </c>
      <c r="N274" s="173">
        <f t="shared" si="152"/>
        <v>409</v>
      </c>
      <c r="O274" s="134">
        <f>VLOOKUP($A274,'Выгр Кат'!$A:$S,O$1,0)</f>
        <v>172</v>
      </c>
      <c r="P274" s="134">
        <f>VLOOKUP($A274,'Выгр Кат'!$A:$S,P$1,0)</f>
        <v>409</v>
      </c>
      <c r="Q274" s="107">
        <f t="shared" si="153"/>
        <v>0</v>
      </c>
      <c r="R274" s="107">
        <f t="shared" si="154"/>
        <v>0</v>
      </c>
      <c r="S274" s="110">
        <f t="shared" si="155"/>
        <v>380.36999999999995</v>
      </c>
      <c r="T274" s="135">
        <f t="shared" si="156"/>
        <v>1.2114534883720927</v>
      </c>
      <c r="U274" s="135">
        <f t="shared" si="157"/>
        <v>2.4692307692307826E-2</v>
      </c>
      <c r="V274" s="135">
        <f t="shared" si="158"/>
        <v>1.2674418604651163</v>
      </c>
      <c r="W274" s="117">
        <f t="shared" si="163"/>
        <v>390</v>
      </c>
      <c r="X274" s="114">
        <f>IFERROR((VLOOKUP($A274,'ИЗ ГУГЛА'!$B:$G,X$1,0)+Z274)*Y274,VLOOKUP($A274,'ИЗ ГУГЛА'!$B:$G,X$1,0))</f>
        <v>390</v>
      </c>
      <c r="Y274" s="108">
        <v>1</v>
      </c>
      <c r="Z274" s="46"/>
      <c r="AA274" s="136">
        <v>390</v>
      </c>
      <c r="AB274" s="124" t="s">
        <v>2671</v>
      </c>
      <c r="AC274" s="114" t="str">
        <f>IFERROR((VLOOKUP($A274,'ИЗ ГУГЛА'!$B:$Z,AC$1,0)+AE274)*AD274,VLOOKUP($A274,'ИЗ ГУГЛА'!$B:$Z,AC$1,0))</f>
        <v/>
      </c>
      <c r="AD274" s="108">
        <v>1</v>
      </c>
      <c r="AE274" s="46"/>
      <c r="AF274" s="115"/>
    </row>
    <row r="275" spans="1:33" s="5" customFormat="1" ht="30.75" thickTop="1" x14ac:dyDescent="0.25">
      <c r="A275" s="132">
        <v>186761</v>
      </c>
      <c r="B275" s="132">
        <f>VLOOKUP($A275,'Выгр Кат'!$A:$S,B$1,0)</f>
        <v>20482</v>
      </c>
      <c r="C275" s="133" t="str">
        <f>VLOOKUP($A275,'Выгр Кат'!$A:$S,C$1,0)</f>
        <v>Патрубок расширительного бачка к термостату "БРТ" для Лада Приора</v>
      </c>
      <c r="D275" s="132" t="str">
        <f>VLOOKUP($A275,'Выгр Кат'!$A:$S,D$1,0)</f>
        <v>Y</v>
      </c>
      <c r="E275" s="132" t="str">
        <f>VLOOKUP($A275,'Выгр Кат'!$A:$S,E$1,0)</f>
        <v>1</v>
      </c>
      <c r="F275" s="132" t="str">
        <f>VLOOKUP($A275,'Выгр Кат'!$A:$S,F$1,0)</f>
        <v>2170-1303080РП.</v>
      </c>
      <c r="G275" s="45" t="s">
        <v>521</v>
      </c>
      <c r="H275" s="29"/>
      <c r="I275" s="4" t="s">
        <v>2</v>
      </c>
      <c r="J275" s="95">
        <v>1</v>
      </c>
      <c r="K275" s="168">
        <f t="shared" si="159"/>
        <v>172</v>
      </c>
      <c r="L275" s="167">
        <f>VLOOKUP(K275,Наценка!$A$1:$B$8,2,1)</f>
        <v>1.7204301075268817</v>
      </c>
      <c r="M275" s="172">
        <f t="shared" si="162"/>
        <v>295.91397849462368</v>
      </c>
      <c r="N275" s="173">
        <f t="shared" si="152"/>
        <v>299</v>
      </c>
      <c r="O275" s="134">
        <f>VLOOKUP($A275,'Выгр Кат'!$A:$S,O$1,0)</f>
        <v>172</v>
      </c>
      <c r="P275" s="134">
        <f>VLOOKUP($A275,'Выгр Кат'!$A:$S,P$1,0)</f>
        <v>299</v>
      </c>
      <c r="Q275" s="107">
        <f t="shared" si="153"/>
        <v>0</v>
      </c>
      <c r="R275" s="107">
        <f t="shared" si="154"/>
        <v>0</v>
      </c>
      <c r="S275" s="110">
        <f t="shared" si="155"/>
        <v>278.07</v>
      </c>
      <c r="T275" s="135">
        <f t="shared" si="156"/>
        <v>0.61668604651162795</v>
      </c>
      <c r="U275" s="135">
        <f t="shared" si="157"/>
        <v>-0.46352631578947368</v>
      </c>
      <c r="V275" s="135">
        <f t="shared" si="158"/>
        <v>0.10465116279069764</v>
      </c>
      <c r="W275" s="117">
        <f t="shared" si="163"/>
        <v>190</v>
      </c>
      <c r="X275" s="114">
        <f>IFERROR((VLOOKUP($A275,'ИЗ ГУГЛА'!$B:$G,X$1,0)+Z275)*Y275,VLOOKUP($A275,'ИЗ ГУГЛА'!$B:$G,X$1,0))</f>
        <v>190</v>
      </c>
      <c r="Y275" s="108">
        <v>1</v>
      </c>
      <c r="Z275" s="46"/>
      <c r="AA275" s="139">
        <v>190</v>
      </c>
      <c r="AB275" s="124" t="s">
        <v>2565</v>
      </c>
      <c r="AC275" s="114">
        <f>IFERROR((VLOOKUP($A275,'ИЗ ГУГЛА'!$B:$Z,AC$1,0)+AE275)*AD275,VLOOKUP($A275,'ИЗ ГУГЛА'!$B:$Z,AC$1,0))</f>
        <v>270</v>
      </c>
      <c r="AD275" s="108">
        <v>1</v>
      </c>
      <c r="AE275" s="46"/>
      <c r="AF275" s="115">
        <v>270</v>
      </c>
      <c r="AG275" s="5" t="s">
        <v>2949</v>
      </c>
    </row>
    <row r="276" spans="1:33" s="5" customFormat="1" ht="30" x14ac:dyDescent="0.25">
      <c r="A276" s="132">
        <v>202088</v>
      </c>
      <c r="B276" s="132">
        <f>VLOOKUP($A276,'Выгр Кат'!$A:$S,B$1,0)</f>
        <v>35256</v>
      </c>
      <c r="C276" s="133" t="str">
        <f>VLOOKUP($A276,'Выгр Кат'!$A:$S,C$1,0)</f>
        <v>Пыльник ШРУСа "БРТ" внешний для Лада Нива 4х4, Шевроле Нива</v>
      </c>
      <c r="D276" s="132" t="str">
        <f>VLOOKUP($A276,'Выгр Кат'!$A:$S,D$1,0)</f>
        <v>Y</v>
      </c>
      <c r="E276" s="132" t="str">
        <f>VLOOKUP($A276,'Выгр Кат'!$A:$S,E$1,0)</f>
        <v>1</v>
      </c>
      <c r="F276" s="132" t="str">
        <f>VLOOKUP($A276,'Выгр Кат'!$A:$S,F$1,0)</f>
        <v>2121-2215030-01</v>
      </c>
      <c r="G276" s="44" t="s">
        <v>443</v>
      </c>
      <c r="H276" s="29"/>
      <c r="I276" s="4" t="s">
        <v>2</v>
      </c>
      <c r="J276" s="95">
        <v>1</v>
      </c>
      <c r="K276" s="168">
        <f t="shared" si="159"/>
        <v>166</v>
      </c>
      <c r="L276" s="167">
        <f>VLOOKUP(K276,Наценка!$A$1:$B$8,2,1)</f>
        <v>1.7204301075268817</v>
      </c>
      <c r="M276" s="151">
        <f>K276*1.2*100/93</f>
        <v>214.19354838709677</v>
      </c>
      <c r="N276" s="173">
        <f t="shared" si="152"/>
        <v>219</v>
      </c>
      <c r="O276" s="134">
        <f>VLOOKUP($A276,'Выгр Кат'!$A:$S,O$1,0)</f>
        <v>166</v>
      </c>
      <c r="P276" s="134">
        <f>VLOOKUP($A276,'Выгр Кат'!$A:$S,P$1,0)</f>
        <v>289</v>
      </c>
      <c r="Q276" s="107">
        <f t="shared" si="153"/>
        <v>0</v>
      </c>
      <c r="R276" s="107">
        <f t="shared" si="154"/>
        <v>70</v>
      </c>
      <c r="S276" s="110">
        <f t="shared" si="155"/>
        <v>203.67</v>
      </c>
      <c r="T276" s="135">
        <f t="shared" si="156"/>
        <v>0.22692771084337338</v>
      </c>
      <c r="U276" s="135">
        <f t="shared" si="157"/>
        <v>-2.3467336683417023E-2</v>
      </c>
      <c r="V276" s="135">
        <f t="shared" si="158"/>
        <v>0.1987951807228916</v>
      </c>
      <c r="W276" s="117">
        <f t="shared" si="163"/>
        <v>199</v>
      </c>
      <c r="X276" s="114">
        <f>IFERROR((VLOOKUP($A276,'ИЗ ГУГЛА'!$B:$G,X$1,0)+Z276)*Y276,VLOOKUP($A276,'ИЗ ГУГЛА'!$B:$G,X$1,0))</f>
        <v>199</v>
      </c>
      <c r="Y276" s="108">
        <v>1</v>
      </c>
      <c r="Z276" s="46"/>
      <c r="AA276" s="139">
        <v>199</v>
      </c>
      <c r="AB276" s="124" t="s">
        <v>2947</v>
      </c>
      <c r="AC276" s="114">
        <f>IFERROR((VLOOKUP($A276,'ИЗ ГУГЛА'!$B:$Z,AC$1,0)+AE276)*AD276,VLOOKUP($A276,'ИЗ ГУГЛА'!$B:$Z,AC$1,0))</f>
        <v>250</v>
      </c>
      <c r="AD276" s="108">
        <v>1</v>
      </c>
      <c r="AE276" s="46"/>
      <c r="AF276" s="115">
        <v>250</v>
      </c>
      <c r="AG276" s="5" t="s">
        <v>2948</v>
      </c>
    </row>
    <row r="277" spans="1:33" s="5" customFormat="1" ht="45.75" thickBot="1" x14ac:dyDescent="0.3">
      <c r="A277" s="132">
        <v>186842</v>
      </c>
      <c r="B277" s="132">
        <f>VLOOKUP($A277,'Выгр Кат'!$A:$S,B$1,0)</f>
        <v>19939</v>
      </c>
      <c r="C277" s="133" t="str">
        <f>VLOOKUP($A277,'Выгр Кат'!$A:$S,C$1,0)</f>
        <v>Патрубок соединительный термостата и водяного насоса "БРТ" для Лада Калина</v>
      </c>
      <c r="D277" s="132" t="str">
        <f>VLOOKUP($A277,'Выгр Кат'!$A:$S,D$1,0)</f>
        <v>Y</v>
      </c>
      <c r="E277" s="132" t="str">
        <f>VLOOKUP($A277,'Выгр Кат'!$A:$S,E$1,0)</f>
        <v>1</v>
      </c>
      <c r="F277" s="132" t="str">
        <f>VLOOKUP($A277,'Выгр Кат'!$A:$S,F$1,0)</f>
        <v>1119-1303093РП</v>
      </c>
      <c r="G277" s="43" t="s">
        <v>217</v>
      </c>
      <c r="H277" s="29"/>
      <c r="I277" s="4" t="s">
        <v>2</v>
      </c>
      <c r="J277" s="95">
        <v>1</v>
      </c>
      <c r="K277" s="168">
        <f t="shared" si="159"/>
        <v>173</v>
      </c>
      <c r="L277" s="167">
        <f>VLOOKUP(K277,Наценка!$A$1:$B$8,2,1)</f>
        <v>1.7204301075268817</v>
      </c>
      <c r="M277" s="172">
        <f t="shared" si="162"/>
        <v>297.63440860215053</v>
      </c>
      <c r="N277" s="173">
        <f t="shared" si="152"/>
        <v>299</v>
      </c>
      <c r="O277" s="134">
        <f>VLOOKUP($A277,'Выгр Кат'!$A:$S,O$1,0)</f>
        <v>173</v>
      </c>
      <c r="P277" s="134">
        <f>VLOOKUP($A277,'Выгр Кат'!$A:$S,P$1,0)</f>
        <v>299</v>
      </c>
      <c r="Q277" s="107">
        <f t="shared" si="153"/>
        <v>0</v>
      </c>
      <c r="R277" s="107">
        <f t="shared" si="154"/>
        <v>0</v>
      </c>
      <c r="S277" s="110">
        <f t="shared" si="155"/>
        <v>278.07</v>
      </c>
      <c r="T277" s="135">
        <f t="shared" si="156"/>
        <v>0.60734104046242776</v>
      </c>
      <c r="U277" s="135" t="str">
        <f t="shared" si="157"/>
        <v/>
      </c>
      <c r="V277" s="135" t="str">
        <f t="shared" si="158"/>
        <v/>
      </c>
      <c r="W277" s="45"/>
      <c r="X277" s="114" t="str">
        <f>IFERROR((VLOOKUP($A277,'ИЗ ГУГЛА'!$B:$G,X$1,0)+Z277)*Y277,VLOOKUP($A277,'ИЗ ГУГЛА'!$B:$G,X$1,0))</f>
        <v/>
      </c>
      <c r="Y277" s="108">
        <v>1</v>
      </c>
      <c r="Z277" s="46"/>
      <c r="AA277" s="140" t="s">
        <v>1821</v>
      </c>
      <c r="AB277" s="129"/>
      <c r="AC277" s="114" t="str">
        <f>IFERROR((VLOOKUP($A277,'ИЗ ГУГЛА'!$B:$Z,AC$1,0)+AE277)*AD277,VLOOKUP($A277,'ИЗ ГУГЛА'!$B:$Z,AC$1,0))</f>
        <v/>
      </c>
      <c r="AD277" s="108">
        <v>1</v>
      </c>
      <c r="AE277" s="46"/>
      <c r="AF277" s="115"/>
    </row>
    <row r="278" spans="1:33" s="5" customFormat="1" ht="61.5" thickTop="1" thickBot="1" x14ac:dyDescent="0.3">
      <c r="A278" s="132">
        <v>186848</v>
      </c>
      <c r="B278" s="132">
        <f>VLOOKUP($A278,'Выгр Кат'!$A:$S,B$1,0)</f>
        <v>19931</v>
      </c>
      <c r="C278" s="133" t="str">
        <f>VLOOKUP($A278,'Выгр Кат'!$A:$S,C$1,0)</f>
        <v>Патрубок соединительный термостата и подводящей трубы водяного насоса (угол) "БРТ" для Лада Калина</v>
      </c>
      <c r="D278" s="132" t="str">
        <f>VLOOKUP($A278,'Выгр Кат'!$A:$S,D$1,0)</f>
        <v>Y</v>
      </c>
      <c r="E278" s="132" t="str">
        <f>VLOOKUP($A278,'Выгр Кат'!$A:$S,E$1,0)</f>
        <v>1</v>
      </c>
      <c r="F278" s="132" t="str">
        <f>VLOOKUP($A278,'Выгр Кат'!$A:$S,F$1,0)</f>
        <v>1118-1303093РП</v>
      </c>
      <c r="G278" s="43" t="s">
        <v>217</v>
      </c>
      <c r="H278" s="29"/>
      <c r="I278" s="4" t="s">
        <v>2</v>
      </c>
      <c r="J278" s="95">
        <v>1</v>
      </c>
      <c r="K278" s="168">
        <f t="shared" si="159"/>
        <v>173</v>
      </c>
      <c r="L278" s="167">
        <f>VLOOKUP(K278,Наценка!$A$1:$B$8,2,1)</f>
        <v>1.7204301075268817</v>
      </c>
      <c r="M278" s="172">
        <f t="shared" si="162"/>
        <v>297.63440860215053</v>
      </c>
      <c r="N278" s="173">
        <f t="shared" si="152"/>
        <v>299</v>
      </c>
      <c r="O278" s="134">
        <f>VLOOKUP($A278,'Выгр Кат'!$A:$S,O$1,0)</f>
        <v>173</v>
      </c>
      <c r="P278" s="134">
        <f>VLOOKUP($A278,'Выгр Кат'!$A:$S,P$1,0)</f>
        <v>299</v>
      </c>
      <c r="Q278" s="107">
        <f t="shared" si="153"/>
        <v>0</v>
      </c>
      <c r="R278" s="107">
        <f t="shared" si="154"/>
        <v>0</v>
      </c>
      <c r="S278" s="110">
        <f t="shared" si="155"/>
        <v>278.07</v>
      </c>
      <c r="T278" s="135">
        <f t="shared" si="156"/>
        <v>0.60734104046242776</v>
      </c>
      <c r="U278" s="135" t="str">
        <f t="shared" si="157"/>
        <v/>
      </c>
      <c r="V278" s="135" t="str">
        <f t="shared" si="158"/>
        <v/>
      </c>
      <c r="W278" s="45"/>
      <c r="X278" s="114" t="str">
        <f>IFERROR((VLOOKUP($A278,'ИЗ ГУГЛА'!$B:$G,X$1,0)+Z278)*Y278,VLOOKUP($A278,'ИЗ ГУГЛА'!$B:$G,X$1,0))</f>
        <v/>
      </c>
      <c r="Y278" s="108">
        <v>1</v>
      </c>
      <c r="Z278" s="46"/>
      <c r="AA278" s="140" t="s">
        <v>1821</v>
      </c>
      <c r="AB278" s="129"/>
      <c r="AC278" s="114" t="str">
        <f>IFERROR((VLOOKUP($A278,'ИЗ ГУГЛА'!$B:$Z,AC$1,0)+AE278)*AD278,VLOOKUP($A278,'ИЗ ГУГЛА'!$B:$Z,AC$1,0))</f>
        <v/>
      </c>
      <c r="AD278" s="108">
        <v>1</v>
      </c>
      <c r="AE278" s="46"/>
      <c r="AF278" s="115"/>
    </row>
    <row r="279" spans="1:33" s="5" customFormat="1" ht="31.5" thickTop="1" thickBot="1" x14ac:dyDescent="0.3">
      <c r="A279" s="132">
        <v>185273</v>
      </c>
      <c r="B279" s="132">
        <f>VLOOKUP($A279,'Выгр Кат'!$A:$S,B$1,0)</f>
        <v>16929</v>
      </c>
      <c r="C279" s="133" t="str">
        <f>VLOOKUP($A279,'Выгр Кат'!$A:$S,C$1,0)</f>
        <v>Оригинальный патрубок термостата "БРТ" для Лада Калина</v>
      </c>
      <c r="D279" s="132" t="str">
        <f>VLOOKUP($A279,'Выгр Кат'!$A:$S,D$1,0)</f>
        <v>Y</v>
      </c>
      <c r="E279" s="132" t="str">
        <f>VLOOKUP($A279,'Выгр Кат'!$A:$S,E$1,0)</f>
        <v>1</v>
      </c>
      <c r="F279" s="132" t="str">
        <f>VLOOKUP($A279,'Выгр Кат'!$A:$S,F$1,0)</f>
        <v>111801303093</v>
      </c>
      <c r="G279" s="35" t="s">
        <v>217</v>
      </c>
      <c r="H279" s="29"/>
      <c r="I279" s="4" t="s">
        <v>2</v>
      </c>
      <c r="J279" s="95">
        <v>1</v>
      </c>
      <c r="K279" s="168">
        <f t="shared" si="159"/>
        <v>173</v>
      </c>
      <c r="L279" s="167">
        <f>VLOOKUP(K279,Наценка!$A$1:$B$8,2,1)</f>
        <v>1.7204301075268817</v>
      </c>
      <c r="M279" s="172">
        <f t="shared" si="162"/>
        <v>297.63440860215053</v>
      </c>
      <c r="N279" s="173">
        <f t="shared" si="152"/>
        <v>299</v>
      </c>
      <c r="O279" s="134">
        <f>VLOOKUP($A279,'Выгр Кат'!$A:$S,O$1,0)</f>
        <v>173</v>
      </c>
      <c r="P279" s="134">
        <f>VLOOKUP($A279,'Выгр Кат'!$A:$S,P$1,0)</f>
        <v>299</v>
      </c>
      <c r="Q279" s="107">
        <f t="shared" si="153"/>
        <v>0</v>
      </c>
      <c r="R279" s="107">
        <f t="shared" si="154"/>
        <v>0</v>
      </c>
      <c r="S279" s="110">
        <f t="shared" si="155"/>
        <v>278.07</v>
      </c>
      <c r="T279" s="135">
        <f t="shared" si="156"/>
        <v>0.60734104046242776</v>
      </c>
      <c r="U279" s="135" t="str">
        <f t="shared" si="157"/>
        <v/>
      </c>
      <c r="V279" s="135" t="str">
        <f t="shared" si="158"/>
        <v/>
      </c>
      <c r="W279" s="45"/>
      <c r="X279" s="114" t="str">
        <f>IFERROR((VLOOKUP($A279,'ИЗ ГУГЛА'!$B:$G,X$1,0)+Z279)*Y279,VLOOKUP($A279,'ИЗ ГУГЛА'!$B:$G,X$1,0))</f>
        <v/>
      </c>
      <c r="Y279" s="108">
        <v>1</v>
      </c>
      <c r="Z279" s="46"/>
      <c r="AA279" s="140" t="s">
        <v>1821</v>
      </c>
      <c r="AB279" s="129"/>
      <c r="AC279" s="114" t="str">
        <f>IFERROR((VLOOKUP($A279,'ИЗ ГУГЛА'!$B:$Z,AC$1,0)+AE279)*AD279,VLOOKUP($A279,'ИЗ ГУГЛА'!$B:$Z,AC$1,0))</f>
        <v/>
      </c>
      <c r="AD279" s="108">
        <v>1</v>
      </c>
      <c r="AE279" s="46"/>
      <c r="AF279" s="115"/>
    </row>
    <row r="280" spans="1:33" s="5" customFormat="1" ht="60.75" thickTop="1" x14ac:dyDescent="0.25">
      <c r="A280" s="132">
        <v>194566</v>
      </c>
      <c r="B280" s="132">
        <f>VLOOKUP($A280,'Выгр Кат'!$A:$S,B$1,0)</f>
        <v>35412</v>
      </c>
      <c r="C280" s="133" t="str">
        <f>VLOOKUP($A280,'Выгр Кат'!$A:$S,C$1,0)</f>
        <v>Подушка "БРТ" крепления глушителя для ВАЗ 2110-2112, Лада (Калина, Калина 2, Гранта, Приора, Нива 4х4), Шевроле Нива</v>
      </c>
      <c r="D280" s="132" t="str">
        <f>VLOOKUP($A280,'Выгр Кат'!$A:$S,D$1,0)</f>
        <v>Y</v>
      </c>
      <c r="E280" s="132" t="str">
        <f>VLOOKUP($A280,'Выгр Кат'!$A:$S,E$1,0)</f>
        <v>1</v>
      </c>
      <c r="F280" s="132" t="str">
        <f>VLOOKUP($A280,'Выгр Кат'!$A:$S,F$1,0)</f>
        <v>21213-1203073</v>
      </c>
      <c r="G280" s="44" t="s">
        <v>462</v>
      </c>
      <c r="H280" s="29"/>
      <c r="I280" s="4" t="s">
        <v>2</v>
      </c>
      <c r="J280" s="95">
        <v>1</v>
      </c>
      <c r="K280" s="168">
        <f t="shared" si="159"/>
        <v>174</v>
      </c>
      <c r="L280" s="167">
        <f>VLOOKUP(K280,Наценка!$A$1:$B$8,2,1)</f>
        <v>1.7204301075268817</v>
      </c>
      <c r="M280" s="172">
        <f t="shared" si="162"/>
        <v>299.35483870967744</v>
      </c>
      <c r="N280" s="173">
        <f t="shared" si="152"/>
        <v>299</v>
      </c>
      <c r="O280" s="134">
        <f>VLOOKUP($A280,'Выгр Кат'!$A:$S,O$1,0)</f>
        <v>174</v>
      </c>
      <c r="P280" s="134">
        <f>VLOOKUP($A280,'Выгр Кат'!$A:$S,P$1,0)</f>
        <v>299</v>
      </c>
      <c r="Q280" s="107">
        <f t="shared" si="153"/>
        <v>0</v>
      </c>
      <c r="R280" s="107">
        <f t="shared" si="154"/>
        <v>0</v>
      </c>
      <c r="S280" s="110">
        <f t="shared" si="155"/>
        <v>278.07</v>
      </c>
      <c r="T280" s="135">
        <f t="shared" si="156"/>
        <v>0.59810344827586204</v>
      </c>
      <c r="U280" s="135">
        <f t="shared" si="157"/>
        <v>-0.86624161073825501</v>
      </c>
      <c r="V280" s="135">
        <f t="shared" si="158"/>
        <v>-0.14367816091954022</v>
      </c>
      <c r="W280" s="117">
        <f>AA280</f>
        <v>149</v>
      </c>
      <c r="X280" s="114">
        <f>IFERROR((VLOOKUP($A280,'ИЗ ГУГЛА'!$B:$G,X$1,0)+Z280)*Y280,VLOOKUP($A280,'ИЗ ГУГЛА'!$B:$G,X$1,0))</f>
        <v>149</v>
      </c>
      <c r="Y280" s="108">
        <v>1</v>
      </c>
      <c r="Z280" s="46"/>
      <c r="AA280" s="139">
        <v>149</v>
      </c>
      <c r="AB280" s="124" t="s">
        <v>2945</v>
      </c>
      <c r="AC280" s="114">
        <f>IFERROR((VLOOKUP($A280,'ИЗ ГУГЛА'!$B:$Z,AC$1,0)+AE280)*AD280,VLOOKUP($A280,'ИЗ ГУГЛА'!$B:$Z,AC$1,0))</f>
        <v>280</v>
      </c>
      <c r="AD280" s="108">
        <v>1</v>
      </c>
      <c r="AE280" s="46"/>
      <c r="AF280" s="115">
        <v>280</v>
      </c>
      <c r="AG280" s="5" t="s">
        <v>2946</v>
      </c>
    </row>
    <row r="281" spans="1:33" s="5" customFormat="1" ht="30" x14ac:dyDescent="0.25">
      <c r="A281" s="132">
        <v>204212</v>
      </c>
      <c r="B281" s="132">
        <f>VLOOKUP($A281,'Выгр Кат'!$A:$S,B$1,0)</f>
        <v>20351</v>
      </c>
      <c r="C281" s="133" t="str">
        <f>VLOOKUP($A281,'Выгр Кат'!$A:$S,C$1,0)</f>
        <v>Ремень генератора клиновой "БРТ" для Лада Ока</v>
      </c>
      <c r="D281" s="132" t="str">
        <f>VLOOKUP($A281,'Выгр Кат'!$A:$S,D$1,0)</f>
        <v>Y</v>
      </c>
      <c r="E281" s="132" t="str">
        <f>VLOOKUP($A281,'Выгр Кат'!$A:$S,E$1,0)</f>
        <v>1</v>
      </c>
      <c r="F281" s="132" t="str">
        <f>VLOOKUP($A281,'Выгр Кат'!$A:$S,F$1,0)</f>
        <v>1111-3701720РУ</v>
      </c>
      <c r="G281" s="45" t="s">
        <v>2010</v>
      </c>
      <c r="H281" s="29"/>
      <c r="I281" s="4" t="s">
        <v>2</v>
      </c>
      <c r="J281" s="95">
        <v>1</v>
      </c>
      <c r="K281" s="168">
        <f t="shared" si="159"/>
        <v>180</v>
      </c>
      <c r="L281" s="167">
        <f>VLOOKUP(K281,Наценка!$A$1:$B$8,2,1)</f>
        <v>1.7204301075268817</v>
      </c>
      <c r="M281" s="172">
        <f t="shared" si="162"/>
        <v>309.67741935483872</v>
      </c>
      <c r="N281" s="173">
        <f t="shared" si="152"/>
        <v>309</v>
      </c>
      <c r="O281" s="134">
        <f>VLOOKUP($A281,'Выгр Кат'!$A:$S,O$1,0)</f>
        <v>180</v>
      </c>
      <c r="P281" s="134">
        <f>VLOOKUP($A281,'Выгр Кат'!$A:$S,P$1,0)</f>
        <v>309</v>
      </c>
      <c r="Q281" s="107">
        <f t="shared" si="153"/>
        <v>0</v>
      </c>
      <c r="R281" s="107">
        <f t="shared" si="154"/>
        <v>0</v>
      </c>
      <c r="S281" s="110">
        <f t="shared" si="155"/>
        <v>287.37</v>
      </c>
      <c r="T281" s="135">
        <f t="shared" si="156"/>
        <v>0.59650000000000003</v>
      </c>
      <c r="U281" s="135" t="str">
        <f t="shared" si="157"/>
        <v/>
      </c>
      <c r="V281" s="135" t="str">
        <f t="shared" si="158"/>
        <v/>
      </c>
      <c r="W281" s="45"/>
      <c r="X281" s="114" t="str">
        <f>IFERROR((VLOOKUP($A281,'ИЗ ГУГЛА'!$B:$G,X$1,0)+Z281)*Y281,VLOOKUP($A281,'ИЗ ГУГЛА'!$B:$G,X$1,0))</f>
        <v/>
      </c>
      <c r="Y281" s="108">
        <v>1</v>
      </c>
      <c r="Z281" s="46"/>
      <c r="AA281" s="139" t="s">
        <v>1821</v>
      </c>
      <c r="AB281" s="124"/>
      <c r="AC281" s="114" t="str">
        <f>IFERROR((VLOOKUP($A281,'ИЗ ГУГЛА'!$B:$Z,AC$1,0)+AE281)*AD281,VLOOKUP($A281,'ИЗ ГУГЛА'!$B:$Z,AC$1,0))</f>
        <v/>
      </c>
      <c r="AD281" s="108">
        <v>1</v>
      </c>
      <c r="AE281" s="46"/>
      <c r="AF281" s="115"/>
    </row>
    <row r="282" spans="1:33" s="5" customFormat="1" ht="30.75" thickBot="1" x14ac:dyDescent="0.3">
      <c r="A282" s="132">
        <v>186558</v>
      </c>
      <c r="B282" s="132">
        <f>VLOOKUP($A282,'Выгр Кат'!$A:$S,B$1,0)</f>
        <v>35339</v>
      </c>
      <c r="C282" s="133" t="str">
        <f>VLOOKUP($A282,'Выгр Кат'!$A:$S,C$1,0)</f>
        <v>Патрубок "БРТ" отопителя (печки) отводящий, задний для ВАЗ 2113-2115</v>
      </c>
      <c r="D282" s="132" t="str">
        <f>VLOOKUP($A282,'Выгр Кат'!$A:$S,D$1,0)</f>
        <v>Y</v>
      </c>
      <c r="E282" s="132" t="str">
        <f>VLOOKUP($A282,'Выгр Кат'!$A:$S,E$1,0)</f>
        <v>1</v>
      </c>
      <c r="F282" s="132" t="str">
        <f>VLOOKUP($A282,'Выгр Кат'!$A:$S,F$1,0)</f>
        <v>2114-8101208</v>
      </c>
      <c r="G282" s="44" t="s">
        <v>435</v>
      </c>
      <c r="H282" s="29"/>
      <c r="I282" s="4" t="s">
        <v>2</v>
      </c>
      <c r="J282" s="95">
        <v>1</v>
      </c>
      <c r="K282" s="168">
        <f t="shared" si="159"/>
        <v>175</v>
      </c>
      <c r="L282" s="167">
        <f>VLOOKUP(K282,Наценка!$A$1:$B$8,2,1)</f>
        <v>1.7204301075268817</v>
      </c>
      <c r="M282" s="172">
        <f t="shared" si="162"/>
        <v>301.07526881720429</v>
      </c>
      <c r="N282" s="173">
        <f t="shared" si="152"/>
        <v>309</v>
      </c>
      <c r="O282" s="134">
        <f>VLOOKUP($A282,'Выгр Кат'!$A:$S,O$1,0)</f>
        <v>175</v>
      </c>
      <c r="P282" s="134">
        <f>VLOOKUP($A282,'Выгр Кат'!$A:$S,P$1,0)</f>
        <v>309</v>
      </c>
      <c r="Q282" s="107">
        <f t="shared" si="153"/>
        <v>0</v>
      </c>
      <c r="R282" s="107">
        <f t="shared" si="154"/>
        <v>0</v>
      </c>
      <c r="S282" s="110">
        <f t="shared" si="155"/>
        <v>287.37</v>
      </c>
      <c r="T282" s="135">
        <f t="shared" si="156"/>
        <v>0.64211428571428564</v>
      </c>
      <c r="U282" s="135" t="str">
        <f t="shared" si="157"/>
        <v/>
      </c>
      <c r="V282" s="135" t="str">
        <f t="shared" si="158"/>
        <v/>
      </c>
      <c r="W282" s="45"/>
      <c r="X282" s="114" t="str">
        <f>IFERROR((VLOOKUP($A282,'ИЗ ГУГЛА'!$B:$G,X$1,0)+Z282)*Y282,VLOOKUP($A282,'ИЗ ГУГЛА'!$B:$G,X$1,0))</f>
        <v/>
      </c>
      <c r="Y282" s="108">
        <v>1</v>
      </c>
      <c r="Z282" s="46"/>
      <c r="AA282" s="140" t="s">
        <v>1821</v>
      </c>
      <c r="AB282" s="129"/>
      <c r="AC282" s="114" t="str">
        <f>IFERROR((VLOOKUP($A282,'ИЗ ГУГЛА'!$B:$Z,AC$1,0)+AE282)*AD282,VLOOKUP($A282,'ИЗ ГУГЛА'!$B:$Z,AC$1,0))</f>
        <v/>
      </c>
      <c r="AD282" s="108">
        <v>1</v>
      </c>
      <c r="AE282" s="46"/>
      <c r="AF282" s="115"/>
    </row>
    <row r="283" spans="1:33" s="5" customFormat="1" ht="46.5" thickTop="1" thickBot="1" x14ac:dyDescent="0.3">
      <c r="A283" s="132">
        <v>186773</v>
      </c>
      <c r="B283" s="132">
        <f>VLOOKUP($A283,'Выгр Кат'!$A:$S,B$1,0)</f>
        <v>20400</v>
      </c>
      <c r="C283" s="133" t="str">
        <f>VLOOKUP($A283,'Выгр Кат'!$A:$S,C$1,0)</f>
        <v>Патрубок сапуна вытяжной вентиляции картера "БРТ" для Лада Нива 4х4</v>
      </c>
      <c r="D283" s="132" t="str">
        <f>VLOOKUP($A283,'Выгр Кат'!$A:$S,D$1,0)</f>
        <v>Y</v>
      </c>
      <c r="E283" s="132" t="str">
        <f>VLOOKUP($A283,'Выгр Кат'!$A:$S,E$1,0)</f>
        <v>1</v>
      </c>
      <c r="F283" s="132" t="str">
        <f>VLOOKUP($A283,'Выгр Кат'!$A:$S,F$1,0)</f>
        <v>2121-1014056РП.</v>
      </c>
      <c r="G283" s="45" t="s">
        <v>437</v>
      </c>
      <c r="H283" s="29"/>
      <c r="I283" s="4" t="s">
        <v>2</v>
      </c>
      <c r="J283" s="95">
        <v>1</v>
      </c>
      <c r="K283" s="168">
        <f t="shared" si="159"/>
        <v>175</v>
      </c>
      <c r="L283" s="167">
        <f>VLOOKUP(K283,Наценка!$A$1:$B$8,2,1)</f>
        <v>1.7204301075268817</v>
      </c>
      <c r="M283" s="148">
        <f>W283*1.05</f>
        <v>409.5</v>
      </c>
      <c r="N283" s="173">
        <f t="shared" si="152"/>
        <v>409</v>
      </c>
      <c r="O283" s="134">
        <f>VLOOKUP($A283,'Выгр Кат'!$A:$S,O$1,0)</f>
        <v>175</v>
      </c>
      <c r="P283" s="134">
        <f>VLOOKUP($A283,'Выгр Кат'!$A:$S,P$1,0)</f>
        <v>409</v>
      </c>
      <c r="Q283" s="107">
        <f t="shared" si="153"/>
        <v>0</v>
      </c>
      <c r="R283" s="107">
        <f t="shared" si="154"/>
        <v>0</v>
      </c>
      <c r="S283" s="110">
        <f t="shared" si="155"/>
        <v>380.36999999999995</v>
      </c>
      <c r="T283" s="135">
        <f t="shared" si="156"/>
        <v>1.173542857142857</v>
      </c>
      <c r="U283" s="135">
        <f t="shared" si="157"/>
        <v>2.4692307692307826E-2</v>
      </c>
      <c r="V283" s="135">
        <f t="shared" si="158"/>
        <v>1.2285714285714286</v>
      </c>
      <c r="W283" s="117">
        <f t="shared" ref="W283:W285" si="166">AA283</f>
        <v>390</v>
      </c>
      <c r="X283" s="114">
        <f>IFERROR((VLOOKUP($A283,'ИЗ ГУГЛА'!$B:$G,X$1,0)+Z283)*Y283,VLOOKUP($A283,'ИЗ ГУГЛА'!$B:$G,X$1,0))</f>
        <v>390</v>
      </c>
      <c r="Y283" s="108">
        <v>1</v>
      </c>
      <c r="Z283" s="46"/>
      <c r="AA283" s="136">
        <v>390</v>
      </c>
      <c r="AB283" s="124" t="s">
        <v>2679</v>
      </c>
      <c r="AC283" s="114" t="str">
        <f>IFERROR((VLOOKUP($A283,'ИЗ ГУГЛА'!$B:$Z,AC$1,0)+AE283)*AD283,VLOOKUP($A283,'ИЗ ГУГЛА'!$B:$Z,AC$1,0))</f>
        <v/>
      </c>
      <c r="AD283" s="108">
        <v>1</v>
      </c>
      <c r="AE283" s="46"/>
      <c r="AF283" s="115"/>
    </row>
    <row r="284" spans="1:33" s="5" customFormat="1" ht="46.5" thickTop="1" thickBot="1" x14ac:dyDescent="0.3">
      <c r="A284" s="132">
        <v>225918</v>
      </c>
      <c r="B284" s="132">
        <f>VLOOKUP($A284,'Выгр Кат'!$A:$S,B$1,0)</f>
        <v>19800</v>
      </c>
      <c r="C284" s="133" t="str">
        <f>VLOOKUP($A284,'Выгр Кат'!$A:$S,C$1,0)</f>
        <v>Шланг "БРТ" гибкий от топливного насоса (бензонасоса) к карбюратору для ВАЗ 2101-2107, Лада Нива 4х4</v>
      </c>
      <c r="D284" s="132" t="str">
        <f>VLOOKUP($A284,'Выгр Кат'!$A:$S,D$1,0)</f>
        <v>Y</v>
      </c>
      <c r="E284" s="132" t="str">
        <f>VLOOKUP($A284,'Выгр Кат'!$A:$S,E$1,0)</f>
        <v>1</v>
      </c>
      <c r="F284" s="132" t="str">
        <f>VLOOKUP($A284,'Выгр Кат'!$A:$S,F$1,0)</f>
        <v>21010110409000</v>
      </c>
      <c r="G284" s="45" t="s">
        <v>246</v>
      </c>
      <c r="H284" s="29"/>
      <c r="I284" s="4" t="s">
        <v>2</v>
      </c>
      <c r="J284" s="95">
        <v>1</v>
      </c>
      <c r="K284" s="168">
        <f t="shared" si="159"/>
        <v>176</v>
      </c>
      <c r="L284" s="167">
        <f>VLOOKUP(K284,Наценка!$A$1:$B$8,2,1)</f>
        <v>1.7204301075268817</v>
      </c>
      <c r="M284" s="172">
        <f t="shared" si="162"/>
        <v>302.7956989247312</v>
      </c>
      <c r="N284" s="173">
        <f t="shared" si="152"/>
        <v>309</v>
      </c>
      <c r="O284" s="134">
        <f>VLOOKUP($A284,'Выгр Кат'!$A:$S,O$1,0)</f>
        <v>176</v>
      </c>
      <c r="P284" s="134">
        <f>VLOOKUP($A284,'Выгр Кат'!$A:$S,P$1,0)</f>
        <v>309</v>
      </c>
      <c r="Q284" s="107">
        <f t="shared" si="153"/>
        <v>0</v>
      </c>
      <c r="R284" s="107">
        <f t="shared" si="154"/>
        <v>0</v>
      </c>
      <c r="S284" s="110">
        <f t="shared" si="155"/>
        <v>287.37</v>
      </c>
      <c r="T284" s="135">
        <f t="shared" si="156"/>
        <v>0.63278409090909093</v>
      </c>
      <c r="U284" s="135">
        <f t="shared" si="157"/>
        <v>-0.52047619047619054</v>
      </c>
      <c r="V284" s="135">
        <f t="shared" si="158"/>
        <v>7.3863636363636465E-2</v>
      </c>
      <c r="W284" s="117">
        <f t="shared" si="166"/>
        <v>189</v>
      </c>
      <c r="X284" s="114">
        <f>IFERROR((VLOOKUP($A284,'ИЗ ГУГЛА'!$B:$G,X$1,0)+Z284)*Y284,VLOOKUP($A284,'ИЗ ГУГЛА'!$B:$G,X$1,0))</f>
        <v>189</v>
      </c>
      <c r="Y284" s="46">
        <v>1</v>
      </c>
      <c r="Z284" s="46"/>
      <c r="AA284" s="138">
        <v>189</v>
      </c>
      <c r="AB284" s="124" t="s">
        <v>2361</v>
      </c>
      <c r="AC284" s="114" t="str">
        <f>IFERROR((VLOOKUP($A284,'ИЗ ГУГЛА'!$B:$Z,AC$1,0)+AE284)*AD284,VLOOKUP($A284,'ИЗ ГУГЛА'!$B:$Z,AC$1,0))</f>
        <v/>
      </c>
      <c r="AD284" s="46">
        <v>1</v>
      </c>
      <c r="AE284" s="46"/>
      <c r="AF284" s="115"/>
    </row>
    <row r="285" spans="1:33" s="5" customFormat="1" ht="30.75" thickTop="1" x14ac:dyDescent="0.25">
      <c r="A285" s="132">
        <v>225392</v>
      </c>
      <c r="B285" s="132">
        <f>VLOOKUP($A285,'Выгр Кат'!$A:$S,B$1,0)</f>
        <v>20317</v>
      </c>
      <c r="C285" s="133" t="str">
        <f>VLOOKUP($A285,'Выгр Кат'!$A:$S,C$1,0)</f>
        <v>Шарнир крепления рычага задней подвески "БРТ" ВАЗ 2108-21099</v>
      </c>
      <c r="D285" s="132" t="str">
        <f>VLOOKUP($A285,'Выгр Кат'!$A:$S,D$1,0)</f>
        <v>Y</v>
      </c>
      <c r="E285" s="132" t="str">
        <f>VLOOKUP($A285,'Выгр Кат'!$A:$S,E$1,0)</f>
        <v>1</v>
      </c>
      <c r="F285" s="132" t="str">
        <f>VLOOKUP($A285,'Выгр Кат'!$A:$S,F$1,0)</f>
        <v>21080291405400</v>
      </c>
      <c r="G285" s="45" t="s">
        <v>349</v>
      </c>
      <c r="H285" s="29"/>
      <c r="I285" s="4" t="s">
        <v>2</v>
      </c>
      <c r="J285" s="95">
        <v>1</v>
      </c>
      <c r="K285" s="168">
        <f t="shared" si="159"/>
        <v>175</v>
      </c>
      <c r="L285" s="167">
        <f>VLOOKUP(K285,Наценка!$A$1:$B$8,2,1)</f>
        <v>1.7204301075268817</v>
      </c>
      <c r="M285" s="148">
        <f>W285*1.06</f>
        <v>307.40000000000003</v>
      </c>
      <c r="N285" s="173">
        <f t="shared" si="152"/>
        <v>309</v>
      </c>
      <c r="O285" s="134">
        <f>VLOOKUP($A285,'Выгр Кат'!$A:$S,O$1,0)</f>
        <v>175</v>
      </c>
      <c r="P285" s="134">
        <f>VLOOKUP($A285,'Выгр Кат'!$A:$S,P$1,0)</f>
        <v>309</v>
      </c>
      <c r="Q285" s="107">
        <f t="shared" si="153"/>
        <v>0</v>
      </c>
      <c r="R285" s="107">
        <f t="shared" si="154"/>
        <v>0</v>
      </c>
      <c r="S285" s="110">
        <f t="shared" si="155"/>
        <v>287.37</v>
      </c>
      <c r="T285" s="135">
        <f t="shared" si="156"/>
        <v>0.64211428571428564</v>
      </c>
      <c r="U285" s="135">
        <f t="shared" si="157"/>
        <v>9.0689655172413643E-3</v>
      </c>
      <c r="V285" s="135">
        <f t="shared" si="158"/>
        <v>0.65714285714285725</v>
      </c>
      <c r="W285" s="117">
        <f t="shared" si="166"/>
        <v>290</v>
      </c>
      <c r="X285" s="114">
        <f>IFERROR((VLOOKUP($A285,'ИЗ ГУГЛА'!$B:$G,X$1,0)+Z285)*Y285,VLOOKUP($A285,'ИЗ ГУГЛА'!$B:$G,X$1,0))</f>
        <v>290</v>
      </c>
      <c r="Y285" s="108">
        <v>1</v>
      </c>
      <c r="Z285" s="46"/>
      <c r="AA285" s="139">
        <v>290</v>
      </c>
      <c r="AB285" s="124" t="s">
        <v>2943</v>
      </c>
      <c r="AC285" s="114">
        <f>IFERROR((VLOOKUP($A285,'ИЗ ГУГЛА'!$B:$Z,AC$1,0)+AE285)*AD285,VLOOKUP($A285,'ИЗ ГУГЛА'!$B:$Z,AC$1,0))</f>
        <v>280</v>
      </c>
      <c r="AD285" s="108">
        <v>1</v>
      </c>
      <c r="AE285" s="46"/>
      <c r="AF285" s="115">
        <v>280</v>
      </c>
      <c r="AG285" s="5" t="s">
        <v>2944</v>
      </c>
    </row>
    <row r="286" spans="1:33" s="5" customFormat="1" ht="45" x14ac:dyDescent="0.25">
      <c r="A286" s="132">
        <v>194607</v>
      </c>
      <c r="B286" s="132">
        <f>VLOOKUP($A286,'Выгр Кат'!$A:$S,B$1,0)</f>
        <v>19795</v>
      </c>
      <c r="C286" s="133" t="str">
        <f>VLOOKUP($A286,'Выгр Кат'!$A:$S,C$1,0)</f>
        <v>Подушка задней подвески двигателя "БРТ" для ВАЗ 2101-2107 с 4-х ступенчатой КПП</v>
      </c>
      <c r="D286" s="132" t="str">
        <f>VLOOKUP($A286,'Выгр Кат'!$A:$S,D$1,0)</f>
        <v>Y</v>
      </c>
      <c r="E286" s="132" t="str">
        <f>VLOOKUP($A286,'Выгр Кат'!$A:$S,E$1,0)</f>
        <v>1</v>
      </c>
      <c r="F286" s="132" t="str">
        <f>VLOOKUP($A286,'Выгр Кат'!$A:$S,F$1,0)</f>
        <v>2101-1001045Р</v>
      </c>
      <c r="G286" s="45" t="s">
        <v>235</v>
      </c>
      <c r="H286" s="29"/>
      <c r="I286" s="4" t="s">
        <v>2</v>
      </c>
      <c r="J286" s="95">
        <v>1</v>
      </c>
      <c r="K286" s="168">
        <f t="shared" si="159"/>
        <v>223</v>
      </c>
      <c r="L286" s="167">
        <f>VLOOKUP(K286,Наценка!$A$1:$B$8,2,1)</f>
        <v>1.7204301075268817</v>
      </c>
      <c r="M286" s="172">
        <f t="shared" si="162"/>
        <v>383.65591397849465</v>
      </c>
      <c r="N286" s="173">
        <f t="shared" si="152"/>
        <v>389</v>
      </c>
      <c r="O286" s="134">
        <f>VLOOKUP($A286,'Выгр Кат'!$A:$S,O$1,0)</f>
        <v>223</v>
      </c>
      <c r="P286" s="134">
        <f>VLOOKUP($A286,'Выгр Кат'!$A:$S,P$1,0)</f>
        <v>389</v>
      </c>
      <c r="Q286" s="107">
        <f t="shared" si="153"/>
        <v>0</v>
      </c>
      <c r="R286" s="107">
        <f t="shared" si="154"/>
        <v>0</v>
      </c>
      <c r="S286" s="110">
        <f t="shared" si="155"/>
        <v>361.77</v>
      </c>
      <c r="T286" s="135">
        <f t="shared" si="156"/>
        <v>0.62228699551569489</v>
      </c>
      <c r="U286" s="135" t="str">
        <f t="shared" si="157"/>
        <v/>
      </c>
      <c r="V286" s="135" t="str">
        <f t="shared" si="158"/>
        <v/>
      </c>
      <c r="W286" s="45"/>
      <c r="X286" s="114" t="str">
        <f>IFERROR((VLOOKUP($A286,'ИЗ ГУГЛА'!$B:$G,X$1,0)+Z286)*Y286,VLOOKUP($A286,'ИЗ ГУГЛА'!$B:$G,X$1,0))</f>
        <v/>
      </c>
      <c r="Y286" s="108">
        <v>1</v>
      </c>
      <c r="Z286" s="46"/>
      <c r="AA286" s="139" t="s">
        <v>1821</v>
      </c>
      <c r="AB286" s="124"/>
      <c r="AC286" s="114" t="str">
        <f>IFERROR((VLOOKUP($A286,'ИЗ ГУГЛА'!$B:$Z,AC$1,0)+AE286)*AD286,VLOOKUP($A286,'ИЗ ГУГЛА'!$B:$Z,AC$1,0))</f>
        <v/>
      </c>
      <c r="AD286" s="108">
        <v>1</v>
      </c>
      <c r="AE286" s="46"/>
      <c r="AF286" s="115"/>
    </row>
    <row r="287" spans="1:33" s="5" customFormat="1" ht="30.75" thickBot="1" x14ac:dyDescent="0.3">
      <c r="A287" s="132">
        <v>225922</v>
      </c>
      <c r="B287" s="132">
        <f>VLOOKUP($A287,'Выгр Кат'!$A:$S,B$1,0)</f>
        <v>35327</v>
      </c>
      <c r="C287" s="133" t="str">
        <f>VLOOKUP($A287,'Выгр Кат'!$A:$S,C$1,0)</f>
        <v>Шланг "БРТ" топливный для ВАЗ 2110-2112</v>
      </c>
      <c r="D287" s="132" t="str">
        <f>VLOOKUP($A287,'Выгр Кат'!$A:$S,D$1,0)</f>
        <v>Y</v>
      </c>
      <c r="E287" s="132" t="str">
        <f>VLOOKUP($A287,'Выгр Кат'!$A:$S,E$1,0)</f>
        <v>1</v>
      </c>
      <c r="F287" s="132" t="str">
        <f>VLOOKUP($A287,'Выгр Кат'!$A:$S,F$1,0)</f>
        <v>2110-1164086</v>
      </c>
      <c r="G287" s="44" t="s">
        <v>387</v>
      </c>
      <c r="H287" s="29"/>
      <c r="I287" s="4" t="s">
        <v>2</v>
      </c>
      <c r="J287" s="95">
        <v>1</v>
      </c>
      <c r="K287" s="168">
        <f t="shared" si="159"/>
        <v>179</v>
      </c>
      <c r="L287" s="167">
        <f>VLOOKUP(K287,Наценка!$A$1:$B$8,2,1)</f>
        <v>1.7204301075268817</v>
      </c>
      <c r="M287" s="151">
        <f>K287*1.2*100/93</f>
        <v>230.96774193548387</v>
      </c>
      <c r="N287" s="173">
        <f t="shared" si="152"/>
        <v>239</v>
      </c>
      <c r="O287" s="134">
        <f>VLOOKUP($A287,'Выгр Кат'!$A:$S,O$1,0)</f>
        <v>179</v>
      </c>
      <c r="P287" s="134">
        <f>VLOOKUP($A287,'Выгр Кат'!$A:$S,P$1,0)</f>
        <v>309</v>
      </c>
      <c r="Q287" s="107">
        <f t="shared" si="153"/>
        <v>0</v>
      </c>
      <c r="R287" s="107">
        <f t="shared" si="154"/>
        <v>70</v>
      </c>
      <c r="S287" s="110">
        <f t="shared" si="155"/>
        <v>222.26999999999998</v>
      </c>
      <c r="T287" s="135">
        <f t="shared" si="156"/>
        <v>0.24173184357541899</v>
      </c>
      <c r="U287" s="135">
        <f t="shared" si="157"/>
        <v>-1.4931506849314985E-2</v>
      </c>
      <c r="V287" s="135">
        <f t="shared" si="158"/>
        <v>0.22346368715083798</v>
      </c>
      <c r="W287" s="117">
        <f t="shared" ref="W287:W289" si="167">AA287</f>
        <v>219</v>
      </c>
      <c r="X287" s="114">
        <f>IFERROR((VLOOKUP($A287,'ИЗ ГУГЛА'!$B:$G,X$1,0)+Z287)*Y287,VLOOKUP($A287,'ИЗ ГУГЛА'!$B:$G,X$1,0))</f>
        <v>219</v>
      </c>
      <c r="Y287" s="46">
        <v>1</v>
      </c>
      <c r="Z287" s="46"/>
      <c r="AA287" s="138">
        <v>219</v>
      </c>
      <c r="AB287" s="124" t="s">
        <v>2360</v>
      </c>
      <c r="AC287" s="114" t="str">
        <f>IFERROR((VLOOKUP($A287,'ИЗ ГУГЛА'!$B:$Z,AC$1,0)+AE287)*AD287,VLOOKUP($A287,'ИЗ ГУГЛА'!$B:$Z,AC$1,0))</f>
        <v/>
      </c>
      <c r="AD287" s="46">
        <v>1</v>
      </c>
      <c r="AE287" s="46"/>
      <c r="AF287" s="115"/>
    </row>
    <row r="288" spans="1:33" s="5" customFormat="1" ht="45.75" thickTop="1" x14ac:dyDescent="0.25">
      <c r="A288" s="132">
        <v>139802</v>
      </c>
      <c r="B288" s="132">
        <f>VLOOKUP($A288,'Выгр Кат'!$A:$S,B$1,0)</f>
        <v>20318</v>
      </c>
      <c r="C288" s="133" t="str">
        <f>VLOOKUP($A288,'Выгр Кат'!$A:$S,C$1,0)</f>
        <v>Втулка амортизатора задней подвески "БРТ" ВАЗ 2108-21099, 2113-2115, 2110-2112, Лада Калина, Приора</v>
      </c>
      <c r="D288" s="132" t="str">
        <f>VLOOKUP($A288,'Выгр Кат'!$A:$S,D$1,0)</f>
        <v>Y</v>
      </c>
      <c r="E288" s="132" t="str">
        <f>VLOOKUP($A288,'Выгр Кат'!$A:$S,E$1,0)</f>
        <v>1</v>
      </c>
      <c r="F288" s="132" t="str">
        <f>VLOOKUP($A288,'Выгр Кат'!$A:$S,F$1,0)</f>
        <v>21080291544601</v>
      </c>
      <c r="G288" s="42" t="s">
        <v>350</v>
      </c>
      <c r="H288" s="29"/>
      <c r="I288" s="4" t="s">
        <v>2</v>
      </c>
      <c r="J288" s="95">
        <v>1</v>
      </c>
      <c r="K288" s="168">
        <f t="shared" si="159"/>
        <v>180</v>
      </c>
      <c r="L288" s="167">
        <f>VLOOKUP(K288,Наценка!$A$1:$B$8,2,1)</f>
        <v>1.7204301075268817</v>
      </c>
      <c r="M288" s="148">
        <f t="shared" ref="M287:M288" si="168">W288*1.06</f>
        <v>307.40000000000003</v>
      </c>
      <c r="N288" s="173">
        <f t="shared" si="152"/>
        <v>309</v>
      </c>
      <c r="O288" s="134">
        <f>VLOOKUP($A288,'Выгр Кат'!$A:$S,O$1,0)</f>
        <v>180</v>
      </c>
      <c r="P288" s="134">
        <f>VLOOKUP($A288,'Выгр Кат'!$A:$S,P$1,0)</f>
        <v>309</v>
      </c>
      <c r="Q288" s="107">
        <f t="shared" si="153"/>
        <v>0</v>
      </c>
      <c r="R288" s="107">
        <f t="shared" si="154"/>
        <v>0</v>
      </c>
      <c r="S288" s="110">
        <f t="shared" si="155"/>
        <v>287.37</v>
      </c>
      <c r="T288" s="135">
        <f t="shared" si="156"/>
        <v>0.59650000000000003</v>
      </c>
      <c r="U288" s="135">
        <f t="shared" si="157"/>
        <v>9.0689655172413643E-3</v>
      </c>
      <c r="V288" s="135">
        <f t="shared" si="158"/>
        <v>0.61111111111111116</v>
      </c>
      <c r="W288" s="117">
        <f t="shared" si="167"/>
        <v>290</v>
      </c>
      <c r="X288" s="114">
        <f>IFERROR((VLOOKUP($A288,'ИЗ ГУГЛА'!$B:$G,X$1,0)+Z288)*Y288,VLOOKUP($A288,'ИЗ ГУГЛА'!$B:$G,X$1,0))</f>
        <v>290</v>
      </c>
      <c r="Y288" s="108">
        <v>1</v>
      </c>
      <c r="Z288" s="46"/>
      <c r="AA288" s="139">
        <v>290</v>
      </c>
      <c r="AB288" s="124" t="s">
        <v>2941</v>
      </c>
      <c r="AC288" s="114">
        <f>IFERROR((VLOOKUP($A288,'ИЗ ГУГЛА'!$B:$Z,AC$1,0)+AE288)*AD288,VLOOKUP($A288,'ИЗ ГУГЛА'!$B:$Z,AC$1,0))</f>
        <v>220</v>
      </c>
      <c r="AD288" s="108">
        <v>1</v>
      </c>
      <c r="AE288" s="46"/>
      <c r="AF288" s="115">
        <v>220</v>
      </c>
      <c r="AG288" s="5" t="s">
        <v>2942</v>
      </c>
    </row>
    <row r="289" spans="1:33" s="5" customFormat="1" ht="45" x14ac:dyDescent="0.25">
      <c r="A289" s="132">
        <v>225366</v>
      </c>
      <c r="B289" s="132">
        <f>VLOOKUP($A289,'Выгр Кат'!$A:$S,B$1,0)</f>
        <v>20332</v>
      </c>
      <c r="C289" s="133" t="str">
        <f>VLOOKUP($A289,'Выгр Кат'!$A:$S,C$1,0)</f>
        <v>Чехол рычага переключения передач наружный "БРТ" для ВАЗ 2101-2107, Лада Нива 4x4</v>
      </c>
      <c r="D289" s="132" t="str">
        <f>VLOOKUP($A289,'Выгр Кат'!$A:$S,D$1,0)</f>
        <v>Y</v>
      </c>
      <c r="E289" s="132" t="str">
        <f>VLOOKUP($A289,'Выгр Кат'!$A:$S,E$1,0)</f>
        <v>1</v>
      </c>
      <c r="F289" s="132" t="str">
        <f>VLOOKUP($A289,'Выгр Кат'!$A:$S,F$1,0)</f>
        <v>2101-1703101Р</v>
      </c>
      <c r="G289" s="45" t="s">
        <v>258</v>
      </c>
      <c r="H289" s="29"/>
      <c r="I289" s="4" t="s">
        <v>2</v>
      </c>
      <c r="J289" s="95">
        <v>1</v>
      </c>
      <c r="K289" s="168">
        <f t="shared" si="159"/>
        <v>174</v>
      </c>
      <c r="L289" s="167">
        <f>VLOOKUP(K289,Наценка!$A$1:$B$8,2,1)</f>
        <v>1.7204301075268817</v>
      </c>
      <c r="M289" s="172">
        <f t="shared" si="162"/>
        <v>299.35483870967744</v>
      </c>
      <c r="N289" s="173">
        <f t="shared" si="152"/>
        <v>299</v>
      </c>
      <c r="O289" s="134">
        <f>VLOOKUP($A289,'Выгр Кат'!$A:$S,O$1,0)</f>
        <v>174</v>
      </c>
      <c r="P289" s="134">
        <f>VLOOKUP($A289,'Выгр Кат'!$A:$S,P$1,0)</f>
        <v>299</v>
      </c>
      <c r="Q289" s="107">
        <f t="shared" si="153"/>
        <v>0</v>
      </c>
      <c r="R289" s="107">
        <f t="shared" si="154"/>
        <v>0</v>
      </c>
      <c r="S289" s="110">
        <f t="shared" si="155"/>
        <v>278.07</v>
      </c>
      <c r="T289" s="135">
        <f t="shared" si="156"/>
        <v>0.59810344827586204</v>
      </c>
      <c r="U289" s="135">
        <f t="shared" si="157"/>
        <v>-0.46352631578947368</v>
      </c>
      <c r="V289" s="135">
        <f t="shared" si="158"/>
        <v>9.1954022988505857E-2</v>
      </c>
      <c r="W289" s="117">
        <f t="shared" si="167"/>
        <v>190</v>
      </c>
      <c r="X289" s="114">
        <f>IFERROR((VLOOKUP($A289,'ИЗ ГУГЛА'!$B:$G,X$1,0)+Z289)*Y289,VLOOKUP($A289,'ИЗ ГУГЛА'!$B:$G,X$1,0))</f>
        <v>190</v>
      </c>
      <c r="Y289" s="108">
        <v>1</v>
      </c>
      <c r="Z289" s="46"/>
      <c r="AA289" s="139">
        <v>190</v>
      </c>
      <c r="AB289" s="124" t="s">
        <v>2939</v>
      </c>
      <c r="AC289" s="114">
        <f>IFERROR((VLOOKUP($A289,'ИЗ ГУГЛА'!$B:$Z,AC$1,0)+AE289)*AD289,VLOOKUP($A289,'ИЗ ГУГЛА'!$B:$Z,AC$1,0))</f>
        <v>290</v>
      </c>
      <c r="AD289" s="108">
        <v>1</v>
      </c>
      <c r="AE289" s="46"/>
      <c r="AF289" s="115">
        <v>290</v>
      </c>
      <c r="AG289" s="5" t="s">
        <v>2940</v>
      </c>
    </row>
    <row r="290" spans="1:33" s="5" customFormat="1" ht="45.75" thickBot="1" x14ac:dyDescent="0.3">
      <c r="A290" s="132">
        <v>186693</v>
      </c>
      <c r="B290" s="132">
        <f>VLOOKUP($A290,'Выгр Кат'!$A:$S,B$1,0)</f>
        <v>20399</v>
      </c>
      <c r="C290" s="133" t="str">
        <f>VLOOKUP($A290,'Выгр Кат'!$A:$S,C$1,0)</f>
        <v>Патрубок отопителя (печки) подводящий "БРТ" задний для ВАЗ 2114</v>
      </c>
      <c r="D290" s="132" t="str">
        <f>VLOOKUP($A290,'Выгр Кат'!$A:$S,D$1,0)</f>
        <v>Y</v>
      </c>
      <c r="E290" s="132" t="str">
        <f>VLOOKUP($A290,'Выгр Кат'!$A:$S,E$1,0)</f>
        <v>1</v>
      </c>
      <c r="F290" s="132" t="str">
        <f>VLOOKUP($A290,'Выгр Кат'!$A:$S,F$1,0)</f>
        <v>2114-8101206РП.</v>
      </c>
      <c r="G290" s="45" t="s">
        <v>434</v>
      </c>
      <c r="H290" s="29"/>
      <c r="I290" s="4" t="s">
        <v>2</v>
      </c>
      <c r="J290" s="95">
        <v>1</v>
      </c>
      <c r="K290" s="168">
        <f t="shared" si="159"/>
        <v>184</v>
      </c>
      <c r="L290" s="167">
        <f>VLOOKUP(K290,Наценка!$A$1:$B$8,2,1)</f>
        <v>1.7204301075268817</v>
      </c>
      <c r="M290" s="172">
        <f t="shared" si="162"/>
        <v>316.55913978494624</v>
      </c>
      <c r="N290" s="173">
        <f t="shared" si="152"/>
        <v>319</v>
      </c>
      <c r="O290" s="134">
        <f>VLOOKUP($A290,'Выгр Кат'!$A:$S,O$1,0)</f>
        <v>184</v>
      </c>
      <c r="P290" s="134">
        <f>VLOOKUP($A290,'Выгр Кат'!$A:$S,P$1,0)</f>
        <v>319</v>
      </c>
      <c r="Q290" s="107">
        <f t="shared" si="153"/>
        <v>0</v>
      </c>
      <c r="R290" s="107">
        <f t="shared" si="154"/>
        <v>0</v>
      </c>
      <c r="S290" s="110">
        <f t="shared" si="155"/>
        <v>296.66999999999996</v>
      </c>
      <c r="T290" s="135">
        <f t="shared" si="156"/>
        <v>0.61233695652173892</v>
      </c>
      <c r="U290" s="135" t="str">
        <f t="shared" si="157"/>
        <v/>
      </c>
      <c r="V290" s="135" t="str">
        <f t="shared" si="158"/>
        <v/>
      </c>
      <c r="W290" s="45"/>
      <c r="X290" s="114" t="str">
        <f>IFERROR((VLOOKUP($A290,'ИЗ ГУГЛА'!$B:$G,X$1,0)+Z290)*Y290,VLOOKUP($A290,'ИЗ ГУГЛА'!$B:$G,X$1,0))</f>
        <v/>
      </c>
      <c r="Y290" s="108">
        <v>1</v>
      </c>
      <c r="Z290" s="46"/>
      <c r="AA290" s="140" t="s">
        <v>1821</v>
      </c>
      <c r="AB290" s="129"/>
      <c r="AC290" s="114" t="str">
        <f>IFERROR((VLOOKUP($A290,'ИЗ ГУГЛА'!$B:$Z,AC$1,0)+AE290)*AD290,VLOOKUP($A290,'ИЗ ГУГЛА'!$B:$Z,AC$1,0))</f>
        <v/>
      </c>
      <c r="AD290" s="108">
        <v>1</v>
      </c>
      <c r="AE290" s="46"/>
      <c r="AF290" s="115"/>
    </row>
    <row r="291" spans="1:33" s="5" customFormat="1" ht="46.5" thickTop="1" thickBot="1" x14ac:dyDescent="0.3">
      <c r="A291" s="132">
        <v>186692</v>
      </c>
      <c r="B291" s="132">
        <f>VLOOKUP($A291,'Выгр Кат'!$A:$S,B$1,0)</f>
        <v>20007</v>
      </c>
      <c r="C291" s="133" t="str">
        <f>VLOOKUP($A291,'Выгр Кат'!$A:$S,C$1,0)</f>
        <v>Патрубок отопителя (печки) подводящий "БРТ" задний для ВАЗ 2108-21099, 2113-2115</v>
      </c>
      <c r="D291" s="132" t="str">
        <f>VLOOKUP($A291,'Выгр Кат'!$A:$S,D$1,0)</f>
        <v>Y</v>
      </c>
      <c r="E291" s="132" t="str">
        <f>VLOOKUP($A291,'Выгр Кат'!$A:$S,E$1,0)</f>
        <v>1</v>
      </c>
      <c r="F291" s="132" t="str">
        <f>VLOOKUP($A291,'Выгр Кат'!$A:$S,F$1,0)</f>
        <v>2108-8101206РП</v>
      </c>
      <c r="G291" s="45" t="s">
        <v>365</v>
      </c>
      <c r="H291" s="29"/>
      <c r="I291" s="4" t="s">
        <v>2</v>
      </c>
      <c r="J291" s="95">
        <v>1</v>
      </c>
      <c r="K291" s="168">
        <f t="shared" si="159"/>
        <v>184</v>
      </c>
      <c r="L291" s="167">
        <f>VLOOKUP(K291,Наценка!$A$1:$B$8,2,1)</f>
        <v>1.7204301075268817</v>
      </c>
      <c r="M291" s="147">
        <f>W291*1.04</f>
        <v>238.16</v>
      </c>
      <c r="N291" s="173">
        <f t="shared" si="152"/>
        <v>239</v>
      </c>
      <c r="O291" s="134">
        <f>VLOOKUP($A291,'Выгр Кат'!$A:$S,O$1,0)</f>
        <v>184</v>
      </c>
      <c r="P291" s="134">
        <f>VLOOKUP($A291,'Выгр Кат'!$A:$S,P$1,0)</f>
        <v>239</v>
      </c>
      <c r="Q291" s="107">
        <f t="shared" si="153"/>
        <v>0</v>
      </c>
      <c r="R291" s="107">
        <f t="shared" si="154"/>
        <v>0</v>
      </c>
      <c r="S291" s="110">
        <f t="shared" si="155"/>
        <v>222.26999999999998</v>
      </c>
      <c r="T291" s="135">
        <f t="shared" si="156"/>
        <v>0.20798913043478251</v>
      </c>
      <c r="U291" s="135">
        <f t="shared" si="157"/>
        <v>2.9388646288209686E-2</v>
      </c>
      <c r="V291" s="135">
        <f t="shared" si="158"/>
        <v>0.24456521739130443</v>
      </c>
      <c r="W291" s="117">
        <f>AA291</f>
        <v>229</v>
      </c>
      <c r="X291" s="114">
        <f>IFERROR((VLOOKUP($A291,'ИЗ ГУГЛА'!$B:$G,X$1,0)+Z291)*Y291,VLOOKUP($A291,'ИЗ ГУГЛА'!$B:$G,X$1,0))</f>
        <v>229</v>
      </c>
      <c r="Y291" s="108">
        <v>1</v>
      </c>
      <c r="Z291" s="46"/>
      <c r="AA291" s="136">
        <v>229</v>
      </c>
      <c r="AB291" s="124" t="s">
        <v>2656</v>
      </c>
      <c r="AC291" s="114" t="str">
        <f>IFERROR((VLOOKUP($A291,'ИЗ ГУГЛА'!$B:$Z,AC$1,0)+AE291)*AD291,VLOOKUP($A291,'ИЗ ГУГЛА'!$B:$Z,AC$1,0))</f>
        <v/>
      </c>
      <c r="AD291" s="108">
        <v>1</v>
      </c>
      <c r="AE291" s="46"/>
      <c r="AF291" s="115"/>
    </row>
    <row r="292" spans="1:33" s="5" customFormat="1" ht="30.75" thickTop="1" x14ac:dyDescent="0.25">
      <c r="A292" s="132">
        <v>213293</v>
      </c>
      <c r="B292" s="132">
        <f>VLOOKUP($A292,'Выгр Кат'!$A:$S,B$1,0)</f>
        <v>35247</v>
      </c>
      <c r="C292" s="133" t="str">
        <f>VLOOKUP($A292,'Выгр Кат'!$A:$S,C$1,0)</f>
        <v>Сальник "БРТ" ведущего вала правый для Шевроле Нива</v>
      </c>
      <c r="D292" s="132" t="str">
        <f>VLOOKUP($A292,'Выгр Кат'!$A:$S,D$1,0)</f>
        <v>Y</v>
      </c>
      <c r="E292" s="132" t="str">
        <f>VLOOKUP($A292,'Выгр Кат'!$A:$S,E$1,0)</f>
        <v>1</v>
      </c>
      <c r="F292" s="132" t="str">
        <f>VLOOKUP($A292,'Выгр Кат'!$A:$S,F$1,0)</f>
        <v>2123-1802120-11</v>
      </c>
      <c r="G292" s="44" t="s">
        <v>723</v>
      </c>
      <c r="H292" s="29"/>
      <c r="I292" s="4" t="s">
        <v>2</v>
      </c>
      <c r="J292" s="95">
        <v>1</v>
      </c>
      <c r="K292" s="168">
        <f t="shared" si="159"/>
        <v>177</v>
      </c>
      <c r="L292" s="167">
        <f>VLOOKUP(K292,Наценка!$A$1:$B$8,2,1)</f>
        <v>1.7204301075268817</v>
      </c>
      <c r="M292" s="172">
        <f t="shared" si="162"/>
        <v>304.51612903225805</v>
      </c>
      <c r="N292" s="173">
        <f t="shared" si="152"/>
        <v>309</v>
      </c>
      <c r="O292" s="134">
        <f>VLOOKUP($A292,'Выгр Кат'!$A:$S,O$1,0)</f>
        <v>177</v>
      </c>
      <c r="P292" s="134">
        <f>VLOOKUP($A292,'Выгр Кат'!$A:$S,P$1,0)</f>
        <v>309</v>
      </c>
      <c r="Q292" s="107">
        <f t="shared" si="153"/>
        <v>0</v>
      </c>
      <c r="R292" s="107">
        <f t="shared" si="154"/>
        <v>0</v>
      </c>
      <c r="S292" s="110">
        <f t="shared" si="155"/>
        <v>287.37</v>
      </c>
      <c r="T292" s="135">
        <f t="shared" si="156"/>
        <v>0.62355932203389841</v>
      </c>
      <c r="U292" s="135">
        <f t="shared" si="157"/>
        <v>-1.8737000000000001</v>
      </c>
      <c r="V292" s="135">
        <f t="shared" si="158"/>
        <v>-0.43502824858757061</v>
      </c>
      <c r="W292" s="118">
        <f>AF292</f>
        <v>100</v>
      </c>
      <c r="X292" s="114" t="str">
        <f>IFERROR((VLOOKUP($A292,'ИЗ ГУГЛА'!$B:$G,X$1,0)+Z292)*Y292,VLOOKUP($A292,'ИЗ ГУГЛА'!$B:$G,X$1,0))</f>
        <v/>
      </c>
      <c r="Y292" s="108">
        <v>1</v>
      </c>
      <c r="Z292" s="46"/>
      <c r="AA292" s="139" t="s">
        <v>1821</v>
      </c>
      <c r="AB292" s="124"/>
      <c r="AC292" s="114">
        <f>IFERROR((VLOOKUP($A292,'ИЗ ГУГЛА'!$B:$Z,AC$1,0)+AE292)*AD292,VLOOKUP($A292,'ИЗ ГУГЛА'!$B:$Z,AC$1,0))</f>
        <v>100</v>
      </c>
      <c r="AD292" s="108">
        <v>1</v>
      </c>
      <c r="AE292" s="46"/>
      <c r="AF292" s="115">
        <v>100</v>
      </c>
      <c r="AG292" s="5" t="s">
        <v>2937</v>
      </c>
    </row>
    <row r="293" spans="1:33" s="5" customFormat="1" ht="45" x14ac:dyDescent="0.25">
      <c r="A293" s="132">
        <v>153069</v>
      </c>
      <c r="B293" s="132">
        <f>VLOOKUP($A293,'Выгр Кат'!$A:$S,B$1,0)</f>
        <v>36978</v>
      </c>
      <c r="C293" s="133" t="str">
        <f>VLOOKUP($A293,'Выгр Кат'!$A:$S,C$1,0)</f>
        <v>Изолирующая прокладка пружины задней подвески "БРТ" усиленная для ВАЗ 2101-2107</v>
      </c>
      <c r="D293" s="132" t="str">
        <f>VLOOKUP($A293,'Выгр Кат'!$A:$S,D$1,0)</f>
        <v>Y</v>
      </c>
      <c r="E293" s="132" t="str">
        <f>VLOOKUP($A293,'Выгр Кат'!$A:$S,E$1,0)</f>
        <v>1</v>
      </c>
      <c r="F293" s="132" t="str">
        <f>VLOOKUP($A293,'Выгр Кат'!$A:$S,F$1,0)</f>
        <v>2101-2912652Р</v>
      </c>
      <c r="G293" s="44" t="s">
        <v>270</v>
      </c>
      <c r="H293" s="29"/>
      <c r="I293" s="7" t="s">
        <v>2</v>
      </c>
      <c r="J293" s="95">
        <v>1</v>
      </c>
      <c r="K293" s="168">
        <f t="shared" si="159"/>
        <v>186</v>
      </c>
      <c r="L293" s="167">
        <f>VLOOKUP(K293,Наценка!$A$1:$B$8,2,1)</f>
        <v>1.7204301075268817</v>
      </c>
      <c r="M293" s="148">
        <f t="shared" ref="M293:M294" si="169">W293*1.06</f>
        <v>307.40000000000003</v>
      </c>
      <c r="N293" s="173">
        <f t="shared" si="152"/>
        <v>309</v>
      </c>
      <c r="O293" s="134">
        <f>VLOOKUP($A293,'Выгр Кат'!$A:$S,O$1,0)</f>
        <v>186</v>
      </c>
      <c r="P293" s="134">
        <f>VLOOKUP($A293,'Выгр Кат'!$A:$S,P$1,0)</f>
        <v>319</v>
      </c>
      <c r="Q293" s="107">
        <f t="shared" si="153"/>
        <v>0</v>
      </c>
      <c r="R293" s="107">
        <f t="shared" si="154"/>
        <v>10</v>
      </c>
      <c r="S293" s="110">
        <f t="shared" si="155"/>
        <v>287.37</v>
      </c>
      <c r="T293" s="135">
        <f t="shared" si="156"/>
        <v>0.54499999999999993</v>
      </c>
      <c r="U293" s="135">
        <f t="shared" si="157"/>
        <v>9.0689655172413643E-3</v>
      </c>
      <c r="V293" s="135">
        <f t="shared" si="158"/>
        <v>0.55913978494623651</v>
      </c>
      <c r="W293" s="117">
        <f t="shared" ref="W293:W294" si="170">AA293</f>
        <v>290</v>
      </c>
      <c r="X293" s="114">
        <f>IFERROR((VLOOKUP($A293,'ИЗ ГУГЛА'!$B:$G,X$1,0)+Z293)*Y293,VLOOKUP($A293,'ИЗ ГУГЛА'!$B:$G,X$1,0))</f>
        <v>290</v>
      </c>
      <c r="Y293" s="108">
        <v>1</v>
      </c>
      <c r="Z293" s="46"/>
      <c r="AA293" s="139">
        <v>290</v>
      </c>
      <c r="AB293" s="124" t="s">
        <v>2935</v>
      </c>
      <c r="AC293" s="114">
        <f>IFERROR((VLOOKUP($A293,'ИЗ ГУГЛА'!$B:$Z,AC$1,0)+AE293)*AD293,VLOOKUP($A293,'ИЗ ГУГЛА'!$B:$Z,AC$1,0))</f>
        <v>290</v>
      </c>
      <c r="AD293" s="108">
        <v>1</v>
      </c>
      <c r="AE293" s="46"/>
      <c r="AF293" s="115">
        <v>290</v>
      </c>
      <c r="AG293" s="5" t="s">
        <v>2936</v>
      </c>
    </row>
    <row r="294" spans="1:33" s="5" customFormat="1" ht="45.75" thickBot="1" x14ac:dyDescent="0.3">
      <c r="A294" s="132">
        <v>201421</v>
      </c>
      <c r="B294" s="132">
        <f>VLOOKUP($A294,'Выгр Кат'!$A:$S,B$1,0)</f>
        <v>20287</v>
      </c>
      <c r="C294" s="133" t="str">
        <f>VLOOKUP($A294,'Выгр Кат'!$A:$S,C$1,0)</f>
        <v>Прокладка изолирующая пружины задней подвески "БРТ" для ВАЗ 2108-21099, 2110-2112</v>
      </c>
      <c r="D294" s="132" t="str">
        <f>VLOOKUP($A294,'Выгр Кат'!$A:$S,D$1,0)</f>
        <v>Y</v>
      </c>
      <c r="E294" s="132" t="str">
        <f>VLOOKUP($A294,'Выгр Кат'!$A:$S,E$1,0)</f>
        <v>1ск6</v>
      </c>
      <c r="F294" s="132" t="str">
        <f>VLOOKUP($A294,'Выгр Кат'!$A:$S,F$1,0)</f>
        <v>2108-2912652Р.</v>
      </c>
      <c r="G294" s="45" t="s">
        <v>348</v>
      </c>
      <c r="H294" s="29"/>
      <c r="I294" s="4" t="s">
        <v>2</v>
      </c>
      <c r="J294" s="95">
        <v>1</v>
      </c>
      <c r="K294" s="168">
        <f t="shared" si="159"/>
        <v>187</v>
      </c>
      <c r="L294" s="167">
        <f>VLOOKUP(K294,Наценка!$A$1:$B$8,2,1)</f>
        <v>1.7204301075268817</v>
      </c>
      <c r="M294" s="148">
        <f t="shared" si="169"/>
        <v>307.40000000000003</v>
      </c>
      <c r="N294" s="173">
        <f t="shared" si="152"/>
        <v>309</v>
      </c>
      <c r="O294" s="134">
        <f>VLOOKUP($A294,'Выгр Кат'!$A:$S,O$1,0)</f>
        <v>187</v>
      </c>
      <c r="P294" s="134">
        <f>VLOOKUP($A294,'Выгр Кат'!$A:$S,P$1,0)</f>
        <v>309</v>
      </c>
      <c r="Q294" s="107">
        <f t="shared" si="153"/>
        <v>0</v>
      </c>
      <c r="R294" s="107">
        <f t="shared" si="154"/>
        <v>0</v>
      </c>
      <c r="S294" s="110">
        <f t="shared" si="155"/>
        <v>287.37</v>
      </c>
      <c r="T294" s="135">
        <f t="shared" si="156"/>
        <v>0.53673796791443862</v>
      </c>
      <c r="U294" s="135">
        <f t="shared" si="157"/>
        <v>9.0689655172413643E-3</v>
      </c>
      <c r="V294" s="135">
        <f t="shared" si="158"/>
        <v>0.55080213903743314</v>
      </c>
      <c r="W294" s="117">
        <f t="shared" si="170"/>
        <v>290</v>
      </c>
      <c r="X294" s="114">
        <f>IFERROR((VLOOKUP($A294,'ИЗ ГУГЛА'!$B:$G,X$1,0)+Z294)*Y294,VLOOKUP($A294,'ИЗ ГУГЛА'!$B:$G,X$1,0))</f>
        <v>290</v>
      </c>
      <c r="Y294" s="46">
        <v>1</v>
      </c>
      <c r="Z294" s="46"/>
      <c r="AA294" s="138">
        <v>290</v>
      </c>
      <c r="AB294" s="124" t="s">
        <v>2351</v>
      </c>
      <c r="AC294" s="114" t="str">
        <f>IFERROR((VLOOKUP($A294,'ИЗ ГУГЛА'!$B:$Z,AC$1,0)+AE294)*AD294,VLOOKUP($A294,'ИЗ ГУГЛА'!$B:$Z,AC$1,0))</f>
        <v/>
      </c>
      <c r="AD294" s="46">
        <v>1</v>
      </c>
      <c r="AE294" s="46"/>
      <c r="AF294" s="115"/>
    </row>
    <row r="295" spans="1:33" s="5" customFormat="1" ht="45.75" thickTop="1" x14ac:dyDescent="0.25">
      <c r="A295" s="132">
        <v>204307</v>
      </c>
      <c r="B295" s="132">
        <f>VLOOKUP($A295,'Выгр Кат'!$A:$S,B$1,0)</f>
        <v>20364</v>
      </c>
      <c r="C295" s="133" t="str">
        <f>VLOOKUP($A295,'Выгр Кат'!$A:$S,C$1,0)</f>
        <v>Ремень привода генератора клиновой "БРТ" для ВАЗ 2108-21099 (с карбюраторными двигателями)</v>
      </c>
      <c r="D295" s="132" t="str">
        <f>VLOOKUP($A295,'Выгр Кат'!$A:$S,D$1,0)</f>
        <v>Y</v>
      </c>
      <c r="E295" s="132" t="str">
        <f>VLOOKUP($A295,'Выгр Кат'!$A:$S,E$1,0)</f>
        <v>1</v>
      </c>
      <c r="F295" s="132" t="str">
        <f>VLOOKUP($A295,'Выгр Кат'!$A:$S,F$1,0)</f>
        <v>2108-3701720-01РУ</v>
      </c>
      <c r="G295" s="45" t="s">
        <v>2014</v>
      </c>
      <c r="H295" s="29"/>
      <c r="I295" s="4" t="s">
        <v>2</v>
      </c>
      <c r="J295" s="95">
        <v>1</v>
      </c>
      <c r="K295" s="168">
        <f t="shared" si="159"/>
        <v>184</v>
      </c>
      <c r="L295" s="167">
        <f>VLOOKUP(K295,Наценка!$A$1:$B$8,2,1)</f>
        <v>1.7204301075268817</v>
      </c>
      <c r="M295" s="172">
        <f t="shared" si="162"/>
        <v>316.55913978494624</v>
      </c>
      <c r="N295" s="173">
        <f t="shared" si="152"/>
        <v>319</v>
      </c>
      <c r="O295" s="134">
        <f>VLOOKUP($A295,'Выгр Кат'!$A:$S,O$1,0)</f>
        <v>184</v>
      </c>
      <c r="P295" s="134">
        <f>VLOOKUP($A295,'Выгр Кат'!$A:$S,P$1,0)</f>
        <v>319</v>
      </c>
      <c r="Q295" s="107">
        <f t="shared" si="153"/>
        <v>0</v>
      </c>
      <c r="R295" s="107">
        <f t="shared" si="154"/>
        <v>0</v>
      </c>
      <c r="S295" s="110">
        <f t="shared" si="155"/>
        <v>296.66999999999996</v>
      </c>
      <c r="T295" s="135">
        <f t="shared" si="156"/>
        <v>0.61233695652173892</v>
      </c>
      <c r="U295" s="135" t="str">
        <f t="shared" si="157"/>
        <v/>
      </c>
      <c r="V295" s="135" t="str">
        <f t="shared" si="158"/>
        <v/>
      </c>
      <c r="W295" s="45"/>
      <c r="X295" s="114" t="str">
        <f>IFERROR((VLOOKUP($A295,'ИЗ ГУГЛА'!$B:$G,X$1,0)+Z295)*Y295,VLOOKUP($A295,'ИЗ ГУГЛА'!$B:$G,X$1,0))</f>
        <v/>
      </c>
      <c r="Y295" s="108">
        <v>1</v>
      </c>
      <c r="Z295" s="46"/>
      <c r="AA295" s="139" t="s">
        <v>1821</v>
      </c>
      <c r="AB295" s="124"/>
      <c r="AC295" s="114" t="str">
        <f>IFERROR((VLOOKUP($A295,'ИЗ ГУГЛА'!$B:$Z,AC$1,0)+AE295)*AD295,VLOOKUP($A295,'ИЗ ГУГЛА'!$B:$Z,AC$1,0))</f>
        <v/>
      </c>
      <c r="AD295" s="108">
        <v>1</v>
      </c>
      <c r="AE295" s="46"/>
      <c r="AF295" s="115"/>
    </row>
    <row r="296" spans="1:33" s="5" customFormat="1" ht="60" x14ac:dyDescent="0.25">
      <c r="A296" s="132">
        <v>226092</v>
      </c>
      <c r="B296" s="132">
        <f>VLOOKUP($A296,'Выгр Кат'!$A:$S,B$1,0)</f>
        <v>32355</v>
      </c>
      <c r="C296" s="133" t="str">
        <f>VLOOKUP($A296,'Выгр Кат'!$A:$S,C$1,0)</f>
        <v>Шланг тормозной "БРТ" задний для ВАЗ 2110-2112, Лада (Калина, Калина 2, Приора, Приора 2, Гранта, Нива 4x4), Шевроле Нива</v>
      </c>
      <c r="D296" s="132" t="str">
        <f>VLOOKUP($A296,'Выгр Кат'!$A:$S,D$1,0)</f>
        <v>Y</v>
      </c>
      <c r="E296" s="132" t="str">
        <f>VLOOKUP($A296,'Выгр Кат'!$A:$S,E$1,0)</f>
        <v>1</v>
      </c>
      <c r="F296" s="132" t="str">
        <f>VLOOKUP($A296,'Выгр Кат'!$A:$S,F$1,0)</f>
        <v>21103506085</v>
      </c>
      <c r="G296" s="34" t="s">
        <v>357</v>
      </c>
      <c r="H296" s="29"/>
      <c r="I296" s="4" t="s">
        <v>2</v>
      </c>
      <c r="J296" s="95">
        <v>1</v>
      </c>
      <c r="K296" s="168">
        <f t="shared" si="159"/>
        <v>218</v>
      </c>
      <c r="L296" s="167">
        <f>VLOOKUP(K296,Наценка!$A$1:$B$8,2,1)</f>
        <v>1.7204301075268817</v>
      </c>
      <c r="M296" s="148">
        <f t="shared" ref="M296:M297" si="171">W296*1.06</f>
        <v>307.40000000000003</v>
      </c>
      <c r="N296" s="173">
        <f t="shared" si="152"/>
        <v>309</v>
      </c>
      <c r="O296" s="134">
        <f>VLOOKUP($A296,'Выгр Кат'!$A:$S,O$1,0)</f>
        <v>218</v>
      </c>
      <c r="P296" s="134">
        <f>VLOOKUP($A296,'Выгр Кат'!$A:$S,P$1,0)</f>
        <v>379</v>
      </c>
      <c r="Q296" s="107">
        <f t="shared" si="153"/>
        <v>0</v>
      </c>
      <c r="R296" s="107">
        <f t="shared" si="154"/>
        <v>70</v>
      </c>
      <c r="S296" s="110">
        <f t="shared" si="155"/>
        <v>287.37</v>
      </c>
      <c r="T296" s="135">
        <f t="shared" si="156"/>
        <v>0.318211009174312</v>
      </c>
      <c r="U296" s="135">
        <f t="shared" si="157"/>
        <v>9.0689655172413643E-3</v>
      </c>
      <c r="V296" s="135">
        <f t="shared" si="158"/>
        <v>0.33027522935779818</v>
      </c>
      <c r="W296" s="117">
        <f t="shared" ref="W296:W297" si="172">AA296</f>
        <v>290</v>
      </c>
      <c r="X296" s="114">
        <f>IFERROR((VLOOKUP($A296,'ИЗ ГУГЛА'!$B:$G,X$1,0)+Z296)*Y296,VLOOKUP($A296,'ИЗ ГУГЛА'!$B:$G,X$1,0))</f>
        <v>290</v>
      </c>
      <c r="Y296" s="108">
        <v>1</v>
      </c>
      <c r="Z296" s="46"/>
      <c r="AA296" s="139">
        <v>290</v>
      </c>
      <c r="AB296" s="124" t="s">
        <v>2933</v>
      </c>
      <c r="AC296" s="114">
        <f>IFERROR((VLOOKUP($A296,'ИЗ ГУГЛА'!$B:$Z,AC$1,0)+AE296)*AD296,VLOOKUP($A296,'ИЗ ГУГЛА'!$B:$Z,AC$1,0))</f>
        <v>350</v>
      </c>
      <c r="AD296" s="108">
        <v>1</v>
      </c>
      <c r="AE296" s="46"/>
      <c r="AF296" s="115">
        <v>350</v>
      </c>
      <c r="AG296" s="5" t="s">
        <v>2934</v>
      </c>
    </row>
    <row r="297" spans="1:33" s="5" customFormat="1" ht="45" x14ac:dyDescent="0.25">
      <c r="A297" s="132">
        <v>202090</v>
      </c>
      <c r="B297" s="132">
        <f>VLOOKUP($A297,'Выгр Кат'!$A:$S,B$1,0)</f>
        <v>35254</v>
      </c>
      <c r="C297" s="133" t="str">
        <f>VLOOKUP($A297,'Выгр Кат'!$A:$S,C$1,0)</f>
        <v>Пыльник ШРУСа "БРТ" внешний для ВАЗ 2108-21099, 2110-2112, 2113-2115, Лада Приора</v>
      </c>
      <c r="D297" s="132" t="str">
        <f>VLOOKUP($A297,'Выгр Кат'!$A:$S,D$1,0)</f>
        <v>Y</v>
      </c>
      <c r="E297" s="132" t="str">
        <f>VLOOKUP($A297,'Выгр Кат'!$A:$S,E$1,0)</f>
        <v>1</v>
      </c>
      <c r="F297" s="132" t="str">
        <f>VLOOKUP($A297,'Выгр Кат'!$A:$S,F$1,0)</f>
        <v>2108-2215030</v>
      </c>
      <c r="G297" s="44" t="s">
        <v>341</v>
      </c>
      <c r="H297" s="29"/>
      <c r="I297" s="4" t="s">
        <v>2</v>
      </c>
      <c r="J297" s="95">
        <v>1</v>
      </c>
      <c r="K297" s="168">
        <f t="shared" si="159"/>
        <v>174</v>
      </c>
      <c r="L297" s="167">
        <f>VLOOKUP(K297,Наценка!$A$1:$B$8,2,1)</f>
        <v>1.7204301075268817</v>
      </c>
      <c r="M297" s="148">
        <f>W297*1.05</f>
        <v>387.45</v>
      </c>
      <c r="N297" s="173">
        <f t="shared" si="152"/>
        <v>389</v>
      </c>
      <c r="O297" s="134">
        <f>VLOOKUP($A297,'Выгр Кат'!$A:$S,O$1,0)</f>
        <v>174</v>
      </c>
      <c r="P297" s="134">
        <f>VLOOKUP($A297,'Выгр Кат'!$A:$S,P$1,0)</f>
        <v>299</v>
      </c>
      <c r="Q297" s="107">
        <f t="shared" si="153"/>
        <v>0</v>
      </c>
      <c r="R297" s="107">
        <f t="shared" si="154"/>
        <v>-90</v>
      </c>
      <c r="S297" s="110">
        <f t="shared" si="155"/>
        <v>361.77</v>
      </c>
      <c r="T297" s="135">
        <f t="shared" si="156"/>
        <v>1.0791379310344826</v>
      </c>
      <c r="U297" s="135">
        <f t="shared" si="157"/>
        <v>1.9593495934959401E-2</v>
      </c>
      <c r="V297" s="135">
        <f t="shared" si="158"/>
        <v>1.1206896551724137</v>
      </c>
      <c r="W297" s="117">
        <f t="shared" si="172"/>
        <v>369</v>
      </c>
      <c r="X297" s="114">
        <f>IFERROR((VLOOKUP($A297,'ИЗ ГУГЛА'!$B:$G,X$1,0)+Z297)*Y297,VLOOKUP($A297,'ИЗ ГУГЛА'!$B:$G,X$1,0))</f>
        <v>369</v>
      </c>
      <c r="Y297" s="108">
        <v>1</v>
      </c>
      <c r="Z297" s="46"/>
      <c r="AA297" s="139">
        <v>369</v>
      </c>
      <c r="AB297" s="124" t="s">
        <v>2920</v>
      </c>
      <c r="AC297" s="114" t="str">
        <f>IFERROR((VLOOKUP($A297,'ИЗ ГУГЛА'!$B:$Z,AC$1,0)+AE297)*AD297,VLOOKUP($A297,'ИЗ ГУГЛА'!$B:$Z,AC$1,0))</f>
        <v/>
      </c>
      <c r="AD297" s="108">
        <v>1</v>
      </c>
      <c r="AE297" s="46"/>
      <c r="AF297" s="115"/>
    </row>
    <row r="298" spans="1:33" s="5" customFormat="1" ht="30" x14ac:dyDescent="0.25">
      <c r="A298" s="132">
        <v>164206</v>
      </c>
      <c r="B298" s="132">
        <f>VLOOKUP($A298,'Выгр Кат'!$A:$S,B$1,0)</f>
        <v>20510</v>
      </c>
      <c r="C298" s="133" t="str">
        <f>VLOOKUP($A298,'Выгр Кат'!$A:$S,C$1,0)</f>
        <v>Молдинг стекла боковины "БРТ" для Лада Веста</v>
      </c>
      <c r="D298" s="132" t="str">
        <f>VLOOKUP($A298,'Выгр Кат'!$A:$S,D$1,0)</f>
        <v>Y</v>
      </c>
      <c r="E298" s="132" t="str">
        <f>VLOOKUP($A298,'Выгр Кат'!$A:$S,E$1,0)</f>
        <v>1</v>
      </c>
      <c r="F298" s="132" t="str">
        <f>VLOOKUP($A298,'Выгр Кат'!$A:$S,F$1,0)</f>
        <v>8450032254Р</v>
      </c>
      <c r="G298" s="45" t="s">
        <v>1821</v>
      </c>
      <c r="H298" s="29" t="s">
        <v>1821</v>
      </c>
      <c r="I298" s="4" t="s">
        <v>2</v>
      </c>
      <c r="J298" s="95">
        <v>1</v>
      </c>
      <c r="K298" s="168">
        <f t="shared" si="159"/>
        <v>170</v>
      </c>
      <c r="L298" s="167">
        <f>VLOOKUP(K298,Наценка!$A$1:$B$8,2,1)</f>
        <v>1.7204301075268817</v>
      </c>
      <c r="M298" s="172">
        <f t="shared" si="162"/>
        <v>292.47311827956992</v>
      </c>
      <c r="N298" s="173">
        <f t="shared" si="152"/>
        <v>299</v>
      </c>
      <c r="O298" s="134">
        <f>VLOOKUP($A298,'Выгр Кат'!$A:$S,O$1,0)</f>
        <v>170</v>
      </c>
      <c r="P298" s="134">
        <f>VLOOKUP($A298,'Выгр Кат'!$A:$S,P$1,0)</f>
        <v>299</v>
      </c>
      <c r="Q298" s="107">
        <f t="shared" si="153"/>
        <v>0</v>
      </c>
      <c r="R298" s="107">
        <f t="shared" si="154"/>
        <v>0</v>
      </c>
      <c r="S298" s="110">
        <f t="shared" si="155"/>
        <v>278.07</v>
      </c>
      <c r="T298" s="135">
        <f t="shared" si="156"/>
        <v>0.63570588235294112</v>
      </c>
      <c r="U298" s="135" t="str">
        <f t="shared" si="157"/>
        <v/>
      </c>
      <c r="V298" s="135" t="str">
        <f t="shared" si="158"/>
        <v/>
      </c>
      <c r="W298" s="45"/>
      <c r="X298" s="114" t="str">
        <f>IFERROR((VLOOKUP($A298,'ИЗ ГУГЛА'!$B:$G,X$1,0)+Z298)*Y298,VLOOKUP($A298,'ИЗ ГУГЛА'!$B:$G,X$1,0))</f>
        <v/>
      </c>
      <c r="Y298" s="108">
        <v>1</v>
      </c>
      <c r="Z298" s="46"/>
      <c r="AA298" s="139" t="s">
        <v>1821</v>
      </c>
      <c r="AB298" s="124"/>
      <c r="AC298" s="114" t="str">
        <f>IFERROR((VLOOKUP($A298,'ИЗ ГУГЛА'!$B:$Z,AC$1,0)+AE298)*AD298,VLOOKUP($A298,'ИЗ ГУГЛА'!$B:$Z,AC$1,0))</f>
        <v/>
      </c>
      <c r="AD298" s="108">
        <v>1</v>
      </c>
      <c r="AE298" s="46"/>
      <c r="AF298" s="115"/>
    </row>
    <row r="299" spans="1:33" s="5" customFormat="1" ht="45" x14ac:dyDescent="0.25">
      <c r="A299" s="132">
        <v>204347</v>
      </c>
      <c r="B299" s="132">
        <f>VLOOKUP($A299,'Выгр Кат'!$A:$S,B$1,0)</f>
        <v>20261</v>
      </c>
      <c r="C299" s="133" t="str">
        <f>VLOOKUP($A299,'Выгр Кат'!$A:$S,C$1,0)</f>
        <v>Ремкомплект 178Р Р/К подушки подвески глушителя "БРТ" для Лада Калина, Гранта</v>
      </c>
      <c r="D299" s="132" t="str">
        <f>VLOOKUP($A299,'Выгр Кат'!$A:$S,D$1,0)</f>
        <v>Y</v>
      </c>
      <c r="E299" s="132" t="str">
        <f>VLOOKUP($A299,'Выгр Кат'!$A:$S,E$1,0)</f>
        <v>1</v>
      </c>
      <c r="F299" s="132" t="str">
        <f>VLOOKUP($A299,'Выгр Кат'!$A:$S,F$1,0)</f>
        <v>1118-1203073Р, 21213-1203073Р.</v>
      </c>
      <c r="G299" s="45" t="s">
        <v>1821</v>
      </c>
      <c r="H299" s="29" t="s">
        <v>1821</v>
      </c>
      <c r="I299" s="4" t="s">
        <v>2</v>
      </c>
      <c r="J299" s="95">
        <v>1</v>
      </c>
      <c r="K299" s="168">
        <f t="shared" si="159"/>
        <v>170</v>
      </c>
      <c r="L299" s="167">
        <f>VLOOKUP(K299,Наценка!$A$1:$B$8,2,1)</f>
        <v>1.7204301075268817</v>
      </c>
      <c r="M299" s="172">
        <f t="shared" si="162"/>
        <v>292.47311827956992</v>
      </c>
      <c r="N299" s="173">
        <f t="shared" si="152"/>
        <v>299</v>
      </c>
      <c r="O299" s="134">
        <f>VLOOKUP($A299,'Выгр Кат'!$A:$S,O$1,0)</f>
        <v>170</v>
      </c>
      <c r="P299" s="134">
        <f>VLOOKUP($A299,'Выгр Кат'!$A:$S,P$1,0)</f>
        <v>299</v>
      </c>
      <c r="Q299" s="107">
        <f t="shared" si="153"/>
        <v>0</v>
      </c>
      <c r="R299" s="107">
        <f t="shared" si="154"/>
        <v>0</v>
      </c>
      <c r="S299" s="110">
        <f t="shared" si="155"/>
        <v>278.07</v>
      </c>
      <c r="T299" s="135">
        <f t="shared" si="156"/>
        <v>0.63570588235294112</v>
      </c>
      <c r="U299" s="135" t="str">
        <f t="shared" si="157"/>
        <v/>
      </c>
      <c r="V299" s="135" t="str">
        <f t="shared" si="158"/>
        <v/>
      </c>
      <c r="W299" s="45"/>
      <c r="X299" s="114">
        <f>IFERROR((VLOOKUP($A299,'ИЗ ГУГЛА'!$B:$G,X$1,0)+Z299)*Y299,VLOOKUP($A299,'ИЗ ГУГЛА'!$B:$G,X$1,0))</f>
        <v>490</v>
      </c>
      <c r="Y299" s="108">
        <v>1</v>
      </c>
      <c r="Z299" s="46"/>
      <c r="AA299" s="139" t="s">
        <v>2932</v>
      </c>
      <c r="AB299" s="124" t="s">
        <v>2931</v>
      </c>
      <c r="AC299" s="114" t="str">
        <f>IFERROR((VLOOKUP($A299,'ИЗ ГУГЛА'!$B:$Z,AC$1,0)+AE299)*AD299,VLOOKUP($A299,'ИЗ ГУГЛА'!$B:$Z,AC$1,0))</f>
        <v/>
      </c>
      <c r="AD299" s="108">
        <v>1</v>
      </c>
      <c r="AE299" s="46"/>
      <c r="AF299" s="115"/>
    </row>
    <row r="300" spans="1:33" s="5" customFormat="1" ht="30.75" thickBot="1" x14ac:dyDescent="0.3">
      <c r="A300" s="132">
        <v>186678</v>
      </c>
      <c r="B300" s="132">
        <f>VLOOKUP($A300,'Выгр Кат'!$A:$S,B$1,0)</f>
        <v>20451</v>
      </c>
      <c r="C300" s="133" t="str">
        <f>VLOOKUP($A300,'Выгр Кат'!$A:$S,C$1,0)</f>
        <v>Патрубок отопителя (печки) "БРТ" отводящий для Шевроле Нива</v>
      </c>
      <c r="D300" s="132" t="str">
        <f>VLOOKUP($A300,'Выгр Кат'!$A:$S,D$1,0)</f>
        <v>Y</v>
      </c>
      <c r="E300" s="132" t="str">
        <f>VLOOKUP($A300,'Выгр Кат'!$A:$S,E$1,0)</f>
        <v>1</v>
      </c>
      <c r="F300" s="132" t="str">
        <f>VLOOKUP($A300,'Выгр Кат'!$A:$S,F$1,0)</f>
        <v>2123-8101204РП.</v>
      </c>
      <c r="G300" s="43" t="s">
        <v>515</v>
      </c>
      <c r="H300" s="29"/>
      <c r="I300" s="4" t="s">
        <v>2</v>
      </c>
      <c r="J300" s="95">
        <v>1</v>
      </c>
      <c r="K300" s="168">
        <f t="shared" si="159"/>
        <v>194</v>
      </c>
      <c r="L300" s="167">
        <f>VLOOKUP(K300,Наценка!$A$1:$B$8,2,1)</f>
        <v>1.7204301075268817</v>
      </c>
      <c r="M300" s="148">
        <f>W300*1.05</f>
        <v>376.95</v>
      </c>
      <c r="N300" s="173">
        <f t="shared" si="152"/>
        <v>379</v>
      </c>
      <c r="O300" s="134">
        <f>VLOOKUP($A300,'Выгр Кат'!$A:$S,O$1,0)</f>
        <v>194</v>
      </c>
      <c r="P300" s="134">
        <f>VLOOKUP($A300,'Выгр Кат'!$A:$S,P$1,0)</f>
        <v>379</v>
      </c>
      <c r="Q300" s="107">
        <f t="shared" si="153"/>
        <v>0</v>
      </c>
      <c r="R300" s="107">
        <f t="shared" si="154"/>
        <v>0</v>
      </c>
      <c r="S300" s="110">
        <f t="shared" si="155"/>
        <v>352.46999999999997</v>
      </c>
      <c r="T300" s="135">
        <f t="shared" si="156"/>
        <v>0.81685567010309268</v>
      </c>
      <c r="U300" s="135">
        <f t="shared" si="157"/>
        <v>1.8189415041782814E-2</v>
      </c>
      <c r="V300" s="135">
        <f t="shared" si="158"/>
        <v>0.85051546391752586</v>
      </c>
      <c r="W300" s="117">
        <f t="shared" ref="W300:W303" si="173">AA300</f>
        <v>359</v>
      </c>
      <c r="X300" s="114">
        <f>IFERROR((VLOOKUP($A300,'ИЗ ГУГЛА'!$B:$G,X$1,0)+Z300)*Y300,VLOOKUP($A300,'ИЗ ГУГЛА'!$B:$G,X$1,0))</f>
        <v>359</v>
      </c>
      <c r="Y300" s="108">
        <v>1</v>
      </c>
      <c r="Z300" s="46"/>
      <c r="AA300" s="136">
        <v>359</v>
      </c>
      <c r="AB300" s="124" t="s">
        <v>2668</v>
      </c>
      <c r="AC300" s="114" t="str">
        <f>IFERROR((VLOOKUP($A300,'ИЗ ГУГЛА'!$B:$Z,AC$1,0)+AE300)*AD300,VLOOKUP($A300,'ИЗ ГУГЛА'!$B:$Z,AC$1,0))</f>
        <v/>
      </c>
      <c r="AD300" s="108">
        <v>1</v>
      </c>
      <c r="AE300" s="46"/>
      <c r="AF300" s="115"/>
    </row>
    <row r="301" spans="1:33" s="5" customFormat="1" ht="45.75" thickTop="1" x14ac:dyDescent="0.25">
      <c r="A301" s="132">
        <v>202086</v>
      </c>
      <c r="B301" s="132">
        <f>VLOOKUP($A301,'Выгр Кат'!$A:$S,B$1,0)</f>
        <v>35253</v>
      </c>
      <c r="C301" s="133" t="str">
        <f>VLOOKUP($A301,'Выгр Кат'!$A:$S,C$1,0)</f>
        <v>Пыльник ШРУСа "БРТ" внутренний для ВАЗ 2108-21099, 2110-2112, 2113-2115, Лада Приора</v>
      </c>
      <c r="D301" s="132" t="str">
        <f>VLOOKUP($A301,'Выгр Кат'!$A:$S,D$1,0)</f>
        <v>Y</v>
      </c>
      <c r="E301" s="132" t="str">
        <f>VLOOKUP($A301,'Выгр Кат'!$A:$S,E$1,0)</f>
        <v>1</v>
      </c>
      <c r="F301" s="132" t="str">
        <f>VLOOKUP($A301,'Выгр Кат'!$A:$S,F$1,0)</f>
        <v>2108-2215068</v>
      </c>
      <c r="G301" s="44" t="s">
        <v>342</v>
      </c>
      <c r="H301" s="29"/>
      <c r="I301" s="4" t="s">
        <v>2</v>
      </c>
      <c r="J301" s="95">
        <v>1</v>
      </c>
      <c r="K301" s="168">
        <f t="shared" si="159"/>
        <v>179</v>
      </c>
      <c r="L301" s="167">
        <f>VLOOKUP(K301,Наценка!$A$1:$B$8,2,1)</f>
        <v>1.7204301075268817</v>
      </c>
      <c r="M301" s="172">
        <f t="shared" si="162"/>
        <v>307.95698924731181</v>
      </c>
      <c r="N301" s="173">
        <f t="shared" si="152"/>
        <v>309</v>
      </c>
      <c r="O301" s="134">
        <f>VLOOKUP($A301,'Выгр Кат'!$A:$S,O$1,0)</f>
        <v>179</v>
      </c>
      <c r="P301" s="134">
        <f>VLOOKUP($A301,'Выгр Кат'!$A:$S,P$1,0)</f>
        <v>309</v>
      </c>
      <c r="Q301" s="107">
        <f t="shared" si="153"/>
        <v>0</v>
      </c>
      <c r="R301" s="107">
        <f t="shared" si="154"/>
        <v>0</v>
      </c>
      <c r="S301" s="110">
        <f t="shared" si="155"/>
        <v>287.37</v>
      </c>
      <c r="T301" s="135">
        <f t="shared" si="156"/>
        <v>0.60541899441340785</v>
      </c>
      <c r="U301" s="135">
        <f t="shared" si="157"/>
        <v>-0.70041420118343201</v>
      </c>
      <c r="V301" s="135">
        <f t="shared" si="158"/>
        <v>-5.5865921787709549E-2</v>
      </c>
      <c r="W301" s="117">
        <f t="shared" si="173"/>
        <v>169</v>
      </c>
      <c r="X301" s="114">
        <f>IFERROR((VLOOKUP($A301,'ИЗ ГУГЛА'!$B:$G,X$1,0)+Z301)*Y301,VLOOKUP($A301,'ИЗ ГУГЛА'!$B:$G,X$1,0))</f>
        <v>169</v>
      </c>
      <c r="Y301" s="108">
        <v>1</v>
      </c>
      <c r="Z301" s="46"/>
      <c r="AA301" s="139">
        <v>169</v>
      </c>
      <c r="AB301" s="124" t="s">
        <v>2930</v>
      </c>
      <c r="AC301" s="114" t="str">
        <f>IFERROR((VLOOKUP($A301,'ИЗ ГУГЛА'!$B:$Z,AC$1,0)+AE301)*AD301,VLOOKUP($A301,'ИЗ ГУГЛА'!$B:$Z,AC$1,0))</f>
        <v/>
      </c>
      <c r="AD301" s="108">
        <v>1</v>
      </c>
      <c r="AE301" s="46"/>
      <c r="AF301" s="115"/>
    </row>
    <row r="302" spans="1:33" s="5" customFormat="1" ht="45.75" thickBot="1" x14ac:dyDescent="0.3">
      <c r="A302" s="132">
        <v>186570</v>
      </c>
      <c r="B302" s="132">
        <f>VLOOKUP($A302,'Выгр Кат'!$A:$S,B$1,0)</f>
        <v>35565</v>
      </c>
      <c r="C302" s="133" t="str">
        <f>VLOOKUP($A302,'Выгр Кат'!$A:$S,C$1,0)</f>
        <v>Патрубок "БРТ" пароотводящий расширительного бачка для Лада Гранта, Калина 2</v>
      </c>
      <c r="D302" s="132" t="str">
        <f>VLOOKUP($A302,'Выгр Кат'!$A:$S,D$1,0)</f>
        <v>Y</v>
      </c>
      <c r="E302" s="132" t="str">
        <f>VLOOKUP($A302,'Выгр Кат'!$A:$S,E$1,0)</f>
        <v>1</v>
      </c>
      <c r="F302" s="132" t="str">
        <f>VLOOKUP($A302,'Выгр Кат'!$A:$S,F$1,0)</f>
        <v>2190-1303095-10Р</v>
      </c>
      <c r="G302" s="44" t="s">
        <v>531</v>
      </c>
      <c r="H302" s="29"/>
      <c r="I302" s="4" t="s">
        <v>2</v>
      </c>
      <c r="J302" s="95">
        <v>1</v>
      </c>
      <c r="K302" s="168">
        <f t="shared" si="159"/>
        <v>196</v>
      </c>
      <c r="L302" s="167">
        <f>VLOOKUP(K302,Наценка!$A$1:$B$8,2,1)</f>
        <v>1.7204301075268817</v>
      </c>
      <c r="M302" s="148">
        <f t="shared" ref="M302:M303" si="174">W302*1.06</f>
        <v>307.40000000000003</v>
      </c>
      <c r="N302" s="173">
        <f t="shared" si="152"/>
        <v>309</v>
      </c>
      <c r="O302" s="134">
        <f>VLOOKUP($A302,'Выгр Кат'!$A:$S,O$1,0)</f>
        <v>196</v>
      </c>
      <c r="P302" s="134">
        <f>VLOOKUP($A302,'Выгр Кат'!$A:$S,P$1,0)</f>
        <v>309</v>
      </c>
      <c r="Q302" s="107">
        <f t="shared" si="153"/>
        <v>0</v>
      </c>
      <c r="R302" s="107">
        <f t="shared" si="154"/>
        <v>0</v>
      </c>
      <c r="S302" s="110">
        <f t="shared" si="155"/>
        <v>287.37</v>
      </c>
      <c r="T302" s="135">
        <f t="shared" si="156"/>
        <v>0.46617346938775506</v>
      </c>
      <c r="U302" s="135">
        <f t="shared" si="157"/>
        <v>9.0689655172413643E-3</v>
      </c>
      <c r="V302" s="135">
        <f t="shared" si="158"/>
        <v>0.47959183673469385</v>
      </c>
      <c r="W302" s="117">
        <f t="shared" si="173"/>
        <v>290</v>
      </c>
      <c r="X302" s="114">
        <f>IFERROR((VLOOKUP($A302,'ИЗ ГУГЛА'!$B:$G,X$1,0)+Z302)*Y302,VLOOKUP($A302,'ИЗ ГУГЛА'!$B:$G,X$1,0))</f>
        <v>290</v>
      </c>
      <c r="Y302" s="108">
        <v>1</v>
      </c>
      <c r="Z302" s="46"/>
      <c r="AA302" s="136">
        <v>290</v>
      </c>
      <c r="AB302" s="124" t="s">
        <v>2672</v>
      </c>
      <c r="AC302" s="114" t="str">
        <f>IFERROR((VLOOKUP($A302,'ИЗ ГУГЛА'!$B:$Z,AC$1,0)+AE302)*AD302,VLOOKUP($A302,'ИЗ ГУГЛА'!$B:$Z,AC$1,0))</f>
        <v/>
      </c>
      <c r="AD302" s="108">
        <v>1</v>
      </c>
      <c r="AE302" s="46"/>
      <c r="AF302" s="115"/>
    </row>
    <row r="303" spans="1:33" s="5" customFormat="1" ht="45.75" thickTop="1" x14ac:dyDescent="0.25">
      <c r="A303" s="132">
        <v>194606</v>
      </c>
      <c r="B303" s="132">
        <f>VLOOKUP($A303,'Выгр Кат'!$A:$S,B$1,0)</f>
        <v>19803</v>
      </c>
      <c r="C303" s="133" t="str">
        <f>VLOOKUP($A303,'Выгр Кат'!$A:$S,C$1,0)</f>
        <v>Подушка задней подвески двигателя "БРТ" в сборе для ВАЗ 2104-07 с  5-ти ступенчатой КПП</v>
      </c>
      <c r="D303" s="132" t="str">
        <f>VLOOKUP($A303,'Выгр Кат'!$A:$S,D$1,0)</f>
        <v>Y</v>
      </c>
      <c r="E303" s="132" t="str">
        <f>VLOOKUP($A303,'Выгр Кат'!$A:$S,E$1,0)</f>
        <v>1ск4</v>
      </c>
      <c r="F303" s="132" t="str">
        <f>VLOOKUP($A303,'Выгр Кат'!$A:$S,F$1,0)</f>
        <v>21070100104500</v>
      </c>
      <c r="G303" s="42" t="s">
        <v>304</v>
      </c>
      <c r="H303" s="29"/>
      <c r="I303" s="4" t="s">
        <v>2</v>
      </c>
      <c r="J303" s="95">
        <v>1</v>
      </c>
      <c r="K303" s="168">
        <f t="shared" si="159"/>
        <v>220</v>
      </c>
      <c r="L303" s="167">
        <f>VLOOKUP(K303,Наценка!$A$1:$B$8,2,1)</f>
        <v>1.7204301075268817</v>
      </c>
      <c r="M303" s="148">
        <f t="shared" si="174"/>
        <v>519.4</v>
      </c>
      <c r="N303" s="173">
        <f t="shared" si="152"/>
        <v>519</v>
      </c>
      <c r="O303" s="134">
        <f>VLOOKUP($A303,'Выгр Кат'!$A:$S,O$1,0)</f>
        <v>220</v>
      </c>
      <c r="P303" s="134">
        <f>VLOOKUP($A303,'Выгр Кат'!$A:$S,P$1,0)</f>
        <v>379</v>
      </c>
      <c r="Q303" s="107">
        <f t="shared" si="153"/>
        <v>0</v>
      </c>
      <c r="R303" s="107">
        <f t="shared" si="154"/>
        <v>-140</v>
      </c>
      <c r="S303" s="110">
        <f t="shared" si="155"/>
        <v>482.66999999999996</v>
      </c>
      <c r="T303" s="135">
        <f t="shared" si="156"/>
        <v>1.1939545454545453</v>
      </c>
      <c r="U303" s="135">
        <f t="shared" si="157"/>
        <v>1.4959183673469472E-2</v>
      </c>
      <c r="V303" s="135">
        <f t="shared" si="158"/>
        <v>1.2272727272727271</v>
      </c>
      <c r="W303" s="117">
        <f t="shared" si="173"/>
        <v>490</v>
      </c>
      <c r="X303" s="114">
        <f>IFERROR((VLOOKUP($A303,'ИЗ ГУГЛА'!$B:$G,X$1,0)+Z303)*Y303,VLOOKUP($A303,'ИЗ ГУГЛА'!$B:$G,X$1,0))</f>
        <v>490</v>
      </c>
      <c r="Y303" s="108">
        <v>1</v>
      </c>
      <c r="Z303" s="46"/>
      <c r="AA303" s="139">
        <v>490</v>
      </c>
      <c r="AB303" s="124" t="s">
        <v>2929</v>
      </c>
      <c r="AC303" s="114" t="str">
        <f>IFERROR((VLOOKUP($A303,'ИЗ ГУГЛА'!$B:$Z,AC$1,0)+AE303)*AD303,VLOOKUP($A303,'ИЗ ГУГЛА'!$B:$Z,AC$1,0))</f>
        <v/>
      </c>
      <c r="AD303" s="108">
        <v>1</v>
      </c>
      <c r="AE303" s="46"/>
      <c r="AF303" s="115"/>
    </row>
    <row r="304" spans="1:33" s="5" customFormat="1" ht="30" x14ac:dyDescent="0.25">
      <c r="A304" s="132">
        <v>158290</v>
      </c>
      <c r="B304" s="132">
        <f>VLOOKUP($A304,'Выгр Кат'!$A:$S,B$1,0)</f>
        <v>35551</v>
      </c>
      <c r="C304" s="133" t="str">
        <f>VLOOKUP($A304,'Выгр Кат'!$A:$S,C$1,0)</f>
        <v>Комплект "БРТ" передних брызговиков для Лада XRAY</v>
      </c>
      <c r="D304" s="132" t="str">
        <f>VLOOKUP($A304,'Выгр Кат'!$A:$S,D$1,0)</f>
        <v>Y</v>
      </c>
      <c r="E304" s="132" t="str">
        <f>VLOOKUP($A304,'Выгр Кат'!$A:$S,E$1,0)</f>
        <v>1</v>
      </c>
      <c r="F304" s="132">
        <f>VLOOKUP($A304,'Выгр Кат'!$A:$S,F$1,0)</f>
        <v>0</v>
      </c>
      <c r="G304" s="35" t="s">
        <v>1310</v>
      </c>
      <c r="H304" s="29"/>
      <c r="I304" s="4" t="s">
        <v>2</v>
      </c>
      <c r="J304" s="95">
        <v>1</v>
      </c>
      <c r="K304" s="168">
        <f t="shared" si="159"/>
        <v>175</v>
      </c>
      <c r="L304" s="167">
        <f>VLOOKUP(K304,Наценка!$A$1:$B$8,2,1)</f>
        <v>1.7204301075268817</v>
      </c>
      <c r="M304" s="172">
        <f t="shared" si="162"/>
        <v>301.07526881720429</v>
      </c>
      <c r="N304" s="173">
        <f t="shared" si="152"/>
        <v>309</v>
      </c>
      <c r="O304" s="134">
        <f>VLOOKUP($A304,'Выгр Кат'!$A:$S,O$1,0)</f>
        <v>175</v>
      </c>
      <c r="P304" s="134">
        <f>VLOOKUP($A304,'Выгр Кат'!$A:$S,P$1,0)</f>
        <v>309</v>
      </c>
      <c r="Q304" s="107">
        <f t="shared" si="153"/>
        <v>0</v>
      </c>
      <c r="R304" s="107">
        <f t="shared" si="154"/>
        <v>0</v>
      </c>
      <c r="S304" s="110">
        <f t="shared" si="155"/>
        <v>287.37</v>
      </c>
      <c r="T304" s="135">
        <f t="shared" si="156"/>
        <v>0.64211428571428564</v>
      </c>
      <c r="U304" s="135" t="str">
        <f t="shared" si="157"/>
        <v/>
      </c>
      <c r="V304" s="135" t="str">
        <f t="shared" si="158"/>
        <v/>
      </c>
      <c r="W304" s="45"/>
      <c r="X304" s="114" t="str">
        <f>IFERROR((VLOOKUP($A304,'ИЗ ГУГЛА'!$B:$G,X$1,0)+Z304)*Y304,VLOOKUP($A304,'ИЗ ГУГЛА'!$B:$G,X$1,0))</f>
        <v/>
      </c>
      <c r="Y304" s="108">
        <v>1</v>
      </c>
      <c r="Z304" s="46"/>
      <c r="AA304" s="139" t="s">
        <v>1821</v>
      </c>
      <c r="AB304" s="124"/>
      <c r="AC304" s="114" t="str">
        <f>IFERROR((VLOOKUP($A304,'ИЗ ГУГЛА'!$B:$Z,AC$1,0)+AE304)*AD304,VLOOKUP($A304,'ИЗ ГУГЛА'!$B:$Z,AC$1,0))</f>
        <v/>
      </c>
      <c r="AD304" s="108">
        <v>1</v>
      </c>
      <c r="AE304" s="46"/>
      <c r="AF304" s="115"/>
    </row>
    <row r="305" spans="1:33" s="5" customFormat="1" ht="30.75" thickBot="1" x14ac:dyDescent="0.3">
      <c r="A305" s="132">
        <v>186691</v>
      </c>
      <c r="B305" s="132">
        <f>VLOOKUP($A305,'Выгр Кат'!$A:$S,B$1,0)</f>
        <v>19933</v>
      </c>
      <c r="C305" s="133" t="str">
        <f>VLOOKUP($A305,'Выгр Кат'!$A:$S,C$1,0)</f>
        <v>Патрубок отопителя (печки) подводящий "БРТ" для Лада Калина</v>
      </c>
      <c r="D305" s="132" t="str">
        <f>VLOOKUP($A305,'Выгр Кат'!$A:$S,D$1,0)</f>
        <v>Y</v>
      </c>
      <c r="E305" s="132" t="str">
        <f>VLOOKUP($A305,'Выгр Кат'!$A:$S,E$1,0)</f>
        <v>1</v>
      </c>
      <c r="F305" s="132" t="str">
        <f>VLOOKUP($A305,'Выгр Кат'!$A:$S,F$1,0)</f>
        <v>1118-8101200-10РП</v>
      </c>
      <c r="G305" s="43" t="s">
        <v>231</v>
      </c>
      <c r="H305" s="29"/>
      <c r="I305" s="4" t="s">
        <v>2</v>
      </c>
      <c r="J305" s="95">
        <v>1</v>
      </c>
      <c r="K305" s="168">
        <f t="shared" si="159"/>
        <v>198</v>
      </c>
      <c r="L305" s="167">
        <f>VLOOKUP(K305,Наценка!$A$1:$B$8,2,1)</f>
        <v>1.7204301075268817</v>
      </c>
      <c r="M305" s="148">
        <f>W305*1.06</f>
        <v>348.74</v>
      </c>
      <c r="N305" s="173">
        <f t="shared" si="152"/>
        <v>349</v>
      </c>
      <c r="O305" s="134">
        <f>VLOOKUP($A305,'Выгр Кат'!$A:$S,O$1,0)</f>
        <v>198</v>
      </c>
      <c r="P305" s="134">
        <f>VLOOKUP($A305,'Выгр Кат'!$A:$S,P$1,0)</f>
        <v>349</v>
      </c>
      <c r="Q305" s="107">
        <f t="shared" si="153"/>
        <v>0</v>
      </c>
      <c r="R305" s="107">
        <f t="shared" si="154"/>
        <v>0</v>
      </c>
      <c r="S305" s="110">
        <f t="shared" si="155"/>
        <v>324.57</v>
      </c>
      <c r="T305" s="135">
        <f t="shared" si="156"/>
        <v>0.63924242424242417</v>
      </c>
      <c r="U305" s="135">
        <f t="shared" si="157"/>
        <v>1.3465045592705187E-2</v>
      </c>
      <c r="V305" s="135">
        <f t="shared" si="158"/>
        <v>0.66161616161616155</v>
      </c>
      <c r="W305" s="117">
        <f>AA305</f>
        <v>329</v>
      </c>
      <c r="X305" s="114">
        <f>IFERROR((VLOOKUP($A305,'ИЗ ГУГЛА'!$B:$G,X$1,0)+Z305)*Y305,VLOOKUP($A305,'ИЗ ГУГЛА'!$B:$G,X$1,0))</f>
        <v>329</v>
      </c>
      <c r="Y305" s="108">
        <v>1</v>
      </c>
      <c r="Z305" s="46"/>
      <c r="AA305" s="136">
        <v>329</v>
      </c>
      <c r="AB305" s="124" t="s">
        <v>2664</v>
      </c>
      <c r="AC305" s="114" t="str">
        <f>IFERROR((VLOOKUP($A305,'ИЗ ГУГЛА'!$B:$Z,AC$1,0)+AE305)*AD305,VLOOKUP($A305,'ИЗ ГУГЛА'!$B:$Z,AC$1,0))</f>
        <v/>
      </c>
      <c r="AD305" s="108">
        <v>1</v>
      </c>
      <c r="AE305" s="46"/>
      <c r="AF305" s="115"/>
    </row>
    <row r="306" spans="1:33" s="5" customFormat="1" ht="30.75" thickTop="1" x14ac:dyDescent="0.25">
      <c r="A306" s="132">
        <v>141796</v>
      </c>
      <c r="B306" s="132">
        <f>VLOOKUP($A306,'Выгр Кат'!$A:$S,B$1,0)</f>
        <v>20414</v>
      </c>
      <c r="C306" s="133" t="str">
        <f>VLOOKUP($A306,'Выгр Кат'!$A:$S,C$1,0)</f>
        <v>Гофра "БРТ" проводки двери универсальная (тонкая)</v>
      </c>
      <c r="D306" s="132" t="str">
        <f>VLOOKUP($A306,'Выгр Кат'!$A:$S,D$1,0)</f>
        <v>Y</v>
      </c>
      <c r="E306" s="132" t="str">
        <f>VLOOKUP($A306,'Выгр Кат'!$A:$S,E$1,0)</f>
        <v>1</v>
      </c>
      <c r="F306" s="132">
        <f>VLOOKUP($A306,'Выгр Кат'!$A:$S,F$1,0)</f>
        <v>0</v>
      </c>
      <c r="G306" s="45" t="s">
        <v>1821</v>
      </c>
      <c r="H306" s="29" t="s">
        <v>1821</v>
      </c>
      <c r="I306" s="4" t="s">
        <v>2</v>
      </c>
      <c r="J306" s="95">
        <v>1</v>
      </c>
      <c r="K306" s="168">
        <f t="shared" si="159"/>
        <v>175</v>
      </c>
      <c r="L306" s="167">
        <f>VLOOKUP(K306,Наценка!$A$1:$B$8,2,1)</f>
        <v>1.7204301075268817</v>
      </c>
      <c r="M306" s="172">
        <f t="shared" si="162"/>
        <v>301.07526881720429</v>
      </c>
      <c r="N306" s="173">
        <f t="shared" si="152"/>
        <v>309</v>
      </c>
      <c r="O306" s="134">
        <f>VLOOKUP($A306,'Выгр Кат'!$A:$S,O$1,0)</f>
        <v>175</v>
      </c>
      <c r="P306" s="134">
        <f>VLOOKUP($A306,'Выгр Кат'!$A:$S,P$1,0)</f>
        <v>309</v>
      </c>
      <c r="Q306" s="107">
        <f t="shared" si="153"/>
        <v>0</v>
      </c>
      <c r="R306" s="107">
        <f t="shared" si="154"/>
        <v>0</v>
      </c>
      <c r="S306" s="110">
        <f t="shared" si="155"/>
        <v>287.37</v>
      </c>
      <c r="T306" s="135">
        <f t="shared" si="156"/>
        <v>0.64211428571428564</v>
      </c>
      <c r="U306" s="135" t="str">
        <f t="shared" si="157"/>
        <v/>
      </c>
      <c r="V306" s="135" t="str">
        <f t="shared" si="158"/>
        <v/>
      </c>
      <c r="W306" s="45"/>
      <c r="X306" s="114" t="str">
        <f>IFERROR((VLOOKUP($A306,'ИЗ ГУГЛА'!$B:$G,X$1,0)+Z306)*Y306,VLOOKUP($A306,'ИЗ ГУГЛА'!$B:$G,X$1,0))</f>
        <v/>
      </c>
      <c r="Y306" s="108">
        <v>1</v>
      </c>
      <c r="Z306" s="46"/>
      <c r="AA306" s="139" t="s">
        <v>1821</v>
      </c>
      <c r="AB306" s="124"/>
      <c r="AC306" s="114" t="str">
        <f>IFERROR((VLOOKUP($A306,'ИЗ ГУГЛА'!$B:$Z,AC$1,0)+AE306)*AD306,VLOOKUP($A306,'ИЗ ГУГЛА'!$B:$Z,AC$1,0))</f>
        <v/>
      </c>
      <c r="AD306" s="108">
        <v>1</v>
      </c>
      <c r="AE306" s="46"/>
      <c r="AF306" s="115"/>
    </row>
    <row r="307" spans="1:33" s="5" customFormat="1" ht="45" x14ac:dyDescent="0.25">
      <c r="A307" s="132">
        <v>202089</v>
      </c>
      <c r="B307" s="132">
        <f>VLOOKUP($A307,'Выгр Кат'!$A:$S,B$1,0)</f>
        <v>35257</v>
      </c>
      <c r="C307" s="133" t="str">
        <f>VLOOKUP($A307,'Выгр Кат'!$A:$S,C$1,0)</f>
        <v>Пыльник ШРУСа "БРТ" внешний для Лада (Нива 4х4, Нива Урбан), Шевроле Нива</v>
      </c>
      <c r="D307" s="132" t="str">
        <f>VLOOKUP($A307,'Выгр Кат'!$A:$S,D$1,0)</f>
        <v>Y</v>
      </c>
      <c r="E307" s="132" t="str">
        <f>VLOOKUP($A307,'Выгр Кат'!$A:$S,E$1,0)</f>
        <v>1</v>
      </c>
      <c r="F307" s="132" t="str">
        <f>VLOOKUP($A307,'Выгр Кат'!$A:$S,F$1,0)</f>
        <v>21213-2215030</v>
      </c>
      <c r="G307" s="44" t="s">
        <v>468</v>
      </c>
      <c r="H307" s="29"/>
      <c r="I307" s="4" t="s">
        <v>2</v>
      </c>
      <c r="J307" s="95">
        <v>1</v>
      </c>
      <c r="K307" s="168">
        <f t="shared" si="159"/>
        <v>187</v>
      </c>
      <c r="L307" s="167">
        <f>VLOOKUP(K307,Наценка!$A$1:$B$8,2,1)</f>
        <v>1.7204301075268817</v>
      </c>
      <c r="M307" s="148">
        <f t="shared" ref="M307:M308" si="175">W307*1.06</f>
        <v>307.40000000000003</v>
      </c>
      <c r="N307" s="173">
        <f t="shared" si="152"/>
        <v>309</v>
      </c>
      <c r="O307" s="134">
        <f>VLOOKUP($A307,'Выгр Кат'!$A:$S,O$1,0)</f>
        <v>187</v>
      </c>
      <c r="P307" s="134">
        <f>VLOOKUP($A307,'Выгр Кат'!$A:$S,P$1,0)</f>
        <v>329</v>
      </c>
      <c r="Q307" s="107">
        <f t="shared" si="153"/>
        <v>0</v>
      </c>
      <c r="R307" s="107">
        <f t="shared" si="154"/>
        <v>20</v>
      </c>
      <c r="S307" s="110">
        <f t="shared" si="155"/>
        <v>287.37</v>
      </c>
      <c r="T307" s="135">
        <f t="shared" si="156"/>
        <v>0.53673796791443862</v>
      </c>
      <c r="U307" s="135">
        <f t="shared" si="157"/>
        <v>9.0689655172413643E-3</v>
      </c>
      <c r="V307" s="135">
        <f t="shared" si="158"/>
        <v>0.55080213903743314</v>
      </c>
      <c r="W307" s="117">
        <f t="shared" ref="W307:W311" si="176">AA307</f>
        <v>290</v>
      </c>
      <c r="X307" s="114">
        <f>IFERROR((VLOOKUP($A307,'ИЗ ГУГЛА'!$B:$G,X$1,0)+Z307)*Y307,VLOOKUP($A307,'ИЗ ГУГЛА'!$B:$G,X$1,0))</f>
        <v>290</v>
      </c>
      <c r="Y307" s="108">
        <v>1</v>
      </c>
      <c r="Z307" s="46"/>
      <c r="AA307" s="139">
        <v>290</v>
      </c>
      <c r="AB307" s="124" t="s">
        <v>2928</v>
      </c>
      <c r="AC307" s="114" t="str">
        <f>IFERROR((VLOOKUP($A307,'ИЗ ГУГЛА'!$B:$Z,AC$1,0)+AE307)*AD307,VLOOKUP($A307,'ИЗ ГУГЛА'!$B:$Z,AC$1,0))</f>
        <v/>
      </c>
      <c r="AD307" s="108">
        <v>1</v>
      </c>
      <c r="AE307" s="46"/>
      <c r="AF307" s="115"/>
    </row>
    <row r="308" spans="1:33" s="5" customFormat="1" ht="90.75" thickBot="1" x14ac:dyDescent="0.3">
      <c r="A308" s="132">
        <v>186774</v>
      </c>
      <c r="B308" s="132">
        <f>VLOOKUP($A308,'Выгр Кат'!$A:$S,B$1,0)</f>
        <v>19965</v>
      </c>
      <c r="C308" s="133" t="str">
        <f>VLOOKUP($A308,'Выгр Кат'!$A:$S,C$1,0)</f>
        <v>Патрубок сапуна вытяжной вентиляции картера "БРТ" нижний (большой) для ВАЗ (2108-21099, 2110-2112, 2113-2115), Лада (Калина, Приора, Калина 2, Гранта, Ларгус, Гранта FL)</v>
      </c>
      <c r="D308" s="132" t="str">
        <f>VLOOKUP($A308,'Выгр Кат'!$A:$S,D$1,0)</f>
        <v>Y</v>
      </c>
      <c r="E308" s="132" t="str">
        <f>VLOOKUP($A308,'Выгр Кат'!$A:$S,E$1,0)</f>
        <v>1</v>
      </c>
      <c r="F308" s="132" t="str">
        <f>VLOOKUP($A308,'Выгр Кат'!$A:$S,F$1,0)</f>
        <v>2108-1014056-10РП</v>
      </c>
      <c r="G308" s="45" t="s">
        <v>323</v>
      </c>
      <c r="H308" s="29"/>
      <c r="I308" s="4" t="s">
        <v>2</v>
      </c>
      <c r="J308" s="95">
        <v>1</v>
      </c>
      <c r="K308" s="168">
        <f t="shared" si="159"/>
        <v>202</v>
      </c>
      <c r="L308" s="167">
        <f>VLOOKUP(K308,Наценка!$A$1:$B$8,2,1)</f>
        <v>1.7204301075268817</v>
      </c>
      <c r="M308" s="148">
        <f t="shared" si="175"/>
        <v>348.74</v>
      </c>
      <c r="N308" s="173">
        <f t="shared" si="152"/>
        <v>349</v>
      </c>
      <c r="O308" s="134">
        <f>VLOOKUP($A308,'Выгр Кат'!$A:$S,O$1,0)</f>
        <v>202</v>
      </c>
      <c r="P308" s="134">
        <f>VLOOKUP($A308,'Выгр Кат'!$A:$S,P$1,0)</f>
        <v>349</v>
      </c>
      <c r="Q308" s="107">
        <f t="shared" si="153"/>
        <v>0</v>
      </c>
      <c r="R308" s="107">
        <f t="shared" si="154"/>
        <v>0</v>
      </c>
      <c r="S308" s="110">
        <f t="shared" si="155"/>
        <v>324.57</v>
      </c>
      <c r="T308" s="135">
        <f t="shared" si="156"/>
        <v>0.60678217821782177</v>
      </c>
      <c r="U308" s="135">
        <f t="shared" si="157"/>
        <v>1.3465045592705187E-2</v>
      </c>
      <c r="V308" s="135">
        <f t="shared" si="158"/>
        <v>0.62871287128712861</v>
      </c>
      <c r="W308" s="117">
        <f t="shared" si="176"/>
        <v>329</v>
      </c>
      <c r="X308" s="114">
        <f>IFERROR((VLOOKUP($A308,'ИЗ ГУГЛА'!$B:$G,X$1,0)+Z308)*Y308,VLOOKUP($A308,'ИЗ ГУГЛА'!$B:$G,X$1,0))</f>
        <v>329</v>
      </c>
      <c r="Y308" s="108">
        <v>1</v>
      </c>
      <c r="Z308" s="46"/>
      <c r="AA308" s="136">
        <v>329</v>
      </c>
      <c r="AB308" s="124" t="s">
        <v>2657</v>
      </c>
      <c r="AC308" s="114" t="str">
        <f>IFERROR((VLOOKUP($A308,'ИЗ ГУГЛА'!$B:$Z,AC$1,0)+AE308)*AD308,VLOOKUP($A308,'ИЗ ГУГЛА'!$B:$Z,AC$1,0))</f>
        <v/>
      </c>
      <c r="AD308" s="108">
        <v>1</v>
      </c>
      <c r="AE308" s="46"/>
      <c r="AF308" s="115"/>
    </row>
    <row r="309" spans="1:33" s="5" customFormat="1" ht="30.75" thickTop="1" x14ac:dyDescent="0.25">
      <c r="A309" s="132">
        <v>181698</v>
      </c>
      <c r="B309" s="132">
        <f>VLOOKUP($A309,'Выгр Кат'!$A:$S,B$1,0)</f>
        <v>26528</v>
      </c>
      <c r="C309" s="133" t="str">
        <f>VLOOKUP($A309,'Выгр Кат'!$A:$S,C$1,0)</f>
        <v>Опора ресивера "Мобиль" для ВАЗ 2110-2112, Лада Приора</v>
      </c>
      <c r="D309" s="132" t="str">
        <f>VLOOKUP($A309,'Выгр Кат'!$A:$S,D$1,0)</f>
        <v>Y</v>
      </c>
      <c r="E309" s="132" t="str">
        <f>VLOOKUP($A309,'Выгр Кат'!$A:$S,E$1,0)</f>
        <v>1</v>
      </c>
      <c r="F309" s="132" t="str">
        <f>VLOOKUP($A309,'Выгр Кат'!$A:$S,F$1,0)</f>
        <v>21120-1008104-00</v>
      </c>
      <c r="G309" s="45" t="s">
        <v>421</v>
      </c>
      <c r="H309" s="29"/>
      <c r="I309" s="4" t="s">
        <v>2</v>
      </c>
      <c r="J309" s="95">
        <v>1</v>
      </c>
      <c r="K309" s="168">
        <f t="shared" si="159"/>
        <v>60</v>
      </c>
      <c r="L309" s="167">
        <f>VLOOKUP(K309,Наценка!$A$1:$B$8,2,1)</f>
        <v>2.150537634408602</v>
      </c>
      <c r="M309" s="149">
        <f t="shared" ref="M307:M311" si="177">W309*1.07</f>
        <v>159.43</v>
      </c>
      <c r="N309" s="173">
        <f t="shared" si="152"/>
        <v>159</v>
      </c>
      <c r="O309" s="134">
        <f>VLOOKUP($A309,'Выгр Кат'!$A:$S,O$1,0)</f>
        <v>60</v>
      </c>
      <c r="P309" s="134">
        <f>VLOOKUP($A309,'Выгр Кат'!$A:$S,P$1,0)</f>
        <v>129</v>
      </c>
      <c r="Q309" s="107">
        <f t="shared" si="153"/>
        <v>0</v>
      </c>
      <c r="R309" s="107">
        <f t="shared" si="154"/>
        <v>-30</v>
      </c>
      <c r="S309" s="110">
        <f t="shared" si="155"/>
        <v>147.86999999999998</v>
      </c>
      <c r="T309" s="135">
        <f t="shared" si="156"/>
        <v>1.4644999999999997</v>
      </c>
      <c r="U309" s="135">
        <f t="shared" si="157"/>
        <v>7.5838926174498248E-3</v>
      </c>
      <c r="V309" s="135">
        <f t="shared" si="158"/>
        <v>1.4833333333333334</v>
      </c>
      <c r="W309" s="117">
        <f t="shared" si="176"/>
        <v>149</v>
      </c>
      <c r="X309" s="114">
        <f>IFERROR((VLOOKUP($A309,'ИЗ ГУГЛА'!$B:$G,X$1,0)+Z309)*Y309,VLOOKUP($A309,'ИЗ ГУГЛА'!$B:$G,X$1,0))</f>
        <v>149</v>
      </c>
      <c r="Y309" s="108">
        <v>1</v>
      </c>
      <c r="Z309" s="46"/>
      <c r="AA309" s="139">
        <v>149</v>
      </c>
      <c r="AB309" s="124" t="s">
        <v>2927</v>
      </c>
      <c r="AC309" s="114" t="str">
        <f>IFERROR((VLOOKUP($A309,'ИЗ ГУГЛА'!$B:$Z,AC$1,0)+AE309)*AD309,VLOOKUP($A309,'ИЗ ГУГЛА'!$B:$Z,AC$1,0))</f>
        <v/>
      </c>
      <c r="AD309" s="108">
        <v>1</v>
      </c>
      <c r="AE309" s="46"/>
      <c r="AF309" s="115"/>
    </row>
    <row r="310" spans="1:33" s="5" customFormat="1" ht="30" x14ac:dyDescent="0.25">
      <c r="A310" s="132">
        <v>204314</v>
      </c>
      <c r="B310" s="132">
        <f>VLOOKUP($A310,'Выгр Кат'!$A:$S,B$1,0)</f>
        <v>20372</v>
      </c>
      <c r="C310" s="133" t="str">
        <f>VLOOKUP($A310,'Выгр Кат'!$A:$S,C$1,0)</f>
        <v>Ремень привода насоса ГУР в сборе "БРТ" для Лада Нива 4x4</v>
      </c>
      <c r="D310" s="132" t="str">
        <f>VLOOKUP($A310,'Выгр Кат'!$A:$S,D$1,0)</f>
        <v>Y</v>
      </c>
      <c r="E310" s="132" t="str">
        <f>VLOOKUP($A310,'Выгр Кат'!$A:$S,E$1,0)</f>
        <v>1</v>
      </c>
      <c r="F310" s="132" t="str">
        <f>VLOOKUP($A310,'Выгр Кат'!$A:$S,F$1,0)</f>
        <v>21214340704200</v>
      </c>
      <c r="G310" s="43" t="s">
        <v>473</v>
      </c>
      <c r="H310" s="29"/>
      <c r="I310" s="4" t="s">
        <v>2</v>
      </c>
      <c r="J310" s="95">
        <v>1</v>
      </c>
      <c r="K310" s="168">
        <f t="shared" si="159"/>
        <v>195</v>
      </c>
      <c r="L310" s="167">
        <f>VLOOKUP(K310,Наценка!$A$1:$B$8,2,1)</f>
        <v>1.7204301075268817</v>
      </c>
      <c r="M310" s="148">
        <f t="shared" ref="M310:M311" si="178">W310*1.06</f>
        <v>625.4</v>
      </c>
      <c r="N310" s="173">
        <f t="shared" si="152"/>
        <v>629</v>
      </c>
      <c r="O310" s="134">
        <f>VLOOKUP($A310,'Выгр Кат'!$A:$S,O$1,0)</f>
        <v>195</v>
      </c>
      <c r="P310" s="134">
        <f>VLOOKUP($A310,'Выгр Кат'!$A:$S,P$1,0)</f>
        <v>339</v>
      </c>
      <c r="Q310" s="107">
        <f t="shared" si="153"/>
        <v>0</v>
      </c>
      <c r="R310" s="107">
        <f t="shared" si="154"/>
        <v>-290</v>
      </c>
      <c r="S310" s="110">
        <f t="shared" si="155"/>
        <v>584.96999999999991</v>
      </c>
      <c r="T310" s="135">
        <f t="shared" si="156"/>
        <v>1.9998461538461534</v>
      </c>
      <c r="U310" s="135">
        <f t="shared" si="157"/>
        <v>8.5254237288137063E-3</v>
      </c>
      <c r="V310" s="135">
        <f t="shared" si="158"/>
        <v>2.0256410256410255</v>
      </c>
      <c r="W310" s="117">
        <f t="shared" si="176"/>
        <v>590</v>
      </c>
      <c r="X310" s="114">
        <f>IFERROR((VLOOKUP($A310,'ИЗ ГУГЛА'!$B:$G,X$1,0)+Z310)*Y310,VLOOKUP($A310,'ИЗ ГУГЛА'!$B:$G,X$1,0))</f>
        <v>590</v>
      </c>
      <c r="Y310" s="108">
        <v>1</v>
      </c>
      <c r="Z310" s="46"/>
      <c r="AA310" s="139">
        <v>590</v>
      </c>
      <c r="AB310" s="124" t="s">
        <v>2925</v>
      </c>
      <c r="AC310" s="114" t="str">
        <f>IFERROR((VLOOKUP($A310,'ИЗ ГУГЛА'!$B:$Z,AC$1,0)+AE310)*AD310,VLOOKUP($A310,'ИЗ ГУГЛА'!$B:$Z,AC$1,0))</f>
        <v/>
      </c>
      <c r="AD310" s="108">
        <v>1</v>
      </c>
      <c r="AE310" s="46"/>
      <c r="AF310" s="115">
        <v>305</v>
      </c>
      <c r="AG310" s="5" t="s">
        <v>2926</v>
      </c>
    </row>
    <row r="311" spans="1:33" s="5" customFormat="1" ht="45.75" thickBot="1" x14ac:dyDescent="0.3">
      <c r="A311" s="132">
        <v>186634</v>
      </c>
      <c r="B311" s="132">
        <f>VLOOKUP($A311,'Выгр Кат'!$A:$S,B$1,0)</f>
        <v>20381</v>
      </c>
      <c r="C311" s="133" t="str">
        <f>VLOOKUP($A311,'Выгр Кат'!$A:$S,C$1,0)</f>
        <v>Патрубок верхний радиатора "БРТ" подводящий для ВАЗ 2110-2112, Лада Приора (16-ти клапанный двигатель)</v>
      </c>
      <c r="D311" s="132" t="str">
        <f>VLOOKUP($A311,'Выгр Кат'!$A:$S,D$1,0)</f>
        <v>Y</v>
      </c>
      <c r="E311" s="132" t="str">
        <f>VLOOKUP($A311,'Выгр Кат'!$A:$S,E$1,0)</f>
        <v>1</v>
      </c>
      <c r="F311" s="132" t="str">
        <f>VLOOKUP($A311,'Выгр Кат'!$A:$S,F$1,0)</f>
        <v>2112-1303025РП</v>
      </c>
      <c r="G311" s="45" t="s">
        <v>429</v>
      </c>
      <c r="H311" s="29"/>
      <c r="I311" s="4" t="s">
        <v>2</v>
      </c>
      <c r="J311" s="95">
        <v>1</v>
      </c>
      <c r="K311" s="168">
        <f t="shared" si="159"/>
        <v>203</v>
      </c>
      <c r="L311" s="167">
        <f>VLOOKUP(K311,Наценка!$A$1:$B$8,2,1)</f>
        <v>1.7204301075268817</v>
      </c>
      <c r="M311" s="148">
        <f t="shared" si="178"/>
        <v>666.74</v>
      </c>
      <c r="N311" s="173">
        <f t="shared" si="152"/>
        <v>669</v>
      </c>
      <c r="O311" s="134">
        <f>VLOOKUP($A311,'Выгр Кат'!$A:$S,O$1,0)</f>
        <v>203</v>
      </c>
      <c r="P311" s="134">
        <f>VLOOKUP($A311,'Выгр Кат'!$A:$S,P$1,0)</f>
        <v>659</v>
      </c>
      <c r="Q311" s="107">
        <f t="shared" si="153"/>
        <v>0</v>
      </c>
      <c r="R311" s="107">
        <f t="shared" si="154"/>
        <v>-10</v>
      </c>
      <c r="S311" s="110">
        <f t="shared" si="155"/>
        <v>622.16999999999996</v>
      </c>
      <c r="T311" s="135">
        <f t="shared" si="156"/>
        <v>2.0648768472906402</v>
      </c>
      <c r="U311" s="135">
        <f t="shared" si="157"/>
        <v>1.0858505564387982E-2</v>
      </c>
      <c r="V311" s="135">
        <f t="shared" si="158"/>
        <v>2.0985221674876846</v>
      </c>
      <c r="W311" s="117">
        <f t="shared" si="176"/>
        <v>629</v>
      </c>
      <c r="X311" s="114">
        <f>IFERROR((VLOOKUP($A311,'ИЗ ГУГЛА'!$B:$G,X$1,0)+Z311)*Y311,VLOOKUP($A311,'ИЗ ГУГЛА'!$B:$G,X$1,0))</f>
        <v>629</v>
      </c>
      <c r="Y311" s="108">
        <v>1</v>
      </c>
      <c r="Z311" s="46"/>
      <c r="AA311" s="136">
        <v>629</v>
      </c>
      <c r="AB311" s="124" t="s">
        <v>2601</v>
      </c>
      <c r="AC311" s="114" t="str">
        <f>IFERROR((VLOOKUP($A311,'ИЗ ГУГЛА'!$B:$Z,AC$1,0)+AE311)*AD311,VLOOKUP($A311,'ИЗ ГУГЛА'!$B:$Z,AC$1,0))</f>
        <v/>
      </c>
      <c r="AD311" s="108">
        <v>1</v>
      </c>
      <c r="AE311" s="46"/>
      <c r="AF311" s="115"/>
    </row>
    <row r="312" spans="1:33" s="5" customFormat="1" ht="45.75" thickTop="1" x14ac:dyDescent="0.25">
      <c r="A312" s="132">
        <v>204348</v>
      </c>
      <c r="B312" s="132">
        <f>VLOOKUP($A312,'Выгр Кат'!$A:$S,B$1,0)</f>
        <v>20263</v>
      </c>
      <c r="C312" s="133" t="str">
        <f>VLOOKUP($A312,'Выгр Кат'!$A:$S,C$1,0)</f>
        <v>Ремкомплект 179Р Р/К подушки подвески глушителя "БРТ" для Лада Приора</v>
      </c>
      <c r="D312" s="132" t="str">
        <f>VLOOKUP($A312,'Выгр Кат'!$A:$S,D$1,0)</f>
        <v>Y</v>
      </c>
      <c r="E312" s="132" t="str">
        <f>VLOOKUP($A312,'Выгр Кат'!$A:$S,E$1,0)</f>
        <v>1</v>
      </c>
      <c r="F312" s="132" t="str">
        <f>VLOOKUP($A312,'Выгр Кат'!$A:$S,F$1,0)</f>
        <v>2170-1203073Р, 21213-1203073Р.</v>
      </c>
      <c r="G312" s="45" t="s">
        <v>1821</v>
      </c>
      <c r="H312" s="29" t="s">
        <v>1821</v>
      </c>
      <c r="I312" s="4" t="s">
        <v>2</v>
      </c>
      <c r="J312" s="95">
        <v>1</v>
      </c>
      <c r="K312" s="168">
        <f t="shared" si="159"/>
        <v>180</v>
      </c>
      <c r="L312" s="167">
        <f>VLOOKUP(K312,Наценка!$A$1:$B$8,2,1)</f>
        <v>1.7204301075268817</v>
      </c>
      <c r="M312" s="172">
        <f t="shared" si="162"/>
        <v>309.67741935483872</v>
      </c>
      <c r="N312" s="173">
        <f t="shared" si="152"/>
        <v>309</v>
      </c>
      <c r="O312" s="134">
        <f>VLOOKUP($A312,'Выгр Кат'!$A:$S,O$1,0)</f>
        <v>180</v>
      </c>
      <c r="P312" s="134">
        <f>VLOOKUP($A312,'Выгр Кат'!$A:$S,P$1,0)</f>
        <v>309</v>
      </c>
      <c r="Q312" s="107">
        <f t="shared" si="153"/>
        <v>0</v>
      </c>
      <c r="R312" s="107">
        <f t="shared" si="154"/>
        <v>0</v>
      </c>
      <c r="S312" s="110">
        <f t="shared" si="155"/>
        <v>287.37</v>
      </c>
      <c r="T312" s="135">
        <f t="shared" si="156"/>
        <v>0.59650000000000003</v>
      </c>
      <c r="U312" s="135" t="str">
        <f t="shared" si="157"/>
        <v/>
      </c>
      <c r="V312" s="135" t="str">
        <f t="shared" si="158"/>
        <v/>
      </c>
      <c r="W312" s="45"/>
      <c r="X312" s="114">
        <f>IFERROR((VLOOKUP($A312,'ИЗ ГУГЛА'!$B:$G,X$1,0)+Z312)*Y312,VLOOKUP($A312,'ИЗ ГУГЛА'!$B:$G,X$1,0))</f>
        <v>369</v>
      </c>
      <c r="Y312" s="108">
        <v>1</v>
      </c>
      <c r="Z312" s="46"/>
      <c r="AA312" s="139" t="s">
        <v>2924</v>
      </c>
      <c r="AB312" s="124" t="s">
        <v>2923</v>
      </c>
      <c r="AC312" s="114" t="str">
        <f>IFERROR((VLOOKUP($A312,'ИЗ ГУГЛА'!$B:$Z,AC$1,0)+AE312)*AD312,VLOOKUP($A312,'ИЗ ГУГЛА'!$B:$Z,AC$1,0))</f>
        <v/>
      </c>
      <c r="AD312" s="108">
        <v>1</v>
      </c>
      <c r="AE312" s="46"/>
      <c r="AF312" s="115"/>
    </row>
    <row r="313" spans="1:33" s="5" customFormat="1" ht="45" x14ac:dyDescent="0.25">
      <c r="A313" s="132">
        <v>158297</v>
      </c>
      <c r="B313" s="132">
        <f>VLOOKUP($A313,'Выгр Кат'!$A:$S,B$1,0)</f>
        <v>35482</v>
      </c>
      <c r="C313" s="133" t="str">
        <f>VLOOKUP($A313,'Выгр Кат'!$A:$S,C$1,0)</f>
        <v>Комплект "БРТ" резиновые заглушки пола кузова для ВАЗ 2108-21099, 2113-2115</v>
      </c>
      <c r="D313" s="132" t="str">
        <f>VLOOKUP($A313,'Выгр Кат'!$A:$S,D$1,0)</f>
        <v>Y</v>
      </c>
      <c r="E313" s="132" t="str">
        <f>VLOOKUP($A313,'Выгр Кат'!$A:$S,E$1,0)</f>
        <v>1</v>
      </c>
      <c r="F313" s="132" t="str">
        <f>VLOOKUP($A313,'Выгр Кат'!$A:$S,F$1,0)</f>
        <v>2108-51120</v>
      </c>
      <c r="G313" s="45" t="s">
        <v>1821</v>
      </c>
      <c r="H313" s="29" t="s">
        <v>1821</v>
      </c>
      <c r="I313" s="4" t="s">
        <v>2</v>
      </c>
      <c r="J313" s="95">
        <v>1</v>
      </c>
      <c r="K313" s="168">
        <f t="shared" si="159"/>
        <v>450</v>
      </c>
      <c r="L313" s="167">
        <f>VLOOKUP(K313,Наценка!$A$1:$B$8,2,1)</f>
        <v>1.5053763440860215</v>
      </c>
      <c r="M313" s="146">
        <f>W313*1.02</f>
        <v>1081.2</v>
      </c>
      <c r="N313" s="173">
        <f t="shared" si="152"/>
        <v>1090</v>
      </c>
      <c r="O313" s="134">
        <f>VLOOKUP($A313,'Выгр Кат'!$A:$S,O$1,0)</f>
        <v>450</v>
      </c>
      <c r="P313" s="134">
        <f>VLOOKUP($A313,'Выгр Кат'!$A:$S,P$1,0)</f>
        <v>679</v>
      </c>
      <c r="Q313" s="107">
        <f t="shared" si="153"/>
        <v>0</v>
      </c>
      <c r="R313" s="107">
        <f t="shared" si="154"/>
        <v>-411</v>
      </c>
      <c r="S313" s="110">
        <f t="shared" si="155"/>
        <v>1013.6999999999999</v>
      </c>
      <c r="T313" s="135">
        <f t="shared" si="156"/>
        <v>1.2526666666666664</v>
      </c>
      <c r="U313" s="135">
        <f t="shared" si="157"/>
        <v>4.3679245283018933E-2</v>
      </c>
      <c r="V313" s="135">
        <f t="shared" si="158"/>
        <v>1.3555555555555556</v>
      </c>
      <c r="W313" s="118">
        <f>AF313</f>
        <v>1060</v>
      </c>
      <c r="X313" s="114" t="str">
        <f>IFERROR((VLOOKUP($A313,'ИЗ ГУГЛА'!$B:$G,X$1,0)+Z313)*Y313,VLOOKUP($A313,'ИЗ ГУГЛА'!$B:$G,X$1,0))</f>
        <v/>
      </c>
      <c r="Y313" s="108">
        <v>1</v>
      </c>
      <c r="Z313" s="46"/>
      <c r="AA313" s="139" t="s">
        <v>1821</v>
      </c>
      <c r="AB313" s="124"/>
      <c r="AC313" s="114">
        <f>IFERROR((VLOOKUP($A313,'ИЗ ГУГЛА'!$B:$Z,AC$1,0)+AE313)*AD313,VLOOKUP($A313,'ИЗ ГУГЛА'!$B:$Z,AC$1,0))</f>
        <v>1060</v>
      </c>
      <c r="AD313" s="108">
        <v>1</v>
      </c>
      <c r="AE313" s="46"/>
      <c r="AF313" s="115">
        <v>1060</v>
      </c>
      <c r="AG313" s="5" t="s">
        <v>2922</v>
      </c>
    </row>
    <row r="314" spans="1:33" s="5" customFormat="1" ht="30.75" thickBot="1" x14ac:dyDescent="0.3">
      <c r="A314" s="132">
        <v>223216</v>
      </c>
      <c r="B314" s="132">
        <f>VLOOKUP($A314,'Выгр Кат'!$A:$S,B$1,0)</f>
        <v>5571</v>
      </c>
      <c r="C314" s="133" t="str">
        <f>VLOOKUP($A314,'Выгр Кат'!$A:$S,C$1,0)</f>
        <v>Уплотнитель "БРТ" капота для ВАЗ 2108-21099, 2110-2112, 2113-2115</v>
      </c>
      <c r="D314" s="132" t="str">
        <f>VLOOKUP($A314,'Выгр Кат'!$A:$S,D$1,0)</f>
        <v>Y</v>
      </c>
      <c r="E314" s="132" t="str">
        <f>VLOOKUP($A314,'Выгр Кат'!$A:$S,E$1,0)</f>
        <v>1</v>
      </c>
      <c r="F314" s="132" t="str">
        <f>VLOOKUP($A314,'Выгр Кат'!$A:$S,F$1,0)</f>
        <v>2108-8402200</v>
      </c>
      <c r="G314" s="99" t="s">
        <v>367</v>
      </c>
      <c r="H314" s="29"/>
      <c r="I314" s="4" t="s">
        <v>2</v>
      </c>
      <c r="J314" s="95">
        <v>1</v>
      </c>
      <c r="K314" s="168">
        <f t="shared" si="159"/>
        <v>205</v>
      </c>
      <c r="L314" s="167">
        <f>VLOOKUP(K314,Наценка!$A$1:$B$8,2,1)</f>
        <v>1.7204301075268817</v>
      </c>
      <c r="M314" s="148">
        <f t="shared" ref="M313:M316" si="179">W314*1.05</f>
        <v>555.45000000000005</v>
      </c>
      <c r="N314" s="173">
        <f t="shared" si="152"/>
        <v>559</v>
      </c>
      <c r="O314" s="134">
        <f>VLOOKUP($A314,'Выгр Кат'!$A:$S,O$1,0)</f>
        <v>205</v>
      </c>
      <c r="P314" s="134">
        <f>VLOOKUP($A314,'Выгр Кат'!$A:$S,P$1,0)</f>
        <v>559</v>
      </c>
      <c r="Q314" s="107">
        <f t="shared" si="153"/>
        <v>0</v>
      </c>
      <c r="R314" s="107">
        <f t="shared" si="154"/>
        <v>0</v>
      </c>
      <c r="S314" s="110">
        <f t="shared" si="155"/>
        <v>519.87</v>
      </c>
      <c r="T314" s="135">
        <f t="shared" si="156"/>
        <v>1.5359512195121949</v>
      </c>
      <c r="U314" s="135">
        <f t="shared" si="157"/>
        <v>1.725897920604914E-2</v>
      </c>
      <c r="V314" s="135">
        <f t="shared" si="158"/>
        <v>1.5804878048780489</v>
      </c>
      <c r="W314" s="117">
        <f t="shared" ref="W314:W316" si="180">AA314</f>
        <v>529</v>
      </c>
      <c r="X314" s="114">
        <f>IFERROR((VLOOKUP($A314,'ИЗ ГУГЛА'!$B:$G,X$1,0)+Z314)*Y314,VLOOKUP($A314,'ИЗ ГУГЛА'!$B:$G,X$1,0))</f>
        <v>529</v>
      </c>
      <c r="Y314" s="46">
        <v>1</v>
      </c>
      <c r="Z314" s="46"/>
      <c r="AA314" s="138">
        <v>529</v>
      </c>
      <c r="AB314" s="124" t="s">
        <v>2290</v>
      </c>
      <c r="AC314" s="114" t="str">
        <f>IFERROR((VLOOKUP($A314,'ИЗ ГУГЛА'!$B:$Z,AC$1,0)+AE314)*AD314,VLOOKUP($A314,'ИЗ ГУГЛА'!$B:$Z,AC$1,0))</f>
        <v/>
      </c>
      <c r="AD314" s="46">
        <v>1</v>
      </c>
      <c r="AE314" s="46"/>
      <c r="AF314" s="115"/>
    </row>
    <row r="315" spans="1:33" s="5" customFormat="1" ht="30.75" thickTop="1" x14ac:dyDescent="0.25">
      <c r="A315" s="132">
        <v>202117</v>
      </c>
      <c r="B315" s="132">
        <f>VLOOKUP($A315,'Выгр Кат'!$A:$S,B$1,0)</f>
        <v>35477</v>
      </c>
      <c r="C315" s="133" t="str">
        <f>VLOOKUP($A315,'Выгр Кат'!$A:$S,C$1,0)</f>
        <v>Пыльник "БРТ" ШРУСа наружного для Лада Калина</v>
      </c>
      <c r="D315" s="132" t="str">
        <f>VLOOKUP($A315,'Выгр Кат'!$A:$S,D$1,0)</f>
        <v>Y</v>
      </c>
      <c r="E315" s="132" t="str">
        <f>VLOOKUP($A315,'Выгр Кат'!$A:$S,E$1,0)</f>
        <v>1</v>
      </c>
      <c r="F315" s="132" t="str">
        <f>VLOOKUP($A315,'Выгр Кат'!$A:$S,F$1,0)</f>
        <v>1118-2215030Р</v>
      </c>
      <c r="G315" s="44" t="s">
        <v>224</v>
      </c>
      <c r="H315" s="29"/>
      <c r="I315" s="4" t="s">
        <v>2</v>
      </c>
      <c r="J315" s="95">
        <v>1</v>
      </c>
      <c r="K315" s="168">
        <f t="shared" si="159"/>
        <v>194</v>
      </c>
      <c r="L315" s="167">
        <f>VLOOKUP(K315,Наценка!$A$1:$B$8,2,1)</f>
        <v>1.7204301075268817</v>
      </c>
      <c r="M315" s="148">
        <f t="shared" si="179"/>
        <v>387.45</v>
      </c>
      <c r="N315" s="173">
        <f t="shared" si="152"/>
        <v>389</v>
      </c>
      <c r="O315" s="134">
        <f>VLOOKUP($A315,'Выгр Кат'!$A:$S,O$1,0)</f>
        <v>194</v>
      </c>
      <c r="P315" s="134">
        <f>VLOOKUP($A315,'Выгр Кат'!$A:$S,P$1,0)</f>
        <v>339</v>
      </c>
      <c r="Q315" s="107">
        <f t="shared" si="153"/>
        <v>0</v>
      </c>
      <c r="R315" s="107">
        <f t="shared" si="154"/>
        <v>-50</v>
      </c>
      <c r="S315" s="110">
        <f t="shared" si="155"/>
        <v>361.77</v>
      </c>
      <c r="T315" s="135">
        <f t="shared" si="156"/>
        <v>0.86479381443298964</v>
      </c>
      <c r="U315" s="135">
        <f t="shared" si="157"/>
        <v>1.9593495934959401E-2</v>
      </c>
      <c r="V315" s="135">
        <f t="shared" si="158"/>
        <v>0.902061855670103</v>
      </c>
      <c r="W315" s="117">
        <f t="shared" si="180"/>
        <v>369</v>
      </c>
      <c r="X315" s="114">
        <f>IFERROR((VLOOKUP($A315,'ИЗ ГУГЛА'!$B:$G,X$1,0)+Z315)*Y315,VLOOKUP($A315,'ИЗ ГУГЛА'!$B:$G,X$1,0))</f>
        <v>369</v>
      </c>
      <c r="Y315" s="108">
        <v>1</v>
      </c>
      <c r="Z315" s="46"/>
      <c r="AA315" s="139">
        <v>369</v>
      </c>
      <c r="AB315" s="124" t="s">
        <v>2920</v>
      </c>
      <c r="AC315" s="114">
        <f>IFERROR((VLOOKUP($A315,'ИЗ ГУГЛА'!$B:$Z,AC$1,0)+AE315)*AD315,VLOOKUP($A315,'ИЗ ГУГЛА'!$B:$Z,AC$1,0))</f>
        <v>300</v>
      </c>
      <c r="AD315" s="108">
        <v>1</v>
      </c>
      <c r="AE315" s="46"/>
      <c r="AF315" s="115">
        <v>300</v>
      </c>
      <c r="AG315" s="5" t="s">
        <v>2921</v>
      </c>
    </row>
    <row r="316" spans="1:33" s="5" customFormat="1" ht="45.75" thickBot="1" x14ac:dyDescent="0.3">
      <c r="A316" s="132">
        <v>186562</v>
      </c>
      <c r="B316" s="132">
        <f>VLOOKUP($A316,'Выгр Кат'!$A:$S,B$1,0)</f>
        <v>35571</v>
      </c>
      <c r="C316" s="133" t="str">
        <f>VLOOKUP($A316,'Выгр Кат'!$A:$S,C$1,0)</f>
        <v>Патрубок "БРТ" отопителя подводящий для Лада Гранта, Калина 2</v>
      </c>
      <c r="D316" s="132" t="str">
        <f>VLOOKUP($A316,'Выгр Кат'!$A:$S,D$1,0)</f>
        <v>Y</v>
      </c>
      <c r="E316" s="132" t="str">
        <f>VLOOKUP($A316,'Выгр Кат'!$A:$S,E$1,0)</f>
        <v>1</v>
      </c>
      <c r="F316" s="132" t="str">
        <f>VLOOKUP($A316,'Выгр Кат'!$A:$S,F$1,0)</f>
        <v>2190-8101200Р</v>
      </c>
      <c r="G316" s="44" t="s">
        <v>536</v>
      </c>
      <c r="H316" s="29"/>
      <c r="I316" s="4" t="s">
        <v>2</v>
      </c>
      <c r="J316" s="95">
        <v>1</v>
      </c>
      <c r="K316" s="168">
        <f t="shared" si="159"/>
        <v>209</v>
      </c>
      <c r="L316" s="167">
        <f>VLOOKUP(K316,Наценка!$A$1:$B$8,2,1)</f>
        <v>1.7204301075268817</v>
      </c>
      <c r="M316" s="148">
        <f t="shared" si="179"/>
        <v>724.5</v>
      </c>
      <c r="N316" s="173">
        <f t="shared" si="152"/>
        <v>729</v>
      </c>
      <c r="O316" s="134">
        <f>VLOOKUP($A316,'Выгр Кат'!$A:$S,O$1,0)</f>
        <v>209</v>
      </c>
      <c r="P316" s="134">
        <f>VLOOKUP($A316,'Выгр Кат'!$A:$S,P$1,0)</f>
        <v>719</v>
      </c>
      <c r="Q316" s="107">
        <f t="shared" si="153"/>
        <v>0</v>
      </c>
      <c r="R316" s="107">
        <f t="shared" si="154"/>
        <v>-10</v>
      </c>
      <c r="S316" s="110">
        <f t="shared" si="155"/>
        <v>677.96999999999991</v>
      </c>
      <c r="T316" s="135">
        <f t="shared" si="156"/>
        <v>2.2438755980861238</v>
      </c>
      <c r="U316" s="135">
        <f t="shared" si="157"/>
        <v>1.7434782608695777E-2</v>
      </c>
      <c r="V316" s="135">
        <f t="shared" si="158"/>
        <v>2.3014354066985647</v>
      </c>
      <c r="W316" s="117">
        <f t="shared" si="180"/>
        <v>690</v>
      </c>
      <c r="X316" s="114">
        <f>IFERROR((VLOOKUP($A316,'ИЗ ГУГЛА'!$B:$G,X$1,0)+Z316)*Y316,VLOOKUP($A316,'ИЗ ГУГЛА'!$B:$G,X$1,0))</f>
        <v>690</v>
      </c>
      <c r="Y316" s="108">
        <v>1</v>
      </c>
      <c r="Z316" s="46"/>
      <c r="AA316" s="136">
        <v>690</v>
      </c>
      <c r="AB316" s="124" t="s">
        <v>2673</v>
      </c>
      <c r="AC316" s="114" t="str">
        <f>IFERROR((VLOOKUP($A316,'ИЗ ГУГЛА'!$B:$Z,AC$1,0)+AE316)*AD316,VLOOKUP($A316,'ИЗ ГУГЛА'!$B:$Z,AC$1,0))</f>
        <v/>
      </c>
      <c r="AD316" s="108">
        <v>1</v>
      </c>
      <c r="AE316" s="46"/>
      <c r="AF316" s="115"/>
    </row>
    <row r="317" spans="1:33" s="5" customFormat="1" ht="31.5" thickTop="1" thickBot="1" x14ac:dyDescent="0.3">
      <c r="A317" s="132">
        <v>186838</v>
      </c>
      <c r="B317" s="132">
        <f>VLOOKUP($A317,'Выгр Кат'!$A:$S,B$1,0)</f>
        <v>19948</v>
      </c>
      <c r="C317" s="133" t="str">
        <f>VLOOKUP($A317,'Выгр Кат'!$A:$S,C$1,0)</f>
        <v>Патрубок соединительный печки отводящий "БРТ" для ВАЗ 2102-2104</v>
      </c>
      <c r="D317" s="132" t="str">
        <f>VLOOKUP($A317,'Выгр Кат'!$A:$S,D$1,0)</f>
        <v>Y</v>
      </c>
      <c r="E317" s="132" t="str">
        <f>VLOOKUP($A317,'Выгр Кат'!$A:$S,E$1,0)</f>
        <v>1</v>
      </c>
      <c r="F317" s="132" t="str">
        <f>VLOOKUP($A317,'Выгр Кат'!$A:$S,F$1,0)</f>
        <v>2102-1101080РП</v>
      </c>
      <c r="G317" s="45" t="s">
        <v>285</v>
      </c>
      <c r="H317" s="29"/>
      <c r="I317" s="4" t="s">
        <v>2</v>
      </c>
      <c r="J317" s="95">
        <v>1</v>
      </c>
      <c r="K317" s="168">
        <f t="shared" si="159"/>
        <v>210</v>
      </c>
      <c r="L317" s="167">
        <f>VLOOKUP(K317,Наценка!$A$1:$B$8,2,1)</f>
        <v>1.7204301075268817</v>
      </c>
      <c r="M317" s="172">
        <f t="shared" si="162"/>
        <v>361.29032258064518</v>
      </c>
      <c r="N317" s="173">
        <f t="shared" si="152"/>
        <v>369</v>
      </c>
      <c r="O317" s="134">
        <f>VLOOKUP($A317,'Выгр Кат'!$A:$S,O$1,0)</f>
        <v>210</v>
      </c>
      <c r="P317" s="134">
        <f>VLOOKUP($A317,'Выгр Кат'!$A:$S,P$1,0)</f>
        <v>369</v>
      </c>
      <c r="Q317" s="107">
        <f t="shared" si="153"/>
        <v>0</v>
      </c>
      <c r="R317" s="107">
        <f t="shared" si="154"/>
        <v>0</v>
      </c>
      <c r="S317" s="110">
        <f t="shared" si="155"/>
        <v>343.16999999999996</v>
      </c>
      <c r="T317" s="135">
        <f t="shared" si="156"/>
        <v>0.6341428571428569</v>
      </c>
      <c r="U317" s="135" t="str">
        <f t="shared" si="157"/>
        <v/>
      </c>
      <c r="V317" s="135" t="str">
        <f t="shared" si="158"/>
        <v/>
      </c>
      <c r="W317" s="45"/>
      <c r="X317" s="114" t="str">
        <f>IFERROR((VLOOKUP($A317,'ИЗ ГУГЛА'!$B:$G,X$1,0)+Z317)*Y317,VLOOKUP($A317,'ИЗ ГУГЛА'!$B:$G,X$1,0))</f>
        <v/>
      </c>
      <c r="Y317" s="108">
        <v>1</v>
      </c>
      <c r="Z317" s="46"/>
      <c r="AA317" s="140" t="s">
        <v>1821</v>
      </c>
      <c r="AB317" s="129"/>
      <c r="AC317" s="114" t="str">
        <f>IFERROR((VLOOKUP($A317,'ИЗ ГУГЛА'!$B:$Z,AC$1,0)+AE317)*AD317,VLOOKUP($A317,'ИЗ ГУГЛА'!$B:$Z,AC$1,0))</f>
        <v/>
      </c>
      <c r="AD317" s="108">
        <v>1</v>
      </c>
      <c r="AE317" s="46"/>
      <c r="AF317" s="115"/>
    </row>
    <row r="318" spans="1:33" s="5" customFormat="1" ht="31.5" thickTop="1" thickBot="1" x14ac:dyDescent="0.3">
      <c r="A318" s="132">
        <v>186729</v>
      </c>
      <c r="B318" s="132">
        <f>VLOOKUP($A318,'Выгр Кат'!$A:$S,B$1,0)</f>
        <v>20404</v>
      </c>
      <c r="C318" s="133" t="str">
        <f>VLOOKUP($A318,'Выгр Кат'!$A:$S,C$1,0)</f>
        <v>Патрубок радиатора отводящий "БРТ" нижний для Лада Нива 4х4</v>
      </c>
      <c r="D318" s="132" t="str">
        <f>VLOOKUP($A318,'Выгр Кат'!$A:$S,D$1,0)</f>
        <v>Y</v>
      </c>
      <c r="E318" s="132" t="str">
        <f>VLOOKUP($A318,'Выгр Кат'!$A:$S,E$1,0)</f>
        <v>1</v>
      </c>
      <c r="F318" s="132" t="str">
        <f>VLOOKUP($A318,'Выгр Кат'!$A:$S,F$1,0)</f>
        <v>2121-1303010РП</v>
      </c>
      <c r="G318" s="45" t="s">
        <v>440</v>
      </c>
      <c r="H318" s="29"/>
      <c r="I318" s="4" t="s">
        <v>2</v>
      </c>
      <c r="J318" s="95">
        <v>1</v>
      </c>
      <c r="K318" s="168">
        <f t="shared" si="159"/>
        <v>211</v>
      </c>
      <c r="L318" s="167">
        <f>VLOOKUP(K318,Наценка!$A$1:$B$8,2,1)</f>
        <v>1.7204301075268817</v>
      </c>
      <c r="M318" s="148">
        <f>W318*1.06</f>
        <v>369.94</v>
      </c>
      <c r="N318" s="173">
        <f t="shared" si="152"/>
        <v>369</v>
      </c>
      <c r="O318" s="134">
        <f>VLOOKUP($A318,'Выгр Кат'!$A:$S,O$1,0)</f>
        <v>211</v>
      </c>
      <c r="P318" s="134">
        <f>VLOOKUP($A318,'Выгр Кат'!$A:$S,P$1,0)</f>
        <v>369</v>
      </c>
      <c r="Q318" s="107">
        <f t="shared" si="153"/>
        <v>0</v>
      </c>
      <c r="R318" s="107">
        <f t="shared" si="154"/>
        <v>0</v>
      </c>
      <c r="S318" s="110">
        <f t="shared" si="155"/>
        <v>343.16999999999996</v>
      </c>
      <c r="T318" s="135">
        <f t="shared" si="156"/>
        <v>0.62639810426540254</v>
      </c>
      <c r="U318" s="135">
        <f t="shared" si="157"/>
        <v>1.6704871060172037E-2</v>
      </c>
      <c r="V318" s="135">
        <f t="shared" si="158"/>
        <v>0.65402843601895744</v>
      </c>
      <c r="W318" s="117">
        <f t="shared" ref="W318:W321" si="181">AA318</f>
        <v>349</v>
      </c>
      <c r="X318" s="114">
        <f>IFERROR((VLOOKUP($A318,'ИЗ ГУГЛА'!$B:$G,X$1,0)+Z318)*Y318,VLOOKUP($A318,'ИЗ ГУГЛА'!$B:$G,X$1,0))</f>
        <v>349</v>
      </c>
      <c r="Y318" s="108">
        <v>1</v>
      </c>
      <c r="Z318" s="46"/>
      <c r="AA318" s="136">
        <v>349</v>
      </c>
      <c r="AB318" s="124" t="s">
        <v>2678</v>
      </c>
      <c r="AC318" s="114" t="str">
        <f>IFERROR((VLOOKUP($A318,'ИЗ ГУГЛА'!$B:$Z,AC$1,0)+AE318)*AD318,VLOOKUP($A318,'ИЗ ГУГЛА'!$B:$Z,AC$1,0))</f>
        <v/>
      </c>
      <c r="AD318" s="108">
        <v>1</v>
      </c>
      <c r="AE318" s="46"/>
      <c r="AF318" s="115"/>
    </row>
    <row r="319" spans="1:33" s="5" customFormat="1" ht="60.75" thickTop="1" x14ac:dyDescent="0.25">
      <c r="A319" s="132">
        <v>225058</v>
      </c>
      <c r="B319" s="132">
        <f>VLOOKUP($A319,'Выгр Кат'!$A:$S,B$1,0)</f>
        <v>20334</v>
      </c>
      <c r="C319" s="133" t="str">
        <f>VLOOKUP($A319,'Выгр Кат'!$A:$S,C$1,0)</f>
        <v>Чехол защитный шарнира тяги привода управления КПП "БРТ" для ВАЗ (2108-21099, 2110-2112, 2113-2115), Лада Ока</v>
      </c>
      <c r="D319" s="132" t="str">
        <f>VLOOKUP($A319,'Выгр Кат'!$A:$S,D$1,0)</f>
        <v>Y</v>
      </c>
      <c r="E319" s="132" t="str">
        <f>VLOOKUP($A319,'Выгр Кат'!$A:$S,E$1,0)</f>
        <v>1</v>
      </c>
      <c r="F319" s="132" t="str">
        <f>VLOOKUP($A319,'Выгр Кат'!$A:$S,F$1,0)</f>
        <v>21080170318200</v>
      </c>
      <c r="G319" s="45" t="s">
        <v>339</v>
      </c>
      <c r="H319" s="29"/>
      <c r="I319" s="4" t="s">
        <v>2</v>
      </c>
      <c r="J319" s="95">
        <v>1</v>
      </c>
      <c r="K319" s="168">
        <f t="shared" si="159"/>
        <v>201</v>
      </c>
      <c r="L319" s="167">
        <f>VLOOKUP(K319,Наценка!$A$1:$B$8,2,1)</f>
        <v>1.7204301075268817</v>
      </c>
      <c r="M319" s="148">
        <f>W319*1.06</f>
        <v>328.6</v>
      </c>
      <c r="N319" s="173">
        <f t="shared" si="152"/>
        <v>329</v>
      </c>
      <c r="O319" s="134">
        <f>VLOOKUP($A319,'Выгр Кат'!$A:$S,O$1,0)</f>
        <v>201</v>
      </c>
      <c r="P319" s="134">
        <f>VLOOKUP($A319,'Выгр Кат'!$A:$S,P$1,0)</f>
        <v>349</v>
      </c>
      <c r="Q319" s="107">
        <f t="shared" si="153"/>
        <v>0</v>
      </c>
      <c r="R319" s="107">
        <f t="shared" si="154"/>
        <v>20</v>
      </c>
      <c r="S319" s="110">
        <f t="shared" si="155"/>
        <v>305.96999999999997</v>
      </c>
      <c r="T319" s="135">
        <f t="shared" si="156"/>
        <v>0.52223880597014904</v>
      </c>
      <c r="U319" s="135">
        <f t="shared" si="157"/>
        <v>1.3000000000000095E-2</v>
      </c>
      <c r="V319" s="135">
        <f t="shared" si="158"/>
        <v>0.54228855721393043</v>
      </c>
      <c r="W319" s="118">
        <f>AF319</f>
        <v>310</v>
      </c>
      <c r="X319" s="114" t="str">
        <f>IFERROR((VLOOKUP($A319,'ИЗ ГУГЛА'!$B:$G,X$1,0)+Z319)*Y319,VLOOKUP($A319,'ИЗ ГУГЛА'!$B:$G,X$1,0))</f>
        <v/>
      </c>
      <c r="Y319" s="108">
        <v>1</v>
      </c>
      <c r="Z319" s="46"/>
      <c r="AA319" s="139" t="s">
        <v>2997</v>
      </c>
      <c r="AB319" s="124" t="s">
        <v>2918</v>
      </c>
      <c r="AC319" s="114">
        <f>IFERROR((VLOOKUP($A319,'ИЗ ГУГЛА'!$B:$Z,AC$1,0)+AE319)*AD319,VLOOKUP($A319,'ИЗ ГУГЛА'!$B:$Z,AC$1,0))</f>
        <v>310</v>
      </c>
      <c r="AD319" s="108">
        <v>1</v>
      </c>
      <c r="AE319" s="46"/>
      <c r="AF319" s="115">
        <v>310</v>
      </c>
      <c r="AG319" s="5" t="s">
        <v>2919</v>
      </c>
    </row>
    <row r="320" spans="1:33" s="5" customFormat="1" ht="60" x14ac:dyDescent="0.25">
      <c r="A320" s="132">
        <v>194859</v>
      </c>
      <c r="B320" s="132">
        <f>VLOOKUP($A320,'Выгр Кат'!$A:$S,B$1,0)</f>
        <v>20315</v>
      </c>
      <c r="C320" s="133" t="str">
        <f>VLOOKUP($A320,'Выгр Кат'!$A:$S,C$1,0)</f>
        <v>Подушка переднего шарнира растяжки передней подвески "БРТ" ВАЗ 2108-21099, 2113-2115, Лада Калина</v>
      </c>
      <c r="D320" s="132" t="str">
        <f>VLOOKUP($A320,'Выгр Кат'!$A:$S,D$1,0)</f>
        <v>Y</v>
      </c>
      <c r="E320" s="132" t="str">
        <f>VLOOKUP($A320,'Выгр Кат'!$A:$S,E$1,0)</f>
        <v>1</v>
      </c>
      <c r="F320" s="132" t="str">
        <f>VLOOKUP($A320,'Выгр Кат'!$A:$S,F$1,0)</f>
        <v>2108-2904050Р.</v>
      </c>
      <c r="G320" s="45" t="s">
        <v>346</v>
      </c>
      <c r="H320" s="29"/>
      <c r="I320" s="4" t="s">
        <v>2</v>
      </c>
      <c r="J320" s="95">
        <v>1</v>
      </c>
      <c r="K320" s="168">
        <f t="shared" si="159"/>
        <v>208</v>
      </c>
      <c r="L320" s="167">
        <f>VLOOKUP(K320,Наценка!$A$1:$B$8,2,1)</f>
        <v>1.7204301075268817</v>
      </c>
      <c r="M320" s="148">
        <f>W320*1.06</f>
        <v>497.14000000000004</v>
      </c>
      <c r="N320" s="173">
        <f t="shared" si="152"/>
        <v>499</v>
      </c>
      <c r="O320" s="134">
        <f>VLOOKUP($A320,'Выгр Кат'!$A:$S,O$1,0)</f>
        <v>208</v>
      </c>
      <c r="P320" s="134">
        <f>VLOOKUP($A320,'Выгр Кат'!$A:$S,P$1,0)</f>
        <v>359</v>
      </c>
      <c r="Q320" s="107">
        <f t="shared" si="153"/>
        <v>0</v>
      </c>
      <c r="R320" s="107">
        <f t="shared" si="154"/>
        <v>-140</v>
      </c>
      <c r="S320" s="110">
        <f t="shared" si="155"/>
        <v>464.07</v>
      </c>
      <c r="T320" s="135">
        <f t="shared" si="156"/>
        <v>1.2311057692307692</v>
      </c>
      <c r="U320" s="135">
        <f t="shared" si="157"/>
        <v>1.0511727078891272E-2</v>
      </c>
      <c r="V320" s="135">
        <f t="shared" si="158"/>
        <v>1.2548076923076925</v>
      </c>
      <c r="W320" s="117">
        <f t="shared" si="181"/>
        <v>469</v>
      </c>
      <c r="X320" s="114">
        <f>IFERROR((VLOOKUP($A320,'ИЗ ГУГЛА'!$B:$G,X$1,0)+Z320)*Y320,VLOOKUP($A320,'ИЗ ГУГЛА'!$B:$G,X$1,0))</f>
        <v>469</v>
      </c>
      <c r="Y320" s="108">
        <v>1</v>
      </c>
      <c r="Z320" s="46"/>
      <c r="AA320" s="139">
        <v>469</v>
      </c>
      <c r="AB320" s="124" t="s">
        <v>2916</v>
      </c>
      <c r="AC320" s="114">
        <f>IFERROR((VLOOKUP($A320,'ИЗ ГУГЛА'!$B:$Z,AC$1,0)+AE320)*AD320,VLOOKUP($A320,'ИЗ ГУГЛА'!$B:$Z,AC$1,0))</f>
        <v>310</v>
      </c>
      <c r="AD320" s="108">
        <v>1</v>
      </c>
      <c r="AE320" s="46"/>
      <c r="AF320" s="115">
        <v>310</v>
      </c>
      <c r="AG320" s="5" t="s">
        <v>2917</v>
      </c>
    </row>
    <row r="321" spans="1:33" s="5" customFormat="1" ht="45.75" thickBot="1" x14ac:dyDescent="0.3">
      <c r="A321" s="132">
        <v>186596</v>
      </c>
      <c r="B321" s="132">
        <f>VLOOKUP($A321,'Выгр Кат'!$A:$S,B$1,0)</f>
        <v>35483</v>
      </c>
      <c r="C321" s="133" t="str">
        <f>VLOOKUP($A321,'Выгр Кат'!$A:$S,C$1,0)</f>
        <v>Патрубок "БРТ" фильтра воздушного к дросселю для Лада Калина (8 клапанный двигатель)</v>
      </c>
      <c r="D321" s="132" t="str">
        <f>VLOOKUP($A321,'Выгр Кат'!$A:$S,D$1,0)</f>
        <v>Y</v>
      </c>
      <c r="E321" s="132" t="str">
        <f>VLOOKUP($A321,'Выгр Кат'!$A:$S,E$1,0)</f>
        <v>1</v>
      </c>
      <c r="F321" s="132" t="str">
        <f>VLOOKUP($A321,'Выгр Кат'!$A:$S,F$1,0)</f>
        <v>11186-1148035</v>
      </c>
      <c r="G321" s="44" t="s">
        <v>1206</v>
      </c>
      <c r="H321" s="29"/>
      <c r="I321" s="4" t="s">
        <v>2</v>
      </c>
      <c r="J321" s="95">
        <v>1</v>
      </c>
      <c r="K321" s="168">
        <f t="shared" si="159"/>
        <v>480</v>
      </c>
      <c r="L321" s="167">
        <f>VLOOKUP(K321,Наценка!$A$1:$B$8,2,1)</f>
        <v>1.5053763440860215</v>
      </c>
      <c r="M321" s="172">
        <f t="shared" si="162"/>
        <v>722.58064516129036</v>
      </c>
      <c r="N321" s="173">
        <f t="shared" si="152"/>
        <v>729</v>
      </c>
      <c r="O321" s="134">
        <f>VLOOKUP($A321,'Выгр Кат'!$A:$S,O$1,0)</f>
        <v>480</v>
      </c>
      <c r="P321" s="134">
        <f>VLOOKUP($A321,'Выгр Кат'!$A:$S,P$1,0)</f>
        <v>729</v>
      </c>
      <c r="Q321" s="107">
        <f t="shared" si="153"/>
        <v>0</v>
      </c>
      <c r="R321" s="107">
        <f t="shared" si="154"/>
        <v>0</v>
      </c>
      <c r="S321" s="110">
        <f t="shared" si="155"/>
        <v>677.96999999999991</v>
      </c>
      <c r="T321" s="135">
        <f t="shared" si="156"/>
        <v>0.41243749999999979</v>
      </c>
      <c r="U321" s="135">
        <f t="shared" si="157"/>
        <v>-0.23491803278688508</v>
      </c>
      <c r="V321" s="135">
        <f t="shared" si="158"/>
        <v>0.14375000000000004</v>
      </c>
      <c r="W321" s="117">
        <f t="shared" si="181"/>
        <v>549</v>
      </c>
      <c r="X321" s="114">
        <f>IFERROR((VLOOKUP($A321,'ИЗ ГУГЛА'!$B:$G,X$1,0)+Z321)*Y321,VLOOKUP($A321,'ИЗ ГУГЛА'!$B:$G,X$1,0))</f>
        <v>549</v>
      </c>
      <c r="Y321" s="108">
        <v>1</v>
      </c>
      <c r="Z321" s="46"/>
      <c r="AA321" s="136">
        <v>549</v>
      </c>
      <c r="AB321" s="124" t="s">
        <v>2665</v>
      </c>
      <c r="AC321" s="114" t="str">
        <f>IFERROR((VLOOKUP($A321,'ИЗ ГУГЛА'!$B:$Z,AC$1,0)+AE321)*AD321,VLOOKUP($A321,'ИЗ ГУГЛА'!$B:$Z,AC$1,0))</f>
        <v/>
      </c>
      <c r="AD321" s="108">
        <v>1</v>
      </c>
      <c r="AE321" s="46"/>
      <c r="AF321" s="115"/>
    </row>
    <row r="322" spans="1:33" s="5" customFormat="1" ht="30.75" thickTop="1" x14ac:dyDescent="0.25">
      <c r="A322" s="132">
        <v>225949</v>
      </c>
      <c r="B322" s="132">
        <f>VLOOKUP($A322,'Выгр Кат'!$A:$S,B$1,0)</f>
        <v>19815</v>
      </c>
      <c r="C322" s="133" t="str">
        <f>VLOOKUP($A322,'Выгр Кат'!$A:$S,C$1,0)</f>
        <v>Шланг топливный "БРТ" гибкий для Лада Нива 4х4</v>
      </c>
      <c r="D322" s="132" t="str">
        <f>VLOOKUP($A322,'Выгр Кат'!$A:$S,D$1,0)</f>
        <v>Y</v>
      </c>
      <c r="E322" s="132" t="str">
        <f>VLOOKUP($A322,'Выгр Кат'!$A:$S,E$1,0)</f>
        <v>1</v>
      </c>
      <c r="F322" s="132" t="str">
        <f>VLOOKUP($A322,'Выгр Кат'!$A:$S,F$1,0)</f>
        <v>2121-1164083Р</v>
      </c>
      <c r="G322" s="45" t="s">
        <v>439</v>
      </c>
      <c r="H322" s="29"/>
      <c r="I322" s="4" t="s">
        <v>2</v>
      </c>
      <c r="J322" s="95">
        <v>1</v>
      </c>
      <c r="K322" s="168">
        <f t="shared" si="159"/>
        <v>217</v>
      </c>
      <c r="L322" s="167">
        <f>VLOOKUP(K322,Наценка!$A$1:$B$8,2,1)</f>
        <v>1.7204301075268817</v>
      </c>
      <c r="M322" s="172">
        <f t="shared" si="162"/>
        <v>373.33333333333331</v>
      </c>
      <c r="N322" s="173">
        <f t="shared" si="152"/>
        <v>379</v>
      </c>
      <c r="O322" s="134">
        <f>VLOOKUP($A322,'Выгр Кат'!$A:$S,O$1,0)</f>
        <v>217</v>
      </c>
      <c r="P322" s="134">
        <f>VLOOKUP($A322,'Выгр Кат'!$A:$S,P$1,0)</f>
        <v>379</v>
      </c>
      <c r="Q322" s="107">
        <f t="shared" si="153"/>
        <v>0</v>
      </c>
      <c r="R322" s="107">
        <f t="shared" si="154"/>
        <v>0</v>
      </c>
      <c r="S322" s="110">
        <f t="shared" si="155"/>
        <v>352.46999999999997</v>
      </c>
      <c r="T322" s="135">
        <f t="shared" si="156"/>
        <v>0.62428571428571411</v>
      </c>
      <c r="U322" s="135" t="str">
        <f t="shared" si="157"/>
        <v/>
      </c>
      <c r="V322" s="135" t="str">
        <f t="shared" si="158"/>
        <v/>
      </c>
      <c r="W322" s="45"/>
      <c r="X322" s="114">
        <f>IFERROR((VLOOKUP($A322,'ИЗ ГУГЛА'!$B:$G,X$1,0)+Z322)*Y322,VLOOKUP($A322,'ИЗ ГУГЛА'!$B:$G,X$1,0))</f>
        <v>349</v>
      </c>
      <c r="Y322" s="108">
        <v>1</v>
      </c>
      <c r="Z322" s="46"/>
      <c r="AA322" s="139" t="s">
        <v>2915</v>
      </c>
      <c r="AB322" s="124" t="s">
        <v>2914</v>
      </c>
      <c r="AC322" s="114" t="str">
        <f>IFERROR((VLOOKUP($A322,'ИЗ ГУГЛА'!$B:$Z,AC$1,0)+AE322)*AD322,VLOOKUP($A322,'ИЗ ГУГЛА'!$B:$Z,AC$1,0))</f>
        <v/>
      </c>
      <c r="AD322" s="108">
        <v>1</v>
      </c>
      <c r="AE322" s="46"/>
      <c r="AF322" s="115"/>
    </row>
    <row r="323" spans="1:33" s="5" customFormat="1" ht="30.75" thickBot="1" x14ac:dyDescent="0.3">
      <c r="A323" s="132">
        <v>186732</v>
      </c>
      <c r="B323" s="132">
        <f>VLOOKUP($A323,'Выгр Кат'!$A:$S,B$1,0)</f>
        <v>20442</v>
      </c>
      <c r="C323" s="133" t="str">
        <f>VLOOKUP($A323,'Выгр Кат'!$A:$S,C$1,0)</f>
        <v>Патрубок радиатора отводящий "БРТ" нижний для Шевроле Нива</v>
      </c>
      <c r="D323" s="132" t="str">
        <f>VLOOKUP($A323,'Выгр Кат'!$A:$S,D$1,0)</f>
        <v>Y</v>
      </c>
      <c r="E323" s="132" t="str">
        <f>VLOOKUP($A323,'Выгр Кат'!$A:$S,E$1,0)</f>
        <v>1</v>
      </c>
      <c r="F323" s="132" t="str">
        <f>VLOOKUP($A323,'Выгр Кат'!$A:$S,F$1,0)</f>
        <v>2123-1303010РП</v>
      </c>
      <c r="G323" s="45" t="s">
        <v>488</v>
      </c>
      <c r="H323" s="29"/>
      <c r="I323" s="4" t="s">
        <v>2</v>
      </c>
      <c r="J323" s="95">
        <v>1</v>
      </c>
      <c r="K323" s="168">
        <f t="shared" si="159"/>
        <v>218</v>
      </c>
      <c r="L323" s="167">
        <f>VLOOKUP(K323,Наценка!$A$1:$B$8,2,1)</f>
        <v>1.7204301075268817</v>
      </c>
      <c r="M323" s="148">
        <f t="shared" ref="M323:M324" si="182">W323*1.06</f>
        <v>687.94</v>
      </c>
      <c r="N323" s="173">
        <f t="shared" ref="N323:N386" si="183">IF(M323&lt;=1000,(ROUNDUP(M323,-1)-1),(ROUNDUP(M323,-2)-10))</f>
        <v>689</v>
      </c>
      <c r="O323" s="134">
        <f>VLOOKUP($A323,'Выгр Кат'!$A:$S,O$1,0)</f>
        <v>218</v>
      </c>
      <c r="P323" s="134">
        <f>VLOOKUP($A323,'Выгр Кат'!$A:$S,P$1,0)</f>
        <v>679</v>
      </c>
      <c r="Q323" s="107">
        <f t="shared" ref="Q323:Q386" si="184">O323-K323</f>
        <v>0</v>
      </c>
      <c r="R323" s="107">
        <f t="shared" ref="R323:R386" si="185">P323-N323</f>
        <v>-10</v>
      </c>
      <c r="S323" s="110">
        <f t="shared" ref="S323:S386" si="186">IFERROR(N323*(1-$S$2),"")</f>
        <v>640.77</v>
      </c>
      <c r="T323" s="135">
        <f t="shared" ref="T323:T386" si="187">IFERROR(S323/K323-1,"")</f>
        <v>1.9393119266055043</v>
      </c>
      <c r="U323" s="135">
        <f t="shared" ref="U323:U386" si="188">IFERROR((W323-S323)/W323,"")</f>
        <v>1.2681047765793556E-2</v>
      </c>
      <c r="V323" s="135">
        <f t="shared" ref="V323:V386" si="189">IFERROR(IF(W323="","",W323/K323-1),"")</f>
        <v>1.977064220183486</v>
      </c>
      <c r="W323" s="117">
        <f>AA323</f>
        <v>649</v>
      </c>
      <c r="X323" s="114">
        <f>IFERROR((VLOOKUP($A323,'ИЗ ГУГЛА'!$B:$G,X$1,0)+Z323)*Y323,VLOOKUP($A323,'ИЗ ГУГЛА'!$B:$G,X$1,0))</f>
        <v>649</v>
      </c>
      <c r="Y323" s="108">
        <v>1</v>
      </c>
      <c r="Z323" s="46"/>
      <c r="AA323" s="136">
        <v>649</v>
      </c>
      <c r="AB323" s="124" t="s">
        <v>2669</v>
      </c>
      <c r="AC323" s="114" t="str">
        <f>IFERROR((VLOOKUP($A323,'ИЗ ГУГЛА'!$B:$Z,AC$1,0)+AE323)*AD323,VLOOKUP($A323,'ИЗ ГУГЛА'!$B:$Z,AC$1,0))</f>
        <v/>
      </c>
      <c r="AD323" s="108">
        <v>1</v>
      </c>
      <c r="AE323" s="46"/>
      <c r="AF323" s="115"/>
    </row>
    <row r="324" spans="1:33" s="5" customFormat="1" ht="30.75" thickTop="1" x14ac:dyDescent="0.25">
      <c r="A324" s="132">
        <v>158160</v>
      </c>
      <c r="B324" s="132">
        <f>VLOOKUP($A324,'Выгр Кат'!$A:$S,B$1,0)</f>
        <v>35444</v>
      </c>
      <c r="C324" s="133" t="str">
        <f>VLOOKUP($A324,'Выгр Кат'!$A:$S,C$1,0)</f>
        <v>Кольцо "БРТ" центрирующее фланца КПП для Шевроле Нива</v>
      </c>
      <c r="D324" s="132" t="str">
        <f>VLOOKUP($A324,'Выгр Кат'!$A:$S,D$1,0)</f>
        <v>Y</v>
      </c>
      <c r="E324" s="132" t="str">
        <f>VLOOKUP($A324,'Выгр Кат'!$A:$S,E$1,0)</f>
        <v>1</v>
      </c>
      <c r="F324" s="132" t="str">
        <f>VLOOKUP($A324,'Выгр Кат'!$A:$S,F$1,0)</f>
        <v>2123-1701246Р</v>
      </c>
      <c r="G324" s="44" t="s">
        <v>495</v>
      </c>
      <c r="H324" s="29"/>
      <c r="I324" s="4" t="s">
        <v>2</v>
      </c>
      <c r="J324" s="95">
        <v>1</v>
      </c>
      <c r="K324" s="168">
        <f t="shared" ref="K324:K387" si="190">O324</f>
        <v>218</v>
      </c>
      <c r="L324" s="167">
        <f>VLOOKUP(K324,Наценка!$A$1:$B$8,2,1)</f>
        <v>1.7204301075268817</v>
      </c>
      <c r="M324" s="148">
        <f t="shared" si="182"/>
        <v>339.20000000000005</v>
      </c>
      <c r="N324" s="173">
        <f t="shared" si="183"/>
        <v>339</v>
      </c>
      <c r="O324" s="134">
        <f>VLOOKUP($A324,'Выгр Кат'!$A:$S,O$1,0)</f>
        <v>218</v>
      </c>
      <c r="P324" s="134">
        <f>VLOOKUP($A324,'Выгр Кат'!$A:$S,P$1,0)</f>
        <v>379</v>
      </c>
      <c r="Q324" s="107">
        <f t="shared" si="184"/>
        <v>0</v>
      </c>
      <c r="R324" s="107">
        <f t="shared" si="185"/>
        <v>40</v>
      </c>
      <c r="S324" s="110">
        <f t="shared" si="186"/>
        <v>315.27</v>
      </c>
      <c r="T324" s="135">
        <f t="shared" si="187"/>
        <v>0.4461926605504587</v>
      </c>
      <c r="U324" s="135">
        <f t="shared" si="188"/>
        <v>1.4781250000000056E-2</v>
      </c>
      <c r="V324" s="135">
        <f t="shared" si="189"/>
        <v>0.46788990825688082</v>
      </c>
      <c r="W324" s="118">
        <f>AF324</f>
        <v>320</v>
      </c>
      <c r="X324" s="114" t="str">
        <f>IFERROR((VLOOKUP($A324,'ИЗ ГУГЛА'!$B:$G,X$1,0)+Z324)*Y324,VLOOKUP($A324,'ИЗ ГУГЛА'!$B:$G,X$1,0))</f>
        <v/>
      </c>
      <c r="Y324" s="108">
        <v>1</v>
      </c>
      <c r="Z324" s="46"/>
      <c r="AA324" s="139" t="s">
        <v>1821</v>
      </c>
      <c r="AB324" s="124"/>
      <c r="AC324" s="114">
        <f>IFERROR((VLOOKUP($A324,'ИЗ ГУГЛА'!$B:$Z,AC$1,0)+AE324)*AD324,VLOOKUP($A324,'ИЗ ГУГЛА'!$B:$Z,AC$1,0))</f>
        <v>320</v>
      </c>
      <c r="AD324" s="108">
        <v>1</v>
      </c>
      <c r="AE324" s="46"/>
      <c r="AF324" s="115">
        <v>320</v>
      </c>
      <c r="AG324" s="5" t="s">
        <v>2913</v>
      </c>
    </row>
    <row r="325" spans="1:33" s="5" customFormat="1" ht="30" x14ac:dyDescent="0.25">
      <c r="A325" s="132">
        <v>158280</v>
      </c>
      <c r="B325" s="132">
        <f>VLOOKUP($A325,'Выгр Кат'!$A:$S,B$1,0)</f>
        <v>35519</v>
      </c>
      <c r="C325" s="133" t="str">
        <f>VLOOKUP($A325,'Выгр Кат'!$A:$S,C$1,0)</f>
        <v>Комплект "БРТ" задних брызговиков для Лада Калина</v>
      </c>
      <c r="D325" s="132" t="str">
        <f>VLOOKUP($A325,'Выгр Кат'!$A:$S,D$1,0)</f>
        <v>Y</v>
      </c>
      <c r="E325" s="132" t="str">
        <f>VLOOKUP($A325,'Выгр Кат'!$A:$S,E$1,0)</f>
        <v>1</v>
      </c>
      <c r="F325" s="132" t="str">
        <f>VLOOKUP($A325,'Выгр Кат'!$A:$S,F$1,0)</f>
        <v>1118-8404412/13</v>
      </c>
      <c r="G325" s="44" t="s">
        <v>1284</v>
      </c>
      <c r="H325" s="29"/>
      <c r="I325" s="4" t="s">
        <v>2</v>
      </c>
      <c r="J325" s="95">
        <v>1</v>
      </c>
      <c r="K325" s="168">
        <f t="shared" si="190"/>
        <v>240</v>
      </c>
      <c r="L325" s="167">
        <f>VLOOKUP(K325,Наценка!$A$1:$B$8,2,1)</f>
        <v>1.7204301075268817</v>
      </c>
      <c r="M325" s="172">
        <f t="shared" ref="M325:M388" si="191">K325*L325</f>
        <v>412.90322580645164</v>
      </c>
      <c r="N325" s="173">
        <f t="shared" si="183"/>
        <v>419</v>
      </c>
      <c r="O325" s="134">
        <f>VLOOKUP($A325,'Выгр Кат'!$A:$S,O$1,0)</f>
        <v>240</v>
      </c>
      <c r="P325" s="134">
        <f>VLOOKUP($A325,'Выгр Кат'!$A:$S,P$1,0)</f>
        <v>419</v>
      </c>
      <c r="Q325" s="107">
        <f t="shared" si="184"/>
        <v>0</v>
      </c>
      <c r="R325" s="107">
        <f t="shared" si="185"/>
        <v>0</v>
      </c>
      <c r="S325" s="110">
        <f t="shared" si="186"/>
        <v>389.66999999999996</v>
      </c>
      <c r="T325" s="135">
        <f t="shared" si="187"/>
        <v>0.62362499999999987</v>
      </c>
      <c r="U325" s="135" t="str">
        <f t="shared" si="188"/>
        <v/>
      </c>
      <c r="V325" s="135" t="str">
        <f t="shared" si="189"/>
        <v/>
      </c>
      <c r="W325" s="45"/>
      <c r="X325" s="114" t="str">
        <f>IFERROR((VLOOKUP($A325,'ИЗ ГУГЛА'!$B:$G,X$1,0)+Z325)*Y325,VLOOKUP($A325,'ИЗ ГУГЛА'!$B:$G,X$1,0))</f>
        <v/>
      </c>
      <c r="Y325" s="108">
        <v>1</v>
      </c>
      <c r="Z325" s="46"/>
      <c r="AA325" s="139" t="s">
        <v>1821</v>
      </c>
      <c r="AB325" s="124"/>
      <c r="AC325" s="114" t="str">
        <f>IFERROR((VLOOKUP($A325,'ИЗ ГУГЛА'!$B:$Z,AC$1,0)+AE325)*AD325,VLOOKUP($A325,'ИЗ ГУГЛА'!$B:$Z,AC$1,0))</f>
        <v/>
      </c>
      <c r="AD325" s="108">
        <v>1</v>
      </c>
      <c r="AE325" s="46"/>
      <c r="AF325" s="115"/>
    </row>
    <row r="326" spans="1:33" s="5" customFormat="1" ht="30.75" thickBot="1" x14ac:dyDescent="0.3">
      <c r="A326" s="132">
        <v>158276</v>
      </c>
      <c r="B326" s="132">
        <f>VLOOKUP($A326,'Выгр Кат'!$A:$S,B$1,0)</f>
        <v>35553</v>
      </c>
      <c r="C326" s="133" t="str">
        <f>VLOOKUP($A326,'Выгр Кат'!$A:$S,C$1,0)</f>
        <v>Комплект "БРТ" задних брызговиков для Лада XRAY</v>
      </c>
      <c r="D326" s="132" t="str">
        <f>VLOOKUP($A326,'Выгр Кат'!$A:$S,D$1,0)</f>
        <v>Y</v>
      </c>
      <c r="E326" s="132" t="str">
        <f>VLOOKUP($A326,'Выгр Кат'!$A:$S,E$1,0)</f>
        <v>1</v>
      </c>
      <c r="F326" s="132">
        <f>VLOOKUP($A326,'Выгр Кат'!$A:$S,F$1,0)</f>
        <v>0</v>
      </c>
      <c r="G326" s="35" t="s">
        <v>1311</v>
      </c>
      <c r="H326" s="29"/>
      <c r="I326" s="4" t="s">
        <v>2</v>
      </c>
      <c r="J326" s="95">
        <v>1</v>
      </c>
      <c r="K326" s="168">
        <f t="shared" si="190"/>
        <v>194</v>
      </c>
      <c r="L326" s="167">
        <f>VLOOKUP(K326,Наценка!$A$1:$B$8,2,1)</f>
        <v>1.7204301075268817</v>
      </c>
      <c r="M326" s="148">
        <f>W326*1.05</f>
        <v>409.5</v>
      </c>
      <c r="N326" s="173">
        <f t="shared" si="183"/>
        <v>409</v>
      </c>
      <c r="O326" s="134">
        <f>VLOOKUP($A326,'Выгр Кат'!$A:$S,O$1,0)</f>
        <v>194</v>
      </c>
      <c r="P326" s="134">
        <f>VLOOKUP($A326,'Выгр Кат'!$A:$S,P$1,0)</f>
        <v>409</v>
      </c>
      <c r="Q326" s="107">
        <f t="shared" si="184"/>
        <v>0</v>
      </c>
      <c r="R326" s="107">
        <f t="shared" si="185"/>
        <v>0</v>
      </c>
      <c r="S326" s="110">
        <f t="shared" si="186"/>
        <v>380.36999999999995</v>
      </c>
      <c r="T326" s="135">
        <f t="shared" si="187"/>
        <v>0.96067010309278333</v>
      </c>
      <c r="U326" s="135">
        <f t="shared" si="188"/>
        <v>2.4692307692307826E-2</v>
      </c>
      <c r="V326" s="135">
        <f t="shared" si="189"/>
        <v>1.0103092783505154</v>
      </c>
      <c r="W326" s="117">
        <f t="shared" ref="W326:W328" si="192">AA326</f>
        <v>390</v>
      </c>
      <c r="X326" s="114">
        <f>IFERROR((VLOOKUP($A326,'ИЗ ГУГЛА'!$B:$G,X$1,0)+Z326)*Y326,VLOOKUP($A326,'ИЗ ГУГЛА'!$B:$G,X$1,0))</f>
        <v>390</v>
      </c>
      <c r="Y326" s="108">
        <v>1</v>
      </c>
      <c r="Z326" s="46"/>
      <c r="AA326" s="136">
        <v>390</v>
      </c>
      <c r="AB326" s="124" t="s">
        <v>2626</v>
      </c>
      <c r="AC326" s="114" t="str">
        <f>IFERROR((VLOOKUP($A326,'ИЗ ГУГЛА'!$B:$Z,AC$1,0)+AE326)*AD326,VLOOKUP($A326,'ИЗ ГУГЛА'!$B:$Z,AC$1,0))</f>
        <v/>
      </c>
      <c r="AD326" s="108">
        <v>1</v>
      </c>
      <c r="AE326" s="46"/>
      <c r="AF326" s="115"/>
    </row>
    <row r="327" spans="1:33" s="5" customFormat="1" ht="45.75" thickTop="1" x14ac:dyDescent="0.25">
      <c r="A327" s="132">
        <v>204353</v>
      </c>
      <c r="B327" s="132">
        <f>VLOOKUP($A327,'Выгр Кат'!$A:$S,B$1,0)</f>
        <v>20266</v>
      </c>
      <c r="C327" s="133" t="str">
        <f>VLOOKUP($A327,'Выгр Кат'!$A:$S,C$1,0)</f>
        <v>Ремкомплект 21Р Р/К подушки крепления подвески глушителя "БРТ" для ВАЗ 2108-21099, 2113-2115</v>
      </c>
      <c r="D327" s="132" t="str">
        <f>VLOOKUP($A327,'Выгр Кат'!$A:$S,D$1,0)</f>
        <v>Y</v>
      </c>
      <c r="E327" s="132" t="str">
        <f>VLOOKUP($A327,'Выгр Кат'!$A:$S,E$1,0)</f>
        <v>1</v>
      </c>
      <c r="F327" s="132" t="str">
        <f>VLOOKUP($A327,'Выгр Кат'!$A:$S,F$1,0)</f>
        <v>2108120307320</v>
      </c>
      <c r="G327" s="45" t="s">
        <v>639</v>
      </c>
      <c r="H327" s="29"/>
      <c r="I327" s="4" t="s">
        <v>2</v>
      </c>
      <c r="J327" s="95">
        <v>1</v>
      </c>
      <c r="K327" s="168">
        <f t="shared" si="190"/>
        <v>217</v>
      </c>
      <c r="L327" s="167">
        <f>VLOOKUP(K327,Наценка!$A$1:$B$8,2,1)</f>
        <v>1.7204301075268817</v>
      </c>
      <c r="M327" s="172">
        <f t="shared" si="191"/>
        <v>373.33333333333331</v>
      </c>
      <c r="N327" s="173">
        <f t="shared" si="183"/>
        <v>379</v>
      </c>
      <c r="O327" s="134">
        <f>VLOOKUP($A327,'Выгр Кат'!$A:$S,O$1,0)</f>
        <v>217</v>
      </c>
      <c r="P327" s="134">
        <f>VLOOKUP($A327,'Выгр Кат'!$A:$S,P$1,0)</f>
        <v>379</v>
      </c>
      <c r="Q327" s="107">
        <f t="shared" si="184"/>
        <v>0</v>
      </c>
      <c r="R327" s="107">
        <f t="shared" si="185"/>
        <v>0</v>
      </c>
      <c r="S327" s="110">
        <f t="shared" si="186"/>
        <v>352.46999999999997</v>
      </c>
      <c r="T327" s="135">
        <f t="shared" si="187"/>
        <v>0.62428571428571411</v>
      </c>
      <c r="U327" s="135">
        <f t="shared" si="188"/>
        <v>-0.86492063492063476</v>
      </c>
      <c r="V327" s="135">
        <f t="shared" si="189"/>
        <v>-0.12903225806451613</v>
      </c>
      <c r="W327" s="117">
        <f t="shared" si="192"/>
        <v>189</v>
      </c>
      <c r="X327" s="114">
        <f>IFERROR((VLOOKUP($A327,'ИЗ ГУГЛА'!$B:$G,X$1,0)+Z327)*Y327,VLOOKUP($A327,'ИЗ ГУГЛА'!$B:$G,X$1,0))</f>
        <v>189</v>
      </c>
      <c r="Y327" s="108">
        <v>1</v>
      </c>
      <c r="Z327" s="46"/>
      <c r="AA327" s="139">
        <v>189</v>
      </c>
      <c r="AB327" s="124" t="s">
        <v>2912</v>
      </c>
      <c r="AC327" s="114" t="str">
        <f>IFERROR((VLOOKUP($A327,'ИЗ ГУГЛА'!$B:$Z,AC$1,0)+AE327)*AD327,VLOOKUP($A327,'ИЗ ГУГЛА'!$B:$Z,AC$1,0))</f>
        <v/>
      </c>
      <c r="AD327" s="108">
        <v>1</v>
      </c>
      <c r="AE327" s="46"/>
      <c r="AF327" s="115"/>
    </row>
    <row r="328" spans="1:33" s="5" customFormat="1" ht="30" x14ac:dyDescent="0.25">
      <c r="A328" s="132">
        <v>225954</v>
      </c>
      <c r="B328" s="132">
        <f>VLOOKUP($A328,'Выгр Кат'!$A:$S,B$1,0)</f>
        <v>19930</v>
      </c>
      <c r="C328" s="133" t="str">
        <f>VLOOKUP($A328,'Выгр Кат'!$A:$S,C$1,0)</f>
        <v>Шланг гидротормоза (гибкий) передний "БРТ" для Лада Калина</v>
      </c>
      <c r="D328" s="132" t="str">
        <f>VLOOKUP($A328,'Выгр Кат'!$A:$S,D$1,0)</f>
        <v>Y</v>
      </c>
      <c r="E328" s="132" t="str">
        <f>VLOOKUP($A328,'Выгр Кат'!$A:$S,E$1,0)</f>
        <v>1</v>
      </c>
      <c r="F328" s="132" t="str">
        <f>VLOOKUP($A328,'Выгр Кат'!$A:$S,F$1,0)</f>
        <v>11180350606010</v>
      </c>
      <c r="G328" s="43" t="s">
        <v>1204</v>
      </c>
      <c r="H328" s="29"/>
      <c r="I328" s="4" t="s">
        <v>2</v>
      </c>
      <c r="J328" s="95">
        <v>1</v>
      </c>
      <c r="K328" s="168">
        <f t="shared" si="190"/>
        <v>235</v>
      </c>
      <c r="L328" s="167">
        <f>VLOOKUP(K328,Наценка!$A$1:$B$8,2,1)</f>
        <v>1.7204301075268817</v>
      </c>
      <c r="M328" s="148">
        <f t="shared" ref="M328:M329" si="193">W328*1.06</f>
        <v>439.37</v>
      </c>
      <c r="N328" s="173">
        <f t="shared" si="183"/>
        <v>439</v>
      </c>
      <c r="O328" s="134">
        <f>VLOOKUP($A328,'Выгр Кат'!$A:$S,O$1,0)</f>
        <v>235</v>
      </c>
      <c r="P328" s="134">
        <f>VLOOKUP($A328,'Выгр Кат'!$A:$S,P$1,0)</f>
        <v>409</v>
      </c>
      <c r="Q328" s="107">
        <f t="shared" si="184"/>
        <v>0</v>
      </c>
      <c r="R328" s="107">
        <f t="shared" si="185"/>
        <v>-30</v>
      </c>
      <c r="S328" s="110">
        <f t="shared" si="186"/>
        <v>408.27</v>
      </c>
      <c r="T328" s="135">
        <f t="shared" si="187"/>
        <v>0.73731914893617012</v>
      </c>
      <c r="U328" s="135">
        <f t="shared" si="188"/>
        <v>1.5030156815440333E-2</v>
      </c>
      <c r="V328" s="135">
        <f t="shared" si="189"/>
        <v>0.76382978723404249</v>
      </c>
      <c r="W328" s="117">
        <f t="shared" si="192"/>
        <v>414.5</v>
      </c>
      <c r="X328" s="114">
        <f>IFERROR((VLOOKUP($A328,'ИЗ ГУГЛА'!$B:$G,X$1,0)+Z328)*Y328,VLOOKUP($A328,'ИЗ ГУГЛА'!$B:$G,X$1,0))</f>
        <v>414.5</v>
      </c>
      <c r="Y328" s="108">
        <v>0.5</v>
      </c>
      <c r="Z328" s="46"/>
      <c r="AA328" s="139">
        <v>414.5</v>
      </c>
      <c r="AB328" s="124" t="s">
        <v>2911</v>
      </c>
      <c r="AC328" s="114" t="str">
        <f>IFERROR((VLOOKUP($A328,'ИЗ ГУГЛА'!$B:$Z,AC$1,0)+AE328)*AD328,VLOOKUP($A328,'ИЗ ГУГЛА'!$B:$Z,AC$1,0))</f>
        <v/>
      </c>
      <c r="AD328" s="108">
        <v>0.5</v>
      </c>
      <c r="AE328" s="46"/>
      <c r="AF328" s="115"/>
    </row>
    <row r="329" spans="1:33" s="5" customFormat="1" ht="30" x14ac:dyDescent="0.25">
      <c r="A329" s="132">
        <v>225960</v>
      </c>
      <c r="B329" s="132">
        <f>VLOOKUP($A329,'Выгр Кат'!$A:$S,B$1,0)</f>
        <v>20342</v>
      </c>
      <c r="C329" s="133" t="str">
        <f>VLOOKUP($A329,'Выгр Кат'!$A:$S,C$1,0)</f>
        <v>Шланг гидротормозной передний гибкий в сборе "БРТ" для Лада XRAY</v>
      </c>
      <c r="D329" s="132" t="str">
        <f>VLOOKUP($A329,'Выгр Кат'!$A:$S,D$1,0)</f>
        <v>Y</v>
      </c>
      <c r="E329" s="132" t="str">
        <f>VLOOKUP($A329,'Выгр Кат'!$A:$S,E$1,0)</f>
        <v>1</v>
      </c>
      <c r="F329" s="132" t="str">
        <f>VLOOKUP($A329,'Выгр Кат'!$A:$S,F$1,0)</f>
        <v>8450022221Р.</v>
      </c>
      <c r="G329" s="45" t="s">
        <v>1821</v>
      </c>
      <c r="H329" s="29" t="s">
        <v>1821</v>
      </c>
      <c r="I329" s="4" t="s">
        <v>2</v>
      </c>
      <c r="J329" s="95">
        <v>1</v>
      </c>
      <c r="K329" s="168">
        <f t="shared" si="190"/>
        <v>196</v>
      </c>
      <c r="L329" s="167">
        <f>VLOOKUP(K329,Наценка!$A$1:$B$8,2,1)</f>
        <v>1.7204301075268817</v>
      </c>
      <c r="M329" s="148">
        <f>W329*1.05</f>
        <v>357</v>
      </c>
      <c r="N329" s="173">
        <f t="shared" si="183"/>
        <v>359</v>
      </c>
      <c r="O329" s="134">
        <f>VLOOKUP($A329,'Выгр Кат'!$A:$S,O$1,0)</f>
        <v>196</v>
      </c>
      <c r="P329" s="134">
        <f>VLOOKUP($A329,'Выгр Кат'!$A:$S,P$1,0)</f>
        <v>339</v>
      </c>
      <c r="Q329" s="107">
        <f t="shared" si="184"/>
        <v>0</v>
      </c>
      <c r="R329" s="107">
        <f t="shared" si="185"/>
        <v>-20</v>
      </c>
      <c r="S329" s="110">
        <f t="shared" si="186"/>
        <v>333.87</v>
      </c>
      <c r="T329" s="135">
        <f t="shared" si="187"/>
        <v>0.70341836734693874</v>
      </c>
      <c r="U329" s="135">
        <f t="shared" si="188"/>
        <v>1.802941176470587E-2</v>
      </c>
      <c r="V329" s="135">
        <f t="shared" si="189"/>
        <v>0.73469387755102034</v>
      </c>
      <c r="W329" s="118">
        <f>AF329</f>
        <v>340</v>
      </c>
      <c r="X329" s="114" t="str">
        <f>IFERROR((VLOOKUP($A329,'ИЗ ГУГЛА'!$B:$G,X$1,0)+Z329)*Y329,VLOOKUP($A329,'ИЗ ГУГЛА'!$B:$G,X$1,0))</f>
        <v/>
      </c>
      <c r="Y329" s="108">
        <v>1</v>
      </c>
      <c r="Z329" s="46"/>
      <c r="AA329" s="139" t="s">
        <v>1821</v>
      </c>
      <c r="AB329" s="124"/>
      <c r="AC329" s="114" t="str">
        <f>IFERROR((VLOOKUP($A329,'ИЗ ГУГЛА'!$B:$Z,AC$1,0)+AE329)*AD329,VLOOKUP($A329,'ИЗ ГУГЛА'!$B:$Z,AC$1,0))</f>
        <v/>
      </c>
      <c r="AD329" s="108">
        <v>1</v>
      </c>
      <c r="AE329" s="46"/>
      <c r="AF329" s="115">
        <v>340</v>
      </c>
      <c r="AG329" s="5" t="s">
        <v>2956</v>
      </c>
    </row>
    <row r="330" spans="1:33" s="5" customFormat="1" ht="45" x14ac:dyDescent="0.25">
      <c r="A330" s="132">
        <v>155852</v>
      </c>
      <c r="B330" s="132">
        <f>VLOOKUP($A330,'Выгр Кат'!$A:$S,B$1,0)</f>
        <v>19917</v>
      </c>
      <c r="C330" s="133" t="str">
        <f>VLOOKUP($A330,'Выгр Кат'!$A:$S,C$1,0)</f>
        <v>Клапан обратный усилителя тормозов "БРТ" в сборе на Лада Веста, Ларгус, XRAY</v>
      </c>
      <c r="D330" s="132" t="str">
        <f>VLOOKUP($A330,'Выгр Кат'!$A:$S,D$1,0)</f>
        <v>Y</v>
      </c>
      <c r="E330" s="132" t="str">
        <f>VLOOKUP($A330,'Выгр Кат'!$A:$S,E$1,0)</f>
        <v>1</v>
      </c>
      <c r="F330" s="132" t="str">
        <f>VLOOKUP($A330,'Выгр Кат'!$A:$S,F$1,0)</f>
        <v>И-587Р</v>
      </c>
      <c r="G330" s="45" t="s">
        <v>1821</v>
      </c>
      <c r="H330" s="29" t="s">
        <v>1821</v>
      </c>
      <c r="I330" s="4" t="s">
        <v>2</v>
      </c>
      <c r="J330" s="95">
        <v>1</v>
      </c>
      <c r="K330" s="168">
        <f t="shared" si="190"/>
        <v>200</v>
      </c>
      <c r="L330" s="167">
        <f>VLOOKUP(K330,Наценка!$A$1:$B$8,2,1)</f>
        <v>1.7204301075268817</v>
      </c>
      <c r="M330" s="172">
        <f t="shared" si="191"/>
        <v>344.08602150537632</v>
      </c>
      <c r="N330" s="173">
        <f t="shared" si="183"/>
        <v>349</v>
      </c>
      <c r="O330" s="134">
        <f>VLOOKUP($A330,'Выгр Кат'!$A:$S,O$1,0)</f>
        <v>200</v>
      </c>
      <c r="P330" s="134">
        <f>VLOOKUP($A330,'Выгр Кат'!$A:$S,P$1,0)</f>
        <v>349</v>
      </c>
      <c r="Q330" s="107">
        <f t="shared" si="184"/>
        <v>0</v>
      </c>
      <c r="R330" s="107">
        <f t="shared" si="185"/>
        <v>0</v>
      </c>
      <c r="S330" s="110">
        <f t="shared" si="186"/>
        <v>324.57</v>
      </c>
      <c r="T330" s="135">
        <f t="shared" si="187"/>
        <v>0.6228499999999999</v>
      </c>
      <c r="U330" s="135" t="str">
        <f t="shared" si="188"/>
        <v/>
      </c>
      <c r="V330" s="135" t="str">
        <f t="shared" si="189"/>
        <v/>
      </c>
      <c r="W330" s="45"/>
      <c r="X330" s="114" t="str">
        <f>IFERROR((VLOOKUP($A330,'ИЗ ГУГЛА'!$B:$G,X$1,0)+Z330)*Y330,VLOOKUP($A330,'ИЗ ГУГЛА'!$B:$G,X$1,0))</f>
        <v/>
      </c>
      <c r="Y330" s="108">
        <v>1</v>
      </c>
      <c r="Z330" s="46"/>
      <c r="AA330" s="139" t="s">
        <v>1821</v>
      </c>
      <c r="AB330" s="124"/>
      <c r="AC330" s="114" t="str">
        <f>IFERROR((VLOOKUP($A330,'ИЗ ГУГЛА'!$B:$Z,AC$1,0)+AE330)*AD330,VLOOKUP($A330,'ИЗ ГУГЛА'!$B:$Z,AC$1,0))</f>
        <v/>
      </c>
      <c r="AD330" s="108">
        <v>1</v>
      </c>
      <c r="AE330" s="46"/>
      <c r="AF330" s="115"/>
    </row>
    <row r="331" spans="1:33" s="5" customFormat="1" ht="45" x14ac:dyDescent="0.25">
      <c r="A331" s="132">
        <v>180671</v>
      </c>
      <c r="B331" s="132">
        <f>VLOOKUP($A331,'Выгр Кат'!$A:$S,B$1,0)</f>
        <v>35373</v>
      </c>
      <c r="C331" s="133" t="str">
        <f>VLOOKUP($A331,'Выгр Кат'!$A:$S,C$1,0)</f>
        <v>Облицовка "БРТ" горловины наливной трубы бензобака для ВАЗ 2110-2112</v>
      </c>
      <c r="D331" s="132" t="str">
        <f>VLOOKUP($A331,'Выгр Кат'!$A:$S,D$1,0)</f>
        <v>Y</v>
      </c>
      <c r="E331" s="132" t="str">
        <f>VLOOKUP($A331,'Выгр Кат'!$A:$S,E$1,0)</f>
        <v>1</v>
      </c>
      <c r="F331" s="132" t="str">
        <f>VLOOKUP($A331,'Выгр Кат'!$A:$S,F$1,0)</f>
        <v>2110-1101150</v>
      </c>
      <c r="G331" s="44" t="s">
        <v>386</v>
      </c>
      <c r="H331" s="29"/>
      <c r="I331" s="4" t="s">
        <v>2</v>
      </c>
      <c r="J331" s="95">
        <v>1</v>
      </c>
      <c r="K331" s="168">
        <f t="shared" si="190"/>
        <v>240</v>
      </c>
      <c r="L331" s="167">
        <f>VLOOKUP(K331,Наценка!$A$1:$B$8,2,1)</f>
        <v>1.7204301075268817</v>
      </c>
      <c r="M331" s="148">
        <f t="shared" ref="M331:M333" si="194">W331*1.06</f>
        <v>497.14000000000004</v>
      </c>
      <c r="N331" s="173">
        <f t="shared" si="183"/>
        <v>499</v>
      </c>
      <c r="O331" s="134">
        <f>VLOOKUP($A331,'Выгр Кат'!$A:$S,O$1,0)</f>
        <v>240</v>
      </c>
      <c r="P331" s="134">
        <f>VLOOKUP($A331,'Выгр Кат'!$A:$S,P$1,0)</f>
        <v>419</v>
      </c>
      <c r="Q331" s="107">
        <f t="shared" si="184"/>
        <v>0</v>
      </c>
      <c r="R331" s="107">
        <f t="shared" si="185"/>
        <v>-80</v>
      </c>
      <c r="S331" s="110">
        <f t="shared" si="186"/>
        <v>464.07</v>
      </c>
      <c r="T331" s="135">
        <f t="shared" si="187"/>
        <v>0.93362499999999993</v>
      </c>
      <c r="U331" s="135">
        <f t="shared" si="188"/>
        <v>1.0511727078891272E-2</v>
      </c>
      <c r="V331" s="135">
        <f t="shared" si="189"/>
        <v>0.95416666666666661</v>
      </c>
      <c r="W331" s="117">
        <f t="shared" ref="W331:W333" si="195">AA331</f>
        <v>469</v>
      </c>
      <c r="X331" s="114">
        <f>IFERROR((VLOOKUP($A331,'ИЗ ГУГЛА'!$B:$G,X$1,0)+Z331)*Y331,VLOOKUP($A331,'ИЗ ГУГЛА'!$B:$G,X$1,0))</f>
        <v>469</v>
      </c>
      <c r="Y331" s="108">
        <v>1</v>
      </c>
      <c r="Z331" s="46"/>
      <c r="AA331" s="139">
        <v>469</v>
      </c>
      <c r="AB331" s="124" t="s">
        <v>2909</v>
      </c>
      <c r="AC331" s="114" t="str">
        <f>IFERROR((VLOOKUP($A331,'ИЗ ГУГЛА'!$B:$Z,AC$1,0)+AE331)*AD331,VLOOKUP($A331,'ИЗ ГУГЛА'!$B:$Z,AC$1,0))</f>
        <v/>
      </c>
      <c r="AD331" s="108">
        <v>1</v>
      </c>
      <c r="AE331" s="46"/>
      <c r="AF331" s="115"/>
    </row>
    <row r="332" spans="1:33" s="5" customFormat="1" ht="30.75" thickBot="1" x14ac:dyDescent="0.3">
      <c r="A332" s="132">
        <v>158277</v>
      </c>
      <c r="B332" s="132">
        <f>VLOOKUP($A332,'Выгр Кат'!$A:$S,B$1,0)</f>
        <v>35541</v>
      </c>
      <c r="C332" s="133" t="str">
        <f>VLOOKUP($A332,'Выгр Кат'!$A:$S,C$1,0)</f>
        <v>Комплект "БРТ" задних брызговиков для Лада Веста</v>
      </c>
      <c r="D332" s="132" t="str">
        <f>VLOOKUP($A332,'Выгр Кат'!$A:$S,D$1,0)</f>
        <v>Y</v>
      </c>
      <c r="E332" s="132" t="str">
        <f>VLOOKUP($A332,'Выгр Кат'!$A:$S,E$1,0)</f>
        <v>1</v>
      </c>
      <c r="F332" s="132">
        <f>VLOOKUP($A332,'Выгр Кат'!$A:$S,F$1,0)</f>
        <v>0</v>
      </c>
      <c r="G332" s="35" t="s">
        <v>1305</v>
      </c>
      <c r="H332" s="29"/>
      <c r="I332" s="4" t="s">
        <v>2</v>
      </c>
      <c r="J332" s="95">
        <v>1</v>
      </c>
      <c r="K332" s="168">
        <f t="shared" si="190"/>
        <v>202</v>
      </c>
      <c r="L332" s="167">
        <f>VLOOKUP(K332,Наценка!$A$1:$B$8,2,1)</f>
        <v>1.7204301075268817</v>
      </c>
      <c r="M332" s="148">
        <f t="shared" si="194"/>
        <v>772.74</v>
      </c>
      <c r="N332" s="173">
        <f t="shared" si="183"/>
        <v>779</v>
      </c>
      <c r="O332" s="134">
        <f>VLOOKUP($A332,'Выгр Кат'!$A:$S,O$1,0)</f>
        <v>202</v>
      </c>
      <c r="P332" s="134">
        <f>VLOOKUP($A332,'Выгр Кат'!$A:$S,P$1,0)</f>
        <v>759</v>
      </c>
      <c r="Q332" s="107">
        <f t="shared" si="184"/>
        <v>0</v>
      </c>
      <c r="R332" s="107">
        <f t="shared" si="185"/>
        <v>-20</v>
      </c>
      <c r="S332" s="110">
        <f t="shared" si="186"/>
        <v>724.46999999999991</v>
      </c>
      <c r="T332" s="135">
        <f t="shared" si="187"/>
        <v>2.5864851485148512</v>
      </c>
      <c r="U332" s="135">
        <f t="shared" si="188"/>
        <v>6.2139917695474434E-3</v>
      </c>
      <c r="V332" s="135">
        <f t="shared" si="189"/>
        <v>2.608910891089109</v>
      </c>
      <c r="W332" s="117">
        <f t="shared" si="195"/>
        <v>729</v>
      </c>
      <c r="X332" s="114">
        <f>IFERROR((VLOOKUP($A332,'ИЗ ГУГЛА'!$B:$G,X$1,0)+Z332)*Y332,VLOOKUP($A332,'ИЗ ГУГЛА'!$B:$G,X$1,0))</f>
        <v>729</v>
      </c>
      <c r="Y332" s="108">
        <v>1</v>
      </c>
      <c r="Z332" s="46"/>
      <c r="AA332" s="136">
        <v>729</v>
      </c>
      <c r="AB332" s="124" t="s">
        <v>2619</v>
      </c>
      <c r="AC332" s="114" t="str">
        <f>IFERROR((VLOOKUP($A332,'ИЗ ГУГЛА'!$B:$Z,AC$1,0)+AE332)*AD332,VLOOKUP($A332,'ИЗ ГУГЛА'!$B:$Z,AC$1,0))</f>
        <v/>
      </c>
      <c r="AD332" s="108">
        <v>1</v>
      </c>
      <c r="AE332" s="46"/>
      <c r="AF332" s="115"/>
    </row>
    <row r="333" spans="1:33" s="5" customFormat="1" ht="46.5" thickTop="1" thickBot="1" x14ac:dyDescent="0.3">
      <c r="A333" s="132">
        <v>158287</v>
      </c>
      <c r="B333" s="132">
        <f>VLOOKUP($A333,'Выгр Кат'!$A:$S,B$1,0)</f>
        <v>35510</v>
      </c>
      <c r="C333" s="133" t="str">
        <f>VLOOKUP($A333,'Выгр Кат'!$A:$S,C$1,0)</f>
        <v>Комплект "БРТ" передних брызговиков (нового образца) для ВАЗ 2110-2112</v>
      </c>
      <c r="D333" s="132" t="str">
        <f>VLOOKUP($A333,'Выгр Кат'!$A:$S,D$1,0)</f>
        <v>Y</v>
      </c>
      <c r="E333" s="132" t="str">
        <f>VLOOKUP($A333,'Выгр Кат'!$A:$S,E$1,0)</f>
        <v>1</v>
      </c>
      <c r="F333" s="132" t="str">
        <f>VLOOKUP($A333,'Выгр Кат'!$A:$S,F$1,0)</f>
        <v>2110-8403512/13 Н/О</v>
      </c>
      <c r="G333" s="44" t="s">
        <v>1259</v>
      </c>
      <c r="H333" s="29"/>
      <c r="I333" s="4" t="s">
        <v>2</v>
      </c>
      <c r="J333" s="95">
        <v>1</v>
      </c>
      <c r="K333" s="168">
        <f t="shared" si="190"/>
        <v>202</v>
      </c>
      <c r="L333" s="167">
        <f>VLOOKUP(K333,Наценка!$A$1:$B$8,2,1)</f>
        <v>1.7204301075268817</v>
      </c>
      <c r="M333" s="148">
        <f>W333*1.05</f>
        <v>409.5</v>
      </c>
      <c r="N333" s="173">
        <f t="shared" si="183"/>
        <v>409</v>
      </c>
      <c r="O333" s="134">
        <f>VLOOKUP($A333,'Выгр Кат'!$A:$S,O$1,0)</f>
        <v>202</v>
      </c>
      <c r="P333" s="134">
        <f>VLOOKUP($A333,'Выгр Кат'!$A:$S,P$1,0)</f>
        <v>409</v>
      </c>
      <c r="Q333" s="107">
        <f t="shared" si="184"/>
        <v>0</v>
      </c>
      <c r="R333" s="107">
        <f t="shared" si="185"/>
        <v>0</v>
      </c>
      <c r="S333" s="110">
        <f t="shared" si="186"/>
        <v>380.36999999999995</v>
      </c>
      <c r="T333" s="135">
        <f t="shared" si="187"/>
        <v>0.8830198019801978</v>
      </c>
      <c r="U333" s="135">
        <f t="shared" si="188"/>
        <v>2.4692307692307826E-2</v>
      </c>
      <c r="V333" s="135">
        <f t="shared" si="189"/>
        <v>0.93069306930693063</v>
      </c>
      <c r="W333" s="117">
        <f t="shared" si="195"/>
        <v>390</v>
      </c>
      <c r="X333" s="114">
        <f>IFERROR((VLOOKUP($A333,'ИЗ ГУГЛА'!$B:$G,X$1,0)+Z333)*Y333,VLOOKUP($A333,'ИЗ ГУГЛА'!$B:$G,X$1,0))</f>
        <v>390</v>
      </c>
      <c r="Y333" s="108">
        <v>1</v>
      </c>
      <c r="Z333" s="46"/>
      <c r="AA333" s="136">
        <v>390</v>
      </c>
      <c r="AB333" s="124" t="s">
        <v>2627</v>
      </c>
      <c r="AC333" s="114" t="str">
        <f>IFERROR((VLOOKUP($A333,'ИЗ ГУГЛА'!$B:$Z,AC$1,0)+AE333)*AD333,VLOOKUP($A333,'ИЗ ГУГЛА'!$B:$Z,AC$1,0))</f>
        <v/>
      </c>
      <c r="AD333" s="108">
        <v>1</v>
      </c>
      <c r="AE333" s="46"/>
      <c r="AF333" s="115"/>
    </row>
    <row r="334" spans="1:33" s="5" customFormat="1" ht="30.75" thickTop="1" x14ac:dyDescent="0.25">
      <c r="A334" s="132">
        <v>204304</v>
      </c>
      <c r="B334" s="132">
        <f>VLOOKUP($A334,'Выгр Кат'!$A:$S,B$1,0)</f>
        <v>19841</v>
      </c>
      <c r="C334" s="133" t="str">
        <f>VLOOKUP($A334,'Выгр Кат'!$A:$S,C$1,0)</f>
        <v>Ремень поликлиновой "БРТ" для Лада Ларгус</v>
      </c>
      <c r="D334" s="132" t="str">
        <f>VLOOKUP($A334,'Выгр Кат'!$A:$S,D$1,0)</f>
        <v>Y</v>
      </c>
      <c r="E334" s="132" t="str">
        <f>VLOOKUP($A334,'Выгр Кат'!$A:$S,E$1,0)</f>
        <v>1</v>
      </c>
      <c r="F334" s="132" t="str">
        <f>VLOOKUP($A334,'Выгр Кат'!$A:$S,F$1,0)</f>
        <v>5К990Р</v>
      </c>
      <c r="G334" s="45" t="s">
        <v>1821</v>
      </c>
      <c r="H334" s="29" t="s">
        <v>1821</v>
      </c>
      <c r="I334" s="4" t="s">
        <v>2</v>
      </c>
      <c r="J334" s="95">
        <v>1</v>
      </c>
      <c r="K334" s="168">
        <f t="shared" si="190"/>
        <v>202</v>
      </c>
      <c r="L334" s="167">
        <f>VLOOKUP(K334,Наценка!$A$1:$B$8,2,1)</f>
        <v>1.7204301075268817</v>
      </c>
      <c r="M334" s="172">
        <f t="shared" si="191"/>
        <v>347.52688172043014</v>
      </c>
      <c r="N334" s="173">
        <f t="shared" si="183"/>
        <v>349</v>
      </c>
      <c r="O334" s="134">
        <f>VLOOKUP($A334,'Выгр Кат'!$A:$S,O$1,0)</f>
        <v>202</v>
      </c>
      <c r="P334" s="134">
        <f>VLOOKUP($A334,'Выгр Кат'!$A:$S,P$1,0)</f>
        <v>349</v>
      </c>
      <c r="Q334" s="107">
        <f t="shared" si="184"/>
        <v>0</v>
      </c>
      <c r="R334" s="107">
        <f t="shared" si="185"/>
        <v>0</v>
      </c>
      <c r="S334" s="110">
        <f t="shared" si="186"/>
        <v>324.57</v>
      </c>
      <c r="T334" s="135">
        <f t="shared" si="187"/>
        <v>0.60678217821782177</v>
      </c>
      <c r="U334" s="135" t="str">
        <f t="shared" si="188"/>
        <v/>
      </c>
      <c r="V334" s="135" t="str">
        <f t="shared" si="189"/>
        <v/>
      </c>
      <c r="W334" s="45"/>
      <c r="X334" s="114" t="str">
        <f>IFERROR((VLOOKUP($A334,'ИЗ ГУГЛА'!$B:$G,X$1,0)+Z334)*Y334,VLOOKUP($A334,'ИЗ ГУГЛА'!$B:$G,X$1,0))</f>
        <v/>
      </c>
      <c r="Y334" s="108">
        <v>1</v>
      </c>
      <c r="Z334" s="46"/>
      <c r="AA334" s="139" t="s">
        <v>1821</v>
      </c>
      <c r="AB334" s="124"/>
      <c r="AC334" s="114" t="str">
        <f>IFERROR((VLOOKUP($A334,'ИЗ ГУГЛА'!$B:$Z,AC$1,0)+AE334)*AD334,VLOOKUP($A334,'ИЗ ГУГЛА'!$B:$Z,AC$1,0))</f>
        <v/>
      </c>
      <c r="AD334" s="108">
        <v>1</v>
      </c>
      <c r="AE334" s="46"/>
      <c r="AF334" s="115"/>
    </row>
    <row r="335" spans="1:33" s="5" customFormat="1" ht="45" x14ac:dyDescent="0.25">
      <c r="A335" s="132">
        <v>186635</v>
      </c>
      <c r="B335" s="132">
        <f>VLOOKUP($A335,'Выгр Кат'!$A:$S,B$1,0)</f>
        <v>20481</v>
      </c>
      <c r="C335" s="133" t="str">
        <f>VLOOKUP($A335,'Выгр Кат'!$A:$S,C$1,0)</f>
        <v>Патрубок верхний радиатора "БРТ" подводящий для Лада Приора (с кондиционером)</v>
      </c>
      <c r="D335" s="132" t="str">
        <f>VLOOKUP($A335,'Выгр Кат'!$A:$S,D$1,0)</f>
        <v>Y</v>
      </c>
      <c r="E335" s="132" t="str">
        <f>VLOOKUP($A335,'Выгр Кат'!$A:$S,E$1,0)</f>
        <v>1</v>
      </c>
      <c r="F335" s="132" t="str">
        <f>VLOOKUP($A335,'Выгр Кат'!$A:$S,F$1,0)</f>
        <v>2170-1303025-10РП</v>
      </c>
      <c r="G335" s="45" t="s">
        <v>520</v>
      </c>
      <c r="H335" s="29"/>
      <c r="I335" s="4" t="s">
        <v>2</v>
      </c>
      <c r="J335" s="95">
        <v>1</v>
      </c>
      <c r="K335" s="168">
        <f t="shared" si="190"/>
        <v>232</v>
      </c>
      <c r="L335" s="167">
        <f>VLOOKUP(K335,Наценка!$A$1:$B$8,2,1)</f>
        <v>1.7204301075268817</v>
      </c>
      <c r="M335" s="147">
        <f t="shared" ref="M335:M336" si="196">W335*1.04</f>
        <v>337.48</v>
      </c>
      <c r="N335" s="173">
        <f t="shared" si="183"/>
        <v>339</v>
      </c>
      <c r="O335" s="134">
        <f>VLOOKUP($A335,'Выгр Кат'!$A:$S,O$1,0)</f>
        <v>232</v>
      </c>
      <c r="P335" s="134">
        <f>VLOOKUP($A335,'Выгр Кат'!$A:$S,P$1,0)</f>
        <v>399</v>
      </c>
      <c r="Q335" s="107">
        <f t="shared" si="184"/>
        <v>0</v>
      </c>
      <c r="R335" s="107">
        <f t="shared" si="185"/>
        <v>60</v>
      </c>
      <c r="S335" s="110">
        <f t="shared" si="186"/>
        <v>315.27</v>
      </c>
      <c r="T335" s="135">
        <f t="shared" si="187"/>
        <v>0.3589224137931033</v>
      </c>
      <c r="U335" s="135">
        <f t="shared" si="188"/>
        <v>2.8443759630200363E-2</v>
      </c>
      <c r="V335" s="135">
        <f t="shared" si="189"/>
        <v>0.3987068965517242</v>
      </c>
      <c r="W335" s="117">
        <f t="shared" ref="W335:W337" si="197">AA335</f>
        <v>324.5</v>
      </c>
      <c r="X335" s="114">
        <f>IFERROR((VLOOKUP($A335,'ИЗ ГУГЛА'!$B:$G,X$1,0)+Z335)*Y335,VLOOKUP($A335,'ИЗ ГУГЛА'!$B:$G,X$1,0))</f>
        <v>324.5</v>
      </c>
      <c r="Y335" s="108">
        <v>0.5</v>
      </c>
      <c r="Z335" s="46"/>
      <c r="AA335" s="139">
        <v>324.5</v>
      </c>
      <c r="AB335" s="124" t="s">
        <v>2908</v>
      </c>
      <c r="AC335" s="114" t="str">
        <f>IFERROR((VLOOKUP($A335,'ИЗ ГУГЛА'!$B:$Z,AC$1,0)+AE335)*AD335,VLOOKUP($A335,'ИЗ ГУГЛА'!$B:$Z,AC$1,0))</f>
        <v/>
      </c>
      <c r="AD335" s="108">
        <v>0.5</v>
      </c>
      <c r="AE335" s="46"/>
      <c r="AF335" s="115"/>
    </row>
    <row r="336" spans="1:33" s="5" customFormat="1" ht="45" x14ac:dyDescent="0.25">
      <c r="A336" s="132">
        <v>186670</v>
      </c>
      <c r="B336" s="132">
        <f>VLOOKUP($A336,'Выгр Кат'!$A:$S,B$1,0)</f>
        <v>20479</v>
      </c>
      <c r="C336" s="133" t="str">
        <f>VLOOKUP($A336,'Выгр Кат'!$A:$S,C$1,0)</f>
        <v>Патрубок нижний радиатора "БРТ" отводящий для Лада Приора (с кондиционером)</v>
      </c>
      <c r="D336" s="132" t="str">
        <f>VLOOKUP($A336,'Выгр Кат'!$A:$S,D$1,0)</f>
        <v>Y</v>
      </c>
      <c r="E336" s="132" t="str">
        <f>VLOOKUP($A336,'Выгр Кат'!$A:$S,E$1,0)</f>
        <v>1</v>
      </c>
      <c r="F336" s="132" t="str">
        <f>VLOOKUP($A336,'Выгр Кат'!$A:$S,F$1,0)</f>
        <v>2170-1303010-10РП</v>
      </c>
      <c r="G336" s="45" t="s">
        <v>519</v>
      </c>
      <c r="H336" s="29"/>
      <c r="I336" s="4" t="s">
        <v>2</v>
      </c>
      <c r="J336" s="95">
        <v>1</v>
      </c>
      <c r="K336" s="168">
        <f t="shared" si="190"/>
        <v>232</v>
      </c>
      <c r="L336" s="167">
        <f>VLOOKUP(K336,Наценка!$A$1:$B$8,2,1)</f>
        <v>1.7204301075268817</v>
      </c>
      <c r="M336" s="147">
        <f t="shared" si="196"/>
        <v>337.48</v>
      </c>
      <c r="N336" s="173">
        <f t="shared" si="183"/>
        <v>339</v>
      </c>
      <c r="O336" s="134">
        <f>VLOOKUP($A336,'Выгр Кат'!$A:$S,O$1,0)</f>
        <v>232</v>
      </c>
      <c r="P336" s="134">
        <f>VLOOKUP($A336,'Выгр Кат'!$A:$S,P$1,0)</f>
        <v>399</v>
      </c>
      <c r="Q336" s="107">
        <f t="shared" si="184"/>
        <v>0</v>
      </c>
      <c r="R336" s="107">
        <f t="shared" si="185"/>
        <v>60</v>
      </c>
      <c r="S336" s="110">
        <f t="shared" si="186"/>
        <v>315.27</v>
      </c>
      <c r="T336" s="135">
        <f t="shared" si="187"/>
        <v>0.3589224137931033</v>
      </c>
      <c r="U336" s="135">
        <f t="shared" si="188"/>
        <v>2.8443759630200363E-2</v>
      </c>
      <c r="V336" s="135">
        <f t="shared" si="189"/>
        <v>0.3987068965517242</v>
      </c>
      <c r="W336" s="117">
        <f t="shared" si="197"/>
        <v>324.5</v>
      </c>
      <c r="X336" s="114">
        <f>IFERROR((VLOOKUP($A336,'ИЗ ГУГЛА'!$B:$G,X$1,0)+Z336)*Y336,VLOOKUP($A336,'ИЗ ГУГЛА'!$B:$G,X$1,0))</f>
        <v>324.5</v>
      </c>
      <c r="Y336" s="108">
        <v>0.5</v>
      </c>
      <c r="Z336" s="46"/>
      <c r="AA336" s="139">
        <v>324.5</v>
      </c>
      <c r="AB336" s="124" t="s">
        <v>2908</v>
      </c>
      <c r="AC336" s="114" t="str">
        <f>IFERROR((VLOOKUP($A336,'ИЗ ГУГЛА'!$B:$Z,AC$1,0)+AE336)*AD336,VLOOKUP($A336,'ИЗ ГУГЛА'!$B:$Z,AC$1,0))</f>
        <v/>
      </c>
      <c r="AD336" s="108">
        <v>0.5</v>
      </c>
      <c r="AE336" s="46"/>
      <c r="AF336" s="115"/>
    </row>
    <row r="337" spans="1:33" s="5" customFormat="1" ht="30" x14ac:dyDescent="0.25">
      <c r="A337" s="132">
        <v>204187</v>
      </c>
      <c r="B337" s="132">
        <f>VLOOKUP($A337,'Выгр Кат'!$A:$S,B$1,0)</f>
        <v>36964</v>
      </c>
      <c r="C337" s="133" t="str">
        <f>VLOOKUP($A337,'Выгр Кат'!$A:$S,C$1,0)</f>
        <v>Ремень генератора "БРТ" зубчатый для ВАЗ 2101-2107, Лада Нива 4x4</v>
      </c>
      <c r="D337" s="132" t="str">
        <f>VLOOKUP($A337,'Выгр Кат'!$A:$S,D$1,0)</f>
        <v>Y</v>
      </c>
      <c r="E337" s="132" t="str">
        <f>VLOOKUP($A337,'Выгр Кат'!$A:$S,E$1,0)</f>
        <v>1</v>
      </c>
      <c r="F337" s="132" t="str">
        <f>VLOOKUP($A337,'Выгр Кат'!$A:$S,F$1,0)</f>
        <v>2107-1308020</v>
      </c>
      <c r="G337" s="53" t="s">
        <v>2201</v>
      </c>
      <c r="H337" s="29"/>
      <c r="I337" s="7" t="s">
        <v>2</v>
      </c>
      <c r="J337" s="95">
        <v>1</v>
      </c>
      <c r="K337" s="168">
        <f t="shared" si="190"/>
        <v>233</v>
      </c>
      <c r="L337" s="167">
        <f>VLOOKUP(K337,Наценка!$A$1:$B$8,2,1)</f>
        <v>1.7204301075268817</v>
      </c>
      <c r="M337" s="148">
        <f t="shared" ref="M335:M337" si="198">W337*1.06</f>
        <v>519.4</v>
      </c>
      <c r="N337" s="173">
        <f t="shared" si="183"/>
        <v>519</v>
      </c>
      <c r="O337" s="134">
        <f>VLOOKUP($A337,'Выгр Кат'!$A:$S,O$1,0)</f>
        <v>233</v>
      </c>
      <c r="P337" s="134">
        <f>VLOOKUP($A337,'Выгр Кат'!$A:$S,P$1,0)</f>
        <v>409</v>
      </c>
      <c r="Q337" s="107">
        <f t="shared" si="184"/>
        <v>0</v>
      </c>
      <c r="R337" s="107">
        <f t="shared" si="185"/>
        <v>-110</v>
      </c>
      <c r="S337" s="110">
        <f t="shared" si="186"/>
        <v>482.66999999999996</v>
      </c>
      <c r="T337" s="135">
        <f t="shared" si="187"/>
        <v>1.0715450643776823</v>
      </c>
      <c r="U337" s="135">
        <f t="shared" si="188"/>
        <v>1.4959183673469472E-2</v>
      </c>
      <c r="V337" s="135">
        <f t="shared" si="189"/>
        <v>1.1030042918454934</v>
      </c>
      <c r="W337" s="117">
        <f t="shared" si="197"/>
        <v>490</v>
      </c>
      <c r="X337" s="114">
        <f>IFERROR((VLOOKUP($A337,'ИЗ ГУГЛА'!$B:$G,X$1,0)+Z337)*Y337,VLOOKUP($A337,'ИЗ ГУГЛА'!$B:$G,X$1,0))</f>
        <v>490</v>
      </c>
      <c r="Y337" s="108">
        <v>1</v>
      </c>
      <c r="Z337" s="46"/>
      <c r="AA337" s="139">
        <v>490</v>
      </c>
      <c r="AB337" s="124" t="s">
        <v>2907</v>
      </c>
      <c r="AC337" s="114" t="str">
        <f>IFERROR((VLOOKUP($A337,'ИЗ ГУГЛА'!$B:$Z,AC$1,0)+AE337)*AD337,VLOOKUP($A337,'ИЗ ГУГЛА'!$B:$Z,AC$1,0))</f>
        <v/>
      </c>
      <c r="AD337" s="108">
        <v>1</v>
      </c>
      <c r="AE337" s="46"/>
      <c r="AF337" s="115"/>
    </row>
    <row r="338" spans="1:33" s="5" customFormat="1" ht="45" x14ac:dyDescent="0.25">
      <c r="A338" s="132">
        <v>204345</v>
      </c>
      <c r="B338" s="132">
        <f>VLOOKUP($A338,'Выгр Кат'!$A:$S,B$1,0)</f>
        <v>20258</v>
      </c>
      <c r="C338" s="133" t="str">
        <f>VLOOKUP($A338,'Выгр Кат'!$A:$S,C$1,0)</f>
        <v>Ремкомплект 172Р Р/К крепления подвески глушителя "БРТ" для Лада Нива 4x4, Шевроле Нива</v>
      </c>
      <c r="D338" s="132" t="str">
        <f>VLOOKUP($A338,'Выгр Кат'!$A:$S,D$1,0)</f>
        <v>Y</v>
      </c>
      <c r="E338" s="132" t="str">
        <f>VLOOKUP($A338,'Выгр Кат'!$A:$S,E$1,0)</f>
        <v>1</v>
      </c>
      <c r="F338" s="132" t="str">
        <f>VLOOKUP($A338,'Выгр Кат'!$A:$S,F$1,0)</f>
        <v>2101-1203047Р, 21213-1203073Р.</v>
      </c>
      <c r="G338" s="45" t="s">
        <v>1821</v>
      </c>
      <c r="H338" s="29" t="s">
        <v>1821</v>
      </c>
      <c r="I338" s="4" t="s">
        <v>2</v>
      </c>
      <c r="J338" s="95">
        <v>1</v>
      </c>
      <c r="K338" s="168">
        <f t="shared" si="190"/>
        <v>207</v>
      </c>
      <c r="L338" s="167">
        <f>VLOOKUP(K338,Наценка!$A$1:$B$8,2,1)</f>
        <v>1.7204301075268817</v>
      </c>
      <c r="M338" s="172">
        <f t="shared" si="191"/>
        <v>356.12903225806451</v>
      </c>
      <c r="N338" s="173">
        <f t="shared" si="183"/>
        <v>359</v>
      </c>
      <c r="O338" s="134">
        <f>VLOOKUP($A338,'Выгр Кат'!$A:$S,O$1,0)</f>
        <v>207</v>
      </c>
      <c r="P338" s="134">
        <f>VLOOKUP($A338,'Выгр Кат'!$A:$S,P$1,0)</f>
        <v>359</v>
      </c>
      <c r="Q338" s="107">
        <f t="shared" si="184"/>
        <v>0</v>
      </c>
      <c r="R338" s="107">
        <f t="shared" si="185"/>
        <v>0</v>
      </c>
      <c r="S338" s="110">
        <f t="shared" si="186"/>
        <v>333.87</v>
      </c>
      <c r="T338" s="135">
        <f t="shared" si="187"/>
        <v>0.61289855072463761</v>
      </c>
      <c r="U338" s="135" t="str">
        <f t="shared" si="188"/>
        <v/>
      </c>
      <c r="V338" s="135" t="str">
        <f t="shared" si="189"/>
        <v/>
      </c>
      <c r="W338" s="45"/>
      <c r="X338" s="114" t="str">
        <f>IFERROR((VLOOKUP($A338,'ИЗ ГУГЛА'!$B:$G,X$1,0)+Z338)*Y338,VLOOKUP($A338,'ИЗ ГУГЛА'!$B:$G,X$1,0))</f>
        <v/>
      </c>
      <c r="Y338" s="108">
        <v>1</v>
      </c>
      <c r="Z338" s="46"/>
      <c r="AA338" s="139" t="s">
        <v>2895</v>
      </c>
      <c r="AB338" s="124"/>
      <c r="AC338" s="114" t="str">
        <f>IFERROR((VLOOKUP($A338,'ИЗ ГУГЛА'!$B:$Z,AC$1,0)+AE338)*AD338,VLOOKUP($A338,'ИЗ ГУГЛА'!$B:$Z,AC$1,0))</f>
        <v/>
      </c>
      <c r="AD338" s="108">
        <v>1</v>
      </c>
      <c r="AE338" s="46"/>
      <c r="AF338" s="115"/>
    </row>
    <row r="339" spans="1:33" s="5" customFormat="1" ht="30.75" thickBot="1" x14ac:dyDescent="0.3">
      <c r="A339" s="132">
        <v>223263</v>
      </c>
      <c r="B339" s="132">
        <f>VLOOKUP($A339,'Выгр Кат'!$A:$S,B$1,0)</f>
        <v>4963</v>
      </c>
      <c r="C339" s="133" t="str">
        <f>VLOOKUP($A339,'Выгр Кат'!$A:$S,C$1,0)</f>
        <v>Уплотнитель капота для Лада Нива 4х4</v>
      </c>
      <c r="D339" s="132" t="str">
        <f>VLOOKUP($A339,'Выгр Кат'!$A:$S,D$1,0)</f>
        <v>Y</v>
      </c>
      <c r="E339" s="132" t="str">
        <f>VLOOKUP($A339,'Выгр Кат'!$A:$S,E$1,0)</f>
        <v>1</v>
      </c>
      <c r="F339" s="132" t="str">
        <f>VLOOKUP($A339,'Выгр Кат'!$A:$S,F$1,0)</f>
        <v>21210840220000</v>
      </c>
      <c r="G339" s="100" t="s">
        <v>460</v>
      </c>
      <c r="H339" s="29"/>
      <c r="I339" s="4" t="s">
        <v>2</v>
      </c>
      <c r="J339" s="95">
        <v>1</v>
      </c>
      <c r="K339" s="168">
        <f t="shared" si="190"/>
        <v>237</v>
      </c>
      <c r="L339" s="167">
        <f>VLOOKUP(K339,Наценка!$A$1:$B$8,2,1)</f>
        <v>1.7204301075268817</v>
      </c>
      <c r="M339" s="148">
        <f t="shared" ref="M339:M342" si="199">W339*1.06</f>
        <v>625.4</v>
      </c>
      <c r="N339" s="173">
        <f t="shared" si="183"/>
        <v>629</v>
      </c>
      <c r="O339" s="134">
        <f>VLOOKUP($A339,'Выгр Кат'!$A:$S,O$1,0)</f>
        <v>237</v>
      </c>
      <c r="P339" s="134">
        <f>VLOOKUP($A339,'Выгр Кат'!$A:$S,P$1,0)</f>
        <v>599</v>
      </c>
      <c r="Q339" s="107">
        <f t="shared" si="184"/>
        <v>0</v>
      </c>
      <c r="R339" s="107">
        <f t="shared" si="185"/>
        <v>-30</v>
      </c>
      <c r="S339" s="110">
        <f t="shared" si="186"/>
        <v>584.96999999999991</v>
      </c>
      <c r="T339" s="135">
        <f t="shared" si="187"/>
        <v>1.4682278481012654</v>
      </c>
      <c r="U339" s="135">
        <f t="shared" si="188"/>
        <v>8.5254237288137063E-3</v>
      </c>
      <c r="V339" s="135">
        <f t="shared" si="189"/>
        <v>1.4894514767932487</v>
      </c>
      <c r="W339" s="117">
        <f t="shared" ref="W339:W341" si="200">AA339</f>
        <v>590</v>
      </c>
      <c r="X339" s="114">
        <f>IFERROR((VLOOKUP($A339,'ИЗ ГУГЛА'!$B:$G,X$1,0)+Z339)*Y339,VLOOKUP($A339,'ИЗ ГУГЛА'!$B:$G,X$1,0))</f>
        <v>590</v>
      </c>
      <c r="Y339" s="46">
        <v>1</v>
      </c>
      <c r="Z339" s="46"/>
      <c r="AA339" s="138">
        <v>590</v>
      </c>
      <c r="AB339" s="124" t="s">
        <v>2314</v>
      </c>
      <c r="AC339" s="114" t="str">
        <f>IFERROR((VLOOKUP($A339,'ИЗ ГУГЛА'!$B:$Z,AC$1,0)+AE339)*AD339,VLOOKUP($A339,'ИЗ ГУГЛА'!$B:$Z,AC$1,0))</f>
        <v/>
      </c>
      <c r="AD339" s="46">
        <v>1</v>
      </c>
      <c r="AE339" s="46"/>
      <c r="AF339" s="115"/>
    </row>
    <row r="340" spans="1:33" s="5" customFormat="1" ht="30.75" thickTop="1" x14ac:dyDescent="0.25">
      <c r="A340" s="132">
        <v>202087</v>
      </c>
      <c r="B340" s="132">
        <f>VLOOKUP($A340,'Выгр Кат'!$A:$S,B$1,0)</f>
        <v>35255</v>
      </c>
      <c r="C340" s="133" t="str">
        <f>VLOOKUP($A340,'Выгр Кат'!$A:$S,C$1,0)</f>
        <v>Пыльник ШРУСа "БРТ" внутренний для Лада Нива 4х4, Шевроле Нива</v>
      </c>
      <c r="D340" s="132" t="str">
        <f>VLOOKUP($A340,'Выгр Кат'!$A:$S,D$1,0)</f>
        <v>Y</v>
      </c>
      <c r="E340" s="132" t="str">
        <f>VLOOKUP($A340,'Выгр Кат'!$A:$S,E$1,0)</f>
        <v>1</v>
      </c>
      <c r="F340" s="132" t="str">
        <f>VLOOKUP($A340,'Выгр Кат'!$A:$S,F$1,0)</f>
        <v>2121-2215068-01</v>
      </c>
      <c r="G340" s="44" t="s">
        <v>444</v>
      </c>
      <c r="H340" s="29"/>
      <c r="I340" s="4" t="s">
        <v>2</v>
      </c>
      <c r="J340" s="95">
        <v>1</v>
      </c>
      <c r="K340" s="168">
        <f t="shared" si="190"/>
        <v>224</v>
      </c>
      <c r="L340" s="167">
        <f>VLOOKUP(K340,Наценка!$A$1:$B$8,2,1)</f>
        <v>1.7204301075268817</v>
      </c>
      <c r="M340" s="148">
        <f t="shared" si="199"/>
        <v>369.94</v>
      </c>
      <c r="N340" s="173">
        <f t="shared" si="183"/>
        <v>369</v>
      </c>
      <c r="O340" s="134">
        <f>VLOOKUP($A340,'Выгр Кат'!$A:$S,O$1,0)</f>
        <v>224</v>
      </c>
      <c r="P340" s="134">
        <f>VLOOKUP($A340,'Выгр Кат'!$A:$S,P$1,0)</f>
        <v>389</v>
      </c>
      <c r="Q340" s="107">
        <f t="shared" si="184"/>
        <v>0</v>
      </c>
      <c r="R340" s="107">
        <f t="shared" si="185"/>
        <v>20</v>
      </c>
      <c r="S340" s="110">
        <f t="shared" si="186"/>
        <v>343.16999999999996</v>
      </c>
      <c r="T340" s="135">
        <f t="shared" si="187"/>
        <v>0.53200892857142845</v>
      </c>
      <c r="U340" s="135">
        <f t="shared" si="188"/>
        <v>1.6704871060172037E-2</v>
      </c>
      <c r="V340" s="135">
        <f t="shared" si="189"/>
        <v>0.55803571428571419</v>
      </c>
      <c r="W340" s="117">
        <f t="shared" si="200"/>
        <v>349</v>
      </c>
      <c r="X340" s="114">
        <f>IFERROR((VLOOKUP($A340,'ИЗ ГУГЛА'!$B:$G,X$1,0)+Z340)*Y340,VLOOKUP($A340,'ИЗ ГУГЛА'!$B:$G,X$1,0))</f>
        <v>349</v>
      </c>
      <c r="Y340" s="108">
        <v>1</v>
      </c>
      <c r="Z340" s="46"/>
      <c r="AA340" s="139">
        <v>349</v>
      </c>
      <c r="AB340" s="124" t="s">
        <v>2905</v>
      </c>
      <c r="AC340" s="114">
        <f>IFERROR((VLOOKUP($A340,'ИЗ ГУГЛА'!$B:$Z,AC$1,0)+AE340)*AD340,VLOOKUP($A340,'ИЗ ГУГЛА'!$B:$Z,AC$1,0))</f>
        <v>320</v>
      </c>
      <c r="AD340" s="108">
        <v>1</v>
      </c>
      <c r="AE340" s="46"/>
      <c r="AF340" s="115">
        <v>320</v>
      </c>
      <c r="AG340" s="5" t="s">
        <v>2906</v>
      </c>
    </row>
    <row r="341" spans="1:33" s="5" customFormat="1" ht="30.75" thickBot="1" x14ac:dyDescent="0.3">
      <c r="A341" s="132">
        <v>225923</v>
      </c>
      <c r="B341" s="132">
        <f>VLOOKUP($A341,'Выгр Кат'!$A:$S,B$1,0)</f>
        <v>35330</v>
      </c>
      <c r="C341" s="133" t="str">
        <f>VLOOKUP($A341,'Выгр Кат'!$A:$S,C$1,0)</f>
        <v>Шланг "БРТ" тормозной задний для ВАЗ 2101-2107</v>
      </c>
      <c r="D341" s="132" t="str">
        <f>VLOOKUP($A341,'Выгр Кат'!$A:$S,D$1,0)</f>
        <v>Y</v>
      </c>
      <c r="E341" s="132" t="str">
        <f>VLOOKUP($A341,'Выгр Кат'!$A:$S,E$1,0)</f>
        <v>1</v>
      </c>
      <c r="F341" s="132" t="str">
        <f>VLOOKUP($A341,'Выгр Кат'!$A:$S,F$1,0)</f>
        <v>2101-3506085</v>
      </c>
      <c r="G341" s="44" t="s">
        <v>277</v>
      </c>
      <c r="H341" s="29"/>
      <c r="I341" s="4" t="s">
        <v>2</v>
      </c>
      <c r="J341" s="95">
        <v>1</v>
      </c>
      <c r="K341" s="168">
        <f t="shared" si="190"/>
        <v>246</v>
      </c>
      <c r="L341" s="167">
        <f>VLOOKUP(K341,Наценка!$A$1:$B$8,2,1)</f>
        <v>1.7204301075268817</v>
      </c>
      <c r="M341" s="148">
        <f t="shared" ref="M341:M342" si="201">W341*1.05</f>
        <v>409.5</v>
      </c>
      <c r="N341" s="173">
        <f t="shared" si="183"/>
        <v>409</v>
      </c>
      <c r="O341" s="134">
        <f>VLOOKUP($A341,'Выгр Кат'!$A:$S,O$1,0)</f>
        <v>246</v>
      </c>
      <c r="P341" s="134">
        <f>VLOOKUP($A341,'Выгр Кат'!$A:$S,P$1,0)</f>
        <v>409</v>
      </c>
      <c r="Q341" s="107">
        <f t="shared" si="184"/>
        <v>0</v>
      </c>
      <c r="R341" s="107">
        <f t="shared" si="185"/>
        <v>0</v>
      </c>
      <c r="S341" s="110">
        <f t="shared" si="186"/>
        <v>380.36999999999995</v>
      </c>
      <c r="T341" s="135">
        <f t="shared" si="187"/>
        <v>0.54621951219512166</v>
      </c>
      <c r="U341" s="135">
        <f t="shared" si="188"/>
        <v>2.4692307692307826E-2</v>
      </c>
      <c r="V341" s="135">
        <f t="shared" si="189"/>
        <v>0.58536585365853666</v>
      </c>
      <c r="W341" s="117">
        <f t="shared" si="200"/>
        <v>390</v>
      </c>
      <c r="X341" s="114">
        <f>IFERROR((VLOOKUP($A341,'ИЗ ГУГЛА'!$B:$G,X$1,0)+Z341)*Y341,VLOOKUP($A341,'ИЗ ГУГЛА'!$B:$G,X$1,0))</f>
        <v>390</v>
      </c>
      <c r="Y341" s="46">
        <v>1</v>
      </c>
      <c r="Z341" s="46"/>
      <c r="AA341" s="138">
        <v>390</v>
      </c>
      <c r="AB341" s="124" t="s">
        <v>2358</v>
      </c>
      <c r="AC341" s="114" t="str">
        <f>IFERROR((VLOOKUP($A341,'ИЗ ГУГЛА'!$B:$Z,AC$1,0)+AE341)*AD341,VLOOKUP($A341,'ИЗ ГУГЛА'!$B:$Z,AC$1,0))</f>
        <v/>
      </c>
      <c r="AD341" s="46">
        <v>1</v>
      </c>
      <c r="AE341" s="46"/>
      <c r="AF341" s="115"/>
    </row>
    <row r="342" spans="1:33" s="5" customFormat="1" ht="30.75" thickTop="1" x14ac:dyDescent="0.25">
      <c r="A342" s="132">
        <v>201335</v>
      </c>
      <c r="B342" s="132">
        <f>VLOOKUP($A342,'Выгр Кат'!$A:$S,B$1,0)</f>
        <v>35278</v>
      </c>
      <c r="C342" s="133" t="str">
        <f>VLOOKUP($A342,'Выгр Кат'!$A:$S,C$1,0)</f>
        <v>Прокладка "БРТ" масляного картера для ВАЗ 2104, 2105</v>
      </c>
      <c r="D342" s="132" t="str">
        <f>VLOOKUP($A342,'Выгр Кат'!$A:$S,D$1,0)</f>
        <v>Y</v>
      </c>
      <c r="E342" s="132" t="str">
        <f>VLOOKUP($A342,'Выгр Кат'!$A:$S,E$1,0)</f>
        <v>1</v>
      </c>
      <c r="F342" s="132" t="str">
        <f>VLOOKUP($A342,'Выгр Кат'!$A:$S,F$1,0)</f>
        <v>2105-1009070</v>
      </c>
      <c r="G342" s="44" t="s">
        <v>294</v>
      </c>
      <c r="H342" s="29"/>
      <c r="I342" s="4" t="s">
        <v>2</v>
      </c>
      <c r="J342" s="95">
        <v>1</v>
      </c>
      <c r="K342" s="168">
        <f t="shared" si="190"/>
        <v>241</v>
      </c>
      <c r="L342" s="167">
        <f>VLOOKUP(K342,Наценка!$A$1:$B$8,2,1)</f>
        <v>1.7204301075268817</v>
      </c>
      <c r="M342" s="148">
        <f t="shared" si="201"/>
        <v>378</v>
      </c>
      <c r="N342" s="173">
        <f t="shared" si="183"/>
        <v>379</v>
      </c>
      <c r="O342" s="134">
        <f>VLOOKUP($A342,'Выгр Кат'!$A:$S,O$1,0)</f>
        <v>241</v>
      </c>
      <c r="P342" s="134">
        <f>VLOOKUP($A342,'Выгр Кат'!$A:$S,P$1,0)</f>
        <v>419</v>
      </c>
      <c r="Q342" s="107">
        <f t="shared" si="184"/>
        <v>0</v>
      </c>
      <c r="R342" s="107">
        <f t="shared" si="185"/>
        <v>40</v>
      </c>
      <c r="S342" s="110">
        <f t="shared" si="186"/>
        <v>352.46999999999997</v>
      </c>
      <c r="T342" s="135">
        <f t="shared" si="187"/>
        <v>0.46253112033194999</v>
      </c>
      <c r="U342" s="135">
        <f t="shared" si="188"/>
        <v>2.091666666666675E-2</v>
      </c>
      <c r="V342" s="135">
        <f t="shared" si="189"/>
        <v>0.49377593360995853</v>
      </c>
      <c r="W342" s="118">
        <f>AF342</f>
        <v>360</v>
      </c>
      <c r="X342" s="114" t="str">
        <f>IFERROR((VLOOKUP($A342,'ИЗ ГУГЛА'!$B:$G,X$1,0)+Z342)*Y342,VLOOKUP($A342,'ИЗ ГУГЛА'!$B:$G,X$1,0))</f>
        <v/>
      </c>
      <c r="Y342" s="108">
        <v>1</v>
      </c>
      <c r="Z342" s="46"/>
      <c r="AA342" s="139" t="s">
        <v>1821</v>
      </c>
      <c r="AB342" s="124"/>
      <c r="AC342" s="114">
        <f>IFERROR((VLOOKUP($A342,'ИЗ ГУГЛА'!$B:$Z,AC$1,0)+AE342)*AD342,VLOOKUP($A342,'ИЗ ГУГЛА'!$B:$Z,AC$1,0))</f>
        <v>360</v>
      </c>
      <c r="AD342" s="108">
        <v>1</v>
      </c>
      <c r="AE342" s="46"/>
      <c r="AF342" s="115">
        <v>360</v>
      </c>
      <c r="AG342" s="5" t="s">
        <v>2904</v>
      </c>
    </row>
    <row r="343" spans="1:33" s="5" customFormat="1" ht="30" x14ac:dyDescent="0.25">
      <c r="A343" s="132">
        <v>224897</v>
      </c>
      <c r="B343" s="132">
        <f>VLOOKUP($A343,'Выгр Кат'!$A:$S,B$1,0)</f>
        <v>35594</v>
      </c>
      <c r="C343" s="133" t="str">
        <f>VLOOKUP($A343,'Выгр Кат'!$A:$S,C$1,0)</f>
        <v>Чехол "БРТ" привода наружный для Лада Веста</v>
      </c>
      <c r="D343" s="132" t="str">
        <f>VLOOKUP($A343,'Выгр Кат'!$A:$S,D$1,0)</f>
        <v>Y</v>
      </c>
      <c r="E343" s="132" t="str">
        <f>VLOOKUP($A343,'Выгр Кат'!$A:$S,E$1,0)</f>
        <v>1</v>
      </c>
      <c r="F343" s="132" t="str">
        <f>VLOOKUP($A343,'Выгр Кат'!$A:$S,F$1,0)</f>
        <v>2180-2215030РИ</v>
      </c>
      <c r="G343" s="44" t="s">
        <v>1452</v>
      </c>
      <c r="H343" s="29"/>
      <c r="I343" s="4" t="s">
        <v>2</v>
      </c>
      <c r="J343" s="95">
        <v>1</v>
      </c>
      <c r="K343" s="168">
        <f t="shared" si="190"/>
        <v>214</v>
      </c>
      <c r="L343" s="167">
        <f>VLOOKUP(K343,Наценка!$A$1:$B$8,2,1)</f>
        <v>1.7204301075268817</v>
      </c>
      <c r="M343" s="172">
        <f t="shared" si="191"/>
        <v>368.1720430107527</v>
      </c>
      <c r="N343" s="173">
        <f t="shared" si="183"/>
        <v>369</v>
      </c>
      <c r="O343" s="134">
        <f>VLOOKUP($A343,'Выгр Кат'!$A:$S,O$1,0)</f>
        <v>214</v>
      </c>
      <c r="P343" s="134">
        <f>VLOOKUP($A343,'Выгр Кат'!$A:$S,P$1,0)</f>
        <v>369</v>
      </c>
      <c r="Q343" s="107">
        <f t="shared" si="184"/>
        <v>0</v>
      </c>
      <c r="R343" s="107">
        <f t="shared" si="185"/>
        <v>0</v>
      </c>
      <c r="S343" s="110">
        <f t="shared" si="186"/>
        <v>343.16999999999996</v>
      </c>
      <c r="T343" s="135">
        <f t="shared" si="187"/>
        <v>0.60359813084112135</v>
      </c>
      <c r="U343" s="135" t="str">
        <f t="shared" si="188"/>
        <v/>
      </c>
      <c r="V343" s="135" t="str">
        <f t="shared" si="189"/>
        <v/>
      </c>
      <c r="W343" s="45"/>
      <c r="X343" s="114" t="str">
        <f>IFERROR((VLOOKUP($A343,'ИЗ ГУГЛА'!$B:$G,X$1,0)+Z343)*Y343,VLOOKUP($A343,'ИЗ ГУГЛА'!$B:$G,X$1,0))</f>
        <v/>
      </c>
      <c r="Y343" s="108">
        <v>1</v>
      </c>
      <c r="Z343" s="46"/>
      <c r="AA343" s="139" t="s">
        <v>2895</v>
      </c>
      <c r="AB343" s="124"/>
      <c r="AC343" s="114" t="str">
        <f>IFERROR((VLOOKUP($A343,'ИЗ ГУГЛА'!$B:$Z,AC$1,0)+AE343)*AD343,VLOOKUP($A343,'ИЗ ГУГЛА'!$B:$Z,AC$1,0))</f>
        <v/>
      </c>
      <c r="AD343" s="108">
        <v>1</v>
      </c>
      <c r="AE343" s="46"/>
      <c r="AF343" s="115"/>
    </row>
    <row r="344" spans="1:33" s="5" customFormat="1" ht="45" x14ac:dyDescent="0.25">
      <c r="A344" s="132">
        <v>186574</v>
      </c>
      <c r="B344" s="132">
        <f>VLOOKUP($A344,'Выгр Кат'!$A:$S,B$1,0)</f>
        <v>35579</v>
      </c>
      <c r="C344" s="133" t="str">
        <f>VLOOKUP($A344,'Выгр Кат'!$A:$S,C$1,0)</f>
        <v>(дубль) Патрубок "БРТ" радиатора отводящий, нижний (RF-90) для Лада Ларгус</v>
      </c>
      <c r="D344" s="132" t="str">
        <f>VLOOKUP($A344,'Выгр Кат'!$A:$S,D$1,0)</f>
        <v>N</v>
      </c>
      <c r="E344" s="132" t="str">
        <f>VLOOKUP($A344,'Выгр Кат'!$A:$S,E$1,0)</f>
        <v>1</v>
      </c>
      <c r="F344" s="132" t="str">
        <f>VLOOKUP($A344,'Выгр Кат'!$A:$S,F$1,0)</f>
        <v>RF909490Р</v>
      </c>
      <c r="G344" s="44" t="s">
        <v>592</v>
      </c>
      <c r="H344" s="29"/>
      <c r="I344" s="4" t="s">
        <v>2</v>
      </c>
      <c r="J344" s="95">
        <v>1</v>
      </c>
      <c r="K344" s="168">
        <f t="shared" si="190"/>
        <v>291</v>
      </c>
      <c r="L344" s="167">
        <f>VLOOKUP(K344,Наценка!$A$1:$B$8,2,1)</f>
        <v>1.7204301075268817</v>
      </c>
      <c r="M344" s="148">
        <f t="shared" ref="M344:M345" si="202">W344*1.05</f>
        <v>535.5</v>
      </c>
      <c r="N344" s="173">
        <f t="shared" si="183"/>
        <v>539</v>
      </c>
      <c r="O344" s="134">
        <f>VLOOKUP($A344,'Выгр Кат'!$A:$S,O$1,0)</f>
        <v>291</v>
      </c>
      <c r="P344" s="134">
        <f>VLOOKUP($A344,'Выгр Кат'!$A:$S,P$1,0)</f>
        <v>509</v>
      </c>
      <c r="Q344" s="107">
        <f t="shared" si="184"/>
        <v>0</v>
      </c>
      <c r="R344" s="107">
        <f t="shared" si="185"/>
        <v>-30</v>
      </c>
      <c r="S344" s="110">
        <f t="shared" si="186"/>
        <v>501.27</v>
      </c>
      <c r="T344" s="135">
        <f t="shared" si="187"/>
        <v>0.72257731958762883</v>
      </c>
      <c r="U344" s="135">
        <f t="shared" si="188"/>
        <v>1.7117647058823564E-2</v>
      </c>
      <c r="V344" s="135">
        <f t="shared" si="189"/>
        <v>0.75257731958762886</v>
      </c>
      <c r="W344" s="118">
        <f t="shared" ref="W344:W345" si="203">AF344</f>
        <v>510</v>
      </c>
      <c r="X344" s="114" t="str">
        <f>IFERROR((VLOOKUP($A344,'ИЗ ГУГЛА'!$B:$G,X$1,0)+Z344)*Y344,VLOOKUP($A344,'ИЗ ГУГЛА'!$B:$G,X$1,0))</f>
        <v/>
      </c>
      <c r="Y344" s="108">
        <v>1</v>
      </c>
      <c r="Z344" s="46"/>
      <c r="AA344" s="139" t="s">
        <v>1821</v>
      </c>
      <c r="AB344" s="124"/>
      <c r="AC344" s="114">
        <f>IFERROR((VLOOKUP($A344,'ИЗ ГУГЛА'!$B:$Z,AC$1,0)+AE344)*AD344,VLOOKUP($A344,'ИЗ ГУГЛА'!$B:$Z,AC$1,0))</f>
        <v>510</v>
      </c>
      <c r="AD344" s="108">
        <v>1</v>
      </c>
      <c r="AE344" s="46"/>
      <c r="AF344" s="115">
        <v>510</v>
      </c>
      <c r="AG344" s="5" t="s">
        <v>2903</v>
      </c>
    </row>
    <row r="345" spans="1:33" s="5" customFormat="1" ht="45" x14ac:dyDescent="0.25">
      <c r="A345" s="132">
        <v>186583</v>
      </c>
      <c r="B345" s="132">
        <f>VLOOKUP($A345,'Выгр Кат'!$A:$S,B$1,0)</f>
        <v>35385</v>
      </c>
      <c r="C345" s="133" t="str">
        <f>VLOOKUP($A345,'Выгр Кат'!$A:$S,C$1,0)</f>
        <v>Патрубок "БРТ" радиатора, отводящий для Лада Ларгус (c 8-ми клапанным двигателем)</v>
      </c>
      <c r="D345" s="132" t="str">
        <f>VLOOKUP($A345,'Выгр Кат'!$A:$S,D$1,0)</f>
        <v>Y</v>
      </c>
      <c r="E345" s="132" t="str">
        <f>VLOOKUP($A345,'Выгр Кат'!$A:$S,E$1,0)</f>
        <v>1</v>
      </c>
      <c r="F345" s="132" t="str">
        <f>VLOOKUP($A345,'Выгр Кат'!$A:$S,F$1,0)</f>
        <v>8450009490</v>
      </c>
      <c r="G345" s="44" t="s">
        <v>881</v>
      </c>
      <c r="H345" s="29"/>
      <c r="I345" s="4" t="s">
        <v>2</v>
      </c>
      <c r="J345" s="95">
        <v>1</v>
      </c>
      <c r="K345" s="168">
        <f t="shared" si="190"/>
        <v>291</v>
      </c>
      <c r="L345" s="167">
        <f>VLOOKUP(K345,Наценка!$A$1:$B$8,2,1)</f>
        <v>1.7204301075268817</v>
      </c>
      <c r="M345" s="148">
        <f t="shared" si="202"/>
        <v>535.5</v>
      </c>
      <c r="N345" s="173">
        <f t="shared" si="183"/>
        <v>539</v>
      </c>
      <c r="O345" s="134">
        <f>VLOOKUP($A345,'Выгр Кат'!$A:$S,O$1,0)</f>
        <v>291</v>
      </c>
      <c r="P345" s="134">
        <f>VLOOKUP($A345,'Выгр Кат'!$A:$S,P$1,0)</f>
        <v>509</v>
      </c>
      <c r="Q345" s="107">
        <f t="shared" si="184"/>
        <v>0</v>
      </c>
      <c r="R345" s="107">
        <f t="shared" si="185"/>
        <v>-30</v>
      </c>
      <c r="S345" s="110">
        <f t="shared" si="186"/>
        <v>501.27</v>
      </c>
      <c r="T345" s="135">
        <f t="shared" si="187"/>
        <v>0.72257731958762883</v>
      </c>
      <c r="U345" s="135">
        <f t="shared" si="188"/>
        <v>1.7117647058823564E-2</v>
      </c>
      <c r="V345" s="135">
        <f t="shared" si="189"/>
        <v>0.75257731958762886</v>
      </c>
      <c r="W345" s="118">
        <f t="shared" si="203"/>
        <v>510</v>
      </c>
      <c r="X345" s="114" t="str">
        <f>IFERROR((VLOOKUP($A345,'ИЗ ГУГЛА'!$B:$G,X$1,0)+Z345)*Y345,VLOOKUP($A345,'ИЗ ГУГЛА'!$B:$G,X$1,0))</f>
        <v/>
      </c>
      <c r="Y345" s="108">
        <v>1</v>
      </c>
      <c r="Z345" s="46"/>
      <c r="AA345" s="139" t="s">
        <v>1821</v>
      </c>
      <c r="AB345" s="124"/>
      <c r="AC345" s="114">
        <f>IFERROR((VLOOKUP($A345,'ИЗ ГУГЛА'!$B:$Z,AC$1,0)+AE345)*AD345,VLOOKUP($A345,'ИЗ ГУГЛА'!$B:$Z,AC$1,0))</f>
        <v>510</v>
      </c>
      <c r="AD345" s="108">
        <v>1</v>
      </c>
      <c r="AE345" s="46"/>
      <c r="AF345" s="115">
        <v>510</v>
      </c>
      <c r="AG345" s="5" t="s">
        <v>2903</v>
      </c>
    </row>
    <row r="346" spans="1:33" s="5" customFormat="1" ht="30" x14ac:dyDescent="0.25">
      <c r="A346" s="132">
        <v>138756</v>
      </c>
      <c r="B346" s="132">
        <f>VLOOKUP($A346,'Выгр Кат'!$A:$S,B$1,0)</f>
        <v>26559</v>
      </c>
      <c r="C346" s="133" t="str">
        <f>VLOOKUP($A346,'Выгр Кат'!$A:$S,C$1,0)</f>
        <v>Брызговики "БРТ" задние для Лада Ларгус</v>
      </c>
      <c r="D346" s="132" t="str">
        <f>VLOOKUP($A346,'Выгр Кат'!$A:$S,D$1,0)</f>
        <v>Y</v>
      </c>
      <c r="E346" s="132" t="str">
        <f>VLOOKUP($A346,'Выгр Кат'!$A:$S,E$1,0)</f>
        <v>1</v>
      </c>
      <c r="F346" s="132" t="str">
        <f>VLOOKUP($A346,'Выгр Кат'!$A:$S,F$1,0)</f>
        <v>8280</v>
      </c>
      <c r="G346" s="43" t="s">
        <v>1299</v>
      </c>
      <c r="H346" s="29"/>
      <c r="I346" s="4" t="s">
        <v>2</v>
      </c>
      <c r="J346" s="95">
        <v>1</v>
      </c>
      <c r="K346" s="168">
        <f t="shared" si="190"/>
        <v>216</v>
      </c>
      <c r="L346" s="167">
        <f>VLOOKUP(K346,Наценка!$A$1:$B$8,2,1)</f>
        <v>1.7204301075268817</v>
      </c>
      <c r="M346" s="172">
        <f t="shared" si="191"/>
        <v>371.61290322580646</v>
      </c>
      <c r="N346" s="173">
        <f t="shared" si="183"/>
        <v>379</v>
      </c>
      <c r="O346" s="134">
        <f>VLOOKUP($A346,'Выгр Кат'!$A:$S,O$1,0)</f>
        <v>216</v>
      </c>
      <c r="P346" s="134">
        <f>VLOOKUP($A346,'Выгр Кат'!$A:$S,P$1,0)</f>
        <v>379</v>
      </c>
      <c r="Q346" s="107">
        <f t="shared" si="184"/>
        <v>0</v>
      </c>
      <c r="R346" s="107">
        <f t="shared" si="185"/>
        <v>0</v>
      </c>
      <c r="S346" s="110">
        <f t="shared" si="186"/>
        <v>352.46999999999997</v>
      </c>
      <c r="T346" s="135">
        <f t="shared" si="187"/>
        <v>0.63180555555555551</v>
      </c>
      <c r="U346" s="135" t="str">
        <f t="shared" si="188"/>
        <v/>
      </c>
      <c r="V346" s="135" t="str">
        <f t="shared" si="189"/>
        <v/>
      </c>
      <c r="W346" s="45"/>
      <c r="X346" s="114" t="str">
        <f>IFERROR((VLOOKUP($A346,'ИЗ ГУГЛА'!$B:$G,X$1,0)+Z346)*Y346,VLOOKUP($A346,'ИЗ ГУГЛА'!$B:$G,X$1,0))</f>
        <v/>
      </c>
      <c r="Y346" s="108">
        <v>1</v>
      </c>
      <c r="Z346" s="46"/>
      <c r="AA346" s="139" t="s">
        <v>1821</v>
      </c>
      <c r="AB346" s="124"/>
      <c r="AC346" s="114" t="str">
        <f>IFERROR((VLOOKUP($A346,'ИЗ ГУГЛА'!$B:$Z,AC$1,0)+AE346)*AD346,VLOOKUP($A346,'ИЗ ГУГЛА'!$B:$Z,AC$1,0))</f>
        <v/>
      </c>
      <c r="AD346" s="108">
        <v>1</v>
      </c>
      <c r="AE346" s="46"/>
      <c r="AF346" s="115"/>
    </row>
    <row r="347" spans="1:33" s="5" customFormat="1" ht="30" x14ac:dyDescent="0.25">
      <c r="A347" s="132">
        <v>204186</v>
      </c>
      <c r="B347" s="132">
        <f>VLOOKUP($A347,'Выгр Кат'!$A:$S,B$1,0)</f>
        <v>20346</v>
      </c>
      <c r="C347" s="133" t="str">
        <f>VLOOKUP($A347,'Выгр Кат'!$A:$S,C$1,0)</f>
        <v>Ремень генератора "БРТ" для ВАЗ 1111</v>
      </c>
      <c r="D347" s="132" t="str">
        <f>VLOOKUP($A347,'Выгр Кат'!$A:$S,D$1,0)</f>
        <v>Y</v>
      </c>
      <c r="E347" s="132" t="str">
        <f>VLOOKUP($A347,'Выгр Кат'!$A:$S,E$1,0)</f>
        <v>1</v>
      </c>
      <c r="F347" s="132" t="str">
        <f>VLOOKUP($A347,'Выгр Кат'!$A:$S,F$1,0)</f>
        <v>1111-3701720-01РУ</v>
      </c>
      <c r="G347" s="53" t="s">
        <v>2008</v>
      </c>
      <c r="H347" s="29"/>
      <c r="I347" s="4" t="s">
        <v>2</v>
      </c>
      <c r="J347" s="95">
        <v>1</v>
      </c>
      <c r="K347" s="168">
        <f t="shared" si="190"/>
        <v>242</v>
      </c>
      <c r="L347" s="167">
        <f>VLOOKUP(K347,Наценка!$A$1:$B$8,2,1)</f>
        <v>1.7204301075268817</v>
      </c>
      <c r="M347" s="172">
        <f t="shared" si="191"/>
        <v>416.3440860215054</v>
      </c>
      <c r="N347" s="173">
        <f t="shared" si="183"/>
        <v>419</v>
      </c>
      <c r="O347" s="134">
        <f>VLOOKUP($A347,'Выгр Кат'!$A:$S,O$1,0)</f>
        <v>242</v>
      </c>
      <c r="P347" s="134">
        <f>VLOOKUP($A347,'Выгр Кат'!$A:$S,P$1,0)</f>
        <v>419</v>
      </c>
      <c r="Q347" s="107">
        <f t="shared" si="184"/>
        <v>0</v>
      </c>
      <c r="R347" s="107">
        <f t="shared" si="185"/>
        <v>0</v>
      </c>
      <c r="S347" s="110">
        <f t="shared" si="186"/>
        <v>389.66999999999996</v>
      </c>
      <c r="T347" s="135">
        <f t="shared" si="187"/>
        <v>0.6102066115702478</v>
      </c>
      <c r="U347" s="135" t="str">
        <f t="shared" si="188"/>
        <v/>
      </c>
      <c r="V347" s="135" t="str">
        <f t="shared" si="189"/>
        <v/>
      </c>
      <c r="W347" s="45"/>
      <c r="X347" s="114" t="str">
        <f>IFERROR((VLOOKUP($A347,'ИЗ ГУГЛА'!$B:$G,X$1,0)+Z347)*Y347,VLOOKUP($A347,'ИЗ ГУГЛА'!$B:$G,X$1,0))</f>
        <v/>
      </c>
      <c r="Y347" s="108">
        <v>1</v>
      </c>
      <c r="Z347" s="46"/>
      <c r="AA347" s="139" t="s">
        <v>1821</v>
      </c>
      <c r="AB347" s="124"/>
      <c r="AC347" s="114" t="str">
        <f>IFERROR((VLOOKUP($A347,'ИЗ ГУГЛА'!$B:$Z,AC$1,0)+AE347)*AD347,VLOOKUP($A347,'ИЗ ГУГЛА'!$B:$Z,AC$1,0))</f>
        <v/>
      </c>
      <c r="AD347" s="108">
        <v>1</v>
      </c>
      <c r="AE347" s="46"/>
      <c r="AF347" s="115"/>
    </row>
    <row r="348" spans="1:33" s="5" customFormat="1" ht="30" x14ac:dyDescent="0.25">
      <c r="A348" s="132">
        <v>186579</v>
      </c>
      <c r="B348" s="132">
        <f>VLOOKUP($A348,'Выгр Кат'!$A:$S,B$1,0)</f>
        <v>35584</v>
      </c>
      <c r="C348" s="133" t="str">
        <f>VLOOKUP($A348,'Выгр Кат'!$A:$S,C$1,0)</f>
        <v>Патрубок "БРТ" радиатора подводящий, верхний для Лада XRAY</v>
      </c>
      <c r="D348" s="132" t="str">
        <f>VLOOKUP($A348,'Выгр Кат'!$A:$S,D$1,0)</f>
        <v>Y</v>
      </c>
      <c r="E348" s="132" t="str">
        <f>VLOOKUP($A348,'Выгр Кат'!$A:$S,E$1,0)</f>
        <v>1</v>
      </c>
      <c r="F348" s="132" t="str">
        <f>VLOOKUP($A348,'Выгр Кат'!$A:$S,F$1,0)</f>
        <v>8450020027</v>
      </c>
      <c r="G348" s="142" t="s">
        <v>1438</v>
      </c>
      <c r="H348" s="29"/>
      <c r="I348" s="4" t="s">
        <v>2</v>
      </c>
      <c r="J348" s="95">
        <v>1</v>
      </c>
      <c r="K348" s="168">
        <f t="shared" si="190"/>
        <v>219</v>
      </c>
      <c r="L348" s="167">
        <f>VLOOKUP(K348,Наценка!$A$1:$B$8,2,1)</f>
        <v>1.7204301075268817</v>
      </c>
      <c r="M348" s="148">
        <f t="shared" ref="M348:M353" si="204">W348*1.06</f>
        <v>475.94</v>
      </c>
      <c r="N348" s="173">
        <f t="shared" si="183"/>
        <v>479</v>
      </c>
      <c r="O348" s="134">
        <f>VLOOKUP($A348,'Выгр Кат'!$A:$S,O$1,0)</f>
        <v>219</v>
      </c>
      <c r="P348" s="134">
        <f>VLOOKUP($A348,'Выгр Кат'!$A:$S,P$1,0)</f>
        <v>379</v>
      </c>
      <c r="Q348" s="107">
        <f t="shared" si="184"/>
        <v>0</v>
      </c>
      <c r="R348" s="107">
        <f t="shared" si="185"/>
        <v>-100</v>
      </c>
      <c r="S348" s="110">
        <f t="shared" si="186"/>
        <v>445.46999999999997</v>
      </c>
      <c r="T348" s="135">
        <f t="shared" si="187"/>
        <v>1.0341095890410958</v>
      </c>
      <c r="U348" s="135">
        <f t="shared" si="188"/>
        <v>7.861915367483362E-3</v>
      </c>
      <c r="V348" s="135">
        <f t="shared" si="189"/>
        <v>1.0502283105022832</v>
      </c>
      <c r="W348" s="117">
        <f t="shared" ref="W348:W355" si="205">AA348</f>
        <v>449</v>
      </c>
      <c r="X348" s="114">
        <f>IFERROR((VLOOKUP($A348,'ИЗ ГУГЛА'!$B:$G,X$1,0)+Z348)*Y348,VLOOKUP($A348,'ИЗ ГУГЛА'!$B:$G,X$1,0))</f>
        <v>449</v>
      </c>
      <c r="Y348" s="108">
        <v>1</v>
      </c>
      <c r="Z348" s="46"/>
      <c r="AA348" s="139">
        <v>449</v>
      </c>
      <c r="AB348" s="124" t="s">
        <v>2902</v>
      </c>
      <c r="AC348" s="114">
        <f>IFERROR((VLOOKUP($A348,'ИЗ ГУГЛА'!$B:$Z,AC$1,0)+AE348)*AD348,VLOOKUP($A348,'ИЗ ГУГЛА'!$B:$Z,AC$1,0))</f>
        <v>450</v>
      </c>
      <c r="AD348" s="108">
        <v>1</v>
      </c>
      <c r="AE348" s="46"/>
      <c r="AF348" s="115">
        <v>450</v>
      </c>
      <c r="AG348" s="5" t="s">
        <v>2901</v>
      </c>
    </row>
    <row r="349" spans="1:33" s="5" customFormat="1" ht="30" x14ac:dyDescent="0.25">
      <c r="A349" s="132">
        <v>186584</v>
      </c>
      <c r="B349" s="132">
        <f>VLOOKUP($A349,'Выгр Кат'!$A:$S,B$1,0)</f>
        <v>35388</v>
      </c>
      <c r="C349" s="133" t="str">
        <f>VLOOKUP($A349,'Выгр Кат'!$A:$S,C$1,0)</f>
        <v>(дубль) Патрубок "БРТ" радиатора, подводящий для Лада XRAY</v>
      </c>
      <c r="D349" s="132" t="str">
        <f>VLOOKUP($A349,'Выгр Кат'!$A:$S,D$1,0)</f>
        <v>N</v>
      </c>
      <c r="E349" s="132" t="str">
        <f>VLOOKUP($A349,'Выгр Кат'!$A:$S,E$1,0)</f>
        <v>1</v>
      </c>
      <c r="F349" s="132" t="str">
        <f>VLOOKUP($A349,'Выгр Кат'!$A:$S,F$1,0)</f>
        <v>XR20027</v>
      </c>
      <c r="G349" s="44" t="s">
        <v>883</v>
      </c>
      <c r="H349" s="29"/>
      <c r="I349" s="4" t="s">
        <v>2</v>
      </c>
      <c r="J349" s="95">
        <v>1</v>
      </c>
      <c r="K349" s="168">
        <f t="shared" si="190"/>
        <v>219</v>
      </c>
      <c r="L349" s="167">
        <f>VLOOKUP(K349,Наценка!$A$1:$B$8,2,1)</f>
        <v>1.7204301075268817</v>
      </c>
      <c r="M349" s="148">
        <f t="shared" si="204"/>
        <v>475.94</v>
      </c>
      <c r="N349" s="173">
        <f t="shared" si="183"/>
        <v>479</v>
      </c>
      <c r="O349" s="134">
        <f>VLOOKUP($A349,'Выгр Кат'!$A:$S,O$1,0)</f>
        <v>219</v>
      </c>
      <c r="P349" s="134">
        <f>VLOOKUP($A349,'Выгр Кат'!$A:$S,P$1,0)</f>
        <v>379</v>
      </c>
      <c r="Q349" s="107">
        <f t="shared" si="184"/>
        <v>0</v>
      </c>
      <c r="R349" s="107">
        <f t="shared" si="185"/>
        <v>-100</v>
      </c>
      <c r="S349" s="110">
        <f t="shared" si="186"/>
        <v>445.46999999999997</v>
      </c>
      <c r="T349" s="135">
        <f t="shared" si="187"/>
        <v>1.0341095890410958</v>
      </c>
      <c r="U349" s="135">
        <f t="shared" si="188"/>
        <v>7.861915367483362E-3</v>
      </c>
      <c r="V349" s="135">
        <f t="shared" si="189"/>
        <v>1.0502283105022832</v>
      </c>
      <c r="W349" s="117">
        <f t="shared" si="205"/>
        <v>449</v>
      </c>
      <c r="X349" s="114">
        <f>IFERROR((VLOOKUP($A349,'ИЗ ГУГЛА'!$B:$G,X$1,0)+Z349)*Y349,VLOOKUP($A349,'ИЗ ГУГЛА'!$B:$G,X$1,0))</f>
        <v>449</v>
      </c>
      <c r="Y349" s="108">
        <v>1</v>
      </c>
      <c r="Z349" s="46"/>
      <c r="AA349" s="139">
        <v>449</v>
      </c>
      <c r="AB349" s="124" t="s">
        <v>2902</v>
      </c>
      <c r="AC349" s="114">
        <f>IFERROR((VLOOKUP($A349,'ИЗ ГУГЛА'!$B:$Z,AC$1,0)+AE349)*AD349,VLOOKUP($A349,'ИЗ ГУГЛА'!$B:$Z,AC$1,0))</f>
        <v>450</v>
      </c>
      <c r="AD349" s="108">
        <v>1</v>
      </c>
      <c r="AE349" s="46"/>
      <c r="AF349" s="115">
        <v>450</v>
      </c>
      <c r="AG349" s="5" t="s">
        <v>2901</v>
      </c>
    </row>
    <row r="350" spans="1:33" s="5" customFormat="1" ht="30.75" thickBot="1" x14ac:dyDescent="0.3">
      <c r="A350" s="132">
        <v>138757</v>
      </c>
      <c r="B350" s="132">
        <f>VLOOKUP($A350,'Выгр Кат'!$A:$S,B$1,0)</f>
        <v>17623</v>
      </c>
      <c r="C350" s="133" t="str">
        <f>VLOOKUP($A350,'Выгр Кат'!$A:$S,C$1,0)</f>
        <v>Брызговики "БРТ" задние для Лада Нива 4х4</v>
      </c>
      <c r="D350" s="132" t="str">
        <f>VLOOKUP($A350,'Выгр Кат'!$A:$S,D$1,0)</f>
        <v>Y</v>
      </c>
      <c r="E350" s="132" t="str">
        <f>VLOOKUP($A350,'Выгр Кат'!$A:$S,E$1,0)</f>
        <v>1</v>
      </c>
      <c r="F350" s="132" t="str">
        <f>VLOOKUP($A350,'Выгр Кат'!$A:$S,F$1,0)</f>
        <v>136Р</v>
      </c>
      <c r="G350" s="43" t="s">
        <v>461</v>
      </c>
      <c r="H350" s="29"/>
      <c r="I350" s="4" t="s">
        <v>2</v>
      </c>
      <c r="J350" s="95">
        <v>1</v>
      </c>
      <c r="K350" s="168">
        <f t="shared" si="190"/>
        <v>250</v>
      </c>
      <c r="L350" s="167">
        <f>VLOOKUP(K350,Наценка!$A$1:$B$8,2,1)</f>
        <v>1.7204301075268817</v>
      </c>
      <c r="M350" s="148">
        <f t="shared" si="204"/>
        <v>519.4</v>
      </c>
      <c r="N350" s="173">
        <f t="shared" si="183"/>
        <v>519</v>
      </c>
      <c r="O350" s="134">
        <f>VLOOKUP($A350,'Выгр Кат'!$A:$S,O$1,0)</f>
        <v>250</v>
      </c>
      <c r="P350" s="134">
        <f>VLOOKUP($A350,'Выгр Кат'!$A:$S,P$1,0)</f>
        <v>509</v>
      </c>
      <c r="Q350" s="107">
        <f t="shared" si="184"/>
        <v>0</v>
      </c>
      <c r="R350" s="107">
        <f t="shared" si="185"/>
        <v>-10</v>
      </c>
      <c r="S350" s="110">
        <f t="shared" si="186"/>
        <v>482.66999999999996</v>
      </c>
      <c r="T350" s="135">
        <f t="shared" si="187"/>
        <v>0.93067999999999973</v>
      </c>
      <c r="U350" s="135">
        <f t="shared" si="188"/>
        <v>1.4959183673469472E-2</v>
      </c>
      <c r="V350" s="135">
        <f t="shared" si="189"/>
        <v>0.96</v>
      </c>
      <c r="W350" s="117">
        <f t="shared" si="205"/>
        <v>490</v>
      </c>
      <c r="X350" s="114">
        <f>IFERROR((VLOOKUP($A350,'ИЗ ГУГЛА'!$B:$G,X$1,0)+Z350)*Y350,VLOOKUP($A350,'ИЗ ГУГЛА'!$B:$G,X$1,0))</f>
        <v>490</v>
      </c>
      <c r="Y350" s="108">
        <v>1</v>
      </c>
      <c r="Z350" s="46"/>
      <c r="AA350" s="136">
        <v>490</v>
      </c>
      <c r="AB350" s="124" t="s">
        <v>2607</v>
      </c>
      <c r="AC350" s="114" t="str">
        <f>IFERROR((VLOOKUP($A350,'ИЗ ГУГЛА'!$B:$Z,AC$1,0)+AE350)*AD350,VLOOKUP($A350,'ИЗ ГУГЛА'!$B:$Z,AC$1,0))</f>
        <v/>
      </c>
      <c r="AD350" s="108">
        <v>1</v>
      </c>
      <c r="AE350" s="46"/>
      <c r="AF350" s="115"/>
    </row>
    <row r="351" spans="1:33" s="5" customFormat="1" ht="30.75" thickTop="1" x14ac:dyDescent="0.25">
      <c r="A351" s="132">
        <v>225400</v>
      </c>
      <c r="B351" s="132">
        <f>VLOOKUP($A351,'Выгр Кат'!$A:$S,B$1,0)</f>
        <v>20298</v>
      </c>
      <c r="C351" s="133" t="str">
        <f>VLOOKUP($A351,'Выгр Кат'!$A:$S,C$1,0)</f>
        <v>Шарнир поперечной штанги "БРТ" для Лада Нива 4x4, Шевроле Нива</v>
      </c>
      <c r="D351" s="132" t="str">
        <f>VLOOKUP($A351,'Выгр Кат'!$A:$S,D$1,0)</f>
        <v>Y</v>
      </c>
      <c r="E351" s="132" t="str">
        <f>VLOOKUP($A351,'Выгр Кат'!$A:$S,E$1,0)</f>
        <v>1</v>
      </c>
      <c r="F351" s="132" t="str">
        <f>VLOOKUP($A351,'Выгр Кат'!$A:$S,F$1,0)</f>
        <v>21217-2919041РП.</v>
      </c>
      <c r="G351" s="45" t="s">
        <v>1821</v>
      </c>
      <c r="H351" s="29" t="s">
        <v>1821</v>
      </c>
      <c r="I351" s="4" t="s">
        <v>2</v>
      </c>
      <c r="J351" s="95">
        <v>1</v>
      </c>
      <c r="K351" s="168">
        <f t="shared" si="190"/>
        <v>220</v>
      </c>
      <c r="L351" s="167">
        <f>VLOOKUP(K351,Наценка!$A$1:$B$8,2,1)</f>
        <v>1.7204301075268817</v>
      </c>
      <c r="M351" s="148">
        <f>W351*1.05</f>
        <v>409.5</v>
      </c>
      <c r="N351" s="173">
        <f t="shared" si="183"/>
        <v>409</v>
      </c>
      <c r="O351" s="134">
        <f>VLOOKUP($A351,'Выгр Кат'!$A:$S,O$1,0)</f>
        <v>220</v>
      </c>
      <c r="P351" s="134">
        <f>VLOOKUP($A351,'Выгр Кат'!$A:$S,P$1,0)</f>
        <v>379</v>
      </c>
      <c r="Q351" s="107">
        <f t="shared" si="184"/>
        <v>0</v>
      </c>
      <c r="R351" s="107">
        <f t="shared" si="185"/>
        <v>-30</v>
      </c>
      <c r="S351" s="110">
        <f t="shared" si="186"/>
        <v>380.36999999999995</v>
      </c>
      <c r="T351" s="135">
        <f t="shared" si="187"/>
        <v>0.72895454545454519</v>
      </c>
      <c r="U351" s="135">
        <f t="shared" si="188"/>
        <v>2.4692307692307826E-2</v>
      </c>
      <c r="V351" s="135">
        <f t="shared" si="189"/>
        <v>0.77272727272727271</v>
      </c>
      <c r="W351" s="117">
        <f t="shared" si="205"/>
        <v>390</v>
      </c>
      <c r="X351" s="114">
        <f>IFERROR((VLOOKUP($A351,'ИЗ ГУГЛА'!$B:$G,X$1,0)+Z351)*Y351,VLOOKUP($A351,'ИЗ ГУГЛА'!$B:$G,X$1,0))</f>
        <v>390</v>
      </c>
      <c r="Y351" s="108">
        <v>1</v>
      </c>
      <c r="Z351" s="46"/>
      <c r="AA351" s="139">
        <v>390</v>
      </c>
      <c r="AB351" s="124" t="s">
        <v>2900</v>
      </c>
      <c r="AC351" s="114" t="str">
        <f>IFERROR((VLOOKUP($A351,'ИЗ ГУГЛА'!$B:$Z,AC$1,0)+AE351)*AD351,VLOOKUP($A351,'ИЗ ГУГЛА'!$B:$Z,AC$1,0))</f>
        <v/>
      </c>
      <c r="AD351" s="108">
        <v>1</v>
      </c>
      <c r="AE351" s="46"/>
      <c r="AF351" s="115"/>
    </row>
    <row r="352" spans="1:33" s="5" customFormat="1" ht="45" x14ac:dyDescent="0.25">
      <c r="A352" s="132">
        <v>225402</v>
      </c>
      <c r="B352" s="132">
        <f>VLOOKUP($A352,'Выгр Кат'!$A:$S,B$1,0)</f>
        <v>20297</v>
      </c>
      <c r="C352" s="133" t="str">
        <f>VLOOKUP($A352,'Выгр Кат'!$A:$S,C$1,0)</f>
        <v>Шарнир продольной штанги нижний "БРТ" для Лада Нива 4x4, Шевроле Нива</v>
      </c>
      <c r="D352" s="132" t="str">
        <f>VLOOKUP($A352,'Выгр Кат'!$A:$S,D$1,0)</f>
        <v>Y</v>
      </c>
      <c r="E352" s="132" t="str">
        <f>VLOOKUP($A352,'Выгр Кат'!$A:$S,E$1,0)</f>
        <v>1</v>
      </c>
      <c r="F352" s="132" t="str">
        <f>VLOOKUP($A352,'Выгр Кат'!$A:$S,F$1,0)</f>
        <v>21217-2919040РП.</v>
      </c>
      <c r="G352" s="45" t="s">
        <v>1821</v>
      </c>
      <c r="H352" s="29" t="s">
        <v>1821</v>
      </c>
      <c r="I352" s="4" t="s">
        <v>2</v>
      </c>
      <c r="J352" s="95">
        <v>1</v>
      </c>
      <c r="K352" s="168">
        <f t="shared" si="190"/>
        <v>220</v>
      </c>
      <c r="L352" s="167">
        <f>VLOOKUP(K352,Наценка!$A$1:$B$8,2,1)</f>
        <v>1.7204301075268817</v>
      </c>
      <c r="M352" s="148">
        <f t="shared" si="204"/>
        <v>307.40000000000003</v>
      </c>
      <c r="N352" s="173">
        <f t="shared" si="183"/>
        <v>309</v>
      </c>
      <c r="O352" s="134">
        <f>VLOOKUP($A352,'Выгр Кат'!$A:$S,O$1,0)</f>
        <v>220</v>
      </c>
      <c r="P352" s="134">
        <f>VLOOKUP($A352,'Выгр Кат'!$A:$S,P$1,0)</f>
        <v>379</v>
      </c>
      <c r="Q352" s="107">
        <f t="shared" si="184"/>
        <v>0</v>
      </c>
      <c r="R352" s="107">
        <f t="shared" si="185"/>
        <v>70</v>
      </c>
      <c r="S352" s="110">
        <f t="shared" si="186"/>
        <v>287.37</v>
      </c>
      <c r="T352" s="135">
        <f t="shared" si="187"/>
        <v>0.30622727272727279</v>
      </c>
      <c r="U352" s="135">
        <f t="shared" si="188"/>
        <v>9.0689655172413643E-3</v>
      </c>
      <c r="V352" s="135">
        <f t="shared" si="189"/>
        <v>0.31818181818181812</v>
      </c>
      <c r="W352" s="117">
        <f t="shared" si="205"/>
        <v>290</v>
      </c>
      <c r="X352" s="114">
        <f>IFERROR((VLOOKUP($A352,'ИЗ ГУГЛА'!$B:$G,X$1,0)+Z352)*Y352,VLOOKUP($A352,'ИЗ ГУГЛА'!$B:$G,X$1,0))</f>
        <v>290</v>
      </c>
      <c r="Y352" s="108">
        <v>1</v>
      </c>
      <c r="Z352" s="46"/>
      <c r="AA352" s="139">
        <v>290</v>
      </c>
      <c r="AB352" s="124" t="s">
        <v>2899</v>
      </c>
      <c r="AC352" s="114" t="str">
        <f>IFERROR((VLOOKUP($A352,'ИЗ ГУГЛА'!$B:$Z,AC$1,0)+AE352)*AD352,VLOOKUP($A352,'ИЗ ГУГЛА'!$B:$Z,AC$1,0))</f>
        <v/>
      </c>
      <c r="AD352" s="108">
        <v>1</v>
      </c>
      <c r="AE352" s="46"/>
      <c r="AF352" s="115"/>
    </row>
    <row r="353" spans="1:32" s="5" customFormat="1" ht="45" x14ac:dyDescent="0.25">
      <c r="A353" s="132">
        <v>225393</v>
      </c>
      <c r="B353" s="132">
        <f>VLOOKUP($A353,'Выгр Кат'!$A:$S,B$1,0)</f>
        <v>20319</v>
      </c>
      <c r="C353" s="133" t="str">
        <f>VLOOKUP($A353,'Выгр Кат'!$A:$S,C$1,0)</f>
        <v>Шарнир крепления рычага задней подвески "БРТ" ВАЗ 2113-2115, 2110-2112, Лада Калина, Приора</v>
      </c>
      <c r="D353" s="132" t="str">
        <f>VLOOKUP($A353,'Выгр Кат'!$A:$S,D$1,0)</f>
        <v>Y</v>
      </c>
      <c r="E353" s="132" t="str">
        <f>VLOOKUP($A353,'Выгр Кат'!$A:$S,E$1,0)</f>
        <v>1</v>
      </c>
      <c r="F353" s="132" t="str">
        <f>VLOOKUP($A353,'Выгр Кат'!$A:$S,F$1,0)</f>
        <v>2110-2914054Р.</v>
      </c>
      <c r="G353" s="45" t="s">
        <v>401</v>
      </c>
      <c r="H353" s="29"/>
      <c r="I353" s="4" t="s">
        <v>2</v>
      </c>
      <c r="J353" s="95">
        <v>1</v>
      </c>
      <c r="K353" s="168">
        <f t="shared" si="190"/>
        <v>249</v>
      </c>
      <c r="L353" s="167">
        <f>VLOOKUP(K353,Наценка!$A$1:$B$8,2,1)</f>
        <v>1.7204301075268817</v>
      </c>
      <c r="M353" s="148">
        <f t="shared" si="204"/>
        <v>497.14000000000004</v>
      </c>
      <c r="N353" s="173">
        <f t="shared" si="183"/>
        <v>499</v>
      </c>
      <c r="O353" s="134">
        <f>VLOOKUP($A353,'Выгр Кат'!$A:$S,O$1,0)</f>
        <v>249</v>
      </c>
      <c r="P353" s="134">
        <f>VLOOKUP($A353,'Выгр Кат'!$A:$S,P$1,0)</f>
        <v>429</v>
      </c>
      <c r="Q353" s="107">
        <f t="shared" si="184"/>
        <v>0</v>
      </c>
      <c r="R353" s="107">
        <f t="shared" si="185"/>
        <v>-70</v>
      </c>
      <c r="S353" s="110">
        <f t="shared" si="186"/>
        <v>464.07</v>
      </c>
      <c r="T353" s="135">
        <f t="shared" si="187"/>
        <v>0.86373493975903615</v>
      </c>
      <c r="U353" s="135">
        <f t="shared" si="188"/>
        <v>1.0511727078891272E-2</v>
      </c>
      <c r="V353" s="135">
        <f t="shared" si="189"/>
        <v>0.88353413654618485</v>
      </c>
      <c r="W353" s="117">
        <f t="shared" si="205"/>
        <v>469</v>
      </c>
      <c r="X353" s="114">
        <f>IFERROR((VLOOKUP($A353,'ИЗ ГУГЛА'!$B:$G,X$1,0)+Z353)*Y353,VLOOKUP($A353,'ИЗ ГУГЛА'!$B:$G,X$1,0))</f>
        <v>469</v>
      </c>
      <c r="Y353" s="108">
        <v>1</v>
      </c>
      <c r="Z353" s="46"/>
      <c r="AA353" s="139">
        <v>469</v>
      </c>
      <c r="AB353" s="124" t="s">
        <v>2898</v>
      </c>
      <c r="AC353" s="114" t="str">
        <f>IFERROR((VLOOKUP($A353,'ИЗ ГУГЛА'!$B:$Z,AC$1,0)+AE353)*AD353,VLOOKUP($A353,'ИЗ ГУГЛА'!$B:$Z,AC$1,0))</f>
        <v/>
      </c>
      <c r="AD353" s="108">
        <v>1</v>
      </c>
      <c r="AE353" s="46"/>
      <c r="AF353" s="115"/>
    </row>
    <row r="354" spans="1:32" s="5" customFormat="1" ht="60" x14ac:dyDescent="0.25">
      <c r="A354" s="132">
        <v>157737</v>
      </c>
      <c r="B354" s="132">
        <f>VLOOKUP($A354,'Выгр Кат'!$A:$S,B$1,0)</f>
        <v>20288</v>
      </c>
      <c r="C354" s="133" t="str">
        <f>VLOOKUP($A354,'Выгр Кат'!$A:$S,C$1,0)</f>
        <v>Кожух амортизатора задней подвески "БРТ" для ВАЗ (2108-21099, 2113-2115, 2110-2112), Лада (Приора, Приора 2, Калина, Калина 2, Гранта, Гранта FL)</v>
      </c>
      <c r="D354" s="132" t="str">
        <f>VLOOKUP($A354,'Выгр Кат'!$A:$S,D$1,0)</f>
        <v>Y</v>
      </c>
      <c r="E354" s="132" t="str">
        <f>VLOOKUP($A354,'Выгр Кат'!$A:$S,E$1,0)</f>
        <v>1</v>
      </c>
      <c r="F354" s="132" t="str">
        <f>VLOOKUP($A354,'Выгр Кат'!$A:$S,F$1,0)</f>
        <v>2108-2915681К.</v>
      </c>
      <c r="G354" s="45" t="s">
        <v>351</v>
      </c>
      <c r="H354" s="29"/>
      <c r="I354" s="4" t="s">
        <v>2</v>
      </c>
      <c r="J354" s="95">
        <v>1</v>
      </c>
      <c r="K354" s="168">
        <f t="shared" si="190"/>
        <v>264</v>
      </c>
      <c r="L354" s="167">
        <f>VLOOKUP(K354,Наценка!$A$1:$B$8,2,1)</f>
        <v>1.7204301075268817</v>
      </c>
      <c r="M354" s="172">
        <f t="shared" si="191"/>
        <v>454.19354838709677</v>
      </c>
      <c r="N354" s="173">
        <f t="shared" si="183"/>
        <v>459</v>
      </c>
      <c r="O354" s="134">
        <f>VLOOKUP($A354,'Выгр Кат'!$A:$S,O$1,0)</f>
        <v>264</v>
      </c>
      <c r="P354" s="134">
        <f>VLOOKUP($A354,'Выгр Кат'!$A:$S,P$1,0)</f>
        <v>459</v>
      </c>
      <c r="Q354" s="107">
        <f t="shared" si="184"/>
        <v>0</v>
      </c>
      <c r="R354" s="107">
        <f t="shared" si="185"/>
        <v>0</v>
      </c>
      <c r="S354" s="110">
        <f t="shared" si="186"/>
        <v>426.86999999999995</v>
      </c>
      <c r="T354" s="135">
        <f t="shared" si="187"/>
        <v>0.61693181818181797</v>
      </c>
      <c r="U354" s="135">
        <f t="shared" si="188"/>
        <v>-2.1737546468401483</v>
      </c>
      <c r="V354" s="135">
        <f t="shared" si="189"/>
        <v>-0.49053030303030298</v>
      </c>
      <c r="W354" s="117">
        <f t="shared" si="205"/>
        <v>134.5</v>
      </c>
      <c r="X354" s="114">
        <f>IFERROR((VLOOKUP($A354,'ИЗ ГУГЛА'!$B:$G,X$1,0)+Z354)*Y354,VLOOKUP($A354,'ИЗ ГУГЛА'!$B:$G,X$1,0))</f>
        <v>134.5</v>
      </c>
      <c r="Y354" s="108">
        <v>0.5</v>
      </c>
      <c r="Z354" s="46"/>
      <c r="AA354" s="139">
        <v>134.5</v>
      </c>
      <c r="AB354" s="124" t="s">
        <v>2897</v>
      </c>
      <c r="AC354" s="114" t="str">
        <f>IFERROR((VLOOKUP($A354,'ИЗ ГУГЛА'!$B:$Z,AC$1,0)+AE354)*AD354,VLOOKUP($A354,'ИЗ ГУГЛА'!$B:$Z,AC$1,0))</f>
        <v/>
      </c>
      <c r="AD354" s="108">
        <v>1</v>
      </c>
      <c r="AE354" s="46"/>
      <c r="AF354" s="115"/>
    </row>
    <row r="355" spans="1:32" s="5" customFormat="1" ht="75" x14ac:dyDescent="0.25">
      <c r="A355" s="132">
        <v>202126</v>
      </c>
      <c r="B355" s="132">
        <f>VLOOKUP($A355,'Выгр Кат'!$A:$S,B$1,0)</f>
        <v>2370</v>
      </c>
      <c r="C355" s="133" t="str">
        <f>VLOOKUP($A355,'Выгр Кат'!$A:$S,C$1,0)</f>
        <v>Пыльник амортизатора задней подвески (аналог) для ВАЗ (2108-21099, 2113-2115, 2110-2112), Лада (Приора, Приора 2, Калина, Калина 2, Гранта, Гранта FL)</v>
      </c>
      <c r="D355" s="132" t="str">
        <f>VLOOKUP($A355,'Выгр Кат'!$A:$S,D$1,0)</f>
        <v>Y</v>
      </c>
      <c r="E355" s="132" t="str">
        <f>VLOOKUP($A355,'Выгр Кат'!$A:$S,E$1,0)</f>
        <v>1ск6</v>
      </c>
      <c r="F355" s="132" t="str">
        <f>VLOOKUP($A355,'Выгр Кат'!$A:$S,F$1,0)</f>
        <v>21080291568100</v>
      </c>
      <c r="G355" s="34" t="s">
        <v>351</v>
      </c>
      <c r="H355" s="29"/>
      <c r="I355" s="4" t="s">
        <v>2</v>
      </c>
      <c r="J355" s="95">
        <v>1</v>
      </c>
      <c r="K355" s="168">
        <f t="shared" si="190"/>
        <v>240</v>
      </c>
      <c r="L355" s="167">
        <f>VLOOKUP(K355,Наценка!$A$1:$B$8,2,1)</f>
        <v>1.7204301075268817</v>
      </c>
      <c r="M355" s="172">
        <f t="shared" si="191"/>
        <v>412.90322580645164</v>
      </c>
      <c r="N355" s="173">
        <f t="shared" si="183"/>
        <v>419</v>
      </c>
      <c r="O355" s="134">
        <f>VLOOKUP($A355,'Выгр Кат'!$A:$S,O$1,0)</f>
        <v>240</v>
      </c>
      <c r="P355" s="134">
        <f>VLOOKUP($A355,'Выгр Кат'!$A:$S,P$1,0)</f>
        <v>419</v>
      </c>
      <c r="Q355" s="107">
        <f t="shared" si="184"/>
        <v>0</v>
      </c>
      <c r="R355" s="107">
        <f t="shared" si="185"/>
        <v>0</v>
      </c>
      <c r="S355" s="110">
        <f t="shared" si="186"/>
        <v>389.66999999999996</v>
      </c>
      <c r="T355" s="135">
        <f t="shared" si="187"/>
        <v>0.62362499999999987</v>
      </c>
      <c r="U355" s="135">
        <f t="shared" si="188"/>
        <v>-1.8971747211895909</v>
      </c>
      <c r="V355" s="135">
        <f t="shared" si="189"/>
        <v>-0.43958333333333333</v>
      </c>
      <c r="W355" s="117">
        <f t="shared" si="205"/>
        <v>134.5</v>
      </c>
      <c r="X355" s="114">
        <f>IFERROR((VLOOKUP($A355,'ИЗ ГУГЛА'!$B:$G,X$1,0)+Z355)*Y355,VLOOKUP($A355,'ИЗ ГУГЛА'!$B:$G,X$1,0))</f>
        <v>134.5</v>
      </c>
      <c r="Y355" s="108">
        <v>0.5</v>
      </c>
      <c r="Z355" s="46"/>
      <c r="AA355" s="139">
        <v>134.5</v>
      </c>
      <c r="AB355" s="124" t="s">
        <v>2897</v>
      </c>
      <c r="AC355" s="114" t="str">
        <f>IFERROR((VLOOKUP($A355,'ИЗ ГУГЛА'!$B:$Z,AC$1,0)+AE355)*AD355,VLOOKUP($A355,'ИЗ ГУГЛА'!$B:$Z,AC$1,0))</f>
        <v/>
      </c>
      <c r="AD355" s="108">
        <v>0.5</v>
      </c>
      <c r="AE355" s="46"/>
      <c r="AF355" s="115"/>
    </row>
    <row r="356" spans="1:32" s="5" customFormat="1" ht="30" x14ac:dyDescent="0.25">
      <c r="A356" s="132">
        <v>186577</v>
      </c>
      <c r="B356" s="132">
        <f>VLOOKUP($A356,'Выгр Кат'!$A:$S,B$1,0)</f>
        <v>35577</v>
      </c>
      <c r="C356" s="133" t="str">
        <f>VLOOKUP($A356,'Выгр Кат'!$A:$S,C$1,0)</f>
        <v>(дубль) Патрубок "БРТ" радиатора подводящий (RF-90) для Лада Ларгус</v>
      </c>
      <c r="D356" s="132" t="str">
        <f>VLOOKUP($A356,'Выгр Кат'!$A:$S,D$1,0)</f>
        <v>N</v>
      </c>
      <c r="E356" s="132" t="str">
        <f>VLOOKUP($A356,'Выгр Кат'!$A:$S,E$1,0)</f>
        <v>1</v>
      </c>
      <c r="F356" s="132" t="str">
        <f>VLOOKUP($A356,'Выгр Кат'!$A:$S,F$1,0)</f>
        <v>RF909488Р</v>
      </c>
      <c r="G356" s="44" t="s">
        <v>590</v>
      </c>
      <c r="H356" s="29"/>
      <c r="I356" s="4" t="s">
        <v>2</v>
      </c>
      <c r="J356" s="95">
        <v>1</v>
      </c>
      <c r="K356" s="168">
        <f t="shared" si="190"/>
        <v>260</v>
      </c>
      <c r="L356" s="167">
        <f>VLOOKUP(K356,Наценка!$A$1:$B$8,2,1)</f>
        <v>1.7204301075268817</v>
      </c>
      <c r="M356" s="172">
        <f t="shared" si="191"/>
        <v>447.31182795698925</v>
      </c>
      <c r="N356" s="173">
        <f t="shared" si="183"/>
        <v>449</v>
      </c>
      <c r="O356" s="134">
        <f>VLOOKUP($A356,'Выгр Кат'!$A:$S,O$1,0)</f>
        <v>260</v>
      </c>
      <c r="P356" s="134">
        <f>VLOOKUP($A356,'Выгр Кат'!$A:$S,P$1,0)</f>
        <v>449</v>
      </c>
      <c r="Q356" s="107">
        <f t="shared" si="184"/>
        <v>0</v>
      </c>
      <c r="R356" s="107">
        <f t="shared" si="185"/>
        <v>0</v>
      </c>
      <c r="S356" s="110">
        <f t="shared" si="186"/>
        <v>417.57</v>
      </c>
      <c r="T356" s="135">
        <f t="shared" si="187"/>
        <v>0.60603846153846153</v>
      </c>
      <c r="U356" s="135" t="str">
        <f t="shared" si="188"/>
        <v/>
      </c>
      <c r="V356" s="135" t="str">
        <f t="shared" si="189"/>
        <v/>
      </c>
      <c r="W356" s="45"/>
      <c r="X356" s="114" t="str">
        <f>IFERROR((VLOOKUP($A356,'ИЗ ГУГЛА'!$B:$G,X$1,0)+Z356)*Y356,VLOOKUP($A356,'ИЗ ГУГЛА'!$B:$G,X$1,0))</f>
        <v/>
      </c>
      <c r="Y356" s="108">
        <v>1</v>
      </c>
      <c r="Z356" s="46"/>
      <c r="AA356" s="139" t="s">
        <v>1821</v>
      </c>
      <c r="AB356" s="124"/>
      <c r="AC356" s="114" t="str">
        <f>IFERROR((VLOOKUP($A356,'ИЗ ГУГЛА'!$B:$Z,AC$1,0)+AE356)*AD356,VLOOKUP($A356,'ИЗ ГУГЛА'!$B:$Z,AC$1,0))</f>
        <v/>
      </c>
      <c r="AD356" s="108">
        <v>1</v>
      </c>
      <c r="AE356" s="46"/>
      <c r="AF356" s="115"/>
    </row>
    <row r="357" spans="1:32" s="5" customFormat="1" ht="45" x14ac:dyDescent="0.25">
      <c r="A357" s="132">
        <v>186585</v>
      </c>
      <c r="B357" s="132">
        <f>VLOOKUP($A357,'Выгр Кат'!$A:$S,B$1,0)</f>
        <v>35383</v>
      </c>
      <c r="C357" s="133" t="str">
        <f>VLOOKUP($A357,'Выгр Кат'!$A:$S,C$1,0)</f>
        <v>Патрубок "БРТ" радиатора, подводящий для Лада Ларгус (c 8-ми клапанным двигателем)</v>
      </c>
      <c r="D357" s="132" t="str">
        <f>VLOOKUP($A357,'Выгр Кат'!$A:$S,D$1,0)</f>
        <v>Y</v>
      </c>
      <c r="E357" s="132" t="str">
        <f>VLOOKUP($A357,'Выгр Кат'!$A:$S,E$1,0)</f>
        <v>1</v>
      </c>
      <c r="F357" s="132" t="str">
        <f>VLOOKUP($A357,'Выгр Кат'!$A:$S,F$1,0)</f>
        <v>8450009488</v>
      </c>
      <c r="G357" s="44" t="s">
        <v>879</v>
      </c>
      <c r="H357" s="29"/>
      <c r="I357" s="4" t="s">
        <v>2</v>
      </c>
      <c r="J357" s="95">
        <v>1</v>
      </c>
      <c r="K357" s="168">
        <f t="shared" si="190"/>
        <v>260</v>
      </c>
      <c r="L357" s="167">
        <f>VLOOKUP(K357,Наценка!$A$1:$B$8,2,1)</f>
        <v>1.7204301075268817</v>
      </c>
      <c r="M357" s="172">
        <f t="shared" si="191"/>
        <v>447.31182795698925</v>
      </c>
      <c r="N357" s="173">
        <f t="shared" si="183"/>
        <v>449</v>
      </c>
      <c r="O357" s="134">
        <f>VLOOKUP($A357,'Выгр Кат'!$A:$S,O$1,0)</f>
        <v>260</v>
      </c>
      <c r="P357" s="134">
        <f>VLOOKUP($A357,'Выгр Кат'!$A:$S,P$1,0)</f>
        <v>449</v>
      </c>
      <c r="Q357" s="107">
        <f t="shared" si="184"/>
        <v>0</v>
      </c>
      <c r="R357" s="107">
        <f t="shared" si="185"/>
        <v>0</v>
      </c>
      <c r="S357" s="110">
        <f t="shared" si="186"/>
        <v>417.57</v>
      </c>
      <c r="T357" s="135">
        <f t="shared" si="187"/>
        <v>0.60603846153846153</v>
      </c>
      <c r="U357" s="135" t="str">
        <f t="shared" si="188"/>
        <v/>
      </c>
      <c r="V357" s="135" t="str">
        <f t="shared" si="189"/>
        <v/>
      </c>
      <c r="W357" s="45"/>
      <c r="X357" s="114" t="str">
        <f>IFERROR((VLOOKUP($A357,'ИЗ ГУГЛА'!$B:$G,X$1,0)+Z357)*Y357,VLOOKUP($A357,'ИЗ ГУГЛА'!$B:$G,X$1,0))</f>
        <v/>
      </c>
      <c r="Y357" s="108">
        <v>1</v>
      </c>
      <c r="Z357" s="46"/>
      <c r="AA357" s="139" t="s">
        <v>1821</v>
      </c>
      <c r="AB357" s="124"/>
      <c r="AC357" s="114" t="str">
        <f>IFERROR((VLOOKUP($A357,'ИЗ ГУГЛА'!$B:$Z,AC$1,0)+AE357)*AD357,VLOOKUP($A357,'ИЗ ГУГЛА'!$B:$Z,AC$1,0))</f>
        <v/>
      </c>
      <c r="AD357" s="108">
        <v>1</v>
      </c>
      <c r="AE357" s="46"/>
      <c r="AF357" s="115"/>
    </row>
    <row r="358" spans="1:32" s="5" customFormat="1" ht="45" x14ac:dyDescent="0.25">
      <c r="A358" s="132">
        <v>181550</v>
      </c>
      <c r="B358" s="132">
        <f>VLOOKUP($A358,'Выгр Кат'!$A:$S,B$1,0)</f>
        <v>35450</v>
      </c>
      <c r="C358" s="133" t="str">
        <f>VLOOKUP($A358,'Выгр Кат'!$A:$S,C$1,0)</f>
        <v>Опора "БРТ" механизма переключения КПП задняя для Шевроле Нива</v>
      </c>
      <c r="D358" s="132" t="str">
        <f>VLOOKUP($A358,'Выгр Кат'!$A:$S,D$1,0)</f>
        <v>Y</v>
      </c>
      <c r="E358" s="132" t="str">
        <f>VLOOKUP($A358,'Выгр Кат'!$A:$S,E$1,0)</f>
        <v>1</v>
      </c>
      <c r="F358" s="132" t="str">
        <f>VLOOKUP($A358,'Выгр Кат'!$A:$S,F$1,0)</f>
        <v>2123-1703430Р</v>
      </c>
      <c r="G358" s="44" t="s">
        <v>501</v>
      </c>
      <c r="H358" s="111"/>
      <c r="I358" s="4" t="s">
        <v>2</v>
      </c>
      <c r="J358" s="95">
        <v>1</v>
      </c>
      <c r="K358" s="168">
        <f t="shared" si="190"/>
        <v>256</v>
      </c>
      <c r="L358" s="167">
        <f>VLOOKUP(K358,Наценка!$A$1:$B$8,2,1)</f>
        <v>1.7204301075268817</v>
      </c>
      <c r="M358" s="148">
        <f>W358*1.05</f>
        <v>597.45000000000005</v>
      </c>
      <c r="N358" s="173">
        <f t="shared" si="183"/>
        <v>599</v>
      </c>
      <c r="O358" s="134">
        <f>VLOOKUP($A358,'Выгр Кат'!$A:$S,O$1,0)</f>
        <v>256</v>
      </c>
      <c r="P358" s="134">
        <f>VLOOKUP($A358,'Выгр Кат'!$A:$S,P$1,0)</f>
        <v>449</v>
      </c>
      <c r="Q358" s="107">
        <f t="shared" si="184"/>
        <v>0</v>
      </c>
      <c r="R358" s="107">
        <f t="shared" si="185"/>
        <v>-150</v>
      </c>
      <c r="S358" s="110">
        <f t="shared" si="186"/>
        <v>557.06999999999994</v>
      </c>
      <c r="T358" s="135">
        <f t="shared" si="187"/>
        <v>1.1760546874999998</v>
      </c>
      <c r="U358" s="135">
        <f t="shared" si="188"/>
        <v>2.0966608084358636E-2</v>
      </c>
      <c r="V358" s="135">
        <f t="shared" si="189"/>
        <v>1.22265625</v>
      </c>
      <c r="W358" s="117">
        <f>AA358</f>
        <v>569</v>
      </c>
      <c r="X358" s="114">
        <f>IFERROR((VLOOKUP($A358,'ИЗ ГУГЛА'!$B:$G,X$1,0)+Z358)*Y358,VLOOKUP($A358,'ИЗ ГУГЛА'!$B:$G,X$1,0))</f>
        <v>569</v>
      </c>
      <c r="Y358" s="108">
        <v>1</v>
      </c>
      <c r="Z358" s="46"/>
      <c r="AA358" s="139">
        <v>569</v>
      </c>
      <c r="AB358" s="124" t="s">
        <v>2896</v>
      </c>
      <c r="AC358" s="114" t="str">
        <f>IFERROR((VLOOKUP($A358,'ИЗ ГУГЛА'!$B:$Z,AC$1,0)+AE358)*AD358,VLOOKUP($A358,'ИЗ ГУГЛА'!$B:$Z,AC$1,0))</f>
        <v/>
      </c>
      <c r="AD358" s="108">
        <v>1</v>
      </c>
      <c r="AE358" s="46"/>
      <c r="AF358" s="115"/>
    </row>
    <row r="359" spans="1:32" s="5" customFormat="1" ht="45.75" thickBot="1" x14ac:dyDescent="0.3">
      <c r="A359" s="132">
        <v>186669</v>
      </c>
      <c r="B359" s="132">
        <f>VLOOKUP($A359,'Выгр Кат'!$A:$S,B$1,0)</f>
        <v>19953</v>
      </c>
      <c r="C359" s="133" t="str">
        <f>VLOOKUP($A359,'Выгр Кат'!$A:$S,C$1,0)</f>
        <v>Патрубок медного радиатора отводящий "БРТ" нижний для ВАЗ 2101, 2103, 2106</v>
      </c>
      <c r="D359" s="132" t="str">
        <f>VLOOKUP($A359,'Выгр Кат'!$A:$S,D$1,0)</f>
        <v>Y</v>
      </c>
      <c r="E359" s="132" t="str">
        <f>VLOOKUP($A359,'Выгр Кат'!$A:$S,E$1,0)</f>
        <v>1</v>
      </c>
      <c r="F359" s="132" t="str">
        <f>VLOOKUP($A359,'Выгр Кат'!$A:$S,F$1,0)</f>
        <v>2101-1303010</v>
      </c>
      <c r="G359" s="45" t="s">
        <v>249</v>
      </c>
      <c r="H359" s="29"/>
      <c r="I359" s="4" t="s">
        <v>2</v>
      </c>
      <c r="J359" s="95">
        <v>1</v>
      </c>
      <c r="K359" s="168">
        <f t="shared" si="190"/>
        <v>257</v>
      </c>
      <c r="L359" s="167">
        <f>VLOOKUP(K359,Наценка!$A$1:$B$8,2,1)</f>
        <v>1.7204301075268817</v>
      </c>
      <c r="M359" s="172">
        <f t="shared" si="191"/>
        <v>442.15053763440864</v>
      </c>
      <c r="N359" s="173">
        <f t="shared" si="183"/>
        <v>449</v>
      </c>
      <c r="O359" s="134">
        <f>VLOOKUP($A359,'Выгр Кат'!$A:$S,O$1,0)</f>
        <v>257</v>
      </c>
      <c r="P359" s="134">
        <f>VLOOKUP($A359,'Выгр Кат'!$A:$S,P$1,0)</f>
        <v>449</v>
      </c>
      <c r="Q359" s="107">
        <f t="shared" si="184"/>
        <v>0</v>
      </c>
      <c r="R359" s="107">
        <f t="shared" si="185"/>
        <v>0</v>
      </c>
      <c r="S359" s="110">
        <f t="shared" si="186"/>
        <v>417.57</v>
      </c>
      <c r="T359" s="135">
        <f t="shared" si="187"/>
        <v>0.62478599221789888</v>
      </c>
      <c r="U359" s="135" t="str">
        <f t="shared" si="188"/>
        <v/>
      </c>
      <c r="V359" s="135" t="str">
        <f t="shared" si="189"/>
        <v/>
      </c>
      <c r="W359" s="45"/>
      <c r="X359" s="114" t="str">
        <f>IFERROR((VLOOKUP($A359,'ИЗ ГУГЛА'!$B:$G,X$1,0)+Z359)*Y359,VLOOKUP($A359,'ИЗ ГУГЛА'!$B:$G,X$1,0))</f>
        <v/>
      </c>
      <c r="Y359" s="108">
        <v>1</v>
      </c>
      <c r="Z359" s="46"/>
      <c r="AA359" s="140" t="s">
        <v>2494</v>
      </c>
      <c r="AB359" s="129"/>
      <c r="AC359" s="114" t="str">
        <f>IFERROR((VLOOKUP($A359,'ИЗ ГУГЛА'!$B:$Z,AC$1,0)+AE359)*AD359,VLOOKUP($A359,'ИЗ ГУГЛА'!$B:$Z,AC$1,0))</f>
        <v/>
      </c>
      <c r="AD359" s="108">
        <v>1</v>
      </c>
      <c r="AE359" s="46"/>
      <c r="AF359" s="115"/>
    </row>
    <row r="360" spans="1:32" s="5" customFormat="1" ht="46.5" thickTop="1" thickBot="1" x14ac:dyDescent="0.3">
      <c r="A360" s="132">
        <v>186725</v>
      </c>
      <c r="B360" s="132">
        <f>VLOOKUP($A360,'Выгр Кат'!$A:$S,B$1,0)</f>
        <v>19941</v>
      </c>
      <c r="C360" s="133" t="str">
        <f>VLOOKUP($A360,'Выгр Кат'!$A:$S,C$1,0)</f>
        <v>Патрубок радиатора отводящий "БРТ" нижний для ВАЗ 2101, 2102 (с медным радиатором)</v>
      </c>
      <c r="D360" s="132" t="str">
        <f>VLOOKUP($A360,'Выгр Кат'!$A:$S,D$1,0)</f>
        <v>Y</v>
      </c>
      <c r="E360" s="132" t="str">
        <f>VLOOKUP($A360,'Выгр Кат'!$A:$S,E$1,0)</f>
        <v>1</v>
      </c>
      <c r="F360" s="132" t="str">
        <f>VLOOKUP($A360,'Выгр Кат'!$A:$S,F$1,0)</f>
        <v>2101-1303010РП</v>
      </c>
      <c r="G360" s="45" t="s">
        <v>249</v>
      </c>
      <c r="H360" s="29"/>
      <c r="I360" s="4" t="s">
        <v>2</v>
      </c>
      <c r="J360" s="95">
        <v>1</v>
      </c>
      <c r="K360" s="168">
        <f t="shared" si="190"/>
        <v>257</v>
      </c>
      <c r="L360" s="167">
        <f>VLOOKUP(K360,Наценка!$A$1:$B$8,2,1)</f>
        <v>1.7204301075268817</v>
      </c>
      <c r="M360" s="172">
        <f t="shared" si="191"/>
        <v>442.15053763440864</v>
      </c>
      <c r="N360" s="173">
        <f t="shared" si="183"/>
        <v>449</v>
      </c>
      <c r="O360" s="134">
        <f>VLOOKUP($A360,'Выгр Кат'!$A:$S,O$1,0)</f>
        <v>257</v>
      </c>
      <c r="P360" s="134">
        <f>VLOOKUP($A360,'Выгр Кат'!$A:$S,P$1,0)</f>
        <v>449</v>
      </c>
      <c r="Q360" s="107">
        <f t="shared" si="184"/>
        <v>0</v>
      </c>
      <c r="R360" s="107">
        <f t="shared" si="185"/>
        <v>0</v>
      </c>
      <c r="S360" s="110">
        <f t="shared" si="186"/>
        <v>417.57</v>
      </c>
      <c r="T360" s="135">
        <f t="shared" si="187"/>
        <v>0.62478599221789888</v>
      </c>
      <c r="U360" s="135">
        <f t="shared" si="188"/>
        <v>-2.0041007194244602</v>
      </c>
      <c r="V360" s="135">
        <f t="shared" si="189"/>
        <v>-0.45914396887159536</v>
      </c>
      <c r="W360" s="117">
        <f>AA360</f>
        <v>139</v>
      </c>
      <c r="X360" s="114">
        <f>IFERROR((VLOOKUP($A360,'ИЗ ГУГЛА'!$B:$G,X$1,0)+Z360)*Y360,VLOOKUP($A360,'ИЗ ГУГЛА'!$B:$G,X$1,0))</f>
        <v>139</v>
      </c>
      <c r="Y360" s="108">
        <v>1</v>
      </c>
      <c r="Z360" s="46"/>
      <c r="AA360" s="136">
        <v>139</v>
      </c>
      <c r="AB360" s="124" t="s">
        <v>2660</v>
      </c>
      <c r="AC360" s="114" t="str">
        <f>IFERROR((VLOOKUP($A360,'ИЗ ГУГЛА'!$B:$Z,AC$1,0)+AE360)*AD360,VLOOKUP($A360,'ИЗ ГУГЛА'!$B:$Z,AC$1,0))</f>
        <v/>
      </c>
      <c r="AD360" s="108">
        <v>1</v>
      </c>
      <c r="AE360" s="46"/>
      <c r="AF360" s="115"/>
    </row>
    <row r="361" spans="1:32" s="5" customFormat="1" ht="30.75" thickTop="1" x14ac:dyDescent="0.25">
      <c r="A361" s="132">
        <v>138827</v>
      </c>
      <c r="B361" s="132">
        <f>VLOOKUP($A361,'Выгр Кат'!$A:$S,B$1,0)</f>
        <v>26560</v>
      </c>
      <c r="C361" s="133" t="str">
        <f>VLOOKUP($A361,'Выгр Кат'!$A:$S,C$1,0)</f>
        <v>Брызговики передние "АвтоВАЗ" для Лада Ларгус</v>
      </c>
      <c r="D361" s="132" t="str">
        <f>VLOOKUP($A361,'Выгр Кат'!$A:$S,D$1,0)</f>
        <v>Y</v>
      </c>
      <c r="E361" s="132" t="str">
        <f>VLOOKUP($A361,'Выгр Кат'!$A:$S,E$1,0)</f>
        <v>1</v>
      </c>
      <c r="F361" s="132">
        <f>VLOOKUP($A361,'Выгр Кат'!$A:$S,F$1,0)</f>
        <v>0</v>
      </c>
      <c r="G361" s="43" t="s">
        <v>1300</v>
      </c>
      <c r="H361" s="29"/>
      <c r="I361" s="4" t="s">
        <v>2</v>
      </c>
      <c r="J361" s="95">
        <v>1</v>
      </c>
      <c r="K361" s="168">
        <f t="shared" si="190"/>
        <v>232</v>
      </c>
      <c r="L361" s="167">
        <f>VLOOKUP(K361,Наценка!$A$1:$B$8,2,1)</f>
        <v>1.7204301075268817</v>
      </c>
      <c r="M361" s="172">
        <f t="shared" si="191"/>
        <v>399.13978494623655</v>
      </c>
      <c r="N361" s="173">
        <f t="shared" si="183"/>
        <v>399</v>
      </c>
      <c r="O361" s="134">
        <f>VLOOKUP($A361,'Выгр Кат'!$A:$S,O$1,0)</f>
        <v>232</v>
      </c>
      <c r="P361" s="134">
        <f>VLOOKUP($A361,'Выгр Кат'!$A:$S,P$1,0)</f>
        <v>399</v>
      </c>
      <c r="Q361" s="107">
        <f t="shared" si="184"/>
        <v>0</v>
      </c>
      <c r="R361" s="107">
        <f t="shared" si="185"/>
        <v>0</v>
      </c>
      <c r="S361" s="110">
        <f t="shared" si="186"/>
        <v>371.07</v>
      </c>
      <c r="T361" s="135">
        <f t="shared" si="187"/>
        <v>0.59943965517241371</v>
      </c>
      <c r="U361" s="135" t="str">
        <f t="shared" si="188"/>
        <v/>
      </c>
      <c r="V361" s="135" t="str">
        <f t="shared" si="189"/>
        <v/>
      </c>
      <c r="W361" s="45"/>
      <c r="X361" s="114" t="str">
        <f>IFERROR((VLOOKUP($A361,'ИЗ ГУГЛА'!$B:$G,X$1,0)+Z361)*Y361,VLOOKUP($A361,'ИЗ ГУГЛА'!$B:$G,X$1,0))</f>
        <v/>
      </c>
      <c r="Y361" s="108">
        <v>1</v>
      </c>
      <c r="Z361" s="46"/>
      <c r="AA361" s="139" t="s">
        <v>2895</v>
      </c>
      <c r="AB361" s="124"/>
      <c r="AC361" s="114" t="str">
        <f>IFERROR((VLOOKUP($A361,'ИЗ ГУГЛА'!$B:$Z,AC$1,0)+AE361)*AD361,VLOOKUP($A361,'ИЗ ГУГЛА'!$B:$Z,AC$1,0))</f>
        <v/>
      </c>
      <c r="AD361" s="108">
        <v>1</v>
      </c>
      <c r="AE361" s="46"/>
      <c r="AF361" s="115"/>
    </row>
    <row r="362" spans="1:32" s="5" customFormat="1" ht="75" x14ac:dyDescent="0.25">
      <c r="A362" s="132">
        <v>213297</v>
      </c>
      <c r="B362" s="132">
        <f>VLOOKUP($A362,'Выгр Кат'!$A:$S,B$1,0)</f>
        <v>35219</v>
      </c>
      <c r="C362" s="133" t="str">
        <f>VLOOKUP($A362,'Выгр Кат'!$A:$S,C$1,0)</f>
        <v>Сальник "БРТ" коленчатого вала задний для ВАЗ (2108-2109, 2110-2112, 2113-2115), Лада (Калина, Калина 2, Гранта, Гранта FL, Приора, Приора 2, Веста, XRAY)</v>
      </c>
      <c r="D362" s="132" t="str">
        <f>VLOOKUP($A362,'Выгр Кат'!$A:$S,D$1,0)</f>
        <v>Y</v>
      </c>
      <c r="E362" s="132" t="str">
        <f>VLOOKUP($A362,'Выгр Кат'!$A:$S,E$1,0)</f>
        <v>1</v>
      </c>
      <c r="F362" s="132" t="str">
        <f>VLOOKUP($A362,'Выгр Кат'!$A:$S,F$1,0)</f>
        <v>2108-1005160</v>
      </c>
      <c r="G362" s="44" t="s">
        <v>317</v>
      </c>
      <c r="H362" s="29"/>
      <c r="I362" s="4" t="s">
        <v>2</v>
      </c>
      <c r="J362" s="95">
        <v>1</v>
      </c>
      <c r="K362" s="168">
        <f t="shared" si="190"/>
        <v>259</v>
      </c>
      <c r="L362" s="167">
        <f>VLOOKUP(K362,Наценка!$A$1:$B$8,2,1)</f>
        <v>1.7204301075268817</v>
      </c>
      <c r="M362" s="148">
        <f>W362*1.05</f>
        <v>387.45</v>
      </c>
      <c r="N362" s="173">
        <f t="shared" si="183"/>
        <v>389</v>
      </c>
      <c r="O362" s="134">
        <f>VLOOKUP($A362,'Выгр Кат'!$A:$S,O$1,0)</f>
        <v>259</v>
      </c>
      <c r="P362" s="134">
        <f>VLOOKUP($A362,'Выгр Кат'!$A:$S,P$1,0)</f>
        <v>449</v>
      </c>
      <c r="Q362" s="107">
        <f t="shared" si="184"/>
        <v>0</v>
      </c>
      <c r="R362" s="107">
        <f t="shared" si="185"/>
        <v>60</v>
      </c>
      <c r="S362" s="110">
        <f t="shared" si="186"/>
        <v>361.77</v>
      </c>
      <c r="T362" s="135">
        <f t="shared" si="187"/>
        <v>0.39679536679536676</v>
      </c>
      <c r="U362" s="135">
        <f t="shared" si="188"/>
        <v>1.9593495934959401E-2</v>
      </c>
      <c r="V362" s="135">
        <f t="shared" si="189"/>
        <v>0.42471042471042475</v>
      </c>
      <c r="W362" s="117">
        <f t="shared" ref="W362:W363" si="206">AA362</f>
        <v>369</v>
      </c>
      <c r="X362" s="114">
        <f>IFERROR((VLOOKUP($A362,'ИЗ ГУГЛА'!$B:$G,X$1,0)+Z362)*Y362,VLOOKUP($A362,'ИЗ ГУГЛА'!$B:$G,X$1,0))</f>
        <v>369</v>
      </c>
      <c r="Y362" s="108">
        <v>1</v>
      </c>
      <c r="Z362" s="46"/>
      <c r="AA362" s="139">
        <v>369</v>
      </c>
      <c r="AB362" s="124" t="s">
        <v>2968</v>
      </c>
      <c r="AC362" s="114" t="str">
        <f>IFERROR((VLOOKUP($A362,'ИЗ ГУГЛА'!$B:$Z,AC$1,0)+AE362)*AD362,VLOOKUP($A362,'ИЗ ГУГЛА'!$B:$Z,AC$1,0))</f>
        <v/>
      </c>
      <c r="AD362" s="108">
        <v>1</v>
      </c>
      <c r="AE362" s="46"/>
      <c r="AF362" s="115"/>
    </row>
    <row r="363" spans="1:32" s="5" customFormat="1" ht="45" x14ac:dyDescent="0.25">
      <c r="A363" s="132">
        <v>136654</v>
      </c>
      <c r="B363" s="132">
        <f>VLOOKUP($A363,'Выгр Кат'!$A:$S,B$1,0)</f>
        <v>19817</v>
      </c>
      <c r="C363" s="133" t="str">
        <f>VLOOKUP($A363,'Выгр Кат'!$A:$S,C$1,0)</f>
        <v>Башмак натяжителя цепи "БРТ" в сборе для Лада Нива 4х4, 2107 (с двигателем 1,7 л.)</v>
      </c>
      <c r="D363" s="132" t="str">
        <f>VLOOKUP($A363,'Выгр Кат'!$A:$S,D$1,0)</f>
        <v>Y</v>
      </c>
      <c r="E363" s="132" t="str">
        <f>VLOOKUP($A363,'Выгр Кат'!$A:$S,E$1,0)</f>
        <v>1</v>
      </c>
      <c r="F363" s="132" t="str">
        <f>VLOOKUP($A363,'Выгр Кат'!$A:$S,F$1,0)</f>
        <v>21213-1006090Р</v>
      </c>
      <c r="G363" s="45" t="s">
        <v>905</v>
      </c>
      <c r="H363" s="29"/>
      <c r="I363" s="4" t="s">
        <v>2</v>
      </c>
      <c r="J363" s="95">
        <v>1</v>
      </c>
      <c r="K363" s="168">
        <f t="shared" si="190"/>
        <v>260</v>
      </c>
      <c r="L363" s="167">
        <f>VLOOKUP(K363,Наценка!$A$1:$B$8,2,1)</f>
        <v>1.7204301075268817</v>
      </c>
      <c r="M363" s="148">
        <f t="shared" ref="M362:M363" si="207">W363*1.06</f>
        <v>497.14000000000004</v>
      </c>
      <c r="N363" s="173">
        <f t="shared" si="183"/>
        <v>499</v>
      </c>
      <c r="O363" s="134">
        <f>VLOOKUP($A363,'Выгр Кат'!$A:$S,O$1,0)</f>
        <v>260</v>
      </c>
      <c r="P363" s="134">
        <f>VLOOKUP($A363,'Выгр Кат'!$A:$S,P$1,0)</f>
        <v>449</v>
      </c>
      <c r="Q363" s="107">
        <f t="shared" si="184"/>
        <v>0</v>
      </c>
      <c r="R363" s="107">
        <f t="shared" si="185"/>
        <v>-50</v>
      </c>
      <c r="S363" s="110">
        <f t="shared" si="186"/>
        <v>464.07</v>
      </c>
      <c r="T363" s="135">
        <f t="shared" si="187"/>
        <v>0.7848846153846154</v>
      </c>
      <c r="U363" s="135">
        <f t="shared" si="188"/>
        <v>1.0511727078891272E-2</v>
      </c>
      <c r="V363" s="135">
        <f t="shared" si="189"/>
        <v>0.80384615384615388</v>
      </c>
      <c r="W363" s="117">
        <f t="shared" si="206"/>
        <v>469</v>
      </c>
      <c r="X363" s="114">
        <f>IFERROR((VLOOKUP($A363,'ИЗ ГУГЛА'!$B:$G,X$1,0)+Z363)*Y363,VLOOKUP($A363,'ИЗ ГУГЛА'!$B:$G,X$1,0))</f>
        <v>469</v>
      </c>
      <c r="Y363" s="108">
        <v>1</v>
      </c>
      <c r="Z363" s="46"/>
      <c r="AA363" s="139">
        <v>469</v>
      </c>
      <c r="AB363" s="124" t="s">
        <v>2894</v>
      </c>
      <c r="AC363" s="114" t="str">
        <f>IFERROR((VLOOKUP($A363,'ИЗ ГУГЛА'!$B:$Z,AC$1,0)+AE363)*AD363,VLOOKUP($A363,'ИЗ ГУГЛА'!$B:$Z,AC$1,0))</f>
        <v/>
      </c>
      <c r="AD363" s="108">
        <v>1</v>
      </c>
      <c r="AE363" s="46"/>
      <c r="AF363" s="115"/>
    </row>
    <row r="364" spans="1:32" s="5" customFormat="1" ht="30.75" thickBot="1" x14ac:dyDescent="0.3">
      <c r="A364" s="132">
        <v>158282</v>
      </c>
      <c r="B364" s="132">
        <f>VLOOKUP($A364,'Выгр Кат'!$A:$S,B$1,0)</f>
        <v>35527</v>
      </c>
      <c r="C364" s="133" t="str">
        <f>VLOOKUP($A364,'Выгр Кат'!$A:$S,C$1,0)</f>
        <v>Комплект "БРТ" задних брызговиков для Шевроле Нива</v>
      </c>
      <c r="D364" s="132" t="str">
        <f>VLOOKUP($A364,'Выгр Кат'!$A:$S,D$1,0)</f>
        <v>Y</v>
      </c>
      <c r="E364" s="132" t="str">
        <f>VLOOKUP($A364,'Выгр Кат'!$A:$S,E$1,0)</f>
        <v>1</v>
      </c>
      <c r="F364" s="132" t="str">
        <f>VLOOKUP($A364,'Выгр Кат'!$A:$S,F$1,0)</f>
        <v>2123-8404412/13</v>
      </c>
      <c r="G364" s="44" t="s">
        <v>1290</v>
      </c>
      <c r="H364" s="29"/>
      <c r="I364" s="4" t="s">
        <v>2</v>
      </c>
      <c r="J364" s="95">
        <v>1</v>
      </c>
      <c r="K364" s="168">
        <f t="shared" si="190"/>
        <v>250</v>
      </c>
      <c r="L364" s="167">
        <f>VLOOKUP(K364,Наценка!$A$1:$B$8,2,1)</f>
        <v>1.7204301075268817</v>
      </c>
      <c r="M364" s="172">
        <f t="shared" si="191"/>
        <v>430.10752688172045</v>
      </c>
      <c r="N364" s="173">
        <f t="shared" si="183"/>
        <v>439</v>
      </c>
      <c r="O364" s="134">
        <f>VLOOKUP($A364,'Выгр Кат'!$A:$S,O$1,0)</f>
        <v>250</v>
      </c>
      <c r="P364" s="134">
        <f>VLOOKUP($A364,'Выгр Кат'!$A:$S,P$1,0)</f>
        <v>999</v>
      </c>
      <c r="Q364" s="107">
        <f t="shared" si="184"/>
        <v>0</v>
      </c>
      <c r="R364" s="107">
        <f t="shared" si="185"/>
        <v>560</v>
      </c>
      <c r="S364" s="110">
        <f t="shared" si="186"/>
        <v>408.27</v>
      </c>
      <c r="T364" s="135">
        <f t="shared" si="187"/>
        <v>0.63307999999999987</v>
      </c>
      <c r="U364" s="135" t="str">
        <f t="shared" si="188"/>
        <v/>
      </c>
      <c r="V364" s="135" t="str">
        <f t="shared" si="189"/>
        <v/>
      </c>
      <c r="W364" s="45"/>
      <c r="X364" s="114" t="str">
        <f>IFERROR((VLOOKUP($A364,'ИЗ ГУГЛА'!$B:$G,X$1,0)+Z364)*Y364,VLOOKUP($A364,'ИЗ ГУГЛА'!$B:$G,X$1,0))</f>
        <v/>
      </c>
      <c r="Y364" s="108">
        <v>1</v>
      </c>
      <c r="Z364" s="113">
        <v>490</v>
      </c>
      <c r="AA364" s="136" t="s">
        <v>2997</v>
      </c>
      <c r="AB364" s="124" t="s">
        <v>2564</v>
      </c>
      <c r="AC364" s="114" t="str">
        <f>IFERROR((VLOOKUP($A364,'ИЗ ГУГЛА'!$B:$Z,AC$1,0)+AE364)*AD364,VLOOKUP($A364,'ИЗ ГУГЛА'!$B:$Z,AC$1,0))</f>
        <v/>
      </c>
      <c r="AD364" s="108">
        <v>1</v>
      </c>
      <c r="AE364" s="113">
        <v>490</v>
      </c>
      <c r="AF364" s="115"/>
    </row>
    <row r="365" spans="1:32" s="5" customFormat="1" ht="30.75" thickTop="1" x14ac:dyDescent="0.25">
      <c r="A365" s="132">
        <v>186705</v>
      </c>
      <c r="B365" s="132">
        <f>VLOOKUP($A365,'Выгр Кат'!$A:$S,B$1,0)</f>
        <v>20491</v>
      </c>
      <c r="C365" s="133" t="str">
        <f>VLOOKUP($A365,'Выгр Кат'!$A:$S,C$1,0)</f>
        <v>Патрубок подводящий радиатора "БРТ" для Лада Веста</v>
      </c>
      <c r="D365" s="132" t="str">
        <f>VLOOKUP($A365,'Выгр Кат'!$A:$S,D$1,0)</f>
        <v>Y</v>
      </c>
      <c r="E365" s="132" t="str">
        <f>VLOOKUP($A365,'Выгр Кат'!$A:$S,E$1,0)</f>
        <v>1</v>
      </c>
      <c r="F365" s="132" t="str">
        <f>VLOOKUP($A365,'Выгр Кат'!$A:$S,F$1,0)</f>
        <v>2180-1303025Р</v>
      </c>
      <c r="G365" s="45" t="s">
        <v>557</v>
      </c>
      <c r="H365" s="29"/>
      <c r="I365" s="4" t="s">
        <v>2</v>
      </c>
      <c r="J365" s="95">
        <v>1</v>
      </c>
      <c r="K365" s="168">
        <f t="shared" si="190"/>
        <v>263</v>
      </c>
      <c r="L365" s="167">
        <f>VLOOKUP(K365,Наценка!$A$1:$B$8,2,1)</f>
        <v>1.7204301075268817</v>
      </c>
      <c r="M365" s="148">
        <f t="shared" ref="M365:M369" si="208">W365*1.06</f>
        <v>475.94</v>
      </c>
      <c r="N365" s="173">
        <f t="shared" si="183"/>
        <v>479</v>
      </c>
      <c r="O365" s="134">
        <f>VLOOKUP($A365,'Выгр Кат'!$A:$S,O$1,0)</f>
        <v>263</v>
      </c>
      <c r="P365" s="134">
        <f>VLOOKUP($A365,'Выгр Кат'!$A:$S,P$1,0)</f>
        <v>459</v>
      </c>
      <c r="Q365" s="107">
        <f t="shared" si="184"/>
        <v>0</v>
      </c>
      <c r="R365" s="107">
        <f t="shared" si="185"/>
        <v>-20</v>
      </c>
      <c r="S365" s="110">
        <f t="shared" si="186"/>
        <v>445.46999999999997</v>
      </c>
      <c r="T365" s="135">
        <f t="shared" si="187"/>
        <v>0.69380228136882116</v>
      </c>
      <c r="U365" s="135">
        <f t="shared" si="188"/>
        <v>7.861915367483362E-3</v>
      </c>
      <c r="V365" s="135">
        <f t="shared" si="189"/>
        <v>0.70722433460076051</v>
      </c>
      <c r="W365" s="117">
        <f t="shared" ref="W365:W369" si="209">AA365</f>
        <v>449</v>
      </c>
      <c r="X365" s="114">
        <f>IFERROR((VLOOKUP($A365,'ИЗ ГУГЛА'!$B:$G,X$1,0)+Z365)*Y365,VLOOKUP($A365,'ИЗ ГУГЛА'!$B:$G,X$1,0))</f>
        <v>449</v>
      </c>
      <c r="Y365" s="108">
        <v>1</v>
      </c>
      <c r="Z365" s="46"/>
      <c r="AA365" s="139">
        <v>449</v>
      </c>
      <c r="AB365" s="124" t="s">
        <v>2893</v>
      </c>
      <c r="AC365" s="114" t="str">
        <f>IFERROR((VLOOKUP($A365,'ИЗ ГУГЛА'!$B:$Z,AC$1,0)+AE365)*AD365,VLOOKUP($A365,'ИЗ ГУГЛА'!$B:$Z,AC$1,0))</f>
        <v/>
      </c>
      <c r="AD365" s="108">
        <v>1</v>
      </c>
      <c r="AE365" s="46"/>
      <c r="AF365" s="115"/>
    </row>
    <row r="366" spans="1:32" s="5" customFormat="1" ht="30.75" thickBot="1" x14ac:dyDescent="0.3">
      <c r="A366" s="132">
        <v>223238</v>
      </c>
      <c r="B366" s="132">
        <f>VLOOKUP($A366,'Выгр Кат'!$A:$S,B$1,0)</f>
        <v>20464</v>
      </c>
      <c r="C366" s="133" t="str">
        <f>VLOOKUP($A366,'Выгр Кат'!$A:$S,C$1,0)</f>
        <v>Уплотнитель "БРТ" проёма передней двери для ВАЗ 2101-2107</v>
      </c>
      <c r="D366" s="132" t="str">
        <f>VLOOKUP($A366,'Выгр Кат'!$A:$S,D$1,0)</f>
        <v>Y</v>
      </c>
      <c r="E366" s="132" t="str">
        <f>VLOOKUP($A366,'Выгр Кат'!$A:$S,E$1,0)</f>
        <v>1</v>
      </c>
      <c r="F366" s="132" t="str">
        <f>VLOOKUP($A366,'Выгр Кат'!$A:$S,F$1,0)</f>
        <v>2107-6107018Р</v>
      </c>
      <c r="G366" s="45" t="s">
        <v>306</v>
      </c>
      <c r="H366" s="29"/>
      <c r="I366" s="4" t="s">
        <v>2</v>
      </c>
      <c r="J366" s="95">
        <v>1</v>
      </c>
      <c r="K366" s="168">
        <f t="shared" si="190"/>
        <v>288</v>
      </c>
      <c r="L366" s="167">
        <f>VLOOKUP(K366,Наценка!$A$1:$B$8,2,1)</f>
        <v>1.7204301075268817</v>
      </c>
      <c r="M366" s="148">
        <f t="shared" si="208"/>
        <v>943.40000000000009</v>
      </c>
      <c r="N366" s="173">
        <f t="shared" si="183"/>
        <v>949</v>
      </c>
      <c r="O366" s="134">
        <f>VLOOKUP($A366,'Выгр Кат'!$A:$S,O$1,0)</f>
        <v>288</v>
      </c>
      <c r="P366" s="134">
        <f>VLOOKUP($A366,'Выгр Кат'!$A:$S,P$1,0)</f>
        <v>929</v>
      </c>
      <c r="Q366" s="107">
        <f t="shared" si="184"/>
        <v>0</v>
      </c>
      <c r="R366" s="107">
        <f t="shared" si="185"/>
        <v>-20</v>
      </c>
      <c r="S366" s="110">
        <f t="shared" si="186"/>
        <v>882.56999999999994</v>
      </c>
      <c r="T366" s="135">
        <f t="shared" si="187"/>
        <v>2.0644791666666666</v>
      </c>
      <c r="U366" s="135">
        <f t="shared" si="188"/>
        <v>8.3483146067416438E-3</v>
      </c>
      <c r="V366" s="135">
        <f t="shared" si="189"/>
        <v>2.0902777777777777</v>
      </c>
      <c r="W366" s="117">
        <f t="shared" si="209"/>
        <v>890</v>
      </c>
      <c r="X366" s="114">
        <f>IFERROR((VLOOKUP($A366,'ИЗ ГУГЛА'!$B:$G,X$1,0)+Z366)*Y366,VLOOKUP($A366,'ИЗ ГУГЛА'!$B:$G,X$1,0))</f>
        <v>890</v>
      </c>
      <c r="Y366" s="46">
        <v>1</v>
      </c>
      <c r="Z366" s="46"/>
      <c r="AA366" s="138">
        <v>890</v>
      </c>
      <c r="AB366" s="124" t="s">
        <v>2298</v>
      </c>
      <c r="AC366" s="114" t="str">
        <f>IFERROR((VLOOKUP($A366,'ИЗ ГУГЛА'!$B:$Z,AC$1,0)+AE366)*AD366,VLOOKUP($A366,'ИЗ ГУГЛА'!$B:$Z,AC$1,0))</f>
        <v/>
      </c>
      <c r="AD366" s="46">
        <v>1</v>
      </c>
      <c r="AE366" s="46"/>
      <c r="AF366" s="115"/>
    </row>
    <row r="367" spans="1:32" s="5" customFormat="1" ht="31.5" thickTop="1" thickBot="1" x14ac:dyDescent="0.3">
      <c r="A367" s="132">
        <v>223235</v>
      </c>
      <c r="B367" s="132">
        <f>VLOOKUP($A367,'Выгр Кат'!$A:$S,B$1,0)</f>
        <v>17112</v>
      </c>
      <c r="C367" s="133" t="str">
        <f>VLOOKUP($A367,'Выгр Кат'!$A:$S,C$1,0)</f>
        <v>Уплотнитель "БРТ" проёма задней двери ВАЗ 2101-2107</v>
      </c>
      <c r="D367" s="132" t="str">
        <f>VLOOKUP($A367,'Выгр Кат'!$A:$S,D$1,0)</f>
        <v>Y</v>
      </c>
      <c r="E367" s="132" t="str">
        <f>VLOOKUP($A367,'Выгр Кат'!$A:$S,E$1,0)</f>
        <v>1</v>
      </c>
      <c r="F367" s="132" t="str">
        <f>VLOOKUP($A367,'Выгр Кат'!$A:$S,F$1,0)</f>
        <v>21070-6107020-00</v>
      </c>
      <c r="G367" s="45" t="s">
        <v>306</v>
      </c>
      <c r="H367" s="29"/>
      <c r="I367" s="4" t="s">
        <v>2</v>
      </c>
      <c r="J367" s="95">
        <v>1</v>
      </c>
      <c r="K367" s="168">
        <f t="shared" si="190"/>
        <v>320</v>
      </c>
      <c r="L367" s="167">
        <f>VLOOKUP(K367,Наценка!$A$1:$B$8,2,1)</f>
        <v>1.5053763440860215</v>
      </c>
      <c r="M367" s="148">
        <f t="shared" si="208"/>
        <v>943.40000000000009</v>
      </c>
      <c r="N367" s="173">
        <f t="shared" si="183"/>
        <v>949</v>
      </c>
      <c r="O367" s="134">
        <f>VLOOKUP($A367,'Выгр Кат'!$A:$S,O$1,0)</f>
        <v>320</v>
      </c>
      <c r="P367" s="134">
        <f>VLOOKUP($A367,'Выгр Кат'!$A:$S,P$1,0)</f>
        <v>929</v>
      </c>
      <c r="Q367" s="107">
        <f t="shared" si="184"/>
        <v>0</v>
      </c>
      <c r="R367" s="107">
        <f t="shared" si="185"/>
        <v>-20</v>
      </c>
      <c r="S367" s="110">
        <f t="shared" si="186"/>
        <v>882.56999999999994</v>
      </c>
      <c r="T367" s="135">
        <f t="shared" si="187"/>
        <v>1.7580312499999997</v>
      </c>
      <c r="U367" s="135">
        <f t="shared" si="188"/>
        <v>8.3483146067416438E-3</v>
      </c>
      <c r="V367" s="135">
        <f t="shared" si="189"/>
        <v>1.78125</v>
      </c>
      <c r="W367" s="117">
        <f t="shared" si="209"/>
        <v>890</v>
      </c>
      <c r="X367" s="114">
        <f>IFERROR((VLOOKUP($A367,'ИЗ ГУГЛА'!$B:$G,X$1,0)+Z367)*Y367,VLOOKUP($A367,'ИЗ ГУГЛА'!$B:$G,X$1,0))</f>
        <v>890</v>
      </c>
      <c r="Y367" s="46">
        <v>1</v>
      </c>
      <c r="Z367" s="46"/>
      <c r="AA367" s="138">
        <v>890</v>
      </c>
      <c r="AB367" s="124" t="s">
        <v>2299</v>
      </c>
      <c r="AC367" s="114" t="str">
        <f>IFERROR((VLOOKUP($A367,'ИЗ ГУГЛА'!$B:$Z,AC$1,0)+AE367)*AD367,VLOOKUP($A367,'ИЗ ГУГЛА'!$B:$Z,AC$1,0))</f>
        <v/>
      </c>
      <c r="AD367" s="46">
        <v>1</v>
      </c>
      <c r="AE367" s="46"/>
      <c r="AF367" s="115"/>
    </row>
    <row r="368" spans="1:32" s="5" customFormat="1" ht="31.5" thickTop="1" thickBot="1" x14ac:dyDescent="0.3">
      <c r="A368" s="132">
        <v>158291</v>
      </c>
      <c r="B368" s="132">
        <f>VLOOKUP($A368,'Выгр Кат'!$A:$S,B$1,0)</f>
        <v>35543</v>
      </c>
      <c r="C368" s="133" t="str">
        <f>VLOOKUP($A368,'Выгр Кат'!$A:$S,C$1,0)</f>
        <v>Комплект "БРТ" передних брызговиков для Лада Веста</v>
      </c>
      <c r="D368" s="132" t="str">
        <f>VLOOKUP($A368,'Выгр Кат'!$A:$S,D$1,0)</f>
        <v>Y</v>
      </c>
      <c r="E368" s="132" t="str">
        <f>VLOOKUP($A368,'Выгр Кат'!$A:$S,E$1,0)</f>
        <v>1</v>
      </c>
      <c r="F368" s="132">
        <f>VLOOKUP($A368,'Выгр Кат'!$A:$S,F$1,0)</f>
        <v>0</v>
      </c>
      <c r="G368" s="35" t="s">
        <v>1307</v>
      </c>
      <c r="H368" s="29"/>
      <c r="I368" s="4" t="s">
        <v>2</v>
      </c>
      <c r="J368" s="95">
        <v>1</v>
      </c>
      <c r="K368" s="168">
        <f t="shared" si="190"/>
        <v>242</v>
      </c>
      <c r="L368" s="167">
        <f>VLOOKUP(K368,Наценка!$A$1:$B$8,2,1)</f>
        <v>1.7204301075268817</v>
      </c>
      <c r="M368" s="148">
        <f>W368*1.05</f>
        <v>597.45000000000005</v>
      </c>
      <c r="N368" s="173">
        <f t="shared" si="183"/>
        <v>599</v>
      </c>
      <c r="O368" s="134">
        <f>VLOOKUP($A368,'Выгр Кат'!$A:$S,O$1,0)</f>
        <v>242</v>
      </c>
      <c r="P368" s="134">
        <f>VLOOKUP($A368,'Выгр Кат'!$A:$S,P$1,0)</f>
        <v>599</v>
      </c>
      <c r="Q368" s="107">
        <f t="shared" si="184"/>
        <v>0</v>
      </c>
      <c r="R368" s="107">
        <f t="shared" si="185"/>
        <v>0</v>
      </c>
      <c r="S368" s="110">
        <f t="shared" si="186"/>
        <v>557.06999999999994</v>
      </c>
      <c r="T368" s="135">
        <f t="shared" si="187"/>
        <v>1.3019421487603302</v>
      </c>
      <c r="U368" s="135">
        <f t="shared" si="188"/>
        <v>2.0966608084358636E-2</v>
      </c>
      <c r="V368" s="135">
        <f t="shared" si="189"/>
        <v>1.3512396694214877</v>
      </c>
      <c r="W368" s="117">
        <f t="shared" si="209"/>
        <v>569</v>
      </c>
      <c r="X368" s="114">
        <f>IFERROR((VLOOKUP($A368,'ИЗ ГУГЛА'!$B:$G,X$1,0)+Z368)*Y368,VLOOKUP($A368,'ИЗ ГУГЛА'!$B:$G,X$1,0))</f>
        <v>569</v>
      </c>
      <c r="Y368" s="108">
        <v>1</v>
      </c>
      <c r="Z368" s="46"/>
      <c r="AA368" s="136">
        <v>569</v>
      </c>
      <c r="AB368" s="124" t="s">
        <v>2618</v>
      </c>
      <c r="AC368" s="114" t="str">
        <f>IFERROR((VLOOKUP($A368,'ИЗ ГУГЛА'!$B:$Z,AC$1,0)+AE368)*AD368,VLOOKUP($A368,'ИЗ ГУГЛА'!$B:$Z,AC$1,0))</f>
        <v/>
      </c>
      <c r="AD368" s="108">
        <v>1</v>
      </c>
      <c r="AE368" s="46"/>
      <c r="AF368" s="115"/>
    </row>
    <row r="369" spans="1:32" s="5" customFormat="1" ht="46.5" thickTop="1" thickBot="1" x14ac:dyDescent="0.3">
      <c r="A369" s="132">
        <v>186765</v>
      </c>
      <c r="B369" s="132">
        <f>VLOOKUP($A369,'Выгр Кат'!$A:$S,B$1,0)</f>
        <v>20239</v>
      </c>
      <c r="C369" s="133" t="str">
        <f>VLOOKUP($A369,'Выгр Кат'!$A:$S,C$1,0)</f>
        <v>Патрубок расширительного бачка к термостату (заправочный) "БРТ" для ВАЗ 2111</v>
      </c>
      <c r="D369" s="132" t="str">
        <f>VLOOKUP($A369,'Выгр Кат'!$A:$S,D$1,0)</f>
        <v>Y</v>
      </c>
      <c r="E369" s="132" t="str">
        <f>VLOOKUP($A369,'Выгр Кат'!$A:$S,E$1,0)</f>
        <v>1</v>
      </c>
      <c r="F369" s="132" t="str">
        <f>VLOOKUP($A369,'Выгр Кат'!$A:$S,F$1,0)</f>
        <v>2111-1303080РП.</v>
      </c>
      <c r="G369" s="45" t="s">
        <v>415</v>
      </c>
      <c r="H369" s="29"/>
      <c r="I369" s="4" t="s">
        <v>2</v>
      </c>
      <c r="J369" s="95">
        <v>1</v>
      </c>
      <c r="K369" s="168">
        <f t="shared" si="190"/>
        <v>273</v>
      </c>
      <c r="L369" s="167">
        <f>VLOOKUP(K369,Наценка!$A$1:$B$8,2,1)</f>
        <v>1.7204301075268817</v>
      </c>
      <c r="M369" s="148">
        <f t="shared" si="208"/>
        <v>709.14</v>
      </c>
      <c r="N369" s="173">
        <f t="shared" si="183"/>
        <v>709</v>
      </c>
      <c r="O369" s="134">
        <f>VLOOKUP($A369,'Выгр Кат'!$A:$S,O$1,0)</f>
        <v>273</v>
      </c>
      <c r="P369" s="134">
        <f>VLOOKUP($A369,'Выгр Кат'!$A:$S,P$1,0)</f>
        <v>699</v>
      </c>
      <c r="Q369" s="107">
        <f t="shared" si="184"/>
        <v>0</v>
      </c>
      <c r="R369" s="107">
        <f t="shared" si="185"/>
        <v>-10</v>
      </c>
      <c r="S369" s="110">
        <f t="shared" si="186"/>
        <v>659.37</v>
      </c>
      <c r="T369" s="135">
        <f t="shared" si="187"/>
        <v>1.4152747252747253</v>
      </c>
      <c r="U369" s="135">
        <f t="shared" si="188"/>
        <v>1.439461883408071E-2</v>
      </c>
      <c r="V369" s="135">
        <f t="shared" si="189"/>
        <v>1.4505494505494507</v>
      </c>
      <c r="W369" s="117">
        <f t="shared" si="209"/>
        <v>669</v>
      </c>
      <c r="X369" s="114">
        <f>IFERROR((VLOOKUP($A369,'ИЗ ГУГЛА'!$B:$G,X$1,0)+Z369)*Y369,VLOOKUP($A369,'ИЗ ГУГЛА'!$B:$G,X$1,0))</f>
        <v>669</v>
      </c>
      <c r="Y369" s="108">
        <v>1</v>
      </c>
      <c r="Z369" s="46"/>
      <c r="AA369" s="136">
        <v>669</v>
      </c>
      <c r="AB369" s="124" t="s">
        <v>2617</v>
      </c>
      <c r="AC369" s="114" t="str">
        <f>IFERROR((VLOOKUP($A369,'ИЗ ГУГЛА'!$B:$Z,AC$1,0)+AE369)*AD369,VLOOKUP($A369,'ИЗ ГУГЛА'!$B:$Z,AC$1,0))</f>
        <v/>
      </c>
      <c r="AD369" s="108">
        <v>1</v>
      </c>
      <c r="AE369" s="46"/>
      <c r="AF369" s="115"/>
    </row>
    <row r="370" spans="1:32" s="5" customFormat="1" ht="46.5" thickTop="1" thickBot="1" x14ac:dyDescent="0.3">
      <c r="A370" s="132">
        <v>186726</v>
      </c>
      <c r="B370" s="132">
        <f>VLOOKUP($A370,'Выгр Кат'!$A:$S,B$1,0)</f>
        <v>19952</v>
      </c>
      <c r="C370" s="133" t="str">
        <f>VLOOKUP($A370,'Выгр Кат'!$A:$S,C$1,0)</f>
        <v>Патрубок радиатора отводящий "БРТ" нижний для ВАЗ 2105, 2107 (с алюминиевым радиатором)</v>
      </c>
      <c r="D370" s="132" t="str">
        <f>VLOOKUP($A370,'Выгр Кат'!$A:$S,D$1,0)</f>
        <v>Y</v>
      </c>
      <c r="E370" s="132" t="str">
        <f>VLOOKUP($A370,'Выгр Кат'!$A:$S,E$1,0)</f>
        <v>1</v>
      </c>
      <c r="F370" s="132" t="str">
        <f>VLOOKUP($A370,'Выгр Кат'!$A:$S,F$1,0)</f>
        <v>2105-1303010-10РП</v>
      </c>
      <c r="G370" s="45" t="s">
        <v>295</v>
      </c>
      <c r="H370" s="29"/>
      <c r="I370" s="4" t="s">
        <v>2</v>
      </c>
      <c r="J370" s="95">
        <v>1</v>
      </c>
      <c r="K370" s="168">
        <f t="shared" si="190"/>
        <v>273</v>
      </c>
      <c r="L370" s="167">
        <f>VLOOKUP(K370,Наценка!$A$1:$B$8,2,1)</f>
        <v>1.7204301075268817</v>
      </c>
      <c r="M370" s="172">
        <f t="shared" si="191"/>
        <v>469.67741935483872</v>
      </c>
      <c r="N370" s="173">
        <f t="shared" si="183"/>
        <v>469</v>
      </c>
      <c r="O370" s="134">
        <f>VLOOKUP($A370,'Выгр Кат'!$A:$S,O$1,0)</f>
        <v>273</v>
      </c>
      <c r="P370" s="134">
        <f>VLOOKUP($A370,'Выгр Кат'!$A:$S,P$1,0)</f>
        <v>469</v>
      </c>
      <c r="Q370" s="107">
        <f t="shared" si="184"/>
        <v>0</v>
      </c>
      <c r="R370" s="107">
        <f t="shared" si="185"/>
        <v>0</v>
      </c>
      <c r="S370" s="110">
        <f t="shared" si="186"/>
        <v>436.16999999999996</v>
      </c>
      <c r="T370" s="135">
        <f t="shared" si="187"/>
        <v>0.59769230769230752</v>
      </c>
      <c r="U370" s="135" t="str">
        <f t="shared" si="188"/>
        <v/>
      </c>
      <c r="V370" s="135" t="str">
        <f t="shared" si="189"/>
        <v/>
      </c>
      <c r="W370" s="45"/>
      <c r="X370" s="114" t="str">
        <f>IFERROR((VLOOKUP($A370,'ИЗ ГУГЛА'!$B:$G,X$1,0)+Z370)*Y370,VLOOKUP($A370,'ИЗ ГУГЛА'!$B:$G,X$1,0))</f>
        <v/>
      </c>
      <c r="Y370" s="108">
        <v>1</v>
      </c>
      <c r="Z370" s="46"/>
      <c r="AA370" s="140" t="s">
        <v>1821</v>
      </c>
      <c r="AB370" s="129"/>
      <c r="AC370" s="114" t="str">
        <f>IFERROR((VLOOKUP($A370,'ИЗ ГУГЛА'!$B:$Z,AC$1,0)+AE370)*AD370,VLOOKUP($A370,'ИЗ ГУГЛА'!$B:$Z,AC$1,0))</f>
        <v/>
      </c>
      <c r="AD370" s="108">
        <v>1</v>
      </c>
      <c r="AE370" s="46"/>
      <c r="AF370" s="115"/>
    </row>
    <row r="371" spans="1:32" s="5" customFormat="1" ht="46.5" thickTop="1" thickBot="1" x14ac:dyDescent="0.3">
      <c r="A371" s="132">
        <v>180669</v>
      </c>
      <c r="B371" s="132">
        <f>VLOOKUP($A371,'Выгр Кат'!$A:$S,B$1,0)</f>
        <v>35372</v>
      </c>
      <c r="C371" s="133" t="str">
        <f>VLOOKUP($A371,'Выгр Кат'!$A:$S,C$1,0)</f>
        <v>Облицовка "БРТ" горловины наливной трубы бензобака для ВАЗ 2101, 2102</v>
      </c>
      <c r="D371" s="132" t="str">
        <f>VLOOKUP($A371,'Выгр Кат'!$A:$S,D$1,0)</f>
        <v>Y</v>
      </c>
      <c r="E371" s="132" t="str">
        <f>VLOOKUP($A371,'Выгр Кат'!$A:$S,E$1,0)</f>
        <v>1</v>
      </c>
      <c r="F371" s="132" t="str">
        <f>VLOOKUP($A371,'Выгр Кат'!$A:$S,F$1,0)</f>
        <v>2101-1101150</v>
      </c>
      <c r="G371" s="44" t="s">
        <v>245</v>
      </c>
      <c r="H371" s="29"/>
      <c r="I371" s="4" t="s">
        <v>2</v>
      </c>
      <c r="J371" s="95">
        <v>1</v>
      </c>
      <c r="K371" s="168">
        <f t="shared" si="190"/>
        <v>273</v>
      </c>
      <c r="L371" s="167">
        <f>VLOOKUP(K371,Наценка!$A$1:$B$8,2,1)</f>
        <v>1.7204301075268817</v>
      </c>
      <c r="M371" s="148">
        <f t="shared" ref="M371:M374" si="210">W371*1.06</f>
        <v>625.4</v>
      </c>
      <c r="N371" s="173">
        <f t="shared" si="183"/>
        <v>629</v>
      </c>
      <c r="O371" s="134">
        <f>VLOOKUP($A371,'Выгр Кат'!$A:$S,O$1,0)</f>
        <v>273</v>
      </c>
      <c r="P371" s="134">
        <f>VLOOKUP($A371,'Выгр Кат'!$A:$S,P$1,0)</f>
        <v>619</v>
      </c>
      <c r="Q371" s="107">
        <f t="shared" si="184"/>
        <v>0</v>
      </c>
      <c r="R371" s="107">
        <f t="shared" si="185"/>
        <v>-10</v>
      </c>
      <c r="S371" s="110">
        <f t="shared" si="186"/>
        <v>584.96999999999991</v>
      </c>
      <c r="T371" s="135">
        <f t="shared" si="187"/>
        <v>1.1427472527472524</v>
      </c>
      <c r="U371" s="135">
        <f t="shared" si="188"/>
        <v>8.5254237288137063E-3</v>
      </c>
      <c r="V371" s="135">
        <f t="shared" si="189"/>
        <v>1.161172161172161</v>
      </c>
      <c r="W371" s="117">
        <f t="shared" ref="W371:W376" si="211">AA371</f>
        <v>590</v>
      </c>
      <c r="X371" s="114">
        <f>IFERROR((VLOOKUP($A371,'ИЗ ГУГЛА'!$B:$G,X$1,0)+Z371)*Y371,VLOOKUP($A371,'ИЗ ГУГЛА'!$B:$G,X$1,0))</f>
        <v>590</v>
      </c>
      <c r="Y371" s="108">
        <v>1</v>
      </c>
      <c r="Z371" s="46"/>
      <c r="AA371" s="136">
        <v>590</v>
      </c>
      <c r="AB371" s="124" t="s">
        <v>2616</v>
      </c>
      <c r="AC371" s="114" t="str">
        <f>IFERROR((VLOOKUP($A371,'ИЗ ГУГЛА'!$B:$Z,AC$1,0)+AE371)*AD371,VLOOKUP($A371,'ИЗ ГУГЛА'!$B:$Z,AC$1,0))</f>
        <v/>
      </c>
      <c r="AD371" s="108">
        <v>1</v>
      </c>
      <c r="AE371" s="46"/>
      <c r="AF371" s="115"/>
    </row>
    <row r="372" spans="1:32" s="5" customFormat="1" ht="31.5" thickTop="1" thickBot="1" x14ac:dyDescent="0.3">
      <c r="A372" s="132">
        <v>158279</v>
      </c>
      <c r="B372" s="132">
        <f>VLOOKUP($A372,'Выгр Кат'!$A:$S,B$1,0)</f>
        <v>35536</v>
      </c>
      <c r="C372" s="133" t="str">
        <f>VLOOKUP($A372,'Выгр Кат'!$A:$S,C$1,0)</f>
        <v>Комплект "БРТ" задних брызговиков для Лада Гранта, Калина 2</v>
      </c>
      <c r="D372" s="132" t="str">
        <f>VLOOKUP($A372,'Выгр Кат'!$A:$S,D$1,0)</f>
        <v>Y</v>
      </c>
      <c r="E372" s="132" t="str">
        <f>VLOOKUP($A372,'Выгр Кат'!$A:$S,E$1,0)</f>
        <v>1</v>
      </c>
      <c r="F372" s="132" t="str">
        <f>VLOOKUP($A372,'Выгр Кат'!$A:$S,F$1,0)</f>
        <v>2190-8404412/12Р</v>
      </c>
      <c r="G372" s="44" t="s">
        <v>1295</v>
      </c>
      <c r="H372" s="29"/>
      <c r="I372" s="4" t="s">
        <v>2</v>
      </c>
      <c r="J372" s="95">
        <v>1</v>
      </c>
      <c r="K372" s="168">
        <f t="shared" si="190"/>
        <v>274</v>
      </c>
      <c r="L372" s="167">
        <f>VLOOKUP(K372,Наценка!$A$1:$B$8,2,1)</f>
        <v>1.7204301075268817</v>
      </c>
      <c r="M372" s="148">
        <f>W372*1.05</f>
        <v>409.5</v>
      </c>
      <c r="N372" s="173">
        <f t="shared" si="183"/>
        <v>409</v>
      </c>
      <c r="O372" s="134">
        <f>VLOOKUP($A372,'Выгр Кат'!$A:$S,O$1,0)</f>
        <v>274</v>
      </c>
      <c r="P372" s="134">
        <f>VLOOKUP($A372,'Выгр Кат'!$A:$S,P$1,0)</f>
        <v>409</v>
      </c>
      <c r="Q372" s="107">
        <f t="shared" si="184"/>
        <v>0</v>
      </c>
      <c r="R372" s="107">
        <f t="shared" si="185"/>
        <v>0</v>
      </c>
      <c r="S372" s="110">
        <f t="shared" si="186"/>
        <v>380.36999999999995</v>
      </c>
      <c r="T372" s="135">
        <f t="shared" si="187"/>
        <v>0.3882116788321166</v>
      </c>
      <c r="U372" s="135">
        <f t="shared" si="188"/>
        <v>2.4692307692307826E-2</v>
      </c>
      <c r="V372" s="135">
        <f t="shared" si="189"/>
        <v>0.42335766423357657</v>
      </c>
      <c r="W372" s="117">
        <f t="shared" si="211"/>
        <v>390</v>
      </c>
      <c r="X372" s="114">
        <f>IFERROR((VLOOKUP($A372,'ИЗ ГУГЛА'!$B:$G,X$1,0)+Z372)*Y372,VLOOKUP($A372,'ИЗ ГУГЛА'!$B:$G,X$1,0))</f>
        <v>390</v>
      </c>
      <c r="Y372" s="108">
        <v>1</v>
      </c>
      <c r="Z372" s="46"/>
      <c r="AA372" s="136">
        <v>390</v>
      </c>
      <c r="AB372" s="124" t="s">
        <v>2615</v>
      </c>
      <c r="AC372" s="114" t="str">
        <f>IFERROR((VLOOKUP($A372,'ИЗ ГУГЛА'!$B:$Z,AC$1,0)+AE372)*AD372,VLOOKUP($A372,'ИЗ ГУГЛА'!$B:$Z,AC$1,0))</f>
        <v/>
      </c>
      <c r="AD372" s="108">
        <v>1</v>
      </c>
      <c r="AE372" s="46"/>
      <c r="AF372" s="115"/>
    </row>
    <row r="373" spans="1:32" s="5" customFormat="1" ht="31.5" thickTop="1" thickBot="1" x14ac:dyDescent="0.3">
      <c r="A373" s="132">
        <v>218424</v>
      </c>
      <c r="B373" s="132">
        <f>VLOOKUP($A373,'Выгр Кат'!$A:$S,B$1,0)</f>
        <v>36953</v>
      </c>
      <c r="C373" s="133" t="str">
        <f>VLOOKUP($A373,'Выгр Кат'!$A:$S,C$1,0)</f>
        <v>Стойки стабилизатора "БРТ" для Лада Калина 2, Гранта, Гранта FL</v>
      </c>
      <c r="D373" s="132" t="str">
        <f>VLOOKUP($A373,'Выгр Кат'!$A:$S,D$1,0)</f>
        <v>Y</v>
      </c>
      <c r="E373" s="132" t="str">
        <f>VLOOKUP($A373,'Выгр Кат'!$A:$S,E$1,0)</f>
        <v>1</v>
      </c>
      <c r="F373" s="132" t="str">
        <f>VLOOKUP($A373,'Выгр Кат'!$A:$S,F$1,0)</f>
        <v>2190-2906050себ</v>
      </c>
      <c r="G373" s="44" t="s">
        <v>1406</v>
      </c>
      <c r="H373" s="29"/>
      <c r="I373" s="7" t="s">
        <v>2</v>
      </c>
      <c r="J373" s="95">
        <v>1</v>
      </c>
      <c r="K373" s="168">
        <f t="shared" si="190"/>
        <v>264</v>
      </c>
      <c r="L373" s="167">
        <f>VLOOKUP(K373,Наценка!$A$1:$B$8,2,1)</f>
        <v>1.7204301075268817</v>
      </c>
      <c r="M373" s="148">
        <f t="shared" si="210"/>
        <v>625.4</v>
      </c>
      <c r="N373" s="173">
        <f t="shared" si="183"/>
        <v>629</v>
      </c>
      <c r="O373" s="134">
        <f>VLOOKUP($A373,'Выгр Кат'!$A:$S,O$1,0)</f>
        <v>264</v>
      </c>
      <c r="P373" s="134">
        <f>VLOOKUP($A373,'Выгр Кат'!$A:$S,P$1,0)</f>
        <v>619</v>
      </c>
      <c r="Q373" s="107">
        <f t="shared" si="184"/>
        <v>0</v>
      </c>
      <c r="R373" s="107">
        <f t="shared" si="185"/>
        <v>-10</v>
      </c>
      <c r="S373" s="110">
        <f t="shared" si="186"/>
        <v>584.96999999999991</v>
      </c>
      <c r="T373" s="135">
        <f t="shared" si="187"/>
        <v>1.2157954545454541</v>
      </c>
      <c r="U373" s="135">
        <f t="shared" si="188"/>
        <v>8.5254237288137063E-3</v>
      </c>
      <c r="V373" s="135">
        <f t="shared" si="189"/>
        <v>1.2348484848484849</v>
      </c>
      <c r="W373" s="117">
        <f t="shared" si="211"/>
        <v>590</v>
      </c>
      <c r="X373" s="114">
        <f>IFERROR((VLOOKUP($A373,'ИЗ ГУГЛА'!$B:$G,X$1,0)+Z373)*Y373,VLOOKUP($A373,'ИЗ ГУГЛА'!$B:$G,X$1,0))</f>
        <v>590</v>
      </c>
      <c r="Y373" s="108">
        <v>1</v>
      </c>
      <c r="Z373" s="46"/>
      <c r="AA373" s="136">
        <v>590</v>
      </c>
      <c r="AB373" s="124" t="s">
        <v>2525</v>
      </c>
      <c r="AC373" s="114" t="str">
        <f>IFERROR((VLOOKUP($A373,'ИЗ ГУГЛА'!$B:$Z,AC$1,0)+AE373)*AD373,VLOOKUP($A373,'ИЗ ГУГЛА'!$B:$Z,AC$1,0))</f>
        <v/>
      </c>
      <c r="AD373" s="108">
        <v>1</v>
      </c>
      <c r="AE373" s="46"/>
      <c r="AF373" s="115"/>
    </row>
    <row r="374" spans="1:32" s="5" customFormat="1" ht="45.75" thickTop="1" x14ac:dyDescent="0.25">
      <c r="A374" s="132">
        <v>225940</v>
      </c>
      <c r="B374" s="132">
        <f>VLOOKUP($A374,'Выгр Кат'!$A:$S,B$1,0)</f>
        <v>19950</v>
      </c>
      <c r="C374" s="133" t="str">
        <f>VLOOKUP($A374,'Выгр Кат'!$A:$S,C$1,0)</f>
        <v>Шланг вакуумного усилителя тормозов "БРТ" для ВАЗ 2101-2107, Лада Нива 4x4</v>
      </c>
      <c r="D374" s="132" t="str">
        <f>VLOOKUP($A374,'Выгр Кат'!$A:$S,D$1,0)</f>
        <v>Y</v>
      </c>
      <c r="E374" s="132" t="str">
        <f>VLOOKUP($A374,'Выгр Кат'!$A:$S,E$1,0)</f>
        <v>1</v>
      </c>
      <c r="F374" s="132" t="str">
        <f>VLOOKUP($A374,'Выгр Кат'!$A:$S,F$1,0)</f>
        <v>2103-3510050-01Р</v>
      </c>
      <c r="G374" s="45" t="s">
        <v>289</v>
      </c>
      <c r="H374" s="29"/>
      <c r="I374" s="4" t="s">
        <v>2</v>
      </c>
      <c r="J374" s="95">
        <v>1</v>
      </c>
      <c r="K374" s="168">
        <f t="shared" si="190"/>
        <v>276</v>
      </c>
      <c r="L374" s="167">
        <f>VLOOKUP(K374,Наценка!$A$1:$B$8,2,1)</f>
        <v>1.7204301075268817</v>
      </c>
      <c r="M374" s="148">
        <f t="shared" si="210"/>
        <v>625.4</v>
      </c>
      <c r="N374" s="173">
        <f t="shared" si="183"/>
        <v>629</v>
      </c>
      <c r="O374" s="134">
        <f>VLOOKUP($A374,'Выгр Кат'!$A:$S,O$1,0)</f>
        <v>276</v>
      </c>
      <c r="P374" s="134">
        <f>VLOOKUP($A374,'Выгр Кат'!$A:$S,P$1,0)</f>
        <v>479</v>
      </c>
      <c r="Q374" s="107">
        <f t="shared" si="184"/>
        <v>0</v>
      </c>
      <c r="R374" s="107">
        <f t="shared" si="185"/>
        <v>-150</v>
      </c>
      <c r="S374" s="110">
        <f t="shared" si="186"/>
        <v>584.96999999999991</v>
      </c>
      <c r="T374" s="135">
        <f t="shared" si="187"/>
        <v>1.1194565217391301</v>
      </c>
      <c r="U374" s="135">
        <f t="shared" si="188"/>
        <v>8.5254237288137063E-3</v>
      </c>
      <c r="V374" s="135">
        <f t="shared" si="189"/>
        <v>1.13768115942029</v>
      </c>
      <c r="W374" s="117">
        <f t="shared" si="211"/>
        <v>590</v>
      </c>
      <c r="X374" s="114">
        <f>IFERROR((VLOOKUP($A374,'ИЗ ГУГЛА'!$B:$G,X$1,0)+Z374)*Y374,VLOOKUP($A374,'ИЗ ГУГЛА'!$B:$G,X$1,0))</f>
        <v>590</v>
      </c>
      <c r="Y374" s="108">
        <v>1</v>
      </c>
      <c r="Z374" s="46"/>
      <c r="AA374" s="139">
        <v>590</v>
      </c>
      <c r="AB374" s="124" t="s">
        <v>2575</v>
      </c>
      <c r="AC374" s="114" t="str">
        <f>IFERROR((VLOOKUP($A374,'ИЗ ГУГЛА'!$B:$Z,AC$1,0)+AE374)*AD374,VLOOKUP($A374,'ИЗ ГУГЛА'!$B:$Z,AC$1,0))</f>
        <v/>
      </c>
      <c r="AD374" s="108">
        <v>1</v>
      </c>
      <c r="AE374" s="46"/>
      <c r="AF374" s="115"/>
    </row>
    <row r="375" spans="1:32" s="5" customFormat="1" ht="45" x14ac:dyDescent="0.25">
      <c r="A375" s="132">
        <v>213354</v>
      </c>
      <c r="B375" s="132">
        <f>VLOOKUP($A375,'Выгр Кат'!$A:$S,B$1,0)</f>
        <v>20525</v>
      </c>
      <c r="C375" s="133" t="str">
        <f>VLOOKUP($A375,'Выгр Кат'!$A:$S,C$1,0)</f>
        <v>Сальник коленчатого вала задний Таврия "БРТ" для ВАЗ 2101-2107, Лада Нива 4x4, Ока, Шевроле Нива</v>
      </c>
      <c r="D375" s="132" t="str">
        <f>VLOOKUP($A375,'Выгр Кат'!$A:$S,D$1,0)</f>
        <v>Y</v>
      </c>
      <c r="E375" s="132" t="str">
        <f>VLOOKUP($A375,'Выгр Кат'!$A:$S,E$1,0)</f>
        <v>1</v>
      </c>
      <c r="F375" s="132" t="str">
        <f>VLOOKUP($A375,'Выгр Кат'!$A:$S,F$1,0)</f>
        <v>2101-1005160-02РЭ.</v>
      </c>
      <c r="G375" s="45" t="s">
        <v>239</v>
      </c>
      <c r="H375" s="29"/>
      <c r="I375" s="4" t="s">
        <v>2</v>
      </c>
      <c r="J375" s="95">
        <v>1</v>
      </c>
      <c r="K375" s="168">
        <f t="shared" si="190"/>
        <v>273</v>
      </c>
      <c r="L375" s="167">
        <f>VLOOKUP(K375,Наценка!$A$1:$B$8,2,1)</f>
        <v>1.7204301075268817</v>
      </c>
      <c r="M375" s="172">
        <f t="shared" si="191"/>
        <v>469.67741935483872</v>
      </c>
      <c r="N375" s="173">
        <f t="shared" si="183"/>
        <v>469</v>
      </c>
      <c r="O375" s="134">
        <f>VLOOKUP($A375,'Выгр Кат'!$A:$S,O$1,0)</f>
        <v>273</v>
      </c>
      <c r="P375" s="134">
        <f>VLOOKUP($A375,'Выгр Кат'!$A:$S,P$1,0)</f>
        <v>469</v>
      </c>
      <c r="Q375" s="107">
        <f t="shared" si="184"/>
        <v>0</v>
      </c>
      <c r="R375" s="107">
        <f t="shared" si="185"/>
        <v>0</v>
      </c>
      <c r="S375" s="110">
        <f t="shared" si="186"/>
        <v>436.16999999999996</v>
      </c>
      <c r="T375" s="135">
        <f t="shared" si="187"/>
        <v>0.59769230769230752</v>
      </c>
      <c r="U375" s="135">
        <f t="shared" si="188"/>
        <v>-0.90467248908296927</v>
      </c>
      <c r="V375" s="135">
        <f t="shared" si="189"/>
        <v>-0.16117216117216115</v>
      </c>
      <c r="W375" s="117">
        <f t="shared" si="211"/>
        <v>229</v>
      </c>
      <c r="X375" s="114">
        <f>IFERROR((VLOOKUP($A375,'ИЗ ГУГЛА'!$B:$G,X$1,0)+Z375)*Y375,VLOOKUP($A375,'ИЗ ГУГЛА'!$B:$G,X$1,0))</f>
        <v>229</v>
      </c>
      <c r="Y375" s="108">
        <v>1</v>
      </c>
      <c r="Z375" s="46"/>
      <c r="AA375" s="139">
        <v>229</v>
      </c>
      <c r="AB375" s="124" t="s">
        <v>2967</v>
      </c>
      <c r="AC375" s="114" t="str">
        <f>IFERROR((VLOOKUP($A375,'ИЗ ГУГЛА'!$B:$Z,AC$1,0)+AE375)*AD375,VLOOKUP($A375,'ИЗ ГУГЛА'!$B:$Z,AC$1,0))</f>
        <v/>
      </c>
      <c r="AD375" s="108">
        <v>1</v>
      </c>
      <c r="AE375" s="46"/>
      <c r="AF375" s="115"/>
    </row>
    <row r="376" spans="1:32" s="5" customFormat="1" ht="45" x14ac:dyDescent="0.25">
      <c r="A376" s="132">
        <v>213353</v>
      </c>
      <c r="B376" s="132">
        <f>VLOOKUP($A376,'Выгр Кат'!$A:$S,B$1,0)</f>
        <v>20524</v>
      </c>
      <c r="C376" s="133" t="str">
        <f>VLOOKUP($A376,'Выгр Кат'!$A:$S,C$1,0)</f>
        <v>Сальник коленчатого вала задний Таврия "БРТ" для ВАЗ 2101-2107, Лада Нива 4x4, Ока, Шевроле Нива</v>
      </c>
      <c r="D376" s="132" t="str">
        <f>VLOOKUP($A376,'Выгр Кат'!$A:$S,D$1,0)</f>
        <v>Y</v>
      </c>
      <c r="E376" s="132" t="str">
        <f>VLOOKUP($A376,'Выгр Кат'!$A:$S,E$1,0)</f>
        <v>1</v>
      </c>
      <c r="F376" s="132" t="str">
        <f>VLOOKUP($A376,'Выгр Кат'!$A:$S,F$1,0)</f>
        <v>21010100516002</v>
      </c>
      <c r="G376" s="45" t="s">
        <v>239</v>
      </c>
      <c r="H376" s="29"/>
      <c r="I376" s="4" t="s">
        <v>2</v>
      </c>
      <c r="J376" s="95">
        <v>1</v>
      </c>
      <c r="K376" s="168">
        <f t="shared" si="190"/>
        <v>273</v>
      </c>
      <c r="L376" s="167">
        <f>VLOOKUP(K376,Наценка!$A$1:$B$8,2,1)</f>
        <v>1.7204301075268817</v>
      </c>
      <c r="M376" s="172">
        <f t="shared" si="191"/>
        <v>469.67741935483872</v>
      </c>
      <c r="N376" s="173">
        <f t="shared" si="183"/>
        <v>469</v>
      </c>
      <c r="O376" s="134">
        <f>VLOOKUP($A376,'Выгр Кат'!$A:$S,O$1,0)</f>
        <v>273</v>
      </c>
      <c r="P376" s="134">
        <f>VLOOKUP($A376,'Выгр Кат'!$A:$S,P$1,0)</f>
        <v>469</v>
      </c>
      <c r="Q376" s="107">
        <f t="shared" si="184"/>
        <v>0</v>
      </c>
      <c r="R376" s="107">
        <f t="shared" si="185"/>
        <v>0</v>
      </c>
      <c r="S376" s="110">
        <f t="shared" si="186"/>
        <v>436.16999999999996</v>
      </c>
      <c r="T376" s="135">
        <f t="shared" si="187"/>
        <v>0.59769230769230752</v>
      </c>
      <c r="U376" s="135">
        <f t="shared" si="188"/>
        <v>-0.90467248908296927</v>
      </c>
      <c r="V376" s="135">
        <f t="shared" si="189"/>
        <v>-0.16117216117216115</v>
      </c>
      <c r="W376" s="117">
        <f t="shared" si="211"/>
        <v>229</v>
      </c>
      <c r="X376" s="114">
        <f>IFERROR((VLOOKUP($A376,'ИЗ ГУГЛА'!$B:$G,X$1,0)+Z376)*Y376,VLOOKUP($A376,'ИЗ ГУГЛА'!$B:$G,X$1,0))</f>
        <v>229</v>
      </c>
      <c r="Y376" s="108">
        <v>1</v>
      </c>
      <c r="Z376" s="46"/>
      <c r="AA376" s="139">
        <v>229</v>
      </c>
      <c r="AB376" s="124" t="s">
        <v>2967</v>
      </c>
      <c r="AC376" s="114" t="str">
        <f>IFERROR((VLOOKUP($A376,'ИЗ ГУГЛА'!$B:$Z,AC$1,0)+AE376)*AD376,VLOOKUP($A376,'ИЗ ГУГЛА'!$B:$Z,AC$1,0))</f>
        <v/>
      </c>
      <c r="AD376" s="108">
        <v>1</v>
      </c>
      <c r="AE376" s="46"/>
      <c r="AF376" s="115"/>
    </row>
    <row r="377" spans="1:32" s="5" customFormat="1" ht="30" x14ac:dyDescent="0.25">
      <c r="A377" s="132">
        <v>202112</v>
      </c>
      <c r="B377" s="132">
        <f>VLOOKUP($A377,'Выгр Кат'!$A:$S,B$1,0)</f>
        <v>35476</v>
      </c>
      <c r="C377" s="133" t="str">
        <f>VLOOKUP($A377,'Выгр Кат'!$A:$S,C$1,0)</f>
        <v>Пыльник "БРТ" тяги переключения передач для Лада Калина</v>
      </c>
      <c r="D377" s="132" t="str">
        <f>VLOOKUP($A377,'Выгр Кат'!$A:$S,D$1,0)</f>
        <v>Y</v>
      </c>
      <c r="E377" s="132" t="str">
        <f>VLOOKUP($A377,'Выгр Кат'!$A:$S,E$1,0)</f>
        <v>1</v>
      </c>
      <c r="F377" s="132" t="str">
        <f>VLOOKUP($A377,'Выгр Кат'!$A:$S,F$1,0)</f>
        <v>1118-1703200Р</v>
      </c>
      <c r="G377" s="44" t="s">
        <v>223</v>
      </c>
      <c r="H377" s="29"/>
      <c r="I377" s="4" t="s">
        <v>2</v>
      </c>
      <c r="J377" s="95">
        <v>1</v>
      </c>
      <c r="K377" s="168">
        <f t="shared" si="190"/>
        <v>265</v>
      </c>
      <c r="L377" s="167">
        <f>VLOOKUP(K377,Наценка!$A$1:$B$8,2,1)</f>
        <v>1.7204301075268817</v>
      </c>
      <c r="M377" s="172">
        <f t="shared" si="191"/>
        <v>455.91397849462368</v>
      </c>
      <c r="N377" s="173">
        <f t="shared" si="183"/>
        <v>459</v>
      </c>
      <c r="O377" s="134">
        <f>VLOOKUP($A377,'Выгр Кат'!$A:$S,O$1,0)</f>
        <v>265</v>
      </c>
      <c r="P377" s="134">
        <f>VLOOKUP($A377,'Выгр Кат'!$A:$S,P$1,0)</f>
        <v>459</v>
      </c>
      <c r="Q377" s="107">
        <f t="shared" si="184"/>
        <v>0</v>
      </c>
      <c r="R377" s="107">
        <f t="shared" si="185"/>
        <v>0</v>
      </c>
      <c r="S377" s="110">
        <f t="shared" si="186"/>
        <v>426.86999999999995</v>
      </c>
      <c r="T377" s="135">
        <f t="shared" si="187"/>
        <v>0.6108301886792451</v>
      </c>
      <c r="U377" s="135" t="str">
        <f t="shared" si="188"/>
        <v/>
      </c>
      <c r="V377" s="135" t="str">
        <f t="shared" si="189"/>
        <v/>
      </c>
      <c r="W377" s="45"/>
      <c r="X377" s="114" t="str">
        <f>IFERROR((VLOOKUP($A377,'ИЗ ГУГЛА'!$B:$G,X$1,0)+Z377)*Y377,VLOOKUP($A377,'ИЗ ГУГЛА'!$B:$G,X$1,0))</f>
        <v/>
      </c>
      <c r="Y377" s="108">
        <v>1</v>
      </c>
      <c r="Z377" s="46"/>
      <c r="AA377" s="139" t="s">
        <v>1821</v>
      </c>
      <c r="AB377" s="124"/>
      <c r="AC377" s="114" t="str">
        <f>IFERROR((VLOOKUP($A377,'ИЗ ГУГЛА'!$B:$Z,AC$1,0)+AE377)*AD377,VLOOKUP($A377,'ИЗ ГУГЛА'!$B:$Z,AC$1,0))</f>
        <v/>
      </c>
      <c r="AD377" s="108">
        <v>1</v>
      </c>
      <c r="AE377" s="46"/>
      <c r="AF377" s="115"/>
    </row>
    <row r="378" spans="1:32" s="5" customFormat="1" ht="30" x14ac:dyDescent="0.25">
      <c r="A378" s="132">
        <v>204184</v>
      </c>
      <c r="B378" s="132">
        <f>VLOOKUP($A378,'Выгр Кат'!$A:$S,B$1,0)</f>
        <v>19843</v>
      </c>
      <c r="C378" s="133" t="str">
        <f>VLOOKUP($A378,'Выгр Кат'!$A:$S,C$1,0)</f>
        <v>Ремень генератора "БРТ" для Renault Logan без кондиционера и ГУР</v>
      </c>
      <c r="D378" s="132" t="str">
        <f>VLOOKUP($A378,'Выгр Кат'!$A:$S,D$1,0)</f>
        <v>Y</v>
      </c>
      <c r="E378" s="132" t="str">
        <f>VLOOKUP($A378,'Выгр Кат'!$A:$S,E$1,0)</f>
        <v>1</v>
      </c>
      <c r="F378" s="132" t="str">
        <f>VLOOKUP($A378,'Выгр Кат'!$A:$S,F$1,0)</f>
        <v>5РК1110РУ</v>
      </c>
      <c r="G378" s="45" t="s">
        <v>1821</v>
      </c>
      <c r="H378" s="29" t="s">
        <v>1821</v>
      </c>
      <c r="I378" s="4" t="s">
        <v>2</v>
      </c>
      <c r="J378" s="95">
        <v>1</v>
      </c>
      <c r="K378" s="168">
        <f t="shared" si="190"/>
        <v>250</v>
      </c>
      <c r="L378" s="167">
        <f>VLOOKUP(K378,Наценка!$A$1:$B$8,2,1)</f>
        <v>1.7204301075268817</v>
      </c>
      <c r="M378" s="172">
        <f t="shared" si="191"/>
        <v>430.10752688172045</v>
      </c>
      <c r="N378" s="173">
        <f t="shared" si="183"/>
        <v>439</v>
      </c>
      <c r="O378" s="134">
        <f>VLOOKUP($A378,'Выгр Кат'!$A:$S,O$1,0)</f>
        <v>250</v>
      </c>
      <c r="P378" s="134">
        <f>VLOOKUP($A378,'Выгр Кат'!$A:$S,P$1,0)</f>
        <v>439</v>
      </c>
      <c r="Q378" s="107">
        <f t="shared" si="184"/>
        <v>0</v>
      </c>
      <c r="R378" s="107">
        <f t="shared" si="185"/>
        <v>0</v>
      </c>
      <c r="S378" s="110">
        <f t="shared" si="186"/>
        <v>408.27</v>
      </c>
      <c r="T378" s="135">
        <f t="shared" si="187"/>
        <v>0.63307999999999987</v>
      </c>
      <c r="U378" s="135" t="str">
        <f t="shared" si="188"/>
        <v/>
      </c>
      <c r="V378" s="135" t="str">
        <f t="shared" si="189"/>
        <v/>
      </c>
      <c r="W378" s="45"/>
      <c r="X378" s="114" t="str">
        <f>IFERROR((VLOOKUP($A378,'ИЗ ГУГЛА'!$B:$G,X$1,0)+Z378)*Y378,VLOOKUP($A378,'ИЗ ГУГЛА'!$B:$G,X$1,0))</f>
        <v/>
      </c>
      <c r="Y378" s="108">
        <v>1</v>
      </c>
      <c r="Z378" s="46"/>
      <c r="AA378" s="143" t="s">
        <v>1821</v>
      </c>
      <c r="AB378" s="124"/>
      <c r="AC378" s="114" t="str">
        <f>IFERROR((VLOOKUP($A378,'ИЗ ГУГЛА'!$B:$Z,AC$1,0)+AE378)*AD378,VLOOKUP($A378,'ИЗ ГУГЛА'!$B:$Z,AC$1,0))</f>
        <v/>
      </c>
      <c r="AD378" s="108">
        <v>1</v>
      </c>
      <c r="AE378" s="46"/>
      <c r="AF378" s="115"/>
    </row>
    <row r="379" spans="1:32" s="5" customFormat="1" ht="30" x14ac:dyDescent="0.25">
      <c r="A379" s="132">
        <v>225423</v>
      </c>
      <c r="B379" s="132">
        <f>VLOOKUP($A379,'Выгр Кат'!$A:$S,B$1,0)</f>
        <v>20305</v>
      </c>
      <c r="C379" s="133" t="str">
        <f>VLOOKUP($A379,'Выгр Кат'!$A:$S,C$1,0)</f>
        <v>Шарнир рычага задний в сборе "БРТ" для Лада Веста</v>
      </c>
      <c r="D379" s="132" t="str">
        <f>VLOOKUP($A379,'Выгр Кат'!$A:$S,D$1,0)</f>
        <v>Y</v>
      </c>
      <c r="E379" s="132" t="str">
        <f>VLOOKUP($A379,'Выгр Кат'!$A:$S,E$1,0)</f>
        <v>1</v>
      </c>
      <c r="F379" s="132" t="str">
        <f>VLOOKUP($A379,'Выгр Кат'!$A:$S,F$1,0)</f>
        <v>2180-2904044Р.</v>
      </c>
      <c r="G379" s="43" t="s">
        <v>1455</v>
      </c>
      <c r="H379" s="29"/>
      <c r="I379" s="4" t="s">
        <v>2</v>
      </c>
      <c r="J379" s="95">
        <v>1</v>
      </c>
      <c r="K379" s="168">
        <f t="shared" si="190"/>
        <v>267</v>
      </c>
      <c r="L379" s="167">
        <f>VLOOKUP(K379,Наценка!$A$1:$B$8,2,1)</f>
        <v>1.7204301075268817</v>
      </c>
      <c r="M379" s="172">
        <f t="shared" si="191"/>
        <v>459.35483870967744</v>
      </c>
      <c r="N379" s="173">
        <f t="shared" si="183"/>
        <v>459</v>
      </c>
      <c r="O379" s="134">
        <f>VLOOKUP($A379,'Выгр Кат'!$A:$S,O$1,0)</f>
        <v>267</v>
      </c>
      <c r="P379" s="134">
        <f>VLOOKUP($A379,'Выгр Кат'!$A:$S,P$1,0)</f>
        <v>459</v>
      </c>
      <c r="Q379" s="107">
        <f t="shared" si="184"/>
        <v>0</v>
      </c>
      <c r="R379" s="107">
        <f t="shared" si="185"/>
        <v>0</v>
      </c>
      <c r="S379" s="110">
        <f t="shared" si="186"/>
        <v>426.86999999999995</v>
      </c>
      <c r="T379" s="135">
        <f t="shared" si="187"/>
        <v>0.59876404494382007</v>
      </c>
      <c r="U379" s="135" t="str">
        <f t="shared" si="188"/>
        <v/>
      </c>
      <c r="V379" s="135" t="str">
        <f t="shared" si="189"/>
        <v/>
      </c>
      <c r="W379" s="45"/>
      <c r="X379" s="114" t="str">
        <f>IFERROR((VLOOKUP($A379,'ИЗ ГУГЛА'!$B:$G,X$1,0)+Z379)*Y379,VLOOKUP($A379,'ИЗ ГУГЛА'!$B:$G,X$1,0))</f>
        <v/>
      </c>
      <c r="Y379" s="108">
        <v>1</v>
      </c>
      <c r="Z379" s="46"/>
      <c r="AA379" s="139" t="s">
        <v>1821</v>
      </c>
      <c r="AB379" s="124"/>
      <c r="AC379" s="114" t="str">
        <f>IFERROR((VLOOKUP($A379,'ИЗ ГУГЛА'!$B:$Z,AC$1,0)+AE379)*AD379,VLOOKUP($A379,'ИЗ ГУГЛА'!$B:$Z,AC$1,0))</f>
        <v/>
      </c>
      <c r="AD379" s="108">
        <v>1</v>
      </c>
      <c r="AE379" s="46"/>
      <c r="AF379" s="115"/>
    </row>
    <row r="380" spans="1:32" s="5" customFormat="1" ht="45.75" thickBot="1" x14ac:dyDescent="0.3">
      <c r="A380" s="132">
        <v>223217</v>
      </c>
      <c r="B380" s="132">
        <f>VLOOKUP($A380,'Выгр Кат'!$A:$S,B$1,0)</f>
        <v>20469</v>
      </c>
      <c r="C380" s="133" t="str">
        <f>VLOOKUP($A380,'Выгр Кат'!$A:$S,C$1,0)</f>
        <v>Уплотнитель "БРТ" крышки багажника для ВАЗ (2101-2107, 2108-21099, 2113-2115), Лада Нива 4х4</v>
      </c>
      <c r="D380" s="132" t="str">
        <f>VLOOKUP($A380,'Выгр Кат'!$A:$S,D$1,0)</f>
        <v>Y</v>
      </c>
      <c r="E380" s="132" t="str">
        <f>VLOOKUP($A380,'Выгр Кат'!$A:$S,E$1,0)</f>
        <v>1ск6</v>
      </c>
      <c r="F380" s="132" t="str">
        <f>VLOOKUP($A380,'Выгр Кат'!$A:$S,F$1,0)</f>
        <v>2108-6307024Р</v>
      </c>
      <c r="G380" s="45" t="s">
        <v>362</v>
      </c>
      <c r="H380" s="29"/>
      <c r="I380" s="4" t="s">
        <v>2</v>
      </c>
      <c r="J380" s="95">
        <v>1</v>
      </c>
      <c r="K380" s="168">
        <f t="shared" si="190"/>
        <v>444</v>
      </c>
      <c r="L380" s="167">
        <f>VLOOKUP(K380,Наценка!$A$1:$B$8,2,1)</f>
        <v>1.5053763440860215</v>
      </c>
      <c r="M380" s="148">
        <f>W380*1.06</f>
        <v>837.40000000000009</v>
      </c>
      <c r="N380" s="173">
        <f t="shared" si="183"/>
        <v>839</v>
      </c>
      <c r="O380" s="134">
        <f>VLOOKUP($A380,'Выгр Кат'!$A:$S,O$1,0)</f>
        <v>444</v>
      </c>
      <c r="P380" s="134">
        <f>VLOOKUP($A380,'Выгр Кат'!$A:$S,P$1,0)</f>
        <v>679</v>
      </c>
      <c r="Q380" s="107">
        <f t="shared" si="184"/>
        <v>0</v>
      </c>
      <c r="R380" s="107">
        <f t="shared" si="185"/>
        <v>-160</v>
      </c>
      <c r="S380" s="110">
        <f t="shared" si="186"/>
        <v>780.27</v>
      </c>
      <c r="T380" s="135">
        <f t="shared" si="187"/>
        <v>0.75736486486486476</v>
      </c>
      <c r="U380" s="135">
        <f t="shared" si="188"/>
        <v>1.2316455696202554E-2</v>
      </c>
      <c r="V380" s="135">
        <f t="shared" si="189"/>
        <v>0.77927927927927931</v>
      </c>
      <c r="W380" s="117">
        <f>AA380</f>
        <v>790</v>
      </c>
      <c r="X380" s="114">
        <f>IFERROR((VLOOKUP($A380,'ИЗ ГУГЛА'!$B:$G,X$1,0)+Z380)*Y380,VLOOKUP($A380,'ИЗ ГУГЛА'!$B:$G,X$1,0))</f>
        <v>790</v>
      </c>
      <c r="Y380" s="46">
        <v>1</v>
      </c>
      <c r="Z380" s="46"/>
      <c r="AA380" s="138">
        <v>790</v>
      </c>
      <c r="AB380" s="124" t="s">
        <v>2289</v>
      </c>
      <c r="AC380" s="114" t="str">
        <f>IFERROR((VLOOKUP($A380,'ИЗ ГУГЛА'!$B:$Z,AC$1,0)+AE380)*AD380,VLOOKUP($A380,'ИЗ ГУГЛА'!$B:$Z,AC$1,0))</f>
        <v/>
      </c>
      <c r="AD380" s="46">
        <v>1</v>
      </c>
      <c r="AE380" s="46"/>
      <c r="AF380" s="115"/>
    </row>
    <row r="381" spans="1:32" s="5" customFormat="1" ht="30.75" thickTop="1" x14ac:dyDescent="0.25">
      <c r="A381" s="132">
        <v>194570</v>
      </c>
      <c r="B381" s="132">
        <f>VLOOKUP($A381,'Выгр Кат'!$A:$S,B$1,0)</f>
        <v>35410</v>
      </c>
      <c r="C381" s="133" t="str">
        <f>VLOOKUP($A381,'Выгр Кат'!$A:$S,C$1,0)</f>
        <v>Подушка "БРТ" передней опоры двигателя (голая) для ВАЗ 2101-2107</v>
      </c>
      <c r="D381" s="132" t="str">
        <f>VLOOKUP($A381,'Выгр Кат'!$A:$S,D$1,0)</f>
        <v>Y</v>
      </c>
      <c r="E381" s="132" t="str">
        <f>VLOOKUP($A381,'Выгр Кат'!$A:$S,E$1,0)</f>
        <v>1</v>
      </c>
      <c r="F381" s="132" t="str">
        <f>VLOOKUP($A381,'Выгр Кат'!$A:$S,F$1,0)</f>
        <v>2101-1001020</v>
      </c>
      <c r="G381" s="44" t="s">
        <v>234</v>
      </c>
      <c r="H381" s="29"/>
      <c r="I381" s="4" t="s">
        <v>2</v>
      </c>
      <c r="J381" s="95">
        <v>1</v>
      </c>
      <c r="K381" s="168">
        <f t="shared" si="190"/>
        <v>286</v>
      </c>
      <c r="L381" s="167">
        <f>VLOOKUP(K381,Наценка!$A$1:$B$8,2,1)</f>
        <v>1.7204301075268817</v>
      </c>
      <c r="M381" s="172">
        <f t="shared" si="191"/>
        <v>492.04301075268819</v>
      </c>
      <c r="N381" s="173">
        <f t="shared" si="183"/>
        <v>499</v>
      </c>
      <c r="O381" s="134">
        <f>VLOOKUP($A381,'Выгр Кат'!$A:$S,O$1,0)</f>
        <v>286</v>
      </c>
      <c r="P381" s="134">
        <f>VLOOKUP($A381,'Выгр Кат'!$A:$S,P$1,0)</f>
        <v>499</v>
      </c>
      <c r="Q381" s="107">
        <f t="shared" si="184"/>
        <v>0</v>
      </c>
      <c r="R381" s="107">
        <f t="shared" si="185"/>
        <v>0</v>
      </c>
      <c r="S381" s="110">
        <f t="shared" si="186"/>
        <v>464.07</v>
      </c>
      <c r="T381" s="135">
        <f t="shared" si="187"/>
        <v>0.6226223776223776</v>
      </c>
      <c r="U381" s="135" t="str">
        <f t="shared" si="188"/>
        <v/>
      </c>
      <c r="V381" s="135" t="str">
        <f t="shared" si="189"/>
        <v/>
      </c>
      <c r="W381" s="45"/>
      <c r="X381" s="114" t="str">
        <f>IFERROR((VLOOKUP($A381,'ИЗ ГУГЛА'!$B:$G,X$1,0)+Z381)*Y381,VLOOKUP($A381,'ИЗ ГУГЛА'!$B:$G,X$1,0))</f>
        <v/>
      </c>
      <c r="Y381" s="108">
        <v>1</v>
      </c>
      <c r="Z381" s="46"/>
      <c r="AA381" s="139" t="s">
        <v>1821</v>
      </c>
      <c r="AB381" s="124"/>
      <c r="AC381" s="114" t="str">
        <f>IFERROR((VLOOKUP($A381,'ИЗ ГУГЛА'!$B:$Z,AC$1,0)+AE381)*AD381,VLOOKUP($A381,'ИЗ ГУГЛА'!$B:$Z,AC$1,0))</f>
        <v/>
      </c>
      <c r="AD381" s="108">
        <v>1</v>
      </c>
      <c r="AE381" s="46"/>
      <c r="AF381" s="115"/>
    </row>
    <row r="382" spans="1:32" s="5" customFormat="1" ht="45.75" thickBot="1" x14ac:dyDescent="0.3">
      <c r="A382" s="132">
        <v>223269</v>
      </c>
      <c r="B382" s="132">
        <f>VLOOKUP($A382,'Выгр Кат'!$A:$S,B$1,0)</f>
        <v>12387</v>
      </c>
      <c r="C382" s="133" t="str">
        <f>VLOOKUP($A382,'Выгр Кат'!$A:$S,C$1,0)</f>
        <v>Уплотнитель локеров и подкрылков для Лада (Калина 2, Гранта), Датсун (mi-DO, on-DO)</v>
      </c>
      <c r="D382" s="132" t="str">
        <f>VLOOKUP($A382,'Выгр Кат'!$A:$S,D$1,0)</f>
        <v>Y</v>
      </c>
      <c r="E382" s="132" t="str">
        <f>VLOOKUP($A382,'Выгр Кат'!$A:$S,E$1,0)</f>
        <v>1</v>
      </c>
      <c r="F382" s="132">
        <f>VLOOKUP($A382,'Выгр Кат'!$A:$S,F$1,0)</f>
        <v>0</v>
      </c>
      <c r="G382" s="45" t="s">
        <v>1821</v>
      </c>
      <c r="H382" s="29" t="s">
        <v>1821</v>
      </c>
      <c r="I382" s="4" t="s">
        <v>2</v>
      </c>
      <c r="J382" s="95">
        <v>1</v>
      </c>
      <c r="K382" s="168">
        <f t="shared" si="190"/>
        <v>200</v>
      </c>
      <c r="L382" s="167">
        <f>VLOOKUP(K382,Наценка!$A$1:$B$8,2,1)</f>
        <v>1.7204301075268817</v>
      </c>
      <c r="M382" s="148">
        <f t="shared" ref="M382:M386" si="212">W382*1.06</f>
        <v>475.94</v>
      </c>
      <c r="N382" s="173">
        <f t="shared" si="183"/>
        <v>479</v>
      </c>
      <c r="O382" s="134">
        <f>VLOOKUP($A382,'Выгр Кат'!$A:$S,O$1,0)</f>
        <v>200</v>
      </c>
      <c r="P382" s="134">
        <f>VLOOKUP($A382,'Выгр Кат'!$A:$S,P$1,0)</f>
        <v>469</v>
      </c>
      <c r="Q382" s="107">
        <f t="shared" si="184"/>
        <v>0</v>
      </c>
      <c r="R382" s="107">
        <f t="shared" si="185"/>
        <v>-10</v>
      </c>
      <c r="S382" s="110">
        <f t="shared" si="186"/>
        <v>445.46999999999997</v>
      </c>
      <c r="T382" s="135">
        <f t="shared" si="187"/>
        <v>1.2273499999999999</v>
      </c>
      <c r="U382" s="135">
        <f t="shared" si="188"/>
        <v>7.861915367483362E-3</v>
      </c>
      <c r="V382" s="135">
        <f t="shared" si="189"/>
        <v>1.2450000000000001</v>
      </c>
      <c r="W382" s="117">
        <f t="shared" ref="W382:W386" si="213">AA382</f>
        <v>449</v>
      </c>
      <c r="X382" s="114">
        <f>IFERROR((VLOOKUP($A382,'ИЗ ГУГЛА'!$B:$G,X$1,0)+Z382)*Y382,VLOOKUP($A382,'ИЗ ГУГЛА'!$B:$G,X$1,0))</f>
        <v>449</v>
      </c>
      <c r="Y382" s="46">
        <v>1</v>
      </c>
      <c r="Z382" s="46"/>
      <c r="AA382" s="138">
        <v>449</v>
      </c>
      <c r="AB382" s="124" t="s">
        <v>2300</v>
      </c>
      <c r="AC382" s="114" t="str">
        <f>IFERROR((VLOOKUP($A382,'ИЗ ГУГЛА'!$B:$Z,AC$1,0)+AE382)*AD382,VLOOKUP($A382,'ИЗ ГУГЛА'!$B:$Z,AC$1,0))</f>
        <v/>
      </c>
      <c r="AD382" s="46">
        <v>1</v>
      </c>
      <c r="AE382" s="46"/>
      <c r="AF382" s="115"/>
    </row>
    <row r="383" spans="1:32" s="5" customFormat="1" ht="46.5" thickTop="1" thickBot="1" x14ac:dyDescent="0.3">
      <c r="A383" s="132">
        <v>223234</v>
      </c>
      <c r="B383" s="132">
        <f>VLOOKUP($A383,'Выгр Кат'!$A:$S,B$1,0)</f>
        <v>20471</v>
      </c>
      <c r="C383" s="133" t="str">
        <f>VLOOKUP($A383,'Выгр Кат'!$A:$S,C$1,0)</f>
        <v>Уплотнитель "БРТ" проёма задней двери 3-х камерный для ВАЗ 2109, 21099, 2114, 2115</v>
      </c>
      <c r="D383" s="132" t="str">
        <f>VLOOKUP($A383,'Выгр Кат'!$A:$S,D$1,0)</f>
        <v>Y</v>
      </c>
      <c r="E383" s="132" t="str">
        <f>VLOOKUP($A383,'Выгр Кат'!$A:$S,E$1,0)</f>
        <v>1</v>
      </c>
      <c r="F383" s="132" t="str">
        <f>VLOOKUP($A383,'Выгр Кат'!$A:$S,F$1,0)</f>
        <v>2109-6207018Р</v>
      </c>
      <c r="G383" s="98" t="s">
        <v>379</v>
      </c>
      <c r="H383" s="29"/>
      <c r="I383" s="4" t="s">
        <v>2</v>
      </c>
      <c r="J383" s="95">
        <v>1</v>
      </c>
      <c r="K383" s="168">
        <f t="shared" si="190"/>
        <v>350</v>
      </c>
      <c r="L383" s="167">
        <f>VLOOKUP(K383,Наценка!$A$1:$B$8,2,1)</f>
        <v>1.5053763440860215</v>
      </c>
      <c r="M383" s="145">
        <f t="shared" ref="M383:M384" si="214">W383*1</f>
        <v>1090</v>
      </c>
      <c r="N383" s="173">
        <f t="shared" si="183"/>
        <v>1090</v>
      </c>
      <c r="O383" s="134">
        <f>VLOOKUP($A383,'Выгр Кат'!$A:$S,O$1,0)</f>
        <v>350</v>
      </c>
      <c r="P383" s="134">
        <f>VLOOKUP($A383,'Выгр Кат'!$A:$S,P$1,0)</f>
        <v>1090</v>
      </c>
      <c r="Q383" s="107">
        <f t="shared" si="184"/>
        <v>0</v>
      </c>
      <c r="R383" s="107">
        <f t="shared" si="185"/>
        <v>0</v>
      </c>
      <c r="S383" s="110">
        <f t="shared" si="186"/>
        <v>1013.6999999999999</v>
      </c>
      <c r="T383" s="135">
        <f t="shared" si="187"/>
        <v>1.8962857142857139</v>
      </c>
      <c r="U383" s="135">
        <f t="shared" si="188"/>
        <v>7.0000000000000062E-2</v>
      </c>
      <c r="V383" s="135">
        <f t="shared" si="189"/>
        <v>2.1142857142857143</v>
      </c>
      <c r="W383" s="117">
        <f t="shared" si="213"/>
        <v>1090</v>
      </c>
      <c r="X383" s="114">
        <f>IFERROR((VLOOKUP($A383,'ИЗ ГУГЛА'!$B:$G,X$1,0)+Z383)*Y383,VLOOKUP($A383,'ИЗ ГУГЛА'!$B:$G,X$1,0))</f>
        <v>1090</v>
      </c>
      <c r="Y383" s="46">
        <v>1</v>
      </c>
      <c r="Z383" s="46"/>
      <c r="AA383" s="138">
        <v>1090</v>
      </c>
      <c r="AB383" s="124" t="s">
        <v>2286</v>
      </c>
      <c r="AC383" s="114" t="str">
        <f>IFERROR((VLOOKUP($A383,'ИЗ ГУГЛА'!$B:$Z,AC$1,0)+AE383)*AD383,VLOOKUP($A383,'ИЗ ГУГЛА'!$B:$Z,AC$1,0))</f>
        <v/>
      </c>
      <c r="AD383" s="46">
        <v>1</v>
      </c>
      <c r="AE383" s="46"/>
      <c r="AF383" s="115"/>
    </row>
    <row r="384" spans="1:32" s="5" customFormat="1" ht="46.5" thickTop="1" thickBot="1" x14ac:dyDescent="0.3">
      <c r="A384" s="132">
        <v>223237</v>
      </c>
      <c r="B384" s="132">
        <f>VLOOKUP($A384,'Выгр Кат'!$A:$S,B$1,0)</f>
        <v>20470</v>
      </c>
      <c r="C384" s="133" t="str">
        <f>VLOOKUP($A384,'Выгр Кат'!$A:$S,C$1,0)</f>
        <v>Уплотнитель "БРТ" проёма передней двери 3-х камерный для ВАЗ 2109, 21099, 2114, 2115</v>
      </c>
      <c r="D384" s="132" t="str">
        <f>VLOOKUP($A384,'Выгр Кат'!$A:$S,D$1,0)</f>
        <v>Y</v>
      </c>
      <c r="E384" s="132" t="str">
        <f>VLOOKUP($A384,'Выгр Кат'!$A:$S,E$1,0)</f>
        <v>1</v>
      </c>
      <c r="F384" s="132" t="str">
        <f>VLOOKUP($A384,'Выгр Кат'!$A:$S,F$1,0)</f>
        <v>2109-6107018Р</v>
      </c>
      <c r="G384" s="45" t="s">
        <v>379</v>
      </c>
      <c r="H384" s="29"/>
      <c r="I384" s="4" t="s">
        <v>2</v>
      </c>
      <c r="J384" s="95">
        <v>1</v>
      </c>
      <c r="K384" s="168">
        <f t="shared" si="190"/>
        <v>321</v>
      </c>
      <c r="L384" s="167">
        <f>VLOOKUP(K384,Наценка!$A$1:$B$8,2,1)</f>
        <v>1.5053763440860215</v>
      </c>
      <c r="M384" s="145">
        <f t="shared" si="214"/>
        <v>1090</v>
      </c>
      <c r="N384" s="173">
        <f t="shared" si="183"/>
        <v>1090</v>
      </c>
      <c r="O384" s="134">
        <f>VLOOKUP($A384,'Выгр Кат'!$A:$S,O$1,0)</f>
        <v>321</v>
      </c>
      <c r="P384" s="134">
        <f>VLOOKUP($A384,'Выгр Кат'!$A:$S,P$1,0)</f>
        <v>1090</v>
      </c>
      <c r="Q384" s="107">
        <f t="shared" si="184"/>
        <v>0</v>
      </c>
      <c r="R384" s="107">
        <f t="shared" si="185"/>
        <v>0</v>
      </c>
      <c r="S384" s="110">
        <f t="shared" si="186"/>
        <v>1013.6999999999999</v>
      </c>
      <c r="T384" s="135">
        <f t="shared" si="187"/>
        <v>2.1579439252336448</v>
      </c>
      <c r="U384" s="135">
        <f t="shared" si="188"/>
        <v>7.0000000000000062E-2</v>
      </c>
      <c r="V384" s="135">
        <f t="shared" si="189"/>
        <v>2.3956386292834893</v>
      </c>
      <c r="W384" s="117">
        <f t="shared" si="213"/>
        <v>1090</v>
      </c>
      <c r="X384" s="114">
        <f>IFERROR((VLOOKUP($A384,'ИЗ ГУГЛА'!$B:$G,X$1,0)+Z384)*Y384,VLOOKUP($A384,'ИЗ ГУГЛА'!$B:$G,X$1,0))</f>
        <v>1090</v>
      </c>
      <c r="Y384" s="46">
        <v>1</v>
      </c>
      <c r="Z384" s="46"/>
      <c r="AA384" s="138">
        <v>1090</v>
      </c>
      <c r="AB384" s="124" t="s">
        <v>2286</v>
      </c>
      <c r="AC384" s="114" t="str">
        <f>IFERROR((VLOOKUP($A384,'ИЗ ГУГЛА'!$B:$Z,AC$1,0)+AE384)*AD384,VLOOKUP($A384,'ИЗ ГУГЛА'!$B:$Z,AC$1,0))</f>
        <v/>
      </c>
      <c r="AD384" s="46">
        <v>1</v>
      </c>
      <c r="AE384" s="46"/>
      <c r="AF384" s="115"/>
    </row>
    <row r="385" spans="1:32" s="5" customFormat="1" ht="31.5" thickTop="1" thickBot="1" x14ac:dyDescent="0.3">
      <c r="A385" s="132">
        <v>186672</v>
      </c>
      <c r="B385" s="132">
        <f>VLOOKUP($A385,'Выгр Кат'!$A:$S,B$1,0)</f>
        <v>20488</v>
      </c>
      <c r="C385" s="133" t="str">
        <f>VLOOKUP($A385,'Выгр Кат'!$A:$S,C$1,0)</f>
        <v>Патрубок отводящий радиатора "БРТ" для Лада Веста</v>
      </c>
      <c r="D385" s="132" t="str">
        <f>VLOOKUP($A385,'Выгр Кат'!$A:$S,D$1,0)</f>
        <v>Y</v>
      </c>
      <c r="E385" s="132" t="str">
        <f>VLOOKUP($A385,'Выгр Кат'!$A:$S,E$1,0)</f>
        <v>1</v>
      </c>
      <c r="F385" s="132" t="str">
        <f>VLOOKUP($A385,'Выгр Кат'!$A:$S,F$1,0)</f>
        <v>2180-1303010Р</v>
      </c>
      <c r="G385" s="45" t="s">
        <v>556</v>
      </c>
      <c r="H385" s="29"/>
      <c r="I385" s="4" t="s">
        <v>2</v>
      </c>
      <c r="J385" s="95">
        <v>1</v>
      </c>
      <c r="K385" s="168">
        <f t="shared" si="190"/>
        <v>345</v>
      </c>
      <c r="L385" s="167">
        <f>VLOOKUP(K385,Наценка!$A$1:$B$8,2,1)</f>
        <v>1.5053763440860215</v>
      </c>
      <c r="M385" s="148">
        <f t="shared" si="212"/>
        <v>687.94</v>
      </c>
      <c r="N385" s="173">
        <f t="shared" si="183"/>
        <v>689</v>
      </c>
      <c r="O385" s="134">
        <f>VLOOKUP($A385,'Выгр Кат'!$A:$S,O$1,0)</f>
        <v>345</v>
      </c>
      <c r="P385" s="134">
        <f>VLOOKUP($A385,'Выгр Кат'!$A:$S,P$1,0)</f>
        <v>679</v>
      </c>
      <c r="Q385" s="107">
        <f t="shared" si="184"/>
        <v>0</v>
      </c>
      <c r="R385" s="107">
        <f t="shared" si="185"/>
        <v>-10</v>
      </c>
      <c r="S385" s="110">
        <f t="shared" si="186"/>
        <v>640.77</v>
      </c>
      <c r="T385" s="135">
        <f t="shared" si="187"/>
        <v>0.85730434782608689</v>
      </c>
      <c r="U385" s="135">
        <f t="shared" si="188"/>
        <v>1.2681047765793556E-2</v>
      </c>
      <c r="V385" s="135">
        <f t="shared" si="189"/>
        <v>0.88115942028985517</v>
      </c>
      <c r="W385" s="117">
        <f t="shared" si="213"/>
        <v>649</v>
      </c>
      <c r="X385" s="114">
        <f>IFERROR((VLOOKUP($A385,'ИЗ ГУГЛА'!$B:$G,X$1,0)+Z385)*Y385,VLOOKUP($A385,'ИЗ ГУГЛА'!$B:$G,X$1,0))</f>
        <v>649</v>
      </c>
      <c r="Y385" s="108">
        <v>1</v>
      </c>
      <c r="Z385" s="46"/>
      <c r="AA385" s="136">
        <v>649</v>
      </c>
      <c r="AB385" s="124" t="s">
        <v>2614</v>
      </c>
      <c r="AC385" s="114" t="str">
        <f>IFERROR((VLOOKUP($A385,'ИЗ ГУГЛА'!$B:$Z,AC$1,0)+AE385)*AD385,VLOOKUP($A385,'ИЗ ГУГЛА'!$B:$Z,AC$1,0))</f>
        <v/>
      </c>
      <c r="AD385" s="108">
        <v>1</v>
      </c>
      <c r="AE385" s="46"/>
      <c r="AF385" s="115"/>
    </row>
    <row r="386" spans="1:32" s="5" customFormat="1" ht="31.5" thickTop="1" thickBot="1" x14ac:dyDescent="0.3">
      <c r="A386" s="132">
        <v>225924</v>
      </c>
      <c r="B386" s="132">
        <f>VLOOKUP($A386,'Выгр Кат'!$A:$S,B$1,0)</f>
        <v>35331</v>
      </c>
      <c r="C386" s="133" t="str">
        <f>VLOOKUP($A386,'Выгр Кат'!$A:$S,C$1,0)</f>
        <v>Шланг "БРТ" тормозной передний для ВАЗ 2108 -21099, 2113-2115</v>
      </c>
      <c r="D386" s="132" t="str">
        <f>VLOOKUP($A386,'Выгр Кат'!$A:$S,D$1,0)</f>
        <v>Y</v>
      </c>
      <c r="E386" s="132" t="str">
        <f>VLOOKUP($A386,'Выгр Кат'!$A:$S,E$1,0)</f>
        <v>1</v>
      </c>
      <c r="F386" s="132" t="str">
        <f>VLOOKUP($A386,'Выгр Кат'!$A:$S,F$1,0)</f>
        <v>2108-3506060</v>
      </c>
      <c r="G386" s="44" t="s">
        <v>356</v>
      </c>
      <c r="H386" s="29"/>
      <c r="I386" s="4" t="s">
        <v>2</v>
      </c>
      <c r="J386" s="95">
        <v>1</v>
      </c>
      <c r="K386" s="168">
        <f t="shared" si="190"/>
        <v>312</v>
      </c>
      <c r="L386" s="167">
        <f>VLOOKUP(K386,Наценка!$A$1:$B$8,2,1)</f>
        <v>1.5053763440860215</v>
      </c>
      <c r="M386" s="148">
        <f t="shared" si="212"/>
        <v>625.4</v>
      </c>
      <c r="N386" s="173">
        <f t="shared" si="183"/>
        <v>629</v>
      </c>
      <c r="O386" s="134">
        <f>VLOOKUP($A386,'Выгр Кат'!$A:$S,O$1,0)</f>
        <v>312</v>
      </c>
      <c r="P386" s="134">
        <f>VLOOKUP($A386,'Выгр Кат'!$A:$S,P$1,0)</f>
        <v>619</v>
      </c>
      <c r="Q386" s="107">
        <f t="shared" si="184"/>
        <v>0</v>
      </c>
      <c r="R386" s="107">
        <f t="shared" si="185"/>
        <v>-10</v>
      </c>
      <c r="S386" s="110">
        <f t="shared" si="186"/>
        <v>584.96999999999991</v>
      </c>
      <c r="T386" s="135">
        <f t="shared" si="187"/>
        <v>0.87490384615384587</v>
      </c>
      <c r="U386" s="135">
        <f t="shared" si="188"/>
        <v>8.5254237288137063E-3</v>
      </c>
      <c r="V386" s="135">
        <f t="shared" si="189"/>
        <v>0.89102564102564097</v>
      </c>
      <c r="W386" s="117">
        <f t="shared" si="213"/>
        <v>590</v>
      </c>
      <c r="X386" s="114">
        <f>IFERROR((VLOOKUP($A386,'ИЗ ГУГЛА'!$B:$G,X$1,0)+Z386)*Y386,VLOOKUP($A386,'ИЗ ГУГЛА'!$B:$G,X$1,0))</f>
        <v>590</v>
      </c>
      <c r="Y386" s="46">
        <v>1</v>
      </c>
      <c r="Z386" s="46"/>
      <c r="AA386" s="138">
        <v>590</v>
      </c>
      <c r="AB386" s="124" t="s">
        <v>2354</v>
      </c>
      <c r="AC386" s="114" t="str">
        <f>IFERROR((VLOOKUP($A386,'ИЗ ГУГЛА'!$B:$Z,AC$1,0)+AE386)*AD386,VLOOKUP($A386,'ИЗ ГУГЛА'!$B:$Z,AC$1,0))</f>
        <v/>
      </c>
      <c r="AD386" s="46">
        <v>1</v>
      </c>
      <c r="AE386" s="46"/>
      <c r="AF386" s="115"/>
    </row>
    <row r="387" spans="1:32" s="5" customFormat="1" ht="30.75" thickTop="1" x14ac:dyDescent="0.25">
      <c r="A387" s="132">
        <v>226094</v>
      </c>
      <c r="B387" s="132">
        <f>VLOOKUP($A387,'Выгр Кат'!$A:$S,B$1,0)</f>
        <v>33913</v>
      </c>
      <c r="C387" s="133" t="str">
        <f>VLOOKUP($A387,'Выгр Кат'!$A:$S,C$1,0)</f>
        <v>Шланг тормозной "БРТ" передний для ВАЗ 2101-2107</v>
      </c>
      <c r="D387" s="132" t="str">
        <f>VLOOKUP($A387,'Выгр Кат'!$A:$S,D$1,0)</f>
        <v>Y</v>
      </c>
      <c r="E387" s="132" t="str">
        <f>VLOOKUP($A387,'Выгр Кат'!$A:$S,E$1,0)</f>
        <v>1</v>
      </c>
      <c r="F387" s="132" t="str">
        <f>VLOOKUP($A387,'Выгр Кат'!$A:$S,F$1,0)</f>
        <v>2101350606001</v>
      </c>
      <c r="G387" s="34" t="s">
        <v>276</v>
      </c>
      <c r="H387" s="29"/>
      <c r="I387" s="4" t="s">
        <v>2</v>
      </c>
      <c r="J387" s="95">
        <v>1</v>
      </c>
      <c r="K387" s="168">
        <f t="shared" si="190"/>
        <v>305</v>
      </c>
      <c r="L387" s="167">
        <f>VLOOKUP(K387,Наценка!$A$1:$B$8,2,1)</f>
        <v>1.5053763440860215</v>
      </c>
      <c r="M387" s="172">
        <f t="shared" si="191"/>
        <v>459.13978494623655</v>
      </c>
      <c r="N387" s="173">
        <f t="shared" ref="N387:N450" si="215">IF(M387&lt;=1000,(ROUNDUP(M387,-1)-1),(ROUNDUP(M387,-2)-10))</f>
        <v>459</v>
      </c>
      <c r="O387" s="134">
        <f>VLOOKUP($A387,'Выгр Кат'!$A:$S,O$1,0)</f>
        <v>305</v>
      </c>
      <c r="P387" s="134">
        <f>VLOOKUP($A387,'Выгр Кат'!$A:$S,P$1,0)</f>
        <v>459</v>
      </c>
      <c r="Q387" s="107">
        <f t="shared" ref="Q387:Q450" si="216">O387-K387</f>
        <v>0</v>
      </c>
      <c r="R387" s="107">
        <f t="shared" ref="R387:R450" si="217">P387-N387</f>
        <v>0</v>
      </c>
      <c r="S387" s="110">
        <f t="shared" ref="S387:S450" si="218">IFERROR(N387*(1-$S$2),"")</f>
        <v>426.86999999999995</v>
      </c>
      <c r="T387" s="135">
        <f t="shared" ref="T387:T450" si="219">IFERROR(S387/K387-1,"")</f>
        <v>0.3995737704918032</v>
      </c>
      <c r="U387" s="135" t="str">
        <f t="shared" ref="U387:U450" si="220">IFERROR((W387-S387)/W387,"")</f>
        <v/>
      </c>
      <c r="V387" s="135" t="str">
        <f t="shared" ref="V387:V450" si="221">IFERROR(IF(W387="","",W387/K387-1),"")</f>
        <v/>
      </c>
      <c r="W387" s="45"/>
      <c r="X387" s="114" t="str">
        <f>IFERROR((VLOOKUP($A387,'ИЗ ГУГЛА'!$B:$G,X$1,0)+Z387)*Y387,VLOOKUP($A387,'ИЗ ГУГЛА'!$B:$G,X$1,0))</f>
        <v/>
      </c>
      <c r="Y387" s="108">
        <v>1</v>
      </c>
      <c r="Z387" s="46"/>
      <c r="AA387" s="139" t="s">
        <v>2494</v>
      </c>
      <c r="AB387" s="124"/>
      <c r="AC387" s="114" t="str">
        <f>IFERROR((VLOOKUP($A387,'ИЗ ГУГЛА'!$B:$Z,AC$1,0)+AE387)*AD387,VLOOKUP($A387,'ИЗ ГУГЛА'!$B:$Z,AC$1,0))</f>
        <v/>
      </c>
      <c r="AD387" s="108">
        <v>1</v>
      </c>
      <c r="AE387" s="46"/>
      <c r="AF387" s="115"/>
    </row>
    <row r="388" spans="1:32" s="5" customFormat="1" ht="30.75" thickBot="1" x14ac:dyDescent="0.3">
      <c r="A388" s="132">
        <v>225927</v>
      </c>
      <c r="B388" s="132">
        <f>VLOOKUP($A388,'Выгр Кат'!$A:$S,B$1,0)</f>
        <v>35334</v>
      </c>
      <c r="C388" s="133" t="str">
        <f>VLOOKUP($A388,'Выгр Кат'!$A:$S,C$1,0)</f>
        <v>Шланг "БРТ" тормозной передний, нижний для Лада Нива 4х4</v>
      </c>
      <c r="D388" s="132" t="str">
        <f>VLOOKUP($A388,'Выгр Кат'!$A:$S,D$1,0)</f>
        <v>Y</v>
      </c>
      <c r="E388" s="132" t="str">
        <f>VLOOKUP($A388,'Выгр Кат'!$A:$S,E$1,0)</f>
        <v>1</v>
      </c>
      <c r="F388" s="132" t="str">
        <f>VLOOKUP($A388,'Выгр Кат'!$A:$S,F$1,0)</f>
        <v>2121-3506061-10</v>
      </c>
      <c r="G388" s="44" t="s">
        <v>452</v>
      </c>
      <c r="H388" s="29"/>
      <c r="I388" s="4" t="s">
        <v>2</v>
      </c>
      <c r="J388" s="95">
        <v>1</v>
      </c>
      <c r="K388" s="168">
        <f t="shared" ref="K388:K451" si="222">O388</f>
        <v>317</v>
      </c>
      <c r="L388" s="167">
        <f>VLOOKUP(K388,Наценка!$A$1:$B$8,2,1)</f>
        <v>1.5053763440860215</v>
      </c>
      <c r="M388" s="148">
        <f t="shared" ref="M388:M393" si="223">W388*1.06</f>
        <v>625.4</v>
      </c>
      <c r="N388" s="173">
        <f t="shared" si="215"/>
        <v>629</v>
      </c>
      <c r="O388" s="134">
        <f>VLOOKUP($A388,'Выгр Кат'!$A:$S,O$1,0)</f>
        <v>317</v>
      </c>
      <c r="P388" s="134">
        <f>VLOOKUP($A388,'Выгр Кат'!$A:$S,P$1,0)</f>
        <v>619</v>
      </c>
      <c r="Q388" s="107">
        <f t="shared" si="216"/>
        <v>0</v>
      </c>
      <c r="R388" s="107">
        <f t="shared" si="217"/>
        <v>-10</v>
      </c>
      <c r="S388" s="110">
        <f t="shared" si="218"/>
        <v>584.96999999999991</v>
      </c>
      <c r="T388" s="135">
        <f t="shared" si="219"/>
        <v>0.84533123028391133</v>
      </c>
      <c r="U388" s="135">
        <f t="shared" si="220"/>
        <v>8.5254237288137063E-3</v>
      </c>
      <c r="V388" s="135">
        <f t="shared" si="221"/>
        <v>0.86119873817034698</v>
      </c>
      <c r="W388" s="117">
        <f t="shared" ref="W388:W393" si="224">AA388</f>
        <v>590</v>
      </c>
      <c r="X388" s="114">
        <f>IFERROR((VLOOKUP($A388,'ИЗ ГУГЛА'!$B:$G,X$1,0)+Z388)*Y388,VLOOKUP($A388,'ИЗ ГУГЛА'!$B:$G,X$1,0))</f>
        <v>590</v>
      </c>
      <c r="Y388" s="46">
        <v>1</v>
      </c>
      <c r="Z388" s="46"/>
      <c r="AA388" s="138">
        <v>590</v>
      </c>
      <c r="AB388" s="124" t="s">
        <v>2359</v>
      </c>
      <c r="AC388" s="114" t="str">
        <f>IFERROR((VLOOKUP($A388,'ИЗ ГУГЛА'!$B:$Z,AC$1,0)+AE388)*AD388,VLOOKUP($A388,'ИЗ ГУГЛА'!$B:$Z,AC$1,0))</f>
        <v/>
      </c>
      <c r="AD388" s="46">
        <v>1</v>
      </c>
      <c r="AE388" s="46"/>
      <c r="AF388" s="115"/>
    </row>
    <row r="389" spans="1:32" s="5" customFormat="1" ht="31.5" thickTop="1" thickBot="1" x14ac:dyDescent="0.3">
      <c r="A389" s="132">
        <v>167286</v>
      </c>
      <c r="B389" s="132">
        <f>VLOOKUP($A389,'Выгр Кат'!$A:$S,B$1,0)</f>
        <v>21284</v>
      </c>
      <c r="C389" s="133" t="str">
        <f>VLOOKUP($A389,'Выгр Кат'!$A:$S,C$1,0)</f>
        <v>Накладка переднего бампера "БРТ" (средняя) для ВАЗ 2105</v>
      </c>
      <c r="D389" s="132" t="str">
        <f>VLOOKUP($A389,'Выгр Кат'!$A:$S,D$1,0)</f>
        <v>Y</v>
      </c>
      <c r="E389" s="132" t="str">
        <f>VLOOKUP($A389,'Выгр Кат'!$A:$S,E$1,0)</f>
        <v>0</v>
      </c>
      <c r="F389" s="132" t="str">
        <f>VLOOKUP($A389,'Выгр Кат'!$A:$S,F$1,0)</f>
        <v>21050-2803052-02</v>
      </c>
      <c r="G389" s="45" t="s">
        <v>1821</v>
      </c>
      <c r="H389" s="29" t="s">
        <v>1821</v>
      </c>
      <c r="I389" s="4" t="s">
        <v>2</v>
      </c>
      <c r="J389" s="95">
        <v>1</v>
      </c>
      <c r="K389" s="168">
        <f t="shared" si="222"/>
        <v>271</v>
      </c>
      <c r="L389" s="167">
        <f>VLOOKUP(K389,Наценка!$A$1:$B$8,2,1)</f>
        <v>1.7204301075268817</v>
      </c>
      <c r="M389" s="148">
        <f>W389*1.05</f>
        <v>555.45000000000005</v>
      </c>
      <c r="N389" s="173">
        <f t="shared" si="215"/>
        <v>559</v>
      </c>
      <c r="O389" s="134">
        <f>VLOOKUP($A389,'Выгр Кат'!$A:$S,O$1,0)</f>
        <v>271</v>
      </c>
      <c r="P389" s="134">
        <f>VLOOKUP($A389,'Выгр Кат'!$A:$S,P$1,0)</f>
        <v>559</v>
      </c>
      <c r="Q389" s="107">
        <f t="shared" si="216"/>
        <v>0</v>
      </c>
      <c r="R389" s="107">
        <f t="shared" si="217"/>
        <v>0</v>
      </c>
      <c r="S389" s="110">
        <f t="shared" si="218"/>
        <v>519.87</v>
      </c>
      <c r="T389" s="135">
        <f t="shared" si="219"/>
        <v>0.91833948339483396</v>
      </c>
      <c r="U389" s="135">
        <f t="shared" si="220"/>
        <v>1.725897920604914E-2</v>
      </c>
      <c r="V389" s="135">
        <f t="shared" si="221"/>
        <v>0.95202952029520294</v>
      </c>
      <c r="W389" s="117">
        <f t="shared" si="224"/>
        <v>529</v>
      </c>
      <c r="X389" s="114">
        <f>IFERROR((VLOOKUP($A389,'ИЗ ГУГЛА'!$B:$G,X$1,0)+Z389)*Y389,VLOOKUP($A389,'ИЗ ГУГЛА'!$B:$G,X$1,0))</f>
        <v>529</v>
      </c>
      <c r="Y389" s="108">
        <v>1</v>
      </c>
      <c r="Z389" s="46"/>
      <c r="AA389" s="136">
        <v>529</v>
      </c>
      <c r="AB389" s="124" t="s">
        <v>2613</v>
      </c>
      <c r="AC389" s="114" t="str">
        <f>IFERROR((VLOOKUP($A389,'ИЗ ГУГЛА'!$B:$Z,AC$1,0)+AE389)*AD389,VLOOKUP($A389,'ИЗ ГУГЛА'!$B:$Z,AC$1,0))</f>
        <v/>
      </c>
      <c r="AD389" s="108">
        <v>1</v>
      </c>
      <c r="AE389" s="46"/>
      <c r="AF389" s="115"/>
    </row>
    <row r="390" spans="1:32" s="5" customFormat="1" ht="31.5" thickTop="1" thickBot="1" x14ac:dyDescent="0.3">
      <c r="A390" s="132">
        <v>158295</v>
      </c>
      <c r="B390" s="132">
        <f>VLOOKUP($A390,'Выгр Кат'!$A:$S,B$1,0)</f>
        <v>35517</v>
      </c>
      <c r="C390" s="133" t="str">
        <f>VLOOKUP($A390,'Выгр Кат'!$A:$S,C$1,0)</f>
        <v>Комплект "БРТ" передних брызговиков для Лада Нива 4х4</v>
      </c>
      <c r="D390" s="132" t="str">
        <f>VLOOKUP($A390,'Выгр Кат'!$A:$S,D$1,0)</f>
        <v>Y</v>
      </c>
      <c r="E390" s="132" t="str">
        <f>VLOOKUP($A390,'Выгр Кат'!$A:$S,E$1,0)</f>
        <v>1</v>
      </c>
      <c r="F390" s="132" t="str">
        <f>VLOOKUP($A390,'Выгр Кат'!$A:$S,F$1,0)</f>
        <v>2121-8404310Р/11Р</v>
      </c>
      <c r="G390" s="44" t="s">
        <v>1281</v>
      </c>
      <c r="H390" s="29"/>
      <c r="I390" s="4" t="s">
        <v>2</v>
      </c>
      <c r="J390" s="95">
        <v>1</v>
      </c>
      <c r="K390" s="168">
        <f t="shared" si="222"/>
        <v>308</v>
      </c>
      <c r="L390" s="167">
        <f>VLOOKUP(K390,Наценка!$A$1:$B$8,2,1)</f>
        <v>1.5053763440860215</v>
      </c>
      <c r="M390" s="148">
        <f t="shared" si="223"/>
        <v>625.4</v>
      </c>
      <c r="N390" s="173">
        <f t="shared" si="215"/>
        <v>629</v>
      </c>
      <c r="O390" s="134">
        <f>VLOOKUP($A390,'Выгр Кат'!$A:$S,O$1,0)</f>
        <v>308</v>
      </c>
      <c r="P390" s="134">
        <f>VLOOKUP($A390,'Выгр Кат'!$A:$S,P$1,0)</f>
        <v>619</v>
      </c>
      <c r="Q390" s="107">
        <f t="shared" si="216"/>
        <v>0</v>
      </c>
      <c r="R390" s="107">
        <f t="shared" si="217"/>
        <v>-10</v>
      </c>
      <c r="S390" s="110">
        <f t="shared" si="218"/>
        <v>584.96999999999991</v>
      </c>
      <c r="T390" s="135">
        <f t="shared" si="219"/>
        <v>0.89925324675324658</v>
      </c>
      <c r="U390" s="135">
        <f t="shared" si="220"/>
        <v>8.5254237288137063E-3</v>
      </c>
      <c r="V390" s="135">
        <f t="shared" si="221"/>
        <v>0.9155844155844155</v>
      </c>
      <c r="W390" s="117">
        <f t="shared" si="224"/>
        <v>590</v>
      </c>
      <c r="X390" s="114">
        <f>IFERROR((VLOOKUP($A390,'ИЗ ГУГЛА'!$B:$G,X$1,0)+Z390)*Y390,VLOOKUP($A390,'ИЗ ГУГЛА'!$B:$G,X$1,0))</f>
        <v>590</v>
      </c>
      <c r="Y390" s="108">
        <v>1</v>
      </c>
      <c r="Z390" s="46"/>
      <c r="AA390" s="136">
        <v>590</v>
      </c>
      <c r="AB390" s="124" t="s">
        <v>2612</v>
      </c>
      <c r="AC390" s="114" t="str">
        <f>IFERROR((VLOOKUP($A390,'ИЗ ГУГЛА'!$B:$Z,AC$1,0)+AE390)*AD390,VLOOKUP($A390,'ИЗ ГУГЛА'!$B:$Z,AC$1,0))</f>
        <v/>
      </c>
      <c r="AD390" s="108">
        <v>1</v>
      </c>
      <c r="AE390" s="46"/>
      <c r="AF390" s="115"/>
    </row>
    <row r="391" spans="1:32" s="5" customFormat="1" ht="31.5" thickTop="1" thickBot="1" x14ac:dyDescent="0.3">
      <c r="A391" s="132">
        <v>225926</v>
      </c>
      <c r="B391" s="132">
        <f>VLOOKUP($A391,'Выгр Кат'!$A:$S,B$1,0)</f>
        <v>35333</v>
      </c>
      <c r="C391" s="133" t="str">
        <f>VLOOKUP($A391,'Выгр Кат'!$A:$S,C$1,0)</f>
        <v>Шланг "БРТ" тормозной передний, верхний для Лада Нива 4х4</v>
      </c>
      <c r="D391" s="132" t="str">
        <f>VLOOKUP($A391,'Выгр Кат'!$A:$S,D$1,0)</f>
        <v>Y</v>
      </c>
      <c r="E391" s="132" t="str">
        <f>VLOOKUP($A391,'Выгр Кат'!$A:$S,E$1,0)</f>
        <v>1</v>
      </c>
      <c r="F391" s="132" t="str">
        <f>VLOOKUP($A391,'Выгр Кат'!$A:$S,F$1,0)</f>
        <v>2121-3506060-10</v>
      </c>
      <c r="G391" s="44" t="s">
        <v>451</v>
      </c>
      <c r="H391" s="29"/>
      <c r="I391" s="4" t="s">
        <v>2</v>
      </c>
      <c r="J391" s="95">
        <v>1</v>
      </c>
      <c r="K391" s="168">
        <f t="shared" si="222"/>
        <v>333</v>
      </c>
      <c r="L391" s="167">
        <f>VLOOKUP(K391,Наценка!$A$1:$B$8,2,1)</f>
        <v>1.5053763440860215</v>
      </c>
      <c r="M391" s="148">
        <f t="shared" si="223"/>
        <v>625.4</v>
      </c>
      <c r="N391" s="173">
        <f t="shared" si="215"/>
        <v>629</v>
      </c>
      <c r="O391" s="134">
        <f>VLOOKUP($A391,'Выгр Кат'!$A:$S,O$1,0)</f>
        <v>333</v>
      </c>
      <c r="P391" s="134">
        <f>VLOOKUP($A391,'Выгр Кат'!$A:$S,P$1,0)</f>
        <v>619</v>
      </c>
      <c r="Q391" s="107">
        <f t="shared" si="216"/>
        <v>0</v>
      </c>
      <c r="R391" s="107">
        <f t="shared" si="217"/>
        <v>-10</v>
      </c>
      <c r="S391" s="110">
        <f t="shared" si="218"/>
        <v>584.96999999999991</v>
      </c>
      <c r="T391" s="135">
        <f t="shared" si="219"/>
        <v>0.75666666666666638</v>
      </c>
      <c r="U391" s="135">
        <f t="shared" si="220"/>
        <v>8.5254237288137063E-3</v>
      </c>
      <c r="V391" s="135">
        <f t="shared" si="221"/>
        <v>0.77177177177177181</v>
      </c>
      <c r="W391" s="117">
        <f t="shared" si="224"/>
        <v>590</v>
      </c>
      <c r="X391" s="114">
        <f>IFERROR((VLOOKUP($A391,'ИЗ ГУГЛА'!$B:$G,X$1,0)+Z391)*Y391,VLOOKUP($A391,'ИЗ ГУГЛА'!$B:$G,X$1,0))</f>
        <v>590</v>
      </c>
      <c r="Y391" s="46">
        <v>1</v>
      </c>
      <c r="Z391" s="46"/>
      <c r="AA391" s="138">
        <v>590</v>
      </c>
      <c r="AB391" s="124" t="s">
        <v>2357</v>
      </c>
      <c r="AC391" s="114" t="str">
        <f>IFERROR((VLOOKUP($A391,'ИЗ ГУГЛА'!$B:$Z,AC$1,0)+AE391)*AD391,VLOOKUP($A391,'ИЗ ГУГЛА'!$B:$Z,AC$1,0))</f>
        <v/>
      </c>
      <c r="AD391" s="46">
        <v>1</v>
      </c>
      <c r="AE391" s="46"/>
      <c r="AF391" s="115"/>
    </row>
    <row r="392" spans="1:32" s="5" customFormat="1" ht="31.5" thickTop="1" thickBot="1" x14ac:dyDescent="0.3">
      <c r="A392" s="132">
        <v>158296</v>
      </c>
      <c r="B392" s="132">
        <f>VLOOKUP($A392,'Выгр Кат'!$A:$S,B$1,0)</f>
        <v>35525</v>
      </c>
      <c r="C392" s="133" t="str">
        <f>VLOOKUP($A392,'Выгр Кат'!$A:$S,C$1,0)</f>
        <v>Комплект "БРТ" передних брызговиков для Шевроле Нива</v>
      </c>
      <c r="D392" s="132" t="str">
        <f>VLOOKUP($A392,'Выгр Кат'!$A:$S,D$1,0)</f>
        <v>Y</v>
      </c>
      <c r="E392" s="132" t="str">
        <f>VLOOKUP($A392,'Выгр Кат'!$A:$S,E$1,0)</f>
        <v>1</v>
      </c>
      <c r="F392" s="132" t="str">
        <f>VLOOKUP($A392,'Выгр Кат'!$A:$S,F$1,0)</f>
        <v>2123-8403512/13</v>
      </c>
      <c r="G392" s="44" t="s">
        <v>1289</v>
      </c>
      <c r="H392" s="29"/>
      <c r="I392" s="4" t="s">
        <v>2</v>
      </c>
      <c r="J392" s="95">
        <v>1</v>
      </c>
      <c r="K392" s="168">
        <f t="shared" si="222"/>
        <v>300</v>
      </c>
      <c r="L392" s="167">
        <f>VLOOKUP(K392,Наценка!$A$1:$B$8,2,1)</f>
        <v>1.5053763440860215</v>
      </c>
      <c r="M392" s="145">
        <f>W392*1</f>
        <v>1390</v>
      </c>
      <c r="N392" s="173">
        <f t="shared" si="215"/>
        <v>1390</v>
      </c>
      <c r="O392" s="134">
        <f>VLOOKUP($A392,'Выгр Кат'!$A:$S,O$1,0)</f>
        <v>300</v>
      </c>
      <c r="P392" s="134">
        <f>VLOOKUP($A392,'Выгр Кат'!$A:$S,P$1,0)</f>
        <v>1390</v>
      </c>
      <c r="Q392" s="107">
        <f t="shared" si="216"/>
        <v>0</v>
      </c>
      <c r="R392" s="107">
        <f t="shared" si="217"/>
        <v>0</v>
      </c>
      <c r="S392" s="110">
        <f t="shared" si="218"/>
        <v>1292.6999999999998</v>
      </c>
      <c r="T392" s="135">
        <f t="shared" si="219"/>
        <v>3.3089999999999993</v>
      </c>
      <c r="U392" s="135">
        <f t="shared" si="220"/>
        <v>7.0000000000000132E-2</v>
      </c>
      <c r="V392" s="135">
        <f t="shared" si="221"/>
        <v>3.6333333333333337</v>
      </c>
      <c r="W392" s="117">
        <f t="shared" si="224"/>
        <v>1390</v>
      </c>
      <c r="X392" s="114">
        <f>IFERROR((VLOOKUP($A392,'ИЗ ГУГЛА'!$B:$G,X$1,0)+Z392)*Y392,VLOOKUP($A392,'ИЗ ГУГЛА'!$B:$G,X$1,0))</f>
        <v>1390</v>
      </c>
      <c r="Y392" s="108">
        <v>1</v>
      </c>
      <c r="Z392" s="46"/>
      <c r="AA392" s="136">
        <v>1390</v>
      </c>
      <c r="AB392" s="124" t="s">
        <v>2508</v>
      </c>
      <c r="AC392" s="114" t="str">
        <f>IFERROR((VLOOKUP($A392,'ИЗ ГУГЛА'!$B:$Z,AC$1,0)+AE392)*AD392,VLOOKUP($A392,'ИЗ ГУГЛА'!$B:$Z,AC$1,0))</f>
        <v/>
      </c>
      <c r="AD392" s="108">
        <v>1</v>
      </c>
      <c r="AE392" s="46"/>
      <c r="AF392" s="115"/>
    </row>
    <row r="393" spans="1:32" s="5" customFormat="1" ht="46.5" thickTop="1" thickBot="1" x14ac:dyDescent="0.3">
      <c r="A393" s="132">
        <v>225953</v>
      </c>
      <c r="B393" s="132">
        <f>VLOOKUP($A393,'Выгр Кат'!$A:$S,B$1,0)</f>
        <v>19945</v>
      </c>
      <c r="C393" s="133" t="str">
        <f>VLOOKUP($A393,'Выгр Кат'!$A:$S,C$1,0)</f>
        <v>Шланг сцепления "БРТ" гибкий для ВАЗ 2101-2107, Лада Нива 4x4, Шевроле Нива</v>
      </c>
      <c r="D393" s="132" t="str">
        <f>VLOOKUP($A393,'Выгр Кат'!$A:$S,D$1,0)</f>
        <v>Y</v>
      </c>
      <c r="E393" s="132" t="str">
        <f>VLOOKUP($A393,'Выгр Кат'!$A:$S,E$1,0)</f>
        <v>1</v>
      </c>
      <c r="F393" s="132" t="str">
        <f>VLOOKUP($A393,'Выгр Кат'!$A:$S,F$1,0)</f>
        <v>21010160259000</v>
      </c>
      <c r="G393" s="42" t="s">
        <v>254</v>
      </c>
      <c r="H393" s="29"/>
      <c r="I393" s="4" t="s">
        <v>2</v>
      </c>
      <c r="J393" s="95">
        <v>1</v>
      </c>
      <c r="K393" s="168">
        <f t="shared" si="222"/>
        <v>310</v>
      </c>
      <c r="L393" s="167">
        <f>VLOOKUP(K393,Наценка!$A$1:$B$8,2,1)</f>
        <v>1.5053763440860215</v>
      </c>
      <c r="M393" s="148">
        <f t="shared" si="223"/>
        <v>625.4</v>
      </c>
      <c r="N393" s="173">
        <f t="shared" si="215"/>
        <v>629</v>
      </c>
      <c r="O393" s="134">
        <f>VLOOKUP($A393,'Выгр Кат'!$A:$S,O$1,0)</f>
        <v>310</v>
      </c>
      <c r="P393" s="134">
        <f>VLOOKUP($A393,'Выгр Кат'!$A:$S,P$1,0)</f>
        <v>469</v>
      </c>
      <c r="Q393" s="107">
        <f t="shared" si="216"/>
        <v>0</v>
      </c>
      <c r="R393" s="107">
        <f t="shared" si="217"/>
        <v>-160</v>
      </c>
      <c r="S393" s="110">
        <f t="shared" si="218"/>
        <v>584.96999999999991</v>
      </c>
      <c r="T393" s="135">
        <f t="shared" si="219"/>
        <v>0.88699999999999979</v>
      </c>
      <c r="U393" s="135">
        <f t="shared" si="220"/>
        <v>8.5254237288137063E-3</v>
      </c>
      <c r="V393" s="135">
        <f t="shared" si="221"/>
        <v>0.90322580645161299</v>
      </c>
      <c r="W393" s="117">
        <f t="shared" si="224"/>
        <v>590</v>
      </c>
      <c r="X393" s="114">
        <f>IFERROR((VLOOKUP($A393,'ИЗ ГУГЛА'!$B:$G,X$1,0)+Z393)*Y393,VLOOKUP($A393,'ИЗ ГУГЛА'!$B:$G,X$1,0))</f>
        <v>590</v>
      </c>
      <c r="Y393" s="46">
        <v>1</v>
      </c>
      <c r="Z393" s="46"/>
      <c r="AA393" s="138">
        <v>590</v>
      </c>
      <c r="AB393" s="124" t="s">
        <v>2355</v>
      </c>
      <c r="AC393" s="114" t="str">
        <f>IFERROR((VLOOKUP($A393,'ИЗ ГУГЛА'!$B:$Z,AC$1,0)+AE393)*AD393,VLOOKUP($A393,'ИЗ ГУГЛА'!$B:$Z,AC$1,0))</f>
        <v/>
      </c>
      <c r="AD393" s="46">
        <v>1</v>
      </c>
      <c r="AE393" s="46"/>
      <c r="AF393" s="115"/>
    </row>
    <row r="394" spans="1:32" s="5" customFormat="1" ht="46.5" thickTop="1" thickBot="1" x14ac:dyDescent="0.3">
      <c r="A394" s="132">
        <v>186724</v>
      </c>
      <c r="B394" s="132">
        <f>VLOOKUP($A394,'Выгр Кат'!$A:$S,B$1,0)</f>
        <v>19967</v>
      </c>
      <c r="C394" s="133" t="str">
        <f>VLOOKUP($A394,'Выгр Кат'!$A:$S,C$1,0)</f>
        <v>Патрубок радиатора отводящий  "БРТ" нижний для ВАЗ 2108-21099, 2113-2115</v>
      </c>
      <c r="D394" s="132" t="str">
        <f>VLOOKUP($A394,'Выгр Кат'!$A:$S,D$1,0)</f>
        <v>Y</v>
      </c>
      <c r="E394" s="132" t="str">
        <f>VLOOKUP($A394,'Выгр Кат'!$A:$S,E$1,0)</f>
        <v>1</v>
      </c>
      <c r="F394" s="132" t="str">
        <f>VLOOKUP($A394,'Выгр Кат'!$A:$S,F$1,0)</f>
        <v>2108-1303010РП</v>
      </c>
      <c r="G394" s="45" t="s">
        <v>330</v>
      </c>
      <c r="H394" s="29"/>
      <c r="I394" s="4" t="s">
        <v>2</v>
      </c>
      <c r="J394" s="95">
        <v>1</v>
      </c>
      <c r="K394" s="168">
        <f t="shared" si="222"/>
        <v>311</v>
      </c>
      <c r="L394" s="167">
        <f>VLOOKUP(K394,Наценка!$A$1:$B$8,2,1)</f>
        <v>1.5053763440860215</v>
      </c>
      <c r="M394" s="172">
        <f t="shared" ref="M389:M452" si="225">K394*L394</f>
        <v>468.1720430107527</v>
      </c>
      <c r="N394" s="173">
        <f t="shared" si="215"/>
        <v>469</v>
      </c>
      <c r="O394" s="134">
        <f>VLOOKUP($A394,'Выгр Кат'!$A:$S,O$1,0)</f>
        <v>311</v>
      </c>
      <c r="P394" s="134">
        <f>VLOOKUP($A394,'Выгр Кат'!$A:$S,P$1,0)</f>
        <v>469</v>
      </c>
      <c r="Q394" s="107">
        <f t="shared" si="216"/>
        <v>0</v>
      </c>
      <c r="R394" s="107">
        <f t="shared" si="217"/>
        <v>0</v>
      </c>
      <c r="S394" s="110">
        <f t="shared" si="218"/>
        <v>436.16999999999996</v>
      </c>
      <c r="T394" s="135">
        <f t="shared" si="219"/>
        <v>0.40247588424437275</v>
      </c>
      <c r="U394" s="135" t="str">
        <f t="shared" si="220"/>
        <v/>
      </c>
      <c r="V394" s="135" t="str">
        <f t="shared" si="221"/>
        <v/>
      </c>
      <c r="W394" s="45"/>
      <c r="X394" s="114" t="str">
        <f>IFERROR((VLOOKUP($A394,'ИЗ ГУГЛА'!$B:$G,X$1,0)+Z394)*Y394,VLOOKUP($A394,'ИЗ ГУГЛА'!$B:$G,X$1,0))</f>
        <v/>
      </c>
      <c r="Y394" s="108">
        <v>1</v>
      </c>
      <c r="Z394" s="46"/>
      <c r="AA394" s="140" t="s">
        <v>2494</v>
      </c>
      <c r="AB394" s="129"/>
      <c r="AC394" s="114" t="str">
        <f>IFERROR((VLOOKUP($A394,'ИЗ ГУГЛА'!$B:$Z,AC$1,0)+AE394)*AD394,VLOOKUP($A394,'ИЗ ГУГЛА'!$B:$Z,AC$1,0))</f>
        <v/>
      </c>
      <c r="AD394" s="108">
        <v>1</v>
      </c>
      <c r="AE394" s="46"/>
      <c r="AF394" s="115"/>
    </row>
    <row r="395" spans="1:32" s="5" customFormat="1" ht="30.75" thickTop="1" x14ac:dyDescent="0.25">
      <c r="A395" s="132">
        <v>186575</v>
      </c>
      <c r="B395" s="132">
        <f>VLOOKUP($A395,'Выгр Кат'!$A:$S,B$1,0)</f>
        <v>35586</v>
      </c>
      <c r="C395" s="133" t="str">
        <f>VLOOKUP($A395,'Выгр Кат'!$A:$S,C$1,0)</f>
        <v>(дубль) Патрубок "БРТ" радиатора отводящий, нижний для Лада XRAY</v>
      </c>
      <c r="D395" s="132" t="str">
        <f>VLOOKUP($A395,'Выгр Кат'!$A:$S,D$1,0)</f>
        <v>N</v>
      </c>
      <c r="E395" s="132" t="str">
        <f>VLOOKUP($A395,'Выгр Кат'!$A:$S,E$1,0)</f>
        <v>1</v>
      </c>
      <c r="F395" s="132" t="str">
        <f>VLOOKUP($A395,'Выгр Кат'!$A:$S,F$1,0)</f>
        <v>XR20028Р</v>
      </c>
      <c r="G395" s="44" t="s">
        <v>1440</v>
      </c>
      <c r="H395" s="29"/>
      <c r="I395" s="4" t="s">
        <v>2</v>
      </c>
      <c r="J395" s="95">
        <v>1</v>
      </c>
      <c r="K395" s="168">
        <f t="shared" si="222"/>
        <v>278</v>
      </c>
      <c r="L395" s="167">
        <f>VLOOKUP(K395,Наценка!$A$1:$B$8,2,1)</f>
        <v>1.7204301075268817</v>
      </c>
      <c r="M395" s="148">
        <f t="shared" ref="M395:M396" si="226">W395*1.06</f>
        <v>625.4</v>
      </c>
      <c r="N395" s="173">
        <f t="shared" si="215"/>
        <v>629</v>
      </c>
      <c r="O395" s="134">
        <f>VLOOKUP($A395,'Выгр Кат'!$A:$S,O$1,0)</f>
        <v>278</v>
      </c>
      <c r="P395" s="134">
        <f>VLOOKUP($A395,'Выгр Кат'!$A:$S,P$1,0)</f>
        <v>479</v>
      </c>
      <c r="Q395" s="107">
        <f t="shared" si="216"/>
        <v>0</v>
      </c>
      <c r="R395" s="107">
        <f t="shared" si="217"/>
        <v>-150</v>
      </c>
      <c r="S395" s="110">
        <f t="shared" si="218"/>
        <v>584.96999999999991</v>
      </c>
      <c r="T395" s="135">
        <f t="shared" si="219"/>
        <v>1.104208633093525</v>
      </c>
      <c r="U395" s="135">
        <f t="shared" si="220"/>
        <v>8.5254237288137063E-3</v>
      </c>
      <c r="V395" s="135">
        <f t="shared" si="221"/>
        <v>1.1223021582733814</v>
      </c>
      <c r="W395" s="117">
        <f t="shared" ref="W395:W399" si="227">AA395</f>
        <v>590</v>
      </c>
      <c r="X395" s="114">
        <f>IFERROR((VLOOKUP($A395,'ИЗ ГУГЛА'!$B:$G,X$1,0)+Z395)*Y395,VLOOKUP($A395,'ИЗ ГУГЛА'!$B:$G,X$1,0))</f>
        <v>590</v>
      </c>
      <c r="Y395" s="108">
        <v>1</v>
      </c>
      <c r="Z395" s="46"/>
      <c r="AA395" s="139">
        <v>590</v>
      </c>
      <c r="AB395" s="124" t="s">
        <v>2892</v>
      </c>
      <c r="AC395" s="114" t="str">
        <f>IFERROR((VLOOKUP($A395,'ИЗ ГУГЛА'!$B:$Z,AC$1,0)+AE395)*AD395,VLOOKUP($A395,'ИЗ ГУГЛА'!$B:$Z,AC$1,0))</f>
        <v/>
      </c>
      <c r="AD395" s="108">
        <v>1</v>
      </c>
      <c r="AE395" s="46"/>
      <c r="AF395" s="115"/>
    </row>
    <row r="396" spans="1:32" s="5" customFormat="1" ht="30" x14ac:dyDescent="0.25">
      <c r="A396" s="132">
        <v>186582</v>
      </c>
      <c r="B396" s="132">
        <f>VLOOKUP($A396,'Выгр Кат'!$A:$S,B$1,0)</f>
        <v>35390</v>
      </c>
      <c r="C396" s="133" t="str">
        <f>VLOOKUP($A396,'Выгр Кат'!$A:$S,C$1,0)</f>
        <v>Патрубок "БРТ" радиатора, отводящий для Лада XRAY</v>
      </c>
      <c r="D396" s="132" t="str">
        <f>VLOOKUP($A396,'Выгр Кат'!$A:$S,D$1,0)</f>
        <v>Y</v>
      </c>
      <c r="E396" s="132" t="str">
        <f>VLOOKUP($A396,'Выгр Кат'!$A:$S,E$1,0)</f>
        <v>1</v>
      </c>
      <c r="F396" s="132" t="str">
        <f>VLOOKUP($A396,'Выгр Кат'!$A:$S,F$1,0)</f>
        <v>8450020028</v>
      </c>
      <c r="G396" s="44" t="s">
        <v>885</v>
      </c>
      <c r="H396" s="29"/>
      <c r="I396" s="4" t="s">
        <v>2</v>
      </c>
      <c r="J396" s="95">
        <v>1</v>
      </c>
      <c r="K396" s="168">
        <f t="shared" si="222"/>
        <v>278</v>
      </c>
      <c r="L396" s="167">
        <f>VLOOKUP(K396,Наценка!$A$1:$B$8,2,1)</f>
        <v>1.7204301075268817</v>
      </c>
      <c r="M396" s="148">
        <f t="shared" si="226"/>
        <v>625.4</v>
      </c>
      <c r="N396" s="173">
        <f t="shared" si="215"/>
        <v>629</v>
      </c>
      <c r="O396" s="134">
        <f>VLOOKUP($A396,'Выгр Кат'!$A:$S,O$1,0)</f>
        <v>278</v>
      </c>
      <c r="P396" s="134">
        <f>VLOOKUP($A396,'Выгр Кат'!$A:$S,P$1,0)</f>
        <v>479</v>
      </c>
      <c r="Q396" s="107">
        <f t="shared" si="216"/>
        <v>0</v>
      </c>
      <c r="R396" s="107">
        <f t="shared" si="217"/>
        <v>-150</v>
      </c>
      <c r="S396" s="110">
        <f t="shared" si="218"/>
        <v>584.96999999999991</v>
      </c>
      <c r="T396" s="135">
        <f t="shared" si="219"/>
        <v>1.104208633093525</v>
      </c>
      <c r="U396" s="135">
        <f t="shared" si="220"/>
        <v>8.5254237288137063E-3</v>
      </c>
      <c r="V396" s="135">
        <f t="shared" si="221"/>
        <v>1.1223021582733814</v>
      </c>
      <c r="W396" s="117">
        <f t="shared" si="227"/>
        <v>590</v>
      </c>
      <c r="X396" s="114">
        <f>IFERROR((VLOOKUP($A396,'ИЗ ГУГЛА'!$B:$G,X$1,0)+Z396)*Y396,VLOOKUP($A396,'ИЗ ГУГЛА'!$B:$G,X$1,0))</f>
        <v>590</v>
      </c>
      <c r="Y396" s="108">
        <v>1</v>
      </c>
      <c r="Z396" s="46"/>
      <c r="AA396" s="139">
        <v>590</v>
      </c>
      <c r="AB396" s="124" t="s">
        <v>2892</v>
      </c>
      <c r="AC396" s="114" t="str">
        <f>IFERROR((VLOOKUP($A396,'ИЗ ГУГЛА'!$B:$Z,AC$1,0)+AE396)*AD396,VLOOKUP($A396,'ИЗ ГУГЛА'!$B:$Z,AC$1,0))</f>
        <v/>
      </c>
      <c r="AD396" s="108">
        <v>1</v>
      </c>
      <c r="AE396" s="46"/>
      <c r="AF396" s="115"/>
    </row>
    <row r="397" spans="1:32" s="5" customFormat="1" ht="45.75" thickBot="1" x14ac:dyDescent="0.3">
      <c r="A397" s="132">
        <v>160570</v>
      </c>
      <c r="B397" s="132">
        <f>VLOOKUP($A397,'Выгр Кат'!$A:$S,B$1,0)</f>
        <v>35420</v>
      </c>
      <c r="C397" s="133" t="str">
        <f>VLOOKUP($A397,'Выгр Кат'!$A:$S,C$1,0)</f>
        <v>Кронштейн "БРТ" растяжки передней подвески в сборе для ВАЗ 2108-21099, 2113-2115</v>
      </c>
      <c r="D397" s="132" t="str">
        <f>VLOOKUP($A397,'Выгр Кат'!$A:$S,D$1,0)</f>
        <v>N</v>
      </c>
      <c r="E397" s="132" t="str">
        <f>VLOOKUP($A397,'Выгр Кат'!$A:$S,E$1,0)</f>
        <v>1</v>
      </c>
      <c r="F397" s="132" t="str">
        <f>VLOOKUP($A397,'Выгр Кат'!$A:$S,F$1,0)</f>
        <v>2108-2904049СЕБ</v>
      </c>
      <c r="G397" s="44" t="s">
        <v>345</v>
      </c>
      <c r="H397" s="29"/>
      <c r="I397" s="4" t="s">
        <v>2</v>
      </c>
      <c r="J397" s="95">
        <v>1</v>
      </c>
      <c r="K397" s="173">
        <f>VLOOKUP(G397,Прайс!$B:$E,4,0)*J397</f>
        <v>531.78</v>
      </c>
      <c r="L397" s="167">
        <f>VLOOKUP(K397,Наценка!$A$1:$B$8,2,1)</f>
        <v>1.3978494623655915</v>
      </c>
      <c r="M397" s="172">
        <f t="shared" si="225"/>
        <v>743.34838709677422</v>
      </c>
      <c r="N397" s="173">
        <f t="shared" si="215"/>
        <v>749</v>
      </c>
      <c r="O397" s="134">
        <f>VLOOKUP($A397,'Выгр Кат'!$A:$S,O$1,0)</f>
        <v>531.78</v>
      </c>
      <c r="P397" s="134">
        <f>VLOOKUP($A397,'Выгр Кат'!$A:$S,P$1,0)</f>
        <v>749</v>
      </c>
      <c r="Q397" s="107">
        <f t="shared" si="216"/>
        <v>0</v>
      </c>
      <c r="R397" s="107">
        <f t="shared" si="217"/>
        <v>0</v>
      </c>
      <c r="S397" s="110">
        <f t="shared" si="218"/>
        <v>696.56999999999994</v>
      </c>
      <c r="T397" s="135">
        <f t="shared" si="219"/>
        <v>0.30988378652826354</v>
      </c>
      <c r="U397" s="135">
        <f t="shared" si="220"/>
        <v>-0.18062711864406769</v>
      </c>
      <c r="V397" s="135">
        <f t="shared" si="221"/>
        <v>0.10948136447403067</v>
      </c>
      <c r="W397" s="117">
        <f t="shared" si="227"/>
        <v>590</v>
      </c>
      <c r="X397" s="114">
        <f>IFERROR((VLOOKUP($A397,'ИЗ ГУГЛА'!$B:$G,X$1,0)+Z397)*Y397,VLOOKUP($A397,'ИЗ ГУГЛА'!$B:$G,X$1,0))</f>
        <v>590</v>
      </c>
      <c r="Y397" s="108">
        <v>1</v>
      </c>
      <c r="Z397" s="46"/>
      <c r="AA397" s="136">
        <v>590</v>
      </c>
      <c r="AB397" s="124" t="s">
        <v>2611</v>
      </c>
      <c r="AC397" s="114" t="str">
        <f>IFERROR((VLOOKUP($A397,'ИЗ ГУГЛА'!$B:$Z,AC$1,0)+AE397)*AD397,VLOOKUP($A397,'ИЗ ГУГЛА'!$B:$Z,AC$1,0))</f>
        <v/>
      </c>
      <c r="AD397" s="108">
        <v>1</v>
      </c>
      <c r="AE397" s="46"/>
      <c r="AF397" s="115"/>
    </row>
    <row r="398" spans="1:32" s="5" customFormat="1" ht="31.5" thickTop="1" thickBot="1" x14ac:dyDescent="0.3">
      <c r="A398" s="132">
        <v>186728</v>
      </c>
      <c r="B398" s="132">
        <f>VLOOKUP($A398,'Выгр Кат'!$A:$S,B$1,0)</f>
        <v>19936</v>
      </c>
      <c r="C398" s="133" t="str">
        <f>VLOOKUP($A398,'Выгр Кат'!$A:$S,C$1,0)</f>
        <v>Патрубок радиатора отводящий "БРТ" нижний для Лада Калина</v>
      </c>
      <c r="D398" s="132" t="str">
        <f>VLOOKUP($A398,'Выгр Кат'!$A:$S,D$1,0)</f>
        <v>Y</v>
      </c>
      <c r="E398" s="132" t="str">
        <f>VLOOKUP($A398,'Выгр Кат'!$A:$S,E$1,0)</f>
        <v>1</v>
      </c>
      <c r="F398" s="132" t="str">
        <f>VLOOKUP($A398,'Выгр Кат'!$A:$S,F$1,0)</f>
        <v>1119-1303010РП</v>
      </c>
      <c r="G398" s="45" t="s">
        <v>1821</v>
      </c>
      <c r="H398" s="29" t="s">
        <v>1821</v>
      </c>
      <c r="I398" s="4" t="s">
        <v>2</v>
      </c>
      <c r="J398" s="95">
        <v>1</v>
      </c>
      <c r="K398" s="168">
        <f t="shared" si="222"/>
        <v>280</v>
      </c>
      <c r="L398" s="167">
        <f>VLOOKUP(K398,Наценка!$A$1:$B$8,2,1)</f>
        <v>1.7204301075268817</v>
      </c>
      <c r="M398" s="172">
        <f t="shared" si="225"/>
        <v>481.72043010752691</v>
      </c>
      <c r="N398" s="173">
        <f t="shared" si="215"/>
        <v>489</v>
      </c>
      <c r="O398" s="134">
        <f>VLOOKUP($A398,'Выгр Кат'!$A:$S,O$1,0)</f>
        <v>280</v>
      </c>
      <c r="P398" s="134">
        <f>VLOOKUP($A398,'Выгр Кат'!$A:$S,P$1,0)</f>
        <v>489</v>
      </c>
      <c r="Q398" s="107">
        <f t="shared" si="216"/>
        <v>0</v>
      </c>
      <c r="R398" s="107">
        <f t="shared" si="217"/>
        <v>0</v>
      </c>
      <c r="S398" s="110">
        <f t="shared" si="218"/>
        <v>454.77</v>
      </c>
      <c r="T398" s="135">
        <f t="shared" si="219"/>
        <v>0.62417857142857147</v>
      </c>
      <c r="U398" s="135">
        <f t="shared" si="220"/>
        <v>-0.82638554216867466</v>
      </c>
      <c r="V398" s="135">
        <f t="shared" si="221"/>
        <v>-0.11071428571428577</v>
      </c>
      <c r="W398" s="117">
        <f t="shared" si="227"/>
        <v>249</v>
      </c>
      <c r="X398" s="114">
        <f>IFERROR((VLOOKUP($A398,'ИЗ ГУГЛА'!$B:$G,X$1,0)+Z398)*Y398,VLOOKUP($A398,'ИЗ ГУГЛА'!$B:$G,X$1,0))</f>
        <v>249</v>
      </c>
      <c r="Y398" s="46">
        <v>1</v>
      </c>
      <c r="Z398" s="46"/>
      <c r="AA398" s="138">
        <v>249</v>
      </c>
      <c r="AB398" s="124" t="s">
        <v>2339</v>
      </c>
      <c r="AC398" s="114" t="str">
        <f>IFERROR((VLOOKUP($A398,'ИЗ ГУГЛА'!$B:$Z,AC$1,0)+AE398)*AD398,VLOOKUP($A398,'ИЗ ГУГЛА'!$B:$Z,AC$1,0))</f>
        <v/>
      </c>
      <c r="AD398" s="46">
        <v>1</v>
      </c>
      <c r="AE398" s="46"/>
      <c r="AF398" s="115"/>
    </row>
    <row r="399" spans="1:32" s="5" customFormat="1" ht="46.5" thickTop="1" thickBot="1" x14ac:dyDescent="0.3">
      <c r="A399" s="132">
        <v>181310</v>
      </c>
      <c r="B399" s="132">
        <f>VLOOKUP($A399,'Выгр Кат'!$A:$S,B$1,0)</f>
        <v>12437</v>
      </c>
      <c r="C399" s="133" t="str">
        <f>VLOOKUP($A399,'Выгр Кат'!$A:$S,C$1,0)</f>
        <v>Окантовка "БРТ" заднего ветрового стекла (П-образная) для Лада Гранта седан</v>
      </c>
      <c r="D399" s="132" t="str">
        <f>VLOOKUP($A399,'Выгр Кат'!$A:$S,D$1,0)</f>
        <v>Y</v>
      </c>
      <c r="E399" s="132" t="str">
        <f>VLOOKUP($A399,'Выгр Кат'!$A:$S,E$1,0)</f>
        <v>1</v>
      </c>
      <c r="F399" s="132">
        <f>VLOOKUP($A399,'Выгр Кат'!$A:$S,F$1,0)</f>
        <v>0</v>
      </c>
      <c r="G399" s="45" t="s">
        <v>1821</v>
      </c>
      <c r="H399" s="29" t="s">
        <v>1821</v>
      </c>
      <c r="I399" s="4" t="s">
        <v>2</v>
      </c>
      <c r="J399" s="95">
        <v>1</v>
      </c>
      <c r="K399" s="168">
        <f t="shared" si="222"/>
        <v>470</v>
      </c>
      <c r="L399" s="167">
        <f>VLOOKUP(K399,Наценка!$A$1:$B$8,2,1)</f>
        <v>1.5053763440860215</v>
      </c>
      <c r="M399" s="148">
        <f>W399*1.06</f>
        <v>899.94</v>
      </c>
      <c r="N399" s="173">
        <f t="shared" si="215"/>
        <v>899</v>
      </c>
      <c r="O399" s="134">
        <f>VLOOKUP($A399,'Выгр Кат'!$A:$S,O$1,0)</f>
        <v>470</v>
      </c>
      <c r="P399" s="134">
        <f>VLOOKUP($A399,'Выгр Кат'!$A:$S,P$1,0)</f>
        <v>709</v>
      </c>
      <c r="Q399" s="107">
        <f t="shared" si="216"/>
        <v>0</v>
      </c>
      <c r="R399" s="107">
        <f t="shared" si="217"/>
        <v>-190</v>
      </c>
      <c r="S399" s="110">
        <f t="shared" si="218"/>
        <v>836.06999999999994</v>
      </c>
      <c r="T399" s="135">
        <f t="shared" si="219"/>
        <v>0.77887234042553177</v>
      </c>
      <c r="U399" s="135">
        <f t="shared" si="220"/>
        <v>1.5229681978798662E-2</v>
      </c>
      <c r="V399" s="135">
        <f t="shared" si="221"/>
        <v>0.80638297872340425</v>
      </c>
      <c r="W399" s="117">
        <f t="shared" si="227"/>
        <v>849</v>
      </c>
      <c r="X399" s="114">
        <f>IFERROR((VLOOKUP($A399,'ИЗ ГУГЛА'!$B:$G,X$1,0)+Z399)*Y399,VLOOKUP($A399,'ИЗ ГУГЛА'!$B:$G,X$1,0))</f>
        <v>849</v>
      </c>
      <c r="Y399" s="108">
        <v>1</v>
      </c>
      <c r="Z399" s="46"/>
      <c r="AA399" s="138">
        <v>849</v>
      </c>
      <c r="AB399" s="124" t="s">
        <v>2610</v>
      </c>
      <c r="AC399" s="114" t="str">
        <f>IFERROR((VLOOKUP($A399,'ИЗ ГУГЛА'!$B:$Z,AC$1,0)+AE399)*AD399,VLOOKUP($A399,'ИЗ ГУГЛА'!$B:$Z,AC$1,0))</f>
        <v/>
      </c>
      <c r="AD399" s="108">
        <v>1</v>
      </c>
      <c r="AE399" s="46"/>
      <c r="AF399" s="115"/>
    </row>
    <row r="400" spans="1:32" s="5" customFormat="1" ht="45.75" thickTop="1" x14ac:dyDescent="0.25">
      <c r="A400" s="132">
        <v>204181</v>
      </c>
      <c r="B400" s="132">
        <f>VLOOKUP($A400,'Выгр Кат'!$A:$S,B$1,0)</f>
        <v>19869</v>
      </c>
      <c r="C400" s="133" t="str">
        <f>VLOOKUP($A400,'Выгр Кат'!$A:$S,C$1,0)</f>
        <v>Ремень генератора "БРТ" (5РК1750) для Renault Logan, Megane с ГУР, кондиционером и А/С</v>
      </c>
      <c r="D400" s="132" t="str">
        <f>VLOOKUP($A400,'Выгр Кат'!$A:$S,D$1,0)</f>
        <v>Y</v>
      </c>
      <c r="E400" s="132" t="str">
        <f>VLOOKUP($A400,'Выгр Кат'!$A:$S,E$1,0)</f>
        <v>1</v>
      </c>
      <c r="F400" s="132" t="str">
        <f>VLOOKUP($A400,'Выгр Кат'!$A:$S,F$1,0)</f>
        <v>8200833541РУ</v>
      </c>
      <c r="G400" s="45" t="s">
        <v>1821</v>
      </c>
      <c r="H400" s="29" t="s">
        <v>1821</v>
      </c>
      <c r="I400" s="4" t="s">
        <v>2</v>
      </c>
      <c r="J400" s="95">
        <v>1</v>
      </c>
      <c r="K400" s="168">
        <f t="shared" si="222"/>
        <v>280</v>
      </c>
      <c r="L400" s="167">
        <f>VLOOKUP(K400,Наценка!$A$1:$B$8,2,1)</f>
        <v>1.7204301075268817</v>
      </c>
      <c r="M400" s="172">
        <f t="shared" si="225"/>
        <v>481.72043010752691</v>
      </c>
      <c r="N400" s="173">
        <f t="shared" si="215"/>
        <v>489</v>
      </c>
      <c r="O400" s="134">
        <f>VLOOKUP($A400,'Выгр Кат'!$A:$S,O$1,0)</f>
        <v>280</v>
      </c>
      <c r="P400" s="134">
        <f>VLOOKUP($A400,'Выгр Кат'!$A:$S,P$1,0)</f>
        <v>489</v>
      </c>
      <c r="Q400" s="107">
        <f t="shared" si="216"/>
        <v>0</v>
      </c>
      <c r="R400" s="107">
        <f t="shared" si="217"/>
        <v>0</v>
      </c>
      <c r="S400" s="110">
        <f t="shared" si="218"/>
        <v>454.77</v>
      </c>
      <c r="T400" s="135">
        <f t="shared" si="219"/>
        <v>0.62417857142857147</v>
      </c>
      <c r="U400" s="135" t="str">
        <f t="shared" si="220"/>
        <v/>
      </c>
      <c r="V400" s="135" t="str">
        <f t="shared" si="221"/>
        <v/>
      </c>
      <c r="W400" s="45"/>
      <c r="X400" s="114" t="str">
        <f>IFERROR((VLOOKUP($A400,'ИЗ ГУГЛА'!$B:$G,X$1,0)+Z400)*Y400,VLOOKUP($A400,'ИЗ ГУГЛА'!$B:$G,X$1,0))</f>
        <v/>
      </c>
      <c r="Y400" s="108">
        <v>1</v>
      </c>
      <c r="Z400" s="46"/>
      <c r="AA400" s="143" t="s">
        <v>1821</v>
      </c>
      <c r="AB400" s="124"/>
      <c r="AC400" s="114" t="str">
        <f>IFERROR((VLOOKUP($A400,'ИЗ ГУГЛА'!$B:$Z,AC$1,0)+AE400)*AD400,VLOOKUP($A400,'ИЗ ГУГЛА'!$B:$Z,AC$1,0))</f>
        <v/>
      </c>
      <c r="AD400" s="108">
        <v>1</v>
      </c>
      <c r="AE400" s="46"/>
      <c r="AF400" s="115"/>
    </row>
    <row r="401" spans="1:32" s="5" customFormat="1" ht="30.75" thickBot="1" x14ac:dyDescent="0.3">
      <c r="A401" s="132">
        <v>186723</v>
      </c>
      <c r="B401" s="132">
        <f>VLOOKUP($A401,'Выгр Кат'!$A:$S,B$1,0)</f>
        <v>19970</v>
      </c>
      <c r="C401" s="133" t="str">
        <f>VLOOKUP($A401,'Выгр Кат'!$A:$S,C$1,0)</f>
        <v>Патрубок радиатора отводящий  "БРТ" для ВАЗ 2108 (инжектор)</v>
      </c>
      <c r="D401" s="132" t="str">
        <f>VLOOKUP($A401,'Выгр Кат'!$A:$S,D$1,0)</f>
        <v>Y</v>
      </c>
      <c r="E401" s="132" t="str">
        <f>VLOOKUP($A401,'Выгр Кат'!$A:$S,E$1,0)</f>
        <v>1</v>
      </c>
      <c r="F401" s="132" t="str">
        <f>VLOOKUP($A401,'Выгр Кат'!$A:$S,F$1,0)</f>
        <v>21082-1303010РП</v>
      </c>
      <c r="G401" s="45" t="s">
        <v>369</v>
      </c>
      <c r="H401" s="29"/>
      <c r="I401" s="4" t="s">
        <v>2</v>
      </c>
      <c r="J401" s="95">
        <v>1</v>
      </c>
      <c r="K401" s="168">
        <f t="shared" si="222"/>
        <v>319</v>
      </c>
      <c r="L401" s="167">
        <f>VLOOKUP(K401,Наценка!$A$1:$B$8,2,1)</f>
        <v>1.5053763440860215</v>
      </c>
      <c r="M401" s="148">
        <f>W401*1.05</f>
        <v>555.45000000000005</v>
      </c>
      <c r="N401" s="173">
        <f t="shared" si="215"/>
        <v>559</v>
      </c>
      <c r="O401" s="134">
        <f>VLOOKUP($A401,'Выгр Кат'!$A:$S,O$1,0)</f>
        <v>319</v>
      </c>
      <c r="P401" s="134">
        <f>VLOOKUP($A401,'Выгр Кат'!$A:$S,P$1,0)</f>
        <v>559</v>
      </c>
      <c r="Q401" s="107">
        <f t="shared" si="216"/>
        <v>0</v>
      </c>
      <c r="R401" s="107">
        <f t="shared" si="217"/>
        <v>0</v>
      </c>
      <c r="S401" s="110">
        <f t="shared" si="218"/>
        <v>519.87</v>
      </c>
      <c r="T401" s="135">
        <f t="shared" si="219"/>
        <v>0.62968652037617567</v>
      </c>
      <c r="U401" s="135">
        <f t="shared" si="220"/>
        <v>1.725897920604914E-2</v>
      </c>
      <c r="V401" s="135">
        <f t="shared" si="221"/>
        <v>0.65830721003134807</v>
      </c>
      <c r="W401" s="117">
        <f t="shared" ref="W401:W402" si="228">AA401</f>
        <v>529</v>
      </c>
      <c r="X401" s="114">
        <f>IFERROR((VLOOKUP($A401,'ИЗ ГУГЛА'!$B:$G,X$1,0)+Z401)*Y401,VLOOKUP($A401,'ИЗ ГУГЛА'!$B:$G,X$1,0))</f>
        <v>529</v>
      </c>
      <c r="Y401" s="108">
        <v>1</v>
      </c>
      <c r="Z401" s="46"/>
      <c r="AA401" s="136">
        <v>529</v>
      </c>
      <c r="AB401" s="124" t="s">
        <v>2609</v>
      </c>
      <c r="AC401" s="114" t="str">
        <f>IFERROR((VLOOKUP($A401,'ИЗ ГУГЛА'!$B:$Z,AC$1,0)+AE401)*AD401,VLOOKUP($A401,'ИЗ ГУГЛА'!$B:$Z,AC$1,0))</f>
        <v/>
      </c>
      <c r="AD401" s="108">
        <v>1</v>
      </c>
      <c r="AE401" s="46"/>
      <c r="AF401" s="115"/>
    </row>
    <row r="402" spans="1:32" s="5" customFormat="1" ht="46.5" thickTop="1" thickBot="1" x14ac:dyDescent="0.3">
      <c r="A402" s="132">
        <v>223229</v>
      </c>
      <c r="B402" s="132">
        <f>VLOOKUP($A402,'Выгр Кат'!$A:$S,B$1,0)</f>
        <v>35493</v>
      </c>
      <c r="C402" s="133" t="str">
        <f>VLOOKUP($A402,'Выгр Кат'!$A:$S,C$1,0)</f>
        <v>Уплотнитель "БРТ" опускного стекла внутренний, передний для ВАЗ 2110-2112</v>
      </c>
      <c r="D402" s="132" t="str">
        <f>VLOOKUP($A402,'Выгр Кат'!$A:$S,D$1,0)</f>
        <v>Y</v>
      </c>
      <c r="E402" s="132" t="str">
        <f>VLOOKUP($A402,'Выгр Кат'!$A:$S,E$1,0)</f>
        <v>1</v>
      </c>
      <c r="F402" s="132" t="str">
        <f>VLOOKUP($A402,'Выгр Кат'!$A:$S,F$1,0)</f>
        <v>2110-6103320</v>
      </c>
      <c r="G402" s="44" t="s">
        <v>407</v>
      </c>
      <c r="H402" s="29"/>
      <c r="I402" s="4" t="s">
        <v>2</v>
      </c>
      <c r="J402" s="95">
        <v>1</v>
      </c>
      <c r="K402" s="168">
        <f t="shared" si="222"/>
        <v>322</v>
      </c>
      <c r="L402" s="167">
        <f>VLOOKUP(K402,Наценка!$A$1:$B$8,2,1)</f>
        <v>1.5053763440860215</v>
      </c>
      <c r="M402" s="172">
        <f t="shared" si="225"/>
        <v>484.73118279569894</v>
      </c>
      <c r="N402" s="173">
        <f t="shared" si="215"/>
        <v>489</v>
      </c>
      <c r="O402" s="134">
        <f>VLOOKUP($A402,'Выгр Кат'!$A:$S,O$1,0)</f>
        <v>322</v>
      </c>
      <c r="P402" s="134">
        <f>VLOOKUP($A402,'Выгр Кат'!$A:$S,P$1,0)</f>
        <v>489</v>
      </c>
      <c r="Q402" s="107">
        <f t="shared" si="216"/>
        <v>0</v>
      </c>
      <c r="R402" s="107">
        <f t="shared" si="217"/>
        <v>0</v>
      </c>
      <c r="S402" s="110">
        <f t="shared" si="218"/>
        <v>454.77</v>
      </c>
      <c r="T402" s="135">
        <f t="shared" si="219"/>
        <v>0.41232919254658373</v>
      </c>
      <c r="U402" s="135">
        <f t="shared" si="220"/>
        <v>-1.0439101123595504</v>
      </c>
      <c r="V402" s="135">
        <f t="shared" si="221"/>
        <v>-0.30900621118012417</v>
      </c>
      <c r="W402" s="117">
        <f t="shared" si="228"/>
        <v>222.5</v>
      </c>
      <c r="X402" s="114">
        <f>IFERROR((VLOOKUP($A402,'ИЗ ГУГЛА'!$B:$G,X$1,0)+Z402)*Y402,VLOOKUP($A402,'ИЗ ГУГЛА'!$B:$G,X$1,0))</f>
        <v>222.5</v>
      </c>
      <c r="Y402" s="108">
        <v>0.25</v>
      </c>
      <c r="Z402" s="46"/>
      <c r="AA402" s="138">
        <v>222.5</v>
      </c>
      <c r="AB402" s="124" t="s">
        <v>2532</v>
      </c>
      <c r="AC402" s="114" t="str">
        <f>IFERROR((VLOOKUP($A402,'ИЗ ГУГЛА'!$B:$Z,AC$1,0)+AE402)*AD402,VLOOKUP($A402,'ИЗ ГУГЛА'!$B:$Z,AC$1,0))</f>
        <v/>
      </c>
      <c r="AD402" s="108">
        <v>0.25</v>
      </c>
      <c r="AE402" s="46"/>
      <c r="AF402" s="115"/>
    </row>
    <row r="403" spans="1:32" s="5" customFormat="1" ht="30.75" thickTop="1" x14ac:dyDescent="0.25">
      <c r="A403" s="132">
        <v>194866</v>
      </c>
      <c r="B403" s="132">
        <f>VLOOKUP($A403,'Выгр Кат'!$A:$S,B$1,0)</f>
        <v>19818</v>
      </c>
      <c r="C403" s="133" t="str">
        <f>VLOOKUP($A403,'Выгр Кат'!$A:$S,C$1,0)</f>
        <v>Подушка подвески двигателя "БРТ" передняя для автомобилей ГАЗ</v>
      </c>
      <c r="D403" s="132" t="str">
        <f>VLOOKUP($A403,'Выгр Кат'!$A:$S,D$1,0)</f>
        <v>Y</v>
      </c>
      <c r="E403" s="132" t="str">
        <f>VLOOKUP($A403,'Выгр Кат'!$A:$S,E$1,0)</f>
        <v>1</v>
      </c>
      <c r="F403" s="132" t="str">
        <f>VLOOKUP($A403,'Выгр Кат'!$A:$S,F$1,0)</f>
        <v>3102-1001020РУ</v>
      </c>
      <c r="G403" s="45" t="s">
        <v>540</v>
      </c>
      <c r="H403" s="29"/>
      <c r="I403" s="4" t="s">
        <v>2</v>
      </c>
      <c r="J403" s="95">
        <v>1</v>
      </c>
      <c r="K403" s="168">
        <f t="shared" si="222"/>
        <v>319</v>
      </c>
      <c r="L403" s="167">
        <f>VLOOKUP(K403,Наценка!$A$1:$B$8,2,1)</f>
        <v>1.5053763440860215</v>
      </c>
      <c r="M403" s="172">
        <f t="shared" si="225"/>
        <v>480.21505376344084</v>
      </c>
      <c r="N403" s="173">
        <f t="shared" si="215"/>
        <v>489</v>
      </c>
      <c r="O403" s="134">
        <f>VLOOKUP($A403,'Выгр Кат'!$A:$S,O$1,0)</f>
        <v>319</v>
      </c>
      <c r="P403" s="134">
        <f>VLOOKUP($A403,'Выгр Кат'!$A:$S,P$1,0)</f>
        <v>489</v>
      </c>
      <c r="Q403" s="107">
        <f t="shared" si="216"/>
        <v>0</v>
      </c>
      <c r="R403" s="107">
        <f t="shared" si="217"/>
        <v>0</v>
      </c>
      <c r="S403" s="110">
        <f t="shared" si="218"/>
        <v>454.77</v>
      </c>
      <c r="T403" s="135">
        <f t="shared" si="219"/>
        <v>0.42561128526645753</v>
      </c>
      <c r="U403" s="135" t="str">
        <f t="shared" si="220"/>
        <v/>
      </c>
      <c r="V403" s="135" t="str">
        <f t="shared" si="221"/>
        <v/>
      </c>
      <c r="W403" s="45"/>
      <c r="X403" s="114" t="str">
        <f>IFERROR((VLOOKUP($A403,'ИЗ ГУГЛА'!$B:$G,X$1,0)+Z403)*Y403,VLOOKUP($A403,'ИЗ ГУГЛА'!$B:$G,X$1,0))</f>
        <v/>
      </c>
      <c r="Y403" s="108">
        <v>1</v>
      </c>
      <c r="Z403" s="46"/>
      <c r="AA403" s="143" t="s">
        <v>1821</v>
      </c>
      <c r="AB403" s="124"/>
      <c r="AC403" s="114" t="str">
        <f>IFERROR((VLOOKUP($A403,'ИЗ ГУГЛА'!$B:$Z,AC$1,0)+AE403)*AD403,VLOOKUP($A403,'ИЗ ГУГЛА'!$B:$Z,AC$1,0))</f>
        <v/>
      </c>
      <c r="AD403" s="108">
        <v>1</v>
      </c>
      <c r="AE403" s="46"/>
      <c r="AF403" s="115"/>
    </row>
    <row r="404" spans="1:32" s="5" customFormat="1" ht="45.75" thickBot="1" x14ac:dyDescent="0.3">
      <c r="A404" s="132">
        <v>186745</v>
      </c>
      <c r="B404" s="132">
        <f>VLOOKUP($A404,'Выгр Кат'!$A:$S,B$1,0)</f>
        <v>19968</v>
      </c>
      <c r="C404" s="133" t="str">
        <f>VLOOKUP($A404,'Выгр Кат'!$A:$S,C$1,0)</f>
        <v>Патрубок радиатора подводящий (волна)  "БРТ" верхний для ВАЗ 2108-21099, 2113-2115</v>
      </c>
      <c r="D404" s="132" t="str">
        <f>VLOOKUP($A404,'Выгр Кат'!$A:$S,D$1,0)</f>
        <v>Y</v>
      </c>
      <c r="E404" s="132" t="str">
        <f>VLOOKUP($A404,'Выгр Кат'!$A:$S,E$1,0)</f>
        <v>1</v>
      </c>
      <c r="F404" s="132" t="str">
        <f>VLOOKUP($A404,'Выгр Кат'!$A:$S,F$1,0)</f>
        <v>2108-1303025РП</v>
      </c>
      <c r="G404" s="45" t="s">
        <v>332</v>
      </c>
      <c r="H404" s="29"/>
      <c r="I404" s="4" t="s">
        <v>2</v>
      </c>
      <c r="J404" s="95">
        <v>1</v>
      </c>
      <c r="K404" s="168">
        <f t="shared" si="222"/>
        <v>326</v>
      </c>
      <c r="L404" s="167">
        <f>VLOOKUP(K404,Наценка!$A$1:$B$8,2,1)</f>
        <v>1.5053763440860215</v>
      </c>
      <c r="M404" s="148">
        <f>W404*1.05</f>
        <v>555.45000000000005</v>
      </c>
      <c r="N404" s="173">
        <f t="shared" si="215"/>
        <v>559</v>
      </c>
      <c r="O404" s="134">
        <f>VLOOKUP($A404,'Выгр Кат'!$A:$S,O$1,0)</f>
        <v>326</v>
      </c>
      <c r="P404" s="134">
        <f>VLOOKUP($A404,'Выгр Кат'!$A:$S,P$1,0)</f>
        <v>559</v>
      </c>
      <c r="Q404" s="107">
        <f t="shared" si="216"/>
        <v>0</v>
      </c>
      <c r="R404" s="107">
        <f t="shared" si="217"/>
        <v>0</v>
      </c>
      <c r="S404" s="110">
        <f t="shared" si="218"/>
        <v>519.87</v>
      </c>
      <c r="T404" s="135">
        <f t="shared" si="219"/>
        <v>0.59469325153374242</v>
      </c>
      <c r="U404" s="135">
        <f t="shared" si="220"/>
        <v>1.725897920604914E-2</v>
      </c>
      <c r="V404" s="135">
        <f t="shared" si="221"/>
        <v>0.62269938650306744</v>
      </c>
      <c r="W404" s="117">
        <f>AA404</f>
        <v>529</v>
      </c>
      <c r="X404" s="114">
        <f>IFERROR((VLOOKUP($A404,'ИЗ ГУГЛА'!$B:$G,X$1,0)+Z404)*Y404,VLOOKUP($A404,'ИЗ ГУГЛА'!$B:$G,X$1,0))</f>
        <v>529</v>
      </c>
      <c r="Y404" s="108">
        <v>1</v>
      </c>
      <c r="Z404" s="46"/>
      <c r="AA404" s="136">
        <v>529</v>
      </c>
      <c r="AB404" s="124" t="s">
        <v>2608</v>
      </c>
      <c r="AC404" s="114" t="str">
        <f>IFERROR((VLOOKUP($A404,'ИЗ ГУГЛА'!$B:$Z,AC$1,0)+AE404)*AD404,VLOOKUP($A404,'ИЗ ГУГЛА'!$B:$Z,AC$1,0))</f>
        <v/>
      </c>
      <c r="AD404" s="108">
        <v>1</v>
      </c>
      <c r="AE404" s="46"/>
      <c r="AF404" s="115"/>
    </row>
    <row r="405" spans="1:32" s="5" customFormat="1" ht="31.5" thickTop="1" thickBot="1" x14ac:dyDescent="0.3">
      <c r="A405" s="132">
        <v>186744</v>
      </c>
      <c r="B405" s="132">
        <f>VLOOKUP($A405,'Выгр Кат'!$A:$S,B$1,0)</f>
        <v>19959</v>
      </c>
      <c r="C405" s="133" t="str">
        <f>VLOOKUP($A405,'Выгр Кат'!$A:$S,C$1,0)</f>
        <v>Патрубок радиатора подводящий "БРТ" малый для ВАЗ 2107</v>
      </c>
      <c r="D405" s="132" t="str">
        <f>VLOOKUP($A405,'Выгр Кат'!$A:$S,D$1,0)</f>
        <v>Y</v>
      </c>
      <c r="E405" s="132" t="str">
        <f>VLOOKUP($A405,'Выгр Кат'!$A:$S,E$1,0)</f>
        <v>1</v>
      </c>
      <c r="F405" s="132" t="str">
        <f>VLOOKUP($A405,'Выгр Кат'!$A:$S,F$1,0)</f>
        <v>21073-1303025РП</v>
      </c>
      <c r="G405" s="45" t="s">
        <v>308</v>
      </c>
      <c r="H405" s="29"/>
      <c r="I405" s="4" t="s">
        <v>2</v>
      </c>
      <c r="J405" s="95">
        <v>1</v>
      </c>
      <c r="K405" s="168">
        <f t="shared" si="222"/>
        <v>327</v>
      </c>
      <c r="L405" s="167">
        <f>VLOOKUP(K405,Наценка!$A$1:$B$8,2,1)</f>
        <v>1.5053763440860215</v>
      </c>
      <c r="M405" s="172">
        <f t="shared" si="225"/>
        <v>492.25806451612902</v>
      </c>
      <c r="N405" s="173">
        <f t="shared" si="215"/>
        <v>499</v>
      </c>
      <c r="O405" s="134">
        <f>VLOOKUP($A405,'Выгр Кат'!$A:$S,O$1,0)</f>
        <v>327</v>
      </c>
      <c r="P405" s="134">
        <f>VLOOKUP($A405,'Выгр Кат'!$A:$S,P$1,0)</f>
        <v>499</v>
      </c>
      <c r="Q405" s="107">
        <f t="shared" si="216"/>
        <v>0</v>
      </c>
      <c r="R405" s="107">
        <f t="shared" si="217"/>
        <v>0</v>
      </c>
      <c r="S405" s="110">
        <f t="shared" si="218"/>
        <v>464.07</v>
      </c>
      <c r="T405" s="135">
        <f t="shared" si="219"/>
        <v>0.41917431192660559</v>
      </c>
      <c r="U405" s="135" t="str">
        <f t="shared" si="220"/>
        <v/>
      </c>
      <c r="V405" s="135" t="str">
        <f t="shared" si="221"/>
        <v/>
      </c>
      <c r="W405" s="45"/>
      <c r="X405" s="114" t="str">
        <f>IFERROR((VLOOKUP($A405,'ИЗ ГУГЛА'!$B:$G,X$1,0)+Z405)*Y405,VLOOKUP($A405,'ИЗ ГУГЛА'!$B:$G,X$1,0))</f>
        <v/>
      </c>
      <c r="Y405" s="108">
        <v>1</v>
      </c>
      <c r="Z405" s="46"/>
      <c r="AA405" s="140" t="s">
        <v>1821</v>
      </c>
      <c r="AB405" s="129"/>
      <c r="AC405" s="114" t="str">
        <f>IFERROR((VLOOKUP($A405,'ИЗ ГУГЛА'!$B:$Z,AC$1,0)+AE405)*AD405,VLOOKUP($A405,'ИЗ ГУГЛА'!$B:$Z,AC$1,0))</f>
        <v/>
      </c>
      <c r="AD405" s="108">
        <v>1</v>
      </c>
      <c r="AE405" s="46"/>
      <c r="AF405" s="115"/>
    </row>
    <row r="406" spans="1:32" s="5" customFormat="1" ht="46.5" thickTop="1" thickBot="1" x14ac:dyDescent="0.3">
      <c r="A406" s="132">
        <v>186837</v>
      </c>
      <c r="B406" s="132">
        <f>VLOOKUP($A406,'Выгр Кат'!$A:$S,B$1,0)</f>
        <v>20425</v>
      </c>
      <c r="C406" s="133" t="str">
        <f>VLOOKUP($A406,'Выгр Кат'!$A:$S,C$1,0)</f>
        <v>Патрубок соединительный "БРТ" наливной горловины топливного бака Евро-3 для Лада Нива 4х4</v>
      </c>
      <c r="D406" s="132" t="str">
        <f>VLOOKUP($A406,'Выгр Кат'!$A:$S,D$1,0)</f>
        <v>Y</v>
      </c>
      <c r="E406" s="132" t="str">
        <f>VLOOKUP($A406,'Выгр Кат'!$A:$S,E$1,0)</f>
        <v>1</v>
      </c>
      <c r="F406" s="132" t="str">
        <f>VLOOKUP($A406,'Выгр Кат'!$A:$S,F$1,0)</f>
        <v>21214-1101070РП</v>
      </c>
      <c r="G406" s="45" t="s">
        <v>1821</v>
      </c>
      <c r="H406" s="29" t="s">
        <v>1821</v>
      </c>
      <c r="I406" s="4" t="s">
        <v>2</v>
      </c>
      <c r="J406" s="95">
        <v>1</v>
      </c>
      <c r="K406" s="168">
        <f t="shared" si="222"/>
        <v>190</v>
      </c>
      <c r="L406" s="167">
        <f>VLOOKUP(K406,Наценка!$A$1:$B$8,2,1)</f>
        <v>1.7204301075268817</v>
      </c>
      <c r="M406" s="172">
        <f t="shared" si="225"/>
        <v>326.88172043010752</v>
      </c>
      <c r="N406" s="173">
        <f t="shared" si="215"/>
        <v>329</v>
      </c>
      <c r="O406" s="134">
        <f>VLOOKUP($A406,'Выгр Кат'!$A:$S,O$1,0)</f>
        <v>190</v>
      </c>
      <c r="P406" s="134">
        <f>VLOOKUP($A406,'Выгр Кат'!$A:$S,P$1,0)</f>
        <v>329</v>
      </c>
      <c r="Q406" s="107">
        <f t="shared" si="216"/>
        <v>0</v>
      </c>
      <c r="R406" s="107">
        <f t="shared" si="217"/>
        <v>0</v>
      </c>
      <c r="S406" s="110">
        <f t="shared" si="218"/>
        <v>305.96999999999997</v>
      </c>
      <c r="T406" s="135">
        <f t="shared" si="219"/>
        <v>0.61036842105263145</v>
      </c>
      <c r="U406" s="135" t="str">
        <f t="shared" si="220"/>
        <v/>
      </c>
      <c r="V406" s="135" t="str">
        <f t="shared" si="221"/>
        <v/>
      </c>
      <c r="W406" s="45"/>
      <c r="X406" s="114" t="str">
        <f>IFERROR((VLOOKUP($A406,'ИЗ ГУГЛА'!$B:$G,X$1,0)+Z406)*Y406,VLOOKUP($A406,'ИЗ ГУГЛА'!$B:$G,X$1,0))</f>
        <v/>
      </c>
      <c r="Y406" s="108">
        <v>1</v>
      </c>
      <c r="Z406" s="46"/>
      <c r="AA406" s="140" t="s">
        <v>1821</v>
      </c>
      <c r="AB406" s="129"/>
      <c r="AC406" s="114" t="str">
        <f>IFERROR((VLOOKUP($A406,'ИЗ ГУГЛА'!$B:$Z,AC$1,0)+AE406)*AD406,VLOOKUP($A406,'ИЗ ГУГЛА'!$B:$Z,AC$1,0))</f>
        <v/>
      </c>
      <c r="AD406" s="108">
        <v>1</v>
      </c>
      <c r="AE406" s="46"/>
      <c r="AF406" s="115"/>
    </row>
    <row r="407" spans="1:32" s="5" customFormat="1" ht="31.5" thickTop="1" thickBot="1" x14ac:dyDescent="0.3">
      <c r="A407" s="132">
        <v>138758</v>
      </c>
      <c r="B407" s="132">
        <f>VLOOKUP($A407,'Выгр Кат'!$A:$S,B$1,0)</f>
        <v>35559</v>
      </c>
      <c r="C407" s="133" t="str">
        <f>VLOOKUP($A407,'Выгр Кат'!$A:$S,C$1,0)</f>
        <v>Брызговики "БРТ" задние, комплект для Лада Нива Урбан</v>
      </c>
      <c r="D407" s="132" t="str">
        <f>VLOOKUP($A407,'Выгр Кат'!$A:$S,D$1,0)</f>
        <v>Y</v>
      </c>
      <c r="E407" s="132" t="str">
        <f>VLOOKUP($A407,'Выгр Кат'!$A:$S,E$1,0)</f>
        <v>1</v>
      </c>
      <c r="F407" s="132" t="str">
        <f>VLOOKUP($A407,'Выгр Кат'!$A:$S,F$1,0)</f>
        <v>21218-8404310/11</v>
      </c>
      <c r="G407" s="44" t="s">
        <v>1315</v>
      </c>
      <c r="H407" s="29"/>
      <c r="I407" s="4" t="s">
        <v>2</v>
      </c>
      <c r="J407" s="95">
        <v>1</v>
      </c>
      <c r="K407" s="168">
        <f t="shared" si="222"/>
        <v>351</v>
      </c>
      <c r="L407" s="167">
        <f>VLOOKUP(K407,Наценка!$A$1:$B$8,2,1)</f>
        <v>1.5053763440860215</v>
      </c>
      <c r="M407" s="148">
        <f t="shared" ref="M407:M408" si="229">W407*1.06</f>
        <v>519.4</v>
      </c>
      <c r="N407" s="173">
        <f t="shared" si="215"/>
        <v>519</v>
      </c>
      <c r="O407" s="134">
        <f>VLOOKUP($A407,'Выгр Кат'!$A:$S,O$1,0)</f>
        <v>351</v>
      </c>
      <c r="P407" s="134">
        <f>VLOOKUP($A407,'Выгр Кат'!$A:$S,P$1,0)</f>
        <v>509</v>
      </c>
      <c r="Q407" s="107">
        <f t="shared" si="216"/>
        <v>0</v>
      </c>
      <c r="R407" s="107">
        <f t="shared" si="217"/>
        <v>-10</v>
      </c>
      <c r="S407" s="110">
        <f t="shared" si="218"/>
        <v>482.66999999999996</v>
      </c>
      <c r="T407" s="135">
        <f t="shared" si="219"/>
        <v>0.37512820512820499</v>
      </c>
      <c r="U407" s="135">
        <f t="shared" si="220"/>
        <v>1.4959183673469472E-2</v>
      </c>
      <c r="V407" s="135">
        <f t="shared" si="221"/>
        <v>0.39601139601139601</v>
      </c>
      <c r="W407" s="117">
        <f t="shared" ref="W407:W408" si="230">AA407</f>
        <v>490</v>
      </c>
      <c r="X407" s="114">
        <f>IFERROR((VLOOKUP($A407,'ИЗ ГУГЛА'!$B:$G,X$1,0)+Z407)*Y407,VLOOKUP($A407,'ИЗ ГУГЛА'!$B:$G,X$1,0))</f>
        <v>490</v>
      </c>
      <c r="Y407" s="108">
        <v>1</v>
      </c>
      <c r="Z407" s="46"/>
      <c r="AA407" s="136">
        <v>490</v>
      </c>
      <c r="AB407" s="124" t="s">
        <v>2607</v>
      </c>
      <c r="AC407" s="114" t="str">
        <f>IFERROR((VLOOKUP($A407,'ИЗ ГУГЛА'!$B:$Z,AC$1,0)+AE407)*AD407,VLOOKUP($A407,'ИЗ ГУГЛА'!$B:$Z,AC$1,0))</f>
        <v/>
      </c>
      <c r="AD407" s="108">
        <v>1</v>
      </c>
      <c r="AE407" s="46"/>
      <c r="AF407" s="115"/>
    </row>
    <row r="408" spans="1:32" s="5" customFormat="1" ht="31.5" thickTop="1" thickBot="1" x14ac:dyDescent="0.3">
      <c r="A408" s="132">
        <v>181548</v>
      </c>
      <c r="B408" s="132">
        <f>VLOOKUP($A408,'Выгр Кат'!$A:$S,B$1,0)</f>
        <v>35430</v>
      </c>
      <c r="C408" s="133" t="str">
        <f>VLOOKUP($A408,'Выгр Кат'!$A:$S,C$1,0)</f>
        <v>Опора "БРТ" кулисы для ВАЗ 2110-2112, Лада Приора</v>
      </c>
      <c r="D408" s="132" t="str">
        <f>VLOOKUP($A408,'Выгр Кат'!$A:$S,D$1,0)</f>
        <v>N</v>
      </c>
      <c r="E408" s="132" t="str">
        <f>VLOOKUP($A408,'Выгр Кат'!$A:$S,E$1,0)</f>
        <v>1</v>
      </c>
      <c r="F408" s="132" t="str">
        <f>VLOOKUP($A408,'Выгр Кат'!$A:$S,F$1,0)</f>
        <v>2110-1703190СЕБ</v>
      </c>
      <c r="G408" s="44" t="s">
        <v>956</v>
      </c>
      <c r="H408" s="29"/>
      <c r="I408" s="4" t="s">
        <v>2</v>
      </c>
      <c r="J408" s="95">
        <v>1</v>
      </c>
      <c r="K408" s="168">
        <f t="shared" si="222"/>
        <v>330</v>
      </c>
      <c r="L408" s="167">
        <f>VLOOKUP(K408,Наценка!$A$1:$B$8,2,1)</f>
        <v>1.5053763440860215</v>
      </c>
      <c r="M408" s="148">
        <f>W408*1.05</f>
        <v>724.5</v>
      </c>
      <c r="N408" s="173">
        <f t="shared" si="215"/>
        <v>729</v>
      </c>
      <c r="O408" s="134">
        <f>VLOOKUP($A408,'Выгр Кат'!$A:$S,O$1,0)</f>
        <v>330</v>
      </c>
      <c r="P408" s="134">
        <f>VLOOKUP($A408,'Выгр Кат'!$A:$S,P$1,0)</f>
        <v>719</v>
      </c>
      <c r="Q408" s="107">
        <f t="shared" si="216"/>
        <v>0</v>
      </c>
      <c r="R408" s="107">
        <f t="shared" si="217"/>
        <v>-10</v>
      </c>
      <c r="S408" s="110">
        <f t="shared" si="218"/>
        <v>677.96999999999991</v>
      </c>
      <c r="T408" s="135">
        <f t="shared" si="219"/>
        <v>1.0544545454545453</v>
      </c>
      <c r="U408" s="135">
        <f t="shared" si="220"/>
        <v>1.7434782608695777E-2</v>
      </c>
      <c r="V408" s="135">
        <f t="shared" si="221"/>
        <v>1.0909090909090908</v>
      </c>
      <c r="W408" s="117">
        <f t="shared" si="230"/>
        <v>690</v>
      </c>
      <c r="X408" s="114">
        <f>IFERROR((VLOOKUP($A408,'ИЗ ГУГЛА'!$B:$G,X$1,0)+Z408)*Y408,VLOOKUP($A408,'ИЗ ГУГЛА'!$B:$G,X$1,0))</f>
        <v>690</v>
      </c>
      <c r="Y408" s="108">
        <v>1</v>
      </c>
      <c r="Z408" s="46"/>
      <c r="AA408" s="136">
        <v>690</v>
      </c>
      <c r="AB408" s="124" t="s">
        <v>2552</v>
      </c>
      <c r="AC408" s="114" t="str">
        <f>IFERROR((VLOOKUP($A408,'ИЗ ГУГЛА'!$B:$Z,AC$1,0)+AE408)*AD408,VLOOKUP($A408,'ИЗ ГУГЛА'!$B:$Z,AC$1,0))</f>
        <v/>
      </c>
      <c r="AD408" s="108">
        <v>1</v>
      </c>
      <c r="AE408" s="46"/>
      <c r="AF408" s="115"/>
    </row>
    <row r="409" spans="1:32" s="5" customFormat="1" ht="30.75" thickTop="1" x14ac:dyDescent="0.25">
      <c r="A409" s="132">
        <v>223257</v>
      </c>
      <c r="B409" s="132">
        <f>VLOOKUP($A409,'Выгр Кат'!$A:$S,B$1,0)</f>
        <v>6145</v>
      </c>
      <c r="C409" s="133" t="str">
        <f>VLOOKUP($A409,'Выгр Кат'!$A:$S,C$1,0)</f>
        <v>Уплотнитель заднего стекла "БРТ" для ВАЗ 2111</v>
      </c>
      <c r="D409" s="132" t="str">
        <f>VLOOKUP($A409,'Выгр Кат'!$A:$S,D$1,0)</f>
        <v>Y</v>
      </c>
      <c r="E409" s="132" t="str">
        <f>VLOOKUP($A409,'Выгр Кат'!$A:$S,E$1,0)</f>
        <v>0</v>
      </c>
      <c r="F409" s="132">
        <f>VLOOKUP($A409,'Выгр Кат'!$A:$S,F$1,0)</f>
        <v>0</v>
      </c>
      <c r="G409" s="42" t="s">
        <v>776</v>
      </c>
      <c r="H409" s="29"/>
      <c r="I409" s="4" t="s">
        <v>2</v>
      </c>
      <c r="J409" s="95">
        <v>1</v>
      </c>
      <c r="K409" s="168">
        <f t="shared" si="222"/>
        <v>400</v>
      </c>
      <c r="L409" s="167">
        <f>VLOOKUP(K409,Наценка!$A$1:$B$8,2,1)</f>
        <v>1.5053763440860215</v>
      </c>
      <c r="M409" s="172">
        <f t="shared" si="225"/>
        <v>602.15053763440858</v>
      </c>
      <c r="N409" s="173">
        <f t="shared" si="215"/>
        <v>609</v>
      </c>
      <c r="O409" s="134">
        <f>VLOOKUP($A409,'Выгр Кат'!$A:$S,O$1,0)</f>
        <v>400</v>
      </c>
      <c r="P409" s="134">
        <f>VLOOKUP($A409,'Выгр Кат'!$A:$S,P$1,0)</f>
        <v>609</v>
      </c>
      <c r="Q409" s="107">
        <f t="shared" si="216"/>
        <v>0</v>
      </c>
      <c r="R409" s="107">
        <f t="shared" si="217"/>
        <v>0</v>
      </c>
      <c r="S409" s="110">
        <f t="shared" si="218"/>
        <v>566.37</v>
      </c>
      <c r="T409" s="135">
        <f t="shared" si="219"/>
        <v>0.4159250000000001</v>
      </c>
      <c r="U409" s="135" t="str">
        <f t="shared" si="220"/>
        <v/>
      </c>
      <c r="V409" s="135" t="str">
        <f t="shared" si="221"/>
        <v/>
      </c>
      <c r="W409" s="45"/>
      <c r="X409" s="114" t="str">
        <f>IFERROR((VLOOKUP($A409,'ИЗ ГУГЛА'!$B:$G,X$1,0)+Z409)*Y409,VLOOKUP($A409,'ИЗ ГУГЛА'!$B:$G,X$1,0))</f>
        <v/>
      </c>
      <c r="Y409" s="108">
        <v>1</v>
      </c>
      <c r="Z409" s="46"/>
      <c r="AA409" s="139"/>
      <c r="AB409" s="124"/>
      <c r="AC409" s="114" t="str">
        <f>IFERROR((VLOOKUP($A409,'ИЗ ГУГЛА'!$B:$Z,AC$1,0)+AE409)*AD409,VLOOKUP($A409,'ИЗ ГУГЛА'!$B:$Z,AC$1,0))</f>
        <v/>
      </c>
      <c r="AD409" s="108">
        <v>1</v>
      </c>
      <c r="AE409" s="46"/>
      <c r="AF409" s="115"/>
    </row>
    <row r="410" spans="1:32" s="5" customFormat="1" ht="30.75" thickBot="1" x14ac:dyDescent="0.3">
      <c r="A410" s="132">
        <v>186738</v>
      </c>
      <c r="B410" s="132">
        <f>VLOOKUP($A410,'Выгр Кат'!$A:$S,B$1,0)</f>
        <v>19938</v>
      </c>
      <c r="C410" s="133" t="str">
        <f>VLOOKUP($A410,'Выгр Кат'!$A:$S,C$1,0)</f>
        <v>Патрубок радиатора подводящий "БРТ" верхний для Лада Калина</v>
      </c>
      <c r="D410" s="132" t="str">
        <f>VLOOKUP($A410,'Выгр Кат'!$A:$S,D$1,0)</f>
        <v>Y</v>
      </c>
      <c r="E410" s="132" t="str">
        <f>VLOOKUP($A410,'Выгр Кат'!$A:$S,E$1,0)</f>
        <v>1</v>
      </c>
      <c r="F410" s="132" t="str">
        <f>VLOOKUP($A410,'Выгр Кат'!$A:$S,F$1,0)</f>
        <v>1119-1303025РП</v>
      </c>
      <c r="G410" s="43" t="s">
        <v>216</v>
      </c>
      <c r="H410" s="29"/>
      <c r="I410" s="4" t="s">
        <v>2</v>
      </c>
      <c r="J410" s="95">
        <v>1</v>
      </c>
      <c r="K410" s="168">
        <f t="shared" si="222"/>
        <v>330</v>
      </c>
      <c r="L410" s="167">
        <f>VLOOKUP(K410,Наценка!$A$1:$B$8,2,1)</f>
        <v>1.5053763440860215</v>
      </c>
      <c r="M410" s="172">
        <f t="shared" si="225"/>
        <v>496.77419354838707</v>
      </c>
      <c r="N410" s="173">
        <f t="shared" si="215"/>
        <v>499</v>
      </c>
      <c r="O410" s="134">
        <f>VLOOKUP($A410,'Выгр Кат'!$A:$S,O$1,0)</f>
        <v>330</v>
      </c>
      <c r="P410" s="134">
        <f>VLOOKUP($A410,'Выгр Кат'!$A:$S,P$1,0)</f>
        <v>499</v>
      </c>
      <c r="Q410" s="107">
        <f t="shared" si="216"/>
        <v>0</v>
      </c>
      <c r="R410" s="107">
        <f t="shared" si="217"/>
        <v>0</v>
      </c>
      <c r="S410" s="110">
        <f t="shared" si="218"/>
        <v>464.07</v>
      </c>
      <c r="T410" s="135">
        <f t="shared" si="219"/>
        <v>0.40627272727272734</v>
      </c>
      <c r="U410" s="135" t="str">
        <f t="shared" si="220"/>
        <v/>
      </c>
      <c r="V410" s="135" t="str">
        <f t="shared" si="221"/>
        <v/>
      </c>
      <c r="W410" s="45"/>
      <c r="X410" s="114" t="str">
        <f>IFERROR((VLOOKUP($A410,'ИЗ ГУГЛА'!$B:$G,X$1,0)+Z410)*Y410,VLOOKUP($A410,'ИЗ ГУГЛА'!$B:$G,X$1,0))</f>
        <v/>
      </c>
      <c r="Y410" s="108">
        <v>1</v>
      </c>
      <c r="Z410" s="46"/>
      <c r="AA410" s="140" t="s">
        <v>1821</v>
      </c>
      <c r="AB410" s="129"/>
      <c r="AC410" s="114" t="str">
        <f>IFERROR((VLOOKUP($A410,'ИЗ ГУГЛА'!$B:$Z,AC$1,0)+AE410)*AD410,VLOOKUP($A410,'ИЗ ГУГЛА'!$B:$Z,AC$1,0))</f>
        <v/>
      </c>
      <c r="AD410" s="108">
        <v>1</v>
      </c>
      <c r="AE410" s="46"/>
      <c r="AF410" s="115"/>
    </row>
    <row r="411" spans="1:32" s="5" customFormat="1" ht="31.5" thickTop="1" thickBot="1" x14ac:dyDescent="0.3">
      <c r="A411" s="132">
        <v>186704</v>
      </c>
      <c r="B411" s="132">
        <f>VLOOKUP($A411,'Выгр Кат'!$A:$S,B$1,0)</f>
        <v>19929</v>
      </c>
      <c r="C411" s="133" t="str">
        <f>VLOOKUP($A411,'Выгр Кат'!$A:$S,C$1,0)</f>
        <v>Патрубок подводящий радиатора "БРТ" верхний для Лада Калина</v>
      </c>
      <c r="D411" s="132" t="str">
        <f>VLOOKUP($A411,'Выгр Кат'!$A:$S,D$1,0)</f>
        <v>Y</v>
      </c>
      <c r="E411" s="132" t="str">
        <f>VLOOKUP($A411,'Выгр Кат'!$A:$S,E$1,0)</f>
        <v>1</v>
      </c>
      <c r="F411" s="132" t="str">
        <f>VLOOKUP($A411,'Выгр Кат'!$A:$S,F$1,0)</f>
        <v>1118-1303025РП</v>
      </c>
      <c r="G411" s="45" t="s">
        <v>216</v>
      </c>
      <c r="H411" s="29"/>
      <c r="I411" s="4" t="s">
        <v>2</v>
      </c>
      <c r="J411" s="95">
        <v>1</v>
      </c>
      <c r="K411" s="168">
        <f t="shared" si="222"/>
        <v>330</v>
      </c>
      <c r="L411" s="167">
        <f>VLOOKUP(K411,Наценка!$A$1:$B$8,2,1)</f>
        <v>1.5053763440860215</v>
      </c>
      <c r="M411" s="148">
        <f>W411*1.05</f>
        <v>597.45000000000005</v>
      </c>
      <c r="N411" s="173">
        <f t="shared" si="215"/>
        <v>599</v>
      </c>
      <c r="O411" s="134">
        <f>VLOOKUP($A411,'Выгр Кат'!$A:$S,O$1,0)</f>
        <v>330</v>
      </c>
      <c r="P411" s="134">
        <f>VLOOKUP($A411,'Выгр Кат'!$A:$S,P$1,0)</f>
        <v>599</v>
      </c>
      <c r="Q411" s="107">
        <f t="shared" si="216"/>
        <v>0</v>
      </c>
      <c r="R411" s="107">
        <f t="shared" si="217"/>
        <v>0</v>
      </c>
      <c r="S411" s="110">
        <f t="shared" si="218"/>
        <v>557.06999999999994</v>
      </c>
      <c r="T411" s="135">
        <f t="shared" si="219"/>
        <v>0.68809090909090886</v>
      </c>
      <c r="U411" s="135">
        <f t="shared" si="220"/>
        <v>2.0966608084358636E-2</v>
      </c>
      <c r="V411" s="135">
        <f t="shared" si="221"/>
        <v>0.72424242424242413</v>
      </c>
      <c r="W411" s="117">
        <f t="shared" ref="W411:W418" si="231">AA411</f>
        <v>569</v>
      </c>
      <c r="X411" s="114">
        <f>IFERROR((VLOOKUP($A411,'ИЗ ГУГЛА'!$B:$G,X$1,0)+Z411)*Y411,VLOOKUP($A411,'ИЗ ГУГЛА'!$B:$G,X$1,0))</f>
        <v>569</v>
      </c>
      <c r="Y411" s="108">
        <v>1</v>
      </c>
      <c r="Z411" s="46"/>
      <c r="AA411" s="136">
        <v>569</v>
      </c>
      <c r="AB411" s="124" t="s">
        <v>2606</v>
      </c>
      <c r="AC411" s="114" t="str">
        <f>IFERROR((VLOOKUP($A411,'ИЗ ГУГЛА'!$B:$Z,AC$1,0)+AE411)*AD411,VLOOKUP($A411,'ИЗ ГУГЛА'!$B:$Z,AC$1,0))</f>
        <v/>
      </c>
      <c r="AD411" s="108">
        <v>1</v>
      </c>
      <c r="AE411" s="46"/>
      <c r="AF411" s="115"/>
    </row>
    <row r="412" spans="1:32" s="5" customFormat="1" ht="31.5" thickTop="1" thickBot="1" x14ac:dyDescent="0.3">
      <c r="A412" s="132">
        <v>186743</v>
      </c>
      <c r="B412" s="132">
        <f>VLOOKUP($A412,'Выгр Кат'!$A:$S,B$1,0)</f>
        <v>19974</v>
      </c>
      <c r="C412" s="133" t="str">
        <f>VLOOKUP($A412,'Выгр Кат'!$A:$S,C$1,0)</f>
        <v>Патрубок радиатора подводящий "БРТ" для ВАЗ 2108 (инжектор)</v>
      </c>
      <c r="D412" s="132" t="str">
        <f>VLOOKUP($A412,'Выгр Кат'!$A:$S,D$1,0)</f>
        <v>Y</v>
      </c>
      <c r="E412" s="132" t="str">
        <f>VLOOKUP($A412,'Выгр Кат'!$A:$S,E$1,0)</f>
        <v>1</v>
      </c>
      <c r="F412" s="132" t="str">
        <f>VLOOKUP($A412,'Выгр Кат'!$A:$S,F$1,0)</f>
        <v>21082-1303025РП</v>
      </c>
      <c r="G412" s="45" t="s">
        <v>371</v>
      </c>
      <c r="H412" s="29"/>
      <c r="I412" s="4" t="s">
        <v>2</v>
      </c>
      <c r="J412" s="95">
        <v>1</v>
      </c>
      <c r="K412" s="168">
        <f t="shared" si="222"/>
        <v>331</v>
      </c>
      <c r="L412" s="167">
        <f>VLOOKUP(K412,Наценка!$A$1:$B$8,2,1)</f>
        <v>1.5053763440860215</v>
      </c>
      <c r="M412" s="172">
        <f t="shared" si="225"/>
        <v>498.27956989247309</v>
      </c>
      <c r="N412" s="173">
        <f t="shared" si="215"/>
        <v>499</v>
      </c>
      <c r="O412" s="134">
        <f>VLOOKUP($A412,'Выгр Кат'!$A:$S,O$1,0)</f>
        <v>331</v>
      </c>
      <c r="P412" s="134">
        <f>VLOOKUP($A412,'Выгр Кат'!$A:$S,P$1,0)</f>
        <v>499</v>
      </c>
      <c r="Q412" s="107">
        <f t="shared" si="216"/>
        <v>0</v>
      </c>
      <c r="R412" s="107">
        <f t="shared" si="217"/>
        <v>0</v>
      </c>
      <c r="S412" s="110">
        <f t="shared" si="218"/>
        <v>464.07</v>
      </c>
      <c r="T412" s="135">
        <f t="shared" si="219"/>
        <v>0.40202416918429007</v>
      </c>
      <c r="U412" s="135">
        <f t="shared" si="220"/>
        <v>-0.32971346704871057</v>
      </c>
      <c r="V412" s="135">
        <f t="shared" si="221"/>
        <v>5.4380664652567967E-2</v>
      </c>
      <c r="W412" s="117">
        <f t="shared" si="231"/>
        <v>349</v>
      </c>
      <c r="X412" s="114">
        <f>IFERROR((VLOOKUP($A412,'ИЗ ГУГЛА'!$B:$G,X$1,0)+Z412)*Y412,VLOOKUP($A412,'ИЗ ГУГЛА'!$B:$G,X$1,0))</f>
        <v>349</v>
      </c>
      <c r="Y412" s="108">
        <v>1</v>
      </c>
      <c r="Z412" s="46"/>
      <c r="AA412" s="136">
        <v>349</v>
      </c>
      <c r="AB412" s="124" t="s">
        <v>2605</v>
      </c>
      <c r="AC412" s="114" t="str">
        <f>IFERROR((VLOOKUP($A412,'ИЗ ГУГЛА'!$B:$Z,AC$1,0)+AE412)*AD412,VLOOKUP($A412,'ИЗ ГУГЛА'!$B:$Z,AC$1,0))</f>
        <v/>
      </c>
      <c r="AD412" s="108">
        <v>1</v>
      </c>
      <c r="AE412" s="46"/>
      <c r="AF412" s="115"/>
    </row>
    <row r="413" spans="1:32" s="5" customFormat="1" ht="31.5" thickTop="1" thickBot="1" x14ac:dyDescent="0.3">
      <c r="A413" s="132">
        <v>186739</v>
      </c>
      <c r="B413" s="132">
        <f>VLOOKUP($A413,'Выгр Кат'!$A:$S,B$1,0)</f>
        <v>20405</v>
      </c>
      <c r="C413" s="133" t="str">
        <f>VLOOKUP($A413,'Выгр Кат'!$A:$S,C$1,0)</f>
        <v>Патрубок радиатора подводящий "БРТ" верхний для Лада Нива 4х4</v>
      </c>
      <c r="D413" s="132" t="str">
        <f>VLOOKUP($A413,'Выгр Кат'!$A:$S,D$1,0)</f>
        <v>Y</v>
      </c>
      <c r="E413" s="132" t="str">
        <f>VLOOKUP($A413,'Выгр Кат'!$A:$S,E$1,0)</f>
        <v>1</v>
      </c>
      <c r="F413" s="132" t="str">
        <f>VLOOKUP($A413,'Выгр Кат'!$A:$S,F$1,0)</f>
        <v>2121-1303025РП</v>
      </c>
      <c r="G413" s="45" t="s">
        <v>441</v>
      </c>
      <c r="H413" s="29"/>
      <c r="I413" s="4" t="s">
        <v>2</v>
      </c>
      <c r="J413" s="95">
        <v>1</v>
      </c>
      <c r="K413" s="168">
        <f t="shared" si="222"/>
        <v>331</v>
      </c>
      <c r="L413" s="167">
        <f>VLOOKUP(K413,Наценка!$A$1:$B$8,2,1)</f>
        <v>1.5053763440860215</v>
      </c>
      <c r="M413" s="172">
        <f t="shared" si="225"/>
        <v>498.27956989247309</v>
      </c>
      <c r="N413" s="173">
        <f t="shared" si="215"/>
        <v>499</v>
      </c>
      <c r="O413" s="134">
        <f>VLOOKUP($A413,'Выгр Кат'!$A:$S,O$1,0)</f>
        <v>331</v>
      </c>
      <c r="P413" s="134">
        <f>VLOOKUP($A413,'Выгр Кат'!$A:$S,P$1,0)</f>
        <v>499</v>
      </c>
      <c r="Q413" s="107">
        <f t="shared" si="216"/>
        <v>0</v>
      </c>
      <c r="R413" s="107">
        <f t="shared" si="217"/>
        <v>0</v>
      </c>
      <c r="S413" s="110">
        <f t="shared" si="218"/>
        <v>464.07</v>
      </c>
      <c r="T413" s="135">
        <f t="shared" si="219"/>
        <v>0.40202416918429007</v>
      </c>
      <c r="U413" s="135">
        <f t="shared" si="220"/>
        <v>-0.55207357859531769</v>
      </c>
      <c r="V413" s="135">
        <f t="shared" si="221"/>
        <v>-9.6676737160120818E-2</v>
      </c>
      <c r="W413" s="117">
        <f t="shared" si="231"/>
        <v>299</v>
      </c>
      <c r="X413" s="114">
        <f>IFERROR((VLOOKUP($A413,'ИЗ ГУГЛА'!$B:$G,X$1,0)+Z413)*Y413,VLOOKUP($A413,'ИЗ ГУГЛА'!$B:$G,X$1,0))</f>
        <v>299</v>
      </c>
      <c r="Y413" s="108">
        <v>1</v>
      </c>
      <c r="Z413" s="46"/>
      <c r="AA413" s="136">
        <v>299</v>
      </c>
      <c r="AB413" s="124" t="s">
        <v>2571</v>
      </c>
      <c r="AC413" s="114" t="str">
        <f>IFERROR((VLOOKUP($A413,'ИЗ ГУГЛА'!$B:$Z,AC$1,0)+AE413)*AD413,VLOOKUP($A413,'ИЗ ГУГЛА'!$B:$Z,AC$1,0))</f>
        <v/>
      </c>
      <c r="AD413" s="108">
        <v>1</v>
      </c>
      <c r="AE413" s="46"/>
      <c r="AF413" s="115"/>
    </row>
    <row r="414" spans="1:32" s="5" customFormat="1" ht="46.5" thickTop="1" thickBot="1" x14ac:dyDescent="0.3">
      <c r="A414" s="132">
        <v>223228</v>
      </c>
      <c r="B414" s="132">
        <f>VLOOKUP($A414,'Выгр Кат'!$A:$S,B$1,0)</f>
        <v>36962</v>
      </c>
      <c r="C414" s="133" t="str">
        <f>VLOOKUP($A414,'Выгр Кат'!$A:$S,C$1,0)</f>
        <v>Уплотнитель "БРТ" опускного стекла внутренний, задний для ВАЗ 2110-2112</v>
      </c>
      <c r="D414" s="132" t="str">
        <f>VLOOKUP($A414,'Выгр Кат'!$A:$S,D$1,0)</f>
        <v>Y</v>
      </c>
      <c r="E414" s="132" t="str">
        <f>VLOOKUP($A414,'Выгр Кат'!$A:$S,E$1,0)</f>
        <v>1</v>
      </c>
      <c r="F414" s="132" t="str">
        <f>VLOOKUP($A414,'Выгр Кат'!$A:$S,F$1,0)</f>
        <v>2110-6203320</v>
      </c>
      <c r="G414" s="44" t="s">
        <v>409</v>
      </c>
      <c r="H414" s="29"/>
      <c r="I414" s="7" t="s">
        <v>2</v>
      </c>
      <c r="J414" s="95">
        <v>1</v>
      </c>
      <c r="K414" s="168">
        <f t="shared" si="222"/>
        <v>332</v>
      </c>
      <c r="L414" s="167">
        <f>VLOOKUP(K414,Наценка!$A$1:$B$8,2,1)</f>
        <v>1.5053763440860215</v>
      </c>
      <c r="M414" s="172">
        <f t="shared" si="225"/>
        <v>499.78494623655916</v>
      </c>
      <c r="N414" s="173">
        <f t="shared" si="215"/>
        <v>499</v>
      </c>
      <c r="O414" s="134">
        <f>VLOOKUP($A414,'Выгр Кат'!$A:$S,O$1,0)</f>
        <v>332</v>
      </c>
      <c r="P414" s="134">
        <f>VLOOKUP($A414,'Выгр Кат'!$A:$S,P$1,0)</f>
        <v>499</v>
      </c>
      <c r="Q414" s="107">
        <f t="shared" si="216"/>
        <v>0</v>
      </c>
      <c r="R414" s="107">
        <f t="shared" si="217"/>
        <v>0</v>
      </c>
      <c r="S414" s="110">
        <f t="shared" si="218"/>
        <v>464.07</v>
      </c>
      <c r="T414" s="135">
        <f t="shared" si="219"/>
        <v>0.39780120481927717</v>
      </c>
      <c r="U414" s="135">
        <f t="shared" si="220"/>
        <v>-1.0857078651685392</v>
      </c>
      <c r="V414" s="135">
        <f t="shared" si="221"/>
        <v>-0.32981927710843373</v>
      </c>
      <c r="W414" s="117">
        <f t="shared" si="231"/>
        <v>222.5</v>
      </c>
      <c r="X414" s="114">
        <f>IFERROR((VLOOKUP($A414,'ИЗ ГУГЛА'!$B:$G,X$1,0)+Z414)*Y414,VLOOKUP($A414,'ИЗ ГУГЛА'!$B:$G,X$1,0))</f>
        <v>222.5</v>
      </c>
      <c r="Y414" s="108">
        <v>0.25</v>
      </c>
      <c r="Z414" s="46"/>
      <c r="AA414" s="138">
        <v>222.5</v>
      </c>
      <c r="AB414" s="124" t="s">
        <v>2532</v>
      </c>
      <c r="AC414" s="114" t="str">
        <f>IFERROR((VLOOKUP($A414,'ИЗ ГУГЛА'!$B:$Z,AC$1,0)+AE414)*AD414,VLOOKUP($A414,'ИЗ ГУГЛА'!$B:$Z,AC$1,0))</f>
        <v/>
      </c>
      <c r="AD414" s="108">
        <v>0.25</v>
      </c>
      <c r="AE414" s="46"/>
      <c r="AF414" s="115"/>
    </row>
    <row r="415" spans="1:32" s="5" customFormat="1" ht="31.5" thickTop="1" thickBot="1" x14ac:dyDescent="0.3">
      <c r="A415" s="132">
        <v>223239</v>
      </c>
      <c r="B415" s="132">
        <f>VLOOKUP($A415,'Выгр Кат'!$A:$S,B$1,0)</f>
        <v>20467</v>
      </c>
      <c r="C415" s="133" t="str">
        <f>VLOOKUP($A415,'Выгр Кат'!$A:$S,C$1,0)</f>
        <v>Уплотнитель "БРТ" проёма передней двери для ВАЗ 2108</v>
      </c>
      <c r="D415" s="132" t="str">
        <f>VLOOKUP($A415,'Выгр Кат'!$A:$S,D$1,0)</f>
        <v>Y</v>
      </c>
      <c r="E415" s="132" t="str">
        <f>VLOOKUP($A415,'Выгр Кат'!$A:$S,E$1,0)</f>
        <v>1</v>
      </c>
      <c r="F415" s="132" t="str">
        <f>VLOOKUP($A415,'Выгр Кат'!$A:$S,F$1,0)</f>
        <v>2108-6107018Р</v>
      </c>
      <c r="G415" s="45" t="s">
        <v>360</v>
      </c>
      <c r="H415" s="29"/>
      <c r="I415" s="4" t="s">
        <v>2</v>
      </c>
      <c r="J415" s="95">
        <v>1</v>
      </c>
      <c r="K415" s="168">
        <f t="shared" si="222"/>
        <v>377</v>
      </c>
      <c r="L415" s="167">
        <f>VLOOKUP(K415,Наценка!$A$1:$B$8,2,1)</f>
        <v>1.5053763440860215</v>
      </c>
      <c r="M415" s="148">
        <f t="shared" ref="M415:M418" si="232">W415*1.06</f>
        <v>666.74</v>
      </c>
      <c r="N415" s="173">
        <f t="shared" si="215"/>
        <v>669</v>
      </c>
      <c r="O415" s="134">
        <f>VLOOKUP($A415,'Выгр Кат'!$A:$S,O$1,0)</f>
        <v>377</v>
      </c>
      <c r="P415" s="134">
        <f>VLOOKUP($A415,'Выгр Кат'!$A:$S,P$1,0)</f>
        <v>659</v>
      </c>
      <c r="Q415" s="107">
        <f t="shared" si="216"/>
        <v>0</v>
      </c>
      <c r="R415" s="107">
        <f t="shared" si="217"/>
        <v>-10</v>
      </c>
      <c r="S415" s="110">
        <f t="shared" si="218"/>
        <v>622.16999999999996</v>
      </c>
      <c r="T415" s="135">
        <f t="shared" si="219"/>
        <v>0.65031830238726784</v>
      </c>
      <c r="U415" s="135">
        <f t="shared" si="220"/>
        <v>1.0858505564387982E-2</v>
      </c>
      <c r="V415" s="135">
        <f t="shared" si="221"/>
        <v>0.66843501326259958</v>
      </c>
      <c r="W415" s="117">
        <f t="shared" si="231"/>
        <v>629</v>
      </c>
      <c r="X415" s="114">
        <f>IFERROR((VLOOKUP($A415,'ИЗ ГУГЛА'!$B:$G,X$1,0)+Z415)*Y415,VLOOKUP($A415,'ИЗ ГУГЛА'!$B:$G,X$1,0))</f>
        <v>629</v>
      </c>
      <c r="Y415" s="46">
        <v>1</v>
      </c>
      <c r="Z415" s="46"/>
      <c r="AA415" s="138">
        <v>629</v>
      </c>
      <c r="AB415" s="124" t="s">
        <v>2335</v>
      </c>
      <c r="AC415" s="114" t="str">
        <f>IFERROR((VLOOKUP($A415,'ИЗ ГУГЛА'!$B:$Z,AC$1,0)+AE415)*AD415,VLOOKUP($A415,'ИЗ ГУГЛА'!$B:$Z,AC$1,0))</f>
        <v/>
      </c>
      <c r="AD415" s="46">
        <v>1</v>
      </c>
      <c r="AE415" s="46"/>
      <c r="AF415" s="115"/>
    </row>
    <row r="416" spans="1:32" s="5" customFormat="1" ht="31.5" thickTop="1" thickBot="1" x14ac:dyDescent="0.3">
      <c r="A416" s="132">
        <v>218423</v>
      </c>
      <c r="B416" s="132">
        <f>VLOOKUP($A416,'Выгр Кат'!$A:$S,B$1,0)</f>
        <v>36975</v>
      </c>
      <c r="C416" s="133" t="str">
        <f>VLOOKUP($A416,'Выгр Кат'!$A:$S,C$1,0)</f>
        <v>Стойки стабилизатора "БРТ" для Лада Калина 2, Гранта</v>
      </c>
      <c r="D416" s="132" t="str">
        <f>VLOOKUP($A416,'Выгр Кат'!$A:$S,D$1,0)</f>
        <v>Y</v>
      </c>
      <c r="E416" s="132" t="str">
        <f>VLOOKUP($A416,'Выгр Кат'!$A:$S,E$1,0)</f>
        <v>1</v>
      </c>
      <c r="F416" s="132" t="str">
        <f>VLOOKUP($A416,'Выгр Кат'!$A:$S,F$1,0)</f>
        <v>2192-2906050себ</v>
      </c>
      <c r="G416" s="44" t="s">
        <v>1421</v>
      </c>
      <c r="H416" s="29"/>
      <c r="I416" s="7" t="s">
        <v>2</v>
      </c>
      <c r="J416" s="95">
        <v>1</v>
      </c>
      <c r="K416" s="168">
        <f t="shared" si="222"/>
        <v>297</v>
      </c>
      <c r="L416" s="167">
        <f>VLOOKUP(K416,Наценка!$A$1:$B$8,2,1)</f>
        <v>1.7204301075268817</v>
      </c>
      <c r="M416" s="148">
        <f t="shared" si="232"/>
        <v>625.4</v>
      </c>
      <c r="N416" s="173">
        <f t="shared" si="215"/>
        <v>629</v>
      </c>
      <c r="O416" s="134">
        <f>VLOOKUP($A416,'Выгр Кат'!$A:$S,O$1,0)</f>
        <v>297</v>
      </c>
      <c r="P416" s="134">
        <f>VLOOKUP($A416,'Выгр Кат'!$A:$S,P$1,0)</f>
        <v>619</v>
      </c>
      <c r="Q416" s="107">
        <f t="shared" si="216"/>
        <v>0</v>
      </c>
      <c r="R416" s="107">
        <f t="shared" si="217"/>
        <v>-10</v>
      </c>
      <c r="S416" s="110">
        <f t="shared" si="218"/>
        <v>584.96999999999991</v>
      </c>
      <c r="T416" s="135">
        <f t="shared" si="219"/>
        <v>0.96959595959595934</v>
      </c>
      <c r="U416" s="135">
        <f t="shared" si="220"/>
        <v>8.5254237288137063E-3</v>
      </c>
      <c r="V416" s="135">
        <f t="shared" si="221"/>
        <v>0.98653198653198659</v>
      </c>
      <c r="W416" s="117">
        <f t="shared" si="231"/>
        <v>590</v>
      </c>
      <c r="X416" s="114">
        <f>IFERROR((VLOOKUP($A416,'ИЗ ГУГЛА'!$B:$G,X$1,0)+Z416)*Y416,VLOOKUP($A416,'ИЗ ГУГЛА'!$B:$G,X$1,0))</f>
        <v>590</v>
      </c>
      <c r="Y416" s="108">
        <v>1</v>
      </c>
      <c r="Z416" s="46"/>
      <c r="AA416" s="136">
        <v>590</v>
      </c>
      <c r="AB416" s="124" t="s">
        <v>2525</v>
      </c>
      <c r="AC416" s="114" t="str">
        <f>IFERROR((VLOOKUP($A416,'ИЗ ГУГЛА'!$B:$Z,AC$1,0)+AE416)*AD416,VLOOKUP($A416,'ИЗ ГУГЛА'!$B:$Z,AC$1,0))</f>
        <v/>
      </c>
      <c r="AD416" s="108">
        <v>1</v>
      </c>
      <c r="AE416" s="46"/>
      <c r="AF416" s="115"/>
    </row>
    <row r="417" spans="1:32" s="5" customFormat="1" ht="31.5" thickTop="1" thickBot="1" x14ac:dyDescent="0.3">
      <c r="A417" s="132">
        <v>225925</v>
      </c>
      <c r="B417" s="132">
        <f>VLOOKUP($A417,'Выгр Кат'!$A:$S,B$1,0)</f>
        <v>35335</v>
      </c>
      <c r="C417" s="133" t="str">
        <f>VLOOKUP($A417,'Выгр Кат'!$A:$S,C$1,0)</f>
        <v>Шланг "БРТ" тормозной передний для ВАЗ 2110-2112</v>
      </c>
      <c r="D417" s="132" t="str">
        <f>VLOOKUP($A417,'Выгр Кат'!$A:$S,D$1,0)</f>
        <v>Y</v>
      </c>
      <c r="E417" s="132" t="str">
        <f>VLOOKUP($A417,'Выгр Кат'!$A:$S,E$1,0)</f>
        <v>1</v>
      </c>
      <c r="F417" s="132" t="str">
        <f>VLOOKUP($A417,'Выгр Кат'!$A:$S,F$1,0)</f>
        <v>2110-3506060</v>
      </c>
      <c r="G417" s="44" t="s">
        <v>405</v>
      </c>
      <c r="H417" s="29"/>
      <c r="I417" s="4" t="s">
        <v>2</v>
      </c>
      <c r="J417" s="95">
        <v>1</v>
      </c>
      <c r="K417" s="168">
        <f t="shared" si="222"/>
        <v>370</v>
      </c>
      <c r="L417" s="167">
        <f>VLOOKUP(K417,Наценка!$A$1:$B$8,2,1)</f>
        <v>1.5053763440860215</v>
      </c>
      <c r="M417" s="148">
        <f t="shared" si="232"/>
        <v>625.4</v>
      </c>
      <c r="N417" s="173">
        <f t="shared" si="215"/>
        <v>629</v>
      </c>
      <c r="O417" s="134">
        <f>VLOOKUP($A417,'Выгр Кат'!$A:$S,O$1,0)</f>
        <v>370</v>
      </c>
      <c r="P417" s="134">
        <f>VLOOKUP($A417,'Выгр Кат'!$A:$S,P$1,0)</f>
        <v>619</v>
      </c>
      <c r="Q417" s="107">
        <f t="shared" si="216"/>
        <v>0</v>
      </c>
      <c r="R417" s="107">
        <f t="shared" si="217"/>
        <v>-10</v>
      </c>
      <c r="S417" s="110">
        <f t="shared" si="218"/>
        <v>584.96999999999991</v>
      </c>
      <c r="T417" s="135">
        <f t="shared" si="219"/>
        <v>0.58099999999999974</v>
      </c>
      <c r="U417" s="135">
        <f t="shared" si="220"/>
        <v>8.5254237288137063E-3</v>
      </c>
      <c r="V417" s="135">
        <f t="shared" si="221"/>
        <v>0.59459459459459452</v>
      </c>
      <c r="W417" s="117">
        <f t="shared" si="231"/>
        <v>590</v>
      </c>
      <c r="X417" s="114">
        <f>IFERROR((VLOOKUP($A417,'ИЗ ГУГЛА'!$B:$G,X$1,0)+Z417)*Y417,VLOOKUP($A417,'ИЗ ГУГЛА'!$B:$G,X$1,0))</f>
        <v>590</v>
      </c>
      <c r="Y417" s="46">
        <v>1</v>
      </c>
      <c r="Z417" s="46"/>
      <c r="AA417" s="138">
        <v>590</v>
      </c>
      <c r="AB417" s="124" t="s">
        <v>2354</v>
      </c>
      <c r="AC417" s="114" t="str">
        <f>IFERROR((VLOOKUP($A417,'ИЗ ГУГЛА'!$B:$Z,AC$1,0)+AE417)*AD417,VLOOKUP($A417,'ИЗ ГУГЛА'!$B:$Z,AC$1,0))</f>
        <v/>
      </c>
      <c r="AD417" s="46">
        <v>1</v>
      </c>
      <c r="AE417" s="46"/>
      <c r="AF417" s="115"/>
    </row>
    <row r="418" spans="1:32" s="5" customFormat="1" ht="31.5" thickTop="1" thickBot="1" x14ac:dyDescent="0.3">
      <c r="A418" s="132">
        <v>223262</v>
      </c>
      <c r="B418" s="132">
        <f>VLOOKUP($A418,'Выгр Кат'!$A:$S,B$1,0)</f>
        <v>12589</v>
      </c>
      <c r="C418" s="133" t="str">
        <f>VLOOKUP($A418,'Выгр Кат'!$A:$S,C$1,0)</f>
        <v>Уплотнитель капота "БРТ" для Лада Приора</v>
      </c>
      <c r="D418" s="132" t="str">
        <f>VLOOKUP($A418,'Выгр Кат'!$A:$S,D$1,0)</f>
        <v>Y</v>
      </c>
      <c r="E418" s="132" t="str">
        <f>VLOOKUP($A418,'Выгр Кат'!$A:$S,E$1,0)</f>
        <v>1</v>
      </c>
      <c r="F418" s="132">
        <f>VLOOKUP($A418,'Выгр Кат'!$A:$S,F$1,0)</f>
        <v>0</v>
      </c>
      <c r="G418" s="45" t="s">
        <v>1821</v>
      </c>
      <c r="H418" s="29" t="s">
        <v>1821</v>
      </c>
      <c r="I418" s="4" t="s">
        <v>2</v>
      </c>
      <c r="J418" s="95">
        <v>1</v>
      </c>
      <c r="K418" s="168">
        <f t="shared" si="222"/>
        <v>330</v>
      </c>
      <c r="L418" s="167">
        <f>VLOOKUP(K418,Наценка!$A$1:$B$8,2,1)</f>
        <v>1.5053763440860215</v>
      </c>
      <c r="M418" s="148">
        <f t="shared" si="232"/>
        <v>519.4</v>
      </c>
      <c r="N418" s="173">
        <f t="shared" si="215"/>
        <v>519</v>
      </c>
      <c r="O418" s="134">
        <f>VLOOKUP($A418,'Выгр Кат'!$A:$S,O$1,0)</f>
        <v>330</v>
      </c>
      <c r="P418" s="134">
        <f>VLOOKUP($A418,'Выгр Кат'!$A:$S,P$1,0)</f>
        <v>509</v>
      </c>
      <c r="Q418" s="107">
        <f t="shared" si="216"/>
        <v>0</v>
      </c>
      <c r="R418" s="107">
        <f t="shared" si="217"/>
        <v>-10</v>
      </c>
      <c r="S418" s="110">
        <f t="shared" si="218"/>
        <v>482.66999999999996</v>
      </c>
      <c r="T418" s="135">
        <f t="shared" si="219"/>
        <v>0.46263636363636351</v>
      </c>
      <c r="U418" s="135">
        <f t="shared" si="220"/>
        <v>1.4959183673469472E-2</v>
      </c>
      <c r="V418" s="135">
        <f t="shared" si="221"/>
        <v>0.48484848484848486</v>
      </c>
      <c r="W418" s="117">
        <f t="shared" si="231"/>
        <v>490</v>
      </c>
      <c r="X418" s="114">
        <f>IFERROR((VLOOKUP($A418,'ИЗ ГУГЛА'!$B:$G,X$1,0)+Z418)*Y418,VLOOKUP($A418,'ИЗ ГУГЛА'!$B:$G,X$1,0))</f>
        <v>490</v>
      </c>
      <c r="Y418" s="46">
        <v>1</v>
      </c>
      <c r="Z418" s="46"/>
      <c r="AA418" s="138">
        <v>490</v>
      </c>
      <c r="AB418" s="124" t="s">
        <v>2288</v>
      </c>
      <c r="AC418" s="114" t="str">
        <f>IFERROR((VLOOKUP($A418,'ИЗ ГУГЛА'!$B:$Z,AC$1,0)+AE418)*AD418,VLOOKUP($A418,'ИЗ ГУГЛА'!$B:$Z,AC$1,0))</f>
        <v/>
      </c>
      <c r="AD418" s="46">
        <v>1</v>
      </c>
      <c r="AE418" s="46"/>
      <c r="AF418" s="115"/>
    </row>
    <row r="419" spans="1:32" s="5" customFormat="1" ht="31.5" thickTop="1" thickBot="1" x14ac:dyDescent="0.3">
      <c r="A419" s="132">
        <v>186736</v>
      </c>
      <c r="B419" s="132">
        <f>VLOOKUP($A419,'Выгр Кат'!$A:$S,B$1,0)</f>
        <v>19951</v>
      </c>
      <c r="C419" s="133" t="str">
        <f>VLOOKUP($A419,'Выгр Кат'!$A:$S,C$1,0)</f>
        <v>Патрубок радиатора подводящий "БРТ" верхний для ВАЗ 2104</v>
      </c>
      <c r="D419" s="132" t="str">
        <f>VLOOKUP($A419,'Выгр Кат'!$A:$S,D$1,0)</f>
        <v>Y</v>
      </c>
      <c r="E419" s="132" t="str">
        <f>VLOOKUP($A419,'Выгр Кат'!$A:$S,E$1,0)</f>
        <v>1</v>
      </c>
      <c r="F419" s="132" t="str">
        <f>VLOOKUP($A419,'Выгр Кат'!$A:$S,F$1,0)</f>
        <v>21045-1303025РП</v>
      </c>
      <c r="G419" s="45" t="s">
        <v>298</v>
      </c>
      <c r="H419" s="29"/>
      <c r="I419" s="4" t="s">
        <v>2</v>
      </c>
      <c r="J419" s="95">
        <v>1</v>
      </c>
      <c r="K419" s="168">
        <f t="shared" si="222"/>
        <v>339</v>
      </c>
      <c r="L419" s="167">
        <f>VLOOKUP(K419,Наценка!$A$1:$B$8,2,1)</f>
        <v>1.5053763440860215</v>
      </c>
      <c r="M419" s="172">
        <f t="shared" si="225"/>
        <v>510.32258064516128</v>
      </c>
      <c r="N419" s="173">
        <f t="shared" si="215"/>
        <v>519</v>
      </c>
      <c r="O419" s="134">
        <f>VLOOKUP($A419,'Выгр Кат'!$A:$S,O$1,0)</f>
        <v>339</v>
      </c>
      <c r="P419" s="134">
        <f>VLOOKUP($A419,'Выгр Кат'!$A:$S,P$1,0)</f>
        <v>519</v>
      </c>
      <c r="Q419" s="107">
        <f t="shared" si="216"/>
        <v>0</v>
      </c>
      <c r="R419" s="107">
        <f t="shared" si="217"/>
        <v>0</v>
      </c>
      <c r="S419" s="110">
        <f t="shared" si="218"/>
        <v>482.66999999999996</v>
      </c>
      <c r="T419" s="135">
        <f t="shared" si="219"/>
        <v>0.42380530973451314</v>
      </c>
      <c r="U419" s="135" t="str">
        <f t="shared" si="220"/>
        <v/>
      </c>
      <c r="V419" s="135" t="str">
        <f t="shared" si="221"/>
        <v/>
      </c>
      <c r="W419" s="45"/>
      <c r="X419" s="114" t="str">
        <f>IFERROR((VLOOKUP($A419,'ИЗ ГУГЛА'!$B:$G,X$1,0)+Z419)*Y419,VLOOKUP($A419,'ИЗ ГУГЛА'!$B:$G,X$1,0))</f>
        <v/>
      </c>
      <c r="Y419" s="108">
        <v>1</v>
      </c>
      <c r="Z419" s="46"/>
      <c r="AA419" s="140" t="s">
        <v>1821</v>
      </c>
      <c r="AB419" s="129"/>
      <c r="AC419" s="114" t="str">
        <f>IFERROR((VLOOKUP($A419,'ИЗ ГУГЛА'!$B:$Z,AC$1,0)+AE419)*AD419,VLOOKUP($A419,'ИЗ ГУГЛА'!$B:$Z,AC$1,0))</f>
        <v/>
      </c>
      <c r="AD419" s="108">
        <v>1</v>
      </c>
      <c r="AE419" s="46"/>
      <c r="AF419" s="115"/>
    </row>
    <row r="420" spans="1:32" s="5" customFormat="1" ht="31.5" thickTop="1" thickBot="1" x14ac:dyDescent="0.3">
      <c r="A420" s="132">
        <v>186734</v>
      </c>
      <c r="B420" s="132">
        <f>VLOOKUP($A420,'Выгр Кат'!$A:$S,B$1,0)</f>
        <v>19949</v>
      </c>
      <c r="C420" s="133" t="str">
        <f>VLOOKUP($A420,'Выгр Кат'!$A:$S,C$1,0)</f>
        <v>Патрубок радиатора подводящий "БРТ" верхний для ВАЗ 2103, 2106</v>
      </c>
      <c r="D420" s="132" t="str">
        <f>VLOOKUP($A420,'Выгр Кат'!$A:$S,D$1,0)</f>
        <v>Y</v>
      </c>
      <c r="E420" s="132" t="str">
        <f>VLOOKUP($A420,'Выгр Кат'!$A:$S,E$1,0)</f>
        <v>1</v>
      </c>
      <c r="F420" s="132" t="str">
        <f>VLOOKUP($A420,'Выгр Кат'!$A:$S,F$1,0)</f>
        <v>2103-1303025РП</v>
      </c>
      <c r="G420" s="45" t="s">
        <v>250</v>
      </c>
      <c r="H420" s="29"/>
      <c r="I420" s="4" t="s">
        <v>2</v>
      </c>
      <c r="J420" s="95">
        <v>1</v>
      </c>
      <c r="K420" s="168">
        <f t="shared" si="222"/>
        <v>340</v>
      </c>
      <c r="L420" s="167">
        <f>VLOOKUP(K420,Наценка!$A$1:$B$8,2,1)</f>
        <v>1.5053763440860215</v>
      </c>
      <c r="M420" s="172">
        <f t="shared" si="225"/>
        <v>511.8279569892473</v>
      </c>
      <c r="N420" s="173">
        <f t="shared" si="215"/>
        <v>519</v>
      </c>
      <c r="O420" s="134">
        <f>VLOOKUP($A420,'Выгр Кат'!$A:$S,O$1,0)</f>
        <v>340</v>
      </c>
      <c r="P420" s="134">
        <f>VLOOKUP($A420,'Выгр Кат'!$A:$S,P$1,0)</f>
        <v>519</v>
      </c>
      <c r="Q420" s="107">
        <f t="shared" si="216"/>
        <v>0</v>
      </c>
      <c r="R420" s="107">
        <f t="shared" si="217"/>
        <v>0</v>
      </c>
      <c r="S420" s="110">
        <f t="shared" si="218"/>
        <v>482.66999999999996</v>
      </c>
      <c r="T420" s="135">
        <f t="shared" si="219"/>
        <v>0.41961764705882332</v>
      </c>
      <c r="U420" s="135">
        <f t="shared" si="220"/>
        <v>-0.46708206686930076</v>
      </c>
      <c r="V420" s="135">
        <f t="shared" si="221"/>
        <v>-3.2352941176470584E-2</v>
      </c>
      <c r="W420" s="117">
        <f t="shared" ref="W420:W423" si="233">AA420</f>
        <v>329</v>
      </c>
      <c r="X420" s="114">
        <f>IFERROR((VLOOKUP($A420,'ИЗ ГУГЛА'!$B:$G,X$1,0)+Z420)*Y420,VLOOKUP($A420,'ИЗ ГУГЛА'!$B:$G,X$1,0))</f>
        <v>329</v>
      </c>
      <c r="Y420" s="108">
        <v>1</v>
      </c>
      <c r="Z420" s="46"/>
      <c r="AA420" s="136">
        <v>329</v>
      </c>
      <c r="AB420" s="124" t="s">
        <v>2674</v>
      </c>
      <c r="AC420" s="114" t="str">
        <f>IFERROR((VLOOKUP($A420,'ИЗ ГУГЛА'!$B:$Z,AC$1,0)+AE420)*AD420,VLOOKUP($A420,'ИЗ ГУГЛА'!$B:$Z,AC$1,0))</f>
        <v/>
      </c>
      <c r="AD420" s="108">
        <v>1</v>
      </c>
      <c r="AE420" s="46"/>
      <c r="AF420" s="115"/>
    </row>
    <row r="421" spans="1:32" s="5" customFormat="1" ht="46.5" thickTop="1" thickBot="1" x14ac:dyDescent="0.3">
      <c r="A421" s="132">
        <v>186733</v>
      </c>
      <c r="B421" s="132">
        <f>VLOOKUP($A421,'Выгр Кат'!$A:$S,B$1,0)</f>
        <v>19942</v>
      </c>
      <c r="C421" s="133" t="str">
        <f>VLOOKUP($A421,'Выгр Кат'!$A:$S,C$1,0)</f>
        <v>Патрубок радиатора подводящий "БРТ" верхний для ВАЗ 2101, 2102 (с медным радиатором)</v>
      </c>
      <c r="D421" s="132" t="str">
        <f>VLOOKUP($A421,'Выгр Кат'!$A:$S,D$1,0)</f>
        <v>Y</v>
      </c>
      <c r="E421" s="132" t="str">
        <f>VLOOKUP($A421,'Выгр Кат'!$A:$S,E$1,0)</f>
        <v>1</v>
      </c>
      <c r="F421" s="132" t="str">
        <f>VLOOKUP($A421,'Выгр Кат'!$A:$S,F$1,0)</f>
        <v>2101-1303025РП</v>
      </c>
      <c r="G421" s="45" t="s">
        <v>250</v>
      </c>
      <c r="H421" s="29"/>
      <c r="I421" s="4" t="s">
        <v>2</v>
      </c>
      <c r="J421" s="95">
        <v>1</v>
      </c>
      <c r="K421" s="168">
        <f t="shared" si="222"/>
        <v>340</v>
      </c>
      <c r="L421" s="167">
        <f>VLOOKUP(K421,Наценка!$A$1:$B$8,2,1)</f>
        <v>1.5053763440860215</v>
      </c>
      <c r="M421" s="148">
        <f>W421*1.05</f>
        <v>576.45000000000005</v>
      </c>
      <c r="N421" s="173">
        <f t="shared" si="215"/>
        <v>579</v>
      </c>
      <c r="O421" s="134">
        <f>VLOOKUP($A421,'Выгр Кат'!$A:$S,O$1,0)</f>
        <v>340</v>
      </c>
      <c r="P421" s="134">
        <f>VLOOKUP($A421,'Выгр Кат'!$A:$S,P$1,0)</f>
        <v>579</v>
      </c>
      <c r="Q421" s="107">
        <f t="shared" si="216"/>
        <v>0</v>
      </c>
      <c r="R421" s="107">
        <f t="shared" si="217"/>
        <v>0</v>
      </c>
      <c r="S421" s="110">
        <f t="shared" si="218"/>
        <v>538.46999999999991</v>
      </c>
      <c r="T421" s="135">
        <f t="shared" si="219"/>
        <v>0.5837352941176468</v>
      </c>
      <c r="U421" s="135">
        <f t="shared" si="220"/>
        <v>1.9180327868852615E-2</v>
      </c>
      <c r="V421" s="135">
        <f t="shared" si="221"/>
        <v>0.61470588235294121</v>
      </c>
      <c r="W421" s="117">
        <f t="shared" si="233"/>
        <v>549</v>
      </c>
      <c r="X421" s="114">
        <f>IFERROR((VLOOKUP($A421,'ИЗ ГУГЛА'!$B:$G,X$1,0)+Z421)*Y421,VLOOKUP($A421,'ИЗ ГУГЛА'!$B:$G,X$1,0))</f>
        <v>549</v>
      </c>
      <c r="Y421" s="108">
        <v>1</v>
      </c>
      <c r="Z421" s="46"/>
      <c r="AA421" s="136">
        <v>549</v>
      </c>
      <c r="AB421" s="124" t="s">
        <v>2604</v>
      </c>
      <c r="AC421" s="114" t="str">
        <f>IFERROR((VLOOKUP($A421,'ИЗ ГУГЛА'!$B:$Z,AC$1,0)+AE421)*AD421,VLOOKUP($A421,'ИЗ ГУГЛА'!$B:$Z,AC$1,0))</f>
        <v/>
      </c>
      <c r="AD421" s="108">
        <v>1</v>
      </c>
      <c r="AE421" s="46"/>
      <c r="AF421" s="115"/>
    </row>
    <row r="422" spans="1:32" s="5" customFormat="1" ht="31.5" thickTop="1" thickBot="1" x14ac:dyDescent="0.3">
      <c r="A422" s="132">
        <v>158289</v>
      </c>
      <c r="B422" s="132">
        <f>VLOOKUP($A422,'Выгр Кат'!$A:$S,B$1,0)</f>
        <v>35512</v>
      </c>
      <c r="C422" s="133" t="str">
        <f>VLOOKUP($A422,'Выгр Кат'!$A:$S,C$1,0)</f>
        <v>Комплект "БРТ" передних брызговиков для ВАЗ 2113-2115</v>
      </c>
      <c r="D422" s="132" t="str">
        <f>VLOOKUP($A422,'Выгр Кат'!$A:$S,D$1,0)</f>
        <v>Y</v>
      </c>
      <c r="E422" s="132" t="str">
        <f>VLOOKUP($A422,'Выгр Кат'!$A:$S,E$1,0)</f>
        <v>1</v>
      </c>
      <c r="F422" s="132" t="str">
        <f>VLOOKUP($A422,'Выгр Кат'!$A:$S,F$1,0)</f>
        <v>2114-8403512Р/13Р</v>
      </c>
      <c r="G422" s="44" t="s">
        <v>1265</v>
      </c>
      <c r="H422" s="29"/>
      <c r="I422" s="4" t="s">
        <v>2</v>
      </c>
      <c r="J422" s="95">
        <v>1</v>
      </c>
      <c r="K422" s="168">
        <f t="shared" si="222"/>
        <v>360</v>
      </c>
      <c r="L422" s="167">
        <f>VLOOKUP(K422,Наценка!$A$1:$B$8,2,1)</f>
        <v>1.5053763440860215</v>
      </c>
      <c r="M422" s="148">
        <f t="shared" ref="M421:M423" si="234">W422*1.06</f>
        <v>804.54000000000008</v>
      </c>
      <c r="N422" s="173">
        <f t="shared" si="215"/>
        <v>809</v>
      </c>
      <c r="O422" s="134">
        <f>VLOOKUP($A422,'Выгр Кат'!$A:$S,O$1,0)</f>
        <v>360</v>
      </c>
      <c r="P422" s="134">
        <f>VLOOKUP($A422,'Выгр Кат'!$A:$S,P$1,0)</f>
        <v>789</v>
      </c>
      <c r="Q422" s="107">
        <f t="shared" si="216"/>
        <v>0</v>
      </c>
      <c r="R422" s="107">
        <f t="shared" si="217"/>
        <v>-20</v>
      </c>
      <c r="S422" s="110">
        <f t="shared" si="218"/>
        <v>752.37</v>
      </c>
      <c r="T422" s="135">
        <f t="shared" si="219"/>
        <v>1.0899166666666669</v>
      </c>
      <c r="U422" s="135">
        <f t="shared" si="220"/>
        <v>8.7351778656126425E-3</v>
      </c>
      <c r="V422" s="135">
        <f t="shared" si="221"/>
        <v>1.1083333333333334</v>
      </c>
      <c r="W422" s="117">
        <f t="shared" si="233"/>
        <v>759</v>
      </c>
      <c r="X422" s="114">
        <f>IFERROR((VLOOKUP($A422,'ИЗ ГУГЛА'!$B:$G,X$1,0)+Z422)*Y422,VLOOKUP($A422,'ИЗ ГУГЛА'!$B:$G,X$1,0))</f>
        <v>759</v>
      </c>
      <c r="Y422" s="108">
        <v>1</v>
      </c>
      <c r="Z422" s="113">
        <v>369</v>
      </c>
      <c r="AA422" s="138">
        <v>759</v>
      </c>
      <c r="AB422" s="124" t="s">
        <v>2603</v>
      </c>
      <c r="AC422" s="114" t="str">
        <f>IFERROR((VLOOKUP($A422,'ИЗ ГУГЛА'!$B:$Z,AC$1,0)+AE422)*AD422,VLOOKUP($A422,'ИЗ ГУГЛА'!$B:$Z,AC$1,0))</f>
        <v/>
      </c>
      <c r="AD422" s="108">
        <v>1</v>
      </c>
      <c r="AE422" s="113">
        <v>369</v>
      </c>
      <c r="AF422" s="115"/>
    </row>
    <row r="423" spans="1:32" s="5" customFormat="1" ht="31.5" thickTop="1" thickBot="1" x14ac:dyDescent="0.3">
      <c r="A423" s="132">
        <v>223241</v>
      </c>
      <c r="B423" s="132">
        <f>VLOOKUP($A423,'Выгр Кат'!$A:$S,B$1,0)</f>
        <v>20490</v>
      </c>
      <c r="C423" s="133" t="str">
        <f>VLOOKUP($A423,'Выгр Кат'!$A:$S,C$1,0)</f>
        <v>Уплотнитель "БРТ" проёма передней двери для Лада Нива 4x4</v>
      </c>
      <c r="D423" s="132" t="str">
        <f>VLOOKUP($A423,'Выгр Кат'!$A:$S,D$1,0)</f>
        <v>Y</v>
      </c>
      <c r="E423" s="132" t="str">
        <f>VLOOKUP($A423,'Выгр Кат'!$A:$S,E$1,0)</f>
        <v>1</v>
      </c>
      <c r="F423" s="132" t="str">
        <f>VLOOKUP($A423,'Выгр Кат'!$A:$S,F$1,0)</f>
        <v>2121-6107018-10Р.</v>
      </c>
      <c r="G423" s="45" t="s">
        <v>456</v>
      </c>
      <c r="H423" s="29"/>
      <c r="I423" s="4" t="s">
        <v>2</v>
      </c>
      <c r="J423" s="95">
        <v>1</v>
      </c>
      <c r="K423" s="168">
        <f t="shared" si="222"/>
        <v>318</v>
      </c>
      <c r="L423" s="167">
        <f>VLOOKUP(K423,Наценка!$A$1:$B$8,2,1)</f>
        <v>1.5053763440860215</v>
      </c>
      <c r="M423" s="148">
        <f t="shared" si="234"/>
        <v>625.4</v>
      </c>
      <c r="N423" s="173">
        <f t="shared" si="215"/>
        <v>629</v>
      </c>
      <c r="O423" s="134">
        <f>VLOOKUP($A423,'Выгр Кат'!$A:$S,O$1,0)</f>
        <v>318</v>
      </c>
      <c r="P423" s="134">
        <f>VLOOKUP($A423,'Выгр Кат'!$A:$S,P$1,0)</f>
        <v>619</v>
      </c>
      <c r="Q423" s="107">
        <f t="shared" si="216"/>
        <v>0</v>
      </c>
      <c r="R423" s="107">
        <f t="shared" si="217"/>
        <v>-10</v>
      </c>
      <c r="S423" s="110">
        <f t="shared" si="218"/>
        <v>584.96999999999991</v>
      </c>
      <c r="T423" s="135">
        <f t="shared" si="219"/>
        <v>0.83952830188679228</v>
      </c>
      <c r="U423" s="135">
        <f t="shared" si="220"/>
        <v>8.5254237288137063E-3</v>
      </c>
      <c r="V423" s="135">
        <f t="shared" si="221"/>
        <v>0.85534591194968557</v>
      </c>
      <c r="W423" s="117">
        <f t="shared" si="233"/>
        <v>590</v>
      </c>
      <c r="X423" s="114">
        <f>IFERROR((VLOOKUP($A423,'ИЗ ГУГЛА'!$B:$G,X$1,0)+Z423)*Y423,VLOOKUP($A423,'ИЗ ГУГЛА'!$B:$G,X$1,0))</f>
        <v>590</v>
      </c>
      <c r="Y423" s="46">
        <v>1</v>
      </c>
      <c r="Z423" s="46"/>
      <c r="AA423" s="138">
        <v>590</v>
      </c>
      <c r="AB423" s="124" t="s">
        <v>2334</v>
      </c>
      <c r="AC423" s="114" t="str">
        <f>IFERROR((VLOOKUP($A423,'ИЗ ГУГЛА'!$B:$Z,AC$1,0)+AE423)*AD423,VLOOKUP($A423,'ИЗ ГУГЛА'!$B:$Z,AC$1,0))</f>
        <v/>
      </c>
      <c r="AD423" s="46">
        <v>1</v>
      </c>
      <c r="AE423" s="46"/>
      <c r="AF423" s="115"/>
    </row>
    <row r="424" spans="1:32" s="5" customFormat="1" ht="45.75" thickTop="1" x14ac:dyDescent="0.25">
      <c r="A424" s="132">
        <v>213135</v>
      </c>
      <c r="B424" s="132">
        <f>VLOOKUP($A424,'Выгр Кат'!$A:$S,B$1,0)</f>
        <v>34600</v>
      </c>
      <c r="C424" s="133" t="str">
        <f>VLOOKUP($A424,'Выгр Кат'!$A:$S,C$1,0)</f>
        <v>Сайлентблок "БРТ" задней балки для Лада (Веста, Ларгус, XRAY), Renault Logan</v>
      </c>
      <c r="D424" s="132" t="str">
        <f>VLOOKUP($A424,'Выгр Кат'!$A:$S,D$1,0)</f>
        <v>Y</v>
      </c>
      <c r="E424" s="132" t="str">
        <f>VLOOKUP($A424,'Выгр Кат'!$A:$S,E$1,0)</f>
        <v>1</v>
      </c>
      <c r="F424" s="132" t="str">
        <f>VLOOKUP($A424,'Выгр Кат'!$A:$S,F$1,0)</f>
        <v>2180-2914054РП</v>
      </c>
      <c r="G424" s="44" t="s">
        <v>560</v>
      </c>
      <c r="H424" s="29"/>
      <c r="I424" s="4" t="s">
        <v>2</v>
      </c>
      <c r="J424" s="95">
        <v>1</v>
      </c>
      <c r="K424" s="168">
        <f t="shared" si="222"/>
        <v>305</v>
      </c>
      <c r="L424" s="167">
        <f>VLOOKUP(K424,Наценка!$A$1:$B$8,2,1)</f>
        <v>1.5053763440860215</v>
      </c>
      <c r="M424" s="172">
        <f t="shared" si="225"/>
        <v>459.13978494623655</v>
      </c>
      <c r="N424" s="173">
        <f t="shared" si="215"/>
        <v>459</v>
      </c>
      <c r="O424" s="134">
        <f>VLOOKUP($A424,'Выгр Кат'!$A:$S,O$1,0)</f>
        <v>305</v>
      </c>
      <c r="P424" s="134">
        <f>VLOOKUP($A424,'Выгр Кат'!$A:$S,P$1,0)</f>
        <v>459</v>
      </c>
      <c r="Q424" s="107">
        <f t="shared" si="216"/>
        <v>0</v>
      </c>
      <c r="R424" s="107">
        <f t="shared" si="217"/>
        <v>0</v>
      </c>
      <c r="S424" s="110">
        <f t="shared" si="218"/>
        <v>426.86999999999995</v>
      </c>
      <c r="T424" s="135">
        <f t="shared" si="219"/>
        <v>0.3995737704918032</v>
      </c>
      <c r="U424" s="135" t="str">
        <f t="shared" si="220"/>
        <v/>
      </c>
      <c r="V424" s="135" t="str">
        <f t="shared" si="221"/>
        <v/>
      </c>
      <c r="W424" s="45"/>
      <c r="X424" s="114" t="str">
        <f>IFERROR((VLOOKUP($A424,'ИЗ ГУГЛА'!$B:$G,X$1,0)+Z424)*Y424,VLOOKUP($A424,'ИЗ ГУГЛА'!$B:$G,X$1,0))</f>
        <v/>
      </c>
      <c r="Y424" s="108">
        <v>1</v>
      </c>
      <c r="Z424" s="46"/>
      <c r="AA424" s="139" t="s">
        <v>1821</v>
      </c>
      <c r="AB424" s="124"/>
      <c r="AC424" s="114" t="str">
        <f>IFERROR((VLOOKUP($A424,'ИЗ ГУГЛА'!$B:$Z,AC$1,0)+AE424)*AD424,VLOOKUP($A424,'ИЗ ГУГЛА'!$B:$Z,AC$1,0))</f>
        <v/>
      </c>
      <c r="AD424" s="108">
        <v>1</v>
      </c>
      <c r="AE424" s="46"/>
      <c r="AF424" s="115"/>
    </row>
    <row r="425" spans="1:32" s="5" customFormat="1" ht="30" x14ac:dyDescent="0.25">
      <c r="A425" s="132">
        <v>225427</v>
      </c>
      <c r="B425" s="132">
        <f>VLOOKUP($A425,'Выгр Кат'!$A:$S,B$1,0)</f>
        <v>20306</v>
      </c>
      <c r="C425" s="133" t="str">
        <f>VLOOKUP($A425,'Выгр Кат'!$A:$S,C$1,0)</f>
        <v>Шарнир рычагов задней подвески в сборе "БРТ" для Лада Веста</v>
      </c>
      <c r="D425" s="132" t="str">
        <f>VLOOKUP($A425,'Выгр Кат'!$A:$S,D$1,0)</f>
        <v>Y</v>
      </c>
      <c r="E425" s="132" t="str">
        <f>VLOOKUP($A425,'Выгр Кат'!$A:$S,E$1,0)</f>
        <v>1</v>
      </c>
      <c r="F425" s="132" t="str">
        <f>VLOOKUP($A425,'Выгр Кат'!$A:$S,F$1,0)</f>
        <v>2180-2914054Р.</v>
      </c>
      <c r="G425" s="43" t="s">
        <v>560</v>
      </c>
      <c r="H425" s="29"/>
      <c r="I425" s="4" t="s">
        <v>2</v>
      </c>
      <c r="J425" s="95">
        <v>1</v>
      </c>
      <c r="K425" s="168">
        <f t="shared" si="222"/>
        <v>305</v>
      </c>
      <c r="L425" s="167">
        <f>VLOOKUP(K425,Наценка!$A$1:$B$8,2,1)</f>
        <v>1.5053763440860215</v>
      </c>
      <c r="M425" s="172">
        <f t="shared" si="225"/>
        <v>459.13978494623655</v>
      </c>
      <c r="N425" s="173">
        <f t="shared" si="215"/>
        <v>459</v>
      </c>
      <c r="O425" s="134">
        <f>VLOOKUP($A425,'Выгр Кат'!$A:$S,O$1,0)</f>
        <v>305</v>
      </c>
      <c r="P425" s="134">
        <f>VLOOKUP($A425,'Выгр Кат'!$A:$S,P$1,0)</f>
        <v>459</v>
      </c>
      <c r="Q425" s="107">
        <f t="shared" si="216"/>
        <v>0</v>
      </c>
      <c r="R425" s="107">
        <f t="shared" si="217"/>
        <v>0</v>
      </c>
      <c r="S425" s="110">
        <f t="shared" si="218"/>
        <v>426.86999999999995</v>
      </c>
      <c r="T425" s="135">
        <f t="shared" si="219"/>
        <v>0.3995737704918032</v>
      </c>
      <c r="U425" s="135" t="str">
        <f t="shared" si="220"/>
        <v/>
      </c>
      <c r="V425" s="135" t="str">
        <f t="shared" si="221"/>
        <v/>
      </c>
      <c r="W425" s="45"/>
      <c r="X425" s="114" t="str">
        <f>IFERROR((VLOOKUP($A425,'ИЗ ГУГЛА'!$B:$G,X$1,0)+Z425)*Y425,VLOOKUP($A425,'ИЗ ГУГЛА'!$B:$G,X$1,0))</f>
        <v/>
      </c>
      <c r="Y425" s="108">
        <v>1</v>
      </c>
      <c r="Z425" s="46"/>
      <c r="AA425" s="139" t="s">
        <v>1821</v>
      </c>
      <c r="AB425" s="124"/>
      <c r="AC425" s="114" t="str">
        <f>IFERROR((VLOOKUP($A425,'ИЗ ГУГЛА'!$B:$Z,AC$1,0)+AE425)*AD425,VLOOKUP($A425,'ИЗ ГУГЛА'!$B:$Z,AC$1,0))</f>
        <v/>
      </c>
      <c r="AD425" s="108">
        <v>1</v>
      </c>
      <c r="AE425" s="46"/>
      <c r="AF425" s="115"/>
    </row>
    <row r="426" spans="1:32" s="5" customFormat="1" ht="45.75" thickBot="1" x14ac:dyDescent="0.3">
      <c r="A426" s="132">
        <v>202257</v>
      </c>
      <c r="B426" s="132">
        <f>VLOOKUP($A426,'Выгр Кат'!$A:$S,B$1,0)</f>
        <v>2389</v>
      </c>
      <c r="C426" s="133" t="str">
        <f>VLOOKUP($A426,'Выгр Кат'!$A:$S,C$1,0)</f>
        <v>Пыльники передних стоек силикон "СИНИЙ" для ВАЗ 2108-2115, Приора, Калина, Гранта (2 шт)</v>
      </c>
      <c r="D426" s="132" t="str">
        <f>VLOOKUP($A426,'Выгр Кат'!$A:$S,D$1,0)</f>
        <v>Y</v>
      </c>
      <c r="E426" s="132" t="str">
        <f>VLOOKUP($A426,'Выгр Кат'!$A:$S,E$1,0)</f>
        <v>1</v>
      </c>
      <c r="F426" s="132">
        <f>VLOOKUP($A426,'Выгр Кат'!$A:$S,F$1,0)</f>
        <v>0</v>
      </c>
      <c r="G426" s="45" t="s">
        <v>1821</v>
      </c>
      <c r="H426" s="29" t="s">
        <v>1821</v>
      </c>
      <c r="I426" s="4" t="s">
        <v>2</v>
      </c>
      <c r="J426" s="95">
        <v>1</v>
      </c>
      <c r="K426" s="168">
        <f t="shared" si="222"/>
        <v>360</v>
      </c>
      <c r="L426" s="167">
        <f>VLOOKUP(K426,Наценка!$A$1:$B$8,2,1)</f>
        <v>1.5053763440860215</v>
      </c>
      <c r="M426" s="148">
        <f t="shared" ref="M426:M428" si="235">W426*1.06</f>
        <v>519.4</v>
      </c>
      <c r="N426" s="173">
        <f t="shared" si="215"/>
        <v>519</v>
      </c>
      <c r="O426" s="134">
        <f>VLOOKUP($A426,'Выгр Кат'!$A:$S,O$1,0)</f>
        <v>360</v>
      </c>
      <c r="P426" s="134">
        <f>VLOOKUP($A426,'Выгр Кат'!$A:$S,P$1,0)</f>
        <v>509</v>
      </c>
      <c r="Q426" s="107">
        <f t="shared" si="216"/>
        <v>0</v>
      </c>
      <c r="R426" s="107">
        <f t="shared" si="217"/>
        <v>-10</v>
      </c>
      <c r="S426" s="110">
        <f t="shared" si="218"/>
        <v>482.66999999999996</v>
      </c>
      <c r="T426" s="135">
        <f t="shared" si="219"/>
        <v>0.34074999999999989</v>
      </c>
      <c r="U426" s="135">
        <f t="shared" si="220"/>
        <v>1.4959183673469472E-2</v>
      </c>
      <c r="V426" s="135">
        <f t="shared" si="221"/>
        <v>0.36111111111111116</v>
      </c>
      <c r="W426" s="117">
        <f t="shared" ref="W426:W431" si="236">AA426</f>
        <v>490</v>
      </c>
      <c r="X426" s="114">
        <f>IFERROR((VLOOKUP($A426,'ИЗ ГУГЛА'!$B:$G,X$1,0)+Z426)*Y426,VLOOKUP($A426,'ИЗ ГУГЛА'!$B:$G,X$1,0))</f>
        <v>490</v>
      </c>
      <c r="Y426" s="46">
        <v>1</v>
      </c>
      <c r="Z426" s="46"/>
      <c r="AA426" s="138">
        <v>490</v>
      </c>
      <c r="AB426" s="124" t="s">
        <v>2328</v>
      </c>
      <c r="AC426" s="114" t="str">
        <f>IFERROR((VLOOKUP($A426,'ИЗ ГУГЛА'!$B:$Z,AC$1,0)+AE426)*AD426,VLOOKUP($A426,'ИЗ ГУГЛА'!$B:$Z,AC$1,0))</f>
        <v/>
      </c>
      <c r="AD426" s="46">
        <v>1</v>
      </c>
      <c r="AE426" s="46"/>
      <c r="AF426" s="115"/>
    </row>
    <row r="427" spans="1:32" s="5" customFormat="1" ht="46.5" thickTop="1" thickBot="1" x14ac:dyDescent="0.3">
      <c r="A427" s="132">
        <v>223231</v>
      </c>
      <c r="B427" s="132">
        <f>VLOOKUP($A427,'Выгр Кат'!$A:$S,B$1,0)</f>
        <v>35491</v>
      </c>
      <c r="C427" s="133" t="str">
        <f>VLOOKUP($A427,'Выгр Кат'!$A:$S,C$1,0)</f>
        <v>Уплотнитель "БРТ" опускного стекла наружный, передний, правый для ВАЗ 2110-2112</v>
      </c>
      <c r="D427" s="132" t="str">
        <f>VLOOKUP($A427,'Выгр Кат'!$A:$S,D$1,0)</f>
        <v>Y</v>
      </c>
      <c r="E427" s="132" t="str">
        <f>VLOOKUP($A427,'Выгр Кат'!$A:$S,E$1,0)</f>
        <v>1</v>
      </c>
      <c r="F427" s="132" t="str">
        <f>VLOOKUP($A427,'Выгр Кат'!$A:$S,F$1,0)</f>
        <v>2110-6103290-10</v>
      </c>
      <c r="G427" s="44" t="s">
        <v>1234</v>
      </c>
      <c r="H427" s="29"/>
      <c r="I427" s="4" t="s">
        <v>2</v>
      </c>
      <c r="J427" s="95">
        <v>1</v>
      </c>
      <c r="K427" s="168">
        <f t="shared" si="222"/>
        <v>351</v>
      </c>
      <c r="L427" s="167">
        <f>VLOOKUP(K427,Наценка!$A$1:$B$8,2,1)</f>
        <v>1.5053763440860215</v>
      </c>
      <c r="M427" s="151">
        <f>K427*1.2*100/93</f>
        <v>452.90322580645159</v>
      </c>
      <c r="N427" s="173">
        <f t="shared" si="215"/>
        <v>459</v>
      </c>
      <c r="O427" s="134">
        <f>VLOOKUP($A427,'Выгр Кат'!$A:$S,O$1,0)</f>
        <v>351</v>
      </c>
      <c r="P427" s="134">
        <f>VLOOKUP($A427,'Выгр Кат'!$A:$S,P$1,0)</f>
        <v>459</v>
      </c>
      <c r="Q427" s="107">
        <f t="shared" si="216"/>
        <v>0</v>
      </c>
      <c r="R427" s="107">
        <f t="shared" si="217"/>
        <v>0</v>
      </c>
      <c r="S427" s="110">
        <f t="shared" si="218"/>
        <v>426.86999999999995</v>
      </c>
      <c r="T427" s="135">
        <f t="shared" si="219"/>
        <v>0.21615384615384592</v>
      </c>
      <c r="U427" s="135">
        <f t="shared" si="220"/>
        <v>-1.0343195266272066E-2</v>
      </c>
      <c r="V427" s="135">
        <f t="shared" si="221"/>
        <v>0.20370370370370372</v>
      </c>
      <c r="W427" s="117">
        <f t="shared" si="236"/>
        <v>422.5</v>
      </c>
      <c r="X427" s="114">
        <f>IFERROR((VLOOKUP($A427,'ИЗ ГУГЛА'!$B:$G,X$1,0)+Z427)*Y427,VLOOKUP($A427,'ИЗ ГУГЛА'!$B:$G,X$1,0))</f>
        <v>422.5</v>
      </c>
      <c r="Y427" s="108">
        <v>0.25</v>
      </c>
      <c r="Z427" s="46"/>
      <c r="AA427" s="138">
        <v>422.5</v>
      </c>
      <c r="AB427" s="124" t="s">
        <v>2680</v>
      </c>
      <c r="AC427" s="114" t="str">
        <f>IFERROR((VLOOKUP($A427,'ИЗ ГУГЛА'!$B:$Z,AC$1,0)+AE427)*AD427,VLOOKUP($A427,'ИЗ ГУГЛА'!$B:$Z,AC$1,0))</f>
        <v/>
      </c>
      <c r="AD427" s="108">
        <v>0.25</v>
      </c>
      <c r="AE427" s="46"/>
      <c r="AF427" s="115"/>
    </row>
    <row r="428" spans="1:32" s="5" customFormat="1" ht="31.5" thickTop="1" thickBot="1" x14ac:dyDescent="0.3">
      <c r="A428" s="132">
        <v>157738</v>
      </c>
      <c r="B428" s="132">
        <f>VLOOKUP($A428,'Выгр Кат'!$A:$S,B$1,0)</f>
        <v>20292</v>
      </c>
      <c r="C428" s="133" t="str">
        <f>VLOOKUP($A428,'Выгр Кат'!$A:$S,C$1,0)</f>
        <v>Кожух амортизатора передней подвески "БРТ" для ВАЗ 2110-2112</v>
      </c>
      <c r="D428" s="132" t="str">
        <f>VLOOKUP($A428,'Выгр Кат'!$A:$S,D$1,0)</f>
        <v>N</v>
      </c>
      <c r="E428" s="132" t="str">
        <f>VLOOKUP($A428,'Выгр Кат'!$A:$S,E$1,0)</f>
        <v>1</v>
      </c>
      <c r="F428" s="132" t="str">
        <f>VLOOKUP($A428,'Выгр Кат'!$A:$S,F$1,0)</f>
        <v>2110-2905681Р.</v>
      </c>
      <c r="G428" s="45" t="s">
        <v>398</v>
      </c>
      <c r="H428" s="29"/>
      <c r="I428" s="4" t="s">
        <v>2</v>
      </c>
      <c r="J428" s="95">
        <v>1</v>
      </c>
      <c r="K428" s="168">
        <f t="shared" si="222"/>
        <v>341</v>
      </c>
      <c r="L428" s="167">
        <f>VLOOKUP(K428,Наценка!$A$1:$B$8,2,1)</f>
        <v>1.5053763440860215</v>
      </c>
      <c r="M428" s="148">
        <f>W428*1.05</f>
        <v>597.45000000000005</v>
      </c>
      <c r="N428" s="173">
        <f t="shared" si="215"/>
        <v>599</v>
      </c>
      <c r="O428" s="134">
        <f>VLOOKUP($A428,'Выгр Кат'!$A:$S,O$1,0)</f>
        <v>341</v>
      </c>
      <c r="P428" s="134">
        <f>VLOOKUP($A428,'Выгр Кат'!$A:$S,P$1,0)</f>
        <v>599</v>
      </c>
      <c r="Q428" s="107">
        <f t="shared" si="216"/>
        <v>0</v>
      </c>
      <c r="R428" s="107">
        <f t="shared" si="217"/>
        <v>0</v>
      </c>
      <c r="S428" s="110">
        <f t="shared" si="218"/>
        <v>557.06999999999994</v>
      </c>
      <c r="T428" s="135">
        <f t="shared" si="219"/>
        <v>0.63363636363636355</v>
      </c>
      <c r="U428" s="135">
        <f t="shared" si="220"/>
        <v>2.0966608084358636E-2</v>
      </c>
      <c r="V428" s="135">
        <f t="shared" si="221"/>
        <v>0.66862170087976547</v>
      </c>
      <c r="W428" s="117">
        <f t="shared" si="236"/>
        <v>569</v>
      </c>
      <c r="X428" s="114">
        <f>IFERROR((VLOOKUP($A428,'ИЗ ГУГЛА'!$B:$G,X$1,0)+Z428)*Y428,VLOOKUP($A428,'ИЗ ГУГЛА'!$B:$G,X$1,0))</f>
        <v>569</v>
      </c>
      <c r="Y428" s="108">
        <v>1</v>
      </c>
      <c r="Z428" s="46"/>
      <c r="AA428" s="136">
        <v>569</v>
      </c>
      <c r="AB428" s="124" t="s">
        <v>2602</v>
      </c>
      <c r="AC428" s="114" t="str">
        <f>IFERROR((VLOOKUP($A428,'ИЗ ГУГЛА'!$B:$Z,AC$1,0)+AE428)*AD428,VLOOKUP($A428,'ИЗ ГУГЛА'!$B:$Z,AC$1,0))</f>
        <v/>
      </c>
      <c r="AD428" s="108">
        <v>1</v>
      </c>
      <c r="AE428" s="46"/>
      <c r="AF428" s="115"/>
    </row>
    <row r="429" spans="1:32" s="5" customFormat="1" ht="61.5" thickTop="1" thickBot="1" x14ac:dyDescent="0.3">
      <c r="A429" s="132">
        <v>185461</v>
      </c>
      <c r="B429" s="132">
        <f>VLOOKUP($A429,'Выгр Кат'!$A:$S,B$1,0)</f>
        <v>2368</v>
      </c>
      <c r="C429" s="133" t="str">
        <f>VLOOKUP($A429,'Выгр Кат'!$A:$S,C$1,0)</f>
        <v>Пыльник стойки "БРТ" передней подвески для ВАЗ (2108-21099, 2110-2112, 2113-2115), Лада (Калина, Калина 2, Приора, Гранта)</v>
      </c>
      <c r="D429" s="132" t="str">
        <f>VLOOKUP($A429,'Выгр Кат'!$A:$S,D$1,0)</f>
        <v>Y</v>
      </c>
      <c r="E429" s="132" t="str">
        <f>VLOOKUP($A429,'Выгр Кат'!$A:$S,E$1,0)</f>
        <v>1</v>
      </c>
      <c r="F429" s="132" t="str">
        <f>VLOOKUP($A429,'Выгр Кат'!$A:$S,F$1,0)</f>
        <v>21100290568100</v>
      </c>
      <c r="G429" s="34" t="s">
        <v>398</v>
      </c>
      <c r="H429" s="29"/>
      <c r="I429" s="4" t="s">
        <v>2</v>
      </c>
      <c r="J429" s="95">
        <v>1</v>
      </c>
      <c r="K429" s="168">
        <f t="shared" si="222"/>
        <v>341</v>
      </c>
      <c r="L429" s="167">
        <f>VLOOKUP(K429,Наценка!$A$1:$B$8,2,1)</f>
        <v>1.5053763440860215</v>
      </c>
      <c r="M429" s="172">
        <f t="shared" si="225"/>
        <v>513.33333333333337</v>
      </c>
      <c r="N429" s="173">
        <f t="shared" si="215"/>
        <v>519</v>
      </c>
      <c r="O429" s="134">
        <f>VLOOKUP($A429,'Выгр Кат'!$A:$S,O$1,0)</f>
        <v>341</v>
      </c>
      <c r="P429" s="134">
        <f>VLOOKUP($A429,'Выгр Кат'!$A:$S,P$1,0)</f>
        <v>519</v>
      </c>
      <c r="Q429" s="107">
        <f t="shared" si="216"/>
        <v>0</v>
      </c>
      <c r="R429" s="107">
        <f t="shared" si="217"/>
        <v>0</v>
      </c>
      <c r="S429" s="110">
        <f t="shared" si="218"/>
        <v>482.66999999999996</v>
      </c>
      <c r="T429" s="135">
        <f t="shared" si="219"/>
        <v>0.4154545454545453</v>
      </c>
      <c r="U429" s="135">
        <f t="shared" si="220"/>
        <v>-0.69655536028119491</v>
      </c>
      <c r="V429" s="135">
        <f t="shared" si="221"/>
        <v>-0.16568914956011727</v>
      </c>
      <c r="W429" s="117">
        <f t="shared" si="236"/>
        <v>284.5</v>
      </c>
      <c r="X429" s="114">
        <f>IFERROR((VLOOKUP($A429,'ИЗ ГУГЛА'!$B:$G,X$1,0)+Z429)*Y429,VLOOKUP($A429,'ИЗ ГУГЛА'!$B:$G,X$1,0))</f>
        <v>284.5</v>
      </c>
      <c r="Y429" s="108">
        <v>0.5</v>
      </c>
      <c r="Z429" s="46"/>
      <c r="AA429" s="138">
        <v>284.5</v>
      </c>
      <c r="AB429" s="124" t="s">
        <v>2602</v>
      </c>
      <c r="AC429" s="114" t="str">
        <f>IFERROR((VLOOKUP($A429,'ИЗ ГУГЛА'!$B:$Z,AC$1,0)+AE429)*AD429,VLOOKUP($A429,'ИЗ ГУГЛА'!$B:$Z,AC$1,0))</f>
        <v/>
      </c>
      <c r="AD429" s="108">
        <v>0.5</v>
      </c>
      <c r="AE429" s="46"/>
      <c r="AF429" s="115"/>
    </row>
    <row r="430" spans="1:32" s="5" customFormat="1" ht="46.5" thickTop="1" thickBot="1" x14ac:dyDescent="0.3">
      <c r="A430" s="132">
        <v>186671</v>
      </c>
      <c r="B430" s="132">
        <f>VLOOKUP($A430,'Выгр Кат'!$A:$S,B$1,0)</f>
        <v>20380</v>
      </c>
      <c r="C430" s="133" t="str">
        <f>VLOOKUP($A430,'Выгр Кат'!$A:$S,C$1,0)</f>
        <v>Патрубок нижний радиатора "БРТ" отводящий для ВАЗ 2110-2112, Лада Приора (16-ти клапанный двигатель)</v>
      </c>
      <c r="D430" s="132" t="str">
        <f>VLOOKUP($A430,'Выгр Кат'!$A:$S,D$1,0)</f>
        <v>Y</v>
      </c>
      <c r="E430" s="132" t="str">
        <f>VLOOKUP($A430,'Выгр Кат'!$A:$S,E$1,0)</f>
        <v>1</v>
      </c>
      <c r="F430" s="132" t="str">
        <f>VLOOKUP($A430,'Выгр Кат'!$A:$S,F$1,0)</f>
        <v>2112-1303010РП</v>
      </c>
      <c r="G430" s="45" t="s">
        <v>428</v>
      </c>
      <c r="H430" s="29"/>
      <c r="I430" s="4" t="s">
        <v>2</v>
      </c>
      <c r="J430" s="95">
        <v>1</v>
      </c>
      <c r="K430" s="168">
        <f t="shared" si="222"/>
        <v>360</v>
      </c>
      <c r="L430" s="167">
        <f>VLOOKUP(K430,Наценка!$A$1:$B$8,2,1)</f>
        <v>1.5053763440860215</v>
      </c>
      <c r="M430" s="148">
        <f t="shared" ref="M430:M431" si="237">W430*1.05</f>
        <v>576.45000000000005</v>
      </c>
      <c r="N430" s="173">
        <f t="shared" si="215"/>
        <v>579</v>
      </c>
      <c r="O430" s="134">
        <f>VLOOKUP($A430,'Выгр Кат'!$A:$S,O$1,0)</f>
        <v>360</v>
      </c>
      <c r="P430" s="134">
        <f>VLOOKUP($A430,'Выгр Кат'!$A:$S,P$1,0)</f>
        <v>579</v>
      </c>
      <c r="Q430" s="107">
        <f t="shared" si="216"/>
        <v>0</v>
      </c>
      <c r="R430" s="107">
        <f t="shared" si="217"/>
        <v>0</v>
      </c>
      <c r="S430" s="110">
        <f t="shared" si="218"/>
        <v>538.46999999999991</v>
      </c>
      <c r="T430" s="135">
        <f t="shared" si="219"/>
        <v>0.49574999999999969</v>
      </c>
      <c r="U430" s="135">
        <f t="shared" si="220"/>
        <v>1.9180327868852615E-2</v>
      </c>
      <c r="V430" s="135">
        <f t="shared" si="221"/>
        <v>0.52499999999999991</v>
      </c>
      <c r="W430" s="117">
        <f t="shared" si="236"/>
        <v>549</v>
      </c>
      <c r="X430" s="114">
        <f>IFERROR((VLOOKUP($A430,'ИЗ ГУГЛА'!$B:$G,X$1,0)+Z430)*Y430,VLOOKUP($A430,'ИЗ ГУГЛА'!$B:$G,X$1,0))</f>
        <v>549</v>
      </c>
      <c r="Y430" s="108">
        <v>1</v>
      </c>
      <c r="Z430" s="46"/>
      <c r="AA430" s="136">
        <v>549</v>
      </c>
      <c r="AB430" s="124" t="s">
        <v>2600</v>
      </c>
      <c r="AC430" s="114" t="str">
        <f>IFERROR((VLOOKUP($A430,'ИЗ ГУГЛА'!$B:$Z,AC$1,0)+AE430)*AD430,VLOOKUP($A430,'ИЗ ГУГЛА'!$B:$Z,AC$1,0))</f>
        <v/>
      </c>
      <c r="AD430" s="108">
        <v>1</v>
      </c>
      <c r="AE430" s="46"/>
      <c r="AF430" s="115"/>
    </row>
    <row r="431" spans="1:32" s="5" customFormat="1" ht="46.5" thickTop="1" thickBot="1" x14ac:dyDescent="0.3">
      <c r="A431" s="132">
        <v>223219</v>
      </c>
      <c r="B431" s="132">
        <f>VLOOKUP($A431,'Выгр Кат'!$A:$S,B$1,0)</f>
        <v>20502</v>
      </c>
      <c r="C431" s="133" t="str">
        <f>VLOOKUP($A431,'Выгр Кат'!$A:$S,C$1,0)</f>
        <v>Уплотнитель "БРТ" крышки багажника для Лада Приора, Приора 2, Веста</v>
      </c>
      <c r="D431" s="132" t="str">
        <f>VLOOKUP($A431,'Выгр Кат'!$A:$S,D$1,0)</f>
        <v>Y</v>
      </c>
      <c r="E431" s="132" t="str">
        <f>VLOOKUP($A431,'Выгр Кат'!$A:$S,E$1,0)</f>
        <v>1</v>
      </c>
      <c r="F431" s="132" t="str">
        <f>VLOOKUP($A431,'Выгр Кат'!$A:$S,F$1,0)</f>
        <v>2172-6307024-02Р</v>
      </c>
      <c r="G431" s="99" t="s">
        <v>766</v>
      </c>
      <c r="H431" s="29"/>
      <c r="I431" s="4" t="s">
        <v>2</v>
      </c>
      <c r="J431" s="95">
        <v>1</v>
      </c>
      <c r="K431" s="168">
        <f t="shared" si="222"/>
        <v>449</v>
      </c>
      <c r="L431" s="167">
        <f>VLOOKUP(K431,Наценка!$A$1:$B$8,2,1)</f>
        <v>1.5053763440860215</v>
      </c>
      <c r="M431" s="146">
        <f>W431*1.02</f>
        <v>988.38</v>
      </c>
      <c r="N431" s="173">
        <f t="shared" si="215"/>
        <v>989</v>
      </c>
      <c r="O431" s="134">
        <f>VLOOKUP($A431,'Выгр Кат'!$A:$S,O$1,0)</f>
        <v>449</v>
      </c>
      <c r="P431" s="134">
        <f>VLOOKUP($A431,'Выгр Кат'!$A:$S,P$1,0)</f>
        <v>989</v>
      </c>
      <c r="Q431" s="107">
        <f t="shared" si="216"/>
        <v>0</v>
      </c>
      <c r="R431" s="107">
        <f t="shared" si="217"/>
        <v>0</v>
      </c>
      <c r="S431" s="110">
        <f t="shared" si="218"/>
        <v>919.77</v>
      </c>
      <c r="T431" s="135">
        <f t="shared" si="219"/>
        <v>1.0484855233853008</v>
      </c>
      <c r="U431" s="135">
        <f t="shared" si="220"/>
        <v>5.0804953560371534E-2</v>
      </c>
      <c r="V431" s="135">
        <f t="shared" si="221"/>
        <v>1.1581291759465477</v>
      </c>
      <c r="W431" s="117">
        <f t="shared" si="236"/>
        <v>969</v>
      </c>
      <c r="X431" s="114">
        <f>IFERROR((VLOOKUP($A431,'ИЗ ГУГЛА'!$B:$G,X$1,0)+Z431)*Y431,VLOOKUP($A431,'ИЗ ГУГЛА'!$B:$G,X$1,0))</f>
        <v>969</v>
      </c>
      <c r="Y431" s="46">
        <v>1</v>
      </c>
      <c r="Z431" s="46"/>
      <c r="AA431" s="138">
        <v>969</v>
      </c>
      <c r="AB431" s="124" t="s">
        <v>2292</v>
      </c>
      <c r="AC431" s="114" t="str">
        <f>IFERROR((VLOOKUP($A431,'ИЗ ГУГЛА'!$B:$Z,AC$1,0)+AE431)*AD431,VLOOKUP($A431,'ИЗ ГУГЛА'!$B:$Z,AC$1,0))</f>
        <v/>
      </c>
      <c r="AD431" s="46">
        <v>1</v>
      </c>
      <c r="AE431" s="46"/>
      <c r="AF431" s="115"/>
    </row>
    <row r="432" spans="1:32" s="5" customFormat="1" ht="30.75" thickTop="1" x14ac:dyDescent="0.25">
      <c r="A432" s="132">
        <v>194600</v>
      </c>
      <c r="B432" s="132">
        <f>VLOOKUP($A432,'Выгр Кат'!$A:$S,B$1,0)</f>
        <v>33092</v>
      </c>
      <c r="C432" s="133" t="str">
        <f>VLOOKUP($A432,'Выгр Кат'!$A:$S,C$1,0)</f>
        <v>Подушка двигателя "БРТ" задняя голая для ВАЗ 2110-2112</v>
      </c>
      <c r="D432" s="132" t="str">
        <f>VLOOKUP($A432,'Выгр Кат'!$A:$S,D$1,0)</f>
        <v>Y</v>
      </c>
      <c r="E432" s="132" t="str">
        <f>VLOOKUP($A432,'Выгр Кат'!$A:$S,E$1,0)</f>
        <v>1</v>
      </c>
      <c r="F432" s="132" t="str">
        <f>VLOOKUP($A432,'Выгр Кат'!$A:$S,F$1,0)</f>
        <v>21101001286</v>
      </c>
      <c r="G432" s="35" t="s">
        <v>948</v>
      </c>
      <c r="H432" s="29"/>
      <c r="I432" s="4" t="s">
        <v>2</v>
      </c>
      <c r="J432" s="95">
        <v>1</v>
      </c>
      <c r="K432" s="168">
        <f t="shared" si="222"/>
        <v>312</v>
      </c>
      <c r="L432" s="167">
        <f>VLOOKUP(K432,Наценка!$A$1:$B$8,2,1)</f>
        <v>1.5053763440860215</v>
      </c>
      <c r="M432" s="172">
        <f t="shared" si="225"/>
        <v>469.67741935483872</v>
      </c>
      <c r="N432" s="173">
        <f t="shared" si="215"/>
        <v>469</v>
      </c>
      <c r="O432" s="134">
        <f>VLOOKUP($A432,'Выгр Кат'!$A:$S,O$1,0)</f>
        <v>312</v>
      </c>
      <c r="P432" s="134">
        <f>VLOOKUP($A432,'Выгр Кат'!$A:$S,P$1,0)</f>
        <v>469</v>
      </c>
      <c r="Q432" s="107">
        <f t="shared" si="216"/>
        <v>0</v>
      </c>
      <c r="R432" s="107">
        <f t="shared" si="217"/>
        <v>0</v>
      </c>
      <c r="S432" s="110">
        <f t="shared" si="218"/>
        <v>436.16999999999996</v>
      </c>
      <c r="T432" s="135">
        <f t="shared" si="219"/>
        <v>0.39798076923076908</v>
      </c>
      <c r="U432" s="135" t="str">
        <f t="shared" si="220"/>
        <v/>
      </c>
      <c r="V432" s="135" t="str">
        <f t="shared" si="221"/>
        <v/>
      </c>
      <c r="W432" s="45"/>
      <c r="X432" s="114" t="str">
        <f>IFERROR((VLOOKUP($A432,'ИЗ ГУГЛА'!$B:$G,X$1,0)+Z432)*Y432,VLOOKUP($A432,'ИЗ ГУГЛА'!$B:$G,X$1,0))</f>
        <v/>
      </c>
      <c r="Y432" s="108">
        <v>1</v>
      </c>
      <c r="Z432" s="46"/>
      <c r="AA432" s="139" t="s">
        <v>2891</v>
      </c>
      <c r="AB432" s="124"/>
      <c r="AC432" s="114" t="str">
        <f>IFERROR((VLOOKUP($A432,'ИЗ ГУГЛА'!$B:$Z,AC$1,0)+AE432)*AD432,VLOOKUP($A432,'ИЗ ГУГЛА'!$B:$Z,AC$1,0))</f>
        <v/>
      </c>
      <c r="AD432" s="108">
        <v>1</v>
      </c>
      <c r="AE432" s="46"/>
      <c r="AF432" s="115"/>
    </row>
    <row r="433" spans="1:32" s="5" customFormat="1" ht="30.75" thickBot="1" x14ac:dyDescent="0.3">
      <c r="A433" s="132">
        <v>181610</v>
      </c>
      <c r="B433" s="132">
        <f>VLOOKUP($A433,'Выгр Кат'!$A:$S,B$1,0)</f>
        <v>19811</v>
      </c>
      <c r="C433" s="133" t="str">
        <f>VLOOKUP($A433,'Выгр Кат'!$A:$S,C$1,0)</f>
        <v>Опора двигателя в сборе "БРТ" задняя для ВАЗ 2110-2112</v>
      </c>
      <c r="D433" s="132" t="str">
        <f>VLOOKUP($A433,'Выгр Кат'!$A:$S,D$1,0)</f>
        <v>Y</v>
      </c>
      <c r="E433" s="132" t="str">
        <f>VLOOKUP($A433,'Выгр Кат'!$A:$S,E$1,0)</f>
        <v>1</v>
      </c>
      <c r="F433" s="132" t="str">
        <f>VLOOKUP($A433,'Выгр Кат'!$A:$S,F$1,0)</f>
        <v>2110-1001286РУ</v>
      </c>
      <c r="G433" s="99" t="s">
        <v>384</v>
      </c>
      <c r="H433" s="29"/>
      <c r="I433" s="4" t="s">
        <v>2</v>
      </c>
      <c r="J433" s="95">
        <v>1</v>
      </c>
      <c r="K433" s="168">
        <f t="shared" si="222"/>
        <v>1003</v>
      </c>
      <c r="L433" s="167">
        <f>VLOOKUP(K433,Наценка!$A$1:$B$8,2,1)</f>
        <v>1.2903225806451613</v>
      </c>
      <c r="M433" s="151">
        <f>K433*1.2*100/93</f>
        <v>1294.1935483870966</v>
      </c>
      <c r="N433" s="173">
        <f t="shared" si="215"/>
        <v>1290</v>
      </c>
      <c r="O433" s="134">
        <f>VLOOKUP($A433,'Выгр Кат'!$A:$S,O$1,0)</f>
        <v>1003</v>
      </c>
      <c r="P433" s="134">
        <f>VLOOKUP($A433,'Выгр Кат'!$A:$S,P$1,0)</f>
        <v>1290</v>
      </c>
      <c r="Q433" s="107">
        <f t="shared" si="216"/>
        <v>0</v>
      </c>
      <c r="R433" s="107">
        <f t="shared" si="217"/>
        <v>0</v>
      </c>
      <c r="S433" s="110">
        <f t="shared" si="218"/>
        <v>1199.6999999999998</v>
      </c>
      <c r="T433" s="135">
        <f t="shared" si="219"/>
        <v>0.19611166500498478</v>
      </c>
      <c r="U433" s="135">
        <f t="shared" si="220"/>
        <v>-8.1512605042015282E-3</v>
      </c>
      <c r="V433" s="135">
        <f t="shared" si="221"/>
        <v>0.18644067796610164</v>
      </c>
      <c r="W433" s="117">
        <f>AA433</f>
        <v>1190</v>
      </c>
      <c r="X433" s="114">
        <f>IFERROR((VLOOKUP($A433,'ИЗ ГУГЛА'!$B:$G,X$1,0)+Z433)*Y433,VLOOKUP($A433,'ИЗ ГУГЛА'!$B:$G,X$1,0))</f>
        <v>1190</v>
      </c>
      <c r="Y433" s="46">
        <v>1</v>
      </c>
      <c r="Z433" s="46"/>
      <c r="AA433" s="138">
        <v>1190</v>
      </c>
      <c r="AB433" s="124" t="s">
        <v>2369</v>
      </c>
      <c r="AC433" s="114" t="str">
        <f>IFERROR((VLOOKUP($A433,'ИЗ ГУГЛА'!$B:$Z,AC$1,0)+AE433)*AD433,VLOOKUP($A433,'ИЗ ГУГЛА'!$B:$Z,AC$1,0))</f>
        <v/>
      </c>
      <c r="AD433" s="46">
        <v>1</v>
      </c>
      <c r="AE433" s="46"/>
      <c r="AF433" s="115"/>
    </row>
    <row r="434" spans="1:32" s="5" customFormat="1" ht="30.75" thickTop="1" x14ac:dyDescent="0.25">
      <c r="A434" s="132">
        <v>181553</v>
      </c>
      <c r="B434" s="132">
        <f>VLOOKUP($A434,'Выгр Кат'!$A:$S,B$1,0)</f>
        <v>35595</v>
      </c>
      <c r="C434" s="133" t="str">
        <f>VLOOKUP($A434,'Выгр Кат'!$A:$S,C$1,0)</f>
        <v>Опора "БРТ" стойки передней подвески для Лада Ларгус</v>
      </c>
      <c r="D434" s="132" t="str">
        <f>VLOOKUP($A434,'Выгр Кат'!$A:$S,D$1,0)</f>
        <v>Y</v>
      </c>
      <c r="E434" s="132" t="str">
        <f>VLOOKUP($A434,'Выгр Кат'!$A:$S,E$1,0)</f>
        <v>1</v>
      </c>
      <c r="F434" s="132" t="str">
        <f>VLOOKUP($A434,'Выгр Кат'!$A:$S,F$1,0)</f>
        <v>6001547499РУ</v>
      </c>
      <c r="G434" s="44" t="s">
        <v>579</v>
      </c>
      <c r="H434" s="29"/>
      <c r="I434" s="4" t="s">
        <v>2</v>
      </c>
      <c r="J434" s="95">
        <v>1</v>
      </c>
      <c r="K434" s="168">
        <f t="shared" si="222"/>
        <v>420</v>
      </c>
      <c r="L434" s="167">
        <f>VLOOKUP(K434,Наценка!$A$1:$B$8,2,1)</f>
        <v>1.5053763440860215</v>
      </c>
      <c r="M434" s="172">
        <f t="shared" si="225"/>
        <v>632.25806451612902</v>
      </c>
      <c r="N434" s="173">
        <f t="shared" si="215"/>
        <v>639</v>
      </c>
      <c r="O434" s="134">
        <f>VLOOKUP($A434,'Выгр Кат'!$A:$S,O$1,0)</f>
        <v>420</v>
      </c>
      <c r="P434" s="134">
        <f>VLOOKUP($A434,'Выгр Кат'!$A:$S,P$1,0)</f>
        <v>639</v>
      </c>
      <c r="Q434" s="107">
        <f t="shared" si="216"/>
        <v>0</v>
      </c>
      <c r="R434" s="107">
        <f t="shared" si="217"/>
        <v>0</v>
      </c>
      <c r="S434" s="110">
        <f t="shared" si="218"/>
        <v>594.27</v>
      </c>
      <c r="T434" s="135">
        <f t="shared" si="219"/>
        <v>0.41492857142857131</v>
      </c>
      <c r="U434" s="135" t="str">
        <f t="shared" si="220"/>
        <v/>
      </c>
      <c r="V434" s="135" t="str">
        <f t="shared" si="221"/>
        <v/>
      </c>
      <c r="W434" s="45"/>
      <c r="X434" s="114" t="str">
        <f>IFERROR((VLOOKUP($A434,'ИЗ ГУГЛА'!$B:$G,X$1,0)+Z434)*Y434,VLOOKUP($A434,'ИЗ ГУГЛА'!$B:$G,X$1,0))</f>
        <v/>
      </c>
      <c r="Y434" s="108">
        <v>1</v>
      </c>
      <c r="Z434" s="46"/>
      <c r="AA434" s="139" t="s">
        <v>1821</v>
      </c>
      <c r="AB434" s="124"/>
      <c r="AC434" s="114" t="str">
        <f>IFERROR((VLOOKUP($A434,'ИЗ ГУГЛА'!$B:$Z,AC$1,0)+AE434)*AD434,VLOOKUP($A434,'ИЗ ГУГЛА'!$B:$Z,AC$1,0))</f>
        <v/>
      </c>
      <c r="AD434" s="108">
        <v>1</v>
      </c>
      <c r="AE434" s="46"/>
      <c r="AF434" s="115"/>
    </row>
    <row r="435" spans="1:32" s="5" customFormat="1" ht="45.75" thickBot="1" x14ac:dyDescent="0.3">
      <c r="A435" s="132">
        <v>186727</v>
      </c>
      <c r="B435" s="132">
        <f>VLOOKUP($A435,'Выгр Кат'!$A:$S,B$1,0)</f>
        <v>20012</v>
      </c>
      <c r="C435" s="133" t="str">
        <f>VLOOKUP($A435,'Выгр Кат'!$A:$S,C$1,0)</f>
        <v>Патрубок радиатора отводящий "БРТ" нижний для ВАЗ 2110-2112 (8-ми клапанный двигатель)</v>
      </c>
      <c r="D435" s="132" t="str">
        <f>VLOOKUP($A435,'Выгр Кат'!$A:$S,D$1,0)</f>
        <v>Y</v>
      </c>
      <c r="E435" s="132" t="str">
        <f>VLOOKUP($A435,'Выгр Кат'!$A:$S,E$1,0)</f>
        <v>1</v>
      </c>
      <c r="F435" s="132" t="str">
        <f>VLOOKUP($A435,'Выгр Кат'!$A:$S,F$1,0)</f>
        <v>2110-1303010РП</v>
      </c>
      <c r="G435" s="45" t="s">
        <v>388</v>
      </c>
      <c r="H435" s="29"/>
      <c r="I435" s="4" t="s">
        <v>2</v>
      </c>
      <c r="J435" s="95">
        <v>1</v>
      </c>
      <c r="K435" s="168">
        <f t="shared" si="222"/>
        <v>361</v>
      </c>
      <c r="L435" s="167">
        <f>VLOOKUP(K435,Наценка!$A$1:$B$8,2,1)</f>
        <v>1.5053763440860215</v>
      </c>
      <c r="M435" s="172">
        <f t="shared" si="225"/>
        <v>543.44086021505382</v>
      </c>
      <c r="N435" s="173">
        <f t="shared" si="215"/>
        <v>549</v>
      </c>
      <c r="O435" s="134">
        <f>VLOOKUP($A435,'Выгр Кат'!$A:$S,O$1,0)</f>
        <v>361</v>
      </c>
      <c r="P435" s="134">
        <f>VLOOKUP($A435,'Выгр Кат'!$A:$S,P$1,0)</f>
        <v>549</v>
      </c>
      <c r="Q435" s="107">
        <f t="shared" si="216"/>
        <v>0</v>
      </c>
      <c r="R435" s="107">
        <f t="shared" si="217"/>
        <v>0</v>
      </c>
      <c r="S435" s="110">
        <f t="shared" si="218"/>
        <v>510.57</v>
      </c>
      <c r="T435" s="135">
        <f t="shared" si="219"/>
        <v>0.4143213296398891</v>
      </c>
      <c r="U435" s="135" t="str">
        <f t="shared" si="220"/>
        <v/>
      </c>
      <c r="V435" s="135" t="str">
        <f t="shared" si="221"/>
        <v/>
      </c>
      <c r="W435" s="45"/>
      <c r="X435" s="114" t="str">
        <f>IFERROR((VLOOKUP($A435,'ИЗ ГУГЛА'!$B:$G,X$1,0)+Z435)*Y435,VLOOKUP($A435,'ИЗ ГУГЛА'!$B:$G,X$1,0))</f>
        <v/>
      </c>
      <c r="Y435" s="108">
        <v>1</v>
      </c>
      <c r="Z435" s="46"/>
      <c r="AA435" s="140" t="s">
        <v>1821</v>
      </c>
      <c r="AB435" s="129"/>
      <c r="AC435" s="114" t="str">
        <f>IFERROR((VLOOKUP($A435,'ИЗ ГУГЛА'!$B:$Z,AC$1,0)+AE435)*AD435,VLOOKUP($A435,'ИЗ ГУГЛА'!$B:$Z,AC$1,0))</f>
        <v/>
      </c>
      <c r="AD435" s="108">
        <v>1</v>
      </c>
      <c r="AE435" s="46"/>
      <c r="AF435" s="115"/>
    </row>
    <row r="436" spans="1:32" s="5" customFormat="1" ht="46.5" thickTop="1" thickBot="1" x14ac:dyDescent="0.3">
      <c r="A436" s="132">
        <v>186737</v>
      </c>
      <c r="B436" s="132">
        <f>VLOOKUP($A436,'Выгр Кат'!$A:$S,B$1,0)</f>
        <v>20014</v>
      </c>
      <c r="C436" s="133" t="str">
        <f>VLOOKUP($A436,'Выгр Кат'!$A:$S,C$1,0)</f>
        <v>Патрубок радиатора подводящий "БРТ" верхний для ВАЗ 2110-2112 (8-ми клапанный двигатель)</v>
      </c>
      <c r="D436" s="132" t="str">
        <f>VLOOKUP($A436,'Выгр Кат'!$A:$S,D$1,0)</f>
        <v>Y</v>
      </c>
      <c r="E436" s="132" t="str">
        <f>VLOOKUP($A436,'Выгр Кат'!$A:$S,E$1,0)</f>
        <v>1</v>
      </c>
      <c r="F436" s="132" t="str">
        <f>VLOOKUP($A436,'Выгр Кат'!$A:$S,F$1,0)</f>
        <v>2110-1303025РП</v>
      </c>
      <c r="G436" s="45" t="s">
        <v>389</v>
      </c>
      <c r="H436" s="29"/>
      <c r="I436" s="4" t="s">
        <v>2</v>
      </c>
      <c r="J436" s="95">
        <v>1</v>
      </c>
      <c r="K436" s="168">
        <f t="shared" si="222"/>
        <v>361</v>
      </c>
      <c r="L436" s="167">
        <f>VLOOKUP(K436,Наценка!$A$1:$B$8,2,1)</f>
        <v>1.5053763440860215</v>
      </c>
      <c r="M436" s="172">
        <f t="shared" si="225"/>
        <v>543.44086021505382</v>
      </c>
      <c r="N436" s="173">
        <f t="shared" si="215"/>
        <v>549</v>
      </c>
      <c r="O436" s="134">
        <f>VLOOKUP($A436,'Выгр Кат'!$A:$S,O$1,0)</f>
        <v>361</v>
      </c>
      <c r="P436" s="134">
        <f>VLOOKUP($A436,'Выгр Кат'!$A:$S,P$1,0)</f>
        <v>549</v>
      </c>
      <c r="Q436" s="107">
        <f t="shared" si="216"/>
        <v>0</v>
      </c>
      <c r="R436" s="107">
        <f t="shared" si="217"/>
        <v>0</v>
      </c>
      <c r="S436" s="110">
        <f t="shared" si="218"/>
        <v>510.57</v>
      </c>
      <c r="T436" s="135">
        <f t="shared" si="219"/>
        <v>0.4143213296398891</v>
      </c>
      <c r="U436" s="135">
        <f t="shared" si="220"/>
        <v>-0.30915384615384611</v>
      </c>
      <c r="V436" s="135">
        <f t="shared" si="221"/>
        <v>8.0332409972299068E-2</v>
      </c>
      <c r="W436" s="117">
        <f t="shared" ref="W436:W442" si="238">AA436</f>
        <v>390</v>
      </c>
      <c r="X436" s="114">
        <f>IFERROR((VLOOKUP($A436,'ИЗ ГУГЛА'!$B:$G,X$1,0)+Z436)*Y436,VLOOKUP($A436,'ИЗ ГУГЛА'!$B:$G,X$1,0))</f>
        <v>390</v>
      </c>
      <c r="Y436" s="108">
        <v>1</v>
      </c>
      <c r="Z436" s="46"/>
      <c r="AA436" s="136">
        <v>390</v>
      </c>
      <c r="AB436" s="124" t="s">
        <v>2599</v>
      </c>
      <c r="AC436" s="114" t="str">
        <f>IFERROR((VLOOKUP($A436,'ИЗ ГУГЛА'!$B:$Z,AC$1,0)+AE436)*AD436,VLOOKUP($A436,'ИЗ ГУГЛА'!$B:$Z,AC$1,0))</f>
        <v/>
      </c>
      <c r="AD436" s="108">
        <v>1</v>
      </c>
      <c r="AE436" s="46"/>
      <c r="AF436" s="115"/>
    </row>
    <row r="437" spans="1:32" s="5" customFormat="1" ht="31.5" thickTop="1" thickBot="1" x14ac:dyDescent="0.3">
      <c r="A437" s="132">
        <v>225913</v>
      </c>
      <c r="B437" s="132">
        <f>VLOOKUP($A437,'Выгр Кат'!$A:$S,B$1,0)</f>
        <v>35328</v>
      </c>
      <c r="C437" s="133" t="str">
        <f>VLOOKUP($A437,'Выгр Кат'!$A:$S,C$1,0)</f>
        <v>Шланг "БРТ" вакуумного усилителя тормозов для Лада Нива 4х4</v>
      </c>
      <c r="D437" s="132" t="str">
        <f>VLOOKUP($A437,'Выгр Кат'!$A:$S,D$1,0)</f>
        <v>Y</v>
      </c>
      <c r="E437" s="132" t="str">
        <f>VLOOKUP($A437,'Выгр Кат'!$A:$S,E$1,0)</f>
        <v>1</v>
      </c>
      <c r="F437" s="132" t="str">
        <f>VLOOKUP($A437,'Выгр Кат'!$A:$S,F$1,0)</f>
        <v>2121-3510050</v>
      </c>
      <c r="G437" s="44" t="s">
        <v>453</v>
      </c>
      <c r="H437" s="29"/>
      <c r="I437" s="4" t="s">
        <v>2</v>
      </c>
      <c r="J437" s="95">
        <v>1</v>
      </c>
      <c r="K437" s="168">
        <f t="shared" si="222"/>
        <v>363</v>
      </c>
      <c r="L437" s="167">
        <f>VLOOKUP(K437,Наценка!$A$1:$B$8,2,1)</f>
        <v>1.5053763440860215</v>
      </c>
      <c r="M437" s="148">
        <f t="shared" ref="M437:M441" si="239">W437*1.06</f>
        <v>625.4</v>
      </c>
      <c r="N437" s="173">
        <f t="shared" si="215"/>
        <v>629</v>
      </c>
      <c r="O437" s="134">
        <f>VLOOKUP($A437,'Выгр Кат'!$A:$S,O$1,0)</f>
        <v>363</v>
      </c>
      <c r="P437" s="134">
        <f>VLOOKUP($A437,'Выгр Кат'!$A:$S,P$1,0)</f>
        <v>619</v>
      </c>
      <c r="Q437" s="107">
        <f t="shared" si="216"/>
        <v>0</v>
      </c>
      <c r="R437" s="107">
        <f t="shared" si="217"/>
        <v>-10</v>
      </c>
      <c r="S437" s="110">
        <f t="shared" si="218"/>
        <v>584.96999999999991</v>
      </c>
      <c r="T437" s="135">
        <f t="shared" si="219"/>
        <v>0.61148760330578478</v>
      </c>
      <c r="U437" s="135">
        <f t="shared" si="220"/>
        <v>8.5254237288137063E-3</v>
      </c>
      <c r="V437" s="135">
        <f t="shared" si="221"/>
        <v>0.62534435261707988</v>
      </c>
      <c r="W437" s="117">
        <f t="shared" si="238"/>
        <v>590</v>
      </c>
      <c r="X437" s="114">
        <f>IFERROR((VLOOKUP($A437,'ИЗ ГУГЛА'!$B:$G,X$1,0)+Z437)*Y437,VLOOKUP($A437,'ИЗ ГУГЛА'!$B:$G,X$1,0))</f>
        <v>590</v>
      </c>
      <c r="Y437" s="108">
        <v>1</v>
      </c>
      <c r="Z437" s="46"/>
      <c r="AA437" s="136">
        <v>590</v>
      </c>
      <c r="AB437" s="124" t="s">
        <v>2575</v>
      </c>
      <c r="AC437" s="114" t="str">
        <f>IFERROR((VLOOKUP($A437,'ИЗ ГУГЛА'!$B:$Z,AC$1,0)+AE437)*AD437,VLOOKUP($A437,'ИЗ ГУГЛА'!$B:$Z,AC$1,0))</f>
        <v/>
      </c>
      <c r="AD437" s="108">
        <v>1</v>
      </c>
      <c r="AE437" s="46"/>
      <c r="AF437" s="115"/>
    </row>
    <row r="438" spans="1:32" s="5" customFormat="1" ht="31.5" thickTop="1" thickBot="1" x14ac:dyDescent="0.3">
      <c r="A438" s="132">
        <v>186742</v>
      </c>
      <c r="B438" s="132">
        <f>VLOOKUP($A438,'Выгр Кат'!$A:$S,B$1,0)</f>
        <v>20443</v>
      </c>
      <c r="C438" s="133" t="str">
        <f>VLOOKUP($A438,'Выгр Кат'!$A:$S,C$1,0)</f>
        <v>Патрубок радиатора подводящий "БРТ" верхний для Шевроле Нива</v>
      </c>
      <c r="D438" s="132" t="str">
        <f>VLOOKUP($A438,'Выгр Кат'!$A:$S,D$1,0)</f>
        <v>Y</v>
      </c>
      <c r="E438" s="132" t="str">
        <f>VLOOKUP($A438,'Выгр Кат'!$A:$S,E$1,0)</f>
        <v>1</v>
      </c>
      <c r="F438" s="132" t="str">
        <f>VLOOKUP($A438,'Выгр Кат'!$A:$S,F$1,0)</f>
        <v>2123-1303025РП</v>
      </c>
      <c r="G438" s="45" t="s">
        <v>490</v>
      </c>
      <c r="H438" s="29"/>
      <c r="I438" s="4" t="s">
        <v>2</v>
      </c>
      <c r="J438" s="95">
        <v>1</v>
      </c>
      <c r="K438" s="168">
        <f t="shared" si="222"/>
        <v>364</v>
      </c>
      <c r="L438" s="167">
        <f>VLOOKUP(K438,Наценка!$A$1:$B$8,2,1)</f>
        <v>1.5053763440860215</v>
      </c>
      <c r="M438" s="148">
        <f t="shared" si="239"/>
        <v>625.4</v>
      </c>
      <c r="N438" s="173">
        <f t="shared" si="215"/>
        <v>629</v>
      </c>
      <c r="O438" s="134">
        <f>VLOOKUP($A438,'Выгр Кат'!$A:$S,O$1,0)</f>
        <v>364</v>
      </c>
      <c r="P438" s="134">
        <f>VLOOKUP($A438,'Выгр Кат'!$A:$S,P$1,0)</f>
        <v>619</v>
      </c>
      <c r="Q438" s="107">
        <f t="shared" si="216"/>
        <v>0</v>
      </c>
      <c r="R438" s="107">
        <f t="shared" si="217"/>
        <v>-10</v>
      </c>
      <c r="S438" s="110">
        <f t="shared" si="218"/>
        <v>584.96999999999991</v>
      </c>
      <c r="T438" s="135">
        <f t="shared" si="219"/>
        <v>0.60706043956043931</v>
      </c>
      <c r="U438" s="135">
        <f t="shared" si="220"/>
        <v>8.5254237288137063E-3</v>
      </c>
      <c r="V438" s="135">
        <f t="shared" si="221"/>
        <v>0.62087912087912089</v>
      </c>
      <c r="W438" s="117">
        <f t="shared" si="238"/>
        <v>590</v>
      </c>
      <c r="X438" s="114">
        <f>IFERROR((VLOOKUP($A438,'ИЗ ГУГЛА'!$B:$G,X$1,0)+Z438)*Y438,VLOOKUP($A438,'ИЗ ГУГЛА'!$B:$G,X$1,0))</f>
        <v>590</v>
      </c>
      <c r="Y438" s="108">
        <v>1</v>
      </c>
      <c r="Z438" s="46"/>
      <c r="AA438" s="136">
        <v>590</v>
      </c>
      <c r="AB438" s="124" t="s">
        <v>2670</v>
      </c>
      <c r="AC438" s="114" t="str">
        <f>IFERROR((VLOOKUP($A438,'ИЗ ГУГЛА'!$B:$Z,AC$1,0)+AE438)*AD438,VLOOKUP($A438,'ИЗ ГУГЛА'!$B:$Z,AC$1,0))</f>
        <v/>
      </c>
      <c r="AD438" s="108">
        <v>1</v>
      </c>
      <c r="AE438" s="46"/>
      <c r="AF438" s="115"/>
    </row>
    <row r="439" spans="1:32" s="5" customFormat="1" ht="31.5" thickTop="1" thickBot="1" x14ac:dyDescent="0.3">
      <c r="A439" s="132">
        <v>158274</v>
      </c>
      <c r="B439" s="132">
        <f>VLOOKUP($A439,'Выгр Кат'!$A:$S,B$1,0)</f>
        <v>35505</v>
      </c>
      <c r="C439" s="133" t="str">
        <f>VLOOKUP($A439,'Выгр Кат'!$A:$S,C$1,0)</f>
        <v>Комплект "БРТ" задних брызговиков для ВАЗ 2110-2112</v>
      </c>
      <c r="D439" s="132" t="str">
        <f>VLOOKUP($A439,'Выгр Кат'!$A:$S,D$1,0)</f>
        <v>Y</v>
      </c>
      <c r="E439" s="132" t="str">
        <f>VLOOKUP($A439,'Выгр Кат'!$A:$S,E$1,0)</f>
        <v>1</v>
      </c>
      <c r="F439" s="132" t="str">
        <f>VLOOKUP($A439,'Выгр Кат'!$A:$S,F$1,0)</f>
        <v>2110-8404412Р/13Р</v>
      </c>
      <c r="G439" s="44" t="s">
        <v>1255</v>
      </c>
      <c r="H439" s="29"/>
      <c r="I439" s="4" t="s">
        <v>2</v>
      </c>
      <c r="J439" s="95">
        <v>1</v>
      </c>
      <c r="K439" s="168">
        <f t="shared" si="222"/>
        <v>365</v>
      </c>
      <c r="L439" s="167">
        <f>VLOOKUP(K439,Наценка!$A$1:$B$8,2,1)</f>
        <v>1.5053763440860215</v>
      </c>
      <c r="M439" s="148">
        <f t="shared" ref="M439:M441" si="240">W439*1.05</f>
        <v>564.9</v>
      </c>
      <c r="N439" s="173">
        <f t="shared" si="215"/>
        <v>569</v>
      </c>
      <c r="O439" s="134">
        <f>VLOOKUP($A439,'Выгр Кат'!$A:$S,O$1,0)</f>
        <v>365</v>
      </c>
      <c r="P439" s="134">
        <f>VLOOKUP($A439,'Выгр Кат'!$A:$S,P$1,0)</f>
        <v>559</v>
      </c>
      <c r="Q439" s="107">
        <f t="shared" si="216"/>
        <v>0</v>
      </c>
      <c r="R439" s="107">
        <f t="shared" si="217"/>
        <v>-10</v>
      </c>
      <c r="S439" s="110">
        <f t="shared" si="218"/>
        <v>529.16999999999996</v>
      </c>
      <c r="T439" s="135">
        <f t="shared" si="219"/>
        <v>0.4497808219178081</v>
      </c>
      <c r="U439" s="135">
        <f t="shared" si="220"/>
        <v>1.6412639405204536E-2</v>
      </c>
      <c r="V439" s="135">
        <f t="shared" si="221"/>
        <v>0.47397260273972597</v>
      </c>
      <c r="W439" s="117">
        <f t="shared" si="238"/>
        <v>538</v>
      </c>
      <c r="X439" s="114">
        <f>IFERROR((VLOOKUP($A439,'ИЗ ГУГЛА'!$B:$G,X$1,0)+Z439)*Y439,VLOOKUP($A439,'ИЗ ГУГЛА'!$B:$G,X$1,0))</f>
        <v>538</v>
      </c>
      <c r="Y439" s="108">
        <v>1</v>
      </c>
      <c r="Z439" s="113">
        <v>269</v>
      </c>
      <c r="AA439" s="138">
        <v>538</v>
      </c>
      <c r="AB439" s="124" t="s">
        <v>2598</v>
      </c>
      <c r="AC439" s="114" t="str">
        <f>IFERROR((VLOOKUP($A439,'ИЗ ГУГЛА'!$B:$Z,AC$1,0)+AE439)*AD439,VLOOKUP($A439,'ИЗ ГУГЛА'!$B:$Z,AC$1,0))</f>
        <v/>
      </c>
      <c r="AD439" s="108">
        <v>1</v>
      </c>
      <c r="AE439" s="113">
        <v>269</v>
      </c>
      <c r="AF439" s="115"/>
    </row>
    <row r="440" spans="1:32" s="5" customFormat="1" ht="31.5" thickTop="1" thickBot="1" x14ac:dyDescent="0.3">
      <c r="A440" s="132">
        <v>158288</v>
      </c>
      <c r="B440" s="132">
        <f>VLOOKUP($A440,'Выгр Кат'!$A:$S,B$1,0)</f>
        <v>35507</v>
      </c>
      <c r="C440" s="133" t="str">
        <f>VLOOKUP($A440,'Выгр Кат'!$A:$S,C$1,0)</f>
        <v>Комплект "БРТ" передних брызговиков для ВАЗ 2110-2112</v>
      </c>
      <c r="D440" s="132" t="str">
        <f>VLOOKUP($A440,'Выгр Кат'!$A:$S,D$1,0)</f>
        <v>Y</v>
      </c>
      <c r="E440" s="132" t="str">
        <f>VLOOKUP($A440,'Выгр Кат'!$A:$S,E$1,0)</f>
        <v>1</v>
      </c>
      <c r="F440" s="132" t="str">
        <f>VLOOKUP($A440,'Выгр Кат'!$A:$S,F$1,0)</f>
        <v>2110-8403512Р/13Р</v>
      </c>
      <c r="G440" s="44" t="s">
        <v>1257</v>
      </c>
      <c r="H440" s="29"/>
      <c r="I440" s="4" t="s">
        <v>2</v>
      </c>
      <c r="J440" s="95">
        <v>1</v>
      </c>
      <c r="K440" s="168">
        <f t="shared" si="222"/>
        <v>369</v>
      </c>
      <c r="L440" s="167">
        <f>VLOOKUP(K440,Наценка!$A$1:$B$8,2,1)</f>
        <v>1.5053763440860215</v>
      </c>
      <c r="M440" s="148">
        <f t="shared" si="240"/>
        <v>753.9</v>
      </c>
      <c r="N440" s="173">
        <f t="shared" si="215"/>
        <v>759</v>
      </c>
      <c r="O440" s="134">
        <f>VLOOKUP($A440,'Выгр Кат'!$A:$S,O$1,0)</f>
        <v>369</v>
      </c>
      <c r="P440" s="134">
        <f>VLOOKUP($A440,'Выгр Кат'!$A:$S,P$1,0)</f>
        <v>749</v>
      </c>
      <c r="Q440" s="107">
        <f t="shared" si="216"/>
        <v>0</v>
      </c>
      <c r="R440" s="107">
        <f t="shared" si="217"/>
        <v>-10</v>
      </c>
      <c r="S440" s="110">
        <f t="shared" si="218"/>
        <v>705.87</v>
      </c>
      <c r="T440" s="135">
        <f t="shared" si="219"/>
        <v>0.91292682926829261</v>
      </c>
      <c r="U440" s="135">
        <f t="shared" si="220"/>
        <v>1.689415041782729E-2</v>
      </c>
      <c r="V440" s="135">
        <f t="shared" si="221"/>
        <v>0.94579945799457987</v>
      </c>
      <c r="W440" s="117">
        <f t="shared" si="238"/>
        <v>718</v>
      </c>
      <c r="X440" s="114">
        <f>IFERROR((VLOOKUP($A440,'ИЗ ГУГЛА'!$B:$G,X$1,0)+Z440)*Y440,VLOOKUP($A440,'ИЗ ГУГЛА'!$B:$G,X$1,0))</f>
        <v>718</v>
      </c>
      <c r="Y440" s="108">
        <v>1</v>
      </c>
      <c r="Z440" s="113">
        <v>369</v>
      </c>
      <c r="AA440" s="138">
        <v>718</v>
      </c>
      <c r="AB440" s="124" t="s">
        <v>2597</v>
      </c>
      <c r="AC440" s="114" t="str">
        <f>IFERROR((VLOOKUP($A440,'ИЗ ГУГЛА'!$B:$Z,AC$1,0)+AE440)*AD440,VLOOKUP($A440,'ИЗ ГУГЛА'!$B:$Z,AC$1,0))</f>
        <v/>
      </c>
      <c r="AD440" s="108">
        <v>1</v>
      </c>
      <c r="AE440" s="113">
        <v>369</v>
      </c>
      <c r="AF440" s="115"/>
    </row>
    <row r="441" spans="1:32" s="5" customFormat="1" ht="31.5" thickTop="1" thickBot="1" x14ac:dyDescent="0.3">
      <c r="A441" s="132">
        <v>223205</v>
      </c>
      <c r="B441" s="132">
        <f>VLOOKUP($A441,'Выгр Кат'!$A:$S,B$1,0)</f>
        <v>36967</v>
      </c>
      <c r="C441" s="133" t="str">
        <f>VLOOKUP($A441,'Выгр Кат'!$A:$S,C$1,0)</f>
        <v>Уплотнитель "БРТ" заднего бокового окна для Лада Калина седан</v>
      </c>
      <c r="D441" s="132" t="str">
        <f>VLOOKUP($A441,'Выгр Кат'!$A:$S,D$1,0)</f>
        <v>Y</v>
      </c>
      <c r="E441" s="132" t="str">
        <f>VLOOKUP($A441,'Выгр Кат'!$A:$S,E$1,0)</f>
        <v>1</v>
      </c>
      <c r="F441" s="132" t="str">
        <f>VLOOKUP($A441,'Выгр Кат'!$A:$S,F$1,0)</f>
        <v>1118-5403122/23</v>
      </c>
      <c r="G441" s="44" t="s">
        <v>786</v>
      </c>
      <c r="H441" s="29"/>
      <c r="I441" s="7" t="s">
        <v>2</v>
      </c>
      <c r="J441" s="95">
        <v>1</v>
      </c>
      <c r="K441" s="168">
        <f t="shared" si="222"/>
        <v>520</v>
      </c>
      <c r="L441" s="167">
        <f>VLOOKUP(K441,Наценка!$A$1:$B$8,2,1)</f>
        <v>1.3978494623655915</v>
      </c>
      <c r="M441" s="145">
        <f>W441*1</f>
        <v>990</v>
      </c>
      <c r="N441" s="173">
        <f t="shared" si="215"/>
        <v>989</v>
      </c>
      <c r="O441" s="134">
        <f>VLOOKUP($A441,'Выгр Кат'!$A:$S,O$1,0)</f>
        <v>520</v>
      </c>
      <c r="P441" s="134">
        <f>VLOOKUP($A441,'Выгр Кат'!$A:$S,P$1,0)</f>
        <v>729</v>
      </c>
      <c r="Q441" s="107">
        <f t="shared" si="216"/>
        <v>0</v>
      </c>
      <c r="R441" s="107">
        <f t="shared" si="217"/>
        <v>-260</v>
      </c>
      <c r="S441" s="110">
        <f t="shared" si="218"/>
        <v>919.77</v>
      </c>
      <c r="T441" s="135">
        <f t="shared" si="219"/>
        <v>0.76878846153846148</v>
      </c>
      <c r="U441" s="135">
        <f t="shared" si="220"/>
        <v>7.0939393939393955E-2</v>
      </c>
      <c r="V441" s="135">
        <f t="shared" si="221"/>
        <v>0.90384615384615374</v>
      </c>
      <c r="W441" s="117">
        <f t="shared" si="238"/>
        <v>990</v>
      </c>
      <c r="X441" s="114">
        <f>IFERROR((VLOOKUP($A441,'ИЗ ГУГЛА'!$B:$G,X$1,0)+Z441)*Y441,VLOOKUP($A441,'ИЗ ГУГЛА'!$B:$G,X$1,0))</f>
        <v>990</v>
      </c>
      <c r="Y441" s="108">
        <v>1</v>
      </c>
      <c r="Z441" s="46"/>
      <c r="AA441" s="136">
        <v>990</v>
      </c>
      <c r="AB441" s="124" t="s">
        <v>2596</v>
      </c>
      <c r="AC441" s="114" t="str">
        <f>IFERROR((VLOOKUP($A441,'ИЗ ГУГЛА'!$B:$Z,AC$1,0)+AE441)*AD441,VLOOKUP($A441,'ИЗ ГУГЛА'!$B:$Z,AC$1,0))</f>
        <v/>
      </c>
      <c r="AD441" s="108">
        <v>1</v>
      </c>
      <c r="AE441" s="46"/>
      <c r="AF441" s="115"/>
    </row>
    <row r="442" spans="1:32" s="5" customFormat="1" ht="46.5" thickTop="1" thickBot="1" x14ac:dyDescent="0.3">
      <c r="A442" s="132">
        <v>225056</v>
      </c>
      <c r="B442" s="132">
        <f>VLOOKUP($A442,'Выгр Кат'!$A:$S,B$1,0)</f>
        <v>20515</v>
      </c>
      <c r="C442" s="133" t="str">
        <f>VLOOKUP($A442,'Выгр Кат'!$A:$S,C$1,0)</f>
        <v>Чехол защитный рейки рулевого механизма "БРТ" для ВАЗ 2108-21099, 2110-2112, 2113-2115</v>
      </c>
      <c r="D442" s="132" t="str">
        <f>VLOOKUP($A442,'Выгр Кат'!$A:$S,D$1,0)</f>
        <v>Y</v>
      </c>
      <c r="E442" s="132" t="str">
        <f>VLOOKUP($A442,'Выгр Кат'!$A:$S,E$1,0)</f>
        <v>1</v>
      </c>
      <c r="F442" s="132" t="str">
        <f>VLOOKUP($A442,'Выгр Кат'!$A:$S,F$1,0)</f>
        <v>2108-3401224К.</v>
      </c>
      <c r="G442" s="45" t="s">
        <v>352</v>
      </c>
      <c r="H442" s="29"/>
      <c r="I442" s="4" t="s">
        <v>2</v>
      </c>
      <c r="J442" s="95">
        <v>1</v>
      </c>
      <c r="K442" s="168">
        <f t="shared" si="222"/>
        <v>362</v>
      </c>
      <c r="L442" s="167">
        <f>VLOOKUP(K442,Наценка!$A$1:$B$8,2,1)</f>
        <v>1.5053763440860215</v>
      </c>
      <c r="M442" s="172">
        <f t="shared" si="225"/>
        <v>544.94623655913983</v>
      </c>
      <c r="N442" s="173">
        <f t="shared" si="215"/>
        <v>549</v>
      </c>
      <c r="O442" s="134">
        <f>VLOOKUP($A442,'Выгр Кат'!$A:$S,O$1,0)</f>
        <v>362</v>
      </c>
      <c r="P442" s="134">
        <f>VLOOKUP($A442,'Выгр Кат'!$A:$S,P$1,0)</f>
        <v>549</v>
      </c>
      <c r="Q442" s="107">
        <f t="shared" si="216"/>
        <v>0</v>
      </c>
      <c r="R442" s="107">
        <f t="shared" si="217"/>
        <v>0</v>
      </c>
      <c r="S442" s="110">
        <f t="shared" si="218"/>
        <v>510.57</v>
      </c>
      <c r="T442" s="135">
        <f t="shared" si="219"/>
        <v>0.41041436464088399</v>
      </c>
      <c r="U442" s="135">
        <f t="shared" si="220"/>
        <v>-0.76058620689655165</v>
      </c>
      <c r="V442" s="135">
        <f t="shared" si="221"/>
        <v>-0.19889502762430944</v>
      </c>
      <c r="W442" s="117">
        <f t="shared" si="238"/>
        <v>290</v>
      </c>
      <c r="X442" s="114">
        <f>IFERROR((VLOOKUP($A442,'ИЗ ГУГЛА'!$B:$G,X$1,0)+Z442)*Y442,VLOOKUP($A442,'ИЗ ГУГЛА'!$B:$G,X$1,0))</f>
        <v>290</v>
      </c>
      <c r="Y442" s="108">
        <v>1</v>
      </c>
      <c r="Z442" s="46"/>
      <c r="AA442" s="136">
        <v>290</v>
      </c>
      <c r="AB442" s="124" t="s">
        <v>2595</v>
      </c>
      <c r="AC442" s="114" t="str">
        <f>IFERROR((VLOOKUP($A442,'ИЗ ГУГЛА'!$B:$Z,AC$1,0)+AE442)*AD442,VLOOKUP($A442,'ИЗ ГУГЛА'!$B:$Z,AC$1,0))</f>
        <v/>
      </c>
      <c r="AD442" s="108">
        <v>1</v>
      </c>
      <c r="AE442" s="46"/>
      <c r="AF442" s="115"/>
    </row>
    <row r="443" spans="1:32" s="5" customFormat="1" ht="45.75" thickTop="1" x14ac:dyDescent="0.25">
      <c r="A443" s="132">
        <v>204182</v>
      </c>
      <c r="B443" s="132">
        <f>VLOOKUP($A443,'Выгр Кат'!$A:$S,B$1,0)</f>
        <v>19866</v>
      </c>
      <c r="C443" s="133" t="str">
        <f>VLOOKUP($A443,'Выгр Кат'!$A:$S,C$1,0)</f>
        <v>Ремень генератора "БРТ" 6РК1822 для Лада Ларгус, Renault (Logan, Sandero) (с ГУР)</v>
      </c>
      <c r="D443" s="132" t="str">
        <f>VLOOKUP($A443,'Выгр Кат'!$A:$S,D$1,0)</f>
        <v>Y</v>
      </c>
      <c r="E443" s="132" t="str">
        <f>VLOOKUP($A443,'Выгр Кат'!$A:$S,E$1,0)</f>
        <v>1</v>
      </c>
      <c r="F443" s="132" t="str">
        <f>VLOOKUP($A443,'Выгр Кат'!$A:$S,F$1,0)</f>
        <v>8200598964РУ / 6РК1822</v>
      </c>
      <c r="G443" s="45" t="s">
        <v>1821</v>
      </c>
      <c r="H443" s="29" t="s">
        <v>1821</v>
      </c>
      <c r="I443" s="4" t="s">
        <v>2</v>
      </c>
      <c r="J443" s="95">
        <v>1</v>
      </c>
      <c r="K443" s="168">
        <f t="shared" si="222"/>
        <v>330</v>
      </c>
      <c r="L443" s="167">
        <f>VLOOKUP(K443,Наценка!$A$1:$B$8,2,1)</f>
        <v>1.5053763440860215</v>
      </c>
      <c r="M443" s="172">
        <f t="shared" si="225"/>
        <v>496.77419354838707</v>
      </c>
      <c r="N443" s="173">
        <f t="shared" si="215"/>
        <v>499</v>
      </c>
      <c r="O443" s="134">
        <f>VLOOKUP($A443,'Выгр Кат'!$A:$S,O$1,0)</f>
        <v>330</v>
      </c>
      <c r="P443" s="134">
        <f>VLOOKUP($A443,'Выгр Кат'!$A:$S,P$1,0)</f>
        <v>499</v>
      </c>
      <c r="Q443" s="107">
        <f t="shared" si="216"/>
        <v>0</v>
      </c>
      <c r="R443" s="107">
        <f t="shared" si="217"/>
        <v>0</v>
      </c>
      <c r="S443" s="110">
        <f t="shared" si="218"/>
        <v>464.07</v>
      </c>
      <c r="T443" s="135">
        <f t="shared" si="219"/>
        <v>0.40627272727272734</v>
      </c>
      <c r="U443" s="135" t="str">
        <f t="shared" si="220"/>
        <v/>
      </c>
      <c r="V443" s="135" t="str">
        <f t="shared" si="221"/>
        <v/>
      </c>
      <c r="W443" s="45"/>
      <c r="X443" s="114" t="str">
        <f>IFERROR((VLOOKUP($A443,'ИЗ ГУГЛА'!$B:$G,X$1,0)+Z443)*Y443,VLOOKUP($A443,'ИЗ ГУГЛА'!$B:$G,X$1,0))</f>
        <v/>
      </c>
      <c r="Y443" s="108">
        <v>1</v>
      </c>
      <c r="Z443" s="46"/>
      <c r="AA443" s="139" t="s">
        <v>1821</v>
      </c>
      <c r="AB443" s="124"/>
      <c r="AC443" s="114" t="str">
        <f>IFERROR((VLOOKUP($A443,'ИЗ ГУГЛА'!$B:$Z,AC$1,0)+AE443)*AD443,VLOOKUP($A443,'ИЗ ГУГЛА'!$B:$Z,AC$1,0))</f>
        <v/>
      </c>
      <c r="AD443" s="108">
        <v>1</v>
      </c>
      <c r="AE443" s="46"/>
      <c r="AF443" s="115"/>
    </row>
    <row r="444" spans="1:32" s="5" customFormat="1" ht="30.75" thickBot="1" x14ac:dyDescent="0.3">
      <c r="A444" s="132">
        <v>181546</v>
      </c>
      <c r="B444" s="132">
        <f>VLOOKUP($A444,'Выгр Кат'!$A:$S,B$1,0)</f>
        <v>35433</v>
      </c>
      <c r="C444" s="133" t="str">
        <f>VLOOKUP($A444,'Выгр Кат'!$A:$S,C$1,0)</f>
        <v>Опора "БРТ" задней подвески двигателя Шевроле Нива</v>
      </c>
      <c r="D444" s="132" t="str">
        <f>VLOOKUP($A444,'Выгр Кат'!$A:$S,D$1,0)</f>
        <v>Y</v>
      </c>
      <c r="E444" s="132" t="str">
        <f>VLOOKUP($A444,'Выгр Кат'!$A:$S,E$1,0)</f>
        <v>1</v>
      </c>
      <c r="F444" s="132" t="str">
        <f>VLOOKUP($A444,'Выгр Кат'!$A:$S,F$1,0)</f>
        <v>2123-1001275Р</v>
      </c>
      <c r="G444" s="44" t="s">
        <v>479</v>
      </c>
      <c r="H444" s="29"/>
      <c r="I444" s="4" t="s">
        <v>2</v>
      </c>
      <c r="J444" s="95">
        <v>1</v>
      </c>
      <c r="K444" s="168">
        <f t="shared" si="222"/>
        <v>373</v>
      </c>
      <c r="L444" s="167">
        <f>VLOOKUP(K444,Наценка!$A$1:$B$8,2,1)</f>
        <v>1.5053763440860215</v>
      </c>
      <c r="M444" s="148">
        <f>W444*1.06</f>
        <v>666.74</v>
      </c>
      <c r="N444" s="173">
        <f t="shared" si="215"/>
        <v>669</v>
      </c>
      <c r="O444" s="134">
        <f>VLOOKUP($A444,'Выгр Кат'!$A:$S,O$1,0)</f>
        <v>373</v>
      </c>
      <c r="P444" s="134">
        <f>VLOOKUP($A444,'Выгр Кат'!$A:$S,P$1,0)</f>
        <v>619</v>
      </c>
      <c r="Q444" s="107">
        <f t="shared" si="216"/>
        <v>0</v>
      </c>
      <c r="R444" s="107">
        <f t="shared" si="217"/>
        <v>-50</v>
      </c>
      <c r="S444" s="110">
        <f t="shared" si="218"/>
        <v>622.16999999999996</v>
      </c>
      <c r="T444" s="135">
        <f t="shared" si="219"/>
        <v>0.66801608579088456</v>
      </c>
      <c r="U444" s="135">
        <f t="shared" si="220"/>
        <v>1.0858505564387982E-2</v>
      </c>
      <c r="V444" s="135">
        <f t="shared" si="221"/>
        <v>0.68632707774798929</v>
      </c>
      <c r="W444" s="117">
        <f>AA444</f>
        <v>629</v>
      </c>
      <c r="X444" s="114">
        <f>IFERROR((VLOOKUP($A444,'ИЗ ГУГЛА'!$B:$G,X$1,0)+Z444)*Y444,VLOOKUP($A444,'ИЗ ГУГЛА'!$B:$G,X$1,0))</f>
        <v>629</v>
      </c>
      <c r="Y444" s="108">
        <v>1</v>
      </c>
      <c r="Z444" s="46"/>
      <c r="AA444" s="136">
        <v>629</v>
      </c>
      <c r="AB444" s="124" t="s">
        <v>2594</v>
      </c>
      <c r="AC444" s="114" t="str">
        <f>IFERROR((VLOOKUP($A444,'ИЗ ГУГЛА'!$B:$Z,AC$1,0)+AE444)*AD444,VLOOKUP($A444,'ИЗ ГУГЛА'!$B:$Z,AC$1,0))</f>
        <v/>
      </c>
      <c r="AD444" s="108">
        <v>1</v>
      </c>
      <c r="AE444" s="46"/>
      <c r="AF444" s="115"/>
    </row>
    <row r="445" spans="1:32" s="5" customFormat="1" ht="30.75" thickTop="1" x14ac:dyDescent="0.25">
      <c r="A445" s="132">
        <v>223243</v>
      </c>
      <c r="B445" s="132">
        <f>VLOOKUP($A445,'Выгр Кат'!$A:$S,B$1,0)</f>
        <v>35323</v>
      </c>
      <c r="C445" s="133" t="str">
        <f>VLOOKUP($A445,'Выгр Кат'!$A:$S,C$1,0)</f>
        <v>Уплотнитель "БРТ" стекла задней двери для Шевроле Нива</v>
      </c>
      <c r="D445" s="132" t="str">
        <f>VLOOKUP($A445,'Выгр Кат'!$A:$S,D$1,0)</f>
        <v>Y</v>
      </c>
      <c r="E445" s="132" t="str">
        <f>VLOOKUP($A445,'Выгр Кат'!$A:$S,E$1,0)</f>
        <v>1</v>
      </c>
      <c r="F445" s="132" t="str">
        <f>VLOOKUP($A445,'Выгр Кат'!$A:$S,F$1,0)</f>
        <v>2123-6303018</v>
      </c>
      <c r="G445" s="44" t="s">
        <v>793</v>
      </c>
      <c r="H445" s="29"/>
      <c r="I445" s="4" t="s">
        <v>2</v>
      </c>
      <c r="J445" s="95">
        <v>1</v>
      </c>
      <c r="K445" s="168">
        <f t="shared" si="222"/>
        <v>508</v>
      </c>
      <c r="L445" s="167">
        <f>VLOOKUP(K445,Наценка!$A$1:$B$8,2,1)</f>
        <v>1.3978494623655915</v>
      </c>
      <c r="M445" s="172">
        <f t="shared" si="225"/>
        <v>710.10752688172045</v>
      </c>
      <c r="N445" s="173">
        <f t="shared" si="215"/>
        <v>719</v>
      </c>
      <c r="O445" s="134">
        <f>VLOOKUP($A445,'Выгр Кат'!$A:$S,O$1,0)</f>
        <v>508</v>
      </c>
      <c r="P445" s="134">
        <f>VLOOKUP($A445,'Выгр Кат'!$A:$S,P$1,0)</f>
        <v>719</v>
      </c>
      <c r="Q445" s="107">
        <f t="shared" si="216"/>
        <v>0</v>
      </c>
      <c r="R445" s="107">
        <f t="shared" si="217"/>
        <v>0</v>
      </c>
      <c r="S445" s="110">
        <f t="shared" si="218"/>
        <v>668.67</v>
      </c>
      <c r="T445" s="135">
        <f t="shared" si="219"/>
        <v>0.31627952755905508</v>
      </c>
      <c r="U445" s="135" t="str">
        <f t="shared" si="220"/>
        <v/>
      </c>
      <c r="V445" s="135" t="str">
        <f t="shared" si="221"/>
        <v/>
      </c>
      <c r="W445" s="45"/>
      <c r="X445" s="114" t="str">
        <f>IFERROR((VLOOKUP($A445,'ИЗ ГУГЛА'!$B:$G,X$1,0)+Z445)*Y445,VLOOKUP($A445,'ИЗ ГУГЛА'!$B:$G,X$1,0))</f>
        <v/>
      </c>
      <c r="Y445" s="108">
        <v>1</v>
      </c>
      <c r="Z445" s="46"/>
      <c r="AA445" s="139" t="s">
        <v>1821</v>
      </c>
      <c r="AB445" s="124"/>
      <c r="AC445" s="114" t="str">
        <f>IFERROR((VLOOKUP($A445,'ИЗ ГУГЛА'!$B:$Z,AC$1,0)+AE445)*AD445,VLOOKUP($A445,'ИЗ ГУГЛА'!$B:$Z,AC$1,0))</f>
        <v/>
      </c>
      <c r="AD445" s="108">
        <v>1</v>
      </c>
      <c r="AE445" s="46"/>
      <c r="AF445" s="115"/>
    </row>
    <row r="446" spans="1:32" s="5" customFormat="1" ht="30" x14ac:dyDescent="0.25">
      <c r="A446" s="132">
        <v>223258</v>
      </c>
      <c r="B446" s="132">
        <f>VLOOKUP($A446,'Выгр Кат'!$A:$S,B$1,0)</f>
        <v>6147</v>
      </c>
      <c r="C446" s="133" t="str">
        <f>VLOOKUP($A446,'Выгр Кат'!$A:$S,C$1,0)</f>
        <v>Уплотнитель заднего стекла "БРТ" для ВАЗ 2112</v>
      </c>
      <c r="D446" s="132" t="str">
        <f>VLOOKUP($A446,'Выгр Кат'!$A:$S,D$1,0)</f>
        <v>Y</v>
      </c>
      <c r="E446" s="132" t="str">
        <f>VLOOKUP($A446,'Выгр Кат'!$A:$S,E$1,0)</f>
        <v>1</v>
      </c>
      <c r="F446" s="132">
        <f>VLOOKUP($A446,'Выгр Кат'!$A:$S,F$1,0)</f>
        <v>0</v>
      </c>
      <c r="G446" s="42" t="s">
        <v>774</v>
      </c>
      <c r="H446" s="36"/>
      <c r="I446" s="4" t="s">
        <v>2</v>
      </c>
      <c r="J446" s="95">
        <v>1</v>
      </c>
      <c r="K446" s="168">
        <f t="shared" si="222"/>
        <v>550</v>
      </c>
      <c r="L446" s="167">
        <f>VLOOKUP(K446,Наценка!$A$1:$B$8,2,1)</f>
        <v>1.3978494623655915</v>
      </c>
      <c r="M446" s="172">
        <f t="shared" si="225"/>
        <v>768.81720430107532</v>
      </c>
      <c r="N446" s="173">
        <f t="shared" si="215"/>
        <v>769</v>
      </c>
      <c r="O446" s="134">
        <f>VLOOKUP($A446,'Выгр Кат'!$A:$S,O$1,0)</f>
        <v>550</v>
      </c>
      <c r="P446" s="134">
        <f>VLOOKUP($A446,'Выгр Кат'!$A:$S,P$1,0)</f>
        <v>769</v>
      </c>
      <c r="Q446" s="107">
        <f t="shared" si="216"/>
        <v>0</v>
      </c>
      <c r="R446" s="107">
        <f t="shared" si="217"/>
        <v>0</v>
      </c>
      <c r="S446" s="110">
        <f t="shared" si="218"/>
        <v>715.17</v>
      </c>
      <c r="T446" s="135">
        <f t="shared" si="219"/>
        <v>0.30030909090909086</v>
      </c>
      <c r="U446" s="135" t="str">
        <f t="shared" si="220"/>
        <v/>
      </c>
      <c r="V446" s="135" t="str">
        <f t="shared" si="221"/>
        <v/>
      </c>
      <c r="W446" s="45"/>
      <c r="X446" s="114" t="str">
        <f>IFERROR((VLOOKUP($A446,'ИЗ ГУГЛА'!$B:$G,X$1,0)+Z446)*Y446,VLOOKUP($A446,'ИЗ ГУГЛА'!$B:$G,X$1,0))</f>
        <v/>
      </c>
      <c r="Y446" s="108">
        <v>1</v>
      </c>
      <c r="Z446" s="46"/>
      <c r="AA446" s="139" t="s">
        <v>1821</v>
      </c>
      <c r="AB446" s="124"/>
      <c r="AC446" s="114" t="str">
        <f>IFERROR((VLOOKUP($A446,'ИЗ ГУГЛА'!$B:$Z,AC$1,0)+AE446)*AD446,VLOOKUP($A446,'ИЗ ГУГЛА'!$B:$Z,AC$1,0))</f>
        <v/>
      </c>
      <c r="AD446" s="108">
        <v>1</v>
      </c>
      <c r="AE446" s="46"/>
      <c r="AF446" s="115"/>
    </row>
    <row r="447" spans="1:32" s="5" customFormat="1" ht="30" x14ac:dyDescent="0.25">
      <c r="A447" s="132">
        <v>223251</v>
      </c>
      <c r="B447" s="132">
        <f>VLOOKUP($A447,'Выгр Кат'!$A:$S,B$1,0)</f>
        <v>6126</v>
      </c>
      <c r="C447" s="133" t="str">
        <f>VLOOKUP($A447,'Выгр Кат'!$A:$S,C$1,0)</f>
        <v>Уплотнитель ветрового стекла "БРТ"  верхний для ВАЗ 2110-2112</v>
      </c>
      <c r="D447" s="132" t="str">
        <f>VLOOKUP($A447,'Выгр Кат'!$A:$S,D$1,0)</f>
        <v>Y</v>
      </c>
      <c r="E447" s="132" t="str">
        <f>VLOOKUP($A447,'Выгр Кат'!$A:$S,E$1,0)</f>
        <v>1</v>
      </c>
      <c r="F447" s="132" t="str">
        <f>VLOOKUP($A447,'Выгр Кат'!$A:$S,F$1,0)</f>
        <v>2110-5206064-30</v>
      </c>
      <c r="G447" s="42" t="s">
        <v>787</v>
      </c>
      <c r="H447" s="29"/>
      <c r="I447" s="4" t="s">
        <v>2</v>
      </c>
      <c r="J447" s="95">
        <v>1</v>
      </c>
      <c r="K447" s="168">
        <f t="shared" si="222"/>
        <v>420</v>
      </c>
      <c r="L447" s="167">
        <f>VLOOKUP(K447,Наценка!$A$1:$B$8,2,1)</f>
        <v>1.5053763440860215</v>
      </c>
      <c r="M447" s="172">
        <f t="shared" si="225"/>
        <v>632.25806451612902</v>
      </c>
      <c r="N447" s="173">
        <f t="shared" si="215"/>
        <v>639</v>
      </c>
      <c r="O447" s="134">
        <f>VLOOKUP($A447,'Выгр Кат'!$A:$S,O$1,0)</f>
        <v>420</v>
      </c>
      <c r="P447" s="134">
        <f>VLOOKUP($A447,'Выгр Кат'!$A:$S,P$1,0)</f>
        <v>639</v>
      </c>
      <c r="Q447" s="107">
        <f t="shared" si="216"/>
        <v>0</v>
      </c>
      <c r="R447" s="107">
        <f t="shared" si="217"/>
        <v>0</v>
      </c>
      <c r="S447" s="110">
        <f t="shared" si="218"/>
        <v>594.27</v>
      </c>
      <c r="T447" s="135">
        <f t="shared" si="219"/>
        <v>0.41492857142857131</v>
      </c>
      <c r="U447" s="135" t="str">
        <f t="shared" si="220"/>
        <v/>
      </c>
      <c r="V447" s="135" t="str">
        <f t="shared" si="221"/>
        <v/>
      </c>
      <c r="W447" s="45"/>
      <c r="X447" s="114" t="str">
        <f>IFERROR((VLOOKUP($A447,'ИЗ ГУГЛА'!$B:$G,X$1,0)+Z447)*Y447,VLOOKUP($A447,'ИЗ ГУГЛА'!$B:$G,X$1,0))</f>
        <v/>
      </c>
      <c r="Y447" s="108">
        <v>1</v>
      </c>
      <c r="Z447" s="46"/>
      <c r="AA447" s="139" t="s">
        <v>1821</v>
      </c>
      <c r="AB447" s="124"/>
      <c r="AC447" s="114" t="str">
        <f>IFERROR((VLOOKUP($A447,'ИЗ ГУГЛА'!$B:$Z,AC$1,0)+AE447)*AD447,VLOOKUP($A447,'ИЗ ГУГЛА'!$B:$Z,AC$1,0))</f>
        <v/>
      </c>
      <c r="AD447" s="108">
        <v>1</v>
      </c>
      <c r="AE447" s="46"/>
      <c r="AF447" s="115"/>
    </row>
    <row r="448" spans="1:32" s="5" customFormat="1" ht="45.75" thickBot="1" x14ac:dyDescent="0.3">
      <c r="A448" s="132">
        <v>223230</v>
      </c>
      <c r="B448" s="132">
        <f>VLOOKUP($A448,'Выгр Кат'!$A:$S,B$1,0)</f>
        <v>35494</v>
      </c>
      <c r="C448" s="133" t="str">
        <f>VLOOKUP($A448,'Выгр Кат'!$A:$S,C$1,0)</f>
        <v>Уплотнитель "БРТ" опускного стекла задний, наружный, правый для ВАЗ 2110-2112</v>
      </c>
      <c r="D448" s="132" t="str">
        <f>VLOOKUP($A448,'Выгр Кат'!$A:$S,D$1,0)</f>
        <v>Y</v>
      </c>
      <c r="E448" s="132" t="str">
        <f>VLOOKUP($A448,'Выгр Кат'!$A:$S,E$1,0)</f>
        <v>1</v>
      </c>
      <c r="F448" s="132" t="str">
        <f>VLOOKUP($A448,'Выгр Кат'!$A:$S,F$1,0)</f>
        <v>2110-6203290-10</v>
      </c>
      <c r="G448" s="44" t="s">
        <v>1235</v>
      </c>
      <c r="H448" s="29"/>
      <c r="I448" s="4" t="s">
        <v>2</v>
      </c>
      <c r="J448" s="95">
        <v>1</v>
      </c>
      <c r="K448" s="168">
        <f t="shared" si="222"/>
        <v>377</v>
      </c>
      <c r="L448" s="167">
        <f>VLOOKUP(K448,Наценка!$A$1:$B$8,2,1)</f>
        <v>1.5053763440860215</v>
      </c>
      <c r="M448" s="172">
        <f t="shared" si="225"/>
        <v>567.52688172043008</v>
      </c>
      <c r="N448" s="173">
        <f t="shared" si="215"/>
        <v>569</v>
      </c>
      <c r="O448" s="134">
        <f>VLOOKUP($A448,'Выгр Кат'!$A:$S,O$1,0)</f>
        <v>377</v>
      </c>
      <c r="P448" s="134">
        <f>VLOOKUP($A448,'Выгр Кат'!$A:$S,P$1,0)</f>
        <v>569</v>
      </c>
      <c r="Q448" s="107">
        <f t="shared" si="216"/>
        <v>0</v>
      </c>
      <c r="R448" s="107">
        <f t="shared" si="217"/>
        <v>0</v>
      </c>
      <c r="S448" s="110">
        <f t="shared" si="218"/>
        <v>529.16999999999996</v>
      </c>
      <c r="T448" s="135">
        <f t="shared" si="219"/>
        <v>0.40363395225464171</v>
      </c>
      <c r="U448" s="135">
        <f t="shared" si="220"/>
        <v>-0.25247337278106496</v>
      </c>
      <c r="V448" s="135">
        <f t="shared" si="221"/>
        <v>0.1206896551724137</v>
      </c>
      <c r="W448" s="117">
        <f>AA448</f>
        <v>422.5</v>
      </c>
      <c r="X448" s="114">
        <f>IFERROR((VLOOKUP($A448,'ИЗ ГУГЛА'!$B:$G,X$1,0)+Z448)*Y448,VLOOKUP($A448,'ИЗ ГУГЛА'!$B:$G,X$1,0))</f>
        <v>422.5</v>
      </c>
      <c r="Y448" s="108">
        <v>0.25</v>
      </c>
      <c r="Z448" s="46"/>
      <c r="AA448" s="138">
        <v>422.5</v>
      </c>
      <c r="AB448" s="124" t="s">
        <v>2680</v>
      </c>
      <c r="AC448" s="114" t="str">
        <f>IFERROR((VLOOKUP($A448,'ИЗ ГУГЛА'!$B:$Z,AC$1,0)+AE448)*AD448,VLOOKUP($A448,'ИЗ ГУГЛА'!$B:$Z,AC$1,0))</f>
        <v/>
      </c>
      <c r="AD448" s="108">
        <v>0.25</v>
      </c>
      <c r="AE448" s="46"/>
      <c r="AF448" s="115"/>
    </row>
    <row r="449" spans="1:32" s="5" customFormat="1" ht="30.75" thickTop="1" x14ac:dyDescent="0.25">
      <c r="A449" s="132">
        <v>223282</v>
      </c>
      <c r="B449" s="132">
        <f>VLOOKUP($A449,'Выгр Кат'!$A:$S,B$1,0)</f>
        <v>20512</v>
      </c>
      <c r="C449" s="133" t="str">
        <f>VLOOKUP($A449,'Выгр Кат'!$A:$S,C$1,0)</f>
        <v>Уплотнитель передней двери "БРТ" для Лада Ларгус</v>
      </c>
      <c r="D449" s="132" t="str">
        <f>VLOOKUP($A449,'Выгр Кат'!$A:$S,D$1,0)</f>
        <v>Y</v>
      </c>
      <c r="E449" s="132" t="str">
        <f>VLOOKUP($A449,'Выгр Кат'!$A:$S,E$1,0)</f>
        <v>1</v>
      </c>
      <c r="F449" s="132" t="str">
        <f>VLOOKUP($A449,'Выгр Кат'!$A:$S,F$1,0)</f>
        <v>6001547017Р</v>
      </c>
      <c r="G449" s="45" t="s">
        <v>571</v>
      </c>
      <c r="H449" s="29"/>
      <c r="I449" s="4" t="s">
        <v>2</v>
      </c>
      <c r="J449" s="95">
        <v>1</v>
      </c>
      <c r="K449" s="168">
        <f t="shared" si="222"/>
        <v>336</v>
      </c>
      <c r="L449" s="167">
        <f>VLOOKUP(K449,Наценка!$A$1:$B$8,2,1)</f>
        <v>1.5053763440860215</v>
      </c>
      <c r="M449" s="172">
        <f t="shared" si="225"/>
        <v>505.80645161290323</v>
      </c>
      <c r="N449" s="173">
        <f t="shared" si="215"/>
        <v>509</v>
      </c>
      <c r="O449" s="134">
        <f>VLOOKUP($A449,'Выгр Кат'!$A:$S,O$1,0)</f>
        <v>336</v>
      </c>
      <c r="P449" s="134">
        <f>VLOOKUP($A449,'Выгр Кат'!$A:$S,P$1,0)</f>
        <v>509</v>
      </c>
      <c r="Q449" s="107">
        <f t="shared" si="216"/>
        <v>0</v>
      </c>
      <c r="R449" s="107">
        <f t="shared" si="217"/>
        <v>0</v>
      </c>
      <c r="S449" s="110">
        <f t="shared" si="218"/>
        <v>473.36999999999995</v>
      </c>
      <c r="T449" s="135">
        <f t="shared" si="219"/>
        <v>0.40883928571428552</v>
      </c>
      <c r="U449" s="135" t="str">
        <f t="shared" si="220"/>
        <v/>
      </c>
      <c r="V449" s="135" t="str">
        <f t="shared" si="221"/>
        <v/>
      </c>
      <c r="W449" s="45"/>
      <c r="X449" s="114" t="str">
        <f>IFERROR((VLOOKUP($A449,'ИЗ ГУГЛА'!$B:$G,X$1,0)+Z449)*Y449,VLOOKUP($A449,'ИЗ ГУГЛА'!$B:$G,X$1,0))</f>
        <v/>
      </c>
      <c r="Y449" s="108">
        <v>1</v>
      </c>
      <c r="Z449" s="46"/>
      <c r="AA449" s="139" t="s">
        <v>1821</v>
      </c>
      <c r="AB449" s="124"/>
      <c r="AC449" s="114" t="str">
        <f>IFERROR((VLOOKUP($A449,'ИЗ ГУГЛА'!$B:$Z,AC$1,0)+AE449)*AD449,VLOOKUP($A449,'ИЗ ГУГЛА'!$B:$Z,AC$1,0))</f>
        <v/>
      </c>
      <c r="AD449" s="108">
        <v>1</v>
      </c>
      <c r="AE449" s="46"/>
      <c r="AF449" s="115"/>
    </row>
    <row r="450" spans="1:32" s="5" customFormat="1" ht="30.75" thickBot="1" x14ac:dyDescent="0.3">
      <c r="A450" s="132">
        <v>225951</v>
      </c>
      <c r="B450" s="132">
        <f>VLOOKUP($A450,'Выгр Кат'!$A:$S,B$1,0)</f>
        <v>20445</v>
      </c>
      <c r="C450" s="133" t="str">
        <f>VLOOKUP($A450,'Выгр Кат'!$A:$S,C$1,0)</f>
        <v>Шланг гибкий переднего тормоза "БРТ" для Шевроле Нива</v>
      </c>
      <c r="D450" s="132" t="str">
        <f>VLOOKUP($A450,'Выгр Кат'!$A:$S,D$1,0)</f>
        <v>Y</v>
      </c>
      <c r="E450" s="132" t="str">
        <f>VLOOKUP($A450,'Выгр Кат'!$A:$S,E$1,0)</f>
        <v>1</v>
      </c>
      <c r="F450" s="132" t="str">
        <f>VLOOKUP($A450,'Выгр Кат'!$A:$S,F$1,0)</f>
        <v>2123-3506060Р.</v>
      </c>
      <c r="G450" s="45" t="s">
        <v>508</v>
      </c>
      <c r="H450" s="29"/>
      <c r="I450" s="4" t="s">
        <v>2</v>
      </c>
      <c r="J450" s="95">
        <v>1</v>
      </c>
      <c r="K450" s="168">
        <f t="shared" si="222"/>
        <v>392</v>
      </c>
      <c r="L450" s="167">
        <f>VLOOKUP(K450,Наценка!$A$1:$B$8,2,1)</f>
        <v>1.5053763440860215</v>
      </c>
      <c r="M450" s="148">
        <f t="shared" ref="M450:M453" si="241">W450*1.06</f>
        <v>625.4</v>
      </c>
      <c r="N450" s="173">
        <f t="shared" si="215"/>
        <v>629</v>
      </c>
      <c r="O450" s="134">
        <f>VLOOKUP($A450,'Выгр Кат'!$A:$S,O$1,0)</f>
        <v>392</v>
      </c>
      <c r="P450" s="134">
        <f>VLOOKUP($A450,'Выгр Кат'!$A:$S,P$1,0)</f>
        <v>619</v>
      </c>
      <c r="Q450" s="107">
        <f t="shared" si="216"/>
        <v>0</v>
      </c>
      <c r="R450" s="107">
        <f t="shared" si="217"/>
        <v>-10</v>
      </c>
      <c r="S450" s="110">
        <f t="shared" si="218"/>
        <v>584.96999999999991</v>
      </c>
      <c r="T450" s="135">
        <f t="shared" si="219"/>
        <v>0.49227040816326517</v>
      </c>
      <c r="U450" s="135">
        <f t="shared" si="220"/>
        <v>8.5254237288137063E-3</v>
      </c>
      <c r="V450" s="135">
        <f t="shared" si="221"/>
        <v>0.50510204081632648</v>
      </c>
      <c r="W450" s="117">
        <f t="shared" ref="W450:W453" si="242">AA450</f>
        <v>590</v>
      </c>
      <c r="X450" s="114">
        <f>IFERROR((VLOOKUP($A450,'ИЗ ГУГЛА'!$B:$G,X$1,0)+Z450)*Y450,VLOOKUP($A450,'ИЗ ГУГЛА'!$B:$G,X$1,0))</f>
        <v>590</v>
      </c>
      <c r="Y450" s="46">
        <v>1</v>
      </c>
      <c r="Z450" s="46"/>
      <c r="AA450" s="138">
        <v>590</v>
      </c>
      <c r="AB450" s="124" t="s">
        <v>2356</v>
      </c>
      <c r="AC450" s="114" t="str">
        <f>IFERROR((VLOOKUP($A450,'ИЗ ГУГЛА'!$B:$Z,AC$1,0)+AE450)*AD450,VLOOKUP($A450,'ИЗ ГУГЛА'!$B:$Z,AC$1,0))</f>
        <v/>
      </c>
      <c r="AD450" s="46">
        <v>1</v>
      </c>
      <c r="AE450" s="46"/>
      <c r="AF450" s="115"/>
    </row>
    <row r="451" spans="1:32" s="5" customFormat="1" ht="46.5" thickTop="1" thickBot="1" x14ac:dyDescent="0.3">
      <c r="A451" s="132">
        <v>186735</v>
      </c>
      <c r="B451" s="132">
        <f>VLOOKUP($A451,'Выгр Кат'!$A:$S,B$1,0)</f>
        <v>19954</v>
      </c>
      <c r="C451" s="133" t="str">
        <f>VLOOKUP($A451,'Выгр Кат'!$A:$S,C$1,0)</f>
        <v>Патрубок радиатора подводящий "БРТ" верхний для ВАЗ 2104, 2105, 2107</v>
      </c>
      <c r="D451" s="132" t="str">
        <f>VLOOKUP($A451,'Выгр Кат'!$A:$S,D$1,0)</f>
        <v>Y</v>
      </c>
      <c r="E451" s="132" t="str">
        <f>VLOOKUP($A451,'Выгр Кат'!$A:$S,E$1,0)</f>
        <v>1</v>
      </c>
      <c r="F451" s="132" t="str">
        <f>VLOOKUP($A451,'Выгр Кат'!$A:$S,F$1,0)</f>
        <v>2105-1303025РП</v>
      </c>
      <c r="G451" s="45" t="s">
        <v>297</v>
      </c>
      <c r="H451" s="29"/>
      <c r="I451" s="4" t="s">
        <v>2</v>
      </c>
      <c r="J451" s="95">
        <v>1</v>
      </c>
      <c r="K451" s="168">
        <f t="shared" si="222"/>
        <v>381</v>
      </c>
      <c r="L451" s="167">
        <f>VLOOKUP(K451,Наценка!$A$1:$B$8,2,1)</f>
        <v>1.5053763440860215</v>
      </c>
      <c r="M451" s="148">
        <f t="shared" si="241"/>
        <v>625.4</v>
      </c>
      <c r="N451" s="173">
        <f t="shared" ref="N451:N514" si="243">IF(M451&lt;=1000,(ROUNDUP(M451,-1)-1),(ROUNDUP(M451,-2)-10))</f>
        <v>629</v>
      </c>
      <c r="O451" s="134">
        <f>VLOOKUP($A451,'Выгр Кат'!$A:$S,O$1,0)</f>
        <v>381</v>
      </c>
      <c r="P451" s="134">
        <f>VLOOKUP($A451,'Выгр Кат'!$A:$S,P$1,0)</f>
        <v>619</v>
      </c>
      <c r="Q451" s="107">
        <f t="shared" ref="Q451:Q514" si="244">O451-K451</f>
        <v>0</v>
      </c>
      <c r="R451" s="107">
        <f t="shared" ref="R451:R514" si="245">P451-N451</f>
        <v>-10</v>
      </c>
      <c r="S451" s="110">
        <f t="shared" ref="S451:S514" si="246">IFERROR(N451*(1-$S$2),"")</f>
        <v>584.96999999999991</v>
      </c>
      <c r="T451" s="135">
        <f t="shared" ref="T451:T514" si="247">IFERROR(S451/K451-1,"")</f>
        <v>0.53535433070866123</v>
      </c>
      <c r="U451" s="135">
        <f t="shared" ref="U451:U514" si="248">IFERROR((W451-S451)/W451,"")</f>
        <v>8.5254237288137063E-3</v>
      </c>
      <c r="V451" s="135">
        <f t="shared" ref="V451:V514" si="249">IFERROR(IF(W451="","",W451/K451-1),"")</f>
        <v>0.54855643044619429</v>
      </c>
      <c r="W451" s="117">
        <f t="shared" si="242"/>
        <v>590</v>
      </c>
      <c r="X451" s="114">
        <f>IFERROR((VLOOKUP($A451,'ИЗ ГУГЛА'!$B:$G,X$1,0)+Z451)*Y451,VLOOKUP($A451,'ИЗ ГУГЛА'!$B:$G,X$1,0))</f>
        <v>590</v>
      </c>
      <c r="Y451" s="108">
        <v>1</v>
      </c>
      <c r="Z451" s="46"/>
      <c r="AA451" s="136">
        <v>590</v>
      </c>
      <c r="AB451" s="124" t="s">
        <v>2593</v>
      </c>
      <c r="AC451" s="114" t="str">
        <f>IFERROR((VLOOKUP($A451,'ИЗ ГУГЛА'!$B:$Z,AC$1,0)+AE451)*AD451,VLOOKUP($A451,'ИЗ ГУГЛА'!$B:$Z,AC$1,0))</f>
        <v/>
      </c>
      <c r="AD451" s="108">
        <v>1</v>
      </c>
      <c r="AE451" s="46"/>
      <c r="AF451" s="115"/>
    </row>
    <row r="452" spans="1:32" s="5" customFormat="1" ht="31.5" thickTop="1" thickBot="1" x14ac:dyDescent="0.3">
      <c r="A452" s="132">
        <v>223285</v>
      </c>
      <c r="B452" s="132">
        <f>VLOOKUP($A452,'Выгр Кат'!$A:$S,B$1,0)</f>
        <v>20478</v>
      </c>
      <c r="C452" s="133" t="str">
        <f>VLOOKUP($A452,'Выгр Кат'!$A:$S,C$1,0)</f>
        <v>Уплотнитель проёма двери задка "БРТ" для ВАЗ 2112</v>
      </c>
      <c r="D452" s="132" t="str">
        <f>VLOOKUP($A452,'Выгр Кат'!$A:$S,D$1,0)</f>
        <v>Y</v>
      </c>
      <c r="E452" s="132" t="str">
        <f>VLOOKUP($A452,'Выгр Кат'!$A:$S,E$1,0)</f>
        <v>1</v>
      </c>
      <c r="F452" s="132" t="str">
        <f>VLOOKUP($A452,'Выгр Кат'!$A:$S,F$1,0)</f>
        <v>2112-6307024-02Р</v>
      </c>
      <c r="G452" s="42" t="s">
        <v>764</v>
      </c>
      <c r="H452" s="29"/>
      <c r="I452" s="4" t="s">
        <v>2</v>
      </c>
      <c r="J452" s="95">
        <v>1</v>
      </c>
      <c r="K452" s="168">
        <f t="shared" ref="K452:K515" si="250">O452</f>
        <v>385</v>
      </c>
      <c r="L452" s="167">
        <f>VLOOKUP(K452,Наценка!$A$1:$B$8,2,1)</f>
        <v>1.5053763440860215</v>
      </c>
      <c r="M452" s="148">
        <f t="shared" si="241"/>
        <v>837.40000000000009</v>
      </c>
      <c r="N452" s="173">
        <f t="shared" si="243"/>
        <v>839</v>
      </c>
      <c r="O452" s="134">
        <f>VLOOKUP($A452,'Выгр Кат'!$A:$S,O$1,0)</f>
        <v>385</v>
      </c>
      <c r="P452" s="134">
        <f>VLOOKUP($A452,'Выгр Кат'!$A:$S,P$1,0)</f>
        <v>829</v>
      </c>
      <c r="Q452" s="107">
        <f t="shared" si="244"/>
        <v>0</v>
      </c>
      <c r="R452" s="107">
        <f t="shared" si="245"/>
        <v>-10</v>
      </c>
      <c r="S452" s="110">
        <f t="shared" si="246"/>
        <v>780.27</v>
      </c>
      <c r="T452" s="135">
        <f t="shared" si="247"/>
        <v>1.0266753246753244</v>
      </c>
      <c r="U452" s="135">
        <f t="shared" si="248"/>
        <v>1.2316455696202554E-2</v>
      </c>
      <c r="V452" s="135">
        <f t="shared" si="249"/>
        <v>1.051948051948052</v>
      </c>
      <c r="W452" s="117">
        <f t="shared" si="242"/>
        <v>790</v>
      </c>
      <c r="X452" s="114">
        <f>IFERROR((VLOOKUP($A452,'ИЗ ГУГЛА'!$B:$G,X$1,0)+Z452)*Y452,VLOOKUP($A452,'ИЗ ГУГЛА'!$B:$G,X$1,0))</f>
        <v>790</v>
      </c>
      <c r="Y452" s="108">
        <v>1</v>
      </c>
      <c r="Z452" s="46"/>
      <c r="AA452" s="136">
        <v>790</v>
      </c>
      <c r="AB452" s="124" t="s">
        <v>2291</v>
      </c>
      <c r="AC452" s="114" t="str">
        <f>IFERROR((VLOOKUP($A452,'ИЗ ГУГЛА'!$B:$Z,AC$1,0)+AE452)*AD452,VLOOKUP($A452,'ИЗ ГУГЛА'!$B:$Z,AC$1,0))</f>
        <v/>
      </c>
      <c r="AD452" s="108">
        <v>1</v>
      </c>
      <c r="AE452" s="46"/>
      <c r="AF452" s="115"/>
    </row>
    <row r="453" spans="1:32" s="5" customFormat="1" ht="46.5" thickTop="1" thickBot="1" x14ac:dyDescent="0.3">
      <c r="A453" s="132">
        <v>186580</v>
      </c>
      <c r="B453" s="132">
        <f>VLOOKUP($A453,'Выгр Кат'!$A:$S,B$1,0)</f>
        <v>35563</v>
      </c>
      <c r="C453" s="133" t="str">
        <f>VLOOKUP($A453,'Выгр Кат'!$A:$S,C$1,0)</f>
        <v>Патрубок "БРТ" радиатора подводящий, верхний для Лада Гранта, Калина 2 (МКПП)</v>
      </c>
      <c r="D453" s="132" t="str">
        <f>VLOOKUP($A453,'Выгр Кат'!$A:$S,D$1,0)</f>
        <v>Y</v>
      </c>
      <c r="E453" s="132" t="str">
        <f>VLOOKUP($A453,'Выгр Кат'!$A:$S,E$1,0)</f>
        <v>1</v>
      </c>
      <c r="F453" s="132" t="str">
        <f>VLOOKUP($A453,'Выгр Кат'!$A:$S,F$1,0)</f>
        <v>2190-1303025-10Р</v>
      </c>
      <c r="G453" s="44" t="s">
        <v>528</v>
      </c>
      <c r="H453" s="29"/>
      <c r="I453" s="4" t="s">
        <v>2</v>
      </c>
      <c r="J453" s="95">
        <v>1</v>
      </c>
      <c r="K453" s="168">
        <f t="shared" si="250"/>
        <v>389</v>
      </c>
      <c r="L453" s="167">
        <f>VLOOKUP(K453,Наценка!$A$1:$B$8,2,1)</f>
        <v>1.5053763440860215</v>
      </c>
      <c r="M453" s="148">
        <f t="shared" si="241"/>
        <v>772.74</v>
      </c>
      <c r="N453" s="173">
        <f t="shared" si="243"/>
        <v>779</v>
      </c>
      <c r="O453" s="134">
        <f>VLOOKUP($A453,'Выгр Кат'!$A:$S,O$1,0)</f>
        <v>389</v>
      </c>
      <c r="P453" s="134">
        <f>VLOOKUP($A453,'Выгр Кат'!$A:$S,P$1,0)</f>
        <v>759</v>
      </c>
      <c r="Q453" s="107">
        <f t="shared" si="244"/>
        <v>0</v>
      </c>
      <c r="R453" s="107">
        <f t="shared" si="245"/>
        <v>-20</v>
      </c>
      <c r="S453" s="110">
        <f t="shared" si="246"/>
        <v>724.46999999999991</v>
      </c>
      <c r="T453" s="135">
        <f t="shared" si="247"/>
        <v>0.86239074550128514</v>
      </c>
      <c r="U453" s="135">
        <f t="shared" si="248"/>
        <v>6.2139917695474434E-3</v>
      </c>
      <c r="V453" s="135">
        <f t="shared" si="249"/>
        <v>0.87403598971722363</v>
      </c>
      <c r="W453" s="117">
        <f t="shared" si="242"/>
        <v>729</v>
      </c>
      <c r="X453" s="114">
        <f>IFERROR((VLOOKUP($A453,'ИЗ ГУГЛА'!$B:$G,X$1,0)+Z453)*Y453,VLOOKUP($A453,'ИЗ ГУГЛА'!$B:$G,X$1,0))</f>
        <v>729</v>
      </c>
      <c r="Y453" s="108">
        <v>1</v>
      </c>
      <c r="Z453" s="46"/>
      <c r="AA453" s="136">
        <v>729</v>
      </c>
      <c r="AB453" s="124" t="s">
        <v>2492</v>
      </c>
      <c r="AC453" s="114" t="str">
        <f>IFERROR((VLOOKUP($A453,'ИЗ ГУГЛА'!$B:$Z,AC$1,0)+AE453)*AD453,VLOOKUP($A453,'ИЗ ГУГЛА'!$B:$Z,AC$1,0))</f>
        <v/>
      </c>
      <c r="AD453" s="108">
        <v>1</v>
      </c>
      <c r="AE453" s="46"/>
      <c r="AF453" s="115"/>
    </row>
    <row r="454" spans="1:32" s="5" customFormat="1" ht="45.75" thickTop="1" x14ac:dyDescent="0.25">
      <c r="A454" s="132">
        <v>204280</v>
      </c>
      <c r="B454" s="132">
        <f>VLOOKUP($A454,'Выгр Кат'!$A:$S,B$1,0)</f>
        <v>19830</v>
      </c>
      <c r="C454" s="133" t="str">
        <f>VLOOKUP($A454,'Выгр Кат'!$A:$S,C$1,0)</f>
        <v>Ремень ГРМ "БРТ" для Лада Ларгус, Renault Logan (с 8-ми клапанным двигателем)</v>
      </c>
      <c r="D454" s="132" t="str">
        <f>VLOOKUP($A454,'Выгр Кат'!$A:$S,D$1,0)</f>
        <v>Y</v>
      </c>
      <c r="E454" s="132" t="str">
        <f>VLOOKUP($A454,'Выгр Кат'!$A:$S,E$1,0)</f>
        <v>1</v>
      </c>
      <c r="F454" s="132" t="str">
        <f>VLOOKUP($A454,'Выгр Кат'!$A:$S,F$1,0)</f>
        <v>21725РУ</v>
      </c>
      <c r="G454" s="45" t="s">
        <v>554</v>
      </c>
      <c r="H454" s="29"/>
      <c r="I454" s="4" t="s">
        <v>2</v>
      </c>
      <c r="J454" s="95">
        <v>1</v>
      </c>
      <c r="K454" s="168">
        <f t="shared" si="250"/>
        <v>331</v>
      </c>
      <c r="L454" s="167">
        <f>VLOOKUP(K454,Наценка!$A$1:$B$8,2,1)</f>
        <v>1.5053763440860215</v>
      </c>
      <c r="M454" s="172">
        <f t="shared" ref="M453:M516" si="251">K454*L454</f>
        <v>498.27956989247309</v>
      </c>
      <c r="N454" s="173">
        <f t="shared" si="243"/>
        <v>499</v>
      </c>
      <c r="O454" s="134">
        <f>VLOOKUP($A454,'Выгр Кат'!$A:$S,O$1,0)</f>
        <v>331</v>
      </c>
      <c r="P454" s="134">
        <f>VLOOKUP($A454,'Выгр Кат'!$A:$S,P$1,0)</f>
        <v>499</v>
      </c>
      <c r="Q454" s="107">
        <f t="shared" si="244"/>
        <v>0</v>
      </c>
      <c r="R454" s="107">
        <f t="shared" si="245"/>
        <v>0</v>
      </c>
      <c r="S454" s="110">
        <f t="shared" si="246"/>
        <v>464.07</v>
      </c>
      <c r="T454" s="135">
        <f t="shared" si="247"/>
        <v>0.40202416918429007</v>
      </c>
      <c r="U454" s="135" t="str">
        <f t="shared" si="248"/>
        <v/>
      </c>
      <c r="V454" s="135" t="str">
        <f t="shared" si="249"/>
        <v/>
      </c>
      <c r="W454" s="45"/>
      <c r="X454" s="114" t="str">
        <f>IFERROR((VLOOKUP($A454,'ИЗ ГУГЛА'!$B:$G,X$1,0)+Z454)*Y454,VLOOKUP($A454,'ИЗ ГУГЛА'!$B:$G,X$1,0))</f>
        <v/>
      </c>
      <c r="Y454" s="108">
        <v>1</v>
      </c>
      <c r="Z454" s="46"/>
      <c r="AA454" s="139" t="s">
        <v>1821</v>
      </c>
      <c r="AB454" s="124"/>
      <c r="AC454" s="114" t="str">
        <f>IFERROR((VLOOKUP($A454,'ИЗ ГУГЛА'!$B:$Z,AC$1,0)+AE454)*AD454,VLOOKUP($A454,'ИЗ ГУГЛА'!$B:$Z,AC$1,0))</f>
        <v/>
      </c>
      <c r="AD454" s="108">
        <v>1</v>
      </c>
      <c r="AE454" s="46"/>
      <c r="AF454" s="115"/>
    </row>
    <row r="455" spans="1:32" s="5" customFormat="1" ht="30.75" thickBot="1" x14ac:dyDescent="0.3">
      <c r="A455" s="132">
        <v>186573</v>
      </c>
      <c r="B455" s="132">
        <f>VLOOKUP($A455,'Выгр Кат'!$A:$S,B$1,0)</f>
        <v>35561</v>
      </c>
      <c r="C455" s="133" t="str">
        <f>VLOOKUP($A455,'Выгр Кат'!$A:$S,C$1,0)</f>
        <v>Патрубок "БРТ" радиатора отводящий для Лада Гранта, Калина 2 (МКПП)</v>
      </c>
      <c r="D455" s="132" t="str">
        <f>VLOOKUP($A455,'Выгр Кат'!$A:$S,D$1,0)</f>
        <v>Y</v>
      </c>
      <c r="E455" s="132" t="str">
        <f>VLOOKUP($A455,'Выгр Кат'!$A:$S,E$1,0)</f>
        <v>1</v>
      </c>
      <c r="F455" s="132" t="str">
        <f>VLOOKUP($A455,'Выгр Кат'!$A:$S,F$1,0)</f>
        <v>2190-1303010-10Р</v>
      </c>
      <c r="G455" s="44" t="s">
        <v>526</v>
      </c>
      <c r="H455" s="29"/>
      <c r="I455" s="4" t="s">
        <v>2</v>
      </c>
      <c r="J455" s="95">
        <v>1</v>
      </c>
      <c r="K455" s="168">
        <f t="shared" si="250"/>
        <v>391</v>
      </c>
      <c r="L455" s="167">
        <f>VLOOKUP(K455,Наценка!$A$1:$B$8,2,1)</f>
        <v>1.5053763440860215</v>
      </c>
      <c r="M455" s="148">
        <f t="shared" ref="M455:M460" si="252">W455*1.06</f>
        <v>772.74</v>
      </c>
      <c r="N455" s="173">
        <f t="shared" si="243"/>
        <v>779</v>
      </c>
      <c r="O455" s="134">
        <f>VLOOKUP($A455,'Выгр Кат'!$A:$S,O$1,0)</f>
        <v>391</v>
      </c>
      <c r="P455" s="134">
        <f>VLOOKUP($A455,'Выгр Кат'!$A:$S,P$1,0)</f>
        <v>759</v>
      </c>
      <c r="Q455" s="107">
        <f t="shared" si="244"/>
        <v>0</v>
      </c>
      <c r="R455" s="107">
        <f t="shared" si="245"/>
        <v>-20</v>
      </c>
      <c r="S455" s="110">
        <f t="shared" si="246"/>
        <v>724.46999999999991</v>
      </c>
      <c r="T455" s="135">
        <f t="shared" si="247"/>
        <v>0.85286445012787704</v>
      </c>
      <c r="U455" s="135">
        <f t="shared" si="248"/>
        <v>6.2139917695474434E-3</v>
      </c>
      <c r="V455" s="135">
        <f t="shared" si="249"/>
        <v>0.86445012787723785</v>
      </c>
      <c r="W455" s="117">
        <f t="shared" ref="W455:W465" si="253">AA455</f>
        <v>729</v>
      </c>
      <c r="X455" s="114">
        <f>IFERROR((VLOOKUP($A455,'ИЗ ГУГЛА'!$B:$G,X$1,0)+Z455)*Y455,VLOOKUP($A455,'ИЗ ГУГЛА'!$B:$G,X$1,0))</f>
        <v>729</v>
      </c>
      <c r="Y455" s="108">
        <v>1</v>
      </c>
      <c r="Z455" s="46"/>
      <c r="AA455" s="136">
        <v>729</v>
      </c>
      <c r="AB455" s="124" t="s">
        <v>2577</v>
      </c>
      <c r="AC455" s="114" t="str">
        <f>IFERROR((VLOOKUP($A455,'ИЗ ГУГЛА'!$B:$Z,AC$1,0)+AE455)*AD455,VLOOKUP($A455,'ИЗ ГУГЛА'!$B:$Z,AC$1,0))</f>
        <v/>
      </c>
      <c r="AD455" s="108">
        <v>1</v>
      </c>
      <c r="AE455" s="46"/>
      <c r="AF455" s="115"/>
    </row>
    <row r="456" spans="1:32" s="5" customFormat="1" ht="46.5" thickTop="1" thickBot="1" x14ac:dyDescent="0.3">
      <c r="A456" s="132">
        <v>194571</v>
      </c>
      <c r="B456" s="132">
        <f>VLOOKUP($A456,'Выгр Кат'!$A:$S,B$1,0)</f>
        <v>35411</v>
      </c>
      <c r="C456" s="133" t="str">
        <f>VLOOKUP($A456,'Выгр Кат'!$A:$S,C$1,0)</f>
        <v>Подушка "БРТ" передней опоры двигателя для Лада Нива 4х4, Шевроле Нива</v>
      </c>
      <c r="D456" s="132" t="str">
        <f>VLOOKUP($A456,'Выгр Кат'!$A:$S,D$1,0)</f>
        <v>Y</v>
      </c>
      <c r="E456" s="132" t="str">
        <f>VLOOKUP($A456,'Выгр Кат'!$A:$S,E$1,0)</f>
        <v>1</v>
      </c>
      <c r="F456" s="132" t="str">
        <f>VLOOKUP($A456,'Выгр Кат'!$A:$S,F$1,0)</f>
        <v>2121-1001020РУ</v>
      </c>
      <c r="G456" s="44" t="s">
        <v>436</v>
      </c>
      <c r="H456" s="29"/>
      <c r="I456" s="4" t="s">
        <v>2</v>
      </c>
      <c r="J456" s="95">
        <v>1</v>
      </c>
      <c r="K456" s="168">
        <f t="shared" si="250"/>
        <v>383</v>
      </c>
      <c r="L456" s="167">
        <f>VLOOKUP(K456,Наценка!$A$1:$B$8,2,1)</f>
        <v>1.5053763440860215</v>
      </c>
      <c r="M456" s="151">
        <f>K456*1.2*100/93</f>
        <v>494.19354838709677</v>
      </c>
      <c r="N456" s="173">
        <f t="shared" si="243"/>
        <v>499</v>
      </c>
      <c r="O456" s="134">
        <f>VLOOKUP($A456,'Выгр Кат'!$A:$S,O$1,0)</f>
        <v>383</v>
      </c>
      <c r="P456" s="134">
        <f>VLOOKUP($A456,'Выгр Кат'!$A:$S,P$1,0)</f>
        <v>619</v>
      </c>
      <c r="Q456" s="107">
        <f t="shared" si="244"/>
        <v>0</v>
      </c>
      <c r="R456" s="107">
        <f t="shared" si="245"/>
        <v>120</v>
      </c>
      <c r="S456" s="110">
        <f t="shared" si="246"/>
        <v>464.07</v>
      </c>
      <c r="T456" s="135">
        <f t="shared" si="247"/>
        <v>0.21167101827676249</v>
      </c>
      <c r="U456" s="135">
        <f t="shared" si="248"/>
        <v>-3.3563474387527825E-2</v>
      </c>
      <c r="V456" s="135">
        <f t="shared" si="249"/>
        <v>0.17232375979112269</v>
      </c>
      <c r="W456" s="117">
        <f t="shared" si="253"/>
        <v>449</v>
      </c>
      <c r="X456" s="114">
        <f>IFERROR((VLOOKUP($A456,'ИЗ ГУГЛА'!$B:$G,X$1,0)+Z456)*Y456,VLOOKUP($A456,'ИЗ ГУГЛА'!$B:$G,X$1,0))</f>
        <v>449</v>
      </c>
      <c r="Y456" s="108">
        <v>1</v>
      </c>
      <c r="Z456" s="46"/>
      <c r="AA456" s="136">
        <v>449</v>
      </c>
      <c r="AB456" s="124" t="s">
        <v>2576</v>
      </c>
      <c r="AC456" s="114" t="str">
        <f>IFERROR((VLOOKUP($A456,'ИЗ ГУГЛА'!$B:$Z,AC$1,0)+AE456)*AD456,VLOOKUP($A456,'ИЗ ГУГЛА'!$B:$Z,AC$1,0))</f>
        <v/>
      </c>
      <c r="AD456" s="108">
        <v>1</v>
      </c>
      <c r="AE456" s="46"/>
      <c r="AF456" s="115"/>
    </row>
    <row r="457" spans="1:32" s="5" customFormat="1" ht="31.5" thickTop="1" thickBot="1" x14ac:dyDescent="0.3">
      <c r="A457" s="132">
        <v>223298</v>
      </c>
      <c r="B457" s="132">
        <f>VLOOKUP($A457,'Выгр Кат'!$A:$S,B$1,0)</f>
        <v>20475</v>
      </c>
      <c r="C457" s="133" t="str">
        <f>VLOOKUP($A457,'Выгр Кат'!$A:$S,C$1,0)</f>
        <v>Уплотнитель универсальный проёма передней двери "БРТ" для ВАЗ 2110</v>
      </c>
      <c r="D457" s="132" t="str">
        <f>VLOOKUP($A457,'Выгр Кат'!$A:$S,D$1,0)</f>
        <v>Y</v>
      </c>
      <c r="E457" s="132" t="str">
        <f>VLOOKUP($A457,'Выгр Кат'!$A:$S,E$1,0)</f>
        <v>1</v>
      </c>
      <c r="F457" s="132" t="str">
        <f>VLOOKUP($A457,'Выгр Кат'!$A:$S,F$1,0)</f>
        <v>2110-6107018Р</v>
      </c>
      <c r="G457" s="45" t="s">
        <v>408</v>
      </c>
      <c r="H457" s="29"/>
      <c r="I457" s="4" t="s">
        <v>2</v>
      </c>
      <c r="J457" s="95">
        <v>1</v>
      </c>
      <c r="K457" s="168">
        <f t="shared" si="250"/>
        <v>395</v>
      </c>
      <c r="L457" s="167">
        <f>VLOOKUP(K457,Наценка!$A$1:$B$8,2,1)</f>
        <v>1.5053763440860215</v>
      </c>
      <c r="M457" s="148">
        <f t="shared" si="252"/>
        <v>659.85</v>
      </c>
      <c r="N457" s="173">
        <f t="shared" si="243"/>
        <v>659</v>
      </c>
      <c r="O457" s="134">
        <f>VLOOKUP($A457,'Выгр Кат'!$A:$S,O$1,0)</f>
        <v>395</v>
      </c>
      <c r="P457" s="134">
        <f>VLOOKUP($A457,'Выгр Кат'!$A:$S,P$1,0)</f>
        <v>649</v>
      </c>
      <c r="Q457" s="107">
        <f t="shared" si="244"/>
        <v>0</v>
      </c>
      <c r="R457" s="107">
        <f t="shared" si="245"/>
        <v>-10</v>
      </c>
      <c r="S457" s="110">
        <f t="shared" si="246"/>
        <v>612.87</v>
      </c>
      <c r="T457" s="135">
        <f t="shared" si="247"/>
        <v>0.55156962025316458</v>
      </c>
      <c r="U457" s="135">
        <f t="shared" si="248"/>
        <v>1.5469879518072282E-2</v>
      </c>
      <c r="V457" s="135">
        <f t="shared" si="249"/>
        <v>0.57594936708860756</v>
      </c>
      <c r="W457" s="117">
        <f t="shared" si="253"/>
        <v>622.5</v>
      </c>
      <c r="X457" s="114">
        <f>IFERROR((VLOOKUP($A457,'ИЗ ГУГЛА'!$B:$G,X$1,0)+Z457)*Y457,VLOOKUP($A457,'ИЗ ГУГЛА'!$B:$G,X$1,0))</f>
        <v>622.5</v>
      </c>
      <c r="Y457" s="108">
        <v>0.25</v>
      </c>
      <c r="Z457" s="46"/>
      <c r="AA457" s="138">
        <v>622.5</v>
      </c>
      <c r="AB457" s="124" t="s">
        <v>2374</v>
      </c>
      <c r="AC457" s="114" t="str">
        <f>IFERROR((VLOOKUP($A457,'ИЗ ГУГЛА'!$B:$Z,AC$1,0)+AE457)*AD457,VLOOKUP($A457,'ИЗ ГУГЛА'!$B:$Z,AC$1,0))</f>
        <v/>
      </c>
      <c r="AD457" s="108">
        <v>0.25</v>
      </c>
      <c r="AE457" s="46"/>
      <c r="AF457" s="115"/>
    </row>
    <row r="458" spans="1:32" s="5" customFormat="1" ht="31.5" thickTop="1" thickBot="1" x14ac:dyDescent="0.3">
      <c r="A458" s="132">
        <v>223240</v>
      </c>
      <c r="B458" s="132">
        <f>VLOOKUP($A458,'Выгр Кат'!$A:$S,B$1,0)</f>
        <v>20458</v>
      </c>
      <c r="C458" s="133" t="str">
        <f>VLOOKUP($A458,'Выгр Кат'!$A:$S,C$1,0)</f>
        <v>Уплотнитель "БРТ" проёма передней двери для Лада Калина</v>
      </c>
      <c r="D458" s="132" t="str">
        <f>VLOOKUP($A458,'Выгр Кат'!$A:$S,D$1,0)</f>
        <v>Y</v>
      </c>
      <c r="E458" s="132" t="str">
        <f>VLOOKUP($A458,'Выгр Кат'!$A:$S,E$1,0)</f>
        <v>1</v>
      </c>
      <c r="F458" s="132" t="str">
        <f>VLOOKUP($A458,'Выгр Кат'!$A:$S,F$1,0)</f>
        <v>1118-6107018-10Р</v>
      </c>
      <c r="G458" s="45" t="s">
        <v>408</v>
      </c>
      <c r="H458" s="29"/>
      <c r="I458" s="4" t="s">
        <v>2</v>
      </c>
      <c r="J458" s="95">
        <v>1</v>
      </c>
      <c r="K458" s="168">
        <f t="shared" si="250"/>
        <v>545</v>
      </c>
      <c r="L458" s="167">
        <f>VLOOKUP(K458,Наценка!$A$1:$B$8,2,1)</f>
        <v>1.3978494623655915</v>
      </c>
      <c r="M458" s="148">
        <f t="shared" si="252"/>
        <v>837.40000000000009</v>
      </c>
      <c r="N458" s="173">
        <f t="shared" si="243"/>
        <v>839</v>
      </c>
      <c r="O458" s="134">
        <f>VLOOKUP($A458,'Выгр Кат'!$A:$S,O$1,0)</f>
        <v>545</v>
      </c>
      <c r="P458" s="134">
        <f>VLOOKUP($A458,'Выгр Кат'!$A:$S,P$1,0)</f>
        <v>769</v>
      </c>
      <c r="Q458" s="107">
        <f t="shared" si="244"/>
        <v>0</v>
      </c>
      <c r="R458" s="107">
        <f t="shared" si="245"/>
        <v>-70</v>
      </c>
      <c r="S458" s="110">
        <f t="shared" si="246"/>
        <v>780.27</v>
      </c>
      <c r="T458" s="135">
        <f t="shared" si="247"/>
        <v>0.43168807339449544</v>
      </c>
      <c r="U458" s="135">
        <f t="shared" si="248"/>
        <v>1.2316455696202554E-2</v>
      </c>
      <c r="V458" s="135">
        <f t="shared" si="249"/>
        <v>0.44954128440366969</v>
      </c>
      <c r="W458" s="117">
        <f t="shared" si="253"/>
        <v>790</v>
      </c>
      <c r="X458" s="114">
        <f>IFERROR((VLOOKUP($A458,'ИЗ ГУГЛА'!$B:$G,X$1,0)+Z458)*Y458,VLOOKUP($A458,'ИЗ ГУГЛА'!$B:$G,X$1,0))</f>
        <v>790</v>
      </c>
      <c r="Y458" s="46">
        <v>1</v>
      </c>
      <c r="Z458" s="46"/>
      <c r="AA458" s="138">
        <v>790</v>
      </c>
      <c r="AB458" s="124" t="s">
        <v>2331</v>
      </c>
      <c r="AC458" s="114" t="str">
        <f>IFERROR((VLOOKUP($A458,'ИЗ ГУГЛА'!$B:$Z,AC$1,0)+AE458)*AD458,VLOOKUP($A458,'ИЗ ГУГЛА'!$B:$Z,AC$1,0))</f>
        <v/>
      </c>
      <c r="AD458" s="46">
        <v>1</v>
      </c>
      <c r="AE458" s="46"/>
      <c r="AF458" s="115"/>
    </row>
    <row r="459" spans="1:32" s="5" customFormat="1" ht="31.5" thickTop="1" thickBot="1" x14ac:dyDescent="0.3">
      <c r="A459" s="132">
        <v>223287</v>
      </c>
      <c r="B459" s="132">
        <f>VLOOKUP($A459,'Выгр Кат'!$A:$S,B$1,0)</f>
        <v>20501</v>
      </c>
      <c r="C459" s="133" t="str">
        <f>VLOOKUP($A459,'Выгр Кат'!$A:$S,C$1,0)</f>
        <v>Уплотнитель проёма задней двери "БРТ" для Лада Приора</v>
      </c>
      <c r="D459" s="132" t="str">
        <f>VLOOKUP($A459,'Выгр Кат'!$A:$S,D$1,0)</f>
        <v>Y</v>
      </c>
      <c r="E459" s="132" t="str">
        <f>VLOOKUP($A459,'Выгр Кат'!$A:$S,E$1,0)</f>
        <v>1ск6</v>
      </c>
      <c r="F459" s="132" t="str">
        <f>VLOOKUP($A459,'Выгр Кат'!$A:$S,F$1,0)</f>
        <v>2170-6207018-01Р</v>
      </c>
      <c r="G459" s="45" t="s">
        <v>408</v>
      </c>
      <c r="H459" s="29"/>
      <c r="I459" s="4" t="s">
        <v>2</v>
      </c>
      <c r="J459" s="95">
        <v>1</v>
      </c>
      <c r="K459" s="168">
        <f t="shared" si="250"/>
        <v>496</v>
      </c>
      <c r="L459" s="167">
        <f>VLOOKUP(K459,Наценка!$A$1:$B$8,2,1)</f>
        <v>1.5053763440860215</v>
      </c>
      <c r="M459" s="148">
        <f t="shared" si="252"/>
        <v>899.94</v>
      </c>
      <c r="N459" s="173">
        <f t="shared" si="243"/>
        <v>899</v>
      </c>
      <c r="O459" s="134">
        <f>VLOOKUP($A459,'Выгр Кат'!$A:$S,O$1,0)</f>
        <v>496</v>
      </c>
      <c r="P459" s="134">
        <f>VLOOKUP($A459,'Выгр Кат'!$A:$S,P$1,0)</f>
        <v>889</v>
      </c>
      <c r="Q459" s="107">
        <f t="shared" si="244"/>
        <v>0</v>
      </c>
      <c r="R459" s="107">
        <f t="shared" si="245"/>
        <v>-10</v>
      </c>
      <c r="S459" s="110">
        <f t="shared" si="246"/>
        <v>836.06999999999994</v>
      </c>
      <c r="T459" s="135">
        <f t="shared" si="247"/>
        <v>0.68562499999999993</v>
      </c>
      <c r="U459" s="135">
        <f t="shared" si="248"/>
        <v>1.5229681978798662E-2</v>
      </c>
      <c r="V459" s="135">
        <f t="shared" si="249"/>
        <v>0.71169354838709675</v>
      </c>
      <c r="W459" s="117">
        <f t="shared" si="253"/>
        <v>849</v>
      </c>
      <c r="X459" s="114">
        <f>IFERROR((VLOOKUP($A459,'ИЗ ГУГЛА'!$B:$G,X$1,0)+Z459)*Y459,VLOOKUP($A459,'ИЗ ГУГЛА'!$B:$G,X$1,0))</f>
        <v>849</v>
      </c>
      <c r="Y459" s="46">
        <v>1</v>
      </c>
      <c r="Z459" s="46"/>
      <c r="AA459" s="138">
        <v>849</v>
      </c>
      <c r="AB459" s="124" t="s">
        <v>2283</v>
      </c>
      <c r="AC459" s="114" t="str">
        <f>IFERROR((VLOOKUP($A459,'ИЗ ГУГЛА'!$B:$Z,AC$1,0)+AE459)*AD459,VLOOKUP($A459,'ИЗ ГУГЛА'!$B:$Z,AC$1,0))</f>
        <v/>
      </c>
      <c r="AD459" s="46">
        <v>1</v>
      </c>
      <c r="AE459" s="46"/>
      <c r="AF459" s="115"/>
    </row>
    <row r="460" spans="1:32" s="5" customFormat="1" ht="31.5" thickTop="1" thickBot="1" x14ac:dyDescent="0.3">
      <c r="A460" s="132">
        <v>223289</v>
      </c>
      <c r="B460" s="132">
        <f>VLOOKUP($A460,'Выгр Кат'!$A:$S,B$1,0)</f>
        <v>20499</v>
      </c>
      <c r="C460" s="133" t="str">
        <f>VLOOKUP($A460,'Выгр Кат'!$A:$S,C$1,0)</f>
        <v>Уплотнитель проёма передней двери "БРТ" для Лада Приора</v>
      </c>
      <c r="D460" s="132" t="str">
        <f>VLOOKUP($A460,'Выгр Кат'!$A:$S,D$1,0)</f>
        <v>Y</v>
      </c>
      <c r="E460" s="132" t="str">
        <f>VLOOKUP($A460,'Выгр Кат'!$A:$S,E$1,0)</f>
        <v>1ск6</v>
      </c>
      <c r="F460" s="132" t="str">
        <f>VLOOKUP($A460,'Выгр Кат'!$A:$S,F$1,0)</f>
        <v>2170-6107018-01Р</v>
      </c>
      <c r="G460" s="45" t="s">
        <v>408</v>
      </c>
      <c r="H460" s="29"/>
      <c r="I460" s="4" t="s">
        <v>2</v>
      </c>
      <c r="J460" s="95">
        <v>1</v>
      </c>
      <c r="K460" s="168">
        <f t="shared" si="250"/>
        <v>496</v>
      </c>
      <c r="L460" s="167">
        <f>VLOOKUP(K460,Наценка!$A$1:$B$8,2,1)</f>
        <v>1.5053763440860215</v>
      </c>
      <c r="M460" s="148">
        <f t="shared" si="252"/>
        <v>951.35</v>
      </c>
      <c r="N460" s="173">
        <f t="shared" si="243"/>
        <v>959</v>
      </c>
      <c r="O460" s="134">
        <f>VLOOKUP($A460,'Выгр Кат'!$A:$S,O$1,0)</f>
        <v>496</v>
      </c>
      <c r="P460" s="134">
        <f>VLOOKUP($A460,'Выгр Кат'!$A:$S,P$1,0)</f>
        <v>939</v>
      </c>
      <c r="Q460" s="107">
        <f t="shared" si="244"/>
        <v>0</v>
      </c>
      <c r="R460" s="107">
        <f t="shared" si="245"/>
        <v>-20</v>
      </c>
      <c r="S460" s="110">
        <f t="shared" si="246"/>
        <v>891.86999999999989</v>
      </c>
      <c r="T460" s="135">
        <f t="shared" si="247"/>
        <v>0.79812499999999975</v>
      </c>
      <c r="U460" s="135">
        <f t="shared" si="248"/>
        <v>6.2729805013928795E-3</v>
      </c>
      <c r="V460" s="135">
        <f t="shared" si="249"/>
        <v>0.80947580645161299</v>
      </c>
      <c r="W460" s="117">
        <f t="shared" si="253"/>
        <v>897.5</v>
      </c>
      <c r="X460" s="114">
        <f>IFERROR((VLOOKUP($A460,'ИЗ ГУГЛА'!$B:$G,X$1,0)+Z460)*Y460,VLOOKUP($A460,'ИЗ ГУГЛА'!$B:$G,X$1,0))</f>
        <v>897.5</v>
      </c>
      <c r="Y460" s="108">
        <v>0.25</v>
      </c>
      <c r="Z460" s="46"/>
      <c r="AA460" s="138">
        <v>897.5</v>
      </c>
      <c r="AB460" s="124" t="s">
        <v>2279</v>
      </c>
      <c r="AC460" s="114" t="str">
        <f>IFERROR((VLOOKUP($A460,'ИЗ ГУГЛА'!$B:$Z,AC$1,0)+AE460)*AD460,VLOOKUP($A460,'ИЗ ГУГЛА'!$B:$Z,AC$1,0))</f>
        <v/>
      </c>
      <c r="AD460" s="108">
        <v>0.25</v>
      </c>
      <c r="AE460" s="46"/>
      <c r="AF460" s="115"/>
    </row>
    <row r="461" spans="1:32" s="5" customFormat="1" ht="31.5" thickTop="1" thickBot="1" x14ac:dyDescent="0.3">
      <c r="A461" s="132">
        <v>225948</v>
      </c>
      <c r="B461" s="132">
        <f>VLOOKUP($A461,'Выгр Кат'!$A:$S,B$1,0)</f>
        <v>20446</v>
      </c>
      <c r="C461" s="133" t="str">
        <f>VLOOKUP($A461,'Выгр Кат'!$A:$S,C$1,0)</f>
        <v>Шланг гибкий заднего тормоза в сборе "БРТ" для Шевроле Нива</v>
      </c>
      <c r="D461" s="132" t="str">
        <f>VLOOKUP($A461,'Выгр Кат'!$A:$S,D$1,0)</f>
        <v>Y</v>
      </c>
      <c r="E461" s="132" t="str">
        <f>VLOOKUP($A461,'Выгр Кат'!$A:$S,E$1,0)</f>
        <v>1</v>
      </c>
      <c r="F461" s="132" t="str">
        <f>VLOOKUP($A461,'Выгр Кат'!$A:$S,F$1,0)</f>
        <v>2123-3506085Р.</v>
      </c>
      <c r="G461" s="45" t="s">
        <v>509</v>
      </c>
      <c r="H461" s="29"/>
      <c r="I461" s="4" t="s">
        <v>2</v>
      </c>
      <c r="J461" s="95">
        <v>1</v>
      </c>
      <c r="K461" s="168">
        <f t="shared" si="250"/>
        <v>399</v>
      </c>
      <c r="L461" s="167">
        <f>VLOOKUP(K461,Наценка!$A$1:$B$8,2,1)</f>
        <v>1.5053763440860215</v>
      </c>
      <c r="M461" s="172">
        <f t="shared" si="251"/>
        <v>600.64516129032256</v>
      </c>
      <c r="N461" s="173">
        <f t="shared" si="243"/>
        <v>609</v>
      </c>
      <c r="O461" s="134">
        <f>VLOOKUP($A461,'Выгр Кат'!$A:$S,O$1,0)</f>
        <v>399</v>
      </c>
      <c r="P461" s="134">
        <f>VLOOKUP($A461,'Выгр Кат'!$A:$S,P$1,0)</f>
        <v>609</v>
      </c>
      <c r="Q461" s="107">
        <f t="shared" si="244"/>
        <v>0</v>
      </c>
      <c r="R461" s="107">
        <f t="shared" si="245"/>
        <v>0</v>
      </c>
      <c r="S461" s="110">
        <f t="shared" si="246"/>
        <v>566.37</v>
      </c>
      <c r="T461" s="135">
        <f t="shared" si="247"/>
        <v>0.41947368421052622</v>
      </c>
      <c r="U461" s="135">
        <f t="shared" si="248"/>
        <v>-0.53487804878048784</v>
      </c>
      <c r="V461" s="135">
        <f t="shared" si="249"/>
        <v>-7.5187969924812026E-2</v>
      </c>
      <c r="W461" s="117">
        <f t="shared" si="253"/>
        <v>369</v>
      </c>
      <c r="X461" s="114">
        <f>IFERROR((VLOOKUP($A461,'ИЗ ГУГЛА'!$B:$G,X$1,0)+Z461)*Y461,VLOOKUP($A461,'ИЗ ГУГЛА'!$B:$G,X$1,0))</f>
        <v>369</v>
      </c>
      <c r="Y461" s="46">
        <v>1</v>
      </c>
      <c r="Z461" s="46"/>
      <c r="AA461" s="138">
        <v>369</v>
      </c>
      <c r="AB461" s="124" t="s">
        <v>2315</v>
      </c>
      <c r="AC461" s="114" t="str">
        <f>IFERROR((VLOOKUP($A461,'ИЗ ГУГЛА'!$B:$Z,AC$1,0)+AE461)*AD461,VLOOKUP($A461,'ИЗ ГУГЛА'!$B:$Z,AC$1,0))</f>
        <v/>
      </c>
      <c r="AD461" s="46">
        <v>1</v>
      </c>
      <c r="AE461" s="46"/>
      <c r="AF461" s="115"/>
    </row>
    <row r="462" spans="1:32" s="5" customFormat="1" ht="31.5" thickTop="1" thickBot="1" x14ac:dyDescent="0.3">
      <c r="A462" s="132">
        <v>223233</v>
      </c>
      <c r="B462" s="132">
        <f>VLOOKUP($A462,'Выгр Кат'!$A:$S,B$1,0)</f>
        <v>4944</v>
      </c>
      <c r="C462" s="133" t="str">
        <f>VLOOKUP($A462,'Выгр Кат'!$A:$S,C$1,0)</f>
        <v>Уплотнитель "БРТ" проёма двери задка для Лада Нива 4x4</v>
      </c>
      <c r="D462" s="132" t="str">
        <f>VLOOKUP($A462,'Выгр Кат'!$A:$S,D$1,0)</f>
        <v>Y</v>
      </c>
      <c r="E462" s="132" t="str">
        <f>VLOOKUP($A462,'Выгр Кат'!$A:$S,E$1,0)</f>
        <v>1</v>
      </c>
      <c r="F462" s="132" t="str">
        <f>VLOOKUP($A462,'Выгр Кат'!$A:$S,F$1,0)</f>
        <v>21213-6307024-30Р</v>
      </c>
      <c r="G462" s="42" t="s">
        <v>765</v>
      </c>
      <c r="H462" s="29"/>
      <c r="I462" s="4" t="s">
        <v>2</v>
      </c>
      <c r="J462" s="95">
        <v>1</v>
      </c>
      <c r="K462" s="168">
        <f t="shared" si="250"/>
        <v>490</v>
      </c>
      <c r="L462" s="167">
        <f>VLOOKUP(K462,Наценка!$A$1:$B$8,2,1)</f>
        <v>1.5053763440860215</v>
      </c>
      <c r="M462" s="148">
        <f t="shared" ref="M462:M465" si="254">W462*1.06</f>
        <v>837.40000000000009</v>
      </c>
      <c r="N462" s="173">
        <f t="shared" si="243"/>
        <v>839</v>
      </c>
      <c r="O462" s="134">
        <f>VLOOKUP($A462,'Выгр Кат'!$A:$S,O$1,0)</f>
        <v>490</v>
      </c>
      <c r="P462" s="134">
        <f>VLOOKUP($A462,'Выгр Кат'!$A:$S,P$1,0)</f>
        <v>739</v>
      </c>
      <c r="Q462" s="107">
        <f t="shared" si="244"/>
        <v>0</v>
      </c>
      <c r="R462" s="107">
        <f t="shared" si="245"/>
        <v>-100</v>
      </c>
      <c r="S462" s="110">
        <f t="shared" si="246"/>
        <v>780.27</v>
      </c>
      <c r="T462" s="135">
        <f t="shared" si="247"/>
        <v>0.59238775510204067</v>
      </c>
      <c r="U462" s="135">
        <f t="shared" si="248"/>
        <v>1.2316455696202554E-2</v>
      </c>
      <c r="V462" s="135">
        <f t="shared" si="249"/>
        <v>0.61224489795918369</v>
      </c>
      <c r="W462" s="117">
        <f t="shared" si="253"/>
        <v>790</v>
      </c>
      <c r="X462" s="114">
        <f>IFERROR((VLOOKUP($A462,'ИЗ ГУГЛА'!$B:$G,X$1,0)+Z462)*Y462,VLOOKUP($A462,'ИЗ ГУГЛА'!$B:$G,X$1,0))</f>
        <v>790</v>
      </c>
      <c r="Y462" s="46">
        <v>1</v>
      </c>
      <c r="Z462" s="46"/>
      <c r="AA462" s="138">
        <v>790</v>
      </c>
      <c r="AB462" s="124" t="s">
        <v>2287</v>
      </c>
      <c r="AC462" s="114" t="str">
        <f>IFERROR((VLOOKUP($A462,'ИЗ ГУГЛА'!$B:$Z,AC$1,0)+AE462)*AD462,VLOOKUP($A462,'ИЗ ГУГЛА'!$B:$Z,AC$1,0))</f>
        <v/>
      </c>
      <c r="AD462" s="46">
        <v>1</v>
      </c>
      <c r="AE462" s="46"/>
      <c r="AF462" s="115"/>
    </row>
    <row r="463" spans="1:32" s="5" customFormat="1" ht="31.5" thickTop="1" thickBot="1" x14ac:dyDescent="0.3">
      <c r="A463" s="132">
        <v>225941</v>
      </c>
      <c r="B463" s="132">
        <f>VLOOKUP($A463,'Выгр Кат'!$A:$S,B$1,0)</f>
        <v>20424</v>
      </c>
      <c r="C463" s="133" t="str">
        <f>VLOOKUP($A463,'Выгр Кат'!$A:$S,C$1,0)</f>
        <v>Шланг вакуумного усилителя тормозов "БРТ" для Лада Нива 4х4</v>
      </c>
      <c r="D463" s="132" t="str">
        <f>VLOOKUP($A463,'Выгр Кат'!$A:$S,D$1,0)</f>
        <v>Y</v>
      </c>
      <c r="E463" s="132" t="str">
        <f>VLOOKUP($A463,'Выгр Кат'!$A:$S,E$1,0)</f>
        <v>1</v>
      </c>
      <c r="F463" s="132" t="str">
        <f>VLOOKUP($A463,'Выгр Кат'!$A:$S,F$1,0)</f>
        <v>21213-3510050Р.</v>
      </c>
      <c r="G463" s="45" t="s">
        <v>471</v>
      </c>
      <c r="H463" s="29"/>
      <c r="I463" s="4" t="s">
        <v>2</v>
      </c>
      <c r="J463" s="95">
        <v>1</v>
      </c>
      <c r="K463" s="168">
        <f t="shared" si="250"/>
        <v>417</v>
      </c>
      <c r="L463" s="167">
        <f>VLOOKUP(K463,Наценка!$A$1:$B$8,2,1)</f>
        <v>1.5053763440860215</v>
      </c>
      <c r="M463" s="148">
        <f t="shared" si="254"/>
        <v>625.4</v>
      </c>
      <c r="N463" s="173">
        <f t="shared" si="243"/>
        <v>629</v>
      </c>
      <c r="O463" s="134">
        <f>VLOOKUP($A463,'Выгр Кат'!$A:$S,O$1,0)</f>
        <v>417</v>
      </c>
      <c r="P463" s="134">
        <f>VLOOKUP($A463,'Выгр Кат'!$A:$S,P$1,0)</f>
        <v>619</v>
      </c>
      <c r="Q463" s="107">
        <f t="shared" si="244"/>
        <v>0</v>
      </c>
      <c r="R463" s="107">
        <f t="shared" si="245"/>
        <v>-10</v>
      </c>
      <c r="S463" s="110">
        <f t="shared" si="246"/>
        <v>584.96999999999991</v>
      </c>
      <c r="T463" s="135">
        <f t="shared" si="247"/>
        <v>0.4028057553956832</v>
      </c>
      <c r="U463" s="135">
        <f t="shared" si="248"/>
        <v>8.5254237288137063E-3</v>
      </c>
      <c r="V463" s="135">
        <f t="shared" si="249"/>
        <v>0.41486810551558762</v>
      </c>
      <c r="W463" s="117">
        <f t="shared" si="253"/>
        <v>590</v>
      </c>
      <c r="X463" s="114">
        <f>IFERROR((VLOOKUP($A463,'ИЗ ГУГЛА'!$B:$G,X$1,0)+Z463)*Y463,VLOOKUP($A463,'ИЗ ГУГЛА'!$B:$G,X$1,0))</f>
        <v>590</v>
      </c>
      <c r="Y463" s="108">
        <v>1</v>
      </c>
      <c r="Z463" s="46"/>
      <c r="AA463" s="136">
        <v>590</v>
      </c>
      <c r="AB463" s="124" t="s">
        <v>2575</v>
      </c>
      <c r="AC463" s="114" t="str">
        <f>IFERROR((VLOOKUP($A463,'ИЗ ГУГЛА'!$B:$Z,AC$1,0)+AE463)*AD463,VLOOKUP($A463,'ИЗ ГУГЛА'!$B:$Z,AC$1,0))</f>
        <v/>
      </c>
      <c r="AD463" s="108">
        <v>1</v>
      </c>
      <c r="AE463" s="46"/>
      <c r="AF463" s="115"/>
    </row>
    <row r="464" spans="1:32" s="5" customFormat="1" ht="46.5" thickTop="1" thickBot="1" x14ac:dyDescent="0.3">
      <c r="A464" s="132">
        <v>202258</v>
      </c>
      <c r="B464" s="132">
        <f>VLOOKUP($A464,'Выгр Кат'!$A:$S,B$1,0)</f>
        <v>2390</v>
      </c>
      <c r="C464" s="133" t="str">
        <f>VLOOKUP($A464,'Выгр Кат'!$A:$S,C$1,0)</f>
        <v>Пыльники передних стоек силиконовые "КРАСНЫЕ" для ВАЗ 2108-2115, Приора, Калина, Гранта</v>
      </c>
      <c r="D464" s="132" t="str">
        <f>VLOOKUP($A464,'Выгр Кат'!$A:$S,D$1,0)</f>
        <v>Y</v>
      </c>
      <c r="E464" s="132" t="str">
        <f>VLOOKUP($A464,'Выгр Кат'!$A:$S,E$1,0)</f>
        <v>1</v>
      </c>
      <c r="F464" s="132">
        <f>VLOOKUP($A464,'Выгр Кат'!$A:$S,F$1,0)</f>
        <v>0</v>
      </c>
      <c r="G464" s="45" t="s">
        <v>1821</v>
      </c>
      <c r="H464" s="29" t="s">
        <v>1821</v>
      </c>
      <c r="I464" s="4" t="s">
        <v>2</v>
      </c>
      <c r="J464" s="95">
        <v>1</v>
      </c>
      <c r="K464" s="168">
        <f t="shared" si="250"/>
        <v>374</v>
      </c>
      <c r="L464" s="167">
        <f>VLOOKUP(K464,Наценка!$A$1:$B$8,2,1)</f>
        <v>1.5053763440860215</v>
      </c>
      <c r="M464" s="148">
        <f t="shared" si="254"/>
        <v>519.4</v>
      </c>
      <c r="N464" s="173">
        <f t="shared" si="243"/>
        <v>519</v>
      </c>
      <c r="O464" s="134">
        <f>VLOOKUP($A464,'Выгр Кат'!$A:$S,O$1,0)</f>
        <v>374</v>
      </c>
      <c r="P464" s="134">
        <f>VLOOKUP($A464,'Выгр Кат'!$A:$S,P$1,0)</f>
        <v>509</v>
      </c>
      <c r="Q464" s="107">
        <f t="shared" si="244"/>
        <v>0</v>
      </c>
      <c r="R464" s="107">
        <f t="shared" si="245"/>
        <v>-10</v>
      </c>
      <c r="S464" s="110">
        <f t="shared" si="246"/>
        <v>482.66999999999996</v>
      </c>
      <c r="T464" s="135">
        <f t="shared" si="247"/>
        <v>0.29056149732620318</v>
      </c>
      <c r="U464" s="135">
        <f t="shared" si="248"/>
        <v>1.4959183673469472E-2</v>
      </c>
      <c r="V464" s="135">
        <f t="shared" si="249"/>
        <v>0.31016042780748654</v>
      </c>
      <c r="W464" s="117">
        <f t="shared" si="253"/>
        <v>490</v>
      </c>
      <c r="X464" s="114">
        <f>IFERROR((VLOOKUP($A464,'ИЗ ГУГЛА'!$B:$G,X$1,0)+Z464)*Y464,VLOOKUP($A464,'ИЗ ГУГЛА'!$B:$G,X$1,0))</f>
        <v>490</v>
      </c>
      <c r="Y464" s="108">
        <v>1</v>
      </c>
      <c r="Z464" s="46"/>
      <c r="AA464" s="136">
        <v>490</v>
      </c>
      <c r="AB464" s="124" t="s">
        <v>2574</v>
      </c>
      <c r="AC464" s="114" t="str">
        <f>IFERROR((VLOOKUP($A464,'ИЗ ГУГЛА'!$B:$Z,AC$1,0)+AE464)*AD464,VLOOKUP($A464,'ИЗ ГУГЛА'!$B:$Z,AC$1,0))</f>
        <v/>
      </c>
      <c r="AD464" s="108">
        <v>1</v>
      </c>
      <c r="AE464" s="46"/>
      <c r="AF464" s="115"/>
    </row>
    <row r="465" spans="1:32" s="5" customFormat="1" ht="46.5" thickTop="1" thickBot="1" x14ac:dyDescent="0.3">
      <c r="A465" s="132">
        <v>202249</v>
      </c>
      <c r="B465" s="132">
        <f>VLOOKUP($A465,'Выгр Кат'!$A:$S,B$1,0)</f>
        <v>2383</v>
      </c>
      <c r="C465" s="133" t="str">
        <f>VLOOKUP($A465,'Выгр Кат'!$A:$S,C$1,0)</f>
        <v>Пыльники задних амортизаторов силикон "КРАСНЫЕ" ВАЗ 2108-2115, ПРИОРА, КАЛИНА, ГРАНТА</v>
      </c>
      <c r="D465" s="132" t="str">
        <f>VLOOKUP($A465,'Выгр Кат'!$A:$S,D$1,0)</f>
        <v>Y</v>
      </c>
      <c r="E465" s="132" t="str">
        <f>VLOOKUP($A465,'Выгр Кат'!$A:$S,E$1,0)</f>
        <v>1ск6</v>
      </c>
      <c r="F465" s="132">
        <f>VLOOKUP($A465,'Выгр Кат'!$A:$S,F$1,0)</f>
        <v>0</v>
      </c>
      <c r="G465" s="45" t="s">
        <v>1821</v>
      </c>
      <c r="H465" s="29" t="s">
        <v>1821</v>
      </c>
      <c r="I465" s="4" t="s">
        <v>2</v>
      </c>
      <c r="J465" s="95">
        <v>1</v>
      </c>
      <c r="K465" s="168">
        <f t="shared" si="250"/>
        <v>374</v>
      </c>
      <c r="L465" s="167">
        <f>VLOOKUP(K465,Наценка!$A$1:$B$8,2,1)</f>
        <v>1.5053763440860215</v>
      </c>
      <c r="M465" s="148">
        <f t="shared" si="254"/>
        <v>519.4</v>
      </c>
      <c r="N465" s="173">
        <f t="shared" si="243"/>
        <v>519</v>
      </c>
      <c r="O465" s="134">
        <f>VLOOKUP($A465,'Выгр Кат'!$A:$S,O$1,0)</f>
        <v>374</v>
      </c>
      <c r="P465" s="134">
        <f>VLOOKUP($A465,'Выгр Кат'!$A:$S,P$1,0)</f>
        <v>509</v>
      </c>
      <c r="Q465" s="107">
        <f t="shared" si="244"/>
        <v>0</v>
      </c>
      <c r="R465" s="107">
        <f t="shared" si="245"/>
        <v>-10</v>
      </c>
      <c r="S465" s="110">
        <f t="shared" si="246"/>
        <v>482.66999999999996</v>
      </c>
      <c r="T465" s="135">
        <f t="shared" si="247"/>
        <v>0.29056149732620318</v>
      </c>
      <c r="U465" s="135">
        <f t="shared" si="248"/>
        <v>1.4959183673469472E-2</v>
      </c>
      <c r="V465" s="135">
        <f t="shared" si="249"/>
        <v>0.31016042780748654</v>
      </c>
      <c r="W465" s="117">
        <f t="shared" si="253"/>
        <v>490</v>
      </c>
      <c r="X465" s="114">
        <f>IFERROR((VLOOKUP($A465,'ИЗ ГУГЛА'!$B:$G,X$1,0)+Z465)*Y465,VLOOKUP($A465,'ИЗ ГУГЛА'!$B:$G,X$1,0))</f>
        <v>490</v>
      </c>
      <c r="Y465" s="108">
        <v>1</v>
      </c>
      <c r="Z465" s="46"/>
      <c r="AA465" s="136">
        <v>490</v>
      </c>
      <c r="AB465" s="124" t="s">
        <v>2573</v>
      </c>
      <c r="AC465" s="114" t="str">
        <f>IFERROR((VLOOKUP($A465,'ИЗ ГУГЛА'!$B:$Z,AC$1,0)+AE465)*AD465,VLOOKUP($A465,'ИЗ ГУГЛА'!$B:$Z,AC$1,0))</f>
        <v/>
      </c>
      <c r="AD465" s="108">
        <v>1</v>
      </c>
      <c r="AE465" s="46"/>
      <c r="AF465" s="115"/>
    </row>
    <row r="466" spans="1:32" s="5" customFormat="1" ht="30.75" thickTop="1" x14ac:dyDescent="0.25">
      <c r="A466" s="132">
        <v>223247</v>
      </c>
      <c r="B466" s="132">
        <f>VLOOKUP($A466,'Выгр Кат'!$A:$S,B$1,0)</f>
        <v>20511</v>
      </c>
      <c r="C466" s="133" t="str">
        <f>VLOOKUP($A466,'Выгр Кат'!$A:$S,C$1,0)</f>
        <v>Уплотнитель багажника "БРТ" для Лада Ларгус</v>
      </c>
      <c r="D466" s="132" t="str">
        <f>VLOOKUP($A466,'Выгр Кат'!$A:$S,D$1,0)</f>
        <v>Y</v>
      </c>
      <c r="E466" s="132" t="str">
        <f>VLOOKUP($A466,'Выгр Кат'!$A:$S,E$1,0)</f>
        <v>1</v>
      </c>
      <c r="F466" s="132" t="str">
        <f>VLOOKUP($A466,'Выгр Кат'!$A:$S,F$1,0)</f>
        <v>6001549468Р</v>
      </c>
      <c r="G466" s="45" t="s">
        <v>584</v>
      </c>
      <c r="H466" s="29"/>
      <c r="I466" s="4" t="s">
        <v>2</v>
      </c>
      <c r="J466" s="95">
        <v>1</v>
      </c>
      <c r="K466" s="168">
        <f t="shared" si="250"/>
        <v>494</v>
      </c>
      <c r="L466" s="167">
        <f>VLOOKUP(K466,Наценка!$A$1:$B$8,2,1)</f>
        <v>1.5053763440860215</v>
      </c>
      <c r="M466" s="172">
        <f t="shared" si="251"/>
        <v>743.6559139784946</v>
      </c>
      <c r="N466" s="173">
        <f t="shared" si="243"/>
        <v>749</v>
      </c>
      <c r="O466" s="134">
        <f>VLOOKUP($A466,'Выгр Кат'!$A:$S,O$1,0)</f>
        <v>494</v>
      </c>
      <c r="P466" s="134">
        <f>VLOOKUP($A466,'Выгр Кат'!$A:$S,P$1,0)</f>
        <v>749</v>
      </c>
      <c r="Q466" s="107">
        <f t="shared" si="244"/>
        <v>0</v>
      </c>
      <c r="R466" s="107">
        <f t="shared" si="245"/>
        <v>0</v>
      </c>
      <c r="S466" s="110">
        <f t="shared" si="246"/>
        <v>696.56999999999994</v>
      </c>
      <c r="T466" s="135">
        <f t="shared" si="247"/>
        <v>0.41006072874493915</v>
      </c>
      <c r="U466" s="135" t="str">
        <f t="shared" si="248"/>
        <v/>
      </c>
      <c r="V466" s="135" t="str">
        <f t="shared" si="249"/>
        <v/>
      </c>
      <c r="W466" s="45"/>
      <c r="X466" s="114" t="str">
        <f>IFERROR((VLOOKUP($A466,'ИЗ ГУГЛА'!$B:$G,X$1,0)+Z466)*Y466,VLOOKUP($A466,'ИЗ ГУГЛА'!$B:$G,X$1,0))</f>
        <v/>
      </c>
      <c r="Y466" s="108">
        <v>1</v>
      </c>
      <c r="Z466" s="46"/>
      <c r="AA466" s="139" t="s">
        <v>1821</v>
      </c>
      <c r="AB466" s="124"/>
      <c r="AC466" s="114" t="str">
        <f>IFERROR((VLOOKUP($A466,'ИЗ ГУГЛА'!$B:$Z,AC$1,0)+AE466)*AD466,VLOOKUP($A466,'ИЗ ГУГЛА'!$B:$Z,AC$1,0))</f>
        <v/>
      </c>
      <c r="AD466" s="108">
        <v>1</v>
      </c>
      <c r="AE466" s="46"/>
      <c r="AF466" s="115"/>
    </row>
    <row r="467" spans="1:32" s="5" customFormat="1" ht="45.75" thickBot="1" x14ac:dyDescent="0.3">
      <c r="A467" s="132">
        <v>225370</v>
      </c>
      <c r="B467" s="132">
        <f>VLOOKUP($A467,'Выгр Кат'!$A:$S,B$1,0)</f>
        <v>19622</v>
      </c>
      <c r="C467" s="133" t="str">
        <f>VLOOKUP($A467,'Выгр Кат'!$A:$S,C$1,0)</f>
        <v>Чехол тяги привода переключения передач "БРТ" для ВАЗ 2108-21099, 2113-2115</v>
      </c>
      <c r="D467" s="132" t="str">
        <f>VLOOKUP($A467,'Выгр Кат'!$A:$S,D$1,0)</f>
        <v>Y</v>
      </c>
      <c r="E467" s="132" t="str">
        <f>VLOOKUP($A467,'Выгр Кат'!$A:$S,E$1,0)</f>
        <v>1</v>
      </c>
      <c r="F467" s="132" t="str">
        <f>VLOOKUP($A467,'Выгр Кат'!$A:$S,F$1,0)</f>
        <v>2108-1703200Р</v>
      </c>
      <c r="G467" s="45" t="s">
        <v>340</v>
      </c>
      <c r="H467" s="29"/>
      <c r="I467" s="4" t="s">
        <v>2</v>
      </c>
      <c r="J467" s="95">
        <v>1</v>
      </c>
      <c r="K467" s="168">
        <f t="shared" si="250"/>
        <v>404</v>
      </c>
      <c r="L467" s="167">
        <f>VLOOKUP(K467,Наценка!$A$1:$B$8,2,1)</f>
        <v>1.5053763440860215</v>
      </c>
      <c r="M467" s="172">
        <f t="shared" si="251"/>
        <v>608.17204301075265</v>
      </c>
      <c r="N467" s="173">
        <f t="shared" si="243"/>
        <v>609</v>
      </c>
      <c r="O467" s="134">
        <f>VLOOKUP($A467,'Выгр Кат'!$A:$S,O$1,0)</f>
        <v>404</v>
      </c>
      <c r="P467" s="134">
        <f>VLOOKUP($A467,'Выгр Кат'!$A:$S,P$1,0)</f>
        <v>609</v>
      </c>
      <c r="Q467" s="107">
        <f t="shared" si="244"/>
        <v>0</v>
      </c>
      <c r="R467" s="107">
        <f t="shared" si="245"/>
        <v>0</v>
      </c>
      <c r="S467" s="110">
        <f t="shared" si="246"/>
        <v>566.37</v>
      </c>
      <c r="T467" s="135">
        <f t="shared" si="247"/>
        <v>0.40190594059405949</v>
      </c>
      <c r="U467" s="135">
        <f t="shared" si="248"/>
        <v>-0.95300000000000007</v>
      </c>
      <c r="V467" s="135">
        <f t="shared" si="249"/>
        <v>-0.28217821782178221</v>
      </c>
      <c r="W467" s="117">
        <f>AA467</f>
        <v>290</v>
      </c>
      <c r="X467" s="114">
        <f>IFERROR((VLOOKUP($A467,'ИЗ ГУГЛА'!$B:$G,X$1,0)+Z467)*Y467,VLOOKUP($A467,'ИЗ ГУГЛА'!$B:$G,X$1,0))</f>
        <v>290</v>
      </c>
      <c r="Y467" s="108">
        <v>1</v>
      </c>
      <c r="Z467" s="46"/>
      <c r="AA467" s="138">
        <v>290</v>
      </c>
      <c r="AB467" s="124" t="s">
        <v>2572</v>
      </c>
      <c r="AC467" s="114" t="str">
        <f>IFERROR((VLOOKUP($A467,'ИЗ ГУГЛА'!$B:$Z,AC$1,0)+AE467)*AD467,VLOOKUP($A467,'ИЗ ГУГЛА'!$B:$Z,AC$1,0))</f>
        <v/>
      </c>
      <c r="AD467" s="108">
        <v>1</v>
      </c>
      <c r="AE467" s="46"/>
      <c r="AF467" s="115"/>
    </row>
    <row r="468" spans="1:32" s="5" customFormat="1" ht="61.5" thickTop="1" thickBot="1" x14ac:dyDescent="0.3">
      <c r="A468" s="132">
        <v>186832</v>
      </c>
      <c r="B468" s="132">
        <f>VLOOKUP($A468,'Выгр Кат'!$A:$S,B$1,0)</f>
        <v>19963</v>
      </c>
      <c r="C468" s="133" t="str">
        <f>VLOOKUP($A468,'Выгр Кат'!$A:$S,C$1,0)</f>
        <v>Патрубок соединительный наливной горловины топливного бака "БРТ" большой для ВАЗ 2108-21099, 2113-2115</v>
      </c>
      <c r="D468" s="132" t="str">
        <f>VLOOKUP($A468,'Выгр Кат'!$A:$S,D$1,0)</f>
        <v>Y</v>
      </c>
      <c r="E468" s="132" t="str">
        <f>VLOOKUP($A468,'Выгр Кат'!$A:$S,E$1,0)</f>
        <v>1ск6</v>
      </c>
      <c r="F468" s="132" t="str">
        <f>VLOOKUP($A468,'Выгр Кат'!$A:$S,F$1,0)</f>
        <v>2108-1101080-10РП</v>
      </c>
      <c r="G468" s="45" t="s">
        <v>325</v>
      </c>
      <c r="H468" s="29"/>
      <c r="I468" s="4" t="s">
        <v>2</v>
      </c>
      <c r="J468" s="95">
        <v>1</v>
      </c>
      <c r="K468" s="168">
        <f t="shared" si="250"/>
        <v>429</v>
      </c>
      <c r="L468" s="167">
        <f>VLOOKUP(K468,Наценка!$A$1:$B$8,2,1)</f>
        <v>1.5053763440860215</v>
      </c>
      <c r="M468" s="172">
        <f t="shared" si="251"/>
        <v>645.80645161290317</v>
      </c>
      <c r="N468" s="173">
        <f t="shared" si="243"/>
        <v>649</v>
      </c>
      <c r="O468" s="134">
        <f>VLOOKUP($A468,'Выгр Кат'!$A:$S,O$1,0)</f>
        <v>429</v>
      </c>
      <c r="P468" s="134">
        <f>VLOOKUP($A468,'Выгр Кат'!$A:$S,P$1,0)</f>
        <v>649</v>
      </c>
      <c r="Q468" s="107">
        <f t="shared" si="244"/>
        <v>0</v>
      </c>
      <c r="R468" s="107">
        <f t="shared" si="245"/>
        <v>0</v>
      </c>
      <c r="S468" s="110">
        <f t="shared" si="246"/>
        <v>603.56999999999994</v>
      </c>
      <c r="T468" s="135">
        <f t="shared" si="247"/>
        <v>0.40692307692307672</v>
      </c>
      <c r="U468" s="135" t="str">
        <f t="shared" si="248"/>
        <v/>
      </c>
      <c r="V468" s="135" t="str">
        <f t="shared" si="249"/>
        <v/>
      </c>
      <c r="W468" s="45"/>
      <c r="X468" s="114" t="str">
        <f>IFERROR((VLOOKUP($A468,'ИЗ ГУГЛА'!$B:$G,X$1,0)+Z468)*Y468,VLOOKUP($A468,'ИЗ ГУГЛА'!$B:$G,X$1,0))</f>
        <v/>
      </c>
      <c r="Y468" s="108">
        <v>1</v>
      </c>
      <c r="Z468" s="46"/>
      <c r="AA468" s="140" t="s">
        <v>1821</v>
      </c>
      <c r="AB468" s="129"/>
      <c r="AC468" s="114" t="str">
        <f>IFERROR((VLOOKUP($A468,'ИЗ ГУГЛА'!$B:$Z,AC$1,0)+AE468)*AD468,VLOOKUP($A468,'ИЗ ГУГЛА'!$B:$Z,AC$1,0))</f>
        <v/>
      </c>
      <c r="AD468" s="108">
        <v>1</v>
      </c>
      <c r="AE468" s="46"/>
      <c r="AF468" s="115"/>
    </row>
    <row r="469" spans="1:32" s="5" customFormat="1" ht="46.5" thickTop="1" thickBot="1" x14ac:dyDescent="0.3">
      <c r="A469" s="132">
        <v>225967</v>
      </c>
      <c r="B469" s="132">
        <f>VLOOKUP($A469,'Выгр Кат'!$A:$S,B$1,0)</f>
        <v>17137</v>
      </c>
      <c r="C469" s="133" t="str">
        <f>VLOOKUP($A469,'Выгр Кат'!$A:$S,C$1,0)</f>
        <v>Шланг заливной горловины бензобака "БРТ" длинный для ВАЗ 2108-21099, 2113-2115</v>
      </c>
      <c r="D469" s="132" t="str">
        <f>VLOOKUP($A469,'Выгр Кат'!$A:$S,D$1,0)</f>
        <v>Y</v>
      </c>
      <c r="E469" s="132" t="str">
        <f>VLOOKUP($A469,'Выгр Кат'!$A:$S,E$1,0)</f>
        <v>1</v>
      </c>
      <c r="F469" s="132" t="str">
        <f>VLOOKUP($A469,'Выгр Кат'!$A:$S,F$1,0)</f>
        <v>21080-1101080-10Р</v>
      </c>
      <c r="G469" s="42" t="s">
        <v>325</v>
      </c>
      <c r="H469" s="29"/>
      <c r="I469" s="4" t="s">
        <v>2</v>
      </c>
      <c r="J469" s="95">
        <v>1</v>
      </c>
      <c r="K469" s="168">
        <f t="shared" si="250"/>
        <v>429</v>
      </c>
      <c r="L469" s="167">
        <f>VLOOKUP(K469,Наценка!$A$1:$B$8,2,1)</f>
        <v>1.5053763440860215</v>
      </c>
      <c r="M469" s="172">
        <f t="shared" si="251"/>
        <v>645.80645161290317</v>
      </c>
      <c r="N469" s="173">
        <f t="shared" si="243"/>
        <v>649</v>
      </c>
      <c r="O469" s="134">
        <f>VLOOKUP($A469,'Выгр Кат'!$A:$S,O$1,0)</f>
        <v>429</v>
      </c>
      <c r="P469" s="134">
        <f>VLOOKUP($A469,'Выгр Кат'!$A:$S,P$1,0)</f>
        <v>649</v>
      </c>
      <c r="Q469" s="107">
        <f t="shared" si="244"/>
        <v>0</v>
      </c>
      <c r="R469" s="107">
        <f t="shared" si="245"/>
        <v>0</v>
      </c>
      <c r="S469" s="110">
        <f t="shared" si="246"/>
        <v>603.56999999999994</v>
      </c>
      <c r="T469" s="135">
        <f t="shared" si="247"/>
        <v>0.40692307692307672</v>
      </c>
      <c r="U469" s="135">
        <f t="shared" si="248"/>
        <v>-0.40692307692307678</v>
      </c>
      <c r="V469" s="135">
        <f t="shared" si="249"/>
        <v>0</v>
      </c>
      <c r="W469" s="117">
        <f t="shared" ref="W469:W474" si="255">AA469</f>
        <v>429</v>
      </c>
      <c r="X469" s="114">
        <f>IFERROR((VLOOKUP($A469,'ИЗ ГУГЛА'!$B:$G,X$1,0)+Z469)*Y469,VLOOKUP($A469,'ИЗ ГУГЛА'!$B:$G,X$1,0))</f>
        <v>429</v>
      </c>
      <c r="Y469" s="46">
        <v>1</v>
      </c>
      <c r="Z469" s="46"/>
      <c r="AA469" s="136">
        <v>429</v>
      </c>
      <c r="AB469" s="124" t="s">
        <v>2326</v>
      </c>
      <c r="AC469" s="114" t="str">
        <f>IFERROR((VLOOKUP($A469,'ИЗ ГУГЛА'!$B:$Z,AC$1,0)+AE469)*AD469,VLOOKUP($A469,'ИЗ ГУГЛА'!$B:$Z,AC$1,0))</f>
        <v/>
      </c>
      <c r="AD469" s="46">
        <v>1</v>
      </c>
      <c r="AE469" s="46"/>
      <c r="AF469" s="115"/>
    </row>
    <row r="470" spans="1:32" s="5" customFormat="1" ht="31.5" thickTop="1" thickBot="1" x14ac:dyDescent="0.3">
      <c r="A470" s="132">
        <v>186741</v>
      </c>
      <c r="B470" s="132">
        <f>VLOOKUP($A470,'Выгр Кат'!$A:$S,B$1,0)</f>
        <v>20429</v>
      </c>
      <c r="C470" s="133" t="str">
        <f>VLOOKUP($A470,'Выгр Кат'!$A:$S,C$1,0)</f>
        <v>Патрубок радиатора подводящий "БРТ" верхний для Лада Нива 4х4</v>
      </c>
      <c r="D470" s="132" t="str">
        <f>VLOOKUP($A470,'Выгр Кат'!$A:$S,D$1,0)</f>
        <v>Y</v>
      </c>
      <c r="E470" s="132" t="str">
        <f>VLOOKUP($A470,'Выгр Кат'!$A:$S,E$1,0)</f>
        <v>1</v>
      </c>
      <c r="F470" s="132" t="str">
        <f>VLOOKUP($A470,'Выгр Кат'!$A:$S,F$1,0)</f>
        <v>21214-1303025РП</v>
      </c>
      <c r="G470" s="42" t="s">
        <v>464</v>
      </c>
      <c r="H470" s="29"/>
      <c r="I470" s="4" t="s">
        <v>2</v>
      </c>
      <c r="J470" s="95">
        <v>1</v>
      </c>
      <c r="K470" s="168">
        <f t="shared" si="250"/>
        <v>432</v>
      </c>
      <c r="L470" s="167">
        <f>VLOOKUP(K470,Наценка!$A$1:$B$8,2,1)</f>
        <v>1.5053763440860215</v>
      </c>
      <c r="M470" s="149">
        <f>W470*1.07</f>
        <v>619.53000000000009</v>
      </c>
      <c r="N470" s="173">
        <f t="shared" si="243"/>
        <v>619</v>
      </c>
      <c r="O470" s="134">
        <f>VLOOKUP($A470,'Выгр Кат'!$A:$S,O$1,0)</f>
        <v>432</v>
      </c>
      <c r="P470" s="134">
        <f>VLOOKUP($A470,'Выгр Кат'!$A:$S,P$1,0)</f>
        <v>609</v>
      </c>
      <c r="Q470" s="107">
        <f t="shared" si="244"/>
        <v>0</v>
      </c>
      <c r="R470" s="107">
        <f t="shared" si="245"/>
        <v>-10</v>
      </c>
      <c r="S470" s="110">
        <f t="shared" si="246"/>
        <v>575.66999999999996</v>
      </c>
      <c r="T470" s="135">
        <f t="shared" si="247"/>
        <v>0.33256944444444425</v>
      </c>
      <c r="U470" s="135">
        <f t="shared" si="248"/>
        <v>5.7512953367876351E-3</v>
      </c>
      <c r="V470" s="135">
        <f t="shared" si="249"/>
        <v>0.34027777777777768</v>
      </c>
      <c r="W470" s="117">
        <f t="shared" si="255"/>
        <v>579</v>
      </c>
      <c r="X470" s="114">
        <f>IFERROR((VLOOKUP($A470,'ИЗ ГУГЛА'!$B:$G,X$1,0)+Z470)*Y470,VLOOKUP($A470,'ИЗ ГУГЛА'!$B:$G,X$1,0))</f>
        <v>579</v>
      </c>
      <c r="Y470" s="108">
        <v>1</v>
      </c>
      <c r="Z470" s="46"/>
      <c r="AA470" s="136">
        <v>579</v>
      </c>
      <c r="AB470" s="124" t="s">
        <v>2570</v>
      </c>
      <c r="AC470" s="114" t="str">
        <f>IFERROR((VLOOKUP($A470,'ИЗ ГУГЛА'!$B:$Z,AC$1,0)+AE470)*AD470,VLOOKUP($A470,'ИЗ ГУГЛА'!$B:$Z,AC$1,0))</f>
        <v/>
      </c>
      <c r="AD470" s="108">
        <v>1</v>
      </c>
      <c r="AE470" s="46"/>
      <c r="AF470" s="115"/>
    </row>
    <row r="471" spans="1:32" s="5" customFormat="1" ht="31.5" thickTop="1" thickBot="1" x14ac:dyDescent="0.3">
      <c r="A471" s="132">
        <v>186740</v>
      </c>
      <c r="B471" s="132">
        <f>VLOOKUP($A471,'Выгр Кат'!$A:$S,B$1,0)</f>
        <v>20410</v>
      </c>
      <c r="C471" s="133" t="str">
        <f>VLOOKUP($A471,'Выгр Кат'!$A:$S,C$1,0)</f>
        <v>Патрубок радиатора подводящий "БРТ" верхний для Лада Нива 4х4</v>
      </c>
      <c r="D471" s="132" t="str">
        <f>VLOOKUP($A471,'Выгр Кат'!$A:$S,D$1,0)</f>
        <v>Y</v>
      </c>
      <c r="E471" s="132" t="str">
        <f>VLOOKUP($A471,'Выгр Кат'!$A:$S,E$1,0)</f>
        <v>1</v>
      </c>
      <c r="F471" s="132" t="str">
        <f>VLOOKUP($A471,'Выгр Кат'!$A:$S,F$1,0)</f>
        <v>21213-1303025РП</v>
      </c>
      <c r="G471" s="45" t="s">
        <v>464</v>
      </c>
      <c r="H471" s="29"/>
      <c r="I471" s="4" t="s">
        <v>2</v>
      </c>
      <c r="J471" s="95">
        <v>1</v>
      </c>
      <c r="K471" s="168">
        <f t="shared" si="250"/>
        <v>432</v>
      </c>
      <c r="L471" s="167">
        <f>VLOOKUP(K471,Наценка!$A$1:$B$8,2,1)</f>
        <v>1.5053763440860215</v>
      </c>
      <c r="M471" s="172">
        <f t="shared" si="251"/>
        <v>650.32258064516134</v>
      </c>
      <c r="N471" s="173">
        <f t="shared" si="243"/>
        <v>659</v>
      </c>
      <c r="O471" s="134">
        <f>VLOOKUP($A471,'Выгр Кат'!$A:$S,O$1,0)</f>
        <v>432</v>
      </c>
      <c r="P471" s="134">
        <f>VLOOKUP($A471,'Выгр Кат'!$A:$S,P$1,0)</f>
        <v>659</v>
      </c>
      <c r="Q471" s="107">
        <f t="shared" si="244"/>
        <v>0</v>
      </c>
      <c r="R471" s="107">
        <f t="shared" si="245"/>
        <v>0</v>
      </c>
      <c r="S471" s="110">
        <f t="shared" si="246"/>
        <v>612.87</v>
      </c>
      <c r="T471" s="135">
        <f t="shared" si="247"/>
        <v>0.4186805555555555</v>
      </c>
      <c r="U471" s="135">
        <f t="shared" si="248"/>
        <v>-1.0497324414715719</v>
      </c>
      <c r="V471" s="135">
        <f t="shared" si="249"/>
        <v>-0.30787037037037035</v>
      </c>
      <c r="W471" s="117">
        <f t="shared" si="255"/>
        <v>299</v>
      </c>
      <c r="X471" s="114">
        <f>IFERROR((VLOOKUP($A471,'ИЗ ГУГЛА'!$B:$G,X$1,0)+Z471)*Y471,VLOOKUP($A471,'ИЗ ГУГЛА'!$B:$G,X$1,0))</f>
        <v>299</v>
      </c>
      <c r="Y471" s="108">
        <v>1</v>
      </c>
      <c r="Z471" s="46"/>
      <c r="AA471" s="136">
        <v>299</v>
      </c>
      <c r="AB471" s="124" t="s">
        <v>2571</v>
      </c>
      <c r="AC471" s="114" t="str">
        <f>IFERROR((VLOOKUP($A471,'ИЗ ГУГЛА'!$B:$Z,AC$1,0)+AE471)*AD471,VLOOKUP($A471,'ИЗ ГУГЛА'!$B:$Z,AC$1,0))</f>
        <v/>
      </c>
      <c r="AD471" s="108">
        <v>1</v>
      </c>
      <c r="AE471" s="46"/>
      <c r="AF471" s="115"/>
    </row>
    <row r="472" spans="1:32" s="5" customFormat="1" ht="31.5" thickTop="1" thickBot="1" x14ac:dyDescent="0.3">
      <c r="A472" s="132">
        <v>225057</v>
      </c>
      <c r="B472" s="132">
        <f>VLOOKUP($A472,'Выгр Кат'!$A:$S,B$1,0)</f>
        <v>20516</v>
      </c>
      <c r="C472" s="133" t="str">
        <f>VLOOKUP($A472,'Выгр Кат'!$A:$S,C$1,0)</f>
        <v>Чехол защитный рейки рулевого механизма "БРТ" для ВАЗ 2110-2112</v>
      </c>
      <c r="D472" s="132" t="str">
        <f>VLOOKUP($A472,'Выгр Кат'!$A:$S,D$1,0)</f>
        <v>Y</v>
      </c>
      <c r="E472" s="132" t="str">
        <f>VLOOKUP($A472,'Выгр Кат'!$A:$S,E$1,0)</f>
        <v>1</v>
      </c>
      <c r="F472" s="132" t="str">
        <f>VLOOKUP($A472,'Выгр Кат'!$A:$S,F$1,0)</f>
        <v>21100340122400</v>
      </c>
      <c r="G472" s="43" t="s">
        <v>403</v>
      </c>
      <c r="H472" s="29"/>
      <c r="I472" s="4" t="s">
        <v>2</v>
      </c>
      <c r="J472" s="95">
        <v>1</v>
      </c>
      <c r="K472" s="168">
        <f t="shared" si="250"/>
        <v>420</v>
      </c>
      <c r="L472" s="167">
        <f>VLOOKUP(K472,Наценка!$A$1:$B$8,2,1)</f>
        <v>1.5053763440860215</v>
      </c>
      <c r="M472" s="172">
        <f t="shared" si="251"/>
        <v>632.25806451612902</v>
      </c>
      <c r="N472" s="173">
        <f t="shared" si="243"/>
        <v>639</v>
      </c>
      <c r="O472" s="134">
        <f>VLOOKUP($A472,'Выгр Кат'!$A:$S,O$1,0)</f>
        <v>420</v>
      </c>
      <c r="P472" s="134">
        <f>VLOOKUP($A472,'Выгр Кат'!$A:$S,P$1,0)</f>
        <v>639</v>
      </c>
      <c r="Q472" s="107">
        <f t="shared" si="244"/>
        <v>0</v>
      </c>
      <c r="R472" s="107">
        <f t="shared" si="245"/>
        <v>0</v>
      </c>
      <c r="S472" s="110">
        <f t="shared" si="246"/>
        <v>594.27</v>
      </c>
      <c r="T472" s="135">
        <f t="shared" si="247"/>
        <v>0.41492857142857131</v>
      </c>
      <c r="U472" s="135">
        <f t="shared" si="248"/>
        <v>-0.32354120267260578</v>
      </c>
      <c r="V472" s="135">
        <f t="shared" si="249"/>
        <v>6.9047619047619024E-2</v>
      </c>
      <c r="W472" s="117">
        <f t="shared" si="255"/>
        <v>449</v>
      </c>
      <c r="X472" s="114">
        <f>IFERROR((VLOOKUP($A472,'ИЗ ГУГЛА'!$B:$G,X$1,0)+Z472)*Y472,VLOOKUP($A472,'ИЗ ГУГЛА'!$B:$G,X$1,0))</f>
        <v>449</v>
      </c>
      <c r="Y472" s="108">
        <v>1</v>
      </c>
      <c r="Z472" s="46"/>
      <c r="AA472" s="138">
        <v>449</v>
      </c>
      <c r="AB472" s="124" t="s">
        <v>2569</v>
      </c>
      <c r="AC472" s="114" t="str">
        <f>IFERROR((VLOOKUP($A472,'ИЗ ГУГЛА'!$B:$Z,AC$1,0)+AE472)*AD472,VLOOKUP($A472,'ИЗ ГУГЛА'!$B:$Z,AC$1,0))</f>
        <v/>
      </c>
      <c r="AD472" s="108">
        <v>1</v>
      </c>
      <c r="AE472" s="46"/>
      <c r="AF472" s="115"/>
    </row>
    <row r="473" spans="1:32" s="5" customFormat="1" ht="31.5" thickTop="1" thickBot="1" x14ac:dyDescent="0.3">
      <c r="A473" s="132">
        <v>223207</v>
      </c>
      <c r="B473" s="132">
        <f>VLOOKUP($A473,'Выгр Кат'!$A:$S,B$1,0)</f>
        <v>35310</v>
      </c>
      <c r="C473" s="133" t="str">
        <f>VLOOKUP($A473,'Выгр Кат'!$A:$S,C$1,0)</f>
        <v>Уплотнитель "БРТ" заднего бокового окна комплект для Шевроле Нива</v>
      </c>
      <c r="D473" s="132" t="str">
        <f>VLOOKUP($A473,'Выгр Кат'!$A:$S,D$1,0)</f>
        <v>Y</v>
      </c>
      <c r="E473" s="132" t="str">
        <f>VLOOKUP($A473,'Выгр Кат'!$A:$S,E$1,0)</f>
        <v>1</v>
      </c>
      <c r="F473" s="132" t="str">
        <f>VLOOKUP($A473,'Выгр Кат'!$A:$S,F$1,0)</f>
        <v>2123-5403122/23</v>
      </c>
      <c r="G473" s="44" t="s">
        <v>784</v>
      </c>
      <c r="H473" s="29"/>
      <c r="I473" s="4" t="s">
        <v>2</v>
      </c>
      <c r="J473" s="95">
        <v>1</v>
      </c>
      <c r="K473" s="168">
        <f t="shared" si="250"/>
        <v>434</v>
      </c>
      <c r="L473" s="167">
        <f>VLOOKUP(K473,Наценка!$A$1:$B$8,2,1)</f>
        <v>1.5053763440860215</v>
      </c>
      <c r="M473" s="148">
        <f t="shared" ref="M473:M474" si="256">W473*1.06</f>
        <v>687.94</v>
      </c>
      <c r="N473" s="173">
        <f t="shared" si="243"/>
        <v>689</v>
      </c>
      <c r="O473" s="134">
        <f>VLOOKUP($A473,'Выгр Кат'!$A:$S,O$1,0)</f>
        <v>434</v>
      </c>
      <c r="P473" s="134">
        <f>VLOOKUP($A473,'Выгр Кат'!$A:$S,P$1,0)</f>
        <v>679</v>
      </c>
      <c r="Q473" s="107">
        <f t="shared" si="244"/>
        <v>0</v>
      </c>
      <c r="R473" s="107">
        <f t="shared" si="245"/>
        <v>-10</v>
      </c>
      <c r="S473" s="110">
        <f t="shared" si="246"/>
        <v>640.77</v>
      </c>
      <c r="T473" s="135">
        <f t="shared" si="247"/>
        <v>0.47642857142857142</v>
      </c>
      <c r="U473" s="135">
        <f t="shared" si="248"/>
        <v>1.2681047765793556E-2</v>
      </c>
      <c r="V473" s="135">
        <f t="shared" si="249"/>
        <v>0.49539170506912433</v>
      </c>
      <c r="W473" s="117">
        <f t="shared" si="255"/>
        <v>649</v>
      </c>
      <c r="X473" s="114">
        <f>IFERROR((VLOOKUP($A473,'ИЗ ГУГЛА'!$B:$G,X$1,0)+Z473)*Y473,VLOOKUP($A473,'ИЗ ГУГЛА'!$B:$G,X$1,0))</f>
        <v>649</v>
      </c>
      <c r="Y473" s="46">
        <v>1</v>
      </c>
      <c r="Z473" s="46"/>
      <c r="AA473" s="138">
        <v>649</v>
      </c>
      <c r="AB473" s="124" t="s">
        <v>2333</v>
      </c>
      <c r="AC473" s="114" t="str">
        <f>IFERROR((VLOOKUP($A473,'ИЗ ГУГЛА'!$B:$Z,AC$1,0)+AE473)*AD473,VLOOKUP($A473,'ИЗ ГУГЛА'!$B:$Z,AC$1,0))</f>
        <v/>
      </c>
      <c r="AD473" s="46">
        <v>1</v>
      </c>
      <c r="AE473" s="46"/>
      <c r="AF473" s="115"/>
    </row>
    <row r="474" spans="1:32" s="5" customFormat="1" ht="46.5" thickTop="1" thickBot="1" x14ac:dyDescent="0.3">
      <c r="A474" s="132">
        <v>160773</v>
      </c>
      <c r="B474" s="132">
        <f>VLOOKUP($A474,'Выгр Кат'!$A:$S,B$1,0)</f>
        <v>20286</v>
      </c>
      <c r="C474" s="133" t="str">
        <f>VLOOKUP($A474,'Выгр Кат'!$A:$S,C$1,0)</f>
        <v>Кронштейн растяжки передней подвески с подушкой в сборе "БРТ" для ВАЗ 2108-21099, 2113-2115</v>
      </c>
      <c r="D474" s="132" t="str">
        <f>VLOOKUP($A474,'Выгр Кат'!$A:$S,D$1,0)</f>
        <v>Y</v>
      </c>
      <c r="E474" s="132" t="str">
        <f>VLOOKUP($A474,'Выгр Кат'!$A:$S,E$1,0)</f>
        <v>1</v>
      </c>
      <c r="F474" s="132" t="str">
        <f>VLOOKUP($A474,'Выгр Кат'!$A:$S,F$1,0)</f>
        <v>2108-2904049РУ</v>
      </c>
      <c r="G474" s="45" t="s">
        <v>345</v>
      </c>
      <c r="H474" s="29"/>
      <c r="I474" s="4" t="s">
        <v>2</v>
      </c>
      <c r="J474" s="95">
        <v>1</v>
      </c>
      <c r="K474" s="168">
        <f t="shared" si="250"/>
        <v>532</v>
      </c>
      <c r="L474" s="167">
        <f>VLOOKUP(K474,Наценка!$A$1:$B$8,2,1)</f>
        <v>1.3978494623655915</v>
      </c>
      <c r="M474" s="148">
        <f t="shared" si="256"/>
        <v>687.94</v>
      </c>
      <c r="N474" s="173">
        <f t="shared" si="243"/>
        <v>689</v>
      </c>
      <c r="O474" s="134">
        <f>VLOOKUP($A474,'Выгр Кат'!$A:$S,O$1,0)</f>
        <v>532</v>
      </c>
      <c r="P474" s="134">
        <f>VLOOKUP($A474,'Выгр Кат'!$A:$S,P$1,0)</f>
        <v>699</v>
      </c>
      <c r="Q474" s="107">
        <f t="shared" si="244"/>
        <v>0</v>
      </c>
      <c r="R474" s="107">
        <f t="shared" si="245"/>
        <v>10</v>
      </c>
      <c r="S474" s="110">
        <f t="shared" si="246"/>
        <v>640.77</v>
      </c>
      <c r="T474" s="135">
        <f t="shared" si="247"/>
        <v>0.20445488721804517</v>
      </c>
      <c r="U474" s="135">
        <f t="shared" si="248"/>
        <v>1.2681047765793556E-2</v>
      </c>
      <c r="V474" s="135">
        <f t="shared" si="249"/>
        <v>0.21992481203007519</v>
      </c>
      <c r="W474" s="117">
        <f t="shared" si="255"/>
        <v>649</v>
      </c>
      <c r="X474" s="114">
        <f>IFERROR((VLOOKUP($A474,'ИЗ ГУГЛА'!$B:$G,X$1,0)+Z474)*Y474,VLOOKUP($A474,'ИЗ ГУГЛА'!$B:$G,X$1,0))</f>
        <v>649</v>
      </c>
      <c r="Y474" s="108">
        <v>1</v>
      </c>
      <c r="Z474" s="46"/>
      <c r="AA474" s="136">
        <v>649</v>
      </c>
      <c r="AB474" s="124" t="s">
        <v>2568</v>
      </c>
      <c r="AC474" s="114" t="str">
        <f>IFERROR((VLOOKUP($A474,'ИЗ ГУГЛА'!$B:$Z,AC$1,0)+AE474)*AD474,VLOOKUP($A474,'ИЗ ГУГЛА'!$B:$Z,AC$1,0))</f>
        <v/>
      </c>
      <c r="AD474" s="108">
        <v>1</v>
      </c>
      <c r="AE474" s="46"/>
      <c r="AF474" s="115"/>
    </row>
    <row r="475" spans="1:32" s="5" customFormat="1" ht="30.75" thickTop="1" x14ac:dyDescent="0.25">
      <c r="A475" s="132">
        <v>225933</v>
      </c>
      <c r="B475" s="132">
        <f>VLOOKUP($A475,'Выгр Кат'!$A:$S,B$1,0)</f>
        <v>19845</v>
      </c>
      <c r="C475" s="133" t="str">
        <f>VLOOKUP($A475,'Выгр Кат'!$A:$S,C$1,0)</f>
        <v>Шланг (патрубок) радиатора "БРТ" нижний для Лада Ларгус</v>
      </c>
      <c r="D475" s="132" t="str">
        <f>VLOOKUP($A475,'Выгр Кат'!$A:$S,D$1,0)</f>
        <v>Y</v>
      </c>
      <c r="E475" s="132" t="str">
        <f>VLOOKUP($A475,'Выгр Кат'!$A:$S,E$1,0)</f>
        <v>1</v>
      </c>
      <c r="F475" s="132" t="str">
        <f>VLOOKUP($A475,'Выгр Кат'!$A:$S,F$1,0)</f>
        <v>6001547049Р</v>
      </c>
      <c r="G475" s="45" t="s">
        <v>1821</v>
      </c>
      <c r="H475" s="29" t="s">
        <v>1821</v>
      </c>
      <c r="I475" s="4" t="s">
        <v>2</v>
      </c>
      <c r="J475" s="95">
        <v>1</v>
      </c>
      <c r="K475" s="168">
        <f t="shared" si="250"/>
        <v>390</v>
      </c>
      <c r="L475" s="167">
        <f>VLOOKUP(K475,Наценка!$A$1:$B$8,2,1)</f>
        <v>1.5053763440860215</v>
      </c>
      <c r="M475" s="172">
        <f t="shared" si="251"/>
        <v>587.09677419354841</v>
      </c>
      <c r="N475" s="173">
        <f t="shared" si="243"/>
        <v>589</v>
      </c>
      <c r="O475" s="134">
        <f>VLOOKUP($A475,'Выгр Кат'!$A:$S,O$1,0)</f>
        <v>390</v>
      </c>
      <c r="P475" s="134">
        <f>VLOOKUP($A475,'Выгр Кат'!$A:$S,P$1,0)</f>
        <v>589</v>
      </c>
      <c r="Q475" s="107">
        <f t="shared" si="244"/>
        <v>0</v>
      </c>
      <c r="R475" s="107">
        <f t="shared" si="245"/>
        <v>0</v>
      </c>
      <c r="S475" s="110">
        <f t="shared" si="246"/>
        <v>547.77</v>
      </c>
      <c r="T475" s="135">
        <f t="shared" si="247"/>
        <v>0.40453846153846151</v>
      </c>
      <c r="U475" s="135" t="str">
        <f t="shared" si="248"/>
        <v/>
      </c>
      <c r="V475" s="135" t="str">
        <f t="shared" si="249"/>
        <v/>
      </c>
      <c r="W475" s="45"/>
      <c r="X475" s="114" t="str">
        <f>IFERROR((VLOOKUP($A475,'ИЗ ГУГЛА'!$B:$G,X$1,0)+Z475)*Y475,VLOOKUP($A475,'ИЗ ГУГЛА'!$B:$G,X$1,0))</f>
        <v/>
      </c>
      <c r="Y475" s="108">
        <v>1</v>
      </c>
      <c r="Z475" s="46"/>
      <c r="AA475" s="139" t="s">
        <v>1821</v>
      </c>
      <c r="AB475" s="124"/>
      <c r="AC475" s="114" t="str">
        <f>IFERROR((VLOOKUP($A475,'ИЗ ГУГЛА'!$B:$Z,AC$1,0)+AE475)*AD475,VLOOKUP($A475,'ИЗ ГУГЛА'!$B:$Z,AC$1,0))</f>
        <v/>
      </c>
      <c r="AD475" s="108">
        <v>1</v>
      </c>
      <c r="AE475" s="46"/>
      <c r="AF475" s="115"/>
    </row>
    <row r="476" spans="1:32" s="5" customFormat="1" ht="30.75" thickBot="1" x14ac:dyDescent="0.3">
      <c r="A476" s="132">
        <v>194597</v>
      </c>
      <c r="B476" s="132">
        <f>VLOOKUP($A476,'Выгр Кат'!$A:$S,B$1,0)</f>
        <v>19793</v>
      </c>
      <c r="C476" s="133" t="str">
        <f>VLOOKUP($A476,'Выгр Кат'!$A:$S,C$1,0)</f>
        <v>Подушка двигателя "БРТ" в сборе для ВАЗ 2101-07</v>
      </c>
      <c r="D476" s="132" t="str">
        <f>VLOOKUP($A476,'Выгр Кат'!$A:$S,D$1,0)</f>
        <v>Y</v>
      </c>
      <c r="E476" s="132" t="str">
        <f>VLOOKUP($A476,'Выгр Кат'!$A:$S,E$1,0)</f>
        <v>1</v>
      </c>
      <c r="F476" s="132" t="str">
        <f>VLOOKUP($A476,'Выгр Кат'!$A:$S,F$1,0)</f>
        <v>2101-1001000РУ</v>
      </c>
      <c r="G476" s="45" t="s">
        <v>233</v>
      </c>
      <c r="H476" s="29"/>
      <c r="I476" s="4" t="s">
        <v>2</v>
      </c>
      <c r="J476" s="95">
        <v>1</v>
      </c>
      <c r="K476" s="168">
        <f t="shared" si="250"/>
        <v>578</v>
      </c>
      <c r="L476" s="167">
        <f>VLOOKUP(K476,Наценка!$A$1:$B$8,2,1)</f>
        <v>1.3978494623655915</v>
      </c>
      <c r="M476" s="172">
        <f t="shared" si="251"/>
        <v>807.95698924731187</v>
      </c>
      <c r="N476" s="173">
        <f t="shared" si="243"/>
        <v>809</v>
      </c>
      <c r="O476" s="134">
        <f>VLOOKUP($A476,'Выгр Кат'!$A:$S,O$1,0)</f>
        <v>578</v>
      </c>
      <c r="P476" s="134">
        <f>VLOOKUP($A476,'Выгр Кат'!$A:$S,P$1,0)</f>
        <v>809</v>
      </c>
      <c r="Q476" s="107">
        <f t="shared" si="244"/>
        <v>0</v>
      </c>
      <c r="R476" s="107">
        <f t="shared" si="245"/>
        <v>0</v>
      </c>
      <c r="S476" s="110">
        <f t="shared" si="246"/>
        <v>752.37</v>
      </c>
      <c r="T476" s="135">
        <f t="shared" si="247"/>
        <v>0.30167820069204154</v>
      </c>
      <c r="U476" s="135">
        <f t="shared" si="248"/>
        <v>-0.15927580893682589</v>
      </c>
      <c r="V476" s="135">
        <f t="shared" si="249"/>
        <v>0.12283737024221453</v>
      </c>
      <c r="W476" s="117">
        <f t="shared" ref="W476:W480" si="257">AA476</f>
        <v>649</v>
      </c>
      <c r="X476" s="114">
        <f>IFERROR((VLOOKUP($A476,'ИЗ ГУГЛА'!$B:$G,X$1,0)+Z476)*Y476,VLOOKUP($A476,'ИЗ ГУГЛА'!$B:$G,X$1,0))</f>
        <v>649</v>
      </c>
      <c r="Y476" s="46">
        <v>1</v>
      </c>
      <c r="Z476" s="46"/>
      <c r="AA476" s="138">
        <v>649</v>
      </c>
      <c r="AB476" s="124" t="s">
        <v>2272</v>
      </c>
      <c r="AC476" s="114" t="str">
        <f>IFERROR((VLOOKUP($A476,'ИЗ ГУГЛА'!$B:$Z,AC$1,0)+AE476)*AD476,VLOOKUP($A476,'ИЗ ГУГЛА'!$B:$Z,AC$1,0))</f>
        <v/>
      </c>
      <c r="AD476" s="46">
        <v>1</v>
      </c>
      <c r="AE476" s="46"/>
      <c r="AF476" s="115"/>
    </row>
    <row r="477" spans="1:32" s="5" customFormat="1" ht="31.5" thickTop="1" thickBot="1" x14ac:dyDescent="0.3">
      <c r="A477" s="132">
        <v>138874</v>
      </c>
      <c r="B477" s="132">
        <f>VLOOKUP($A477,'Выгр Кат'!$A:$S,B$1,0)</f>
        <v>35416</v>
      </c>
      <c r="C477" s="133" t="str">
        <f>VLOOKUP($A477,'Выгр Кат'!$A:$S,C$1,0)</f>
        <v>Буфер "БРТ" переднего бампера левый в сборе для ВАЗ 2106</v>
      </c>
      <c r="D477" s="132" t="str">
        <f>VLOOKUP($A477,'Выгр Кат'!$A:$S,D$1,0)</f>
        <v>Y</v>
      </c>
      <c r="E477" s="132" t="str">
        <f>VLOOKUP($A477,'Выгр Кат'!$A:$S,E$1,0)</f>
        <v>1</v>
      </c>
      <c r="F477" s="132" t="str">
        <f>VLOOKUP($A477,'Выгр Кат'!$A:$S,F$1,0)</f>
        <v>2106-2803061-10</v>
      </c>
      <c r="G477" s="34" t="s">
        <v>918</v>
      </c>
      <c r="H477" s="29"/>
      <c r="I477" s="4" t="s">
        <v>2</v>
      </c>
      <c r="J477" s="95">
        <v>0.5</v>
      </c>
      <c r="K477" s="173">
        <f>VLOOKUP(G477,Прайс!$B:$E,4,0)*J477</f>
        <v>217.2</v>
      </c>
      <c r="L477" s="167">
        <f>VLOOKUP(K477,Наценка!$A$1:$B$8,2,1)</f>
        <v>1.7204301075268817</v>
      </c>
      <c r="M477" s="148">
        <f t="shared" ref="M477:M478" si="258">W477*1.05</f>
        <v>387.45</v>
      </c>
      <c r="N477" s="173">
        <f t="shared" si="243"/>
        <v>389</v>
      </c>
      <c r="O477" s="134">
        <f>VLOOKUP($A477,'Выгр Кат'!$A:$S,O$1,0)</f>
        <v>217.2</v>
      </c>
      <c r="P477" s="134">
        <f>VLOOKUP($A477,'Выгр Кат'!$A:$S,P$1,0)</f>
        <v>389</v>
      </c>
      <c r="Q477" s="107">
        <f t="shared" si="244"/>
        <v>0</v>
      </c>
      <c r="R477" s="107">
        <f t="shared" si="245"/>
        <v>0</v>
      </c>
      <c r="S477" s="110">
        <f t="shared" si="246"/>
        <v>361.77</v>
      </c>
      <c r="T477" s="135">
        <f t="shared" si="247"/>
        <v>0.66560773480662982</v>
      </c>
      <c r="U477" s="135">
        <f t="shared" si="248"/>
        <v>1.9593495934959401E-2</v>
      </c>
      <c r="V477" s="135">
        <f t="shared" si="249"/>
        <v>0.69889502762430955</v>
      </c>
      <c r="W477" s="117">
        <f t="shared" si="257"/>
        <v>369</v>
      </c>
      <c r="X477" s="114">
        <f>IFERROR((VLOOKUP($A477,'ИЗ ГУГЛА'!$B:$G,X$1,0)+Z477)*Y477,VLOOKUP($A477,'ИЗ ГУГЛА'!$B:$G,X$1,0))</f>
        <v>369</v>
      </c>
      <c r="Y477" s="108">
        <v>1</v>
      </c>
      <c r="Z477" s="46"/>
      <c r="AA477" s="136">
        <v>369</v>
      </c>
      <c r="AB477" s="124" t="s">
        <v>2567</v>
      </c>
      <c r="AC477" s="114" t="str">
        <f>IFERROR((VLOOKUP($A477,'ИЗ ГУГЛА'!$B:$Z,AC$1,0)+AE477)*AD477,VLOOKUP($A477,'ИЗ ГУГЛА'!$B:$Z,AC$1,0))</f>
        <v/>
      </c>
      <c r="AD477" s="108">
        <v>1</v>
      </c>
      <c r="AE477" s="46"/>
      <c r="AF477" s="115"/>
    </row>
    <row r="478" spans="1:32" s="5" customFormat="1" ht="31.5" thickTop="1" thickBot="1" x14ac:dyDescent="0.3">
      <c r="A478" s="132">
        <v>138875</v>
      </c>
      <c r="B478" s="132">
        <f>VLOOKUP($A478,'Выгр Кат'!$A:$S,B$1,0)</f>
        <v>35415</v>
      </c>
      <c r="C478" s="133" t="str">
        <f>VLOOKUP($A478,'Выгр Кат'!$A:$S,C$1,0)</f>
        <v>Буфер "БРТ" переднего бампера правый в сборе для ВАЗ 2106</v>
      </c>
      <c r="D478" s="132" t="str">
        <f>VLOOKUP($A478,'Выгр Кат'!$A:$S,D$1,0)</f>
        <v>Y</v>
      </c>
      <c r="E478" s="132" t="str">
        <f>VLOOKUP($A478,'Выгр Кат'!$A:$S,E$1,0)</f>
        <v>1</v>
      </c>
      <c r="F478" s="132" t="str">
        <f>VLOOKUP($A478,'Выгр Кат'!$A:$S,F$1,0)</f>
        <v>2106-2803060-10</v>
      </c>
      <c r="G478" s="34" t="s">
        <v>918</v>
      </c>
      <c r="H478" s="29"/>
      <c r="I478" s="4" t="s">
        <v>2</v>
      </c>
      <c r="J478" s="95">
        <v>0.5</v>
      </c>
      <c r="K478" s="173">
        <f>VLOOKUP(G478,Прайс!$B:$E,4,0)*J478</f>
        <v>217.2</v>
      </c>
      <c r="L478" s="167">
        <f>VLOOKUP(K478,Наценка!$A$1:$B$8,2,1)</f>
        <v>1.7204301075268817</v>
      </c>
      <c r="M478" s="148">
        <f t="shared" si="258"/>
        <v>387.45</v>
      </c>
      <c r="N478" s="173">
        <f t="shared" si="243"/>
        <v>389</v>
      </c>
      <c r="O478" s="134">
        <f>VLOOKUP($A478,'Выгр Кат'!$A:$S,O$1,0)</f>
        <v>217.2</v>
      </c>
      <c r="P478" s="134">
        <f>VLOOKUP($A478,'Выгр Кат'!$A:$S,P$1,0)</f>
        <v>389</v>
      </c>
      <c r="Q478" s="107">
        <f t="shared" si="244"/>
        <v>0</v>
      </c>
      <c r="R478" s="107">
        <f t="shared" si="245"/>
        <v>0</v>
      </c>
      <c r="S478" s="110">
        <f t="shared" si="246"/>
        <v>361.77</v>
      </c>
      <c r="T478" s="135">
        <f t="shared" si="247"/>
        <v>0.66560773480662982</v>
      </c>
      <c r="U478" s="135">
        <f t="shared" si="248"/>
        <v>1.9593495934959401E-2</v>
      </c>
      <c r="V478" s="135">
        <f t="shared" si="249"/>
        <v>0.69889502762430955</v>
      </c>
      <c r="W478" s="117">
        <f t="shared" si="257"/>
        <v>369</v>
      </c>
      <c r="X478" s="114">
        <f>IFERROR((VLOOKUP($A478,'ИЗ ГУГЛА'!$B:$G,X$1,0)+Z478)*Y478,VLOOKUP($A478,'ИЗ ГУГЛА'!$B:$G,X$1,0))</f>
        <v>369</v>
      </c>
      <c r="Y478" s="108">
        <v>1</v>
      </c>
      <c r="Z478" s="46"/>
      <c r="AA478" s="136">
        <v>369</v>
      </c>
      <c r="AB478" s="124" t="s">
        <v>2567</v>
      </c>
      <c r="AC478" s="114" t="str">
        <f>IFERROR((VLOOKUP($A478,'ИЗ ГУГЛА'!$B:$Z,AC$1,0)+AE478)*AD478,VLOOKUP($A478,'ИЗ ГУГЛА'!$B:$Z,AC$1,0))</f>
        <v/>
      </c>
      <c r="AD478" s="108">
        <v>1</v>
      </c>
      <c r="AE478" s="46"/>
      <c r="AF478" s="115"/>
    </row>
    <row r="479" spans="1:32" s="5" customFormat="1" ht="31.5" thickTop="1" thickBot="1" x14ac:dyDescent="0.3">
      <c r="A479" s="132">
        <v>158275</v>
      </c>
      <c r="B479" s="132">
        <f>VLOOKUP($A479,'Выгр Кат'!$A:$S,B$1,0)</f>
        <v>35514</v>
      </c>
      <c r="C479" s="133" t="str">
        <f>VLOOKUP($A479,'Выгр Кат'!$A:$S,C$1,0)</f>
        <v>Комплект "БРТ" задних брызговиков для ВАЗ 2113-2115</v>
      </c>
      <c r="D479" s="132" t="str">
        <f>VLOOKUP($A479,'Выгр Кат'!$A:$S,D$1,0)</f>
        <v>Y</v>
      </c>
      <c r="E479" s="132" t="str">
        <f>VLOOKUP($A479,'Выгр Кат'!$A:$S,E$1,0)</f>
        <v>1</v>
      </c>
      <c r="F479" s="132" t="str">
        <f>VLOOKUP($A479,'Выгр Кат'!$A:$S,F$1,0)</f>
        <v>2114-8404412Р/13Р</v>
      </c>
      <c r="G479" s="44" t="s">
        <v>1266</v>
      </c>
      <c r="H479" s="29"/>
      <c r="I479" s="4" t="s">
        <v>2</v>
      </c>
      <c r="J479" s="95">
        <v>1</v>
      </c>
      <c r="K479" s="168">
        <f t="shared" si="250"/>
        <v>445</v>
      </c>
      <c r="L479" s="167">
        <f>VLOOKUP(K479,Наценка!$A$1:$B$8,2,1)</f>
        <v>1.5053763440860215</v>
      </c>
      <c r="M479" s="148">
        <f t="shared" ref="M477:M479" si="259">W479*1.06</f>
        <v>666.74</v>
      </c>
      <c r="N479" s="173">
        <f t="shared" si="243"/>
        <v>669</v>
      </c>
      <c r="O479" s="134">
        <f>VLOOKUP($A479,'Выгр Кат'!$A:$S,O$1,0)</f>
        <v>445</v>
      </c>
      <c r="P479" s="134">
        <f>VLOOKUP($A479,'Выгр Кат'!$A:$S,P$1,0)</f>
        <v>659</v>
      </c>
      <c r="Q479" s="107">
        <f t="shared" si="244"/>
        <v>0</v>
      </c>
      <c r="R479" s="107">
        <f t="shared" si="245"/>
        <v>-10</v>
      </c>
      <c r="S479" s="110">
        <f t="shared" si="246"/>
        <v>622.16999999999996</v>
      </c>
      <c r="T479" s="135">
        <f t="shared" si="247"/>
        <v>0.39813483146067408</v>
      </c>
      <c r="U479" s="135">
        <f t="shared" si="248"/>
        <v>1.0858505564387982E-2</v>
      </c>
      <c r="V479" s="135">
        <f t="shared" si="249"/>
        <v>0.41348314606741576</v>
      </c>
      <c r="W479" s="117">
        <f t="shared" si="257"/>
        <v>629</v>
      </c>
      <c r="X479" s="114">
        <f>IFERROR((VLOOKUP($A479,'ИЗ ГУГЛА'!$B:$G,X$1,0)+Z479)*Y479,VLOOKUP($A479,'ИЗ ГУГЛА'!$B:$G,X$1,0))</f>
        <v>629</v>
      </c>
      <c r="Y479" s="108">
        <v>1</v>
      </c>
      <c r="Z479" s="46"/>
      <c r="AA479" s="136">
        <v>629</v>
      </c>
      <c r="AB479" s="124" t="s">
        <v>2566</v>
      </c>
      <c r="AC479" s="114" t="str">
        <f>IFERROR((VLOOKUP($A479,'ИЗ ГУГЛА'!$B:$Z,AC$1,0)+AE479)*AD479,VLOOKUP($A479,'ИЗ ГУГЛА'!$B:$Z,AC$1,0))</f>
        <v/>
      </c>
      <c r="AD479" s="108">
        <v>1</v>
      </c>
      <c r="AE479" s="46"/>
      <c r="AF479" s="115"/>
    </row>
    <row r="480" spans="1:32" s="5" customFormat="1" ht="46.5" thickTop="1" thickBot="1" x14ac:dyDescent="0.3">
      <c r="A480" s="132">
        <v>186552</v>
      </c>
      <c r="B480" s="132">
        <f>VLOOKUP($A480,'Выгр Кат'!$A:$S,B$1,0)</f>
        <v>35342</v>
      </c>
      <c r="C480" s="133" t="str">
        <f>VLOOKUP($A480,'Выгр Кат'!$A:$S,C$1,0)</f>
        <v>Патрубок "БРТ" 2110 расширительного бачка для ВАЗ 2110-2112</v>
      </c>
      <c r="D480" s="132" t="str">
        <f>VLOOKUP($A480,'Выгр Кат'!$A:$S,D$1,0)</f>
        <v>Y</v>
      </c>
      <c r="E480" s="132" t="str">
        <f>VLOOKUP($A480,'Выгр Кат'!$A:$S,E$1,0)</f>
        <v>1</v>
      </c>
      <c r="F480" s="132" t="str">
        <f>VLOOKUP($A480,'Выгр Кат'!$A:$S,F$1,0)</f>
        <v>2110-1303080</v>
      </c>
      <c r="G480" s="44" t="s">
        <v>390</v>
      </c>
      <c r="H480" s="29"/>
      <c r="I480" s="4" t="s">
        <v>2</v>
      </c>
      <c r="J480" s="95">
        <v>1</v>
      </c>
      <c r="K480" s="168">
        <f t="shared" si="250"/>
        <v>450</v>
      </c>
      <c r="L480" s="167">
        <f>VLOOKUP(K480,Наценка!$A$1:$B$8,2,1)</f>
        <v>1.5053763440860215</v>
      </c>
      <c r="M480" s="172">
        <f t="shared" si="251"/>
        <v>677.41935483870964</v>
      </c>
      <c r="N480" s="173">
        <f t="shared" si="243"/>
        <v>679</v>
      </c>
      <c r="O480" s="134">
        <f>VLOOKUP($A480,'Выгр Кат'!$A:$S,O$1,0)</f>
        <v>450</v>
      </c>
      <c r="P480" s="134">
        <f>VLOOKUP($A480,'Выгр Кат'!$A:$S,P$1,0)</f>
        <v>679</v>
      </c>
      <c r="Q480" s="107">
        <f t="shared" si="244"/>
        <v>0</v>
      </c>
      <c r="R480" s="107">
        <f t="shared" si="245"/>
        <v>0</v>
      </c>
      <c r="S480" s="110">
        <f t="shared" si="246"/>
        <v>631.46999999999991</v>
      </c>
      <c r="T480" s="135">
        <f t="shared" si="247"/>
        <v>0.40326666666666644</v>
      </c>
      <c r="U480" s="135">
        <f t="shared" si="248"/>
        <v>-2.3235263157894734</v>
      </c>
      <c r="V480" s="135">
        <f t="shared" si="249"/>
        <v>-0.57777777777777772</v>
      </c>
      <c r="W480" s="117">
        <f t="shared" si="257"/>
        <v>190</v>
      </c>
      <c r="X480" s="114">
        <f>IFERROR((VLOOKUP($A480,'ИЗ ГУГЛА'!$B:$G,X$1,0)+Z480)*Y480,VLOOKUP($A480,'ИЗ ГУГЛА'!$B:$G,X$1,0))</f>
        <v>190</v>
      </c>
      <c r="Y480" s="108">
        <v>1</v>
      </c>
      <c r="Z480" s="46"/>
      <c r="AA480" s="136">
        <v>190</v>
      </c>
      <c r="AB480" s="124" t="s">
        <v>2565</v>
      </c>
      <c r="AC480" s="114" t="str">
        <f>IFERROR((VLOOKUP($A480,'ИЗ ГУГЛА'!$B:$Z,AC$1,0)+AE480)*AD480,VLOOKUP($A480,'ИЗ ГУГЛА'!$B:$Z,AC$1,0))</f>
        <v/>
      </c>
      <c r="AD480" s="108">
        <v>1</v>
      </c>
      <c r="AE480" s="46"/>
      <c r="AF480" s="115"/>
    </row>
    <row r="481" spans="1:32" s="5" customFormat="1" ht="30.75" thickTop="1" x14ac:dyDescent="0.25">
      <c r="A481" s="132">
        <v>159547</v>
      </c>
      <c r="B481" s="132">
        <f>VLOOKUP($A481,'Выгр Кат'!$A:$S,B$1,0)</f>
        <v>33043</v>
      </c>
      <c r="C481" s="133" t="str">
        <f>VLOOKUP($A481,'Выгр Кат'!$A:$S,C$1,0)</f>
        <v>Комплект резиновых заглушек пола кузова "БРТ" для ВАЗ 2110-2112</v>
      </c>
      <c r="D481" s="132" t="str">
        <f>VLOOKUP($A481,'Выгр Кат'!$A:$S,D$1,0)</f>
        <v>Y</v>
      </c>
      <c r="E481" s="132" t="str">
        <f>VLOOKUP($A481,'Выгр Кат'!$A:$S,E$1,0)</f>
        <v>1</v>
      </c>
      <c r="F481" s="132" t="str">
        <f>VLOOKUP($A481,'Выгр Кат'!$A:$S,F$1,0)</f>
        <v>21105002090, 21105002092</v>
      </c>
      <c r="G481" s="45" t="s">
        <v>1821</v>
      </c>
      <c r="H481" s="29" t="s">
        <v>1821</v>
      </c>
      <c r="I481" s="4" t="s">
        <v>2</v>
      </c>
      <c r="J481" s="95">
        <v>1</v>
      </c>
      <c r="K481" s="168">
        <f t="shared" si="250"/>
        <v>500</v>
      </c>
      <c r="L481" s="167">
        <f>VLOOKUP(K481,Наценка!$A$1:$B$8,2,1)</f>
        <v>1.3978494623655915</v>
      </c>
      <c r="M481" s="172">
        <f t="shared" si="251"/>
        <v>698.92473118279577</v>
      </c>
      <c r="N481" s="173">
        <f t="shared" si="243"/>
        <v>699</v>
      </c>
      <c r="O481" s="134">
        <f>VLOOKUP($A481,'Выгр Кат'!$A:$S,O$1,0)</f>
        <v>500</v>
      </c>
      <c r="P481" s="134">
        <f>VLOOKUP($A481,'Выгр Кат'!$A:$S,P$1,0)</f>
        <v>699</v>
      </c>
      <c r="Q481" s="107">
        <f t="shared" si="244"/>
        <v>0</v>
      </c>
      <c r="R481" s="107">
        <f t="shared" si="245"/>
        <v>0</v>
      </c>
      <c r="S481" s="110">
        <f t="shared" si="246"/>
        <v>650.06999999999994</v>
      </c>
      <c r="T481" s="135">
        <f t="shared" si="247"/>
        <v>0.30013999999999985</v>
      </c>
      <c r="U481" s="135" t="str">
        <f t="shared" si="248"/>
        <v/>
      </c>
      <c r="V481" s="135" t="str">
        <f t="shared" si="249"/>
        <v/>
      </c>
      <c r="W481" s="45"/>
      <c r="X481" s="114" t="str">
        <f>IFERROR((VLOOKUP($A481,'ИЗ ГУГЛА'!$B:$G,X$1,0)+Z481)*Y481,VLOOKUP($A481,'ИЗ ГУГЛА'!$B:$G,X$1,0))</f>
        <v/>
      </c>
      <c r="Y481" s="108">
        <v>1</v>
      </c>
      <c r="Z481" s="46"/>
      <c r="AA481" s="139" t="s">
        <v>1821</v>
      </c>
      <c r="AB481" s="124"/>
      <c r="AC481" s="114" t="str">
        <f>IFERROR((VLOOKUP($A481,'ИЗ ГУГЛА'!$B:$Z,AC$1,0)+AE481)*AD481,VLOOKUP($A481,'ИЗ ГУГЛА'!$B:$Z,AC$1,0))</f>
        <v/>
      </c>
      <c r="AD481" s="108">
        <v>1</v>
      </c>
      <c r="AE481" s="46"/>
      <c r="AF481" s="115"/>
    </row>
    <row r="482" spans="1:32" s="5" customFormat="1" ht="30" x14ac:dyDescent="0.25">
      <c r="A482" s="132">
        <v>181599</v>
      </c>
      <c r="B482" s="132">
        <f>VLOOKUP($A482,'Выгр Кат'!$A:$S,B$1,0)</f>
        <v>35428</v>
      </c>
      <c r="C482" s="133" t="str">
        <f>VLOOKUP($A482,'Выгр Кат'!$A:$S,C$1,0)</f>
        <v>Опора двигателя "БРТ" задняя коробки раздаточной Лада Нива 4х4</v>
      </c>
      <c r="D482" s="132" t="str">
        <f>VLOOKUP($A482,'Выгр Кат'!$A:$S,D$1,0)</f>
        <v>Y</v>
      </c>
      <c r="E482" s="132" t="str">
        <f>VLOOKUP($A482,'Выгр Кат'!$A:$S,E$1,0)</f>
        <v>1</v>
      </c>
      <c r="F482" s="132" t="str">
        <f>VLOOKUP($A482,'Выгр Кат'!$A:$S,F$1,0)</f>
        <v>2121-1001045СБ</v>
      </c>
      <c r="G482" s="44" t="s">
        <v>953</v>
      </c>
      <c r="H482" s="29"/>
      <c r="I482" s="4" t="s">
        <v>2</v>
      </c>
      <c r="J482" s="95">
        <v>1</v>
      </c>
      <c r="K482" s="168">
        <f t="shared" si="250"/>
        <v>462</v>
      </c>
      <c r="L482" s="167">
        <f>VLOOKUP(K482,Наценка!$A$1:$B$8,2,1)</f>
        <v>1.5053763440860215</v>
      </c>
      <c r="M482" s="148">
        <f>W482*1.06</f>
        <v>625.4</v>
      </c>
      <c r="N482" s="173">
        <f t="shared" si="243"/>
        <v>629</v>
      </c>
      <c r="O482" s="134">
        <f>VLOOKUP($A482,'Выгр Кат'!$A:$S,O$1,0)</f>
        <v>462</v>
      </c>
      <c r="P482" s="134">
        <f>VLOOKUP($A482,'Выгр Кат'!$A:$S,P$1,0)</f>
        <v>699</v>
      </c>
      <c r="Q482" s="107">
        <f t="shared" si="244"/>
        <v>0</v>
      </c>
      <c r="R482" s="107">
        <f t="shared" si="245"/>
        <v>70</v>
      </c>
      <c r="S482" s="110">
        <f t="shared" si="246"/>
        <v>584.96999999999991</v>
      </c>
      <c r="T482" s="135">
        <f t="shared" si="247"/>
        <v>0.26616883116883105</v>
      </c>
      <c r="U482" s="135">
        <f t="shared" si="248"/>
        <v>8.5254237288137063E-3</v>
      </c>
      <c r="V482" s="135">
        <f t="shared" si="249"/>
        <v>0.277056277056277</v>
      </c>
      <c r="W482" s="117">
        <f>AA482</f>
        <v>590</v>
      </c>
      <c r="X482" s="114">
        <f>IFERROR((VLOOKUP($A482,'ИЗ ГУГЛА'!$B:$G,X$1,0)+Z482)*Y482,VLOOKUP($A482,'ИЗ ГУГЛА'!$B:$G,X$1,0))</f>
        <v>590</v>
      </c>
      <c r="Y482" s="108">
        <v>1</v>
      </c>
      <c r="Z482" s="46"/>
      <c r="AA482" s="139">
        <v>590</v>
      </c>
      <c r="AB482" s="124" t="s">
        <v>2841</v>
      </c>
      <c r="AC482" s="114" t="str">
        <f>IFERROR((VLOOKUP($A482,'ИЗ ГУГЛА'!$B:$Z,AC$1,0)+AE482)*AD482,VLOOKUP($A482,'ИЗ ГУГЛА'!$B:$Z,AC$1,0))</f>
        <v/>
      </c>
      <c r="AD482" s="108">
        <v>1</v>
      </c>
      <c r="AE482" s="46"/>
      <c r="AF482" s="115"/>
    </row>
    <row r="483" spans="1:32" s="5" customFormat="1" ht="30" x14ac:dyDescent="0.25">
      <c r="A483" s="132">
        <v>223232</v>
      </c>
      <c r="B483" s="132">
        <f>VLOOKUP($A483,'Выгр Кат'!$A:$S,B$1,0)</f>
        <v>35599</v>
      </c>
      <c r="C483" s="133" t="str">
        <f>VLOOKUP($A483,'Выгр Кат'!$A:$S,C$1,0)</f>
        <v>Уплотнитель "БРТ" передней двери для Лада Веста</v>
      </c>
      <c r="D483" s="132" t="str">
        <f>VLOOKUP($A483,'Выгр Кат'!$A:$S,D$1,0)</f>
        <v>Y</v>
      </c>
      <c r="E483" s="132" t="str">
        <f>VLOOKUP($A483,'Выгр Кат'!$A:$S,E$1,0)</f>
        <v>1</v>
      </c>
      <c r="F483" s="132" t="str">
        <f>VLOOKUP($A483,'Выгр Кат'!$A:$S,F$1,0)</f>
        <v>2180-6107018Р</v>
      </c>
      <c r="G483" s="44" t="s">
        <v>563</v>
      </c>
      <c r="H483" s="29"/>
      <c r="I483" s="4" t="s">
        <v>2</v>
      </c>
      <c r="J483" s="95">
        <v>1</v>
      </c>
      <c r="K483" s="168">
        <f t="shared" si="250"/>
        <v>406</v>
      </c>
      <c r="L483" s="167">
        <f>VLOOKUP(K483,Наценка!$A$1:$B$8,2,1)</f>
        <v>1.5053763440860215</v>
      </c>
      <c r="M483" s="172">
        <f t="shared" si="251"/>
        <v>611.18279569892468</v>
      </c>
      <c r="N483" s="173">
        <f t="shared" si="243"/>
        <v>619</v>
      </c>
      <c r="O483" s="134">
        <f>VLOOKUP($A483,'Выгр Кат'!$A:$S,O$1,0)</f>
        <v>406</v>
      </c>
      <c r="P483" s="134">
        <f>VLOOKUP($A483,'Выгр Кат'!$A:$S,P$1,0)</f>
        <v>619</v>
      </c>
      <c r="Q483" s="107">
        <f t="shared" si="244"/>
        <v>0</v>
      </c>
      <c r="R483" s="107">
        <f t="shared" si="245"/>
        <v>0</v>
      </c>
      <c r="S483" s="110">
        <f t="shared" si="246"/>
        <v>575.66999999999996</v>
      </c>
      <c r="T483" s="135">
        <f t="shared" si="247"/>
        <v>0.41790640394088663</v>
      </c>
      <c r="U483" s="135" t="str">
        <f t="shared" si="248"/>
        <v/>
      </c>
      <c r="V483" s="135" t="str">
        <f t="shared" si="249"/>
        <v/>
      </c>
      <c r="W483" s="45"/>
      <c r="X483" s="114" t="str">
        <f>IFERROR((VLOOKUP($A483,'ИЗ ГУГЛА'!$B:$G,X$1,0)+Z483)*Y483,VLOOKUP($A483,'ИЗ ГУГЛА'!$B:$G,X$1,0))</f>
        <v/>
      </c>
      <c r="Y483" s="108">
        <v>1</v>
      </c>
      <c r="Z483" s="46"/>
      <c r="AA483" s="139" t="s">
        <v>1821</v>
      </c>
      <c r="AB483" s="124"/>
      <c r="AC483" s="114" t="str">
        <f>IFERROR((VLOOKUP($A483,'ИЗ ГУГЛА'!$B:$Z,AC$1,0)+AE483)*AD483,VLOOKUP($A483,'ИЗ ГУГЛА'!$B:$Z,AC$1,0))</f>
        <v/>
      </c>
      <c r="AD483" s="108">
        <v>1</v>
      </c>
      <c r="AE483" s="46"/>
      <c r="AF483" s="115"/>
    </row>
    <row r="484" spans="1:32" s="5" customFormat="1" ht="45.75" thickBot="1" x14ac:dyDescent="0.3">
      <c r="A484" s="132">
        <v>186578</v>
      </c>
      <c r="B484" s="132">
        <f>VLOOKUP($A484,'Выгр Кат'!$A:$S,B$1,0)</f>
        <v>35564</v>
      </c>
      <c r="C484" s="133" t="str">
        <f>VLOOKUP($A484,'Выгр Кат'!$A:$S,C$1,0)</f>
        <v>Патрубок "БРТ" радиатора подводящий для Лада Гранта, Калина 2 (АКПП)</v>
      </c>
      <c r="D484" s="132" t="str">
        <f>VLOOKUP($A484,'Выгр Кат'!$A:$S,D$1,0)</f>
        <v>Y</v>
      </c>
      <c r="E484" s="132" t="str">
        <f>VLOOKUP($A484,'Выгр Кат'!$A:$S,E$1,0)</f>
        <v>1</v>
      </c>
      <c r="F484" s="132" t="str">
        <f>VLOOKUP($A484,'Выгр Кат'!$A:$S,F$1,0)</f>
        <v>2190-1303025Р</v>
      </c>
      <c r="G484" s="44" t="s">
        <v>529</v>
      </c>
      <c r="H484" s="29"/>
      <c r="I484" s="4" t="s">
        <v>2</v>
      </c>
      <c r="J484" s="95">
        <v>1</v>
      </c>
      <c r="K484" s="168">
        <f t="shared" si="250"/>
        <v>466</v>
      </c>
      <c r="L484" s="167">
        <f>VLOOKUP(K484,Наценка!$A$1:$B$8,2,1)</f>
        <v>1.5053763440860215</v>
      </c>
      <c r="M484" s="172">
        <f t="shared" si="251"/>
        <v>701.50537634408602</v>
      </c>
      <c r="N484" s="173">
        <f t="shared" si="243"/>
        <v>709</v>
      </c>
      <c r="O484" s="134">
        <f>VLOOKUP($A484,'Выгр Кат'!$A:$S,O$1,0)</f>
        <v>466</v>
      </c>
      <c r="P484" s="134">
        <f>VLOOKUP($A484,'Выгр Кат'!$A:$S,P$1,0)</f>
        <v>709</v>
      </c>
      <c r="Q484" s="107">
        <f t="shared" si="244"/>
        <v>0</v>
      </c>
      <c r="R484" s="107">
        <f t="shared" si="245"/>
        <v>0</v>
      </c>
      <c r="S484" s="110">
        <f t="shared" si="246"/>
        <v>659.37</v>
      </c>
      <c r="T484" s="135">
        <f t="shared" si="247"/>
        <v>0.41495708154506428</v>
      </c>
      <c r="U484" s="135" t="str">
        <f t="shared" si="248"/>
        <v/>
      </c>
      <c r="V484" s="135" t="str">
        <f t="shared" si="249"/>
        <v/>
      </c>
      <c r="W484" s="45"/>
      <c r="X484" s="114" t="str">
        <f>IFERROR((VLOOKUP($A484,'ИЗ ГУГЛА'!$B:$G,X$1,0)+Z484)*Y484,VLOOKUP($A484,'ИЗ ГУГЛА'!$B:$G,X$1,0))</f>
        <v/>
      </c>
      <c r="Y484" s="108">
        <v>1</v>
      </c>
      <c r="Z484" s="46"/>
      <c r="AA484" s="140" t="s">
        <v>1821</v>
      </c>
      <c r="AB484" s="129"/>
      <c r="AC484" s="114" t="str">
        <f>IFERROR((VLOOKUP($A484,'ИЗ ГУГЛА'!$B:$Z,AC$1,0)+AE484)*AD484,VLOOKUP($A484,'ИЗ ГУГЛА'!$B:$Z,AC$1,0))</f>
        <v/>
      </c>
      <c r="AD484" s="108">
        <v>1</v>
      </c>
      <c r="AE484" s="46"/>
      <c r="AF484" s="115"/>
    </row>
    <row r="485" spans="1:32" s="5" customFormat="1" ht="31.5" thickTop="1" thickBot="1" x14ac:dyDescent="0.3">
      <c r="A485" s="132">
        <v>186572</v>
      </c>
      <c r="B485" s="132">
        <f>VLOOKUP($A485,'Выгр Кат'!$A:$S,B$1,0)</f>
        <v>35562</v>
      </c>
      <c r="C485" s="133" t="str">
        <f>VLOOKUP($A485,'Выгр Кат'!$A:$S,C$1,0)</f>
        <v>Патрубок "БРТ" радиатора отводящий для Лада Гранта, Калина 2 (АКПП)</v>
      </c>
      <c r="D485" s="132" t="str">
        <f>VLOOKUP($A485,'Выгр Кат'!$A:$S,D$1,0)</f>
        <v>Y</v>
      </c>
      <c r="E485" s="132" t="str">
        <f>VLOOKUP($A485,'Выгр Кат'!$A:$S,E$1,0)</f>
        <v>1</v>
      </c>
      <c r="F485" s="132" t="str">
        <f>VLOOKUP($A485,'Выгр Кат'!$A:$S,F$1,0)</f>
        <v>2190-1303010Р</v>
      </c>
      <c r="G485" s="44" t="s">
        <v>527</v>
      </c>
      <c r="H485" s="29"/>
      <c r="I485" s="4" t="s">
        <v>2</v>
      </c>
      <c r="J485" s="95">
        <v>1</v>
      </c>
      <c r="K485" s="168">
        <f t="shared" si="250"/>
        <v>466</v>
      </c>
      <c r="L485" s="167">
        <f>VLOOKUP(K485,Наценка!$A$1:$B$8,2,1)</f>
        <v>1.5053763440860215</v>
      </c>
      <c r="M485" s="172">
        <f t="shared" si="251"/>
        <v>701.50537634408602</v>
      </c>
      <c r="N485" s="173">
        <f t="shared" si="243"/>
        <v>709</v>
      </c>
      <c r="O485" s="134">
        <f>VLOOKUP($A485,'Выгр Кат'!$A:$S,O$1,0)</f>
        <v>466</v>
      </c>
      <c r="P485" s="134">
        <f>VLOOKUP($A485,'Выгр Кат'!$A:$S,P$1,0)</f>
        <v>709</v>
      </c>
      <c r="Q485" s="107">
        <f t="shared" si="244"/>
        <v>0</v>
      </c>
      <c r="R485" s="107">
        <f t="shared" si="245"/>
        <v>0</v>
      </c>
      <c r="S485" s="110">
        <f t="shared" si="246"/>
        <v>659.37</v>
      </c>
      <c r="T485" s="135">
        <f t="shared" si="247"/>
        <v>0.41495708154506428</v>
      </c>
      <c r="U485" s="135" t="str">
        <f t="shared" si="248"/>
        <v/>
      </c>
      <c r="V485" s="135" t="str">
        <f t="shared" si="249"/>
        <v/>
      </c>
      <c r="W485" s="45"/>
      <c r="X485" s="114" t="str">
        <f>IFERROR((VLOOKUP($A485,'ИЗ ГУГЛА'!$B:$G,X$1,0)+Z485)*Y485,VLOOKUP($A485,'ИЗ ГУГЛА'!$B:$G,X$1,0))</f>
        <v/>
      </c>
      <c r="Y485" s="108">
        <v>1</v>
      </c>
      <c r="Z485" s="46"/>
      <c r="AA485" s="140" t="s">
        <v>1821</v>
      </c>
      <c r="AB485" s="129"/>
      <c r="AC485" s="114" t="str">
        <f>IFERROR((VLOOKUP($A485,'ИЗ ГУГЛА'!$B:$Z,AC$1,0)+AE485)*AD485,VLOOKUP($A485,'ИЗ ГУГЛА'!$B:$Z,AC$1,0))</f>
        <v/>
      </c>
      <c r="AD485" s="108">
        <v>1</v>
      </c>
      <c r="AE485" s="46"/>
      <c r="AF485" s="115"/>
    </row>
    <row r="486" spans="1:32" s="5" customFormat="1" ht="31.5" thickTop="1" thickBot="1" x14ac:dyDescent="0.3">
      <c r="A486" s="132">
        <v>138720</v>
      </c>
      <c r="B486" s="132">
        <f>VLOOKUP($A486,'Выгр Кат'!$A:$S,B$1,0)</f>
        <v>35467</v>
      </c>
      <c r="C486" s="133" t="str">
        <f>VLOOKUP($A486,'Выгр Кат'!$A:$S,C$1,0)</f>
        <v>Брызговик "БРТ" задний левый для Шевроле Нива</v>
      </c>
      <c r="D486" s="132" t="str">
        <f>VLOOKUP($A486,'Выгр Кат'!$A:$S,D$1,0)</f>
        <v>Y</v>
      </c>
      <c r="E486" s="132" t="str">
        <f>VLOOKUP($A486,'Выгр Кат'!$A:$S,E$1,0)</f>
        <v>1</v>
      </c>
      <c r="F486" s="132" t="str">
        <f>VLOOKUP($A486,'Выгр Кат'!$A:$S,F$1,0)</f>
        <v>2123-8404413Р</v>
      </c>
      <c r="G486" s="44" t="s">
        <v>517</v>
      </c>
      <c r="H486" s="29"/>
      <c r="I486" s="4" t="s">
        <v>2</v>
      </c>
      <c r="J486" s="95">
        <v>1</v>
      </c>
      <c r="K486" s="168">
        <f t="shared" si="250"/>
        <v>485</v>
      </c>
      <c r="L486" s="167">
        <f>VLOOKUP(K486,Наценка!$A$1:$B$8,2,1)</f>
        <v>1.5053763440860215</v>
      </c>
      <c r="M486" s="148">
        <f>W486*1.06</f>
        <v>837.40000000000009</v>
      </c>
      <c r="N486" s="173">
        <f t="shared" si="243"/>
        <v>839</v>
      </c>
      <c r="O486" s="134">
        <f>VLOOKUP($A486,'Выгр Кат'!$A:$S,O$1,0)</f>
        <v>485</v>
      </c>
      <c r="P486" s="134">
        <f>VLOOKUP($A486,'Выгр Кат'!$A:$S,P$1,0)</f>
        <v>739</v>
      </c>
      <c r="Q486" s="107">
        <f t="shared" si="244"/>
        <v>0</v>
      </c>
      <c r="R486" s="107">
        <f t="shared" si="245"/>
        <v>-100</v>
      </c>
      <c r="S486" s="110">
        <f t="shared" si="246"/>
        <v>780.27</v>
      </c>
      <c r="T486" s="135">
        <f t="shared" si="247"/>
        <v>0.60880412371134018</v>
      </c>
      <c r="U486" s="135">
        <f t="shared" si="248"/>
        <v>1.2316455696202554E-2</v>
      </c>
      <c r="V486" s="135">
        <f t="shared" si="249"/>
        <v>0.62886597938144329</v>
      </c>
      <c r="W486" s="117">
        <f t="shared" ref="W486:W487" si="260">AA486</f>
        <v>790</v>
      </c>
      <c r="X486" s="114">
        <f>IFERROR((VLOOKUP($A486,'ИЗ ГУГЛА'!$B:$G,X$1,0)+Z486)*Y486,VLOOKUP($A486,'ИЗ ГУГЛА'!$B:$G,X$1,0))</f>
        <v>790</v>
      </c>
      <c r="Y486" s="108">
        <v>1</v>
      </c>
      <c r="Z486" s="46"/>
      <c r="AA486" s="138">
        <v>790</v>
      </c>
      <c r="AB486" s="124" t="s">
        <v>2563</v>
      </c>
      <c r="AC486" s="114" t="str">
        <f>IFERROR((VLOOKUP($A486,'ИЗ ГУГЛА'!$B:$Z,AC$1,0)+AE486)*AD486,VLOOKUP($A486,'ИЗ ГУГЛА'!$B:$Z,AC$1,0))</f>
        <v/>
      </c>
      <c r="AD486" s="108">
        <v>1</v>
      </c>
      <c r="AE486" s="46"/>
      <c r="AF486" s="115"/>
    </row>
    <row r="487" spans="1:32" s="5" customFormat="1" ht="31.5" thickTop="1" thickBot="1" x14ac:dyDescent="0.3">
      <c r="A487" s="132">
        <v>138721</v>
      </c>
      <c r="B487" s="132">
        <f>VLOOKUP($A487,'Выгр Кат'!$A:$S,B$1,0)</f>
        <v>35466</v>
      </c>
      <c r="C487" s="133" t="str">
        <f>VLOOKUP($A487,'Выгр Кат'!$A:$S,C$1,0)</f>
        <v>Брызговик "БРТ" задний правый для Шевроле Нива</v>
      </c>
      <c r="D487" s="132" t="str">
        <f>VLOOKUP($A487,'Выгр Кат'!$A:$S,D$1,0)</f>
        <v>Y</v>
      </c>
      <c r="E487" s="132" t="str">
        <f>VLOOKUP($A487,'Выгр Кат'!$A:$S,E$1,0)</f>
        <v>1</v>
      </c>
      <c r="F487" s="132" t="str">
        <f>VLOOKUP($A487,'Выгр Кат'!$A:$S,F$1,0)</f>
        <v>2123-8404412Р</v>
      </c>
      <c r="G487" s="44" t="s">
        <v>516</v>
      </c>
      <c r="H487" s="29"/>
      <c r="I487" s="4" t="s">
        <v>2</v>
      </c>
      <c r="J487" s="95">
        <v>1</v>
      </c>
      <c r="K487" s="168">
        <f t="shared" si="250"/>
        <v>485</v>
      </c>
      <c r="L487" s="167">
        <f>VLOOKUP(K487,Наценка!$A$1:$B$8,2,1)</f>
        <v>1.5053763440860215</v>
      </c>
      <c r="M487" s="172">
        <f t="shared" si="251"/>
        <v>730.10752688172045</v>
      </c>
      <c r="N487" s="173">
        <f t="shared" si="243"/>
        <v>739</v>
      </c>
      <c r="O487" s="134">
        <f>VLOOKUP($A487,'Выгр Кат'!$A:$S,O$1,0)</f>
        <v>485</v>
      </c>
      <c r="P487" s="134">
        <f>VLOOKUP($A487,'Выгр Кат'!$A:$S,P$1,0)</f>
        <v>739</v>
      </c>
      <c r="Q487" s="107">
        <f t="shared" si="244"/>
        <v>0</v>
      </c>
      <c r="R487" s="107">
        <f t="shared" si="245"/>
        <v>0</v>
      </c>
      <c r="S487" s="110">
        <f t="shared" si="246"/>
        <v>687.27</v>
      </c>
      <c r="T487" s="135">
        <f t="shared" si="247"/>
        <v>0.41705154639175257</v>
      </c>
      <c r="U487" s="135">
        <f t="shared" si="248"/>
        <v>-0.40259183673469384</v>
      </c>
      <c r="V487" s="135">
        <f t="shared" si="249"/>
        <v>1.0309278350515427E-2</v>
      </c>
      <c r="W487" s="117">
        <f t="shared" si="260"/>
        <v>490</v>
      </c>
      <c r="X487" s="114" t="str">
        <f>IFERROR((VLOOKUP($A487,'ИЗ ГУГЛА'!$B:$G,X$1,0)+Z487)*Y487,VLOOKUP($A487,'ИЗ ГУГЛА'!$B:$G,X$1,0))</f>
        <v/>
      </c>
      <c r="Y487" s="108">
        <v>1</v>
      </c>
      <c r="Z487" s="46"/>
      <c r="AA487" s="136">
        <v>490</v>
      </c>
      <c r="AB487" s="124" t="s">
        <v>2564</v>
      </c>
      <c r="AC487" s="114" t="str">
        <f>IFERROR((VLOOKUP($A487,'ИЗ ГУГЛА'!$B:$Z,AC$1,0)+AE487)*AD487,VLOOKUP($A487,'ИЗ ГУГЛА'!$B:$Z,AC$1,0))</f>
        <v/>
      </c>
      <c r="AD487" s="108">
        <v>1</v>
      </c>
      <c r="AE487" s="46"/>
      <c r="AF487" s="115"/>
    </row>
    <row r="488" spans="1:32" s="5" customFormat="1" ht="30.75" thickTop="1" x14ac:dyDescent="0.25">
      <c r="A488" s="132">
        <v>138808</v>
      </c>
      <c r="B488" s="132">
        <f>VLOOKUP($A488,'Выгр Кат'!$A:$S,B$1,0)</f>
        <v>36584</v>
      </c>
      <c r="C488" s="133" t="str">
        <f>VLOOKUP($A488,'Выгр Кат'!$A:$S,C$1,0)</f>
        <v>Брызговики задние с надписью LARGUS для Лада Ларгус</v>
      </c>
      <c r="D488" s="132" t="str">
        <f>VLOOKUP($A488,'Выгр Кат'!$A:$S,D$1,0)</f>
        <v>Y</v>
      </c>
      <c r="E488" s="132" t="str">
        <f>VLOOKUP($A488,'Выгр Кат'!$A:$S,E$1,0)</f>
        <v>1</v>
      </c>
      <c r="F488" s="132">
        <f>VLOOKUP($A488,'Выгр Кат'!$A:$S,F$1,0)</f>
        <v>0</v>
      </c>
      <c r="G488" s="35" t="s">
        <v>1299</v>
      </c>
      <c r="H488" s="29"/>
      <c r="I488" s="4" t="s">
        <v>2</v>
      </c>
      <c r="J488" s="105">
        <v>2</v>
      </c>
      <c r="K488" s="168">
        <f t="shared" si="250"/>
        <v>431</v>
      </c>
      <c r="L488" s="167">
        <f>VLOOKUP(K488,Наценка!$A$1:$B$8,2,1)</f>
        <v>1.5053763440860215</v>
      </c>
      <c r="M488" s="172">
        <f t="shared" si="251"/>
        <v>648.81720430107532</v>
      </c>
      <c r="N488" s="173">
        <f t="shared" si="243"/>
        <v>649</v>
      </c>
      <c r="O488" s="134">
        <f>VLOOKUP($A488,'Выгр Кат'!$A:$S,O$1,0)</f>
        <v>431</v>
      </c>
      <c r="P488" s="134">
        <f>VLOOKUP($A488,'Выгр Кат'!$A:$S,P$1,0)</f>
        <v>649</v>
      </c>
      <c r="Q488" s="107">
        <f t="shared" si="244"/>
        <v>0</v>
      </c>
      <c r="R488" s="107">
        <f t="shared" si="245"/>
        <v>0</v>
      </c>
      <c r="S488" s="110">
        <f t="shared" si="246"/>
        <v>603.56999999999994</v>
      </c>
      <c r="T488" s="135">
        <f t="shared" si="247"/>
        <v>0.40039443155452425</v>
      </c>
      <c r="U488" s="135" t="str">
        <f t="shared" si="248"/>
        <v/>
      </c>
      <c r="V488" s="135" t="str">
        <f t="shared" si="249"/>
        <v/>
      </c>
      <c r="W488" s="45"/>
      <c r="X488" s="114" t="str">
        <f>IFERROR((VLOOKUP($A488,'ИЗ ГУГЛА'!$B:$G,X$1,0)+Z488)*Y488,VLOOKUP($A488,'ИЗ ГУГЛА'!$B:$G,X$1,0))</f>
        <v/>
      </c>
      <c r="Y488" s="108">
        <v>1</v>
      </c>
      <c r="Z488" s="46"/>
      <c r="AA488" s="139" t="s">
        <v>1821</v>
      </c>
      <c r="AB488" s="124"/>
      <c r="AC488" s="114" t="str">
        <f>IFERROR((VLOOKUP($A488,'ИЗ ГУГЛА'!$B:$Z,AC$1,0)+AE488)*AD488,VLOOKUP($A488,'ИЗ ГУГЛА'!$B:$Z,AC$1,0))</f>
        <v/>
      </c>
      <c r="AD488" s="108">
        <v>1</v>
      </c>
      <c r="AE488" s="46"/>
      <c r="AF488" s="115"/>
    </row>
    <row r="489" spans="1:32" s="5" customFormat="1" ht="30.75" thickBot="1" x14ac:dyDescent="0.3">
      <c r="A489" s="132">
        <v>223236</v>
      </c>
      <c r="B489" s="132">
        <f>VLOOKUP($A489,'Выгр Кат'!$A:$S,B$1,0)</f>
        <v>20459</v>
      </c>
      <c r="C489" s="133" t="str">
        <f>VLOOKUP($A489,'Выгр Кат'!$A:$S,C$1,0)</f>
        <v>Уплотнитель "БРТ" проёма задней двери для Лада Калина седан</v>
      </c>
      <c r="D489" s="132" t="str">
        <f>VLOOKUP($A489,'Выгр Кат'!$A:$S,D$1,0)</f>
        <v>Y</v>
      </c>
      <c r="E489" s="132" t="str">
        <f>VLOOKUP($A489,'Выгр Кат'!$A:$S,E$1,0)</f>
        <v>1</v>
      </c>
      <c r="F489" s="132" t="str">
        <f>VLOOKUP($A489,'Выгр Кат'!$A:$S,F$1,0)</f>
        <v>1118-6207018-10Р</v>
      </c>
      <c r="G489" s="45" t="s">
        <v>230</v>
      </c>
      <c r="H489" s="29"/>
      <c r="I489" s="4" t="s">
        <v>2</v>
      </c>
      <c r="J489" s="95">
        <v>1</v>
      </c>
      <c r="K489" s="168">
        <f t="shared" si="250"/>
        <v>545</v>
      </c>
      <c r="L489" s="167">
        <f>VLOOKUP(K489,Наценка!$A$1:$B$8,2,1)</f>
        <v>1.3978494623655915</v>
      </c>
      <c r="M489" s="145">
        <f>W489*1</f>
        <v>1190</v>
      </c>
      <c r="N489" s="173">
        <f t="shared" si="243"/>
        <v>1190</v>
      </c>
      <c r="O489" s="134">
        <f>VLOOKUP($A489,'Выгр Кат'!$A:$S,O$1,0)</f>
        <v>545</v>
      </c>
      <c r="P489" s="134">
        <f>VLOOKUP($A489,'Выгр Кат'!$A:$S,P$1,0)</f>
        <v>769</v>
      </c>
      <c r="Q489" s="107">
        <f t="shared" si="244"/>
        <v>0</v>
      </c>
      <c r="R489" s="107">
        <f t="shared" si="245"/>
        <v>-421</v>
      </c>
      <c r="S489" s="110">
        <f t="shared" si="246"/>
        <v>1106.6999999999998</v>
      </c>
      <c r="T489" s="135">
        <f t="shared" si="247"/>
        <v>1.030642201834862</v>
      </c>
      <c r="U489" s="135">
        <f t="shared" si="248"/>
        <v>7.0000000000000159E-2</v>
      </c>
      <c r="V489" s="135">
        <f t="shared" si="249"/>
        <v>1.1834862385321099</v>
      </c>
      <c r="W489" s="117">
        <f t="shared" ref="W489:W491" si="261">AA489</f>
        <v>1190</v>
      </c>
      <c r="X489" s="114">
        <f>IFERROR((VLOOKUP($A489,'ИЗ ГУГЛА'!$B:$G,X$1,0)+Z489)*Y489,VLOOKUP($A489,'ИЗ ГУГЛА'!$B:$G,X$1,0))</f>
        <v>1190</v>
      </c>
      <c r="Y489" s="46">
        <v>1</v>
      </c>
      <c r="Z489" s="46"/>
      <c r="AA489" s="138">
        <v>1190</v>
      </c>
      <c r="AB489" s="124" t="s">
        <v>2330</v>
      </c>
      <c r="AC489" s="114" t="str">
        <f>IFERROR((VLOOKUP($A489,'ИЗ ГУГЛА'!$B:$Z,AC$1,0)+AE489)*AD489,VLOOKUP($A489,'ИЗ ГУГЛА'!$B:$Z,AC$1,0))</f>
        <v/>
      </c>
      <c r="AD489" s="46">
        <v>1</v>
      </c>
      <c r="AE489" s="46"/>
      <c r="AF489" s="115"/>
    </row>
    <row r="490" spans="1:32" s="5" customFormat="1" ht="46.5" thickTop="1" thickBot="1" x14ac:dyDescent="0.3">
      <c r="A490" s="132">
        <v>223283</v>
      </c>
      <c r="B490" s="132">
        <f>VLOOKUP($A490,'Выгр Кат'!$A:$S,B$1,0)</f>
        <v>6607</v>
      </c>
      <c r="C490" s="133" t="str">
        <f>VLOOKUP($A490,'Выгр Кат'!$A:$S,C$1,0)</f>
        <v>Уплотнитель порога "РГИ-135" для Лада (Гранта, Гранта FL, Калина, Калина 2), Датсун (mi-DO, on-DO)</v>
      </c>
      <c r="D490" s="132" t="str">
        <f>VLOOKUP($A490,'Выгр Кат'!$A:$S,D$1,0)</f>
        <v>Y</v>
      </c>
      <c r="E490" s="132" t="str">
        <f>VLOOKUP($A490,'Выгр Кат'!$A:$S,E$1,0)</f>
        <v>1ск6</v>
      </c>
      <c r="F490" s="132">
        <f>VLOOKUP($A490,'Выгр Кат'!$A:$S,F$1,0)</f>
        <v>0</v>
      </c>
      <c r="G490" s="100" t="s">
        <v>1058</v>
      </c>
      <c r="H490" s="29"/>
      <c r="I490" s="4" t="s">
        <v>2</v>
      </c>
      <c r="J490" s="95">
        <v>1</v>
      </c>
      <c r="K490" s="168">
        <f t="shared" si="250"/>
        <v>500</v>
      </c>
      <c r="L490" s="167">
        <f>VLOOKUP(K490,Наценка!$A$1:$B$8,2,1)</f>
        <v>1.3978494623655915</v>
      </c>
      <c r="M490" s="148">
        <f t="shared" ref="M489:M491" si="262">W490*1.06</f>
        <v>899.94</v>
      </c>
      <c r="N490" s="173">
        <f t="shared" si="243"/>
        <v>899</v>
      </c>
      <c r="O490" s="134">
        <f>VLOOKUP($A490,'Выгр Кат'!$A:$S,O$1,0)</f>
        <v>500</v>
      </c>
      <c r="P490" s="134">
        <f>VLOOKUP($A490,'Выгр Кат'!$A:$S,P$1,0)</f>
        <v>889</v>
      </c>
      <c r="Q490" s="107">
        <f t="shared" si="244"/>
        <v>0</v>
      </c>
      <c r="R490" s="107">
        <f t="shared" si="245"/>
        <v>-10</v>
      </c>
      <c r="S490" s="110">
        <f t="shared" si="246"/>
        <v>836.06999999999994</v>
      </c>
      <c r="T490" s="135">
        <f t="shared" si="247"/>
        <v>0.67213999999999996</v>
      </c>
      <c r="U490" s="135">
        <f t="shared" si="248"/>
        <v>1.5229681978798662E-2</v>
      </c>
      <c r="V490" s="135">
        <f t="shared" si="249"/>
        <v>0.69799999999999995</v>
      </c>
      <c r="W490" s="117">
        <f t="shared" si="261"/>
        <v>849</v>
      </c>
      <c r="X490" s="114">
        <f>IFERROR((VLOOKUP($A490,'ИЗ ГУГЛА'!$B:$G,X$1,0)+Z490)*Y490,VLOOKUP($A490,'ИЗ ГУГЛА'!$B:$G,X$1,0))</f>
        <v>849</v>
      </c>
      <c r="Y490" s="46">
        <v>1</v>
      </c>
      <c r="Z490" s="46"/>
      <c r="AA490" s="138">
        <v>849</v>
      </c>
      <c r="AB490" s="124" t="s">
        <v>2274</v>
      </c>
      <c r="AC490" s="114" t="str">
        <f>IFERROR((VLOOKUP($A490,'ИЗ ГУГЛА'!$B:$Z,AC$1,0)+AE490)*AD490,VLOOKUP($A490,'ИЗ ГУГЛА'!$B:$Z,AC$1,0))</f>
        <v/>
      </c>
      <c r="AD490" s="46">
        <v>1</v>
      </c>
      <c r="AE490" s="46"/>
      <c r="AF490" s="115"/>
    </row>
    <row r="491" spans="1:32" s="5" customFormat="1" ht="46.5" thickTop="1" thickBot="1" x14ac:dyDescent="0.3">
      <c r="A491" s="132">
        <v>223218</v>
      </c>
      <c r="B491" s="132">
        <f>VLOOKUP($A491,'Выгр Кат'!$A:$S,B$1,0)</f>
        <v>6153</v>
      </c>
      <c r="C491" s="133" t="str">
        <f>VLOOKUP($A491,'Выгр Кат'!$A:$S,C$1,0)</f>
        <v>Уплотнитель "БРТ" крышки багажника для ВАЗ 2110-2112, Лада (Калина, Калина 2, Гранта, Гранта FL)</v>
      </c>
      <c r="D491" s="132" t="str">
        <f>VLOOKUP($A491,'Выгр Кат'!$A:$S,D$1,0)</f>
        <v>Y</v>
      </c>
      <c r="E491" s="132" t="str">
        <f>VLOOKUP($A491,'Выгр Кат'!$A:$S,E$1,0)</f>
        <v>1ск6</v>
      </c>
      <c r="F491" s="132" t="str">
        <f>VLOOKUP($A491,'Выгр Кат'!$A:$S,F$1,0)</f>
        <v>2112630702402</v>
      </c>
      <c r="G491" s="45" t="s">
        <v>764</v>
      </c>
      <c r="H491" s="29"/>
      <c r="I491" s="4" t="s">
        <v>2</v>
      </c>
      <c r="J491" s="95">
        <v>1</v>
      </c>
      <c r="K491" s="168">
        <f t="shared" si="250"/>
        <v>455</v>
      </c>
      <c r="L491" s="167">
        <f>VLOOKUP(K491,Наценка!$A$1:$B$8,2,1)</f>
        <v>1.5053763440860215</v>
      </c>
      <c r="M491" s="148">
        <f t="shared" si="262"/>
        <v>837.40000000000009</v>
      </c>
      <c r="N491" s="173">
        <f t="shared" si="243"/>
        <v>839</v>
      </c>
      <c r="O491" s="134">
        <f>VLOOKUP($A491,'Выгр Кат'!$A:$S,O$1,0)</f>
        <v>455</v>
      </c>
      <c r="P491" s="134">
        <f>VLOOKUP($A491,'Выгр Кат'!$A:$S,P$1,0)</f>
        <v>689</v>
      </c>
      <c r="Q491" s="107">
        <f t="shared" si="244"/>
        <v>0</v>
      </c>
      <c r="R491" s="107">
        <f t="shared" si="245"/>
        <v>-150</v>
      </c>
      <c r="S491" s="110">
        <f t="shared" si="246"/>
        <v>780.27</v>
      </c>
      <c r="T491" s="135">
        <f t="shared" si="247"/>
        <v>0.71487912087912076</v>
      </c>
      <c r="U491" s="135">
        <f t="shared" si="248"/>
        <v>1.2316455696202554E-2</v>
      </c>
      <c r="V491" s="135">
        <f t="shared" si="249"/>
        <v>0.73626373626373631</v>
      </c>
      <c r="W491" s="117">
        <f t="shared" si="261"/>
        <v>790</v>
      </c>
      <c r="X491" s="114">
        <f>IFERROR((VLOOKUP($A491,'ИЗ ГУГЛА'!$B:$G,X$1,0)+Z491)*Y491,VLOOKUP($A491,'ИЗ ГУГЛА'!$B:$G,X$1,0))</f>
        <v>790</v>
      </c>
      <c r="Y491" s="46">
        <v>1</v>
      </c>
      <c r="Z491" s="46"/>
      <c r="AA491" s="138">
        <v>790</v>
      </c>
      <c r="AB491" s="124" t="s">
        <v>2291</v>
      </c>
      <c r="AC491" s="114" t="str">
        <f>IFERROR((VLOOKUP($A491,'ИЗ ГУГЛА'!$B:$Z,AC$1,0)+AE491)*AD491,VLOOKUP($A491,'ИЗ ГУГЛА'!$B:$Z,AC$1,0))</f>
        <v/>
      </c>
      <c r="AD491" s="46">
        <v>1</v>
      </c>
      <c r="AE491" s="46"/>
      <c r="AF491" s="115"/>
    </row>
    <row r="492" spans="1:32" s="5" customFormat="1" ht="45.75" thickTop="1" x14ac:dyDescent="0.25">
      <c r="A492" s="132">
        <v>181576</v>
      </c>
      <c r="B492" s="132">
        <f>VLOOKUP($A492,'Выгр Кат'!$A:$S,B$1,0)</f>
        <v>20303</v>
      </c>
      <c r="C492" s="133" t="str">
        <f>VLOOKUP($A492,'Выгр Кат'!$A:$S,C$1,0)</f>
        <v>Опора верхняя стойки передней подвески (люстра) в сборе "БМРТ" для Лада Приора</v>
      </c>
      <c r="D492" s="132" t="str">
        <f>VLOOKUP($A492,'Выгр Кат'!$A:$S,D$1,0)</f>
        <v>Y</v>
      </c>
      <c r="E492" s="132" t="str">
        <f>VLOOKUP($A492,'Выгр Кат'!$A:$S,E$1,0)</f>
        <v>1ск4</v>
      </c>
      <c r="F492" s="132" t="str">
        <f>VLOOKUP($A492,'Выгр Кат'!$A:$S,F$1,0)</f>
        <v>2170-2902821РУ.</v>
      </c>
      <c r="G492" s="45" t="s">
        <v>523</v>
      </c>
      <c r="H492" s="29"/>
      <c r="I492" s="4" t="s">
        <v>2</v>
      </c>
      <c r="J492" s="95">
        <v>1</v>
      </c>
      <c r="K492" s="168">
        <f t="shared" si="250"/>
        <v>578</v>
      </c>
      <c r="L492" s="167">
        <f>VLOOKUP(K492,Наценка!$A$1:$B$8,2,1)</f>
        <v>1.3978494623655915</v>
      </c>
      <c r="M492" s="172">
        <f t="shared" si="251"/>
        <v>807.95698924731187</v>
      </c>
      <c r="N492" s="173">
        <f t="shared" si="243"/>
        <v>809</v>
      </c>
      <c r="O492" s="134">
        <f>VLOOKUP($A492,'Выгр Кат'!$A:$S,O$1,0)</f>
        <v>578</v>
      </c>
      <c r="P492" s="134">
        <f>VLOOKUP($A492,'Выгр Кат'!$A:$S,P$1,0)</f>
        <v>809</v>
      </c>
      <c r="Q492" s="107">
        <f t="shared" si="244"/>
        <v>0</v>
      </c>
      <c r="R492" s="107">
        <f t="shared" si="245"/>
        <v>0</v>
      </c>
      <c r="S492" s="110">
        <f t="shared" si="246"/>
        <v>752.37</v>
      </c>
      <c r="T492" s="135">
        <f t="shared" si="247"/>
        <v>0.30167820069204154</v>
      </c>
      <c r="U492" s="135" t="str">
        <f t="shared" si="248"/>
        <v/>
      </c>
      <c r="V492" s="135" t="str">
        <f t="shared" si="249"/>
        <v/>
      </c>
      <c r="W492" s="45"/>
      <c r="X492" s="114" t="str">
        <f>IFERROR((VLOOKUP($A492,'ИЗ ГУГЛА'!$B:$G,X$1,0)+Z492)*Y492,VLOOKUP($A492,'ИЗ ГУГЛА'!$B:$G,X$1,0))</f>
        <v/>
      </c>
      <c r="Y492" s="108">
        <v>1</v>
      </c>
      <c r="Z492" s="46"/>
      <c r="AA492" s="139" t="s">
        <v>2494</v>
      </c>
      <c r="AB492" s="124"/>
      <c r="AC492" s="114" t="str">
        <f>IFERROR((VLOOKUP($A492,'ИЗ ГУГЛА'!$B:$Z,AC$1,0)+AE492)*AD492,VLOOKUP($A492,'ИЗ ГУГЛА'!$B:$Z,AC$1,0))</f>
        <v/>
      </c>
      <c r="AD492" s="108">
        <v>1</v>
      </c>
      <c r="AE492" s="46"/>
      <c r="AF492" s="115"/>
    </row>
    <row r="493" spans="1:32" s="5" customFormat="1" ht="45.75" thickBot="1" x14ac:dyDescent="0.3">
      <c r="A493" s="132">
        <v>160772</v>
      </c>
      <c r="B493" s="132">
        <f>VLOOKUP($A493,'Выгр Кат'!$A:$S,B$1,0)</f>
        <v>20270</v>
      </c>
      <c r="C493" s="133" t="str">
        <f>VLOOKUP($A493,'Выгр Кат'!$A:$S,C$1,0)</f>
        <v>Кронштейн растяжки передней подвески в сборе (с подушкой) "БРТ" для Лада Калина</v>
      </c>
      <c r="D493" s="132" t="str">
        <f>VLOOKUP($A493,'Выгр Кат'!$A:$S,D$1,0)</f>
        <v>Y</v>
      </c>
      <c r="E493" s="132" t="str">
        <f>VLOOKUP($A493,'Выгр Кат'!$A:$S,E$1,0)</f>
        <v>1</v>
      </c>
      <c r="F493" s="132" t="str">
        <f>VLOOKUP($A493,'Выгр Кат'!$A:$S,F$1,0)</f>
        <v>1118-2904049РУ</v>
      </c>
      <c r="G493" s="45" t="s">
        <v>227</v>
      </c>
      <c r="H493" s="29"/>
      <c r="I493" s="4" t="s">
        <v>2</v>
      </c>
      <c r="J493" s="95">
        <v>1</v>
      </c>
      <c r="K493" s="173">
        <f>VLOOKUP(G493,Прайс!$B:$E,4,0)*J493</f>
        <v>642.17999999999995</v>
      </c>
      <c r="L493" s="167">
        <f>VLOOKUP(K493,Наценка!$A$1:$B$8,2,1)</f>
        <v>1.3978494623655915</v>
      </c>
      <c r="M493" s="172">
        <f t="shared" si="251"/>
        <v>897.67096774193544</v>
      </c>
      <c r="N493" s="173">
        <f t="shared" si="243"/>
        <v>899</v>
      </c>
      <c r="O493" s="134">
        <f>VLOOKUP($A493,'Выгр Кат'!$A:$S,O$1,0)</f>
        <v>610</v>
      </c>
      <c r="P493" s="134">
        <f>VLOOKUP($A493,'Выгр Кат'!$A:$S,P$1,0)</f>
        <v>859</v>
      </c>
      <c r="Q493" s="107">
        <f t="shared" si="244"/>
        <v>-32.17999999999995</v>
      </c>
      <c r="R493" s="107">
        <f t="shared" si="245"/>
        <v>-40</v>
      </c>
      <c r="S493" s="110">
        <f t="shared" si="246"/>
        <v>836.06999999999994</v>
      </c>
      <c r="T493" s="135">
        <f t="shared" si="247"/>
        <v>0.30192469401102495</v>
      </c>
      <c r="U493" s="135">
        <f t="shared" si="248"/>
        <v>-0.24973094170403579</v>
      </c>
      <c r="V493" s="135">
        <f t="shared" si="249"/>
        <v>4.1763991404279333E-2</v>
      </c>
      <c r="W493" s="117">
        <f t="shared" ref="W493:W494" si="263">AA493</f>
        <v>669</v>
      </c>
      <c r="X493" s="114">
        <f>IFERROR((VLOOKUP($A493,'ИЗ ГУГЛА'!$B:$G,X$1,0)+Z493)*Y493,VLOOKUP($A493,'ИЗ ГУГЛА'!$B:$G,X$1,0))</f>
        <v>669</v>
      </c>
      <c r="Y493" s="108">
        <v>1</v>
      </c>
      <c r="Z493" s="46"/>
      <c r="AA493" s="136">
        <v>669</v>
      </c>
      <c r="AB493" s="124" t="s">
        <v>2562</v>
      </c>
      <c r="AC493" s="114" t="str">
        <f>IFERROR((VLOOKUP($A493,'ИЗ ГУГЛА'!$B:$Z,AC$1,0)+AE493)*AD493,VLOOKUP($A493,'ИЗ ГУГЛА'!$B:$Z,AC$1,0))</f>
        <v/>
      </c>
      <c r="AD493" s="108">
        <v>1</v>
      </c>
      <c r="AE493" s="46"/>
      <c r="AF493" s="115"/>
    </row>
    <row r="494" spans="1:32" s="5" customFormat="1" ht="31.5" thickTop="1" thickBot="1" x14ac:dyDescent="0.3">
      <c r="A494" s="132">
        <v>181661</v>
      </c>
      <c r="B494" s="132">
        <f>VLOOKUP($A494,'Выгр Кат'!$A:$S,B$1,0)</f>
        <v>20269</v>
      </c>
      <c r="C494" s="133" t="str">
        <f>VLOOKUP($A494,'Выгр Кат'!$A:$S,C$1,0)</f>
        <v>Опора передней подвески (люстра) "БРТ" для Лада Калина</v>
      </c>
      <c r="D494" s="132" t="str">
        <f>VLOOKUP($A494,'Выгр Кат'!$A:$S,D$1,0)</f>
        <v>Y</v>
      </c>
      <c r="E494" s="132" t="str">
        <f>VLOOKUP($A494,'Выгр Кат'!$A:$S,E$1,0)</f>
        <v>1</v>
      </c>
      <c r="F494" s="132" t="str">
        <f>VLOOKUP($A494,'Выгр Кат'!$A:$S,F$1,0)</f>
        <v>1118-2902821РУ.</v>
      </c>
      <c r="G494" s="45" t="s">
        <v>226</v>
      </c>
      <c r="H494" s="29"/>
      <c r="I494" s="4" t="s">
        <v>2</v>
      </c>
      <c r="J494" s="95">
        <v>1</v>
      </c>
      <c r="K494" s="168">
        <f t="shared" si="250"/>
        <v>570</v>
      </c>
      <c r="L494" s="167">
        <f>VLOOKUP(K494,Наценка!$A$1:$B$8,2,1)</f>
        <v>1.3978494623655915</v>
      </c>
      <c r="M494" s="151">
        <f>K494*1.2*100/93</f>
        <v>735.48387096774195</v>
      </c>
      <c r="N494" s="173">
        <f t="shared" si="243"/>
        <v>739</v>
      </c>
      <c r="O494" s="134">
        <f>VLOOKUP($A494,'Выгр Кат'!$A:$S,O$1,0)</f>
        <v>570</v>
      </c>
      <c r="P494" s="134">
        <f>VLOOKUP($A494,'Выгр Кат'!$A:$S,P$1,0)</f>
        <v>799</v>
      </c>
      <c r="Q494" s="107">
        <f t="shared" si="244"/>
        <v>0</v>
      </c>
      <c r="R494" s="107">
        <f t="shared" si="245"/>
        <v>60</v>
      </c>
      <c r="S494" s="110">
        <f t="shared" si="246"/>
        <v>687.27</v>
      </c>
      <c r="T494" s="135">
        <f t="shared" si="247"/>
        <v>0.20573684210526322</v>
      </c>
      <c r="U494" s="135">
        <f t="shared" si="248"/>
        <v>-4.2898330804248833E-2</v>
      </c>
      <c r="V494" s="135">
        <f t="shared" si="249"/>
        <v>0.15614035087719302</v>
      </c>
      <c r="W494" s="117">
        <f t="shared" si="263"/>
        <v>659</v>
      </c>
      <c r="X494" s="114">
        <f>IFERROR((VLOOKUP($A494,'ИЗ ГУГЛА'!$B:$G,X$1,0)+Z494)*Y494,VLOOKUP($A494,'ИЗ ГУГЛА'!$B:$G,X$1,0))</f>
        <v>659</v>
      </c>
      <c r="Y494" s="108">
        <v>1</v>
      </c>
      <c r="Z494" s="46"/>
      <c r="AA494" s="136">
        <v>659</v>
      </c>
      <c r="AB494" s="124" t="s">
        <v>2561</v>
      </c>
      <c r="AC494" s="114" t="str">
        <f>IFERROR((VLOOKUP($A494,'ИЗ ГУГЛА'!$B:$Z,AC$1,0)+AE494)*AD494,VLOOKUP($A494,'ИЗ ГУГЛА'!$B:$Z,AC$1,0))</f>
        <v/>
      </c>
      <c r="AD494" s="108">
        <v>1</v>
      </c>
      <c r="AE494" s="46"/>
      <c r="AF494" s="115"/>
    </row>
    <row r="495" spans="1:32" s="5" customFormat="1" ht="31.5" thickTop="1" thickBot="1" x14ac:dyDescent="0.3">
      <c r="A495" s="132">
        <v>186675</v>
      </c>
      <c r="B495" s="132">
        <f>VLOOKUP($A495,'Выгр Кат'!$A:$S,B$1,0)</f>
        <v>20235</v>
      </c>
      <c r="C495" s="133" t="str">
        <f>VLOOKUP($A495,'Выгр Кат'!$A:$S,C$1,0)</f>
        <v>Патрубок отопителя (печки, тройник) отводящий "БРТ" для ВАЗ 2110-2112</v>
      </c>
      <c r="D495" s="132" t="str">
        <f>VLOOKUP($A495,'Выгр Кат'!$A:$S,D$1,0)</f>
        <v>Y</v>
      </c>
      <c r="E495" s="132" t="str">
        <f>VLOOKUP($A495,'Выгр Кат'!$A:$S,E$1,0)</f>
        <v>1ск4</v>
      </c>
      <c r="F495" s="132" t="str">
        <f>VLOOKUP($A495,'Выгр Кат'!$A:$S,F$1,0)</f>
        <v>2110-8101202РП.</v>
      </c>
      <c r="G495" s="45" t="s">
        <v>411</v>
      </c>
      <c r="H495" s="29"/>
      <c r="I495" s="4" t="s">
        <v>2</v>
      </c>
      <c r="J495" s="95">
        <v>1</v>
      </c>
      <c r="K495" s="168">
        <f t="shared" si="250"/>
        <v>515</v>
      </c>
      <c r="L495" s="167">
        <f>VLOOKUP(K495,Наценка!$A$1:$B$8,2,1)</f>
        <v>1.3978494623655915</v>
      </c>
      <c r="M495" s="172">
        <f t="shared" si="251"/>
        <v>719.89247311827967</v>
      </c>
      <c r="N495" s="173">
        <f t="shared" si="243"/>
        <v>719</v>
      </c>
      <c r="O495" s="134">
        <f>VLOOKUP($A495,'Выгр Кат'!$A:$S,O$1,0)</f>
        <v>515</v>
      </c>
      <c r="P495" s="134">
        <f>VLOOKUP($A495,'Выгр Кат'!$A:$S,P$1,0)</f>
        <v>719</v>
      </c>
      <c r="Q495" s="107">
        <f t="shared" si="244"/>
        <v>0</v>
      </c>
      <c r="R495" s="107">
        <f t="shared" si="245"/>
        <v>0</v>
      </c>
      <c r="S495" s="110">
        <f t="shared" si="246"/>
        <v>668.67</v>
      </c>
      <c r="T495" s="135">
        <f t="shared" si="247"/>
        <v>0.29838834951456294</v>
      </c>
      <c r="U495" s="135" t="str">
        <f t="shared" si="248"/>
        <v/>
      </c>
      <c r="V495" s="135" t="str">
        <f t="shared" si="249"/>
        <v/>
      </c>
      <c r="W495" s="45"/>
      <c r="X495" s="114" t="str">
        <f>IFERROR((VLOOKUP($A495,'ИЗ ГУГЛА'!$B:$G,X$1,0)+Z495)*Y495,VLOOKUP($A495,'ИЗ ГУГЛА'!$B:$G,X$1,0))</f>
        <v/>
      </c>
      <c r="Y495" s="108">
        <v>1</v>
      </c>
      <c r="Z495" s="46"/>
      <c r="AA495" s="140" t="s">
        <v>1821</v>
      </c>
      <c r="AB495" s="129"/>
      <c r="AC495" s="114" t="str">
        <f>IFERROR((VLOOKUP($A495,'ИЗ ГУГЛА'!$B:$Z,AC$1,0)+AE495)*AD495,VLOOKUP($A495,'ИЗ ГУГЛА'!$B:$Z,AC$1,0))</f>
        <v/>
      </c>
      <c r="AD495" s="108">
        <v>1</v>
      </c>
      <c r="AE495" s="46"/>
      <c r="AF495" s="115"/>
    </row>
    <row r="496" spans="1:32" s="5" customFormat="1" ht="45.75" thickTop="1" x14ac:dyDescent="0.25">
      <c r="A496" s="132">
        <v>213161</v>
      </c>
      <c r="B496" s="132">
        <f>VLOOKUP($A496,'Выгр Кат'!$A:$S,B$1,0)</f>
        <v>36915</v>
      </c>
      <c r="C496" s="133" t="str">
        <f>VLOOKUP($A496,'Выгр Кат'!$A:$S,C$1,0)</f>
        <v>Сайлентблок подвески "БРТ" ВАЗ 21214 (нижний) Лада Нива 4x4, Шевроле Нива</v>
      </c>
      <c r="D496" s="132" t="str">
        <f>VLOOKUP($A496,'Выгр Кат'!$A:$S,D$1,0)</f>
        <v>Y</v>
      </c>
      <c r="E496" s="132" t="str">
        <f>VLOOKUP($A496,'Выгр Кат'!$A:$S,E$1,0)</f>
        <v>1</v>
      </c>
      <c r="F496" s="132" t="str">
        <f>VLOOKUP($A496,'Выгр Кат'!$A:$S,F$1,0)</f>
        <v>21214290404001Р</v>
      </c>
      <c r="G496" s="35" t="s">
        <v>1093</v>
      </c>
      <c r="H496" s="29"/>
      <c r="I496" s="4" t="s">
        <v>2</v>
      </c>
      <c r="J496" s="95">
        <v>1</v>
      </c>
      <c r="K496" s="168">
        <v>280</v>
      </c>
      <c r="L496" s="167">
        <f>VLOOKUP(K496,Наценка!$A$1:$B$8,2,1)</f>
        <v>1.7204301075268817</v>
      </c>
      <c r="M496" s="172">
        <f t="shared" si="251"/>
        <v>481.72043010752691</v>
      </c>
      <c r="N496" s="173">
        <f t="shared" si="243"/>
        <v>489</v>
      </c>
      <c r="O496" s="134">
        <f>VLOOKUP($A496,'Выгр Кат'!$A:$S,O$1,0)</f>
        <v>280</v>
      </c>
      <c r="P496" s="134">
        <f>VLOOKUP($A496,'Выгр Кат'!$A:$S,P$1,0)</f>
        <v>439</v>
      </c>
      <c r="Q496" s="107">
        <f t="shared" si="244"/>
        <v>0</v>
      </c>
      <c r="R496" s="107">
        <f t="shared" si="245"/>
        <v>-50</v>
      </c>
      <c r="S496" s="110">
        <f t="shared" si="246"/>
        <v>454.77</v>
      </c>
      <c r="T496" s="135">
        <f t="shared" si="247"/>
        <v>0.62417857142857147</v>
      </c>
      <c r="U496" s="135" t="str">
        <f t="shared" si="248"/>
        <v/>
      </c>
      <c r="V496" s="135" t="str">
        <f t="shared" si="249"/>
        <v/>
      </c>
      <c r="W496" s="45"/>
      <c r="X496" s="114" t="str">
        <f>IFERROR((VLOOKUP($A496,'ИЗ ГУГЛА'!$B:$G,X$1,0)+Z496)*Y496,VLOOKUP($A496,'ИЗ ГУГЛА'!$B:$G,X$1,0))</f>
        <v/>
      </c>
      <c r="Y496" s="108">
        <v>1</v>
      </c>
      <c r="Z496" s="46"/>
      <c r="AA496" s="139" t="s">
        <v>1821</v>
      </c>
      <c r="AB496" s="124"/>
      <c r="AC496" s="114" t="str">
        <f>IFERROR((VLOOKUP($A496,'ИЗ ГУГЛА'!$B:$Z,AC$1,0)+AE496)*AD496,VLOOKUP($A496,'ИЗ ГУГЛА'!$B:$Z,AC$1,0))</f>
        <v/>
      </c>
      <c r="AD496" s="108">
        <v>1</v>
      </c>
      <c r="AE496" s="46"/>
      <c r="AF496" s="115"/>
    </row>
    <row r="497" spans="1:32" s="5" customFormat="1" ht="30.75" thickBot="1" x14ac:dyDescent="0.3">
      <c r="A497" s="132">
        <v>223288</v>
      </c>
      <c r="B497" s="132">
        <f>VLOOKUP($A497,'Выгр Кат'!$A:$S,B$1,0)</f>
        <v>20496</v>
      </c>
      <c r="C497" s="133" t="str">
        <f>VLOOKUP($A497,'Выгр Кат'!$A:$S,C$1,0)</f>
        <v>Уплотнитель проёма задней двери "БРТ" для Шевроле Нива</v>
      </c>
      <c r="D497" s="132" t="str">
        <f>VLOOKUP($A497,'Выгр Кат'!$A:$S,D$1,0)</f>
        <v>Y</v>
      </c>
      <c r="E497" s="132" t="str">
        <f>VLOOKUP($A497,'Выгр Кат'!$A:$S,E$1,0)</f>
        <v>1</v>
      </c>
      <c r="F497" s="132" t="str">
        <f>VLOOKUP($A497,'Выгр Кат'!$A:$S,F$1,0)</f>
        <v>2123-6207018-01Р.</v>
      </c>
      <c r="G497" s="98" t="s">
        <v>512</v>
      </c>
      <c r="H497" s="29"/>
      <c r="I497" s="4" t="s">
        <v>2</v>
      </c>
      <c r="J497" s="95">
        <v>1</v>
      </c>
      <c r="K497" s="168">
        <f t="shared" si="250"/>
        <v>520</v>
      </c>
      <c r="L497" s="167">
        <f>VLOOKUP(K497,Наценка!$A$1:$B$8,2,1)</f>
        <v>1.3978494623655915</v>
      </c>
      <c r="M497" s="148">
        <f t="shared" ref="M497:M498" si="264">W497*1.06</f>
        <v>951.35</v>
      </c>
      <c r="N497" s="173">
        <f t="shared" si="243"/>
        <v>959</v>
      </c>
      <c r="O497" s="134">
        <f>VLOOKUP($A497,'Выгр Кат'!$A:$S,O$1,0)</f>
        <v>520</v>
      </c>
      <c r="P497" s="134">
        <f>VLOOKUP($A497,'Выгр Кат'!$A:$S,P$1,0)</f>
        <v>939</v>
      </c>
      <c r="Q497" s="107">
        <f t="shared" si="244"/>
        <v>0</v>
      </c>
      <c r="R497" s="107">
        <f t="shared" si="245"/>
        <v>-20</v>
      </c>
      <c r="S497" s="110">
        <f t="shared" si="246"/>
        <v>891.86999999999989</v>
      </c>
      <c r="T497" s="135">
        <f t="shared" si="247"/>
        <v>0.7151346153846152</v>
      </c>
      <c r="U497" s="135">
        <f t="shared" si="248"/>
        <v>6.2729805013928795E-3</v>
      </c>
      <c r="V497" s="135">
        <f t="shared" si="249"/>
        <v>0.72596153846153855</v>
      </c>
      <c r="W497" s="117">
        <f t="shared" ref="W497:W500" si="265">AA497</f>
        <v>897.5</v>
      </c>
      <c r="X497" s="114">
        <f>IFERROR((VLOOKUP($A497,'ИЗ ГУГЛА'!$B:$G,X$1,0)+Z497)*Y497,VLOOKUP($A497,'ИЗ ГУГЛА'!$B:$G,X$1,0))</f>
        <v>897.5</v>
      </c>
      <c r="Y497" s="108">
        <v>0.25</v>
      </c>
      <c r="Z497" s="46"/>
      <c r="AA497" s="138">
        <v>897.5</v>
      </c>
      <c r="AB497" s="124" t="s">
        <v>2560</v>
      </c>
      <c r="AC497" s="114" t="str">
        <f>IFERROR((VLOOKUP($A497,'ИЗ ГУГЛА'!$B:$Z,AC$1,0)+AE497)*AD497,VLOOKUP($A497,'ИЗ ГУГЛА'!$B:$Z,AC$1,0))</f>
        <v/>
      </c>
      <c r="AD497" s="108">
        <v>0.25</v>
      </c>
      <c r="AE497" s="46"/>
      <c r="AF497" s="115"/>
    </row>
    <row r="498" spans="1:32" s="5" customFormat="1" ht="31.5" thickTop="1" thickBot="1" x14ac:dyDescent="0.3">
      <c r="A498" s="132">
        <v>223290</v>
      </c>
      <c r="B498" s="132">
        <f>VLOOKUP($A498,'Выгр Кат'!$A:$S,B$1,0)</f>
        <v>20494</v>
      </c>
      <c r="C498" s="133" t="str">
        <f>VLOOKUP($A498,'Выгр Кат'!$A:$S,C$1,0)</f>
        <v>Уплотнитель проёма передней двери "БРТ" для Шевроле Нива</v>
      </c>
      <c r="D498" s="132" t="str">
        <f>VLOOKUP($A498,'Выгр Кат'!$A:$S,D$1,0)</f>
        <v>Y</v>
      </c>
      <c r="E498" s="132" t="str">
        <f>VLOOKUP($A498,'Выгр Кат'!$A:$S,E$1,0)</f>
        <v>1</v>
      </c>
      <c r="F498" s="132" t="str">
        <f>VLOOKUP($A498,'Выгр Кат'!$A:$S,F$1,0)</f>
        <v>2123-6107018-01Р</v>
      </c>
      <c r="G498" s="45" t="s">
        <v>512</v>
      </c>
      <c r="H498" s="29"/>
      <c r="I498" s="4" t="s">
        <v>2</v>
      </c>
      <c r="J498" s="95">
        <v>1</v>
      </c>
      <c r="K498" s="168">
        <f t="shared" si="250"/>
        <v>520</v>
      </c>
      <c r="L498" s="167">
        <f>VLOOKUP(K498,Наценка!$A$1:$B$8,2,1)</f>
        <v>1.3978494623655915</v>
      </c>
      <c r="M498" s="148">
        <f t="shared" si="264"/>
        <v>789.7</v>
      </c>
      <c r="N498" s="173">
        <f t="shared" si="243"/>
        <v>789</v>
      </c>
      <c r="O498" s="134">
        <f>VLOOKUP($A498,'Выгр Кат'!$A:$S,O$1,0)</f>
        <v>520</v>
      </c>
      <c r="P498" s="134">
        <f>VLOOKUP($A498,'Выгр Кат'!$A:$S,P$1,0)</f>
        <v>779</v>
      </c>
      <c r="Q498" s="107">
        <f t="shared" si="244"/>
        <v>0</v>
      </c>
      <c r="R498" s="107">
        <f t="shared" si="245"/>
        <v>-10</v>
      </c>
      <c r="S498" s="110">
        <f t="shared" si="246"/>
        <v>733.77</v>
      </c>
      <c r="T498" s="135">
        <f t="shared" si="247"/>
        <v>0.41109615384615372</v>
      </c>
      <c r="U498" s="135">
        <f t="shared" si="248"/>
        <v>1.5073825503355729E-2</v>
      </c>
      <c r="V498" s="135">
        <f t="shared" si="249"/>
        <v>0.43269230769230771</v>
      </c>
      <c r="W498" s="117">
        <f t="shared" si="265"/>
        <v>745</v>
      </c>
      <c r="X498" s="114">
        <f>IFERROR((VLOOKUP($A498,'ИЗ ГУГЛА'!$B:$G,X$1,0)+Z498)*Y498,VLOOKUP($A498,'ИЗ ГУГЛА'!$B:$G,X$1,0))</f>
        <v>745</v>
      </c>
      <c r="Y498" s="108">
        <v>0.5</v>
      </c>
      <c r="Z498" s="46"/>
      <c r="AA498" s="138">
        <v>745</v>
      </c>
      <c r="AB498" s="124" t="s">
        <v>2559</v>
      </c>
      <c r="AC498" s="114" t="str">
        <f>IFERROR((VLOOKUP($A498,'ИЗ ГУГЛА'!$B:$Z,AC$1,0)+AE498)*AD498,VLOOKUP($A498,'ИЗ ГУГЛА'!$B:$Z,AC$1,0))</f>
        <v/>
      </c>
      <c r="AD498" s="108">
        <v>0.5</v>
      </c>
      <c r="AE498" s="46"/>
      <c r="AF498" s="115"/>
    </row>
    <row r="499" spans="1:32" s="5" customFormat="1" ht="31.5" thickTop="1" thickBot="1" x14ac:dyDescent="0.3">
      <c r="A499" s="132">
        <v>160714</v>
      </c>
      <c r="B499" s="132">
        <f>VLOOKUP($A499,'Выгр Кат'!$A:$S,B$1,0)</f>
        <v>19805</v>
      </c>
      <c r="C499" s="133" t="str">
        <f>VLOOKUP($A499,'Выгр Кат'!$A:$S,C$1,0)</f>
        <v>Кронштейн левой опоры подвески "БРТ" для ВАЗ 2108-21099, 2113-2115</v>
      </c>
      <c r="D499" s="132" t="str">
        <f>VLOOKUP($A499,'Выгр Кат'!$A:$S,D$1,0)</f>
        <v>Y</v>
      </c>
      <c r="E499" s="132" t="str">
        <f>VLOOKUP($A499,'Выгр Кат'!$A:$S,E$1,0)</f>
        <v>1</v>
      </c>
      <c r="F499" s="132" t="str">
        <f>VLOOKUP($A499,'Выгр Кат'!$A:$S,F$1,0)</f>
        <v>21080100104000</v>
      </c>
      <c r="G499" s="45" t="s">
        <v>313</v>
      </c>
      <c r="H499" s="29"/>
      <c r="I499" s="4" t="s">
        <v>2</v>
      </c>
      <c r="J499" s="95">
        <v>1</v>
      </c>
      <c r="K499" s="168">
        <f t="shared" si="250"/>
        <v>718</v>
      </c>
      <c r="L499" s="167">
        <f>VLOOKUP(K499,Наценка!$A$1:$B$8,2,1)</f>
        <v>1.3978494623655915</v>
      </c>
      <c r="M499" s="172">
        <f t="shared" si="251"/>
        <v>1003.6559139784947</v>
      </c>
      <c r="N499" s="173">
        <f t="shared" si="243"/>
        <v>1090</v>
      </c>
      <c r="O499" s="134">
        <f>VLOOKUP($A499,'Выгр Кат'!$A:$S,O$1,0)</f>
        <v>718</v>
      </c>
      <c r="P499" s="134">
        <f>VLOOKUP($A499,'Выгр Кат'!$A:$S,P$1,0)</f>
        <v>1090</v>
      </c>
      <c r="Q499" s="107">
        <f t="shared" si="244"/>
        <v>0</v>
      </c>
      <c r="R499" s="107">
        <f t="shared" si="245"/>
        <v>0</v>
      </c>
      <c r="S499" s="110">
        <f t="shared" si="246"/>
        <v>1013.6999999999999</v>
      </c>
      <c r="T499" s="135">
        <f t="shared" si="247"/>
        <v>0.41183844011142057</v>
      </c>
      <c r="U499" s="135">
        <f t="shared" si="248"/>
        <v>-0.56194144838212623</v>
      </c>
      <c r="V499" s="135">
        <f t="shared" si="249"/>
        <v>-9.6100278551532026E-2</v>
      </c>
      <c r="W499" s="117">
        <f t="shared" si="265"/>
        <v>649</v>
      </c>
      <c r="X499" s="114">
        <f>IFERROR((VLOOKUP($A499,'ИЗ ГУГЛА'!$B:$G,X$1,0)+Z499)*Y499,VLOOKUP($A499,'ИЗ ГУГЛА'!$B:$G,X$1,0))</f>
        <v>649</v>
      </c>
      <c r="Y499" s="108">
        <v>1</v>
      </c>
      <c r="Z499" s="46"/>
      <c r="AA499" s="136">
        <v>649</v>
      </c>
      <c r="AB499" s="124" t="s">
        <v>2558</v>
      </c>
      <c r="AC499" s="114" t="str">
        <f>IFERROR((VLOOKUP($A499,'ИЗ ГУГЛА'!$B:$Z,AC$1,0)+AE499)*AD499,VLOOKUP($A499,'ИЗ ГУГЛА'!$B:$Z,AC$1,0))</f>
        <v/>
      </c>
      <c r="AD499" s="108">
        <v>1</v>
      </c>
      <c r="AE499" s="46"/>
      <c r="AF499" s="115"/>
    </row>
    <row r="500" spans="1:32" s="5" customFormat="1" ht="31.5" thickTop="1" thickBot="1" x14ac:dyDescent="0.3">
      <c r="A500" s="132">
        <v>194599</v>
      </c>
      <c r="B500" s="132">
        <f>VLOOKUP($A500,'Выгр Кат'!$A:$S,B$1,0)</f>
        <v>35470</v>
      </c>
      <c r="C500" s="133" t="str">
        <f>VLOOKUP($A500,'Выгр Кат'!$A:$S,C$1,0)</f>
        <v>Подушка двигателя "БРТ" задняя в сборе для Лада Калина, Гранта</v>
      </c>
      <c r="D500" s="132" t="str">
        <f>VLOOKUP($A500,'Выгр Кат'!$A:$S,D$1,0)</f>
        <v>Y</v>
      </c>
      <c r="E500" s="132" t="str">
        <f>VLOOKUP($A500,'Выгр Кат'!$A:$S,E$1,0)</f>
        <v>1</v>
      </c>
      <c r="F500" s="132" t="str">
        <f>VLOOKUP($A500,'Выгр Кат'!$A:$S,F$1,0)</f>
        <v>1118-1001033-10РУ</v>
      </c>
      <c r="G500" s="44" t="s">
        <v>211</v>
      </c>
      <c r="H500" s="29"/>
      <c r="I500" s="4" t="s">
        <v>2</v>
      </c>
      <c r="J500" s="95">
        <v>1</v>
      </c>
      <c r="K500" s="168">
        <f t="shared" si="250"/>
        <v>517</v>
      </c>
      <c r="L500" s="167">
        <f>VLOOKUP(K500,Наценка!$A$1:$B$8,2,1)</f>
        <v>1.3978494623655915</v>
      </c>
      <c r="M500" s="172">
        <f t="shared" si="251"/>
        <v>722.68817204301081</v>
      </c>
      <c r="N500" s="173">
        <f t="shared" si="243"/>
        <v>729</v>
      </c>
      <c r="O500" s="134">
        <f>VLOOKUP($A500,'Выгр Кат'!$A:$S,O$1,0)</f>
        <v>517</v>
      </c>
      <c r="P500" s="134">
        <f>VLOOKUP($A500,'Выгр Кат'!$A:$S,P$1,0)</f>
        <v>729</v>
      </c>
      <c r="Q500" s="107">
        <f t="shared" si="244"/>
        <v>0</v>
      </c>
      <c r="R500" s="107">
        <f t="shared" si="245"/>
        <v>0</v>
      </c>
      <c r="S500" s="110">
        <f t="shared" si="246"/>
        <v>677.96999999999991</v>
      </c>
      <c r="T500" s="135">
        <f t="shared" si="247"/>
        <v>0.31135396518375225</v>
      </c>
      <c r="U500" s="135">
        <f t="shared" si="248"/>
        <v>-0.1491016949152541</v>
      </c>
      <c r="V500" s="135">
        <f t="shared" si="249"/>
        <v>0.14119922630560922</v>
      </c>
      <c r="W500" s="117">
        <f t="shared" si="265"/>
        <v>590</v>
      </c>
      <c r="X500" s="114">
        <f>IFERROR((VLOOKUP($A500,'ИЗ ГУГЛА'!$B:$G,X$1,0)+Z500)*Y500,VLOOKUP($A500,'ИЗ ГУГЛА'!$B:$G,X$1,0))</f>
        <v>590</v>
      </c>
      <c r="Y500" s="46">
        <v>1</v>
      </c>
      <c r="Z500" s="46"/>
      <c r="AA500" s="138">
        <v>590</v>
      </c>
      <c r="AB500" s="124" t="s">
        <v>2497</v>
      </c>
      <c r="AC500" s="114" t="str">
        <f>IFERROR((VLOOKUP($A500,'ИЗ ГУГЛА'!$B:$Z,AC$1,0)+AE500)*AD500,VLOOKUP($A500,'ИЗ ГУГЛА'!$B:$Z,AC$1,0))</f>
        <v/>
      </c>
      <c r="AD500" s="46">
        <v>1</v>
      </c>
      <c r="AE500" s="46"/>
      <c r="AF500" s="115"/>
    </row>
    <row r="501" spans="1:32" s="5" customFormat="1" ht="45.75" thickTop="1" x14ac:dyDescent="0.25">
      <c r="A501" s="132">
        <v>181602</v>
      </c>
      <c r="B501" s="132">
        <f>VLOOKUP($A501,'Выгр Кат'!$A:$S,B$1,0)</f>
        <v>35424</v>
      </c>
      <c r="C501" s="133" t="str">
        <f>VLOOKUP($A501,'Выгр Кат'!$A:$S,C$1,0)</f>
        <v>Опора двигателя "БРТ" правая (нового образца) для ВАЗ 2110-2112, Лада Приора</v>
      </c>
      <c r="D501" s="132" t="str">
        <f>VLOOKUP($A501,'Выгр Кат'!$A:$S,D$1,0)</f>
        <v>Y</v>
      </c>
      <c r="E501" s="132" t="str">
        <f>VLOOKUP($A501,'Выгр Кат'!$A:$S,E$1,0)</f>
        <v>0</v>
      </c>
      <c r="F501" s="132" t="str">
        <f>VLOOKUP($A501,'Выгр Кат'!$A:$S,F$1,0)</f>
        <v>2110-1001240-02прав</v>
      </c>
      <c r="G501" s="44" t="s">
        <v>946</v>
      </c>
      <c r="H501" s="29"/>
      <c r="I501" s="4" t="s">
        <v>2</v>
      </c>
      <c r="J501" s="95">
        <v>1</v>
      </c>
      <c r="K501" s="168">
        <f t="shared" si="250"/>
        <v>468</v>
      </c>
      <c r="L501" s="167">
        <f>VLOOKUP(K501,Наценка!$A$1:$B$8,2,1)</f>
        <v>1.5053763440860215</v>
      </c>
      <c r="M501" s="172">
        <f t="shared" si="251"/>
        <v>704.51612903225805</v>
      </c>
      <c r="N501" s="173">
        <f t="shared" si="243"/>
        <v>709</v>
      </c>
      <c r="O501" s="134">
        <f>VLOOKUP($A501,'Выгр Кат'!$A:$S,O$1,0)</f>
        <v>468</v>
      </c>
      <c r="P501" s="134">
        <f>VLOOKUP($A501,'Выгр Кат'!$A:$S,P$1,0)</f>
        <v>709</v>
      </c>
      <c r="Q501" s="107">
        <f t="shared" si="244"/>
        <v>0</v>
      </c>
      <c r="R501" s="107">
        <f t="shared" si="245"/>
        <v>0</v>
      </c>
      <c r="S501" s="110">
        <f t="shared" si="246"/>
        <v>659.37</v>
      </c>
      <c r="T501" s="135">
        <f t="shared" si="247"/>
        <v>0.40891025641025647</v>
      </c>
      <c r="U501" s="135" t="str">
        <f t="shared" si="248"/>
        <v/>
      </c>
      <c r="V501" s="135" t="str">
        <f t="shared" si="249"/>
        <v/>
      </c>
      <c r="W501" s="45"/>
      <c r="X501" s="114" t="str">
        <f>IFERROR((VLOOKUP($A501,'ИЗ ГУГЛА'!$B:$G,X$1,0)+Z501)*Y501,VLOOKUP($A501,'ИЗ ГУГЛА'!$B:$G,X$1,0))</f>
        <v/>
      </c>
      <c r="Y501" s="108">
        <v>1</v>
      </c>
      <c r="Z501" s="46"/>
      <c r="AA501" s="139"/>
      <c r="AB501" s="124"/>
      <c r="AC501" s="114" t="str">
        <f>IFERROR((VLOOKUP($A501,'ИЗ ГУГЛА'!$B:$Z,AC$1,0)+AE501)*AD501,VLOOKUP($A501,'ИЗ ГУГЛА'!$B:$Z,AC$1,0))</f>
        <v/>
      </c>
      <c r="AD501" s="108">
        <v>1</v>
      </c>
      <c r="AE501" s="46"/>
      <c r="AF501" s="115"/>
    </row>
    <row r="502" spans="1:32" s="5" customFormat="1" ht="45" x14ac:dyDescent="0.25">
      <c r="A502" s="132">
        <v>181600</v>
      </c>
      <c r="B502" s="132">
        <f>VLOOKUP($A502,'Выгр Кат'!$A:$S,B$1,0)</f>
        <v>35422</v>
      </c>
      <c r="C502" s="133" t="str">
        <f>VLOOKUP($A502,'Выгр Кат'!$A:$S,C$1,0)</f>
        <v>Опора двигателя "БРТ" левая (нового образца) для ВАЗ 2110-2112, Лада Приора</v>
      </c>
      <c r="D502" s="132" t="str">
        <f>VLOOKUP($A502,'Выгр Кат'!$A:$S,D$1,0)</f>
        <v>Y</v>
      </c>
      <c r="E502" s="132" t="str">
        <f>VLOOKUP($A502,'Выгр Кат'!$A:$S,E$1,0)</f>
        <v>0</v>
      </c>
      <c r="F502" s="132" t="str">
        <f>VLOOKUP($A502,'Выгр Кат'!$A:$S,F$1,0)</f>
        <v>2110-1001240-02лев</v>
      </c>
      <c r="G502" s="44" t="s">
        <v>944</v>
      </c>
      <c r="H502" s="29"/>
      <c r="I502" s="4" t="s">
        <v>2</v>
      </c>
      <c r="J502" s="95">
        <v>1</v>
      </c>
      <c r="K502" s="168">
        <f t="shared" si="250"/>
        <v>468</v>
      </c>
      <c r="L502" s="167">
        <f>VLOOKUP(K502,Наценка!$A$1:$B$8,2,1)</f>
        <v>1.5053763440860215</v>
      </c>
      <c r="M502" s="172">
        <f t="shared" si="251"/>
        <v>704.51612903225805</v>
      </c>
      <c r="N502" s="173">
        <f t="shared" si="243"/>
        <v>709</v>
      </c>
      <c r="O502" s="134">
        <f>VLOOKUP($A502,'Выгр Кат'!$A:$S,O$1,0)</f>
        <v>468</v>
      </c>
      <c r="P502" s="134">
        <f>VLOOKUP($A502,'Выгр Кат'!$A:$S,P$1,0)</f>
        <v>709</v>
      </c>
      <c r="Q502" s="107">
        <f t="shared" si="244"/>
        <v>0</v>
      </c>
      <c r="R502" s="107">
        <f t="shared" si="245"/>
        <v>0</v>
      </c>
      <c r="S502" s="110">
        <f t="shared" si="246"/>
        <v>659.37</v>
      </c>
      <c r="T502" s="135">
        <f t="shared" si="247"/>
        <v>0.40891025641025647</v>
      </c>
      <c r="U502" s="135" t="str">
        <f t="shared" si="248"/>
        <v/>
      </c>
      <c r="V502" s="135" t="str">
        <f t="shared" si="249"/>
        <v/>
      </c>
      <c r="W502" s="45"/>
      <c r="X502" s="114" t="str">
        <f>IFERROR((VLOOKUP($A502,'ИЗ ГУГЛА'!$B:$G,X$1,0)+Z502)*Y502,VLOOKUP($A502,'ИЗ ГУГЛА'!$B:$G,X$1,0))</f>
        <v/>
      </c>
      <c r="Y502" s="108">
        <v>1</v>
      </c>
      <c r="Z502" s="46"/>
      <c r="AA502" s="139"/>
      <c r="AB502" s="124"/>
      <c r="AC502" s="114" t="str">
        <f>IFERROR((VLOOKUP($A502,'ИЗ ГУГЛА'!$B:$Z,AC$1,0)+AE502)*AD502,VLOOKUP($A502,'ИЗ ГУГЛА'!$B:$Z,AC$1,0))</f>
        <v/>
      </c>
      <c r="AD502" s="108">
        <v>1</v>
      </c>
      <c r="AE502" s="46"/>
      <c r="AF502" s="115"/>
    </row>
    <row r="503" spans="1:32" s="5" customFormat="1" ht="30.75" thickBot="1" x14ac:dyDescent="0.3">
      <c r="A503" s="132">
        <v>223162</v>
      </c>
      <c r="B503" s="132">
        <f>VLOOKUP($A503,'Выгр Кат'!$A:$S,B$1,0)</f>
        <v>5955</v>
      </c>
      <c r="C503" s="133" t="str">
        <f>VLOOKUP($A503,'Выгр Кат'!$A:$S,C$1,0)</f>
        <v>Уплотнители (бархотки) "БРТ" порогов для ВАЗ 2113</v>
      </c>
      <c r="D503" s="132" t="str">
        <f>VLOOKUP($A503,'Выгр Кат'!$A:$S,D$1,0)</f>
        <v>Y</v>
      </c>
      <c r="E503" s="132" t="str">
        <f>VLOOKUP($A503,'Выгр Кат'!$A:$S,E$1,0)</f>
        <v>1</v>
      </c>
      <c r="F503" s="132">
        <f>VLOOKUP($A503,'Выгр Кат'!$A:$S,F$1,0)</f>
        <v>0</v>
      </c>
      <c r="G503" s="100" t="s">
        <v>1052</v>
      </c>
      <c r="H503" s="29"/>
      <c r="I503" s="4" t="s">
        <v>2</v>
      </c>
      <c r="J503" s="95">
        <v>1</v>
      </c>
      <c r="K503" s="168">
        <f t="shared" si="250"/>
        <v>521</v>
      </c>
      <c r="L503" s="167">
        <f>VLOOKUP(K503,Наценка!$A$1:$B$8,2,1)</f>
        <v>1.3978494623655915</v>
      </c>
      <c r="M503" s="148">
        <f t="shared" ref="M503:M508" si="266">W503*1.06</f>
        <v>943.40000000000009</v>
      </c>
      <c r="N503" s="173">
        <f t="shared" si="243"/>
        <v>949</v>
      </c>
      <c r="O503" s="134">
        <f>VLOOKUP($A503,'Выгр Кат'!$A:$S,O$1,0)</f>
        <v>521</v>
      </c>
      <c r="P503" s="134">
        <f>VLOOKUP($A503,'Выгр Кат'!$A:$S,P$1,0)</f>
        <v>929</v>
      </c>
      <c r="Q503" s="107">
        <f t="shared" si="244"/>
        <v>0</v>
      </c>
      <c r="R503" s="107">
        <f t="shared" si="245"/>
        <v>-20</v>
      </c>
      <c r="S503" s="110">
        <f t="shared" si="246"/>
        <v>882.56999999999994</v>
      </c>
      <c r="T503" s="135">
        <f t="shared" si="247"/>
        <v>0.69399232245681364</v>
      </c>
      <c r="U503" s="135">
        <f t="shared" si="248"/>
        <v>8.3483146067416438E-3</v>
      </c>
      <c r="V503" s="135">
        <f t="shared" si="249"/>
        <v>0.70825335892514385</v>
      </c>
      <c r="W503" s="117">
        <f t="shared" ref="W503:W514" si="267">AA503</f>
        <v>890</v>
      </c>
      <c r="X503" s="114">
        <f>IFERROR((VLOOKUP($A503,'ИЗ ГУГЛА'!$B:$G,X$1,0)+Z503)*Y503,VLOOKUP($A503,'ИЗ ГУГЛА'!$B:$G,X$1,0))</f>
        <v>890</v>
      </c>
      <c r="Y503" s="46">
        <v>1</v>
      </c>
      <c r="Z503" s="46"/>
      <c r="AA503" s="138">
        <v>890</v>
      </c>
      <c r="AB503" s="124" t="s">
        <v>2316</v>
      </c>
      <c r="AC503" s="114" t="str">
        <f>IFERROR((VLOOKUP($A503,'ИЗ ГУГЛА'!$B:$Z,AC$1,0)+AE503)*AD503,VLOOKUP($A503,'ИЗ ГУГЛА'!$B:$Z,AC$1,0))</f>
        <v/>
      </c>
      <c r="AD503" s="46">
        <v>1</v>
      </c>
      <c r="AE503" s="46"/>
      <c r="AF503" s="115"/>
    </row>
    <row r="504" spans="1:32" s="5" customFormat="1" ht="31.5" thickTop="1" thickBot="1" x14ac:dyDescent="0.3">
      <c r="A504" s="132">
        <v>223151</v>
      </c>
      <c r="B504" s="132">
        <f>VLOOKUP($A504,'Выгр Кат'!$A:$S,B$1,0)</f>
        <v>5582</v>
      </c>
      <c r="C504" s="133" t="str">
        <f>VLOOKUP($A504,'Выгр Кат'!$A:$S,C$1,0)</f>
        <v>Уплотнители "БРТ" порогов резиновые для ВАЗ 2108</v>
      </c>
      <c r="D504" s="132" t="str">
        <f>VLOOKUP($A504,'Выгр Кат'!$A:$S,D$1,0)</f>
        <v>Y</v>
      </c>
      <c r="E504" s="132" t="str">
        <f>VLOOKUP($A504,'Выгр Кат'!$A:$S,E$1,0)</f>
        <v>1</v>
      </c>
      <c r="F504" s="132">
        <f>VLOOKUP($A504,'Выгр Кат'!$A:$S,F$1,0)</f>
        <v>0</v>
      </c>
      <c r="G504" s="100" t="s">
        <v>1052</v>
      </c>
      <c r="H504" s="29"/>
      <c r="I504" s="4" t="s">
        <v>2</v>
      </c>
      <c r="J504" s="95">
        <v>1</v>
      </c>
      <c r="K504" s="168">
        <f t="shared" si="250"/>
        <v>521</v>
      </c>
      <c r="L504" s="167">
        <f>VLOOKUP(K504,Наценка!$A$1:$B$8,2,1)</f>
        <v>1.3978494623655915</v>
      </c>
      <c r="M504" s="148">
        <f t="shared" si="266"/>
        <v>943.40000000000009</v>
      </c>
      <c r="N504" s="173">
        <f t="shared" si="243"/>
        <v>949</v>
      </c>
      <c r="O504" s="134">
        <f>VLOOKUP($A504,'Выгр Кат'!$A:$S,O$1,0)</f>
        <v>521</v>
      </c>
      <c r="P504" s="134">
        <f>VLOOKUP($A504,'Выгр Кат'!$A:$S,P$1,0)</f>
        <v>929</v>
      </c>
      <c r="Q504" s="107">
        <f t="shared" si="244"/>
        <v>0</v>
      </c>
      <c r="R504" s="107">
        <f t="shared" si="245"/>
        <v>-20</v>
      </c>
      <c r="S504" s="110">
        <f t="shared" si="246"/>
        <v>882.56999999999994</v>
      </c>
      <c r="T504" s="135">
        <f t="shared" si="247"/>
        <v>0.69399232245681364</v>
      </c>
      <c r="U504" s="135">
        <f t="shared" si="248"/>
        <v>8.3483146067416438E-3</v>
      </c>
      <c r="V504" s="135">
        <f t="shared" si="249"/>
        <v>0.70825335892514385</v>
      </c>
      <c r="W504" s="117">
        <f t="shared" si="267"/>
        <v>890</v>
      </c>
      <c r="X504" s="114">
        <f>IFERROR((VLOOKUP($A504,'ИЗ ГУГЛА'!$B:$G,X$1,0)+Z504)*Y504,VLOOKUP($A504,'ИЗ ГУГЛА'!$B:$G,X$1,0))</f>
        <v>890</v>
      </c>
      <c r="Y504" s="46">
        <v>1</v>
      </c>
      <c r="Z504" s="46"/>
      <c r="AA504" s="138">
        <v>890</v>
      </c>
      <c r="AB504" s="124" t="s">
        <v>2316</v>
      </c>
      <c r="AC504" s="114" t="str">
        <f>IFERROR((VLOOKUP($A504,'ИЗ ГУГЛА'!$B:$Z,AC$1,0)+AE504)*AD504,VLOOKUP($A504,'ИЗ ГУГЛА'!$B:$Z,AC$1,0))</f>
        <v/>
      </c>
      <c r="AD504" s="46">
        <v>1</v>
      </c>
      <c r="AE504" s="46"/>
      <c r="AF504" s="115"/>
    </row>
    <row r="505" spans="1:32" s="5" customFormat="1" ht="31.5" thickTop="1" thickBot="1" x14ac:dyDescent="0.3">
      <c r="A505" s="132">
        <v>223286</v>
      </c>
      <c r="B505" s="132">
        <f>VLOOKUP($A505,'Выгр Кат'!$A:$S,B$1,0)</f>
        <v>20497</v>
      </c>
      <c r="C505" s="133" t="str">
        <f>VLOOKUP($A505,'Выгр Кат'!$A:$S,C$1,0)</f>
        <v>Уплотнитель проёма двери задка "БРТ" для Шевроле Нива</v>
      </c>
      <c r="D505" s="132" t="str">
        <f>VLOOKUP($A505,'Выгр Кат'!$A:$S,D$1,0)</f>
        <v>Y</v>
      </c>
      <c r="E505" s="132" t="str">
        <f>VLOOKUP($A505,'Выгр Кат'!$A:$S,E$1,0)</f>
        <v>1</v>
      </c>
      <c r="F505" s="132" t="str">
        <f>VLOOKUP($A505,'Выгр Кат'!$A:$S,F$1,0)</f>
        <v>2123-6307024-02Р.</v>
      </c>
      <c r="G505" s="45" t="s">
        <v>513</v>
      </c>
      <c r="H505" s="29"/>
      <c r="I505" s="4" t="s">
        <v>2</v>
      </c>
      <c r="J505" s="95">
        <v>1</v>
      </c>
      <c r="K505" s="168">
        <f t="shared" si="250"/>
        <v>536</v>
      </c>
      <c r="L505" s="167">
        <f>VLOOKUP(K505,Наценка!$A$1:$B$8,2,1)</f>
        <v>1.3978494623655915</v>
      </c>
      <c r="M505" s="145">
        <f>W505*1</f>
        <v>990</v>
      </c>
      <c r="N505" s="173">
        <f t="shared" si="243"/>
        <v>989</v>
      </c>
      <c r="O505" s="134">
        <f>VLOOKUP($A505,'Выгр Кат'!$A:$S,O$1,0)</f>
        <v>536</v>
      </c>
      <c r="P505" s="134">
        <f>VLOOKUP($A505,'Выгр Кат'!$A:$S,P$1,0)</f>
        <v>989</v>
      </c>
      <c r="Q505" s="107">
        <f t="shared" si="244"/>
        <v>0</v>
      </c>
      <c r="R505" s="107">
        <f t="shared" si="245"/>
        <v>0</v>
      </c>
      <c r="S505" s="110">
        <f t="shared" si="246"/>
        <v>919.77</v>
      </c>
      <c r="T505" s="135">
        <f t="shared" si="247"/>
        <v>0.71598880597014913</v>
      </c>
      <c r="U505" s="135">
        <f t="shared" si="248"/>
        <v>7.0939393939393955E-2</v>
      </c>
      <c r="V505" s="135">
        <f t="shared" si="249"/>
        <v>0.84701492537313428</v>
      </c>
      <c r="W505" s="117">
        <f t="shared" si="267"/>
        <v>990</v>
      </c>
      <c r="X505" s="114">
        <f>IFERROR((VLOOKUP($A505,'ИЗ ГУГЛА'!$B:$G,X$1,0)+Z505)*Y505,VLOOKUP($A505,'ИЗ ГУГЛА'!$B:$G,X$1,0))</f>
        <v>990</v>
      </c>
      <c r="Y505" s="46">
        <v>1</v>
      </c>
      <c r="Z505" s="46"/>
      <c r="AA505" s="138">
        <v>990</v>
      </c>
      <c r="AB505" s="124" t="s">
        <v>2329</v>
      </c>
      <c r="AC505" s="114" t="str">
        <f>IFERROR((VLOOKUP($A505,'ИЗ ГУГЛА'!$B:$Z,AC$1,0)+AE505)*AD505,VLOOKUP($A505,'ИЗ ГУГЛА'!$B:$Z,AC$1,0))</f>
        <v/>
      </c>
      <c r="AD505" s="46">
        <v>1</v>
      </c>
      <c r="AE505" s="46"/>
      <c r="AF505" s="115"/>
    </row>
    <row r="506" spans="1:32" s="5" customFormat="1" ht="76.5" thickTop="1" thickBot="1" x14ac:dyDescent="0.3">
      <c r="A506" s="132">
        <v>186834</v>
      </c>
      <c r="B506" s="132">
        <f>VLOOKUP($A506,'Выгр Кат'!$A:$S,B$1,0)</f>
        <v>20379</v>
      </c>
      <c r="C506" s="133" t="str">
        <f>VLOOKUP($A506,'Выгр Кат'!$A:$S,C$1,0)</f>
        <v>Патрубок соединительный "БРТ" наливной горловины топливного бака для ВАЗ (2108-21099, 2110-2112, 2113-2115), Лада (Калина, Калина 2, Приора, Гранта)</v>
      </c>
      <c r="D506" s="132" t="str">
        <f>VLOOKUP($A506,'Выгр Кат'!$A:$S,D$1,0)</f>
        <v>Y</v>
      </c>
      <c r="E506" s="132" t="str">
        <f>VLOOKUP($A506,'Выгр Кат'!$A:$S,E$1,0)</f>
        <v>1</v>
      </c>
      <c r="F506" s="132" t="str">
        <f>VLOOKUP($A506,'Выгр Кат'!$A:$S,F$1,0)</f>
        <v>21120110108001</v>
      </c>
      <c r="G506" s="45" t="s">
        <v>424</v>
      </c>
      <c r="H506" s="29"/>
      <c r="I506" s="4" t="s">
        <v>2</v>
      </c>
      <c r="J506" s="95">
        <v>1</v>
      </c>
      <c r="K506" s="168">
        <f t="shared" si="250"/>
        <v>536</v>
      </c>
      <c r="L506" s="167">
        <f>VLOOKUP(K506,Наценка!$A$1:$B$8,2,1)</f>
        <v>1.3978494623655915</v>
      </c>
      <c r="M506" s="148">
        <f t="shared" si="266"/>
        <v>943.40000000000009</v>
      </c>
      <c r="N506" s="173">
        <f t="shared" si="243"/>
        <v>949</v>
      </c>
      <c r="O506" s="134">
        <f>VLOOKUP($A506,'Выгр Кат'!$A:$S,O$1,0)</f>
        <v>536</v>
      </c>
      <c r="P506" s="134">
        <f>VLOOKUP($A506,'Выгр Кат'!$A:$S,P$1,0)</f>
        <v>929</v>
      </c>
      <c r="Q506" s="107">
        <f t="shared" si="244"/>
        <v>0</v>
      </c>
      <c r="R506" s="107">
        <f t="shared" si="245"/>
        <v>-20</v>
      </c>
      <c r="S506" s="110">
        <f t="shared" si="246"/>
        <v>882.56999999999994</v>
      </c>
      <c r="T506" s="135">
        <f t="shared" si="247"/>
        <v>0.64658582089552219</v>
      </c>
      <c r="U506" s="135">
        <f t="shared" si="248"/>
        <v>8.3483146067416438E-3</v>
      </c>
      <c r="V506" s="135">
        <f t="shared" si="249"/>
        <v>0.66044776119402981</v>
      </c>
      <c r="W506" s="117">
        <f t="shared" si="267"/>
        <v>890</v>
      </c>
      <c r="X506" s="114">
        <f>IFERROR((VLOOKUP($A506,'ИЗ ГУГЛА'!$B:$G,X$1,0)+Z506)*Y506,VLOOKUP($A506,'ИЗ ГУГЛА'!$B:$G,X$1,0))</f>
        <v>890</v>
      </c>
      <c r="Y506" s="108">
        <v>1</v>
      </c>
      <c r="Z506" s="46"/>
      <c r="AA506" s="136">
        <v>890</v>
      </c>
      <c r="AB506" s="124" t="s">
        <v>2557</v>
      </c>
      <c r="AC506" s="114" t="str">
        <f>IFERROR((VLOOKUP($A506,'ИЗ ГУГЛА'!$B:$Z,AC$1,0)+AE506)*AD506,VLOOKUP($A506,'ИЗ ГУГЛА'!$B:$Z,AC$1,0))</f>
        <v/>
      </c>
      <c r="AD506" s="108">
        <v>1</v>
      </c>
      <c r="AE506" s="46"/>
      <c r="AF506" s="115"/>
    </row>
    <row r="507" spans="1:32" s="5" customFormat="1" ht="31.5" thickTop="1" thickBot="1" x14ac:dyDescent="0.3">
      <c r="A507" s="132">
        <v>158848</v>
      </c>
      <c r="B507" s="132">
        <f>VLOOKUP($A507,'Выгр Кат'!$A:$S,B$1,0)</f>
        <v>35352</v>
      </c>
      <c r="C507" s="133" t="str">
        <f>VLOOKUP($A507,'Выгр Кат'!$A:$S,C$1,0)</f>
        <v>Комплект патрубков "БРТ" к фильтру воздушному для Лада Нива 4х4</v>
      </c>
      <c r="D507" s="132" t="str">
        <f>VLOOKUP($A507,'Выгр Кат'!$A:$S,D$1,0)</f>
        <v>Y</v>
      </c>
      <c r="E507" s="132" t="str">
        <f>VLOOKUP($A507,'Выгр Кат'!$A:$S,E$1,0)</f>
        <v>1</v>
      </c>
      <c r="F507" s="132" t="str">
        <f>VLOOKUP($A507,'Выгр Кат'!$A:$S,F$1,0)</f>
        <v>21214-1148034/35</v>
      </c>
      <c r="G507" s="44" t="s">
        <v>852</v>
      </c>
      <c r="H507" s="29"/>
      <c r="I507" s="4" t="s">
        <v>2</v>
      </c>
      <c r="J507" s="95">
        <v>1</v>
      </c>
      <c r="K507" s="168">
        <f t="shared" si="250"/>
        <v>318</v>
      </c>
      <c r="L507" s="167">
        <f>VLOOKUP(K507,Наценка!$A$1:$B$8,2,1)</f>
        <v>1.5053763440860215</v>
      </c>
      <c r="M507" s="145">
        <f t="shared" ref="M507:M508" si="268">W507*1</f>
        <v>1480</v>
      </c>
      <c r="N507" s="173">
        <f t="shared" si="243"/>
        <v>1490</v>
      </c>
      <c r="O507" s="134">
        <f>VLOOKUP($A507,'Выгр Кат'!$A:$S,O$1,0)</f>
        <v>318</v>
      </c>
      <c r="P507" s="134">
        <f>VLOOKUP($A507,'Выгр Кат'!$A:$S,P$1,0)</f>
        <v>1490</v>
      </c>
      <c r="Q507" s="107">
        <f t="shared" si="244"/>
        <v>0</v>
      </c>
      <c r="R507" s="107">
        <f t="shared" si="245"/>
        <v>0</v>
      </c>
      <c r="S507" s="110">
        <f t="shared" si="246"/>
        <v>1385.6999999999998</v>
      </c>
      <c r="T507" s="135">
        <f t="shared" si="247"/>
        <v>3.35754716981132</v>
      </c>
      <c r="U507" s="135">
        <f t="shared" si="248"/>
        <v>6.3716216216216343E-2</v>
      </c>
      <c r="V507" s="135">
        <f t="shared" si="249"/>
        <v>3.6540880503144653</v>
      </c>
      <c r="W507" s="117">
        <f t="shared" si="267"/>
        <v>1480</v>
      </c>
      <c r="X507" s="114">
        <f>IFERROR((VLOOKUP($A507,'ИЗ ГУГЛА'!$B:$G,X$1,0)+Z507)*Y507,VLOOKUP($A507,'ИЗ ГУГЛА'!$B:$G,X$1,0))</f>
        <v>1480</v>
      </c>
      <c r="Y507" s="108">
        <v>1</v>
      </c>
      <c r="Z507" s="113">
        <v>490</v>
      </c>
      <c r="AA507" s="138">
        <v>1480</v>
      </c>
      <c r="AB507" s="124" t="s">
        <v>2556</v>
      </c>
      <c r="AC507" s="114" t="str">
        <f>IFERROR((VLOOKUP($A507,'ИЗ ГУГЛА'!$B:$Z,AC$1,0)+AE507)*AD507,VLOOKUP($A507,'ИЗ ГУГЛА'!$B:$Z,AC$1,0))</f>
        <v/>
      </c>
      <c r="AD507" s="108">
        <v>1</v>
      </c>
      <c r="AE507" s="113">
        <v>490</v>
      </c>
      <c r="AF507" s="115"/>
    </row>
    <row r="508" spans="1:32" s="5" customFormat="1" ht="46.5" thickTop="1" thickBot="1" x14ac:dyDescent="0.3">
      <c r="A508" s="132">
        <v>223148</v>
      </c>
      <c r="B508" s="132">
        <f>VLOOKUP($A508,'Выгр Кат'!$A:$S,B$1,0)</f>
        <v>5502</v>
      </c>
      <c r="C508" s="133" t="str">
        <f>VLOOKUP($A508,'Выгр Кат'!$A:$S,C$1,0)</f>
        <v>Уплотнители (бархотки) "БРТ" опускного стекла внешние С/О для ВАЗ 2108, 2113</v>
      </c>
      <c r="D508" s="132" t="str">
        <f>VLOOKUP($A508,'Выгр Кат'!$A:$S,D$1,0)</f>
        <v>Y</v>
      </c>
      <c r="E508" s="132" t="str">
        <f>VLOOKUP($A508,'Выгр Кат'!$A:$S,E$1,0)</f>
        <v>0</v>
      </c>
      <c r="F508" s="132" t="str">
        <f>VLOOKUP($A508,'Выгр Кат'!$A:$S,F$1,0)</f>
        <v>2108-6103290Р, 2108-6103291Р</v>
      </c>
      <c r="G508" s="45" t="s">
        <v>2403</v>
      </c>
      <c r="H508" s="29" t="s">
        <v>2403</v>
      </c>
      <c r="I508" s="4" t="s">
        <v>2</v>
      </c>
      <c r="J508" s="95">
        <v>1</v>
      </c>
      <c r="K508" s="168">
        <f t="shared" si="250"/>
        <v>500</v>
      </c>
      <c r="L508" s="167">
        <f>VLOOKUP(K508,Наценка!$A$1:$B$8,2,1)</f>
        <v>1.3978494623655915</v>
      </c>
      <c r="M508" s="145">
        <f t="shared" si="268"/>
        <v>1090</v>
      </c>
      <c r="N508" s="173">
        <f t="shared" si="243"/>
        <v>1090</v>
      </c>
      <c r="O508" s="134">
        <f>VLOOKUP($A508,'Выгр Кат'!$A:$S,O$1,0)</f>
        <v>500</v>
      </c>
      <c r="P508" s="134">
        <f>VLOOKUP($A508,'Выгр Кат'!$A:$S,P$1,0)</f>
        <v>1090</v>
      </c>
      <c r="Q508" s="107">
        <f t="shared" si="244"/>
        <v>0</v>
      </c>
      <c r="R508" s="107">
        <f t="shared" si="245"/>
        <v>0</v>
      </c>
      <c r="S508" s="110">
        <f t="shared" si="246"/>
        <v>1013.6999999999999</v>
      </c>
      <c r="T508" s="135">
        <f t="shared" si="247"/>
        <v>1.0273999999999996</v>
      </c>
      <c r="U508" s="135">
        <f t="shared" si="248"/>
        <v>7.0000000000000062E-2</v>
      </c>
      <c r="V508" s="135">
        <f t="shared" si="249"/>
        <v>1.1800000000000002</v>
      </c>
      <c r="W508" s="117">
        <f t="shared" si="267"/>
        <v>1090</v>
      </c>
      <c r="X508" s="114">
        <f>IFERROR((VLOOKUP($A508,'ИЗ ГУГЛА'!$B:$G,X$1,0)+Z508)*Y508,VLOOKUP($A508,'ИЗ ГУГЛА'!$B:$G,X$1,0))</f>
        <v>1090</v>
      </c>
      <c r="Y508" s="108">
        <v>1</v>
      </c>
      <c r="Z508" s="46"/>
      <c r="AA508" s="136">
        <v>1090</v>
      </c>
      <c r="AB508" s="124" t="s">
        <v>2555</v>
      </c>
      <c r="AC508" s="114" t="str">
        <f>IFERROR((VLOOKUP($A508,'ИЗ ГУГЛА'!$B:$Z,AC$1,0)+AE508)*AD508,VLOOKUP($A508,'ИЗ ГУГЛА'!$B:$Z,AC$1,0))</f>
        <v/>
      </c>
      <c r="AD508" s="108">
        <v>1</v>
      </c>
      <c r="AE508" s="46"/>
      <c r="AF508" s="115"/>
    </row>
    <row r="509" spans="1:32" s="5" customFormat="1" ht="46.5" thickTop="1" thickBot="1" x14ac:dyDescent="0.3">
      <c r="A509" s="132">
        <v>186593</v>
      </c>
      <c r="B509" s="132">
        <f>VLOOKUP($A509,'Выгр Кат'!$A:$S,B$1,0)</f>
        <v>35437</v>
      </c>
      <c r="C509" s="133" t="str">
        <f>VLOOKUP($A509,'Выгр Кат'!$A:$S,C$1,0)</f>
        <v>Патрубок "БРТ" фильтра воздушного к дросселю (инжекторный двигатель) для Шевроле Нива</v>
      </c>
      <c r="D509" s="132" t="str">
        <f>VLOOKUP($A509,'Выгр Кат'!$A:$S,D$1,0)</f>
        <v>Y</v>
      </c>
      <c r="E509" s="132" t="str">
        <f>VLOOKUP($A509,'Выгр Кат'!$A:$S,E$1,0)</f>
        <v>1</v>
      </c>
      <c r="F509" s="132" t="str">
        <f>VLOOKUP($A509,'Выгр Кат'!$A:$S,F$1,0)</f>
        <v>2123-1148035-10Р</v>
      </c>
      <c r="G509" s="44" t="s">
        <v>486</v>
      </c>
      <c r="H509" s="29"/>
      <c r="I509" s="4" t="s">
        <v>2</v>
      </c>
      <c r="J509" s="95">
        <v>1</v>
      </c>
      <c r="K509" s="168">
        <f t="shared" si="250"/>
        <v>569</v>
      </c>
      <c r="L509" s="167">
        <f>VLOOKUP(K509,Наценка!$A$1:$B$8,2,1)</f>
        <v>1.3978494623655915</v>
      </c>
      <c r="M509" s="172">
        <f t="shared" si="251"/>
        <v>795.3763440860215</v>
      </c>
      <c r="N509" s="173">
        <f t="shared" si="243"/>
        <v>799</v>
      </c>
      <c r="O509" s="134">
        <f>VLOOKUP($A509,'Выгр Кат'!$A:$S,O$1,0)</f>
        <v>569</v>
      </c>
      <c r="P509" s="134">
        <f>VLOOKUP($A509,'Выгр Кат'!$A:$S,P$1,0)</f>
        <v>799</v>
      </c>
      <c r="Q509" s="107">
        <f t="shared" si="244"/>
        <v>0</v>
      </c>
      <c r="R509" s="107">
        <f t="shared" si="245"/>
        <v>0</v>
      </c>
      <c r="S509" s="110">
        <f t="shared" si="246"/>
        <v>743.06999999999994</v>
      </c>
      <c r="T509" s="135">
        <f t="shared" si="247"/>
        <v>0.30592267135325124</v>
      </c>
      <c r="U509" s="135">
        <f t="shared" si="248"/>
        <v>-0.9606068601583112</v>
      </c>
      <c r="V509" s="135">
        <f t="shared" si="249"/>
        <v>-0.33391915641476277</v>
      </c>
      <c r="W509" s="117">
        <f t="shared" si="267"/>
        <v>379</v>
      </c>
      <c r="X509" s="114">
        <f>IFERROR((VLOOKUP($A509,'ИЗ ГУГЛА'!$B:$G,X$1,0)+Z509)*Y509,VLOOKUP($A509,'ИЗ ГУГЛА'!$B:$G,X$1,0))</f>
        <v>379</v>
      </c>
      <c r="Y509" s="108">
        <v>1</v>
      </c>
      <c r="Z509" s="46"/>
      <c r="AA509" s="136">
        <v>379</v>
      </c>
      <c r="AB509" s="124" t="s">
        <v>2554</v>
      </c>
      <c r="AC509" s="114" t="str">
        <f>IFERROR((VLOOKUP($A509,'ИЗ ГУГЛА'!$B:$Z,AC$1,0)+AE509)*AD509,VLOOKUP($A509,'ИЗ ГУГЛА'!$B:$Z,AC$1,0))</f>
        <v/>
      </c>
      <c r="AD509" s="108">
        <v>1</v>
      </c>
      <c r="AE509" s="46"/>
      <c r="AF509" s="115"/>
    </row>
    <row r="510" spans="1:32" s="5" customFormat="1" ht="31.5" thickTop="1" thickBot="1" x14ac:dyDescent="0.3">
      <c r="A510" s="132">
        <v>158278</v>
      </c>
      <c r="B510" s="132">
        <f>VLOOKUP($A510,'Выгр Кат'!$A:$S,B$1,0)</f>
        <v>35546</v>
      </c>
      <c r="C510" s="133" t="str">
        <f>VLOOKUP($A510,'Выгр Кат'!$A:$S,C$1,0)</f>
        <v>Комплект "БРТ" задних брызговиков для Лада Веста Кросс</v>
      </c>
      <c r="D510" s="132" t="str">
        <f>VLOOKUP($A510,'Выгр Кат'!$A:$S,D$1,0)</f>
        <v>Y</v>
      </c>
      <c r="E510" s="132" t="str">
        <f>VLOOKUP($A510,'Выгр Кат'!$A:$S,E$1,0)</f>
        <v>1</v>
      </c>
      <c r="F510" s="132">
        <f>VLOOKUP($A510,'Выгр Кат'!$A:$S,F$1,0)</f>
        <v>0</v>
      </c>
      <c r="G510" s="35" t="s">
        <v>1308</v>
      </c>
      <c r="H510" s="29"/>
      <c r="I510" s="4" t="s">
        <v>2</v>
      </c>
      <c r="J510" s="95">
        <v>1</v>
      </c>
      <c r="K510" s="168">
        <f t="shared" si="250"/>
        <v>515</v>
      </c>
      <c r="L510" s="167">
        <f>VLOOKUP(K510,Наценка!$A$1:$B$8,2,1)</f>
        <v>1.3978494623655915</v>
      </c>
      <c r="M510" s="148">
        <f t="shared" ref="M510:M512" si="269">W510*1.06</f>
        <v>1791.4</v>
      </c>
      <c r="N510" s="173">
        <f t="shared" si="243"/>
        <v>1790</v>
      </c>
      <c r="O510" s="134">
        <f>VLOOKUP($A510,'Выгр Кат'!$A:$S,O$1,0)</f>
        <v>515</v>
      </c>
      <c r="P510" s="134">
        <f>VLOOKUP($A510,'Выгр Кат'!$A:$S,P$1,0)</f>
        <v>1790</v>
      </c>
      <c r="Q510" s="107">
        <f t="shared" si="244"/>
        <v>0</v>
      </c>
      <c r="R510" s="107">
        <f t="shared" si="245"/>
        <v>0</v>
      </c>
      <c r="S510" s="110">
        <f t="shared" si="246"/>
        <v>1664.6999999999998</v>
      </c>
      <c r="T510" s="135">
        <f t="shared" si="247"/>
        <v>2.2324271844660188</v>
      </c>
      <c r="U510" s="135">
        <f t="shared" si="248"/>
        <v>1.497041420118354E-2</v>
      </c>
      <c r="V510" s="135">
        <f t="shared" si="249"/>
        <v>2.2815533980582523</v>
      </c>
      <c r="W510" s="117">
        <f t="shared" si="267"/>
        <v>1690</v>
      </c>
      <c r="X510" s="114">
        <f>IFERROR((VLOOKUP($A510,'ИЗ ГУГЛА'!$B:$G,X$1,0)+Z510)*Y510,VLOOKUP($A510,'ИЗ ГУГЛА'!$B:$G,X$1,0))</f>
        <v>1690</v>
      </c>
      <c r="Y510" s="108">
        <v>1</v>
      </c>
      <c r="Z510" s="46"/>
      <c r="AA510" s="136">
        <v>1690</v>
      </c>
      <c r="AB510" s="124" t="s">
        <v>2629</v>
      </c>
      <c r="AC510" s="114" t="str">
        <f>IFERROR((VLOOKUP($A510,'ИЗ ГУГЛА'!$B:$Z,AC$1,0)+AE510)*AD510,VLOOKUP($A510,'ИЗ ГУГЛА'!$B:$Z,AC$1,0))</f>
        <v/>
      </c>
      <c r="AD510" s="108">
        <v>1</v>
      </c>
      <c r="AE510" s="46"/>
      <c r="AF510" s="115"/>
    </row>
    <row r="511" spans="1:32" s="5" customFormat="1" ht="46.5" thickTop="1" thickBot="1" x14ac:dyDescent="0.3">
      <c r="A511" s="132">
        <v>223156</v>
      </c>
      <c r="B511" s="132">
        <f>VLOOKUP($A511,'Выгр Кат'!$A:$S,B$1,0)</f>
        <v>5965</v>
      </c>
      <c r="C511" s="133" t="str">
        <f>VLOOKUP($A511,'Выгр Кат'!$A:$S,C$1,0)</f>
        <v>Уплотнители "БРТ" проемов задних дверей 3-х камерные для ВАЗ 2109, 21099, 2114, 2115</v>
      </c>
      <c r="D511" s="132" t="str">
        <f>VLOOKUP($A511,'Выгр Кат'!$A:$S,D$1,0)</f>
        <v>Y</v>
      </c>
      <c r="E511" s="132" t="str">
        <f>VLOOKUP($A511,'Выгр Кат'!$A:$S,E$1,0)</f>
        <v>1</v>
      </c>
      <c r="F511" s="132" t="str">
        <f>VLOOKUP($A511,'Выгр Кат'!$A:$S,F$1,0)</f>
        <v>21090620701400</v>
      </c>
      <c r="G511" s="144" t="s">
        <v>379</v>
      </c>
      <c r="H511" s="29"/>
      <c r="I511" s="4" t="s">
        <v>1815</v>
      </c>
      <c r="J511" s="105">
        <v>2</v>
      </c>
      <c r="K511" s="168">
        <f t="shared" si="250"/>
        <v>720</v>
      </c>
      <c r="L511" s="167">
        <f>VLOOKUP(K511,Наценка!$A$1:$B$8,2,1)</f>
        <v>1.3978494623655915</v>
      </c>
      <c r="M511" s="145">
        <f t="shared" ref="M511:M512" si="270">W511*1</f>
        <v>1090</v>
      </c>
      <c r="N511" s="173">
        <f t="shared" si="243"/>
        <v>1090</v>
      </c>
      <c r="O511" s="134">
        <f>VLOOKUP($A511,'Выгр Кат'!$A:$S,O$1,0)</f>
        <v>720</v>
      </c>
      <c r="P511" s="134">
        <f>VLOOKUP($A511,'Выгр Кат'!$A:$S,P$1,0)</f>
        <v>1090</v>
      </c>
      <c r="Q511" s="107">
        <f t="shared" si="244"/>
        <v>0</v>
      </c>
      <c r="R511" s="107">
        <f t="shared" si="245"/>
        <v>0</v>
      </c>
      <c r="S511" s="110">
        <f t="shared" si="246"/>
        <v>1013.6999999999999</v>
      </c>
      <c r="T511" s="135">
        <f t="shared" si="247"/>
        <v>0.40791666666666648</v>
      </c>
      <c r="U511" s="135">
        <f t="shared" si="248"/>
        <v>7.0000000000000062E-2</v>
      </c>
      <c r="V511" s="135">
        <f t="shared" si="249"/>
        <v>0.51388888888888884</v>
      </c>
      <c r="W511" s="117">
        <f t="shared" si="267"/>
        <v>1090</v>
      </c>
      <c r="X511" s="114">
        <f>IFERROR((VLOOKUP($A511,'ИЗ ГУГЛА'!$B:$G,X$1,0)+Z511)*Y511,VLOOKUP($A511,'ИЗ ГУГЛА'!$B:$G,X$1,0))</f>
        <v>1090</v>
      </c>
      <c r="Y511" s="46">
        <v>1</v>
      </c>
      <c r="Z511" s="46"/>
      <c r="AA511" s="138">
        <v>1090</v>
      </c>
      <c r="AB511" s="124" t="s">
        <v>2286</v>
      </c>
      <c r="AC511" s="114" t="str">
        <f>IFERROR((VLOOKUP($A511,'ИЗ ГУГЛА'!$B:$Z,AC$1,0)+AE511)*AD511,VLOOKUP($A511,'ИЗ ГУГЛА'!$B:$Z,AC$1,0))</f>
        <v/>
      </c>
      <c r="AD511" s="46">
        <v>1</v>
      </c>
      <c r="AE511" s="46"/>
      <c r="AF511" s="115"/>
    </row>
    <row r="512" spans="1:32" s="5" customFormat="1" ht="46.5" thickTop="1" thickBot="1" x14ac:dyDescent="0.3">
      <c r="A512" s="132">
        <v>223157</v>
      </c>
      <c r="B512" s="132">
        <f>VLOOKUP($A512,'Выгр Кат'!$A:$S,B$1,0)</f>
        <v>5960</v>
      </c>
      <c r="C512" s="133" t="str">
        <f>VLOOKUP($A512,'Выгр Кат'!$A:$S,C$1,0)</f>
        <v>Уплотнители "БРТ" проемов передних дверей 3-х камерные для ВАЗ 2109, 21099, 2114, 2115</v>
      </c>
      <c r="D512" s="132" t="str">
        <f>VLOOKUP($A512,'Выгр Кат'!$A:$S,D$1,0)</f>
        <v>Y</v>
      </c>
      <c r="E512" s="132" t="str">
        <f>VLOOKUP($A512,'Выгр Кат'!$A:$S,E$1,0)</f>
        <v>1</v>
      </c>
      <c r="F512" s="132" t="str">
        <f>VLOOKUP($A512,'Выгр Кат'!$A:$S,F$1,0)</f>
        <v>2109061070140</v>
      </c>
      <c r="G512" s="42" t="s">
        <v>379</v>
      </c>
      <c r="H512" s="41"/>
      <c r="I512" s="4" t="s">
        <v>2</v>
      </c>
      <c r="J512" s="105">
        <v>2</v>
      </c>
      <c r="K512" s="168">
        <f t="shared" si="250"/>
        <v>720</v>
      </c>
      <c r="L512" s="167">
        <f>VLOOKUP(K512,Наценка!$A$1:$B$8,2,1)</f>
        <v>1.3978494623655915</v>
      </c>
      <c r="M512" s="145">
        <f t="shared" si="270"/>
        <v>1090</v>
      </c>
      <c r="N512" s="173">
        <f t="shared" si="243"/>
        <v>1090</v>
      </c>
      <c r="O512" s="134">
        <f>VLOOKUP($A512,'Выгр Кат'!$A:$S,O$1,0)</f>
        <v>720</v>
      </c>
      <c r="P512" s="134">
        <f>VLOOKUP($A512,'Выгр Кат'!$A:$S,P$1,0)</f>
        <v>1090</v>
      </c>
      <c r="Q512" s="107">
        <f t="shared" si="244"/>
        <v>0</v>
      </c>
      <c r="R512" s="107">
        <f t="shared" si="245"/>
        <v>0</v>
      </c>
      <c r="S512" s="110">
        <f t="shared" si="246"/>
        <v>1013.6999999999999</v>
      </c>
      <c r="T512" s="135">
        <f t="shared" si="247"/>
        <v>0.40791666666666648</v>
      </c>
      <c r="U512" s="135">
        <f t="shared" si="248"/>
        <v>7.0000000000000062E-2</v>
      </c>
      <c r="V512" s="135">
        <f t="shared" si="249"/>
        <v>0.51388888888888884</v>
      </c>
      <c r="W512" s="117">
        <f t="shared" si="267"/>
        <v>1090</v>
      </c>
      <c r="X512" s="114">
        <f>IFERROR((VLOOKUP($A512,'ИЗ ГУГЛА'!$B:$G,X$1,0)+Z512)*Y512,VLOOKUP($A512,'ИЗ ГУГЛА'!$B:$G,X$1,0))</f>
        <v>1090</v>
      </c>
      <c r="Y512" s="46">
        <v>1</v>
      </c>
      <c r="Z512" s="46"/>
      <c r="AA512" s="138">
        <v>1090</v>
      </c>
      <c r="AB512" s="124" t="s">
        <v>2286</v>
      </c>
      <c r="AC512" s="114" t="str">
        <f>IFERROR((VLOOKUP($A512,'ИЗ ГУГЛА'!$B:$Z,AC$1,0)+AE512)*AD512,VLOOKUP($A512,'ИЗ ГУГЛА'!$B:$Z,AC$1,0))</f>
        <v/>
      </c>
      <c r="AD512" s="46">
        <v>1</v>
      </c>
      <c r="AE512" s="46"/>
      <c r="AF512" s="115"/>
    </row>
    <row r="513" spans="1:32" s="5" customFormat="1" ht="61.5" thickTop="1" thickBot="1" x14ac:dyDescent="0.3">
      <c r="A513" s="132">
        <v>204346</v>
      </c>
      <c r="B513" s="132">
        <f>VLOOKUP($A513,'Выгр Кат'!$A:$S,B$1,0)</f>
        <v>20259</v>
      </c>
      <c r="C513" s="133" t="str">
        <f>VLOOKUP($A513,'Выгр Кат'!$A:$S,C$1,0)</f>
        <v>Ремкомплект 173Р Р/К подушки штанги переднего стабилизатора "БРТ" для Лада Нива 4x4, Шевроле Нива</v>
      </c>
      <c r="D513" s="132" t="str">
        <f>VLOOKUP($A513,'Выгр Кат'!$A:$S,D$1,0)</f>
        <v>Y</v>
      </c>
      <c r="E513" s="132" t="str">
        <f>VLOOKUP($A513,'Выгр Кат'!$A:$S,E$1,0)</f>
        <v>1</v>
      </c>
      <c r="F513" s="132" t="str">
        <f>VLOOKUP($A513,'Выгр Кат'!$A:$S,F$1,0)</f>
        <v>2123-2906040Р, 2123-2906046Р.</v>
      </c>
      <c r="G513" s="45" t="s">
        <v>1474</v>
      </c>
      <c r="H513" s="29"/>
      <c r="I513" s="4" t="s">
        <v>2</v>
      </c>
      <c r="J513" s="95">
        <v>1</v>
      </c>
      <c r="K513" s="168">
        <f t="shared" si="250"/>
        <v>595</v>
      </c>
      <c r="L513" s="167">
        <f>VLOOKUP(K513,Наценка!$A$1:$B$8,2,1)</f>
        <v>1.3978494623655915</v>
      </c>
      <c r="M513" s="172">
        <f t="shared" si="251"/>
        <v>831.72043010752691</v>
      </c>
      <c r="N513" s="173">
        <f t="shared" si="243"/>
        <v>839</v>
      </c>
      <c r="O513" s="134">
        <f>VLOOKUP($A513,'Выгр Кат'!$A:$S,O$1,0)</f>
        <v>595</v>
      </c>
      <c r="P513" s="134">
        <f>VLOOKUP($A513,'Выгр Кат'!$A:$S,P$1,0)</f>
        <v>839</v>
      </c>
      <c r="Q513" s="107">
        <f t="shared" si="244"/>
        <v>0</v>
      </c>
      <c r="R513" s="107">
        <f t="shared" si="245"/>
        <v>0</v>
      </c>
      <c r="S513" s="110">
        <f t="shared" si="246"/>
        <v>780.27</v>
      </c>
      <c r="T513" s="135">
        <f t="shared" si="247"/>
        <v>0.31137815126050428</v>
      </c>
      <c r="U513" s="135">
        <f t="shared" si="248"/>
        <v>-0.27079804560260584</v>
      </c>
      <c r="V513" s="135">
        <f t="shared" si="249"/>
        <v>3.1932773109243806E-2</v>
      </c>
      <c r="W513" s="117">
        <f t="shared" si="267"/>
        <v>614</v>
      </c>
      <c r="X513" s="114">
        <f>IFERROR((VLOOKUP($A513,'ИЗ ГУГЛА'!$B:$G,X$1,0)+Z513)*Y513,VLOOKUP($A513,'ИЗ ГУГЛА'!$B:$G,X$1,0))</f>
        <v>614</v>
      </c>
      <c r="Y513" s="108">
        <v>2</v>
      </c>
      <c r="Z513" s="113">
        <f>89*Y513</f>
        <v>178</v>
      </c>
      <c r="AA513" s="138">
        <v>614</v>
      </c>
      <c r="AB513" s="124" t="s">
        <v>2553</v>
      </c>
      <c r="AC513" s="114" t="str">
        <f>IFERROR((VLOOKUP($A513,'ИЗ ГУГЛА'!$B:$Z,AC$1,0)+AE513)*AD513,VLOOKUP($A513,'ИЗ ГУГЛА'!$B:$Z,AC$1,0))</f>
        <v/>
      </c>
      <c r="AD513" s="108">
        <v>2</v>
      </c>
      <c r="AE513" s="113">
        <f>89*AD513</f>
        <v>178</v>
      </c>
      <c r="AF513" s="115"/>
    </row>
    <row r="514" spans="1:32" s="5" customFormat="1" ht="46.5" thickTop="1" thickBot="1" x14ac:dyDescent="0.3">
      <c r="A514" s="132">
        <v>164793</v>
      </c>
      <c r="B514" s="132">
        <f>VLOOKUP($A514,'Выгр Кат'!$A:$S,B$1,0)</f>
        <v>20271</v>
      </c>
      <c r="C514" s="133" t="str">
        <f>VLOOKUP($A514,'Выгр Кат'!$A:$S,C$1,0)</f>
        <v>Муфта эластичная переднего карданного вала "БРТ" для ВАЗ 2101-2107</v>
      </c>
      <c r="D514" s="132" t="str">
        <f>VLOOKUP($A514,'Выгр Кат'!$A:$S,D$1,0)</f>
        <v>Y</v>
      </c>
      <c r="E514" s="132" t="str">
        <f>VLOOKUP($A514,'Выгр Кат'!$A:$S,E$1,0)</f>
        <v>1ск4</v>
      </c>
      <c r="F514" s="132" t="str">
        <f>VLOOKUP($A514,'Выгр Кат'!$A:$S,F$1,0)</f>
        <v>2101-2202120РУ</v>
      </c>
      <c r="G514" s="45" t="s">
        <v>259</v>
      </c>
      <c r="H514" s="29"/>
      <c r="I514" s="4" t="s">
        <v>2</v>
      </c>
      <c r="J514" s="95">
        <v>1</v>
      </c>
      <c r="K514" s="168">
        <f t="shared" si="250"/>
        <v>771</v>
      </c>
      <c r="L514" s="167">
        <f>VLOOKUP(K514,Наценка!$A$1:$B$8,2,1)</f>
        <v>1.3978494623655915</v>
      </c>
      <c r="M514" s="151">
        <f>K514*1.2*100/93</f>
        <v>994.83870967741939</v>
      </c>
      <c r="N514" s="173">
        <f t="shared" si="243"/>
        <v>999</v>
      </c>
      <c r="O514" s="134">
        <f>VLOOKUP($A514,'Выгр Кат'!$A:$S,O$1,0)</f>
        <v>771</v>
      </c>
      <c r="P514" s="134">
        <f>VLOOKUP($A514,'Выгр Кат'!$A:$S,P$1,0)</f>
        <v>999</v>
      </c>
      <c r="Q514" s="107">
        <f t="shared" si="244"/>
        <v>0</v>
      </c>
      <c r="R514" s="107">
        <f t="shared" si="245"/>
        <v>0</v>
      </c>
      <c r="S514" s="110">
        <f t="shared" si="246"/>
        <v>929.06999999999994</v>
      </c>
      <c r="T514" s="135">
        <f t="shared" si="247"/>
        <v>0.20501945525291831</v>
      </c>
      <c r="U514" s="135">
        <f t="shared" si="248"/>
        <v>-7.5349838535991755E-5</v>
      </c>
      <c r="V514" s="135">
        <f t="shared" si="249"/>
        <v>0.20492866407263288</v>
      </c>
      <c r="W514" s="117">
        <f t="shared" si="267"/>
        <v>929</v>
      </c>
      <c r="X514" s="114">
        <f>IFERROR((VLOOKUP($A514,'ИЗ ГУГЛА'!$B:$G,X$1,0)+Z514)*Y514,VLOOKUP($A514,'ИЗ ГУГЛА'!$B:$G,X$1,0))</f>
        <v>929</v>
      </c>
      <c r="Y514" s="46">
        <v>1</v>
      </c>
      <c r="Z514" s="46"/>
      <c r="AA514" s="138">
        <v>929</v>
      </c>
      <c r="AB514" s="124" t="s">
        <v>2512</v>
      </c>
      <c r="AC514" s="114" t="str">
        <f>IFERROR((VLOOKUP($A514,'ИЗ ГУГЛА'!$B:$Z,AC$1,0)+AE514)*AD514,VLOOKUP($A514,'ИЗ ГУГЛА'!$B:$Z,AC$1,0))</f>
        <v/>
      </c>
      <c r="AD514" s="46">
        <v>1</v>
      </c>
      <c r="AE514" s="46"/>
      <c r="AF514" s="115"/>
    </row>
    <row r="515" spans="1:32" s="5" customFormat="1" ht="46.5" thickTop="1" thickBot="1" x14ac:dyDescent="0.3">
      <c r="A515" s="132">
        <v>204285</v>
      </c>
      <c r="B515" s="132">
        <f>VLOOKUP($A515,'Выгр Кат'!$A:$S,B$1,0)</f>
        <v>20355</v>
      </c>
      <c r="C515" s="133" t="str">
        <f>VLOOKUP($A515,'Выгр Кат'!$A:$S,C$1,0)</f>
        <v>Ремень ГРМ зубчатый привода распределительного вала "БРТ" для ВАЗ 2104, 2105, 2107</v>
      </c>
      <c r="D515" s="132" t="str">
        <f>VLOOKUP($A515,'Выгр Кат'!$A:$S,D$1,0)</f>
        <v>Y</v>
      </c>
      <c r="E515" s="132" t="str">
        <f>VLOOKUP($A515,'Выгр Кат'!$A:$S,E$1,0)</f>
        <v>1</v>
      </c>
      <c r="F515" s="132" t="str">
        <f>VLOOKUP($A515,'Выгр Кат'!$A:$S,F$1,0)</f>
        <v>2105-1006040РУ</v>
      </c>
      <c r="G515" s="45" t="s">
        <v>293</v>
      </c>
      <c r="H515" s="29"/>
      <c r="I515" s="4" t="s">
        <v>2</v>
      </c>
      <c r="J515" s="95">
        <v>1</v>
      </c>
      <c r="K515" s="168">
        <f t="shared" si="250"/>
        <v>606</v>
      </c>
      <c r="L515" s="167">
        <f>VLOOKUP(K515,Наценка!$A$1:$B$8,2,1)</f>
        <v>1.3978494623655915</v>
      </c>
      <c r="M515" s="172">
        <f t="shared" si="251"/>
        <v>847.09677419354841</v>
      </c>
      <c r="N515" s="173">
        <f t="shared" ref="N515:N578" si="271">IF(M515&lt;=1000,(ROUNDUP(M515,-1)-1),(ROUNDUP(M515,-2)-10))</f>
        <v>849</v>
      </c>
      <c r="O515" s="134">
        <f>VLOOKUP($A515,'Выгр Кат'!$A:$S,O$1,0)</f>
        <v>606</v>
      </c>
      <c r="P515" s="134">
        <f>VLOOKUP($A515,'Выгр Кат'!$A:$S,P$1,0)</f>
        <v>849</v>
      </c>
      <c r="Q515" s="107">
        <f t="shared" ref="Q515:Q578" si="272">O515-K515</f>
        <v>0</v>
      </c>
      <c r="R515" s="107">
        <f t="shared" ref="R515:R578" si="273">P515-N515</f>
        <v>0</v>
      </c>
      <c r="S515" s="110">
        <f t="shared" ref="S515:S578" si="274">IFERROR(N515*(1-$S$2),"")</f>
        <v>789.56999999999994</v>
      </c>
      <c r="T515" s="135">
        <f t="shared" ref="T515:T578" si="275">IFERROR(S515/K515-1,"")</f>
        <v>0.30292079207920786</v>
      </c>
      <c r="U515" s="135" t="str">
        <f t="shared" ref="U515:U578" si="276">IFERROR((W515-S515)/W515,"")</f>
        <v/>
      </c>
      <c r="V515" s="135" t="str">
        <f t="shared" ref="V515:V578" si="277">IFERROR(IF(W515="","",W515/K515-1),"")</f>
        <v/>
      </c>
      <c r="W515" s="45"/>
      <c r="X515" s="114" t="str">
        <f>IFERROR((VLOOKUP($A515,'ИЗ ГУГЛА'!$B:$G,X$1,0)+Z515)*Y515,VLOOKUP($A515,'ИЗ ГУГЛА'!$B:$G,X$1,0))</f>
        <v/>
      </c>
      <c r="Y515" s="108">
        <v>1</v>
      </c>
      <c r="Z515" s="46"/>
      <c r="AA515" s="140" t="s">
        <v>1821</v>
      </c>
      <c r="AB515" s="129"/>
      <c r="AC515" s="114" t="str">
        <f>IFERROR((VLOOKUP($A515,'ИЗ ГУГЛА'!$B:$Z,AC$1,0)+AE515)*AD515,VLOOKUP($A515,'ИЗ ГУГЛА'!$B:$Z,AC$1,0))</f>
        <v/>
      </c>
      <c r="AD515" s="108">
        <v>1</v>
      </c>
      <c r="AE515" s="46"/>
      <c r="AF515" s="115"/>
    </row>
    <row r="516" spans="1:32" s="5" customFormat="1" ht="31.5" thickTop="1" thickBot="1" x14ac:dyDescent="0.3">
      <c r="A516" s="132">
        <v>139155</v>
      </c>
      <c r="B516" s="132">
        <f>VLOOKUP($A516,'Выгр Кат'!$A:$S,B$1,0)</f>
        <v>34071</v>
      </c>
      <c r="C516" s="133" t="str">
        <f>VLOOKUP($A516,'Выгр Кат'!$A:$S,C$1,0)</f>
        <v>Верхние уплотнители дверей (водосток) "БРТ" для ВАЗ 2110-2112</v>
      </c>
      <c r="D516" s="132" t="str">
        <f>VLOOKUP($A516,'Выгр Кат'!$A:$S,D$1,0)</f>
        <v>Y</v>
      </c>
      <c r="E516" s="132" t="str">
        <f>VLOOKUP($A516,'Выгр Кат'!$A:$S,E$1,0)</f>
        <v>1</v>
      </c>
      <c r="F516" s="132" t="str">
        <f>VLOOKUP($A516,'Выгр Кат'!$A:$S,F$1,0)</f>
        <v>2110-6107020 / 21</v>
      </c>
      <c r="G516" s="101" t="s">
        <v>1312</v>
      </c>
      <c r="H516" s="41"/>
      <c r="I516" s="4" t="s">
        <v>2</v>
      </c>
      <c r="J516" s="105">
        <v>2</v>
      </c>
      <c r="K516" s="168">
        <f t="shared" ref="K516:K579" si="278">O516</f>
        <v>700</v>
      </c>
      <c r="L516" s="167">
        <f>VLOOKUP(K516,Наценка!$A$1:$B$8,2,1)</f>
        <v>1.3978494623655915</v>
      </c>
      <c r="M516" s="145">
        <f t="shared" ref="M516:M517" si="279">W516*1</f>
        <v>990</v>
      </c>
      <c r="N516" s="173">
        <f t="shared" si="271"/>
        <v>989</v>
      </c>
      <c r="O516" s="134">
        <f>VLOOKUP($A516,'Выгр Кат'!$A:$S,O$1,0)</f>
        <v>700</v>
      </c>
      <c r="P516" s="134">
        <f>VLOOKUP($A516,'Выгр Кат'!$A:$S,P$1,0)</f>
        <v>989</v>
      </c>
      <c r="Q516" s="107">
        <f t="shared" si="272"/>
        <v>0</v>
      </c>
      <c r="R516" s="107">
        <f t="shared" si="273"/>
        <v>0</v>
      </c>
      <c r="S516" s="110">
        <f t="shared" si="274"/>
        <v>919.77</v>
      </c>
      <c r="T516" s="135">
        <f t="shared" si="275"/>
        <v>0.31395714285714282</v>
      </c>
      <c r="U516" s="135">
        <f t="shared" si="276"/>
        <v>7.0939393939393955E-2</v>
      </c>
      <c r="V516" s="135">
        <f t="shared" si="277"/>
        <v>0.41428571428571437</v>
      </c>
      <c r="W516" s="117">
        <f t="shared" ref="W516:W517" si="280">AA516</f>
        <v>990</v>
      </c>
      <c r="X516" s="114">
        <f>IFERROR((VLOOKUP($A516,'ИЗ ГУГЛА'!$B:$G,X$1,0)+Z516)*Y516,VLOOKUP($A516,'ИЗ ГУГЛА'!$B:$G,X$1,0))</f>
        <v>990</v>
      </c>
      <c r="Y516" s="46">
        <v>1</v>
      </c>
      <c r="Z516" s="46"/>
      <c r="AA516" s="138">
        <v>990</v>
      </c>
      <c r="AB516" s="124" t="s">
        <v>2313</v>
      </c>
      <c r="AC516" s="114" t="str">
        <f>IFERROR((VLOOKUP($A516,'ИЗ ГУГЛА'!$B:$Z,AC$1,0)+AE516)*AD516,VLOOKUP($A516,'ИЗ ГУГЛА'!$B:$Z,AC$1,0))</f>
        <v/>
      </c>
      <c r="AD516" s="46">
        <v>1</v>
      </c>
      <c r="AE516" s="46"/>
      <c r="AF516" s="115"/>
    </row>
    <row r="517" spans="1:32" s="5" customFormat="1" ht="16.5" thickTop="1" thickBot="1" x14ac:dyDescent="0.3">
      <c r="A517" s="132">
        <v>181549</v>
      </c>
      <c r="B517" s="132">
        <f>VLOOKUP($A517,'Выгр Кат'!$A:$S,B$1,0)</f>
        <v>35431</v>
      </c>
      <c r="C517" s="133" t="str">
        <f>VLOOKUP($A517,'Выгр Кат'!$A:$S,C$1,0)</f>
        <v>Опора "БРТ" кулисы для Лада Калина</v>
      </c>
      <c r="D517" s="132" t="str">
        <f>VLOOKUP($A517,'Выгр Кат'!$A:$S,D$1,0)</f>
        <v>Y</v>
      </c>
      <c r="E517" s="132" t="str">
        <f>VLOOKUP($A517,'Выгр Кат'!$A:$S,E$1,0)</f>
        <v>0</v>
      </c>
      <c r="F517" s="132" t="str">
        <f>VLOOKUP($A517,'Выгр Кат'!$A:$S,F$1,0)</f>
        <v>1118-1703190Р</v>
      </c>
      <c r="G517" s="44" t="s">
        <v>221</v>
      </c>
      <c r="H517" s="29"/>
      <c r="I517" s="4" t="s">
        <v>2</v>
      </c>
      <c r="J517" s="95">
        <v>1</v>
      </c>
      <c r="K517" s="168">
        <f t="shared" si="278"/>
        <v>633</v>
      </c>
      <c r="L517" s="167">
        <f>VLOOKUP(K517,Наценка!$A$1:$B$8,2,1)</f>
        <v>1.3978494623655915</v>
      </c>
      <c r="M517" s="145">
        <f t="shared" si="279"/>
        <v>1390</v>
      </c>
      <c r="N517" s="173">
        <f t="shared" si="271"/>
        <v>1390</v>
      </c>
      <c r="O517" s="134">
        <f>VLOOKUP($A517,'Выгр Кат'!$A:$S,O$1,0)</f>
        <v>633</v>
      </c>
      <c r="P517" s="134">
        <f>VLOOKUP($A517,'Выгр Кат'!$A:$S,P$1,0)</f>
        <v>1390</v>
      </c>
      <c r="Q517" s="107">
        <f t="shared" si="272"/>
        <v>0</v>
      </c>
      <c r="R517" s="107">
        <f t="shared" si="273"/>
        <v>0</v>
      </c>
      <c r="S517" s="110">
        <f t="shared" si="274"/>
        <v>1292.6999999999998</v>
      </c>
      <c r="T517" s="135">
        <f t="shared" si="275"/>
        <v>1.0421800947867297</v>
      </c>
      <c r="U517" s="135">
        <f t="shared" si="276"/>
        <v>7.0000000000000132E-2</v>
      </c>
      <c r="V517" s="135">
        <f t="shared" si="277"/>
        <v>1.1958925750394944</v>
      </c>
      <c r="W517" s="117">
        <f t="shared" si="280"/>
        <v>1390</v>
      </c>
      <c r="X517" s="114">
        <f>IFERROR((VLOOKUP($A517,'ИЗ ГУГЛА'!$B:$G,X$1,0)+Z517)*Y517,VLOOKUP($A517,'ИЗ ГУГЛА'!$B:$G,X$1,0))</f>
        <v>1390</v>
      </c>
      <c r="Y517" s="108">
        <v>1</v>
      </c>
      <c r="Z517" s="46"/>
      <c r="AA517" s="136">
        <v>1390</v>
      </c>
      <c r="AB517" s="124" t="s">
        <v>2503</v>
      </c>
      <c r="AC517" s="114" t="str">
        <f>IFERROR((VLOOKUP($A517,'ИЗ ГУГЛА'!$B:$Z,AC$1,0)+AE517)*AD517,VLOOKUP($A517,'ИЗ ГУГЛА'!$B:$Z,AC$1,0))</f>
        <v/>
      </c>
      <c r="AD517" s="108">
        <v>1</v>
      </c>
      <c r="AE517" s="46"/>
      <c r="AF517" s="115"/>
    </row>
    <row r="518" spans="1:32" s="5" customFormat="1" ht="45.75" thickTop="1" x14ac:dyDescent="0.25">
      <c r="A518" s="132">
        <v>158864</v>
      </c>
      <c r="B518" s="132">
        <f>VLOOKUP($A518,'Выгр Кат'!$A:$S,B$1,0)</f>
        <v>29356</v>
      </c>
      <c r="C518" s="133" t="str">
        <f>VLOOKUP($A518,'Выгр Кат'!$A:$S,C$1,0)</f>
        <v>Комплект патрубков отопителя "БРТ" для ВАЗ 2108-21099, 2113-2115 (с инжекторным двигателем)</v>
      </c>
      <c r="D518" s="132" t="str">
        <f>VLOOKUP($A518,'Выгр Кат'!$A:$S,D$1,0)</f>
        <v>Y</v>
      </c>
      <c r="E518" s="132" t="str">
        <f>VLOOKUP($A518,'Выгр Кат'!$A:$S,E$1,0)</f>
        <v>1</v>
      </c>
      <c r="F518" s="132" t="str">
        <f>VLOOKUP($A518,'Выгр Кат'!$A:$S,F$1,0)</f>
        <v>2114-8101208/2114-8101200/2114-8101204/2114-8101206</v>
      </c>
      <c r="G518" s="45"/>
      <c r="H518" s="29"/>
      <c r="I518" s="4" t="s">
        <v>2</v>
      </c>
      <c r="J518" s="95">
        <v>1</v>
      </c>
      <c r="K518" s="168">
        <f t="shared" si="278"/>
        <v>649</v>
      </c>
      <c r="L518" s="167">
        <f>VLOOKUP(K518,Наценка!$A$1:$B$8,2,1)</f>
        <v>1.3978494623655915</v>
      </c>
      <c r="M518" s="172">
        <f t="shared" ref="M517:M580" si="281">K518*L518</f>
        <v>907.20430107526886</v>
      </c>
      <c r="N518" s="173">
        <f t="shared" si="271"/>
        <v>909</v>
      </c>
      <c r="O518" s="134">
        <f>VLOOKUP($A518,'Выгр Кат'!$A:$S,O$1,0)</f>
        <v>649</v>
      </c>
      <c r="P518" s="134">
        <f>VLOOKUP($A518,'Выгр Кат'!$A:$S,P$1,0)</f>
        <v>909</v>
      </c>
      <c r="Q518" s="107">
        <f t="shared" si="272"/>
        <v>0</v>
      </c>
      <c r="R518" s="107">
        <f t="shared" si="273"/>
        <v>0</v>
      </c>
      <c r="S518" s="110">
        <f t="shared" si="274"/>
        <v>845.36999999999989</v>
      </c>
      <c r="T518" s="135">
        <f t="shared" si="275"/>
        <v>0.3025731895223418</v>
      </c>
      <c r="U518" s="135" t="str">
        <f t="shared" si="276"/>
        <v/>
      </c>
      <c r="V518" s="135" t="str">
        <f t="shared" si="277"/>
        <v/>
      </c>
      <c r="W518" s="45"/>
      <c r="X518" s="114">
        <f>IFERROR((VLOOKUP($A518,'ИЗ ГУГЛА'!$B:$G,X$1,0)+Z518)*Y518,VLOOKUP($A518,'ИЗ ГУГЛА'!$B:$G,X$1,0))</f>
        <v>590</v>
      </c>
      <c r="Y518" s="108">
        <v>1</v>
      </c>
      <c r="Z518" s="46"/>
      <c r="AA518" s="139" t="s">
        <v>2840</v>
      </c>
      <c r="AB518" s="124" t="s">
        <v>2839</v>
      </c>
      <c r="AC518" s="114" t="str">
        <f>IFERROR((VLOOKUP($A518,'ИЗ ГУГЛА'!$B:$Z,AC$1,0)+AE518)*AD518,VLOOKUP($A518,'ИЗ ГУГЛА'!$B:$Z,AC$1,0))</f>
        <v/>
      </c>
      <c r="AD518" s="108">
        <v>1</v>
      </c>
      <c r="AE518" s="46"/>
      <c r="AF518" s="115"/>
    </row>
    <row r="519" spans="1:32" s="5" customFormat="1" ht="45" x14ac:dyDescent="0.25">
      <c r="A519" s="132">
        <v>186534</v>
      </c>
      <c r="B519" s="132">
        <f>VLOOKUP($A519,'Выгр Кат'!$A:$S,B$1,0)</f>
        <v>21605</v>
      </c>
      <c r="C519" s="133" t="str">
        <f>VLOOKUP($A519,'Выгр Кат'!$A:$S,C$1,0)</f>
        <v>Патрубки системы охлаждения радиатора "БРТ" 185РШ Р/К (инжектор) для ВАЗ 2108-21099</v>
      </c>
      <c r="D519" s="132" t="str">
        <f>VLOOKUP($A519,'Выгр Кат'!$A:$S,D$1,0)</f>
        <v>Y</v>
      </c>
      <c r="E519" s="132" t="str">
        <f>VLOOKUP($A519,'Выгр Кат'!$A:$S,E$1,0)</f>
        <v>1</v>
      </c>
      <c r="F519" s="132" t="str">
        <f>VLOOKUP($A519,'Выгр Кат'!$A:$S,F$1,0)</f>
        <v>21082-1303010Р, 21082-1303025Р, 2109-1303093-018</v>
      </c>
      <c r="G519" s="45" t="s">
        <v>602</v>
      </c>
      <c r="H519" s="29"/>
      <c r="I519" s="4" t="s">
        <v>2</v>
      </c>
      <c r="J519" s="95">
        <v>1</v>
      </c>
      <c r="K519" s="168">
        <f t="shared" si="278"/>
        <v>649</v>
      </c>
      <c r="L519" s="167">
        <f>VLOOKUP(K519,Наценка!$A$1:$B$8,2,1)</f>
        <v>1.3978494623655915</v>
      </c>
      <c r="M519" s="172">
        <f t="shared" si="281"/>
        <v>907.20430107526886</v>
      </c>
      <c r="N519" s="173">
        <f t="shared" si="271"/>
        <v>909</v>
      </c>
      <c r="O519" s="134">
        <f>VLOOKUP($A519,'Выгр Кат'!$A:$S,O$1,0)</f>
        <v>649</v>
      </c>
      <c r="P519" s="134">
        <f>VLOOKUP($A519,'Выгр Кат'!$A:$S,P$1,0)</f>
        <v>909</v>
      </c>
      <c r="Q519" s="107">
        <f t="shared" si="272"/>
        <v>0</v>
      </c>
      <c r="R519" s="107">
        <f t="shared" si="273"/>
        <v>0</v>
      </c>
      <c r="S519" s="110">
        <f t="shared" si="274"/>
        <v>845.36999999999989</v>
      </c>
      <c r="T519" s="135">
        <f t="shared" si="275"/>
        <v>0.3025731895223418</v>
      </c>
      <c r="U519" s="135" t="str">
        <f t="shared" si="276"/>
        <v/>
      </c>
      <c r="V519" s="135" t="str">
        <f t="shared" si="277"/>
        <v/>
      </c>
      <c r="W519" s="45"/>
      <c r="X519" s="114" t="str">
        <f>IFERROR((VLOOKUP($A519,'ИЗ ГУГЛА'!$B:$G,X$1,0)+Z519)*Y519,VLOOKUP($A519,'ИЗ ГУГЛА'!$B:$G,X$1,0))</f>
        <v/>
      </c>
      <c r="Y519" s="108">
        <v>1</v>
      </c>
      <c r="Z519" s="46"/>
      <c r="AA519" s="139" t="s">
        <v>1821</v>
      </c>
      <c r="AB519" s="124"/>
      <c r="AC519" s="114" t="str">
        <f>IFERROR((VLOOKUP($A519,'ИЗ ГУГЛА'!$B:$Z,AC$1,0)+AE519)*AD519,VLOOKUP($A519,'ИЗ ГУГЛА'!$B:$Z,AC$1,0))</f>
        <v/>
      </c>
      <c r="AD519" s="108">
        <v>1</v>
      </c>
      <c r="AE519" s="46"/>
      <c r="AF519" s="115"/>
    </row>
    <row r="520" spans="1:32" s="5" customFormat="1" ht="30" x14ac:dyDescent="0.25">
      <c r="A520" s="132">
        <v>186510</v>
      </c>
      <c r="B520" s="132">
        <f>VLOOKUP($A520,'Выгр Кат'!$A:$S,B$1,0)</f>
        <v>19623</v>
      </c>
      <c r="C520" s="133" t="str">
        <f>VLOOKUP($A520,'Выгр Кат'!$A:$S,C$1,0)</f>
        <v>Патрубки радиатора "БРТ" для ВАЗ 2108-21099</v>
      </c>
      <c r="D520" s="132" t="str">
        <f>VLOOKUP($A520,'Выгр Кат'!$A:$S,D$1,0)</f>
        <v>Y</v>
      </c>
      <c r="E520" s="132" t="str">
        <f>VLOOKUP($A520,'Выгр Кат'!$A:$S,E$1,0)</f>
        <v>1</v>
      </c>
      <c r="F520" s="132" t="str">
        <f>VLOOKUP($A520,'Выгр Кат'!$A:$S,F$1,0)</f>
        <v>2108-1303010/25/90/92</v>
      </c>
      <c r="G520" s="43" t="s">
        <v>1066</v>
      </c>
      <c r="H520" s="29"/>
      <c r="I520" s="4" t="s">
        <v>2</v>
      </c>
      <c r="J520" s="95">
        <v>1</v>
      </c>
      <c r="K520" s="168">
        <f t="shared" si="278"/>
        <v>649</v>
      </c>
      <c r="L520" s="167">
        <f>VLOOKUP(K520,Наценка!$A$1:$B$8,2,1)</f>
        <v>1.3978494623655915</v>
      </c>
      <c r="M520" s="172">
        <f t="shared" si="281"/>
        <v>907.20430107526886</v>
      </c>
      <c r="N520" s="173">
        <f t="shared" si="271"/>
        <v>909</v>
      </c>
      <c r="O520" s="134">
        <f>VLOOKUP($A520,'Выгр Кат'!$A:$S,O$1,0)</f>
        <v>649</v>
      </c>
      <c r="P520" s="134">
        <f>VLOOKUP($A520,'Выгр Кат'!$A:$S,P$1,0)</f>
        <v>909</v>
      </c>
      <c r="Q520" s="107">
        <f t="shared" si="272"/>
        <v>0</v>
      </c>
      <c r="R520" s="107">
        <f t="shared" si="273"/>
        <v>0</v>
      </c>
      <c r="S520" s="110">
        <f t="shared" si="274"/>
        <v>845.36999999999989</v>
      </c>
      <c r="T520" s="135">
        <f t="shared" si="275"/>
        <v>0.3025731895223418</v>
      </c>
      <c r="U520" s="135" t="str">
        <f t="shared" si="276"/>
        <v/>
      </c>
      <c r="V520" s="135" t="str">
        <f t="shared" si="277"/>
        <v/>
      </c>
      <c r="W520" s="45"/>
      <c r="X520" s="114" t="str">
        <f>IFERROR((VLOOKUP($A520,'ИЗ ГУГЛА'!$B:$G,X$1,0)+Z520)*Y520,VLOOKUP($A520,'ИЗ ГУГЛА'!$B:$G,X$1,0))</f>
        <v/>
      </c>
      <c r="Y520" s="108">
        <v>1</v>
      </c>
      <c r="Z520" s="46"/>
      <c r="AA520" s="139" t="s">
        <v>1821</v>
      </c>
      <c r="AB520" s="124"/>
      <c r="AC520" s="114" t="str">
        <f>IFERROR((VLOOKUP($A520,'ИЗ ГУГЛА'!$B:$Z,AC$1,0)+AE520)*AD520,VLOOKUP($A520,'ИЗ ГУГЛА'!$B:$Z,AC$1,0))</f>
        <v/>
      </c>
      <c r="AD520" s="108">
        <v>1</v>
      </c>
      <c r="AE520" s="46"/>
      <c r="AF520" s="115"/>
    </row>
    <row r="521" spans="1:32" s="5" customFormat="1" ht="45.75" thickBot="1" x14ac:dyDescent="0.3">
      <c r="A521" s="132">
        <v>223160</v>
      </c>
      <c r="B521" s="132">
        <f>VLOOKUP($A521,'Выгр Кат'!$A:$S,B$1,0)</f>
        <v>13963</v>
      </c>
      <c r="C521" s="133" t="str">
        <f>VLOOKUP($A521,'Выгр Кат'!$A:$S,C$1,0)</f>
        <v>Уплотнители (бархотки) "БРТ" опускного стекла наружние Н/О для ВАЗ 2109, 21099 2114, 2115</v>
      </c>
      <c r="D521" s="132" t="str">
        <f>VLOOKUP($A521,'Выгр Кат'!$A:$S,D$1,0)</f>
        <v>Y</v>
      </c>
      <c r="E521" s="132" t="str">
        <f>VLOOKUP($A521,'Выгр Кат'!$A:$S,E$1,0)</f>
        <v>1</v>
      </c>
      <c r="F521" s="132" t="str">
        <f>VLOOKUP($A521,'Выгр Кат'!$A:$S,F$1,0)</f>
        <v>2109-6103290-10Р, 2109-6203290-10Р</v>
      </c>
      <c r="G521" s="35" t="s">
        <v>377</v>
      </c>
      <c r="H521" s="41"/>
      <c r="I521" s="4" t="s">
        <v>2</v>
      </c>
      <c r="J521" s="105">
        <v>4</v>
      </c>
      <c r="K521" s="168">
        <f t="shared" si="278"/>
        <v>653</v>
      </c>
      <c r="L521" s="167">
        <f>VLOOKUP(K521,Наценка!$A$1:$B$8,2,1)</f>
        <v>1.3978494623655915</v>
      </c>
      <c r="M521" s="145">
        <f t="shared" ref="M521:M522" si="282">W521*1</f>
        <v>990</v>
      </c>
      <c r="N521" s="173">
        <f t="shared" si="271"/>
        <v>989</v>
      </c>
      <c r="O521" s="134">
        <f>VLOOKUP($A521,'Выгр Кат'!$A:$S,O$1,0)</f>
        <v>653</v>
      </c>
      <c r="P521" s="134">
        <f>VLOOKUP($A521,'Выгр Кат'!$A:$S,P$1,0)</f>
        <v>989</v>
      </c>
      <c r="Q521" s="107">
        <f t="shared" si="272"/>
        <v>0</v>
      </c>
      <c r="R521" s="107">
        <f t="shared" si="273"/>
        <v>0</v>
      </c>
      <c r="S521" s="110">
        <f t="shared" si="274"/>
        <v>919.77</v>
      </c>
      <c r="T521" s="135">
        <f t="shared" si="275"/>
        <v>0.40852986217457876</v>
      </c>
      <c r="U521" s="135">
        <f t="shared" si="276"/>
        <v>7.0939393939393955E-2</v>
      </c>
      <c r="V521" s="135">
        <f t="shared" si="277"/>
        <v>0.51607963246554367</v>
      </c>
      <c r="W521" s="117">
        <f t="shared" ref="W521:W522" si="283">AA521</f>
        <v>990</v>
      </c>
      <c r="X521" s="114">
        <f>IFERROR((VLOOKUP($A521,'ИЗ ГУГЛА'!$B:$G,X$1,0)+Z521)*Y521,VLOOKUP($A521,'ИЗ ГУГЛА'!$B:$G,X$1,0))</f>
        <v>990</v>
      </c>
      <c r="Y521" s="46">
        <v>1</v>
      </c>
      <c r="Z521" s="46"/>
      <c r="AA521" s="138">
        <v>990</v>
      </c>
      <c r="AB521" s="124" t="s">
        <v>2510</v>
      </c>
      <c r="AC521" s="114" t="str">
        <f>IFERROR((VLOOKUP($A521,'ИЗ ГУГЛА'!$B:$Z,AC$1,0)+AE521)*AD521,VLOOKUP($A521,'ИЗ ГУГЛА'!$B:$Z,AC$1,0))</f>
        <v/>
      </c>
      <c r="AD521" s="46">
        <v>1</v>
      </c>
      <c r="AE521" s="46"/>
      <c r="AF521" s="115"/>
    </row>
    <row r="522" spans="1:32" s="5" customFormat="1" ht="46.5" thickTop="1" thickBot="1" x14ac:dyDescent="0.3">
      <c r="A522" s="132">
        <v>181332</v>
      </c>
      <c r="B522" s="132">
        <f>VLOOKUP($A522,'Выгр Кат'!$A:$S,B$1,0)</f>
        <v>12435</v>
      </c>
      <c r="C522" s="133" t="str">
        <f>VLOOKUP($A522,'Выгр Кат'!$A:$S,C$1,0)</f>
        <v>Окантовки "БРТ" задних боковых стёкол для Лада Калина хэтчбек, Гранта седан</v>
      </c>
      <c r="D522" s="132" t="str">
        <f>VLOOKUP($A522,'Выгр Кат'!$A:$S,D$1,0)</f>
        <v>Y</v>
      </c>
      <c r="E522" s="132" t="str">
        <f>VLOOKUP($A522,'Выгр Кат'!$A:$S,E$1,0)</f>
        <v>1</v>
      </c>
      <c r="F522" s="132">
        <f>VLOOKUP($A522,'Выгр Кат'!$A:$S,F$1,0)</f>
        <v>0</v>
      </c>
      <c r="G522" s="45" t="s">
        <v>785</v>
      </c>
      <c r="H522" s="29"/>
      <c r="I522" s="4" t="s">
        <v>2</v>
      </c>
      <c r="J522" s="95">
        <v>1</v>
      </c>
      <c r="K522" s="168">
        <f t="shared" si="278"/>
        <v>650</v>
      </c>
      <c r="L522" s="167">
        <f>VLOOKUP(K522,Наценка!$A$1:$B$8,2,1)</f>
        <v>1.3978494623655915</v>
      </c>
      <c r="M522" s="145">
        <f t="shared" si="282"/>
        <v>1190</v>
      </c>
      <c r="N522" s="173">
        <f t="shared" si="271"/>
        <v>1190</v>
      </c>
      <c r="O522" s="134">
        <f>VLOOKUP($A522,'Выгр Кат'!$A:$S,O$1,0)</f>
        <v>650</v>
      </c>
      <c r="P522" s="134">
        <f>VLOOKUP($A522,'Выгр Кат'!$A:$S,P$1,0)</f>
        <v>909</v>
      </c>
      <c r="Q522" s="107">
        <f t="shared" si="272"/>
        <v>0</v>
      </c>
      <c r="R522" s="107">
        <f t="shared" si="273"/>
        <v>-281</v>
      </c>
      <c r="S522" s="110">
        <f t="shared" si="274"/>
        <v>1106.6999999999998</v>
      </c>
      <c r="T522" s="135">
        <f t="shared" si="275"/>
        <v>0.70261538461538442</v>
      </c>
      <c r="U522" s="135">
        <f t="shared" si="276"/>
        <v>7.0000000000000159E-2</v>
      </c>
      <c r="V522" s="135">
        <f t="shared" si="277"/>
        <v>0.8307692307692307</v>
      </c>
      <c r="W522" s="117">
        <f t="shared" si="283"/>
        <v>1190</v>
      </c>
      <c r="X522" s="114">
        <f>IFERROR((VLOOKUP($A522,'ИЗ ГУГЛА'!$B:$G,X$1,0)+Z522)*Y522,VLOOKUP($A522,'ИЗ ГУГЛА'!$B:$G,X$1,0))</f>
        <v>1190</v>
      </c>
      <c r="Y522" s="46">
        <v>1</v>
      </c>
      <c r="Z522" s="46"/>
      <c r="AA522" s="138">
        <v>1190</v>
      </c>
      <c r="AB522" s="124" t="s">
        <v>2511</v>
      </c>
      <c r="AC522" s="114" t="str">
        <f>IFERROR((VLOOKUP($A522,'ИЗ ГУГЛА'!$B:$Z,AC$1,0)+AE522)*AD522,VLOOKUP($A522,'ИЗ ГУГЛА'!$B:$Z,AC$1,0))</f>
        <v/>
      </c>
      <c r="AD522" s="46">
        <v>1</v>
      </c>
      <c r="AE522" s="46"/>
      <c r="AF522" s="115"/>
    </row>
    <row r="523" spans="1:32" s="5" customFormat="1" ht="45.75" thickTop="1" x14ac:dyDescent="0.25">
      <c r="A523" s="132">
        <v>160771</v>
      </c>
      <c r="B523" s="132">
        <f>VLOOKUP($A523,'Выгр Кат'!$A:$S,B$1,0)</f>
        <v>20307</v>
      </c>
      <c r="C523" s="133" t="str">
        <f>VLOOKUP($A523,'Выгр Кат'!$A:$S,C$1,0)</f>
        <v>Кронштейн растяжки передней подвески в сборе "БМРТ" для Лада Гранта</v>
      </c>
      <c r="D523" s="132" t="str">
        <f>VLOOKUP($A523,'Выгр Кат'!$A:$S,D$1,0)</f>
        <v>Y</v>
      </c>
      <c r="E523" s="132" t="str">
        <f>VLOOKUP($A523,'Выгр Кат'!$A:$S,E$1,0)</f>
        <v>1</v>
      </c>
      <c r="F523" s="132" t="str">
        <f>VLOOKUP($A523,'Выгр Кат'!$A:$S,F$1,0)</f>
        <v>2190-2904049РУ.</v>
      </c>
      <c r="G523" s="45" t="s">
        <v>534</v>
      </c>
      <c r="H523" s="29"/>
      <c r="I523" s="4" t="s">
        <v>2</v>
      </c>
      <c r="J523" s="95">
        <v>1</v>
      </c>
      <c r="K523" s="168">
        <f t="shared" si="278"/>
        <v>647</v>
      </c>
      <c r="L523" s="167">
        <f>VLOOKUP(K523,Наценка!$A$1:$B$8,2,1)</f>
        <v>1.3978494623655915</v>
      </c>
      <c r="M523" s="172">
        <f t="shared" si="281"/>
        <v>904.40860215053772</v>
      </c>
      <c r="N523" s="173">
        <f t="shared" si="271"/>
        <v>909</v>
      </c>
      <c r="O523" s="134">
        <f>VLOOKUP($A523,'Выгр Кат'!$A:$S,O$1,0)</f>
        <v>647</v>
      </c>
      <c r="P523" s="134">
        <f>VLOOKUP($A523,'Выгр Кат'!$A:$S,P$1,0)</f>
        <v>909</v>
      </c>
      <c r="Q523" s="107">
        <f t="shared" si="272"/>
        <v>0</v>
      </c>
      <c r="R523" s="107">
        <f t="shared" si="273"/>
        <v>0</v>
      </c>
      <c r="S523" s="110">
        <f t="shared" si="274"/>
        <v>845.36999999999989</v>
      </c>
      <c r="T523" s="135">
        <f t="shared" si="275"/>
        <v>0.30659969088098893</v>
      </c>
      <c r="U523" s="135" t="str">
        <f t="shared" si="276"/>
        <v/>
      </c>
      <c r="V523" s="135" t="str">
        <f t="shared" si="277"/>
        <v/>
      </c>
      <c r="W523" s="45"/>
      <c r="X523" s="114" t="str">
        <f>IFERROR((VLOOKUP($A523,'ИЗ ГУГЛА'!$B:$G,X$1,0)+Z523)*Y523,VLOOKUP($A523,'ИЗ ГУГЛА'!$B:$G,X$1,0))</f>
        <v/>
      </c>
      <c r="Y523" s="108">
        <v>1</v>
      </c>
      <c r="Z523" s="46"/>
      <c r="AA523" s="139" t="s">
        <v>1821</v>
      </c>
      <c r="AB523" s="124"/>
      <c r="AC523" s="114" t="str">
        <f>IFERROR((VLOOKUP($A523,'ИЗ ГУГЛА'!$B:$Z,AC$1,0)+AE523)*AD523,VLOOKUP($A523,'ИЗ ГУГЛА'!$B:$Z,AC$1,0))</f>
        <v/>
      </c>
      <c r="AD523" s="108">
        <v>1</v>
      </c>
      <c r="AE523" s="46"/>
      <c r="AF523" s="115"/>
    </row>
    <row r="524" spans="1:32" s="5" customFormat="1" ht="30.75" thickBot="1" x14ac:dyDescent="0.3">
      <c r="A524" s="132">
        <v>181700</v>
      </c>
      <c r="B524" s="132">
        <f>VLOOKUP($A524,'Выгр Кат'!$A:$S,B$1,0)</f>
        <v>20335</v>
      </c>
      <c r="C524" s="133" t="str">
        <f>VLOOKUP($A524,'Выгр Кат'!$A:$S,C$1,0)</f>
        <v>Опора "БРТ" рычага кулисы КПП для ВАЗ 2110-2112, Лада Приора</v>
      </c>
      <c r="D524" s="132" t="str">
        <f>VLOOKUP($A524,'Выгр Кат'!$A:$S,D$1,0)</f>
        <v>Y</v>
      </c>
      <c r="E524" s="132" t="str">
        <f>VLOOKUP($A524,'Выгр Кат'!$A:$S,E$1,0)</f>
        <v>1</v>
      </c>
      <c r="F524" s="132" t="str">
        <f>VLOOKUP($A524,'Выгр Кат'!$A:$S,F$1,0)</f>
        <v>2110-1703190РУ</v>
      </c>
      <c r="G524" s="45" t="s">
        <v>394</v>
      </c>
      <c r="H524" s="29"/>
      <c r="I524" s="4" t="s">
        <v>2</v>
      </c>
      <c r="J524" s="95">
        <v>1</v>
      </c>
      <c r="K524" s="168">
        <f t="shared" si="278"/>
        <v>651</v>
      </c>
      <c r="L524" s="167">
        <f>VLOOKUP(K524,Наценка!$A$1:$B$8,2,1)</f>
        <v>1.3978494623655915</v>
      </c>
      <c r="M524" s="172">
        <f t="shared" si="281"/>
        <v>910.00000000000011</v>
      </c>
      <c r="N524" s="173">
        <f t="shared" si="271"/>
        <v>909</v>
      </c>
      <c r="O524" s="134">
        <f>VLOOKUP($A524,'Выгр Кат'!$A:$S,O$1,0)</f>
        <v>651</v>
      </c>
      <c r="P524" s="134">
        <f>VLOOKUP($A524,'Выгр Кат'!$A:$S,P$1,0)</f>
        <v>909</v>
      </c>
      <c r="Q524" s="107">
        <f t="shared" si="272"/>
        <v>0</v>
      </c>
      <c r="R524" s="107">
        <f t="shared" si="273"/>
        <v>0</v>
      </c>
      <c r="S524" s="110">
        <f t="shared" si="274"/>
        <v>845.36999999999989</v>
      </c>
      <c r="T524" s="135">
        <f t="shared" si="275"/>
        <v>0.29857142857142849</v>
      </c>
      <c r="U524" s="135">
        <f t="shared" si="276"/>
        <v>-0.22517391304347811</v>
      </c>
      <c r="V524" s="135">
        <f t="shared" si="277"/>
        <v>5.9907834101382562E-2</v>
      </c>
      <c r="W524" s="117">
        <f t="shared" ref="W524:W525" si="284">AA524</f>
        <v>690</v>
      </c>
      <c r="X524" s="114">
        <f>IFERROR((VLOOKUP($A524,'ИЗ ГУГЛА'!$B:$G,X$1,0)+Z524)*Y524,VLOOKUP($A524,'ИЗ ГУГЛА'!$B:$G,X$1,0))</f>
        <v>690</v>
      </c>
      <c r="Y524" s="108">
        <v>1</v>
      </c>
      <c r="Z524" s="46"/>
      <c r="AA524" s="136">
        <v>690</v>
      </c>
      <c r="AB524" s="124" t="s">
        <v>2552</v>
      </c>
      <c r="AC524" s="114" t="str">
        <f>IFERROR((VLOOKUP($A524,'ИЗ ГУГЛА'!$B:$Z,AC$1,0)+AE524)*AD524,VLOOKUP($A524,'ИЗ ГУГЛА'!$B:$Z,AC$1,0))</f>
        <v/>
      </c>
      <c r="AD524" s="108">
        <v>1</v>
      </c>
      <c r="AE524" s="46"/>
      <c r="AF524" s="115"/>
    </row>
    <row r="525" spans="1:32" s="5" customFormat="1" ht="31.5" thickTop="1" thickBot="1" x14ac:dyDescent="0.3">
      <c r="A525" s="132">
        <v>223150</v>
      </c>
      <c r="B525" s="132">
        <f>VLOOKUP($A525,'Выгр Кат'!$A:$S,B$1,0)</f>
        <v>5507</v>
      </c>
      <c r="C525" s="133" t="str">
        <f>VLOOKUP($A525,'Выгр Кат'!$A:$S,C$1,0)</f>
        <v>Уплотнитель "БРТ" передней двери 3-х камерная для ВАЗ 2108, 2113</v>
      </c>
      <c r="D525" s="132" t="str">
        <f>VLOOKUP($A525,'Выгр Кат'!$A:$S,D$1,0)</f>
        <v>Y</v>
      </c>
      <c r="E525" s="132" t="str">
        <f>VLOOKUP($A525,'Выгр Кат'!$A:$S,E$1,0)</f>
        <v>1</v>
      </c>
      <c r="F525" s="132" t="str">
        <f>VLOOKUP($A525,'Выгр Кат'!$A:$S,F$1,0)</f>
        <v>2108610701</v>
      </c>
      <c r="G525" s="42" t="s">
        <v>360</v>
      </c>
      <c r="H525" s="41"/>
      <c r="I525" s="4" t="s">
        <v>2</v>
      </c>
      <c r="J525" s="105">
        <v>2</v>
      </c>
      <c r="K525" s="168">
        <f t="shared" si="278"/>
        <v>810</v>
      </c>
      <c r="L525" s="167">
        <f>VLOOKUP(K525,Наценка!$A$1:$B$8,2,1)</f>
        <v>1.3978494623655915</v>
      </c>
      <c r="M525" s="145">
        <f>W525*1</f>
        <v>1390</v>
      </c>
      <c r="N525" s="173">
        <f t="shared" si="271"/>
        <v>1390</v>
      </c>
      <c r="O525" s="134">
        <f>VLOOKUP($A525,'Выгр Кат'!$A:$S,O$1,0)</f>
        <v>810</v>
      </c>
      <c r="P525" s="134">
        <f>VLOOKUP($A525,'Выгр Кат'!$A:$S,P$1,0)</f>
        <v>1390</v>
      </c>
      <c r="Q525" s="107">
        <f t="shared" si="272"/>
        <v>0</v>
      </c>
      <c r="R525" s="107">
        <f t="shared" si="273"/>
        <v>0</v>
      </c>
      <c r="S525" s="110">
        <f t="shared" si="274"/>
        <v>1292.6999999999998</v>
      </c>
      <c r="T525" s="135">
        <f t="shared" si="275"/>
        <v>0.59592592592592575</v>
      </c>
      <c r="U525" s="135">
        <f t="shared" si="276"/>
        <v>7.0000000000000132E-2</v>
      </c>
      <c r="V525" s="135">
        <f t="shared" si="277"/>
        <v>0.71604938271604945</v>
      </c>
      <c r="W525" s="117">
        <f t="shared" si="284"/>
        <v>1390</v>
      </c>
      <c r="X525" s="114">
        <f>IFERROR((VLOOKUP($A525,'ИЗ ГУГЛА'!$B:$G,X$1,0)+Z525)*Y525,VLOOKUP($A525,'ИЗ ГУГЛА'!$B:$G,X$1,0))</f>
        <v>1390</v>
      </c>
      <c r="Y525" s="46">
        <v>1</v>
      </c>
      <c r="Z525" s="46"/>
      <c r="AA525" s="138">
        <v>1390</v>
      </c>
      <c r="AB525" s="124" t="s">
        <v>2317</v>
      </c>
      <c r="AC525" s="114" t="str">
        <f>IFERROR((VLOOKUP($A525,'ИЗ ГУГЛА'!$B:$Z,AC$1,0)+AE525)*AD525,VLOOKUP($A525,'ИЗ ГУГЛА'!$B:$Z,AC$1,0))</f>
        <v/>
      </c>
      <c r="AD525" s="46">
        <v>1</v>
      </c>
      <c r="AE525" s="46"/>
      <c r="AF525" s="115"/>
    </row>
    <row r="526" spans="1:32" s="5" customFormat="1" ht="45.75" thickTop="1" x14ac:dyDescent="0.25">
      <c r="A526" s="132">
        <v>223159</v>
      </c>
      <c r="B526" s="132">
        <f>VLOOKUP($A526,'Выгр Кат'!$A:$S,B$1,0)</f>
        <v>5963</v>
      </c>
      <c r="C526" s="133" t="str">
        <f>VLOOKUP($A526,'Выгр Кат'!$A:$S,C$1,0)</f>
        <v>Уплотнители (бархотки) "БРТ" опускного стекла внутренние Н/О для ВАЗ 2109, 21099, 2114, 2115</v>
      </c>
      <c r="D526" s="132" t="str">
        <f>VLOOKUP($A526,'Выгр Кат'!$A:$S,D$1,0)</f>
        <v>Y</v>
      </c>
      <c r="E526" s="132" t="str">
        <f>VLOOKUP($A526,'Выгр Кат'!$A:$S,E$1,0)</f>
        <v>1</v>
      </c>
      <c r="F526" s="132" t="str">
        <f>VLOOKUP($A526,'Выгр Кат'!$A:$S,F$1,0)</f>
        <v>2109-6103320-10Р, 2109-6203320-10Р</v>
      </c>
      <c r="G526" s="35" t="s">
        <v>378</v>
      </c>
      <c r="H526" s="41"/>
      <c r="I526" s="4" t="s">
        <v>2</v>
      </c>
      <c r="J526" s="105">
        <v>4</v>
      </c>
      <c r="K526" s="168">
        <f t="shared" si="278"/>
        <v>700</v>
      </c>
      <c r="L526" s="167">
        <f>VLOOKUP(K526,Наценка!$A$1:$B$8,2,1)</f>
        <v>1.3978494623655915</v>
      </c>
      <c r="M526" s="172">
        <f t="shared" si="281"/>
        <v>978.4946236559141</v>
      </c>
      <c r="N526" s="173">
        <f t="shared" si="271"/>
        <v>979</v>
      </c>
      <c r="O526" s="134">
        <f>VLOOKUP($A526,'Выгр Кат'!$A:$S,O$1,0)</f>
        <v>700</v>
      </c>
      <c r="P526" s="134">
        <f>VLOOKUP($A526,'Выгр Кат'!$A:$S,P$1,0)</f>
        <v>979</v>
      </c>
      <c r="Q526" s="107">
        <f t="shared" si="272"/>
        <v>0</v>
      </c>
      <c r="R526" s="107">
        <f t="shared" si="273"/>
        <v>0</v>
      </c>
      <c r="S526" s="110">
        <f t="shared" si="274"/>
        <v>910.46999999999991</v>
      </c>
      <c r="T526" s="135">
        <f t="shared" si="275"/>
        <v>0.30067142857142848</v>
      </c>
      <c r="U526" s="135" t="str">
        <f t="shared" si="276"/>
        <v/>
      </c>
      <c r="V526" s="135" t="str">
        <f t="shared" si="277"/>
        <v/>
      </c>
      <c r="W526" s="45"/>
      <c r="X526" s="114" t="str">
        <f>IFERROR((VLOOKUP($A526,'ИЗ ГУГЛА'!$B:$G,X$1,0)+Z526)*Y526,VLOOKUP($A526,'ИЗ ГУГЛА'!$B:$G,X$1,0))</f>
        <v/>
      </c>
      <c r="Y526" s="108">
        <v>1</v>
      </c>
      <c r="Z526" s="46"/>
      <c r="AA526" s="139" t="s">
        <v>1821</v>
      </c>
      <c r="AB526" s="124"/>
      <c r="AC526" s="114" t="str">
        <f>IFERROR((VLOOKUP($A526,'ИЗ ГУГЛА'!$B:$Z,AC$1,0)+AE526)*AD526,VLOOKUP($A526,'ИЗ ГУГЛА'!$B:$Z,AC$1,0))</f>
        <v/>
      </c>
      <c r="AD526" s="108">
        <v>1</v>
      </c>
      <c r="AE526" s="46"/>
      <c r="AF526" s="115"/>
    </row>
    <row r="527" spans="1:32" s="5" customFormat="1" ht="45" x14ac:dyDescent="0.25">
      <c r="A527" s="132">
        <v>223146</v>
      </c>
      <c r="B527" s="132">
        <f>VLOOKUP($A527,'Выгр Кат'!$A:$S,B$1,0)</f>
        <v>5499</v>
      </c>
      <c r="C527" s="133" t="str">
        <f>VLOOKUP($A527,'Выгр Кат'!$A:$S,C$1,0)</f>
        <v>Уплотнители (бархотки) "БРТ" опускного стекла внутренние С/О для ВАЗ 2109, 21099, 2114, 2115</v>
      </c>
      <c r="D527" s="132" t="str">
        <f>VLOOKUP($A527,'Выгр Кат'!$A:$S,D$1,0)</f>
        <v>Y</v>
      </c>
      <c r="E527" s="132" t="str">
        <f>VLOOKUP($A527,'Выгр Кат'!$A:$S,E$1,0)</f>
        <v>1</v>
      </c>
      <c r="F527" s="132" t="str">
        <f>VLOOKUP($A527,'Выгр Кат'!$A:$S,F$1,0)</f>
        <v>2109-6103320Р, 2109-6203320Р</v>
      </c>
      <c r="G527" s="39" t="s">
        <v>378</v>
      </c>
      <c r="H527" s="41"/>
      <c r="I527" s="4" t="s">
        <v>2</v>
      </c>
      <c r="J527" s="105">
        <v>4</v>
      </c>
      <c r="K527" s="168">
        <f t="shared" si="278"/>
        <v>675</v>
      </c>
      <c r="L527" s="167">
        <f>VLOOKUP(K527,Наценка!$A$1:$B$8,2,1)</f>
        <v>1.3978494623655915</v>
      </c>
      <c r="M527" s="172">
        <f t="shared" si="281"/>
        <v>943.54838709677426</v>
      </c>
      <c r="N527" s="173">
        <f t="shared" si="271"/>
        <v>949</v>
      </c>
      <c r="O527" s="134">
        <f>VLOOKUP($A527,'Выгр Кат'!$A:$S,O$1,0)</f>
        <v>675</v>
      </c>
      <c r="P527" s="134">
        <f>VLOOKUP($A527,'Выгр Кат'!$A:$S,P$1,0)</f>
        <v>949</v>
      </c>
      <c r="Q527" s="107">
        <f t="shared" si="272"/>
        <v>0</v>
      </c>
      <c r="R527" s="107">
        <f t="shared" si="273"/>
        <v>0</v>
      </c>
      <c r="S527" s="110">
        <f t="shared" si="274"/>
        <v>882.56999999999994</v>
      </c>
      <c r="T527" s="135">
        <f t="shared" si="275"/>
        <v>0.30751111111111107</v>
      </c>
      <c r="U527" s="135" t="str">
        <f t="shared" si="276"/>
        <v/>
      </c>
      <c r="V527" s="135" t="str">
        <f t="shared" si="277"/>
        <v/>
      </c>
      <c r="W527" s="45"/>
      <c r="X527" s="114" t="str">
        <f>IFERROR((VLOOKUP($A527,'ИЗ ГУГЛА'!$B:$G,X$1,0)+Z527)*Y527,VLOOKUP($A527,'ИЗ ГУГЛА'!$B:$G,X$1,0))</f>
        <v/>
      </c>
      <c r="Y527" s="108">
        <v>1</v>
      </c>
      <c r="Z527" s="46"/>
      <c r="AA527" s="139" t="s">
        <v>1821</v>
      </c>
      <c r="AB527" s="124"/>
      <c r="AC527" s="114" t="str">
        <f>IFERROR((VLOOKUP($A527,'ИЗ ГУГЛА'!$B:$Z,AC$1,0)+AE527)*AD527,VLOOKUP($A527,'ИЗ ГУГЛА'!$B:$Z,AC$1,0))</f>
        <v/>
      </c>
      <c r="AD527" s="108">
        <v>1</v>
      </c>
      <c r="AE527" s="46"/>
      <c r="AF527" s="115"/>
    </row>
    <row r="528" spans="1:32" s="5" customFormat="1" ht="30.75" thickBot="1" x14ac:dyDescent="0.3">
      <c r="A528" s="132">
        <v>181603</v>
      </c>
      <c r="B528" s="132">
        <f>VLOOKUP($A528,'Выгр Кат'!$A:$S,B$1,0)</f>
        <v>19810</v>
      </c>
      <c r="C528" s="133" t="str">
        <f>VLOOKUP($A528,'Выгр Кат'!$A:$S,C$1,0)</f>
        <v>Опора двигателя "БРТ" правая для ВАЗ 2110-2112</v>
      </c>
      <c r="D528" s="132" t="str">
        <f>VLOOKUP($A528,'Выгр Кат'!$A:$S,D$1,0)</f>
        <v>Y</v>
      </c>
      <c r="E528" s="132" t="str">
        <f>VLOOKUP($A528,'Выгр Кат'!$A:$S,E$1,0)</f>
        <v>1</v>
      </c>
      <c r="F528" s="132" t="str">
        <f>VLOOKUP($A528,'Выгр Кат'!$A:$S,F$1,0)</f>
        <v>2110-1001242ПРУ</v>
      </c>
      <c r="G528" s="45" t="s">
        <v>382</v>
      </c>
      <c r="H528" s="29"/>
      <c r="I528" s="4" t="s">
        <v>2</v>
      </c>
      <c r="J528" s="95">
        <v>1</v>
      </c>
      <c r="K528" s="168">
        <f t="shared" si="278"/>
        <v>664</v>
      </c>
      <c r="L528" s="167">
        <f>VLOOKUP(K528,Наценка!$A$1:$B$8,2,1)</f>
        <v>1.3978494623655915</v>
      </c>
      <c r="M528" s="148">
        <f t="shared" ref="M528:M529" si="285">W528*1.06</f>
        <v>943.40000000000009</v>
      </c>
      <c r="N528" s="173">
        <f t="shared" si="271"/>
        <v>949</v>
      </c>
      <c r="O528" s="134">
        <f>VLOOKUP($A528,'Выгр Кат'!$A:$S,O$1,0)</f>
        <v>664</v>
      </c>
      <c r="P528" s="134">
        <f>VLOOKUP($A528,'Выгр Кат'!$A:$S,P$1,0)</f>
        <v>929</v>
      </c>
      <c r="Q528" s="107">
        <f t="shared" si="272"/>
        <v>0</v>
      </c>
      <c r="R528" s="107">
        <f t="shared" si="273"/>
        <v>-20</v>
      </c>
      <c r="S528" s="110">
        <f t="shared" si="274"/>
        <v>882.56999999999994</v>
      </c>
      <c r="T528" s="135">
        <f t="shared" si="275"/>
        <v>0.32917168674698782</v>
      </c>
      <c r="U528" s="135">
        <f t="shared" si="276"/>
        <v>8.3483146067416438E-3</v>
      </c>
      <c r="V528" s="135">
        <f t="shared" si="277"/>
        <v>0.34036144578313254</v>
      </c>
      <c r="W528" s="117">
        <f t="shared" ref="W528:W529" si="286">AA528</f>
        <v>890</v>
      </c>
      <c r="X528" s="114">
        <f>IFERROR((VLOOKUP($A528,'ИЗ ГУГЛА'!$B:$G,X$1,0)+Z528)*Y528,VLOOKUP($A528,'ИЗ ГУГЛА'!$B:$G,X$1,0))</f>
        <v>890</v>
      </c>
      <c r="Y528" s="108">
        <v>1</v>
      </c>
      <c r="Z528" s="46"/>
      <c r="AA528" s="136">
        <v>890</v>
      </c>
      <c r="AB528" s="124" t="s">
        <v>2278</v>
      </c>
      <c r="AC528" s="114" t="str">
        <f>IFERROR((VLOOKUP($A528,'ИЗ ГУГЛА'!$B:$Z,AC$1,0)+AE528)*AD528,VLOOKUP($A528,'ИЗ ГУГЛА'!$B:$Z,AC$1,0))</f>
        <v/>
      </c>
      <c r="AD528" s="108">
        <v>1</v>
      </c>
      <c r="AE528" s="46"/>
      <c r="AF528" s="115"/>
    </row>
    <row r="529" spans="1:33" s="5" customFormat="1" ht="31.5" thickTop="1" thickBot="1" x14ac:dyDescent="0.3">
      <c r="A529" s="132">
        <v>181601</v>
      </c>
      <c r="B529" s="132">
        <f>VLOOKUP($A529,'Выгр Кат'!$A:$S,B$1,0)</f>
        <v>19809</v>
      </c>
      <c r="C529" s="133" t="str">
        <f>VLOOKUP($A529,'Выгр Кат'!$A:$S,C$1,0)</f>
        <v>Опора двигателя "БРТ" левая для ВАЗ 2110-2112</v>
      </c>
      <c r="D529" s="132" t="str">
        <f>VLOOKUP($A529,'Выгр Кат'!$A:$S,D$1,0)</f>
        <v>Y</v>
      </c>
      <c r="E529" s="132" t="str">
        <f>VLOOKUP($A529,'Выгр Кат'!$A:$S,E$1,0)</f>
        <v>1</v>
      </c>
      <c r="F529" s="132" t="str">
        <f>VLOOKUP($A529,'Выгр Кат'!$A:$S,F$1,0)</f>
        <v>2110-1001242ЛРУ</v>
      </c>
      <c r="G529" s="45" t="s">
        <v>381</v>
      </c>
      <c r="H529" s="29"/>
      <c r="I529" s="4" t="s">
        <v>2</v>
      </c>
      <c r="J529" s="95">
        <v>1</v>
      </c>
      <c r="K529" s="168">
        <f t="shared" si="278"/>
        <v>664</v>
      </c>
      <c r="L529" s="167">
        <f>VLOOKUP(K529,Наценка!$A$1:$B$8,2,1)</f>
        <v>1.3978494623655915</v>
      </c>
      <c r="M529" s="148">
        <f t="shared" si="285"/>
        <v>943.40000000000009</v>
      </c>
      <c r="N529" s="173">
        <f t="shared" si="271"/>
        <v>949</v>
      </c>
      <c r="O529" s="134">
        <f>VLOOKUP($A529,'Выгр Кат'!$A:$S,O$1,0)</f>
        <v>664</v>
      </c>
      <c r="P529" s="134">
        <f>VLOOKUP($A529,'Выгр Кат'!$A:$S,P$1,0)</f>
        <v>929</v>
      </c>
      <c r="Q529" s="107">
        <f t="shared" si="272"/>
        <v>0</v>
      </c>
      <c r="R529" s="107">
        <f t="shared" si="273"/>
        <v>-20</v>
      </c>
      <c r="S529" s="110">
        <f t="shared" si="274"/>
        <v>882.56999999999994</v>
      </c>
      <c r="T529" s="135">
        <f t="shared" si="275"/>
        <v>0.32917168674698782</v>
      </c>
      <c r="U529" s="135">
        <f t="shared" si="276"/>
        <v>8.3483146067416438E-3</v>
      </c>
      <c r="V529" s="135">
        <f t="shared" si="277"/>
        <v>0.34036144578313254</v>
      </c>
      <c r="W529" s="117">
        <f t="shared" si="286"/>
        <v>890</v>
      </c>
      <c r="X529" s="114">
        <f>IFERROR((VLOOKUP($A529,'ИЗ ГУГЛА'!$B:$G,X$1,0)+Z529)*Y529,VLOOKUP($A529,'ИЗ ГУГЛА'!$B:$G,X$1,0))</f>
        <v>890</v>
      </c>
      <c r="Y529" s="46">
        <v>1</v>
      </c>
      <c r="Z529" s="46"/>
      <c r="AA529" s="138">
        <v>890</v>
      </c>
      <c r="AB529" s="124" t="s">
        <v>2278</v>
      </c>
      <c r="AC529" s="114" t="str">
        <f>IFERROR((VLOOKUP($A529,'ИЗ ГУГЛА'!$B:$Z,AC$1,0)+AE529)*AD529,VLOOKUP($A529,'ИЗ ГУГЛА'!$B:$Z,AC$1,0))</f>
        <v/>
      </c>
      <c r="AD529" s="46">
        <v>1</v>
      </c>
      <c r="AE529" s="46"/>
      <c r="AF529" s="115"/>
    </row>
    <row r="530" spans="1:33" s="5" customFormat="1" ht="60.75" thickTop="1" x14ac:dyDescent="0.25">
      <c r="A530" s="132">
        <v>204295</v>
      </c>
      <c r="B530" s="132">
        <f>VLOOKUP($A530,'Выгр Кат'!$A:$S,B$1,0)</f>
        <v>20360</v>
      </c>
      <c r="C530" s="133" t="str">
        <f>VLOOKUP($A530,'Выгр Кат'!$A:$S,C$1,0)</f>
        <v>Ремень зубчатый ГРМ "БРТ" для ВАЗ 2108-21099, 2113-2115, 2110-2112, 1111, Лада Калина (с 8 клапанными инжекторными двигателями)</v>
      </c>
      <c r="D530" s="132" t="str">
        <f>VLOOKUP($A530,'Выгр Кат'!$A:$S,D$1,0)</f>
        <v>Y</v>
      </c>
      <c r="E530" s="132" t="str">
        <f>VLOOKUP($A530,'Выгр Кат'!$A:$S,E$1,0)</f>
        <v>1</v>
      </c>
      <c r="F530" s="132" t="str">
        <f>VLOOKUP($A530,'Выгр Кат'!$A:$S,F$1,0)</f>
        <v>2108-1006040-10РУ</v>
      </c>
      <c r="G530" s="45" t="s">
        <v>318</v>
      </c>
      <c r="H530" s="29"/>
      <c r="I530" s="4" t="s">
        <v>2</v>
      </c>
      <c r="J530" s="95">
        <v>1</v>
      </c>
      <c r="K530" s="168">
        <f t="shared" si="278"/>
        <v>666</v>
      </c>
      <c r="L530" s="167">
        <f>VLOOKUP(K530,Наценка!$A$1:$B$8,2,1)</f>
        <v>1.3978494623655915</v>
      </c>
      <c r="M530" s="149">
        <f t="shared" ref="M528:M530" si="287">W530*1.07</f>
        <v>989.75000000000011</v>
      </c>
      <c r="N530" s="173">
        <f t="shared" si="271"/>
        <v>989</v>
      </c>
      <c r="O530" s="134">
        <f>VLOOKUP($A530,'Выгр Кат'!$A:$S,O$1,0)</f>
        <v>666</v>
      </c>
      <c r="P530" s="134">
        <f>VLOOKUP($A530,'Выгр Кат'!$A:$S,P$1,0)</f>
        <v>939</v>
      </c>
      <c r="Q530" s="107">
        <f t="shared" si="272"/>
        <v>0</v>
      </c>
      <c r="R530" s="107">
        <f t="shared" si="273"/>
        <v>-50</v>
      </c>
      <c r="S530" s="110">
        <f t="shared" si="274"/>
        <v>919.77</v>
      </c>
      <c r="T530" s="135">
        <f t="shared" si="275"/>
        <v>0.38103603603603609</v>
      </c>
      <c r="U530" s="135">
        <f t="shared" si="276"/>
        <v>5.6540540540540741E-3</v>
      </c>
      <c r="V530" s="135">
        <f t="shared" si="277"/>
        <v>0.38888888888888884</v>
      </c>
      <c r="W530" s="118">
        <f>AF530</f>
        <v>925</v>
      </c>
      <c r="X530" s="114" t="str">
        <f>IFERROR((VLOOKUP($A530,'ИЗ ГУГЛА'!$B:$G,X$1,0)+Z530)*Y530,VLOOKUP($A530,'ИЗ ГУГЛА'!$B:$G,X$1,0))</f>
        <v/>
      </c>
      <c r="Y530" s="108">
        <v>1</v>
      </c>
      <c r="Z530" s="46"/>
      <c r="AA530" s="139" t="s">
        <v>1821</v>
      </c>
      <c r="AB530" s="124"/>
      <c r="AC530" s="114">
        <f>IFERROR((VLOOKUP($A530,'ИЗ ГУГЛА'!$B:$Z,AC$1,0)+AE530)*AD530,VLOOKUP($A530,'ИЗ ГУГЛА'!$B:$Z,AC$1,0))</f>
        <v>925</v>
      </c>
      <c r="AD530" s="108">
        <v>1</v>
      </c>
      <c r="AE530" s="46"/>
      <c r="AF530" s="115">
        <v>925</v>
      </c>
      <c r="AG530" s="5" t="s">
        <v>2838</v>
      </c>
    </row>
    <row r="531" spans="1:33" s="5" customFormat="1" ht="30.75" thickBot="1" x14ac:dyDescent="0.3">
      <c r="A531" s="132">
        <v>204278</v>
      </c>
      <c r="B531" s="132">
        <f>VLOOKUP($A531,'Выгр Кат'!$A:$S,B$1,0)</f>
        <v>1429</v>
      </c>
      <c r="C531" s="133" t="str">
        <f>VLOOKUP($A531,'Выгр Кат'!$A:$S,C$1,0)</f>
        <v>Ремень ГРМ "Балаково" ВАЗ 2108 для ВАЗ 2108-21099, 2110-2112, 2113-2115</v>
      </c>
      <c r="D531" s="132" t="str">
        <f>VLOOKUP($A531,'Выгр Кат'!$A:$S,D$1,0)</f>
        <v>Y</v>
      </c>
      <c r="E531" s="132" t="str">
        <f>VLOOKUP($A531,'Выгр Кат'!$A:$S,E$1,0)</f>
        <v>1</v>
      </c>
      <c r="F531" s="132" t="str">
        <f>VLOOKUP($A531,'Выгр Кат'!$A:$S,F$1,0)</f>
        <v>210800100604000</v>
      </c>
      <c r="G531" s="33" t="s">
        <v>318</v>
      </c>
      <c r="H531" s="29"/>
      <c r="I531" s="4" t="s">
        <v>2</v>
      </c>
      <c r="J531" s="95">
        <v>1</v>
      </c>
      <c r="K531" s="168">
        <f t="shared" si="278"/>
        <v>666</v>
      </c>
      <c r="L531" s="167">
        <f>VLOOKUP(K531,Наценка!$A$1:$B$8,2,1)</f>
        <v>1.3978494623655915</v>
      </c>
      <c r="M531" s="172">
        <f t="shared" si="281"/>
        <v>930.9677419354839</v>
      </c>
      <c r="N531" s="173">
        <f t="shared" si="271"/>
        <v>939</v>
      </c>
      <c r="O531" s="134">
        <f>VLOOKUP($A531,'Выгр Кат'!$A:$S,O$1,0)</f>
        <v>666</v>
      </c>
      <c r="P531" s="134">
        <f>VLOOKUP($A531,'Выгр Кат'!$A:$S,P$1,0)</f>
        <v>939</v>
      </c>
      <c r="Q531" s="107">
        <f t="shared" si="272"/>
        <v>0</v>
      </c>
      <c r="R531" s="107">
        <f t="shared" si="273"/>
        <v>0</v>
      </c>
      <c r="S531" s="110">
        <f t="shared" si="274"/>
        <v>873.27</v>
      </c>
      <c r="T531" s="135">
        <f t="shared" si="275"/>
        <v>0.3112162162162162</v>
      </c>
      <c r="U531" s="135" t="str">
        <f t="shared" si="276"/>
        <v/>
      </c>
      <c r="V531" s="135" t="str">
        <f t="shared" si="277"/>
        <v/>
      </c>
      <c r="W531" s="45"/>
      <c r="X531" s="114" t="str">
        <f>IFERROR((VLOOKUP($A531,'ИЗ ГУГЛА'!$B:$G,X$1,0)+Z531)*Y531,VLOOKUP($A531,'ИЗ ГУГЛА'!$B:$G,X$1,0))</f>
        <v/>
      </c>
      <c r="Y531" s="108">
        <v>1</v>
      </c>
      <c r="Z531" s="46"/>
      <c r="AA531" s="140" t="s">
        <v>1821</v>
      </c>
      <c r="AB531" s="129"/>
      <c r="AC531" s="114" t="str">
        <f>IFERROR((VLOOKUP($A531,'ИЗ ГУГЛА'!$B:$Z,AC$1,0)+AE531)*AD531,VLOOKUP($A531,'ИЗ ГУГЛА'!$B:$Z,AC$1,0))</f>
        <v/>
      </c>
      <c r="AD531" s="108">
        <v>1</v>
      </c>
      <c r="AE531" s="46"/>
      <c r="AF531" s="115"/>
    </row>
    <row r="532" spans="1:33" s="5" customFormat="1" ht="46.5" thickTop="1" thickBot="1" x14ac:dyDescent="0.3">
      <c r="A532" s="132">
        <v>204313</v>
      </c>
      <c r="B532" s="132">
        <f>VLOOKUP($A532,'Выгр Кат'!$A:$S,B$1,0)</f>
        <v>20353</v>
      </c>
      <c r="C532" s="133" t="str">
        <f>VLOOKUP($A532,'Выгр Кат'!$A:$S,C$1,0)</f>
        <v>Ремень привода навесных агрегатов поликлиновой 882 "БРТ" для Лада Калина</v>
      </c>
      <c r="D532" s="132" t="str">
        <f>VLOOKUP($A532,'Выгр Кат'!$A:$S,D$1,0)</f>
        <v>Y</v>
      </c>
      <c r="E532" s="132" t="str">
        <f>VLOOKUP($A532,'Выгр Кат'!$A:$S,E$1,0)</f>
        <v>1</v>
      </c>
      <c r="F532" s="132" t="str">
        <f>VLOOKUP($A532,'Выгр Кат'!$A:$S,F$1,0)</f>
        <v>1118-1041020-02РУ</v>
      </c>
      <c r="G532" s="43" t="s">
        <v>680</v>
      </c>
      <c r="H532" s="29"/>
      <c r="I532" s="4" t="s">
        <v>2</v>
      </c>
      <c r="J532" s="95">
        <v>1</v>
      </c>
      <c r="K532" s="168">
        <f t="shared" si="278"/>
        <v>654</v>
      </c>
      <c r="L532" s="167">
        <f>VLOOKUP(K532,Наценка!$A$1:$B$8,2,1)</f>
        <v>1.3978494623655915</v>
      </c>
      <c r="M532" s="172">
        <f t="shared" si="281"/>
        <v>914.19354838709683</v>
      </c>
      <c r="N532" s="173">
        <f t="shared" si="271"/>
        <v>919</v>
      </c>
      <c r="O532" s="134">
        <f>VLOOKUP($A532,'Выгр Кат'!$A:$S,O$1,0)</f>
        <v>654</v>
      </c>
      <c r="P532" s="134">
        <f>VLOOKUP($A532,'Выгр Кат'!$A:$S,P$1,0)</f>
        <v>919</v>
      </c>
      <c r="Q532" s="107">
        <f t="shared" si="272"/>
        <v>0</v>
      </c>
      <c r="R532" s="107">
        <f t="shared" si="273"/>
        <v>0</v>
      </c>
      <c r="S532" s="110">
        <f t="shared" si="274"/>
        <v>854.67</v>
      </c>
      <c r="T532" s="135">
        <f t="shared" si="275"/>
        <v>0.30683486238532098</v>
      </c>
      <c r="U532" s="135" t="str">
        <f t="shared" si="276"/>
        <v/>
      </c>
      <c r="V532" s="135" t="str">
        <f t="shared" si="277"/>
        <v/>
      </c>
      <c r="W532" s="45"/>
      <c r="X532" s="114" t="str">
        <f>IFERROR((VLOOKUP($A532,'ИЗ ГУГЛА'!$B:$G,X$1,0)+Z532)*Y532,VLOOKUP($A532,'ИЗ ГУГЛА'!$B:$G,X$1,0))</f>
        <v/>
      </c>
      <c r="Y532" s="108">
        <v>1</v>
      </c>
      <c r="Z532" s="46"/>
      <c r="AA532" s="140" t="s">
        <v>1821</v>
      </c>
      <c r="AB532" s="129"/>
      <c r="AC532" s="114" t="str">
        <f>IFERROR((VLOOKUP($A532,'ИЗ ГУГЛА'!$B:$Z,AC$1,0)+AE532)*AD532,VLOOKUP($A532,'ИЗ ГУГЛА'!$B:$Z,AC$1,0))</f>
        <v/>
      </c>
      <c r="AD532" s="108">
        <v>1</v>
      </c>
      <c r="AE532" s="46"/>
      <c r="AF532" s="115"/>
    </row>
    <row r="533" spans="1:33" s="5" customFormat="1" ht="31.5" thickTop="1" thickBot="1" x14ac:dyDescent="0.3">
      <c r="A533" s="132">
        <v>223180</v>
      </c>
      <c r="B533" s="132">
        <f>VLOOKUP($A533,'Выгр Кат'!$A:$S,B$1,0)</f>
        <v>4938</v>
      </c>
      <c r="C533" s="133" t="str">
        <f>VLOOKUP($A533,'Выгр Кат'!$A:$S,C$1,0)</f>
        <v>Уплотнители проемов дверей для Нива 4x4 (2 шт.)</v>
      </c>
      <c r="D533" s="132" t="str">
        <f>VLOOKUP($A533,'Выгр Кат'!$A:$S,D$1,0)</f>
        <v>Y</v>
      </c>
      <c r="E533" s="132" t="str">
        <f>VLOOKUP($A533,'Выгр Кат'!$A:$S,E$1,0)</f>
        <v>1</v>
      </c>
      <c r="F533" s="132">
        <f>VLOOKUP($A533,'Выгр Кат'!$A:$S,F$1,0)</f>
        <v>0</v>
      </c>
      <c r="G533" s="42" t="s">
        <v>456</v>
      </c>
      <c r="H533" s="41"/>
      <c r="I533" s="4" t="s">
        <v>2</v>
      </c>
      <c r="J533" s="105">
        <v>2</v>
      </c>
      <c r="K533" s="168">
        <f t="shared" si="278"/>
        <v>635</v>
      </c>
      <c r="L533" s="167">
        <f>VLOOKUP(K533,Наценка!$A$1:$B$8,2,1)</f>
        <v>1.3978494623655915</v>
      </c>
      <c r="M533" s="145">
        <f>W533*1</f>
        <v>1290</v>
      </c>
      <c r="N533" s="173">
        <f t="shared" si="271"/>
        <v>1290</v>
      </c>
      <c r="O533" s="134">
        <f>VLOOKUP($A533,'Выгр Кат'!$A:$S,O$1,0)</f>
        <v>635</v>
      </c>
      <c r="P533" s="134">
        <f>VLOOKUP($A533,'Выгр Кат'!$A:$S,P$1,0)</f>
        <v>1190</v>
      </c>
      <c r="Q533" s="107">
        <f t="shared" si="272"/>
        <v>0</v>
      </c>
      <c r="R533" s="107">
        <f t="shared" si="273"/>
        <v>-100</v>
      </c>
      <c r="S533" s="110">
        <f t="shared" si="274"/>
        <v>1199.6999999999998</v>
      </c>
      <c r="T533" s="135">
        <f t="shared" si="275"/>
        <v>0.88929133858267684</v>
      </c>
      <c r="U533" s="135">
        <f t="shared" si="276"/>
        <v>7.0000000000000145E-2</v>
      </c>
      <c r="V533" s="135">
        <f t="shared" si="277"/>
        <v>1.0314960629921259</v>
      </c>
      <c r="W533" s="117">
        <f>AA533</f>
        <v>1290</v>
      </c>
      <c r="X533" s="114">
        <f>IFERROR((VLOOKUP($A533,'ИЗ ГУГЛА'!$B:$G,X$1,0)+Z533)*Y533,VLOOKUP($A533,'ИЗ ГУГЛА'!$B:$G,X$1,0))</f>
        <v>1290</v>
      </c>
      <c r="Y533" s="46">
        <v>1</v>
      </c>
      <c r="Z533" s="46"/>
      <c r="AA533" s="138">
        <v>1290</v>
      </c>
      <c r="AB533" s="124" t="s">
        <v>2285</v>
      </c>
      <c r="AC533" s="114" t="str">
        <f>IFERROR((VLOOKUP($A533,'ИЗ ГУГЛА'!$B:$Z,AC$1,0)+AE533)*AD533,VLOOKUP($A533,'ИЗ ГУГЛА'!$B:$Z,AC$1,0))</f>
        <v/>
      </c>
      <c r="AD533" s="46">
        <v>1</v>
      </c>
      <c r="AE533" s="46"/>
      <c r="AF533" s="115"/>
    </row>
    <row r="534" spans="1:33" s="5" customFormat="1" ht="46.5" thickTop="1" thickBot="1" x14ac:dyDescent="0.3">
      <c r="A534" s="132">
        <v>186833</v>
      </c>
      <c r="B534" s="132">
        <f>VLOOKUP($A534,'Выгр Кат'!$A:$S,B$1,0)</f>
        <v>19964</v>
      </c>
      <c r="C534" s="133" t="str">
        <f>VLOOKUP($A534,'Выгр Кат'!$A:$S,C$1,0)</f>
        <v>Патрубок соединительный наливной горловины топливного бака "БРТ" для ВАЗ 2108-21099, 2113-2115</v>
      </c>
      <c r="D534" s="132" t="str">
        <f>VLOOKUP($A534,'Выгр Кат'!$A:$S,D$1,0)</f>
        <v>Y</v>
      </c>
      <c r="E534" s="132" t="str">
        <f>VLOOKUP($A534,'Выгр Кат'!$A:$S,E$1,0)</f>
        <v>1</v>
      </c>
      <c r="F534" s="132" t="str">
        <f>VLOOKUP($A534,'Выгр Кат'!$A:$S,F$1,0)</f>
        <v>2108-1101080-21РП</v>
      </c>
      <c r="G534" s="45" t="s">
        <v>326</v>
      </c>
      <c r="H534" s="29"/>
      <c r="I534" s="4" t="s">
        <v>2</v>
      </c>
      <c r="J534" s="95">
        <v>1</v>
      </c>
      <c r="K534" s="168">
        <f t="shared" si="278"/>
        <v>698</v>
      </c>
      <c r="L534" s="167">
        <f>VLOOKUP(K534,Наценка!$A$1:$B$8,2,1)</f>
        <v>1.3978494623655915</v>
      </c>
      <c r="M534" s="172">
        <f t="shared" si="281"/>
        <v>975.69892473118284</v>
      </c>
      <c r="N534" s="173">
        <f t="shared" si="271"/>
        <v>979</v>
      </c>
      <c r="O534" s="134">
        <f>VLOOKUP($A534,'Выгр Кат'!$A:$S,O$1,0)</f>
        <v>698</v>
      </c>
      <c r="P534" s="134">
        <f>VLOOKUP($A534,'Выгр Кат'!$A:$S,P$1,0)</f>
        <v>979</v>
      </c>
      <c r="Q534" s="107">
        <f t="shared" si="272"/>
        <v>0</v>
      </c>
      <c r="R534" s="107">
        <f t="shared" si="273"/>
        <v>0</v>
      </c>
      <c r="S534" s="110">
        <f t="shared" si="274"/>
        <v>910.46999999999991</v>
      </c>
      <c r="T534" s="135">
        <f t="shared" si="275"/>
        <v>0.30439828080229203</v>
      </c>
      <c r="U534" s="135" t="str">
        <f t="shared" si="276"/>
        <v/>
      </c>
      <c r="V534" s="135" t="str">
        <f t="shared" si="277"/>
        <v/>
      </c>
      <c r="W534" s="45"/>
      <c r="X534" s="114" t="str">
        <f>IFERROR((VLOOKUP($A534,'ИЗ ГУГЛА'!$B:$G,X$1,0)+Z534)*Y534,VLOOKUP($A534,'ИЗ ГУГЛА'!$B:$G,X$1,0))</f>
        <v/>
      </c>
      <c r="Y534" s="108">
        <v>1</v>
      </c>
      <c r="Z534" s="46"/>
      <c r="AA534" s="140" t="s">
        <v>1821</v>
      </c>
      <c r="AB534" s="129"/>
      <c r="AC534" s="114" t="str">
        <f>IFERROR((VLOOKUP($A534,'ИЗ ГУГЛА'!$B:$Z,AC$1,0)+AE534)*AD534,VLOOKUP($A534,'ИЗ ГУГЛА'!$B:$Z,AC$1,0))</f>
        <v/>
      </c>
      <c r="AD534" s="108">
        <v>1</v>
      </c>
      <c r="AE534" s="46"/>
      <c r="AF534" s="115"/>
    </row>
    <row r="535" spans="1:33" s="5" customFormat="1" ht="46.5" thickTop="1" thickBot="1" x14ac:dyDescent="0.3">
      <c r="A535" s="132">
        <v>186594</v>
      </c>
      <c r="B535" s="132">
        <f>VLOOKUP($A535,'Выгр Кат'!$A:$S,B$1,0)</f>
        <v>35348</v>
      </c>
      <c r="C535" s="133" t="str">
        <f>VLOOKUP($A535,'Выгр Кат'!$A:$S,C$1,0)</f>
        <v>Патрубок "БРТ" фильтра воздушного к дросселю ВАЗ 2111 для ВАЗ 2108-21099, 2110-2111, 2113-2115</v>
      </c>
      <c r="D535" s="132" t="str">
        <f>VLOOKUP($A535,'Выгр Кат'!$A:$S,D$1,0)</f>
        <v>Y</v>
      </c>
      <c r="E535" s="132" t="str">
        <f>VLOOKUP($A535,'Выгр Кат'!$A:$S,E$1,0)</f>
        <v>1</v>
      </c>
      <c r="F535" s="132" t="str">
        <f>VLOOKUP($A535,'Выгр Кат'!$A:$S,F$1,0)</f>
        <v>2111-1148035-10</v>
      </c>
      <c r="G535" s="44" t="s">
        <v>414</v>
      </c>
      <c r="H535" s="29"/>
      <c r="I535" s="4" t="s">
        <v>2</v>
      </c>
      <c r="J535" s="95">
        <v>1</v>
      </c>
      <c r="K535" s="168">
        <f t="shared" si="278"/>
        <v>723</v>
      </c>
      <c r="L535" s="167">
        <f>VLOOKUP(K535,Наценка!$A$1:$B$8,2,1)</f>
        <v>1.3978494623655915</v>
      </c>
      <c r="M535" s="172">
        <f t="shared" si="281"/>
        <v>1010.6451612903227</v>
      </c>
      <c r="N535" s="173">
        <f t="shared" si="271"/>
        <v>1090</v>
      </c>
      <c r="O535" s="134">
        <f>VLOOKUP($A535,'Выгр Кат'!$A:$S,O$1,0)</f>
        <v>723</v>
      </c>
      <c r="P535" s="134">
        <f>VLOOKUP($A535,'Выгр Кат'!$A:$S,P$1,0)</f>
        <v>1090</v>
      </c>
      <c r="Q535" s="107">
        <f t="shared" si="272"/>
        <v>0</v>
      </c>
      <c r="R535" s="107">
        <f t="shared" si="273"/>
        <v>0</v>
      </c>
      <c r="S535" s="110">
        <f t="shared" si="274"/>
        <v>1013.6999999999999</v>
      </c>
      <c r="T535" s="135">
        <f t="shared" si="275"/>
        <v>0.4020746887966804</v>
      </c>
      <c r="U535" s="135">
        <f t="shared" si="276"/>
        <v>-0.39053497942386822</v>
      </c>
      <c r="V535" s="135">
        <f t="shared" si="277"/>
        <v>8.2987551867219622E-3</v>
      </c>
      <c r="W535" s="117">
        <f t="shared" ref="W535:W538" si="288">AA535</f>
        <v>729</v>
      </c>
      <c r="X535" s="114">
        <f>IFERROR((VLOOKUP($A535,'ИЗ ГУГЛА'!$B:$G,X$1,0)+Z535)*Y535,VLOOKUP($A535,'ИЗ ГУГЛА'!$B:$G,X$1,0))</f>
        <v>729</v>
      </c>
      <c r="Y535" s="108">
        <v>1</v>
      </c>
      <c r="Z535" s="46"/>
      <c r="AA535" s="136">
        <v>729</v>
      </c>
      <c r="AB535" s="124" t="s">
        <v>2551</v>
      </c>
      <c r="AC535" s="114" t="str">
        <f>IFERROR((VLOOKUP($A535,'ИЗ ГУГЛА'!$B:$Z,AC$1,0)+AE535)*AD535,VLOOKUP($A535,'ИЗ ГУГЛА'!$B:$Z,AC$1,0))</f>
        <v/>
      </c>
      <c r="AD535" s="108">
        <v>1</v>
      </c>
      <c r="AE535" s="46"/>
      <c r="AF535" s="115"/>
    </row>
    <row r="536" spans="1:33" s="5" customFormat="1" ht="31.5" thickTop="1" thickBot="1" x14ac:dyDescent="0.3">
      <c r="A536" s="132">
        <v>223211</v>
      </c>
      <c r="B536" s="132">
        <f>VLOOKUP($A536,'Выгр Кат'!$A:$S,B$1,0)</f>
        <v>35307</v>
      </c>
      <c r="C536" s="133" t="str">
        <f>VLOOKUP($A536,'Выгр Кат'!$A:$S,C$1,0)</f>
        <v>Уплотнители "БРТ" задних боковых стёкол для ВАЗ 21099, 2115</v>
      </c>
      <c r="D536" s="132" t="str">
        <f>VLOOKUP($A536,'Выгр Кат'!$A:$S,D$1,0)</f>
        <v>Y</v>
      </c>
      <c r="E536" s="132" t="str">
        <f>VLOOKUP($A536,'Выгр Кат'!$A:$S,E$1,0)</f>
        <v>1</v>
      </c>
      <c r="F536" s="132" t="str">
        <f>VLOOKUP($A536,'Выгр Кат'!$A:$S,F$1,0)</f>
        <v>21099-5403122 / 21099-5403123</v>
      </c>
      <c r="G536" s="34" t="s">
        <v>782</v>
      </c>
      <c r="H536" s="29"/>
      <c r="I536" s="4" t="s">
        <v>2</v>
      </c>
      <c r="J536" s="95">
        <v>1</v>
      </c>
      <c r="K536" s="168">
        <f t="shared" si="278"/>
        <v>1458</v>
      </c>
      <c r="L536" s="167">
        <f>VLOOKUP(K536,Наценка!$A$1:$B$8,2,1)</f>
        <v>1.2903225806451613</v>
      </c>
      <c r="M536" s="172">
        <f t="shared" si="281"/>
        <v>1881.2903225806451</v>
      </c>
      <c r="N536" s="173">
        <f t="shared" si="271"/>
        <v>1890</v>
      </c>
      <c r="O536" s="134">
        <f>VLOOKUP($A536,'Выгр Кат'!$A:$S,O$1,0)</f>
        <v>1458</v>
      </c>
      <c r="P536" s="134">
        <f>VLOOKUP($A536,'Выгр Кат'!$A:$S,P$1,0)</f>
        <v>1890</v>
      </c>
      <c r="Q536" s="107">
        <f t="shared" si="272"/>
        <v>0</v>
      </c>
      <c r="R536" s="107">
        <f t="shared" si="273"/>
        <v>0</v>
      </c>
      <c r="S536" s="110">
        <f t="shared" si="274"/>
        <v>1757.6999999999998</v>
      </c>
      <c r="T536" s="135">
        <f t="shared" si="275"/>
        <v>0.20555555555555549</v>
      </c>
      <c r="U536" s="135">
        <f t="shared" si="276"/>
        <v>-0.47705882352941159</v>
      </c>
      <c r="V536" s="135">
        <f t="shared" si="277"/>
        <v>-0.18381344307270231</v>
      </c>
      <c r="W536" s="117">
        <f t="shared" si="288"/>
        <v>1190</v>
      </c>
      <c r="X536" s="114">
        <f>IFERROR((VLOOKUP($A536,'ИЗ ГУГЛА'!$B:$G,X$1,0)+Z536)*Y536,VLOOKUP($A536,'ИЗ ГУГЛА'!$B:$G,X$1,0))</f>
        <v>1190</v>
      </c>
      <c r="Y536" s="46">
        <v>1</v>
      </c>
      <c r="Z536" s="46"/>
      <c r="AA536" s="138">
        <v>1190</v>
      </c>
      <c r="AB536" s="124" t="s">
        <v>2312</v>
      </c>
      <c r="AC536" s="114" t="str">
        <f>IFERROR((VLOOKUP($A536,'ИЗ ГУГЛА'!$B:$Z,AC$1,0)+AE536)*AD536,VLOOKUP($A536,'ИЗ ГУГЛА'!$B:$Z,AC$1,0))</f>
        <v/>
      </c>
      <c r="AD536" s="46">
        <v>1</v>
      </c>
      <c r="AE536" s="46"/>
      <c r="AF536" s="115"/>
    </row>
    <row r="537" spans="1:33" s="5" customFormat="1" ht="31.5" thickTop="1" thickBot="1" x14ac:dyDescent="0.3">
      <c r="A537" s="132">
        <v>223163</v>
      </c>
      <c r="B537" s="132">
        <f>VLOOKUP($A537,'Выгр Кат'!$A:$S,B$1,0)</f>
        <v>5953</v>
      </c>
      <c r="C537" s="133" t="str">
        <f>VLOOKUP($A537,'Выгр Кат'!$A:$S,C$1,0)</f>
        <v>Уплотнители (бархотки) "БРТ" порогов для ВАЗ 2114, 2115</v>
      </c>
      <c r="D537" s="132" t="str">
        <f>VLOOKUP($A537,'Выгр Кат'!$A:$S,D$1,0)</f>
        <v>Y</v>
      </c>
      <c r="E537" s="132" t="str">
        <f>VLOOKUP($A537,'Выгр Кат'!$A:$S,E$1,0)</f>
        <v>1</v>
      </c>
      <c r="F537" s="132">
        <f>VLOOKUP($A537,'Выгр Кат'!$A:$S,F$1,0)</f>
        <v>0</v>
      </c>
      <c r="G537" s="100" t="s">
        <v>1056</v>
      </c>
      <c r="H537" s="29"/>
      <c r="I537" s="4" t="s">
        <v>2</v>
      </c>
      <c r="J537" s="95">
        <v>1</v>
      </c>
      <c r="K537" s="168">
        <f t="shared" si="278"/>
        <v>721</v>
      </c>
      <c r="L537" s="167">
        <f>VLOOKUP(K537,Наценка!$A$1:$B$8,2,1)</f>
        <v>1.3978494623655915</v>
      </c>
      <c r="M537" s="146">
        <f t="shared" ref="M537:M538" si="289">W537*1.02</f>
        <v>988.38</v>
      </c>
      <c r="N537" s="173">
        <f t="shared" si="271"/>
        <v>989</v>
      </c>
      <c r="O537" s="134">
        <f>VLOOKUP($A537,'Выгр Кат'!$A:$S,O$1,0)</f>
        <v>721</v>
      </c>
      <c r="P537" s="134">
        <f>VLOOKUP($A537,'Выгр Кат'!$A:$S,P$1,0)</f>
        <v>989</v>
      </c>
      <c r="Q537" s="107">
        <f t="shared" si="272"/>
        <v>0</v>
      </c>
      <c r="R537" s="107">
        <f t="shared" si="273"/>
        <v>0</v>
      </c>
      <c r="S537" s="110">
        <f t="shared" si="274"/>
        <v>919.77</v>
      </c>
      <c r="T537" s="135">
        <f t="shared" si="275"/>
        <v>0.27568654646324542</v>
      </c>
      <c r="U537" s="135">
        <f t="shared" si="276"/>
        <v>5.0804953560371534E-2</v>
      </c>
      <c r="V537" s="135">
        <f t="shared" si="277"/>
        <v>0.3439667128987518</v>
      </c>
      <c r="W537" s="117">
        <f t="shared" si="288"/>
        <v>969</v>
      </c>
      <c r="X537" s="114">
        <f>IFERROR((VLOOKUP($A537,'ИЗ ГУГЛА'!$B:$G,X$1,0)+Z537)*Y537,VLOOKUP($A537,'ИЗ ГУГЛА'!$B:$G,X$1,0))</f>
        <v>969</v>
      </c>
      <c r="Y537" s="46">
        <v>1</v>
      </c>
      <c r="Z537" s="46"/>
      <c r="AA537" s="138">
        <v>969</v>
      </c>
      <c r="AB537" s="124" t="s">
        <v>2273</v>
      </c>
      <c r="AC537" s="114" t="str">
        <f>IFERROR((VLOOKUP($A537,'ИЗ ГУГЛА'!$B:$Z,AC$1,0)+AE537)*AD537,VLOOKUP($A537,'ИЗ ГУГЛА'!$B:$Z,AC$1,0))</f>
        <v/>
      </c>
      <c r="AD537" s="46">
        <v>1</v>
      </c>
      <c r="AE537" s="46"/>
      <c r="AF537" s="115"/>
    </row>
    <row r="538" spans="1:33" s="5" customFormat="1" ht="31.5" thickTop="1" thickBot="1" x14ac:dyDescent="0.3">
      <c r="A538" s="132">
        <v>223152</v>
      </c>
      <c r="B538" s="132">
        <f>VLOOKUP($A538,'Выгр Кат'!$A:$S,B$1,0)</f>
        <v>5583</v>
      </c>
      <c r="C538" s="133" t="str">
        <f>VLOOKUP($A538,'Выгр Кат'!$A:$S,C$1,0)</f>
        <v>Уплотнители "БРТ" порогов резиновые для ВАЗ 2109, 21099</v>
      </c>
      <c r="D538" s="132" t="str">
        <f>VLOOKUP($A538,'Выгр Кат'!$A:$S,D$1,0)</f>
        <v>Y</v>
      </c>
      <c r="E538" s="132" t="str">
        <f>VLOOKUP($A538,'Выгр Кат'!$A:$S,E$1,0)</f>
        <v>1</v>
      </c>
      <c r="F538" s="132">
        <f>VLOOKUP($A538,'Выгр Кат'!$A:$S,F$1,0)</f>
        <v>0</v>
      </c>
      <c r="G538" s="100" t="s">
        <v>1056</v>
      </c>
      <c r="H538" s="29"/>
      <c r="I538" s="4" t="s">
        <v>2</v>
      </c>
      <c r="J538" s="95">
        <v>1</v>
      </c>
      <c r="K538" s="168">
        <f t="shared" si="278"/>
        <v>721</v>
      </c>
      <c r="L538" s="167">
        <f>VLOOKUP(K538,Наценка!$A$1:$B$8,2,1)</f>
        <v>1.3978494623655915</v>
      </c>
      <c r="M538" s="146">
        <f t="shared" si="289"/>
        <v>988.38</v>
      </c>
      <c r="N538" s="173">
        <f t="shared" si="271"/>
        <v>989</v>
      </c>
      <c r="O538" s="134">
        <f>VLOOKUP($A538,'Выгр Кат'!$A:$S,O$1,0)</f>
        <v>721</v>
      </c>
      <c r="P538" s="134">
        <f>VLOOKUP($A538,'Выгр Кат'!$A:$S,P$1,0)</f>
        <v>989</v>
      </c>
      <c r="Q538" s="107">
        <f t="shared" si="272"/>
        <v>0</v>
      </c>
      <c r="R538" s="107">
        <f t="shared" si="273"/>
        <v>0</v>
      </c>
      <c r="S538" s="110">
        <f t="shared" si="274"/>
        <v>919.77</v>
      </c>
      <c r="T538" s="135">
        <f t="shared" si="275"/>
        <v>0.27568654646324542</v>
      </c>
      <c r="U538" s="135">
        <f t="shared" si="276"/>
        <v>5.0804953560371534E-2</v>
      </c>
      <c r="V538" s="135">
        <f t="shared" si="277"/>
        <v>0.3439667128987518</v>
      </c>
      <c r="W538" s="117">
        <f t="shared" si="288"/>
        <v>969</v>
      </c>
      <c r="X538" s="114">
        <f>IFERROR((VLOOKUP($A538,'ИЗ ГУГЛА'!$B:$G,X$1,0)+Z538)*Y538,VLOOKUP($A538,'ИЗ ГУГЛА'!$B:$G,X$1,0))</f>
        <v>969</v>
      </c>
      <c r="Y538" s="46">
        <v>1</v>
      </c>
      <c r="Z538" s="46"/>
      <c r="AA538" s="138">
        <v>969</v>
      </c>
      <c r="AB538" s="124" t="s">
        <v>2273</v>
      </c>
      <c r="AC538" s="114" t="str">
        <f>IFERROR((VLOOKUP($A538,'ИЗ ГУГЛА'!$B:$Z,AC$1,0)+AE538)*AD538,VLOOKUP($A538,'ИЗ ГУГЛА'!$B:$Z,AC$1,0))</f>
        <v/>
      </c>
      <c r="AD538" s="46">
        <v>1</v>
      </c>
      <c r="AE538" s="46"/>
      <c r="AF538" s="115"/>
    </row>
    <row r="539" spans="1:33" s="5" customFormat="1" ht="46.5" thickTop="1" thickBot="1" x14ac:dyDescent="0.3">
      <c r="A539" s="132">
        <v>204188</v>
      </c>
      <c r="B539" s="132">
        <f>VLOOKUP($A539,'Выгр Кат'!$A:$S,B$1,0)</f>
        <v>35187</v>
      </c>
      <c r="C539" s="133" t="str">
        <f>VLOOKUP($A539,'Выгр Кат'!$A:$S,C$1,0)</f>
        <v>Ремень генератора "БРТ" поликлиновый для Лада Нива 4х4 Урбан</v>
      </c>
      <c r="D539" s="132" t="str">
        <f>VLOOKUP($A539,'Выгр Кат'!$A:$S,D$1,0)</f>
        <v>Y</v>
      </c>
      <c r="E539" s="132" t="str">
        <f>VLOOKUP($A539,'Выгр Кат'!$A:$S,E$1,0)</f>
        <v>1</v>
      </c>
      <c r="F539" s="132" t="str">
        <f>VLOOKUP($A539,'Выгр Кат'!$A:$S,F$1,0)</f>
        <v>5К1125Р</v>
      </c>
      <c r="G539" s="44" t="s">
        <v>1730</v>
      </c>
      <c r="H539" s="29"/>
      <c r="I539" s="4" t="s">
        <v>2</v>
      </c>
      <c r="J539" s="95">
        <v>1</v>
      </c>
      <c r="K539" s="168">
        <f t="shared" si="278"/>
        <v>707</v>
      </c>
      <c r="L539" s="167">
        <f>VLOOKUP(K539,Наценка!$A$1:$B$8,2,1)</f>
        <v>1.3978494623655915</v>
      </c>
      <c r="M539" s="172">
        <f t="shared" si="281"/>
        <v>988.27956989247321</v>
      </c>
      <c r="N539" s="173">
        <f t="shared" si="271"/>
        <v>989</v>
      </c>
      <c r="O539" s="134">
        <f>VLOOKUP($A539,'Выгр Кат'!$A:$S,O$1,0)</f>
        <v>707</v>
      </c>
      <c r="P539" s="134">
        <f>VLOOKUP($A539,'Выгр Кат'!$A:$S,P$1,0)</f>
        <v>989</v>
      </c>
      <c r="Q539" s="107">
        <f t="shared" si="272"/>
        <v>0</v>
      </c>
      <c r="R539" s="107">
        <f t="shared" si="273"/>
        <v>0</v>
      </c>
      <c r="S539" s="110">
        <f t="shared" si="274"/>
        <v>919.77</v>
      </c>
      <c r="T539" s="135">
        <f t="shared" si="275"/>
        <v>0.30094766619519087</v>
      </c>
      <c r="U539" s="135" t="str">
        <f t="shared" si="276"/>
        <v/>
      </c>
      <c r="V539" s="135" t="str">
        <f t="shared" si="277"/>
        <v/>
      </c>
      <c r="W539" s="45"/>
      <c r="X539" s="114" t="str">
        <f>IFERROR((VLOOKUP($A539,'ИЗ ГУГЛА'!$B:$G,X$1,0)+Z539)*Y539,VLOOKUP($A539,'ИЗ ГУГЛА'!$B:$G,X$1,0))</f>
        <v/>
      </c>
      <c r="Y539" s="108">
        <v>1</v>
      </c>
      <c r="Z539" s="46"/>
      <c r="AA539" s="140" t="s">
        <v>1821</v>
      </c>
      <c r="AB539" s="129"/>
      <c r="AC539" s="114" t="str">
        <f>IFERROR((VLOOKUP($A539,'ИЗ ГУГЛА'!$B:$Z,AC$1,0)+AE539)*AD539,VLOOKUP($A539,'ИЗ ГУГЛА'!$B:$Z,AC$1,0))</f>
        <v/>
      </c>
      <c r="AD539" s="108">
        <v>1</v>
      </c>
      <c r="AE539" s="46"/>
      <c r="AF539" s="115"/>
    </row>
    <row r="540" spans="1:33" s="5" customFormat="1" ht="31.5" thickTop="1" thickBot="1" x14ac:dyDescent="0.3">
      <c r="A540" s="132">
        <v>158364</v>
      </c>
      <c r="B540" s="132">
        <f>VLOOKUP($A540,'Выгр Кат'!$A:$S,B$1,0)</f>
        <v>22508</v>
      </c>
      <c r="C540" s="133" t="str">
        <f>VLOOKUP($A540,'Выгр Кат'!$A:$S,C$1,0)</f>
        <v>Комплект внутренних бархоток "БРТ" для Лада Приора универсал</v>
      </c>
      <c r="D540" s="132" t="str">
        <f>VLOOKUP($A540,'Выгр Кат'!$A:$S,D$1,0)</f>
        <v>Y</v>
      </c>
      <c r="E540" s="132" t="str">
        <f>VLOOKUP($A540,'Выгр Кат'!$A:$S,E$1,0)</f>
        <v>1</v>
      </c>
      <c r="F540" s="132">
        <f>VLOOKUP($A540,'Выгр Кат'!$A:$S,F$1,0)</f>
        <v>0</v>
      </c>
      <c r="G540" s="35" t="s">
        <v>1246</v>
      </c>
      <c r="H540" s="29"/>
      <c r="I540" s="4" t="s">
        <v>2</v>
      </c>
      <c r="J540" s="95">
        <v>1</v>
      </c>
      <c r="K540" s="168">
        <f t="shared" si="278"/>
        <v>660</v>
      </c>
      <c r="L540" s="167">
        <f>VLOOKUP(K540,Наценка!$A$1:$B$8,2,1)</f>
        <v>1.3978494623655915</v>
      </c>
      <c r="M540" s="148">
        <f t="shared" ref="M540:M544" si="290">W540*1.06</f>
        <v>984.74</v>
      </c>
      <c r="N540" s="173">
        <f t="shared" si="271"/>
        <v>989</v>
      </c>
      <c r="O540" s="134">
        <f>VLOOKUP($A540,'Выгр Кат'!$A:$S,O$1,0)</f>
        <v>660</v>
      </c>
      <c r="P540" s="134">
        <f>VLOOKUP($A540,'Выгр Кат'!$A:$S,P$1,0)</f>
        <v>969</v>
      </c>
      <c r="Q540" s="107">
        <f t="shared" si="272"/>
        <v>0</v>
      </c>
      <c r="R540" s="107">
        <f t="shared" si="273"/>
        <v>-20</v>
      </c>
      <c r="S540" s="110">
        <f t="shared" si="274"/>
        <v>919.77</v>
      </c>
      <c r="T540" s="135">
        <f t="shared" si="275"/>
        <v>0.3935909090909091</v>
      </c>
      <c r="U540" s="135">
        <f t="shared" si="276"/>
        <v>9.9354144241119678E-3</v>
      </c>
      <c r="V540" s="135">
        <f t="shared" si="277"/>
        <v>0.40757575757575748</v>
      </c>
      <c r="W540" s="117">
        <f t="shared" ref="W540:W545" si="291">AA540</f>
        <v>929</v>
      </c>
      <c r="X540" s="114">
        <f>IFERROR((VLOOKUP($A540,'ИЗ ГУГЛА'!$B:$G,X$1,0)+Z540)*Y540,VLOOKUP($A540,'ИЗ ГУГЛА'!$B:$G,X$1,0))</f>
        <v>929</v>
      </c>
      <c r="Y540" s="108">
        <v>1</v>
      </c>
      <c r="Z540" s="46"/>
      <c r="AA540" s="136">
        <v>929</v>
      </c>
      <c r="AB540" s="124" t="s">
        <v>2549</v>
      </c>
      <c r="AC540" s="114" t="str">
        <f>IFERROR((VLOOKUP($A540,'ИЗ ГУГЛА'!$B:$Z,AC$1,0)+AE540)*AD540,VLOOKUP($A540,'ИЗ ГУГЛА'!$B:$Z,AC$1,0))</f>
        <v/>
      </c>
      <c r="AD540" s="108">
        <v>1</v>
      </c>
      <c r="AE540" s="46"/>
      <c r="AF540" s="115"/>
    </row>
    <row r="541" spans="1:33" s="5" customFormat="1" ht="31.5" thickTop="1" thickBot="1" x14ac:dyDescent="0.3">
      <c r="A541" s="132">
        <v>158365</v>
      </c>
      <c r="B541" s="132">
        <f>VLOOKUP($A541,'Выгр Кат'!$A:$S,B$1,0)</f>
        <v>22507</v>
      </c>
      <c r="C541" s="133" t="str">
        <f>VLOOKUP($A541,'Выгр Кат'!$A:$S,C$1,0)</f>
        <v>Комплект внутренних бархоток для Лада Приора (седан, хэтчбек)</v>
      </c>
      <c r="D541" s="132" t="str">
        <f>VLOOKUP($A541,'Выгр Кат'!$A:$S,D$1,0)</f>
        <v>Y</v>
      </c>
      <c r="E541" s="132" t="str">
        <f>VLOOKUP($A541,'Выгр Кат'!$A:$S,E$1,0)</f>
        <v>0</v>
      </c>
      <c r="F541" s="132">
        <f>VLOOKUP($A541,'Выгр Кат'!$A:$S,F$1,0)</f>
        <v>0</v>
      </c>
      <c r="G541" s="43" t="s">
        <v>1246</v>
      </c>
      <c r="H541" s="29"/>
      <c r="I541" s="4" t="s">
        <v>2</v>
      </c>
      <c r="J541" s="95">
        <v>1</v>
      </c>
      <c r="K541" s="168">
        <f t="shared" si="278"/>
        <v>660</v>
      </c>
      <c r="L541" s="167">
        <f>VLOOKUP(K541,Наценка!$A$1:$B$8,2,1)</f>
        <v>1.3978494623655915</v>
      </c>
      <c r="M541" s="148">
        <f t="shared" ref="M541:M542" si="292">W541*1.05</f>
        <v>996.45</v>
      </c>
      <c r="N541" s="173">
        <f t="shared" si="271"/>
        <v>999</v>
      </c>
      <c r="O541" s="134">
        <f>VLOOKUP($A541,'Выгр Кат'!$A:$S,O$1,0)</f>
        <v>660</v>
      </c>
      <c r="P541" s="134">
        <f>VLOOKUP($A541,'Выгр Кат'!$A:$S,P$1,0)</f>
        <v>989</v>
      </c>
      <c r="Q541" s="107">
        <f t="shared" si="272"/>
        <v>0</v>
      </c>
      <c r="R541" s="107">
        <f t="shared" si="273"/>
        <v>-10</v>
      </c>
      <c r="S541" s="110">
        <f t="shared" si="274"/>
        <v>929.06999999999994</v>
      </c>
      <c r="T541" s="135">
        <f t="shared" si="275"/>
        <v>0.40768181818181803</v>
      </c>
      <c r="U541" s="135">
        <f t="shared" si="276"/>
        <v>2.1001053740779835E-2</v>
      </c>
      <c r="V541" s="135">
        <f t="shared" si="277"/>
        <v>0.43787878787878798</v>
      </c>
      <c r="W541" s="117">
        <f t="shared" si="291"/>
        <v>949</v>
      </c>
      <c r="X541" s="114">
        <f>IFERROR((VLOOKUP($A541,'ИЗ ГУГЛА'!$B:$G,X$1,0)+Z541)*Y541,VLOOKUP($A541,'ИЗ ГУГЛА'!$B:$G,X$1,0))</f>
        <v>949</v>
      </c>
      <c r="Y541" s="108">
        <v>1</v>
      </c>
      <c r="Z541" s="46"/>
      <c r="AA541" s="136">
        <v>949</v>
      </c>
      <c r="AB541" s="124" t="s">
        <v>2547</v>
      </c>
      <c r="AC541" s="114" t="str">
        <f>IFERROR((VLOOKUP($A541,'ИЗ ГУГЛА'!$B:$Z,AC$1,0)+AE541)*AD541,VLOOKUP($A541,'ИЗ ГУГЛА'!$B:$Z,AC$1,0))</f>
        <v/>
      </c>
      <c r="AD541" s="108">
        <v>1</v>
      </c>
      <c r="AE541" s="46"/>
      <c r="AF541" s="115"/>
    </row>
    <row r="542" spans="1:33" s="5" customFormat="1" ht="31.5" thickTop="1" thickBot="1" x14ac:dyDescent="0.3">
      <c r="A542" s="132">
        <v>158362</v>
      </c>
      <c r="B542" s="132">
        <f>VLOOKUP($A542,'Выгр Кат'!$A:$S,B$1,0)</f>
        <v>15372</v>
      </c>
      <c r="C542" s="133" t="str">
        <f>VLOOKUP($A542,'Выгр Кат'!$A:$S,C$1,0)</f>
        <v>Комплект внешних бархоток "БРТ" для Лада Приора универсал</v>
      </c>
      <c r="D542" s="132" t="str">
        <f>VLOOKUP($A542,'Выгр Кат'!$A:$S,D$1,0)</f>
        <v>Y</v>
      </c>
      <c r="E542" s="132" t="str">
        <f>VLOOKUP($A542,'Выгр Кат'!$A:$S,E$1,0)</f>
        <v>1</v>
      </c>
      <c r="F542" s="132">
        <f>VLOOKUP($A542,'Выгр Кат'!$A:$S,F$1,0)</f>
        <v>0</v>
      </c>
      <c r="G542" s="35" t="s">
        <v>1245</v>
      </c>
      <c r="H542" s="29"/>
      <c r="I542" s="4" t="s">
        <v>2</v>
      </c>
      <c r="J542" s="95">
        <v>1</v>
      </c>
      <c r="K542" s="168">
        <f t="shared" si="278"/>
        <v>800</v>
      </c>
      <c r="L542" s="167">
        <f>VLOOKUP(K542,Наценка!$A$1:$B$8,2,1)</f>
        <v>1.3978494623655915</v>
      </c>
      <c r="M542" s="151">
        <f>K542*1.2*100/93</f>
        <v>1032.258064516129</v>
      </c>
      <c r="N542" s="173">
        <f t="shared" si="271"/>
        <v>1090</v>
      </c>
      <c r="O542" s="134">
        <f>VLOOKUP($A542,'Выгр Кат'!$A:$S,O$1,0)</f>
        <v>800</v>
      </c>
      <c r="P542" s="134">
        <f>VLOOKUP($A542,'Выгр Кат'!$A:$S,P$1,0)</f>
        <v>1090</v>
      </c>
      <c r="Q542" s="107">
        <f t="shared" si="272"/>
        <v>0</v>
      </c>
      <c r="R542" s="107">
        <f t="shared" si="273"/>
        <v>0</v>
      </c>
      <c r="S542" s="110">
        <f t="shared" si="274"/>
        <v>1013.6999999999999</v>
      </c>
      <c r="T542" s="135">
        <f t="shared" si="275"/>
        <v>0.26712499999999983</v>
      </c>
      <c r="U542" s="135">
        <f t="shared" si="276"/>
        <v>-6.8177028451000987E-2</v>
      </c>
      <c r="V542" s="135">
        <f t="shared" si="277"/>
        <v>0.18625000000000003</v>
      </c>
      <c r="W542" s="117">
        <f t="shared" si="291"/>
        <v>949</v>
      </c>
      <c r="X542" s="114">
        <f>IFERROR((VLOOKUP($A542,'ИЗ ГУГЛА'!$B:$G,X$1,0)+Z542)*Y542,VLOOKUP($A542,'ИЗ ГУГЛА'!$B:$G,X$1,0))</f>
        <v>949</v>
      </c>
      <c r="Y542" s="108">
        <v>1</v>
      </c>
      <c r="Z542" s="46"/>
      <c r="AA542" s="136">
        <v>949</v>
      </c>
      <c r="AB542" s="124" t="s">
        <v>2550</v>
      </c>
      <c r="AC542" s="114" t="str">
        <f>IFERROR((VLOOKUP($A542,'ИЗ ГУГЛА'!$B:$Z,AC$1,0)+AE542)*AD542,VLOOKUP($A542,'ИЗ ГУГЛА'!$B:$Z,AC$1,0))</f>
        <v/>
      </c>
      <c r="AD542" s="108">
        <v>1</v>
      </c>
      <c r="AE542" s="46"/>
      <c r="AF542" s="115"/>
    </row>
    <row r="543" spans="1:33" s="5" customFormat="1" ht="31.5" thickTop="1" thickBot="1" x14ac:dyDescent="0.3">
      <c r="A543" s="132">
        <v>158748</v>
      </c>
      <c r="B543" s="132">
        <f>VLOOKUP($A543,'Выгр Кат'!$A:$S,B$1,0)</f>
        <v>10320</v>
      </c>
      <c r="C543" s="133" t="str">
        <f>VLOOKUP($A543,'Выгр Кат'!$A:$S,C$1,0)</f>
        <v>Комплект наружных бархоток "БРТ" для Лада Приора</v>
      </c>
      <c r="D543" s="132" t="str">
        <f>VLOOKUP($A543,'Выгр Кат'!$A:$S,D$1,0)</f>
        <v>Y</v>
      </c>
      <c r="E543" s="132" t="str">
        <f>VLOOKUP($A543,'Выгр Кат'!$A:$S,E$1,0)</f>
        <v>1</v>
      </c>
      <c r="F543" s="132">
        <f>VLOOKUP($A543,'Выгр Кат'!$A:$S,F$1,0)</f>
        <v>0</v>
      </c>
      <c r="G543" s="43" t="s">
        <v>1245</v>
      </c>
      <c r="H543" s="29"/>
      <c r="I543" s="4" t="s">
        <v>2</v>
      </c>
      <c r="J543" s="95">
        <v>1</v>
      </c>
      <c r="K543" s="168">
        <f t="shared" si="278"/>
        <v>740</v>
      </c>
      <c r="L543" s="167">
        <f>VLOOKUP(K543,Наценка!$A$1:$B$8,2,1)</f>
        <v>1.3978494623655915</v>
      </c>
      <c r="M543" s="151">
        <f>K543*1.2*100/93</f>
        <v>954.83870967741939</v>
      </c>
      <c r="N543" s="173">
        <f t="shared" si="271"/>
        <v>959</v>
      </c>
      <c r="O543" s="134">
        <f>VLOOKUP($A543,'Выгр Кат'!$A:$S,O$1,0)</f>
        <v>740</v>
      </c>
      <c r="P543" s="134">
        <f>VLOOKUP($A543,'Выгр Кат'!$A:$S,P$1,0)</f>
        <v>979</v>
      </c>
      <c r="Q543" s="107">
        <f t="shared" si="272"/>
        <v>0</v>
      </c>
      <c r="R543" s="107">
        <f t="shared" si="273"/>
        <v>20</v>
      </c>
      <c r="S543" s="110">
        <f t="shared" si="274"/>
        <v>891.86999999999989</v>
      </c>
      <c r="T543" s="135">
        <f t="shared" si="275"/>
        <v>0.20522972972972964</v>
      </c>
      <c r="U543" s="135">
        <f t="shared" si="276"/>
        <v>-2.1011235955054955E-3</v>
      </c>
      <c r="V543" s="135">
        <f t="shared" si="277"/>
        <v>0.20270270270270263</v>
      </c>
      <c r="W543" s="117">
        <f t="shared" si="291"/>
        <v>890</v>
      </c>
      <c r="X543" s="114">
        <f>IFERROR((VLOOKUP($A543,'ИЗ ГУГЛА'!$B:$G,X$1,0)+Z543)*Y543,VLOOKUP($A543,'ИЗ ГУГЛА'!$B:$G,X$1,0))</f>
        <v>890</v>
      </c>
      <c r="Y543" s="108">
        <v>1</v>
      </c>
      <c r="Z543" s="46"/>
      <c r="AA543" s="136">
        <v>890</v>
      </c>
      <c r="AB543" s="124" t="s">
        <v>2548</v>
      </c>
      <c r="AC543" s="114" t="str">
        <f>IFERROR((VLOOKUP($A543,'ИЗ ГУГЛА'!$B:$Z,AC$1,0)+AE543)*AD543,VLOOKUP($A543,'ИЗ ГУГЛА'!$B:$Z,AC$1,0))</f>
        <v/>
      </c>
      <c r="AD543" s="108">
        <v>1</v>
      </c>
      <c r="AE543" s="46"/>
      <c r="AF543" s="115"/>
    </row>
    <row r="544" spans="1:33" s="5" customFormat="1" ht="31.5" thickTop="1" thickBot="1" x14ac:dyDescent="0.3">
      <c r="A544" s="132">
        <v>136586</v>
      </c>
      <c r="B544" s="132">
        <f>VLOOKUP($A544,'Выгр Кат'!$A:$S,B$1,0)</f>
        <v>35496</v>
      </c>
      <c r="C544" s="133" t="str">
        <f>VLOOKUP($A544,'Выгр Кат'!$A:$S,C$1,0)</f>
        <v>Бархотки "БРТ" внутренние для Лада Калина, Калина 2, Гранта</v>
      </c>
      <c r="D544" s="132" t="str">
        <f>VLOOKUP($A544,'Выгр Кат'!$A:$S,D$1,0)</f>
        <v>Y</v>
      </c>
      <c r="E544" s="132" t="str">
        <f>VLOOKUP($A544,'Выгр Кат'!$A:$S,E$1,0)</f>
        <v>1</v>
      </c>
      <c r="F544" s="132" t="str">
        <f>VLOOKUP($A544,'Выгр Кат'!$A:$S,F$1,0)</f>
        <v>1118-610/6203320</v>
      </c>
      <c r="G544" s="44" t="s">
        <v>1238</v>
      </c>
      <c r="H544" s="29"/>
      <c r="I544" s="4" t="s">
        <v>2</v>
      </c>
      <c r="J544" s="95">
        <v>1</v>
      </c>
      <c r="K544" s="168">
        <f t="shared" si="278"/>
        <v>780</v>
      </c>
      <c r="L544" s="167">
        <f>VLOOKUP(K544,Наценка!$A$1:$B$8,2,1)</f>
        <v>1.3978494623655915</v>
      </c>
      <c r="M544" s="151">
        <f>K544*1.2*100/93</f>
        <v>1006.4516129032259</v>
      </c>
      <c r="N544" s="173">
        <f t="shared" si="271"/>
        <v>1090</v>
      </c>
      <c r="O544" s="134">
        <f>VLOOKUP($A544,'Выгр Кат'!$A:$S,O$1,0)</f>
        <v>780</v>
      </c>
      <c r="P544" s="134">
        <f>VLOOKUP($A544,'Выгр Кат'!$A:$S,P$1,0)</f>
        <v>1090</v>
      </c>
      <c r="Q544" s="107">
        <f t="shared" si="272"/>
        <v>0</v>
      </c>
      <c r="R544" s="107">
        <f t="shared" si="273"/>
        <v>0</v>
      </c>
      <c r="S544" s="110">
        <f t="shared" si="274"/>
        <v>1013.6999999999999</v>
      </c>
      <c r="T544" s="135">
        <f t="shared" si="275"/>
        <v>0.29961538461538462</v>
      </c>
      <c r="U544" s="135">
        <f t="shared" si="276"/>
        <v>-2.3939393939393872E-2</v>
      </c>
      <c r="V544" s="135">
        <f t="shared" si="277"/>
        <v>0.26923076923076916</v>
      </c>
      <c r="W544" s="117">
        <f t="shared" si="291"/>
        <v>990</v>
      </c>
      <c r="X544" s="114">
        <f>IFERROR((VLOOKUP($A544,'ИЗ ГУГЛА'!$B:$G,X$1,0)+Z544)*Y544,VLOOKUP($A544,'ИЗ ГУГЛА'!$B:$G,X$1,0))</f>
        <v>990</v>
      </c>
      <c r="Y544" s="108">
        <v>1</v>
      </c>
      <c r="Z544" s="46"/>
      <c r="AA544" s="136">
        <v>990</v>
      </c>
      <c r="AB544" s="124" t="s">
        <v>2546</v>
      </c>
      <c r="AC544" s="114" t="str">
        <f>IFERROR((VLOOKUP($A544,'ИЗ ГУГЛА'!$B:$Z,AC$1,0)+AE544)*AD544,VLOOKUP($A544,'ИЗ ГУГЛА'!$B:$Z,AC$1,0))</f>
        <v/>
      </c>
      <c r="AD544" s="108">
        <v>1</v>
      </c>
      <c r="AE544" s="46"/>
      <c r="AF544" s="115"/>
    </row>
    <row r="545" spans="1:32" s="5" customFormat="1" ht="46.5" thickTop="1" thickBot="1" x14ac:dyDescent="0.3">
      <c r="A545" s="132">
        <v>160750</v>
      </c>
      <c r="B545" s="132">
        <f>VLOOKUP($A545,'Выгр Кат'!$A:$S,B$1,0)</f>
        <v>20336</v>
      </c>
      <c r="C545" s="133" t="str">
        <f>VLOOKUP($A545,'Выгр Кат'!$A:$S,C$1,0)</f>
        <v>Кронштейн подвески "БРТ" раздаточной коробки (с опорой) в сборе для Лада Нива 4x4</v>
      </c>
      <c r="D545" s="132" t="str">
        <f>VLOOKUP($A545,'Выгр Кат'!$A:$S,D$1,0)</f>
        <v>Y</v>
      </c>
      <c r="E545" s="132" t="str">
        <f>VLOOKUP($A545,'Выгр Кат'!$A:$S,E$1,0)</f>
        <v>1</v>
      </c>
      <c r="F545" s="132" t="str">
        <f>VLOOKUP($A545,'Выгр Кат'!$A:$S,F$1,0)</f>
        <v>2121-1801010-02РУ.</v>
      </c>
      <c r="G545" s="45" t="s">
        <v>502</v>
      </c>
      <c r="H545" s="29"/>
      <c r="I545" s="4" t="s">
        <v>2</v>
      </c>
      <c r="J545" s="95">
        <v>1</v>
      </c>
      <c r="K545" s="168">
        <f t="shared" si="278"/>
        <v>733</v>
      </c>
      <c r="L545" s="167">
        <f>VLOOKUP(K545,Наценка!$A$1:$B$8,2,1)</f>
        <v>1.3978494623655915</v>
      </c>
      <c r="M545" s="172">
        <f t="shared" si="281"/>
        <v>1024.6236559139786</v>
      </c>
      <c r="N545" s="173">
        <f t="shared" si="271"/>
        <v>1090</v>
      </c>
      <c r="O545" s="134">
        <f>VLOOKUP($A545,'Выгр Кат'!$A:$S,O$1,0)</f>
        <v>733</v>
      </c>
      <c r="P545" s="134">
        <f>VLOOKUP($A545,'Выгр Кат'!$A:$S,P$1,0)</f>
        <v>1090</v>
      </c>
      <c r="Q545" s="107">
        <f t="shared" si="272"/>
        <v>0</v>
      </c>
      <c r="R545" s="107">
        <f t="shared" si="273"/>
        <v>0</v>
      </c>
      <c r="S545" s="110">
        <f t="shared" si="274"/>
        <v>1013.6999999999999</v>
      </c>
      <c r="T545" s="135">
        <f t="shared" si="275"/>
        <v>0.3829467939972715</v>
      </c>
      <c r="U545" s="135">
        <f t="shared" si="276"/>
        <v>-0.71813559322033882</v>
      </c>
      <c r="V545" s="135">
        <f t="shared" si="277"/>
        <v>-0.19508867667121421</v>
      </c>
      <c r="W545" s="117">
        <f t="shared" si="291"/>
        <v>590</v>
      </c>
      <c r="X545" s="114">
        <f>IFERROR((VLOOKUP($A545,'ИЗ ГУГЛА'!$B:$G,X$1,0)+Z545)*Y545,VLOOKUP($A545,'ИЗ ГУГЛА'!$B:$G,X$1,0))</f>
        <v>590</v>
      </c>
      <c r="Y545" s="46">
        <v>1</v>
      </c>
      <c r="Z545" s="46"/>
      <c r="AA545" s="138">
        <v>590</v>
      </c>
      <c r="AB545" s="124" t="s">
        <v>2276</v>
      </c>
      <c r="AC545" s="114" t="str">
        <f>IFERROR((VLOOKUP($A545,'ИЗ ГУГЛА'!$B:$Z,AC$1,0)+AE545)*AD545,VLOOKUP($A545,'ИЗ ГУГЛА'!$B:$Z,AC$1,0))</f>
        <v/>
      </c>
      <c r="AD545" s="46">
        <v>1</v>
      </c>
      <c r="AE545" s="46"/>
      <c r="AF545" s="115"/>
    </row>
    <row r="546" spans="1:32" s="5" customFormat="1" ht="60.75" thickTop="1" x14ac:dyDescent="0.25">
      <c r="A546" s="132">
        <v>226115</v>
      </c>
      <c r="B546" s="132">
        <f>VLOOKUP($A546,'Выгр Кат'!$A:$S,B$1,0)</f>
        <v>19633</v>
      </c>
      <c r="C546" s="133" t="str">
        <f>VLOOKUP($A546,'Выгр Кат'!$A:$S,C$1,0)</f>
        <v>Шланги системы охлаждения радиатора "БРТ" ремкомплект 221РШ Р/К для ВАЗ 2110-2112 (с 16-ти клапанным двигателем)</v>
      </c>
      <c r="D546" s="132" t="str">
        <f>VLOOKUP($A546,'Выгр Кат'!$A:$S,D$1,0)</f>
        <v>Y</v>
      </c>
      <c r="E546" s="132" t="str">
        <f>VLOOKUP($A546,'Выгр Кат'!$A:$S,E$1,0)</f>
        <v>1</v>
      </c>
      <c r="F546" s="132" t="str">
        <f>VLOOKUP($A546,'Выгр Кат'!$A:$S,F$1,0)</f>
        <v>2112-1303010Р, 2112-1303025Р, 2112-1303092Р</v>
      </c>
      <c r="G546" s="45" t="s">
        <v>643</v>
      </c>
      <c r="H546" s="29"/>
      <c r="I546" s="4" t="s">
        <v>2</v>
      </c>
      <c r="J546" s="95">
        <v>1</v>
      </c>
      <c r="K546" s="168">
        <f t="shared" si="278"/>
        <v>740</v>
      </c>
      <c r="L546" s="167">
        <f>VLOOKUP(K546,Наценка!$A$1:$B$8,2,1)</f>
        <v>1.3978494623655915</v>
      </c>
      <c r="M546" s="172">
        <f t="shared" si="281"/>
        <v>1034.4086021505377</v>
      </c>
      <c r="N546" s="173">
        <f t="shared" si="271"/>
        <v>1090</v>
      </c>
      <c r="O546" s="134">
        <f>VLOOKUP($A546,'Выгр Кат'!$A:$S,O$1,0)</f>
        <v>740</v>
      </c>
      <c r="P546" s="134">
        <f>VLOOKUP($A546,'Выгр Кат'!$A:$S,P$1,0)</f>
        <v>1090</v>
      </c>
      <c r="Q546" s="107">
        <f t="shared" si="272"/>
        <v>0</v>
      </c>
      <c r="R546" s="107">
        <f t="shared" si="273"/>
        <v>0</v>
      </c>
      <c r="S546" s="110">
        <f t="shared" si="274"/>
        <v>1013.6999999999999</v>
      </c>
      <c r="T546" s="135">
        <f t="shared" si="275"/>
        <v>0.36986486486486481</v>
      </c>
      <c r="U546" s="135" t="str">
        <f t="shared" si="276"/>
        <v/>
      </c>
      <c r="V546" s="135" t="str">
        <f t="shared" si="277"/>
        <v/>
      </c>
      <c r="W546" s="45"/>
      <c r="X546" s="114" t="str">
        <f>IFERROR((VLOOKUP($A546,'ИЗ ГУГЛА'!$B:$G,X$1,0)+Z546)*Y546,VLOOKUP($A546,'ИЗ ГУГЛА'!$B:$G,X$1,0))</f>
        <v/>
      </c>
      <c r="Y546" s="108">
        <v>1</v>
      </c>
      <c r="Z546" s="46"/>
      <c r="AA546" s="139" t="s">
        <v>1821</v>
      </c>
      <c r="AB546" s="124"/>
      <c r="AC546" s="114" t="str">
        <f>IFERROR((VLOOKUP($A546,'ИЗ ГУГЛА'!$B:$Z,AC$1,0)+AE546)*AD546,VLOOKUP($A546,'ИЗ ГУГЛА'!$B:$Z,AC$1,0))</f>
        <v/>
      </c>
      <c r="AD546" s="108">
        <v>1</v>
      </c>
      <c r="AE546" s="46"/>
      <c r="AF546" s="115"/>
    </row>
    <row r="547" spans="1:32" s="5" customFormat="1" ht="30.75" thickBot="1" x14ac:dyDescent="0.3">
      <c r="A547" s="132">
        <v>160641</v>
      </c>
      <c r="B547" s="132">
        <f>VLOOKUP($A547,'Выгр Кат'!$A:$S,B$1,0)</f>
        <v>19802</v>
      </c>
      <c r="C547" s="133" t="str">
        <f>VLOOKUP($A547,'Выгр Кат'!$A:$S,C$1,0)</f>
        <v>Кронштейн задней опоры подвески "БРТ" для ВАЗ 2108-21099, 2113-2115</v>
      </c>
      <c r="D547" s="132" t="str">
        <f>VLOOKUP($A547,'Выгр Кат'!$A:$S,D$1,0)</f>
        <v>Y</v>
      </c>
      <c r="E547" s="132" t="str">
        <f>VLOOKUP($A547,'Выгр Кат'!$A:$S,E$1,0)</f>
        <v>1</v>
      </c>
      <c r="F547" s="132" t="str">
        <f>VLOOKUP($A547,'Выгр Кат'!$A:$S,F$1,0)</f>
        <v>21080100103100</v>
      </c>
      <c r="G547" s="45" t="s">
        <v>312</v>
      </c>
      <c r="H547" s="29"/>
      <c r="I547" s="4" t="s">
        <v>2</v>
      </c>
      <c r="J547" s="95">
        <v>1</v>
      </c>
      <c r="K547" s="168">
        <f t="shared" si="278"/>
        <v>741</v>
      </c>
      <c r="L547" s="167">
        <f>VLOOKUP(K547,Наценка!$A$1:$B$8,2,1)</f>
        <v>1.3978494623655915</v>
      </c>
      <c r="M547" s="145">
        <f>W547*1</f>
        <v>990</v>
      </c>
      <c r="N547" s="173">
        <f t="shared" si="271"/>
        <v>989</v>
      </c>
      <c r="O547" s="134">
        <f>VLOOKUP($A547,'Выгр Кат'!$A:$S,O$1,0)</f>
        <v>741</v>
      </c>
      <c r="P547" s="134">
        <f>VLOOKUP($A547,'Выгр Кат'!$A:$S,P$1,0)</f>
        <v>989</v>
      </c>
      <c r="Q547" s="107">
        <f t="shared" si="272"/>
        <v>0</v>
      </c>
      <c r="R547" s="107">
        <f t="shared" si="273"/>
        <v>0</v>
      </c>
      <c r="S547" s="110">
        <f t="shared" si="274"/>
        <v>919.77</v>
      </c>
      <c r="T547" s="135">
        <f t="shared" si="275"/>
        <v>0.24125506072874492</v>
      </c>
      <c r="U547" s="135">
        <f t="shared" si="276"/>
        <v>7.0939393939393955E-2</v>
      </c>
      <c r="V547" s="135">
        <f t="shared" si="277"/>
        <v>0.33603238866396756</v>
      </c>
      <c r="W547" s="117">
        <f t="shared" ref="W547:W561" si="293">AA547</f>
        <v>990</v>
      </c>
      <c r="X547" s="114">
        <f>IFERROR((VLOOKUP($A547,'ИЗ ГУГЛА'!$B:$G,X$1,0)+Z547)*Y547,VLOOKUP($A547,'ИЗ ГУГЛА'!$B:$G,X$1,0))</f>
        <v>990</v>
      </c>
      <c r="Y547" s="108">
        <v>1</v>
      </c>
      <c r="Z547" s="46"/>
      <c r="AA547" s="136">
        <v>990</v>
      </c>
      <c r="AB547" s="124" t="s">
        <v>2545</v>
      </c>
      <c r="AC547" s="114" t="str">
        <f>IFERROR((VLOOKUP($A547,'ИЗ ГУГЛА'!$B:$Z,AC$1,0)+AE547)*AD547,VLOOKUP($A547,'ИЗ ГУГЛА'!$B:$Z,AC$1,0))</f>
        <v/>
      </c>
      <c r="AD547" s="108">
        <v>1</v>
      </c>
      <c r="AE547" s="46"/>
      <c r="AF547" s="115"/>
    </row>
    <row r="548" spans="1:32" s="5" customFormat="1" ht="76.5" thickTop="1" thickBot="1" x14ac:dyDescent="0.3">
      <c r="A548" s="132">
        <v>204309</v>
      </c>
      <c r="B548" s="132">
        <f>VLOOKUP($A548,'Выгр Кат'!$A:$S,B$1,0)</f>
        <v>20363</v>
      </c>
      <c r="C548" s="133" t="str">
        <f>VLOOKUP($A548,'Выгр Кат'!$A:$S,C$1,0)</f>
        <v>Ремень привода генератора поликлиновой "БРТ" для ВАЗ 2108-21099, 2113-2115, 2110-2112 (с 8 клапанными инжекторными двигателями)</v>
      </c>
      <c r="D548" s="132" t="str">
        <f>VLOOKUP($A548,'Выгр Кат'!$A:$S,D$1,0)</f>
        <v>Y</v>
      </c>
      <c r="E548" s="132" t="str">
        <f>VLOOKUP($A548,'Выгр Кат'!$A:$S,E$1,0)</f>
        <v>1</v>
      </c>
      <c r="F548" s="132" t="str">
        <f>VLOOKUP($A548,'Выгр Кат'!$A:$S,F$1,0)</f>
        <v>21082370172000</v>
      </c>
      <c r="G548" s="33" t="s">
        <v>374</v>
      </c>
      <c r="H548" s="29"/>
      <c r="I548" s="4" t="s">
        <v>2</v>
      </c>
      <c r="J548" s="95">
        <v>1</v>
      </c>
      <c r="K548" s="168">
        <f t="shared" si="278"/>
        <v>725</v>
      </c>
      <c r="L548" s="167">
        <f>VLOOKUP(K548,Наценка!$A$1:$B$8,2,1)</f>
        <v>1.3978494623655915</v>
      </c>
      <c r="M548" s="146">
        <f t="shared" ref="M547:M549" si="294">W548*1.02</f>
        <v>988.38</v>
      </c>
      <c r="N548" s="173">
        <f t="shared" si="271"/>
        <v>989</v>
      </c>
      <c r="O548" s="134">
        <f>VLOOKUP($A548,'Выгр Кат'!$A:$S,O$1,0)</f>
        <v>725</v>
      </c>
      <c r="P548" s="134">
        <f>VLOOKUP($A548,'Выгр Кат'!$A:$S,P$1,0)</f>
        <v>989</v>
      </c>
      <c r="Q548" s="107">
        <f t="shared" si="272"/>
        <v>0</v>
      </c>
      <c r="R548" s="107">
        <f t="shared" si="273"/>
        <v>0</v>
      </c>
      <c r="S548" s="110">
        <f t="shared" si="274"/>
        <v>919.77</v>
      </c>
      <c r="T548" s="135">
        <f t="shared" si="275"/>
        <v>0.26864827586206896</v>
      </c>
      <c r="U548" s="135">
        <f t="shared" si="276"/>
        <v>5.0804953560371534E-2</v>
      </c>
      <c r="V548" s="135">
        <f t="shared" si="277"/>
        <v>0.336551724137931</v>
      </c>
      <c r="W548" s="117">
        <f t="shared" si="293"/>
        <v>969</v>
      </c>
      <c r="X548" s="114">
        <f>IFERROR((VLOOKUP($A548,'ИЗ ГУГЛА'!$B:$G,X$1,0)+Z548)*Y548,VLOOKUP($A548,'ИЗ ГУГЛА'!$B:$G,X$1,0))</f>
        <v>969</v>
      </c>
      <c r="Y548" s="46">
        <v>1</v>
      </c>
      <c r="Z548" s="46"/>
      <c r="AA548" s="138">
        <v>969</v>
      </c>
      <c r="AB548" s="124" t="s">
        <v>2277</v>
      </c>
      <c r="AC548" s="114" t="str">
        <f>IFERROR((VLOOKUP($A548,'ИЗ ГУГЛА'!$B:$Z,AC$1,0)+AE548)*AD548,VLOOKUP($A548,'ИЗ ГУГЛА'!$B:$Z,AC$1,0))</f>
        <v/>
      </c>
      <c r="AD548" s="46">
        <v>1</v>
      </c>
      <c r="AE548" s="46"/>
      <c r="AF548" s="115"/>
    </row>
    <row r="549" spans="1:32" s="5" customFormat="1" ht="46.5" thickTop="1" thickBot="1" x14ac:dyDescent="0.3">
      <c r="A549" s="132">
        <v>158299</v>
      </c>
      <c r="B549" s="132">
        <f>VLOOKUP($A549,'Выгр Кат'!$A:$S,B$1,0)</f>
        <v>35556</v>
      </c>
      <c r="C549" s="133" t="str">
        <f>VLOOKUP($A549,'Выгр Кат'!$A:$S,C$1,0)</f>
        <v>Комплект "БРТ" уплотнителей дверей, верхний (водосток) для Шевроле Нива</v>
      </c>
      <c r="D549" s="132" t="str">
        <f>VLOOKUP($A549,'Выгр Кат'!$A:$S,D$1,0)</f>
        <v>Y</v>
      </c>
      <c r="E549" s="132" t="str">
        <f>VLOOKUP($A549,'Выгр Кат'!$A:$S,E$1,0)</f>
        <v>1</v>
      </c>
      <c r="F549" s="132">
        <f>VLOOKUP($A549,'Выгр Кат'!$A:$S,F$1,0)</f>
        <v>0</v>
      </c>
      <c r="G549" s="100" t="s">
        <v>1314</v>
      </c>
      <c r="H549" s="29"/>
      <c r="I549" s="4" t="s">
        <v>2</v>
      </c>
      <c r="J549" s="95">
        <v>1</v>
      </c>
      <c r="K549" s="168">
        <f t="shared" si="278"/>
        <v>800</v>
      </c>
      <c r="L549" s="167">
        <f>VLOOKUP(K549,Наценка!$A$1:$B$8,2,1)</f>
        <v>1.3978494623655915</v>
      </c>
      <c r="M549" s="145">
        <f>W549*1</f>
        <v>1390</v>
      </c>
      <c r="N549" s="173">
        <f t="shared" si="271"/>
        <v>1390</v>
      </c>
      <c r="O549" s="134">
        <f>VLOOKUP($A549,'Выгр Кат'!$A:$S,O$1,0)</f>
        <v>800</v>
      </c>
      <c r="P549" s="134">
        <f>VLOOKUP($A549,'Выгр Кат'!$A:$S,P$1,0)</f>
        <v>1390</v>
      </c>
      <c r="Q549" s="107">
        <f t="shared" si="272"/>
        <v>0</v>
      </c>
      <c r="R549" s="107">
        <f t="shared" si="273"/>
        <v>0</v>
      </c>
      <c r="S549" s="110">
        <f t="shared" si="274"/>
        <v>1292.6999999999998</v>
      </c>
      <c r="T549" s="135">
        <f t="shared" si="275"/>
        <v>0.61587499999999973</v>
      </c>
      <c r="U549" s="135">
        <f t="shared" si="276"/>
        <v>7.0000000000000132E-2</v>
      </c>
      <c r="V549" s="135">
        <f t="shared" si="277"/>
        <v>0.73750000000000004</v>
      </c>
      <c r="W549" s="117">
        <f t="shared" si="293"/>
        <v>1390</v>
      </c>
      <c r="X549" s="114">
        <f>IFERROR((VLOOKUP($A549,'ИЗ ГУГЛА'!$B:$G,X$1,0)+Z549)*Y549,VLOOKUP($A549,'ИЗ ГУГЛА'!$B:$G,X$1,0))</f>
        <v>1390</v>
      </c>
      <c r="Y549" s="46">
        <v>1</v>
      </c>
      <c r="Z549" s="46"/>
      <c r="AA549" s="138">
        <v>1390</v>
      </c>
      <c r="AB549" s="124" t="s">
        <v>2284</v>
      </c>
      <c r="AC549" s="114" t="str">
        <f>IFERROR((VLOOKUP($A549,'ИЗ ГУГЛА'!$B:$Z,AC$1,0)+AE549)*AD549,VLOOKUP($A549,'ИЗ ГУГЛА'!$B:$Z,AC$1,0))</f>
        <v/>
      </c>
      <c r="AD549" s="46">
        <v>1</v>
      </c>
      <c r="AE549" s="46"/>
      <c r="AF549" s="115"/>
    </row>
    <row r="550" spans="1:32" s="5" customFormat="1" ht="31.5" thickTop="1" thickBot="1" x14ac:dyDescent="0.3">
      <c r="A550" s="132">
        <v>223210</v>
      </c>
      <c r="B550" s="132">
        <f>VLOOKUP($A550,'Выгр Кат'!$A:$S,B$1,0)</f>
        <v>35305</v>
      </c>
      <c r="C550" s="133" t="str">
        <f>VLOOKUP($A550,'Выгр Кат'!$A:$S,C$1,0)</f>
        <v>Уплотнители "БРТ" задних боковых стекол для ВАЗ 2109, 2114</v>
      </c>
      <c r="D550" s="132" t="str">
        <f>VLOOKUP($A550,'Выгр Кат'!$A:$S,D$1,0)</f>
        <v>Y</v>
      </c>
      <c r="E550" s="132" t="str">
        <f>VLOOKUP($A550,'Выгр Кат'!$A:$S,E$1,0)</f>
        <v>1</v>
      </c>
      <c r="F550" s="132" t="str">
        <f>VLOOKUP($A550,'Выгр Кат'!$A:$S,F$1,0)</f>
        <v>2109-5403122 / 2109-5403123</v>
      </c>
      <c r="G550" s="34" t="s">
        <v>781</v>
      </c>
      <c r="H550" s="29"/>
      <c r="I550" s="4" t="s">
        <v>2</v>
      </c>
      <c r="J550" s="95">
        <v>1</v>
      </c>
      <c r="K550" s="168">
        <f t="shared" si="278"/>
        <v>1530</v>
      </c>
      <c r="L550" s="167">
        <f>VLOOKUP(K550,Наценка!$A$1:$B$8,2,1)</f>
        <v>1.2903225806451613</v>
      </c>
      <c r="M550" s="172">
        <f t="shared" si="281"/>
        <v>1974.1935483870968</v>
      </c>
      <c r="N550" s="173">
        <f t="shared" si="271"/>
        <v>1990</v>
      </c>
      <c r="O550" s="134">
        <f>VLOOKUP($A550,'Выгр Кат'!$A:$S,O$1,0)</f>
        <v>1530</v>
      </c>
      <c r="P550" s="134">
        <f>VLOOKUP($A550,'Выгр Кат'!$A:$S,P$1,0)</f>
        <v>1990</v>
      </c>
      <c r="Q550" s="107">
        <f t="shared" si="272"/>
        <v>0</v>
      </c>
      <c r="R550" s="107">
        <f t="shared" si="273"/>
        <v>0</v>
      </c>
      <c r="S550" s="110">
        <f t="shared" si="274"/>
        <v>1850.6999999999998</v>
      </c>
      <c r="T550" s="135">
        <f t="shared" si="275"/>
        <v>0.20960784313725478</v>
      </c>
      <c r="U550" s="135">
        <f t="shared" si="276"/>
        <v>-0.55521008403361327</v>
      </c>
      <c r="V550" s="135">
        <f t="shared" si="277"/>
        <v>-0.22222222222222221</v>
      </c>
      <c r="W550" s="117">
        <f t="shared" si="293"/>
        <v>1190</v>
      </c>
      <c r="X550" s="114">
        <f>IFERROR((VLOOKUP($A550,'ИЗ ГУГЛА'!$B:$G,X$1,0)+Z550)*Y550,VLOOKUP($A550,'ИЗ ГУГЛА'!$B:$G,X$1,0))</f>
        <v>1190</v>
      </c>
      <c r="Y550" s="46">
        <v>1</v>
      </c>
      <c r="Z550" s="46"/>
      <c r="AA550" s="138">
        <v>1190</v>
      </c>
      <c r="AB550" s="124" t="s">
        <v>2312</v>
      </c>
      <c r="AC550" s="114" t="str">
        <f>IFERROR((VLOOKUP($A550,'ИЗ ГУГЛА'!$B:$Z,AC$1,0)+AE550)*AD550,VLOOKUP($A550,'ИЗ ГУГЛА'!$B:$Z,AC$1,0))</f>
        <v/>
      </c>
      <c r="AD550" s="46">
        <v>1</v>
      </c>
      <c r="AE550" s="46"/>
      <c r="AF550" s="115"/>
    </row>
    <row r="551" spans="1:32" s="5" customFormat="1" ht="46.5" thickTop="1" thickBot="1" x14ac:dyDescent="0.3">
      <c r="A551" s="132">
        <v>186836</v>
      </c>
      <c r="B551" s="132">
        <f>VLOOKUP($A551,'Выгр Кат'!$A:$S,B$1,0)</f>
        <v>20441</v>
      </c>
      <c r="C551" s="133" t="str">
        <f>VLOOKUP($A551,'Выгр Кат'!$A:$S,C$1,0)</f>
        <v>Патрубок соединительный наливной горловины топливного бака для Шевроле Нива</v>
      </c>
      <c r="D551" s="132" t="str">
        <f>VLOOKUP($A551,'Выгр Кат'!$A:$S,D$1,0)</f>
        <v>Y</v>
      </c>
      <c r="E551" s="132" t="str">
        <f>VLOOKUP($A551,'Выгр Кат'!$A:$S,E$1,0)</f>
        <v>1</v>
      </c>
      <c r="F551" s="132" t="str">
        <f>VLOOKUP($A551,'Выгр Кат'!$A:$S,F$1,0)</f>
        <v>2123-1101080-20РП.</v>
      </c>
      <c r="G551" s="43" t="s">
        <v>484</v>
      </c>
      <c r="H551" s="29"/>
      <c r="I551" s="4" t="s">
        <v>2</v>
      </c>
      <c r="J551" s="95">
        <v>1</v>
      </c>
      <c r="K551" s="168">
        <f t="shared" si="278"/>
        <v>766</v>
      </c>
      <c r="L551" s="167">
        <f>VLOOKUP(K551,Наценка!$A$1:$B$8,2,1)</f>
        <v>1.3978494623655915</v>
      </c>
      <c r="M551" s="146">
        <f>W551*1.02</f>
        <v>988.38</v>
      </c>
      <c r="N551" s="173">
        <f t="shared" si="271"/>
        <v>989</v>
      </c>
      <c r="O551" s="134">
        <f>VLOOKUP($A551,'Выгр Кат'!$A:$S,O$1,0)</f>
        <v>766</v>
      </c>
      <c r="P551" s="134">
        <f>VLOOKUP($A551,'Выгр Кат'!$A:$S,P$1,0)</f>
        <v>989</v>
      </c>
      <c r="Q551" s="107">
        <f t="shared" si="272"/>
        <v>0</v>
      </c>
      <c r="R551" s="107">
        <f t="shared" si="273"/>
        <v>0</v>
      </c>
      <c r="S551" s="110">
        <f t="shared" si="274"/>
        <v>919.77</v>
      </c>
      <c r="T551" s="135">
        <f t="shared" si="275"/>
        <v>0.20074412532637065</v>
      </c>
      <c r="U551" s="135">
        <f t="shared" si="276"/>
        <v>5.0804953560371534E-2</v>
      </c>
      <c r="V551" s="135">
        <f t="shared" si="277"/>
        <v>0.26501305483028714</v>
      </c>
      <c r="W551" s="117">
        <f t="shared" si="293"/>
        <v>969</v>
      </c>
      <c r="X551" s="114">
        <f>IFERROR((VLOOKUP($A551,'ИЗ ГУГЛА'!$B:$G,X$1,0)+Z551)*Y551,VLOOKUP($A551,'ИЗ ГУГЛА'!$B:$G,X$1,0))</f>
        <v>969</v>
      </c>
      <c r="Y551" s="108">
        <v>1</v>
      </c>
      <c r="Z551" s="46"/>
      <c r="AA551" s="136">
        <v>969</v>
      </c>
      <c r="AB551" s="124" t="s">
        <v>2544</v>
      </c>
      <c r="AC551" s="114" t="str">
        <f>IFERROR((VLOOKUP($A551,'ИЗ ГУГЛА'!$B:$Z,AC$1,0)+AE551)*AD551,VLOOKUP($A551,'ИЗ ГУГЛА'!$B:$Z,AC$1,0))</f>
        <v/>
      </c>
      <c r="AD551" s="108">
        <v>1</v>
      </c>
      <c r="AE551" s="46"/>
      <c r="AF551" s="115"/>
    </row>
    <row r="552" spans="1:32" s="5" customFormat="1" ht="46.5" thickTop="1" thickBot="1" x14ac:dyDescent="0.3">
      <c r="A552" s="132">
        <v>186835</v>
      </c>
      <c r="B552" s="132">
        <f>VLOOKUP($A552,'Выгр Кат'!$A:$S,B$1,0)</f>
        <v>20401</v>
      </c>
      <c r="C552" s="133" t="str">
        <f>VLOOKUP($A552,'Выгр Кат'!$A:$S,C$1,0)</f>
        <v>Патрубок соединительный наливной горловины топливного бака "БРТ" для Лада Нива 4х4</v>
      </c>
      <c r="D552" s="132" t="str">
        <f>VLOOKUP($A552,'Выгр Кат'!$A:$S,D$1,0)</f>
        <v>Y</v>
      </c>
      <c r="E552" s="132" t="str">
        <f>VLOOKUP($A552,'Выгр Кат'!$A:$S,E$1,0)</f>
        <v>1</v>
      </c>
      <c r="F552" s="132" t="str">
        <f>VLOOKUP($A552,'Выгр Кат'!$A:$S,F$1,0)</f>
        <v>2121-1101080РП.</v>
      </c>
      <c r="G552" s="43"/>
      <c r="H552" s="29"/>
      <c r="I552" s="4" t="s">
        <v>2</v>
      </c>
      <c r="J552" s="95">
        <v>1</v>
      </c>
      <c r="K552" s="168">
        <f t="shared" si="278"/>
        <v>766</v>
      </c>
      <c r="L552" s="167">
        <f>VLOOKUP(K552,Наценка!$A$1:$B$8,2,1)</f>
        <v>1.3978494623655915</v>
      </c>
      <c r="M552" s="172">
        <f t="shared" si="281"/>
        <v>1070.752688172043</v>
      </c>
      <c r="N552" s="173">
        <f t="shared" si="271"/>
        <v>1090</v>
      </c>
      <c r="O552" s="134">
        <f>VLOOKUP($A552,'Выгр Кат'!$A:$S,O$1,0)</f>
        <v>766</v>
      </c>
      <c r="P552" s="134">
        <f>VLOOKUP($A552,'Выгр Кат'!$A:$S,P$1,0)</f>
        <v>1090</v>
      </c>
      <c r="Q552" s="107">
        <f t="shared" si="272"/>
        <v>0</v>
      </c>
      <c r="R552" s="107">
        <f t="shared" si="273"/>
        <v>0</v>
      </c>
      <c r="S552" s="110">
        <f t="shared" si="274"/>
        <v>1013.6999999999999</v>
      </c>
      <c r="T552" s="135">
        <f t="shared" si="275"/>
        <v>0.32336814621409915</v>
      </c>
      <c r="U552" s="135">
        <f t="shared" si="276"/>
        <v>-4.6631284916201112</v>
      </c>
      <c r="V552" s="135">
        <f t="shared" si="277"/>
        <v>-0.76631853785900783</v>
      </c>
      <c r="W552" s="117">
        <f t="shared" si="293"/>
        <v>179</v>
      </c>
      <c r="X552" s="114">
        <f>IFERROR((VLOOKUP($A552,'ИЗ ГУГЛА'!$B:$G,X$1,0)+Z552)*Y552,VLOOKUP($A552,'ИЗ ГУГЛА'!$B:$G,X$1,0))</f>
        <v>179</v>
      </c>
      <c r="Y552" s="108">
        <v>1</v>
      </c>
      <c r="Z552" s="46"/>
      <c r="AA552" s="136">
        <v>179</v>
      </c>
      <c r="AB552" s="124" t="s">
        <v>2543</v>
      </c>
      <c r="AC552" s="114" t="str">
        <f>IFERROR((VLOOKUP($A552,'ИЗ ГУГЛА'!$B:$Z,AC$1,0)+AE552)*AD552,VLOOKUP($A552,'ИЗ ГУГЛА'!$B:$Z,AC$1,0))</f>
        <v/>
      </c>
      <c r="AD552" s="108">
        <v>1</v>
      </c>
      <c r="AE552" s="46"/>
      <c r="AF552" s="115"/>
    </row>
    <row r="553" spans="1:32" s="5" customFormat="1" ht="46.5" thickTop="1" thickBot="1" x14ac:dyDescent="0.3">
      <c r="A553" s="132">
        <v>223161</v>
      </c>
      <c r="B553" s="132">
        <f>VLOOKUP($A553,'Выгр Кат'!$A:$S,B$1,0)</f>
        <v>5962</v>
      </c>
      <c r="C553" s="133" t="str">
        <f>VLOOKUP($A553,'Выгр Кат'!$A:$S,C$1,0)</f>
        <v>Уплотнители (бархотки) "БРТ" опускного стекла внутренние Н/О для ВАЗ 2108, 2113</v>
      </c>
      <c r="D553" s="132" t="str">
        <f>VLOOKUP($A553,'Выгр Кат'!$A:$S,D$1,0)</f>
        <v>Y</v>
      </c>
      <c r="E553" s="132" t="str">
        <f>VLOOKUP($A553,'Выгр Кат'!$A:$S,E$1,0)</f>
        <v>1</v>
      </c>
      <c r="F553" s="132" t="str">
        <f>VLOOKUP($A553,'Выгр Кат'!$A:$S,F$1,0)</f>
        <v>2108-6103320-10Р</v>
      </c>
      <c r="G553" s="45" t="s">
        <v>1821</v>
      </c>
      <c r="H553" s="29" t="s">
        <v>1821</v>
      </c>
      <c r="I553" s="4" t="s">
        <v>1815</v>
      </c>
      <c r="J553" s="105">
        <v>2</v>
      </c>
      <c r="K553" s="168">
        <f t="shared" si="278"/>
        <v>400</v>
      </c>
      <c r="L553" s="167">
        <f>VLOOKUP(K553,Наценка!$A$1:$B$8,2,1)</f>
        <v>1.5053763440860215</v>
      </c>
      <c r="M553" s="148">
        <f t="shared" ref="M553:M555" si="295">W553*1.06</f>
        <v>943.40000000000009</v>
      </c>
      <c r="N553" s="173">
        <f t="shared" si="271"/>
        <v>949</v>
      </c>
      <c r="O553" s="134">
        <f>VLOOKUP($A553,'Выгр Кат'!$A:$S,O$1,0)</f>
        <v>400</v>
      </c>
      <c r="P553" s="134">
        <f>VLOOKUP($A553,'Выгр Кат'!$A:$S,P$1,0)</f>
        <v>929</v>
      </c>
      <c r="Q553" s="107">
        <f t="shared" si="272"/>
        <v>0</v>
      </c>
      <c r="R553" s="107">
        <f t="shared" si="273"/>
        <v>-20</v>
      </c>
      <c r="S553" s="110">
        <f t="shared" si="274"/>
        <v>882.56999999999994</v>
      </c>
      <c r="T553" s="135">
        <f t="shared" si="275"/>
        <v>1.2064249999999999</v>
      </c>
      <c r="U553" s="135">
        <f t="shared" si="276"/>
        <v>8.3483146067416438E-3</v>
      </c>
      <c r="V553" s="135">
        <f t="shared" si="277"/>
        <v>1.2250000000000001</v>
      </c>
      <c r="W553" s="117">
        <f t="shared" si="293"/>
        <v>890</v>
      </c>
      <c r="X553" s="114">
        <f>IFERROR((VLOOKUP($A553,'ИЗ ГУГЛА'!$B:$G,X$1,0)+Z553)*Y553,VLOOKUP($A553,'ИЗ ГУГЛА'!$B:$G,X$1,0))</f>
        <v>890</v>
      </c>
      <c r="Y553" s="108">
        <v>1</v>
      </c>
      <c r="Z553" s="46"/>
      <c r="AA553" s="136">
        <v>890</v>
      </c>
      <c r="AB553" s="124" t="s">
        <v>2542</v>
      </c>
      <c r="AC553" s="114" t="str">
        <f>IFERROR((VLOOKUP($A553,'ИЗ ГУГЛА'!$B:$Z,AC$1,0)+AE553)*AD553,VLOOKUP($A553,'ИЗ ГУГЛА'!$B:$Z,AC$1,0))</f>
        <v/>
      </c>
      <c r="AD553" s="108">
        <v>1</v>
      </c>
      <c r="AE553" s="46"/>
      <c r="AF553" s="115"/>
    </row>
    <row r="554" spans="1:32" s="5" customFormat="1" ht="31.5" thickTop="1" thickBot="1" x14ac:dyDescent="0.3">
      <c r="A554" s="132">
        <v>158271</v>
      </c>
      <c r="B554" s="132">
        <f>VLOOKUP($A554,'Выгр Кат'!$A:$S,B$1,0)</f>
        <v>35500</v>
      </c>
      <c r="C554" s="133" t="str">
        <f>VLOOKUP($A554,'Выгр Кат'!$A:$S,C$1,0)</f>
        <v>Комплект "БРТ" внешних бархоток для Шевроле Нива</v>
      </c>
      <c r="D554" s="132" t="str">
        <f>VLOOKUP($A554,'Выгр Кат'!$A:$S,D$1,0)</f>
        <v>Y</v>
      </c>
      <c r="E554" s="132" t="str">
        <f>VLOOKUP($A554,'Выгр Кат'!$A:$S,E$1,0)</f>
        <v>1</v>
      </c>
      <c r="F554" s="132" t="str">
        <f>VLOOKUP($A554,'Выгр Кат'!$A:$S,F$1,0)</f>
        <v>2123-610/6203320</v>
      </c>
      <c r="G554" s="44" t="s">
        <v>1242</v>
      </c>
      <c r="H554" s="29"/>
      <c r="I554" s="4" t="s">
        <v>2</v>
      </c>
      <c r="J554" s="95">
        <v>1</v>
      </c>
      <c r="K554" s="168">
        <f t="shared" si="278"/>
        <v>687</v>
      </c>
      <c r="L554" s="167">
        <f>VLOOKUP(K554,Наценка!$A$1:$B$8,2,1)</f>
        <v>1.3978494623655915</v>
      </c>
      <c r="M554" s="145">
        <f>W554*1</f>
        <v>1190</v>
      </c>
      <c r="N554" s="173">
        <f t="shared" si="271"/>
        <v>1190</v>
      </c>
      <c r="O554" s="134">
        <f>VLOOKUP($A554,'Выгр Кат'!$A:$S,O$1,0)</f>
        <v>687</v>
      </c>
      <c r="P554" s="134">
        <f>VLOOKUP($A554,'Выгр Кат'!$A:$S,P$1,0)</f>
        <v>1190</v>
      </c>
      <c r="Q554" s="107">
        <f t="shared" si="272"/>
        <v>0</v>
      </c>
      <c r="R554" s="107">
        <f t="shared" si="273"/>
        <v>0</v>
      </c>
      <c r="S554" s="110">
        <f t="shared" si="274"/>
        <v>1106.6999999999998</v>
      </c>
      <c r="T554" s="135">
        <f t="shared" si="275"/>
        <v>0.61091703056768543</v>
      </c>
      <c r="U554" s="135">
        <f t="shared" si="276"/>
        <v>7.0000000000000159E-2</v>
      </c>
      <c r="V554" s="135">
        <f t="shared" si="277"/>
        <v>0.7321688500727801</v>
      </c>
      <c r="W554" s="117">
        <f t="shared" si="293"/>
        <v>1190</v>
      </c>
      <c r="X554" s="114">
        <f>IFERROR((VLOOKUP($A554,'ИЗ ГУГЛА'!$B:$G,X$1,0)+Z554)*Y554,VLOOKUP($A554,'ИЗ ГУГЛА'!$B:$G,X$1,0))</f>
        <v>1190</v>
      </c>
      <c r="Y554" s="108">
        <v>1</v>
      </c>
      <c r="Z554" s="46"/>
      <c r="AA554" s="136">
        <v>1190</v>
      </c>
      <c r="AB554" s="124" t="s">
        <v>2507</v>
      </c>
      <c r="AC554" s="114" t="str">
        <f>IFERROR((VLOOKUP($A554,'ИЗ ГУГЛА'!$B:$Z,AC$1,0)+AE554)*AD554,VLOOKUP($A554,'ИЗ ГУГЛА'!$B:$Z,AC$1,0))</f>
        <v/>
      </c>
      <c r="AD554" s="108">
        <v>1</v>
      </c>
      <c r="AE554" s="46"/>
      <c r="AF554" s="115"/>
    </row>
    <row r="555" spans="1:32" s="5" customFormat="1" ht="31.5" thickTop="1" thickBot="1" x14ac:dyDescent="0.3">
      <c r="A555" s="132">
        <v>223181</v>
      </c>
      <c r="B555" s="132">
        <f>VLOOKUP($A555,'Выгр Кат'!$A:$S,B$1,0)</f>
        <v>6136</v>
      </c>
      <c r="C555" s="133" t="str">
        <f>VLOOKUP($A555,'Выгр Кат'!$A:$S,C$1,0)</f>
        <v>Уплотнители проемов передних дверей "БРТ" для ВАЗ 2110-2112</v>
      </c>
      <c r="D555" s="132" t="str">
        <f>VLOOKUP($A555,'Выгр Кат'!$A:$S,D$1,0)</f>
        <v>Y</v>
      </c>
      <c r="E555" s="132" t="str">
        <f>VLOOKUP($A555,'Выгр Кат'!$A:$S,E$1,0)</f>
        <v>1</v>
      </c>
      <c r="F555" s="132" t="str">
        <f>VLOOKUP($A555,'Выгр Кат'!$A:$S,F$1,0)</f>
        <v>2110-6107014 (правый) / 2110-6107015 (левый)</v>
      </c>
      <c r="G555" s="42" t="s">
        <v>408</v>
      </c>
      <c r="H555" s="41"/>
      <c r="I555" s="4" t="s">
        <v>2</v>
      </c>
      <c r="J555" s="105">
        <v>2</v>
      </c>
      <c r="K555" s="168">
        <f t="shared" si="278"/>
        <v>950</v>
      </c>
      <c r="L555" s="167">
        <f>VLOOKUP(K555,Наценка!$A$1:$B$8,2,1)</f>
        <v>1.3978494623655915</v>
      </c>
      <c r="M555" s="147">
        <f t="shared" ref="M554:M555" si="296">W555*1.04</f>
        <v>1294.8</v>
      </c>
      <c r="N555" s="173">
        <f t="shared" si="271"/>
        <v>1290</v>
      </c>
      <c r="O555" s="134">
        <f>VLOOKUP($A555,'Выгр Кат'!$A:$S,O$1,0)</f>
        <v>950</v>
      </c>
      <c r="P555" s="134">
        <f>VLOOKUP($A555,'Выгр Кат'!$A:$S,P$1,0)</f>
        <v>1290</v>
      </c>
      <c r="Q555" s="107">
        <f t="shared" si="272"/>
        <v>0</v>
      </c>
      <c r="R555" s="107">
        <f t="shared" si="273"/>
        <v>0</v>
      </c>
      <c r="S555" s="110">
        <f t="shared" si="274"/>
        <v>1199.6999999999998</v>
      </c>
      <c r="T555" s="135">
        <f t="shared" si="275"/>
        <v>0.26284210526315777</v>
      </c>
      <c r="U555" s="135">
        <f t="shared" si="276"/>
        <v>3.6385542168674845E-2</v>
      </c>
      <c r="V555" s="135">
        <f t="shared" si="277"/>
        <v>0.31052631578947376</v>
      </c>
      <c r="W555" s="117">
        <f t="shared" si="293"/>
        <v>1245</v>
      </c>
      <c r="X555" s="114">
        <f>IFERROR((VLOOKUP($A555,'ИЗ ГУГЛА'!$B:$G,X$1,0)+Z555)*Y555,VLOOKUP($A555,'ИЗ ГУГЛА'!$B:$G,X$1,0))</f>
        <v>1245</v>
      </c>
      <c r="Y555" s="108">
        <v>0.5</v>
      </c>
      <c r="Z555" s="46"/>
      <c r="AA555" s="136">
        <v>1245</v>
      </c>
      <c r="AB555" s="124" t="s">
        <v>2374</v>
      </c>
      <c r="AC555" s="114" t="str">
        <f>IFERROR((VLOOKUP($A555,'ИЗ ГУГЛА'!$B:$Z,AC$1,0)+AE555)*AD555,VLOOKUP($A555,'ИЗ ГУГЛА'!$B:$Z,AC$1,0))</f>
        <v/>
      </c>
      <c r="AD555" s="108">
        <v>0.5</v>
      </c>
      <c r="AE555" s="46"/>
      <c r="AF555" s="115"/>
    </row>
    <row r="556" spans="1:32" s="5" customFormat="1" ht="31.5" thickTop="1" thickBot="1" x14ac:dyDescent="0.3">
      <c r="A556" s="132">
        <v>223177</v>
      </c>
      <c r="B556" s="132">
        <f>VLOOKUP($A556,'Выгр Кат'!$A:$S,B$1,0)</f>
        <v>6140</v>
      </c>
      <c r="C556" s="133" t="str">
        <f>VLOOKUP($A556,'Выгр Кат'!$A:$S,C$1,0)</f>
        <v>Уплотнители проема задних дверей "БРТ" для ВАЗ 2110-2112</v>
      </c>
      <c r="D556" s="132" t="str">
        <f>VLOOKUP($A556,'Выгр Кат'!$A:$S,D$1,0)</f>
        <v>Y</v>
      </c>
      <c r="E556" s="132" t="str">
        <f>VLOOKUP($A556,'Выгр Кат'!$A:$S,E$1,0)</f>
        <v>1</v>
      </c>
      <c r="F556" s="132" t="str">
        <f>VLOOKUP($A556,'Выгр Кат'!$A:$S,F$1,0)</f>
        <v>2110-6207014 (правый) / 2110-6207015 (левый)</v>
      </c>
      <c r="G556" s="144" t="s">
        <v>408</v>
      </c>
      <c r="H556" s="29"/>
      <c r="I556" s="4" t="s">
        <v>1815</v>
      </c>
      <c r="J556" s="105">
        <v>2</v>
      </c>
      <c r="K556" s="168">
        <f t="shared" si="278"/>
        <v>950</v>
      </c>
      <c r="L556" s="167">
        <f>VLOOKUP(K556,Наценка!$A$1:$B$8,2,1)</f>
        <v>1.3978494623655915</v>
      </c>
      <c r="M556" s="172">
        <f t="shared" si="281"/>
        <v>1327.9569892473119</v>
      </c>
      <c r="N556" s="173">
        <f t="shared" si="271"/>
        <v>1390</v>
      </c>
      <c r="O556" s="134">
        <f>VLOOKUP($A556,'Выгр Кат'!$A:$S,O$1,0)</f>
        <v>950</v>
      </c>
      <c r="P556" s="134">
        <f>VLOOKUP($A556,'Выгр Кат'!$A:$S,P$1,0)</f>
        <v>1390</v>
      </c>
      <c r="Q556" s="107">
        <f t="shared" si="272"/>
        <v>0</v>
      </c>
      <c r="R556" s="107">
        <f t="shared" si="273"/>
        <v>0</v>
      </c>
      <c r="S556" s="110">
        <f t="shared" si="274"/>
        <v>1292.6999999999998</v>
      </c>
      <c r="T556" s="135">
        <f t="shared" si="275"/>
        <v>0.36073684210526302</v>
      </c>
      <c r="U556" s="135">
        <f t="shared" si="276"/>
        <v>-0.52261484098939903</v>
      </c>
      <c r="V556" s="135">
        <f t="shared" si="277"/>
        <v>-0.10631578947368425</v>
      </c>
      <c r="W556" s="117">
        <f t="shared" si="293"/>
        <v>849</v>
      </c>
      <c r="X556" s="114">
        <f>IFERROR((VLOOKUP($A556,'ИЗ ГУГЛА'!$B:$G,X$1,0)+Z556)*Y556,VLOOKUP($A556,'ИЗ ГУГЛА'!$B:$G,X$1,0))</f>
        <v>849</v>
      </c>
      <c r="Y556" s="46">
        <v>1</v>
      </c>
      <c r="Z556" s="46"/>
      <c r="AA556" s="138">
        <v>849</v>
      </c>
      <c r="AB556" s="124" t="s">
        <v>2283</v>
      </c>
      <c r="AC556" s="114" t="str">
        <f>IFERROR((VLOOKUP($A556,'ИЗ ГУГЛА'!$B:$Z,AC$1,0)+AE556)*AD556,VLOOKUP($A556,'ИЗ ГУГЛА'!$B:$Z,AC$1,0))</f>
        <v/>
      </c>
      <c r="AD556" s="46">
        <v>1</v>
      </c>
      <c r="AE556" s="46"/>
      <c r="AF556" s="115"/>
    </row>
    <row r="557" spans="1:32" s="5" customFormat="1" ht="46.5" thickTop="1" thickBot="1" x14ac:dyDescent="0.3">
      <c r="A557" s="132">
        <v>204306</v>
      </c>
      <c r="B557" s="132">
        <f>VLOOKUP($A557,'Выгр Кат'!$A:$S,B$1,0)</f>
        <v>20376</v>
      </c>
      <c r="C557" s="133" t="str">
        <f>VLOOKUP($A557,'Выгр Кат'!$A:$S,C$1,0)</f>
        <v>Ремень привода генератора  поликлиновой "БРТ" для Лада Гранта (с кондиционером)</v>
      </c>
      <c r="D557" s="132" t="str">
        <f>VLOOKUP($A557,'Выгр Кат'!$A:$S,D$1,0)</f>
        <v>Y</v>
      </c>
      <c r="E557" s="132" t="str">
        <f>VLOOKUP($A557,'Выгр Кат'!$A:$S,E$1,0)</f>
        <v>1</v>
      </c>
      <c r="F557" s="132" t="str">
        <f>VLOOKUP($A557,'Выгр Кат'!$A:$S,F$1,0)</f>
        <v>6РК825РУ</v>
      </c>
      <c r="G557" s="45" t="s">
        <v>539</v>
      </c>
      <c r="H557" s="29"/>
      <c r="I557" s="4" t="s">
        <v>2</v>
      </c>
      <c r="J557" s="95">
        <v>1</v>
      </c>
      <c r="K557" s="168">
        <f t="shared" si="278"/>
        <v>789</v>
      </c>
      <c r="L557" s="167">
        <f>VLOOKUP(K557,Наценка!$A$1:$B$8,2,1)</f>
        <v>1.3978494623655915</v>
      </c>
      <c r="M557" s="151">
        <f>K557*1.2*100/93</f>
        <v>1018.0645161290323</v>
      </c>
      <c r="N557" s="173">
        <f t="shared" si="271"/>
        <v>1090</v>
      </c>
      <c r="O557" s="134">
        <f>VLOOKUP($A557,'Выгр Кат'!$A:$S,O$1,0)</f>
        <v>789</v>
      </c>
      <c r="P557" s="134">
        <f>VLOOKUP($A557,'Выгр Кат'!$A:$S,P$1,0)</f>
        <v>1090</v>
      </c>
      <c r="Q557" s="107">
        <f t="shared" si="272"/>
        <v>0</v>
      </c>
      <c r="R557" s="107">
        <f t="shared" si="273"/>
        <v>0</v>
      </c>
      <c r="S557" s="110">
        <f t="shared" si="274"/>
        <v>1013.6999999999999</v>
      </c>
      <c r="T557" s="135">
        <f t="shared" si="275"/>
        <v>0.28479087452471474</v>
      </c>
      <c r="U557" s="135">
        <f t="shared" si="276"/>
        <v>-4.6130030959752252E-2</v>
      </c>
      <c r="V557" s="135">
        <f t="shared" si="277"/>
        <v>0.22813688212927752</v>
      </c>
      <c r="W557" s="117">
        <f t="shared" si="293"/>
        <v>969</v>
      </c>
      <c r="X557" s="114">
        <f>IFERROR((VLOOKUP($A557,'ИЗ ГУГЛА'!$B:$G,X$1,0)+Z557)*Y557,VLOOKUP($A557,'ИЗ ГУГЛА'!$B:$G,X$1,0))</f>
        <v>969</v>
      </c>
      <c r="Y557" s="46">
        <v>1</v>
      </c>
      <c r="Z557" s="46"/>
      <c r="AA557" s="138">
        <v>969</v>
      </c>
      <c r="AB557" s="124" t="s">
        <v>2509</v>
      </c>
      <c r="AC557" s="114" t="str">
        <f>IFERROR((VLOOKUP($A557,'ИЗ ГУГЛА'!$B:$Z,AC$1,0)+AE557)*AD557,VLOOKUP($A557,'ИЗ ГУГЛА'!$B:$Z,AC$1,0))</f>
        <v/>
      </c>
      <c r="AD557" s="46">
        <v>1</v>
      </c>
      <c r="AE557" s="46"/>
      <c r="AF557" s="115"/>
    </row>
    <row r="558" spans="1:32" s="5" customFormat="1" ht="46.5" thickTop="1" thickBot="1" x14ac:dyDescent="0.3">
      <c r="A558" s="132">
        <v>158286</v>
      </c>
      <c r="B558" s="132">
        <f>VLOOKUP($A558,'Выгр Кат'!$A:$S,B$1,0)</f>
        <v>35531</v>
      </c>
      <c r="C558" s="133" t="str">
        <f>VLOOKUP($A558,'Выгр Кат'!$A:$S,C$1,0)</f>
        <v>Комплект "БРТ" передних брызговиков (Bertone) для Шевроле Нива</v>
      </c>
      <c r="D558" s="132" t="str">
        <f>VLOOKUP($A558,'Выгр Кат'!$A:$S,D$1,0)</f>
        <v>Y</v>
      </c>
      <c r="E558" s="132" t="str">
        <f>VLOOKUP($A558,'Выгр Кат'!$A:$S,E$1,0)</f>
        <v>1</v>
      </c>
      <c r="F558" s="132" t="str">
        <f>VLOOKUP($A558,'Выгр Кат'!$A:$S,F$1,0)</f>
        <v>2123-8403512/13</v>
      </c>
      <c r="G558" s="35" t="s">
        <v>1292</v>
      </c>
      <c r="H558" s="29"/>
      <c r="I558" s="4" t="s">
        <v>2</v>
      </c>
      <c r="J558" s="95">
        <v>1</v>
      </c>
      <c r="K558" s="168">
        <f t="shared" si="278"/>
        <v>733</v>
      </c>
      <c r="L558" s="167">
        <f>VLOOKUP(K558,Наценка!$A$1:$B$8,2,1)</f>
        <v>1.3978494623655915</v>
      </c>
      <c r="M558" s="145">
        <f>W558*1</f>
        <v>1390</v>
      </c>
      <c r="N558" s="173">
        <f t="shared" si="271"/>
        <v>1390</v>
      </c>
      <c r="O558" s="134">
        <f>VLOOKUP($A558,'Выгр Кат'!$A:$S,O$1,0)</f>
        <v>733</v>
      </c>
      <c r="P558" s="134">
        <f>VLOOKUP($A558,'Выгр Кат'!$A:$S,P$1,0)</f>
        <v>1390</v>
      </c>
      <c r="Q558" s="107">
        <f t="shared" si="272"/>
        <v>0</v>
      </c>
      <c r="R558" s="107">
        <f t="shared" si="273"/>
        <v>0</v>
      </c>
      <c r="S558" s="110">
        <f t="shared" si="274"/>
        <v>1292.6999999999998</v>
      </c>
      <c r="T558" s="135">
        <f t="shared" si="275"/>
        <v>0.76357435197817169</v>
      </c>
      <c r="U558" s="135">
        <f t="shared" si="276"/>
        <v>7.0000000000000132E-2</v>
      </c>
      <c r="V558" s="135">
        <f t="shared" si="277"/>
        <v>0.89631650750341074</v>
      </c>
      <c r="W558" s="117">
        <f t="shared" si="293"/>
        <v>1390</v>
      </c>
      <c r="X558" s="114">
        <f>IFERROR((VLOOKUP($A558,'ИЗ ГУГЛА'!$B:$G,X$1,0)+Z558)*Y558,VLOOKUP($A558,'ИЗ ГУГЛА'!$B:$G,X$1,0))</f>
        <v>1390</v>
      </c>
      <c r="Y558" s="46">
        <v>1</v>
      </c>
      <c r="Z558" s="46"/>
      <c r="AA558" s="138">
        <v>1390</v>
      </c>
      <c r="AB558" s="124" t="s">
        <v>2508</v>
      </c>
      <c r="AC558" s="114" t="str">
        <f>IFERROR((VLOOKUP($A558,'ИЗ ГУГЛА'!$B:$Z,AC$1,0)+AE558)*AD558,VLOOKUP($A558,'ИЗ ГУГЛА'!$B:$Z,AC$1,0))</f>
        <v/>
      </c>
      <c r="AD558" s="46">
        <v>1</v>
      </c>
      <c r="AE558" s="46"/>
      <c r="AF558" s="115"/>
    </row>
    <row r="559" spans="1:32" s="5" customFormat="1" ht="31.5" thickTop="1" thickBot="1" x14ac:dyDescent="0.3">
      <c r="A559" s="132">
        <v>194598</v>
      </c>
      <c r="B559" s="132">
        <f>VLOOKUP($A559,'Выгр Кат'!$A:$S,B$1,0)</f>
        <v>35425</v>
      </c>
      <c r="C559" s="133" t="str">
        <f>VLOOKUP($A559,'Выгр Кат'!$A:$S,C$1,0)</f>
        <v>Подушка двигателя "БРТ" верхняя для ВАЗ 2110-2112, Лада Приора</v>
      </c>
      <c r="D559" s="132" t="str">
        <f>VLOOKUP($A559,'Выгр Кат'!$A:$S,D$1,0)</f>
        <v>Y</v>
      </c>
      <c r="E559" s="132" t="str">
        <f>VLOOKUP($A559,'Выгр Кат'!$A:$S,E$1,0)</f>
        <v>1</v>
      </c>
      <c r="F559" s="132" t="str">
        <f>VLOOKUP($A559,'Выгр Кат'!$A:$S,F$1,0)</f>
        <v>2112-1001300РУ</v>
      </c>
      <c r="G559" s="44" t="s">
        <v>419</v>
      </c>
      <c r="H559" s="29"/>
      <c r="I559" s="4" t="s">
        <v>2</v>
      </c>
      <c r="J559" s="95">
        <v>1</v>
      </c>
      <c r="K559" s="168">
        <f t="shared" si="278"/>
        <v>795</v>
      </c>
      <c r="L559" s="167">
        <f>VLOOKUP(K559,Наценка!$A$1:$B$8,2,1)</f>
        <v>1.3978494623655915</v>
      </c>
      <c r="M559" s="172">
        <f t="shared" si="281"/>
        <v>1111.2903225806451</v>
      </c>
      <c r="N559" s="173">
        <f t="shared" si="271"/>
        <v>1190</v>
      </c>
      <c r="O559" s="134">
        <f>VLOOKUP($A559,'Выгр Кат'!$A:$S,O$1,0)</f>
        <v>795</v>
      </c>
      <c r="P559" s="134">
        <f>VLOOKUP($A559,'Выгр Кат'!$A:$S,P$1,0)</f>
        <v>1190</v>
      </c>
      <c r="Q559" s="107">
        <f t="shared" si="272"/>
        <v>0</v>
      </c>
      <c r="R559" s="107">
        <f t="shared" si="273"/>
        <v>0</v>
      </c>
      <c r="S559" s="110">
        <f t="shared" si="274"/>
        <v>1106.6999999999998</v>
      </c>
      <c r="T559" s="135">
        <f t="shared" si="275"/>
        <v>0.39207547169811297</v>
      </c>
      <c r="U559" s="135">
        <f t="shared" si="276"/>
        <v>-0.33498190591073562</v>
      </c>
      <c r="V559" s="135">
        <f t="shared" si="277"/>
        <v>4.2767295597484267E-2</v>
      </c>
      <c r="W559" s="117">
        <f t="shared" si="293"/>
        <v>829</v>
      </c>
      <c r="X559" s="114">
        <f>IFERROR((VLOOKUP($A559,'ИЗ ГУГЛА'!$B:$G,X$1,0)+Z559)*Y559,VLOOKUP($A559,'ИЗ ГУГЛА'!$B:$G,X$1,0))</f>
        <v>829</v>
      </c>
      <c r="Y559" s="108">
        <v>1</v>
      </c>
      <c r="Z559" s="46"/>
      <c r="AA559" s="136">
        <v>829</v>
      </c>
      <c r="AB559" s="124" t="s">
        <v>2541</v>
      </c>
      <c r="AC559" s="114" t="str">
        <f>IFERROR((VLOOKUP($A559,'ИЗ ГУГЛА'!$B:$Z,AC$1,0)+AE559)*AD559,VLOOKUP($A559,'ИЗ ГУГЛА'!$B:$Z,AC$1,0))</f>
        <v/>
      </c>
      <c r="AD559" s="108">
        <v>1</v>
      </c>
      <c r="AE559" s="46"/>
      <c r="AF559" s="115"/>
    </row>
    <row r="560" spans="1:32" s="5" customFormat="1" ht="31.5" thickTop="1" thickBot="1" x14ac:dyDescent="0.3">
      <c r="A560" s="132">
        <v>158283</v>
      </c>
      <c r="B560" s="132">
        <f>VLOOKUP($A560,'Выгр Кат'!$A:$S,B$1,0)</f>
        <v>35501</v>
      </c>
      <c r="C560" s="133" t="str">
        <f>VLOOKUP($A560,'Выгр Кат'!$A:$S,C$1,0)</f>
        <v>Комплект "БРТ" наружных бархоток (старого образца) для Шевроле Нива</v>
      </c>
      <c r="D560" s="132" t="str">
        <f>VLOOKUP($A560,'Выгр Кат'!$A:$S,D$1,0)</f>
        <v>Y</v>
      </c>
      <c r="E560" s="132" t="str">
        <f>VLOOKUP($A560,'Выгр Кат'!$A:$S,E$1,0)</f>
        <v>1</v>
      </c>
      <c r="F560" s="132" t="str">
        <f>VLOOKUP($A560,'Выгр Кат'!$A:$S,F$1,0)</f>
        <v>2123-6103290/91</v>
      </c>
      <c r="G560" s="44" t="s">
        <v>1243</v>
      </c>
      <c r="H560" s="29"/>
      <c r="I560" s="4" t="s">
        <v>2</v>
      </c>
      <c r="J560" s="95">
        <v>1</v>
      </c>
      <c r="K560" s="168">
        <f t="shared" si="278"/>
        <v>750</v>
      </c>
      <c r="L560" s="167">
        <f>VLOOKUP(K560,Наценка!$A$1:$B$8,2,1)</f>
        <v>1.3978494623655915</v>
      </c>
      <c r="M560" s="145">
        <f>W560*1</f>
        <v>1190</v>
      </c>
      <c r="N560" s="173">
        <f t="shared" si="271"/>
        <v>1190</v>
      </c>
      <c r="O560" s="134">
        <f>VLOOKUP($A560,'Выгр Кат'!$A:$S,O$1,0)</f>
        <v>750</v>
      </c>
      <c r="P560" s="134">
        <f>VLOOKUP($A560,'Выгр Кат'!$A:$S,P$1,0)</f>
        <v>1090</v>
      </c>
      <c r="Q560" s="107">
        <f t="shared" si="272"/>
        <v>0</v>
      </c>
      <c r="R560" s="107">
        <f t="shared" si="273"/>
        <v>-100</v>
      </c>
      <c r="S560" s="110">
        <f t="shared" si="274"/>
        <v>1106.6999999999998</v>
      </c>
      <c r="T560" s="135">
        <f t="shared" si="275"/>
        <v>0.4755999999999998</v>
      </c>
      <c r="U560" s="135">
        <f t="shared" si="276"/>
        <v>7.0000000000000159E-2</v>
      </c>
      <c r="V560" s="135">
        <f t="shared" si="277"/>
        <v>0.58666666666666667</v>
      </c>
      <c r="W560" s="117">
        <f t="shared" si="293"/>
        <v>1190</v>
      </c>
      <c r="X560" s="114">
        <f>IFERROR((VLOOKUP($A560,'ИЗ ГУГЛА'!$B:$G,X$1,0)+Z560)*Y560,VLOOKUP($A560,'ИЗ ГУГЛА'!$B:$G,X$1,0))</f>
        <v>1190</v>
      </c>
      <c r="Y560" s="46">
        <v>1</v>
      </c>
      <c r="Z560" s="46"/>
      <c r="AA560" s="138">
        <v>1190</v>
      </c>
      <c r="AB560" s="124" t="s">
        <v>2507</v>
      </c>
      <c r="AC560" s="114" t="str">
        <f>IFERROR((VLOOKUP($A560,'ИЗ ГУГЛА'!$B:$Z,AC$1,0)+AE560)*AD560,VLOOKUP($A560,'ИЗ ГУГЛА'!$B:$Z,AC$1,0))</f>
        <v/>
      </c>
      <c r="AD560" s="46">
        <v>1</v>
      </c>
      <c r="AE560" s="46"/>
      <c r="AF560" s="115"/>
    </row>
    <row r="561" spans="1:32" s="5" customFormat="1" ht="61.5" thickTop="1" thickBot="1" x14ac:dyDescent="0.3">
      <c r="A561" s="132">
        <v>186595</v>
      </c>
      <c r="B561" s="132">
        <f>VLOOKUP($A561,'Выгр Кат'!$A:$S,B$1,0)</f>
        <v>35351</v>
      </c>
      <c r="C561" s="133" t="str">
        <f>VLOOKUP($A561,'Выгр Кат'!$A:$S,C$1,0)</f>
        <v>Патрубок "БРТ" фильтра воздушного к дросселю ВАЗ 2112 для ВАЗ 2110-2112, Лада Приора (16 клапанный двигатель)</v>
      </c>
      <c r="D561" s="132" t="str">
        <f>VLOOKUP($A561,'Выгр Кат'!$A:$S,D$1,0)</f>
        <v>Y</v>
      </c>
      <c r="E561" s="132" t="str">
        <f>VLOOKUP($A561,'Выгр Кат'!$A:$S,E$1,0)</f>
        <v>1</v>
      </c>
      <c r="F561" s="132" t="str">
        <f>VLOOKUP($A561,'Выгр Кат'!$A:$S,F$1,0)</f>
        <v>2112-1148035-10</v>
      </c>
      <c r="G561" s="44" t="s">
        <v>426</v>
      </c>
      <c r="H561" s="29"/>
      <c r="I561" s="4" t="s">
        <v>2</v>
      </c>
      <c r="J561" s="95">
        <v>1</v>
      </c>
      <c r="K561" s="168">
        <f t="shared" si="278"/>
        <v>470</v>
      </c>
      <c r="L561" s="167">
        <f>VLOOKUP(K561,Наценка!$A$1:$B$8,2,1)</f>
        <v>1.5053763440860215</v>
      </c>
      <c r="M561" s="148">
        <f t="shared" ref="M560:M561" si="297">W561*1.06</f>
        <v>625.4</v>
      </c>
      <c r="N561" s="173">
        <f t="shared" si="271"/>
        <v>629</v>
      </c>
      <c r="O561" s="134">
        <f>VLOOKUP($A561,'Выгр Кат'!$A:$S,O$1,0)</f>
        <v>470</v>
      </c>
      <c r="P561" s="134">
        <f>VLOOKUP($A561,'Выгр Кат'!$A:$S,P$1,0)</f>
        <v>619</v>
      </c>
      <c r="Q561" s="107">
        <f t="shared" si="272"/>
        <v>0</v>
      </c>
      <c r="R561" s="107">
        <f t="shared" si="273"/>
        <v>-10</v>
      </c>
      <c r="S561" s="110">
        <f t="shared" si="274"/>
        <v>584.96999999999991</v>
      </c>
      <c r="T561" s="135">
        <f t="shared" si="275"/>
        <v>0.24461702127659546</v>
      </c>
      <c r="U561" s="135">
        <f t="shared" si="276"/>
        <v>8.5254237288137063E-3</v>
      </c>
      <c r="V561" s="135">
        <f t="shared" si="277"/>
        <v>0.25531914893617014</v>
      </c>
      <c r="W561" s="117">
        <f t="shared" si="293"/>
        <v>590</v>
      </c>
      <c r="X561" s="114">
        <f>IFERROR((VLOOKUP($A561,'ИЗ ГУГЛА'!$B:$G,X$1,0)+Z561)*Y561,VLOOKUP($A561,'ИЗ ГУГЛА'!$B:$G,X$1,0))</f>
        <v>590</v>
      </c>
      <c r="Y561" s="108">
        <v>1</v>
      </c>
      <c r="Z561" s="46"/>
      <c r="AA561" s="136">
        <v>590</v>
      </c>
      <c r="AB561" s="124" t="s">
        <v>2540</v>
      </c>
      <c r="AC561" s="114" t="str">
        <f>IFERROR((VLOOKUP($A561,'ИЗ ГУГЛА'!$B:$Z,AC$1,0)+AE561)*AD561,VLOOKUP($A561,'ИЗ ГУГЛА'!$B:$Z,AC$1,0))</f>
        <v/>
      </c>
      <c r="AD561" s="108">
        <v>1</v>
      </c>
      <c r="AE561" s="46"/>
      <c r="AF561" s="115"/>
    </row>
    <row r="562" spans="1:32" s="5" customFormat="1" ht="45.75" thickTop="1" x14ac:dyDescent="0.25">
      <c r="A562" s="132">
        <v>186395</v>
      </c>
      <c r="B562" s="132">
        <f>VLOOKUP($A562,'Выгр Кат'!$A:$S,B$1,0)</f>
        <v>33581</v>
      </c>
      <c r="C562" s="133" t="str">
        <f>VLOOKUP($A562,'Выгр Кат'!$A:$S,C$1,0)</f>
        <v>Патрубки "БРТ" радиатора для ВАЗ 2110-2112 (16-ти клапанный двигатель)</v>
      </c>
      <c r="D562" s="132" t="str">
        <f>VLOOKUP($A562,'Выгр Кат'!$A:$S,D$1,0)</f>
        <v>Y</v>
      </c>
      <c r="E562" s="132" t="str">
        <f>VLOOKUP($A562,'Выгр Кат'!$A:$S,E$1,0)</f>
        <v>1</v>
      </c>
      <c r="F562" s="132" t="str">
        <f>VLOOKUP($A562,'Выгр Кат'!$A:$S,F$1,0)</f>
        <v>222РШ</v>
      </c>
      <c r="G562" s="35" t="s">
        <v>606</v>
      </c>
      <c r="H562" s="29"/>
      <c r="I562" s="4" t="s">
        <v>2</v>
      </c>
      <c r="J562" s="95">
        <v>1</v>
      </c>
      <c r="K562" s="168">
        <f t="shared" si="278"/>
        <v>808</v>
      </c>
      <c r="L562" s="167">
        <f>VLOOKUP(K562,Наценка!$A$1:$B$8,2,1)</f>
        <v>1.3978494623655915</v>
      </c>
      <c r="M562" s="172">
        <f t="shared" si="281"/>
        <v>1129.4623655913979</v>
      </c>
      <c r="N562" s="173">
        <f t="shared" si="271"/>
        <v>1190</v>
      </c>
      <c r="O562" s="134">
        <f>VLOOKUP($A562,'Выгр Кат'!$A:$S,O$1,0)</f>
        <v>808</v>
      </c>
      <c r="P562" s="134">
        <f>VLOOKUP($A562,'Выгр Кат'!$A:$S,P$1,0)</f>
        <v>1190</v>
      </c>
      <c r="Q562" s="107">
        <f t="shared" si="272"/>
        <v>0</v>
      </c>
      <c r="R562" s="107">
        <f t="shared" si="273"/>
        <v>0</v>
      </c>
      <c r="S562" s="110">
        <f t="shared" si="274"/>
        <v>1106.6999999999998</v>
      </c>
      <c r="T562" s="135">
        <f t="shared" si="275"/>
        <v>0.3696782178217819</v>
      </c>
      <c r="U562" s="135" t="str">
        <f t="shared" si="276"/>
        <v/>
      </c>
      <c r="V562" s="135" t="str">
        <f t="shared" si="277"/>
        <v/>
      </c>
      <c r="W562" s="45"/>
      <c r="X562" s="114" t="str">
        <f>IFERROR((VLOOKUP($A562,'ИЗ ГУГЛА'!$B:$G,X$1,0)+Z562)*Y562,VLOOKUP($A562,'ИЗ ГУГЛА'!$B:$G,X$1,0))</f>
        <v/>
      </c>
      <c r="Y562" s="108">
        <v>1</v>
      </c>
      <c r="Z562" s="46"/>
      <c r="AA562" s="139" t="s">
        <v>1821</v>
      </c>
      <c r="AB562" s="124"/>
      <c r="AC562" s="114" t="str">
        <f>IFERROR((VLOOKUP($A562,'ИЗ ГУГЛА'!$B:$Z,AC$1,0)+AE562)*AD562,VLOOKUP($A562,'ИЗ ГУГЛА'!$B:$Z,AC$1,0))</f>
        <v/>
      </c>
      <c r="AD562" s="108">
        <v>1</v>
      </c>
      <c r="AE562" s="46"/>
      <c r="AF562" s="115"/>
    </row>
    <row r="563" spans="1:32" s="5" customFormat="1" ht="30.75" thickBot="1" x14ac:dyDescent="0.3">
      <c r="A563" s="132">
        <v>223176</v>
      </c>
      <c r="B563" s="132">
        <f>VLOOKUP($A563,'Выгр Кат'!$A:$S,B$1,0)</f>
        <v>12594</v>
      </c>
      <c r="C563" s="133" t="str">
        <f>VLOOKUP($A563,'Выгр Кат'!$A:$S,C$1,0)</f>
        <v>Уплотнители порогов "БРТ" для Лада Приора</v>
      </c>
      <c r="D563" s="132" t="str">
        <f>VLOOKUP($A563,'Выгр Кат'!$A:$S,D$1,0)</f>
        <v>Y</v>
      </c>
      <c r="E563" s="132" t="str">
        <f>VLOOKUP($A563,'Выгр Кат'!$A:$S,E$1,0)</f>
        <v>1</v>
      </c>
      <c r="F563" s="132">
        <f>VLOOKUP($A563,'Выгр Кат'!$A:$S,F$1,0)</f>
        <v>0</v>
      </c>
      <c r="G563" s="100" t="s">
        <v>1060</v>
      </c>
      <c r="H563" s="29"/>
      <c r="I563" s="4" t="s">
        <v>2</v>
      </c>
      <c r="J563" s="95">
        <v>1</v>
      </c>
      <c r="K563" s="168">
        <f t="shared" si="278"/>
        <v>1000</v>
      </c>
      <c r="L563" s="167">
        <f>VLOOKUP(K563,Наценка!$A$1:$B$8,2,1)</f>
        <v>1.2903225806451613</v>
      </c>
      <c r="M563" s="151">
        <f>K563*1.2*100/93</f>
        <v>1290.3225806451612</v>
      </c>
      <c r="N563" s="173">
        <f t="shared" si="271"/>
        <v>1290</v>
      </c>
      <c r="O563" s="134">
        <f>VLOOKUP($A563,'Выгр Кат'!$A:$S,O$1,0)</f>
        <v>1000</v>
      </c>
      <c r="P563" s="134">
        <f>VLOOKUP($A563,'Выгр Кат'!$A:$S,P$1,0)</f>
        <v>1290</v>
      </c>
      <c r="Q563" s="107">
        <f t="shared" si="272"/>
        <v>0</v>
      </c>
      <c r="R563" s="107">
        <f t="shared" si="273"/>
        <v>0</v>
      </c>
      <c r="S563" s="110">
        <f t="shared" si="274"/>
        <v>1199.6999999999998</v>
      </c>
      <c r="T563" s="135">
        <f t="shared" si="275"/>
        <v>0.19969999999999977</v>
      </c>
      <c r="U563" s="135">
        <f t="shared" si="276"/>
        <v>7.0000000000000145E-2</v>
      </c>
      <c r="V563" s="135">
        <f t="shared" si="277"/>
        <v>0.29000000000000004</v>
      </c>
      <c r="W563" s="117">
        <f t="shared" ref="W563:W565" si="298">AA563</f>
        <v>1290</v>
      </c>
      <c r="X563" s="114">
        <f>IFERROR((VLOOKUP($A563,'ИЗ ГУГЛА'!$B:$G,X$1,0)+Z563)*Y563,VLOOKUP($A563,'ИЗ ГУГЛА'!$B:$G,X$1,0))</f>
        <v>1290</v>
      </c>
      <c r="Y563" s="46">
        <v>1</v>
      </c>
      <c r="Z563" s="46"/>
      <c r="AA563" s="138">
        <v>1290</v>
      </c>
      <c r="AB563" s="124" t="s">
        <v>2321</v>
      </c>
      <c r="AC563" s="114" t="str">
        <f>IFERROR((VLOOKUP($A563,'ИЗ ГУГЛА'!$B:$Z,AC$1,0)+AE563)*AD563,VLOOKUP($A563,'ИЗ ГУГЛА'!$B:$Z,AC$1,0))</f>
        <v/>
      </c>
      <c r="AD563" s="46">
        <v>1</v>
      </c>
      <c r="AE563" s="46"/>
      <c r="AF563" s="115"/>
    </row>
    <row r="564" spans="1:32" s="5" customFormat="1" ht="31.5" thickTop="1" thickBot="1" x14ac:dyDescent="0.3">
      <c r="A564" s="132">
        <v>223284</v>
      </c>
      <c r="B564" s="132">
        <f>VLOOKUP($A564,'Выгр Кат'!$A:$S,B$1,0)</f>
        <v>6155</v>
      </c>
      <c r="C564" s="133" t="str">
        <f>VLOOKUP($A564,'Выгр Кат'!$A:$S,C$1,0)</f>
        <v>Уплотнитель порогов "БРТ" резиновый для ВАЗ 2110-2112</v>
      </c>
      <c r="D564" s="132" t="str">
        <f>VLOOKUP($A564,'Выгр Кат'!$A:$S,D$1,0)</f>
        <v>Y</v>
      </c>
      <c r="E564" s="132" t="str">
        <f>VLOOKUP($A564,'Выгр Кат'!$A:$S,E$1,0)</f>
        <v>1</v>
      </c>
      <c r="F564" s="132">
        <f>VLOOKUP($A564,'Выгр Кат'!$A:$S,F$1,0)</f>
        <v>0</v>
      </c>
      <c r="G564" s="100" t="s">
        <v>1060</v>
      </c>
      <c r="H564" s="29"/>
      <c r="I564" s="4" t="s">
        <v>2</v>
      </c>
      <c r="J564" s="95">
        <v>1</v>
      </c>
      <c r="K564" s="168">
        <f t="shared" si="278"/>
        <v>840</v>
      </c>
      <c r="L564" s="167">
        <f>VLOOKUP(K564,Наценка!$A$1:$B$8,2,1)</f>
        <v>1.3978494623655915</v>
      </c>
      <c r="M564" s="145">
        <f t="shared" ref="M563:M565" si="299">W564*1</f>
        <v>1290</v>
      </c>
      <c r="N564" s="173">
        <f t="shared" si="271"/>
        <v>1290</v>
      </c>
      <c r="O564" s="134">
        <f>VLOOKUP($A564,'Выгр Кат'!$A:$S,O$1,0)</f>
        <v>840</v>
      </c>
      <c r="P564" s="134">
        <f>VLOOKUP($A564,'Выгр Кат'!$A:$S,P$1,0)</f>
        <v>1290</v>
      </c>
      <c r="Q564" s="107">
        <f t="shared" si="272"/>
        <v>0</v>
      </c>
      <c r="R564" s="107">
        <f t="shared" si="273"/>
        <v>0</v>
      </c>
      <c r="S564" s="110">
        <f t="shared" si="274"/>
        <v>1199.6999999999998</v>
      </c>
      <c r="T564" s="135">
        <f t="shared" si="275"/>
        <v>0.42821428571428544</v>
      </c>
      <c r="U564" s="135">
        <f t="shared" si="276"/>
        <v>7.0000000000000145E-2</v>
      </c>
      <c r="V564" s="135">
        <f t="shared" si="277"/>
        <v>0.53571428571428581</v>
      </c>
      <c r="W564" s="117">
        <f t="shared" si="298"/>
        <v>1290</v>
      </c>
      <c r="X564" s="114">
        <f>IFERROR((VLOOKUP($A564,'ИЗ ГУГЛА'!$B:$G,X$1,0)+Z564)*Y564,VLOOKUP($A564,'ИЗ ГУГЛА'!$B:$G,X$1,0))</f>
        <v>1290</v>
      </c>
      <c r="Y564" s="46">
        <v>1</v>
      </c>
      <c r="Z564" s="46"/>
      <c r="AA564" s="138">
        <v>1290</v>
      </c>
      <c r="AB564" s="124" t="s">
        <v>2321</v>
      </c>
      <c r="AC564" s="114" t="str">
        <f>IFERROR((VLOOKUP($A564,'ИЗ ГУГЛА'!$B:$Z,AC$1,0)+AE564)*AD564,VLOOKUP($A564,'ИЗ ГУГЛА'!$B:$Z,AC$1,0))</f>
        <v/>
      </c>
      <c r="AD564" s="46">
        <v>1</v>
      </c>
      <c r="AE564" s="46"/>
      <c r="AF564" s="115"/>
    </row>
    <row r="565" spans="1:32" s="5" customFormat="1" ht="61.5" thickTop="1" thickBot="1" x14ac:dyDescent="0.3">
      <c r="A565" s="132">
        <v>204310</v>
      </c>
      <c r="B565" s="132">
        <f>VLOOKUP($A565,'Выгр Кат'!$A:$S,B$1,0)</f>
        <v>20367</v>
      </c>
      <c r="C565" s="133" t="str">
        <f>VLOOKUP($A565,'Выгр Кат'!$A:$S,C$1,0)</f>
        <v>Ремень привода генератора поликлиновой "БРТ" для ВАЗ 2110-2112, Лада Приора (с 16 клапанными инжекторными двигателями)</v>
      </c>
      <c r="D565" s="132" t="str">
        <f>VLOOKUP($A565,'Выгр Кат'!$A:$S,D$1,0)</f>
        <v>Y</v>
      </c>
      <c r="E565" s="132" t="str">
        <f>VLOOKUP($A565,'Выгр Кат'!$A:$S,E$1,0)</f>
        <v>1</v>
      </c>
      <c r="F565" s="132" t="str">
        <f>VLOOKUP($A565,'Выгр Кат'!$A:$S,F$1,0)</f>
        <v>21100370172001</v>
      </c>
      <c r="G565" s="33" t="s">
        <v>406</v>
      </c>
      <c r="H565" s="29"/>
      <c r="I565" s="4" t="s">
        <v>2</v>
      </c>
      <c r="J565" s="95">
        <v>1</v>
      </c>
      <c r="K565" s="168">
        <f t="shared" si="278"/>
        <v>799</v>
      </c>
      <c r="L565" s="167">
        <f>VLOOKUP(K565,Наценка!$A$1:$B$8,2,1)</f>
        <v>1.3978494623655915</v>
      </c>
      <c r="M565" s="145">
        <f t="shared" si="299"/>
        <v>1190</v>
      </c>
      <c r="N565" s="173">
        <f t="shared" si="271"/>
        <v>1190</v>
      </c>
      <c r="O565" s="134">
        <f>VLOOKUP($A565,'Выгр Кат'!$A:$S,O$1,0)</f>
        <v>799</v>
      </c>
      <c r="P565" s="134">
        <f>VLOOKUP($A565,'Выгр Кат'!$A:$S,P$1,0)</f>
        <v>1190</v>
      </c>
      <c r="Q565" s="107">
        <f t="shared" si="272"/>
        <v>0</v>
      </c>
      <c r="R565" s="107">
        <f t="shared" si="273"/>
        <v>0</v>
      </c>
      <c r="S565" s="110">
        <f t="shared" si="274"/>
        <v>1106.6999999999998</v>
      </c>
      <c r="T565" s="135">
        <f t="shared" si="275"/>
        <v>0.38510638297872313</v>
      </c>
      <c r="U565" s="135">
        <f t="shared" si="276"/>
        <v>7.0000000000000159E-2</v>
      </c>
      <c r="V565" s="135">
        <f t="shared" si="277"/>
        <v>0.4893617021276595</v>
      </c>
      <c r="W565" s="117">
        <f t="shared" si="298"/>
        <v>1190</v>
      </c>
      <c r="X565" s="114">
        <f>IFERROR((VLOOKUP($A565,'ИЗ ГУГЛА'!$B:$G,X$1,0)+Z565)*Y565,VLOOKUP($A565,'ИЗ ГУГЛА'!$B:$G,X$1,0))</f>
        <v>1190</v>
      </c>
      <c r="Y565" s="108">
        <v>1</v>
      </c>
      <c r="Z565" s="46"/>
      <c r="AA565" s="136">
        <v>1190</v>
      </c>
      <c r="AB565" s="124" t="s">
        <v>2539</v>
      </c>
      <c r="AC565" s="114" t="str">
        <f>IFERROR((VLOOKUP($A565,'ИЗ ГУГЛА'!$B:$Z,AC$1,0)+AE565)*AD565,VLOOKUP($A565,'ИЗ ГУГЛА'!$B:$Z,AC$1,0))</f>
        <v/>
      </c>
      <c r="AD565" s="108">
        <v>1</v>
      </c>
      <c r="AE565" s="46"/>
      <c r="AF565" s="115"/>
    </row>
    <row r="566" spans="1:32" s="5" customFormat="1" ht="45.75" thickTop="1" x14ac:dyDescent="0.25">
      <c r="A566" s="132">
        <v>204281</v>
      </c>
      <c r="B566" s="132">
        <f>VLOOKUP($A566,'Выгр Кат'!$A:$S,B$1,0)</f>
        <v>19838</v>
      </c>
      <c r="C566" s="133" t="str">
        <f>VLOOKUP($A566,'Выгр Кат'!$A:$S,C$1,0)</f>
        <v>Ремень ГРМ "БРТ" для Лада Ларгус, Renault (Logan, Clio, Laguna, Megane) (с 16-ти клапанным двигателем)</v>
      </c>
      <c r="D566" s="132" t="str">
        <f>VLOOKUP($A566,'Выгр Кат'!$A:$S,D$1,0)</f>
        <v>Y</v>
      </c>
      <c r="E566" s="132" t="str">
        <f>VLOOKUP($A566,'Выгр Кат'!$A:$S,E$1,0)</f>
        <v>1</v>
      </c>
      <c r="F566" s="132" t="str">
        <f>VLOOKUP($A566,'Выгр Кат'!$A:$S,F$1,0)</f>
        <v>530009210РУ</v>
      </c>
      <c r="G566" s="45" t="s">
        <v>569</v>
      </c>
      <c r="H566" s="29"/>
      <c r="I566" s="4" t="s">
        <v>2</v>
      </c>
      <c r="J566" s="95">
        <v>1</v>
      </c>
      <c r="K566" s="168">
        <f t="shared" si="278"/>
        <v>708</v>
      </c>
      <c r="L566" s="167">
        <f>VLOOKUP(K566,Наценка!$A$1:$B$8,2,1)</f>
        <v>1.3978494623655915</v>
      </c>
      <c r="M566" s="172">
        <f t="shared" si="281"/>
        <v>989.67741935483878</v>
      </c>
      <c r="N566" s="173">
        <f t="shared" si="271"/>
        <v>989</v>
      </c>
      <c r="O566" s="134">
        <f>VLOOKUP($A566,'Выгр Кат'!$A:$S,O$1,0)</f>
        <v>708</v>
      </c>
      <c r="P566" s="134">
        <f>VLOOKUP($A566,'Выгр Кат'!$A:$S,P$1,0)</f>
        <v>989</v>
      </c>
      <c r="Q566" s="107">
        <f t="shared" si="272"/>
        <v>0</v>
      </c>
      <c r="R566" s="107">
        <f t="shared" si="273"/>
        <v>0</v>
      </c>
      <c r="S566" s="110">
        <f t="shared" si="274"/>
        <v>919.77</v>
      </c>
      <c r="T566" s="135">
        <f t="shared" si="275"/>
        <v>0.29911016949152547</v>
      </c>
      <c r="U566" s="135" t="str">
        <f t="shared" si="276"/>
        <v/>
      </c>
      <c r="V566" s="135" t="str">
        <f t="shared" si="277"/>
        <v/>
      </c>
      <c r="W566" s="45"/>
      <c r="X566" s="114" t="str">
        <f>IFERROR((VLOOKUP($A566,'ИЗ ГУГЛА'!$B:$G,X$1,0)+Z566)*Y566,VLOOKUP($A566,'ИЗ ГУГЛА'!$B:$G,X$1,0))</f>
        <v/>
      </c>
      <c r="Y566" s="108">
        <v>1</v>
      </c>
      <c r="Z566" s="46"/>
      <c r="AA566" s="139" t="s">
        <v>1821</v>
      </c>
      <c r="AB566" s="124"/>
      <c r="AC566" s="114" t="str">
        <f>IFERROR((VLOOKUP($A566,'ИЗ ГУГЛА'!$B:$Z,AC$1,0)+AE566)*AD566,VLOOKUP($A566,'ИЗ ГУГЛА'!$B:$Z,AC$1,0))</f>
        <v/>
      </c>
      <c r="AD566" s="108">
        <v>1</v>
      </c>
      <c r="AE566" s="46"/>
      <c r="AF566" s="115"/>
    </row>
    <row r="567" spans="1:32" s="5" customFormat="1" ht="30" x14ac:dyDescent="0.25">
      <c r="A567" s="132">
        <v>186397</v>
      </c>
      <c r="B567" s="132">
        <f>VLOOKUP($A567,'Выгр Кат'!$A:$S,B$1,0)</f>
        <v>13099</v>
      </c>
      <c r="C567" s="133" t="str">
        <f>VLOOKUP($A567,'Выгр Кат'!$A:$S,C$1,0)</f>
        <v>Патрубки "БРТ" системы охлаждения для ВАЗ 2101-2107 (медный радиатор)</v>
      </c>
      <c r="D567" s="132" t="str">
        <f>VLOOKUP($A567,'Выгр Кат'!$A:$S,D$1,0)</f>
        <v>Y</v>
      </c>
      <c r="E567" s="132" t="str">
        <f>VLOOKUP($A567,'Выгр Кат'!$A:$S,E$1,0)</f>
        <v>1</v>
      </c>
      <c r="F567" s="132" t="str">
        <f>VLOOKUP($A567,'Выгр Кат'!$A:$S,F$1,0)</f>
        <v>84РШХ</v>
      </c>
      <c r="G567" s="43" t="s">
        <v>1064</v>
      </c>
      <c r="H567" s="29"/>
      <c r="I567" s="4" t="s">
        <v>2</v>
      </c>
      <c r="J567" s="95">
        <v>1</v>
      </c>
      <c r="K567" s="168">
        <f t="shared" si="278"/>
        <v>826</v>
      </c>
      <c r="L567" s="167">
        <f>VLOOKUP(K567,Наценка!$A$1:$B$8,2,1)</f>
        <v>1.3978494623655915</v>
      </c>
      <c r="M567" s="172">
        <f t="shared" si="281"/>
        <v>1154.6236559139786</v>
      </c>
      <c r="N567" s="173">
        <f t="shared" si="271"/>
        <v>1190</v>
      </c>
      <c r="O567" s="134">
        <f>VLOOKUP($A567,'Выгр Кат'!$A:$S,O$1,0)</f>
        <v>826</v>
      </c>
      <c r="P567" s="134">
        <f>VLOOKUP($A567,'Выгр Кат'!$A:$S,P$1,0)</f>
        <v>1190</v>
      </c>
      <c r="Q567" s="107">
        <f t="shared" si="272"/>
        <v>0</v>
      </c>
      <c r="R567" s="107">
        <f t="shared" si="273"/>
        <v>0</v>
      </c>
      <c r="S567" s="110">
        <f t="shared" si="274"/>
        <v>1106.6999999999998</v>
      </c>
      <c r="T567" s="135">
        <f t="shared" si="275"/>
        <v>0.33983050847457608</v>
      </c>
      <c r="U567" s="135" t="str">
        <f t="shared" si="276"/>
        <v/>
      </c>
      <c r="V567" s="135" t="str">
        <f t="shared" si="277"/>
        <v/>
      </c>
      <c r="W567" s="45"/>
      <c r="X567" s="114">
        <f>IFERROR((VLOOKUP($A567,'ИЗ ГУГЛА'!$B:$G,X$1,0)+Z567)*Y567,VLOOKUP($A567,'ИЗ ГУГЛА'!$B:$G,X$1,0))</f>
        <v>1190</v>
      </c>
      <c r="Y567" s="108">
        <v>1</v>
      </c>
      <c r="Z567" s="46"/>
      <c r="AA567" s="139" t="s">
        <v>2837</v>
      </c>
      <c r="AB567" s="124" t="s">
        <v>2836</v>
      </c>
      <c r="AC567" s="114" t="str">
        <f>IFERROR((VLOOKUP($A567,'ИЗ ГУГЛА'!$B:$Z,AC$1,0)+AE567)*AD567,VLOOKUP($A567,'ИЗ ГУГЛА'!$B:$Z,AC$1,0))</f>
        <v/>
      </c>
      <c r="AD567" s="108">
        <v>1</v>
      </c>
      <c r="AE567" s="46"/>
      <c r="AF567" s="115"/>
    </row>
    <row r="568" spans="1:32" s="5" customFormat="1" ht="45.75" thickBot="1" x14ac:dyDescent="0.3">
      <c r="A568" s="132">
        <v>186396</v>
      </c>
      <c r="B568" s="132">
        <f>VLOOKUP($A568,'Выгр Кат'!$A:$S,B$1,0)</f>
        <v>17126</v>
      </c>
      <c r="C568" s="133" t="str">
        <f>VLOOKUP($A568,'Выгр Кат'!$A:$S,C$1,0)</f>
        <v>Патрубки "БРТ" системы охлаждения для ВАЗ 2101-2107 (алюминиевый радиатор)</v>
      </c>
      <c r="D568" s="132" t="str">
        <f>VLOOKUP($A568,'Выгр Кат'!$A:$S,D$1,0)</f>
        <v>Y</v>
      </c>
      <c r="E568" s="132" t="str">
        <f>VLOOKUP($A568,'Выгр Кат'!$A:$S,E$1,0)</f>
        <v>1</v>
      </c>
      <c r="F568" s="132" t="str">
        <f>VLOOKUP($A568,'Выгр Кат'!$A:$S,F$1,0)</f>
        <v>180РШ</v>
      </c>
      <c r="G568" s="43" t="s">
        <v>1044</v>
      </c>
      <c r="H568" s="29"/>
      <c r="I568" s="4" t="s">
        <v>2</v>
      </c>
      <c r="J568" s="95">
        <v>1</v>
      </c>
      <c r="K568" s="168">
        <f t="shared" si="278"/>
        <v>872</v>
      </c>
      <c r="L568" s="167">
        <f>VLOOKUP(K568,Наценка!$A$1:$B$8,2,1)</f>
        <v>1.3978494623655915</v>
      </c>
      <c r="M568" s="149">
        <f t="shared" ref="M568:M571" si="300">W568*1.07</f>
        <v>1594.3000000000002</v>
      </c>
      <c r="N568" s="173">
        <f t="shared" si="271"/>
        <v>1590</v>
      </c>
      <c r="O568" s="134">
        <f>VLOOKUP($A568,'Выгр Кат'!$A:$S,O$1,0)</f>
        <v>872</v>
      </c>
      <c r="P568" s="134">
        <f>VLOOKUP($A568,'Выгр Кат'!$A:$S,P$1,0)</f>
        <v>1590</v>
      </c>
      <c r="Q568" s="107">
        <f t="shared" si="272"/>
        <v>0</v>
      </c>
      <c r="R568" s="107">
        <f t="shared" si="273"/>
        <v>0</v>
      </c>
      <c r="S568" s="110">
        <f t="shared" si="274"/>
        <v>1478.6999999999998</v>
      </c>
      <c r="T568" s="135">
        <f t="shared" si="275"/>
        <v>0.6957568807339447</v>
      </c>
      <c r="U568" s="135">
        <f t="shared" si="276"/>
        <v>7.5838926174497867E-3</v>
      </c>
      <c r="V568" s="135">
        <f t="shared" si="277"/>
        <v>0.70871559633027514</v>
      </c>
      <c r="W568" s="117">
        <f t="shared" ref="W568:W572" si="301">AA568</f>
        <v>1490</v>
      </c>
      <c r="X568" s="114">
        <f>IFERROR((VLOOKUP($A568,'ИЗ ГУГЛА'!$B:$G,X$1,0)+Z568)*Y568,VLOOKUP($A568,'ИЗ ГУГЛА'!$B:$G,X$1,0))</f>
        <v>1490</v>
      </c>
      <c r="Y568" s="108">
        <v>1</v>
      </c>
      <c r="Z568" s="46"/>
      <c r="AA568" s="136">
        <v>1490</v>
      </c>
      <c r="AB568" s="124" t="s">
        <v>2538</v>
      </c>
      <c r="AC568" s="114" t="str">
        <f>IFERROR((VLOOKUP($A568,'ИЗ ГУГЛА'!$B:$Z,AC$1,0)+AE568)*AD568,VLOOKUP($A568,'ИЗ ГУГЛА'!$B:$Z,AC$1,0))</f>
        <v/>
      </c>
      <c r="AD568" s="108">
        <v>1</v>
      </c>
      <c r="AE568" s="46"/>
      <c r="AF568" s="115"/>
    </row>
    <row r="569" spans="1:32" s="5" customFormat="1" ht="31.5" thickTop="1" thickBot="1" x14ac:dyDescent="0.3">
      <c r="A569" s="132">
        <v>158292</v>
      </c>
      <c r="B569" s="132">
        <f>VLOOKUP($A569,'Выгр Кат'!$A:$S,B$1,0)</f>
        <v>35548</v>
      </c>
      <c r="C569" s="133" t="str">
        <f>VLOOKUP($A569,'Выгр Кат'!$A:$S,C$1,0)</f>
        <v>Комплект "БРТ" передних брызговиков для Лада Веста Кросс</v>
      </c>
      <c r="D569" s="132" t="str">
        <f>VLOOKUP($A569,'Выгр Кат'!$A:$S,D$1,0)</f>
        <v>Y</v>
      </c>
      <c r="E569" s="132" t="str">
        <f>VLOOKUP($A569,'Выгр Кат'!$A:$S,E$1,0)</f>
        <v>1</v>
      </c>
      <c r="F569" s="132">
        <f>VLOOKUP($A569,'Выгр Кат'!$A:$S,F$1,0)</f>
        <v>0</v>
      </c>
      <c r="G569" s="100" t="s">
        <v>1309</v>
      </c>
      <c r="H569" s="29"/>
      <c r="I569" s="4" t="s">
        <v>2</v>
      </c>
      <c r="J569" s="105">
        <v>2</v>
      </c>
      <c r="K569" s="168">
        <f t="shared" si="278"/>
        <v>750</v>
      </c>
      <c r="L569" s="167">
        <f>VLOOKUP(K569,Наценка!$A$1:$B$8,2,1)</f>
        <v>1.3978494623655915</v>
      </c>
      <c r="M569" s="148">
        <f t="shared" ref="M569:M571" si="302">W569*1.06</f>
        <v>1791.4</v>
      </c>
      <c r="N569" s="173">
        <f t="shared" si="271"/>
        <v>1790</v>
      </c>
      <c r="O569" s="134">
        <f>VLOOKUP($A569,'Выгр Кат'!$A:$S,O$1,0)</f>
        <v>750</v>
      </c>
      <c r="P569" s="134">
        <f>VLOOKUP($A569,'Выгр Кат'!$A:$S,P$1,0)</f>
        <v>1790</v>
      </c>
      <c r="Q569" s="107">
        <f t="shared" si="272"/>
        <v>0</v>
      </c>
      <c r="R569" s="107">
        <f t="shared" si="273"/>
        <v>0</v>
      </c>
      <c r="S569" s="110">
        <f t="shared" si="274"/>
        <v>1664.6999999999998</v>
      </c>
      <c r="T569" s="135">
        <f t="shared" si="275"/>
        <v>1.2195999999999998</v>
      </c>
      <c r="U569" s="135">
        <f t="shared" si="276"/>
        <v>1.497041420118354E-2</v>
      </c>
      <c r="V569" s="135">
        <f t="shared" si="277"/>
        <v>1.2533333333333334</v>
      </c>
      <c r="W569" s="117">
        <f t="shared" si="301"/>
        <v>1690</v>
      </c>
      <c r="X569" s="114">
        <f>IFERROR((VLOOKUP($A569,'ИЗ ГУГЛА'!$B:$G,X$1,0)+Z569)*Y569,VLOOKUP($A569,'ИЗ ГУГЛА'!$B:$G,X$1,0))</f>
        <v>1690</v>
      </c>
      <c r="Y569" s="108">
        <v>1</v>
      </c>
      <c r="Z569" s="46"/>
      <c r="AA569" s="136">
        <v>1690</v>
      </c>
      <c r="AB569" s="124" t="s">
        <v>2628</v>
      </c>
      <c r="AC569" s="114" t="str">
        <f>IFERROR((VLOOKUP($A569,'ИЗ ГУГЛА'!$B:$Z,AC$1,0)+AE569)*AD569,VLOOKUP($A569,'ИЗ ГУГЛА'!$B:$Z,AC$1,0))</f>
        <v/>
      </c>
      <c r="AD569" s="108">
        <v>1</v>
      </c>
      <c r="AE569" s="46"/>
      <c r="AF569" s="115"/>
    </row>
    <row r="570" spans="1:32" s="5" customFormat="1" ht="31.5" thickTop="1" thickBot="1" x14ac:dyDescent="0.3">
      <c r="A570" s="132">
        <v>158272</v>
      </c>
      <c r="B570" s="132">
        <f>VLOOKUP($A570,'Выгр Кат'!$A:$S,B$1,0)</f>
        <v>35533</v>
      </c>
      <c r="C570" s="133" t="str">
        <f>VLOOKUP($A570,'Выгр Кат'!$A:$S,C$1,0)</f>
        <v>Комплект "БРТ" задние брызговиков (Bertone) для Шевроле Нива</v>
      </c>
      <c r="D570" s="132" t="str">
        <f>VLOOKUP($A570,'Выгр Кат'!$A:$S,D$1,0)</f>
        <v>Y</v>
      </c>
      <c r="E570" s="132" t="str">
        <f>VLOOKUP($A570,'Выгр Кат'!$A:$S,E$1,0)</f>
        <v>1</v>
      </c>
      <c r="F570" s="132" t="str">
        <f>VLOOKUP($A570,'Выгр Кат'!$A:$S,F$1,0)</f>
        <v>2123-8404412/13 Н/О</v>
      </c>
      <c r="G570" s="35" t="s">
        <v>1293</v>
      </c>
      <c r="H570" s="29"/>
      <c r="I570" s="4" t="s">
        <v>2</v>
      </c>
      <c r="J570" s="95">
        <v>1</v>
      </c>
      <c r="K570" s="168">
        <f t="shared" si="278"/>
        <v>786</v>
      </c>
      <c r="L570" s="167">
        <f>VLOOKUP(K570,Наценка!$A$1:$B$8,2,1)</f>
        <v>1.3978494623655915</v>
      </c>
      <c r="M570" s="145">
        <f t="shared" ref="M570:M571" si="303">W570*1</f>
        <v>1390</v>
      </c>
      <c r="N570" s="173">
        <f t="shared" si="271"/>
        <v>1390</v>
      </c>
      <c r="O570" s="134">
        <f>VLOOKUP($A570,'Выгр Кат'!$A:$S,O$1,0)</f>
        <v>786</v>
      </c>
      <c r="P570" s="134">
        <f>VLOOKUP($A570,'Выгр Кат'!$A:$S,P$1,0)</f>
        <v>1390</v>
      </c>
      <c r="Q570" s="107">
        <f t="shared" si="272"/>
        <v>0</v>
      </c>
      <c r="R570" s="107">
        <f t="shared" si="273"/>
        <v>0</v>
      </c>
      <c r="S570" s="110">
        <f t="shared" si="274"/>
        <v>1292.6999999999998</v>
      </c>
      <c r="T570" s="135">
        <f t="shared" si="275"/>
        <v>0.64465648854961799</v>
      </c>
      <c r="U570" s="135">
        <f t="shared" si="276"/>
        <v>7.0000000000000132E-2</v>
      </c>
      <c r="V570" s="135">
        <f t="shared" si="277"/>
        <v>0.76844783715012732</v>
      </c>
      <c r="W570" s="117">
        <f t="shared" si="301"/>
        <v>1390</v>
      </c>
      <c r="X570" s="114">
        <f>IFERROR((VLOOKUP($A570,'ИЗ ГУГЛА'!$B:$G,X$1,0)+Z570)*Y570,VLOOKUP($A570,'ИЗ ГУГЛА'!$B:$G,X$1,0))</f>
        <v>1390</v>
      </c>
      <c r="Y570" s="108">
        <v>1</v>
      </c>
      <c r="Z570" s="46"/>
      <c r="AA570" s="136">
        <v>1390</v>
      </c>
      <c r="AB570" s="124" t="s">
        <v>2508</v>
      </c>
      <c r="AC570" s="114" t="str">
        <f>IFERROR((VLOOKUP($A570,'ИЗ ГУГЛА'!$B:$Z,AC$1,0)+AE570)*AD570,VLOOKUP($A570,'ИЗ ГУГЛА'!$B:$Z,AC$1,0))</f>
        <v/>
      </c>
      <c r="AD570" s="108">
        <v>1</v>
      </c>
      <c r="AE570" s="46"/>
      <c r="AF570" s="115"/>
    </row>
    <row r="571" spans="1:32" s="5" customFormat="1" ht="31.5" thickTop="1" thickBot="1" x14ac:dyDescent="0.3">
      <c r="A571" s="132">
        <v>136585</v>
      </c>
      <c r="B571" s="132">
        <f>VLOOKUP($A571,'Выгр Кат'!$A:$S,B$1,0)</f>
        <v>19048</v>
      </c>
      <c r="C571" s="133" t="str">
        <f>VLOOKUP($A571,'Выгр Кат'!$A:$S,C$1,0)</f>
        <v>Бархотки "БРТ" внешние для Лада Калина, Калина 2, Гранта</v>
      </c>
      <c r="D571" s="132" t="str">
        <f>VLOOKUP($A571,'Выгр Кат'!$A:$S,D$1,0)</f>
        <v>Y</v>
      </c>
      <c r="E571" s="132" t="str">
        <f>VLOOKUP($A571,'Выгр Кат'!$A:$S,E$1,0)</f>
        <v>1</v>
      </c>
      <c r="F571" s="132" t="str">
        <f>VLOOKUP($A571,'Выгр Кат'!$A:$S,F$1,0)</f>
        <v>1118-6103290/91</v>
      </c>
      <c r="G571" s="45" t="s">
        <v>1240</v>
      </c>
      <c r="H571" s="29"/>
      <c r="I571" s="4" t="s">
        <v>2</v>
      </c>
      <c r="J571" s="95">
        <v>1</v>
      </c>
      <c r="K571" s="168">
        <f t="shared" si="278"/>
        <v>816</v>
      </c>
      <c r="L571" s="167">
        <f>VLOOKUP(K571,Наценка!$A$1:$B$8,2,1)</f>
        <v>1.3978494623655915</v>
      </c>
      <c r="M571" s="145">
        <f t="shared" si="303"/>
        <v>1290</v>
      </c>
      <c r="N571" s="173">
        <f t="shared" si="271"/>
        <v>1290</v>
      </c>
      <c r="O571" s="134">
        <f>VLOOKUP($A571,'Выгр Кат'!$A:$S,O$1,0)</f>
        <v>816</v>
      </c>
      <c r="P571" s="134">
        <f>VLOOKUP($A571,'Выгр Кат'!$A:$S,P$1,0)</f>
        <v>1290</v>
      </c>
      <c r="Q571" s="107">
        <f t="shared" si="272"/>
        <v>0</v>
      </c>
      <c r="R571" s="107">
        <f t="shared" si="273"/>
        <v>0</v>
      </c>
      <c r="S571" s="110">
        <f t="shared" si="274"/>
        <v>1199.6999999999998</v>
      </c>
      <c r="T571" s="135">
        <f t="shared" si="275"/>
        <v>0.47022058823529389</v>
      </c>
      <c r="U571" s="135">
        <f t="shared" si="276"/>
        <v>7.0000000000000145E-2</v>
      </c>
      <c r="V571" s="135">
        <f t="shared" si="277"/>
        <v>0.58088235294117641</v>
      </c>
      <c r="W571" s="117">
        <f t="shared" si="301"/>
        <v>1290</v>
      </c>
      <c r="X571" s="114">
        <f>IFERROR((VLOOKUP($A571,'ИЗ ГУГЛА'!$B:$G,X$1,0)+Z571)*Y571,VLOOKUP($A571,'ИЗ ГУГЛА'!$B:$G,X$1,0))</f>
        <v>1290</v>
      </c>
      <c r="Y571" s="46">
        <v>1</v>
      </c>
      <c r="Z571" s="46"/>
      <c r="AA571" s="138">
        <v>1290</v>
      </c>
      <c r="AB571" s="124" t="s">
        <v>2506</v>
      </c>
      <c r="AC571" s="114" t="str">
        <f>IFERROR((VLOOKUP($A571,'ИЗ ГУГЛА'!$B:$Z,AC$1,0)+AE571)*AD571,VLOOKUP($A571,'ИЗ ГУГЛА'!$B:$Z,AC$1,0))</f>
        <v/>
      </c>
      <c r="AD571" s="46">
        <v>1</v>
      </c>
      <c r="AE571" s="46"/>
      <c r="AF571" s="115"/>
    </row>
    <row r="572" spans="1:32" s="5" customFormat="1" ht="46.5" thickTop="1" thickBot="1" x14ac:dyDescent="0.3">
      <c r="A572" s="132">
        <v>181653</v>
      </c>
      <c r="B572" s="132">
        <f>VLOOKUP($A572,'Выгр Кат'!$A:$S,B$1,0)</f>
        <v>20284</v>
      </c>
      <c r="C572" s="133" t="str">
        <f>VLOOKUP($A572,'Выгр Кат'!$A:$S,C$1,0)</f>
        <v>Опора карданного вала в сборе (с подшипником) "БРТ" для ВАЗ 2101-2107</v>
      </c>
      <c r="D572" s="132" t="str">
        <f>VLOOKUP($A572,'Выгр Кат'!$A:$S,D$1,0)</f>
        <v>Y</v>
      </c>
      <c r="E572" s="132" t="str">
        <f>VLOOKUP($A572,'Выгр Кат'!$A:$S,E$1,0)</f>
        <v>1</v>
      </c>
      <c r="F572" s="132" t="str">
        <f>VLOOKUP($A572,'Выгр Кат'!$A:$S,F$1,0)</f>
        <v>2105-2202078РУ</v>
      </c>
      <c r="G572" s="45" t="s">
        <v>302</v>
      </c>
      <c r="H572" s="29"/>
      <c r="I572" s="4" t="s">
        <v>2</v>
      </c>
      <c r="J572" s="95">
        <v>1</v>
      </c>
      <c r="K572" s="168">
        <f t="shared" si="278"/>
        <v>968</v>
      </c>
      <c r="L572" s="167">
        <f>VLOOKUP(K572,Наценка!$A$1:$B$8,2,1)</f>
        <v>1.3978494623655915</v>
      </c>
      <c r="M572" s="172">
        <f t="shared" si="281"/>
        <v>1353.1182795698926</v>
      </c>
      <c r="N572" s="173">
        <f t="shared" si="271"/>
        <v>1390</v>
      </c>
      <c r="O572" s="134">
        <f>VLOOKUP($A572,'Выгр Кат'!$A:$S,O$1,0)</f>
        <v>968</v>
      </c>
      <c r="P572" s="134">
        <f>VLOOKUP($A572,'Выгр Кат'!$A:$S,P$1,0)</f>
        <v>1390</v>
      </c>
      <c r="Q572" s="107">
        <f t="shared" si="272"/>
        <v>0</v>
      </c>
      <c r="R572" s="107">
        <f t="shared" si="273"/>
        <v>0</v>
      </c>
      <c r="S572" s="110">
        <f t="shared" si="274"/>
        <v>1292.6999999999998</v>
      </c>
      <c r="T572" s="135">
        <f t="shared" si="275"/>
        <v>0.33543388429752041</v>
      </c>
      <c r="U572" s="135">
        <f t="shared" si="276"/>
        <v>-0.30575757575757556</v>
      </c>
      <c r="V572" s="135">
        <f t="shared" si="277"/>
        <v>2.2727272727272707E-2</v>
      </c>
      <c r="W572" s="117">
        <f t="shared" si="301"/>
        <v>990</v>
      </c>
      <c r="X572" s="114">
        <f>IFERROR((VLOOKUP($A572,'ИЗ ГУГЛА'!$B:$G,X$1,0)+Z572)*Y572,VLOOKUP($A572,'ИЗ ГУГЛА'!$B:$G,X$1,0))</f>
        <v>990</v>
      </c>
      <c r="Y572" s="46">
        <v>1</v>
      </c>
      <c r="Z572" s="46"/>
      <c r="AA572" s="138">
        <v>990</v>
      </c>
      <c r="AB572" s="124" t="s">
        <v>2381</v>
      </c>
      <c r="AC572" s="114" t="str">
        <f>IFERROR((VLOOKUP($A572,'ИЗ ГУГЛА'!$B:$Z,AC$1,0)+AE572)*AD572,VLOOKUP($A572,'ИЗ ГУГЛА'!$B:$Z,AC$1,0))</f>
        <v/>
      </c>
      <c r="AD572" s="46">
        <v>1</v>
      </c>
      <c r="AE572" s="46"/>
      <c r="AF572" s="115"/>
    </row>
    <row r="573" spans="1:32" s="5" customFormat="1" ht="60.75" thickTop="1" x14ac:dyDescent="0.25">
      <c r="A573" s="132">
        <v>226116</v>
      </c>
      <c r="B573" s="132">
        <f>VLOOKUP($A573,'Выгр Кат'!$A:$S,B$1,0)</f>
        <v>19634</v>
      </c>
      <c r="C573" s="133" t="str">
        <f>VLOOKUP($A573,'Выгр Кат'!$A:$S,C$1,0)</f>
        <v>Шланги системы охлаждения радиатора "БРТ" ремкомплект 88РШ Р/К для ВАЗ 2110-2112 (с 8-ми клапанным двигателем)</v>
      </c>
      <c r="D573" s="132" t="str">
        <f>VLOOKUP($A573,'Выгр Кат'!$A:$S,D$1,0)</f>
        <v>Y</v>
      </c>
      <c r="E573" s="132" t="str">
        <f>VLOOKUP($A573,'Выгр Кат'!$A:$S,E$1,0)</f>
        <v>1</v>
      </c>
      <c r="F573" s="132" t="str">
        <f>VLOOKUP($A573,'Выгр Кат'!$A:$S,F$1,0)</f>
        <v>2108-1303092Р, 2110-1303010Р, 2110-1303025Р</v>
      </c>
      <c r="G573" s="45" t="s">
        <v>642</v>
      </c>
      <c r="H573" s="29"/>
      <c r="I573" s="4" t="s">
        <v>2</v>
      </c>
      <c r="J573" s="95">
        <v>1</v>
      </c>
      <c r="K573" s="168">
        <f t="shared" si="278"/>
        <v>892</v>
      </c>
      <c r="L573" s="167">
        <f>VLOOKUP(K573,Наценка!$A$1:$B$8,2,1)</f>
        <v>1.3978494623655915</v>
      </c>
      <c r="M573" s="172">
        <f t="shared" si="281"/>
        <v>1246.8817204301076</v>
      </c>
      <c r="N573" s="173">
        <f t="shared" si="271"/>
        <v>1290</v>
      </c>
      <c r="O573" s="134">
        <f>VLOOKUP($A573,'Выгр Кат'!$A:$S,O$1,0)</f>
        <v>892</v>
      </c>
      <c r="P573" s="134">
        <f>VLOOKUP($A573,'Выгр Кат'!$A:$S,P$1,0)</f>
        <v>1290</v>
      </c>
      <c r="Q573" s="107">
        <f t="shared" si="272"/>
        <v>0</v>
      </c>
      <c r="R573" s="107">
        <f t="shared" si="273"/>
        <v>0</v>
      </c>
      <c r="S573" s="110">
        <f t="shared" si="274"/>
        <v>1199.6999999999998</v>
      </c>
      <c r="T573" s="135">
        <f t="shared" si="275"/>
        <v>0.34495515695067236</v>
      </c>
      <c r="U573" s="135" t="str">
        <f t="shared" si="276"/>
        <v/>
      </c>
      <c r="V573" s="135" t="str">
        <f t="shared" si="277"/>
        <v/>
      </c>
      <c r="W573" s="45"/>
      <c r="X573" s="114" t="str">
        <f>IFERROR((VLOOKUP($A573,'ИЗ ГУГЛА'!$B:$G,X$1,0)+Z573)*Y573,VLOOKUP($A573,'ИЗ ГУГЛА'!$B:$G,X$1,0))</f>
        <v/>
      </c>
      <c r="Y573" s="108">
        <v>1</v>
      </c>
      <c r="Z573" s="46"/>
      <c r="AA573" s="139" t="s">
        <v>1821</v>
      </c>
      <c r="AB573" s="124"/>
      <c r="AC573" s="114" t="str">
        <f>IFERROR((VLOOKUP($A573,'ИЗ ГУГЛА'!$B:$Z,AC$1,0)+AE573)*AD573,VLOOKUP($A573,'ИЗ ГУГЛА'!$B:$Z,AC$1,0))</f>
        <v/>
      </c>
      <c r="AD573" s="108">
        <v>1</v>
      </c>
      <c r="AE573" s="46"/>
      <c r="AF573" s="115"/>
    </row>
    <row r="574" spans="1:32" s="5" customFormat="1" ht="30.75" thickBot="1" x14ac:dyDescent="0.3">
      <c r="A574" s="132">
        <v>181333</v>
      </c>
      <c r="B574" s="132">
        <f>VLOOKUP($A574,'Выгр Кат'!$A:$S,B$1,0)</f>
        <v>12590</v>
      </c>
      <c r="C574" s="133" t="str">
        <f>VLOOKUP($A574,'Выгр Кат'!$A:$S,C$1,0)</f>
        <v>Окантовки ветрового (лобового) окна "БРТ" для ВАЗ 2110-2112, Лада Приора</v>
      </c>
      <c r="D574" s="132" t="str">
        <f>VLOOKUP($A574,'Выгр Кат'!$A:$S,D$1,0)</f>
        <v>Y</v>
      </c>
      <c r="E574" s="132" t="str">
        <f>VLOOKUP($A574,'Выгр Кат'!$A:$S,E$1,0)</f>
        <v>1</v>
      </c>
      <c r="F574" s="132">
        <f>VLOOKUP($A574,'Выгр Кат'!$A:$S,F$1,0)</f>
        <v>0</v>
      </c>
      <c r="G574" s="45" t="s">
        <v>796</v>
      </c>
      <c r="H574" s="29"/>
      <c r="I574" s="4" t="s">
        <v>2</v>
      </c>
      <c r="J574" s="95">
        <v>1</v>
      </c>
      <c r="K574" s="168">
        <f t="shared" si="278"/>
        <v>877</v>
      </c>
      <c r="L574" s="167">
        <f>VLOOKUP(K574,Наценка!$A$1:$B$8,2,1)</f>
        <v>1.3978494623655915</v>
      </c>
      <c r="M574" s="145">
        <f t="shared" ref="M574:M575" si="304">W574*1</f>
        <v>1390</v>
      </c>
      <c r="N574" s="173">
        <f t="shared" si="271"/>
        <v>1390</v>
      </c>
      <c r="O574" s="134">
        <f>VLOOKUP($A574,'Выгр Кат'!$A:$S,O$1,0)</f>
        <v>877</v>
      </c>
      <c r="P574" s="134">
        <f>VLOOKUP($A574,'Выгр Кат'!$A:$S,P$1,0)</f>
        <v>1390</v>
      </c>
      <c r="Q574" s="107">
        <f t="shared" si="272"/>
        <v>0</v>
      </c>
      <c r="R574" s="107">
        <f t="shared" si="273"/>
        <v>0</v>
      </c>
      <c r="S574" s="110">
        <f t="shared" si="274"/>
        <v>1292.6999999999998</v>
      </c>
      <c r="T574" s="135">
        <f t="shared" si="275"/>
        <v>0.47400228050171012</v>
      </c>
      <c r="U574" s="135">
        <f t="shared" si="276"/>
        <v>7.0000000000000132E-2</v>
      </c>
      <c r="V574" s="135">
        <f t="shared" si="277"/>
        <v>0.58494868871151651</v>
      </c>
      <c r="W574" s="117">
        <f t="shared" ref="W574:W575" si="305">AA574</f>
        <v>1390</v>
      </c>
      <c r="X574" s="114">
        <f>IFERROR((VLOOKUP($A574,'ИЗ ГУГЛА'!$B:$G,X$1,0)+Z574)*Y574,VLOOKUP($A574,'ИЗ ГУГЛА'!$B:$G,X$1,0))</f>
        <v>1390</v>
      </c>
      <c r="Y574" s="46">
        <v>1</v>
      </c>
      <c r="Z574" s="46"/>
      <c r="AA574" s="138">
        <v>1390</v>
      </c>
      <c r="AB574" s="124" t="s">
        <v>2505</v>
      </c>
      <c r="AC574" s="114" t="str">
        <f>IFERROR((VLOOKUP($A574,'ИЗ ГУГЛА'!$B:$Z,AC$1,0)+AE574)*AD574,VLOOKUP($A574,'ИЗ ГУГЛА'!$B:$Z,AC$1,0))</f>
        <v/>
      </c>
      <c r="AD574" s="46">
        <v>1</v>
      </c>
      <c r="AE574" s="46"/>
      <c r="AF574" s="115"/>
    </row>
    <row r="575" spans="1:32" s="5" customFormat="1" ht="46.5" thickTop="1" thickBot="1" x14ac:dyDescent="0.3">
      <c r="A575" s="132">
        <v>223220</v>
      </c>
      <c r="B575" s="132">
        <f>VLOOKUP($A575,'Выгр Кат'!$A:$S,B$1,0)</f>
        <v>35324</v>
      </c>
      <c r="C575" s="133" t="str">
        <f>VLOOKUP($A575,'Выгр Кат'!$A:$S,C$1,0)</f>
        <v>Уплотнитель "БРТ" лобового стекла комплект для Лада Приора, Приора 2, Гранта</v>
      </c>
      <c r="D575" s="132" t="str">
        <f>VLOOKUP($A575,'Выгр Кат'!$A:$S,D$1,0)</f>
        <v>Y</v>
      </c>
      <c r="E575" s="132" t="str">
        <f>VLOOKUP($A575,'Выгр Кат'!$A:$S,E$1,0)</f>
        <v>1</v>
      </c>
      <c r="F575" s="132" t="str">
        <f>VLOOKUP($A575,'Выгр Кат'!$A:$S,F$1,0)</f>
        <v>2170-5206050</v>
      </c>
      <c r="G575" s="44" t="s">
        <v>796</v>
      </c>
      <c r="H575" s="29"/>
      <c r="I575" s="4" t="s">
        <v>2</v>
      </c>
      <c r="J575" s="95">
        <v>1</v>
      </c>
      <c r="K575" s="168">
        <f t="shared" si="278"/>
        <v>900</v>
      </c>
      <c r="L575" s="167">
        <f>VLOOKUP(K575,Наценка!$A$1:$B$8,2,1)</f>
        <v>1.3978494623655915</v>
      </c>
      <c r="M575" s="145">
        <f t="shared" si="304"/>
        <v>1390</v>
      </c>
      <c r="N575" s="173">
        <f t="shared" si="271"/>
        <v>1390</v>
      </c>
      <c r="O575" s="134">
        <f>VLOOKUP($A575,'Выгр Кат'!$A:$S,O$1,0)</f>
        <v>900</v>
      </c>
      <c r="P575" s="134">
        <f>VLOOKUP($A575,'Выгр Кат'!$A:$S,P$1,0)</f>
        <v>1390</v>
      </c>
      <c r="Q575" s="107">
        <f t="shared" si="272"/>
        <v>0</v>
      </c>
      <c r="R575" s="107">
        <f t="shared" si="273"/>
        <v>0</v>
      </c>
      <c r="S575" s="110">
        <f t="shared" si="274"/>
        <v>1292.6999999999998</v>
      </c>
      <c r="T575" s="135">
        <f t="shared" si="275"/>
        <v>0.43633333333333324</v>
      </c>
      <c r="U575" s="135">
        <f t="shared" si="276"/>
        <v>7.0000000000000132E-2</v>
      </c>
      <c r="V575" s="135">
        <f t="shared" si="277"/>
        <v>0.54444444444444451</v>
      </c>
      <c r="W575" s="117">
        <f t="shared" si="305"/>
        <v>1390</v>
      </c>
      <c r="X575" s="114">
        <f>IFERROR((VLOOKUP($A575,'ИЗ ГУГЛА'!$B:$G,X$1,0)+Z575)*Y575,VLOOKUP($A575,'ИЗ ГУГЛА'!$B:$G,X$1,0))</f>
        <v>1390</v>
      </c>
      <c r="Y575" s="108">
        <v>1</v>
      </c>
      <c r="Z575" s="46"/>
      <c r="AA575" s="136">
        <v>1390</v>
      </c>
      <c r="AB575" s="124" t="s">
        <v>2537</v>
      </c>
      <c r="AC575" s="114" t="str">
        <f>IFERROR((VLOOKUP($A575,'ИЗ ГУГЛА'!$B:$Z,AC$1,0)+AE575)*AD575,VLOOKUP($A575,'ИЗ ГУГЛА'!$B:$Z,AC$1,0))</f>
        <v/>
      </c>
      <c r="AD575" s="108">
        <v>1</v>
      </c>
      <c r="AE575" s="46"/>
      <c r="AF575" s="115"/>
    </row>
    <row r="576" spans="1:32" s="5" customFormat="1" ht="30.75" thickTop="1" x14ac:dyDescent="0.25">
      <c r="A576" s="132">
        <v>223147</v>
      </c>
      <c r="B576" s="132">
        <f>VLOOKUP($A576,'Выгр Кат'!$A:$S,B$1,0)</f>
        <v>26557</v>
      </c>
      <c r="C576" s="133" t="str">
        <f>VLOOKUP($A576,'Выгр Кат'!$A:$S,C$1,0)</f>
        <v>Уплотнители "БРТ" опускного стекла для ВАЗ 2101, 2103, 2106</v>
      </c>
      <c r="D576" s="132" t="str">
        <f>VLOOKUP($A576,'Выгр Кат'!$A:$S,D$1,0)</f>
        <v>Y</v>
      </c>
      <c r="E576" s="132" t="str">
        <f>VLOOKUP($A576,'Выгр Кат'!$A:$S,E$1,0)</f>
        <v>1ск6</v>
      </c>
      <c r="F576" s="132" t="str">
        <f>VLOOKUP($A576,'Выгр Кат'!$A:$S,F$1,0)</f>
        <v>47Р</v>
      </c>
      <c r="G576" s="43" t="s">
        <v>1220</v>
      </c>
      <c r="H576" s="29"/>
      <c r="I576" s="4" t="s">
        <v>2</v>
      </c>
      <c r="J576" s="95">
        <v>1</v>
      </c>
      <c r="K576" s="168">
        <f t="shared" si="278"/>
        <v>950</v>
      </c>
      <c r="L576" s="167">
        <f>VLOOKUP(K576,Наценка!$A$1:$B$8,2,1)</f>
        <v>1.3978494623655915</v>
      </c>
      <c r="M576" s="172">
        <f t="shared" si="281"/>
        <v>1327.9569892473119</v>
      </c>
      <c r="N576" s="173">
        <f t="shared" si="271"/>
        <v>1390</v>
      </c>
      <c r="O576" s="134">
        <f>VLOOKUP($A576,'Выгр Кат'!$A:$S,O$1,0)</f>
        <v>950</v>
      </c>
      <c r="P576" s="134">
        <f>VLOOKUP($A576,'Выгр Кат'!$A:$S,P$1,0)</f>
        <v>1390</v>
      </c>
      <c r="Q576" s="107">
        <f t="shared" si="272"/>
        <v>0</v>
      </c>
      <c r="R576" s="107">
        <f t="shared" si="273"/>
        <v>0</v>
      </c>
      <c r="S576" s="110">
        <f t="shared" si="274"/>
        <v>1292.6999999999998</v>
      </c>
      <c r="T576" s="135">
        <f t="shared" si="275"/>
        <v>0.36073684210526302</v>
      </c>
      <c r="U576" s="135" t="str">
        <f t="shared" si="276"/>
        <v/>
      </c>
      <c r="V576" s="135" t="str">
        <f t="shared" si="277"/>
        <v/>
      </c>
      <c r="W576" s="45"/>
      <c r="X576" s="114" t="str">
        <f>IFERROR((VLOOKUP($A576,'ИЗ ГУГЛА'!$B:$G,X$1,0)+Z576)*Y576,VLOOKUP($A576,'ИЗ ГУГЛА'!$B:$G,X$1,0))</f>
        <v/>
      </c>
      <c r="Y576" s="108">
        <v>1</v>
      </c>
      <c r="Z576" s="46"/>
      <c r="AA576" s="139" t="s">
        <v>1821</v>
      </c>
      <c r="AB576" s="124"/>
      <c r="AC576" s="114" t="str">
        <f>IFERROR((VLOOKUP($A576,'ИЗ ГУГЛА'!$B:$Z,AC$1,0)+AE576)*AD576,VLOOKUP($A576,'ИЗ ГУГЛА'!$B:$Z,AC$1,0))</f>
        <v/>
      </c>
      <c r="AD576" s="108">
        <v>1</v>
      </c>
      <c r="AE576" s="46"/>
      <c r="AF576" s="115"/>
    </row>
    <row r="577" spans="1:33" s="5" customFormat="1" ht="30.75" thickBot="1" x14ac:dyDescent="0.3">
      <c r="A577" s="132">
        <v>139158</v>
      </c>
      <c r="B577" s="132">
        <f>VLOOKUP($A577,'Выгр Кат'!$A:$S,B$1,0)</f>
        <v>12592</v>
      </c>
      <c r="C577" s="133" t="str">
        <f>VLOOKUP($A577,'Выгр Кат'!$A:$S,C$1,0)</f>
        <v>Верхние уплотнители дверей (водосток) "БРТ" для Лада Приора</v>
      </c>
      <c r="D577" s="132" t="str">
        <f>VLOOKUP($A577,'Выгр Кат'!$A:$S,D$1,0)</f>
        <v>Y</v>
      </c>
      <c r="E577" s="132" t="str">
        <f>VLOOKUP($A577,'Выгр Кат'!$A:$S,E$1,0)</f>
        <v>1ск6</v>
      </c>
      <c r="F577" s="132" t="str">
        <f>VLOOKUP($A577,'Выгр Кат'!$A:$S,F$1,0)</f>
        <v>217006107020 / 21</v>
      </c>
      <c r="G577" s="99" t="s">
        <v>1313</v>
      </c>
      <c r="H577" s="29"/>
      <c r="I577" s="4" t="s">
        <v>2</v>
      </c>
      <c r="J577" s="95">
        <v>1</v>
      </c>
      <c r="K577" s="168">
        <f t="shared" si="278"/>
        <v>1100</v>
      </c>
      <c r="L577" s="167">
        <f>VLOOKUP(K577,Наценка!$A$1:$B$8,2,1)</f>
        <v>1.2903225806451613</v>
      </c>
      <c r="M577" s="151">
        <f>K577*1.2*100/93</f>
        <v>1419.3548387096773</v>
      </c>
      <c r="N577" s="173">
        <f t="shared" si="271"/>
        <v>1490</v>
      </c>
      <c r="O577" s="134">
        <f>VLOOKUP($A577,'Выгр Кат'!$A:$S,O$1,0)</f>
        <v>1100</v>
      </c>
      <c r="P577" s="134">
        <f>VLOOKUP($A577,'Выгр Кат'!$A:$S,P$1,0)</f>
        <v>1490</v>
      </c>
      <c r="Q577" s="107">
        <f t="shared" si="272"/>
        <v>0</v>
      </c>
      <c r="R577" s="107">
        <f t="shared" si="273"/>
        <v>0</v>
      </c>
      <c r="S577" s="110">
        <f t="shared" si="274"/>
        <v>1385.6999999999998</v>
      </c>
      <c r="T577" s="135">
        <f t="shared" si="275"/>
        <v>0.25972727272727258</v>
      </c>
      <c r="U577" s="135">
        <f t="shared" si="276"/>
        <v>-7.418604651162776E-2</v>
      </c>
      <c r="V577" s="135">
        <f t="shared" si="277"/>
        <v>0.17272727272727262</v>
      </c>
      <c r="W577" s="117">
        <f t="shared" ref="W577:W582" si="306">AA577</f>
        <v>1290</v>
      </c>
      <c r="X577" s="114">
        <f>IFERROR((VLOOKUP($A577,'ИЗ ГУГЛА'!$B:$G,X$1,0)+Z577)*Y577,VLOOKUP($A577,'ИЗ ГУГЛА'!$B:$G,X$1,0))</f>
        <v>1290</v>
      </c>
      <c r="Y577" s="46">
        <v>1</v>
      </c>
      <c r="Z577" s="46"/>
      <c r="AA577" s="138">
        <v>1290</v>
      </c>
      <c r="AB577" s="124" t="s">
        <v>2319</v>
      </c>
      <c r="AC577" s="114" t="str">
        <f>IFERROR((VLOOKUP($A577,'ИЗ ГУГЛА'!$B:$Z,AC$1,0)+AE577)*AD577,VLOOKUP($A577,'ИЗ ГУГЛА'!$B:$Z,AC$1,0))</f>
        <v/>
      </c>
      <c r="AD577" s="46">
        <v>1</v>
      </c>
      <c r="AE577" s="46"/>
      <c r="AF577" s="115"/>
    </row>
    <row r="578" spans="1:33" s="5" customFormat="1" ht="31.5" thickTop="1" thickBot="1" x14ac:dyDescent="0.3">
      <c r="A578" s="132">
        <v>223213</v>
      </c>
      <c r="B578" s="132">
        <f>VLOOKUP($A578,'Выгр Кат'!$A:$S,B$1,0)</f>
        <v>20484</v>
      </c>
      <c r="C578" s="133" t="str">
        <f>VLOOKUP($A578,'Выгр Кат'!$A:$S,C$1,0)</f>
        <v>Уплотнитель "БРТ" заднего стекла окна двери для Лада Нива 4x4, Урбан</v>
      </c>
      <c r="D578" s="132" t="str">
        <f>VLOOKUP($A578,'Выгр Кат'!$A:$S,D$1,0)</f>
        <v>N</v>
      </c>
      <c r="E578" s="132" t="str">
        <f>VLOOKUP($A578,'Выгр Кат'!$A:$S,E$1,0)</f>
        <v>1</v>
      </c>
      <c r="F578" s="132" t="str">
        <f>VLOOKUP($A578,'Выгр Кат'!$A:$S,F$1,0)</f>
        <v>21214-6303018Р</v>
      </c>
      <c r="G578" s="45" t="s">
        <v>476</v>
      </c>
      <c r="H578" s="29"/>
      <c r="I578" s="4" t="s">
        <v>2</v>
      </c>
      <c r="J578" s="95">
        <v>1</v>
      </c>
      <c r="K578" s="168">
        <f t="shared" si="278"/>
        <v>990</v>
      </c>
      <c r="L578" s="167">
        <f>VLOOKUP(K578,Наценка!$A$1:$B$8,2,1)</f>
        <v>1.3978494623655915</v>
      </c>
      <c r="M578" s="148">
        <f t="shared" ref="M577:M580" si="307">W578*1.06</f>
        <v>1897.4</v>
      </c>
      <c r="N578" s="173">
        <f t="shared" si="271"/>
        <v>1890</v>
      </c>
      <c r="O578" s="134">
        <f>VLOOKUP($A578,'Выгр Кат'!$A:$S,O$1,0)</f>
        <v>990</v>
      </c>
      <c r="P578" s="134">
        <f>VLOOKUP($A578,'Выгр Кат'!$A:$S,P$1,0)</f>
        <v>1890</v>
      </c>
      <c r="Q578" s="107">
        <f t="shared" si="272"/>
        <v>0</v>
      </c>
      <c r="R578" s="107">
        <f t="shared" si="273"/>
        <v>0</v>
      </c>
      <c r="S578" s="110">
        <f t="shared" si="274"/>
        <v>1757.6999999999998</v>
      </c>
      <c r="T578" s="135">
        <f t="shared" si="275"/>
        <v>0.77545454545454517</v>
      </c>
      <c r="U578" s="135">
        <f t="shared" si="276"/>
        <v>1.8044692737430271E-2</v>
      </c>
      <c r="V578" s="135">
        <f t="shared" si="277"/>
        <v>0.80808080808080818</v>
      </c>
      <c r="W578" s="117">
        <f t="shared" si="306"/>
        <v>1790</v>
      </c>
      <c r="X578" s="114">
        <f>IFERROR((VLOOKUP($A578,'ИЗ ГУГЛА'!$B:$G,X$1,0)+Z578)*Y578,VLOOKUP($A578,'ИЗ ГУГЛА'!$B:$G,X$1,0))</f>
        <v>1790</v>
      </c>
      <c r="Y578" s="46">
        <v>1</v>
      </c>
      <c r="Z578" s="46"/>
      <c r="AA578" s="138">
        <v>1790</v>
      </c>
      <c r="AB578" s="124" t="s">
        <v>2310</v>
      </c>
      <c r="AC578" s="114" t="str">
        <f>IFERROR((VLOOKUP($A578,'ИЗ ГУГЛА'!$B:$Z,AC$1,0)+AE578)*AD578,VLOOKUP($A578,'ИЗ ГУГЛА'!$B:$Z,AC$1,0))</f>
        <v/>
      </c>
      <c r="AD578" s="46">
        <v>1</v>
      </c>
      <c r="AE578" s="46"/>
      <c r="AF578" s="115"/>
    </row>
    <row r="579" spans="1:33" s="5" customFormat="1" ht="46.5" thickTop="1" thickBot="1" x14ac:dyDescent="0.3">
      <c r="A579" s="132">
        <v>223277</v>
      </c>
      <c r="B579" s="132">
        <f>VLOOKUP($A579,'Выгр Кат'!$A:$S,B$1,0)</f>
        <v>17847</v>
      </c>
      <c r="C579" s="133" t="str">
        <f>VLOOKUP($A579,'Выгр Кат'!$A:$S,C$1,0)</f>
        <v>Уплотнитель нового образца заднего стекла для Лада Нива "УРБАН" (без замка)</v>
      </c>
      <c r="D579" s="132" t="str">
        <f>VLOOKUP($A579,'Выгр Кат'!$A:$S,D$1,0)</f>
        <v>Y</v>
      </c>
      <c r="E579" s="132" t="str">
        <f>VLOOKUP($A579,'Выгр Кат'!$A:$S,E$1,0)</f>
        <v>1</v>
      </c>
      <c r="F579" s="132" t="str">
        <f>VLOOKUP($A579,'Выгр Кат'!$A:$S,F$1,0)</f>
        <v>21214630301800</v>
      </c>
      <c r="G579" s="99" t="s">
        <v>476</v>
      </c>
      <c r="H579" s="29"/>
      <c r="I579" s="4" t="s">
        <v>2</v>
      </c>
      <c r="J579" s="95">
        <v>1</v>
      </c>
      <c r="K579" s="168">
        <f t="shared" si="278"/>
        <v>990</v>
      </c>
      <c r="L579" s="167">
        <f>VLOOKUP(K579,Наценка!$A$1:$B$8,2,1)</f>
        <v>1.3978494623655915</v>
      </c>
      <c r="M579" s="148">
        <f t="shared" si="307"/>
        <v>1897.4</v>
      </c>
      <c r="N579" s="173">
        <f t="shared" ref="N579:N642" si="308">IF(M579&lt;=1000,(ROUNDUP(M579,-1)-1),(ROUNDUP(M579,-2)-10))</f>
        <v>1890</v>
      </c>
      <c r="O579" s="134">
        <f>VLOOKUP($A579,'Выгр Кат'!$A:$S,O$1,0)</f>
        <v>990</v>
      </c>
      <c r="P579" s="134">
        <f>VLOOKUP($A579,'Выгр Кат'!$A:$S,P$1,0)</f>
        <v>1890</v>
      </c>
      <c r="Q579" s="107">
        <f t="shared" ref="Q579:Q642" si="309">O579-K579</f>
        <v>0</v>
      </c>
      <c r="R579" s="107">
        <f t="shared" ref="R579:R642" si="310">P579-N579</f>
        <v>0</v>
      </c>
      <c r="S579" s="110">
        <f t="shared" ref="S579:S642" si="311">IFERROR(N579*(1-$S$2),"")</f>
        <v>1757.6999999999998</v>
      </c>
      <c r="T579" s="135">
        <f t="shared" ref="T579:T642" si="312">IFERROR(S579/K579-1,"")</f>
        <v>0.77545454545454517</v>
      </c>
      <c r="U579" s="135">
        <f t="shared" ref="U579:U642" si="313">IFERROR((W579-S579)/W579,"")</f>
        <v>1.8044692737430271E-2</v>
      </c>
      <c r="V579" s="135">
        <f t="shared" ref="V579:V642" si="314">IFERROR(IF(W579="","",W579/K579-1),"")</f>
        <v>0.80808080808080818</v>
      </c>
      <c r="W579" s="117">
        <f t="shared" si="306"/>
        <v>1790</v>
      </c>
      <c r="X579" s="114">
        <f>IFERROR((VLOOKUP($A579,'ИЗ ГУГЛА'!$B:$G,X$1,0)+Z579)*Y579,VLOOKUP($A579,'ИЗ ГУГЛА'!$B:$G,X$1,0))</f>
        <v>1790</v>
      </c>
      <c r="Y579" s="46">
        <v>1</v>
      </c>
      <c r="Z579" s="46"/>
      <c r="AA579" s="138">
        <v>1790</v>
      </c>
      <c r="AB579" s="124" t="s">
        <v>2310</v>
      </c>
      <c r="AC579" s="114" t="str">
        <f>IFERROR((VLOOKUP($A579,'ИЗ ГУГЛА'!$B:$Z,AC$1,0)+AE579)*AD579,VLOOKUP($A579,'ИЗ ГУГЛА'!$B:$Z,AC$1,0))</f>
        <v/>
      </c>
      <c r="AD579" s="46">
        <v>1</v>
      </c>
      <c r="AE579" s="46"/>
      <c r="AF579" s="115"/>
    </row>
    <row r="580" spans="1:33" s="5" customFormat="1" ht="31.5" thickTop="1" thickBot="1" x14ac:dyDescent="0.3">
      <c r="A580" s="132">
        <v>204284</v>
      </c>
      <c r="B580" s="132">
        <f>VLOOKUP($A580,'Выгр Кат'!$A:$S,B$1,0)</f>
        <v>20369</v>
      </c>
      <c r="C580" s="133" t="str">
        <f>VLOOKUP($A580,'Выгр Кат'!$A:$S,C$1,0)</f>
        <v>Ремень ГРМ зубчатый "БРТ" для Лада Гранта (с 8 клапанными двигателями)</v>
      </c>
      <c r="D580" s="132" t="str">
        <f>VLOOKUP($A580,'Выгр Кат'!$A:$S,D$1,0)</f>
        <v>Y</v>
      </c>
      <c r="E580" s="132" t="str">
        <f>VLOOKUP($A580,'Выгр Кат'!$A:$S,E$1,0)</f>
        <v>1</v>
      </c>
      <c r="F580" s="132" t="str">
        <f>VLOOKUP($A580,'Выгр Кат'!$A:$S,F$1,0)</f>
        <v>21116-1006040РУ</v>
      </c>
      <c r="G580" s="45" t="s">
        <v>418</v>
      </c>
      <c r="H580" s="29"/>
      <c r="I580" s="4" t="s">
        <v>2</v>
      </c>
      <c r="J580" s="95">
        <v>1</v>
      </c>
      <c r="K580" s="168">
        <f t="shared" ref="K580:K643" si="315">O580</f>
        <v>971</v>
      </c>
      <c r="L580" s="167">
        <f>VLOOKUP(K580,Наценка!$A$1:$B$8,2,1)</f>
        <v>1.3978494623655915</v>
      </c>
      <c r="M580" s="145">
        <f>W580*1</f>
        <v>1390</v>
      </c>
      <c r="N580" s="173">
        <f t="shared" si="308"/>
        <v>1390</v>
      </c>
      <c r="O580" s="134">
        <f>VLOOKUP($A580,'Выгр Кат'!$A:$S,O$1,0)</f>
        <v>971</v>
      </c>
      <c r="P580" s="134">
        <f>VLOOKUP($A580,'Выгр Кат'!$A:$S,P$1,0)</f>
        <v>1390</v>
      </c>
      <c r="Q580" s="107">
        <f t="shared" si="309"/>
        <v>0</v>
      </c>
      <c r="R580" s="107">
        <f t="shared" si="310"/>
        <v>0</v>
      </c>
      <c r="S580" s="110">
        <f t="shared" si="311"/>
        <v>1292.6999999999998</v>
      </c>
      <c r="T580" s="135">
        <f t="shared" si="312"/>
        <v>0.33130792996910374</v>
      </c>
      <c r="U580" s="135">
        <f t="shared" si="313"/>
        <v>7.0000000000000132E-2</v>
      </c>
      <c r="V580" s="135">
        <f t="shared" si="314"/>
        <v>0.43151390319258498</v>
      </c>
      <c r="W580" s="117">
        <f t="shared" si="306"/>
        <v>1390</v>
      </c>
      <c r="X580" s="114">
        <f>IFERROR((VLOOKUP($A580,'ИЗ ГУГЛА'!$B:$G,X$1,0)+Z580)*Y580,VLOOKUP($A580,'ИЗ ГУГЛА'!$B:$G,X$1,0))</f>
        <v>1390</v>
      </c>
      <c r="Y580" s="46">
        <v>1</v>
      </c>
      <c r="Z580" s="46"/>
      <c r="AA580" s="138">
        <v>1390</v>
      </c>
      <c r="AB580" s="124" t="s">
        <v>2318</v>
      </c>
      <c r="AC580" s="114" t="str">
        <f>IFERROR((VLOOKUP($A580,'ИЗ ГУГЛА'!$B:$Z,AC$1,0)+AE580)*AD580,VLOOKUP($A580,'ИЗ ГУГЛА'!$B:$Z,AC$1,0))</f>
        <v/>
      </c>
      <c r="AD580" s="46">
        <v>1</v>
      </c>
      <c r="AE580" s="46"/>
      <c r="AF580" s="115"/>
    </row>
    <row r="581" spans="1:33" s="5" customFormat="1" ht="31.5" thickTop="1" thickBot="1" x14ac:dyDescent="0.3">
      <c r="A581" s="132">
        <v>223296</v>
      </c>
      <c r="B581" s="132">
        <f>VLOOKUP($A581,'Выгр Кат'!$A:$S,B$1,0)</f>
        <v>20489</v>
      </c>
      <c r="C581" s="133" t="str">
        <f>VLOOKUP($A581,'Выгр Кат'!$A:$S,C$1,0)</f>
        <v>Уплотнитель стекла окна боковины "БРТ" для Лада Нива 4x4 "УРБАН"</v>
      </c>
      <c r="D581" s="132" t="str">
        <f>VLOOKUP($A581,'Выгр Кат'!$A:$S,D$1,0)</f>
        <v>Y</v>
      </c>
      <c r="E581" s="132" t="str">
        <f>VLOOKUP($A581,'Выгр Кат'!$A:$S,E$1,0)</f>
        <v>1</v>
      </c>
      <c r="F581" s="132" t="str">
        <f>VLOOKUP($A581,'Выгр Кат'!$A:$S,F$1,0)</f>
        <v>21214-5403122Р.</v>
      </c>
      <c r="G581" s="100" t="s">
        <v>795</v>
      </c>
      <c r="H581" s="29"/>
      <c r="I581" s="4" t="s">
        <v>2</v>
      </c>
      <c r="J581" s="95">
        <v>1</v>
      </c>
      <c r="K581" s="168">
        <f t="shared" si="315"/>
        <v>998</v>
      </c>
      <c r="L581" s="167">
        <f>VLOOKUP(K581,Наценка!$A$1:$B$8,2,1)</f>
        <v>1.3978494623655915</v>
      </c>
      <c r="M581" s="149">
        <f t="shared" ref="M577:M581" si="316">W581*1.07</f>
        <v>1594.3000000000002</v>
      </c>
      <c r="N581" s="173">
        <f t="shared" si="308"/>
        <v>1590</v>
      </c>
      <c r="O581" s="134">
        <f>VLOOKUP($A581,'Выгр Кат'!$A:$S,O$1,0)</f>
        <v>998</v>
      </c>
      <c r="P581" s="134">
        <f>VLOOKUP($A581,'Выгр Кат'!$A:$S,P$1,0)</f>
        <v>1390</v>
      </c>
      <c r="Q581" s="107">
        <f t="shared" si="309"/>
        <v>0</v>
      </c>
      <c r="R581" s="107">
        <f t="shared" si="310"/>
        <v>-200</v>
      </c>
      <c r="S581" s="110">
        <f t="shared" si="311"/>
        <v>1478.6999999999998</v>
      </c>
      <c r="T581" s="135">
        <f t="shared" si="312"/>
        <v>0.48166332665330636</v>
      </c>
      <c r="U581" s="135">
        <f t="shared" si="313"/>
        <v>7.5838926174497867E-3</v>
      </c>
      <c r="V581" s="135">
        <f t="shared" si="314"/>
        <v>0.49298597194388782</v>
      </c>
      <c r="W581" s="117">
        <f t="shared" si="306"/>
        <v>1490</v>
      </c>
      <c r="X581" s="114">
        <f>IFERROR((VLOOKUP($A581,'ИЗ ГУГЛА'!$B:$G,X$1,0)+Z581)*Y581,VLOOKUP($A581,'ИЗ ГУГЛА'!$B:$G,X$1,0))</f>
        <v>1490</v>
      </c>
      <c r="Y581" s="46">
        <v>1</v>
      </c>
      <c r="Z581" s="46"/>
      <c r="AA581" s="138">
        <v>1490</v>
      </c>
      <c r="AB581" s="124" t="s">
        <v>2332</v>
      </c>
      <c r="AC581" s="114" t="str">
        <f>IFERROR((VLOOKUP($A581,'ИЗ ГУГЛА'!$B:$Z,AC$1,0)+AE581)*AD581,VLOOKUP($A581,'ИЗ ГУГЛА'!$B:$Z,AC$1,0))</f>
        <v/>
      </c>
      <c r="AD581" s="46">
        <v>1</v>
      </c>
      <c r="AE581" s="46"/>
      <c r="AF581" s="115"/>
    </row>
    <row r="582" spans="1:33" s="5" customFormat="1" ht="31.5" thickTop="1" thickBot="1" x14ac:dyDescent="0.3">
      <c r="A582" s="132">
        <v>186592</v>
      </c>
      <c r="B582" s="132">
        <f>VLOOKUP($A582,'Выгр Кат'!$A:$S,B$1,0)</f>
        <v>35438</v>
      </c>
      <c r="C582" s="133" t="str">
        <f>VLOOKUP($A582,'Выгр Кат'!$A:$S,C$1,0)</f>
        <v>Патрубок "БРТ" термостата и водяного насоса для Шевроле Нива</v>
      </c>
      <c r="D582" s="132" t="str">
        <f>VLOOKUP($A582,'Выгр Кат'!$A:$S,D$1,0)</f>
        <v>Y</v>
      </c>
      <c r="E582" s="132" t="str">
        <f>VLOOKUP($A582,'Выгр Кат'!$A:$S,E$1,0)</f>
        <v>1</v>
      </c>
      <c r="F582" s="132" t="str">
        <f>VLOOKUP($A582,'Выгр Кат'!$A:$S,F$1,0)</f>
        <v>2123-1303074-01Р</v>
      </c>
      <c r="G582" s="44" t="s">
        <v>491</v>
      </c>
      <c r="H582" s="29"/>
      <c r="I582" s="4" t="s">
        <v>2</v>
      </c>
      <c r="J582" s="95">
        <v>1</v>
      </c>
      <c r="K582" s="168">
        <f t="shared" si="315"/>
        <v>1010</v>
      </c>
      <c r="L582" s="167">
        <f>VLOOKUP(K582,Наценка!$A$1:$B$8,2,1)</f>
        <v>1.2903225806451613</v>
      </c>
      <c r="M582" s="172">
        <f t="shared" ref="M581:M644" si="317">K582*L582</f>
        <v>1303.2258064516129</v>
      </c>
      <c r="N582" s="173">
        <f t="shared" si="308"/>
        <v>1390</v>
      </c>
      <c r="O582" s="134">
        <f>VLOOKUP($A582,'Выгр Кат'!$A:$S,O$1,0)</f>
        <v>1010</v>
      </c>
      <c r="P582" s="134">
        <f>VLOOKUP($A582,'Выгр Кат'!$A:$S,P$1,0)</f>
        <v>1390</v>
      </c>
      <c r="Q582" s="107">
        <f t="shared" si="309"/>
        <v>0</v>
      </c>
      <c r="R582" s="107">
        <f t="shared" si="310"/>
        <v>0</v>
      </c>
      <c r="S582" s="110">
        <f t="shared" si="311"/>
        <v>1292.6999999999998</v>
      </c>
      <c r="T582" s="135">
        <f t="shared" si="312"/>
        <v>0.27990099009900971</v>
      </c>
      <c r="U582" s="135">
        <f t="shared" si="313"/>
        <v>-0.32042900919305395</v>
      </c>
      <c r="V582" s="135">
        <f t="shared" si="314"/>
        <v>-3.069306930693072E-2</v>
      </c>
      <c r="W582" s="117">
        <f t="shared" si="306"/>
        <v>979</v>
      </c>
      <c r="X582" s="114">
        <f>IFERROR((VLOOKUP($A582,'ИЗ ГУГЛА'!$B:$G,X$1,0)+Z582)*Y582,VLOOKUP($A582,'ИЗ ГУГЛА'!$B:$G,X$1,0))</f>
        <v>979</v>
      </c>
      <c r="Y582" s="46">
        <v>1</v>
      </c>
      <c r="Z582" s="46"/>
      <c r="AA582" s="140">
        <v>979</v>
      </c>
      <c r="AB582" s="124" t="s">
        <v>2745</v>
      </c>
      <c r="AC582" s="114" t="str">
        <f>IFERROR((VLOOKUP($A582,'ИЗ ГУГЛА'!$B:$Z,AC$1,0)+AE582)*AD582,VLOOKUP($A582,'ИЗ ГУГЛА'!$B:$Z,AC$1,0))</f>
        <v/>
      </c>
      <c r="AD582" s="46">
        <v>1</v>
      </c>
      <c r="AE582" s="46"/>
      <c r="AF582" s="115"/>
    </row>
    <row r="583" spans="1:33" s="5" customFormat="1" ht="45.75" thickTop="1" x14ac:dyDescent="0.25">
      <c r="A583" s="132">
        <v>204350</v>
      </c>
      <c r="B583" s="132">
        <f>VLOOKUP($A583,'Выгр Кат'!$A:$S,B$1,0)</f>
        <v>19920</v>
      </c>
      <c r="C583" s="133" t="str">
        <f>VLOOKUP($A583,'Выгр Кат'!$A:$S,C$1,0)</f>
        <v>Ремкомплект 203РУ Р/К "БРТ" ремень ГРМ (1.4/1.6, 8v) с роликом для Лада Ларгус, Renault Sandero, Logan</v>
      </c>
      <c r="D583" s="132" t="str">
        <f>VLOOKUP($A583,'Выгр Кат'!$A:$S,D$1,0)</f>
        <v>Y</v>
      </c>
      <c r="E583" s="132" t="str">
        <f>VLOOKUP($A583,'Выгр Кат'!$A:$S,E$1,0)</f>
        <v>1</v>
      </c>
      <c r="F583" s="132" t="str">
        <f>VLOOKUP($A583,'Выгр Кат'!$A:$S,F$1,0)</f>
        <v>Ремкомплект 203РУ Р/К, ремень ГРМ 21725Р.</v>
      </c>
      <c r="G583" s="45" t="s">
        <v>1821</v>
      </c>
      <c r="H583" s="29" t="s">
        <v>1821</v>
      </c>
      <c r="I583" s="4" t="s">
        <v>2</v>
      </c>
      <c r="J583" s="95">
        <v>1</v>
      </c>
      <c r="K583" s="168">
        <f t="shared" si="315"/>
        <v>910</v>
      </c>
      <c r="L583" s="167">
        <f>VLOOKUP(K583,Наценка!$A$1:$B$8,2,1)</f>
        <v>1.3978494623655915</v>
      </c>
      <c r="M583" s="172">
        <f t="shared" si="317"/>
        <v>1272.0430107526884</v>
      </c>
      <c r="N583" s="173">
        <f t="shared" si="308"/>
        <v>1290</v>
      </c>
      <c r="O583" s="134">
        <f>VLOOKUP($A583,'Выгр Кат'!$A:$S,O$1,0)</f>
        <v>910</v>
      </c>
      <c r="P583" s="134">
        <f>VLOOKUP($A583,'Выгр Кат'!$A:$S,P$1,0)</f>
        <v>1290</v>
      </c>
      <c r="Q583" s="107">
        <f t="shared" si="309"/>
        <v>0</v>
      </c>
      <c r="R583" s="107">
        <f t="shared" si="310"/>
        <v>0</v>
      </c>
      <c r="S583" s="110">
        <f t="shared" si="311"/>
        <v>1199.6999999999998</v>
      </c>
      <c r="T583" s="135">
        <f t="shared" si="312"/>
        <v>0.3183516483516482</v>
      </c>
      <c r="U583" s="135" t="str">
        <f t="shared" si="313"/>
        <v/>
      </c>
      <c r="V583" s="135" t="str">
        <f t="shared" si="314"/>
        <v/>
      </c>
      <c r="W583" s="45"/>
      <c r="X583" s="114" t="str">
        <f>IFERROR((VLOOKUP($A583,'ИЗ ГУГЛА'!$B:$G,X$1,0)+Z583)*Y583,VLOOKUP($A583,'ИЗ ГУГЛА'!$B:$G,X$1,0))</f>
        <v/>
      </c>
      <c r="Y583" s="108">
        <v>1</v>
      </c>
      <c r="Z583" s="46"/>
      <c r="AA583" s="139" t="s">
        <v>1821</v>
      </c>
      <c r="AB583" s="124"/>
      <c r="AC583" s="114" t="str">
        <f>IFERROR((VLOOKUP($A583,'ИЗ ГУГЛА'!$B:$Z,AC$1,0)+AE583)*AD583,VLOOKUP($A583,'ИЗ ГУГЛА'!$B:$Z,AC$1,0))</f>
        <v/>
      </c>
      <c r="AD583" s="108">
        <v>1</v>
      </c>
      <c r="AE583" s="46"/>
      <c r="AF583" s="115"/>
    </row>
    <row r="584" spans="1:33" s="5" customFormat="1" ht="45.75" thickBot="1" x14ac:dyDescent="0.3">
      <c r="A584" s="132">
        <v>160729</v>
      </c>
      <c r="B584" s="132">
        <f>VLOOKUP($A584,'Выгр Кат'!$A:$S,B$1,0)</f>
        <v>19804</v>
      </c>
      <c r="C584" s="133" t="str">
        <f>VLOOKUP($A584,'Выгр Кат'!$A:$S,C$1,0)</f>
        <v>Кронштейн передней опоры двигателя "БРТ" для ВАЗ 2108-21099, 2113-2115</v>
      </c>
      <c r="D584" s="132" t="str">
        <f>VLOOKUP($A584,'Выгр Кат'!$A:$S,D$1,0)</f>
        <v>Y</v>
      </c>
      <c r="E584" s="132" t="str">
        <f>VLOOKUP($A584,'Выгр Кат'!$A:$S,E$1,0)</f>
        <v>1</v>
      </c>
      <c r="F584" s="132" t="str">
        <f>VLOOKUP($A584,'Выгр Кат'!$A:$S,F$1,0)</f>
        <v>21080100101500</v>
      </c>
      <c r="G584" s="45" t="s">
        <v>311</v>
      </c>
      <c r="H584" s="29"/>
      <c r="I584" s="4" t="s">
        <v>2</v>
      </c>
      <c r="J584" s="95">
        <v>1</v>
      </c>
      <c r="K584" s="168">
        <f t="shared" si="315"/>
        <v>1203</v>
      </c>
      <c r="L584" s="167">
        <f>VLOOKUP(K584,Наценка!$A$1:$B$8,2,1)</f>
        <v>1.2903225806451613</v>
      </c>
      <c r="M584" s="172">
        <f t="shared" si="317"/>
        <v>1552.258064516129</v>
      </c>
      <c r="N584" s="173">
        <f t="shared" si="308"/>
        <v>1590</v>
      </c>
      <c r="O584" s="134">
        <f>VLOOKUP($A584,'Выгр Кат'!$A:$S,O$1,0)</f>
        <v>1203</v>
      </c>
      <c r="P584" s="134">
        <f>VLOOKUP($A584,'Выгр Кат'!$A:$S,P$1,0)</f>
        <v>1590</v>
      </c>
      <c r="Q584" s="107">
        <f t="shared" si="309"/>
        <v>0</v>
      </c>
      <c r="R584" s="107">
        <f t="shared" si="310"/>
        <v>0</v>
      </c>
      <c r="S584" s="110">
        <f t="shared" si="311"/>
        <v>1478.6999999999998</v>
      </c>
      <c r="T584" s="135">
        <f t="shared" si="312"/>
        <v>0.22917705735660832</v>
      </c>
      <c r="U584" s="135">
        <f t="shared" si="313"/>
        <v>-0.14627906976744173</v>
      </c>
      <c r="V584" s="135">
        <f t="shared" si="314"/>
        <v>7.2319201995012516E-2</v>
      </c>
      <c r="W584" s="117">
        <f t="shared" ref="W584:W585" si="318">AA584</f>
        <v>1290</v>
      </c>
      <c r="X584" s="114">
        <f>IFERROR((VLOOKUP($A584,'ИЗ ГУГЛА'!$B:$G,X$1,0)+Z584)*Y584,VLOOKUP($A584,'ИЗ ГУГЛА'!$B:$G,X$1,0))</f>
        <v>1290</v>
      </c>
      <c r="Y584" s="46">
        <v>1</v>
      </c>
      <c r="Z584" s="46"/>
      <c r="AA584" s="138">
        <v>1290</v>
      </c>
      <c r="AB584" s="124" t="s">
        <v>2504</v>
      </c>
      <c r="AC584" s="114" t="str">
        <f>IFERROR((VLOOKUP($A584,'ИЗ ГУГЛА'!$B:$Z,AC$1,0)+AE584)*AD584,VLOOKUP($A584,'ИЗ ГУГЛА'!$B:$Z,AC$1,0))</f>
        <v/>
      </c>
      <c r="AD584" s="46">
        <v>1</v>
      </c>
      <c r="AE584" s="46"/>
      <c r="AF584" s="115"/>
    </row>
    <row r="585" spans="1:33" s="5" customFormat="1" ht="46.5" thickTop="1" thickBot="1" x14ac:dyDescent="0.3">
      <c r="A585" s="132">
        <v>139159</v>
      </c>
      <c r="B585" s="132">
        <f>VLOOKUP($A585,'Выгр Кат'!$A:$S,B$1,0)</f>
        <v>12593</v>
      </c>
      <c r="C585" s="133" t="str">
        <f>VLOOKUP($A585,'Выгр Кат'!$A:$S,C$1,0)</f>
        <v>Верхние уплотнители дверей (водосток) "БРТ" для Лада Приора универсал</v>
      </c>
      <c r="D585" s="132" t="str">
        <f>VLOOKUP($A585,'Выгр Кат'!$A:$S,D$1,0)</f>
        <v>Y</v>
      </c>
      <c r="E585" s="132" t="str">
        <f>VLOOKUP($A585,'Выгр Кат'!$A:$S,E$1,0)</f>
        <v>1</v>
      </c>
      <c r="F585" s="132">
        <f>VLOOKUP($A585,'Выгр Кат'!$A:$S,F$1,0)</f>
        <v>0</v>
      </c>
      <c r="G585" s="101" t="s">
        <v>1513</v>
      </c>
      <c r="H585" s="29"/>
      <c r="I585" s="4" t="s">
        <v>2</v>
      </c>
      <c r="J585" s="95">
        <v>1</v>
      </c>
      <c r="K585" s="168">
        <f t="shared" si="315"/>
        <v>945</v>
      </c>
      <c r="L585" s="167">
        <f>VLOOKUP(K585,Наценка!$A$1:$B$8,2,1)</f>
        <v>1.3978494623655915</v>
      </c>
      <c r="M585" s="145">
        <f>W585*1</f>
        <v>1390</v>
      </c>
      <c r="N585" s="173">
        <f t="shared" si="308"/>
        <v>1390</v>
      </c>
      <c r="O585" s="134">
        <f>VLOOKUP($A585,'Выгр Кат'!$A:$S,O$1,0)</f>
        <v>945</v>
      </c>
      <c r="P585" s="134">
        <f>VLOOKUP($A585,'Выгр Кат'!$A:$S,P$1,0)</f>
        <v>1290</v>
      </c>
      <c r="Q585" s="107">
        <f t="shared" si="309"/>
        <v>0</v>
      </c>
      <c r="R585" s="107">
        <f t="shared" si="310"/>
        <v>-100</v>
      </c>
      <c r="S585" s="110">
        <f t="shared" si="311"/>
        <v>1292.6999999999998</v>
      </c>
      <c r="T585" s="135">
        <f t="shared" si="312"/>
        <v>0.36793650793650778</v>
      </c>
      <c r="U585" s="135">
        <f t="shared" si="313"/>
        <v>7.0000000000000132E-2</v>
      </c>
      <c r="V585" s="135">
        <f t="shared" si="314"/>
        <v>0.47089947089947093</v>
      </c>
      <c r="W585" s="117">
        <f t="shared" si="318"/>
        <v>1390</v>
      </c>
      <c r="X585" s="114">
        <f>IFERROR((VLOOKUP($A585,'ИЗ ГУГЛА'!$B:$G,X$1,0)+Z585)*Y585,VLOOKUP($A585,'ИЗ ГУГЛА'!$B:$G,X$1,0))</f>
        <v>1390</v>
      </c>
      <c r="Y585" s="46">
        <v>1</v>
      </c>
      <c r="Z585" s="46"/>
      <c r="AA585" s="138">
        <v>1390</v>
      </c>
      <c r="AB585" s="124" t="s">
        <v>2311</v>
      </c>
      <c r="AC585" s="114" t="str">
        <f>IFERROR((VLOOKUP($A585,'ИЗ ГУГЛА'!$B:$Z,AC$1,0)+AE585)*AD585,VLOOKUP($A585,'ИЗ ГУГЛА'!$B:$Z,AC$1,0))</f>
        <v/>
      </c>
      <c r="AD585" s="46">
        <v>1</v>
      </c>
      <c r="AE585" s="46"/>
      <c r="AF585" s="115"/>
    </row>
    <row r="586" spans="1:33" s="5" customFormat="1" ht="30.75" thickTop="1" x14ac:dyDescent="0.25">
      <c r="A586" s="132">
        <v>223149</v>
      </c>
      <c r="B586" s="132">
        <f>VLOOKUP($A586,'Выгр Кат'!$A:$S,B$1,0)</f>
        <v>26558</v>
      </c>
      <c r="C586" s="133" t="str">
        <f>VLOOKUP($A586,'Выгр Кат'!$A:$S,C$1,0)</f>
        <v>Уплотнители "БРТ" опускных стекол для ВАЗ 2104, 2105, 2107</v>
      </c>
      <c r="D586" s="132" t="str">
        <f>VLOOKUP($A586,'Выгр Кат'!$A:$S,D$1,0)</f>
        <v>Y</v>
      </c>
      <c r="E586" s="132" t="str">
        <f>VLOOKUP($A586,'Выгр Кат'!$A:$S,E$1,0)</f>
        <v>1</v>
      </c>
      <c r="F586" s="132" t="str">
        <f>VLOOKUP($A586,'Выгр Кат'!$A:$S,F$1,0)</f>
        <v>52Р</v>
      </c>
      <c r="G586" s="43" t="s">
        <v>1212</v>
      </c>
      <c r="H586" s="29"/>
      <c r="I586" s="4" t="s">
        <v>2</v>
      </c>
      <c r="J586" s="95">
        <v>1</v>
      </c>
      <c r="K586" s="168">
        <f t="shared" si="315"/>
        <v>950</v>
      </c>
      <c r="L586" s="167">
        <f>VLOOKUP(K586,Наценка!$A$1:$B$8,2,1)</f>
        <v>1.3978494623655915</v>
      </c>
      <c r="M586" s="172">
        <f t="shared" si="317"/>
        <v>1327.9569892473119</v>
      </c>
      <c r="N586" s="173">
        <f t="shared" si="308"/>
        <v>1390</v>
      </c>
      <c r="O586" s="134">
        <f>VLOOKUP($A586,'Выгр Кат'!$A:$S,O$1,0)</f>
        <v>950</v>
      </c>
      <c r="P586" s="134">
        <f>VLOOKUP($A586,'Выгр Кат'!$A:$S,P$1,0)</f>
        <v>1390</v>
      </c>
      <c r="Q586" s="107">
        <f t="shared" si="309"/>
        <v>0</v>
      </c>
      <c r="R586" s="107">
        <f t="shared" si="310"/>
        <v>0</v>
      </c>
      <c r="S586" s="110">
        <f t="shared" si="311"/>
        <v>1292.6999999999998</v>
      </c>
      <c r="T586" s="135">
        <f t="shared" si="312"/>
        <v>0.36073684210526302</v>
      </c>
      <c r="U586" s="135" t="str">
        <f t="shared" si="313"/>
        <v/>
      </c>
      <c r="V586" s="135" t="str">
        <f t="shared" si="314"/>
        <v/>
      </c>
      <c r="W586" s="45"/>
      <c r="X586" s="114" t="str">
        <f>IFERROR((VLOOKUP($A586,'ИЗ ГУГЛА'!$B:$G,X$1,0)+Z586)*Y586,VLOOKUP($A586,'ИЗ ГУГЛА'!$B:$G,X$1,0))</f>
        <v/>
      </c>
      <c r="Y586" s="108">
        <v>1</v>
      </c>
      <c r="Z586" s="46"/>
      <c r="AA586" s="139" t="s">
        <v>1821</v>
      </c>
      <c r="AB586" s="124"/>
      <c r="AC586" s="114" t="str">
        <f>IFERROR((VLOOKUP($A586,'ИЗ ГУГЛА'!$B:$Z,AC$1,0)+AE586)*AD586,VLOOKUP($A586,'ИЗ ГУГЛА'!$B:$Z,AC$1,0))</f>
        <v/>
      </c>
      <c r="AD586" s="108">
        <v>1</v>
      </c>
      <c r="AE586" s="46"/>
      <c r="AF586" s="115"/>
    </row>
    <row r="587" spans="1:33" s="5" customFormat="1" ht="30.75" thickBot="1" x14ac:dyDescent="0.3">
      <c r="A587" s="132">
        <v>158300</v>
      </c>
      <c r="B587" s="132">
        <f>VLOOKUP($A587,'Выгр Кат'!$A:$S,B$1,0)</f>
        <v>18939</v>
      </c>
      <c r="C587" s="133" t="str">
        <f>VLOOKUP($A587,'Выгр Кат'!$A:$S,C$1,0)</f>
        <v>Комплект "БРТ" уплотнителей проёма дверей для ВАЗ 2101-2107</v>
      </c>
      <c r="D587" s="132" t="str">
        <f>VLOOKUP($A587,'Выгр Кат'!$A:$S,D$1,0)</f>
        <v>Y</v>
      </c>
      <c r="E587" s="132" t="str">
        <f>VLOOKUP($A587,'Выгр Кат'!$A:$S,E$1,0)</f>
        <v>1</v>
      </c>
      <c r="F587" s="132" t="str">
        <f>VLOOKUP($A587,'Выгр Кат'!$A:$S,F$1,0)</f>
        <v>2107-6107018</v>
      </c>
      <c r="G587" s="34" t="s">
        <v>306</v>
      </c>
      <c r="H587" s="41"/>
      <c r="I587" s="4" t="s">
        <v>2</v>
      </c>
      <c r="J587" s="105">
        <v>4</v>
      </c>
      <c r="K587" s="168">
        <f t="shared" si="315"/>
        <v>1280</v>
      </c>
      <c r="L587" s="167">
        <f>VLOOKUP(K587,Наценка!$A$1:$B$8,2,1)</f>
        <v>1.2903225806451613</v>
      </c>
      <c r="M587" s="148">
        <f t="shared" ref="M587:M588" si="319">W587*1.06</f>
        <v>1897.4</v>
      </c>
      <c r="N587" s="173">
        <f t="shared" si="308"/>
        <v>1890</v>
      </c>
      <c r="O587" s="134">
        <f>VLOOKUP($A587,'Выгр Кат'!$A:$S,O$1,0)</f>
        <v>1280</v>
      </c>
      <c r="P587" s="134">
        <f>VLOOKUP($A587,'Выгр Кат'!$A:$S,P$1,0)</f>
        <v>1890</v>
      </c>
      <c r="Q587" s="107">
        <f t="shared" si="309"/>
        <v>0</v>
      </c>
      <c r="R587" s="107">
        <f t="shared" si="310"/>
        <v>0</v>
      </c>
      <c r="S587" s="110">
        <f t="shared" si="311"/>
        <v>1757.6999999999998</v>
      </c>
      <c r="T587" s="135">
        <f t="shared" si="312"/>
        <v>0.37320312499999986</v>
      </c>
      <c r="U587" s="135">
        <f t="shared" si="313"/>
        <v>1.8044692737430271E-2</v>
      </c>
      <c r="V587" s="135">
        <f t="shared" si="314"/>
        <v>0.3984375</v>
      </c>
      <c r="W587" s="117">
        <f t="shared" ref="W587:W588" si="320">AA587</f>
        <v>1790</v>
      </c>
      <c r="X587" s="114">
        <f>IFERROR((VLOOKUP($A587,'ИЗ ГУГЛА'!$B:$G,X$1,0)+Z587)*Y587,VLOOKUP($A587,'ИЗ ГУГЛА'!$B:$G,X$1,0))</f>
        <v>1790</v>
      </c>
      <c r="Y587" s="46">
        <v>1</v>
      </c>
      <c r="Z587" s="46"/>
      <c r="AA587" s="138">
        <v>1790</v>
      </c>
      <c r="AB587" s="124" t="s">
        <v>2280</v>
      </c>
      <c r="AC587" s="114" t="str">
        <f>IFERROR((VLOOKUP($A587,'ИЗ ГУГЛА'!$B:$Z,AC$1,0)+AE587)*AD587,VLOOKUP($A587,'ИЗ ГУГЛА'!$B:$Z,AC$1,0))</f>
        <v/>
      </c>
      <c r="AD587" s="46">
        <v>1</v>
      </c>
      <c r="AE587" s="46"/>
      <c r="AF587" s="115"/>
    </row>
    <row r="588" spans="1:33" s="5" customFormat="1" ht="31.5" thickTop="1" thickBot="1" x14ac:dyDescent="0.3">
      <c r="A588" s="132">
        <v>180978</v>
      </c>
      <c r="B588" s="132">
        <f>VLOOKUP($A588,'Выгр Кат'!$A:$S,B$1,0)</f>
        <v>20329</v>
      </c>
      <c r="C588" s="133" t="str">
        <f>VLOOKUP($A588,'Выгр Кат'!$A:$S,C$1,0)</f>
        <v>Обойма опоры шаровой рычага КПП в сборе "БРТ" для Лада Калина</v>
      </c>
      <c r="D588" s="132" t="str">
        <f>VLOOKUP($A588,'Выгр Кат'!$A:$S,D$1,0)</f>
        <v>Y</v>
      </c>
      <c r="E588" s="132" t="str">
        <f>VLOOKUP($A588,'Выгр Кат'!$A:$S,E$1,0)</f>
        <v>1</v>
      </c>
      <c r="F588" s="132" t="str">
        <f>VLOOKUP($A588,'Выгр Кат'!$A:$S,F$1,0)</f>
        <v>1118-1703190РУ</v>
      </c>
      <c r="G588" s="45" t="s">
        <v>222</v>
      </c>
      <c r="H588" s="29"/>
      <c r="I588" s="4" t="s">
        <v>2</v>
      </c>
      <c r="J588" s="95">
        <v>1</v>
      </c>
      <c r="K588" s="168">
        <f t="shared" si="315"/>
        <v>1064</v>
      </c>
      <c r="L588" s="167">
        <f>VLOOKUP(K588,Наценка!$A$1:$B$8,2,1)</f>
        <v>1.2903225806451613</v>
      </c>
      <c r="M588" s="145">
        <f>W588*1</f>
        <v>1390</v>
      </c>
      <c r="N588" s="173">
        <f t="shared" si="308"/>
        <v>1390</v>
      </c>
      <c r="O588" s="134">
        <f>VLOOKUP($A588,'Выгр Кат'!$A:$S,O$1,0)</f>
        <v>1064</v>
      </c>
      <c r="P588" s="134">
        <f>VLOOKUP($A588,'Выгр Кат'!$A:$S,P$1,0)</f>
        <v>1390</v>
      </c>
      <c r="Q588" s="107">
        <f t="shared" si="309"/>
        <v>0</v>
      </c>
      <c r="R588" s="107">
        <f t="shared" si="310"/>
        <v>0</v>
      </c>
      <c r="S588" s="110">
        <f t="shared" si="311"/>
        <v>1292.6999999999998</v>
      </c>
      <c r="T588" s="135">
        <f t="shared" si="312"/>
        <v>0.21494360902255627</v>
      </c>
      <c r="U588" s="135">
        <f t="shared" si="313"/>
        <v>7.0000000000000132E-2</v>
      </c>
      <c r="V588" s="135">
        <f t="shared" si="314"/>
        <v>0.3063909774436091</v>
      </c>
      <c r="W588" s="117">
        <f t="shared" si="320"/>
        <v>1390</v>
      </c>
      <c r="X588" s="114">
        <f>IFERROR((VLOOKUP($A588,'ИЗ ГУГЛА'!$B:$G,X$1,0)+Z588)*Y588,VLOOKUP($A588,'ИЗ ГУГЛА'!$B:$G,X$1,0))</f>
        <v>1390</v>
      </c>
      <c r="Y588" s="46">
        <v>1</v>
      </c>
      <c r="Z588" s="46"/>
      <c r="AA588" s="138">
        <v>1390</v>
      </c>
      <c r="AB588" s="124" t="s">
        <v>2503</v>
      </c>
      <c r="AC588" s="114" t="str">
        <f>IFERROR((VLOOKUP($A588,'ИЗ ГУГЛА'!$B:$Z,AC$1,0)+AE588)*AD588,VLOOKUP($A588,'ИЗ ГУГЛА'!$B:$Z,AC$1,0))</f>
        <v/>
      </c>
      <c r="AD588" s="46">
        <v>1</v>
      </c>
      <c r="AE588" s="46"/>
      <c r="AF588" s="115"/>
    </row>
    <row r="589" spans="1:33" s="5" customFormat="1" ht="45.75" thickTop="1" x14ac:dyDescent="0.25">
      <c r="A589" s="132">
        <v>226007</v>
      </c>
      <c r="B589" s="132">
        <f>VLOOKUP($A589,'Выгр Кат'!$A:$S,B$1,0)</f>
        <v>20426</v>
      </c>
      <c r="C589" s="133" t="str">
        <f>VLOOKUP($A589,'Выгр Кат'!$A:$S,C$1,0)</f>
        <v>Шланг соединительный  "БРТ" наливной горловины топливного бака (Евро-3) для Лада Нива 4х4</v>
      </c>
      <c r="D589" s="132" t="str">
        <f>VLOOKUP($A589,'Выгр Кат'!$A:$S,D$1,0)</f>
        <v>Y</v>
      </c>
      <c r="E589" s="132" t="str">
        <f>VLOOKUP($A589,'Выгр Кат'!$A:$S,E$1,0)</f>
        <v>1</v>
      </c>
      <c r="F589" s="132" t="str">
        <f>VLOOKUP($A589,'Выгр Кат'!$A:$S,F$1,0)</f>
        <v>21214-1101080-30РП.</v>
      </c>
      <c r="G589" s="45" t="s">
        <v>1821</v>
      </c>
      <c r="H589" s="29" t="s">
        <v>1821</v>
      </c>
      <c r="I589" s="4" t="s">
        <v>2</v>
      </c>
      <c r="J589" s="95">
        <v>1</v>
      </c>
      <c r="K589" s="168">
        <f t="shared" si="315"/>
        <v>970</v>
      </c>
      <c r="L589" s="167">
        <f>VLOOKUP(K589,Наценка!$A$1:$B$8,2,1)</f>
        <v>1.3978494623655915</v>
      </c>
      <c r="M589" s="172">
        <f t="shared" si="317"/>
        <v>1355.9139784946237</v>
      </c>
      <c r="N589" s="173">
        <f t="shared" si="308"/>
        <v>1390</v>
      </c>
      <c r="O589" s="134">
        <f>VLOOKUP($A589,'Выгр Кат'!$A:$S,O$1,0)</f>
        <v>970</v>
      </c>
      <c r="P589" s="134">
        <f>VLOOKUP($A589,'Выгр Кат'!$A:$S,P$1,0)</f>
        <v>1390</v>
      </c>
      <c r="Q589" s="107">
        <f t="shared" si="309"/>
        <v>0</v>
      </c>
      <c r="R589" s="107">
        <f t="shared" si="310"/>
        <v>0</v>
      </c>
      <c r="S589" s="110">
        <f t="shared" si="311"/>
        <v>1292.6999999999998</v>
      </c>
      <c r="T589" s="135">
        <f t="shared" si="312"/>
        <v>0.33268041237113377</v>
      </c>
      <c r="U589" s="135" t="str">
        <f t="shared" si="313"/>
        <v/>
      </c>
      <c r="V589" s="135" t="str">
        <f t="shared" si="314"/>
        <v/>
      </c>
      <c r="W589" s="45"/>
      <c r="X589" s="114" t="str">
        <f>IFERROR((VLOOKUP($A589,'ИЗ ГУГЛА'!$B:$G,X$1,0)+Z589)*Y589,VLOOKUP($A589,'ИЗ ГУГЛА'!$B:$G,X$1,0))</f>
        <v/>
      </c>
      <c r="Y589" s="108">
        <v>1</v>
      </c>
      <c r="Z589" s="46"/>
      <c r="AA589" s="139" t="s">
        <v>1821</v>
      </c>
      <c r="AB589" s="124"/>
      <c r="AC589" s="114" t="str">
        <f>IFERROR((VLOOKUP($A589,'ИЗ ГУГЛА'!$B:$Z,AC$1,0)+AE589)*AD589,VLOOKUP($A589,'ИЗ ГУГЛА'!$B:$Z,AC$1,0))</f>
        <v/>
      </c>
      <c r="AD589" s="108">
        <v>1</v>
      </c>
      <c r="AE589" s="46"/>
      <c r="AF589" s="115"/>
    </row>
    <row r="590" spans="1:33" s="5" customFormat="1" ht="30.75" thickBot="1" x14ac:dyDescent="0.3">
      <c r="A590" s="132">
        <v>186597</v>
      </c>
      <c r="B590" s="132">
        <f>VLOOKUP($A590,'Выгр Кат'!$A:$S,B$1,0)</f>
        <v>35436</v>
      </c>
      <c r="C590" s="133" t="str">
        <f>VLOOKUP($A590,'Выгр Кат'!$A:$S,C$1,0)</f>
        <v>Патрубок "БРТ" фильтра воздушного к дросселю для Шевроле Нива</v>
      </c>
      <c r="D590" s="132" t="str">
        <f>VLOOKUP($A590,'Выгр Кат'!$A:$S,D$1,0)</f>
        <v>Y</v>
      </c>
      <c r="E590" s="132" t="str">
        <f>VLOOKUP($A590,'Выгр Кат'!$A:$S,E$1,0)</f>
        <v>1</v>
      </c>
      <c r="F590" s="132" t="str">
        <f>VLOOKUP($A590,'Выгр Кат'!$A:$S,F$1,0)</f>
        <v>2123-1148034Р</v>
      </c>
      <c r="G590" s="44" t="s">
        <v>485</v>
      </c>
      <c r="H590" s="29"/>
      <c r="I590" s="4" t="s">
        <v>2</v>
      </c>
      <c r="J590" s="95">
        <v>1</v>
      </c>
      <c r="K590" s="168">
        <f t="shared" si="315"/>
        <v>1096</v>
      </c>
      <c r="L590" s="167">
        <f>VLOOKUP(K590,Наценка!$A$1:$B$8,2,1)</f>
        <v>1.2903225806451613</v>
      </c>
      <c r="M590" s="172">
        <f t="shared" si="317"/>
        <v>1414.1935483870968</v>
      </c>
      <c r="N590" s="173">
        <f t="shared" si="308"/>
        <v>1490</v>
      </c>
      <c r="O590" s="134">
        <f>VLOOKUP($A590,'Выгр Кат'!$A:$S,O$1,0)</f>
        <v>1096</v>
      </c>
      <c r="P590" s="134">
        <f>VLOOKUP($A590,'Выгр Кат'!$A:$S,P$1,0)</f>
        <v>1490</v>
      </c>
      <c r="Q590" s="107">
        <f t="shared" si="309"/>
        <v>0</v>
      </c>
      <c r="R590" s="107">
        <f t="shared" si="310"/>
        <v>0</v>
      </c>
      <c r="S590" s="110">
        <f t="shared" si="311"/>
        <v>1385.6999999999998</v>
      </c>
      <c r="T590" s="135">
        <f t="shared" si="312"/>
        <v>0.26432481751824799</v>
      </c>
      <c r="U590" s="135">
        <f t="shared" si="313"/>
        <v>-0.75405063291139218</v>
      </c>
      <c r="V590" s="135">
        <f t="shared" si="314"/>
        <v>-0.27919708029197077</v>
      </c>
      <c r="W590" s="117">
        <f t="shared" ref="W590:W604" si="321">AA590</f>
        <v>790</v>
      </c>
      <c r="X590" s="114">
        <f>IFERROR((VLOOKUP($A590,'ИЗ ГУГЛА'!$B:$G,X$1,0)+Z590)*Y590,VLOOKUP($A590,'ИЗ ГУГЛА'!$B:$G,X$1,0))</f>
        <v>790</v>
      </c>
      <c r="Y590" s="108">
        <v>1</v>
      </c>
      <c r="Z590" s="46"/>
      <c r="AA590" s="136">
        <v>790</v>
      </c>
      <c r="AB590" s="124" t="s">
        <v>2536</v>
      </c>
      <c r="AC590" s="114" t="str">
        <f>IFERROR((VLOOKUP($A590,'ИЗ ГУГЛА'!$B:$Z,AC$1,0)+AE590)*AD590,VLOOKUP($A590,'ИЗ ГУГЛА'!$B:$Z,AC$1,0))</f>
        <v/>
      </c>
      <c r="AD590" s="108">
        <v>1</v>
      </c>
      <c r="AE590" s="46"/>
      <c r="AF590" s="115"/>
    </row>
    <row r="591" spans="1:33" s="5" customFormat="1" ht="31.5" thickTop="1" thickBot="1" x14ac:dyDescent="0.3">
      <c r="A591" s="132">
        <v>223225</v>
      </c>
      <c r="B591" s="132">
        <f>VLOOKUP($A591,'Выгр Кат'!$A:$S,B$1,0)</f>
        <v>5952</v>
      </c>
      <c r="C591" s="133" t="str">
        <f>VLOOKUP($A591,'Выгр Кат'!$A:$S,C$1,0)</f>
        <v>Уплотнитель "БРТ" окна боковины левый для ВАЗ 2108, 2113</v>
      </c>
      <c r="D591" s="132" t="str">
        <f>VLOOKUP($A591,'Выгр Кат'!$A:$S,D$1,0)</f>
        <v>Y</v>
      </c>
      <c r="E591" s="132" t="str">
        <f>VLOOKUP($A591,'Выгр Кат'!$A:$S,E$1,0)</f>
        <v>1</v>
      </c>
      <c r="F591" s="132" t="str">
        <f>VLOOKUP($A591,'Выгр Кат'!$A:$S,F$1,0)</f>
        <v>21080-5403122-01P</v>
      </c>
      <c r="G591" s="42" t="s">
        <v>780</v>
      </c>
      <c r="H591" s="29"/>
      <c r="I591" s="4" t="s">
        <v>2</v>
      </c>
      <c r="J591" s="105">
        <v>0.5</v>
      </c>
      <c r="K591" s="168">
        <f t="shared" si="315"/>
        <v>550</v>
      </c>
      <c r="L591" s="167">
        <f>VLOOKUP(K591,Наценка!$A$1:$B$8,2,1)</f>
        <v>1.3978494623655915</v>
      </c>
      <c r="M591" s="145">
        <f t="shared" ref="M591:M594" si="322">W591*1</f>
        <v>1430</v>
      </c>
      <c r="N591" s="173">
        <f t="shared" si="308"/>
        <v>1490</v>
      </c>
      <c r="O591" s="134">
        <f>VLOOKUP($A591,'Выгр Кат'!$A:$S,O$1,0)</f>
        <v>550</v>
      </c>
      <c r="P591" s="134">
        <f>VLOOKUP($A591,'Выгр Кат'!$A:$S,P$1,0)</f>
        <v>2390</v>
      </c>
      <c r="Q591" s="107">
        <f t="shared" si="309"/>
        <v>0</v>
      </c>
      <c r="R591" s="107">
        <f t="shared" si="310"/>
        <v>900</v>
      </c>
      <c r="S591" s="110">
        <f t="shared" si="311"/>
        <v>1385.6999999999998</v>
      </c>
      <c r="T591" s="135">
        <f t="shared" si="312"/>
        <v>1.5194545454545452</v>
      </c>
      <c r="U591" s="135">
        <f t="shared" si="313"/>
        <v>3.0979020979021107E-2</v>
      </c>
      <c r="V591" s="135">
        <f t="shared" si="314"/>
        <v>1.6</v>
      </c>
      <c r="W591" s="118">
        <f>AF591</f>
        <v>1430</v>
      </c>
      <c r="X591" s="114">
        <f>IFERROR((VLOOKUP($A591,'ИЗ ГУГЛА'!$B:$G,X$1,0)+Z591)*Y591,VLOOKUP($A591,'ИЗ ГУГЛА'!$B:$G,X$1,0))</f>
        <v>2290</v>
      </c>
      <c r="Y591" s="46">
        <v>1</v>
      </c>
      <c r="Z591" s="46"/>
      <c r="AA591" s="138" t="s">
        <v>3026</v>
      </c>
      <c r="AB591" s="124" t="s">
        <v>2282</v>
      </c>
      <c r="AC591" s="114" t="str">
        <f>IFERROR((VLOOKUP($A591,'ИЗ ГУГЛА'!$B:$Z,AC$1,0)+AE591)*AD591,VLOOKUP($A591,'ИЗ ГУГЛА'!$B:$Z,AC$1,0))</f>
        <v/>
      </c>
      <c r="AD591" s="46">
        <v>1</v>
      </c>
      <c r="AE591" s="46"/>
      <c r="AF591" s="115">
        <v>1430</v>
      </c>
      <c r="AG591" s="5" t="s">
        <v>3028</v>
      </c>
    </row>
    <row r="592" spans="1:33" s="5" customFormat="1" ht="31.5" thickTop="1" thickBot="1" x14ac:dyDescent="0.3">
      <c r="A592" s="132">
        <v>223226</v>
      </c>
      <c r="B592" s="132">
        <f>VLOOKUP($A592,'Выгр Кат'!$A:$S,B$1,0)</f>
        <v>5950</v>
      </c>
      <c r="C592" s="133" t="str">
        <f>VLOOKUP($A592,'Выгр Кат'!$A:$S,C$1,0)</f>
        <v>Уплотнитель "БРТ" окна боковины правый для ВАЗ 2108, 2113</v>
      </c>
      <c r="D592" s="132" t="str">
        <f>VLOOKUP($A592,'Выгр Кат'!$A:$S,D$1,0)</f>
        <v>Y</v>
      </c>
      <c r="E592" s="132" t="str">
        <f>VLOOKUP($A592,'Выгр Кат'!$A:$S,E$1,0)</f>
        <v>1</v>
      </c>
      <c r="F592" s="132" t="str">
        <f>VLOOKUP($A592,'Выгр Кат'!$A:$S,F$1,0)</f>
        <v>21080-5403122-01</v>
      </c>
      <c r="G592" s="42" t="s">
        <v>780</v>
      </c>
      <c r="H592" s="29"/>
      <c r="I592" s="4" t="s">
        <v>2</v>
      </c>
      <c r="J592" s="105">
        <v>0.5</v>
      </c>
      <c r="K592" s="168">
        <f t="shared" si="315"/>
        <v>550</v>
      </c>
      <c r="L592" s="167">
        <f>VLOOKUP(K592,Наценка!$A$1:$B$8,2,1)</f>
        <v>1.3978494623655915</v>
      </c>
      <c r="M592" s="145">
        <f t="shared" si="322"/>
        <v>1375</v>
      </c>
      <c r="N592" s="173">
        <f t="shared" si="308"/>
        <v>1390</v>
      </c>
      <c r="O592" s="134">
        <f>VLOOKUP($A592,'Выгр Кат'!$A:$S,O$1,0)</f>
        <v>550</v>
      </c>
      <c r="P592" s="134">
        <f>VLOOKUP($A592,'Выгр Кат'!$A:$S,P$1,0)</f>
        <v>2390</v>
      </c>
      <c r="Q592" s="107">
        <f t="shared" si="309"/>
        <v>0</v>
      </c>
      <c r="R592" s="107">
        <f t="shared" si="310"/>
        <v>1000</v>
      </c>
      <c r="S592" s="110">
        <f t="shared" si="311"/>
        <v>1292.6999999999998</v>
      </c>
      <c r="T592" s="135">
        <f t="shared" si="312"/>
        <v>1.3503636363636362</v>
      </c>
      <c r="U592" s="135">
        <f t="shared" si="313"/>
        <v>5.9854545454545584E-2</v>
      </c>
      <c r="V592" s="135">
        <f t="shared" si="314"/>
        <v>1.5</v>
      </c>
      <c r="W592" s="118">
        <f>AF592</f>
        <v>1375</v>
      </c>
      <c r="X592" s="114">
        <f>IFERROR((VLOOKUP($A592,'ИЗ ГУГЛА'!$B:$G,X$1,0)+Z592)*Y592,VLOOKUP($A592,'ИЗ ГУГЛА'!$B:$G,X$1,0))</f>
        <v>2290</v>
      </c>
      <c r="Y592" s="46">
        <v>1</v>
      </c>
      <c r="Z592" s="46"/>
      <c r="AA592" s="138" t="s">
        <v>3026</v>
      </c>
      <c r="AB592" s="124" t="s">
        <v>2281</v>
      </c>
      <c r="AC592" s="114" t="str">
        <f>IFERROR((VLOOKUP($A592,'ИЗ ГУГЛА'!$B:$Z,AC$1,0)+AE592)*AD592,VLOOKUP($A592,'ИЗ ГУГЛА'!$B:$Z,AC$1,0))</f>
        <v/>
      </c>
      <c r="AD592" s="46">
        <v>1</v>
      </c>
      <c r="AE592" s="46"/>
      <c r="AF592" s="115">
        <v>1375</v>
      </c>
      <c r="AG592" s="5" t="s">
        <v>3027</v>
      </c>
    </row>
    <row r="593" spans="1:33" s="5" customFormat="1" ht="31.5" thickTop="1" thickBot="1" x14ac:dyDescent="0.3">
      <c r="A593" s="132">
        <v>223224</v>
      </c>
      <c r="B593" s="132">
        <f>VLOOKUP($A593,'Выгр Кат'!$A:$S,B$1,0)</f>
        <v>5591</v>
      </c>
      <c r="C593" s="133" t="str">
        <f>VLOOKUP($A593,'Выгр Кат'!$A:$S,C$1,0)</f>
        <v>Уплотнитель "БРТ" на окно боковины левый для ВАЗ 2108</v>
      </c>
      <c r="D593" s="132" t="str">
        <f>VLOOKUP($A593,'Выгр Кат'!$A:$S,D$1,0)</f>
        <v>Y</v>
      </c>
      <c r="E593" s="132" t="str">
        <f>VLOOKUP($A593,'Выгр Кат'!$A:$S,E$1,0)</f>
        <v>1</v>
      </c>
      <c r="F593" s="132" t="str">
        <f>VLOOKUP($A593,'Выгр Кат'!$A:$S,F$1,0)</f>
        <v>21080-5403122-01P</v>
      </c>
      <c r="G593" s="42" t="s">
        <v>780</v>
      </c>
      <c r="H593" s="29"/>
      <c r="I593" s="4" t="s">
        <v>2</v>
      </c>
      <c r="J593" s="105">
        <v>0.5</v>
      </c>
      <c r="K593" s="168">
        <v>550</v>
      </c>
      <c r="L593" s="167">
        <f>VLOOKUP(K593,Наценка!$A$1:$B$8,2,1)</f>
        <v>1.3978494623655915</v>
      </c>
      <c r="M593" s="145">
        <f t="shared" si="322"/>
        <v>1430</v>
      </c>
      <c r="N593" s="173">
        <f t="shared" si="308"/>
        <v>1490</v>
      </c>
      <c r="O593" s="134">
        <f>VLOOKUP($A593,'Выгр Кат'!$A:$S,O$1,0)</f>
        <v>1100</v>
      </c>
      <c r="P593" s="134">
        <f>VLOOKUP($A593,'Выгр Кат'!$A:$S,P$1,0)</f>
        <v>2390</v>
      </c>
      <c r="Q593" s="107">
        <f t="shared" si="309"/>
        <v>550</v>
      </c>
      <c r="R593" s="107">
        <f t="shared" si="310"/>
        <v>900</v>
      </c>
      <c r="S593" s="110">
        <f t="shared" si="311"/>
        <v>1385.6999999999998</v>
      </c>
      <c r="T593" s="135">
        <f t="shared" si="312"/>
        <v>1.5194545454545452</v>
      </c>
      <c r="U593" s="135">
        <f t="shared" si="313"/>
        <v>3.0979020979021107E-2</v>
      </c>
      <c r="V593" s="135">
        <f t="shared" si="314"/>
        <v>1.6</v>
      </c>
      <c r="W593" s="118">
        <f>AF593</f>
        <v>1430</v>
      </c>
      <c r="X593" s="114">
        <f>IFERROR((VLOOKUP($A593,'ИЗ ГУГЛА'!$B:$G,X$1,0)+Z593)*Y593,VLOOKUP($A593,'ИЗ ГУГЛА'!$B:$G,X$1,0))</f>
        <v>2290</v>
      </c>
      <c r="Y593" s="46">
        <v>1</v>
      </c>
      <c r="Z593" s="46"/>
      <c r="AA593" s="138" t="s">
        <v>3026</v>
      </c>
      <c r="AB593" s="124" t="s">
        <v>2282</v>
      </c>
      <c r="AC593" s="114" t="str">
        <f>IFERROR((VLOOKUP($A593,'ИЗ ГУГЛА'!$B:$Z,AC$1,0)+AE593)*AD593,VLOOKUP($A593,'ИЗ ГУГЛА'!$B:$Z,AC$1,0))</f>
        <v/>
      </c>
      <c r="AD593" s="46">
        <v>1</v>
      </c>
      <c r="AE593" s="46"/>
      <c r="AF593" s="115">
        <v>1430</v>
      </c>
      <c r="AG593" s="5" t="s">
        <v>3028</v>
      </c>
    </row>
    <row r="594" spans="1:33" s="5" customFormat="1" ht="31.5" thickTop="1" thickBot="1" x14ac:dyDescent="0.3">
      <c r="A594" s="132">
        <v>223279</v>
      </c>
      <c r="B594" s="132">
        <f>VLOOKUP($A594,'Выгр Кат'!$A:$S,B$1,0)</f>
        <v>5587</v>
      </c>
      <c r="C594" s="133" t="str">
        <f>VLOOKUP($A594,'Выгр Кат'!$A:$S,C$1,0)</f>
        <v>Уплотнитель окна боковины правый для ВАЗ 2108</v>
      </c>
      <c r="D594" s="132" t="str">
        <f>VLOOKUP($A594,'Выгр Кат'!$A:$S,D$1,0)</f>
        <v>Y</v>
      </c>
      <c r="E594" s="132" t="str">
        <f>VLOOKUP($A594,'Выгр Кат'!$A:$S,E$1,0)</f>
        <v>1</v>
      </c>
      <c r="F594" s="132" t="str">
        <f>VLOOKUP($A594,'Выгр Кат'!$A:$S,F$1,0)</f>
        <v>21080-5403122-01</v>
      </c>
      <c r="G594" s="42" t="s">
        <v>780</v>
      </c>
      <c r="H594" s="29"/>
      <c r="I594" s="4" t="s">
        <v>2</v>
      </c>
      <c r="J594" s="105">
        <v>0.5</v>
      </c>
      <c r="K594" s="168">
        <v>550</v>
      </c>
      <c r="L594" s="167">
        <f>VLOOKUP(K594,Наценка!$A$1:$B$8,2,1)</f>
        <v>1.3978494623655915</v>
      </c>
      <c r="M594" s="145">
        <f t="shared" si="322"/>
        <v>1375</v>
      </c>
      <c r="N594" s="173">
        <f t="shared" si="308"/>
        <v>1390</v>
      </c>
      <c r="O594" s="134">
        <f>VLOOKUP($A594,'Выгр Кат'!$A:$S,O$1,0)</f>
        <v>1100</v>
      </c>
      <c r="P594" s="134">
        <f>VLOOKUP($A594,'Выгр Кат'!$A:$S,P$1,0)</f>
        <v>2390</v>
      </c>
      <c r="Q594" s="107">
        <f t="shared" si="309"/>
        <v>550</v>
      </c>
      <c r="R594" s="107">
        <f t="shared" si="310"/>
        <v>1000</v>
      </c>
      <c r="S594" s="110">
        <f t="shared" si="311"/>
        <v>1292.6999999999998</v>
      </c>
      <c r="T594" s="135">
        <f t="shared" si="312"/>
        <v>1.3503636363636362</v>
      </c>
      <c r="U594" s="135">
        <f t="shared" si="313"/>
        <v>5.9854545454545584E-2</v>
      </c>
      <c r="V594" s="135">
        <f t="shared" si="314"/>
        <v>1.5</v>
      </c>
      <c r="W594" s="118">
        <f>AF594</f>
        <v>1375</v>
      </c>
      <c r="X594" s="114">
        <f>IFERROR((VLOOKUP($A594,'ИЗ ГУГЛА'!$B:$G,X$1,0)+Z594)*Y594,VLOOKUP($A594,'ИЗ ГУГЛА'!$B:$G,X$1,0))</f>
        <v>2290</v>
      </c>
      <c r="Y594" s="46">
        <v>1</v>
      </c>
      <c r="Z594" s="46"/>
      <c r="AA594" s="138" t="s">
        <v>3026</v>
      </c>
      <c r="AB594" s="124" t="s">
        <v>2281</v>
      </c>
      <c r="AC594" s="114" t="str">
        <f>IFERROR((VLOOKUP($A594,'ИЗ ГУГЛА'!$B:$Z,AC$1,0)+AE594)*AD594,VLOOKUP($A594,'ИЗ ГУГЛА'!$B:$Z,AC$1,0))</f>
        <v/>
      </c>
      <c r="AD594" s="46">
        <v>1</v>
      </c>
      <c r="AE594" s="46"/>
      <c r="AF594" s="115">
        <v>1375</v>
      </c>
      <c r="AG594" s="5" t="s">
        <v>3027</v>
      </c>
    </row>
    <row r="595" spans="1:33" s="5" customFormat="1" ht="31.5" thickTop="1" thickBot="1" x14ac:dyDescent="0.3">
      <c r="A595" s="132">
        <v>204215</v>
      </c>
      <c r="B595" s="132">
        <f>VLOOKUP($A595,'Выгр Кат'!$A:$S,B$1,0)</f>
        <v>20373</v>
      </c>
      <c r="C595" s="133" t="str">
        <f>VLOOKUP($A595,'Выгр Кат'!$A:$S,C$1,0)</f>
        <v>Ремень генератора поликлиновой "БРТ" для Шевроле Нива</v>
      </c>
      <c r="D595" s="132" t="str">
        <f>VLOOKUP($A595,'Выгр Кат'!$A:$S,D$1,0)</f>
        <v>Y</v>
      </c>
      <c r="E595" s="132" t="str">
        <f>VLOOKUP($A595,'Выгр Кат'!$A:$S,E$1,0)</f>
        <v>1</v>
      </c>
      <c r="F595" s="132" t="str">
        <f>VLOOKUP($A595,'Выгр Кат'!$A:$S,F$1,0)</f>
        <v>2123-1041020-30РУ</v>
      </c>
      <c r="G595" s="45" t="s">
        <v>482</v>
      </c>
      <c r="H595" s="29"/>
      <c r="I595" s="4" t="s">
        <v>2</v>
      </c>
      <c r="J595" s="95">
        <v>1</v>
      </c>
      <c r="K595" s="168">
        <f t="shared" si="315"/>
        <v>1065</v>
      </c>
      <c r="L595" s="167">
        <f>VLOOKUP(K595,Наценка!$A$1:$B$8,2,1)</f>
        <v>1.2903225806451613</v>
      </c>
      <c r="M595" s="147">
        <f t="shared" ref="M591:M595" si="323">W595*1.04</f>
        <v>2485.6</v>
      </c>
      <c r="N595" s="173">
        <f t="shared" si="308"/>
        <v>2490</v>
      </c>
      <c r="O595" s="134">
        <f>VLOOKUP($A595,'Выгр Кат'!$A:$S,O$1,0)</f>
        <v>1065</v>
      </c>
      <c r="P595" s="134">
        <f>VLOOKUP($A595,'Выгр Кат'!$A:$S,P$1,0)</f>
        <v>2490</v>
      </c>
      <c r="Q595" s="107">
        <f t="shared" si="309"/>
        <v>0</v>
      </c>
      <c r="R595" s="107">
        <f t="shared" si="310"/>
        <v>0</v>
      </c>
      <c r="S595" s="110">
        <f t="shared" si="311"/>
        <v>2315.6999999999998</v>
      </c>
      <c r="T595" s="135">
        <f t="shared" si="312"/>
        <v>1.1743661971830983</v>
      </c>
      <c r="U595" s="135">
        <f t="shared" si="313"/>
        <v>3.1087866108786687E-2</v>
      </c>
      <c r="V595" s="135">
        <f t="shared" si="314"/>
        <v>1.244131455399061</v>
      </c>
      <c r="W595" s="117">
        <f t="shared" si="321"/>
        <v>2390</v>
      </c>
      <c r="X595" s="114">
        <f>IFERROR((VLOOKUP($A595,'ИЗ ГУГЛА'!$B:$G,X$1,0)+Z595)*Y595,VLOOKUP($A595,'ИЗ ГУГЛА'!$B:$G,X$1,0))</f>
        <v>2390</v>
      </c>
      <c r="Y595" s="46">
        <v>1</v>
      </c>
      <c r="Z595" s="46"/>
      <c r="AA595" s="138">
        <v>2390</v>
      </c>
      <c r="AB595" s="124" t="s">
        <v>2502</v>
      </c>
      <c r="AC595" s="114" t="str">
        <f>IFERROR((VLOOKUP($A595,'ИЗ ГУГЛА'!$B:$Z,AC$1,0)+AE595)*AD595,VLOOKUP($A595,'ИЗ ГУГЛА'!$B:$Z,AC$1,0))</f>
        <v/>
      </c>
      <c r="AD595" s="46">
        <v>1</v>
      </c>
      <c r="AE595" s="46"/>
      <c r="AF595" s="115"/>
    </row>
    <row r="596" spans="1:33" s="5" customFormat="1" ht="31.5" thickTop="1" thickBot="1" x14ac:dyDescent="0.3">
      <c r="A596" s="132">
        <v>194595</v>
      </c>
      <c r="B596" s="132">
        <f>VLOOKUP($A596,'Выгр Кат'!$A:$S,B$1,0)</f>
        <v>35471</v>
      </c>
      <c r="C596" s="133" t="str">
        <f>VLOOKUP($A596,'Выгр Кат'!$A:$S,C$1,0)</f>
        <v>Подушка двигателя "БРТ" боковая (правая, без резьбы) для Лада Калина</v>
      </c>
      <c r="D596" s="132" t="str">
        <f>VLOOKUP($A596,'Выгр Кат'!$A:$S,D$1,0)</f>
        <v>Y</v>
      </c>
      <c r="E596" s="132" t="str">
        <f>VLOOKUP($A596,'Выгр Кат'!$A:$S,E$1,0)</f>
        <v>1</v>
      </c>
      <c r="F596" s="132" t="str">
        <f>VLOOKUP($A596,'Выгр Кат'!$A:$S,F$1,0)</f>
        <v>1118-1001089-10РУ</v>
      </c>
      <c r="G596" s="44" t="s">
        <v>213</v>
      </c>
      <c r="H596" s="29"/>
      <c r="I596" s="4" t="s">
        <v>2</v>
      </c>
      <c r="J596" s="95">
        <v>1</v>
      </c>
      <c r="K596" s="168">
        <f t="shared" si="315"/>
        <v>1106</v>
      </c>
      <c r="L596" s="167">
        <f>VLOOKUP(K596,Наценка!$A$1:$B$8,2,1)</f>
        <v>1.2903225806451613</v>
      </c>
      <c r="M596" s="148">
        <f t="shared" ref="M591:M602" si="324">W596*1.06</f>
        <v>1897.4</v>
      </c>
      <c r="N596" s="173">
        <f t="shared" si="308"/>
        <v>1890</v>
      </c>
      <c r="O596" s="134">
        <f>VLOOKUP($A596,'Выгр Кат'!$A:$S,O$1,0)</f>
        <v>1106</v>
      </c>
      <c r="P596" s="134">
        <f>VLOOKUP($A596,'Выгр Кат'!$A:$S,P$1,0)</f>
        <v>1890</v>
      </c>
      <c r="Q596" s="107">
        <f t="shared" si="309"/>
        <v>0</v>
      </c>
      <c r="R596" s="107">
        <f t="shared" si="310"/>
        <v>0</v>
      </c>
      <c r="S596" s="110">
        <f t="shared" si="311"/>
        <v>1757.6999999999998</v>
      </c>
      <c r="T596" s="135">
        <f t="shared" si="312"/>
        <v>0.58924050632911373</v>
      </c>
      <c r="U596" s="135">
        <f t="shared" si="313"/>
        <v>1.8044692737430271E-2</v>
      </c>
      <c r="V596" s="135">
        <f t="shared" si="314"/>
        <v>0.61844484629294749</v>
      </c>
      <c r="W596" s="117">
        <f t="shared" si="321"/>
        <v>1790</v>
      </c>
      <c r="X596" s="114">
        <f>IFERROR((VLOOKUP($A596,'ИЗ ГУГЛА'!$B:$G,X$1,0)+Z596)*Y596,VLOOKUP($A596,'ИЗ ГУГЛА'!$B:$G,X$1,0))</f>
        <v>1790</v>
      </c>
      <c r="Y596" s="46">
        <v>1</v>
      </c>
      <c r="Z596" s="46"/>
      <c r="AA596" s="138">
        <v>1790</v>
      </c>
      <c r="AB596" s="124" t="s">
        <v>2496</v>
      </c>
      <c r="AC596" s="114" t="str">
        <f>IFERROR((VLOOKUP($A596,'ИЗ ГУГЛА'!$B:$Z,AC$1,0)+AE596)*AD596,VLOOKUP($A596,'ИЗ ГУГЛА'!$B:$Z,AC$1,0))</f>
        <v/>
      </c>
      <c r="AD596" s="46">
        <v>1</v>
      </c>
      <c r="AE596" s="46"/>
      <c r="AF596" s="115"/>
    </row>
    <row r="597" spans="1:33" s="5" customFormat="1" ht="46.5" thickTop="1" thickBot="1" x14ac:dyDescent="0.3">
      <c r="A597" s="132">
        <v>204414</v>
      </c>
      <c r="B597" s="132">
        <f>VLOOKUP($A597,'Выгр Кат'!$A:$S,B$1,0)</f>
        <v>35486</v>
      </c>
      <c r="C597" s="133" t="str">
        <f>VLOOKUP($A597,'Выгр Кат'!$A:$S,C$1,0)</f>
        <v>Уплотнители (бархотки) "БРТ" опускного стекла С/О для ВАЗ 2108, 2113</v>
      </c>
      <c r="D597" s="132" t="str">
        <f>VLOOKUP($A597,'Выгр Кат'!$A:$S,D$1,0)</f>
        <v>Y</v>
      </c>
      <c r="E597" s="132" t="str">
        <f>VLOOKUP($A597,'Выгр Кат'!$A:$S,E$1,0)</f>
        <v>1</v>
      </c>
      <c r="F597" s="132" t="str">
        <f>VLOOKUP($A597,'Выгр Кат'!$A:$S,F$1,0)</f>
        <v>2108-6103290Р, 2108-6103291Р, 2108-6103320Р</v>
      </c>
      <c r="G597" s="35" t="s">
        <v>1216</v>
      </c>
      <c r="H597" s="29"/>
      <c r="I597" s="4" t="s">
        <v>2</v>
      </c>
      <c r="J597" s="95">
        <v>1</v>
      </c>
      <c r="K597" s="168">
        <f t="shared" si="315"/>
        <v>1200</v>
      </c>
      <c r="L597" s="167">
        <f>VLOOKUP(K597,Наценка!$A$1:$B$8,2,1)</f>
        <v>1.2903225806451613</v>
      </c>
      <c r="M597" s="148">
        <f t="shared" si="324"/>
        <v>1897.4</v>
      </c>
      <c r="N597" s="173">
        <f t="shared" si="308"/>
        <v>1890</v>
      </c>
      <c r="O597" s="134">
        <f>VLOOKUP($A597,'Выгр Кат'!$A:$S,O$1,0)</f>
        <v>1200</v>
      </c>
      <c r="P597" s="134">
        <f>VLOOKUP($A597,'Выгр Кат'!$A:$S,P$1,0)</f>
        <v>1890</v>
      </c>
      <c r="Q597" s="107">
        <f t="shared" si="309"/>
        <v>0</v>
      </c>
      <c r="R597" s="107">
        <f t="shared" si="310"/>
        <v>0</v>
      </c>
      <c r="S597" s="110">
        <f t="shared" si="311"/>
        <v>1757.6999999999998</v>
      </c>
      <c r="T597" s="135">
        <f t="shared" si="312"/>
        <v>0.46474999999999977</v>
      </c>
      <c r="U597" s="135">
        <f t="shared" si="313"/>
        <v>1.8044692737430271E-2</v>
      </c>
      <c r="V597" s="135">
        <f t="shared" si="314"/>
        <v>0.4916666666666667</v>
      </c>
      <c r="W597" s="117">
        <f t="shared" si="321"/>
        <v>1790</v>
      </c>
      <c r="X597" s="114">
        <f>IFERROR((VLOOKUP($A597,'ИЗ ГУГЛА'!$B:$G,X$1,0)+Z597)*Y597,VLOOKUP($A597,'ИЗ ГУГЛА'!$B:$G,X$1,0))</f>
        <v>1790</v>
      </c>
      <c r="Y597" s="108">
        <v>1</v>
      </c>
      <c r="Z597" s="46"/>
      <c r="AA597" s="136">
        <v>1790</v>
      </c>
      <c r="AB597" s="124" t="s">
        <v>2535</v>
      </c>
      <c r="AC597" s="114" t="str">
        <f>IFERROR((VLOOKUP($A597,'ИЗ ГУГЛА'!$B:$Z,AC$1,0)+AE597)*AD597,VLOOKUP($A597,'ИЗ ГУГЛА'!$B:$Z,AC$1,0))</f>
        <v/>
      </c>
      <c r="AD597" s="108">
        <v>1</v>
      </c>
      <c r="AE597" s="46"/>
      <c r="AF597" s="115"/>
    </row>
    <row r="598" spans="1:33" s="5" customFormat="1" ht="46.5" thickTop="1" thickBot="1" x14ac:dyDescent="0.3">
      <c r="A598" s="132">
        <v>223158</v>
      </c>
      <c r="B598" s="132">
        <f>VLOOKUP($A598,'Выгр Кат'!$A:$S,B$1,0)</f>
        <v>10065</v>
      </c>
      <c r="C598" s="133" t="str">
        <f>VLOOKUP($A598,'Выгр Кат'!$A:$S,C$1,0)</f>
        <v>Уплотнители (бархотки) "БРТ" опускного стекла Н/О для ВАЗ 2108, 2113</v>
      </c>
      <c r="D598" s="132" t="str">
        <f>VLOOKUP($A598,'Выгр Кат'!$A:$S,D$1,0)</f>
        <v>Y</v>
      </c>
      <c r="E598" s="132" t="str">
        <f>VLOOKUP($A598,'Выгр Кат'!$A:$S,E$1,0)</f>
        <v>1</v>
      </c>
      <c r="F598" s="132" t="str">
        <f>VLOOKUP($A598,'Выгр Кат'!$A:$S,F$1,0)</f>
        <v>2108-6103290-10Р, 2108-6103291-10Р, 2108-6103320-10Р</v>
      </c>
      <c r="G598" s="45" t="s">
        <v>1216</v>
      </c>
      <c r="H598" s="29"/>
      <c r="I598" s="4" t="s">
        <v>2</v>
      </c>
      <c r="J598" s="95">
        <v>1</v>
      </c>
      <c r="K598" s="168">
        <f t="shared" si="315"/>
        <v>880</v>
      </c>
      <c r="L598" s="167">
        <f>VLOOKUP(K598,Наценка!$A$1:$B$8,2,1)</f>
        <v>1.3978494623655915</v>
      </c>
      <c r="M598" s="148">
        <f t="shared" si="324"/>
        <v>1897.4</v>
      </c>
      <c r="N598" s="173">
        <f t="shared" si="308"/>
        <v>1890</v>
      </c>
      <c r="O598" s="134">
        <f>VLOOKUP($A598,'Выгр Кат'!$A:$S,O$1,0)</f>
        <v>880</v>
      </c>
      <c r="P598" s="134">
        <f>VLOOKUP($A598,'Выгр Кат'!$A:$S,P$1,0)</f>
        <v>1890</v>
      </c>
      <c r="Q598" s="107">
        <f t="shared" si="309"/>
        <v>0</v>
      </c>
      <c r="R598" s="107">
        <f t="shared" si="310"/>
        <v>0</v>
      </c>
      <c r="S598" s="110">
        <f t="shared" si="311"/>
        <v>1757.6999999999998</v>
      </c>
      <c r="T598" s="135">
        <f t="shared" si="312"/>
        <v>0.99738636363636335</v>
      </c>
      <c r="U598" s="135">
        <f t="shared" si="313"/>
        <v>1.8044692737430271E-2</v>
      </c>
      <c r="V598" s="135">
        <f t="shared" si="314"/>
        <v>1.0340909090909092</v>
      </c>
      <c r="W598" s="117">
        <f t="shared" si="321"/>
        <v>1790</v>
      </c>
      <c r="X598" s="114">
        <f>IFERROR((VLOOKUP($A598,'ИЗ ГУГЛА'!$B:$G,X$1,0)+Z598)*Y598,VLOOKUP($A598,'ИЗ ГУГЛА'!$B:$G,X$1,0))</f>
        <v>1790</v>
      </c>
      <c r="Y598" s="108">
        <v>1</v>
      </c>
      <c r="Z598" s="46"/>
      <c r="AA598" s="136">
        <v>1790</v>
      </c>
      <c r="AB598" s="124" t="s">
        <v>2535</v>
      </c>
      <c r="AC598" s="114" t="str">
        <f>IFERROR((VLOOKUP($A598,'ИЗ ГУГЛА'!$B:$Z,AC$1,0)+AE598)*AD598,VLOOKUP($A598,'ИЗ ГУГЛА'!$B:$Z,AC$1,0))</f>
        <v/>
      </c>
      <c r="AD598" s="108">
        <v>1</v>
      </c>
      <c r="AE598" s="46"/>
      <c r="AF598" s="115"/>
    </row>
    <row r="599" spans="1:33" s="5" customFormat="1" ht="31.5" thickTop="1" thickBot="1" x14ac:dyDescent="0.3">
      <c r="A599" s="132">
        <v>223293</v>
      </c>
      <c r="B599" s="132">
        <f>VLOOKUP($A599,'Выгр Кат'!$A:$S,B$1,0)</f>
        <v>4954</v>
      </c>
      <c r="C599" s="133" t="str">
        <f>VLOOKUP($A599,'Выгр Кат'!$A:$S,C$1,0)</f>
        <v>Уплотнитель стекла боковины для Нива 4x4 (3-х дверная, под майлар)</v>
      </c>
      <c r="D599" s="132" t="str">
        <f>VLOOKUP($A599,'Выгр Кат'!$A:$S,D$1,0)</f>
        <v>Y</v>
      </c>
      <c r="E599" s="132" t="str">
        <f>VLOOKUP($A599,'Выгр Кат'!$A:$S,E$1,0)</f>
        <v>1</v>
      </c>
      <c r="F599" s="132">
        <f>VLOOKUP($A599,'Выгр Кат'!$A:$S,F$1,0)</f>
        <v>0</v>
      </c>
      <c r="G599" s="42" t="s">
        <v>455</v>
      </c>
      <c r="H599" s="29"/>
      <c r="I599" s="4" t="s">
        <v>2</v>
      </c>
      <c r="J599" s="95">
        <v>1</v>
      </c>
      <c r="K599" s="168">
        <f t="shared" si="315"/>
        <v>1128</v>
      </c>
      <c r="L599" s="167">
        <f>VLOOKUP(K599,Наценка!$A$1:$B$8,2,1)</f>
        <v>1.2903225806451613</v>
      </c>
      <c r="M599" s="147">
        <f>W599*1.04</f>
        <v>2797.6</v>
      </c>
      <c r="N599" s="173">
        <f t="shared" si="308"/>
        <v>2790</v>
      </c>
      <c r="O599" s="134">
        <f>VLOOKUP($A599,'Выгр Кат'!$A:$S,O$1,0)</f>
        <v>1128</v>
      </c>
      <c r="P599" s="134">
        <f>VLOOKUP($A599,'Выгр Кат'!$A:$S,P$1,0)</f>
        <v>2790</v>
      </c>
      <c r="Q599" s="107">
        <f t="shared" si="309"/>
        <v>0</v>
      </c>
      <c r="R599" s="107">
        <f t="shared" si="310"/>
        <v>0</v>
      </c>
      <c r="S599" s="110">
        <f t="shared" si="311"/>
        <v>2594.6999999999998</v>
      </c>
      <c r="T599" s="135">
        <f t="shared" si="312"/>
        <v>1.3002659574468085</v>
      </c>
      <c r="U599" s="135">
        <f t="shared" si="313"/>
        <v>3.5427509293680368E-2</v>
      </c>
      <c r="V599" s="135">
        <f t="shared" si="314"/>
        <v>1.3847517730496453</v>
      </c>
      <c r="W599" s="117">
        <f t="shared" si="321"/>
        <v>2690</v>
      </c>
      <c r="X599" s="114">
        <f>IFERROR((VLOOKUP($A599,'ИЗ ГУГЛА'!$B:$G,X$1,0)+Z599)*Y599,VLOOKUP($A599,'ИЗ ГУГЛА'!$B:$G,X$1,0))</f>
        <v>2690</v>
      </c>
      <c r="Y599" s="46">
        <v>1</v>
      </c>
      <c r="Z599" s="46"/>
      <c r="AA599" s="138">
        <v>2690</v>
      </c>
      <c r="AB599" s="124" t="s">
        <v>2500</v>
      </c>
      <c r="AC599" s="114" t="str">
        <f>IFERROR((VLOOKUP($A599,'ИЗ ГУГЛА'!$B:$Z,AC$1,0)+AE599)*AD599,VLOOKUP($A599,'ИЗ ГУГЛА'!$B:$Z,AC$1,0))</f>
        <v/>
      </c>
      <c r="AD599" s="46">
        <v>1</v>
      </c>
      <c r="AE599" s="46"/>
      <c r="AF599" s="115"/>
    </row>
    <row r="600" spans="1:33" s="5" customFormat="1" ht="31.5" thickTop="1" thickBot="1" x14ac:dyDescent="0.3">
      <c r="A600" s="132">
        <v>181597</v>
      </c>
      <c r="B600" s="132">
        <f>VLOOKUP($A600,'Выгр Кат'!$A:$S,B$1,0)</f>
        <v>35468</v>
      </c>
      <c r="C600" s="133" t="str">
        <f>VLOOKUP($A600,'Выгр Кат'!$A:$S,C$1,0)</f>
        <v>Опора двигателя "БРТ" боковая (левая с резьбой) для Лада Калина</v>
      </c>
      <c r="D600" s="132" t="str">
        <f>VLOOKUP($A600,'Выгр Кат'!$A:$S,D$1,0)</f>
        <v>Y</v>
      </c>
      <c r="E600" s="132" t="str">
        <f>VLOOKUP($A600,'Выгр Кат'!$A:$S,E$1,0)</f>
        <v>1</v>
      </c>
      <c r="F600" s="132" t="str">
        <f>VLOOKUP($A600,'Выгр Кат'!$A:$S,F$1,0)</f>
        <v>1118-1001045-10РУ</v>
      </c>
      <c r="G600" s="44" t="s">
        <v>212</v>
      </c>
      <c r="H600" s="29"/>
      <c r="I600" s="4" t="s">
        <v>2</v>
      </c>
      <c r="J600" s="95">
        <v>1</v>
      </c>
      <c r="K600" s="168">
        <f t="shared" si="315"/>
        <v>1130</v>
      </c>
      <c r="L600" s="167">
        <f>VLOOKUP(K600,Наценка!$A$1:$B$8,2,1)</f>
        <v>1.2903225806451613</v>
      </c>
      <c r="M600" s="148">
        <f t="shared" si="324"/>
        <v>1897.4</v>
      </c>
      <c r="N600" s="173">
        <f t="shared" si="308"/>
        <v>1890</v>
      </c>
      <c r="O600" s="134">
        <f>VLOOKUP($A600,'Выгр Кат'!$A:$S,O$1,0)</f>
        <v>1130</v>
      </c>
      <c r="P600" s="134">
        <f>VLOOKUP($A600,'Выгр Кат'!$A:$S,P$1,0)</f>
        <v>1890</v>
      </c>
      <c r="Q600" s="107">
        <f t="shared" si="309"/>
        <v>0</v>
      </c>
      <c r="R600" s="107">
        <f t="shared" si="310"/>
        <v>0</v>
      </c>
      <c r="S600" s="110">
        <f t="shared" si="311"/>
        <v>1757.6999999999998</v>
      </c>
      <c r="T600" s="135">
        <f t="shared" si="312"/>
        <v>0.5554867256637166</v>
      </c>
      <c r="U600" s="135">
        <f t="shared" si="313"/>
        <v>1.8044692737430271E-2</v>
      </c>
      <c r="V600" s="135">
        <f t="shared" si="314"/>
        <v>0.58407079646017701</v>
      </c>
      <c r="W600" s="117">
        <f t="shared" si="321"/>
        <v>1790</v>
      </c>
      <c r="X600" s="114">
        <f>IFERROR((VLOOKUP($A600,'ИЗ ГУГЛА'!$B:$G,X$1,0)+Z600)*Y600,VLOOKUP($A600,'ИЗ ГУГЛА'!$B:$G,X$1,0))</f>
        <v>1790</v>
      </c>
      <c r="Y600" s="46">
        <v>1</v>
      </c>
      <c r="Z600" s="46"/>
      <c r="AA600" s="138">
        <v>1790</v>
      </c>
      <c r="AB600" s="124" t="s">
        <v>2275</v>
      </c>
      <c r="AC600" s="114" t="str">
        <f>IFERROR((VLOOKUP($A600,'ИЗ ГУГЛА'!$B:$Z,AC$1,0)+AE600)*AD600,VLOOKUP($A600,'ИЗ ГУГЛА'!$B:$Z,AC$1,0))</f>
        <v/>
      </c>
      <c r="AD600" s="46">
        <v>1</v>
      </c>
      <c r="AE600" s="46"/>
      <c r="AF600" s="115"/>
    </row>
    <row r="601" spans="1:33" s="5" customFormat="1" ht="46.5" thickTop="1" thickBot="1" x14ac:dyDescent="0.3">
      <c r="A601" s="132">
        <v>204305</v>
      </c>
      <c r="B601" s="132">
        <f>VLOOKUP($A601,'Выгр Кат'!$A:$S,B$1,0)</f>
        <v>20366</v>
      </c>
      <c r="C601" s="133" t="str">
        <f>VLOOKUP($A601,'Выгр Кат'!$A:$S,C$1,0)</f>
        <v>Ремень привода вспомогательных агрегатов ГУРа поликлиновой "БРТ" для ВАЗ 2110-2112 (ГУР)</v>
      </c>
      <c r="D601" s="132" t="str">
        <f>VLOOKUP($A601,'Выгр Кат'!$A:$S,D$1,0)</f>
        <v>Y</v>
      </c>
      <c r="E601" s="132" t="str">
        <f>VLOOKUP($A601,'Выгр Кат'!$A:$S,E$1,0)</f>
        <v>1</v>
      </c>
      <c r="F601" s="132" t="str">
        <f>VLOOKUP($A601,'Выгр Кат'!$A:$S,F$1,0)</f>
        <v>2110-1041020РУ</v>
      </c>
      <c r="G601" s="45" t="s">
        <v>385</v>
      </c>
      <c r="H601" s="29"/>
      <c r="I601" s="4" t="s">
        <v>2</v>
      </c>
      <c r="J601" s="95">
        <v>1</v>
      </c>
      <c r="K601" s="168">
        <f t="shared" si="315"/>
        <v>1113</v>
      </c>
      <c r="L601" s="167">
        <f>VLOOKUP(K601,Наценка!$A$1:$B$8,2,1)</f>
        <v>1.2903225806451613</v>
      </c>
      <c r="M601" s="151">
        <f>K601*1.2*100/93</f>
        <v>1436.1290322580646</v>
      </c>
      <c r="N601" s="173">
        <f t="shared" si="308"/>
        <v>1490</v>
      </c>
      <c r="O601" s="134">
        <f>VLOOKUP($A601,'Выгр Кат'!$A:$S,O$1,0)</f>
        <v>1113</v>
      </c>
      <c r="P601" s="134">
        <f>VLOOKUP($A601,'Выгр Кат'!$A:$S,P$1,0)</f>
        <v>1490</v>
      </c>
      <c r="Q601" s="107">
        <f t="shared" si="309"/>
        <v>0</v>
      </c>
      <c r="R601" s="107">
        <f t="shared" si="310"/>
        <v>0</v>
      </c>
      <c r="S601" s="110">
        <f t="shared" si="311"/>
        <v>1385.6999999999998</v>
      </c>
      <c r="T601" s="135">
        <f t="shared" si="312"/>
        <v>0.24501347708894872</v>
      </c>
      <c r="U601" s="135">
        <f t="shared" si="313"/>
        <v>3.093525179856246E-3</v>
      </c>
      <c r="V601" s="135">
        <f t="shared" si="314"/>
        <v>0.24887690925426775</v>
      </c>
      <c r="W601" s="117">
        <f t="shared" si="321"/>
        <v>1390</v>
      </c>
      <c r="X601" s="114">
        <f>IFERROR((VLOOKUP($A601,'ИЗ ГУГЛА'!$B:$G,X$1,0)+Z601)*Y601,VLOOKUP($A601,'ИЗ ГУГЛА'!$B:$G,X$1,0))</f>
        <v>1390</v>
      </c>
      <c r="Y601" s="46">
        <v>1</v>
      </c>
      <c r="Z601" s="46"/>
      <c r="AA601" s="138">
        <v>1390</v>
      </c>
      <c r="AB601" s="124" t="s">
        <v>2501</v>
      </c>
      <c r="AC601" s="114" t="str">
        <f>IFERROR((VLOOKUP($A601,'ИЗ ГУГЛА'!$B:$Z,AC$1,0)+AE601)*AD601,VLOOKUP($A601,'ИЗ ГУГЛА'!$B:$Z,AC$1,0))</f>
        <v/>
      </c>
      <c r="AD601" s="46">
        <v>1</v>
      </c>
      <c r="AE601" s="46"/>
      <c r="AF601" s="115"/>
    </row>
    <row r="602" spans="1:33" s="5" customFormat="1" ht="46.5" thickTop="1" thickBot="1" x14ac:dyDescent="0.3">
      <c r="A602" s="132">
        <v>158269</v>
      </c>
      <c r="B602" s="132">
        <f>VLOOKUP($A602,'Выгр Кат'!$A:$S,B$1,0)</f>
        <v>13809</v>
      </c>
      <c r="C602" s="133" t="str">
        <f>VLOOKUP($A602,'Выгр Кат'!$A:$S,C$1,0)</f>
        <v>Комплект "БРТ" 3-х камерных уплотнителей дверей для ВАЗ 2109, 21099, 2114, 2115</v>
      </c>
      <c r="D602" s="132" t="str">
        <f>VLOOKUP($A602,'Выгр Кат'!$A:$S,D$1,0)</f>
        <v>Y</v>
      </c>
      <c r="E602" s="132" t="str">
        <f>VLOOKUP($A602,'Выгр Кат'!$A:$S,E$1,0)</f>
        <v>1</v>
      </c>
      <c r="F602" s="132" t="str">
        <f>VLOOKUP($A602,'Выгр Кат'!$A:$S,F$1,0)</f>
        <v>2109-6107018Р | 2109-6207018Р</v>
      </c>
      <c r="G602" s="34" t="s">
        <v>379</v>
      </c>
      <c r="H602" s="41"/>
      <c r="I602" s="4" t="s">
        <v>2</v>
      </c>
      <c r="J602" s="105">
        <v>4</v>
      </c>
      <c r="K602" s="168">
        <f t="shared" si="315"/>
        <v>1420</v>
      </c>
      <c r="L602" s="167">
        <f>VLOOKUP(K602,Наценка!$A$1:$B$8,2,1)</f>
        <v>1.2903225806451613</v>
      </c>
      <c r="M602" s="148">
        <f t="shared" ref="M601:M602" si="325">W602*1.05</f>
        <v>2089.5</v>
      </c>
      <c r="N602" s="173">
        <f t="shared" si="308"/>
        <v>2090</v>
      </c>
      <c r="O602" s="134">
        <f>VLOOKUP($A602,'Выгр Кат'!$A:$S,O$1,0)</f>
        <v>1420</v>
      </c>
      <c r="P602" s="134">
        <f>VLOOKUP($A602,'Выгр Кат'!$A:$S,P$1,0)</f>
        <v>1890</v>
      </c>
      <c r="Q602" s="107">
        <f t="shared" si="309"/>
        <v>0</v>
      </c>
      <c r="R602" s="107">
        <f t="shared" si="310"/>
        <v>-200</v>
      </c>
      <c r="S602" s="110">
        <f t="shared" si="311"/>
        <v>1943.6999999999998</v>
      </c>
      <c r="T602" s="135">
        <f t="shared" si="312"/>
        <v>0.36880281690140837</v>
      </c>
      <c r="U602" s="135">
        <f t="shared" si="313"/>
        <v>2.3266331658291547E-2</v>
      </c>
      <c r="V602" s="135">
        <f t="shared" si="314"/>
        <v>0.40140845070422526</v>
      </c>
      <c r="W602" s="117">
        <f t="shared" si="321"/>
        <v>1990</v>
      </c>
      <c r="X602" s="114">
        <f>IFERROR((VLOOKUP($A602,'ИЗ ГУГЛА'!$B:$G,X$1,0)+Z602)*Y602,VLOOKUP($A602,'ИЗ ГУГЛА'!$B:$G,X$1,0))</f>
        <v>1990</v>
      </c>
      <c r="Y602" s="46">
        <v>1</v>
      </c>
      <c r="Z602" s="46"/>
      <c r="AA602" s="138">
        <v>1990</v>
      </c>
      <c r="AB602" s="124" t="s">
        <v>2320</v>
      </c>
      <c r="AC602" s="114" t="str">
        <f>IFERROR((VLOOKUP($A602,'ИЗ ГУГЛА'!$B:$Z,AC$1,0)+AE602)*AD602,VLOOKUP($A602,'ИЗ ГУГЛА'!$B:$Z,AC$1,0))</f>
        <v/>
      </c>
      <c r="AD602" s="46">
        <v>1</v>
      </c>
      <c r="AE602" s="46"/>
      <c r="AF602" s="115"/>
    </row>
    <row r="603" spans="1:33" s="5" customFormat="1" ht="46.5" thickTop="1" thickBot="1" x14ac:dyDescent="0.3">
      <c r="A603" s="132">
        <v>158298</v>
      </c>
      <c r="B603" s="132">
        <f>VLOOKUP($A603,'Выгр Кат'!$A:$S,B$1,0)</f>
        <v>35454</v>
      </c>
      <c r="C603" s="133" t="str">
        <f>VLOOKUP($A603,'Выгр Кат'!$A:$S,C$1,0)</f>
        <v>Комплект "БРТ" сайлентблоков подвески для Лада Нива 4х4, Шевроле Нива</v>
      </c>
      <c r="D603" s="132" t="str">
        <f>VLOOKUP($A603,'Выгр Кат'!$A:$S,D$1,0)</f>
        <v>Y</v>
      </c>
      <c r="E603" s="132" t="str">
        <f>VLOOKUP($A603,'Выгр Кат'!$A:$S,E$1,0)</f>
        <v>1</v>
      </c>
      <c r="F603" s="132" t="str">
        <f>VLOOKUP($A603,'Выгр Кат'!$A:$S,F$1,0)</f>
        <v>2123-2904040</v>
      </c>
      <c r="G603" s="44" t="s">
        <v>1160</v>
      </c>
      <c r="H603" s="41"/>
      <c r="I603" s="4" t="s">
        <v>2</v>
      </c>
      <c r="J603" s="105">
        <v>8</v>
      </c>
      <c r="K603" s="168">
        <f t="shared" si="315"/>
        <v>1104</v>
      </c>
      <c r="L603" s="167">
        <f>VLOOKUP(K603,Наценка!$A$1:$B$8,2,1)</f>
        <v>1.2903225806451613</v>
      </c>
      <c r="M603" s="149">
        <f t="shared" ref="M591:M604" si="326">W603*1.07</f>
        <v>1594.3000000000002</v>
      </c>
      <c r="N603" s="173">
        <f t="shared" si="308"/>
        <v>1590</v>
      </c>
      <c r="O603" s="134">
        <f>VLOOKUP($A603,'Выгр Кат'!$A:$S,O$1,0)</f>
        <v>1104</v>
      </c>
      <c r="P603" s="134">
        <f>VLOOKUP($A603,'Выгр Кат'!$A:$S,P$1,0)</f>
        <v>1590</v>
      </c>
      <c r="Q603" s="107">
        <f t="shared" si="309"/>
        <v>0</v>
      </c>
      <c r="R603" s="107">
        <f t="shared" si="310"/>
        <v>0</v>
      </c>
      <c r="S603" s="110">
        <f t="shared" si="311"/>
        <v>1478.6999999999998</v>
      </c>
      <c r="T603" s="135">
        <f t="shared" si="312"/>
        <v>0.33940217391304328</v>
      </c>
      <c r="U603" s="135">
        <f t="shared" si="313"/>
        <v>7.5838926174497867E-3</v>
      </c>
      <c r="V603" s="135">
        <f t="shared" si="314"/>
        <v>0.3496376811594204</v>
      </c>
      <c r="W603" s="117">
        <f t="shared" si="321"/>
        <v>1490</v>
      </c>
      <c r="X603" s="114">
        <f>IFERROR((VLOOKUP($A603,'ИЗ ГУГЛА'!$B:$G,X$1,0)+Z603)*Y603,VLOOKUP($A603,'ИЗ ГУГЛА'!$B:$G,X$1,0))</f>
        <v>1490</v>
      </c>
      <c r="Y603" s="108">
        <v>1</v>
      </c>
      <c r="Z603" s="46"/>
      <c r="AA603" s="136">
        <v>1490</v>
      </c>
      <c r="AB603" s="124" t="s">
        <v>2534</v>
      </c>
      <c r="AC603" s="114" t="str">
        <f>IFERROR((VLOOKUP($A603,'ИЗ ГУГЛА'!$B:$Z,AC$1,0)+AE603)*AD603,VLOOKUP($A603,'ИЗ ГУГЛА'!$B:$Z,AC$1,0))</f>
        <v/>
      </c>
      <c r="AD603" s="108">
        <v>1</v>
      </c>
      <c r="AE603" s="46"/>
      <c r="AF603" s="115"/>
    </row>
    <row r="604" spans="1:33" s="5" customFormat="1" ht="31.5" thickTop="1" thickBot="1" x14ac:dyDescent="0.3">
      <c r="A604" s="132">
        <v>223276</v>
      </c>
      <c r="B604" s="132">
        <f>VLOOKUP($A604,'Выгр Кат'!$A:$S,B$1,0)</f>
        <v>18728</v>
      </c>
      <c r="C604" s="133" t="str">
        <f>VLOOKUP($A604,'Выгр Кат'!$A:$S,C$1,0)</f>
        <v>Уплотнитель лобового стекла Н/О для Лада Нива "УРБАН" (без замка)</v>
      </c>
      <c r="D604" s="132" t="str">
        <f>VLOOKUP($A604,'Выгр Кат'!$A:$S,D$1,0)</f>
        <v>Y</v>
      </c>
      <c r="E604" s="132" t="str">
        <f>VLOOKUP($A604,'Выгр Кат'!$A:$S,E$1,0)</f>
        <v>1</v>
      </c>
      <c r="F604" s="132" t="str">
        <f>VLOOKUP($A604,'Выгр Кат'!$A:$S,F$1,0)</f>
        <v>21214520605400</v>
      </c>
      <c r="G604" s="99" t="s">
        <v>474</v>
      </c>
      <c r="H604" s="29"/>
      <c r="I604" s="4" t="s">
        <v>2</v>
      </c>
      <c r="J604" s="95">
        <v>1</v>
      </c>
      <c r="K604" s="168">
        <f t="shared" si="315"/>
        <v>1196</v>
      </c>
      <c r="L604" s="167">
        <f>VLOOKUP(K604,Наценка!$A$1:$B$8,2,1)</f>
        <v>1.2903225806451613</v>
      </c>
      <c r="M604" s="148">
        <f>W604*1.06</f>
        <v>1897.4</v>
      </c>
      <c r="N604" s="173">
        <f t="shared" si="308"/>
        <v>1890</v>
      </c>
      <c r="O604" s="134">
        <f>VLOOKUP($A604,'Выгр Кат'!$A:$S,O$1,0)</f>
        <v>1196</v>
      </c>
      <c r="P604" s="134">
        <f>VLOOKUP($A604,'Выгр Кат'!$A:$S,P$1,0)</f>
        <v>1890</v>
      </c>
      <c r="Q604" s="107">
        <f t="shared" si="309"/>
        <v>0</v>
      </c>
      <c r="R604" s="107">
        <f t="shared" si="310"/>
        <v>0</v>
      </c>
      <c r="S604" s="110">
        <f t="shared" si="311"/>
        <v>1757.6999999999998</v>
      </c>
      <c r="T604" s="135">
        <f t="shared" si="312"/>
        <v>0.46964882943143804</v>
      </c>
      <c r="U604" s="135">
        <f t="shared" si="313"/>
        <v>1.8044692737430271E-2</v>
      </c>
      <c r="V604" s="135">
        <f t="shared" si="314"/>
        <v>0.49665551839464883</v>
      </c>
      <c r="W604" s="117">
        <f t="shared" si="321"/>
        <v>1790</v>
      </c>
      <c r="X604" s="114">
        <f>IFERROR((VLOOKUP($A604,'ИЗ ГУГЛА'!$B:$G,X$1,0)+Z604)*Y604,VLOOKUP($A604,'ИЗ ГУГЛА'!$B:$G,X$1,0))</f>
        <v>1790</v>
      </c>
      <c r="Y604" s="46">
        <v>1</v>
      </c>
      <c r="Z604" s="46"/>
      <c r="AA604" s="138">
        <v>1790</v>
      </c>
      <c r="AB604" s="124" t="s">
        <v>2310</v>
      </c>
      <c r="AC604" s="114" t="str">
        <f>IFERROR((VLOOKUP($A604,'ИЗ ГУГЛА'!$B:$Z,AC$1,0)+AE604)*AD604,VLOOKUP($A604,'ИЗ ГУГЛА'!$B:$Z,AC$1,0))</f>
        <v/>
      </c>
      <c r="AD604" s="46">
        <v>1</v>
      </c>
      <c r="AE604" s="46"/>
      <c r="AF604" s="115"/>
    </row>
    <row r="605" spans="1:33" s="5" customFormat="1" ht="31.5" thickTop="1" thickBot="1" x14ac:dyDescent="0.3">
      <c r="A605" s="132">
        <v>223255</v>
      </c>
      <c r="B605" s="132">
        <f>VLOOKUP($A605,'Выгр Кат'!$A:$S,B$1,0)</f>
        <v>20461</v>
      </c>
      <c r="C605" s="133" t="str">
        <f>VLOOKUP($A605,'Выгр Кат'!$A:$S,C$1,0)</f>
        <v>Уплотнитель заднего окна "БРТ" для ВАЗ 2101-2107</v>
      </c>
      <c r="D605" s="132" t="str">
        <f>VLOOKUP($A605,'Выгр Кат'!$A:$S,D$1,0)</f>
        <v>Y</v>
      </c>
      <c r="E605" s="132" t="str">
        <f>VLOOKUP($A605,'Выгр Кат'!$A:$S,E$1,0)</f>
        <v>1ск6</v>
      </c>
      <c r="F605" s="132" t="str">
        <f>VLOOKUP($A605,'Выгр Кат'!$A:$S,F$1,0)</f>
        <v>2101-5207050Р.</v>
      </c>
      <c r="G605" s="45" t="s">
        <v>280</v>
      </c>
      <c r="H605" s="29"/>
      <c r="I605" s="4" t="s">
        <v>2</v>
      </c>
      <c r="J605" s="95">
        <v>1</v>
      </c>
      <c r="K605" s="168">
        <f t="shared" si="315"/>
        <v>1129</v>
      </c>
      <c r="L605" s="167">
        <f>VLOOKUP(K605,Наценка!$A$1:$B$8,2,1)</f>
        <v>1.2903225806451613</v>
      </c>
      <c r="M605" s="172">
        <f t="shared" si="317"/>
        <v>1456.7741935483871</v>
      </c>
      <c r="N605" s="173">
        <f t="shared" si="308"/>
        <v>1490</v>
      </c>
      <c r="O605" s="134">
        <f>VLOOKUP($A605,'Выгр Кат'!$A:$S,O$1,0)</f>
        <v>1129</v>
      </c>
      <c r="P605" s="134">
        <f>VLOOKUP($A605,'Выгр Кат'!$A:$S,P$1,0)</f>
        <v>1490</v>
      </c>
      <c r="Q605" s="107">
        <f t="shared" si="309"/>
        <v>0</v>
      </c>
      <c r="R605" s="107">
        <f t="shared" si="310"/>
        <v>0</v>
      </c>
      <c r="S605" s="110">
        <f t="shared" si="311"/>
        <v>1385.6999999999998</v>
      </c>
      <c r="T605" s="135">
        <f t="shared" si="312"/>
        <v>0.22736935341009734</v>
      </c>
      <c r="U605" s="135" t="str">
        <f t="shared" si="313"/>
        <v/>
      </c>
      <c r="V605" s="135" t="str">
        <f t="shared" si="314"/>
        <v/>
      </c>
      <c r="W605" s="45"/>
      <c r="X605" s="114" t="str">
        <f>IFERROR((VLOOKUP($A605,'ИЗ ГУГЛА'!$B:$G,X$1,0)+Z605)*Y605,VLOOKUP($A605,'ИЗ ГУГЛА'!$B:$G,X$1,0))</f>
        <v/>
      </c>
      <c r="Y605" s="108">
        <v>1</v>
      </c>
      <c r="Z605" s="46"/>
      <c r="AA605" s="140" t="s">
        <v>1821</v>
      </c>
      <c r="AB605" s="129"/>
      <c r="AC605" s="114" t="str">
        <f>IFERROR((VLOOKUP($A605,'ИЗ ГУГЛА'!$B:$Z,AC$1,0)+AE605)*AD605,VLOOKUP($A605,'ИЗ ГУГЛА'!$B:$Z,AC$1,0))</f>
        <v/>
      </c>
      <c r="AD605" s="108">
        <v>1</v>
      </c>
      <c r="AE605" s="46"/>
      <c r="AF605" s="115"/>
    </row>
    <row r="606" spans="1:33" s="5" customFormat="1" ht="31.5" thickTop="1" thickBot="1" x14ac:dyDescent="0.3">
      <c r="A606" s="132">
        <v>223294</v>
      </c>
      <c r="B606" s="132">
        <f>VLOOKUP($A606,'Выгр Кат'!$A:$S,B$1,0)</f>
        <v>20460</v>
      </c>
      <c r="C606" s="133" t="str">
        <f>VLOOKUP($A606,'Выгр Кат'!$A:$S,C$1,0)</f>
        <v>Уплотнитель стекла ветрового окна "БРТ" для ВАЗ 2101-2107</v>
      </c>
      <c r="D606" s="132" t="str">
        <f>VLOOKUP($A606,'Выгр Кат'!$A:$S,D$1,0)</f>
        <v>Y</v>
      </c>
      <c r="E606" s="132" t="str">
        <f>VLOOKUP($A606,'Выгр Кат'!$A:$S,E$1,0)</f>
        <v>1ск6</v>
      </c>
      <c r="F606" s="132" t="str">
        <f>VLOOKUP($A606,'Выгр Кат'!$A:$S,F$1,0)</f>
        <v>2101-5206050Р</v>
      </c>
      <c r="G606" s="45" t="s">
        <v>279</v>
      </c>
      <c r="H606" s="29"/>
      <c r="I606" s="4" t="s">
        <v>2</v>
      </c>
      <c r="J606" s="95">
        <v>1</v>
      </c>
      <c r="K606" s="168">
        <f t="shared" si="315"/>
        <v>1218</v>
      </c>
      <c r="L606" s="167">
        <f>VLOOKUP(K606,Наценка!$A$1:$B$8,2,1)</f>
        <v>1.2903225806451613</v>
      </c>
      <c r="M606" s="172">
        <f t="shared" si="317"/>
        <v>1571.6129032258063</v>
      </c>
      <c r="N606" s="173">
        <f t="shared" si="308"/>
        <v>1590</v>
      </c>
      <c r="O606" s="134">
        <f>VLOOKUP($A606,'Выгр Кат'!$A:$S,O$1,0)</f>
        <v>1218</v>
      </c>
      <c r="P606" s="134">
        <f>VLOOKUP($A606,'Выгр Кат'!$A:$S,P$1,0)</f>
        <v>1590</v>
      </c>
      <c r="Q606" s="107">
        <f t="shared" si="309"/>
        <v>0</v>
      </c>
      <c r="R606" s="107">
        <f t="shared" si="310"/>
        <v>0</v>
      </c>
      <c r="S606" s="110">
        <f t="shared" si="311"/>
        <v>1478.6999999999998</v>
      </c>
      <c r="T606" s="135">
        <f t="shared" si="312"/>
        <v>0.21403940886699502</v>
      </c>
      <c r="U606" s="135" t="str">
        <f t="shared" si="313"/>
        <v/>
      </c>
      <c r="V606" s="135" t="str">
        <f t="shared" si="314"/>
        <v/>
      </c>
      <c r="W606" s="45"/>
      <c r="X606" s="114" t="str">
        <f>IFERROR((VLOOKUP($A606,'ИЗ ГУГЛА'!$B:$G,X$1,0)+Z606)*Y606,VLOOKUP($A606,'ИЗ ГУГЛА'!$B:$G,X$1,0))</f>
        <v/>
      </c>
      <c r="Y606" s="108">
        <v>1</v>
      </c>
      <c r="Z606" s="46"/>
      <c r="AA606" s="140" t="s">
        <v>1821</v>
      </c>
      <c r="AB606" s="129"/>
      <c r="AC606" s="114" t="str">
        <f>IFERROR((VLOOKUP($A606,'ИЗ ГУГЛА'!$B:$Z,AC$1,0)+AE606)*AD606,VLOOKUP($A606,'ИЗ ГУГЛА'!$B:$Z,AC$1,0))</f>
        <v/>
      </c>
      <c r="AD606" s="108">
        <v>1</v>
      </c>
      <c r="AE606" s="46"/>
      <c r="AF606" s="115"/>
    </row>
    <row r="607" spans="1:33" s="5" customFormat="1" ht="46.5" thickTop="1" thickBot="1" x14ac:dyDescent="0.3">
      <c r="A607" s="132">
        <v>204312</v>
      </c>
      <c r="B607" s="132">
        <f>VLOOKUP($A607,'Выгр Кат'!$A:$S,B$1,0)</f>
        <v>20368</v>
      </c>
      <c r="C607" s="133" t="str">
        <f>VLOOKUP($A607,'Выгр Кат'!$A:$S,C$1,0)</f>
        <v>Ремень привода компрессора кондиционера поликлиновой "БРТ" для ВАЗ 2110-2112 (с кондиционером)</v>
      </c>
      <c r="D607" s="132" t="str">
        <f>VLOOKUP($A607,'Выгр Кат'!$A:$S,D$1,0)</f>
        <v>Y</v>
      </c>
      <c r="E607" s="132" t="str">
        <f>VLOOKUP($A607,'Выгр Кат'!$A:$S,E$1,0)</f>
        <v>1</v>
      </c>
      <c r="F607" s="132" t="str">
        <f>VLOOKUP($A607,'Выгр Кат'!$A:$S,F$1,0)</f>
        <v>2110-8114096РУ</v>
      </c>
      <c r="G607" s="45" t="s">
        <v>412</v>
      </c>
      <c r="H607" s="29"/>
      <c r="I607" s="4" t="s">
        <v>2</v>
      </c>
      <c r="J607" s="95">
        <v>1</v>
      </c>
      <c r="K607" s="168">
        <f t="shared" si="315"/>
        <v>1175</v>
      </c>
      <c r="L607" s="167">
        <f>VLOOKUP(K607,Наценка!$A$1:$B$8,2,1)</f>
        <v>1.2903225806451613</v>
      </c>
      <c r="M607" s="148">
        <f>W607*1.06</f>
        <v>1685.4</v>
      </c>
      <c r="N607" s="173">
        <f t="shared" si="308"/>
        <v>1690</v>
      </c>
      <c r="O607" s="134">
        <f>VLOOKUP($A607,'Выгр Кат'!$A:$S,O$1,0)</f>
        <v>1175</v>
      </c>
      <c r="P607" s="134">
        <f>VLOOKUP($A607,'Выгр Кат'!$A:$S,P$1,0)</f>
        <v>1690</v>
      </c>
      <c r="Q607" s="107">
        <f t="shared" si="309"/>
        <v>0</v>
      </c>
      <c r="R607" s="107">
        <f t="shared" si="310"/>
        <v>0</v>
      </c>
      <c r="S607" s="110">
        <f t="shared" si="311"/>
        <v>1571.6999999999998</v>
      </c>
      <c r="T607" s="135">
        <f t="shared" si="312"/>
        <v>0.33761702127659565</v>
      </c>
      <c r="U607" s="135">
        <f t="shared" si="313"/>
        <v>1.1509433962264266E-2</v>
      </c>
      <c r="V607" s="135">
        <f t="shared" si="314"/>
        <v>0.35319148936170208</v>
      </c>
      <c r="W607" s="117">
        <f>AA607</f>
        <v>1590</v>
      </c>
      <c r="X607" s="114">
        <f>IFERROR((VLOOKUP($A607,'ИЗ ГУГЛА'!$B:$G,X$1,0)+Z607)*Y607,VLOOKUP($A607,'ИЗ ГУГЛА'!$B:$G,X$1,0))</f>
        <v>1590</v>
      </c>
      <c r="Y607" s="108">
        <v>1</v>
      </c>
      <c r="Z607" s="46"/>
      <c r="AA607" s="136">
        <v>1590</v>
      </c>
      <c r="AB607" s="124" t="s">
        <v>2533</v>
      </c>
      <c r="AC607" s="114" t="str">
        <f>IFERROR((VLOOKUP($A607,'ИЗ ГУГЛА'!$B:$Z,AC$1,0)+AE607)*AD607,VLOOKUP($A607,'ИЗ ГУГЛА'!$B:$Z,AC$1,0))</f>
        <v/>
      </c>
      <c r="AD607" s="108">
        <v>1</v>
      </c>
      <c r="AE607" s="46"/>
      <c r="AF607" s="115"/>
    </row>
    <row r="608" spans="1:33" s="5" customFormat="1" ht="46.5" thickTop="1" thickBot="1" x14ac:dyDescent="0.3">
      <c r="A608" s="132">
        <v>181577</v>
      </c>
      <c r="B608" s="132">
        <f>VLOOKUP($A608,'Выгр Кат'!$A:$S,B$1,0)</f>
        <v>20285</v>
      </c>
      <c r="C608" s="133" t="str">
        <f>VLOOKUP($A608,'Выгр Кат'!$A:$S,C$1,0)</f>
        <v>Опора верхняя стойки передней подвески в сборе "БРТ" для ВАЗ 2108-21099, 2113-2115</v>
      </c>
      <c r="D608" s="132" t="str">
        <f>VLOOKUP($A608,'Выгр Кат'!$A:$S,D$1,0)</f>
        <v>Y</v>
      </c>
      <c r="E608" s="132" t="str">
        <f>VLOOKUP($A608,'Выгр Кат'!$A:$S,E$1,0)</f>
        <v>1</v>
      </c>
      <c r="F608" s="132" t="str">
        <f>VLOOKUP($A608,'Выгр Кат'!$A:$S,F$1,0)</f>
        <v>2108-2902820РУ.</v>
      </c>
      <c r="G608" s="45" t="s">
        <v>343</v>
      </c>
      <c r="H608" s="29"/>
      <c r="I608" s="4" t="s">
        <v>2</v>
      </c>
      <c r="J608" s="95">
        <v>1</v>
      </c>
      <c r="K608" s="168">
        <f t="shared" si="315"/>
        <v>1200</v>
      </c>
      <c r="L608" s="167">
        <f>VLOOKUP(K608,Наценка!$A$1:$B$8,2,1)</f>
        <v>1.2903225806451613</v>
      </c>
      <c r="M608" s="172">
        <f t="shared" si="317"/>
        <v>1548.3870967741934</v>
      </c>
      <c r="N608" s="173">
        <f t="shared" si="308"/>
        <v>1590</v>
      </c>
      <c r="O608" s="134">
        <f>VLOOKUP($A608,'Выгр Кат'!$A:$S,O$1,0)</f>
        <v>1200</v>
      </c>
      <c r="P608" s="134">
        <f>VLOOKUP($A608,'Выгр Кат'!$A:$S,P$1,0)</f>
        <v>1590</v>
      </c>
      <c r="Q608" s="107">
        <f t="shared" si="309"/>
        <v>0</v>
      </c>
      <c r="R608" s="107">
        <f t="shared" si="310"/>
        <v>0</v>
      </c>
      <c r="S608" s="110">
        <f t="shared" si="311"/>
        <v>1478.6999999999998</v>
      </c>
      <c r="T608" s="135">
        <f t="shared" si="312"/>
        <v>0.23224999999999985</v>
      </c>
      <c r="U608" s="135" t="str">
        <f t="shared" si="313"/>
        <v/>
      </c>
      <c r="V608" s="135" t="str">
        <f t="shared" si="314"/>
        <v/>
      </c>
      <c r="W608" s="45"/>
      <c r="X608" s="114" t="str">
        <f>IFERROR((VLOOKUP($A608,'ИЗ ГУГЛА'!$B:$G,X$1,0)+Z608)*Y608,VLOOKUP($A608,'ИЗ ГУГЛА'!$B:$G,X$1,0))</f>
        <v/>
      </c>
      <c r="Y608" s="108">
        <v>1</v>
      </c>
      <c r="Z608" s="46"/>
      <c r="AA608" s="140" t="s">
        <v>1821</v>
      </c>
      <c r="AB608" s="129"/>
      <c r="AC608" s="114" t="str">
        <f>IFERROR((VLOOKUP($A608,'ИЗ ГУГЛА'!$B:$Z,AC$1,0)+AE608)*AD608,VLOOKUP($A608,'ИЗ ГУГЛА'!$B:$Z,AC$1,0))</f>
        <v/>
      </c>
      <c r="AD608" s="108">
        <v>1</v>
      </c>
      <c r="AE608" s="46"/>
      <c r="AF608" s="115"/>
    </row>
    <row r="609" spans="1:32" s="5" customFormat="1" ht="31.5" thickTop="1" thickBot="1" x14ac:dyDescent="0.3">
      <c r="A609" s="132">
        <v>223244</v>
      </c>
      <c r="B609" s="132">
        <f>VLOOKUP($A609,'Выгр Кат'!$A:$S,B$1,0)</f>
        <v>20492</v>
      </c>
      <c r="C609" s="133" t="str">
        <f>VLOOKUP($A609,'Выгр Кат'!$A:$S,C$1,0)</f>
        <v>Уплотнитель "БРТ" стекла окна двери задка (под майлар) для Лада Нива 4x4</v>
      </c>
      <c r="D609" s="132" t="str">
        <f>VLOOKUP($A609,'Выгр Кат'!$A:$S,D$1,0)</f>
        <v>Y</v>
      </c>
      <c r="E609" s="132" t="str">
        <f>VLOOKUP($A609,'Выгр Кат'!$A:$S,E$1,0)</f>
        <v>1</v>
      </c>
      <c r="F609" s="132" t="str">
        <f>VLOOKUP($A609,'Выгр Кат'!$A:$S,F$1,0)</f>
        <v>2121-6303018Р</v>
      </c>
      <c r="G609" s="45" t="s">
        <v>457</v>
      </c>
      <c r="H609" s="29"/>
      <c r="I609" s="4" t="s">
        <v>2</v>
      </c>
      <c r="J609" s="95">
        <v>1</v>
      </c>
      <c r="K609" s="168">
        <f t="shared" si="315"/>
        <v>1254</v>
      </c>
      <c r="L609" s="167">
        <f>VLOOKUP(K609,Наценка!$A$1:$B$8,2,1)</f>
        <v>1.2903225806451613</v>
      </c>
      <c r="M609" s="172">
        <f t="shared" si="317"/>
        <v>1618.0645161290322</v>
      </c>
      <c r="N609" s="173">
        <f t="shared" si="308"/>
        <v>1690</v>
      </c>
      <c r="O609" s="134">
        <f>VLOOKUP($A609,'Выгр Кат'!$A:$S,O$1,0)</f>
        <v>1254</v>
      </c>
      <c r="P609" s="134">
        <f>VLOOKUP($A609,'Выгр Кат'!$A:$S,P$1,0)</f>
        <v>1690</v>
      </c>
      <c r="Q609" s="107">
        <f t="shared" si="309"/>
        <v>0</v>
      </c>
      <c r="R609" s="107">
        <f t="shared" si="310"/>
        <v>0</v>
      </c>
      <c r="S609" s="110">
        <f t="shared" si="311"/>
        <v>1571.6999999999998</v>
      </c>
      <c r="T609" s="135">
        <f t="shared" si="312"/>
        <v>0.25334928229665055</v>
      </c>
      <c r="U609" s="135" t="str">
        <f t="shared" si="313"/>
        <v/>
      </c>
      <c r="V609" s="135" t="str">
        <f t="shared" si="314"/>
        <v/>
      </c>
      <c r="W609" s="45"/>
      <c r="X609" s="114" t="str">
        <f>IFERROR((VLOOKUP($A609,'ИЗ ГУГЛА'!$B:$G,X$1,0)+Z609)*Y609,VLOOKUP($A609,'ИЗ ГУГЛА'!$B:$G,X$1,0))</f>
        <v/>
      </c>
      <c r="Y609" s="108">
        <v>1</v>
      </c>
      <c r="Z609" s="46"/>
      <c r="AA609" s="140" t="s">
        <v>1821</v>
      </c>
      <c r="AB609" s="129"/>
      <c r="AC609" s="114" t="str">
        <f>IFERROR((VLOOKUP($A609,'ИЗ ГУГЛА'!$B:$Z,AC$1,0)+AE609)*AD609,VLOOKUP($A609,'ИЗ ГУГЛА'!$B:$Z,AC$1,0))</f>
        <v/>
      </c>
      <c r="AD609" s="108">
        <v>1</v>
      </c>
      <c r="AE609" s="46"/>
      <c r="AF609" s="115"/>
    </row>
    <row r="610" spans="1:32" s="5" customFormat="1" ht="61.5" thickTop="1" thickBot="1" x14ac:dyDescent="0.3">
      <c r="A610" s="132">
        <v>204286</v>
      </c>
      <c r="B610" s="132">
        <f>VLOOKUP($A610,'Выгр Кат'!$A:$S,B$1,0)</f>
        <v>20371</v>
      </c>
      <c r="C610" s="133" t="str">
        <f>VLOOKUP($A610,'Выгр Кат'!$A:$S,C$1,0)</f>
        <v>Ремень ГРМ зубчатый привода распределительного вала "БРТ" для Лада Приора (с 16-ти клапанным двигателем)</v>
      </c>
      <c r="D610" s="132" t="str">
        <f>VLOOKUP($A610,'Выгр Кат'!$A:$S,D$1,0)</f>
        <v>Y</v>
      </c>
      <c r="E610" s="132" t="str">
        <f>VLOOKUP($A610,'Выгр Кат'!$A:$S,E$1,0)</f>
        <v>1</v>
      </c>
      <c r="F610" s="132" t="str">
        <f>VLOOKUP($A610,'Выгр Кат'!$A:$S,F$1,0)</f>
        <v>21126-1006040РУ</v>
      </c>
      <c r="G610" s="45" t="s">
        <v>431</v>
      </c>
      <c r="H610" s="29"/>
      <c r="I610" s="4" t="s">
        <v>2</v>
      </c>
      <c r="J610" s="95">
        <v>1</v>
      </c>
      <c r="K610" s="168">
        <f t="shared" si="315"/>
        <v>1319</v>
      </c>
      <c r="L610" s="167">
        <f>VLOOKUP(K610,Наценка!$A$1:$B$8,2,1)</f>
        <v>1.2903225806451613</v>
      </c>
      <c r="M610" s="172">
        <f t="shared" si="317"/>
        <v>1701.9354838709678</v>
      </c>
      <c r="N610" s="173">
        <f t="shared" si="308"/>
        <v>1790</v>
      </c>
      <c r="O610" s="134">
        <f>VLOOKUP($A610,'Выгр Кат'!$A:$S,O$1,0)</f>
        <v>1319</v>
      </c>
      <c r="P610" s="134">
        <f>VLOOKUP($A610,'Выгр Кат'!$A:$S,P$1,0)</f>
        <v>1790</v>
      </c>
      <c r="Q610" s="107">
        <f t="shared" si="309"/>
        <v>0</v>
      </c>
      <c r="R610" s="107">
        <f t="shared" si="310"/>
        <v>0</v>
      </c>
      <c r="S610" s="110">
        <f t="shared" si="311"/>
        <v>1664.6999999999998</v>
      </c>
      <c r="T610" s="135">
        <f t="shared" si="312"/>
        <v>0.26209249431387405</v>
      </c>
      <c r="U610" s="135" t="str">
        <f t="shared" si="313"/>
        <v/>
      </c>
      <c r="V610" s="135" t="str">
        <f t="shared" si="314"/>
        <v/>
      </c>
      <c r="W610" s="45"/>
      <c r="X610" s="114" t="str">
        <f>IFERROR((VLOOKUP($A610,'ИЗ ГУГЛА'!$B:$G,X$1,0)+Z610)*Y610,VLOOKUP($A610,'ИЗ ГУГЛА'!$B:$G,X$1,0))</f>
        <v/>
      </c>
      <c r="Y610" s="108">
        <v>1</v>
      </c>
      <c r="Z610" s="46"/>
      <c r="AA610" s="140" t="s">
        <v>1821</v>
      </c>
      <c r="AB610" s="129"/>
      <c r="AC610" s="114" t="str">
        <f>IFERROR((VLOOKUP($A610,'ИЗ ГУГЛА'!$B:$Z,AC$1,0)+AE610)*AD610,VLOOKUP($A610,'ИЗ ГУГЛА'!$B:$Z,AC$1,0))</f>
        <v/>
      </c>
      <c r="AD610" s="108">
        <v>1</v>
      </c>
      <c r="AE610" s="46"/>
      <c r="AF610" s="115"/>
    </row>
    <row r="611" spans="1:32" s="5" customFormat="1" ht="31.5" thickTop="1" thickBot="1" x14ac:dyDescent="0.3">
      <c r="A611" s="132">
        <v>136589</v>
      </c>
      <c r="B611" s="132">
        <f>VLOOKUP($A611,'Выгр Кат'!$A:$S,B$1,0)</f>
        <v>22506</v>
      </c>
      <c r="C611" s="133" t="str">
        <f>VLOOKUP($A611,'Выгр Кат'!$A:$S,C$1,0)</f>
        <v>Бархотки на двери "БРТ" внутренние для ВАЗ 2111</v>
      </c>
      <c r="D611" s="132" t="str">
        <f>VLOOKUP($A611,'Выгр Кат'!$A:$S,D$1,0)</f>
        <v>Y</v>
      </c>
      <c r="E611" s="132" t="str">
        <f>VLOOKUP($A611,'Выгр Кат'!$A:$S,E$1,0)</f>
        <v>1</v>
      </c>
      <c r="F611" s="132" t="str">
        <f>VLOOKUP($A611,'Выгр Кат'!$A:$S,F$1,0)</f>
        <v>2111-6203320 / 2110-6103320.</v>
      </c>
      <c r="G611" s="45" t="s">
        <v>1230</v>
      </c>
      <c r="H611" s="29"/>
      <c r="I611" s="4" t="s">
        <v>2</v>
      </c>
      <c r="J611" s="95">
        <v>1</v>
      </c>
      <c r="K611" s="168">
        <f t="shared" si="315"/>
        <v>1306</v>
      </c>
      <c r="L611" s="167">
        <f>VLOOKUP(K611,Наценка!$A$1:$B$8,2,1)</f>
        <v>1.2903225806451613</v>
      </c>
      <c r="M611" s="172">
        <f t="shared" si="317"/>
        <v>1685.1612903225805</v>
      </c>
      <c r="N611" s="173">
        <f t="shared" si="308"/>
        <v>1690</v>
      </c>
      <c r="O611" s="134">
        <f>VLOOKUP($A611,'Выгр Кат'!$A:$S,O$1,0)</f>
        <v>1306</v>
      </c>
      <c r="P611" s="134">
        <f>VLOOKUP($A611,'Выгр Кат'!$A:$S,P$1,0)</f>
        <v>1690</v>
      </c>
      <c r="Q611" s="107">
        <f t="shared" si="309"/>
        <v>0</v>
      </c>
      <c r="R611" s="107">
        <f t="shared" si="310"/>
        <v>0</v>
      </c>
      <c r="S611" s="110">
        <f t="shared" si="311"/>
        <v>1571.6999999999998</v>
      </c>
      <c r="T611" s="135">
        <f t="shared" si="312"/>
        <v>0.20344563552833073</v>
      </c>
      <c r="U611" s="135">
        <f t="shared" si="313"/>
        <v>-0.76595505617977511</v>
      </c>
      <c r="V611" s="135">
        <f t="shared" si="314"/>
        <v>-0.3185298621745789</v>
      </c>
      <c r="W611" s="117">
        <f t="shared" ref="W611:W612" si="327">AA611</f>
        <v>890</v>
      </c>
      <c r="X611" s="114">
        <f>IFERROR((VLOOKUP($A611,'ИЗ ГУГЛА'!$B:$G,X$1,0)+Z611)*Y611,VLOOKUP($A611,'ИЗ ГУГЛА'!$B:$G,X$1,0))</f>
        <v>890</v>
      </c>
      <c r="Y611" s="108">
        <v>1</v>
      </c>
      <c r="Z611" s="46"/>
      <c r="AA611" s="136">
        <v>890</v>
      </c>
      <c r="AB611" s="124" t="s">
        <v>2531</v>
      </c>
      <c r="AC611" s="114" t="str">
        <f>IFERROR((VLOOKUP($A611,'ИЗ ГУГЛА'!$B:$Z,AC$1,0)+AE611)*AD611,VLOOKUP($A611,'ИЗ ГУГЛА'!$B:$Z,AC$1,0))</f>
        <v/>
      </c>
      <c r="AD611" s="108">
        <v>1</v>
      </c>
      <c r="AE611" s="46"/>
      <c r="AF611" s="115"/>
    </row>
    <row r="612" spans="1:32" s="5" customFormat="1" ht="31.5" thickTop="1" thickBot="1" x14ac:dyDescent="0.3">
      <c r="A612" s="132">
        <v>136588</v>
      </c>
      <c r="B612" s="132">
        <f>VLOOKUP($A612,'Выгр Кат'!$A:$S,B$1,0)</f>
        <v>6124</v>
      </c>
      <c r="C612" s="133" t="str">
        <f>VLOOKUP($A612,'Выгр Кат'!$A:$S,C$1,0)</f>
        <v>Бархотки на двери "БРТ" внутренние для ВАЗ 2110-2112</v>
      </c>
      <c r="D612" s="132" t="str">
        <f>VLOOKUP($A612,'Выгр Кат'!$A:$S,D$1,0)</f>
        <v>Y</v>
      </c>
      <c r="E612" s="132" t="str">
        <f>VLOOKUP($A612,'Выгр Кат'!$A:$S,E$1,0)</f>
        <v>1</v>
      </c>
      <c r="F612" s="132" t="str">
        <f>VLOOKUP($A612,'Выгр Кат'!$A:$S,F$1,0)</f>
        <v>2110-6203320 / 2110-6103320.</v>
      </c>
      <c r="G612" s="43" t="s">
        <v>1230</v>
      </c>
      <c r="H612" s="29"/>
      <c r="I612" s="4" t="s">
        <v>2</v>
      </c>
      <c r="J612" s="95">
        <v>1</v>
      </c>
      <c r="K612" s="168">
        <f t="shared" si="315"/>
        <v>1306</v>
      </c>
      <c r="L612" s="167">
        <f>VLOOKUP(K612,Наценка!$A$1:$B$8,2,1)</f>
        <v>1.2903225806451613</v>
      </c>
      <c r="M612" s="172">
        <f t="shared" si="317"/>
        <v>1685.1612903225805</v>
      </c>
      <c r="N612" s="173">
        <f t="shared" si="308"/>
        <v>1690</v>
      </c>
      <c r="O612" s="134">
        <f>VLOOKUP($A612,'Выгр Кат'!$A:$S,O$1,0)</f>
        <v>1306</v>
      </c>
      <c r="P612" s="134">
        <f>VLOOKUP($A612,'Выгр Кат'!$A:$S,P$1,0)</f>
        <v>1690</v>
      </c>
      <c r="Q612" s="107">
        <f t="shared" si="309"/>
        <v>0</v>
      </c>
      <c r="R612" s="107">
        <f t="shared" si="310"/>
        <v>0</v>
      </c>
      <c r="S612" s="110">
        <f t="shared" si="311"/>
        <v>1571.6999999999998</v>
      </c>
      <c r="T612" s="135">
        <f t="shared" si="312"/>
        <v>0.20344563552833073</v>
      </c>
      <c r="U612" s="135">
        <f t="shared" si="313"/>
        <v>-0.76595505617977511</v>
      </c>
      <c r="V612" s="135">
        <f t="shared" si="314"/>
        <v>-0.3185298621745789</v>
      </c>
      <c r="W612" s="117">
        <f t="shared" si="327"/>
        <v>890</v>
      </c>
      <c r="X612" s="114">
        <f>IFERROR((VLOOKUP($A612,'ИЗ ГУГЛА'!$B:$G,X$1,0)+Z612)*Y612,VLOOKUP($A612,'ИЗ ГУГЛА'!$B:$G,X$1,0))</f>
        <v>890</v>
      </c>
      <c r="Y612" s="108">
        <v>1</v>
      </c>
      <c r="Z612" s="46"/>
      <c r="AA612" s="136">
        <v>890</v>
      </c>
      <c r="AB612" s="124" t="s">
        <v>2532</v>
      </c>
      <c r="AC612" s="114" t="str">
        <f>IFERROR((VLOOKUP($A612,'ИЗ ГУГЛА'!$B:$Z,AC$1,0)+AE612)*AD612,VLOOKUP($A612,'ИЗ ГУГЛА'!$B:$Z,AC$1,0))</f>
        <v/>
      </c>
      <c r="AD612" s="108">
        <v>1</v>
      </c>
      <c r="AE612" s="46"/>
      <c r="AF612" s="115"/>
    </row>
    <row r="613" spans="1:32" s="5" customFormat="1" ht="45.75" thickTop="1" x14ac:dyDescent="0.25">
      <c r="A613" s="132">
        <v>181560</v>
      </c>
      <c r="B613" s="132">
        <f>VLOOKUP($A613,'Выгр Кат'!$A:$S,B$1,0)</f>
        <v>20301</v>
      </c>
      <c r="C613" s="133" t="str">
        <f>VLOOKUP($A613,'Выгр Кат'!$A:$S,C$1,0)</f>
        <v>Опора верхней стойки (с подшипником) "БРТ" для Лада Приора</v>
      </c>
      <c r="D613" s="132" t="str">
        <f>VLOOKUP($A613,'Выгр Кат'!$A:$S,D$1,0)</f>
        <v>Y</v>
      </c>
      <c r="E613" s="132" t="str">
        <f>VLOOKUP($A613,'Выгр Кат'!$A:$S,E$1,0)</f>
        <v>1</v>
      </c>
      <c r="F613" s="132" t="str">
        <f>VLOOKUP($A613,'Выгр Кат'!$A:$S,F$1,0)</f>
        <v>21700290282101</v>
      </c>
      <c r="G613" s="45" t="s">
        <v>522</v>
      </c>
      <c r="H613" s="29"/>
      <c r="I613" s="4" t="s">
        <v>2</v>
      </c>
      <c r="J613" s="95">
        <v>1</v>
      </c>
      <c r="K613" s="168">
        <f t="shared" si="315"/>
        <v>1455</v>
      </c>
      <c r="L613" s="167">
        <f>VLOOKUP(K613,Наценка!$A$1:$B$8,2,1)</f>
        <v>1.2903225806451613</v>
      </c>
      <c r="M613" s="172">
        <f t="shared" si="317"/>
        <v>1877.4193548387095</v>
      </c>
      <c r="N613" s="173">
        <f t="shared" si="308"/>
        <v>1890</v>
      </c>
      <c r="O613" s="134">
        <f>VLOOKUP($A613,'Выгр Кат'!$A:$S,O$1,0)</f>
        <v>1455</v>
      </c>
      <c r="P613" s="134">
        <f>VLOOKUP($A613,'Выгр Кат'!$A:$S,P$1,0)</f>
        <v>1890</v>
      </c>
      <c r="Q613" s="107">
        <f t="shared" si="309"/>
        <v>0</v>
      </c>
      <c r="R613" s="107">
        <f t="shared" si="310"/>
        <v>0</v>
      </c>
      <c r="S613" s="110">
        <f t="shared" si="311"/>
        <v>1757.6999999999998</v>
      </c>
      <c r="T613" s="135">
        <f t="shared" si="312"/>
        <v>0.20804123711340194</v>
      </c>
      <c r="U613" s="135" t="str">
        <f t="shared" si="313"/>
        <v/>
      </c>
      <c r="V613" s="135" t="str">
        <f t="shared" si="314"/>
        <v/>
      </c>
      <c r="W613" s="45"/>
      <c r="X613" s="114" t="str">
        <f>IFERROR((VLOOKUP($A613,'ИЗ ГУГЛА'!$B:$G,X$1,0)+Z613)*Y613,VLOOKUP($A613,'ИЗ ГУГЛА'!$B:$G,X$1,0))</f>
        <v/>
      </c>
      <c r="Y613" s="108">
        <v>1</v>
      </c>
      <c r="Z613" s="46"/>
      <c r="AA613" s="139" t="s">
        <v>1821</v>
      </c>
      <c r="AB613" s="124"/>
      <c r="AC613" s="114" t="str">
        <f>IFERROR((VLOOKUP($A613,'ИЗ ГУГЛА'!$B:$Z,AC$1,0)+AE613)*AD613,VLOOKUP($A613,'ИЗ ГУГЛА'!$B:$Z,AC$1,0))</f>
        <v/>
      </c>
      <c r="AD613" s="108">
        <v>1</v>
      </c>
      <c r="AE613" s="46"/>
      <c r="AF613" s="115"/>
    </row>
    <row r="614" spans="1:32" s="5" customFormat="1" ht="45.75" thickBot="1" x14ac:dyDescent="0.3">
      <c r="A614" s="132">
        <v>204322</v>
      </c>
      <c r="B614" s="132">
        <f>VLOOKUP($A614,'Выгр Кат'!$A:$S,B$1,0)</f>
        <v>35487</v>
      </c>
      <c r="C614" s="133" t="str">
        <f>VLOOKUP($A614,'Выгр Кат'!$A:$S,C$1,0)</f>
        <v>Уплотнители (бархотки) "БРТ" опускного стекла Н/О для ВАЗ 2109, 21099, 2114, 2115</v>
      </c>
      <c r="D614" s="132" t="str">
        <f>VLOOKUP($A614,'Выгр Кат'!$A:$S,D$1,0)</f>
        <v>Y</v>
      </c>
      <c r="E614" s="132" t="str">
        <f>VLOOKUP($A614,'Выгр Кат'!$A:$S,E$1,0)</f>
        <v>1</v>
      </c>
      <c r="F614" s="132" t="str">
        <f>VLOOKUP($A614,'Выгр Кат'!$A:$S,F$1,0)</f>
        <v>2109-6103290-10Р, 2109-6103320-10Р, 2109-6203290-10Р, 2109-6203320-10Р</v>
      </c>
      <c r="G614" s="35" t="s">
        <v>1218</v>
      </c>
      <c r="H614" s="29"/>
      <c r="I614" s="4" t="s">
        <v>2</v>
      </c>
      <c r="J614" s="95">
        <v>1</v>
      </c>
      <c r="K614" s="168">
        <f t="shared" si="315"/>
        <v>1327</v>
      </c>
      <c r="L614" s="167">
        <f>VLOOKUP(K614,Наценка!$A$1:$B$8,2,1)</f>
        <v>1.2903225806451613</v>
      </c>
      <c r="M614" s="148">
        <f>W614*1.05</f>
        <v>1984.5</v>
      </c>
      <c r="N614" s="173">
        <f t="shared" si="308"/>
        <v>1990</v>
      </c>
      <c r="O614" s="134">
        <f>VLOOKUP($A614,'Выгр Кат'!$A:$S,O$1,0)</f>
        <v>1327</v>
      </c>
      <c r="P614" s="134">
        <f>VLOOKUP($A614,'Выгр Кат'!$A:$S,P$1,0)</f>
        <v>1990</v>
      </c>
      <c r="Q614" s="107">
        <f t="shared" si="309"/>
        <v>0</v>
      </c>
      <c r="R614" s="107">
        <f t="shared" si="310"/>
        <v>0</v>
      </c>
      <c r="S614" s="110">
        <f t="shared" si="311"/>
        <v>1850.6999999999998</v>
      </c>
      <c r="T614" s="135">
        <f t="shared" si="312"/>
        <v>0.39464958553127349</v>
      </c>
      <c r="U614" s="135">
        <f t="shared" si="313"/>
        <v>2.0793650793650888E-2</v>
      </c>
      <c r="V614" s="135">
        <f t="shared" si="314"/>
        <v>0.42426525998492837</v>
      </c>
      <c r="W614" s="117">
        <f t="shared" ref="W614:W623" si="328">AA614</f>
        <v>1890</v>
      </c>
      <c r="X614" s="114">
        <f>IFERROR((VLOOKUP($A614,'ИЗ ГУГЛА'!$B:$G,X$1,0)+Z614)*Y614,VLOOKUP($A614,'ИЗ ГУГЛА'!$B:$G,X$1,0))</f>
        <v>1890</v>
      </c>
      <c r="Y614" s="108">
        <v>1</v>
      </c>
      <c r="Z614" s="46"/>
      <c r="AA614" s="136">
        <v>1890</v>
      </c>
      <c r="AB614" s="124" t="s">
        <v>2530</v>
      </c>
      <c r="AC614" s="114" t="str">
        <f>IFERROR((VLOOKUP($A614,'ИЗ ГУГЛА'!$B:$Z,AC$1,0)+AE614)*AD614,VLOOKUP($A614,'ИЗ ГУГЛА'!$B:$Z,AC$1,0))</f>
        <v/>
      </c>
      <c r="AD614" s="108">
        <v>1</v>
      </c>
      <c r="AE614" s="46"/>
      <c r="AF614" s="115"/>
    </row>
    <row r="615" spans="1:32" s="5" customFormat="1" ht="46.5" thickTop="1" thickBot="1" x14ac:dyDescent="0.3">
      <c r="A615" s="132">
        <v>223295</v>
      </c>
      <c r="B615" s="132">
        <f>VLOOKUP($A615,'Выгр Кат'!$A:$S,B$1,0)</f>
        <v>36980</v>
      </c>
      <c r="C615" s="133" t="str">
        <f>VLOOKUP($A615,'Выгр Кат'!$A:$S,C$1,0)</f>
        <v>Уплотнитель стекла ветрового окна "БРТ" комплект (верх+низ) для Шевроле Нива</v>
      </c>
      <c r="D615" s="132" t="str">
        <f>VLOOKUP($A615,'Выгр Кат'!$A:$S,D$1,0)</f>
        <v>Y</v>
      </c>
      <c r="E615" s="132" t="str">
        <f>VLOOKUP($A615,'Выгр Кат'!$A:$S,E$1,0)</f>
        <v>1</v>
      </c>
      <c r="F615" s="132" t="str">
        <f>VLOOKUP($A615,'Выгр Кат'!$A:$S,F$1,0)</f>
        <v>2123-5206062 / 2123-8212736</v>
      </c>
      <c r="G615" s="44" t="s">
        <v>778</v>
      </c>
      <c r="H615" s="29"/>
      <c r="I615" s="7" t="s">
        <v>2</v>
      </c>
      <c r="J615" s="95">
        <v>1</v>
      </c>
      <c r="K615" s="168">
        <f t="shared" si="315"/>
        <v>1400</v>
      </c>
      <c r="L615" s="167">
        <f>VLOOKUP(K615,Наценка!$A$1:$B$8,2,1)</f>
        <v>1.2903225806451613</v>
      </c>
      <c r="M615" s="172">
        <f t="shared" si="317"/>
        <v>1806.4516129032259</v>
      </c>
      <c r="N615" s="173">
        <f t="shared" si="308"/>
        <v>1890</v>
      </c>
      <c r="O615" s="134">
        <f>VLOOKUP($A615,'Выгр Кат'!$A:$S,O$1,0)</f>
        <v>1400</v>
      </c>
      <c r="P615" s="134">
        <f>VLOOKUP($A615,'Выгр Кат'!$A:$S,P$1,0)</f>
        <v>1890</v>
      </c>
      <c r="Q615" s="107">
        <f t="shared" si="309"/>
        <v>0</v>
      </c>
      <c r="R615" s="107">
        <f t="shared" si="310"/>
        <v>0</v>
      </c>
      <c r="S615" s="110">
        <f t="shared" si="311"/>
        <v>1757.6999999999998</v>
      </c>
      <c r="T615" s="135">
        <f t="shared" si="312"/>
        <v>0.25549999999999984</v>
      </c>
      <c r="U615" s="135">
        <f t="shared" si="313"/>
        <v>-0.33260045489006812</v>
      </c>
      <c r="V615" s="135">
        <f t="shared" si="314"/>
        <v>-5.7857142857142829E-2</v>
      </c>
      <c r="W615" s="117">
        <f t="shared" si="328"/>
        <v>1319</v>
      </c>
      <c r="X615" s="114">
        <f>IFERROR((VLOOKUP($A615,'ИЗ ГУГЛА'!$B:$G,X$1,0)+Z615)*Y615,VLOOKUP($A615,'ИЗ ГУГЛА'!$B:$G,X$1,0))</f>
        <v>1319</v>
      </c>
      <c r="Y615" s="108">
        <v>1</v>
      </c>
      <c r="Z615" s="113">
        <v>329</v>
      </c>
      <c r="AA615" s="138">
        <v>1319</v>
      </c>
      <c r="AB615" s="124" t="s">
        <v>2529</v>
      </c>
      <c r="AC615" s="114" t="str">
        <f>IFERROR((VLOOKUP($A615,'ИЗ ГУГЛА'!$B:$Z,AC$1,0)+AE615)*AD615,VLOOKUP($A615,'ИЗ ГУГЛА'!$B:$Z,AC$1,0))</f>
        <v/>
      </c>
      <c r="AD615" s="108">
        <v>1</v>
      </c>
      <c r="AE615" s="113">
        <v>329</v>
      </c>
      <c r="AF615" s="115"/>
    </row>
    <row r="616" spans="1:32" s="5" customFormat="1" ht="45.75" thickTop="1" x14ac:dyDescent="0.25">
      <c r="A616" s="132">
        <v>204283</v>
      </c>
      <c r="B616" s="132">
        <f>VLOOKUP($A616,'Выгр Кат'!$A:$S,B$1,0)</f>
        <v>20370</v>
      </c>
      <c r="C616" s="133" t="str">
        <f>VLOOKUP($A616,'Выгр Кат'!$A:$S,C$1,0)</f>
        <v>Ремень ГРМ зубчатый "БРТ" для ВАЗ 2110-2112 (с 16 клапанными инжекторными двигателями)</v>
      </c>
      <c r="D616" s="132" t="str">
        <f>VLOOKUP($A616,'Выгр Кат'!$A:$S,D$1,0)</f>
        <v>Y</v>
      </c>
      <c r="E616" s="132" t="str">
        <f>VLOOKUP($A616,'Выгр Кат'!$A:$S,E$1,0)</f>
        <v>1</v>
      </c>
      <c r="F616" s="132" t="str">
        <f>VLOOKUP($A616,'Выгр Кат'!$A:$S,F$1,0)</f>
        <v>2112-1006040-02РУ</v>
      </c>
      <c r="G616" s="33" t="s">
        <v>672</v>
      </c>
      <c r="H616" s="29"/>
      <c r="I616" s="4" t="s">
        <v>2</v>
      </c>
      <c r="J616" s="95">
        <v>1</v>
      </c>
      <c r="K616" s="168">
        <f t="shared" si="315"/>
        <v>1303</v>
      </c>
      <c r="L616" s="167">
        <f>VLOOKUP(K616,Наценка!$A$1:$B$8,2,1)</f>
        <v>1.2903225806451613</v>
      </c>
      <c r="M616" s="148">
        <f>W616*1.06</f>
        <v>1685.4</v>
      </c>
      <c r="N616" s="173">
        <f t="shared" si="308"/>
        <v>1690</v>
      </c>
      <c r="O616" s="134">
        <f>VLOOKUP($A616,'Выгр Кат'!$A:$S,O$1,0)</f>
        <v>1303</v>
      </c>
      <c r="P616" s="134">
        <f>VLOOKUP($A616,'Выгр Кат'!$A:$S,P$1,0)</f>
        <v>1690</v>
      </c>
      <c r="Q616" s="107">
        <f t="shared" si="309"/>
        <v>0</v>
      </c>
      <c r="R616" s="107">
        <f t="shared" si="310"/>
        <v>0</v>
      </c>
      <c r="S616" s="110">
        <f t="shared" si="311"/>
        <v>1571.6999999999998</v>
      </c>
      <c r="T616" s="135">
        <f t="shared" si="312"/>
        <v>0.20621642363775883</v>
      </c>
      <c r="U616" s="135">
        <f t="shared" si="313"/>
        <v>1.1509433962264266E-2</v>
      </c>
      <c r="V616" s="135">
        <f t="shared" si="314"/>
        <v>0.22026093630084431</v>
      </c>
      <c r="W616" s="117">
        <f t="shared" si="328"/>
        <v>1590</v>
      </c>
      <c r="X616" s="114">
        <f>IFERROR((VLOOKUP($A616,'ИЗ ГУГЛА'!$B:$G,X$1,0)+Z616)*Y616,VLOOKUP($A616,'ИЗ ГУГЛА'!$B:$G,X$1,0))</f>
        <v>1590</v>
      </c>
      <c r="Y616" s="108">
        <v>1</v>
      </c>
      <c r="Z616" s="46"/>
      <c r="AA616" s="139">
        <v>1590</v>
      </c>
      <c r="AB616" s="124" t="s">
        <v>2835</v>
      </c>
      <c r="AC616" s="114" t="str">
        <f>IFERROR((VLOOKUP($A616,'ИЗ ГУГЛА'!$B:$Z,AC$1,0)+AE616)*AD616,VLOOKUP($A616,'ИЗ ГУГЛА'!$B:$Z,AC$1,0))</f>
        <v/>
      </c>
      <c r="AD616" s="108">
        <v>1</v>
      </c>
      <c r="AE616" s="46"/>
      <c r="AF616" s="115"/>
    </row>
    <row r="617" spans="1:32" s="5" customFormat="1" ht="45.75" thickBot="1" x14ac:dyDescent="0.3">
      <c r="A617" s="132">
        <v>164794</v>
      </c>
      <c r="B617" s="132">
        <f>VLOOKUP($A617,'Выгр Кат'!$A:$S,B$1,0)</f>
        <v>20299</v>
      </c>
      <c r="C617" s="133" t="str">
        <f>VLOOKUP($A617,'Выгр Кат'!$A:$S,C$1,0)</f>
        <v>Муфта эластичная переднего карданного вала "БРТ" для Шевроле Нива</v>
      </c>
      <c r="D617" s="132" t="str">
        <f>VLOOKUP($A617,'Выгр Кат'!$A:$S,D$1,0)</f>
        <v>Y</v>
      </c>
      <c r="E617" s="132" t="str">
        <f>VLOOKUP($A617,'Выгр Кат'!$A:$S,E$1,0)</f>
        <v>1</v>
      </c>
      <c r="F617" s="132" t="str">
        <f>VLOOKUP($A617,'Выгр Кат'!$A:$S,F$1,0)</f>
        <v>2123-2202120РУ</v>
      </c>
      <c r="G617" s="43" t="s">
        <v>504</v>
      </c>
      <c r="H617" s="29"/>
      <c r="I617" s="4" t="s">
        <v>2</v>
      </c>
      <c r="J617" s="95">
        <v>1</v>
      </c>
      <c r="K617" s="168">
        <f t="shared" si="315"/>
        <v>1326</v>
      </c>
      <c r="L617" s="167">
        <f>VLOOKUP(K617,Наценка!$A$1:$B$8,2,1)</f>
        <v>1.2903225806451613</v>
      </c>
      <c r="M617" s="172">
        <f t="shared" si="317"/>
        <v>1710.9677419354839</v>
      </c>
      <c r="N617" s="173">
        <f t="shared" si="308"/>
        <v>1790</v>
      </c>
      <c r="O617" s="134">
        <f>VLOOKUP($A617,'Выгр Кат'!$A:$S,O$1,0)</f>
        <v>1326</v>
      </c>
      <c r="P617" s="134">
        <f>VLOOKUP($A617,'Выгр Кат'!$A:$S,P$1,0)</f>
        <v>1790</v>
      </c>
      <c r="Q617" s="107">
        <f t="shared" si="309"/>
        <v>0</v>
      </c>
      <c r="R617" s="107">
        <f t="shared" si="310"/>
        <v>0</v>
      </c>
      <c r="S617" s="110">
        <f t="shared" si="311"/>
        <v>1664.6999999999998</v>
      </c>
      <c r="T617" s="135">
        <f t="shared" si="312"/>
        <v>0.25542986425339342</v>
      </c>
      <c r="U617" s="135">
        <f t="shared" si="313"/>
        <v>-0.29046511627906962</v>
      </c>
      <c r="V617" s="135">
        <f t="shared" si="314"/>
        <v>-2.714932126696834E-2</v>
      </c>
      <c r="W617" s="117">
        <f t="shared" si="328"/>
        <v>1290</v>
      </c>
      <c r="X617" s="114">
        <f>IFERROR((VLOOKUP($A617,'ИЗ ГУГЛА'!$B:$G,X$1,0)+Z617)*Y617,VLOOKUP($A617,'ИЗ ГУГЛА'!$B:$G,X$1,0))</f>
        <v>1290</v>
      </c>
      <c r="Y617" s="108">
        <v>1</v>
      </c>
      <c r="Z617" s="46"/>
      <c r="AA617" s="136">
        <v>1290</v>
      </c>
      <c r="AB617" s="124" t="s">
        <v>2528</v>
      </c>
      <c r="AC617" s="114" t="str">
        <f>IFERROR((VLOOKUP($A617,'ИЗ ГУГЛА'!$B:$Z,AC$1,0)+AE617)*AD617,VLOOKUP($A617,'ИЗ ГУГЛА'!$B:$Z,AC$1,0))</f>
        <v/>
      </c>
      <c r="AD617" s="108">
        <v>1</v>
      </c>
      <c r="AE617" s="46"/>
      <c r="AF617" s="115"/>
    </row>
    <row r="618" spans="1:32" s="5" customFormat="1" ht="46.5" thickTop="1" thickBot="1" x14ac:dyDescent="0.3">
      <c r="A618" s="132">
        <v>181559</v>
      </c>
      <c r="B618" s="132">
        <f>VLOOKUP($A618,'Выгр Кат'!$A:$S,B$1,0)</f>
        <v>20268</v>
      </c>
      <c r="C618" s="133" t="str">
        <f>VLOOKUP($A618,'Выгр Кат'!$A:$S,C$1,0)</f>
        <v>Опора верхней стойки (с подшипником) "БРТ" для Лада Калина</v>
      </c>
      <c r="D618" s="132" t="str">
        <f>VLOOKUP($A618,'Выгр Кат'!$A:$S,D$1,0)</f>
        <v>Y</v>
      </c>
      <c r="E618" s="132" t="str">
        <f>VLOOKUP($A618,'Выгр Кат'!$A:$S,E$1,0)</f>
        <v>1</v>
      </c>
      <c r="F618" s="132" t="str">
        <f>VLOOKUP($A618,'Выгр Кат'!$A:$S,F$1,0)</f>
        <v>1118-2902821РПУ.</v>
      </c>
      <c r="G618" s="45" t="s">
        <v>225</v>
      </c>
      <c r="H618" s="29"/>
      <c r="I618" s="4" t="s">
        <v>2</v>
      </c>
      <c r="J618" s="95">
        <v>1</v>
      </c>
      <c r="K618" s="168">
        <f t="shared" si="315"/>
        <v>1407</v>
      </c>
      <c r="L618" s="167">
        <f>VLOOKUP(K618,Наценка!$A$1:$B$8,2,1)</f>
        <v>1.2903225806451613</v>
      </c>
      <c r="M618" s="172">
        <f t="shared" si="317"/>
        <v>1815.483870967742</v>
      </c>
      <c r="N618" s="173">
        <f t="shared" si="308"/>
        <v>1890</v>
      </c>
      <c r="O618" s="134">
        <f>VLOOKUP($A618,'Выгр Кат'!$A:$S,O$1,0)</f>
        <v>1407</v>
      </c>
      <c r="P618" s="134">
        <f>VLOOKUP($A618,'Выгр Кат'!$A:$S,P$1,0)</f>
        <v>1890</v>
      </c>
      <c r="Q618" s="107">
        <f t="shared" si="309"/>
        <v>0</v>
      </c>
      <c r="R618" s="107">
        <f t="shared" si="310"/>
        <v>0</v>
      </c>
      <c r="S618" s="110">
        <f t="shared" si="311"/>
        <v>1757.6999999999998</v>
      </c>
      <c r="T618" s="135">
        <f t="shared" si="312"/>
        <v>0.24925373134328344</v>
      </c>
      <c r="U618" s="135">
        <f t="shared" si="313"/>
        <v>-0.26453237410071928</v>
      </c>
      <c r="V618" s="135">
        <f t="shared" si="314"/>
        <v>-1.2082444918265822E-2</v>
      </c>
      <c r="W618" s="117">
        <f t="shared" si="328"/>
        <v>1390</v>
      </c>
      <c r="X618" s="114">
        <f>IFERROR((VLOOKUP($A618,'ИЗ ГУГЛА'!$B:$G,X$1,0)+Z618)*Y618,VLOOKUP($A618,'ИЗ ГУГЛА'!$B:$G,X$1,0))</f>
        <v>1390</v>
      </c>
      <c r="Y618" s="108">
        <v>1</v>
      </c>
      <c r="Z618" s="46"/>
      <c r="AA618" s="136">
        <v>1390</v>
      </c>
      <c r="AB618" s="124" t="s">
        <v>2527</v>
      </c>
      <c r="AC618" s="114" t="str">
        <f>IFERROR((VLOOKUP($A618,'ИЗ ГУГЛА'!$B:$Z,AC$1,0)+AE618)*AD618,VLOOKUP($A618,'ИЗ ГУГЛА'!$B:$Z,AC$1,0))</f>
        <v/>
      </c>
      <c r="AD618" s="108">
        <v>1</v>
      </c>
      <c r="AE618" s="46"/>
      <c r="AF618" s="115"/>
    </row>
    <row r="619" spans="1:32" s="5" customFormat="1" ht="31.5" thickTop="1" thickBot="1" x14ac:dyDescent="0.3">
      <c r="A619" s="132">
        <v>181756</v>
      </c>
      <c r="B619" s="132">
        <f>VLOOKUP($A619,'Выгр Кат'!$A:$S,B$1,0)</f>
        <v>13588</v>
      </c>
      <c r="C619" s="133" t="str">
        <f>VLOOKUP($A619,'Выгр Кат'!$A:$S,C$1,0)</f>
        <v>Опора стойки передней подвески 1118 с подшипником "БРТ"</v>
      </c>
      <c r="D619" s="132" t="str">
        <f>VLOOKUP($A619,'Выгр Кат'!$A:$S,D$1,0)</f>
        <v>Y</v>
      </c>
      <c r="E619" s="132" t="str">
        <f>VLOOKUP($A619,'Выгр Кат'!$A:$S,E$1,0)</f>
        <v>1</v>
      </c>
      <c r="F619" s="132" t="str">
        <f>VLOOKUP($A619,'Выгр Кат'!$A:$S,F$1,0)</f>
        <v>11180290282110</v>
      </c>
      <c r="G619" s="45" t="s">
        <v>225</v>
      </c>
      <c r="H619" s="29"/>
      <c r="I619" s="4" t="s">
        <v>2</v>
      </c>
      <c r="J619" s="95">
        <v>1</v>
      </c>
      <c r="K619" s="168">
        <f t="shared" si="315"/>
        <v>1407</v>
      </c>
      <c r="L619" s="167">
        <f>VLOOKUP(K619,Наценка!$A$1:$B$8,2,1)</f>
        <v>1.2903225806451613</v>
      </c>
      <c r="M619" s="172">
        <f t="shared" si="317"/>
        <v>1815.483870967742</v>
      </c>
      <c r="N619" s="173">
        <f t="shared" si="308"/>
        <v>1890</v>
      </c>
      <c r="O619" s="134">
        <f>VLOOKUP($A619,'Выгр Кат'!$A:$S,O$1,0)</f>
        <v>1407</v>
      </c>
      <c r="P619" s="134">
        <f>VLOOKUP($A619,'Выгр Кат'!$A:$S,P$1,0)</f>
        <v>1890</v>
      </c>
      <c r="Q619" s="107">
        <f t="shared" si="309"/>
        <v>0</v>
      </c>
      <c r="R619" s="107">
        <f t="shared" si="310"/>
        <v>0</v>
      </c>
      <c r="S619" s="110">
        <f t="shared" si="311"/>
        <v>1757.6999999999998</v>
      </c>
      <c r="T619" s="135">
        <f t="shared" si="312"/>
        <v>0.24925373134328344</v>
      </c>
      <c r="U619" s="135">
        <f t="shared" si="313"/>
        <v>-0.26453237410071928</v>
      </c>
      <c r="V619" s="135">
        <f t="shared" si="314"/>
        <v>-1.2082444918265822E-2</v>
      </c>
      <c r="W619" s="117">
        <f t="shared" si="328"/>
        <v>1390</v>
      </c>
      <c r="X619" s="114">
        <f>IFERROR((VLOOKUP($A619,'ИЗ ГУГЛА'!$B:$G,X$1,0)+Z619)*Y619,VLOOKUP($A619,'ИЗ ГУГЛА'!$B:$G,X$1,0))</f>
        <v>1390</v>
      </c>
      <c r="Y619" s="108">
        <v>1</v>
      </c>
      <c r="Z619" s="46"/>
      <c r="AA619" s="136">
        <v>1390</v>
      </c>
      <c r="AB619" s="124" t="s">
        <v>2527</v>
      </c>
      <c r="AC619" s="114" t="str">
        <f>IFERROR((VLOOKUP($A619,'ИЗ ГУГЛА'!$B:$Z,AC$1,0)+AE619)*AD619,VLOOKUP($A619,'ИЗ ГУГЛА'!$B:$Z,AC$1,0))</f>
        <v/>
      </c>
      <c r="AD619" s="108">
        <v>1</v>
      </c>
      <c r="AE619" s="46"/>
      <c r="AF619" s="115"/>
    </row>
    <row r="620" spans="1:32" s="5" customFormat="1" ht="61.5" thickTop="1" thickBot="1" x14ac:dyDescent="0.3">
      <c r="A620" s="132">
        <v>139156</v>
      </c>
      <c r="B620" s="132">
        <f>VLOOKUP($A620,'Выгр Кат'!$A:$S,B$1,0)</f>
        <v>16877</v>
      </c>
      <c r="C620" s="133" t="str">
        <f>VLOOKUP($A620,'Выгр Кат'!$A:$S,C$1,0)</f>
        <v>Верхние уплотнители дверей (водосток) "БРТ" для Лада Калина, Калина 2, Гранта, Гранта FL (седан, хэтчбек)</v>
      </c>
      <c r="D620" s="132" t="str">
        <f>VLOOKUP($A620,'Выгр Кат'!$A:$S,D$1,0)</f>
        <v>Y</v>
      </c>
      <c r="E620" s="132" t="str">
        <f>VLOOKUP($A620,'Выгр Кат'!$A:$S,E$1,0)</f>
        <v>1</v>
      </c>
      <c r="F620" s="132">
        <f>VLOOKUP($A620,'Выгр Кат'!$A:$S,F$1,0)</f>
        <v>0</v>
      </c>
      <c r="G620" s="101" t="s">
        <v>1512</v>
      </c>
      <c r="H620" s="29"/>
      <c r="I620" s="4" t="s">
        <v>2</v>
      </c>
      <c r="J620" s="95">
        <v>1</v>
      </c>
      <c r="K620" s="168">
        <f t="shared" si="315"/>
        <v>1450</v>
      </c>
      <c r="L620" s="167">
        <f>VLOOKUP(K620,Наценка!$A$1:$B$8,2,1)</f>
        <v>1.2903225806451613</v>
      </c>
      <c r="M620" s="148">
        <f t="shared" ref="M620:M623" si="329">W620*1.06</f>
        <v>1897.4</v>
      </c>
      <c r="N620" s="173">
        <f t="shared" si="308"/>
        <v>1890</v>
      </c>
      <c r="O620" s="134">
        <f>VLOOKUP($A620,'Выгр Кат'!$A:$S,O$1,0)</f>
        <v>1450</v>
      </c>
      <c r="P620" s="134">
        <f>VLOOKUP($A620,'Выгр Кат'!$A:$S,P$1,0)</f>
        <v>1890</v>
      </c>
      <c r="Q620" s="107">
        <f t="shared" si="309"/>
        <v>0</v>
      </c>
      <c r="R620" s="107">
        <f t="shared" si="310"/>
        <v>0</v>
      </c>
      <c r="S620" s="110">
        <f t="shared" si="311"/>
        <v>1757.6999999999998</v>
      </c>
      <c r="T620" s="135">
        <f t="shared" si="312"/>
        <v>0.21220689655172409</v>
      </c>
      <c r="U620" s="135">
        <f t="shared" si="313"/>
        <v>1.8044692737430271E-2</v>
      </c>
      <c r="V620" s="135">
        <f t="shared" si="314"/>
        <v>0.23448275862068968</v>
      </c>
      <c r="W620" s="117">
        <f t="shared" si="328"/>
        <v>1790</v>
      </c>
      <c r="X620" s="114">
        <f>IFERROR((VLOOKUP($A620,'ИЗ ГУГЛА'!$B:$G,X$1,0)+Z620)*Y620,VLOOKUP($A620,'ИЗ ГУГЛА'!$B:$G,X$1,0))</f>
        <v>1790</v>
      </c>
      <c r="Y620" s="46">
        <v>1</v>
      </c>
      <c r="Z620" s="46"/>
      <c r="AA620" s="138">
        <v>1790</v>
      </c>
      <c r="AB620" s="124" t="s">
        <v>2308</v>
      </c>
      <c r="AC620" s="114" t="str">
        <f>IFERROR((VLOOKUP($A620,'ИЗ ГУГЛА'!$B:$Z,AC$1,0)+AE620)*AD620,VLOOKUP($A620,'ИЗ ГУГЛА'!$B:$Z,AC$1,0))</f>
        <v/>
      </c>
      <c r="AD620" s="46">
        <v>1</v>
      </c>
      <c r="AE620" s="46"/>
      <c r="AF620" s="115"/>
    </row>
    <row r="621" spans="1:32" s="5" customFormat="1" ht="61.5" thickTop="1" thickBot="1" x14ac:dyDescent="0.3">
      <c r="A621" s="132">
        <v>139157</v>
      </c>
      <c r="B621" s="132">
        <f>VLOOKUP($A621,'Выгр Кат'!$A:$S,B$1,0)</f>
        <v>34069</v>
      </c>
      <c r="C621" s="133" t="str">
        <f>VLOOKUP($A621,'Выгр Кат'!$A:$S,C$1,0)</f>
        <v>Верхние уплотнители дверей (водосток) "БРТ" для Лада Калина, Калина 2, Гранта, Гранта FL (универсал, лифтбек)</v>
      </c>
      <c r="D621" s="132" t="str">
        <f>VLOOKUP($A621,'Выгр Кат'!$A:$S,D$1,0)</f>
        <v>Y</v>
      </c>
      <c r="E621" s="132" t="str">
        <f>VLOOKUP($A621,'Выгр Кат'!$A:$S,E$1,0)</f>
        <v>1</v>
      </c>
      <c r="F621" s="132">
        <f>VLOOKUP($A621,'Выгр Кат'!$A:$S,F$1,0)</f>
        <v>0</v>
      </c>
      <c r="G621" s="101" t="s">
        <v>1512</v>
      </c>
      <c r="H621" s="29"/>
      <c r="I621" s="4" t="s">
        <v>2</v>
      </c>
      <c r="J621" s="95">
        <v>1</v>
      </c>
      <c r="K621" s="168">
        <f t="shared" si="315"/>
        <v>1560</v>
      </c>
      <c r="L621" s="167">
        <f>VLOOKUP(K621,Наценка!$A$1:$B$8,2,1)</f>
        <v>1.2903225806451613</v>
      </c>
      <c r="M621" s="151">
        <f>K621*1.2*100/93</f>
        <v>2012.9032258064517</v>
      </c>
      <c r="N621" s="173">
        <f t="shared" si="308"/>
        <v>2090</v>
      </c>
      <c r="O621" s="134">
        <f>VLOOKUP($A621,'Выгр Кат'!$A:$S,O$1,0)</f>
        <v>1560</v>
      </c>
      <c r="P621" s="134">
        <f>VLOOKUP($A621,'Выгр Кат'!$A:$S,P$1,0)</f>
        <v>2090</v>
      </c>
      <c r="Q621" s="107">
        <f t="shared" si="309"/>
        <v>0</v>
      </c>
      <c r="R621" s="107">
        <f t="shared" si="310"/>
        <v>0</v>
      </c>
      <c r="S621" s="110">
        <f t="shared" si="311"/>
        <v>1943.6999999999998</v>
      </c>
      <c r="T621" s="135">
        <f t="shared" si="312"/>
        <v>0.24596153846153834</v>
      </c>
      <c r="U621" s="135">
        <f t="shared" si="313"/>
        <v>-2.8412698412698317E-2</v>
      </c>
      <c r="V621" s="135">
        <f t="shared" si="314"/>
        <v>0.21153846153846145</v>
      </c>
      <c r="W621" s="117">
        <f t="shared" si="328"/>
        <v>1890</v>
      </c>
      <c r="X621" s="114">
        <f>IFERROR((VLOOKUP($A621,'ИЗ ГУГЛА'!$B:$G,X$1,0)+Z621)*Y621,VLOOKUP($A621,'ИЗ ГУГЛА'!$B:$G,X$1,0))</f>
        <v>1890</v>
      </c>
      <c r="Y621" s="46">
        <v>1</v>
      </c>
      <c r="Z621" s="46"/>
      <c r="AA621" s="138">
        <v>1890</v>
      </c>
      <c r="AB621" s="124" t="s">
        <v>2309</v>
      </c>
      <c r="AC621" s="114" t="str">
        <f>IFERROR((VLOOKUP($A621,'ИЗ ГУГЛА'!$B:$Z,AC$1,0)+AE621)*AD621,VLOOKUP($A621,'ИЗ ГУГЛА'!$B:$Z,AC$1,0))</f>
        <v/>
      </c>
      <c r="AD621" s="46">
        <v>1</v>
      </c>
      <c r="AE621" s="46"/>
      <c r="AF621" s="115"/>
    </row>
    <row r="622" spans="1:32" s="5" customFormat="1" ht="31.5" thickTop="1" thickBot="1" x14ac:dyDescent="0.3">
      <c r="A622" s="132">
        <v>136591</v>
      </c>
      <c r="B622" s="132">
        <f>VLOOKUP($A622,'Выгр Кат'!$A:$S,B$1,0)</f>
        <v>22505</v>
      </c>
      <c r="C622" s="133" t="str">
        <f>VLOOKUP($A622,'Выгр Кат'!$A:$S,C$1,0)</f>
        <v>Бархотки на двери "БРТ" наружные для ВАЗ 2111</v>
      </c>
      <c r="D622" s="132" t="str">
        <f>VLOOKUP($A622,'Выгр Кат'!$A:$S,D$1,0)</f>
        <v>Y</v>
      </c>
      <c r="E622" s="132" t="str">
        <f>VLOOKUP($A622,'Выгр Кат'!$A:$S,E$1,0)</f>
        <v>1</v>
      </c>
      <c r="F622" s="132" t="str">
        <f>VLOOKUP($A622,'Выгр Кат'!$A:$S,F$1,0)</f>
        <v>2111-6203290 / 2111-6203291 / 2110-6103290 / 2110-6103291</v>
      </c>
      <c r="G622" s="45" t="s">
        <v>1232</v>
      </c>
      <c r="H622" s="29"/>
      <c r="I622" s="4" t="s">
        <v>2</v>
      </c>
      <c r="J622" s="95">
        <v>1</v>
      </c>
      <c r="K622" s="168">
        <f t="shared" si="315"/>
        <v>1434</v>
      </c>
      <c r="L622" s="167">
        <f>VLOOKUP(K622,Наценка!$A$1:$B$8,2,1)</f>
        <v>1.2903225806451613</v>
      </c>
      <c r="M622" s="148">
        <f t="shared" si="329"/>
        <v>1897.4</v>
      </c>
      <c r="N622" s="173">
        <f t="shared" si="308"/>
        <v>1890</v>
      </c>
      <c r="O622" s="134">
        <f>VLOOKUP($A622,'Выгр Кат'!$A:$S,O$1,0)</f>
        <v>1434</v>
      </c>
      <c r="P622" s="134">
        <f>VLOOKUP($A622,'Выгр Кат'!$A:$S,P$1,0)</f>
        <v>1890</v>
      </c>
      <c r="Q622" s="107">
        <f t="shared" si="309"/>
        <v>0</v>
      </c>
      <c r="R622" s="107">
        <f t="shared" si="310"/>
        <v>0</v>
      </c>
      <c r="S622" s="110">
        <f t="shared" si="311"/>
        <v>1757.6999999999998</v>
      </c>
      <c r="T622" s="135">
        <f t="shared" si="312"/>
        <v>0.22573221757322171</v>
      </c>
      <c r="U622" s="135">
        <f t="shared" si="313"/>
        <v>1.8044692737430271E-2</v>
      </c>
      <c r="V622" s="135">
        <f t="shared" si="314"/>
        <v>0.24825662482566258</v>
      </c>
      <c r="W622" s="117">
        <f t="shared" si="328"/>
        <v>1790</v>
      </c>
      <c r="X622" s="114">
        <f>IFERROR((VLOOKUP($A622,'ИЗ ГУГЛА'!$B:$G,X$1,0)+Z622)*Y622,VLOOKUP($A622,'ИЗ ГУГЛА'!$B:$G,X$1,0))</f>
        <v>1790</v>
      </c>
      <c r="Y622" s="46">
        <v>1</v>
      </c>
      <c r="Z622" s="46"/>
      <c r="AA622" s="138">
        <v>1790</v>
      </c>
      <c r="AB622" s="124" t="s">
        <v>2268</v>
      </c>
      <c r="AC622" s="114" t="str">
        <f>IFERROR((VLOOKUP($A622,'ИЗ ГУГЛА'!$B:$Z,AC$1,0)+AE622)*AD622,VLOOKUP($A622,'ИЗ ГУГЛА'!$B:$Z,AC$1,0))</f>
        <v/>
      </c>
      <c r="AD622" s="46">
        <v>1</v>
      </c>
      <c r="AE622" s="46"/>
      <c r="AF622" s="115"/>
    </row>
    <row r="623" spans="1:32" s="5" customFormat="1" ht="30.75" thickTop="1" x14ac:dyDescent="0.25">
      <c r="A623" s="132">
        <v>136590</v>
      </c>
      <c r="B623" s="132">
        <f>VLOOKUP($A623,'Выгр Кат'!$A:$S,B$1,0)</f>
        <v>6161</v>
      </c>
      <c r="C623" s="133" t="str">
        <f>VLOOKUP($A623,'Выгр Кат'!$A:$S,C$1,0)</f>
        <v>Бархотки на двери "БРТ" наружные для ВАЗ 2110-2112</v>
      </c>
      <c r="D623" s="132" t="str">
        <f>VLOOKUP($A623,'Выгр Кат'!$A:$S,D$1,0)</f>
        <v>Y</v>
      </c>
      <c r="E623" s="132" t="str">
        <f>VLOOKUP($A623,'Выгр Кат'!$A:$S,E$1,0)</f>
        <v>1</v>
      </c>
      <c r="F623" s="132">
        <f>VLOOKUP($A623,'Выгр Кат'!$A:$S,F$1,0)</f>
        <v>0</v>
      </c>
      <c r="G623" s="43" t="s">
        <v>1232</v>
      </c>
      <c r="H623" s="29"/>
      <c r="I623" s="4" t="s">
        <v>2</v>
      </c>
      <c r="J623" s="95">
        <v>1</v>
      </c>
      <c r="K623" s="168">
        <f t="shared" si="315"/>
        <v>1434</v>
      </c>
      <c r="L623" s="167">
        <f>VLOOKUP(K623,Наценка!$A$1:$B$8,2,1)</f>
        <v>1.2903225806451613</v>
      </c>
      <c r="M623" s="151">
        <f>K623*1.2*100/93</f>
        <v>1850.3225806451612</v>
      </c>
      <c r="N623" s="173">
        <f t="shared" si="308"/>
        <v>1890</v>
      </c>
      <c r="O623" s="134">
        <f>VLOOKUP($A623,'Выгр Кат'!$A:$S,O$1,0)</f>
        <v>1434</v>
      </c>
      <c r="P623" s="134">
        <f>VLOOKUP($A623,'Выгр Кат'!$A:$S,P$1,0)</f>
        <v>1890</v>
      </c>
      <c r="Q623" s="107">
        <f t="shared" si="309"/>
        <v>0</v>
      </c>
      <c r="R623" s="107">
        <f t="shared" si="310"/>
        <v>0</v>
      </c>
      <c r="S623" s="110">
        <f t="shared" si="311"/>
        <v>1757.6999999999998</v>
      </c>
      <c r="T623" s="135">
        <f t="shared" si="312"/>
        <v>0.22573221757322171</v>
      </c>
      <c r="U623" s="135">
        <f t="shared" si="313"/>
        <v>-4.0059171597633031E-2</v>
      </c>
      <c r="V623" s="135">
        <f t="shared" si="314"/>
        <v>0.17852161785216181</v>
      </c>
      <c r="W623" s="117">
        <f t="shared" si="328"/>
        <v>1690</v>
      </c>
      <c r="X623" s="114">
        <f>IFERROR((VLOOKUP($A623,'ИЗ ГУГЛА'!$B:$G,X$1,0)+Z623)*Y623,VLOOKUP($A623,'ИЗ ГУГЛА'!$B:$G,X$1,0))</f>
        <v>1690</v>
      </c>
      <c r="Y623" s="108">
        <v>1</v>
      </c>
      <c r="Z623" s="46"/>
      <c r="AA623" s="139">
        <v>1690</v>
      </c>
      <c r="AB623" s="124" t="s">
        <v>2680</v>
      </c>
      <c r="AC623" s="114" t="str">
        <f>IFERROR((VLOOKUP($A623,'ИЗ ГУГЛА'!$B:$Z,AC$1,0)+AE623)*AD623,VLOOKUP($A623,'ИЗ ГУГЛА'!$B:$Z,AC$1,0))</f>
        <v/>
      </c>
      <c r="AD623" s="108">
        <v>1</v>
      </c>
      <c r="AE623" s="46"/>
      <c r="AF623" s="115"/>
    </row>
    <row r="624" spans="1:32" s="5" customFormat="1" ht="45.75" thickBot="1" x14ac:dyDescent="0.3">
      <c r="A624" s="132">
        <v>223222</v>
      </c>
      <c r="B624" s="132">
        <f>VLOOKUP($A624,'Выгр Кат'!$A:$S,B$1,0)</f>
        <v>5568</v>
      </c>
      <c r="C624" s="133" t="str">
        <f>VLOOKUP($A624,'Выгр Кат'!$A:$S,C$1,0)</f>
        <v>Уплотнитель "БРТ" на заднее стекло (окна двери задка) для ВАЗ 2108, 2109, 2113, 2114</v>
      </c>
      <c r="D624" s="132" t="str">
        <f>VLOOKUP($A624,'Выгр Кат'!$A:$S,D$1,0)</f>
        <v>Y</v>
      </c>
      <c r="E624" s="132" t="str">
        <f>VLOOKUP($A624,'Выгр Кат'!$A:$S,E$1,0)</f>
        <v>1</v>
      </c>
      <c r="F624" s="132" t="str">
        <f>VLOOKUP($A624,'Выгр Кат'!$A:$S,F$1,0)</f>
        <v>2108630301801</v>
      </c>
      <c r="G624" s="42" t="s">
        <v>361</v>
      </c>
      <c r="H624" s="40"/>
      <c r="I624" s="4" t="s">
        <v>2</v>
      </c>
      <c r="J624" s="95">
        <v>1</v>
      </c>
      <c r="K624" s="168">
        <f t="shared" si="315"/>
        <v>1500</v>
      </c>
      <c r="L624" s="167">
        <f>VLOOKUP(K624,Наценка!$A$1:$B$8,2,1)</f>
        <v>1.2903225806451613</v>
      </c>
      <c r="M624" s="172">
        <f t="shared" si="317"/>
        <v>1935.483870967742</v>
      </c>
      <c r="N624" s="173">
        <f t="shared" si="308"/>
        <v>1990</v>
      </c>
      <c r="O624" s="134">
        <f>VLOOKUP($A624,'Выгр Кат'!$A:$S,O$1,0)</f>
        <v>1500</v>
      </c>
      <c r="P624" s="134">
        <f>VLOOKUP($A624,'Выгр Кат'!$A:$S,P$1,0)</f>
        <v>1990</v>
      </c>
      <c r="Q624" s="107">
        <f t="shared" si="309"/>
        <v>0</v>
      </c>
      <c r="R624" s="107">
        <f t="shared" si="310"/>
        <v>0</v>
      </c>
      <c r="S624" s="110">
        <f t="shared" si="311"/>
        <v>1850.6999999999998</v>
      </c>
      <c r="T624" s="135">
        <f t="shared" si="312"/>
        <v>0.23379999999999979</v>
      </c>
      <c r="U624" s="135" t="str">
        <f t="shared" si="313"/>
        <v/>
      </c>
      <c r="V624" s="135" t="str">
        <f t="shared" si="314"/>
        <v/>
      </c>
      <c r="W624" s="45"/>
      <c r="X624" s="114" t="str">
        <f>IFERROR((VLOOKUP($A624,'ИЗ ГУГЛА'!$B:$G,X$1,0)+Z624)*Y624,VLOOKUP($A624,'ИЗ ГУГЛА'!$B:$G,X$1,0))</f>
        <v/>
      </c>
      <c r="Y624" s="108">
        <v>1</v>
      </c>
      <c r="Z624" s="46"/>
      <c r="AA624" s="140" t="s">
        <v>1821</v>
      </c>
      <c r="AB624" s="129"/>
      <c r="AC624" s="114" t="str">
        <f>IFERROR((VLOOKUP($A624,'ИЗ ГУГЛА'!$B:$Z,AC$1,0)+AE624)*AD624,VLOOKUP($A624,'ИЗ ГУГЛА'!$B:$Z,AC$1,0))</f>
        <v/>
      </c>
      <c r="AD624" s="108">
        <v>1</v>
      </c>
      <c r="AE624" s="46"/>
      <c r="AF624" s="115"/>
    </row>
    <row r="625" spans="1:32" s="5" customFormat="1" ht="46.5" thickTop="1" thickBot="1" x14ac:dyDescent="0.3">
      <c r="A625" s="132">
        <v>181561</v>
      </c>
      <c r="B625" s="132">
        <f>VLOOKUP($A625,'Выгр Кат'!$A:$S,B$1,0)</f>
        <v>20290</v>
      </c>
      <c r="C625" s="133" t="str">
        <f>VLOOKUP($A625,'Выгр Кат'!$A:$S,C$1,0)</f>
        <v>Опора верхней стойки передней подвески (люстра) в сборе "БРТ" для ВАЗ 2110-2112</v>
      </c>
      <c r="D625" s="132" t="str">
        <f>VLOOKUP($A625,'Выгр Кат'!$A:$S,D$1,0)</f>
        <v>Y</v>
      </c>
      <c r="E625" s="132" t="str">
        <f>VLOOKUP($A625,'Выгр Кат'!$A:$S,E$1,0)</f>
        <v>1</v>
      </c>
      <c r="F625" s="132" t="str">
        <f>VLOOKUP($A625,'Выгр Кат'!$A:$S,F$1,0)</f>
        <v>2110-2902820РУ.</v>
      </c>
      <c r="G625" s="45" t="s">
        <v>395</v>
      </c>
      <c r="H625" s="29"/>
      <c r="I625" s="4" t="s">
        <v>2</v>
      </c>
      <c r="J625" s="95">
        <v>1</v>
      </c>
      <c r="K625" s="168">
        <f t="shared" si="315"/>
        <v>1408</v>
      </c>
      <c r="L625" s="167">
        <f>VLOOKUP(K625,Наценка!$A$1:$B$8,2,1)</f>
        <v>1.2903225806451613</v>
      </c>
      <c r="M625" s="172">
        <f t="shared" si="317"/>
        <v>1816.7741935483871</v>
      </c>
      <c r="N625" s="173">
        <f t="shared" si="308"/>
        <v>1890</v>
      </c>
      <c r="O625" s="134">
        <f>VLOOKUP($A625,'Выгр Кат'!$A:$S,O$1,0)</f>
        <v>1408</v>
      </c>
      <c r="P625" s="134">
        <f>VLOOKUP($A625,'Выгр Кат'!$A:$S,P$1,0)</f>
        <v>1890</v>
      </c>
      <c r="Q625" s="107">
        <f t="shared" si="309"/>
        <v>0</v>
      </c>
      <c r="R625" s="107">
        <f t="shared" si="310"/>
        <v>0</v>
      </c>
      <c r="S625" s="110">
        <f t="shared" si="311"/>
        <v>1757.6999999999998</v>
      </c>
      <c r="T625" s="135">
        <f t="shared" si="312"/>
        <v>0.2483664772727272</v>
      </c>
      <c r="U625" s="135">
        <f t="shared" si="313"/>
        <v>-0.10547169811320743</v>
      </c>
      <c r="V625" s="135">
        <f t="shared" si="314"/>
        <v>0.12926136363636354</v>
      </c>
      <c r="W625" s="117">
        <f>AA625</f>
        <v>1590</v>
      </c>
      <c r="X625" s="114">
        <f>IFERROR((VLOOKUP($A625,'ИЗ ГУГЛА'!$B:$G,X$1,0)+Z625)*Y625,VLOOKUP($A625,'ИЗ ГУГЛА'!$B:$G,X$1,0))</f>
        <v>1590</v>
      </c>
      <c r="Y625" s="46">
        <v>1</v>
      </c>
      <c r="Z625" s="46"/>
      <c r="AA625" s="138">
        <v>1590</v>
      </c>
      <c r="AB625" s="124" t="s">
        <v>2269</v>
      </c>
      <c r="AC625" s="114" t="str">
        <f>IFERROR((VLOOKUP($A625,'ИЗ ГУГЛА'!$B:$Z,AC$1,0)+AE625)*AD625,VLOOKUP($A625,'ИЗ ГУГЛА'!$B:$Z,AC$1,0))</f>
        <v/>
      </c>
      <c r="AD625" s="46">
        <v>1</v>
      </c>
      <c r="AE625" s="46"/>
      <c r="AF625" s="115"/>
    </row>
    <row r="626" spans="1:32" s="5" customFormat="1" ht="46.5" thickTop="1" thickBot="1" x14ac:dyDescent="0.3">
      <c r="A626" s="132">
        <v>181724</v>
      </c>
      <c r="B626" s="132">
        <f>VLOOKUP($A626,'Выгр Кат'!$A:$S,B$1,0)</f>
        <v>36971</v>
      </c>
      <c r="C626" s="133" t="str">
        <f>VLOOKUP($A626,'Выгр Кат'!$A:$S,C$1,0)</f>
        <v>Опора стойки передней подвески "БРТ" с подшипником, смещение 6 мм для Лада Гранта (без ЭУР)</v>
      </c>
      <c r="D626" s="132" t="str">
        <f>VLOOKUP($A626,'Выгр Кат'!$A:$S,D$1,0)</f>
        <v>Y</v>
      </c>
      <c r="E626" s="132" t="str">
        <f>VLOOKUP($A626,'Выгр Кат'!$A:$S,E$1,0)</f>
        <v>1</v>
      </c>
      <c r="F626" s="132" t="str">
        <f>VLOOKUP($A626,'Выгр Кат'!$A:$S,F$1,0)</f>
        <v>2190-2902820СБЛ</v>
      </c>
      <c r="G626" s="44" t="s">
        <v>1397</v>
      </c>
      <c r="H626" s="29"/>
      <c r="I626" s="7" t="s">
        <v>2</v>
      </c>
      <c r="J626" s="95">
        <v>1</v>
      </c>
      <c r="K626" s="168">
        <f t="shared" si="315"/>
        <v>1399</v>
      </c>
      <c r="L626" s="167">
        <f>VLOOKUP(K626,Наценка!$A$1:$B$8,2,1)</f>
        <v>1.2903225806451613</v>
      </c>
      <c r="M626" s="172">
        <f t="shared" si="317"/>
        <v>1805.1612903225805</v>
      </c>
      <c r="N626" s="173">
        <f t="shared" si="308"/>
        <v>1890</v>
      </c>
      <c r="O626" s="134">
        <f>VLOOKUP($A626,'Выгр Кат'!$A:$S,O$1,0)</f>
        <v>1399</v>
      </c>
      <c r="P626" s="134">
        <f>VLOOKUP($A626,'Выгр Кат'!$A:$S,P$1,0)</f>
        <v>1890</v>
      </c>
      <c r="Q626" s="107">
        <f t="shared" si="309"/>
        <v>0</v>
      </c>
      <c r="R626" s="107">
        <f t="shared" si="310"/>
        <v>0</v>
      </c>
      <c r="S626" s="110">
        <f t="shared" si="311"/>
        <v>1757.6999999999998</v>
      </c>
      <c r="T626" s="135">
        <f t="shared" si="312"/>
        <v>0.25639742673338084</v>
      </c>
      <c r="U626" s="135" t="str">
        <f t="shared" si="313"/>
        <v/>
      </c>
      <c r="V626" s="135" t="str">
        <f t="shared" si="314"/>
        <v/>
      </c>
      <c r="W626" s="45"/>
      <c r="X626" s="114" t="str">
        <f>IFERROR((VLOOKUP($A626,'ИЗ ГУГЛА'!$B:$G,X$1,0)+Z626)*Y626,VLOOKUP($A626,'ИЗ ГУГЛА'!$B:$G,X$1,0))</f>
        <v/>
      </c>
      <c r="Y626" s="108">
        <v>1</v>
      </c>
      <c r="Z626" s="46"/>
      <c r="AA626" s="140" t="s">
        <v>1821</v>
      </c>
      <c r="AB626" s="129"/>
      <c r="AC626" s="114" t="str">
        <f>IFERROR((VLOOKUP($A626,'ИЗ ГУГЛА'!$B:$Z,AC$1,0)+AE626)*AD626,VLOOKUP($A626,'ИЗ ГУГЛА'!$B:$Z,AC$1,0))</f>
        <v/>
      </c>
      <c r="AD626" s="108">
        <v>1</v>
      </c>
      <c r="AE626" s="46"/>
      <c r="AF626" s="115"/>
    </row>
    <row r="627" spans="1:32" s="5" customFormat="1" ht="46.5" thickTop="1" thickBot="1" x14ac:dyDescent="0.3">
      <c r="A627" s="132">
        <v>181723</v>
      </c>
      <c r="B627" s="132">
        <f>VLOOKUP($A627,'Выгр Кат'!$A:$S,B$1,0)</f>
        <v>36973</v>
      </c>
      <c r="C627" s="133" t="str">
        <f>VLOOKUP($A627,'Выгр Кат'!$A:$S,C$1,0)</f>
        <v>Опора стойки передней подвески "БРТ" с подшипником, смещение 12 мм для Лада Гранта (с ЭУР)</v>
      </c>
      <c r="D627" s="132" t="str">
        <f>VLOOKUP($A627,'Выгр Кат'!$A:$S,D$1,0)</f>
        <v>Y</v>
      </c>
      <c r="E627" s="132" t="str">
        <f>VLOOKUP($A627,'Выгр Кат'!$A:$S,E$1,0)</f>
        <v>1</v>
      </c>
      <c r="F627" s="132" t="str">
        <f>VLOOKUP($A627,'Выгр Кат'!$A:$S,F$1,0)</f>
        <v>2190-2902820СБЛ</v>
      </c>
      <c r="G627" s="44" t="s">
        <v>1397</v>
      </c>
      <c r="H627" s="29"/>
      <c r="I627" s="7" t="s">
        <v>2</v>
      </c>
      <c r="J627" s="95">
        <v>1</v>
      </c>
      <c r="K627" s="168">
        <f t="shared" si="315"/>
        <v>1399</v>
      </c>
      <c r="L627" s="167">
        <f>VLOOKUP(K627,Наценка!$A$1:$B$8,2,1)</f>
        <v>1.2903225806451613</v>
      </c>
      <c r="M627" s="172">
        <f t="shared" si="317"/>
        <v>1805.1612903225805</v>
      </c>
      <c r="N627" s="173">
        <f t="shared" si="308"/>
        <v>1890</v>
      </c>
      <c r="O627" s="134">
        <f>VLOOKUP($A627,'Выгр Кат'!$A:$S,O$1,0)</f>
        <v>1399</v>
      </c>
      <c r="P627" s="134">
        <f>VLOOKUP($A627,'Выгр Кат'!$A:$S,P$1,0)</f>
        <v>1890</v>
      </c>
      <c r="Q627" s="107">
        <f t="shared" si="309"/>
        <v>0</v>
      </c>
      <c r="R627" s="107">
        <f t="shared" si="310"/>
        <v>0</v>
      </c>
      <c r="S627" s="110">
        <f t="shared" si="311"/>
        <v>1757.6999999999998</v>
      </c>
      <c r="T627" s="135">
        <f t="shared" si="312"/>
        <v>0.25639742673338084</v>
      </c>
      <c r="U627" s="135" t="str">
        <f t="shared" si="313"/>
        <v/>
      </c>
      <c r="V627" s="135" t="str">
        <f t="shared" si="314"/>
        <v/>
      </c>
      <c r="W627" s="45"/>
      <c r="X627" s="114" t="str">
        <f>IFERROR((VLOOKUP($A627,'ИЗ ГУГЛА'!$B:$G,X$1,0)+Z627)*Y627,VLOOKUP($A627,'ИЗ ГУГЛА'!$B:$G,X$1,0))</f>
        <v/>
      </c>
      <c r="Y627" s="108">
        <v>1</v>
      </c>
      <c r="Z627" s="46"/>
      <c r="AA627" s="140" t="s">
        <v>1821</v>
      </c>
      <c r="AB627" s="129"/>
      <c r="AC627" s="114" t="str">
        <f>IFERROR((VLOOKUP($A627,'ИЗ ГУГЛА'!$B:$Z,AC$1,0)+AE627)*AD627,VLOOKUP($A627,'ИЗ ГУГЛА'!$B:$Z,AC$1,0))</f>
        <v/>
      </c>
      <c r="AD627" s="108">
        <v>1</v>
      </c>
      <c r="AE627" s="46"/>
      <c r="AF627" s="115"/>
    </row>
    <row r="628" spans="1:32" s="5" customFormat="1" ht="31.5" thickTop="1" thickBot="1" x14ac:dyDescent="0.3">
      <c r="A628" s="132">
        <v>223252</v>
      </c>
      <c r="B628" s="132">
        <f>VLOOKUP($A628,'Выгр Кат'!$A:$S,B$1,0)</f>
        <v>4947</v>
      </c>
      <c r="C628" s="133" t="str">
        <f>VLOOKUP($A628,'Выгр Кат'!$A:$S,C$1,0)</f>
        <v>Уплотнитель ветрового стекла Нива 4x4 (под майлар)</v>
      </c>
      <c r="D628" s="132" t="str">
        <f>VLOOKUP($A628,'Выгр Кат'!$A:$S,D$1,0)</f>
        <v>Y</v>
      </c>
      <c r="E628" s="132" t="str">
        <f>VLOOKUP($A628,'Выгр Кат'!$A:$S,E$1,0)</f>
        <v>1</v>
      </c>
      <c r="F628" s="132">
        <f>VLOOKUP($A628,'Выгр Кат'!$A:$S,F$1,0)</f>
        <v>0</v>
      </c>
      <c r="G628" s="42" t="s">
        <v>454</v>
      </c>
      <c r="H628" s="29"/>
      <c r="I628" s="4" t="s">
        <v>2</v>
      </c>
      <c r="J628" s="95">
        <v>1</v>
      </c>
      <c r="K628" s="168">
        <f t="shared" si="315"/>
        <v>1613</v>
      </c>
      <c r="L628" s="167">
        <f>VLOOKUP(K628,Наценка!$A$1:$B$8,2,1)</f>
        <v>1.2903225806451613</v>
      </c>
      <c r="M628" s="148">
        <f t="shared" ref="M628:M630" si="330">W628*1.05</f>
        <v>2089.5</v>
      </c>
      <c r="N628" s="173">
        <f t="shared" si="308"/>
        <v>2090</v>
      </c>
      <c r="O628" s="134">
        <f>VLOOKUP($A628,'Выгр Кат'!$A:$S,O$1,0)</f>
        <v>1613</v>
      </c>
      <c r="P628" s="134">
        <f>VLOOKUP($A628,'Выгр Кат'!$A:$S,P$1,0)</f>
        <v>2090</v>
      </c>
      <c r="Q628" s="107">
        <f t="shared" si="309"/>
        <v>0</v>
      </c>
      <c r="R628" s="107">
        <f t="shared" si="310"/>
        <v>0</v>
      </c>
      <c r="S628" s="110">
        <f t="shared" si="311"/>
        <v>1943.6999999999998</v>
      </c>
      <c r="T628" s="135">
        <f t="shared" si="312"/>
        <v>0.20502169869807796</v>
      </c>
      <c r="U628" s="135">
        <f t="shared" si="313"/>
        <v>2.3266331658291547E-2</v>
      </c>
      <c r="V628" s="135">
        <f t="shared" si="314"/>
        <v>0.23372597644141346</v>
      </c>
      <c r="W628" s="117">
        <f t="shared" ref="W628:W634" si="331">AA628</f>
        <v>1990</v>
      </c>
      <c r="X628" s="114">
        <f>IFERROR((VLOOKUP($A628,'ИЗ ГУГЛА'!$B:$G,X$1,0)+Z628)*Y628,VLOOKUP($A628,'ИЗ ГУГЛА'!$B:$G,X$1,0))</f>
        <v>1990</v>
      </c>
      <c r="Y628" s="46">
        <v>1</v>
      </c>
      <c r="Z628" s="46"/>
      <c r="AA628" s="138">
        <v>1990</v>
      </c>
      <c r="AB628" s="124" t="s">
        <v>2322</v>
      </c>
      <c r="AC628" s="114" t="str">
        <f>IFERROR((VLOOKUP($A628,'ИЗ ГУГЛА'!$B:$Z,AC$1,0)+AE628)*AD628,VLOOKUP($A628,'ИЗ ГУГЛА'!$B:$Z,AC$1,0))</f>
        <v/>
      </c>
      <c r="AD628" s="46">
        <v>1</v>
      </c>
      <c r="AE628" s="46"/>
      <c r="AF628" s="115"/>
    </row>
    <row r="629" spans="1:32" s="5" customFormat="1" ht="46.5" thickTop="1" thickBot="1" x14ac:dyDescent="0.3">
      <c r="A629" s="132">
        <v>223172</v>
      </c>
      <c r="B629" s="132">
        <f>VLOOKUP($A629,'Выгр Кат'!$A:$S,B$1,0)</f>
        <v>22609</v>
      </c>
      <c r="C629" s="133" t="str">
        <f>VLOOKUP($A629,'Выгр Кат'!$A:$S,C$1,0)</f>
        <v>Уплотнители передних опускных стекол "БРТ" П-образные для ВАЗ 2110-2112</v>
      </c>
      <c r="D629" s="132" t="str">
        <f>VLOOKUP($A629,'Выгр Кат'!$A:$S,D$1,0)</f>
        <v>Y</v>
      </c>
      <c r="E629" s="132" t="str">
        <f>VLOOKUP($A629,'Выгр Кат'!$A:$S,E$1,0)</f>
        <v>1</v>
      </c>
      <c r="F629" s="132">
        <f>VLOOKUP($A629,'Выгр Кат'!$A:$S,F$1,0)</f>
        <v>0</v>
      </c>
      <c r="G629" s="45" t="s">
        <v>1821</v>
      </c>
      <c r="H629" s="29" t="s">
        <v>1821</v>
      </c>
      <c r="I629" s="4" t="s">
        <v>2</v>
      </c>
      <c r="J629" s="95">
        <v>1</v>
      </c>
      <c r="K629" s="168">
        <f t="shared" si="315"/>
        <v>1800</v>
      </c>
      <c r="L629" s="167">
        <f>VLOOKUP(K629,Наценка!$A$1:$B$8,2,1)</f>
        <v>1.2903225806451613</v>
      </c>
      <c r="M629" s="147">
        <f>W629*1.04</f>
        <v>2485.6</v>
      </c>
      <c r="N629" s="173">
        <f t="shared" si="308"/>
        <v>2490</v>
      </c>
      <c r="O629" s="134">
        <f>VLOOKUP($A629,'Выгр Кат'!$A:$S,O$1,0)</f>
        <v>1800</v>
      </c>
      <c r="P629" s="134">
        <f>VLOOKUP($A629,'Выгр Кат'!$A:$S,P$1,0)</f>
        <v>2390</v>
      </c>
      <c r="Q629" s="107">
        <f t="shared" si="309"/>
        <v>0</v>
      </c>
      <c r="R629" s="107">
        <f t="shared" si="310"/>
        <v>-100</v>
      </c>
      <c r="S629" s="110">
        <f t="shared" si="311"/>
        <v>2315.6999999999998</v>
      </c>
      <c r="T629" s="135">
        <f t="shared" si="312"/>
        <v>0.28649999999999998</v>
      </c>
      <c r="U629" s="135">
        <f t="shared" si="313"/>
        <v>3.1087866108786687E-2</v>
      </c>
      <c r="V629" s="135">
        <f t="shared" si="314"/>
        <v>0.32777777777777772</v>
      </c>
      <c r="W629" s="117">
        <f t="shared" si="331"/>
        <v>2390</v>
      </c>
      <c r="X629" s="114">
        <f>IFERROR((VLOOKUP($A629,'ИЗ ГУГЛА'!$B:$G,X$1,0)+Z629)*Y629,VLOOKUP($A629,'ИЗ ГУГЛА'!$B:$G,X$1,0))</f>
        <v>2390</v>
      </c>
      <c r="Y629" s="46">
        <v>1</v>
      </c>
      <c r="Z629" s="46"/>
      <c r="AA629" s="138">
        <v>2390</v>
      </c>
      <c r="AB629" s="124" t="s">
        <v>2305</v>
      </c>
      <c r="AC629" s="114" t="str">
        <f>IFERROR((VLOOKUP($A629,'ИЗ ГУГЛА'!$B:$Z,AC$1,0)+AE629)*AD629,VLOOKUP($A629,'ИЗ ГУГЛА'!$B:$Z,AC$1,0))</f>
        <v/>
      </c>
      <c r="AD629" s="46">
        <v>1</v>
      </c>
      <c r="AE629" s="46"/>
      <c r="AF629" s="115"/>
    </row>
    <row r="630" spans="1:32" s="5" customFormat="1" ht="31.5" thickTop="1" thickBot="1" x14ac:dyDescent="0.3">
      <c r="A630" s="132">
        <v>159929</v>
      </c>
      <c r="B630" s="132">
        <f>VLOOKUP($A630,'Выгр Кат'!$A:$S,B$1,0)</f>
        <v>36005</v>
      </c>
      <c r="C630" s="133" t="str">
        <f>VLOOKUP($A630,'Выгр Кат'!$A:$S,C$1,0)</f>
        <v>Комплект уплотнителей порогов "АвтоВАЗ" для Шевроле Нива</v>
      </c>
      <c r="D630" s="132" t="str">
        <f>VLOOKUP($A630,'Выгр Кат'!$A:$S,D$1,0)</f>
        <v>Y</v>
      </c>
      <c r="E630" s="132" t="str">
        <f>VLOOKUP($A630,'Выгр Кат'!$A:$S,E$1,0)</f>
        <v>1</v>
      </c>
      <c r="F630" s="132">
        <f>VLOOKUP($A630,'Выгр Кат'!$A:$S,F$1,0)</f>
        <v>0</v>
      </c>
      <c r="G630" s="100" t="s">
        <v>1061</v>
      </c>
      <c r="H630" s="29"/>
      <c r="I630" s="4" t="s">
        <v>2</v>
      </c>
      <c r="J630" s="95">
        <v>1</v>
      </c>
      <c r="K630" s="168">
        <f t="shared" si="315"/>
        <v>1469</v>
      </c>
      <c r="L630" s="167">
        <f>VLOOKUP(K630,Наценка!$A$1:$B$8,2,1)</f>
        <v>1.2903225806451613</v>
      </c>
      <c r="M630" s="148">
        <f t="shared" si="330"/>
        <v>1984.5</v>
      </c>
      <c r="N630" s="173">
        <f t="shared" si="308"/>
        <v>1990</v>
      </c>
      <c r="O630" s="134">
        <f>VLOOKUP($A630,'Выгр Кат'!$A:$S,O$1,0)</f>
        <v>1469</v>
      </c>
      <c r="P630" s="134">
        <f>VLOOKUP($A630,'Выгр Кат'!$A:$S,P$1,0)</f>
        <v>1990</v>
      </c>
      <c r="Q630" s="107">
        <f t="shared" si="309"/>
        <v>0</v>
      </c>
      <c r="R630" s="107">
        <f t="shared" si="310"/>
        <v>0</v>
      </c>
      <c r="S630" s="110">
        <f t="shared" si="311"/>
        <v>1850.6999999999998</v>
      </c>
      <c r="T630" s="135">
        <f t="shared" si="312"/>
        <v>0.25983662355343751</v>
      </c>
      <c r="U630" s="135">
        <f t="shared" si="313"/>
        <v>2.0793650793650888E-2</v>
      </c>
      <c r="V630" s="135">
        <f t="shared" si="314"/>
        <v>0.28658951667801236</v>
      </c>
      <c r="W630" s="117">
        <f t="shared" si="331"/>
        <v>1890</v>
      </c>
      <c r="X630" s="114">
        <f>IFERROR((VLOOKUP($A630,'ИЗ ГУГЛА'!$B:$G,X$1,0)+Z630)*Y630,VLOOKUP($A630,'ИЗ ГУГЛА'!$B:$G,X$1,0))</f>
        <v>1890</v>
      </c>
      <c r="Y630" s="46">
        <v>1</v>
      </c>
      <c r="Z630" s="46"/>
      <c r="AA630" s="138">
        <v>1890</v>
      </c>
      <c r="AB630" s="124" t="s">
        <v>2306</v>
      </c>
      <c r="AC630" s="114" t="str">
        <f>IFERROR((VLOOKUP($A630,'ИЗ ГУГЛА'!$B:$Z,AC$1,0)+AE630)*AD630,VLOOKUP($A630,'ИЗ ГУГЛА'!$B:$Z,AC$1,0))</f>
        <v/>
      </c>
      <c r="AD630" s="46">
        <v>1</v>
      </c>
      <c r="AE630" s="46"/>
      <c r="AF630" s="115"/>
    </row>
    <row r="631" spans="1:32" s="5" customFormat="1" ht="46.5" thickTop="1" thickBot="1" x14ac:dyDescent="0.3">
      <c r="A631" s="132">
        <v>223174</v>
      </c>
      <c r="B631" s="132">
        <f>VLOOKUP($A631,'Выгр Кат'!$A:$S,B$1,0)</f>
        <v>26658</v>
      </c>
      <c r="C631" s="133" t="str">
        <f>VLOOKUP($A631,'Выгр Кат'!$A:$S,C$1,0)</f>
        <v>Уплотнители порогов "AD Plastik" для Лада (Нива, Нива Travel), Шевроле Нива</v>
      </c>
      <c r="D631" s="132" t="str">
        <f>VLOOKUP($A631,'Выгр Кат'!$A:$S,D$1,0)</f>
        <v>Y</v>
      </c>
      <c r="E631" s="132" t="str">
        <f>VLOOKUP($A631,'Выгр Кат'!$A:$S,E$1,0)</f>
        <v>1</v>
      </c>
      <c r="F631" s="132" t="str">
        <f>VLOOKUP($A631,'Выгр Кат'!$A:$S,F$1,0)</f>
        <v>21230-6107034 / 8450085593, 21230-6207036 / 8450085597, 21230-6207037 / 8450085596</v>
      </c>
      <c r="G631" s="35" t="s">
        <v>1061</v>
      </c>
      <c r="H631" s="29"/>
      <c r="I631" s="4" t="s">
        <v>2</v>
      </c>
      <c r="J631" s="95">
        <v>1</v>
      </c>
      <c r="K631" s="168">
        <f t="shared" si="315"/>
        <v>1750</v>
      </c>
      <c r="L631" s="167">
        <f>VLOOKUP(K631,Наценка!$A$1:$B$8,2,1)</f>
        <v>1.2903225806451613</v>
      </c>
      <c r="M631" s="172">
        <f t="shared" si="317"/>
        <v>2258.0645161290322</v>
      </c>
      <c r="N631" s="173">
        <f t="shared" si="308"/>
        <v>2290</v>
      </c>
      <c r="O631" s="134">
        <f>VLOOKUP($A631,'Выгр Кат'!$A:$S,O$1,0)</f>
        <v>1750</v>
      </c>
      <c r="P631" s="134">
        <f>VLOOKUP($A631,'Выгр Кат'!$A:$S,P$1,0)</f>
        <v>2290</v>
      </c>
      <c r="Q631" s="107">
        <f t="shared" si="309"/>
        <v>0</v>
      </c>
      <c r="R631" s="107">
        <f t="shared" si="310"/>
        <v>0</v>
      </c>
      <c r="S631" s="110">
        <f t="shared" si="311"/>
        <v>2129.6999999999998</v>
      </c>
      <c r="T631" s="135">
        <f t="shared" si="312"/>
        <v>0.21697142857142837</v>
      </c>
      <c r="U631" s="135">
        <f t="shared" si="313"/>
        <v>-0.12682539682539673</v>
      </c>
      <c r="V631" s="135">
        <f t="shared" si="314"/>
        <v>8.0000000000000071E-2</v>
      </c>
      <c r="W631" s="117">
        <f t="shared" si="331"/>
        <v>1890</v>
      </c>
      <c r="X631" s="114">
        <f>IFERROR((VLOOKUP($A631,'ИЗ ГУГЛА'!$B:$G,X$1,0)+Z631)*Y631,VLOOKUP($A631,'ИЗ ГУГЛА'!$B:$G,X$1,0))</f>
        <v>1890</v>
      </c>
      <c r="Y631" s="108">
        <v>1</v>
      </c>
      <c r="Z631" s="46"/>
      <c r="AA631" s="136">
        <v>1890</v>
      </c>
      <c r="AB631" s="124" t="s">
        <v>2306</v>
      </c>
      <c r="AC631" s="114" t="str">
        <f>IFERROR((VLOOKUP($A631,'ИЗ ГУГЛА'!$B:$Z,AC$1,0)+AE631)*AD631,VLOOKUP($A631,'ИЗ ГУГЛА'!$B:$Z,AC$1,0))</f>
        <v/>
      </c>
      <c r="AD631" s="108">
        <v>1</v>
      </c>
      <c r="AE631" s="46"/>
      <c r="AF631" s="115"/>
    </row>
    <row r="632" spans="1:32" s="5" customFormat="1" ht="46.5" thickTop="1" thickBot="1" x14ac:dyDescent="0.3">
      <c r="A632" s="132">
        <v>158284</v>
      </c>
      <c r="B632" s="132">
        <f>VLOOKUP($A632,'Выгр Кат'!$A:$S,B$1,0)</f>
        <v>30478</v>
      </c>
      <c r="C632" s="133" t="str">
        <f>VLOOKUP($A632,'Выгр Кат'!$A:$S,C$1,0)</f>
        <v>Комплект "БРТ" П-образных уплотнителей опускных стекол (2 шт.) для ВАЗ 2108</v>
      </c>
      <c r="D632" s="132" t="str">
        <f>VLOOKUP($A632,'Выгр Кат'!$A:$S,D$1,0)</f>
        <v>Y</v>
      </c>
      <c r="E632" s="132" t="str">
        <f>VLOOKUP($A632,'Выгр Кат'!$A:$S,E$1,0)</f>
        <v>1</v>
      </c>
      <c r="F632" s="132" t="str">
        <f>VLOOKUP($A632,'Выгр Кат'!$A:$S,F$1,0)</f>
        <v>210806103292 / 210806103293</v>
      </c>
      <c r="G632" s="99" t="s">
        <v>1222</v>
      </c>
      <c r="H632" s="29"/>
      <c r="I632" s="4" t="s">
        <v>2</v>
      </c>
      <c r="J632" s="95">
        <v>1</v>
      </c>
      <c r="K632" s="168">
        <f t="shared" si="315"/>
        <v>1850</v>
      </c>
      <c r="L632" s="167">
        <f>VLOOKUP(K632,Наценка!$A$1:$B$8,2,1)</f>
        <v>1.2903225806451613</v>
      </c>
      <c r="M632" s="147">
        <f t="shared" ref="M632:M633" si="332">W632*1.04</f>
        <v>2797.6</v>
      </c>
      <c r="N632" s="173">
        <f t="shared" si="308"/>
        <v>2790</v>
      </c>
      <c r="O632" s="134">
        <f>VLOOKUP($A632,'Выгр Кат'!$A:$S,O$1,0)</f>
        <v>1850</v>
      </c>
      <c r="P632" s="134">
        <f>VLOOKUP($A632,'Выгр Кат'!$A:$S,P$1,0)</f>
        <v>2790</v>
      </c>
      <c r="Q632" s="107">
        <f t="shared" si="309"/>
        <v>0</v>
      </c>
      <c r="R632" s="107">
        <f t="shared" si="310"/>
        <v>0</v>
      </c>
      <c r="S632" s="110">
        <f t="shared" si="311"/>
        <v>2594.6999999999998</v>
      </c>
      <c r="T632" s="135">
        <f t="shared" si="312"/>
        <v>0.40254054054054045</v>
      </c>
      <c r="U632" s="135">
        <f t="shared" si="313"/>
        <v>3.5427509293680368E-2</v>
      </c>
      <c r="V632" s="135">
        <f t="shared" si="314"/>
        <v>0.45405405405405408</v>
      </c>
      <c r="W632" s="117">
        <f t="shared" si="331"/>
        <v>2690</v>
      </c>
      <c r="X632" s="114">
        <f>IFERROR((VLOOKUP($A632,'ИЗ ГУГЛА'!$B:$G,X$1,0)+Z632)*Y632,VLOOKUP($A632,'ИЗ ГУГЛА'!$B:$G,X$1,0))</f>
        <v>2690</v>
      </c>
      <c r="Y632" s="46">
        <v>1</v>
      </c>
      <c r="Z632" s="46"/>
      <c r="AA632" s="138">
        <v>2690</v>
      </c>
      <c r="AB632" s="124" t="s">
        <v>2307</v>
      </c>
      <c r="AC632" s="114" t="str">
        <f>IFERROR((VLOOKUP($A632,'ИЗ ГУГЛА'!$B:$Z,AC$1,0)+AE632)*AD632,VLOOKUP($A632,'ИЗ ГУГЛА'!$B:$Z,AC$1,0))</f>
        <v/>
      </c>
      <c r="AD632" s="46">
        <v>1</v>
      </c>
      <c r="AE632" s="46"/>
      <c r="AF632" s="115"/>
    </row>
    <row r="633" spans="1:32" s="5" customFormat="1" ht="31.5" thickTop="1" thickBot="1" x14ac:dyDescent="0.3">
      <c r="A633" s="132">
        <v>223204</v>
      </c>
      <c r="B633" s="132">
        <f>VLOOKUP($A633,'Выгр Кат'!$A:$S,B$1,0)</f>
        <v>5505</v>
      </c>
      <c r="C633" s="133" t="str">
        <f>VLOOKUP($A633,'Выгр Кат'!$A:$S,C$1,0)</f>
        <v>Уплотнитель "БРТ" ветрового стекла для ВАЗ 2108-21099</v>
      </c>
      <c r="D633" s="132" t="str">
        <f>VLOOKUP($A633,'Выгр Кат'!$A:$S,D$1,0)</f>
        <v>Y</v>
      </c>
      <c r="E633" s="132" t="str">
        <f>VLOOKUP($A633,'Выгр Кат'!$A:$S,E$1,0)</f>
        <v>1</v>
      </c>
      <c r="F633" s="132" t="str">
        <f>VLOOKUP($A633,'Выгр Кат'!$A:$S,F$1,0)</f>
        <v>2108-5206054</v>
      </c>
      <c r="G633" s="42" t="s">
        <v>359</v>
      </c>
      <c r="H633" s="29"/>
      <c r="I633" s="4" t="s">
        <v>2</v>
      </c>
      <c r="J633" s="95">
        <v>1</v>
      </c>
      <c r="K633" s="168">
        <f t="shared" si="315"/>
        <v>1901</v>
      </c>
      <c r="L633" s="167">
        <f>VLOOKUP(K633,Наценка!$A$1:$B$8,2,1)</f>
        <v>1.2903225806451613</v>
      </c>
      <c r="M633" s="151">
        <f>K633*1.2*100/93</f>
        <v>2452.9032258064512</v>
      </c>
      <c r="N633" s="173">
        <f t="shared" si="308"/>
        <v>2490</v>
      </c>
      <c r="O633" s="134">
        <f>VLOOKUP($A633,'Выгр Кат'!$A:$S,O$1,0)</f>
        <v>1901</v>
      </c>
      <c r="P633" s="134">
        <f>VLOOKUP($A633,'Выгр Кат'!$A:$S,P$1,0)</f>
        <v>2490</v>
      </c>
      <c r="Q633" s="107">
        <f t="shared" si="309"/>
        <v>0</v>
      </c>
      <c r="R633" s="107">
        <f t="shared" si="310"/>
        <v>0</v>
      </c>
      <c r="S633" s="110">
        <f t="shared" si="311"/>
        <v>2315.6999999999998</v>
      </c>
      <c r="T633" s="135">
        <f t="shared" si="312"/>
        <v>0.21814834297738028</v>
      </c>
      <c r="U633" s="135">
        <f t="shared" si="313"/>
        <v>-1.1222707423580707E-2</v>
      </c>
      <c r="V633" s="135">
        <f t="shared" si="314"/>
        <v>0.20462914255654918</v>
      </c>
      <c r="W633" s="117">
        <f t="shared" si="331"/>
        <v>2290</v>
      </c>
      <c r="X633" s="114">
        <f>IFERROR((VLOOKUP($A633,'ИЗ ГУГЛА'!$B:$G,X$1,0)+Z633)*Y633,VLOOKUP($A633,'ИЗ ГУГЛА'!$B:$G,X$1,0))</f>
        <v>2290</v>
      </c>
      <c r="Y633" s="46">
        <v>1</v>
      </c>
      <c r="Z633" s="46"/>
      <c r="AA633" s="138">
        <v>2290</v>
      </c>
      <c r="AB633" s="124" t="s">
        <v>2323</v>
      </c>
      <c r="AC633" s="114" t="str">
        <f>IFERROR((VLOOKUP($A633,'ИЗ ГУГЛА'!$B:$Z,AC$1,0)+AE633)*AD633,VLOOKUP($A633,'ИЗ ГУГЛА'!$B:$Z,AC$1,0))</f>
        <v/>
      </c>
      <c r="AD633" s="46">
        <v>1</v>
      </c>
      <c r="AE633" s="46"/>
      <c r="AF633" s="115"/>
    </row>
    <row r="634" spans="1:32" s="5" customFormat="1" ht="31.5" thickTop="1" thickBot="1" x14ac:dyDescent="0.3">
      <c r="A634" s="132">
        <v>186718</v>
      </c>
      <c r="B634" s="132">
        <f>VLOOKUP($A634,'Выгр Кат'!$A:$S,B$1,0)</f>
        <v>35474</v>
      </c>
      <c r="C634" s="133" t="str">
        <f>VLOOKUP($A634,'Выгр Кат'!$A:$S,C$1,0)</f>
        <v>Патрубок радиатора "БРТ" отводящий, нижний для Лада Калина</v>
      </c>
      <c r="D634" s="132" t="str">
        <f>VLOOKUP($A634,'Выгр Кат'!$A:$S,D$1,0)</f>
        <v>Y</v>
      </c>
      <c r="E634" s="132" t="str">
        <f>VLOOKUP($A634,'Выгр Кат'!$A:$S,E$1,0)</f>
        <v>1</v>
      </c>
      <c r="F634" s="132" t="str">
        <f>VLOOKUP($A634,'Выгр Кат'!$A:$S,F$1,0)</f>
        <v>1118-1303008-01Р</v>
      </c>
      <c r="G634" s="44" t="s">
        <v>215</v>
      </c>
      <c r="H634" s="29"/>
      <c r="I634" s="4" t="s">
        <v>2</v>
      </c>
      <c r="J634" s="95">
        <v>1</v>
      </c>
      <c r="K634" s="168">
        <f t="shared" si="315"/>
        <v>1911</v>
      </c>
      <c r="L634" s="167">
        <f>VLOOKUP(K634,Наценка!$A$1:$B$8,2,1)</f>
        <v>1.2903225806451613</v>
      </c>
      <c r="M634" s="172">
        <f t="shared" si="317"/>
        <v>2465.8064516129029</v>
      </c>
      <c r="N634" s="173">
        <f t="shared" si="308"/>
        <v>2490</v>
      </c>
      <c r="O634" s="134">
        <f>VLOOKUP($A634,'Выгр Кат'!$A:$S,O$1,0)</f>
        <v>1911</v>
      </c>
      <c r="P634" s="134">
        <f>VLOOKUP($A634,'Выгр Кат'!$A:$S,P$1,0)</f>
        <v>2490</v>
      </c>
      <c r="Q634" s="107">
        <f t="shared" si="309"/>
        <v>0</v>
      </c>
      <c r="R634" s="107">
        <f t="shared" si="310"/>
        <v>0</v>
      </c>
      <c r="S634" s="110">
        <f t="shared" si="311"/>
        <v>2315.6999999999998</v>
      </c>
      <c r="T634" s="135">
        <f t="shared" si="312"/>
        <v>0.21177394034536889</v>
      </c>
      <c r="U634" s="135">
        <f t="shared" si="313"/>
        <v>-5.7397260273972517E-2</v>
      </c>
      <c r="V634" s="135">
        <f t="shared" si="314"/>
        <v>0.14599686028257453</v>
      </c>
      <c r="W634" s="117">
        <f t="shared" si="331"/>
        <v>2190</v>
      </c>
      <c r="X634" s="114">
        <f>IFERROR((VLOOKUP($A634,'ИЗ ГУГЛА'!$B:$G,X$1,0)+Z634)*Y634,VLOOKUP($A634,'ИЗ ГУГЛА'!$B:$G,X$1,0))</f>
        <v>2190</v>
      </c>
      <c r="Y634" s="46">
        <v>1</v>
      </c>
      <c r="Z634" s="46"/>
      <c r="AA634" s="138">
        <v>2190</v>
      </c>
      <c r="AB634" s="124" t="s">
        <v>2382</v>
      </c>
      <c r="AC634" s="114" t="str">
        <f>IFERROR((VLOOKUP($A634,'ИЗ ГУГЛА'!$B:$Z,AC$1,0)+AE634)*AD634,VLOOKUP($A634,'ИЗ ГУГЛА'!$B:$Z,AC$1,0))</f>
        <v/>
      </c>
      <c r="AD634" s="46">
        <v>1</v>
      </c>
      <c r="AE634" s="46"/>
      <c r="AF634" s="115"/>
    </row>
    <row r="635" spans="1:32" s="5" customFormat="1" ht="30.75" thickTop="1" x14ac:dyDescent="0.25">
      <c r="A635" s="132">
        <v>223227</v>
      </c>
      <c r="B635" s="132">
        <f>VLOOKUP($A635,'Выгр Кат'!$A:$S,B$1,0)</f>
        <v>35288</v>
      </c>
      <c r="C635" s="133" t="str">
        <f>VLOOKUP($A635,'Выгр Кат'!$A:$S,C$1,0)</f>
        <v>Уплотнитель "БРТ" окна двери задка для ВАЗ 2104</v>
      </c>
      <c r="D635" s="132" t="str">
        <f>VLOOKUP($A635,'Выгр Кат'!$A:$S,D$1,0)</f>
        <v>Y</v>
      </c>
      <c r="E635" s="132" t="str">
        <f>VLOOKUP($A635,'Выгр Кат'!$A:$S,E$1,0)</f>
        <v>1</v>
      </c>
      <c r="F635" s="132" t="str">
        <f>VLOOKUP($A635,'Выгр Кат'!$A:$S,F$1,0)</f>
        <v>2104-6303018</v>
      </c>
      <c r="G635" s="44" t="s">
        <v>291</v>
      </c>
      <c r="H635" s="29"/>
      <c r="I635" s="4" t="s">
        <v>2</v>
      </c>
      <c r="J635" s="95">
        <v>1</v>
      </c>
      <c r="K635" s="168">
        <f t="shared" si="315"/>
        <v>1971</v>
      </c>
      <c r="L635" s="167">
        <f>VLOOKUP(K635,Наценка!$A$1:$B$8,2,1)</f>
        <v>1.2903225806451613</v>
      </c>
      <c r="M635" s="172">
        <f t="shared" si="317"/>
        <v>2543.2258064516127</v>
      </c>
      <c r="N635" s="173">
        <f t="shared" si="308"/>
        <v>2590</v>
      </c>
      <c r="O635" s="134">
        <f>VLOOKUP($A635,'Выгр Кат'!$A:$S,O$1,0)</f>
        <v>1971</v>
      </c>
      <c r="P635" s="134">
        <f>VLOOKUP($A635,'Выгр Кат'!$A:$S,P$1,0)</f>
        <v>2590</v>
      </c>
      <c r="Q635" s="107">
        <f t="shared" si="309"/>
        <v>0</v>
      </c>
      <c r="R635" s="107">
        <f t="shared" si="310"/>
        <v>0</v>
      </c>
      <c r="S635" s="110">
        <f t="shared" si="311"/>
        <v>2408.6999999999998</v>
      </c>
      <c r="T635" s="135">
        <f t="shared" si="312"/>
        <v>0.22207001522070002</v>
      </c>
      <c r="U635" s="135" t="str">
        <f t="shared" si="313"/>
        <v/>
      </c>
      <c r="V635" s="135" t="str">
        <f t="shared" si="314"/>
        <v/>
      </c>
      <c r="W635" s="45"/>
      <c r="X635" s="114" t="str">
        <f>IFERROR((VLOOKUP($A635,'ИЗ ГУГЛА'!$B:$G,X$1,0)+Z635)*Y635,VLOOKUP($A635,'ИЗ ГУГЛА'!$B:$G,X$1,0))</f>
        <v/>
      </c>
      <c r="Y635" s="108">
        <v>1</v>
      </c>
      <c r="Z635" s="46"/>
      <c r="AA635" s="139" t="s">
        <v>1821</v>
      </c>
      <c r="AB635" s="124"/>
      <c r="AC635" s="114" t="str">
        <f>IFERROR((VLOOKUP($A635,'ИЗ ГУГЛА'!$B:$Z,AC$1,0)+AE635)*AD635,VLOOKUP($A635,'ИЗ ГУГЛА'!$B:$Z,AC$1,0))</f>
        <v/>
      </c>
      <c r="AD635" s="108">
        <v>1</v>
      </c>
      <c r="AE635" s="46"/>
      <c r="AF635" s="115"/>
    </row>
    <row r="636" spans="1:32" s="5" customFormat="1" ht="30.75" thickBot="1" x14ac:dyDescent="0.3">
      <c r="A636" s="132">
        <v>223242</v>
      </c>
      <c r="B636" s="132">
        <f>VLOOKUP($A636,'Выгр Кат'!$A:$S,B$1,0)</f>
        <v>18729</v>
      </c>
      <c r="C636" s="133" t="str">
        <f>VLOOKUP($A636,'Выгр Кат'!$A:$S,C$1,0)</f>
        <v>Уплотнитель "БРТ" стекла боковины для Лада Нива 4х4 (ВАЗ 2131)</v>
      </c>
      <c r="D636" s="132" t="str">
        <f>VLOOKUP($A636,'Выгр Кат'!$A:$S,D$1,0)</f>
        <v>Y</v>
      </c>
      <c r="E636" s="132" t="str">
        <f>VLOOKUP($A636,'Выгр Кат'!$A:$S,E$1,0)</f>
        <v>1</v>
      </c>
      <c r="F636" s="132" t="str">
        <f>VLOOKUP($A636,'Выгр Кат'!$A:$S,F$1,0)</f>
        <v>21310540312200</v>
      </c>
      <c r="G636" s="43" t="s">
        <v>795</v>
      </c>
      <c r="H636" s="41"/>
      <c r="I636" s="4" t="s">
        <v>2</v>
      </c>
      <c r="J636" s="95">
        <v>1</v>
      </c>
      <c r="K636" s="168">
        <f t="shared" si="315"/>
        <v>998</v>
      </c>
      <c r="L636" s="167">
        <f>VLOOKUP(K636,Наценка!$A$1:$B$8,2,1)</f>
        <v>1.3978494623655915</v>
      </c>
      <c r="M636" s="149">
        <f t="shared" ref="M636:M637" si="333">W636*1.07</f>
        <v>1594.3000000000002</v>
      </c>
      <c r="N636" s="173">
        <f t="shared" si="308"/>
        <v>1590</v>
      </c>
      <c r="O636" s="134">
        <f>VLOOKUP($A636,'Выгр Кат'!$A:$S,O$1,0)</f>
        <v>998</v>
      </c>
      <c r="P636" s="134">
        <f>VLOOKUP($A636,'Выгр Кат'!$A:$S,P$1,0)</f>
        <v>1390</v>
      </c>
      <c r="Q636" s="107">
        <f t="shared" si="309"/>
        <v>0</v>
      </c>
      <c r="R636" s="107">
        <f t="shared" si="310"/>
        <v>-200</v>
      </c>
      <c r="S636" s="110">
        <f t="shared" si="311"/>
        <v>1478.6999999999998</v>
      </c>
      <c r="T636" s="135">
        <f t="shared" si="312"/>
        <v>0.48166332665330636</v>
      </c>
      <c r="U636" s="135">
        <f t="shared" si="313"/>
        <v>7.5838926174497867E-3</v>
      </c>
      <c r="V636" s="135">
        <f t="shared" si="314"/>
        <v>0.49298597194388782</v>
      </c>
      <c r="W636" s="117">
        <f t="shared" ref="W636:W638" si="334">AA636</f>
        <v>1490</v>
      </c>
      <c r="X636" s="114">
        <f>IFERROR((VLOOKUP($A636,'ИЗ ГУГЛА'!$B:$G,X$1,0)+Z636)*Y636,VLOOKUP($A636,'ИЗ ГУГЛА'!$B:$G,X$1,0))</f>
        <v>1490</v>
      </c>
      <c r="Y636" s="108">
        <v>1</v>
      </c>
      <c r="Z636" s="46"/>
      <c r="AA636" s="138">
        <v>1490</v>
      </c>
      <c r="AB636" s="124" t="s">
        <v>2332</v>
      </c>
      <c r="AC636" s="114" t="str">
        <f>IFERROR((VLOOKUP($A636,'ИЗ ГУГЛА'!$B:$Z,AC$1,0)+AE636)*AD636,VLOOKUP($A636,'ИЗ ГУГЛА'!$B:$Z,AC$1,0))</f>
        <v/>
      </c>
      <c r="AD636" s="108">
        <v>1</v>
      </c>
      <c r="AE636" s="46"/>
      <c r="AF636" s="115"/>
    </row>
    <row r="637" spans="1:32" s="5" customFormat="1" ht="46.5" thickTop="1" thickBot="1" x14ac:dyDescent="0.3">
      <c r="A637" s="132">
        <v>213148</v>
      </c>
      <c r="B637" s="132">
        <f>VLOOKUP($A637,'Выгр Кат'!$A:$S,B$1,0)</f>
        <v>33046</v>
      </c>
      <c r="C637" s="133" t="str">
        <f>VLOOKUP($A637,'Выгр Кат'!$A:$S,C$1,0)</f>
        <v>Сайлентблок задней балки "Renault" для Лада (Ларгус, XRAY), Renault Logan</v>
      </c>
      <c r="D637" s="132" t="str">
        <f>VLOOKUP($A637,'Выгр Кат'!$A:$S,D$1,0)</f>
        <v>N</v>
      </c>
      <c r="E637" s="132" t="str">
        <f>VLOOKUP($A637,'Выгр Кат'!$A:$S,E$1,0)</f>
        <v>0</v>
      </c>
      <c r="F637" s="132" t="str">
        <f>VLOOKUP($A637,'Выгр Кат'!$A:$S,F$1,0)</f>
        <v>6001549988</v>
      </c>
      <c r="G637" s="45" t="s">
        <v>2403</v>
      </c>
      <c r="H637" s="29" t="s">
        <v>2403</v>
      </c>
      <c r="I637" s="4" t="s">
        <v>2</v>
      </c>
      <c r="J637" s="95">
        <v>1</v>
      </c>
      <c r="K637" s="168">
        <f t="shared" si="315"/>
        <v>1800</v>
      </c>
      <c r="L637" s="167">
        <f>VLOOKUP(K637,Наценка!$A$1:$B$8,2,1)</f>
        <v>1.2903225806451613</v>
      </c>
      <c r="M637" s="151">
        <f>K637*1.2*100/93</f>
        <v>2322.5806451612902</v>
      </c>
      <c r="N637" s="173">
        <f t="shared" si="308"/>
        <v>2390</v>
      </c>
      <c r="O637" s="134">
        <f>VLOOKUP($A637,'Выгр Кат'!$A:$S,O$1,0)</f>
        <v>1800</v>
      </c>
      <c r="P637" s="134">
        <f>VLOOKUP($A637,'Выгр Кат'!$A:$S,P$1,0)</f>
        <v>2290</v>
      </c>
      <c r="Q637" s="107">
        <f t="shared" si="309"/>
        <v>0</v>
      </c>
      <c r="R637" s="107">
        <f t="shared" si="310"/>
        <v>-100</v>
      </c>
      <c r="S637" s="110">
        <f t="shared" si="311"/>
        <v>2222.6999999999998</v>
      </c>
      <c r="T637" s="135">
        <f t="shared" si="312"/>
        <v>0.23483333333333323</v>
      </c>
      <c r="U637" s="135">
        <f t="shared" si="313"/>
        <v>-1.4931506849314985E-2</v>
      </c>
      <c r="V637" s="135">
        <f t="shared" si="314"/>
        <v>0.21666666666666656</v>
      </c>
      <c r="W637" s="117">
        <f t="shared" si="334"/>
        <v>2190</v>
      </c>
      <c r="X637" s="114">
        <f>IFERROR((VLOOKUP($A637,'ИЗ ГУГЛА'!$B:$G,X$1,0)+Z637)*Y637,VLOOKUP($A637,'ИЗ ГУГЛА'!$B:$G,X$1,0))</f>
        <v>2190</v>
      </c>
      <c r="Y637" s="108">
        <v>1</v>
      </c>
      <c r="Z637" s="46"/>
      <c r="AA637" s="138">
        <v>2190</v>
      </c>
      <c r="AB637" s="124" t="s">
        <v>2526</v>
      </c>
      <c r="AC637" s="114" t="str">
        <f>IFERROR((VLOOKUP($A637,'ИЗ ГУГЛА'!$B:$Z,AC$1,0)+AE637)*AD637,VLOOKUP($A637,'ИЗ ГУГЛА'!$B:$Z,AC$1,0))</f>
        <v/>
      </c>
      <c r="AD637" s="108">
        <v>1</v>
      </c>
      <c r="AE637" s="46"/>
      <c r="AF637" s="115"/>
    </row>
    <row r="638" spans="1:32" s="5" customFormat="1" ht="31.5" thickTop="1" thickBot="1" x14ac:dyDescent="0.3">
      <c r="A638" s="132">
        <v>213149</v>
      </c>
      <c r="B638" s="132">
        <f>VLOOKUP($A638,'Выгр Кат'!$A:$S,B$1,0)</f>
        <v>27292</v>
      </c>
      <c r="C638" s="133" t="str">
        <f>VLOOKUP($A638,'Выгр Кат'!$A:$S,C$1,0)</f>
        <v>Сайлентблок задней балки "RENAULT" для Лада Веста</v>
      </c>
      <c r="D638" s="132" t="str">
        <f>VLOOKUP($A638,'Выгр Кат'!$A:$S,D$1,0)</f>
        <v>Y</v>
      </c>
      <c r="E638" s="132" t="str">
        <f>VLOOKUP($A638,'Выгр Кат'!$A:$S,E$1,0)</f>
        <v>1</v>
      </c>
      <c r="F638" s="132" t="str">
        <f>VLOOKUP($A638,'Выгр Кат'!$A:$S,F$1,0)</f>
        <v>6001549988</v>
      </c>
      <c r="G638" s="45" t="s">
        <v>1821</v>
      </c>
      <c r="H638" s="29" t="s">
        <v>1821</v>
      </c>
      <c r="I638" s="4" t="s">
        <v>2</v>
      </c>
      <c r="J638" s="95">
        <v>1</v>
      </c>
      <c r="K638" s="168">
        <v>2300</v>
      </c>
      <c r="L638" s="167">
        <f>VLOOKUP(K638,Наценка!$A$1:$B$8,2,1)</f>
        <v>1.2903225806451613</v>
      </c>
      <c r="M638" s="172">
        <f t="shared" si="317"/>
        <v>2967.7419354838707</v>
      </c>
      <c r="N638" s="173">
        <f t="shared" si="308"/>
        <v>2990</v>
      </c>
      <c r="O638" s="134">
        <f>VLOOKUP($A638,'Выгр Кат'!$A:$S,O$1,0)</f>
        <v>2300</v>
      </c>
      <c r="P638" s="134">
        <f>VLOOKUP($A638,'Выгр Кат'!$A:$S,P$1,0)</f>
        <v>2990</v>
      </c>
      <c r="Q638" s="107">
        <f t="shared" si="309"/>
        <v>0</v>
      </c>
      <c r="R638" s="107">
        <f t="shared" si="310"/>
        <v>0</v>
      </c>
      <c r="S638" s="110">
        <f t="shared" si="311"/>
        <v>2780.7</v>
      </c>
      <c r="T638" s="135">
        <f t="shared" si="312"/>
        <v>0.20899999999999985</v>
      </c>
      <c r="U638" s="135">
        <f t="shared" si="313"/>
        <v>-0.2697260273972602</v>
      </c>
      <c r="V638" s="135">
        <f t="shared" si="314"/>
        <v>-4.7826086956521685E-2</v>
      </c>
      <c r="W638" s="117">
        <f t="shared" si="334"/>
        <v>2190</v>
      </c>
      <c r="X638" s="114">
        <f>IFERROR((VLOOKUP($A638,'ИЗ ГУГЛА'!$B:$G,X$1,0)+Z638)*Y638,VLOOKUP($A638,'ИЗ ГУГЛА'!$B:$G,X$1,0))</f>
        <v>2190</v>
      </c>
      <c r="Y638" s="108">
        <v>1</v>
      </c>
      <c r="Z638" s="46"/>
      <c r="AA638" s="138">
        <v>2190</v>
      </c>
      <c r="AB638" s="124" t="s">
        <v>2526</v>
      </c>
      <c r="AC638" s="114" t="str">
        <f>IFERROR((VLOOKUP($A638,'ИЗ ГУГЛА'!$B:$Z,AC$1,0)+AE638)*AD638,VLOOKUP($A638,'ИЗ ГУГЛА'!$B:$Z,AC$1,0))</f>
        <v/>
      </c>
      <c r="AD638" s="108">
        <v>1</v>
      </c>
      <c r="AE638" s="46"/>
      <c r="AF638" s="115"/>
    </row>
    <row r="639" spans="1:32" s="5" customFormat="1" ht="31.5" thickTop="1" thickBot="1" x14ac:dyDescent="0.3">
      <c r="A639" s="132">
        <v>223223</v>
      </c>
      <c r="B639" s="132">
        <f>VLOOKUP($A639,'Выгр Кат'!$A:$S,B$1,0)</f>
        <v>20468</v>
      </c>
      <c r="C639" s="133" t="str">
        <f>VLOOKUP($A639,'Выгр Кат'!$A:$S,C$1,0)</f>
        <v>Уплотнитель "БРТ" заднего стекла для ВАЗ 21099, 2115</v>
      </c>
      <c r="D639" s="132" t="str">
        <f>VLOOKUP($A639,'Выгр Кат'!$A:$S,D$1,0)</f>
        <v>Y</v>
      </c>
      <c r="E639" s="132" t="str">
        <f>VLOOKUP($A639,'Выгр Кат'!$A:$S,E$1,0)</f>
        <v>1</v>
      </c>
      <c r="F639" s="132" t="str">
        <f>VLOOKUP($A639,'Выгр Кат'!$A:$S,F$1,0)</f>
        <v>21099560301801</v>
      </c>
      <c r="G639" s="45" t="s">
        <v>380</v>
      </c>
      <c r="H639" s="29"/>
      <c r="I639" s="4" t="s">
        <v>2</v>
      </c>
      <c r="J639" s="95">
        <v>1</v>
      </c>
      <c r="K639" s="168">
        <f t="shared" si="315"/>
        <v>2095</v>
      </c>
      <c r="L639" s="167">
        <f>VLOOKUP(K639,Наценка!$A$1:$B$8,2,1)</f>
        <v>1.2903225806451613</v>
      </c>
      <c r="M639" s="172">
        <f t="shared" si="317"/>
        <v>2703.2258064516127</v>
      </c>
      <c r="N639" s="173">
        <f t="shared" si="308"/>
        <v>2790</v>
      </c>
      <c r="O639" s="134">
        <f>VLOOKUP($A639,'Выгр Кат'!$A:$S,O$1,0)</f>
        <v>2095</v>
      </c>
      <c r="P639" s="134">
        <f>VLOOKUP($A639,'Выгр Кат'!$A:$S,P$1,0)</f>
        <v>2790</v>
      </c>
      <c r="Q639" s="107">
        <f t="shared" si="309"/>
        <v>0</v>
      </c>
      <c r="R639" s="107">
        <f t="shared" si="310"/>
        <v>0</v>
      </c>
      <c r="S639" s="110">
        <f t="shared" si="311"/>
        <v>2594.6999999999998</v>
      </c>
      <c r="T639" s="135">
        <f t="shared" si="312"/>
        <v>0.23852028639618128</v>
      </c>
      <c r="U639" s="135" t="str">
        <f t="shared" si="313"/>
        <v/>
      </c>
      <c r="V639" s="135" t="str">
        <f t="shared" si="314"/>
        <v/>
      </c>
      <c r="W639" s="45"/>
      <c r="X639" s="114" t="str">
        <f>IFERROR((VLOOKUP($A639,'ИЗ ГУГЛА'!$B:$G,X$1,0)+Z639)*Y639,VLOOKUP($A639,'ИЗ ГУГЛА'!$B:$G,X$1,0))</f>
        <v/>
      </c>
      <c r="Y639" s="108">
        <v>1</v>
      </c>
      <c r="Z639" s="46"/>
      <c r="AA639" s="140" t="s">
        <v>1821</v>
      </c>
      <c r="AB639" s="129"/>
      <c r="AC639" s="114" t="str">
        <f>IFERROR((VLOOKUP($A639,'ИЗ ГУГЛА'!$B:$Z,AC$1,0)+AE639)*AD639,VLOOKUP($A639,'ИЗ ГУГЛА'!$B:$Z,AC$1,0))</f>
        <v/>
      </c>
      <c r="AD639" s="108">
        <v>1</v>
      </c>
      <c r="AE639" s="46"/>
      <c r="AF639" s="115"/>
    </row>
    <row r="640" spans="1:32" s="5" customFormat="1" ht="61.5" thickTop="1" thickBot="1" x14ac:dyDescent="0.3">
      <c r="A640" s="132">
        <v>223153</v>
      </c>
      <c r="B640" s="132">
        <f>VLOOKUP($A640,'Выгр Кат'!$A:$S,B$1,0)</f>
        <v>6466</v>
      </c>
      <c r="C640" s="133" t="str">
        <f>VLOOKUP($A640,'Выгр Кат'!$A:$S,C$1,0)</f>
        <v>Уплотнители "АвтоВАЗ" проёмов дверей (спаянные) для Лада Калина, Калина 2, Гранта, Гранта FL (седан, хэтчбек)</v>
      </c>
      <c r="D640" s="132" t="str">
        <f>VLOOKUP($A640,'Выгр Кат'!$A:$S,D$1,0)</f>
        <v>Y</v>
      </c>
      <c r="E640" s="132" t="str">
        <f>VLOOKUP($A640,'Выгр Кат'!$A:$S,E$1,0)</f>
        <v>1ск6</v>
      </c>
      <c r="F640" s="132" t="str">
        <f>VLOOKUP($A640,'Выгр Кат'!$A:$S,F$1,0)</f>
        <v>1118610701810</v>
      </c>
      <c r="G640" s="99" t="s">
        <v>1407</v>
      </c>
      <c r="H640" s="29"/>
      <c r="I640" s="4" t="s">
        <v>2</v>
      </c>
      <c r="J640" s="95">
        <v>1</v>
      </c>
      <c r="K640" s="168">
        <f t="shared" si="315"/>
        <v>2800</v>
      </c>
      <c r="L640" s="167">
        <f>VLOOKUP(K640,Наценка!$A$1:$B$8,2,1)</f>
        <v>1.2903225806451613</v>
      </c>
      <c r="M640" s="148">
        <f t="shared" ref="M640:M641" si="335">W640*1.05</f>
        <v>3769.5</v>
      </c>
      <c r="N640" s="173">
        <f t="shared" si="308"/>
        <v>3790</v>
      </c>
      <c r="O640" s="134">
        <f>VLOOKUP($A640,'Выгр Кат'!$A:$S,O$1,0)</f>
        <v>2800</v>
      </c>
      <c r="P640" s="134">
        <f>VLOOKUP($A640,'Выгр Кат'!$A:$S,P$1,0)</f>
        <v>3690</v>
      </c>
      <c r="Q640" s="107">
        <f t="shared" si="309"/>
        <v>0</v>
      </c>
      <c r="R640" s="107">
        <f t="shared" si="310"/>
        <v>-100</v>
      </c>
      <c r="S640" s="110">
        <f t="shared" si="311"/>
        <v>3524.7</v>
      </c>
      <c r="T640" s="135">
        <f t="shared" si="312"/>
        <v>0.25882142857142854</v>
      </c>
      <c r="U640" s="135">
        <f t="shared" si="313"/>
        <v>1.8189415041782779E-2</v>
      </c>
      <c r="V640" s="135">
        <f t="shared" si="314"/>
        <v>0.28214285714285725</v>
      </c>
      <c r="W640" s="117">
        <f t="shared" ref="W640:W641" si="336">AA640</f>
        <v>3590</v>
      </c>
      <c r="X640" s="114">
        <f>IFERROR((VLOOKUP($A640,'ИЗ ГУГЛА'!$B:$G,X$1,0)+Z640)*Y640,VLOOKUP($A640,'ИЗ ГУГЛА'!$B:$G,X$1,0))</f>
        <v>3590</v>
      </c>
      <c r="Y640" s="46">
        <v>1</v>
      </c>
      <c r="Z640" s="46"/>
      <c r="AA640" s="138">
        <v>3590</v>
      </c>
      <c r="AB640" s="124" t="s">
        <v>2303</v>
      </c>
      <c r="AC640" s="114" t="str">
        <f>IFERROR((VLOOKUP($A640,'ИЗ ГУГЛА'!$B:$Z,AC$1,0)+AE640)*AD640,VLOOKUP($A640,'ИЗ ГУГЛА'!$B:$Z,AC$1,0))</f>
        <v/>
      </c>
      <c r="AD640" s="46">
        <v>1</v>
      </c>
      <c r="AE640" s="46"/>
      <c r="AF640" s="115"/>
    </row>
    <row r="641" spans="1:32" s="5" customFormat="1" ht="46.5" thickTop="1" thickBot="1" x14ac:dyDescent="0.3">
      <c r="A641" s="132">
        <v>223155</v>
      </c>
      <c r="B641" s="132">
        <f>VLOOKUP($A641,'Выгр Кат'!$A:$S,B$1,0)</f>
        <v>33971</v>
      </c>
      <c r="C641" s="133" t="str">
        <f>VLOOKUP($A641,'Выгр Кат'!$A:$S,C$1,0)</f>
        <v>Уплотнители "БРТ" проёмов дверей для Лада Калина, Калина 2, Гранта, Гранта FL (универсал, лифтбэк)</v>
      </c>
      <c r="D641" s="132" t="str">
        <f>VLOOKUP($A641,'Выгр Кат'!$A:$S,D$1,0)</f>
        <v>Y</v>
      </c>
      <c r="E641" s="132" t="str">
        <f>VLOOKUP($A641,'Выгр Кат'!$A:$S,E$1,0)</f>
        <v>1</v>
      </c>
      <c r="F641" s="132">
        <f>VLOOKUP($A641,'Выгр Кат'!$A:$S,F$1,0)</f>
        <v>0</v>
      </c>
      <c r="G641" s="100" t="s">
        <v>1407</v>
      </c>
      <c r="H641" s="41"/>
      <c r="I641" s="4" t="s">
        <v>2</v>
      </c>
      <c r="J641" s="95">
        <v>1</v>
      </c>
      <c r="K641" s="168">
        <f t="shared" si="315"/>
        <v>2340</v>
      </c>
      <c r="L641" s="167">
        <f>VLOOKUP(K641,Наценка!$A$1:$B$8,2,1)</f>
        <v>1.2903225806451613</v>
      </c>
      <c r="M641" s="151">
        <f>K641*1.2*100/93</f>
        <v>3019.3548387096776</v>
      </c>
      <c r="N641" s="173">
        <f t="shared" si="308"/>
        <v>3090</v>
      </c>
      <c r="O641" s="134">
        <f>VLOOKUP($A641,'Выгр Кат'!$A:$S,O$1,0)</f>
        <v>2340</v>
      </c>
      <c r="P641" s="134">
        <f>VLOOKUP($A641,'Выгр Кат'!$A:$S,P$1,0)</f>
        <v>3090</v>
      </c>
      <c r="Q641" s="107">
        <f t="shared" si="309"/>
        <v>0</v>
      </c>
      <c r="R641" s="107">
        <f t="shared" si="310"/>
        <v>0</v>
      </c>
      <c r="S641" s="110">
        <f t="shared" si="311"/>
        <v>2873.7</v>
      </c>
      <c r="T641" s="135">
        <f t="shared" si="312"/>
        <v>0.22807692307692307</v>
      </c>
      <c r="U641" s="135">
        <f t="shared" si="313"/>
        <v>-1.1510031678986208E-2</v>
      </c>
      <c r="V641" s="135">
        <f t="shared" si="314"/>
        <v>0.21410256410256401</v>
      </c>
      <c r="W641" s="117">
        <f t="shared" si="336"/>
        <v>2841</v>
      </c>
      <c r="X641" s="114" t="str">
        <f>IFERROR((VLOOKUP($A641,'ИЗ ГУГЛА'!$B:$G,X$1,0)+Z641)*Y641,VLOOKUP($A641,'ИЗ ГУГЛА'!$B:$G,X$1,0))</f>
        <v/>
      </c>
      <c r="Y641" s="46">
        <v>1</v>
      </c>
      <c r="Z641" s="46"/>
      <c r="AA641" s="136">
        <v>2841</v>
      </c>
      <c r="AB641" s="124" t="s">
        <v>2304</v>
      </c>
      <c r="AC641" s="114" t="str">
        <f>IFERROR((VLOOKUP($A641,'ИЗ ГУГЛА'!$B:$Z,AC$1,0)+AE641)*AD641,VLOOKUP($A641,'ИЗ ГУГЛА'!$B:$Z,AC$1,0))</f>
        <v/>
      </c>
      <c r="AD641" s="46">
        <v>1</v>
      </c>
      <c r="AE641" s="46"/>
      <c r="AF641" s="115"/>
    </row>
    <row r="642" spans="1:32" s="5" customFormat="1" ht="46.5" thickTop="1" thickBot="1" x14ac:dyDescent="0.3">
      <c r="A642" s="132">
        <v>204020</v>
      </c>
      <c r="B642" s="132">
        <f>VLOOKUP($A642,'Выгр Кат'!$A:$S,B$1,0)</f>
        <v>35188</v>
      </c>
      <c r="C642" s="133" t="str">
        <f>VLOOKUP($A642,'Выгр Кат'!$A:$S,C$1,0)</f>
        <v>Ремень "БРТ" поликлиновый для ВАЗ 2110-2112 (с кондиционером и ГУР 1703)</v>
      </c>
      <c r="D642" s="132" t="str">
        <f>VLOOKUP($A642,'Выгр Кат'!$A:$S,D$1,0)</f>
        <v>Y</v>
      </c>
      <c r="E642" s="132" t="str">
        <f>VLOOKUP($A642,'Выгр Кат'!$A:$S,E$1,0)</f>
        <v>1</v>
      </c>
      <c r="F642" s="132" t="str">
        <f>VLOOKUP($A642,'Выгр Кат'!$A:$S,F$1,0)</f>
        <v>740.20-1307170</v>
      </c>
      <c r="G642" s="59" t="s">
        <v>2205</v>
      </c>
      <c r="H642" s="29"/>
      <c r="I642" s="4" t="s">
        <v>2</v>
      </c>
      <c r="J642" s="95">
        <v>1</v>
      </c>
      <c r="K642" s="168">
        <f t="shared" si="315"/>
        <v>2143</v>
      </c>
      <c r="L642" s="167">
        <f>VLOOKUP(K642,Наценка!$A$1:$B$8,2,1)</f>
        <v>1.2903225806451613</v>
      </c>
      <c r="M642" s="172">
        <f t="shared" si="317"/>
        <v>2765.1612903225805</v>
      </c>
      <c r="N642" s="173">
        <f t="shared" si="308"/>
        <v>2790</v>
      </c>
      <c r="O642" s="134">
        <f>VLOOKUP($A642,'Выгр Кат'!$A:$S,O$1,0)</f>
        <v>2143</v>
      </c>
      <c r="P642" s="134">
        <f>VLOOKUP($A642,'Выгр Кат'!$A:$S,P$1,0)</f>
        <v>2790</v>
      </c>
      <c r="Q642" s="107">
        <f t="shared" si="309"/>
        <v>0</v>
      </c>
      <c r="R642" s="107">
        <f t="shared" si="310"/>
        <v>0</v>
      </c>
      <c r="S642" s="110">
        <f t="shared" si="311"/>
        <v>2594.6999999999998</v>
      </c>
      <c r="T642" s="135">
        <f t="shared" si="312"/>
        <v>0.21077928138124125</v>
      </c>
      <c r="U642" s="135" t="str">
        <f t="shared" si="313"/>
        <v/>
      </c>
      <c r="V642" s="135" t="str">
        <f t="shared" si="314"/>
        <v/>
      </c>
      <c r="W642" s="45"/>
      <c r="X642" s="114" t="str">
        <f>IFERROR((VLOOKUP($A642,'ИЗ ГУГЛА'!$B:$G,X$1,0)+Z642)*Y642,VLOOKUP($A642,'ИЗ ГУГЛА'!$B:$G,X$1,0))</f>
        <v/>
      </c>
      <c r="Y642" s="108">
        <v>1</v>
      </c>
      <c r="Z642" s="46"/>
      <c r="AA642" s="140" t="s">
        <v>1821</v>
      </c>
      <c r="AB642" s="129"/>
      <c r="AC642" s="114" t="str">
        <f>IFERROR((VLOOKUP($A642,'ИЗ ГУГЛА'!$B:$Z,AC$1,0)+AE642)*AD642,VLOOKUP($A642,'ИЗ ГУГЛА'!$B:$Z,AC$1,0))</f>
        <v/>
      </c>
      <c r="AD642" s="108">
        <v>1</v>
      </c>
      <c r="AE642" s="46"/>
      <c r="AF642" s="115"/>
    </row>
    <row r="643" spans="1:32" s="5" customFormat="1" ht="46.5" thickTop="1" thickBot="1" x14ac:dyDescent="0.3">
      <c r="A643" s="132">
        <v>223179</v>
      </c>
      <c r="B643" s="132">
        <f>VLOOKUP($A643,'Выгр Кат'!$A:$S,B$1,0)</f>
        <v>33974</v>
      </c>
      <c r="C643" s="133" t="str">
        <f>VLOOKUP($A643,'Выгр Кат'!$A:$S,C$1,0)</f>
        <v>Уплотнители проёмов дверей "БРТ" (комплект) для Лада Приора универсал</v>
      </c>
      <c r="D643" s="132" t="str">
        <f>VLOOKUP($A643,'Выгр Кат'!$A:$S,D$1,0)</f>
        <v>Y</v>
      </c>
      <c r="E643" s="132" t="str">
        <f>VLOOKUP($A643,'Выгр Кат'!$A:$S,E$1,0)</f>
        <v>1</v>
      </c>
      <c r="F643" s="132">
        <f>VLOOKUP($A643,'Выгр Кат'!$A:$S,F$1,0)</f>
        <v>0</v>
      </c>
      <c r="G643" s="45" t="s">
        <v>1821</v>
      </c>
      <c r="H643" s="29" t="s">
        <v>1821</v>
      </c>
      <c r="I643" s="4" t="s">
        <v>1822</v>
      </c>
      <c r="J643" s="95">
        <v>1</v>
      </c>
      <c r="K643" s="168">
        <f t="shared" si="315"/>
        <v>2400</v>
      </c>
      <c r="L643" s="167">
        <f>VLOOKUP(K643,Наценка!$A$1:$B$8,2,1)</f>
        <v>1.2903225806451613</v>
      </c>
      <c r="M643" s="148">
        <f>W643*1.05</f>
        <v>3769.5</v>
      </c>
      <c r="N643" s="173">
        <f t="shared" ref="N643:N701" si="337">IF(M643&lt;=1000,(ROUNDUP(M643,-1)-1),(ROUNDUP(M643,-2)-10))</f>
        <v>3790</v>
      </c>
      <c r="O643" s="134">
        <f>VLOOKUP($A643,'Выгр Кат'!$A:$S,O$1,0)</f>
        <v>2400</v>
      </c>
      <c r="P643" s="134">
        <f>VLOOKUP($A643,'Выгр Кат'!$A:$S,P$1,0)</f>
        <v>3090</v>
      </c>
      <c r="Q643" s="107">
        <f t="shared" ref="Q643:Q707" si="338">O643-K643</f>
        <v>0</v>
      </c>
      <c r="R643" s="107">
        <f t="shared" ref="R643:R707" si="339">P643-N643</f>
        <v>-700</v>
      </c>
      <c r="S643" s="110">
        <f t="shared" ref="S643:S707" si="340">IFERROR(N643*(1-$S$2),"")</f>
        <v>3524.7</v>
      </c>
      <c r="T643" s="135">
        <f t="shared" ref="T643:T706" si="341">IFERROR(S643/K643-1,"")</f>
        <v>0.46862499999999985</v>
      </c>
      <c r="U643" s="135">
        <f t="shared" ref="U643:U706" si="342">IFERROR((W643-S643)/W643,"")</f>
        <v>1.8189415041782779E-2</v>
      </c>
      <c r="V643" s="135">
        <f t="shared" ref="V643:V706" si="343">IFERROR(IF(W643="","",W643/K643-1),"")</f>
        <v>0.49583333333333335</v>
      </c>
      <c r="W643" s="117">
        <f>AA643</f>
        <v>3590</v>
      </c>
      <c r="X643" s="114">
        <f>IFERROR((VLOOKUP($A643,'ИЗ ГУГЛА'!$B:$G,X$1,0)+Z643)*Y643,VLOOKUP($A643,'ИЗ ГУГЛА'!$B:$G,X$1,0))</f>
        <v>3590</v>
      </c>
      <c r="Y643" s="46">
        <v>1</v>
      </c>
      <c r="Z643" s="46"/>
      <c r="AA643" s="138">
        <v>3590</v>
      </c>
      <c r="AB643" s="124" t="s">
        <v>2279</v>
      </c>
      <c r="AC643" s="114" t="str">
        <f>IFERROR((VLOOKUP($A643,'ИЗ ГУГЛА'!$B:$Z,AC$1,0)+AE643)*AD643,VLOOKUP($A643,'ИЗ ГУГЛА'!$B:$Z,AC$1,0))</f>
        <v/>
      </c>
      <c r="AD643" s="46">
        <v>1</v>
      </c>
      <c r="AE643" s="46"/>
      <c r="AF643" s="115"/>
    </row>
    <row r="644" spans="1:32" s="5" customFormat="1" ht="46.5" thickTop="1" thickBot="1" x14ac:dyDescent="0.3">
      <c r="A644" s="132">
        <v>204349</v>
      </c>
      <c r="B644" s="132">
        <f>VLOOKUP($A644,'Выгр Кат'!$A:$S,B$1,0)</f>
        <v>19919</v>
      </c>
      <c r="C644" s="133" t="str">
        <f>VLOOKUP($A644,'Выгр Кат'!$A:$S,C$1,0)</f>
        <v>Ремкомплект 202РУ Р/К "БРТ" ремень ГРМ (1.6, 16v) с роликами для Лада Ларгус, Renault Sandero, Logan</v>
      </c>
      <c r="D644" s="132" t="str">
        <f>VLOOKUP($A644,'Выгр Кат'!$A:$S,D$1,0)</f>
        <v>Y</v>
      </c>
      <c r="E644" s="132" t="str">
        <f>VLOOKUP($A644,'Выгр Кат'!$A:$S,E$1,0)</f>
        <v>1</v>
      </c>
      <c r="F644" s="132" t="str">
        <f>VLOOKUP($A644,'Выгр Кат'!$A:$S,F$1,0)</f>
        <v>Ремкомплект 202РУ Р/К, ремень ГРМ 132-26.</v>
      </c>
      <c r="G644" s="45" t="s">
        <v>1821</v>
      </c>
      <c r="H644" s="29" t="s">
        <v>1821</v>
      </c>
      <c r="I644" s="4" t="s">
        <v>2</v>
      </c>
      <c r="J644" s="95">
        <v>1</v>
      </c>
      <c r="K644" s="168">
        <f t="shared" ref="K644:K699" si="344">O644</f>
        <v>2532</v>
      </c>
      <c r="L644" s="167">
        <f>VLOOKUP(K644,Наценка!$A$1:$B$8,2,1)</f>
        <v>1.2903225806451613</v>
      </c>
      <c r="M644" s="172">
        <f t="shared" si="317"/>
        <v>3267.0967741935483</v>
      </c>
      <c r="N644" s="173">
        <f t="shared" si="337"/>
        <v>3290</v>
      </c>
      <c r="O644" s="134">
        <f>VLOOKUP($A644,'Выгр Кат'!$A:$S,O$1,0)</f>
        <v>2532</v>
      </c>
      <c r="P644" s="134">
        <f>VLOOKUP($A644,'Выгр Кат'!$A:$S,P$1,0)</f>
        <v>3290</v>
      </c>
      <c r="Q644" s="107">
        <f t="shared" si="338"/>
        <v>0</v>
      </c>
      <c r="R644" s="107">
        <f t="shared" si="339"/>
        <v>0</v>
      </c>
      <c r="S644" s="110">
        <f t="shared" si="340"/>
        <v>3059.7</v>
      </c>
      <c r="T644" s="135">
        <f t="shared" si="341"/>
        <v>0.20841232227488149</v>
      </c>
      <c r="U644" s="135" t="str">
        <f t="shared" si="342"/>
        <v/>
      </c>
      <c r="V644" s="135" t="str">
        <f t="shared" si="343"/>
        <v/>
      </c>
      <c r="W644" s="45"/>
      <c r="X644" s="114" t="str">
        <f>IFERROR((VLOOKUP($A644,'ИЗ ГУГЛА'!$B:$G,X$1,0)+Z644)*Y644,VLOOKUP($A644,'ИЗ ГУГЛА'!$B:$G,X$1,0))</f>
        <v/>
      </c>
      <c r="Y644" s="108">
        <v>1</v>
      </c>
      <c r="Z644" s="46"/>
      <c r="AA644" s="140" t="s">
        <v>1821</v>
      </c>
      <c r="AB644" s="129"/>
      <c r="AC644" s="114" t="str">
        <f>IFERROR((VLOOKUP($A644,'ИЗ ГУГЛА'!$B:$Z,AC$1,0)+AE644)*AD644,VLOOKUP($A644,'ИЗ ГУГЛА'!$B:$Z,AC$1,0))</f>
        <v/>
      </c>
      <c r="AD644" s="108">
        <v>1</v>
      </c>
      <c r="AE644" s="46"/>
      <c r="AF644" s="115"/>
    </row>
    <row r="645" spans="1:32" s="5" customFormat="1" ht="46.5" thickTop="1" thickBot="1" x14ac:dyDescent="0.3">
      <c r="A645" s="132">
        <v>159930</v>
      </c>
      <c r="B645" s="132">
        <f>VLOOKUP($A645,'Выгр Кат'!$A:$S,B$1,0)</f>
        <v>26166</v>
      </c>
      <c r="C645" s="133" t="str">
        <f>VLOOKUP($A645,'Выгр Кат'!$A:$S,C$1,0)</f>
        <v>Комплект уплотнителей стёкол задних дверей для Лада Нива (5-ти дверная)</v>
      </c>
      <c r="D645" s="132" t="str">
        <f>VLOOKUP($A645,'Выгр Кат'!$A:$S,D$1,0)</f>
        <v>Y</v>
      </c>
      <c r="E645" s="132" t="str">
        <f>VLOOKUP($A645,'Выгр Кат'!$A:$S,E$1,0)</f>
        <v>1</v>
      </c>
      <c r="F645" s="132" t="str">
        <f>VLOOKUP($A645,'Выгр Кат'!$A:$S,F$1,0)</f>
        <v>2131-6203292 / 293 / 320 / 320 / 290 / 290 / 122</v>
      </c>
      <c r="G645" s="45" t="s">
        <v>1821</v>
      </c>
      <c r="H645" s="29" t="s">
        <v>1821</v>
      </c>
      <c r="I645" s="4" t="s">
        <v>2</v>
      </c>
      <c r="J645" s="95">
        <v>1</v>
      </c>
      <c r="K645" s="168">
        <f t="shared" si="344"/>
        <v>2600</v>
      </c>
      <c r="L645" s="167">
        <f>VLOOKUP(K645,Наценка!$A$1:$B$8,2,1)</f>
        <v>1.2903225806451613</v>
      </c>
      <c r="M645" s="172">
        <f t="shared" ref="M645:M700" si="345">K645*L645</f>
        <v>3354.838709677419</v>
      </c>
      <c r="N645" s="173">
        <f t="shared" si="337"/>
        <v>3390</v>
      </c>
      <c r="O645" s="134">
        <f>VLOOKUP($A645,'Выгр Кат'!$A:$S,O$1,0)</f>
        <v>2600</v>
      </c>
      <c r="P645" s="134">
        <f>VLOOKUP($A645,'Выгр Кат'!$A:$S,P$1,0)</f>
        <v>3390</v>
      </c>
      <c r="Q645" s="107">
        <f t="shared" si="338"/>
        <v>0</v>
      </c>
      <c r="R645" s="107">
        <f t="shared" si="339"/>
        <v>0</v>
      </c>
      <c r="S645" s="110">
        <f t="shared" si="340"/>
        <v>3152.7</v>
      </c>
      <c r="T645" s="135">
        <f t="shared" si="341"/>
        <v>0.212576923076923</v>
      </c>
      <c r="U645" s="135" t="str">
        <f t="shared" si="342"/>
        <v/>
      </c>
      <c r="V645" s="135" t="str">
        <f t="shared" si="343"/>
        <v/>
      </c>
      <c r="W645" s="45"/>
      <c r="X645" s="114" t="str">
        <f>IFERROR((VLOOKUP($A645,'ИЗ ГУГЛА'!$B:$G,X$1,0)+Z645)*Y645,VLOOKUP($A645,'ИЗ ГУГЛА'!$B:$G,X$1,0))</f>
        <v/>
      </c>
      <c r="Y645" s="108">
        <v>1</v>
      </c>
      <c r="Z645" s="46"/>
      <c r="AA645" s="140" t="s">
        <v>1821</v>
      </c>
      <c r="AB645" s="129"/>
      <c r="AC645" s="114" t="str">
        <f>IFERROR((VLOOKUP($A645,'ИЗ ГУГЛА'!$B:$Z,AC$1,0)+AE645)*AD645,VLOOKUP($A645,'ИЗ ГУГЛА'!$B:$Z,AC$1,0))</f>
        <v/>
      </c>
      <c r="AD645" s="108">
        <v>1</v>
      </c>
      <c r="AE645" s="46"/>
      <c r="AF645" s="115"/>
    </row>
    <row r="646" spans="1:32" s="5" customFormat="1" ht="46.5" thickTop="1" thickBot="1" x14ac:dyDescent="0.3">
      <c r="A646" s="132">
        <v>158838</v>
      </c>
      <c r="B646" s="132">
        <f>VLOOKUP($A646,'Выгр Кат'!$A:$S,B$1,0)</f>
        <v>22606</v>
      </c>
      <c r="C646" s="133" t="str">
        <f>VLOOKUP($A646,'Выгр Кат'!$A:$S,C$1,0)</f>
        <v>Комплект П-образных уплотнителей опускных стекол "БРТ" (Н/О) на Лада Приора универсал (4 шт)</v>
      </c>
      <c r="D646" s="132" t="str">
        <f>VLOOKUP($A646,'Выгр Кат'!$A:$S,D$1,0)</f>
        <v>Y</v>
      </c>
      <c r="E646" s="132" t="str">
        <f>VLOOKUP($A646,'Выгр Кат'!$A:$S,E$1,0)</f>
        <v>1</v>
      </c>
      <c r="F646" s="132">
        <f>VLOOKUP($A646,'Выгр Кат'!$A:$S,F$1,0)</f>
        <v>0</v>
      </c>
      <c r="G646" s="100" t="s">
        <v>1247</v>
      </c>
      <c r="H646" s="29"/>
      <c r="I646" s="4" t="s">
        <v>2</v>
      </c>
      <c r="J646" s="95">
        <v>1</v>
      </c>
      <c r="K646" s="168">
        <f t="shared" si="344"/>
        <v>4400</v>
      </c>
      <c r="L646" s="167">
        <f>VLOOKUP(K646,Наценка!$A$1:$B$8,2,1)</f>
        <v>1.2903225806451613</v>
      </c>
      <c r="M646" s="172">
        <f t="shared" si="345"/>
        <v>5677.4193548387093</v>
      </c>
      <c r="N646" s="173">
        <f t="shared" si="337"/>
        <v>5690</v>
      </c>
      <c r="O646" s="134">
        <f>VLOOKUP($A646,'Выгр Кат'!$A:$S,O$1,0)</f>
        <v>4400</v>
      </c>
      <c r="P646" s="134">
        <f>VLOOKUP($A646,'Выгр Кат'!$A:$S,P$1,0)</f>
        <v>5690</v>
      </c>
      <c r="Q646" s="107">
        <f t="shared" si="338"/>
        <v>0</v>
      </c>
      <c r="R646" s="107">
        <f t="shared" si="339"/>
        <v>0</v>
      </c>
      <c r="S646" s="110">
        <f t="shared" si="340"/>
        <v>5291.7</v>
      </c>
      <c r="T646" s="135">
        <f t="shared" si="341"/>
        <v>0.20265909090909084</v>
      </c>
      <c r="U646" s="135">
        <f t="shared" si="342"/>
        <v>-0.10473903966597073</v>
      </c>
      <c r="V646" s="135">
        <f t="shared" si="343"/>
        <v>8.8636363636363624E-2</v>
      </c>
      <c r="W646" s="117">
        <f t="shared" ref="W646:W654" si="346">AA646</f>
        <v>4790</v>
      </c>
      <c r="X646" s="114">
        <f>IFERROR((VLOOKUP($A646,'ИЗ ГУГЛА'!$B:$G,X$1,0)+Z646)*Y646,VLOOKUP($A646,'ИЗ ГУГЛА'!$B:$G,X$1,0))</f>
        <v>4790</v>
      </c>
      <c r="Y646" s="46">
        <v>1</v>
      </c>
      <c r="Z646" s="46"/>
      <c r="AA646" s="138">
        <v>4790</v>
      </c>
      <c r="AB646" s="124" t="s">
        <v>2271</v>
      </c>
      <c r="AC646" s="114" t="str">
        <f>IFERROR((VLOOKUP($A646,'ИЗ ГУГЛА'!$B:$Z,AC$1,0)+AE646)*AD646,VLOOKUP($A646,'ИЗ ГУГЛА'!$B:$Z,AC$1,0))</f>
        <v/>
      </c>
      <c r="AD646" s="46">
        <v>1</v>
      </c>
      <c r="AE646" s="46"/>
      <c r="AF646" s="115"/>
    </row>
    <row r="647" spans="1:32" s="5" customFormat="1" ht="46.5" thickTop="1" thickBot="1" x14ac:dyDescent="0.3">
      <c r="A647" s="132">
        <v>158837</v>
      </c>
      <c r="B647" s="132">
        <f>VLOOKUP($A647,'Выгр Кат'!$A:$S,B$1,0)</f>
        <v>22605</v>
      </c>
      <c r="C647" s="133" t="str">
        <f>VLOOKUP($A647,'Выгр Кат'!$A:$S,C$1,0)</f>
        <v>Комплект П-образных уплотнителей опускных стекол "БРТ" (Н/О) для Лада Приора</v>
      </c>
      <c r="D647" s="132" t="str">
        <f>VLOOKUP($A647,'Выгр Кат'!$A:$S,D$1,0)</f>
        <v>Y</v>
      </c>
      <c r="E647" s="132" t="str">
        <f>VLOOKUP($A647,'Выгр Кат'!$A:$S,E$1,0)</f>
        <v>1</v>
      </c>
      <c r="F647" s="132">
        <f>VLOOKUP($A647,'Выгр Кат'!$A:$S,F$1,0)</f>
        <v>0</v>
      </c>
      <c r="G647" s="99" t="s">
        <v>1247</v>
      </c>
      <c r="H647" s="29"/>
      <c r="I647" s="4" t="s">
        <v>2</v>
      </c>
      <c r="J647" s="95">
        <v>1</v>
      </c>
      <c r="K647" s="168">
        <f t="shared" si="344"/>
        <v>3500</v>
      </c>
      <c r="L647" s="167">
        <f>VLOOKUP(K647,Наценка!$A$1:$B$8,2,1)</f>
        <v>1.2903225806451613</v>
      </c>
      <c r="M647" s="151">
        <f>K647*1.2*100/93</f>
        <v>4516.1290322580644</v>
      </c>
      <c r="N647" s="173">
        <f t="shared" si="337"/>
        <v>4590</v>
      </c>
      <c r="O647" s="134">
        <f>VLOOKUP($A647,'Выгр Кат'!$A:$S,O$1,0)</f>
        <v>3500</v>
      </c>
      <c r="P647" s="134">
        <f>VLOOKUP($A647,'Выгр Кат'!$A:$S,P$1,0)</f>
        <v>4590</v>
      </c>
      <c r="Q647" s="107">
        <f t="shared" si="338"/>
        <v>0</v>
      </c>
      <c r="R647" s="107">
        <f t="shared" si="339"/>
        <v>0</v>
      </c>
      <c r="S647" s="110">
        <f t="shared" si="340"/>
        <v>4268.7</v>
      </c>
      <c r="T647" s="135">
        <f t="shared" si="341"/>
        <v>0.21962857142857128</v>
      </c>
      <c r="U647" s="135">
        <f t="shared" si="342"/>
        <v>-1.8782816229116903E-2</v>
      </c>
      <c r="V647" s="135">
        <f t="shared" si="343"/>
        <v>0.19714285714285706</v>
      </c>
      <c r="W647" s="117">
        <f t="shared" si="346"/>
        <v>4190</v>
      </c>
      <c r="X647" s="114">
        <f>IFERROR((VLOOKUP($A647,'ИЗ ГУГЛА'!$B:$G,X$1,0)+Z647)*Y647,VLOOKUP($A647,'ИЗ ГУГЛА'!$B:$G,X$1,0))</f>
        <v>4190</v>
      </c>
      <c r="Y647" s="46">
        <v>1</v>
      </c>
      <c r="Z647" s="46"/>
      <c r="AA647" s="138">
        <v>4190</v>
      </c>
      <c r="AB647" s="124" t="s">
        <v>2324</v>
      </c>
      <c r="AC647" s="114" t="str">
        <f>IFERROR((VLOOKUP($A647,'ИЗ ГУГЛА'!$B:$Z,AC$1,0)+AE647)*AD647,VLOOKUP($A647,'ИЗ ГУГЛА'!$B:$Z,AC$1,0))</f>
        <v/>
      </c>
      <c r="AD647" s="46">
        <v>1</v>
      </c>
      <c r="AE647" s="46"/>
      <c r="AF647" s="115"/>
    </row>
    <row r="648" spans="1:32" s="5" customFormat="1" ht="46.5" thickTop="1" thickBot="1" x14ac:dyDescent="0.3">
      <c r="A648" s="132">
        <v>136587</v>
      </c>
      <c r="B648" s="132">
        <f>VLOOKUP($A648,'Выгр Кат'!$A:$S,B$1,0)</f>
        <v>17103</v>
      </c>
      <c r="C648" s="133" t="str">
        <f>VLOOKUP($A648,'Выгр Кат'!$A:$S,C$1,0)</f>
        <v>Бархотки "БРТ" опускных стекол (П-образные) для Лада Калина, Калина 2, Гранта</v>
      </c>
      <c r="D648" s="132" t="str">
        <f>VLOOKUP($A648,'Выгр Кат'!$A:$S,D$1,0)</f>
        <v>Y</v>
      </c>
      <c r="E648" s="132" t="str">
        <f>VLOOKUP($A648,'Выгр Кат'!$A:$S,E$1,0)</f>
        <v>1</v>
      </c>
      <c r="F648" s="132">
        <f>VLOOKUP($A648,'Выгр Кат'!$A:$S,F$1,0)</f>
        <v>0</v>
      </c>
      <c r="G648" s="99" t="s">
        <v>1241</v>
      </c>
      <c r="H648" s="29"/>
      <c r="I648" s="4" t="s">
        <v>2</v>
      </c>
      <c r="J648" s="95">
        <v>1</v>
      </c>
      <c r="K648" s="168">
        <f t="shared" si="344"/>
        <v>4380</v>
      </c>
      <c r="L648" s="167">
        <f>VLOOKUP(K648,Наценка!$A$1:$B$8,2,1)</f>
        <v>1.2903225806451613</v>
      </c>
      <c r="M648" s="172">
        <f t="shared" si="345"/>
        <v>5651.6129032258059</v>
      </c>
      <c r="N648" s="173">
        <f t="shared" si="337"/>
        <v>5690</v>
      </c>
      <c r="O648" s="134">
        <f>VLOOKUP($A648,'Выгр Кат'!$A:$S,O$1,0)</f>
        <v>4380</v>
      </c>
      <c r="P648" s="134">
        <f>VLOOKUP($A648,'Выгр Кат'!$A:$S,P$1,0)</f>
        <v>5690</v>
      </c>
      <c r="Q648" s="107">
        <f t="shared" si="338"/>
        <v>0</v>
      </c>
      <c r="R648" s="107">
        <f t="shared" si="339"/>
        <v>0</v>
      </c>
      <c r="S648" s="110">
        <f t="shared" si="340"/>
        <v>5291.7</v>
      </c>
      <c r="T648" s="135">
        <f t="shared" si="341"/>
        <v>0.2081506849315069</v>
      </c>
      <c r="U648" s="135">
        <f t="shared" si="342"/>
        <v>-0.32624060150375933</v>
      </c>
      <c r="V648" s="135">
        <f t="shared" si="343"/>
        <v>-8.9041095890410982E-2</v>
      </c>
      <c r="W648" s="117">
        <f t="shared" si="346"/>
        <v>3990</v>
      </c>
      <c r="X648" s="114">
        <f>IFERROR((VLOOKUP($A648,'ИЗ ГУГЛА'!$B:$G,X$1,0)+Z648)*Y648,VLOOKUP($A648,'ИЗ ГУГЛА'!$B:$G,X$1,0))</f>
        <v>3990</v>
      </c>
      <c r="Y648" s="46">
        <v>1</v>
      </c>
      <c r="Z648" s="46"/>
      <c r="AA648" s="138">
        <v>3990</v>
      </c>
      <c r="AB648" s="124" t="s">
        <v>2325</v>
      </c>
      <c r="AC648" s="114" t="str">
        <f>IFERROR((VLOOKUP($A648,'ИЗ ГУГЛА'!$B:$Z,AC$1,0)+AE648)*AD648,VLOOKUP($A648,'ИЗ ГУГЛА'!$B:$Z,AC$1,0))</f>
        <v/>
      </c>
      <c r="AD648" s="46">
        <v>1</v>
      </c>
      <c r="AE648" s="46"/>
      <c r="AF648" s="115"/>
    </row>
    <row r="649" spans="1:32" s="5" customFormat="1" ht="46.5" thickTop="1" thickBot="1" x14ac:dyDescent="0.3">
      <c r="A649" s="132">
        <v>158285</v>
      </c>
      <c r="B649" s="132">
        <f>VLOOKUP($A649,'Выгр Кат'!$A:$S,B$1,0)</f>
        <v>13572</v>
      </c>
      <c r="C649" s="133" t="str">
        <f>VLOOKUP($A649,'Выгр Кат'!$A:$S,C$1,0)</f>
        <v>Комплект "БРТ" П-образных уплотнителей опускных стекол для ВАЗ 2109, 21099, 2114, 2115</v>
      </c>
      <c r="D649" s="132" t="str">
        <f>VLOOKUP($A649,'Выгр Кат'!$A:$S,D$1,0)</f>
        <v>Y</v>
      </c>
      <c r="E649" s="132" t="str">
        <f>VLOOKUP($A649,'Выгр Кат'!$A:$S,E$1,0)</f>
        <v>1</v>
      </c>
      <c r="F649" s="132" t="str">
        <f>VLOOKUP($A649,'Выгр Кат'!$A:$S,F$1,0)</f>
        <v>2109-6103292/293/6203292/293</v>
      </c>
      <c r="G649" s="100" t="s">
        <v>1224</v>
      </c>
      <c r="H649" s="29"/>
      <c r="I649" s="4" t="s">
        <v>2</v>
      </c>
      <c r="J649" s="95">
        <v>1</v>
      </c>
      <c r="K649" s="168">
        <f t="shared" si="344"/>
        <v>3450</v>
      </c>
      <c r="L649" s="167">
        <f>VLOOKUP(K649,Наценка!$A$1:$B$8,2,1)</f>
        <v>1.2903225806451613</v>
      </c>
      <c r="M649" s="147">
        <f>W649*1.04</f>
        <v>4461.6000000000004</v>
      </c>
      <c r="N649" s="173">
        <f t="shared" si="337"/>
        <v>4490</v>
      </c>
      <c r="O649" s="134">
        <f>VLOOKUP($A649,'Выгр Кат'!$A:$S,O$1,0)</f>
        <v>3450</v>
      </c>
      <c r="P649" s="134">
        <f>VLOOKUP($A649,'Выгр Кат'!$A:$S,P$1,0)</f>
        <v>4490</v>
      </c>
      <c r="Q649" s="107">
        <f t="shared" si="338"/>
        <v>0</v>
      </c>
      <c r="R649" s="107">
        <f t="shared" si="339"/>
        <v>0</v>
      </c>
      <c r="S649" s="110">
        <f t="shared" si="340"/>
        <v>4175.7</v>
      </c>
      <c r="T649" s="135">
        <f t="shared" si="341"/>
        <v>0.21034782608695646</v>
      </c>
      <c r="U649" s="135">
        <f t="shared" si="342"/>
        <v>2.6643356643356687E-2</v>
      </c>
      <c r="V649" s="135">
        <f t="shared" si="343"/>
        <v>0.24347826086956514</v>
      </c>
      <c r="W649" s="117">
        <f t="shared" si="346"/>
        <v>4290</v>
      </c>
      <c r="X649" s="114">
        <f>IFERROR((VLOOKUP($A649,'ИЗ ГУГЛА'!$B:$G,X$1,0)+Z649)*Y649,VLOOKUP($A649,'ИЗ ГУГЛА'!$B:$G,X$1,0))</f>
        <v>4290</v>
      </c>
      <c r="Y649" s="46">
        <v>1</v>
      </c>
      <c r="Z649" s="46"/>
      <c r="AA649" s="138">
        <v>4290</v>
      </c>
      <c r="AB649" s="124" t="s">
        <v>2302</v>
      </c>
      <c r="AC649" s="114" t="str">
        <f>IFERROR((VLOOKUP($A649,'ИЗ ГУГЛА'!$B:$Z,AC$1,0)+AE649)*AD649,VLOOKUP($A649,'ИЗ ГУГЛА'!$B:$Z,AC$1,0))</f>
        <v/>
      </c>
      <c r="AD649" s="46">
        <v>1</v>
      </c>
      <c r="AE649" s="46"/>
      <c r="AF649" s="115"/>
    </row>
    <row r="650" spans="1:32" s="5" customFormat="1" ht="31.5" thickTop="1" thickBot="1" x14ac:dyDescent="0.3">
      <c r="A650" s="132">
        <v>223170</v>
      </c>
      <c r="B650" s="132">
        <f>VLOOKUP($A650,'Выгр Кат'!$A:$S,B$1,0)</f>
        <v>12309</v>
      </c>
      <c r="C650" s="133" t="str">
        <f>VLOOKUP($A650,'Выгр Кат'!$A:$S,C$1,0)</f>
        <v>Уплотнители опускных стекол "БРТ" П-образные для ВАЗ 2110, 2112</v>
      </c>
      <c r="D650" s="132" t="str">
        <f>VLOOKUP($A650,'Выгр Кат'!$A:$S,D$1,0)</f>
        <v>Y</v>
      </c>
      <c r="E650" s="132" t="str">
        <f>VLOOKUP($A650,'Выгр Кат'!$A:$S,E$1,0)</f>
        <v>1</v>
      </c>
      <c r="F650" s="132">
        <f>VLOOKUP($A650,'Выгр Кат'!$A:$S,F$1,0)</f>
        <v>0</v>
      </c>
      <c r="G650" s="99" t="s">
        <v>1228</v>
      </c>
      <c r="H650" s="29"/>
      <c r="I650" s="4" t="s">
        <v>2</v>
      </c>
      <c r="J650" s="95">
        <v>1</v>
      </c>
      <c r="K650" s="168">
        <f t="shared" si="344"/>
        <v>3450</v>
      </c>
      <c r="L650" s="167">
        <f>VLOOKUP(K650,Наценка!$A$1:$B$8,2,1)</f>
        <v>1.2903225806451613</v>
      </c>
      <c r="M650" s="148">
        <f t="shared" ref="M649:M654" si="347">W650*1.06</f>
        <v>4865.4000000000005</v>
      </c>
      <c r="N650" s="173">
        <f t="shared" si="337"/>
        <v>4890</v>
      </c>
      <c r="O650" s="134">
        <f>VLOOKUP($A650,'Выгр Кат'!$A:$S,O$1,0)</f>
        <v>3450</v>
      </c>
      <c r="P650" s="134">
        <f>VLOOKUP($A650,'Выгр Кат'!$A:$S,P$1,0)</f>
        <v>4790</v>
      </c>
      <c r="Q650" s="107">
        <f t="shared" si="338"/>
        <v>0</v>
      </c>
      <c r="R650" s="107">
        <f t="shared" si="339"/>
        <v>-100</v>
      </c>
      <c r="S650" s="110">
        <f t="shared" si="340"/>
        <v>4547.7</v>
      </c>
      <c r="T650" s="135">
        <f t="shared" si="341"/>
        <v>0.3181739130434782</v>
      </c>
      <c r="U650" s="135">
        <f t="shared" si="342"/>
        <v>9.2156862745098444E-3</v>
      </c>
      <c r="V650" s="135">
        <f t="shared" si="343"/>
        <v>0.33043478260869574</v>
      </c>
      <c r="W650" s="117">
        <f t="shared" si="346"/>
        <v>4590</v>
      </c>
      <c r="X650" s="114">
        <f>IFERROR((VLOOKUP($A650,'ИЗ ГУГЛА'!$B:$G,X$1,0)+Z650)*Y650,VLOOKUP($A650,'ИЗ ГУГЛА'!$B:$G,X$1,0))</f>
        <v>4590</v>
      </c>
      <c r="Y650" s="46">
        <v>1</v>
      </c>
      <c r="Z650" s="46"/>
      <c r="AA650" s="138">
        <v>4590</v>
      </c>
      <c r="AB650" s="124" t="s">
        <v>2301</v>
      </c>
      <c r="AC650" s="114" t="str">
        <f>IFERROR((VLOOKUP($A650,'ИЗ ГУГЛА'!$B:$Z,AC$1,0)+AE650)*AD650,VLOOKUP($A650,'ИЗ ГУГЛА'!$B:$Z,AC$1,0))</f>
        <v/>
      </c>
      <c r="AD650" s="46">
        <v>1</v>
      </c>
      <c r="AE650" s="46"/>
      <c r="AF650" s="115"/>
    </row>
    <row r="651" spans="1:32" s="5" customFormat="1" ht="31.5" thickTop="1" thickBot="1" x14ac:dyDescent="0.3">
      <c r="A651" s="132">
        <v>223171</v>
      </c>
      <c r="B651" s="132">
        <f>VLOOKUP($A651,'Выгр Кат'!$A:$S,B$1,0)</f>
        <v>12306</v>
      </c>
      <c r="C651" s="133" t="str">
        <f>VLOOKUP($A651,'Выгр Кат'!$A:$S,C$1,0)</f>
        <v>Уплотнители опускных стекол "БРТ" П-образные для ВАЗ 2111</v>
      </c>
      <c r="D651" s="132" t="str">
        <f>VLOOKUP($A651,'Выгр Кат'!$A:$S,D$1,0)</f>
        <v>Y</v>
      </c>
      <c r="E651" s="132" t="str">
        <f>VLOOKUP($A651,'Выгр Кат'!$A:$S,E$1,0)</f>
        <v>1</v>
      </c>
      <c r="F651" s="132">
        <f>VLOOKUP($A651,'Выгр Кат'!$A:$S,F$1,0)</f>
        <v>0</v>
      </c>
      <c r="G651" s="100" t="s">
        <v>1228</v>
      </c>
      <c r="H651" s="29"/>
      <c r="I651" s="4" t="s">
        <v>2</v>
      </c>
      <c r="J651" s="95">
        <v>1</v>
      </c>
      <c r="K651" s="168">
        <f t="shared" si="344"/>
        <v>3337</v>
      </c>
      <c r="L651" s="167">
        <f>VLOOKUP(K651,Наценка!$A$1:$B$8,2,1)</f>
        <v>1.2903225806451613</v>
      </c>
      <c r="M651" s="148">
        <f t="shared" si="347"/>
        <v>5077.4000000000005</v>
      </c>
      <c r="N651" s="173">
        <f t="shared" si="337"/>
        <v>5090</v>
      </c>
      <c r="O651" s="134">
        <f>VLOOKUP($A651,'Выгр Кат'!$A:$S,O$1,0)</f>
        <v>3337</v>
      </c>
      <c r="P651" s="134">
        <f>VLOOKUP($A651,'Выгр Кат'!$A:$S,P$1,0)</f>
        <v>4990</v>
      </c>
      <c r="Q651" s="107">
        <f t="shared" si="338"/>
        <v>0</v>
      </c>
      <c r="R651" s="107">
        <f t="shared" si="339"/>
        <v>-100</v>
      </c>
      <c r="S651" s="110">
        <f t="shared" si="340"/>
        <v>4733.7</v>
      </c>
      <c r="T651" s="135">
        <f t="shared" si="341"/>
        <v>0.41854959544501047</v>
      </c>
      <c r="U651" s="135">
        <f t="shared" si="342"/>
        <v>1.1753653444676448E-2</v>
      </c>
      <c r="V651" s="135">
        <f t="shared" si="343"/>
        <v>0.43542103685945466</v>
      </c>
      <c r="W651" s="117">
        <f t="shared" si="346"/>
        <v>4790</v>
      </c>
      <c r="X651" s="114">
        <f>IFERROR((VLOOKUP($A651,'ИЗ ГУГЛА'!$B:$G,X$1,0)+Z651)*Y651,VLOOKUP($A651,'ИЗ ГУГЛА'!$B:$G,X$1,0))</f>
        <v>4790</v>
      </c>
      <c r="Y651" s="46">
        <v>1</v>
      </c>
      <c r="Z651" s="46"/>
      <c r="AA651" s="138">
        <v>4790</v>
      </c>
      <c r="AB651" s="124" t="s">
        <v>2271</v>
      </c>
      <c r="AC651" s="114" t="str">
        <f>IFERROR((VLOOKUP($A651,'ИЗ ГУГЛА'!$B:$Z,AC$1,0)+AE651)*AD651,VLOOKUP($A651,'ИЗ ГУГЛА'!$B:$Z,AC$1,0))</f>
        <v/>
      </c>
      <c r="AD651" s="46">
        <v>1</v>
      </c>
      <c r="AE651" s="46"/>
      <c r="AF651" s="115"/>
    </row>
    <row r="652" spans="1:32" s="5" customFormat="1" ht="46.5" thickTop="1" thickBot="1" x14ac:dyDescent="0.3">
      <c r="A652" s="132">
        <v>158270</v>
      </c>
      <c r="B652" s="132">
        <f>VLOOKUP($A652,'Выгр Кат'!$A:$S,B$1,0)</f>
        <v>35504</v>
      </c>
      <c r="C652" s="133" t="str">
        <f>VLOOKUP($A652,'Выгр Кат'!$A:$S,C$1,0)</f>
        <v>Комплект "БРТ" верхних рамочных уплотнителей опускных стекол боковых дверей для Шевроле Нива</v>
      </c>
      <c r="D652" s="132" t="str">
        <f>VLOOKUP($A652,'Выгр Кат'!$A:$S,D$1,0)</f>
        <v>Y</v>
      </c>
      <c r="E652" s="132" t="str">
        <f>VLOOKUP($A652,'Выгр Кат'!$A:$S,E$1,0)</f>
        <v>1</v>
      </c>
      <c r="F652" s="132" t="str">
        <f>VLOOKUP($A652,'Выгр Кат'!$A:$S,F$1,0)</f>
        <v>2123-6103292/93</v>
      </c>
      <c r="G652" s="44" t="s">
        <v>1244</v>
      </c>
      <c r="H652" s="29"/>
      <c r="I652" s="4" t="s">
        <v>2</v>
      </c>
      <c r="J652" s="95">
        <v>1</v>
      </c>
      <c r="K652" s="168">
        <f t="shared" si="344"/>
        <v>3299</v>
      </c>
      <c r="L652" s="167">
        <f>VLOOKUP(K652,Наценка!$A$1:$B$8,2,1)</f>
        <v>1.2903225806451613</v>
      </c>
      <c r="M652" s="148">
        <f t="shared" si="347"/>
        <v>5183.4000000000005</v>
      </c>
      <c r="N652" s="173">
        <f t="shared" si="337"/>
        <v>5190</v>
      </c>
      <c r="O652" s="134">
        <f>VLOOKUP($A652,'Выгр Кат'!$A:$S,O$1,0)</f>
        <v>3299</v>
      </c>
      <c r="P652" s="134">
        <f>VLOOKUP($A652,'Выгр Кат'!$A:$S,P$1,0)</f>
        <v>5090</v>
      </c>
      <c r="Q652" s="107">
        <f t="shared" si="338"/>
        <v>0</v>
      </c>
      <c r="R652" s="107">
        <f t="shared" si="339"/>
        <v>-100</v>
      </c>
      <c r="S652" s="110">
        <f t="shared" si="340"/>
        <v>4826.7</v>
      </c>
      <c r="T652" s="135">
        <f t="shared" si="341"/>
        <v>0.46307972112761431</v>
      </c>
      <c r="U652" s="135">
        <f t="shared" si="342"/>
        <v>1.2944785276073657E-2</v>
      </c>
      <c r="V652" s="135">
        <f t="shared" si="343"/>
        <v>0.48226735374355867</v>
      </c>
      <c r="W652" s="117">
        <f t="shared" si="346"/>
        <v>4890</v>
      </c>
      <c r="X652" s="114">
        <f>IFERROR((VLOOKUP($A652,'ИЗ ГУГЛА'!$B:$G,X$1,0)+Z652)*Y652,VLOOKUP($A652,'ИЗ ГУГЛА'!$B:$G,X$1,0))</f>
        <v>4890</v>
      </c>
      <c r="Y652" s="46">
        <v>1</v>
      </c>
      <c r="Z652" s="46"/>
      <c r="AA652" s="138">
        <v>4890</v>
      </c>
      <c r="AB652" s="124" t="s">
        <v>2270</v>
      </c>
      <c r="AC652" s="114" t="str">
        <f>IFERROR((VLOOKUP($A652,'ИЗ ГУГЛА'!$B:$Z,AC$1,0)+AE652)*AD652,VLOOKUP($A652,'ИЗ ГУГЛА'!$B:$Z,AC$1,0))</f>
        <v/>
      </c>
      <c r="AD652" s="46">
        <v>1</v>
      </c>
      <c r="AE652" s="46"/>
      <c r="AF652" s="115"/>
    </row>
    <row r="653" spans="1:32" s="5" customFormat="1" ht="61.5" thickTop="1" thickBot="1" x14ac:dyDescent="0.3">
      <c r="A653" s="132">
        <v>202250</v>
      </c>
      <c r="B653" s="132">
        <f>VLOOKUP($A653,'Выгр Кат'!$A:$S,B$1,0)</f>
        <v>2388</v>
      </c>
      <c r="C653" s="133" t="str">
        <f>VLOOKUP($A653,'Выгр Кат'!$A:$S,C$1,0)</f>
        <v>Пыльники задних амортизаторов силикон "СИНИЙ" для ВАЗ 2108-2115, Приора, Калина, Гранта (комплект 2шт)</v>
      </c>
      <c r="D653" s="132" t="str">
        <f>VLOOKUP($A653,'Выгр Кат'!$A:$S,D$1,0)</f>
        <v>Y</v>
      </c>
      <c r="E653" s="132" t="str">
        <f>VLOOKUP($A653,'Выгр Кат'!$A:$S,E$1,0)</f>
        <v>1</v>
      </c>
      <c r="F653" s="132" t="str">
        <f>VLOOKUP($A653,'Выгр Кат'!$A:$S,F$1,0)</f>
        <v>2108-2915681</v>
      </c>
      <c r="G653" s="45" t="s">
        <v>1821</v>
      </c>
      <c r="H653" s="29" t="s">
        <v>1821</v>
      </c>
      <c r="I653" s="4" t="s">
        <v>2</v>
      </c>
      <c r="J653" s="95">
        <v>1</v>
      </c>
      <c r="K653" s="168">
        <f t="shared" si="344"/>
        <v>322</v>
      </c>
      <c r="L653" s="167">
        <f>VLOOKUP(K653,Наценка!$A$1:$B$8,2,1)</f>
        <v>1.5053763440860215</v>
      </c>
      <c r="M653" s="148">
        <f t="shared" si="347"/>
        <v>519.4</v>
      </c>
      <c r="N653" s="173">
        <f t="shared" si="337"/>
        <v>519</v>
      </c>
      <c r="O653" s="134">
        <f>VLOOKUP($A653,'Выгр Кат'!$A:$S,O$1,0)</f>
        <v>322</v>
      </c>
      <c r="P653" s="134">
        <f>VLOOKUP($A653,'Выгр Кат'!$A:$S,P$1,0)</f>
        <v>509</v>
      </c>
      <c r="Q653" s="107">
        <f t="shared" si="338"/>
        <v>0</v>
      </c>
      <c r="R653" s="107">
        <f t="shared" si="339"/>
        <v>-10</v>
      </c>
      <c r="S653" s="110">
        <f t="shared" si="340"/>
        <v>482.66999999999996</v>
      </c>
      <c r="T653" s="135">
        <f t="shared" si="341"/>
        <v>0.49897515527950298</v>
      </c>
      <c r="U653" s="135">
        <f t="shared" si="342"/>
        <v>1.4959183673469472E-2</v>
      </c>
      <c r="V653" s="135">
        <f t="shared" si="343"/>
        <v>0.52173913043478271</v>
      </c>
      <c r="W653" s="117">
        <f t="shared" si="346"/>
        <v>490</v>
      </c>
      <c r="X653" s="114">
        <f>IFERROR((VLOOKUP($A653,'ИЗ ГУГЛА'!$B:$G,X$1,0)+Z653)*Y653,VLOOKUP($A653,'ИЗ ГУГЛА'!$B:$G,X$1,0))</f>
        <v>490</v>
      </c>
      <c r="Y653" s="46">
        <v>1</v>
      </c>
      <c r="Z653" s="46"/>
      <c r="AA653" s="138">
        <v>490</v>
      </c>
      <c r="AB653" s="124" t="s">
        <v>2370</v>
      </c>
      <c r="AC653" s="114" t="str">
        <f>IFERROR((VLOOKUP($A653,'ИЗ ГУГЛА'!$B:$Z,AC$1,0)+AE653)*AD653,VLOOKUP($A653,'ИЗ ГУГЛА'!$B:$Z,AC$1,0))</f>
        <v/>
      </c>
      <c r="AD653" s="46">
        <v>1</v>
      </c>
      <c r="AE653" s="46"/>
      <c r="AF653" s="115"/>
    </row>
    <row r="654" spans="1:32" s="5" customFormat="1" ht="31.5" thickTop="1" thickBot="1" x14ac:dyDescent="0.3">
      <c r="A654" s="132">
        <v>202244</v>
      </c>
      <c r="B654" s="132">
        <f>VLOOKUP($A654,'Выгр Кат'!$A:$S,B$1,0)</f>
        <v>17949</v>
      </c>
      <c r="C654" s="133" t="str">
        <f>VLOOKUP($A654,'Выгр Кат'!$A:$S,C$1,0)</f>
        <v>Пыльники "БРТ" подрулевого переключателя (высокие)</v>
      </c>
      <c r="D654" s="132" t="str">
        <f>VLOOKUP($A654,'Выгр Кат'!$A:$S,D$1,0)</f>
        <v>Y</v>
      </c>
      <c r="E654" s="132" t="str">
        <f>VLOOKUP($A654,'Выгр Кат'!$A:$S,E$1,0)</f>
        <v>0ск6</v>
      </c>
      <c r="F654" s="132" t="str">
        <f>VLOOKUP($A654,'Выгр Кат'!$A:$S,F$1,0)</f>
        <v>61065-3710072</v>
      </c>
      <c r="G654" s="45" t="s">
        <v>1821</v>
      </c>
      <c r="H654" s="29" t="s">
        <v>1821</v>
      </c>
      <c r="I654" s="4" t="s">
        <v>2</v>
      </c>
      <c r="J654" s="95">
        <v>1</v>
      </c>
      <c r="K654" s="168">
        <f t="shared" si="344"/>
        <v>170</v>
      </c>
      <c r="L654" s="167">
        <f>VLOOKUP(K654,Наценка!$A$1:$B$8,2,1)</f>
        <v>1.7204301075268817</v>
      </c>
      <c r="M654" s="148">
        <f t="shared" si="347"/>
        <v>307.40000000000003</v>
      </c>
      <c r="N654" s="173">
        <f t="shared" si="337"/>
        <v>309</v>
      </c>
      <c r="O654" s="134">
        <f>VLOOKUP($A654,'Выгр Кат'!$A:$S,O$1,0)</f>
        <v>170</v>
      </c>
      <c r="P654" s="134">
        <f>VLOOKUP($A654,'Выгр Кат'!$A:$S,P$1,0)</f>
        <v>299</v>
      </c>
      <c r="Q654" s="107">
        <f t="shared" si="338"/>
        <v>0</v>
      </c>
      <c r="R654" s="107">
        <f t="shared" si="339"/>
        <v>-10</v>
      </c>
      <c r="S654" s="110">
        <f t="shared" si="340"/>
        <v>287.37</v>
      </c>
      <c r="T654" s="135">
        <f t="shared" si="341"/>
        <v>0.69041176470588228</v>
      </c>
      <c r="U654" s="135">
        <f t="shared" si="342"/>
        <v>9.0689655172413643E-3</v>
      </c>
      <c r="V654" s="135">
        <f t="shared" si="343"/>
        <v>0.70588235294117641</v>
      </c>
      <c r="W654" s="117">
        <f t="shared" si="346"/>
        <v>290</v>
      </c>
      <c r="X654" s="114">
        <f>IFERROR((VLOOKUP($A654,'ИЗ ГУГЛА'!$B:$G,X$1,0)+Z654)*Y654,VLOOKUP($A654,'ИЗ ГУГЛА'!$B:$G,X$1,0))</f>
        <v>290</v>
      </c>
      <c r="Y654" s="46">
        <v>1</v>
      </c>
      <c r="Z654" s="46"/>
      <c r="AA654" s="138">
        <v>290</v>
      </c>
      <c r="AB654" s="124" t="s">
        <v>2371</v>
      </c>
      <c r="AC654" s="114" t="str">
        <f>IFERROR((VLOOKUP($A654,'ИЗ ГУГЛА'!$B:$Z,AC$1,0)+AE654)*AD654,VLOOKUP($A654,'ИЗ ГУГЛА'!$B:$Z,AC$1,0))</f>
        <v/>
      </c>
      <c r="AD654" s="46">
        <v>1</v>
      </c>
      <c r="AE654" s="46"/>
      <c r="AF654" s="115"/>
    </row>
    <row r="655" spans="1:32" s="5" customFormat="1" ht="31.5" thickTop="1" thickBot="1" x14ac:dyDescent="0.3">
      <c r="A655" s="132">
        <v>159495</v>
      </c>
      <c r="B655" s="132">
        <f>VLOOKUP($A655,'Выгр Кат'!$A:$S,B$1,0)</f>
        <v>19716</v>
      </c>
      <c r="C655" s="133" t="str">
        <f>VLOOKUP($A655,'Выгр Кат'!$A:$S,C$1,0)</f>
        <v>Комплект прокладок петли "БРТ" на двери задка для Лада Нива 4х4</v>
      </c>
      <c r="D655" s="132" t="str">
        <f>VLOOKUP($A655,'Выгр Кат'!$A:$S,D$1,0)</f>
        <v>Y</v>
      </c>
      <c r="E655" s="132" t="str">
        <f>VLOOKUP($A655,'Выгр Кат'!$A:$S,E$1,0)</f>
        <v>1ск6</v>
      </c>
      <c r="F655" s="132" t="str">
        <f>VLOOKUP($A655,'Выгр Кат'!$A:$S,F$1,0)</f>
        <v>21213-6306026, 21213-6306027, 2121-6306034-10</v>
      </c>
      <c r="G655" s="45" t="s">
        <v>1821</v>
      </c>
      <c r="H655" s="29" t="s">
        <v>1821</v>
      </c>
      <c r="I655" s="4" t="s">
        <v>2</v>
      </c>
      <c r="J655" s="95">
        <v>1</v>
      </c>
      <c r="K655" s="168">
        <f t="shared" si="344"/>
        <v>190</v>
      </c>
      <c r="L655" s="167">
        <f>VLOOKUP(K655,Наценка!$A$1:$B$8,2,1)</f>
        <v>1.7204301075268817</v>
      </c>
      <c r="M655" s="172">
        <f t="shared" si="345"/>
        <v>326.88172043010752</v>
      </c>
      <c r="N655" s="173">
        <f t="shared" si="337"/>
        <v>329</v>
      </c>
      <c r="O655" s="134">
        <f>VLOOKUP($A655,'Выгр Кат'!$A:$S,O$1,0)</f>
        <v>190</v>
      </c>
      <c r="P655" s="134">
        <f>VLOOKUP($A655,'Выгр Кат'!$A:$S,P$1,0)</f>
        <v>329</v>
      </c>
      <c r="Q655" s="107">
        <f t="shared" si="338"/>
        <v>0</v>
      </c>
      <c r="R655" s="107">
        <f t="shared" si="339"/>
        <v>0</v>
      </c>
      <c r="S655" s="110">
        <f t="shared" si="340"/>
        <v>305.96999999999997</v>
      </c>
      <c r="T655" s="135">
        <f t="shared" si="341"/>
        <v>0.61036842105263145</v>
      </c>
      <c r="U655" s="135" t="str">
        <f t="shared" si="342"/>
        <v/>
      </c>
      <c r="V655" s="135" t="str">
        <f t="shared" si="343"/>
        <v/>
      </c>
      <c r="W655" s="45"/>
      <c r="X655" s="114" t="str">
        <f>IFERROR((VLOOKUP($A655,'ИЗ ГУГЛА'!$B:$G,X$1,0)+Z655)*Y655,VLOOKUP($A655,'ИЗ ГУГЛА'!$B:$G,X$1,0))</f>
        <v/>
      </c>
      <c r="Y655" s="108">
        <v>1</v>
      </c>
      <c r="Z655" s="46"/>
      <c r="AA655" s="140" t="s">
        <v>1821</v>
      </c>
      <c r="AB655" s="129"/>
      <c r="AC655" s="114" t="str">
        <f>IFERROR((VLOOKUP($A655,'ИЗ ГУГЛА'!$B:$Z,AC$1,0)+AE655)*AD655,VLOOKUP($A655,'ИЗ ГУГЛА'!$B:$Z,AC$1,0))</f>
        <v/>
      </c>
      <c r="AD655" s="108">
        <v>1</v>
      </c>
      <c r="AE655" s="46"/>
      <c r="AF655" s="115"/>
    </row>
    <row r="656" spans="1:32" s="5" customFormat="1" ht="31.5" thickTop="1" thickBot="1" x14ac:dyDescent="0.3">
      <c r="A656" s="132">
        <v>158182</v>
      </c>
      <c r="B656" s="132">
        <f>VLOOKUP($A656,'Выгр Кат'!$A:$S,B$1,0)</f>
        <v>21248</v>
      </c>
      <c r="C656" s="133" t="str">
        <f>VLOOKUP($A656,'Выгр Кат'!$A:$S,C$1,0)</f>
        <v>Кольцо уплотнительное системы кондиционирования (10 х 6 х 2 мм)</v>
      </c>
      <c r="D656" s="132" t="str">
        <f>VLOOKUP($A656,'Выгр Кат'!$A:$S,D$1,0)</f>
        <v>Y</v>
      </c>
      <c r="E656" s="132" t="str">
        <f>VLOOKUP($A656,'Выгр Кат'!$A:$S,E$1,0)</f>
        <v>1</v>
      </c>
      <c r="F656" s="132" t="str">
        <f>VLOOKUP($A656,'Выгр Кат'!$A:$S,F$1,0)</f>
        <v>8450039689</v>
      </c>
      <c r="G656" s="45" t="s">
        <v>1821</v>
      </c>
      <c r="H656" s="29" t="s">
        <v>1821</v>
      </c>
      <c r="I656" s="4" t="s">
        <v>2</v>
      </c>
      <c r="J656" s="95">
        <v>1</v>
      </c>
      <c r="K656" s="168">
        <f t="shared" si="344"/>
        <v>0</v>
      </c>
      <c r="L656" s="167" t="e">
        <f>VLOOKUP(K656,Наценка!$A$1:$B$8,2,1)</f>
        <v>#N/A</v>
      </c>
      <c r="M656" s="169">
        <f>P656</f>
        <v>99</v>
      </c>
      <c r="N656" s="173">
        <f t="shared" si="337"/>
        <v>99</v>
      </c>
      <c r="O656" s="134">
        <f>VLOOKUP($A656,'Выгр Кат'!$A:$S,O$1,0)</f>
        <v>0</v>
      </c>
      <c r="P656" s="134">
        <f>VLOOKUP($A656,'Выгр Кат'!$A:$S,P$1,0)</f>
        <v>99</v>
      </c>
      <c r="Q656" s="107">
        <f t="shared" si="338"/>
        <v>0</v>
      </c>
      <c r="R656" s="107">
        <f t="shared" si="339"/>
        <v>0</v>
      </c>
      <c r="S656" s="110">
        <f t="shared" si="340"/>
        <v>92.07</v>
      </c>
      <c r="T656" s="135" t="str">
        <f t="shared" si="341"/>
        <v/>
      </c>
      <c r="U656" s="135" t="str">
        <f t="shared" si="342"/>
        <v/>
      </c>
      <c r="V656" s="135" t="str">
        <f t="shared" si="343"/>
        <v/>
      </c>
      <c r="W656" s="45"/>
      <c r="X656" s="114" t="str">
        <f>IFERROR((VLOOKUP($A656,'ИЗ ГУГЛА'!$B:$G,X$1,0)+Z656)*Y656,VLOOKUP($A656,'ИЗ ГУГЛА'!$B:$G,X$1,0))</f>
        <v/>
      </c>
      <c r="Y656" s="108">
        <v>1</v>
      </c>
      <c r="Z656" s="46"/>
      <c r="AA656" s="140" t="s">
        <v>1821</v>
      </c>
      <c r="AB656" s="129"/>
      <c r="AC656" s="114" t="str">
        <f>IFERROR((VLOOKUP($A656,'ИЗ ГУГЛА'!$B:$Z,AC$1,0)+AE656)*AD656,VLOOKUP($A656,'ИЗ ГУГЛА'!$B:$Z,AC$1,0))</f>
        <v/>
      </c>
      <c r="AD656" s="108">
        <v>1</v>
      </c>
      <c r="AE656" s="46"/>
      <c r="AF656" s="115"/>
    </row>
    <row r="657" spans="1:32" s="5" customFormat="1" ht="31.5" thickTop="1" thickBot="1" x14ac:dyDescent="0.3">
      <c r="A657" s="132">
        <v>158183</v>
      </c>
      <c r="B657" s="132">
        <f>VLOOKUP($A657,'Выгр Кат'!$A:$S,B$1,0)</f>
        <v>21249</v>
      </c>
      <c r="C657" s="133" t="str">
        <f>VLOOKUP($A657,'Выгр Кат'!$A:$S,C$1,0)</f>
        <v>Кольцо уплотнительное системы кондиционирования (11 х 8 х 2 мм)</v>
      </c>
      <c r="D657" s="132" t="str">
        <f>VLOOKUP($A657,'Выгр Кат'!$A:$S,D$1,0)</f>
        <v>Y</v>
      </c>
      <c r="E657" s="132" t="str">
        <f>VLOOKUP($A657,'Выгр Кат'!$A:$S,E$1,0)</f>
        <v>1</v>
      </c>
      <c r="F657" s="132">
        <f>VLOOKUP($A657,'Выгр Кат'!$A:$S,F$1,0)</f>
        <v>0</v>
      </c>
      <c r="G657" s="45" t="s">
        <v>1821</v>
      </c>
      <c r="H657" s="29" t="s">
        <v>1821</v>
      </c>
      <c r="I657" s="4" t="s">
        <v>2</v>
      </c>
      <c r="J657" s="95">
        <v>1</v>
      </c>
      <c r="K657" s="168">
        <f t="shared" si="344"/>
        <v>0</v>
      </c>
      <c r="L657" s="167" t="e">
        <f>VLOOKUP(K657,Наценка!$A$1:$B$8,2,1)</f>
        <v>#N/A</v>
      </c>
      <c r="M657" s="169">
        <f>P657</f>
        <v>99</v>
      </c>
      <c r="N657" s="173">
        <f t="shared" si="337"/>
        <v>99</v>
      </c>
      <c r="O657" s="134">
        <f>VLOOKUP($A657,'Выгр Кат'!$A:$S,O$1,0)</f>
        <v>0</v>
      </c>
      <c r="P657" s="134">
        <f>VLOOKUP($A657,'Выгр Кат'!$A:$S,P$1,0)</f>
        <v>99</v>
      </c>
      <c r="Q657" s="107">
        <f t="shared" si="338"/>
        <v>0</v>
      </c>
      <c r="R657" s="107">
        <f t="shared" si="339"/>
        <v>0</v>
      </c>
      <c r="S657" s="110">
        <f t="shared" si="340"/>
        <v>92.07</v>
      </c>
      <c r="T657" s="135" t="str">
        <f t="shared" si="341"/>
        <v/>
      </c>
      <c r="U657" s="135" t="str">
        <f t="shared" si="342"/>
        <v/>
      </c>
      <c r="V657" s="135" t="str">
        <f t="shared" si="343"/>
        <v/>
      </c>
      <c r="W657" s="45"/>
      <c r="X657" s="114" t="str">
        <f>IFERROR((VLOOKUP($A657,'ИЗ ГУГЛА'!$B:$G,X$1,0)+Z657)*Y657,VLOOKUP($A657,'ИЗ ГУГЛА'!$B:$G,X$1,0))</f>
        <v/>
      </c>
      <c r="Y657" s="108">
        <v>1</v>
      </c>
      <c r="Z657" s="46"/>
      <c r="AA657" s="140" t="s">
        <v>1821</v>
      </c>
      <c r="AB657" s="129"/>
      <c r="AC657" s="114" t="str">
        <f>IFERROR((VLOOKUP($A657,'ИЗ ГУГЛА'!$B:$Z,AC$1,0)+AE657)*AD657,VLOOKUP($A657,'ИЗ ГУГЛА'!$B:$Z,AC$1,0))</f>
        <v/>
      </c>
      <c r="AD657" s="108">
        <v>1</v>
      </c>
      <c r="AE657" s="46"/>
      <c r="AF657" s="115"/>
    </row>
    <row r="658" spans="1:32" s="5" customFormat="1" ht="31.5" thickTop="1" thickBot="1" x14ac:dyDescent="0.3">
      <c r="A658" s="132">
        <v>158185</v>
      </c>
      <c r="B658" s="132">
        <f>VLOOKUP($A658,'Выгр Кат'!$A:$S,B$1,0)</f>
        <v>21252</v>
      </c>
      <c r="C658" s="133" t="str">
        <f>VLOOKUP($A658,'Выгр Кат'!$A:$S,C$1,0)</f>
        <v>Кольцо уплотнительное системы кондиционирования (17 х 14 х 2 мм)</v>
      </c>
      <c r="D658" s="132" t="str">
        <f>VLOOKUP($A658,'Выгр Кат'!$A:$S,D$1,0)</f>
        <v>Y</v>
      </c>
      <c r="E658" s="132" t="str">
        <f>VLOOKUP($A658,'Выгр Кат'!$A:$S,E$1,0)</f>
        <v>1</v>
      </c>
      <c r="F658" s="132">
        <f>VLOOKUP($A658,'Выгр Кат'!$A:$S,F$1,0)</f>
        <v>0</v>
      </c>
      <c r="G658" s="45" t="s">
        <v>1821</v>
      </c>
      <c r="H658" s="29" t="s">
        <v>1821</v>
      </c>
      <c r="I658" s="4" t="s">
        <v>2</v>
      </c>
      <c r="J658" s="95">
        <v>1</v>
      </c>
      <c r="K658" s="168">
        <f t="shared" si="344"/>
        <v>0</v>
      </c>
      <c r="L658" s="167" t="e">
        <f>VLOOKUP(K658,Наценка!$A$1:$B$8,2,1)</f>
        <v>#N/A</v>
      </c>
      <c r="M658" s="169">
        <f>P658</f>
        <v>99</v>
      </c>
      <c r="N658" s="173">
        <f t="shared" si="337"/>
        <v>99</v>
      </c>
      <c r="O658" s="134">
        <f>VLOOKUP($A658,'Выгр Кат'!$A:$S,O$1,0)</f>
        <v>0</v>
      </c>
      <c r="P658" s="134">
        <f>VLOOKUP($A658,'Выгр Кат'!$A:$S,P$1,0)</f>
        <v>99</v>
      </c>
      <c r="Q658" s="107">
        <f t="shared" si="338"/>
        <v>0</v>
      </c>
      <c r="R658" s="107">
        <f t="shared" si="339"/>
        <v>0</v>
      </c>
      <c r="S658" s="110">
        <f t="shared" si="340"/>
        <v>92.07</v>
      </c>
      <c r="T658" s="135" t="str">
        <f t="shared" si="341"/>
        <v/>
      </c>
      <c r="U658" s="135" t="str">
        <f t="shared" si="342"/>
        <v/>
      </c>
      <c r="V658" s="135" t="str">
        <f t="shared" si="343"/>
        <v/>
      </c>
      <c r="W658" s="45"/>
      <c r="X658" s="114" t="str">
        <f>IFERROR((VLOOKUP($A658,'ИЗ ГУГЛА'!$B:$G,X$1,0)+Z658)*Y658,VLOOKUP($A658,'ИЗ ГУГЛА'!$B:$G,X$1,0))</f>
        <v/>
      </c>
      <c r="Y658" s="108">
        <v>1</v>
      </c>
      <c r="Z658" s="46"/>
      <c r="AA658" s="140" t="s">
        <v>1821</v>
      </c>
      <c r="AB658" s="129"/>
      <c r="AC658" s="114" t="str">
        <f>IFERROR((VLOOKUP($A658,'ИЗ ГУГЛА'!$B:$Z,AC$1,0)+AE658)*AD658,VLOOKUP($A658,'ИЗ ГУГЛА'!$B:$Z,AC$1,0))</f>
        <v/>
      </c>
      <c r="AD658" s="108">
        <v>1</v>
      </c>
      <c r="AE658" s="46"/>
      <c r="AF658" s="115"/>
    </row>
    <row r="659" spans="1:32" s="5" customFormat="1" ht="46.5" thickTop="1" thickBot="1" x14ac:dyDescent="0.3">
      <c r="A659" s="132">
        <v>152839</v>
      </c>
      <c r="B659" s="132">
        <f>VLOOKUP($A659,'Выгр Кат'!$A:$S,B$1,0)</f>
        <v>31780</v>
      </c>
      <c r="C659" s="133" t="str">
        <f>VLOOKUP($A659,'Выгр Кат'!$A:$S,C$1,0)</f>
        <v>Защитные колпачки опор передних стоек для Лада (Калина 2, Гранта), Датсун (mi-Do, on-Do)</v>
      </c>
      <c r="D659" s="132" t="str">
        <f>VLOOKUP($A659,'Выгр Кат'!$A:$S,D$1,0)</f>
        <v>Y</v>
      </c>
      <c r="E659" s="132" t="str">
        <f>VLOOKUP($A659,'Выгр Кат'!$A:$S,E$1,0)</f>
        <v>1</v>
      </c>
      <c r="F659" s="132" t="str">
        <f>VLOOKUP($A659,'Выгр Кат'!$A:$S,F$1,0)</f>
        <v>2190-2901054</v>
      </c>
      <c r="G659" s="45" t="s">
        <v>1821</v>
      </c>
      <c r="H659" s="29" t="s">
        <v>1821</v>
      </c>
      <c r="I659" s="4" t="s">
        <v>2</v>
      </c>
      <c r="J659" s="95">
        <v>1</v>
      </c>
      <c r="K659" s="168">
        <f t="shared" si="344"/>
        <v>80</v>
      </c>
      <c r="L659" s="167">
        <f>VLOOKUP(K659,Наценка!$A$1:$B$8,2,1)</f>
        <v>2.150537634408602</v>
      </c>
      <c r="M659" s="148">
        <f t="shared" ref="M659:M660" si="348">W659*1.06</f>
        <v>348.74</v>
      </c>
      <c r="N659" s="173">
        <f t="shared" si="337"/>
        <v>349</v>
      </c>
      <c r="O659" s="134">
        <f>VLOOKUP($A659,'Выгр Кат'!$A:$S,O$1,0)</f>
        <v>80</v>
      </c>
      <c r="P659" s="134">
        <f>VLOOKUP($A659,'Выгр Кат'!$A:$S,P$1,0)</f>
        <v>349</v>
      </c>
      <c r="Q659" s="107">
        <f t="shared" si="338"/>
        <v>0</v>
      </c>
      <c r="R659" s="107">
        <f t="shared" si="339"/>
        <v>0</v>
      </c>
      <c r="S659" s="110">
        <f t="shared" si="340"/>
        <v>324.57</v>
      </c>
      <c r="T659" s="135">
        <f t="shared" si="341"/>
        <v>3.0571250000000001</v>
      </c>
      <c r="U659" s="135">
        <f t="shared" si="342"/>
        <v>1.3465045592705187E-2</v>
      </c>
      <c r="V659" s="135">
        <f t="shared" si="343"/>
        <v>3.1124999999999998</v>
      </c>
      <c r="W659" s="117">
        <f t="shared" ref="W659:W660" si="349">AA659</f>
        <v>329</v>
      </c>
      <c r="X659" s="114">
        <f>IFERROR((VLOOKUP($A659,'ИЗ ГУГЛА'!$B:$G,X$1,0)+Z659)*Y659,VLOOKUP($A659,'ИЗ ГУГЛА'!$B:$G,X$1,0))</f>
        <v>329</v>
      </c>
      <c r="Y659" s="46">
        <v>1</v>
      </c>
      <c r="Z659" s="46"/>
      <c r="AA659" s="138">
        <v>329</v>
      </c>
      <c r="AB659" s="124" t="s">
        <v>2372</v>
      </c>
      <c r="AC659" s="114" t="str">
        <f>IFERROR((VLOOKUP($A659,'ИЗ ГУГЛА'!$B:$Z,AC$1,0)+AE659)*AD659,VLOOKUP($A659,'ИЗ ГУГЛА'!$B:$Z,AC$1,0))</f>
        <v/>
      </c>
      <c r="AD659" s="46">
        <v>1</v>
      </c>
      <c r="AE659" s="46"/>
      <c r="AF659" s="115"/>
    </row>
    <row r="660" spans="1:32" s="5" customFormat="1" ht="46.5" thickTop="1" thickBot="1" x14ac:dyDescent="0.3">
      <c r="A660" s="132">
        <v>141824</v>
      </c>
      <c r="B660" s="132">
        <f>VLOOKUP($A660,'Выгр Кат'!$A:$S,B$1,0)</f>
        <v>37954</v>
      </c>
      <c r="C660" s="133" t="str">
        <f>VLOOKUP($A660,'Выгр Кат'!$A:$S,C$1,0)</f>
        <v>Грязезащитные заглушки проема рулевых тяг "БРТ" для Лада Калина, Калина 2, Гранта</v>
      </c>
      <c r="D660" s="132" t="str">
        <f>VLOOKUP($A660,'Выгр Кат'!$A:$S,D$1,0)</f>
        <v>Y</v>
      </c>
      <c r="E660" s="132" t="str">
        <f>VLOOKUP($A660,'Выгр Кат'!$A:$S,E$1,0)</f>
        <v>1</v>
      </c>
      <c r="F660" s="132" t="str">
        <f>VLOOKUP($A660,'Выгр Кат'!$A:$S,F$1,0)</f>
        <v>1118-3414088 / 89</v>
      </c>
      <c r="G660" s="45" t="s">
        <v>1821</v>
      </c>
      <c r="H660" s="29" t="s">
        <v>1821</v>
      </c>
      <c r="I660" s="4" t="s">
        <v>2</v>
      </c>
      <c r="J660" s="95">
        <v>1</v>
      </c>
      <c r="K660" s="168">
        <f t="shared" si="344"/>
        <v>170</v>
      </c>
      <c r="L660" s="167">
        <f>VLOOKUP(K660,Наценка!$A$1:$B$8,2,1)</f>
        <v>1.7204301075268817</v>
      </c>
      <c r="M660" s="148">
        <f t="shared" si="348"/>
        <v>348.74</v>
      </c>
      <c r="N660" s="173">
        <f t="shared" si="337"/>
        <v>349</v>
      </c>
      <c r="O660" s="134">
        <f>VLOOKUP($A660,'Выгр Кат'!$A:$S,O$1,0)</f>
        <v>170</v>
      </c>
      <c r="P660" s="134">
        <f>VLOOKUP($A660,'Выгр Кат'!$A:$S,P$1,0)</f>
        <v>349</v>
      </c>
      <c r="Q660" s="107">
        <f t="shared" si="338"/>
        <v>0</v>
      </c>
      <c r="R660" s="107">
        <f t="shared" si="339"/>
        <v>0</v>
      </c>
      <c r="S660" s="110">
        <f t="shared" si="340"/>
        <v>324.57</v>
      </c>
      <c r="T660" s="135">
        <f t="shared" si="341"/>
        <v>0.90923529411764692</v>
      </c>
      <c r="U660" s="135">
        <f t="shared" si="342"/>
        <v>1.3465045592705187E-2</v>
      </c>
      <c r="V660" s="135">
        <f t="shared" si="343"/>
        <v>0.93529411764705883</v>
      </c>
      <c r="W660" s="117">
        <f t="shared" si="349"/>
        <v>329</v>
      </c>
      <c r="X660" s="114">
        <f>IFERROR((VLOOKUP($A660,'ИЗ ГУГЛА'!$B:$G,X$1,0)+Z660)*Y660,VLOOKUP($A660,'ИЗ ГУГЛА'!$B:$G,X$1,0))</f>
        <v>329</v>
      </c>
      <c r="Y660" s="46">
        <v>1</v>
      </c>
      <c r="Z660" s="46"/>
      <c r="AA660" s="138">
        <v>329</v>
      </c>
      <c r="AB660" s="124" t="s">
        <v>2373</v>
      </c>
      <c r="AC660" s="114" t="str">
        <f>IFERROR((VLOOKUP($A660,'ИЗ ГУГЛА'!$B:$Z,AC$1,0)+AE660)*AD660,VLOOKUP($A660,'ИЗ ГУГЛА'!$B:$Z,AC$1,0))</f>
        <v/>
      </c>
      <c r="AD660" s="46">
        <v>1</v>
      </c>
      <c r="AE660" s="46"/>
      <c r="AF660" s="115"/>
    </row>
    <row r="661" spans="1:32" s="5" customFormat="1" ht="46.5" thickTop="1" thickBot="1" x14ac:dyDescent="0.3">
      <c r="A661" s="132">
        <v>181721</v>
      </c>
      <c r="B661" s="132">
        <f>VLOOKUP($A661,'Выгр Кат'!$A:$S,B$1,0)</f>
        <v>38213</v>
      </c>
      <c r="C661" s="133" t="str">
        <f>VLOOKUP($A661,'Выгр Кат'!$A:$S,C$1,0)</f>
        <v>Опора стойки передней подвески "БМРТ" без подшипника для Лада Веста</v>
      </c>
      <c r="D661" s="132" t="str">
        <f>VLOOKUP($A661,'Выгр Кат'!$A:$S,D$1,0)</f>
        <v>Y</v>
      </c>
      <c r="E661" s="132" t="str">
        <f>VLOOKUP($A661,'Выгр Кат'!$A:$S,E$1,0)</f>
        <v>1</v>
      </c>
      <c r="F661" s="132" t="str">
        <f>VLOOKUP($A661,'Выгр Кат'!$A:$S,F$1,0)</f>
        <v>18428</v>
      </c>
      <c r="G661" s="45" t="s">
        <v>1821</v>
      </c>
      <c r="H661" s="29" t="s">
        <v>1821</v>
      </c>
      <c r="I661" s="4" t="s">
        <v>2</v>
      </c>
      <c r="J661" s="95">
        <v>1</v>
      </c>
      <c r="K661" s="168">
        <f t="shared" si="344"/>
        <v>670</v>
      </c>
      <c r="L661" s="167">
        <f>VLOOKUP(K661,Наценка!$A$1:$B$8,2,1)</f>
        <v>1.3978494623655915</v>
      </c>
      <c r="M661" s="172">
        <f t="shared" si="345"/>
        <v>936.5591397849463</v>
      </c>
      <c r="N661" s="173">
        <f t="shared" si="337"/>
        <v>939</v>
      </c>
      <c r="O661" s="134">
        <f>VLOOKUP($A661,'Выгр Кат'!$A:$S,O$1,0)</f>
        <v>670</v>
      </c>
      <c r="P661" s="134">
        <f>VLOOKUP($A661,'Выгр Кат'!$A:$S,P$1,0)</f>
        <v>939</v>
      </c>
      <c r="Q661" s="107">
        <f t="shared" si="338"/>
        <v>0</v>
      </c>
      <c r="R661" s="107">
        <f t="shared" si="339"/>
        <v>0</v>
      </c>
      <c r="S661" s="110">
        <f t="shared" si="340"/>
        <v>873.27</v>
      </c>
      <c r="T661" s="135">
        <f t="shared" si="341"/>
        <v>0.30338805970149241</v>
      </c>
      <c r="U661" s="135" t="str">
        <f t="shared" si="342"/>
        <v/>
      </c>
      <c r="V661" s="135" t="str">
        <f t="shared" si="343"/>
        <v/>
      </c>
      <c r="W661" s="45"/>
      <c r="X661" s="114" t="str">
        <f>IFERROR((VLOOKUP($A661,'ИЗ ГУГЛА'!$B:$G,X$1,0)+Z661)*Y661,VLOOKUP($A661,'ИЗ ГУГЛА'!$B:$G,X$1,0))</f>
        <v/>
      </c>
      <c r="Y661" s="108">
        <v>1</v>
      </c>
      <c r="Z661" s="46"/>
      <c r="AA661" s="140" t="s">
        <v>1821</v>
      </c>
      <c r="AB661" s="129"/>
      <c r="AC661" s="114" t="str">
        <f>IFERROR((VLOOKUP($A661,'ИЗ ГУГЛА'!$B:$Z,AC$1,0)+AE661)*AD661,VLOOKUP($A661,'ИЗ ГУГЛА'!$B:$Z,AC$1,0))</f>
        <v/>
      </c>
      <c r="AD661" s="108">
        <v>1</v>
      </c>
      <c r="AE661" s="46"/>
      <c r="AF661" s="115"/>
    </row>
    <row r="662" spans="1:32" s="5" customFormat="1" ht="31.5" thickTop="1" thickBot="1" x14ac:dyDescent="0.3">
      <c r="A662" s="132">
        <v>223154</v>
      </c>
      <c r="B662" s="132">
        <f>VLOOKUP($A662,'Выгр Кат'!$A:$S,B$1,0)</f>
        <v>38370</v>
      </c>
      <c r="C662" s="133" t="str">
        <f>VLOOKUP($A662,'Выгр Кат'!$A:$S,C$1,0)</f>
        <v>Уплотнители "БРТ" проёмов дверей для ВАЗ 2110, 2112</v>
      </c>
      <c r="D662" s="132" t="str">
        <f>VLOOKUP($A662,'Выгр Кат'!$A:$S,D$1,0)</f>
        <v>Y</v>
      </c>
      <c r="E662" s="132" t="str">
        <f>VLOOKUP($A662,'Выгр Кат'!$A:$S,E$1,0)</f>
        <v>1</v>
      </c>
      <c r="F662" s="132">
        <f>VLOOKUP($A662,'Выгр Кат'!$A:$S,F$1,0)</f>
        <v>0</v>
      </c>
      <c r="G662" s="45" t="s">
        <v>408</v>
      </c>
      <c r="H662" s="27"/>
      <c r="I662" s="4" t="s">
        <v>2</v>
      </c>
      <c r="J662" s="105">
        <v>4</v>
      </c>
      <c r="K662" s="168">
        <f t="shared" si="344"/>
        <v>1835</v>
      </c>
      <c r="L662" s="167">
        <f>VLOOKUP(K662,Наценка!$A$1:$B$8,2,1)</f>
        <v>1.2903225806451613</v>
      </c>
      <c r="M662" s="147">
        <f>W662*1.04</f>
        <v>2589.6</v>
      </c>
      <c r="N662" s="173">
        <f t="shared" si="337"/>
        <v>2590</v>
      </c>
      <c r="O662" s="134">
        <f>VLOOKUP($A662,'Выгр Кат'!$A:$S,O$1,0)</f>
        <v>1835</v>
      </c>
      <c r="P662" s="134">
        <f>VLOOKUP($A662,'Выгр Кат'!$A:$S,P$1,0)</f>
        <v>2390</v>
      </c>
      <c r="Q662" s="107">
        <f t="shared" si="338"/>
        <v>0</v>
      </c>
      <c r="R662" s="107">
        <f t="shared" si="339"/>
        <v>-200</v>
      </c>
      <c r="S662" s="110">
        <f t="shared" si="340"/>
        <v>2408.6999999999998</v>
      </c>
      <c r="T662" s="135">
        <f t="shared" si="341"/>
        <v>0.31264305177111718</v>
      </c>
      <c r="U662" s="135">
        <f t="shared" si="342"/>
        <v>3.2650602409638629E-2</v>
      </c>
      <c r="V662" s="135">
        <f t="shared" si="343"/>
        <v>0.35694822888283384</v>
      </c>
      <c r="W662" s="117">
        <f t="shared" ref="W662:W667" si="350">AA662</f>
        <v>2490</v>
      </c>
      <c r="X662" s="114">
        <f>IFERROR((VLOOKUP($A662,'ИЗ ГУГЛА'!$B:$G,X$1,0)+Z662)*Y662,VLOOKUP($A662,'ИЗ ГУГЛА'!$B:$G,X$1,0))</f>
        <v>2490</v>
      </c>
      <c r="Y662" s="46">
        <v>1</v>
      </c>
      <c r="Z662" s="46"/>
      <c r="AA662" s="138">
        <v>2490</v>
      </c>
      <c r="AB662" s="124" t="s">
        <v>2374</v>
      </c>
      <c r="AC662" s="114" t="str">
        <f>IFERROR((VLOOKUP($A662,'ИЗ ГУГЛА'!$B:$Z,AC$1,0)+AE662)*AD662,VLOOKUP($A662,'ИЗ ГУГЛА'!$B:$Z,AC$1,0))</f>
        <v/>
      </c>
      <c r="AD662" s="46">
        <v>1</v>
      </c>
      <c r="AE662" s="46"/>
      <c r="AF662" s="115"/>
    </row>
    <row r="663" spans="1:32" s="5" customFormat="1" ht="31.5" thickTop="1" thickBot="1" x14ac:dyDescent="0.3">
      <c r="A663" s="132">
        <v>201489</v>
      </c>
      <c r="B663" s="132">
        <f>VLOOKUP($A663,'Выгр Кат'!$A:$S,B$1,0)</f>
        <v>38382</v>
      </c>
      <c r="C663" s="133" t="str">
        <f>VLOOKUP($A663,'Выгр Кат'!$A:$S,C$1,0)</f>
        <v>Прокладка пружины передней подвески "БРТ" для Лада Калина</v>
      </c>
      <c r="D663" s="132" t="str">
        <f>VLOOKUP($A663,'Выгр Кат'!$A:$S,D$1,0)</f>
        <v>Y</v>
      </c>
      <c r="E663" s="132" t="str">
        <f>VLOOKUP($A663,'Выгр Кат'!$A:$S,E$1,0)</f>
        <v>1</v>
      </c>
      <c r="F663" s="132" t="str">
        <f>VLOOKUP($A663,'Выгр Кат'!$A:$S,F$1,0)</f>
        <v>11180-2902723-00</v>
      </c>
      <c r="G663" s="45" t="s">
        <v>1821</v>
      </c>
      <c r="H663" s="29" t="s">
        <v>1821</v>
      </c>
      <c r="I663" s="4" t="s">
        <v>2</v>
      </c>
      <c r="J663" s="95">
        <v>1</v>
      </c>
      <c r="K663" s="168">
        <f t="shared" si="344"/>
        <v>50</v>
      </c>
      <c r="L663" s="167">
        <f>VLOOKUP(K663,Наценка!$A$1:$B$8,2,1)</f>
        <v>2.150537634408602</v>
      </c>
      <c r="M663" s="148">
        <f t="shared" ref="M662:M665" si="351">W663*1.06</f>
        <v>179.14000000000001</v>
      </c>
      <c r="N663" s="173">
        <f t="shared" si="337"/>
        <v>179</v>
      </c>
      <c r="O663" s="134">
        <f>VLOOKUP($A663,'Выгр Кат'!$A:$S,O$1,0)</f>
        <v>50</v>
      </c>
      <c r="P663" s="134">
        <f>VLOOKUP($A663,'Выгр Кат'!$A:$S,P$1,0)</f>
        <v>179</v>
      </c>
      <c r="Q663" s="107">
        <f t="shared" si="338"/>
        <v>0</v>
      </c>
      <c r="R663" s="107">
        <f t="shared" si="339"/>
        <v>0</v>
      </c>
      <c r="S663" s="110">
        <f t="shared" si="340"/>
        <v>166.47</v>
      </c>
      <c r="T663" s="135">
        <f t="shared" si="341"/>
        <v>2.3294000000000001</v>
      </c>
      <c r="U663" s="135">
        <f t="shared" si="342"/>
        <v>1.4970414201183439E-2</v>
      </c>
      <c r="V663" s="135">
        <f t="shared" si="343"/>
        <v>2.38</v>
      </c>
      <c r="W663" s="117">
        <f t="shared" si="350"/>
        <v>169</v>
      </c>
      <c r="X663" s="114">
        <f>IFERROR((VLOOKUP($A663,'ИЗ ГУГЛА'!$B:$G,X$1,0)+Z663)*Y663,VLOOKUP($A663,'ИЗ ГУГЛА'!$B:$G,X$1,0))</f>
        <v>169</v>
      </c>
      <c r="Y663" s="46">
        <v>1</v>
      </c>
      <c r="Z663" s="46"/>
      <c r="AA663" s="138">
        <v>169</v>
      </c>
      <c r="AB663" s="124" t="s">
        <v>2375</v>
      </c>
      <c r="AC663" s="114" t="str">
        <f>IFERROR((VLOOKUP($A663,'ИЗ ГУГЛА'!$B:$Z,AC$1,0)+AE663)*AD663,VLOOKUP($A663,'ИЗ ГУГЛА'!$B:$Z,AC$1,0))</f>
        <v/>
      </c>
      <c r="AD663" s="46">
        <v>1</v>
      </c>
      <c r="AE663" s="46"/>
      <c r="AF663" s="115"/>
    </row>
    <row r="664" spans="1:32" s="5" customFormat="1" ht="61.5" thickTop="1" thickBot="1" x14ac:dyDescent="0.3">
      <c r="A664" s="132">
        <v>223302</v>
      </c>
      <c r="B664" s="132">
        <f>VLOOKUP($A664,'Выгр Кат'!$A:$S,B$1,0)</f>
        <v>38675</v>
      </c>
      <c r="C664" s="133" t="str">
        <f>VLOOKUP($A664,'Выгр Кат'!$A:$S,C$1,0)</f>
        <v>Уплотнительное кольцо "БРТ" главного тормозного цилиндра, рабочего цилиндра сцепления (d 19 мм) для ВАЗ 2101-2107</v>
      </c>
      <c r="D664" s="132" t="str">
        <f>VLOOKUP($A664,'Выгр Кат'!$A:$S,D$1,0)</f>
        <v>Y</v>
      </c>
      <c r="E664" s="132" t="str">
        <f>VLOOKUP($A664,'Выгр Кат'!$A:$S,E$1,0)</f>
        <v>1ск6</v>
      </c>
      <c r="F664" s="132" t="str">
        <f>VLOOKUP($A664,'Выгр Кат'!$A:$S,F$1,0)</f>
        <v>2101-1602516Р</v>
      </c>
      <c r="G664" s="45" t="s">
        <v>1821</v>
      </c>
      <c r="H664" s="29" t="s">
        <v>1821</v>
      </c>
      <c r="I664" s="4" t="s">
        <v>2</v>
      </c>
      <c r="J664" s="95">
        <v>1</v>
      </c>
      <c r="K664" s="168">
        <f t="shared" si="344"/>
        <v>0</v>
      </c>
      <c r="L664" s="167" t="e">
        <f>VLOOKUP(K664,Наценка!$A$1:$B$8,2,1)</f>
        <v>#N/A</v>
      </c>
      <c r="M664" s="145">
        <f>W664*1</f>
        <v>79</v>
      </c>
      <c r="N664" s="173">
        <f t="shared" si="337"/>
        <v>79</v>
      </c>
      <c r="O664" s="134">
        <f>VLOOKUP($A664,'Выгр Кат'!$A:$S,O$1,0)</f>
        <v>0</v>
      </c>
      <c r="P664" s="134">
        <f>VLOOKUP($A664,'Выгр Кат'!$A:$S,P$1,0)</f>
        <v>79</v>
      </c>
      <c r="Q664" s="107">
        <f t="shared" si="338"/>
        <v>0</v>
      </c>
      <c r="R664" s="107">
        <f t="shared" si="339"/>
        <v>0</v>
      </c>
      <c r="S664" s="110">
        <f t="shared" si="340"/>
        <v>73.47</v>
      </c>
      <c r="T664" s="135" t="str">
        <f t="shared" si="341"/>
        <v/>
      </c>
      <c r="U664" s="135">
        <f t="shared" si="342"/>
        <v>7.0000000000000021E-2</v>
      </c>
      <c r="V664" s="135" t="str">
        <f t="shared" si="343"/>
        <v/>
      </c>
      <c r="W664" s="117">
        <f t="shared" si="350"/>
        <v>79</v>
      </c>
      <c r="X664" s="114">
        <f>IFERROR((VLOOKUP($A664,'ИЗ ГУГЛА'!$B:$G,X$1,0)+Z664)*Y664,VLOOKUP($A664,'ИЗ ГУГЛА'!$B:$G,X$1,0))</f>
        <v>79</v>
      </c>
      <c r="Y664" s="46">
        <v>1</v>
      </c>
      <c r="Z664" s="46"/>
      <c r="AA664" s="138">
        <v>79</v>
      </c>
      <c r="AB664" s="124" t="s">
        <v>2376</v>
      </c>
      <c r="AC664" s="114" t="str">
        <f>IFERROR((VLOOKUP($A664,'ИЗ ГУГЛА'!$B:$Z,AC$1,0)+AE664)*AD664,VLOOKUP($A664,'ИЗ ГУГЛА'!$B:$Z,AC$1,0))</f>
        <v/>
      </c>
      <c r="AD664" s="46">
        <v>1</v>
      </c>
      <c r="AE664" s="46"/>
      <c r="AF664" s="115"/>
    </row>
    <row r="665" spans="1:32" s="5" customFormat="1" ht="46.5" thickTop="1" thickBot="1" x14ac:dyDescent="0.3">
      <c r="A665" s="132">
        <v>223292</v>
      </c>
      <c r="B665" s="132">
        <f>VLOOKUP($A665,'Выгр Кат'!$A:$S,B$1,0)</f>
        <v>39026</v>
      </c>
      <c r="C665" s="133" t="str">
        <f>VLOOKUP($A665,'Выгр Кат'!$A:$S,C$1,0)</f>
        <v>Уплотнитель рычага ручного тормоза нового образца для Шевроле Нива (после 2009 г. в.), Лада Нива Travel</v>
      </c>
      <c r="D665" s="132" t="str">
        <f>VLOOKUP($A665,'Выгр Кат'!$A:$S,D$1,0)</f>
        <v>Y</v>
      </c>
      <c r="E665" s="132" t="str">
        <f>VLOOKUP($A665,'Выгр Кат'!$A:$S,E$1,0)</f>
        <v>1ск6</v>
      </c>
      <c r="F665" s="132" t="str">
        <f>VLOOKUP($A665,'Выгр Кат'!$A:$S,F$1,0)</f>
        <v>212305109159550</v>
      </c>
      <c r="G665" s="45" t="s">
        <v>1821</v>
      </c>
      <c r="H665" s="29" t="s">
        <v>1821</v>
      </c>
      <c r="I665" s="4" t="s">
        <v>2</v>
      </c>
      <c r="J665" s="95">
        <v>1</v>
      </c>
      <c r="K665" s="168">
        <f t="shared" si="344"/>
        <v>160</v>
      </c>
      <c r="L665" s="167">
        <f>VLOOKUP(K665,Наценка!$A$1:$B$8,2,1)</f>
        <v>1.7204301075268817</v>
      </c>
      <c r="M665" s="148">
        <f t="shared" si="351"/>
        <v>307.40000000000003</v>
      </c>
      <c r="N665" s="173">
        <f t="shared" si="337"/>
        <v>309</v>
      </c>
      <c r="O665" s="134">
        <f>VLOOKUP($A665,'Выгр Кат'!$A:$S,O$1,0)</f>
        <v>160</v>
      </c>
      <c r="P665" s="134">
        <f>VLOOKUP($A665,'Выгр Кат'!$A:$S,P$1,0)</f>
        <v>309</v>
      </c>
      <c r="Q665" s="107">
        <f t="shared" si="338"/>
        <v>0</v>
      </c>
      <c r="R665" s="107">
        <f t="shared" si="339"/>
        <v>0</v>
      </c>
      <c r="S665" s="110">
        <f t="shared" si="340"/>
        <v>287.37</v>
      </c>
      <c r="T665" s="135">
        <f t="shared" si="341"/>
        <v>0.79606250000000012</v>
      </c>
      <c r="U665" s="135">
        <f t="shared" si="342"/>
        <v>9.0689655172413643E-3</v>
      </c>
      <c r="V665" s="135">
        <f t="shared" si="343"/>
        <v>0.8125</v>
      </c>
      <c r="W665" s="117">
        <f t="shared" si="350"/>
        <v>290</v>
      </c>
      <c r="X665" s="114">
        <f>IFERROR((VLOOKUP($A665,'ИЗ ГУГЛА'!$B:$G,X$1,0)+Z665)*Y665,VLOOKUP($A665,'ИЗ ГУГЛА'!$B:$G,X$1,0))</f>
        <v>290</v>
      </c>
      <c r="Y665" s="46">
        <v>1</v>
      </c>
      <c r="Z665" s="46"/>
      <c r="AA665" s="138">
        <v>290</v>
      </c>
      <c r="AB665" s="124" t="s">
        <v>2377</v>
      </c>
      <c r="AC665" s="114" t="str">
        <f>IFERROR((VLOOKUP($A665,'ИЗ ГУГЛА'!$B:$Z,AC$1,0)+AE665)*AD665,VLOOKUP($A665,'ИЗ ГУГЛА'!$B:$Z,AC$1,0))</f>
        <v/>
      </c>
      <c r="AD665" s="46">
        <v>1</v>
      </c>
      <c r="AE665" s="46"/>
      <c r="AF665" s="115"/>
    </row>
    <row r="666" spans="1:32" s="5" customFormat="1" ht="31.5" thickTop="1" thickBot="1" x14ac:dyDescent="0.3">
      <c r="A666" s="132">
        <v>138870</v>
      </c>
      <c r="B666" s="132">
        <f>VLOOKUP($A666,'Выгр Кат'!$A:$S,B$1,0)</f>
        <v>39859</v>
      </c>
      <c r="C666" s="133" t="str">
        <f>VLOOKUP($A666,'Выгр Кат'!$A:$S,C$1,0)</f>
        <v>Буфер "БРТ" капота правый для Лада Нива 4х4</v>
      </c>
      <c r="D666" s="132" t="str">
        <f>VLOOKUP($A666,'Выгр Кат'!$A:$S,D$1,0)</f>
        <v>Y</v>
      </c>
      <c r="E666" s="132" t="str">
        <f>VLOOKUP($A666,'Выгр Кат'!$A:$S,E$1,0)</f>
        <v>1</v>
      </c>
      <c r="F666" s="132" t="str">
        <f>VLOOKUP($A666,'Выгр Кат'!$A:$S,F$1,0)</f>
        <v>2121-8402214Р</v>
      </c>
      <c r="G666" s="45" t="s">
        <v>1821</v>
      </c>
      <c r="H666" s="29" t="s">
        <v>1821</v>
      </c>
      <c r="I666" s="4" t="s">
        <v>2</v>
      </c>
      <c r="J666" s="95">
        <v>1</v>
      </c>
      <c r="K666" s="168">
        <f t="shared" si="344"/>
        <v>42</v>
      </c>
      <c r="L666" s="167">
        <f>VLOOKUP(K666,Наценка!$A$1:$B$8,2,1)</f>
        <v>2.150537634408602</v>
      </c>
      <c r="M666" s="149">
        <f t="shared" ref="M662:M667" si="352">W666*1.07</f>
        <v>159.43</v>
      </c>
      <c r="N666" s="173">
        <f t="shared" si="337"/>
        <v>159</v>
      </c>
      <c r="O666" s="134">
        <f>VLOOKUP($A666,'Выгр Кат'!$A:$S,O$1,0)</f>
        <v>42</v>
      </c>
      <c r="P666" s="134">
        <f>VLOOKUP($A666,'Выгр Кат'!$A:$S,P$1,0)</f>
        <v>159</v>
      </c>
      <c r="Q666" s="107">
        <f t="shared" si="338"/>
        <v>0</v>
      </c>
      <c r="R666" s="107">
        <f t="shared" si="339"/>
        <v>0</v>
      </c>
      <c r="S666" s="110">
        <f t="shared" si="340"/>
        <v>147.86999999999998</v>
      </c>
      <c r="T666" s="135">
        <f t="shared" si="341"/>
        <v>2.520714285714285</v>
      </c>
      <c r="U666" s="135">
        <f t="shared" si="342"/>
        <v>7.5838926174498248E-3</v>
      </c>
      <c r="V666" s="135">
        <f t="shared" si="343"/>
        <v>2.5476190476190474</v>
      </c>
      <c r="W666" s="117">
        <f t="shared" si="350"/>
        <v>149</v>
      </c>
      <c r="X666" s="114">
        <f>IFERROR((VLOOKUP($A666,'ИЗ ГУГЛА'!$B:$G,X$1,0)+Z666)*Y666,VLOOKUP($A666,'ИЗ ГУГЛА'!$B:$G,X$1,0))</f>
        <v>149</v>
      </c>
      <c r="Y666" s="46">
        <v>1</v>
      </c>
      <c r="Z666" s="46"/>
      <c r="AA666" s="138">
        <v>149</v>
      </c>
      <c r="AB666" s="124" t="s">
        <v>2378</v>
      </c>
      <c r="AC666" s="114" t="str">
        <f>IFERROR((VLOOKUP($A666,'ИЗ ГУГЛА'!$B:$Z,AC$1,0)+AE666)*AD666,VLOOKUP($A666,'ИЗ ГУГЛА'!$B:$Z,AC$1,0))</f>
        <v/>
      </c>
      <c r="AD666" s="46">
        <v>1</v>
      </c>
      <c r="AE666" s="46"/>
      <c r="AF666" s="115"/>
    </row>
    <row r="667" spans="1:32" s="5" customFormat="1" ht="31.5" thickTop="1" thickBot="1" x14ac:dyDescent="0.3">
      <c r="A667" s="132">
        <v>138873</v>
      </c>
      <c r="B667" s="132">
        <f>VLOOKUP($A667,'Выгр Кат'!$A:$S,B$1,0)</f>
        <v>39864</v>
      </c>
      <c r="C667" s="133" t="str">
        <f>VLOOKUP($A667,'Выгр Кат'!$A:$S,C$1,0)</f>
        <v>Буфер "БРТ" капота левый для Лада Нива 4х4</v>
      </c>
      <c r="D667" s="132" t="str">
        <f>VLOOKUP($A667,'Выгр Кат'!$A:$S,D$1,0)</f>
        <v>Y</v>
      </c>
      <c r="E667" s="132" t="str">
        <f>VLOOKUP($A667,'Выгр Кат'!$A:$S,E$1,0)</f>
        <v>1</v>
      </c>
      <c r="F667" s="132" t="str">
        <f>VLOOKUP($A667,'Выгр Кат'!$A:$S,F$1,0)</f>
        <v>2121-8402215Р</v>
      </c>
      <c r="G667" s="45" t="s">
        <v>1821</v>
      </c>
      <c r="H667" s="29" t="s">
        <v>1821</v>
      </c>
      <c r="I667" s="4" t="s">
        <v>2</v>
      </c>
      <c r="J667" s="95">
        <v>1</v>
      </c>
      <c r="K667" s="168">
        <f t="shared" si="344"/>
        <v>42</v>
      </c>
      <c r="L667" s="167">
        <f>VLOOKUP(K667,Наценка!$A$1:$B$8,2,1)</f>
        <v>2.150537634408602</v>
      </c>
      <c r="M667" s="149">
        <f t="shared" si="352"/>
        <v>159.43</v>
      </c>
      <c r="N667" s="173">
        <f t="shared" si="337"/>
        <v>159</v>
      </c>
      <c r="O667" s="134">
        <f>VLOOKUP($A667,'Выгр Кат'!$A:$S,O$1,0)</f>
        <v>42</v>
      </c>
      <c r="P667" s="134">
        <f>VLOOKUP($A667,'Выгр Кат'!$A:$S,P$1,0)</f>
        <v>159</v>
      </c>
      <c r="Q667" s="107">
        <f t="shared" si="338"/>
        <v>0</v>
      </c>
      <c r="R667" s="107">
        <f t="shared" si="339"/>
        <v>0</v>
      </c>
      <c r="S667" s="110">
        <f t="shared" si="340"/>
        <v>147.86999999999998</v>
      </c>
      <c r="T667" s="135">
        <f t="shared" si="341"/>
        <v>2.520714285714285</v>
      </c>
      <c r="U667" s="135">
        <f t="shared" si="342"/>
        <v>7.5838926174498248E-3</v>
      </c>
      <c r="V667" s="135">
        <f t="shared" si="343"/>
        <v>2.5476190476190474</v>
      </c>
      <c r="W667" s="117">
        <f t="shared" si="350"/>
        <v>149</v>
      </c>
      <c r="X667" s="114">
        <f>IFERROR((VLOOKUP($A667,'ИЗ ГУГЛА'!$B:$G,X$1,0)+Z667)*Y667,VLOOKUP($A667,'ИЗ ГУГЛА'!$B:$G,X$1,0))</f>
        <v>149</v>
      </c>
      <c r="Y667" s="46">
        <v>1</v>
      </c>
      <c r="Z667" s="46"/>
      <c r="AA667" s="138">
        <v>149</v>
      </c>
      <c r="AB667" s="124" t="s">
        <v>2379</v>
      </c>
      <c r="AC667" s="114" t="str">
        <f>IFERROR((VLOOKUP($A667,'ИЗ ГУГЛА'!$B:$Z,AC$1,0)+AE667)*AD667,VLOOKUP($A667,'ИЗ ГУГЛА'!$B:$Z,AC$1,0))</f>
        <v/>
      </c>
      <c r="AD667" s="46">
        <v>1</v>
      </c>
      <c r="AE667" s="46"/>
      <c r="AF667" s="115"/>
    </row>
    <row r="668" spans="1:32" s="5" customFormat="1" ht="30.75" thickTop="1" x14ac:dyDescent="0.25">
      <c r="A668" s="132">
        <v>201531</v>
      </c>
      <c r="B668" s="132">
        <f>VLOOKUP($A668,'Выгр Кат'!$A:$S,B$1,0)</f>
        <v>40205</v>
      </c>
      <c r="C668" s="133" t="str">
        <f>VLOOKUP($A668,'Выгр Кат'!$A:$S,C$1,0)</f>
        <v>Прокладки петли "БРТ" двери задка верхняя для Лада Нива 4x4</v>
      </c>
      <c r="D668" s="132" t="str">
        <f>VLOOKUP($A668,'Выгр Кат'!$A:$S,D$1,0)</f>
        <v>Y</v>
      </c>
      <c r="E668" s="132" t="str">
        <f>VLOOKUP($A668,'Выгр Кат'!$A:$S,E$1,0)</f>
        <v>1</v>
      </c>
      <c r="F668" s="132" t="str">
        <f>VLOOKUP($A668,'Выгр Кат'!$A:$S,F$1,0)</f>
        <v>2121-6306034</v>
      </c>
      <c r="G668" s="45" t="s">
        <v>1821</v>
      </c>
      <c r="H668" s="29" t="s">
        <v>1821</v>
      </c>
      <c r="I668" s="4" t="s">
        <v>2</v>
      </c>
      <c r="J668" s="95">
        <v>1</v>
      </c>
      <c r="K668" s="168">
        <f t="shared" si="344"/>
        <v>14</v>
      </c>
      <c r="L668" s="167">
        <f>VLOOKUP(K668,Наценка!$A$1:$B$8,2,1)</f>
        <v>2.150537634408602</v>
      </c>
      <c r="M668" s="172">
        <f t="shared" si="345"/>
        <v>30.107526881720428</v>
      </c>
      <c r="N668" s="173">
        <f t="shared" si="337"/>
        <v>39</v>
      </c>
      <c r="O668" s="134">
        <f>VLOOKUP($A668,'Выгр Кат'!$A:$S,O$1,0)</f>
        <v>14</v>
      </c>
      <c r="P668" s="134">
        <f>VLOOKUP($A668,'Выгр Кат'!$A:$S,P$1,0)</f>
        <v>39</v>
      </c>
      <c r="Q668" s="107">
        <f t="shared" si="338"/>
        <v>0</v>
      </c>
      <c r="R668" s="107">
        <f t="shared" si="339"/>
        <v>0</v>
      </c>
      <c r="S668" s="110">
        <f t="shared" si="340"/>
        <v>36.269999999999996</v>
      </c>
      <c r="T668" s="135">
        <f t="shared" si="341"/>
        <v>1.5907142857142853</v>
      </c>
      <c r="U668" s="135" t="str">
        <f t="shared" si="342"/>
        <v/>
      </c>
      <c r="V668" s="135" t="str">
        <f t="shared" si="343"/>
        <v/>
      </c>
      <c r="W668" s="45"/>
      <c r="X668" s="114" t="str">
        <f>IFERROR((VLOOKUP($A668,'ИЗ ГУГЛА'!$B:$G,X$1,0)+Z668)*Y668,VLOOKUP($A668,'ИЗ ГУГЛА'!$B:$G,X$1,0))</f>
        <v/>
      </c>
      <c r="Y668" s="108">
        <v>1</v>
      </c>
      <c r="Z668" s="46"/>
      <c r="AA668" s="139" t="s">
        <v>1821</v>
      </c>
      <c r="AB668" s="124"/>
      <c r="AC668" s="114" t="str">
        <f>IFERROR((VLOOKUP($A668,'ИЗ ГУГЛА'!$B:$Z,AC$1,0)+AE668)*AD668,VLOOKUP($A668,'ИЗ ГУГЛА'!$B:$Z,AC$1,0))</f>
        <v/>
      </c>
      <c r="AD668" s="108">
        <v>1</v>
      </c>
      <c r="AE668" s="46"/>
      <c r="AF668" s="115"/>
    </row>
    <row r="669" spans="1:32" s="5" customFormat="1" ht="30" x14ac:dyDescent="0.25">
      <c r="A669" s="132">
        <v>201459</v>
      </c>
      <c r="B669" s="132">
        <f>VLOOKUP($A669,'Выгр Кат'!$A:$S,B$1,0)</f>
        <v>40265</v>
      </c>
      <c r="C669" s="133" t="str">
        <f>VLOOKUP($A669,'Выгр Кат'!$A:$S,C$1,0)</f>
        <v>Прокладка петли "БРТ" двери задка для Лада Нива 4x4</v>
      </c>
      <c r="D669" s="132" t="str">
        <f>VLOOKUP($A669,'Выгр Кат'!$A:$S,D$1,0)</f>
        <v>Y</v>
      </c>
      <c r="E669" s="132" t="str">
        <f>VLOOKUP($A669,'Выгр Кат'!$A:$S,E$1,0)</f>
        <v>1</v>
      </c>
      <c r="F669" s="132" t="str">
        <f>VLOOKUP($A669,'Выгр Кат'!$A:$S,F$1,0)</f>
        <v>2121-6306036-00</v>
      </c>
      <c r="G669" s="45" t="s">
        <v>1821</v>
      </c>
      <c r="H669" s="29" t="s">
        <v>1821</v>
      </c>
      <c r="I669" s="4" t="s">
        <v>2</v>
      </c>
      <c r="J669" s="95">
        <v>1</v>
      </c>
      <c r="K669" s="168">
        <f t="shared" si="344"/>
        <v>10</v>
      </c>
      <c r="L669" s="167">
        <f>VLOOKUP(K669,Наценка!$A$1:$B$8,2,1)</f>
        <v>2.150537634408602</v>
      </c>
      <c r="M669" s="172">
        <f t="shared" si="345"/>
        <v>21.50537634408602</v>
      </c>
      <c r="N669" s="173">
        <f t="shared" si="337"/>
        <v>29</v>
      </c>
      <c r="O669" s="134">
        <f>VLOOKUP($A669,'Выгр Кат'!$A:$S,O$1,0)</f>
        <v>10</v>
      </c>
      <c r="P669" s="134">
        <f>VLOOKUP($A669,'Выгр Кат'!$A:$S,P$1,0)</f>
        <v>29</v>
      </c>
      <c r="Q669" s="107">
        <f t="shared" si="338"/>
        <v>0</v>
      </c>
      <c r="R669" s="107">
        <f t="shared" si="339"/>
        <v>0</v>
      </c>
      <c r="S669" s="110">
        <f t="shared" si="340"/>
        <v>26.97</v>
      </c>
      <c r="T669" s="135">
        <f t="shared" si="341"/>
        <v>1.6970000000000001</v>
      </c>
      <c r="U669" s="135" t="str">
        <f t="shared" si="342"/>
        <v/>
      </c>
      <c r="V669" s="135" t="str">
        <f t="shared" si="343"/>
        <v/>
      </c>
      <c r="W669" s="45"/>
      <c r="X669" s="114" t="str">
        <f>IFERROR((VLOOKUP($A669,'ИЗ ГУГЛА'!$B:$G,X$1,0)+Z669)*Y669,VLOOKUP($A669,'ИЗ ГУГЛА'!$B:$G,X$1,0))</f>
        <v/>
      </c>
      <c r="Y669" s="108">
        <v>1</v>
      </c>
      <c r="Z669" s="46"/>
      <c r="AA669" s="139" t="s">
        <v>1821</v>
      </c>
      <c r="AB669" s="124"/>
      <c r="AC669" s="114" t="str">
        <f>IFERROR((VLOOKUP($A669,'ИЗ ГУГЛА'!$B:$Z,AC$1,0)+AE669)*AD669,VLOOKUP($A669,'ИЗ ГУГЛА'!$B:$Z,AC$1,0))</f>
        <v/>
      </c>
      <c r="AD669" s="108">
        <v>1</v>
      </c>
      <c r="AE669" s="46"/>
      <c r="AF669" s="115"/>
    </row>
    <row r="670" spans="1:32" s="5" customFormat="1" ht="30.75" thickBot="1" x14ac:dyDescent="0.3">
      <c r="A670" s="132">
        <v>201461</v>
      </c>
      <c r="B670" s="132">
        <f>VLOOKUP($A670,'Выгр Кат'!$A:$S,B$1,0)</f>
        <v>40331</v>
      </c>
      <c r="C670" s="133" t="str">
        <f>VLOOKUP($A670,'Выгр Кат'!$A:$S,C$1,0)</f>
        <v>Прокладка петли "БРТ" двери задка, правая для Лада Нива 4x4</v>
      </c>
      <c r="D670" s="132" t="str">
        <f>VLOOKUP($A670,'Выгр Кат'!$A:$S,D$1,0)</f>
        <v>Y</v>
      </c>
      <c r="E670" s="132" t="str">
        <f>VLOOKUP($A670,'Выгр Кат'!$A:$S,E$1,0)</f>
        <v>1</v>
      </c>
      <c r="F670" s="132" t="str">
        <f>VLOOKUP($A670,'Выгр Кат'!$A:$S,F$1,0)</f>
        <v>21213-6306026</v>
      </c>
      <c r="G670" s="45" t="s">
        <v>1821</v>
      </c>
      <c r="H670" s="29" t="s">
        <v>1821</v>
      </c>
      <c r="I670" s="4" t="s">
        <v>2</v>
      </c>
      <c r="J670" s="95">
        <v>1</v>
      </c>
      <c r="K670" s="168">
        <f t="shared" si="344"/>
        <v>54</v>
      </c>
      <c r="L670" s="167">
        <f>VLOOKUP(K670,Наценка!$A$1:$B$8,2,1)</f>
        <v>2.150537634408602</v>
      </c>
      <c r="M670" s="148">
        <f t="shared" ref="M670:M671" si="353">W670*1.06</f>
        <v>179.14000000000001</v>
      </c>
      <c r="N670" s="173">
        <f t="shared" si="337"/>
        <v>179</v>
      </c>
      <c r="O670" s="134">
        <f>VLOOKUP($A670,'Выгр Кат'!$A:$S,O$1,0)</f>
        <v>54</v>
      </c>
      <c r="P670" s="134">
        <f>VLOOKUP($A670,'Выгр Кат'!$A:$S,P$1,0)</f>
        <v>179</v>
      </c>
      <c r="Q670" s="107">
        <f t="shared" si="338"/>
        <v>0</v>
      </c>
      <c r="R670" s="107">
        <f t="shared" si="339"/>
        <v>0</v>
      </c>
      <c r="S670" s="110">
        <f t="shared" si="340"/>
        <v>166.47</v>
      </c>
      <c r="T670" s="135">
        <f t="shared" si="341"/>
        <v>2.0827777777777778</v>
      </c>
      <c r="U670" s="135">
        <f t="shared" si="342"/>
        <v>1.4970414201183439E-2</v>
      </c>
      <c r="V670" s="135">
        <f t="shared" si="343"/>
        <v>2.1296296296296298</v>
      </c>
      <c r="W670" s="117">
        <f t="shared" ref="W670:W671" si="354">AA670</f>
        <v>169</v>
      </c>
      <c r="X670" s="114">
        <f>IFERROR((VLOOKUP($A670,'ИЗ ГУГЛА'!$B:$G,X$1,0)+Z670)*Y670,VLOOKUP($A670,'ИЗ ГУГЛА'!$B:$G,X$1,0))</f>
        <v>169</v>
      </c>
      <c r="Y670" s="46">
        <v>1</v>
      </c>
      <c r="Z670" s="46"/>
      <c r="AA670" s="136">
        <v>169</v>
      </c>
      <c r="AB670" s="124" t="s">
        <v>2498</v>
      </c>
      <c r="AC670" s="114" t="str">
        <f>IFERROR((VLOOKUP($A670,'ИЗ ГУГЛА'!$B:$Z,AC$1,0)+AE670)*AD670,VLOOKUP($A670,'ИЗ ГУГЛА'!$B:$Z,AC$1,0))</f>
        <v/>
      </c>
      <c r="AD670" s="46">
        <v>1</v>
      </c>
      <c r="AE670" s="46"/>
      <c r="AF670" s="115"/>
    </row>
    <row r="671" spans="1:32" s="5" customFormat="1" ht="31.5" thickTop="1" thickBot="1" x14ac:dyDescent="0.3">
      <c r="A671" s="132">
        <v>201460</v>
      </c>
      <c r="B671" s="132">
        <f>VLOOKUP($A671,'Выгр Кат'!$A:$S,B$1,0)</f>
        <v>40334</v>
      </c>
      <c r="C671" s="133" t="str">
        <f>VLOOKUP($A671,'Выгр Кат'!$A:$S,C$1,0)</f>
        <v>Прокладка петли "БРТ" двери задка, левая для Лада Нива 4x4</v>
      </c>
      <c r="D671" s="132" t="str">
        <f>VLOOKUP($A671,'Выгр Кат'!$A:$S,D$1,0)</f>
        <v>Y</v>
      </c>
      <c r="E671" s="132" t="str">
        <f>VLOOKUP($A671,'Выгр Кат'!$A:$S,E$1,0)</f>
        <v>1</v>
      </c>
      <c r="F671" s="132" t="str">
        <f>VLOOKUP($A671,'Выгр Кат'!$A:$S,F$1,0)</f>
        <v>21213-6306027</v>
      </c>
      <c r="G671" s="45" t="s">
        <v>1821</v>
      </c>
      <c r="H671" s="29" t="s">
        <v>1821</v>
      </c>
      <c r="I671" s="4" t="s">
        <v>2</v>
      </c>
      <c r="J671" s="95">
        <v>1</v>
      </c>
      <c r="K671" s="168">
        <f t="shared" si="344"/>
        <v>54</v>
      </c>
      <c r="L671" s="167">
        <f>VLOOKUP(K671,Наценка!$A$1:$B$8,2,1)</f>
        <v>2.150537634408602</v>
      </c>
      <c r="M671" s="148">
        <f t="shared" si="353"/>
        <v>179.14000000000001</v>
      </c>
      <c r="N671" s="173">
        <f t="shared" si="337"/>
        <v>179</v>
      </c>
      <c r="O671" s="134">
        <f>VLOOKUP($A671,'Выгр Кат'!$A:$S,O$1,0)</f>
        <v>54</v>
      </c>
      <c r="P671" s="134">
        <f>VLOOKUP($A671,'Выгр Кат'!$A:$S,P$1,0)</f>
        <v>179</v>
      </c>
      <c r="Q671" s="107">
        <f t="shared" si="338"/>
        <v>0</v>
      </c>
      <c r="R671" s="107">
        <f t="shared" si="339"/>
        <v>0</v>
      </c>
      <c r="S671" s="110">
        <f t="shared" si="340"/>
        <v>166.47</v>
      </c>
      <c r="T671" s="135">
        <f t="shared" si="341"/>
        <v>2.0827777777777778</v>
      </c>
      <c r="U671" s="135">
        <f t="shared" si="342"/>
        <v>1.4970414201183439E-2</v>
      </c>
      <c r="V671" s="135">
        <f t="shared" si="343"/>
        <v>2.1296296296296298</v>
      </c>
      <c r="W671" s="117">
        <f t="shared" si="354"/>
        <v>169</v>
      </c>
      <c r="X671" s="114">
        <f>IFERROR((VLOOKUP($A671,'ИЗ ГУГЛА'!$B:$G,X$1,0)+Z671)*Y671,VLOOKUP($A671,'ИЗ ГУГЛА'!$B:$G,X$1,0))</f>
        <v>169</v>
      </c>
      <c r="Y671" s="46">
        <v>1</v>
      </c>
      <c r="Z671" s="46"/>
      <c r="AA671" s="136">
        <v>169</v>
      </c>
      <c r="AB671" s="124" t="s">
        <v>2498</v>
      </c>
      <c r="AC671" s="114" t="str">
        <f>IFERROR((VLOOKUP($A671,'ИЗ ГУГЛА'!$B:$Z,AC$1,0)+AE671)*AD671,VLOOKUP($A671,'ИЗ ГУГЛА'!$B:$Z,AC$1,0))</f>
        <v/>
      </c>
      <c r="AD671" s="46">
        <v>1</v>
      </c>
      <c r="AE671" s="46"/>
      <c r="AF671" s="115"/>
    </row>
    <row r="672" spans="1:32" s="5" customFormat="1" ht="46.5" thickTop="1" thickBot="1" x14ac:dyDescent="0.3">
      <c r="A672" s="132">
        <v>165493</v>
      </c>
      <c r="B672" s="132">
        <f>VLOOKUP($A672,'Выгр Кат'!$A:$S,B$1,0)</f>
        <v>41267</v>
      </c>
      <c r="C672" s="133" t="str">
        <f>VLOOKUP($A672,'Выгр Кат'!$A:$S,C$1,0)</f>
        <v>Накладка "БРТ" на педаль тормоза для Лада (Калина 2, Гранта, Приора), Датсун (mi-DO, on-DO) (АКПП)</v>
      </c>
      <c r="D672" s="132" t="str">
        <f>VLOOKUP($A672,'Выгр Кат'!$A:$S,D$1,0)</f>
        <v>Y</v>
      </c>
      <c r="E672" s="132" t="str">
        <f>VLOOKUP($A672,'Выгр Кат'!$A:$S,E$1,0)</f>
        <v>1</v>
      </c>
      <c r="F672" s="132" t="str">
        <f>VLOOKUP($A672,'Выгр Кат'!$A:$S,F$1,0)</f>
        <v>21902-3504048</v>
      </c>
      <c r="G672" s="31" t="s">
        <v>1821</v>
      </c>
      <c r="H672" s="29" t="s">
        <v>1821</v>
      </c>
      <c r="I672" s="4" t="s">
        <v>2</v>
      </c>
      <c r="J672" s="95">
        <v>1</v>
      </c>
      <c r="K672" s="168">
        <f t="shared" si="344"/>
        <v>50</v>
      </c>
      <c r="L672" s="167">
        <f>VLOOKUP(K672,Наценка!$A$1:$B$8,2,1)</f>
        <v>2.150537634408602</v>
      </c>
      <c r="M672" s="172">
        <f t="shared" si="345"/>
        <v>107.5268817204301</v>
      </c>
      <c r="N672" s="173">
        <f t="shared" si="337"/>
        <v>109</v>
      </c>
      <c r="O672" s="134">
        <f>VLOOKUP($A672,'Выгр Кат'!$A:$S,O$1,0)</f>
        <v>50</v>
      </c>
      <c r="P672" s="134">
        <f>VLOOKUP($A672,'Выгр Кат'!$A:$S,P$1,0)</f>
        <v>109</v>
      </c>
      <c r="Q672" s="107">
        <f t="shared" si="338"/>
        <v>0</v>
      </c>
      <c r="R672" s="107">
        <f t="shared" si="339"/>
        <v>0</v>
      </c>
      <c r="S672" s="110">
        <f t="shared" si="340"/>
        <v>101.36999999999999</v>
      </c>
      <c r="T672" s="135">
        <f t="shared" si="341"/>
        <v>1.0273999999999996</v>
      </c>
      <c r="U672" s="135" t="str">
        <f t="shared" si="342"/>
        <v/>
      </c>
      <c r="V672" s="135" t="str">
        <f t="shared" si="343"/>
        <v/>
      </c>
      <c r="W672" s="45"/>
      <c r="X672" s="114" t="str">
        <f>IFERROR((VLOOKUP($A672,'ИЗ ГУГЛА'!$B:$G,X$1,0)+Z672)*Y672,VLOOKUP($A672,'ИЗ ГУГЛА'!$B:$G,X$1,0))</f>
        <v/>
      </c>
      <c r="Y672" s="108">
        <v>1</v>
      </c>
      <c r="Z672" s="46"/>
      <c r="AA672" s="140" t="s">
        <v>1821</v>
      </c>
      <c r="AB672" s="129"/>
      <c r="AC672" s="114" t="str">
        <f>IFERROR((VLOOKUP($A672,'ИЗ ГУГЛА'!$B:$Z,AC$1,0)+AE672)*AD672,VLOOKUP($A672,'ИЗ ГУГЛА'!$B:$Z,AC$1,0))</f>
        <v/>
      </c>
      <c r="AD672" s="108">
        <v>1</v>
      </c>
      <c r="AE672" s="46"/>
      <c r="AF672" s="115"/>
    </row>
    <row r="673" spans="1:33" s="5" customFormat="1" ht="61.5" thickTop="1" thickBot="1" x14ac:dyDescent="0.3">
      <c r="A673" s="132">
        <v>165492</v>
      </c>
      <c r="B673" s="132">
        <f>VLOOKUP($A673,'Выгр Кат'!$A:$S,B$1,0)</f>
        <v>41271</v>
      </c>
      <c r="C673" s="133" t="str">
        <f>VLOOKUP($A673,'Выгр Кат'!$A:$S,C$1,0)</f>
        <v>Накладка "БРТ" на педаль тормоза, сцепления для ВАЗ 2110-2112, Лада (Калина, Гранта, Приора), Датсун (mi-DO, on-DO)</v>
      </c>
      <c r="D673" s="132" t="str">
        <f>VLOOKUP($A673,'Выгр Кат'!$A:$S,D$1,0)</f>
        <v>Y</v>
      </c>
      <c r="E673" s="132" t="str">
        <f>VLOOKUP($A673,'Выгр Кат'!$A:$S,E$1,0)</f>
        <v>1ск2</v>
      </c>
      <c r="F673" s="132" t="str">
        <f>VLOOKUP($A673,'Выгр Кат'!$A:$S,F$1,0)</f>
        <v>211001602048</v>
      </c>
      <c r="G673" s="31" t="s">
        <v>1821</v>
      </c>
      <c r="H673" s="29" t="s">
        <v>1821</v>
      </c>
      <c r="I673" s="4" t="s">
        <v>2</v>
      </c>
      <c r="J673" s="95">
        <v>1</v>
      </c>
      <c r="K673" s="168">
        <f t="shared" si="344"/>
        <v>15</v>
      </c>
      <c r="L673" s="167">
        <f>VLOOKUP(K673,Наценка!$A$1:$B$8,2,1)</f>
        <v>2.150537634408602</v>
      </c>
      <c r="M673" s="145">
        <v>60</v>
      </c>
      <c r="N673" s="173">
        <f t="shared" si="337"/>
        <v>59</v>
      </c>
      <c r="O673" s="134">
        <f>VLOOKUP($A673,'Выгр Кат'!$A:$S,O$1,0)</f>
        <v>15</v>
      </c>
      <c r="P673" s="134">
        <f>VLOOKUP($A673,'Выгр Кат'!$A:$S,P$1,0)</f>
        <v>59</v>
      </c>
      <c r="Q673" s="107">
        <f t="shared" si="338"/>
        <v>0</v>
      </c>
      <c r="R673" s="107">
        <f t="shared" si="339"/>
        <v>0</v>
      </c>
      <c r="S673" s="110">
        <f t="shared" si="340"/>
        <v>54.87</v>
      </c>
      <c r="T673" s="135">
        <f t="shared" si="341"/>
        <v>2.6579999999999999</v>
      </c>
      <c r="U673" s="135">
        <f t="shared" si="342"/>
        <v>0.57465116279069761</v>
      </c>
      <c r="V673" s="135">
        <f t="shared" si="343"/>
        <v>7.6</v>
      </c>
      <c r="W673" s="117">
        <f>AA673</f>
        <v>129</v>
      </c>
      <c r="X673" s="114">
        <f>IFERROR((VLOOKUP($A673,'ИЗ ГУГЛА'!$B:$G,X$1,0)+Z673)*Y673,VLOOKUP($A673,'ИЗ ГУГЛА'!$B:$G,X$1,0))</f>
        <v>129</v>
      </c>
      <c r="Y673" s="46">
        <v>1</v>
      </c>
      <c r="Z673" s="46"/>
      <c r="AA673" s="138">
        <v>129</v>
      </c>
      <c r="AB673" s="124" t="s">
        <v>2499</v>
      </c>
      <c r="AC673" s="114" t="str">
        <f>IFERROR((VLOOKUP($A673,'ИЗ ГУГЛА'!$B:$Z,AC$1,0)+AE673)*AD673,VLOOKUP($A673,'ИЗ ГУГЛА'!$B:$Z,AC$1,0))</f>
        <v/>
      </c>
      <c r="AD673" s="46">
        <v>1</v>
      </c>
      <c r="AE673" s="46"/>
      <c r="AF673" s="115"/>
    </row>
    <row r="674" spans="1:33" s="5" customFormat="1" ht="31.5" thickTop="1" thickBot="1" x14ac:dyDescent="0.3">
      <c r="A674" s="132">
        <v>213307</v>
      </c>
      <c r="B674" s="132">
        <f>VLOOKUP($A674,'Выгр Кат'!$A:$S,B$1,0)</f>
        <v>52687</v>
      </c>
      <c r="C674" s="133" t="str">
        <f>VLOOKUP($A674,'Выгр Кат'!$A:$S,C$1,0)</f>
        <v>Сальник "БРТ" привода для Лада 4х4 Нива</v>
      </c>
      <c r="D674" s="132" t="str">
        <f>VLOOKUP($A674,'Выгр Кат'!$A:$S,D$1,0)</f>
        <v>Y</v>
      </c>
      <c r="E674" s="132" t="str">
        <f>VLOOKUP($A674,'Выгр Кат'!$A:$S,E$1,0)</f>
        <v>1</v>
      </c>
      <c r="F674" s="132">
        <f>VLOOKUP($A674,'Выгр Кат'!$A:$S,F$1,0)</f>
        <v>0</v>
      </c>
      <c r="G674" s="31" t="s">
        <v>1821</v>
      </c>
      <c r="H674" s="29" t="s">
        <v>1821</v>
      </c>
      <c r="I674" s="4" t="s">
        <v>2</v>
      </c>
      <c r="J674" s="95">
        <v>1</v>
      </c>
      <c r="K674" s="168">
        <f t="shared" si="344"/>
        <v>50</v>
      </c>
      <c r="L674" s="167">
        <f>VLOOKUP(K674,Наценка!$A$1:$B$8,2,1)</f>
        <v>2.150537634408602</v>
      </c>
      <c r="M674" s="172">
        <f t="shared" si="345"/>
        <v>107.5268817204301</v>
      </c>
      <c r="N674" s="173">
        <f t="shared" si="337"/>
        <v>109</v>
      </c>
      <c r="O674" s="134">
        <f>VLOOKUP($A674,'Выгр Кат'!$A:$S,O$1,0)</f>
        <v>50</v>
      </c>
      <c r="P674" s="134">
        <f>VLOOKUP($A674,'Выгр Кат'!$A:$S,P$1,0)</f>
        <v>109</v>
      </c>
      <c r="Q674" s="107">
        <f t="shared" si="338"/>
        <v>0</v>
      </c>
      <c r="R674" s="107">
        <f t="shared" si="339"/>
        <v>0</v>
      </c>
      <c r="S674" s="110">
        <f t="shared" si="340"/>
        <v>101.36999999999999</v>
      </c>
      <c r="T674" s="135">
        <f t="shared" si="341"/>
        <v>1.0273999999999996</v>
      </c>
      <c r="U674" s="135" t="str">
        <f t="shared" si="342"/>
        <v/>
      </c>
      <c r="V674" s="135" t="str">
        <f t="shared" si="343"/>
        <v/>
      </c>
      <c r="W674" s="45"/>
      <c r="X674" s="114" t="str">
        <f>IFERROR((VLOOKUP($A674,'ИЗ ГУГЛА'!$B:$G,X$1,0)+Z674)*Y674,VLOOKUP($A674,'ИЗ ГУГЛА'!$B:$G,X$1,0))</f>
        <v/>
      </c>
      <c r="Y674" s="108">
        <v>1</v>
      </c>
      <c r="Z674" s="46"/>
      <c r="AA674" s="140" t="s">
        <v>1821</v>
      </c>
      <c r="AB674" s="129"/>
      <c r="AC674" s="114" t="str">
        <f>IFERROR((VLOOKUP($A674,'ИЗ ГУГЛА'!$B:$Z,AC$1,0)+AE674)*AD674,VLOOKUP($A674,'ИЗ ГУГЛА'!$B:$Z,AC$1,0))</f>
        <v/>
      </c>
      <c r="AD674" s="108">
        <v>1</v>
      </c>
      <c r="AE674" s="46"/>
      <c r="AF674" s="115"/>
    </row>
    <row r="675" spans="1:33" s="5" customFormat="1" ht="61.5" thickTop="1" thickBot="1" x14ac:dyDescent="0.3">
      <c r="A675" s="132">
        <v>213400</v>
      </c>
      <c r="B675" s="132">
        <f>VLOOKUP($A675,'Выгр Кат'!$A:$S,B$1,0)</f>
        <v>52690</v>
      </c>
      <c r="C675" s="133" t="str">
        <f>VLOOKUP($A675,'Выгр Кат'!$A:$S,C$1,0)</f>
        <v>Сальник распредвала, коленвала "БРТ" передний для ВАЗ (2108-21099, 2110-2112, 2113-2115), Лада (Калина, Калина 2, Приора, Гранта)</v>
      </c>
      <c r="D675" s="132" t="str">
        <f>VLOOKUP($A675,'Выгр Кат'!$A:$S,D$1,0)</f>
        <v>Y</v>
      </c>
      <c r="E675" s="132" t="str">
        <f>VLOOKUP($A675,'Выгр Кат'!$A:$S,E$1,0)</f>
        <v>1</v>
      </c>
      <c r="F675" s="132" t="str">
        <f>VLOOKUP($A675,'Выгр Кат'!$A:$S,F$1,0)</f>
        <v>21081005034</v>
      </c>
      <c r="G675" s="45" t="s">
        <v>316</v>
      </c>
      <c r="H675" s="29"/>
      <c r="I675" s="4" t="s">
        <v>2</v>
      </c>
      <c r="J675" s="95">
        <v>1</v>
      </c>
      <c r="K675" s="168">
        <f t="shared" si="344"/>
        <v>145</v>
      </c>
      <c r="L675" s="167">
        <f>VLOOKUP(K675,Наценка!$A$1:$B$8,2,1)</f>
        <v>1.7204301075268817</v>
      </c>
      <c r="M675" s="148">
        <f>W675*1.06</f>
        <v>307.40000000000003</v>
      </c>
      <c r="N675" s="173">
        <f t="shared" si="337"/>
        <v>309</v>
      </c>
      <c r="O675" s="134">
        <f>VLOOKUP($A675,'Выгр Кат'!$A:$S,O$1,0)</f>
        <v>145</v>
      </c>
      <c r="P675" s="134">
        <f>VLOOKUP($A675,'Выгр Кат'!$A:$S,P$1,0)</f>
        <v>309</v>
      </c>
      <c r="Q675" s="107">
        <f t="shared" si="338"/>
        <v>0</v>
      </c>
      <c r="R675" s="107">
        <f t="shared" si="339"/>
        <v>0</v>
      </c>
      <c r="S675" s="110">
        <f t="shared" si="340"/>
        <v>287.37</v>
      </c>
      <c r="T675" s="135">
        <f t="shared" si="341"/>
        <v>0.98186206896551731</v>
      </c>
      <c r="U675" s="135">
        <f t="shared" si="342"/>
        <v>9.0689655172413643E-3</v>
      </c>
      <c r="V675" s="135">
        <f t="shared" si="343"/>
        <v>1</v>
      </c>
      <c r="W675" s="117">
        <f>AA675</f>
        <v>290</v>
      </c>
      <c r="X675" s="114">
        <f>IFERROR((VLOOKUP($A675,'ИЗ ГУГЛА'!$B:$G,X$1,0)+Z675)*Y675,VLOOKUP($A675,'ИЗ ГУГЛА'!$B:$G,X$1,0))</f>
        <v>290</v>
      </c>
      <c r="Y675" s="46">
        <v>1</v>
      </c>
      <c r="Z675" s="46"/>
      <c r="AA675" s="138">
        <v>290</v>
      </c>
      <c r="AB675" s="124" t="s">
        <v>2380</v>
      </c>
      <c r="AC675" s="114" t="str">
        <f>IFERROR((VLOOKUP($A675,'ИЗ ГУГЛА'!$B:$Z,AC$1,0)+AE675)*AD675,VLOOKUP($A675,'ИЗ ГУГЛА'!$B:$Z,AC$1,0))</f>
        <v/>
      </c>
      <c r="AD675" s="46">
        <v>1</v>
      </c>
      <c r="AE675" s="46"/>
      <c r="AF675" s="115"/>
    </row>
    <row r="676" spans="1:33" s="5" customFormat="1" ht="61.5" thickTop="1" thickBot="1" x14ac:dyDescent="0.3">
      <c r="A676" s="132">
        <v>213169</v>
      </c>
      <c r="B676" s="132">
        <f>VLOOKUP($A676,'Выгр Кат'!$A:$S,B$1,0)</f>
        <v>54944</v>
      </c>
      <c r="C676" s="133" t="str">
        <f>VLOOKUP($A676,'Выгр Кат'!$A:$S,C$1,0)</f>
        <v>Сайлентблоки "БРТ" растяжки передней подвески для ВАЗ (2108-21099, 2110-2112, 2113-2115), Лада (Калина, Приора)</v>
      </c>
      <c r="D676" s="132" t="str">
        <f>VLOOKUP($A676,'Выгр Кат'!$A:$S,D$1,0)</f>
        <v>Y</v>
      </c>
      <c r="E676" s="132" t="str">
        <f>VLOOKUP($A676,'Выгр Кат'!$A:$S,E$1,0)</f>
        <v>1ск6</v>
      </c>
      <c r="F676" s="132" t="str">
        <f>VLOOKUP($A676,'Выгр Кат'!$A:$S,F$1,0)</f>
        <v>REMKOMPLEKT 70RU</v>
      </c>
      <c r="G676" s="31" t="s">
        <v>1062</v>
      </c>
      <c r="H676" s="29"/>
      <c r="I676" s="4" t="s">
        <v>2</v>
      </c>
      <c r="J676" s="95">
        <v>1</v>
      </c>
      <c r="K676" s="168">
        <f t="shared" si="344"/>
        <v>357</v>
      </c>
      <c r="L676" s="167">
        <f>VLOOKUP(K676,Наценка!$A$1:$B$8,2,1)</f>
        <v>1.5053763440860215</v>
      </c>
      <c r="M676" s="172">
        <f t="shared" si="345"/>
        <v>537.41935483870964</v>
      </c>
      <c r="N676" s="173">
        <f t="shared" si="337"/>
        <v>539</v>
      </c>
      <c r="O676" s="134">
        <f>VLOOKUP($A676,'Выгр Кат'!$A:$S,O$1,0)</f>
        <v>357</v>
      </c>
      <c r="P676" s="134">
        <f>VLOOKUP($A676,'Выгр Кат'!$A:$S,P$1,0)</f>
        <v>539</v>
      </c>
      <c r="Q676" s="107">
        <f t="shared" si="338"/>
        <v>0</v>
      </c>
      <c r="R676" s="107">
        <f t="shared" si="339"/>
        <v>0</v>
      </c>
      <c r="S676" s="110">
        <f t="shared" si="340"/>
        <v>501.27</v>
      </c>
      <c r="T676" s="135">
        <f t="shared" si="341"/>
        <v>0.40411764705882347</v>
      </c>
      <c r="U676" s="135" t="str">
        <f t="shared" si="342"/>
        <v/>
      </c>
      <c r="V676" s="135" t="str">
        <f t="shared" si="343"/>
        <v/>
      </c>
      <c r="W676" s="45"/>
      <c r="X676" s="114" t="str">
        <f>IFERROR((VLOOKUP($A676,'ИЗ ГУГЛА'!$B:$G,X$1,0)+Z676)*Y676,VLOOKUP($A676,'ИЗ ГУГЛА'!$B:$G,X$1,0))</f>
        <v/>
      </c>
      <c r="Y676" s="46">
        <v>1</v>
      </c>
      <c r="Z676" s="46"/>
      <c r="AA676" s="140" t="s">
        <v>1821</v>
      </c>
      <c r="AB676" s="129"/>
      <c r="AC676" s="114" t="str">
        <f>IFERROR((VLOOKUP($A676,'ИЗ ГУГЛА'!$B:$Z,AC$1,0)+AE676)*AD676,VLOOKUP($A676,'ИЗ ГУГЛА'!$B:$Z,AC$1,0))</f>
        <v/>
      </c>
      <c r="AD676" s="46">
        <v>1</v>
      </c>
      <c r="AE676" s="46"/>
      <c r="AF676" s="115"/>
    </row>
    <row r="677" spans="1:33" s="5" customFormat="1" ht="31.5" thickTop="1" thickBot="1" x14ac:dyDescent="0.3">
      <c r="A677" s="132">
        <v>218422</v>
      </c>
      <c r="B677" s="132">
        <f>VLOOKUP($A677,'Выгр Кат'!$A:$S,B$1,0)</f>
        <v>75227</v>
      </c>
      <c r="C677" s="133" t="str">
        <f>VLOOKUP($A677,'Выгр Кат'!$A:$S,C$1,0)</f>
        <v>Стойки стабилизатора "БРТ" для Лада Гранта Спорт, Калина 2</v>
      </c>
      <c r="D677" s="132" t="str">
        <f>VLOOKUP($A677,'Выгр Кат'!$A:$S,D$1,0)</f>
        <v>Y</v>
      </c>
      <c r="E677" s="132" t="str">
        <f>VLOOKUP($A677,'Выгр Кат'!$A:$S,E$1,0)</f>
        <v>1</v>
      </c>
      <c r="F677" s="132" t="str">
        <f>VLOOKUP($A677,'Выгр Кат'!$A:$S,F$1,0)</f>
        <v>219282906050</v>
      </c>
      <c r="G677" s="31" t="s">
        <v>1421</v>
      </c>
      <c r="H677" s="29"/>
      <c r="I677" s="4" t="s">
        <v>2</v>
      </c>
      <c r="J677" s="95">
        <v>1</v>
      </c>
      <c r="K677" s="168">
        <f t="shared" si="344"/>
        <v>297</v>
      </c>
      <c r="L677" s="167">
        <f>VLOOKUP(K677,Наценка!$A$1:$B$8,2,1)</f>
        <v>1.7204301075268817</v>
      </c>
      <c r="M677" s="148">
        <f t="shared" ref="M677:M682" si="355">W677*1.06</f>
        <v>625.4</v>
      </c>
      <c r="N677" s="173">
        <f t="shared" si="337"/>
        <v>629</v>
      </c>
      <c r="O677" s="134">
        <f>VLOOKUP($A677,'Выгр Кат'!$A:$S,O$1,0)</f>
        <v>297</v>
      </c>
      <c r="P677" s="134">
        <f>VLOOKUP($A677,'Выгр Кат'!$A:$S,P$1,0)</f>
        <v>619</v>
      </c>
      <c r="Q677" s="107">
        <f t="shared" si="338"/>
        <v>0</v>
      </c>
      <c r="R677" s="107">
        <f t="shared" si="339"/>
        <v>-10</v>
      </c>
      <c r="S677" s="110">
        <f t="shared" si="340"/>
        <v>584.96999999999991</v>
      </c>
      <c r="T677" s="135">
        <f t="shared" si="341"/>
        <v>0.96959595959595934</v>
      </c>
      <c r="U677" s="135">
        <f t="shared" si="342"/>
        <v>8.5254237288137063E-3</v>
      </c>
      <c r="V677" s="135">
        <f t="shared" si="343"/>
        <v>0.98653198653198659</v>
      </c>
      <c r="W677" s="117">
        <f t="shared" ref="W677:W682" si="356">AA677</f>
        <v>590</v>
      </c>
      <c r="X677" s="114">
        <f>IFERROR((VLOOKUP($A677,'ИЗ ГУГЛА'!$B:$G,X$1,0)+Z677)*Y677,VLOOKUP($A677,'ИЗ ГУГЛА'!$B:$G,X$1,0))</f>
        <v>590</v>
      </c>
      <c r="Y677" s="46">
        <v>1</v>
      </c>
      <c r="Z677" s="46"/>
      <c r="AA677" s="136">
        <v>590</v>
      </c>
      <c r="AB677" s="124" t="s">
        <v>2525</v>
      </c>
      <c r="AC677" s="114" t="str">
        <f>IFERROR((VLOOKUP($A677,'ИЗ ГУГЛА'!$B:$Z,AC$1,0)+AE677)*AD677,VLOOKUP($A677,'ИЗ ГУГЛА'!$B:$Z,AC$1,0))</f>
        <v/>
      </c>
      <c r="AD677" s="46">
        <v>1</v>
      </c>
      <c r="AE677" s="46"/>
      <c r="AF677" s="115"/>
    </row>
    <row r="678" spans="1:33" s="5" customFormat="1" ht="31.5" thickTop="1" thickBot="1" x14ac:dyDescent="0.3">
      <c r="A678" s="132">
        <v>141797</v>
      </c>
      <c r="B678" s="132">
        <f>VLOOKUP($A678,'Выгр Кат'!$A:$S,B$1,0)</f>
        <v>167832</v>
      </c>
      <c r="C678" s="133" t="str">
        <f>VLOOKUP($A678,'Выгр Кат'!$A:$S,C$1,0)</f>
        <v>Гофра "БРТ" проводки сигнализации на дверь для Лада Нива 4x4 Урбан</v>
      </c>
      <c r="D678" s="132" t="str">
        <f>VLOOKUP($A678,'Выгр Кат'!$A:$S,D$1,0)</f>
        <v>Y</v>
      </c>
      <c r="E678" s="132" t="str">
        <f>VLOOKUP($A678,'Выгр Кат'!$A:$S,E$1,0)</f>
        <v>1</v>
      </c>
      <c r="F678" s="132" t="str">
        <f>VLOOKUP($A678,'Выгр Кат'!$A:$S,F$1,0)</f>
        <v>21214-3724195Р</v>
      </c>
      <c r="G678" s="45" t="s">
        <v>1821</v>
      </c>
      <c r="H678" s="29" t="s">
        <v>1821</v>
      </c>
      <c r="I678" s="4" t="s">
        <v>2</v>
      </c>
      <c r="J678" s="95">
        <v>1</v>
      </c>
      <c r="K678" s="168">
        <f t="shared" si="344"/>
        <v>75</v>
      </c>
      <c r="L678" s="167">
        <f>VLOOKUP(K678,Наценка!$A$1:$B$8,2,1)</f>
        <v>2.150537634408602</v>
      </c>
      <c r="M678" s="148">
        <f>W678*1.05</f>
        <v>208.95000000000002</v>
      </c>
      <c r="N678" s="173">
        <f t="shared" si="337"/>
        <v>209</v>
      </c>
      <c r="O678" s="134">
        <f>VLOOKUP($A678,'Выгр Кат'!$A:$S,O$1,0)</f>
        <v>75</v>
      </c>
      <c r="P678" s="134">
        <f>VLOOKUP($A678,'Выгр Кат'!$A:$S,P$1,0)</f>
        <v>209</v>
      </c>
      <c r="Q678" s="107">
        <f t="shared" si="338"/>
        <v>0</v>
      </c>
      <c r="R678" s="107">
        <f t="shared" si="339"/>
        <v>0</v>
      </c>
      <c r="S678" s="110">
        <f t="shared" si="340"/>
        <v>194.36999999999998</v>
      </c>
      <c r="T678" s="135">
        <f t="shared" si="341"/>
        <v>1.5915999999999997</v>
      </c>
      <c r="U678" s="135">
        <f t="shared" si="342"/>
        <v>2.3266331658291579E-2</v>
      </c>
      <c r="V678" s="135">
        <f t="shared" si="343"/>
        <v>1.6533333333333333</v>
      </c>
      <c r="W678" s="117">
        <f t="shared" si="356"/>
        <v>199</v>
      </c>
      <c r="X678" s="114">
        <f>IFERROR((VLOOKUP($A678,'ИЗ ГУГЛА'!$B:$G,X$1,0)+Z678)*Y678,VLOOKUP($A678,'ИЗ ГУГЛА'!$B:$G,X$1,0))</f>
        <v>199</v>
      </c>
      <c r="Y678" s="46">
        <v>1</v>
      </c>
      <c r="Z678" s="46"/>
      <c r="AA678" s="136">
        <v>199</v>
      </c>
      <c r="AB678" s="124" t="s">
        <v>2524</v>
      </c>
      <c r="AC678" s="114" t="str">
        <f>IFERROR((VLOOKUP($A678,'ИЗ ГУГЛА'!$B:$Z,AC$1,0)+AE678)*AD678,VLOOKUP($A678,'ИЗ ГУГЛА'!$B:$Z,AC$1,0))</f>
        <v/>
      </c>
      <c r="AD678" s="46">
        <v>1</v>
      </c>
      <c r="AE678" s="46"/>
      <c r="AF678" s="115"/>
    </row>
    <row r="679" spans="1:33" s="5" customFormat="1" ht="31.5" thickTop="1" thickBot="1" x14ac:dyDescent="0.3">
      <c r="A679" s="132">
        <v>223248</v>
      </c>
      <c r="B679" s="132">
        <f>VLOOKUP($A679,'Выгр Кат'!$A:$S,B$1,0)</f>
        <v>6609</v>
      </c>
      <c r="C679" s="133" t="str">
        <f>VLOOKUP($A679,'Выгр Кат'!$A:$S,C$1,0)</f>
        <v>Уплотнитель вертикальный "РКИ 19" для Лада Гранта, Калина, Калина 2</v>
      </c>
      <c r="D679" s="132" t="str">
        <f>VLOOKUP($A679,'Выгр Кат'!$A:$S,D$1,0)</f>
        <v>Y</v>
      </c>
      <c r="E679" s="132" t="str">
        <f>VLOOKUP($A679,'Выгр Кат'!$A:$S,E$1,0)</f>
        <v>1ск6</v>
      </c>
      <c r="F679" s="132">
        <f>VLOOKUP($A679,'Выгр Кат'!$A:$S,F$1,0)</f>
        <v>0</v>
      </c>
      <c r="G679" s="141" t="s">
        <v>791</v>
      </c>
      <c r="H679" s="29" t="s">
        <v>1821</v>
      </c>
      <c r="I679" s="4" t="s">
        <v>2</v>
      </c>
      <c r="J679" s="95">
        <v>1</v>
      </c>
      <c r="K679" s="168">
        <f t="shared" si="344"/>
        <v>326</v>
      </c>
      <c r="L679" s="167">
        <f>VLOOKUP(K679,Наценка!$A$1:$B$8,2,1)</f>
        <v>1.5053763440860215</v>
      </c>
      <c r="M679" s="148">
        <f t="shared" si="355"/>
        <v>625.4</v>
      </c>
      <c r="N679" s="173">
        <f t="shared" si="337"/>
        <v>629</v>
      </c>
      <c r="O679" s="134">
        <f>VLOOKUP($A679,'Выгр Кат'!$A:$S,O$1,0)</f>
        <v>326</v>
      </c>
      <c r="P679" s="134">
        <f>VLOOKUP($A679,'Выгр Кат'!$A:$S,P$1,0)</f>
        <v>619</v>
      </c>
      <c r="Q679" s="107">
        <f t="shared" si="338"/>
        <v>0</v>
      </c>
      <c r="R679" s="107">
        <f t="shared" si="339"/>
        <v>-10</v>
      </c>
      <c r="S679" s="110">
        <f t="shared" si="340"/>
        <v>584.96999999999991</v>
      </c>
      <c r="T679" s="135">
        <f t="shared" si="341"/>
        <v>0.79438650306748437</v>
      </c>
      <c r="U679" s="135">
        <f t="shared" si="342"/>
        <v>8.5254237288137063E-3</v>
      </c>
      <c r="V679" s="135">
        <f t="shared" si="343"/>
        <v>0.80981595092024539</v>
      </c>
      <c r="W679" s="117">
        <f t="shared" si="356"/>
        <v>590</v>
      </c>
      <c r="X679" s="114">
        <f>IFERROR((VLOOKUP($A679,'ИЗ ГУГЛА'!$B:$G,X$1,0)+Z679)*Y679,VLOOKUP($A679,'ИЗ ГУГЛА'!$B:$G,X$1,0))</f>
        <v>590</v>
      </c>
      <c r="Y679" s="46">
        <v>1</v>
      </c>
      <c r="Z679" s="46"/>
      <c r="AA679" s="136">
        <v>590</v>
      </c>
      <c r="AB679" s="124" t="s">
        <v>2495</v>
      </c>
      <c r="AC679" s="114" t="str">
        <f>IFERROR((VLOOKUP($A679,'ИЗ ГУГЛА'!$B:$Z,AC$1,0)+AE679)*AD679,VLOOKUP($A679,'ИЗ ГУГЛА'!$B:$Z,AC$1,0))</f>
        <v/>
      </c>
      <c r="AD679" s="46">
        <v>1</v>
      </c>
      <c r="AE679" s="46"/>
      <c r="AF679" s="115"/>
    </row>
    <row r="680" spans="1:33" s="5" customFormat="1" ht="30.75" thickTop="1" x14ac:dyDescent="0.25">
      <c r="A680" s="132">
        <v>202245</v>
      </c>
      <c r="B680" s="132">
        <f>VLOOKUP($A680,'Выгр Кат'!$A:$S,B$1,0)</f>
        <v>35523</v>
      </c>
      <c r="C680" s="133" t="str">
        <f>VLOOKUP($A680,'Выгр Кат'!$A:$S,C$1,0)</f>
        <v>Пыльники "БРТ" подрулевого переключателя (короткие)</v>
      </c>
      <c r="D680" s="132" t="str">
        <f>VLOOKUP($A680,'Выгр Кат'!$A:$S,D$1,0)</f>
        <v>Y</v>
      </c>
      <c r="E680" s="132" t="str">
        <f>VLOOKUP($A680,'Выгр Кат'!$A:$S,E$1,0)</f>
        <v>1ск6</v>
      </c>
      <c r="F680" s="132">
        <f>VLOOKUP($A680,'Выгр Кат'!$A:$S,F$1,0)</f>
        <v>0</v>
      </c>
      <c r="G680" s="45" t="s">
        <v>1821</v>
      </c>
      <c r="H680" s="29" t="s">
        <v>1821</v>
      </c>
      <c r="I680" s="4" t="s">
        <v>2</v>
      </c>
      <c r="J680" s="95">
        <v>1</v>
      </c>
      <c r="K680" s="168">
        <f t="shared" si="344"/>
        <v>84</v>
      </c>
      <c r="L680" s="167">
        <f>VLOOKUP(K680,Наценка!$A$1:$B$8,2,1)</f>
        <v>2.150537634408602</v>
      </c>
      <c r="M680" s="148">
        <f t="shared" si="355"/>
        <v>307.40000000000003</v>
      </c>
      <c r="N680" s="173">
        <f t="shared" si="337"/>
        <v>309</v>
      </c>
      <c r="O680" s="134">
        <f>VLOOKUP($A680,'Выгр Кат'!$A:$S,O$1,0)</f>
        <v>84</v>
      </c>
      <c r="P680" s="134">
        <f>VLOOKUP($A680,'Выгр Кат'!$A:$S,P$1,0)</f>
        <v>189</v>
      </c>
      <c r="Q680" s="107">
        <f t="shared" si="338"/>
        <v>0</v>
      </c>
      <c r="R680" s="107">
        <f t="shared" si="339"/>
        <v>-120</v>
      </c>
      <c r="S680" s="110">
        <f t="shared" si="340"/>
        <v>287.37</v>
      </c>
      <c r="T680" s="135">
        <f t="shared" si="341"/>
        <v>2.4210714285714285</v>
      </c>
      <c r="U680" s="135">
        <f t="shared" si="342"/>
        <v>9.0689655172413643E-3</v>
      </c>
      <c r="V680" s="135">
        <f t="shared" si="343"/>
        <v>2.4523809523809526</v>
      </c>
      <c r="W680" s="117">
        <f t="shared" si="356"/>
        <v>290</v>
      </c>
      <c r="X680" s="114">
        <f>IFERROR((VLOOKUP($A680,'ИЗ ГУГЛА'!$B:$G,X$1,0)+Z680)*Y680,VLOOKUP($A680,'ИЗ ГУГЛА'!$B:$G,X$1,0))</f>
        <v>290</v>
      </c>
      <c r="Y680" s="108">
        <v>1</v>
      </c>
      <c r="Z680" s="46"/>
      <c r="AA680" s="139">
        <v>290</v>
      </c>
      <c r="AB680" s="124" t="s">
        <v>2371</v>
      </c>
      <c r="AC680" s="114" t="str">
        <f>IFERROR((VLOOKUP($A680,'ИЗ ГУГЛА'!$B:$Z,AC$1,0)+AE680)*AD680,VLOOKUP($A680,'ИЗ ГУГЛА'!$B:$Z,AC$1,0))</f>
        <v/>
      </c>
      <c r="AD680" s="108">
        <v>1</v>
      </c>
      <c r="AE680" s="46"/>
      <c r="AF680" s="115"/>
    </row>
    <row r="681" spans="1:33" s="5" customFormat="1" ht="30" x14ac:dyDescent="0.25">
      <c r="A681" s="132">
        <v>243564</v>
      </c>
      <c r="B681" s="132">
        <f>VLOOKUP($A681,'Выгр Кат'!$A:$S,B$1,0)</f>
        <v>197620</v>
      </c>
      <c r="C681" s="133" t="str">
        <f>VLOOKUP($A681,'Выгр Кат'!$A:$S,C$1,0)</f>
        <v>Буфер (отбойник) "БРТ" полки багажника для ВАЗ 2110-2112</v>
      </c>
      <c r="D681" s="132" t="str">
        <f>VLOOKUP($A681,'Выгр Кат'!$A:$S,D$1,0)</f>
        <v>Y</v>
      </c>
      <c r="E681" s="132" t="str">
        <f>VLOOKUP($A681,'Выгр Кат'!$A:$S,E$1,0)</f>
        <v>1</v>
      </c>
      <c r="F681" s="132" t="str">
        <f>VLOOKUP($A681,'Выгр Кат'!$A:$S,F$1,0)</f>
        <v>21115607080</v>
      </c>
      <c r="G681" s="45"/>
      <c r="H681" s="29"/>
      <c r="I681" s="4" t="s">
        <v>2</v>
      </c>
      <c r="J681" s="95">
        <v>1</v>
      </c>
      <c r="K681" s="168">
        <f t="shared" si="344"/>
        <v>42</v>
      </c>
      <c r="L681" s="167">
        <f>VLOOKUP(K681,Наценка!$A$1:$B$8,2,1)</f>
        <v>2.150537634408602</v>
      </c>
      <c r="M681" s="145">
        <f t="shared" ref="M681:M682" si="357">W681*1</f>
        <v>55</v>
      </c>
      <c r="N681" s="173">
        <f t="shared" si="337"/>
        <v>59</v>
      </c>
      <c r="O681" s="134">
        <f>VLOOKUP($A681,'Выгр Кат'!$A:$S,O$1,0)</f>
        <v>42</v>
      </c>
      <c r="P681" s="134">
        <f>VLOOKUP($A681,'Выгр Кат'!$A:$S,P$1,0)</f>
        <v>99</v>
      </c>
      <c r="Q681" s="107">
        <f t="shared" si="338"/>
        <v>0</v>
      </c>
      <c r="R681" s="107">
        <f t="shared" si="339"/>
        <v>40</v>
      </c>
      <c r="S681" s="110">
        <f t="shared" si="340"/>
        <v>54.87</v>
      </c>
      <c r="T681" s="135">
        <f t="shared" si="341"/>
        <v>0.30642857142857127</v>
      </c>
      <c r="U681" s="135">
        <f t="shared" si="342"/>
        <v>2.3636363636364102E-3</v>
      </c>
      <c r="V681" s="135">
        <f t="shared" si="343"/>
        <v>0.30952380952380953</v>
      </c>
      <c r="W681" s="118">
        <f t="shared" ref="W681:W682" si="358">AF681</f>
        <v>55</v>
      </c>
      <c r="X681" s="114" t="str">
        <f>IFERROR((VLOOKUP($A681,'ИЗ ГУГЛА'!$B:$G,X$1,0)+Z681)*Y681,VLOOKUP($A681,'ИЗ ГУГЛА'!$B:$G,X$1,0))</f>
        <v/>
      </c>
      <c r="Y681" s="108">
        <v>1</v>
      </c>
      <c r="Z681" s="46"/>
      <c r="AA681" s="139" t="s">
        <v>1821</v>
      </c>
      <c r="AB681" s="124"/>
      <c r="AC681" s="114">
        <f>IFERROR((VLOOKUP($A681,'ИЗ ГУГЛА'!$B:$Z,AC$1,0)+AE681)*AD681,VLOOKUP($A681,'ИЗ ГУГЛА'!$B:$Z,AC$1,0))</f>
        <v>55</v>
      </c>
      <c r="AD681" s="108">
        <v>1</v>
      </c>
      <c r="AE681" s="46"/>
      <c r="AF681" s="115">
        <v>55</v>
      </c>
      <c r="AG681" s="5" t="s">
        <v>3005</v>
      </c>
    </row>
    <row r="682" spans="1:33" s="5" customFormat="1" ht="45" x14ac:dyDescent="0.25">
      <c r="A682" s="132">
        <v>138980</v>
      </c>
      <c r="B682" s="132">
        <f>VLOOKUP($A682,'Выгр Кат'!$A:$S,B$1,0)</f>
        <v>24982</v>
      </c>
      <c r="C682" s="133" t="str">
        <f>VLOOKUP($A682,'Выгр Кат'!$A:$S,C$1,0)</f>
        <v>Вакуумный шланг пневмопривода красный (аналог) для Лада Гранта, Ларгус, Веста, XRAY</v>
      </c>
      <c r="D682" s="132" t="str">
        <f>VLOOKUP($A682,'Выгр Кат'!$A:$S,D$1,0)</f>
        <v>Y</v>
      </c>
      <c r="E682" s="132" t="str">
        <f>VLOOKUP($A682,'Выгр Кат'!$A:$S,E$1,0)</f>
        <v>0</v>
      </c>
      <c r="F682" s="132" t="str">
        <f>VLOOKUP($A682,'Выгр Кат'!$A:$S,F$1,0)</f>
        <v>210103706605сбR</v>
      </c>
      <c r="G682" s="45"/>
      <c r="H682" s="29"/>
      <c r="I682" s="4" t="s">
        <v>2</v>
      </c>
      <c r="J682" s="95">
        <v>1</v>
      </c>
      <c r="K682" s="168">
        <f t="shared" si="344"/>
        <v>15</v>
      </c>
      <c r="L682" s="167">
        <f>VLOOKUP(K682,Наценка!$A$1:$B$8,2,1)</f>
        <v>2.150537634408602</v>
      </c>
      <c r="M682" s="145">
        <f t="shared" si="357"/>
        <v>90</v>
      </c>
      <c r="N682" s="173">
        <f t="shared" si="337"/>
        <v>89</v>
      </c>
      <c r="O682" s="134">
        <f>VLOOKUP($A682,'Выгр Кат'!$A:$S,O$1,0)</f>
        <v>15</v>
      </c>
      <c r="P682" s="134">
        <f>VLOOKUP($A682,'Выгр Кат'!$A:$S,P$1,0)</f>
        <v>39</v>
      </c>
      <c r="Q682" s="107">
        <f t="shared" si="338"/>
        <v>0</v>
      </c>
      <c r="R682" s="107">
        <f t="shared" si="339"/>
        <v>-50</v>
      </c>
      <c r="S682" s="110">
        <f t="shared" si="340"/>
        <v>82.77</v>
      </c>
      <c r="T682" s="135">
        <f t="shared" si="341"/>
        <v>4.5179999999999998</v>
      </c>
      <c r="U682" s="135">
        <f t="shared" si="342"/>
        <v>8.0333333333333382E-2</v>
      </c>
      <c r="V682" s="135">
        <f t="shared" si="343"/>
        <v>5</v>
      </c>
      <c r="W682" s="118">
        <f t="shared" si="358"/>
        <v>90</v>
      </c>
      <c r="X682" s="114" t="str">
        <f>IFERROR((VLOOKUP($A682,'ИЗ ГУГЛА'!$B:$G,X$1,0)+Z682)*Y682,VLOOKUP($A682,'ИЗ ГУГЛА'!$B:$G,X$1,0))</f>
        <v/>
      </c>
      <c r="Y682" s="108">
        <v>1</v>
      </c>
      <c r="Z682" s="46"/>
      <c r="AA682" s="139"/>
      <c r="AB682" s="124"/>
      <c r="AC682" s="114">
        <f>IFERROR((VLOOKUP($A682,'ИЗ ГУГЛА'!$B:$Z,AC$1,0)+AE682)*AD682,VLOOKUP($A682,'ИЗ ГУГЛА'!$B:$Z,AC$1,0))</f>
        <v>90</v>
      </c>
      <c r="AD682" s="108">
        <v>1</v>
      </c>
      <c r="AE682" s="46"/>
      <c r="AF682" s="115">
        <v>90</v>
      </c>
      <c r="AG682" s="5" t="s">
        <v>3004</v>
      </c>
    </row>
    <row r="683" spans="1:33" s="5" customFormat="1" ht="45.75" thickBot="1" x14ac:dyDescent="0.3">
      <c r="A683" s="132">
        <v>274398</v>
      </c>
      <c r="B683" s="132">
        <f>VLOOKUP($A683,'Выгр Кат'!$A:$S,B$1,0)</f>
        <v>225734</v>
      </c>
      <c r="C683" s="133" t="str">
        <f>VLOOKUP($A683,'Выгр Кат'!$A:$S,C$1,0)</f>
        <v>Втулка "БРТ" насоса бачка омывателя для ВАЗ 2108-21099, 2110-2112, 2113-2115</v>
      </c>
      <c r="D683" s="132" t="str">
        <f>VLOOKUP($A683,'Выгр Кат'!$A:$S,D$1,0)</f>
        <v>Y</v>
      </c>
      <c r="E683" s="132" t="str">
        <f>VLOOKUP($A683,'Выгр Кат'!$A:$S,E$1,0)</f>
        <v>1</v>
      </c>
      <c r="F683" s="132" t="str">
        <f>VLOOKUP($A683,'Выгр Кат'!$A:$S,F$1,0)</f>
        <v>2108-5208458</v>
      </c>
      <c r="G683" s="45"/>
      <c r="H683" s="29"/>
      <c r="I683" s="4" t="s">
        <v>2</v>
      </c>
      <c r="J683" s="95">
        <v>1</v>
      </c>
      <c r="K683" s="168">
        <f t="shared" si="344"/>
        <v>12</v>
      </c>
      <c r="L683" s="167">
        <f>VLOOKUP(K683,Наценка!$A$1:$B$8,2,1)</f>
        <v>2.150537634408602</v>
      </c>
      <c r="M683" s="172">
        <f t="shared" si="345"/>
        <v>25.806451612903224</v>
      </c>
      <c r="N683" s="173">
        <f t="shared" si="337"/>
        <v>29</v>
      </c>
      <c r="O683" s="134">
        <f>VLOOKUP($A683,'Выгр Кат'!$A:$S,O$1,0)</f>
        <v>12</v>
      </c>
      <c r="P683" s="134">
        <f>VLOOKUP($A683,'Выгр Кат'!$A:$S,P$1,0)</f>
        <v>29</v>
      </c>
      <c r="Q683" s="107">
        <f t="shared" si="338"/>
        <v>0</v>
      </c>
      <c r="R683" s="107">
        <f t="shared" si="339"/>
        <v>0</v>
      </c>
      <c r="S683" s="110">
        <f t="shared" si="340"/>
        <v>26.97</v>
      </c>
      <c r="T683" s="135">
        <f t="shared" si="341"/>
        <v>1.2475000000000001</v>
      </c>
      <c r="U683" s="135" t="str">
        <f t="shared" si="342"/>
        <v/>
      </c>
      <c r="V683" s="135" t="str">
        <f t="shared" si="343"/>
        <v/>
      </c>
      <c r="W683" s="45"/>
      <c r="X683" s="114" t="str">
        <f>IFERROR((VLOOKUP($A683,'ИЗ ГУГЛА'!$B:$G,X$1,0)+Z683)*Y683,VLOOKUP($A683,'ИЗ ГУГЛА'!$B:$G,X$1,0))</f>
        <v/>
      </c>
      <c r="Y683" s="46">
        <v>1</v>
      </c>
      <c r="Z683" s="46"/>
      <c r="AA683" s="140" t="s">
        <v>1821</v>
      </c>
      <c r="AB683" s="129"/>
      <c r="AC683" s="114" t="str">
        <f>IFERROR((VLOOKUP($A683,'ИЗ ГУГЛА'!$B:$Z,AC$1,0)+AE683)*AD683,VLOOKUP($A683,'ИЗ ГУГЛА'!$B:$Z,AC$1,0))</f>
        <v/>
      </c>
      <c r="AD683" s="46">
        <v>1</v>
      </c>
      <c r="AE683" s="46"/>
      <c r="AF683" s="115"/>
    </row>
    <row r="684" spans="1:33" s="5" customFormat="1" ht="61.5" thickTop="1" thickBot="1" x14ac:dyDescent="0.3">
      <c r="A684" s="132">
        <v>158857</v>
      </c>
      <c r="B684" s="132">
        <f>VLOOKUP($A684,'Выгр Кат'!$A:$S,B$1,0)</f>
        <v>13137</v>
      </c>
      <c r="C684" s="133" t="str">
        <f>VLOOKUP($A684,'Выгр Кат'!$A:$S,C$1,0)</f>
        <v>Комплект патрубков двигателя "PANTUS" (армированный каучук, красные) для ВАЗ 2110-2112 (8-ми клапанный двигатель)</v>
      </c>
      <c r="D684" s="132" t="str">
        <f>VLOOKUP($A684,'Выгр Кат'!$A:$S,D$1,0)</f>
        <v>Y</v>
      </c>
      <c r="E684" s="132" t="str">
        <f>VLOOKUP($A684,'Выгр Кат'!$A:$S,E$1,0)</f>
        <v>1</v>
      </c>
      <c r="F684" s="132">
        <f>VLOOKUP($A684,'Выгр Кат'!$A:$S,F$1,0)</f>
        <v>0</v>
      </c>
      <c r="G684" s="45"/>
      <c r="H684" s="29"/>
      <c r="I684" s="4" t="s">
        <v>2</v>
      </c>
      <c r="J684" s="95">
        <v>1</v>
      </c>
      <c r="K684" s="168">
        <f t="shared" si="344"/>
        <v>2750</v>
      </c>
      <c r="L684" s="167">
        <f>VLOOKUP(K684,Наценка!$A$1:$B$8,2,1)</f>
        <v>1.2903225806451613</v>
      </c>
      <c r="M684" s="148">
        <f>W684*1.05</f>
        <v>3769.5</v>
      </c>
      <c r="N684" s="173">
        <f t="shared" si="337"/>
        <v>3790</v>
      </c>
      <c r="O684" s="134">
        <f>VLOOKUP($A684,'Выгр Кат'!$A:$S,O$1,0)</f>
        <v>2750</v>
      </c>
      <c r="P684" s="134">
        <f>VLOOKUP($A684,'Выгр Кат'!$A:$S,P$1,0)</f>
        <v>3790</v>
      </c>
      <c r="Q684" s="107">
        <f t="shared" si="338"/>
        <v>0</v>
      </c>
      <c r="R684" s="107">
        <f t="shared" si="339"/>
        <v>0</v>
      </c>
      <c r="S684" s="110">
        <f t="shared" si="340"/>
        <v>3524.7</v>
      </c>
      <c r="T684" s="135">
        <f t="shared" si="341"/>
        <v>0.28170909090909091</v>
      </c>
      <c r="U684" s="135">
        <f t="shared" si="342"/>
        <v>1.8189415041782779E-2</v>
      </c>
      <c r="V684" s="135">
        <f t="shared" si="343"/>
        <v>0.30545454545454542</v>
      </c>
      <c r="W684" s="117">
        <f>AA684</f>
        <v>3590</v>
      </c>
      <c r="X684" s="114">
        <f>IFERROR((VLOOKUP($A684,'ИЗ ГУГЛА'!$B:$G,X$1,0)+Z684)*Y684,VLOOKUP($A684,'ИЗ ГУГЛА'!$B:$G,X$1,0))</f>
        <v>3590</v>
      </c>
      <c r="Y684" s="46">
        <v>1</v>
      </c>
      <c r="Z684" s="46"/>
      <c r="AA684" s="136">
        <v>3590</v>
      </c>
      <c r="AB684" s="124" t="s">
        <v>2523</v>
      </c>
      <c r="AC684" s="114" t="str">
        <f>IFERROR((VLOOKUP($A684,'ИЗ ГУГЛА'!$B:$Z,AC$1,0)+AE684)*AD684,VLOOKUP($A684,'ИЗ ГУГЛА'!$B:$Z,AC$1,0))</f>
        <v/>
      </c>
      <c r="AD684" s="46">
        <v>1</v>
      </c>
      <c r="AE684" s="46"/>
      <c r="AF684" s="115"/>
    </row>
    <row r="685" spans="1:33" s="5" customFormat="1" ht="46.5" thickTop="1" thickBot="1" x14ac:dyDescent="0.3">
      <c r="A685" s="132">
        <v>158859</v>
      </c>
      <c r="B685" s="132">
        <f>VLOOKUP($A685,'Выгр Кат'!$A:$S,B$1,0)</f>
        <v>24472</v>
      </c>
      <c r="C685" s="133" t="str">
        <f>VLOOKUP($A685,'Выгр Кат'!$A:$S,C$1,0)</f>
        <v>Комплект патрубков двигателя "PANTUS" 21082 для ВАЗ 2108-21099, 2113-2115</v>
      </c>
      <c r="D685" s="132" t="str">
        <f>VLOOKUP($A685,'Выгр Кат'!$A:$S,D$1,0)</f>
        <v>Y</v>
      </c>
      <c r="E685" s="132" t="str">
        <f>VLOOKUP($A685,'Выгр Кат'!$A:$S,E$1,0)</f>
        <v>1</v>
      </c>
      <c r="F685" s="132" t="str">
        <f>VLOOKUP($A685,'Выгр Кат'!$A:$S,F$1,0)</f>
        <v>10059719PS</v>
      </c>
      <c r="G685" s="45"/>
      <c r="H685" s="29"/>
      <c r="I685" s="4" t="s">
        <v>2</v>
      </c>
      <c r="J685" s="95">
        <v>1</v>
      </c>
      <c r="K685" s="168">
        <f t="shared" si="344"/>
        <v>1300</v>
      </c>
      <c r="L685" s="167">
        <f>VLOOKUP(K685,Наценка!$A$1:$B$8,2,1)</f>
        <v>1.2903225806451613</v>
      </c>
      <c r="M685" s="172">
        <f t="shared" si="345"/>
        <v>1677.4193548387095</v>
      </c>
      <c r="N685" s="173">
        <f t="shared" si="337"/>
        <v>1690</v>
      </c>
      <c r="O685" s="134">
        <f>VLOOKUP($A685,'Выгр Кат'!$A:$S,O$1,0)</f>
        <v>1300</v>
      </c>
      <c r="P685" s="134">
        <f>VLOOKUP($A685,'Выгр Кат'!$A:$S,P$1,0)</f>
        <v>1690</v>
      </c>
      <c r="Q685" s="107">
        <f t="shared" si="338"/>
        <v>0</v>
      </c>
      <c r="R685" s="107">
        <f t="shared" si="339"/>
        <v>0</v>
      </c>
      <c r="S685" s="110">
        <f t="shared" si="340"/>
        <v>1571.6999999999998</v>
      </c>
      <c r="T685" s="135">
        <f t="shared" si="341"/>
        <v>0.20899999999999985</v>
      </c>
      <c r="U685" s="135" t="str">
        <f t="shared" si="342"/>
        <v/>
      </c>
      <c r="V685" s="135" t="str">
        <f t="shared" si="343"/>
        <v/>
      </c>
      <c r="W685" s="45"/>
      <c r="X685" s="114" t="str">
        <f>IFERROR((VLOOKUP($A685,'ИЗ ГУГЛА'!$B:$G,X$1,0)+Z685)*Y685,VLOOKUP($A685,'ИЗ ГУГЛА'!$B:$G,X$1,0))</f>
        <v/>
      </c>
      <c r="Y685" s="46">
        <v>1</v>
      </c>
      <c r="Z685" s="46"/>
      <c r="AA685" s="140" t="s">
        <v>1821</v>
      </c>
      <c r="AB685" s="129"/>
      <c r="AC685" s="114" t="str">
        <f>IFERROR((VLOOKUP($A685,'ИЗ ГУГЛА'!$B:$Z,AC$1,0)+AE685)*AD685,VLOOKUP($A685,'ИЗ ГУГЛА'!$B:$Z,AC$1,0))</f>
        <v/>
      </c>
      <c r="AD685" s="46">
        <v>1</v>
      </c>
      <c r="AE685" s="46"/>
      <c r="AF685" s="115"/>
    </row>
    <row r="686" spans="1:33" s="5" customFormat="1" ht="61.5" thickTop="1" thickBot="1" x14ac:dyDescent="0.3">
      <c r="A686" s="132">
        <v>158860</v>
      </c>
      <c r="B686" s="132">
        <f>VLOOKUP($A686,'Выгр Кат'!$A:$S,B$1,0)</f>
        <v>13138</v>
      </c>
      <c r="C686" s="133" t="str">
        <f>VLOOKUP($A686,'Выгр Кат'!$A:$S,C$1,0)</f>
        <v>Комплект патрубков двигателя "PANTUS" 21082 (армированный каучук, красный) для ВАЗ 2108-21099, 2113-2115</v>
      </c>
      <c r="D686" s="132" t="str">
        <f>VLOOKUP($A686,'Выгр Кат'!$A:$S,D$1,0)</f>
        <v>Y</v>
      </c>
      <c r="E686" s="132" t="str">
        <f>VLOOKUP($A686,'Выгр Кат'!$A:$S,E$1,0)</f>
        <v>1</v>
      </c>
      <c r="F686" s="132">
        <f>VLOOKUP($A686,'Выгр Кат'!$A:$S,F$1,0)</f>
        <v>0</v>
      </c>
      <c r="G686" s="45"/>
      <c r="H686" s="29"/>
      <c r="I686" s="4" t="s">
        <v>2</v>
      </c>
      <c r="J686" s="95">
        <v>1</v>
      </c>
      <c r="K686" s="168">
        <f t="shared" si="344"/>
        <v>2400</v>
      </c>
      <c r="L686" s="167">
        <f>VLOOKUP(K686,Наценка!$A$1:$B$8,2,1)</f>
        <v>1.2903225806451613</v>
      </c>
      <c r="M686" s="148">
        <f t="shared" ref="M686:M688" si="359">W686*1.06</f>
        <v>3381.4</v>
      </c>
      <c r="N686" s="173">
        <f t="shared" si="337"/>
        <v>3390</v>
      </c>
      <c r="O686" s="134">
        <f>VLOOKUP($A686,'Выгр Кат'!$A:$S,O$1,0)</f>
        <v>2400</v>
      </c>
      <c r="P686" s="134">
        <f>VLOOKUP($A686,'Выгр Кат'!$A:$S,P$1,0)</f>
        <v>3090</v>
      </c>
      <c r="Q686" s="107">
        <f t="shared" si="338"/>
        <v>0</v>
      </c>
      <c r="R686" s="107">
        <f t="shared" si="339"/>
        <v>-300</v>
      </c>
      <c r="S686" s="110">
        <f t="shared" si="340"/>
        <v>3152.7</v>
      </c>
      <c r="T686" s="135">
        <f t="shared" si="341"/>
        <v>0.31362499999999982</v>
      </c>
      <c r="U686" s="135">
        <f t="shared" si="342"/>
        <v>1.1692789968652095E-2</v>
      </c>
      <c r="V686" s="135">
        <f t="shared" si="343"/>
        <v>0.32916666666666661</v>
      </c>
      <c r="W686" s="117">
        <f>AA686</f>
        <v>3190</v>
      </c>
      <c r="X686" s="114">
        <f>IFERROR((VLOOKUP($A686,'ИЗ ГУГЛА'!$B:$G,X$1,0)+Z686)*Y686,VLOOKUP($A686,'ИЗ ГУГЛА'!$B:$G,X$1,0))</f>
        <v>3190</v>
      </c>
      <c r="Y686" s="46">
        <v>1</v>
      </c>
      <c r="Z686" s="46"/>
      <c r="AA686" s="136">
        <v>3190</v>
      </c>
      <c r="AB686" s="124" t="s">
        <v>2522</v>
      </c>
      <c r="AC686" s="114" t="str">
        <f>IFERROR((VLOOKUP($A686,'ИЗ ГУГЛА'!$B:$Z,AC$1,0)+AE686)*AD686,VLOOKUP($A686,'ИЗ ГУГЛА'!$B:$Z,AC$1,0))</f>
        <v/>
      </c>
      <c r="AD686" s="46">
        <v>1</v>
      </c>
      <c r="AE686" s="46"/>
      <c r="AF686" s="115"/>
    </row>
    <row r="687" spans="1:33" s="5" customFormat="1" ht="31.5" thickTop="1" thickBot="1" x14ac:dyDescent="0.3">
      <c r="A687" s="132">
        <v>167251</v>
      </c>
      <c r="B687" s="132">
        <f>VLOOKUP($A687,'Выгр Кат'!$A:$S,B$1,0)</f>
        <v>41263</v>
      </c>
      <c r="C687" s="133" t="str">
        <f>VLOOKUP($A687,'Выгр Кат'!$A:$S,C$1,0)</f>
        <v>Накладка педали газа для ВАЗ 2110-2112, Лада (Калина, Приора)</v>
      </c>
      <c r="D687" s="132" t="str">
        <f>VLOOKUP($A687,'Выгр Кат'!$A:$S,D$1,0)</f>
        <v>Y</v>
      </c>
      <c r="E687" s="132" t="str">
        <f>VLOOKUP($A687,'Выгр Кат'!$A:$S,E$1,0)</f>
        <v>1ск2</v>
      </c>
      <c r="F687" s="132" t="str">
        <f>VLOOKUP($A687,'Выгр Кат'!$A:$S,F$1,0)</f>
        <v>21100110801900</v>
      </c>
      <c r="G687" s="45"/>
      <c r="H687" s="29"/>
      <c r="I687" s="4" t="s">
        <v>2</v>
      </c>
      <c r="J687" s="95">
        <v>1</v>
      </c>
      <c r="K687" s="168">
        <f t="shared" si="344"/>
        <v>16</v>
      </c>
      <c r="L687" s="167">
        <f>VLOOKUP(K687,Наценка!$A$1:$B$8,2,1)</f>
        <v>2.150537634408602</v>
      </c>
      <c r="M687" s="145">
        <f t="shared" ref="M687:M688" si="360">W687*1</f>
        <v>35</v>
      </c>
      <c r="N687" s="173">
        <f t="shared" si="337"/>
        <v>39</v>
      </c>
      <c r="O687" s="134">
        <f>VLOOKUP($A687,'Выгр Кат'!$A:$S,O$1,0)</f>
        <v>16</v>
      </c>
      <c r="P687" s="134">
        <f>VLOOKUP($A687,'Выгр Кат'!$A:$S,P$1,0)</f>
        <v>39</v>
      </c>
      <c r="Q687" s="107">
        <f t="shared" si="338"/>
        <v>0</v>
      </c>
      <c r="R687" s="107">
        <f t="shared" si="339"/>
        <v>0</v>
      </c>
      <c r="S687" s="110">
        <f t="shared" si="340"/>
        <v>36.269999999999996</v>
      </c>
      <c r="T687" s="135">
        <f t="shared" si="341"/>
        <v>1.2668749999999998</v>
      </c>
      <c r="U687" s="135">
        <f t="shared" si="342"/>
        <v>-3.6285714285714171E-2</v>
      </c>
      <c r="V687" s="135">
        <f t="shared" si="343"/>
        <v>1.1875</v>
      </c>
      <c r="W687" s="118">
        <f t="shared" ref="W687:W688" si="361">AF687</f>
        <v>35</v>
      </c>
      <c r="X687" s="114" t="str">
        <f>IFERROR((VLOOKUP($A687,'ИЗ ГУГЛА'!$B:$G,X$1,0)+Z687)*Y687,VLOOKUP($A687,'ИЗ ГУГЛА'!$B:$G,X$1,0))</f>
        <v/>
      </c>
      <c r="Y687" s="46">
        <v>1</v>
      </c>
      <c r="Z687" s="46"/>
      <c r="AA687" s="140" t="s">
        <v>1821</v>
      </c>
      <c r="AB687" s="129"/>
      <c r="AC687" s="114">
        <f>IFERROR((VLOOKUP($A687,'ИЗ ГУГЛА'!$B:$Z,AC$1,0)+AE687)*AD687,VLOOKUP($A687,'ИЗ ГУГЛА'!$B:$Z,AC$1,0))</f>
        <v>35</v>
      </c>
      <c r="AD687" s="46">
        <v>1</v>
      </c>
      <c r="AE687" s="46"/>
      <c r="AF687" s="115">
        <v>35</v>
      </c>
      <c r="AG687" s="5" t="s">
        <v>3003</v>
      </c>
    </row>
    <row r="688" spans="1:33" s="5" customFormat="1" ht="46.5" thickTop="1" thickBot="1" x14ac:dyDescent="0.3">
      <c r="A688" s="132">
        <v>167460</v>
      </c>
      <c r="B688" s="132">
        <f>VLOOKUP($A688,'Выгр Кат'!$A:$S,B$1,0)</f>
        <v>35638</v>
      </c>
      <c r="C688" s="133" t="str">
        <f>VLOOKUP($A688,'Выгр Кат'!$A:$S,C$1,0)</f>
        <v>Накладка площадки педали сцепления и тормоза для ВАЗ 2101-2107, Лада Нива 4х4</v>
      </c>
      <c r="D688" s="132" t="str">
        <f>VLOOKUP($A688,'Выгр Кат'!$A:$S,D$1,0)</f>
        <v>Y</v>
      </c>
      <c r="E688" s="132" t="str">
        <f>VLOOKUP($A688,'Выгр Кат'!$A:$S,E$1,0)</f>
        <v>1ск2</v>
      </c>
      <c r="F688" s="132" t="str">
        <f>VLOOKUP($A688,'Выгр Кат'!$A:$S,F$1,0)</f>
        <v>2101-1602048м</v>
      </c>
      <c r="G688" s="45"/>
      <c r="H688" s="29"/>
      <c r="I688" s="4" t="s">
        <v>2</v>
      </c>
      <c r="J688" s="95">
        <v>1</v>
      </c>
      <c r="K688" s="168">
        <f t="shared" si="344"/>
        <v>8</v>
      </c>
      <c r="L688" s="167">
        <f>VLOOKUP(K688,Наценка!$A$1:$B$8,2,1)</f>
        <v>2.150537634408602</v>
      </c>
      <c r="M688" s="145">
        <f t="shared" si="360"/>
        <v>25</v>
      </c>
      <c r="N688" s="173">
        <f t="shared" si="337"/>
        <v>29</v>
      </c>
      <c r="O688" s="134">
        <f>VLOOKUP($A688,'Выгр Кат'!$A:$S,O$1,0)</f>
        <v>8</v>
      </c>
      <c r="P688" s="134">
        <f>VLOOKUP($A688,'Выгр Кат'!$A:$S,P$1,0)</f>
        <v>19</v>
      </c>
      <c r="Q688" s="107">
        <f t="shared" si="338"/>
        <v>0</v>
      </c>
      <c r="R688" s="107">
        <f t="shared" si="339"/>
        <v>-10</v>
      </c>
      <c r="S688" s="110">
        <f t="shared" si="340"/>
        <v>26.97</v>
      </c>
      <c r="T688" s="135">
        <f t="shared" si="341"/>
        <v>2.3712499999999999</v>
      </c>
      <c r="U688" s="135">
        <f t="shared" si="342"/>
        <v>-7.8799999999999953E-2</v>
      </c>
      <c r="V688" s="135">
        <f t="shared" si="343"/>
        <v>2.125</v>
      </c>
      <c r="W688" s="118">
        <f t="shared" si="361"/>
        <v>25</v>
      </c>
      <c r="X688" s="114" t="str">
        <f>IFERROR((VLOOKUP($A688,'ИЗ ГУГЛА'!$B:$G,X$1,0)+Z688)*Y688,VLOOKUP($A688,'ИЗ ГУГЛА'!$B:$G,X$1,0))</f>
        <v/>
      </c>
      <c r="Y688" s="46">
        <v>1</v>
      </c>
      <c r="Z688" s="46"/>
      <c r="AA688" s="140" t="s">
        <v>1821</v>
      </c>
      <c r="AB688" s="129"/>
      <c r="AC688" s="114">
        <f>IFERROR((VLOOKUP($A688,'ИЗ ГУГЛА'!$B:$Z,AC$1,0)+AE688)*AD688,VLOOKUP($A688,'ИЗ ГУГЛА'!$B:$Z,AC$1,0))</f>
        <v>25</v>
      </c>
      <c r="AD688" s="46">
        <v>1</v>
      </c>
      <c r="AE688" s="46"/>
      <c r="AF688" s="115">
        <v>25</v>
      </c>
      <c r="AG688" s="5" t="s">
        <v>3002</v>
      </c>
    </row>
    <row r="689" spans="1:33" s="5" customFormat="1" ht="31.5" thickTop="1" thickBot="1" x14ac:dyDescent="0.3">
      <c r="A689" s="132">
        <v>171772</v>
      </c>
      <c r="B689" s="132">
        <f>VLOOKUP($A689,'Выгр Кат'!$A:$S,B$1,0)</f>
        <v>17834</v>
      </c>
      <c r="C689" s="133" t="str">
        <f>VLOOKUP($A689,'Выгр Кат'!$A:$S,C$1,0)</f>
        <v>Натяжитель цепи автоматический "ISAi" для ВАЗ 2101-2107</v>
      </c>
      <c r="D689" s="132" t="str">
        <f>VLOOKUP($A689,'Выгр Кат'!$A:$S,D$1,0)</f>
        <v>Y</v>
      </c>
      <c r="E689" s="132" t="str">
        <f>VLOOKUP($A689,'Выгр Кат'!$A:$S,E$1,0)</f>
        <v>1</v>
      </c>
      <c r="F689" s="132">
        <f>VLOOKUP($A689,'Выгр Кат'!$A:$S,F$1,0)</f>
        <v>0</v>
      </c>
      <c r="G689" s="45"/>
      <c r="H689" s="29"/>
      <c r="I689" s="4" t="s">
        <v>2</v>
      </c>
      <c r="J689" s="95">
        <v>1</v>
      </c>
      <c r="K689" s="168">
        <f t="shared" si="344"/>
        <v>3150</v>
      </c>
      <c r="L689" s="167">
        <f>VLOOKUP(K689,Наценка!$A$1:$B$8,2,1)</f>
        <v>1.2903225806451613</v>
      </c>
      <c r="M689" s="172">
        <f t="shared" si="345"/>
        <v>4064.516129032258</v>
      </c>
      <c r="N689" s="173">
        <f t="shared" si="337"/>
        <v>4090</v>
      </c>
      <c r="O689" s="134">
        <f>VLOOKUP($A689,'Выгр Кат'!$A:$S,O$1,0)</f>
        <v>3150</v>
      </c>
      <c r="P689" s="134">
        <f>VLOOKUP($A689,'Выгр Кат'!$A:$S,P$1,0)</f>
        <v>4090</v>
      </c>
      <c r="Q689" s="107">
        <f t="shared" si="338"/>
        <v>0</v>
      </c>
      <c r="R689" s="107">
        <f t="shared" si="339"/>
        <v>0</v>
      </c>
      <c r="S689" s="110">
        <f t="shared" si="340"/>
        <v>3803.7</v>
      </c>
      <c r="T689" s="135">
        <f t="shared" si="341"/>
        <v>0.20752380952380944</v>
      </c>
      <c r="U689" s="135">
        <f t="shared" si="342"/>
        <v>-0.19238244514106578</v>
      </c>
      <c r="V689" s="135">
        <f t="shared" si="343"/>
        <v>1.2698412698412653E-2</v>
      </c>
      <c r="W689" s="117">
        <f t="shared" ref="W689:W692" si="362">AA689</f>
        <v>3190</v>
      </c>
      <c r="X689" s="114">
        <f>IFERROR((VLOOKUP($A689,'ИЗ ГУГЛА'!$B:$G,X$1,0)+Z689)*Y689,VLOOKUP($A689,'ИЗ ГУГЛА'!$B:$G,X$1,0))</f>
        <v>3190</v>
      </c>
      <c r="Y689" s="46">
        <v>1</v>
      </c>
      <c r="Z689" s="46"/>
      <c r="AA689" s="136">
        <v>3190</v>
      </c>
      <c r="AB689" s="124" t="s">
        <v>2518</v>
      </c>
      <c r="AC689" s="114" t="str">
        <f>IFERROR((VLOOKUP($A689,'ИЗ ГУГЛА'!$B:$Z,AC$1,0)+AE689)*AD689,VLOOKUP($A689,'ИЗ ГУГЛА'!$B:$Z,AC$1,0))</f>
        <v/>
      </c>
      <c r="AD689" s="46">
        <v>1</v>
      </c>
      <c r="AE689" s="46"/>
      <c r="AF689" s="115"/>
    </row>
    <row r="690" spans="1:33" s="5" customFormat="1" ht="31.5" thickTop="1" thickBot="1" x14ac:dyDescent="0.3">
      <c r="A690" s="132">
        <v>171773</v>
      </c>
      <c r="B690" s="132">
        <f>VLOOKUP($A690,'Выгр Кат'!$A:$S,B$1,0)</f>
        <v>17711</v>
      </c>
      <c r="C690" s="133" t="str">
        <f>VLOOKUP($A690,'Выгр Кат'!$A:$S,C$1,0)</f>
        <v>Натяжитель цепи автоматический "ISAi" 21214 для Лада Нива 4x4</v>
      </c>
      <c r="D690" s="132" t="str">
        <f>VLOOKUP($A690,'Выгр Кат'!$A:$S,D$1,0)</f>
        <v>Y</v>
      </c>
      <c r="E690" s="132" t="str">
        <f>VLOOKUP($A690,'Выгр Кат'!$A:$S,E$1,0)</f>
        <v>1</v>
      </c>
      <c r="F690" s="132">
        <f>VLOOKUP($A690,'Выгр Кат'!$A:$S,F$1,0)</f>
        <v>0</v>
      </c>
      <c r="G690" s="45"/>
      <c r="H690" s="29"/>
      <c r="I690" s="4" t="s">
        <v>2</v>
      </c>
      <c r="J690" s="95">
        <v>1</v>
      </c>
      <c r="K690" s="168">
        <f t="shared" si="344"/>
        <v>3150</v>
      </c>
      <c r="L690" s="167">
        <f>VLOOKUP(K690,Наценка!$A$1:$B$8,2,1)</f>
        <v>1.2903225806451613</v>
      </c>
      <c r="M690" s="148">
        <f t="shared" ref="M690:M692" si="363">W690*1.05</f>
        <v>4084.5</v>
      </c>
      <c r="N690" s="173">
        <f t="shared" si="337"/>
        <v>4090</v>
      </c>
      <c r="O690" s="134">
        <f>VLOOKUP($A690,'Выгр Кат'!$A:$S,O$1,0)</f>
        <v>3150</v>
      </c>
      <c r="P690" s="134">
        <f>VLOOKUP($A690,'Выгр Кат'!$A:$S,P$1,0)</f>
        <v>4090</v>
      </c>
      <c r="Q690" s="107">
        <f t="shared" si="338"/>
        <v>0</v>
      </c>
      <c r="R690" s="107">
        <f t="shared" si="339"/>
        <v>0</v>
      </c>
      <c r="S690" s="110">
        <f t="shared" si="340"/>
        <v>3803.7</v>
      </c>
      <c r="T690" s="135">
        <f t="shared" si="341"/>
        <v>0.20752380952380944</v>
      </c>
      <c r="U690" s="135">
        <f t="shared" si="342"/>
        <v>2.2185089974293106E-2</v>
      </c>
      <c r="V690" s="135">
        <f t="shared" si="343"/>
        <v>0.23492063492063497</v>
      </c>
      <c r="W690" s="117">
        <f t="shared" si="362"/>
        <v>3890</v>
      </c>
      <c r="X690" s="114">
        <f>IFERROR((VLOOKUP($A690,'ИЗ ГУГЛА'!$B:$G,X$1,0)+Z690)*Y690,VLOOKUP($A690,'ИЗ ГУГЛА'!$B:$G,X$1,0))</f>
        <v>3890</v>
      </c>
      <c r="Y690" s="46">
        <v>1</v>
      </c>
      <c r="Z690" s="46"/>
      <c r="AA690" s="136">
        <v>3890</v>
      </c>
      <c r="AB690" s="124" t="s">
        <v>2517</v>
      </c>
      <c r="AC690" s="114" t="str">
        <f>IFERROR((VLOOKUP($A690,'ИЗ ГУГЛА'!$B:$Z,AC$1,0)+AE690)*AD690,VLOOKUP($A690,'ИЗ ГУГЛА'!$B:$Z,AC$1,0))</f>
        <v/>
      </c>
      <c r="AD690" s="46">
        <v>1</v>
      </c>
      <c r="AE690" s="46"/>
      <c r="AF690" s="115"/>
    </row>
    <row r="691" spans="1:33" s="5" customFormat="1" ht="46.5" thickTop="1" thickBot="1" x14ac:dyDescent="0.3">
      <c r="A691" s="132">
        <v>268256</v>
      </c>
      <c r="B691" s="132">
        <f>VLOOKUP($A691,'Выгр Кат'!$A:$S,B$1,0)</f>
        <v>217714</v>
      </c>
      <c r="C691" s="133" t="str">
        <f>VLOOKUP($A691,'Выгр Кат'!$A:$S,C$1,0)</f>
        <v>Опора амортизатора задней подвески "БМРТ" верхняя для Лада Веста</v>
      </c>
      <c r="D691" s="132" t="str">
        <f>VLOOKUP($A691,'Выгр Кат'!$A:$S,D$1,0)</f>
        <v>Y</v>
      </c>
      <c r="E691" s="132" t="str">
        <f>VLOOKUP($A691,'Выгр Кат'!$A:$S,E$1,0)</f>
        <v>1ск4</v>
      </c>
      <c r="F691" s="132" t="str">
        <f>VLOOKUP($A691,'Выгр Кат'!$A:$S,F$1,0)</f>
        <v>8450033574</v>
      </c>
      <c r="G691" s="45"/>
      <c r="H691" s="29"/>
      <c r="I691" s="4" t="s">
        <v>2</v>
      </c>
      <c r="J691" s="95">
        <v>1</v>
      </c>
      <c r="K691" s="168">
        <f t="shared" si="344"/>
        <v>780</v>
      </c>
      <c r="L691" s="167">
        <f>VLOOKUP(K691,Наценка!$A$1:$B$8,2,1)</f>
        <v>1.3978494623655915</v>
      </c>
      <c r="M691" s="145">
        <f>W691*1</f>
        <v>1090</v>
      </c>
      <c r="N691" s="173">
        <f t="shared" si="337"/>
        <v>1090</v>
      </c>
      <c r="O691" s="134">
        <f>VLOOKUP($A691,'Выгр Кат'!$A:$S,O$1,0)</f>
        <v>780</v>
      </c>
      <c r="P691" s="134">
        <f>VLOOKUP($A691,'Выгр Кат'!$A:$S,P$1,0)</f>
        <v>1090</v>
      </c>
      <c r="Q691" s="107">
        <f t="shared" si="338"/>
        <v>0</v>
      </c>
      <c r="R691" s="107">
        <f t="shared" si="339"/>
        <v>0</v>
      </c>
      <c r="S691" s="110">
        <f t="shared" si="340"/>
        <v>1013.6999999999999</v>
      </c>
      <c r="T691" s="135">
        <f t="shared" si="341"/>
        <v>0.29961538461538462</v>
      </c>
      <c r="U691" s="135">
        <f t="shared" si="342"/>
        <v>7.0000000000000062E-2</v>
      </c>
      <c r="V691" s="135">
        <f t="shared" si="343"/>
        <v>0.39743589743589736</v>
      </c>
      <c r="W691" s="117">
        <f t="shared" si="362"/>
        <v>1090</v>
      </c>
      <c r="X691" s="114">
        <f>IFERROR((VLOOKUP($A691,'ИЗ ГУГЛА'!$B:$G,X$1,0)+Z691)*Y691,VLOOKUP($A691,'ИЗ ГУГЛА'!$B:$G,X$1,0))</f>
        <v>1090</v>
      </c>
      <c r="Y691" s="46">
        <v>1</v>
      </c>
      <c r="Z691" s="46"/>
      <c r="AA691" s="136">
        <v>1090</v>
      </c>
      <c r="AB691" s="124" t="s">
        <v>2516</v>
      </c>
      <c r="AC691" s="114" t="str">
        <f>IFERROR((VLOOKUP($A691,'ИЗ ГУГЛА'!$B:$Z,AC$1,0)+AE691)*AD691,VLOOKUP($A691,'ИЗ ГУГЛА'!$B:$Z,AC$1,0))</f>
        <v/>
      </c>
      <c r="AD691" s="46">
        <v>1</v>
      </c>
      <c r="AE691" s="46"/>
      <c r="AF691" s="115"/>
    </row>
    <row r="692" spans="1:33" s="5" customFormat="1" ht="31.5" thickTop="1" thickBot="1" x14ac:dyDescent="0.3">
      <c r="A692" s="132">
        <v>194114</v>
      </c>
      <c r="B692" s="132">
        <f>VLOOKUP($A692,'Выгр Кат'!$A:$S,B$1,0)</f>
        <v>12386</v>
      </c>
      <c r="C692" s="133" t="str">
        <f>VLOOKUP($A692,'Выгр Кат'!$A:$S,C$1,0)</f>
        <v>Поддон аккумулятора "БРТ" резиновый (универсальный)</v>
      </c>
      <c r="D692" s="132" t="str">
        <f>VLOOKUP($A692,'Выгр Кат'!$A:$S,D$1,0)</f>
        <v>Y</v>
      </c>
      <c r="E692" s="132" t="str">
        <f>VLOOKUP($A692,'Выгр Кат'!$A:$S,E$1,0)</f>
        <v>1ск6</v>
      </c>
      <c r="F692" s="132" t="str">
        <f>VLOOKUP($A692,'Выгр Кат'!$A:$S,F$1,0)</f>
        <v>21010370309500</v>
      </c>
      <c r="G692" s="45"/>
      <c r="H692" s="29"/>
      <c r="I692" s="4" t="s">
        <v>2</v>
      </c>
      <c r="J692" s="95">
        <v>1</v>
      </c>
      <c r="K692" s="168">
        <f t="shared" si="344"/>
        <v>45</v>
      </c>
      <c r="L692" s="167">
        <f>VLOOKUP(K692,Наценка!$A$1:$B$8,2,1)</f>
        <v>2.150537634408602</v>
      </c>
      <c r="M692" s="148">
        <f t="shared" si="363"/>
        <v>168</v>
      </c>
      <c r="N692" s="173">
        <f t="shared" si="337"/>
        <v>169</v>
      </c>
      <c r="O692" s="134">
        <f>VLOOKUP($A692,'Выгр Кат'!$A:$S,O$1,0)</f>
        <v>45</v>
      </c>
      <c r="P692" s="134">
        <f>VLOOKUP($A692,'Выгр Кат'!$A:$S,P$1,0)</f>
        <v>159</v>
      </c>
      <c r="Q692" s="107">
        <f t="shared" si="338"/>
        <v>0</v>
      </c>
      <c r="R692" s="107">
        <f t="shared" si="339"/>
        <v>-10</v>
      </c>
      <c r="S692" s="110">
        <f t="shared" si="340"/>
        <v>157.16999999999999</v>
      </c>
      <c r="T692" s="135">
        <f t="shared" si="341"/>
        <v>2.4926666666666666</v>
      </c>
      <c r="U692" s="135">
        <f t="shared" si="342"/>
        <v>1.7687500000000078E-2</v>
      </c>
      <c r="V692" s="135">
        <f t="shared" si="343"/>
        <v>2.5555555555555554</v>
      </c>
      <c r="W692" s="118">
        <f t="shared" ref="W692" si="364">AF692</f>
        <v>160</v>
      </c>
      <c r="X692" s="114">
        <f>IFERROR((VLOOKUP($A692,'ИЗ ГУГЛА'!$B:$G,X$1,0)+Z692)*Y692,VLOOKUP($A692,'ИЗ ГУГЛА'!$B:$G,X$1,0))</f>
        <v>199</v>
      </c>
      <c r="Y692" s="46">
        <v>1</v>
      </c>
      <c r="Z692" s="46"/>
      <c r="AA692" s="138">
        <v>199</v>
      </c>
      <c r="AB692" s="124" t="s">
        <v>2515</v>
      </c>
      <c r="AC692" s="114">
        <f>IFERROR((VLOOKUP($A692,'ИЗ ГУГЛА'!$B:$Z,AC$1,0)+AE692)*AD692,VLOOKUP($A692,'ИЗ ГУГЛА'!$B:$Z,AC$1,0))</f>
        <v>160</v>
      </c>
      <c r="AD692" s="46">
        <v>1</v>
      </c>
      <c r="AE692" s="46"/>
      <c r="AF692" s="115">
        <v>160</v>
      </c>
      <c r="AG692" s="5" t="s">
        <v>3001</v>
      </c>
    </row>
    <row r="693" spans="1:33" s="5" customFormat="1" ht="61.5" thickTop="1" thickBot="1" x14ac:dyDescent="0.3">
      <c r="A693" s="132">
        <v>251649</v>
      </c>
      <c r="B693" s="132">
        <f>VLOOKUP($A693,'Выгр Кат'!$A:$S,B$1,0)</f>
        <v>184622</v>
      </c>
      <c r="C693" s="133" t="str">
        <f>VLOOKUP($A693,'Выгр Кат'!$A:$S,C$1,0)</f>
        <v>Прокладка "БРТ" масляного картера для Лада Ларгус, Renault (Logan, Sandero, Clio, Fluence, Kangoo 2, Almera)</v>
      </c>
      <c r="D693" s="132" t="str">
        <f>VLOOKUP($A693,'Выгр Кат'!$A:$S,D$1,0)</f>
        <v>Y</v>
      </c>
      <c r="E693" s="132" t="str">
        <f>VLOOKUP($A693,'Выгр Кат'!$A:$S,E$1,0)</f>
        <v>1</v>
      </c>
      <c r="F693" s="132" t="str">
        <f>VLOOKUP($A693,'Выгр Кат'!$A:$S,F$1,0)</f>
        <v>7700273486РИ</v>
      </c>
      <c r="G693" s="45"/>
      <c r="H693" s="29"/>
      <c r="I693" s="4" t="s">
        <v>2</v>
      </c>
      <c r="J693" s="95">
        <v>1</v>
      </c>
      <c r="K693" s="168">
        <f t="shared" si="344"/>
        <v>114</v>
      </c>
      <c r="L693" s="167">
        <f>VLOOKUP(K693,Наценка!$A$1:$B$8,2,1)</f>
        <v>1.7204301075268817</v>
      </c>
      <c r="M693" s="172">
        <f t="shared" si="345"/>
        <v>196.12903225806451</v>
      </c>
      <c r="N693" s="173">
        <f t="shared" si="337"/>
        <v>199</v>
      </c>
      <c r="O693" s="134">
        <f>VLOOKUP($A693,'Выгр Кат'!$A:$S,O$1,0)</f>
        <v>114</v>
      </c>
      <c r="P693" s="134">
        <f>VLOOKUP($A693,'Выгр Кат'!$A:$S,P$1,0)</f>
        <v>199</v>
      </c>
      <c r="Q693" s="107">
        <f t="shared" si="338"/>
        <v>0</v>
      </c>
      <c r="R693" s="107">
        <f t="shared" si="339"/>
        <v>0</v>
      </c>
      <c r="S693" s="110">
        <f t="shared" si="340"/>
        <v>185.07</v>
      </c>
      <c r="T693" s="135">
        <f t="shared" si="341"/>
        <v>0.62342105263157888</v>
      </c>
      <c r="U693" s="135" t="str">
        <f t="shared" si="342"/>
        <v/>
      </c>
      <c r="V693" s="135" t="str">
        <f t="shared" si="343"/>
        <v/>
      </c>
      <c r="W693" s="45"/>
      <c r="X693" s="114" t="str">
        <f>IFERROR((VLOOKUP($A693,'ИЗ ГУГЛА'!$B:$G,X$1,0)+Z693)*Y693,VLOOKUP($A693,'ИЗ ГУГЛА'!$B:$G,X$1,0))</f>
        <v/>
      </c>
      <c r="Y693" s="108">
        <v>1</v>
      </c>
      <c r="Z693" s="46"/>
      <c r="AA693" s="140" t="s">
        <v>1821</v>
      </c>
      <c r="AB693" s="129"/>
      <c r="AC693" s="114" t="str">
        <f>IFERROR((VLOOKUP($A693,'ИЗ ГУГЛА'!$B:$Z,AC$1,0)+AE693)*AD693,VLOOKUP($A693,'ИЗ ГУГЛА'!$B:$Z,AC$1,0))</f>
        <v/>
      </c>
      <c r="AD693" s="108">
        <v>1</v>
      </c>
      <c r="AE693" s="46"/>
      <c r="AF693" s="115"/>
    </row>
    <row r="694" spans="1:33" s="5" customFormat="1" ht="31.5" thickTop="1" thickBot="1" x14ac:dyDescent="0.3">
      <c r="A694" s="132">
        <v>331794</v>
      </c>
      <c r="B694" s="132">
        <f>VLOOKUP($A694,'Выгр Кат'!$A:$S,B$1,0)</f>
        <v>331794</v>
      </c>
      <c r="C694" s="133" t="str">
        <f>VLOOKUP($A694,'Выгр Кат'!$A:$S,C$1,0)</f>
        <v>Прокладка "БРТ" передней пружины для Лада Калина</v>
      </c>
      <c r="D694" s="132" t="str">
        <f>VLOOKUP($A694,'Выгр Кат'!$A:$S,D$1,0)</f>
        <v>Y</v>
      </c>
      <c r="E694" s="132" t="str">
        <f>VLOOKUP($A694,'Выгр Кат'!$A:$S,E$1,0)</f>
        <v>1</v>
      </c>
      <c r="F694" s="132" t="str">
        <f>VLOOKUP($A694,'Выгр Кат'!$A:$S,F$1,0)</f>
        <v>1119-2902723</v>
      </c>
      <c r="G694" s="45"/>
      <c r="H694" s="29"/>
      <c r="I694" s="4" t="s">
        <v>2</v>
      </c>
      <c r="J694" s="95">
        <v>1</v>
      </c>
      <c r="K694" s="168">
        <f t="shared" si="344"/>
        <v>111</v>
      </c>
      <c r="L694" s="167">
        <f>VLOOKUP(K694,Наценка!$A$1:$B$8,2,1)</f>
        <v>1.7204301075268817</v>
      </c>
      <c r="M694" s="148">
        <f>W694*1.05</f>
        <v>199.5</v>
      </c>
      <c r="N694" s="173">
        <f t="shared" si="337"/>
        <v>199</v>
      </c>
      <c r="O694" s="134">
        <f>VLOOKUP($A694,'Выгр Кат'!$A:$S,O$1,0)</f>
        <v>111</v>
      </c>
      <c r="P694" s="134">
        <f>VLOOKUP($A694,'Выгр Кат'!$A:$S,P$1,0)</f>
        <v>199</v>
      </c>
      <c r="Q694" s="107">
        <f t="shared" si="338"/>
        <v>0</v>
      </c>
      <c r="R694" s="107">
        <f t="shared" si="339"/>
        <v>0</v>
      </c>
      <c r="S694" s="110">
        <f t="shared" si="340"/>
        <v>185.07</v>
      </c>
      <c r="T694" s="135">
        <f t="shared" si="341"/>
        <v>0.66729729729729725</v>
      </c>
      <c r="U694" s="135">
        <f t="shared" si="342"/>
        <v>2.5947368421052667E-2</v>
      </c>
      <c r="V694" s="135">
        <f t="shared" si="343"/>
        <v>0.71171171171171177</v>
      </c>
      <c r="W694" s="118">
        <f>AF694</f>
        <v>190</v>
      </c>
      <c r="X694" s="114" t="str">
        <f>IFERROR((VLOOKUP($A694,'ИЗ ГУГЛА'!$B:$G,X$1,0)+Z694)*Y694,VLOOKUP($A694,'ИЗ ГУГЛА'!$B:$G,X$1,0))</f>
        <v/>
      </c>
      <c r="Y694" s="108">
        <v>1</v>
      </c>
      <c r="Z694" s="46"/>
      <c r="AA694" s="140" t="s">
        <v>1821</v>
      </c>
      <c r="AB694" s="129"/>
      <c r="AC694" s="114">
        <f>IFERROR((VLOOKUP($A694,'ИЗ ГУГЛА'!$B:$Z,AC$1,0)+AE694)*AD694,VLOOKUP($A694,'ИЗ ГУГЛА'!$B:$Z,AC$1,0))</f>
        <v>190</v>
      </c>
      <c r="AD694" s="108">
        <v>0.5</v>
      </c>
      <c r="AE694" s="46"/>
      <c r="AF694" s="115">
        <v>190</v>
      </c>
      <c r="AG694" s="5" t="s">
        <v>3000</v>
      </c>
    </row>
    <row r="695" spans="1:33" s="5" customFormat="1" ht="61.5" thickTop="1" thickBot="1" x14ac:dyDescent="0.3">
      <c r="A695" s="132">
        <v>202197</v>
      </c>
      <c r="B695" s="132">
        <f>VLOOKUP($A695,'Выгр Кат'!$A:$S,B$1,0)</f>
        <v>12977</v>
      </c>
      <c r="C695" s="133" t="str">
        <f>VLOOKUP($A695,'Выгр Кат'!$A:$S,C$1,0)</f>
        <v>Пыльник ШРУСа "PANTUS" внешний (синий) для ВАЗ (2108-21099, 2110-2112, 2113-2115), Лада (Калина, Калина 2, Приора, Гранта)</v>
      </c>
      <c r="D695" s="132" t="str">
        <f>VLOOKUP($A695,'Выгр Кат'!$A:$S,D$1,0)</f>
        <v>Y</v>
      </c>
      <c r="E695" s="132" t="str">
        <f>VLOOKUP($A695,'Выгр Кат'!$A:$S,E$1,0)</f>
        <v>1ск1</v>
      </c>
      <c r="F695" s="132">
        <f>VLOOKUP($A695,'Выгр Кат'!$A:$S,F$1,0)</f>
        <v>0</v>
      </c>
      <c r="G695" s="45"/>
      <c r="H695" s="29"/>
      <c r="I695" s="4" t="s">
        <v>2</v>
      </c>
      <c r="J695" s="95">
        <v>1</v>
      </c>
      <c r="K695" s="168">
        <f t="shared" si="344"/>
        <v>132</v>
      </c>
      <c r="L695" s="167">
        <f>VLOOKUP(K695,Наценка!$A$1:$B$8,2,1)</f>
        <v>1.7204301075268817</v>
      </c>
      <c r="M695" s="148">
        <f t="shared" ref="M694:M698" si="365">W695*1.06</f>
        <v>307.40000000000003</v>
      </c>
      <c r="N695" s="173">
        <f t="shared" si="337"/>
        <v>309</v>
      </c>
      <c r="O695" s="134">
        <f>VLOOKUP($A695,'Выгр Кат'!$A:$S,O$1,0)</f>
        <v>132</v>
      </c>
      <c r="P695" s="134">
        <f>VLOOKUP($A695,'Выгр Кат'!$A:$S,P$1,0)</f>
        <v>309</v>
      </c>
      <c r="Q695" s="107">
        <f t="shared" si="338"/>
        <v>0</v>
      </c>
      <c r="R695" s="107">
        <f t="shared" si="339"/>
        <v>0</v>
      </c>
      <c r="S695" s="110">
        <f t="shared" si="340"/>
        <v>287.37</v>
      </c>
      <c r="T695" s="135">
        <f t="shared" si="341"/>
        <v>1.1770454545454547</v>
      </c>
      <c r="U695" s="135">
        <f t="shared" si="342"/>
        <v>9.0689655172413643E-3</v>
      </c>
      <c r="V695" s="135">
        <f t="shared" si="343"/>
        <v>1.1969696969696968</v>
      </c>
      <c r="W695" s="117">
        <f t="shared" ref="W695:W700" si="366">AA695</f>
        <v>290</v>
      </c>
      <c r="X695" s="114">
        <f>IFERROR((VLOOKUP($A695,'ИЗ ГУГЛА'!$B:$G,X$1,0)+Z695)*Y695,VLOOKUP($A695,'ИЗ ГУГЛА'!$B:$G,X$1,0))</f>
        <v>290</v>
      </c>
      <c r="Y695" s="46">
        <v>1</v>
      </c>
      <c r="Z695" s="46"/>
      <c r="AA695" s="136">
        <v>290</v>
      </c>
      <c r="AB695" s="124" t="s">
        <v>2519</v>
      </c>
      <c r="AC695" s="114" t="str">
        <f>IFERROR((VLOOKUP($A695,'ИЗ ГУГЛА'!$B:$Z,AC$1,0)+AE695)*AD695,VLOOKUP($A695,'ИЗ ГУГЛА'!$B:$Z,AC$1,0))</f>
        <v/>
      </c>
      <c r="AD695" s="46">
        <v>1</v>
      </c>
      <c r="AE695" s="46"/>
      <c r="AF695" s="115"/>
    </row>
    <row r="696" spans="1:33" s="5" customFormat="1" ht="61.5" thickTop="1" thickBot="1" x14ac:dyDescent="0.3">
      <c r="A696" s="132">
        <v>202097</v>
      </c>
      <c r="B696" s="132">
        <f>VLOOKUP($A696,'Выгр Кат'!$A:$S,B$1,0)</f>
        <v>2376</v>
      </c>
      <c r="C696" s="133" t="str">
        <f>VLOOKUP($A696,'Выгр Кат'!$A:$S,C$1,0)</f>
        <v>Пыльник ШРУСа "PANTUS" внутренний (красный) для ВАЗ (2108-21099, 2110-2112, 2113-2115), Лада (Калина, Калина 2, Приора, Гранта)</v>
      </c>
      <c r="D696" s="132" t="str">
        <f>VLOOKUP($A696,'Выгр Кат'!$A:$S,D$1,0)</f>
        <v>Y</v>
      </c>
      <c r="E696" s="132" t="str">
        <f>VLOOKUP($A696,'Выгр Кат'!$A:$S,E$1,0)</f>
        <v>1</v>
      </c>
      <c r="F696" s="132">
        <f>VLOOKUP($A696,'Выгр Кат'!$A:$S,F$1,0)</f>
        <v>0</v>
      </c>
      <c r="G696" s="45"/>
      <c r="H696" s="29"/>
      <c r="I696" s="4" t="s">
        <v>2</v>
      </c>
      <c r="J696" s="95">
        <v>1</v>
      </c>
      <c r="K696" s="168">
        <f t="shared" si="344"/>
        <v>109</v>
      </c>
      <c r="L696" s="167">
        <f>VLOOKUP(K696,Наценка!$A$1:$B$8,2,1)</f>
        <v>1.7204301075268817</v>
      </c>
      <c r="M696" s="148">
        <f t="shared" si="365"/>
        <v>307.40000000000003</v>
      </c>
      <c r="N696" s="173">
        <f t="shared" si="337"/>
        <v>309</v>
      </c>
      <c r="O696" s="134">
        <f>VLOOKUP($A696,'Выгр Кат'!$A:$S,O$1,0)</f>
        <v>109</v>
      </c>
      <c r="P696" s="134">
        <f>VLOOKUP($A696,'Выгр Кат'!$A:$S,P$1,0)</f>
        <v>309</v>
      </c>
      <c r="Q696" s="107">
        <f t="shared" si="338"/>
        <v>0</v>
      </c>
      <c r="R696" s="107">
        <f t="shared" si="339"/>
        <v>0</v>
      </c>
      <c r="S696" s="110">
        <f t="shared" si="340"/>
        <v>287.37</v>
      </c>
      <c r="T696" s="135">
        <f t="shared" si="341"/>
        <v>1.636422018348624</v>
      </c>
      <c r="U696" s="135">
        <f t="shared" si="342"/>
        <v>9.0689655172413643E-3</v>
      </c>
      <c r="V696" s="135">
        <f t="shared" si="343"/>
        <v>1.6605504587155964</v>
      </c>
      <c r="W696" s="117">
        <f t="shared" si="366"/>
        <v>290</v>
      </c>
      <c r="X696" s="114">
        <f>IFERROR((VLOOKUP($A696,'ИЗ ГУГЛА'!$B:$G,X$1,0)+Z696)*Y696,VLOOKUP($A696,'ИЗ ГУГЛА'!$B:$G,X$1,0))</f>
        <v>290</v>
      </c>
      <c r="Y696" s="46">
        <v>1</v>
      </c>
      <c r="Z696" s="46"/>
      <c r="AA696" s="136">
        <v>290</v>
      </c>
      <c r="AB696" s="124" t="s">
        <v>2521</v>
      </c>
      <c r="AC696" s="114" t="str">
        <f>IFERROR((VLOOKUP($A696,'ИЗ ГУГЛА'!$B:$Z,AC$1,0)+AE696)*AD696,VLOOKUP($A696,'ИЗ ГУГЛА'!$B:$Z,AC$1,0))</f>
        <v/>
      </c>
      <c r="AD696" s="46">
        <v>1</v>
      </c>
      <c r="AE696" s="46"/>
      <c r="AF696" s="115"/>
    </row>
    <row r="697" spans="1:33" s="5" customFormat="1" ht="61.5" thickTop="1" thickBot="1" x14ac:dyDescent="0.3">
      <c r="A697" s="132">
        <v>202099</v>
      </c>
      <c r="B697" s="132">
        <f>VLOOKUP($A697,'Выгр Кат'!$A:$S,B$1,0)</f>
        <v>36829</v>
      </c>
      <c r="C697" s="133" t="str">
        <f>VLOOKUP($A697,'Выгр Кат'!$A:$S,C$1,0)</f>
        <v>Пыльник ШРУСа "PANTUS" наружный (красный) для ВАЗ (2108-21099, 2110-2112, 2113-2115), Лада (Калина, Калина 2, Приора, Гранта)</v>
      </c>
      <c r="D697" s="132" t="str">
        <f>VLOOKUP($A697,'Выгр Кат'!$A:$S,D$1,0)</f>
        <v>Y</v>
      </c>
      <c r="E697" s="132" t="str">
        <f>VLOOKUP($A697,'Выгр Кат'!$A:$S,E$1,0)</f>
        <v>1</v>
      </c>
      <c r="F697" s="132">
        <f>VLOOKUP($A697,'Выгр Кат'!$A:$S,F$1,0)</f>
        <v>0</v>
      </c>
      <c r="G697" s="45"/>
      <c r="H697" s="29"/>
      <c r="I697" s="4" t="s">
        <v>2</v>
      </c>
      <c r="J697" s="95">
        <v>1</v>
      </c>
      <c r="K697" s="168">
        <f t="shared" si="344"/>
        <v>107</v>
      </c>
      <c r="L697" s="167">
        <f>VLOOKUP(K697,Наценка!$A$1:$B$8,2,1)</f>
        <v>1.7204301075268817</v>
      </c>
      <c r="M697" s="148">
        <f t="shared" si="365"/>
        <v>348.74</v>
      </c>
      <c r="N697" s="173">
        <f t="shared" si="337"/>
        <v>349</v>
      </c>
      <c r="O697" s="134">
        <f>VLOOKUP($A697,'Выгр Кат'!$A:$S,O$1,0)</f>
        <v>107</v>
      </c>
      <c r="P697" s="134">
        <f>VLOOKUP($A697,'Выгр Кат'!$A:$S,P$1,0)</f>
        <v>349</v>
      </c>
      <c r="Q697" s="107">
        <f t="shared" si="338"/>
        <v>0</v>
      </c>
      <c r="R697" s="107">
        <f t="shared" si="339"/>
        <v>0</v>
      </c>
      <c r="S697" s="110">
        <f t="shared" si="340"/>
        <v>324.57</v>
      </c>
      <c r="T697" s="135">
        <f t="shared" si="341"/>
        <v>2.0333644859813083</v>
      </c>
      <c r="U697" s="135">
        <f t="shared" si="342"/>
        <v>1.3465045592705187E-2</v>
      </c>
      <c r="V697" s="135">
        <f t="shared" si="343"/>
        <v>2.0747663551401869</v>
      </c>
      <c r="W697" s="117">
        <f t="shared" si="366"/>
        <v>329</v>
      </c>
      <c r="X697" s="114">
        <f>IFERROR((VLOOKUP($A697,'ИЗ ГУГЛА'!$B:$G,X$1,0)+Z697)*Y697,VLOOKUP($A697,'ИЗ ГУГЛА'!$B:$G,X$1,0))</f>
        <v>329</v>
      </c>
      <c r="Y697" s="46">
        <v>1</v>
      </c>
      <c r="Z697" s="46"/>
      <c r="AA697" s="136">
        <v>329</v>
      </c>
      <c r="AB697" s="124" t="s">
        <v>2520</v>
      </c>
      <c r="AC697" s="114" t="str">
        <f>IFERROR((VLOOKUP($A697,'ИЗ ГУГЛА'!$B:$Z,AC$1,0)+AE697)*AD697,VLOOKUP($A697,'ИЗ ГУГЛА'!$B:$Z,AC$1,0))</f>
        <v/>
      </c>
      <c r="AD697" s="46">
        <v>1</v>
      </c>
      <c r="AE697" s="46"/>
      <c r="AF697" s="115"/>
    </row>
    <row r="698" spans="1:33" s="5" customFormat="1" ht="46.5" thickTop="1" thickBot="1" x14ac:dyDescent="0.3">
      <c r="A698" s="132">
        <v>329100</v>
      </c>
      <c r="B698" s="132">
        <f>VLOOKUP($A698,'Выгр Кат'!$A:$S,B$1,0)</f>
        <v>329100</v>
      </c>
      <c r="C698" s="133" t="str">
        <f>VLOOKUP($A698,'Выгр Кат'!$A:$S,C$1,0)</f>
        <v>Сальник "БРТ" первичного вала КПП для ВАЗ 2108-21099, 2113-2115, 2110-2112</v>
      </c>
      <c r="D698" s="132" t="str">
        <f>VLOOKUP($A698,'Выгр Кат'!$A:$S,D$1,0)</f>
        <v>Y</v>
      </c>
      <c r="E698" s="132" t="str">
        <f>VLOOKUP($A698,'Выгр Кат'!$A:$S,E$1,0)</f>
        <v>1</v>
      </c>
      <c r="F698" s="132" t="str">
        <f>VLOOKUP($A698,'Выгр Кат'!$A:$S,F$1,0)</f>
        <v>2110-1701043-Р</v>
      </c>
      <c r="G698" s="45"/>
      <c r="H698" s="29"/>
      <c r="I698" s="4" t="s">
        <v>2</v>
      </c>
      <c r="J698" s="95">
        <v>1</v>
      </c>
      <c r="K698" s="168">
        <f t="shared" si="344"/>
        <v>55</v>
      </c>
      <c r="L698" s="167">
        <f>VLOOKUP(K698,Наценка!$A$1:$B$8,2,1)</f>
        <v>2.150537634408602</v>
      </c>
      <c r="M698" s="148">
        <f t="shared" si="365"/>
        <v>111.30000000000001</v>
      </c>
      <c r="N698" s="173">
        <f t="shared" si="337"/>
        <v>119</v>
      </c>
      <c r="O698" s="134">
        <f>VLOOKUP($A698,'Выгр Кат'!$A:$S,O$1,0)</f>
        <v>55</v>
      </c>
      <c r="P698" s="134">
        <f>VLOOKUP($A698,'Выгр Кат'!$A:$S,P$1,0)</f>
        <v>179</v>
      </c>
      <c r="Q698" s="107">
        <f t="shared" si="338"/>
        <v>0</v>
      </c>
      <c r="R698" s="107">
        <f t="shared" si="339"/>
        <v>60</v>
      </c>
      <c r="S698" s="110">
        <f t="shared" si="340"/>
        <v>110.66999999999999</v>
      </c>
      <c r="T698" s="135">
        <f t="shared" si="341"/>
        <v>1.0121818181818178</v>
      </c>
      <c r="U698" s="135">
        <f t="shared" si="342"/>
        <v>-5.3999999999999881E-2</v>
      </c>
      <c r="V698" s="135">
        <f t="shared" si="343"/>
        <v>0.90909090909090917</v>
      </c>
      <c r="W698" s="118">
        <f t="shared" ref="W698" si="367">AF698</f>
        <v>105</v>
      </c>
      <c r="X698" s="114">
        <f>IFERROR((VLOOKUP($A698,'ИЗ ГУГЛА'!$B:$G,X$1,0)+Z698)*Y698,VLOOKUP($A698,'ИЗ ГУГЛА'!$B:$G,X$1,0))</f>
        <v>169</v>
      </c>
      <c r="Y698" s="46">
        <v>1</v>
      </c>
      <c r="Z698" s="46"/>
      <c r="AA698" s="136">
        <v>169</v>
      </c>
      <c r="AB698" s="124" t="s">
        <v>2514</v>
      </c>
      <c r="AC698" s="114">
        <f>IFERROR((VLOOKUP($A698,'ИЗ ГУГЛА'!$B:$Z,AC$1,0)+AE698)*AD698,VLOOKUP($A698,'ИЗ ГУГЛА'!$B:$Z,AC$1,0))</f>
        <v>105</v>
      </c>
      <c r="AD698" s="46">
        <v>1</v>
      </c>
      <c r="AE698" s="46"/>
      <c r="AF698" s="115">
        <v>105</v>
      </c>
      <c r="AG698" s="5" t="s">
        <v>2999</v>
      </c>
    </row>
    <row r="699" spans="1:33" s="5" customFormat="1" ht="31.5" thickTop="1" thickBot="1" x14ac:dyDescent="0.3">
      <c r="A699" s="132">
        <v>223291</v>
      </c>
      <c r="B699" s="132">
        <f>VLOOKUP($A699,'Выгр Кат'!$A:$S,B$1,0)</f>
        <v>16836</v>
      </c>
      <c r="C699" s="133" t="str">
        <f>VLOOKUP($A699,'Выгр Кат'!$A:$S,C$1,0)</f>
        <v>Уплотнитель РКИ-3Т (Z-образный) проема крыла и двери</v>
      </c>
      <c r="D699" s="132" t="str">
        <f>VLOOKUP($A699,'Выгр Кат'!$A:$S,D$1,0)</f>
        <v>Y</v>
      </c>
      <c r="E699" s="132" t="str">
        <f>VLOOKUP($A699,'Выгр Кат'!$A:$S,E$1,0)</f>
        <v>1ск6</v>
      </c>
      <c r="F699" s="132">
        <f>VLOOKUP($A699,'Выгр Кат'!$A:$S,F$1,0)</f>
        <v>0</v>
      </c>
      <c r="G699" s="45"/>
      <c r="H699" s="29"/>
      <c r="I699" s="4" t="s">
        <v>2</v>
      </c>
      <c r="J699" s="95">
        <v>1</v>
      </c>
      <c r="K699" s="168">
        <f t="shared" si="344"/>
        <v>430</v>
      </c>
      <c r="L699" s="167">
        <f>VLOOKUP(K699,Наценка!$A$1:$B$8,2,1)</f>
        <v>1.5053763440860215</v>
      </c>
      <c r="M699" s="172">
        <f t="shared" si="345"/>
        <v>647.31182795698919</v>
      </c>
      <c r="N699" s="173">
        <f t="shared" si="337"/>
        <v>649</v>
      </c>
      <c r="O699" s="134">
        <f>VLOOKUP($A699,'Выгр Кат'!$A:$S,O$1,0)</f>
        <v>430</v>
      </c>
      <c r="P699" s="134">
        <f>VLOOKUP($A699,'Выгр Кат'!$A:$S,P$1,0)</f>
        <v>649</v>
      </c>
      <c r="Q699" s="107">
        <f t="shared" si="338"/>
        <v>0</v>
      </c>
      <c r="R699" s="107">
        <f t="shared" si="339"/>
        <v>0</v>
      </c>
      <c r="S699" s="110">
        <f t="shared" si="340"/>
        <v>603.56999999999994</v>
      </c>
      <c r="T699" s="135">
        <f t="shared" si="341"/>
        <v>0.40365116279069757</v>
      </c>
      <c r="U699" s="135">
        <f t="shared" si="342"/>
        <v>-0.23177551020408149</v>
      </c>
      <c r="V699" s="135">
        <f t="shared" si="343"/>
        <v>0.13953488372093026</v>
      </c>
      <c r="W699" s="117">
        <f t="shared" si="366"/>
        <v>490</v>
      </c>
      <c r="X699" s="114">
        <f>IFERROR((VLOOKUP($A699,'ИЗ ГУГЛА'!$B:$G,X$1,0)+Z699)*Y699,VLOOKUP($A699,'ИЗ ГУГЛА'!$B:$G,X$1,0))</f>
        <v>490</v>
      </c>
      <c r="Y699" s="46">
        <v>1</v>
      </c>
      <c r="Z699" s="46"/>
      <c r="AA699" s="136">
        <v>490</v>
      </c>
      <c r="AB699" s="124" t="s">
        <v>2513</v>
      </c>
      <c r="AC699" s="114" t="str">
        <f>IFERROR((VLOOKUP($A699,'ИЗ ГУГЛА'!$B:$Z,AC$1,0)+AE699)*AD699,VLOOKUP($A699,'ИЗ ГУГЛА'!$B:$Z,AC$1,0))</f>
        <v/>
      </c>
      <c r="AD699" s="46">
        <v>1</v>
      </c>
      <c r="AE699" s="46"/>
      <c r="AF699" s="115"/>
    </row>
    <row r="700" spans="1:33" s="5" customFormat="1" ht="31.5" thickTop="1" thickBot="1" x14ac:dyDescent="0.3">
      <c r="A700" s="132">
        <v>346754</v>
      </c>
      <c r="B700" s="132">
        <f>VLOOKUP($A700,'Выгр Кат'!$A:$S,B$1,0)</f>
        <v>346754</v>
      </c>
      <c r="C700" s="133" t="str">
        <f>VLOOKUP($A700,'Выгр Кат'!$A:$S,C$1,0)</f>
        <v>Заглушка опоры стойки для ВАЗ 2110-2112</v>
      </c>
      <c r="D700" s="132" t="str">
        <f>VLOOKUP($A700,'Выгр Кат'!$A:$S,D$1,0)</f>
        <v>Y</v>
      </c>
      <c r="E700" s="132" t="str">
        <f>VLOOKUP($A700,'Выгр Кат'!$A:$S,E$1,0)</f>
        <v>1ск6</v>
      </c>
      <c r="F700" s="132" t="str">
        <f>VLOOKUP($A700,'Выгр Кат'!$A:$S,F$1,0)</f>
        <v>2110-2901054</v>
      </c>
      <c r="G700" s="45"/>
      <c r="H700" s="29"/>
      <c r="I700" s="4" t="s">
        <v>2</v>
      </c>
      <c r="J700" s="95">
        <v>1</v>
      </c>
      <c r="K700" s="174">
        <f t="shared" ref="K700" si="368">O700</f>
        <v>10</v>
      </c>
      <c r="L700" s="167">
        <f>VLOOKUP(K700,Наценка!$A$1:$B$8,2,1)</f>
        <v>2.150537634408602</v>
      </c>
      <c r="M700" s="145">
        <f>W700*1</f>
        <v>50</v>
      </c>
      <c r="N700" s="173">
        <f t="shared" ref="N700" si="369">IF(M700&lt;=1000,(ROUNDUP(M700,-1)-1),(ROUNDUP(M700,-2)-10))</f>
        <v>49</v>
      </c>
      <c r="O700" s="134">
        <f>VLOOKUP($A700,'Выгр Кат'!$A:$S,O$1,0)</f>
        <v>10</v>
      </c>
      <c r="P700" s="134">
        <f>VLOOKUP($A700,'Выгр Кат'!$A:$S,P$1,0)</f>
        <v>29</v>
      </c>
      <c r="Q700" s="107">
        <f t="shared" ref="Q700" si="370">O700-K700</f>
        <v>0</v>
      </c>
      <c r="R700" s="107">
        <f t="shared" ref="R700" si="371">P700-N700</f>
        <v>-20</v>
      </c>
      <c r="S700" s="110">
        <f t="shared" ref="S700" si="372">IFERROR(N700*(1-$S$2),"")</f>
        <v>45.57</v>
      </c>
      <c r="T700" s="135">
        <f t="shared" si="341"/>
        <v>3.5570000000000004</v>
      </c>
      <c r="U700" s="135">
        <f t="shared" si="342"/>
        <v>8.8599999999999998E-2</v>
      </c>
      <c r="V700" s="135">
        <f t="shared" si="343"/>
        <v>4</v>
      </c>
      <c r="W700" s="118">
        <f t="shared" ref="W700" si="373">AF700</f>
        <v>50</v>
      </c>
      <c r="X700" s="114">
        <f>IFERROR((VLOOKUP($A700,'ИЗ ГУГЛА'!$B:$G,X$1,0)+Z700)*Y700,VLOOKUP($A700,'ИЗ ГУГЛА'!$B:$G,X$1,0))</f>
        <v>129</v>
      </c>
      <c r="Y700" s="46">
        <v>1</v>
      </c>
      <c r="Z700" s="46"/>
      <c r="AA700" s="140">
        <v>129</v>
      </c>
      <c r="AB700" s="124" t="s">
        <v>2744</v>
      </c>
      <c r="AC700" s="114">
        <f>IFERROR((VLOOKUP($A700,'ИЗ ГУГЛА'!$B:$Z,AC$1,0)+AE700)*AD700,VLOOKUP($A700,'ИЗ ГУГЛА'!$B:$Z,AC$1,0))</f>
        <v>50</v>
      </c>
      <c r="AD700" s="46">
        <v>0.5</v>
      </c>
      <c r="AE700" s="46"/>
      <c r="AF700" s="115">
        <v>50</v>
      </c>
      <c r="AG700" s="5" t="s">
        <v>2998</v>
      </c>
    </row>
    <row r="701" spans="1:33" s="5" customFormat="1" ht="30.75" thickTop="1" x14ac:dyDescent="0.25">
      <c r="A701" s="132">
        <v>186398</v>
      </c>
      <c r="B701" s="132">
        <f>VLOOKUP($A701,'Выгр Кат'!$A:$S,B$1,0)</f>
        <v>13100</v>
      </c>
      <c r="C701" s="133" t="str">
        <f>VLOOKUP($A701,'Выгр Кат'!$A:$S,C$1,0)</f>
        <v>Патрубки "БРТ" системы охлаждения для ВАЗ 2107 (инжектор)</v>
      </c>
      <c r="D701" s="132" t="str">
        <f>VLOOKUP($A701,'Выгр Кат'!$A:$S,D$1,0)</f>
        <v>Y</v>
      </c>
      <c r="E701" s="132" t="str">
        <f>VLOOKUP($A701,'Выгр Кат'!$A:$S,E$1,0)</f>
        <v>1</v>
      </c>
      <c r="F701" s="132" t="str">
        <f>VLOOKUP($A701,'Выгр Кат'!$A:$S,F$1,0)</f>
        <v>21010130301086</v>
      </c>
      <c r="G701" s="30" t="s">
        <v>1514</v>
      </c>
      <c r="H701" s="29"/>
      <c r="I701" s="4" t="s">
        <v>2</v>
      </c>
      <c r="J701" s="95">
        <v>1</v>
      </c>
      <c r="K701" s="175">
        <f>SUM(K702:K705)</f>
        <v>801.37199999999996</v>
      </c>
      <c r="L701" s="167">
        <f>VLOOKUP(K701,Наценка!$A$1:$B$8,2,1)</f>
        <v>1.3978494623655915</v>
      </c>
      <c r="M701" s="172">
        <f t="shared" ref="M701" si="374">K701*L701</f>
        <v>1120.1974193548388</v>
      </c>
      <c r="N701" s="173">
        <f t="shared" si="337"/>
        <v>1190</v>
      </c>
      <c r="O701" s="134">
        <f>VLOOKUP($A701,'Выгр Кат'!$A:$S,O$1,0)</f>
        <v>801.37</v>
      </c>
      <c r="P701" s="134">
        <f>VLOOKUP($A701,'Выгр Кат'!$A:$S,P$1,0)</f>
        <v>1190</v>
      </c>
      <c r="Q701" s="107">
        <f t="shared" si="338"/>
        <v>-1.9999999999527063E-3</v>
      </c>
      <c r="R701" s="107">
        <f t="shared" si="339"/>
        <v>0</v>
      </c>
      <c r="S701" s="110">
        <f t="shared" si="340"/>
        <v>1106.6999999999998</v>
      </c>
      <c r="T701" s="135">
        <f t="shared" si="341"/>
        <v>0.38100657372605973</v>
      </c>
      <c r="U701" s="135" t="str">
        <f t="shared" si="342"/>
        <v/>
      </c>
      <c r="V701" s="135" t="str">
        <f t="shared" si="343"/>
        <v/>
      </c>
      <c r="W701" s="45"/>
      <c r="X701" s="114" t="str">
        <f>IFERROR((VLOOKUP($A701,'ИЗ ГУГЛА'!$B:$G,X$1,0)+Z701)*Y701,VLOOKUP($A701,'ИЗ ГУГЛА'!$B:$G,X$1,0))</f>
        <v/>
      </c>
      <c r="Y701" s="108">
        <v>1</v>
      </c>
      <c r="Z701" s="46"/>
      <c r="AA701" s="139" t="s">
        <v>1821</v>
      </c>
      <c r="AB701" s="124"/>
      <c r="AC701" s="114" t="str">
        <f>IFERROR((VLOOKUP($A701,'ИЗ ГУГЛА'!$B:$Z,AC$1,0)+AE701)*AD701,VLOOKUP($A701,'ИЗ ГУГЛА'!$B:$Z,AC$1,0))</f>
        <v/>
      </c>
      <c r="AD701" s="108">
        <v>1</v>
      </c>
      <c r="AE701" s="46"/>
      <c r="AF701" s="115"/>
    </row>
    <row r="702" spans="1:33" s="5" customFormat="1" x14ac:dyDescent="0.25">
      <c r="A702" s="132"/>
      <c r="B702" s="132" t="e">
        <f>VLOOKUP($A702,'Выгр Кат'!$A:$S,B$1,0)</f>
        <v>#N/A</v>
      </c>
      <c r="C702" s="133" t="e">
        <f>VLOOKUP($A702,'Выгр Кат'!$A:$S,C$1,0)</f>
        <v>#N/A</v>
      </c>
      <c r="D702" s="132" t="e">
        <f>VLOOKUP($A702,'Выгр Кат'!$A:$S,D$1,0)</f>
        <v>#N/A</v>
      </c>
      <c r="E702" s="132" t="e">
        <f>VLOOKUP($A702,'Выгр Кат'!$A:$S,E$1,0)</f>
        <v>#N/A</v>
      </c>
      <c r="F702" s="132" t="e">
        <f>VLOOKUP($A702,'Выгр Кат'!$A:$S,F$1,0)</f>
        <v>#N/A</v>
      </c>
      <c r="G702" s="32" t="s">
        <v>308</v>
      </c>
      <c r="H702" s="29"/>
      <c r="I702" s="4" t="s">
        <v>2</v>
      </c>
      <c r="J702" s="95">
        <v>1</v>
      </c>
      <c r="K702" s="173">
        <f>VLOOKUP(G702,Прайс!$B:$E,4,0)</f>
        <v>326.13599999999997</v>
      </c>
      <c r="L702" s="167" t="s">
        <v>2207</v>
      </c>
      <c r="M702" s="172" t="s">
        <v>2207</v>
      </c>
      <c r="N702" s="173" t="s">
        <v>2207</v>
      </c>
      <c r="O702" s="134" t="e">
        <f>VLOOKUP($A702,'Выгр Кат'!$A:$S,O$1,0)</f>
        <v>#N/A</v>
      </c>
      <c r="P702" s="134" t="e">
        <f>VLOOKUP($A702,'Выгр Кат'!$A:$S,P$1,0)</f>
        <v>#N/A</v>
      </c>
      <c r="Q702" s="107" t="e">
        <f t="shared" si="338"/>
        <v>#N/A</v>
      </c>
      <c r="R702" s="107" t="e">
        <f t="shared" si="339"/>
        <v>#N/A</v>
      </c>
      <c r="S702" s="110" t="str">
        <f t="shared" si="340"/>
        <v/>
      </c>
      <c r="T702" s="135" t="str">
        <f t="shared" si="341"/>
        <v/>
      </c>
      <c r="U702" s="135" t="str">
        <f t="shared" si="342"/>
        <v/>
      </c>
      <c r="V702" s="135" t="str">
        <f t="shared" si="343"/>
        <v/>
      </c>
      <c r="W702" s="45"/>
      <c r="X702" s="114" t="e">
        <f>IFERROR((VLOOKUP($A702,'ИЗ ГУГЛА'!$B:$G,X$1,0)+Z702)*Y702,VLOOKUP($A702,'ИЗ ГУГЛА'!$B:$G,X$1,0))</f>
        <v>#N/A</v>
      </c>
      <c r="Y702" s="108">
        <v>1</v>
      </c>
      <c r="Z702" s="46"/>
      <c r="AA702" s="139" t="s">
        <v>2207</v>
      </c>
      <c r="AB702" s="124"/>
      <c r="AC702" s="114" t="e">
        <f>IFERROR((VLOOKUP($A702,'ИЗ ГУГЛА'!$B:$Z,AC$1,0)+AE702)*AD702,VLOOKUP($A702,'ИЗ ГУГЛА'!$B:$Z,AC$1,0))</f>
        <v>#N/A</v>
      </c>
      <c r="AD702" s="108">
        <v>1</v>
      </c>
      <c r="AE702" s="46"/>
      <c r="AF702" s="115"/>
    </row>
    <row r="703" spans="1:33" s="5" customFormat="1" x14ac:dyDescent="0.25">
      <c r="A703" s="132"/>
      <c r="B703" s="132" t="e">
        <f>VLOOKUP($A703,'Выгр Кат'!$A:$S,B$1,0)</f>
        <v>#N/A</v>
      </c>
      <c r="C703" s="133" t="e">
        <f>VLOOKUP($A703,'Выгр Кат'!$A:$S,C$1,0)</f>
        <v>#N/A</v>
      </c>
      <c r="D703" s="132" t="e">
        <f>VLOOKUP($A703,'Выгр Кат'!$A:$S,D$1,0)</f>
        <v>#N/A</v>
      </c>
      <c r="E703" s="132" t="e">
        <f>VLOOKUP($A703,'Выгр Кат'!$A:$S,E$1,0)</f>
        <v>#N/A</v>
      </c>
      <c r="F703" s="132" t="e">
        <f>VLOOKUP($A703,'Выгр Кат'!$A:$S,F$1,0)</f>
        <v>#N/A</v>
      </c>
      <c r="G703" s="32" t="s">
        <v>251</v>
      </c>
      <c r="H703" s="29"/>
      <c r="I703" s="4" t="s">
        <v>2</v>
      </c>
      <c r="J703" s="95">
        <v>1</v>
      </c>
      <c r="K703" s="173">
        <f>VLOOKUP(G703,Прайс!$B:$E,4,0)</f>
        <v>162.72</v>
      </c>
      <c r="L703" s="167" t="s">
        <v>2207</v>
      </c>
      <c r="M703" s="172" t="s">
        <v>2207</v>
      </c>
      <c r="N703" s="173" t="s">
        <v>2207</v>
      </c>
      <c r="O703" s="134" t="e">
        <f>VLOOKUP($A703,'Выгр Кат'!$A:$S,O$1,0)</f>
        <v>#N/A</v>
      </c>
      <c r="P703" s="134" t="e">
        <f>VLOOKUP($A703,'Выгр Кат'!$A:$S,P$1,0)</f>
        <v>#N/A</v>
      </c>
      <c r="Q703" s="107" t="e">
        <f t="shared" si="338"/>
        <v>#N/A</v>
      </c>
      <c r="R703" s="107" t="e">
        <f t="shared" si="339"/>
        <v>#N/A</v>
      </c>
      <c r="S703" s="110" t="str">
        <f t="shared" si="340"/>
        <v/>
      </c>
      <c r="T703" s="135" t="str">
        <f t="shared" si="341"/>
        <v/>
      </c>
      <c r="U703" s="135" t="str">
        <f t="shared" si="342"/>
        <v/>
      </c>
      <c r="V703" s="135" t="str">
        <f t="shared" si="343"/>
        <v/>
      </c>
      <c r="W703" s="45"/>
      <c r="X703" s="114" t="e">
        <f>IFERROR((VLOOKUP($A703,'ИЗ ГУГЛА'!$B:$G,X$1,0)+Z703)*Y703,VLOOKUP($A703,'ИЗ ГУГЛА'!$B:$G,X$1,0))</f>
        <v>#N/A</v>
      </c>
      <c r="Y703" s="108">
        <v>1</v>
      </c>
      <c r="Z703" s="46"/>
      <c r="AA703" s="139" t="s">
        <v>2207</v>
      </c>
      <c r="AB703" s="124"/>
      <c r="AC703" s="114" t="e">
        <f>IFERROR((VLOOKUP($A703,'ИЗ ГУГЛА'!$B:$Z,AC$1,0)+AE703)*AD703,VLOOKUP($A703,'ИЗ ГУГЛА'!$B:$Z,AC$1,0))</f>
        <v>#N/A</v>
      </c>
      <c r="AD703" s="108">
        <v>1</v>
      </c>
      <c r="AE703" s="46"/>
      <c r="AF703" s="115"/>
    </row>
    <row r="704" spans="1:33" s="5" customFormat="1" x14ac:dyDescent="0.25">
      <c r="A704" s="132"/>
      <c r="B704" s="132" t="e">
        <f>VLOOKUP($A704,'Выгр Кат'!$A:$S,B$1,0)</f>
        <v>#N/A</v>
      </c>
      <c r="C704" s="133" t="e">
        <f>VLOOKUP($A704,'Выгр Кат'!$A:$S,C$1,0)</f>
        <v>#N/A</v>
      </c>
      <c r="D704" s="132" t="e">
        <f>VLOOKUP($A704,'Выгр Кат'!$A:$S,D$1,0)</f>
        <v>#N/A</v>
      </c>
      <c r="E704" s="132" t="e">
        <f>VLOOKUP($A704,'Выгр Кат'!$A:$S,E$1,0)</f>
        <v>#N/A</v>
      </c>
      <c r="F704" s="132" t="e">
        <f>VLOOKUP($A704,'Выгр Кат'!$A:$S,F$1,0)</f>
        <v>#N/A</v>
      </c>
      <c r="G704" s="32" t="s">
        <v>249</v>
      </c>
      <c r="H704" s="29"/>
      <c r="I704" s="4" t="s">
        <v>2</v>
      </c>
      <c r="J704" s="95">
        <v>1</v>
      </c>
      <c r="K704" s="173">
        <f>VLOOKUP(G704,Прайс!$B:$E,4,0)</f>
        <v>256.596</v>
      </c>
      <c r="L704" s="167" t="s">
        <v>2207</v>
      </c>
      <c r="M704" s="172" t="s">
        <v>2207</v>
      </c>
      <c r="N704" s="173" t="s">
        <v>2207</v>
      </c>
      <c r="O704" s="134" t="e">
        <f>VLOOKUP($A704,'Выгр Кат'!$A:$S,O$1,0)</f>
        <v>#N/A</v>
      </c>
      <c r="P704" s="134" t="e">
        <f>VLOOKUP($A704,'Выгр Кат'!$A:$S,P$1,0)</f>
        <v>#N/A</v>
      </c>
      <c r="Q704" s="107" t="e">
        <f t="shared" si="338"/>
        <v>#N/A</v>
      </c>
      <c r="R704" s="107" t="e">
        <f t="shared" si="339"/>
        <v>#N/A</v>
      </c>
      <c r="S704" s="110" t="str">
        <f t="shared" si="340"/>
        <v/>
      </c>
      <c r="T704" s="135" t="str">
        <f t="shared" si="341"/>
        <v/>
      </c>
      <c r="U704" s="135" t="str">
        <f t="shared" si="342"/>
        <v/>
      </c>
      <c r="V704" s="135" t="str">
        <f t="shared" si="343"/>
        <v/>
      </c>
      <c r="W704" s="45"/>
      <c r="X704" s="114" t="e">
        <f>IFERROR((VLOOKUP($A704,'ИЗ ГУГЛА'!$B:$G,X$1,0)+Z704)*Y704,VLOOKUP($A704,'ИЗ ГУГЛА'!$B:$G,X$1,0))</f>
        <v>#N/A</v>
      </c>
      <c r="Y704" s="108">
        <v>1</v>
      </c>
      <c r="Z704" s="46"/>
      <c r="AA704" s="139" t="s">
        <v>2207</v>
      </c>
      <c r="AB704" s="124"/>
      <c r="AC704" s="114" t="e">
        <f>IFERROR((VLOOKUP($A704,'ИЗ ГУГЛА'!$B:$Z,AC$1,0)+AE704)*AD704,VLOOKUP($A704,'ИЗ ГУГЛА'!$B:$Z,AC$1,0))</f>
        <v>#N/A</v>
      </c>
      <c r="AD704" s="108">
        <v>1</v>
      </c>
      <c r="AE704" s="46"/>
      <c r="AF704" s="115"/>
    </row>
    <row r="705" spans="1:47" x14ac:dyDescent="0.25">
      <c r="A705" s="132"/>
      <c r="B705" s="132" t="e">
        <f>VLOOKUP($A705,'Выгр Кат'!$A:$S,B$1,0)</f>
        <v>#N/A</v>
      </c>
      <c r="C705" s="133" t="e">
        <f>VLOOKUP($A705,'Выгр Кат'!$A:$S,C$1,0)</f>
        <v>#N/A</v>
      </c>
      <c r="D705" s="132" t="e">
        <f>VLOOKUP($A705,'Выгр Кат'!$A:$S,D$1,0)</f>
        <v>#N/A</v>
      </c>
      <c r="E705" s="132" t="e">
        <f>VLOOKUP($A705,'Выгр Кат'!$A:$S,E$1,0)</f>
        <v>#N/A</v>
      </c>
      <c r="F705" s="132" t="e">
        <f>VLOOKUP($A705,'Выгр Кат'!$A:$S,F$1,0)</f>
        <v>#N/A</v>
      </c>
      <c r="G705" s="32" t="s">
        <v>300</v>
      </c>
      <c r="H705" s="29"/>
      <c r="I705" s="4" t="s">
        <v>2</v>
      </c>
      <c r="J705" s="95">
        <v>1</v>
      </c>
      <c r="K705" s="173">
        <f>VLOOKUP(G705,Прайс!$B:$E,4,0)</f>
        <v>55.92</v>
      </c>
      <c r="L705" s="167" t="s">
        <v>2207</v>
      </c>
      <c r="M705" s="172" t="s">
        <v>2207</v>
      </c>
      <c r="N705" s="173" t="s">
        <v>2207</v>
      </c>
      <c r="O705" s="134" t="e">
        <f>VLOOKUP($A705,'Выгр Кат'!$A:$S,O$1,0)</f>
        <v>#N/A</v>
      </c>
      <c r="P705" s="134" t="e">
        <f>VLOOKUP($A705,'Выгр Кат'!$A:$S,P$1,0)</f>
        <v>#N/A</v>
      </c>
      <c r="Q705" s="107" t="e">
        <f t="shared" si="338"/>
        <v>#N/A</v>
      </c>
      <c r="R705" s="107" t="e">
        <f t="shared" si="339"/>
        <v>#N/A</v>
      </c>
      <c r="S705" s="110" t="str">
        <f t="shared" si="340"/>
        <v/>
      </c>
      <c r="T705" s="135" t="str">
        <f t="shared" si="341"/>
        <v/>
      </c>
      <c r="U705" s="135" t="str">
        <f t="shared" si="342"/>
        <v/>
      </c>
      <c r="V705" s="135" t="str">
        <f t="shared" si="343"/>
        <v/>
      </c>
      <c r="W705" s="45"/>
      <c r="X705" s="114" t="e">
        <f>IFERROR((VLOOKUP($A705,'ИЗ ГУГЛА'!$B:$G,X$1,0)+Z705)*Y705,VLOOKUP($A705,'ИЗ ГУГЛА'!$B:$G,X$1,0))</f>
        <v>#N/A</v>
      </c>
      <c r="Y705" s="108">
        <v>1</v>
      </c>
      <c r="Z705" s="46"/>
      <c r="AA705" s="139" t="s">
        <v>2207</v>
      </c>
      <c r="AC705" s="114" t="e">
        <f>IFERROR((VLOOKUP($A705,'ИЗ ГУГЛА'!$B:$Z,AC$1,0)+AE705)*AD705,VLOOKUP($A705,'ИЗ ГУГЛА'!$B:$Z,AC$1,0))</f>
        <v>#N/A</v>
      </c>
      <c r="AD705" s="108">
        <v>1</v>
      </c>
      <c r="AE705" s="46"/>
      <c r="AF705" s="11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</row>
    <row r="706" spans="1:47" ht="45.75" thickBot="1" x14ac:dyDescent="0.3">
      <c r="A706" s="132">
        <v>186524</v>
      </c>
      <c r="B706" s="132">
        <f>VLOOKUP($A706,'Выгр Кат'!$A:$S,B$1,0)</f>
        <v>13108</v>
      </c>
      <c r="C706" s="133" t="str">
        <f>VLOOKUP($A706,'Выгр Кат'!$A:$S,C$1,0)</f>
        <v>Патрубки радиатора 21213 "БРТ" армированный каучук, чёрные для Лада Нива 4x4</v>
      </c>
      <c r="D706" s="132" t="str">
        <f>VLOOKUP($A706,'Выгр Кат'!$A:$S,D$1,0)</f>
        <v>Y</v>
      </c>
      <c r="E706" s="132" t="str">
        <f>VLOOKUP($A706,'Выгр Кат'!$A:$S,E$1,0)</f>
        <v>1</v>
      </c>
      <c r="F706" s="132" t="str">
        <f>VLOOKUP($A706,'Выгр Кат'!$A:$S,F$1,0)</f>
        <v>212131303010</v>
      </c>
      <c r="G706" s="30" t="s">
        <v>1514</v>
      </c>
      <c r="H706" s="29"/>
      <c r="I706" s="4" t="s">
        <v>2</v>
      </c>
      <c r="J706" s="95">
        <v>1</v>
      </c>
      <c r="K706" s="175">
        <f>SUM(K707:K710)</f>
        <v>835.60799999999995</v>
      </c>
      <c r="L706" s="167">
        <f>VLOOKUP(K706,Наценка!$A$1:$B$8,2,1)</f>
        <v>1.3978494623655915</v>
      </c>
      <c r="M706" s="172">
        <f>K706*L706</f>
        <v>1168.054193548387</v>
      </c>
      <c r="N706" s="173">
        <f>IF(M706&lt;=1000,(ROUNDUP(M706,-1)-1),(ROUNDUP(M706,-2)-10))</f>
        <v>1190</v>
      </c>
      <c r="O706" s="134">
        <f>VLOOKUP($A706,'Выгр Кат'!$A:$S,O$1,0)</f>
        <v>835.61</v>
      </c>
      <c r="P706" s="134">
        <f>VLOOKUP($A706,'Выгр Кат'!$A:$S,P$1,0)</f>
        <v>1190</v>
      </c>
      <c r="Q706" s="107">
        <f t="shared" si="338"/>
        <v>2.0000000000663931E-3</v>
      </c>
      <c r="R706" s="107">
        <f t="shared" si="339"/>
        <v>0</v>
      </c>
      <c r="S706" s="110">
        <f t="shared" si="340"/>
        <v>1106.6999999999998</v>
      </c>
      <c r="T706" s="135">
        <f t="shared" si="341"/>
        <v>0.32442484992963205</v>
      </c>
      <c r="U706" s="135">
        <f t="shared" si="342"/>
        <v>-0.30353356890459343</v>
      </c>
      <c r="V706" s="135">
        <f t="shared" si="343"/>
        <v>1.6026653646207478E-2</v>
      </c>
      <c r="W706" s="117">
        <f>AA706</f>
        <v>849</v>
      </c>
      <c r="X706" s="114">
        <f>IFERROR((VLOOKUP($A706,'ИЗ ГУГЛА'!$B:$G,X$1,0)+Z706)*Y706,VLOOKUP($A706,'ИЗ ГУГЛА'!$B:$G,X$1,0))</f>
        <v>849</v>
      </c>
      <c r="Y706" s="46">
        <v>1</v>
      </c>
      <c r="Z706" s="46"/>
      <c r="AA706" s="138">
        <v>849</v>
      </c>
      <c r="AB706" s="124" t="s">
        <v>2343</v>
      </c>
      <c r="AC706" s="114" t="str">
        <f>IFERROR((VLOOKUP($A706,'ИЗ ГУГЛА'!$B:$Z,AC$1,0)+AE706)*AD706,VLOOKUP($A706,'ИЗ ГУГЛА'!$B:$Z,AC$1,0))</f>
        <v/>
      </c>
      <c r="AD706" s="46">
        <v>1</v>
      </c>
      <c r="AE706" s="46"/>
      <c r="AF706" s="11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</row>
    <row r="707" spans="1:47" ht="15.75" thickTop="1" x14ac:dyDescent="0.25">
      <c r="A707" s="132"/>
      <c r="B707" s="132" t="e">
        <f>VLOOKUP($A707,'Выгр Кат'!$A:$S,B$1,0)</f>
        <v>#N/A</v>
      </c>
      <c r="C707" s="133" t="e">
        <f>VLOOKUP($A707,'Выгр Кат'!$A:$S,C$1,0)</f>
        <v>#N/A</v>
      </c>
      <c r="D707" s="132" t="e">
        <f>VLOOKUP($A707,'Выгр Кат'!$A:$S,D$1,0)</f>
        <v>#N/A</v>
      </c>
      <c r="E707" s="132" t="e">
        <f>VLOOKUP($A707,'Выгр Кат'!$A:$S,E$1,0)</f>
        <v>#N/A</v>
      </c>
      <c r="F707" s="132" t="e">
        <f>VLOOKUP($A707,'Выгр Кат'!$A:$S,F$1,0)</f>
        <v>#N/A</v>
      </c>
      <c r="G707" s="32" t="s">
        <v>464</v>
      </c>
      <c r="H707" s="29"/>
      <c r="I707" s="4" t="s">
        <v>2</v>
      </c>
      <c r="J707" s="95">
        <v>1</v>
      </c>
      <c r="K707" s="173">
        <f>VLOOKUP(G707,Прайс!$B:$E,4,0)</f>
        <v>431.11199999999997</v>
      </c>
      <c r="L707" s="167" t="s">
        <v>2207</v>
      </c>
      <c r="M707" s="172" t="s">
        <v>2207</v>
      </c>
      <c r="N707" s="173" t="s">
        <v>2207</v>
      </c>
      <c r="O707" s="134" t="e">
        <f>VLOOKUP($A707,'Выгр Кат'!$A:$S,O$1,0)</f>
        <v>#N/A</v>
      </c>
      <c r="P707" s="134" t="e">
        <f>VLOOKUP($A707,'Выгр Кат'!$A:$S,P$1,0)</f>
        <v>#N/A</v>
      </c>
      <c r="Q707" s="107" t="e">
        <f t="shared" si="338"/>
        <v>#N/A</v>
      </c>
      <c r="R707" s="107" t="e">
        <f t="shared" si="339"/>
        <v>#N/A</v>
      </c>
      <c r="S707" s="110" t="str">
        <f t="shared" si="340"/>
        <v/>
      </c>
      <c r="T707" s="135" t="str">
        <f t="shared" ref="T707:T718" si="375">IFERROR(S707/K707-1,"")</f>
        <v/>
      </c>
      <c r="U707" s="135" t="str">
        <f t="shared" ref="U707:U718" si="376">IFERROR((W707-S707)/W707,"")</f>
        <v/>
      </c>
      <c r="V707" s="135" t="str">
        <f t="shared" ref="V707:V718" si="377">IFERROR(IF(W707="","",W707/K707-1),"")</f>
        <v/>
      </c>
      <c r="W707" s="45"/>
      <c r="X707" s="114" t="e">
        <f>IFERROR((VLOOKUP($A707,'ИЗ ГУГЛА'!$B:$G,X$1,0)+Z707)*Y707,VLOOKUP($A707,'ИЗ ГУГЛА'!$B:$G,X$1,0))</f>
        <v>#N/A</v>
      </c>
      <c r="Y707" s="108">
        <v>1</v>
      </c>
      <c r="Z707" s="46"/>
      <c r="AA707" s="139" t="s">
        <v>2207</v>
      </c>
      <c r="AC707" s="114" t="e">
        <f>IFERROR((VLOOKUP($A707,'ИЗ ГУГЛА'!$B:$Z,AC$1,0)+AE707)*AD707,VLOOKUP($A707,'ИЗ ГУГЛА'!$B:$Z,AC$1,0))</f>
        <v>#N/A</v>
      </c>
      <c r="AD707" s="108">
        <v>1</v>
      </c>
      <c r="AE707" s="46"/>
      <c r="AF707" s="115"/>
      <c r="AG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</row>
    <row r="708" spans="1:47" x14ac:dyDescent="0.25">
      <c r="A708" s="132"/>
      <c r="B708" s="132" t="e">
        <f>VLOOKUP($A708,'Выгр Кат'!$A:$S,B$1,0)</f>
        <v>#N/A</v>
      </c>
      <c r="C708" s="133" t="e">
        <f>VLOOKUP($A708,'Выгр Кат'!$A:$S,C$1,0)</f>
        <v>#N/A</v>
      </c>
      <c r="D708" s="132" t="e">
        <f>VLOOKUP($A708,'Выгр Кат'!$A:$S,D$1,0)</f>
        <v>#N/A</v>
      </c>
      <c r="E708" s="132" t="e">
        <f>VLOOKUP($A708,'Выгр Кат'!$A:$S,E$1,0)</f>
        <v>#N/A</v>
      </c>
      <c r="F708" s="132" t="e">
        <f>VLOOKUP($A708,'Выгр Кат'!$A:$S,F$1,0)</f>
        <v>#N/A</v>
      </c>
      <c r="G708" s="32" t="s">
        <v>463</v>
      </c>
      <c r="H708" s="29"/>
      <c r="I708" s="4" t="s">
        <v>2</v>
      </c>
      <c r="J708" s="95">
        <v>1</v>
      </c>
      <c r="K708" s="173">
        <f>VLOOKUP(G708,Прайс!$B:$E,4,0)</f>
        <v>150.768</v>
      </c>
      <c r="L708" s="167" t="s">
        <v>2207</v>
      </c>
      <c r="M708" s="172" t="s">
        <v>2207</v>
      </c>
      <c r="N708" s="173" t="s">
        <v>2207</v>
      </c>
      <c r="O708" s="134" t="e">
        <f>VLOOKUP($A708,'Выгр Кат'!$A:$S,O$1,0)</f>
        <v>#N/A</v>
      </c>
      <c r="P708" s="134" t="e">
        <f>VLOOKUP($A708,'Выгр Кат'!$A:$S,P$1,0)</f>
        <v>#N/A</v>
      </c>
      <c r="Q708" s="107" t="e">
        <f t="shared" ref="Q708:Q718" si="378">O708-K708</f>
        <v>#N/A</v>
      </c>
      <c r="R708" s="107" t="e">
        <f t="shared" ref="R708:R718" si="379">P708-N708</f>
        <v>#N/A</v>
      </c>
      <c r="S708" s="110" t="str">
        <f t="shared" ref="S708:S718" si="380">IFERROR(N708*(1-$S$2),"")</f>
        <v/>
      </c>
      <c r="T708" s="135" t="str">
        <f t="shared" si="375"/>
        <v/>
      </c>
      <c r="U708" s="135" t="str">
        <f t="shared" si="376"/>
        <v/>
      </c>
      <c r="V708" s="135" t="str">
        <f t="shared" si="377"/>
        <v/>
      </c>
      <c r="W708" s="45"/>
      <c r="X708" s="114" t="e">
        <f>IFERROR((VLOOKUP($A708,'ИЗ ГУГЛА'!$B:$G,X$1,0)+Z708)*Y708,VLOOKUP($A708,'ИЗ ГУГЛА'!$B:$G,X$1,0))</f>
        <v>#N/A</v>
      </c>
      <c r="Y708" s="108">
        <v>1</v>
      </c>
      <c r="Z708" s="46"/>
      <c r="AA708" s="139" t="s">
        <v>2207</v>
      </c>
      <c r="AC708" s="114" t="e">
        <f>IFERROR((VLOOKUP($A708,'ИЗ ГУГЛА'!$B:$Z,AC$1,0)+AE708)*AD708,VLOOKUP($A708,'ИЗ ГУГЛА'!$B:$Z,AC$1,0))</f>
        <v>#N/A</v>
      </c>
      <c r="AD708" s="108">
        <v>1</v>
      </c>
      <c r="AE708" s="46"/>
      <c r="AF708" s="11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</row>
    <row r="709" spans="1:47" x14ac:dyDescent="0.25">
      <c r="A709" s="132"/>
      <c r="B709" s="132" t="e">
        <f>VLOOKUP($A709,'Выгр Кат'!$A:$S,B$1,0)</f>
        <v>#N/A</v>
      </c>
      <c r="C709" s="133" t="e">
        <f>VLOOKUP($A709,'Выгр Кат'!$A:$S,C$1,0)</f>
        <v>#N/A</v>
      </c>
      <c r="D709" s="132" t="e">
        <f>VLOOKUP($A709,'Выгр Кат'!$A:$S,D$1,0)</f>
        <v>#N/A</v>
      </c>
      <c r="E709" s="132" t="e">
        <f>VLOOKUP($A709,'Выгр Кат'!$A:$S,E$1,0)</f>
        <v>#N/A</v>
      </c>
      <c r="F709" s="132" t="e">
        <f>VLOOKUP($A709,'Выгр Кат'!$A:$S,F$1,0)</f>
        <v>#N/A</v>
      </c>
      <c r="G709" s="32" t="s">
        <v>465</v>
      </c>
      <c r="H709" s="29"/>
      <c r="I709" s="4" t="s">
        <v>2</v>
      </c>
      <c r="J709" s="95">
        <v>1</v>
      </c>
      <c r="K709" s="173">
        <f>VLOOKUP(G709,Прайс!$B:$E,4,0)</f>
        <v>113.06399999999999</v>
      </c>
      <c r="L709" s="167" t="s">
        <v>2207</v>
      </c>
      <c r="M709" s="172" t="s">
        <v>2207</v>
      </c>
      <c r="N709" s="173" t="s">
        <v>2207</v>
      </c>
      <c r="O709" s="134" t="e">
        <f>VLOOKUP($A709,'Выгр Кат'!$A:$S,O$1,0)</f>
        <v>#N/A</v>
      </c>
      <c r="P709" s="134" t="e">
        <f>VLOOKUP($A709,'Выгр Кат'!$A:$S,P$1,0)</f>
        <v>#N/A</v>
      </c>
      <c r="Q709" s="107" t="e">
        <f t="shared" si="378"/>
        <v>#N/A</v>
      </c>
      <c r="R709" s="107" t="e">
        <f t="shared" si="379"/>
        <v>#N/A</v>
      </c>
      <c r="S709" s="110" t="str">
        <f t="shared" si="380"/>
        <v/>
      </c>
      <c r="T709" s="135" t="str">
        <f t="shared" si="375"/>
        <v/>
      </c>
      <c r="U709" s="135" t="str">
        <f t="shared" si="376"/>
        <v/>
      </c>
      <c r="V709" s="135" t="str">
        <f t="shared" si="377"/>
        <v/>
      </c>
      <c r="W709" s="45"/>
      <c r="X709" s="114" t="e">
        <f>IFERROR((VLOOKUP($A709,'ИЗ ГУГЛА'!$B:$G,X$1,0)+Z709)*Y709,VLOOKUP($A709,'ИЗ ГУГЛА'!$B:$G,X$1,0))</f>
        <v>#N/A</v>
      </c>
      <c r="Y709" s="108">
        <v>1</v>
      </c>
      <c r="Z709" s="46"/>
      <c r="AA709" s="139" t="s">
        <v>2207</v>
      </c>
      <c r="AC709" s="114" t="e">
        <f>IFERROR((VLOOKUP($A709,'ИЗ ГУГЛА'!$B:$Z,AC$1,0)+AE709)*AD709,VLOOKUP($A709,'ИЗ ГУГЛА'!$B:$Z,AC$1,0))</f>
        <v>#N/A</v>
      </c>
      <c r="AD709" s="108">
        <v>1</v>
      </c>
      <c r="AE709" s="46"/>
      <c r="AF709" s="11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</row>
    <row r="710" spans="1:47" x14ac:dyDescent="0.25">
      <c r="A710" s="132"/>
      <c r="B710" s="132" t="e">
        <f>VLOOKUP($A710,'Выгр Кат'!$A:$S,B$1,0)</f>
        <v>#N/A</v>
      </c>
      <c r="C710" s="133" t="e">
        <f>VLOOKUP($A710,'Выгр Кат'!$A:$S,C$1,0)</f>
        <v>#N/A</v>
      </c>
      <c r="D710" s="132" t="e">
        <f>VLOOKUP($A710,'Выгр Кат'!$A:$S,D$1,0)</f>
        <v>#N/A</v>
      </c>
      <c r="E710" s="132" t="e">
        <f>VLOOKUP($A710,'Выгр Кат'!$A:$S,E$1,0)</f>
        <v>#N/A</v>
      </c>
      <c r="F710" s="132" t="e">
        <f>VLOOKUP($A710,'Выгр Кат'!$A:$S,F$1,0)</f>
        <v>#N/A</v>
      </c>
      <c r="G710" s="32" t="s">
        <v>466</v>
      </c>
      <c r="H710" s="29"/>
      <c r="I710" s="4" t="s">
        <v>2</v>
      </c>
      <c r="J710" s="95">
        <v>1</v>
      </c>
      <c r="K710" s="173">
        <f>VLOOKUP(G710,Прайс!$B:$E,4,0)</f>
        <v>140.66399999999999</v>
      </c>
      <c r="L710" s="167" t="s">
        <v>2207</v>
      </c>
      <c r="M710" s="172" t="s">
        <v>2207</v>
      </c>
      <c r="N710" s="173" t="s">
        <v>2207</v>
      </c>
      <c r="O710" s="134" t="e">
        <f>VLOOKUP($A710,'Выгр Кат'!$A:$S,O$1,0)</f>
        <v>#N/A</v>
      </c>
      <c r="P710" s="134" t="e">
        <f>VLOOKUP($A710,'Выгр Кат'!$A:$S,P$1,0)</f>
        <v>#N/A</v>
      </c>
      <c r="Q710" s="107" t="e">
        <f t="shared" si="378"/>
        <v>#N/A</v>
      </c>
      <c r="R710" s="107" t="e">
        <f t="shared" si="379"/>
        <v>#N/A</v>
      </c>
      <c r="S710" s="110" t="str">
        <f t="shared" si="380"/>
        <v/>
      </c>
      <c r="T710" s="135" t="str">
        <f t="shared" si="375"/>
        <v/>
      </c>
      <c r="U710" s="135" t="str">
        <f t="shared" si="376"/>
        <v/>
      </c>
      <c r="V710" s="135" t="str">
        <f t="shared" si="377"/>
        <v/>
      </c>
      <c r="W710" s="45"/>
      <c r="X710" s="114" t="e">
        <f>IFERROR((VLOOKUP($A710,'ИЗ ГУГЛА'!$B:$G,X$1,0)+Z710)*Y710,VLOOKUP($A710,'ИЗ ГУГЛА'!$B:$G,X$1,0))</f>
        <v>#N/A</v>
      </c>
      <c r="Y710" s="108">
        <v>1</v>
      </c>
      <c r="Z710" s="46"/>
      <c r="AA710" s="139" t="s">
        <v>2207</v>
      </c>
      <c r="AC710" s="114" t="e">
        <f>IFERROR((VLOOKUP($A710,'ИЗ ГУГЛА'!$B:$Z,AC$1,0)+AE710)*AD710,VLOOKUP($A710,'ИЗ ГУГЛА'!$B:$Z,AC$1,0))</f>
        <v>#N/A</v>
      </c>
      <c r="AD710" s="108">
        <v>1</v>
      </c>
      <c r="AE710" s="46"/>
      <c r="AF710" s="115"/>
      <c r="AG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</row>
    <row r="711" spans="1:47" ht="30" x14ac:dyDescent="0.25">
      <c r="A711" s="132">
        <v>186533</v>
      </c>
      <c r="B711" s="132">
        <f>VLOOKUP($A711,'Выгр Кат'!$A:$S,B$1,0)</f>
        <v>13102</v>
      </c>
      <c r="C711" s="133" t="str">
        <f>VLOOKUP($A711,'Выгр Кат'!$A:$S,C$1,0)</f>
        <v>Патрубки системы охлаждения "БРТ" для ВАЗ 2110-2112</v>
      </c>
      <c r="D711" s="132" t="str">
        <f>VLOOKUP($A711,'Выгр Кат'!$A:$S,D$1,0)</f>
        <v>Y</v>
      </c>
      <c r="E711" s="132" t="str">
        <f>VLOOKUP($A711,'Выгр Кат'!$A:$S,E$1,0)</f>
        <v>1</v>
      </c>
      <c r="F711" s="132" t="str">
        <f>VLOOKUP($A711,'Выгр Кат'!$A:$S,F$1,0)</f>
        <v>2110-1303025, 2110-1303010, 2110-1303093</v>
      </c>
      <c r="G711" s="30" t="s">
        <v>1514</v>
      </c>
      <c r="H711" s="29"/>
      <c r="I711" s="4" t="s">
        <v>2</v>
      </c>
      <c r="J711" s="95">
        <v>1</v>
      </c>
      <c r="K711" s="175">
        <f>SUM(K712:K714)</f>
        <v>831.99599999999998</v>
      </c>
      <c r="L711" s="167">
        <f>VLOOKUP(K711,Наценка!$A$1:$B$8,2,1)</f>
        <v>1.3978494623655915</v>
      </c>
      <c r="M711" s="172">
        <f>K711*L711</f>
        <v>1163.0051612903226</v>
      </c>
      <c r="N711" s="173">
        <f>IF(M711&lt;=1000,(ROUNDUP(M711,-1)-1),(ROUNDUP(M711,-2)-10))</f>
        <v>1190</v>
      </c>
      <c r="O711" s="134">
        <f>VLOOKUP($A711,'Выгр Кат'!$A:$S,O$1,0)</f>
        <v>832</v>
      </c>
      <c r="P711" s="134">
        <f>VLOOKUP($A711,'Выгр Кат'!$A:$S,P$1,0)</f>
        <v>1190</v>
      </c>
      <c r="Q711" s="107">
        <f t="shared" si="378"/>
        <v>4.0000000000190994E-3</v>
      </c>
      <c r="R711" s="107">
        <f t="shared" si="379"/>
        <v>0</v>
      </c>
      <c r="S711" s="110">
        <f t="shared" si="380"/>
        <v>1106.6999999999998</v>
      </c>
      <c r="T711" s="135">
        <f t="shared" si="375"/>
        <v>0.3301746643012704</v>
      </c>
      <c r="U711" s="135" t="str">
        <f t="shared" si="376"/>
        <v/>
      </c>
      <c r="V711" s="135" t="str">
        <f t="shared" si="377"/>
        <v/>
      </c>
      <c r="W711" s="45"/>
      <c r="X711" s="114" t="str">
        <f>IFERROR((VLOOKUP($A711,'ИЗ ГУГЛА'!$B:$G,X$1,0)+Z711)*Y711,VLOOKUP($A711,'ИЗ ГУГЛА'!$B:$G,X$1,0))</f>
        <v/>
      </c>
      <c r="Y711" s="108">
        <v>1</v>
      </c>
      <c r="Z711" s="46"/>
      <c r="AA711" s="139" t="s">
        <v>1821</v>
      </c>
      <c r="AC711" s="114" t="str">
        <f>IFERROR((VLOOKUP($A711,'ИЗ ГУГЛА'!$B:$Z,AC$1,0)+AE711)*AD711,VLOOKUP($A711,'ИЗ ГУГЛА'!$B:$Z,AC$1,0))</f>
        <v/>
      </c>
      <c r="AD711" s="108">
        <v>1</v>
      </c>
      <c r="AE711" s="46"/>
      <c r="AF711" s="115"/>
      <c r="AG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</row>
    <row r="712" spans="1:47" x14ac:dyDescent="0.25">
      <c r="A712" s="132"/>
      <c r="B712" s="132" t="e">
        <f>VLOOKUP($A712,'Выгр Кат'!$A:$S,B$1,0)</f>
        <v>#N/A</v>
      </c>
      <c r="C712" s="133" t="e">
        <f>VLOOKUP($A712,'Выгр Кат'!$A:$S,C$1,0)</f>
        <v>#N/A</v>
      </c>
      <c r="D712" s="132" t="e">
        <f>VLOOKUP($A712,'Выгр Кат'!$A:$S,D$1,0)</f>
        <v>#N/A</v>
      </c>
      <c r="E712" s="132" t="e">
        <f>VLOOKUP($A712,'Выгр Кат'!$A:$S,E$1,0)</f>
        <v>#N/A</v>
      </c>
      <c r="F712" s="132" t="e">
        <f>VLOOKUP($A712,'Выгр Кат'!$A:$S,F$1,0)</f>
        <v>#N/A</v>
      </c>
      <c r="G712" s="30" t="s">
        <v>389</v>
      </c>
      <c r="H712" s="29"/>
      <c r="I712" s="4" t="s">
        <v>2</v>
      </c>
      <c r="J712" s="95">
        <v>1</v>
      </c>
      <c r="K712" s="173">
        <f>VLOOKUP(G712,Прайс!$B:$E,4,0)</f>
        <v>360.22800000000001</v>
      </c>
      <c r="L712" s="167" t="s">
        <v>2207</v>
      </c>
      <c r="M712" s="172" t="s">
        <v>2207</v>
      </c>
      <c r="N712" s="173" t="s">
        <v>2207</v>
      </c>
      <c r="O712" s="134" t="e">
        <f>VLOOKUP($A712,'Выгр Кат'!$A:$S,O$1,0)</f>
        <v>#N/A</v>
      </c>
      <c r="P712" s="134" t="e">
        <f>VLOOKUP($A712,'Выгр Кат'!$A:$S,P$1,0)</f>
        <v>#N/A</v>
      </c>
      <c r="Q712" s="107" t="e">
        <f t="shared" si="378"/>
        <v>#N/A</v>
      </c>
      <c r="R712" s="107" t="e">
        <f t="shared" si="379"/>
        <v>#N/A</v>
      </c>
      <c r="S712" s="110" t="str">
        <f t="shared" si="380"/>
        <v/>
      </c>
      <c r="T712" s="135" t="str">
        <f t="shared" si="375"/>
        <v/>
      </c>
      <c r="U712" s="135" t="str">
        <f t="shared" si="376"/>
        <v/>
      </c>
      <c r="V712" s="135" t="str">
        <f t="shared" si="377"/>
        <v/>
      </c>
      <c r="W712" s="45"/>
      <c r="X712" s="114" t="e">
        <f>IFERROR((VLOOKUP($A712,'ИЗ ГУГЛА'!$B:$G,X$1,0)+Z712)*Y712,VLOOKUP($A712,'ИЗ ГУГЛА'!$B:$G,X$1,0))</f>
        <v>#N/A</v>
      </c>
      <c r="Y712" s="108">
        <v>1</v>
      </c>
      <c r="Z712" s="46"/>
      <c r="AA712" s="139" t="s">
        <v>2207</v>
      </c>
      <c r="AC712" s="114" t="e">
        <f>IFERROR((VLOOKUP($A712,'ИЗ ГУГЛА'!$B:$Z,AC$1,0)+AE712)*AD712,VLOOKUP($A712,'ИЗ ГУГЛА'!$B:$Z,AC$1,0))</f>
        <v>#N/A</v>
      </c>
      <c r="AD712" s="108">
        <v>1</v>
      </c>
      <c r="AE712" s="46"/>
      <c r="AF712" s="11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</row>
    <row r="713" spans="1:47" x14ac:dyDescent="0.25">
      <c r="A713" s="132"/>
      <c r="B713" s="132" t="e">
        <f>VLOOKUP($A713,'Выгр Кат'!$A:$S,B$1,0)</f>
        <v>#N/A</v>
      </c>
      <c r="C713" s="133" t="e">
        <f>VLOOKUP($A713,'Выгр Кат'!$A:$S,C$1,0)</f>
        <v>#N/A</v>
      </c>
      <c r="D713" s="132" t="e">
        <f>VLOOKUP($A713,'Выгр Кат'!$A:$S,D$1,0)</f>
        <v>#N/A</v>
      </c>
      <c r="E713" s="132" t="e">
        <f>VLOOKUP($A713,'Выгр Кат'!$A:$S,E$1,0)</f>
        <v>#N/A</v>
      </c>
      <c r="F713" s="132" t="e">
        <f>VLOOKUP($A713,'Выгр Кат'!$A:$S,F$1,0)</f>
        <v>#N/A</v>
      </c>
      <c r="G713" s="30" t="s">
        <v>388</v>
      </c>
      <c r="H713" s="29"/>
      <c r="I713" s="4" t="s">
        <v>2</v>
      </c>
      <c r="J713" s="95">
        <v>1</v>
      </c>
      <c r="K713" s="173">
        <f>VLOOKUP(G713,Прайс!$B:$E,4,0)</f>
        <v>360.21600000000001</v>
      </c>
      <c r="L713" s="167" t="s">
        <v>2207</v>
      </c>
      <c r="M713" s="172" t="s">
        <v>2207</v>
      </c>
      <c r="N713" s="173" t="s">
        <v>2207</v>
      </c>
      <c r="O713" s="134" t="e">
        <f>VLOOKUP($A713,'Выгр Кат'!$A:$S,O$1,0)</f>
        <v>#N/A</v>
      </c>
      <c r="P713" s="134" t="e">
        <f>VLOOKUP($A713,'Выгр Кат'!$A:$S,P$1,0)</f>
        <v>#N/A</v>
      </c>
      <c r="Q713" s="107" t="e">
        <f t="shared" si="378"/>
        <v>#N/A</v>
      </c>
      <c r="R713" s="107" t="e">
        <f t="shared" si="379"/>
        <v>#N/A</v>
      </c>
      <c r="S713" s="110" t="str">
        <f t="shared" si="380"/>
        <v/>
      </c>
      <c r="T713" s="135" t="str">
        <f t="shared" si="375"/>
        <v/>
      </c>
      <c r="U713" s="135" t="str">
        <f t="shared" si="376"/>
        <v/>
      </c>
      <c r="V713" s="135" t="str">
        <f t="shared" si="377"/>
        <v/>
      </c>
      <c r="W713" s="45"/>
      <c r="X713" s="114" t="e">
        <f>IFERROR((VLOOKUP($A713,'ИЗ ГУГЛА'!$B:$G,X$1,0)+Z713)*Y713,VLOOKUP($A713,'ИЗ ГУГЛА'!$B:$G,X$1,0))</f>
        <v>#N/A</v>
      </c>
      <c r="Y713" s="108">
        <v>1</v>
      </c>
      <c r="Z713" s="46"/>
      <c r="AA713" s="139">
        <v>390</v>
      </c>
      <c r="AB713" s="124" t="s">
        <v>2599</v>
      </c>
      <c r="AC713" s="114" t="e">
        <f>IFERROR((VLOOKUP($A713,'ИЗ ГУГЛА'!$B:$Z,AC$1,0)+AE713)*AD713,VLOOKUP($A713,'ИЗ ГУГЛА'!$B:$Z,AC$1,0))</f>
        <v>#N/A</v>
      </c>
      <c r="AD713" s="108">
        <v>1</v>
      </c>
      <c r="AE713" s="46"/>
      <c r="AF713" s="11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</row>
    <row r="714" spans="1:47" x14ac:dyDescent="0.25">
      <c r="A714" s="132"/>
      <c r="B714" s="132" t="e">
        <f>VLOOKUP($A714,'Выгр Кат'!$A:$S,B$1,0)</f>
        <v>#N/A</v>
      </c>
      <c r="C714" s="133" t="e">
        <f>VLOOKUP($A714,'Выгр Кат'!$A:$S,C$1,0)</f>
        <v>#N/A</v>
      </c>
      <c r="D714" s="132" t="e">
        <f>VLOOKUP($A714,'Выгр Кат'!$A:$S,D$1,0)</f>
        <v>#N/A</v>
      </c>
      <c r="E714" s="132" t="e">
        <f>VLOOKUP($A714,'Выгр Кат'!$A:$S,E$1,0)</f>
        <v>#N/A</v>
      </c>
      <c r="F714" s="132" t="e">
        <f>VLOOKUP($A714,'Выгр Кат'!$A:$S,F$1,0)</f>
        <v>#N/A</v>
      </c>
      <c r="G714" s="37" t="s">
        <v>376</v>
      </c>
      <c r="H714" s="29"/>
      <c r="I714" s="4" t="s">
        <v>2</v>
      </c>
      <c r="J714" s="95">
        <v>1</v>
      </c>
      <c r="K714" s="173">
        <f>VLOOKUP(G714,Прайс!$B:$E,4,0)</f>
        <v>111.55199999999999</v>
      </c>
      <c r="L714" s="167" t="s">
        <v>2207</v>
      </c>
      <c r="M714" s="172" t="s">
        <v>2207</v>
      </c>
      <c r="N714" s="173" t="s">
        <v>2207</v>
      </c>
      <c r="O714" s="134" t="e">
        <f>VLOOKUP($A714,'Выгр Кат'!$A:$S,O$1,0)</f>
        <v>#N/A</v>
      </c>
      <c r="P714" s="134" t="e">
        <f>VLOOKUP($A714,'Выгр Кат'!$A:$S,P$1,0)</f>
        <v>#N/A</v>
      </c>
      <c r="Q714" s="107" t="e">
        <f t="shared" si="378"/>
        <v>#N/A</v>
      </c>
      <c r="R714" s="107" t="e">
        <f t="shared" si="379"/>
        <v>#N/A</v>
      </c>
      <c r="S714" s="110" t="str">
        <f t="shared" si="380"/>
        <v/>
      </c>
      <c r="T714" s="135" t="str">
        <f t="shared" si="375"/>
        <v/>
      </c>
      <c r="U714" s="135" t="str">
        <f t="shared" si="376"/>
        <v/>
      </c>
      <c r="V714" s="135" t="str">
        <f t="shared" si="377"/>
        <v/>
      </c>
      <c r="W714" s="45"/>
      <c r="X714" s="114" t="e">
        <f>IFERROR((VLOOKUP($A714,'ИЗ ГУГЛА'!$B:$G,X$1,0)+Z714)*Y714,VLOOKUP($A714,'ИЗ ГУГЛА'!$B:$G,X$1,0))</f>
        <v>#N/A</v>
      </c>
      <c r="Y714" s="108">
        <v>1</v>
      </c>
      <c r="Z714" s="46"/>
      <c r="AA714" s="139">
        <v>290</v>
      </c>
      <c r="AB714" s="124" t="s">
        <v>2822</v>
      </c>
      <c r="AC714" s="114" t="e">
        <f>IFERROR((VLOOKUP($A714,'ИЗ ГУГЛА'!$B:$Z,AC$1,0)+AE714)*AD714,VLOOKUP($A714,'ИЗ ГУГЛА'!$B:$Z,AC$1,0))</f>
        <v>#N/A</v>
      </c>
      <c r="AD714" s="108">
        <v>1</v>
      </c>
      <c r="AE714" s="46"/>
      <c r="AF714" s="11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</row>
    <row r="715" spans="1:47" ht="30.75" thickBot="1" x14ac:dyDescent="0.3">
      <c r="A715" s="132">
        <v>158348</v>
      </c>
      <c r="B715" s="132">
        <f>VLOOKUP($A715,'Выгр Кат'!$A:$S,B$1,0)</f>
        <v>17822</v>
      </c>
      <c r="C715" s="133" t="str">
        <f>VLOOKUP($A715,'Выгр Кат'!$A:$S,C$1,0)</f>
        <v>Комплект бархоток стекол Нива 4x4 Урбан н/о</v>
      </c>
      <c r="D715" s="132" t="str">
        <f>VLOOKUP($A715,'Выгр Кат'!$A:$S,D$1,0)</f>
        <v>Y</v>
      </c>
      <c r="E715" s="132" t="str">
        <f>VLOOKUP($A715,'Выгр Кат'!$A:$S,E$1,0)</f>
        <v>1</v>
      </c>
      <c r="F715" s="132">
        <f>VLOOKUP($A715,'Выгр Кат'!$A:$S,F$1,0)</f>
        <v>0</v>
      </c>
      <c r="G715" s="30" t="s">
        <v>1514</v>
      </c>
      <c r="H715" s="29"/>
      <c r="I715" s="4" t="s">
        <v>2</v>
      </c>
      <c r="J715" s="95">
        <v>1</v>
      </c>
      <c r="K715" s="168">
        <f>O715</f>
        <v>2510</v>
      </c>
      <c r="L715" s="167">
        <f>VLOOKUP(K715,Наценка!$A$1:$B$8,2,1)</f>
        <v>1.2903225806451613</v>
      </c>
      <c r="M715" s="148">
        <f>W715*1.06</f>
        <v>3699.4</v>
      </c>
      <c r="N715" s="173">
        <f>IF(M715&lt;=1000,(ROUNDUP(M715,-1)-1),(ROUNDUP(M715,-2)-10))</f>
        <v>3690</v>
      </c>
      <c r="O715" s="134">
        <f>VLOOKUP($A715,'Выгр Кат'!$A:$S,O$1,0)</f>
        <v>2510</v>
      </c>
      <c r="P715" s="134">
        <f>VLOOKUP($A715,'Выгр Кат'!$A:$S,P$1,0)</f>
        <v>3690</v>
      </c>
      <c r="Q715" s="107">
        <f t="shared" si="378"/>
        <v>0</v>
      </c>
      <c r="R715" s="107">
        <f t="shared" si="379"/>
        <v>0</v>
      </c>
      <c r="S715" s="110">
        <f t="shared" si="380"/>
        <v>3431.7</v>
      </c>
      <c r="T715" s="135">
        <f t="shared" si="375"/>
        <v>0.36721115537848603</v>
      </c>
      <c r="U715" s="135">
        <f t="shared" si="376"/>
        <v>1.6704871060171971E-2</v>
      </c>
      <c r="V715" s="135">
        <f t="shared" si="377"/>
        <v>0.39043824701195229</v>
      </c>
      <c r="W715" s="117">
        <f>AA715</f>
        <v>3490</v>
      </c>
      <c r="X715" s="114">
        <f>IFERROR((VLOOKUP($A715,'ИЗ ГУГЛА'!$B:$G,X$1,0)+Z715)*Y715,VLOOKUP($A715,'ИЗ ГУГЛА'!$B:$G,X$1,0))</f>
        <v>3490</v>
      </c>
      <c r="Y715" s="46">
        <v>1</v>
      </c>
      <c r="Z715" s="46"/>
      <c r="AA715" s="138">
        <v>3490</v>
      </c>
      <c r="AB715" s="124" t="s">
        <v>2327</v>
      </c>
      <c r="AC715" s="114" t="str">
        <f>IFERROR((VLOOKUP($A715,'ИЗ ГУГЛА'!$B:$Z,AC$1,0)+AE715)*AD715,VLOOKUP($A715,'ИЗ ГУГЛА'!$B:$Z,AC$1,0))</f>
        <v/>
      </c>
      <c r="AD715" s="46">
        <v>1</v>
      </c>
      <c r="AE715" s="46"/>
      <c r="AF715" s="11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</row>
    <row r="716" spans="1:47" ht="15.75" thickTop="1" x14ac:dyDescent="0.25">
      <c r="A716" s="132"/>
      <c r="B716" s="132" t="e">
        <f>VLOOKUP($A716,'Выгр Кат'!$A:$S,B$1,0)</f>
        <v>#N/A</v>
      </c>
      <c r="C716" s="133" t="e">
        <f>VLOOKUP($A716,'Выгр Кат'!$A:$S,C$1,0)</f>
        <v>#N/A</v>
      </c>
      <c r="D716" s="132" t="e">
        <f>VLOOKUP($A716,'Выгр Кат'!$A:$S,D$1,0)</f>
        <v>#N/A</v>
      </c>
      <c r="E716" s="132" t="e">
        <f>VLOOKUP($A716,'Выгр Кат'!$A:$S,E$1,0)</f>
        <v>#N/A</v>
      </c>
      <c r="F716" s="132" t="e">
        <f>VLOOKUP($A716,'Выгр Кат'!$A:$S,F$1,0)</f>
        <v>#N/A</v>
      </c>
      <c r="G716" s="38" t="s">
        <v>1248</v>
      </c>
      <c r="H716" s="29"/>
      <c r="I716" s="4" t="s">
        <v>2</v>
      </c>
      <c r="J716" s="95">
        <v>1</v>
      </c>
      <c r="K716" s="173">
        <f>VLOOKUP(G716,Прайс!$B:$E,4,0)</f>
        <v>341.13599999999997</v>
      </c>
      <c r="L716" s="167" t="s">
        <v>2207</v>
      </c>
      <c r="M716" s="172" t="s">
        <v>2207</v>
      </c>
      <c r="N716" s="173" t="s">
        <v>2207</v>
      </c>
      <c r="O716" s="134" t="e">
        <f>VLOOKUP($A716,'Выгр Кат'!$A:$S,O$1,0)</f>
        <v>#N/A</v>
      </c>
      <c r="P716" s="134" t="e">
        <f>VLOOKUP($A716,'Выгр Кат'!$A:$S,P$1,0)</f>
        <v>#N/A</v>
      </c>
      <c r="Q716" s="107" t="e">
        <f t="shared" si="378"/>
        <v>#N/A</v>
      </c>
      <c r="R716" s="107" t="e">
        <f t="shared" si="379"/>
        <v>#N/A</v>
      </c>
      <c r="S716" s="110" t="str">
        <f t="shared" si="380"/>
        <v/>
      </c>
      <c r="T716" s="135" t="str">
        <f t="shared" si="375"/>
        <v/>
      </c>
      <c r="U716" s="135" t="str">
        <f t="shared" si="376"/>
        <v/>
      </c>
      <c r="V716" s="135" t="str">
        <f t="shared" si="377"/>
        <v/>
      </c>
      <c r="W716" s="45"/>
      <c r="X716" s="114" t="e">
        <f>IFERROR((VLOOKUP($A716,'ИЗ ГУГЛА'!$B:$G,X$1,0)+Z716)*Y716,VLOOKUP($A716,'ИЗ ГУГЛА'!$B:$G,X$1,0))</f>
        <v>#N/A</v>
      </c>
      <c r="Y716" s="108">
        <v>1</v>
      </c>
      <c r="Z716" s="46"/>
      <c r="AA716" s="139" t="s">
        <v>2207</v>
      </c>
      <c r="AC716" s="114" t="e">
        <f>IFERROR((VLOOKUP($A716,'ИЗ ГУГЛА'!$B:$Z,AC$1,0)+AE716)*AD716,VLOOKUP($A716,'ИЗ ГУГЛА'!$B:$Z,AC$1,0))</f>
        <v>#N/A</v>
      </c>
      <c r="AD716" s="108">
        <v>1</v>
      </c>
      <c r="AE716" s="46"/>
      <c r="AF716" s="11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</row>
    <row r="717" spans="1:47" x14ac:dyDescent="0.25">
      <c r="A717" s="132"/>
      <c r="B717" s="132" t="e">
        <f>VLOOKUP($A717,'Выгр Кат'!$A:$S,B$1,0)</f>
        <v>#N/A</v>
      </c>
      <c r="C717" s="133" t="e">
        <f>VLOOKUP($A717,'Выгр Кат'!$A:$S,C$1,0)</f>
        <v>#N/A</v>
      </c>
      <c r="D717" s="132" t="e">
        <f>VLOOKUP($A717,'Выгр Кат'!$A:$S,D$1,0)</f>
        <v>#N/A</v>
      </c>
      <c r="E717" s="132" t="e">
        <f>VLOOKUP($A717,'Выгр Кат'!$A:$S,E$1,0)</f>
        <v>#N/A</v>
      </c>
      <c r="F717" s="132" t="e">
        <f>VLOOKUP($A717,'Выгр Кат'!$A:$S,F$1,0)</f>
        <v>#N/A</v>
      </c>
      <c r="G717" s="38" t="s">
        <v>1250</v>
      </c>
      <c r="H717" s="29"/>
      <c r="I717" s="4" t="s">
        <v>2</v>
      </c>
      <c r="J717" s="95">
        <v>1</v>
      </c>
      <c r="K717" s="173">
        <f>VLOOKUP(G717,Прайс!$B:$E,4,0)</f>
        <v>339.31199999999995</v>
      </c>
      <c r="L717" s="167" t="s">
        <v>2207</v>
      </c>
      <c r="M717" s="172" t="s">
        <v>2207</v>
      </c>
      <c r="N717" s="173" t="s">
        <v>2207</v>
      </c>
      <c r="O717" s="134" t="e">
        <f>VLOOKUP($A717,'Выгр Кат'!$A:$S,O$1,0)</f>
        <v>#N/A</v>
      </c>
      <c r="P717" s="134" t="e">
        <f>VLOOKUP($A717,'Выгр Кат'!$A:$S,P$1,0)</f>
        <v>#N/A</v>
      </c>
      <c r="Q717" s="107" t="e">
        <f t="shared" si="378"/>
        <v>#N/A</v>
      </c>
      <c r="R717" s="107" t="e">
        <f t="shared" si="379"/>
        <v>#N/A</v>
      </c>
      <c r="S717" s="110" t="str">
        <f t="shared" si="380"/>
        <v/>
      </c>
      <c r="T717" s="135" t="str">
        <f t="shared" si="375"/>
        <v/>
      </c>
      <c r="U717" s="135" t="str">
        <f t="shared" si="376"/>
        <v/>
      </c>
      <c r="V717" s="135" t="str">
        <f t="shared" si="377"/>
        <v/>
      </c>
      <c r="W717" s="45"/>
      <c r="X717" s="114" t="e">
        <f>IFERROR((VLOOKUP($A717,'ИЗ ГУГЛА'!$B:$G,X$1,0)+Z717)*Y717,VLOOKUP($A717,'ИЗ ГУГЛА'!$B:$G,X$1,0))</f>
        <v>#N/A</v>
      </c>
      <c r="Y717" s="108">
        <v>1</v>
      </c>
      <c r="Z717" s="46"/>
      <c r="AA717" s="139" t="s">
        <v>2207</v>
      </c>
      <c r="AC717" s="114" t="e">
        <f>IFERROR((VLOOKUP($A717,'ИЗ ГУГЛА'!$B:$Z,AC$1,0)+AE717)*AD717,VLOOKUP($A717,'ИЗ ГУГЛА'!$B:$Z,AC$1,0))</f>
        <v>#N/A</v>
      </c>
      <c r="AD717" s="108">
        <v>1</v>
      </c>
      <c r="AE717" s="46"/>
      <c r="AF717" s="115"/>
      <c r="AG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</row>
    <row r="718" spans="1:47" x14ac:dyDescent="0.25">
      <c r="A718" s="132"/>
      <c r="B718" s="132" t="e">
        <f>VLOOKUP($A718,'Выгр Кат'!$A:$S,B$1,0)</f>
        <v>#N/A</v>
      </c>
      <c r="C718" s="133" t="e">
        <f>VLOOKUP($A718,'Выгр Кат'!$A:$S,C$1,0)</f>
        <v>#N/A</v>
      </c>
      <c r="D718" s="132" t="e">
        <f>VLOOKUP($A718,'Выгр Кат'!$A:$S,D$1,0)</f>
        <v>#N/A</v>
      </c>
      <c r="E718" s="132" t="e">
        <f>VLOOKUP($A718,'Выгр Кат'!$A:$S,E$1,0)</f>
        <v>#N/A</v>
      </c>
      <c r="F718" s="132" t="e">
        <f>VLOOKUP($A718,'Выгр Кат'!$A:$S,F$1,0)</f>
        <v>#N/A</v>
      </c>
      <c r="G718" s="38" t="s">
        <v>1252</v>
      </c>
      <c r="H718" s="29"/>
      <c r="I718" s="4" t="s">
        <v>2</v>
      </c>
      <c r="J718" s="95">
        <v>1</v>
      </c>
      <c r="K718" s="173">
        <f>VLOOKUP(G718,Прайс!$B:$E,4,0)</f>
        <v>1396.3680000000002</v>
      </c>
      <c r="L718" s="167" t="s">
        <v>2207</v>
      </c>
      <c r="M718" s="172" t="s">
        <v>2207</v>
      </c>
      <c r="N718" s="173" t="s">
        <v>2207</v>
      </c>
      <c r="O718" s="134" t="e">
        <f>VLOOKUP($A718,'Выгр Кат'!$A:$S,O$1,0)</f>
        <v>#N/A</v>
      </c>
      <c r="P718" s="134" t="e">
        <f>VLOOKUP($A718,'Выгр Кат'!$A:$S,P$1,0)</f>
        <v>#N/A</v>
      </c>
      <c r="Q718" s="107" t="e">
        <f t="shared" si="378"/>
        <v>#N/A</v>
      </c>
      <c r="R718" s="107" t="e">
        <f t="shared" si="379"/>
        <v>#N/A</v>
      </c>
      <c r="S718" s="110" t="str">
        <f t="shared" si="380"/>
        <v/>
      </c>
      <c r="T718" s="135" t="str">
        <f t="shared" si="375"/>
        <v/>
      </c>
      <c r="U718" s="135" t="str">
        <f t="shared" si="376"/>
        <v/>
      </c>
      <c r="V718" s="135" t="str">
        <f t="shared" si="377"/>
        <v/>
      </c>
      <c r="W718" s="45"/>
      <c r="X718" s="114" t="e">
        <f>IFERROR((VLOOKUP($A718,'ИЗ ГУГЛА'!$B:$G,X$1,0)+Z718)*Y718,VLOOKUP($A718,'ИЗ ГУГЛА'!$B:$G,X$1,0))</f>
        <v>#N/A</v>
      </c>
      <c r="Y718" s="108">
        <v>1</v>
      </c>
      <c r="Z718" s="46"/>
      <c r="AA718" s="139" t="s">
        <v>2207</v>
      </c>
      <c r="AC718" s="114" t="e">
        <f>IFERROR((VLOOKUP($A718,'ИЗ ГУГЛА'!$B:$Z,AC$1,0)+AE718)*AD718,VLOOKUP($A718,'ИЗ ГУГЛА'!$B:$Z,AC$1,0))</f>
        <v>#N/A</v>
      </c>
      <c r="AD718" s="108">
        <v>1</v>
      </c>
      <c r="AE718" s="46"/>
      <c r="AF718" s="11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</row>
    <row r="725" spans="13:13" x14ac:dyDescent="0.25">
      <c r="M725" s="172">
        <f t="shared" ref="M725" si="381">K725*L725</f>
        <v>0</v>
      </c>
    </row>
    <row r="726" spans="13:13" x14ac:dyDescent="0.25">
      <c r="M726" s="145">
        <f>W726*1</f>
        <v>0</v>
      </c>
    </row>
    <row r="727" spans="13:13" x14ac:dyDescent="0.25">
      <c r="M727" s="146">
        <f>W727*1.02</f>
        <v>0</v>
      </c>
    </row>
    <row r="728" spans="13:13" x14ac:dyDescent="0.25">
      <c r="M728" s="147">
        <f>W728*1.04</f>
        <v>0</v>
      </c>
    </row>
    <row r="729" spans="13:13" x14ac:dyDescent="0.25">
      <c r="M729" s="148">
        <f>W729*1.05</f>
        <v>0</v>
      </c>
    </row>
    <row r="730" spans="13:13" x14ac:dyDescent="0.25">
      <c r="M730" s="148">
        <f>W730*1.06</f>
        <v>0</v>
      </c>
    </row>
    <row r="731" spans="13:13" x14ac:dyDescent="0.25">
      <c r="M731" s="149">
        <f>W731*1.07</f>
        <v>0</v>
      </c>
    </row>
    <row r="732" spans="13:13" x14ac:dyDescent="0.25">
      <c r="M732" s="150">
        <f>W732*1.08</f>
        <v>0</v>
      </c>
    </row>
    <row r="733" spans="13:13" x14ac:dyDescent="0.25">
      <c r="M733" s="151">
        <f>K733*1.2*100/93</f>
        <v>0</v>
      </c>
    </row>
  </sheetData>
  <autoFilter ref="A2:AG718" xr:uid="{00000000-0001-0000-0000-000000000000}"/>
  <sortState xmlns:xlrd2="http://schemas.microsoft.com/office/spreadsheetml/2017/richdata2" ref="A3:W652">
    <sortCondition ref="K3:K652"/>
  </sortState>
  <conditionalFormatting sqref="C3:C718">
    <cfRule type="expression" dxfId="10" priority="9">
      <formula>OR(D3="N",E3="0")</formula>
    </cfRule>
  </conditionalFormatting>
  <conditionalFormatting sqref="A4:A718">
    <cfRule type="expression" dxfId="9" priority="8">
      <formula>AND($Q4=0,$R4=0)</formula>
    </cfRule>
  </conditionalFormatting>
  <conditionalFormatting sqref="U3:U718">
    <cfRule type="cellIs" dxfId="8" priority="6" operator="lessThan">
      <formula>0%</formula>
    </cfRule>
  </conditionalFormatting>
  <conditionalFormatting sqref="V3:V718 T3:T718">
    <cfRule type="cellIs" dxfId="7" priority="5" operator="lessThan">
      <formula>$S$1</formula>
    </cfRule>
  </conditionalFormatting>
  <conditionalFormatting sqref="X2:X718">
    <cfRule type="expression" dxfId="6" priority="4">
      <formula>VALUE(X2)&lt;&gt;AA2</formula>
    </cfRule>
  </conditionalFormatting>
  <conditionalFormatting sqref="A3:A718">
    <cfRule type="expression" dxfId="5" priority="3">
      <formula>AND(ROUNDDOWN($Q3,0)=0,ROUNDDOWN($R3,0)=0)</formula>
    </cfRule>
  </conditionalFormatting>
  <conditionalFormatting sqref="AC3:AC718">
    <cfRule type="expression" dxfId="4" priority="2">
      <formula>VALUE(AC3)&lt;&gt;AF3</formula>
    </cfRule>
  </conditionalFormatting>
  <conditionalFormatting sqref="AC2">
    <cfRule type="expression" dxfId="3" priority="1">
      <formula>VALUE(AC2)&lt;&gt;AF2</formula>
    </cfRule>
  </conditionalFormatting>
  <hyperlinks>
    <hyperlink ref="Z615" r:id="rId1" display="https://motorring.ru/product/18423-uplotnitely-lobovogo-stekla-shevrole-niva" xr:uid="{1AC15AC3-397A-46A0-9157-B1295E9494D7}"/>
    <hyperlink ref="Z513" r:id="rId2" display="https://motorring.ru/product/17167-podushka-shtangi-perednego-stabilizatora-poperechnoy" xr:uid="{A7EB6E44-69BF-4DB5-837A-A3F0E4D902D3}"/>
    <hyperlink ref="Z507" r:id="rId3" display="https://motorring.ru/product/10647-gofra-vozdushnogo-filytra-lada-niva-4h4" xr:uid="{6BE445FE-384B-4A2C-BC76-A1C1275C8944}"/>
    <hyperlink ref="Z440" r:id="rId4" display="https://motorring.ru/product/753-bryzgovik-peredniy-pravyy-vaz-2110-2112" xr:uid="{E023FAB2-8BDE-4C83-B0AE-4B49927EAF24}"/>
    <hyperlink ref="Z439" r:id="rId5" display="https://motorring.ru/product/18048-bryzgovik-zadniy-levyy-vaz-2110-2111-2112" xr:uid="{37F30C2E-9399-4D7D-8F32-66F154F40736}"/>
    <hyperlink ref="Z422" r:id="rId6" display="https://motorring.ru/product/919-bryzgovik-peredniy-levyy-vaz-2113-2115" xr:uid="{81408BBD-108A-472C-A42B-32500BE059D9}"/>
    <hyperlink ref="Z133" r:id="rId7" display="https://motorring.ru/product/42294-bryzgovik-zadniy-pravyy-fartuk-vaz-2101-2107" xr:uid="{C68A2CFC-5AAE-489D-B988-97B8427610C3}"/>
    <hyperlink ref="Z364" r:id="rId8" display="https://motorring.ru/product/915-bryzgovik-zadnego-kolesa-starogo-obrazca-levyy-shevrole" xr:uid="{8E27B255-14DE-45B0-A590-AED521AB3267}"/>
    <hyperlink ref="AE615" r:id="rId9" display="https://motorring.ru/product/18423-uplotnitely-lobovogo-stekla-shevrole-niva" xr:uid="{A92DD6DD-2E25-4777-A248-3EFD64381E2C}"/>
    <hyperlink ref="AE513" r:id="rId10" display="https://motorring.ru/product/17167-podushka-shtangi-perednego-stabilizatora-poperechnoy" xr:uid="{F95945FB-AB93-461E-B74A-DF90EEE6BE93}"/>
    <hyperlink ref="AE507" r:id="rId11" display="https://motorring.ru/product/10647-gofra-vozdushnogo-filytra-lada-niva-4h4" xr:uid="{04384A76-7112-4333-9BDC-A6E5F3717BC7}"/>
    <hyperlink ref="AE440" r:id="rId12" display="https://motorring.ru/product/753-bryzgovik-peredniy-pravyy-vaz-2110-2112" xr:uid="{123A924D-6B8F-45E1-90D3-0C285886A8E8}"/>
    <hyperlink ref="AE439" r:id="rId13" display="https://motorring.ru/product/18048-bryzgovik-zadniy-levyy-vaz-2110-2111-2112" xr:uid="{8F675CB3-D7F4-47CB-B0A7-429683F9959B}"/>
    <hyperlink ref="AE422" r:id="rId14" display="https://motorring.ru/product/919-bryzgovik-peredniy-levyy-vaz-2113-2115" xr:uid="{F0E95EA4-C9B8-4331-B0F0-9FFF5717B44E}"/>
    <hyperlink ref="AE133" r:id="rId15" display="https://motorring.ru/product/42294-bryzgovik-zadniy-pravyy-fartuk-vaz-2101-2107" xr:uid="{F38CE927-96FF-409E-8089-8DC1EF14300E}"/>
    <hyperlink ref="AE364" r:id="rId16" display="https://motorring.ru/product/915-bryzgovik-zadnego-kolesa-starogo-obrazca-levyy-shevrole" xr:uid="{10651AF2-720E-41DE-B033-665F9C74A178}"/>
  </hyperlinks>
  <pageMargins left="0.75" right="0.75" top="1" bottom="1" header="0.5" footer="0.5"/>
  <pageSetup paperSize="9" orientation="portrait" r:id="rId17"/>
  <legacyDrawing r:id="rId18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:IC822"/>
  <sheetViews>
    <sheetView workbookViewId="0">
      <pane ySplit="1" topLeftCell="A60" activePane="bottomLeft" state="frozen"/>
      <selection pane="bottomLeft" activeCell="C93" sqref="C93"/>
    </sheetView>
  </sheetViews>
  <sheetFormatPr defaultRowHeight="15" x14ac:dyDescent="0.25"/>
  <cols>
    <col min="1" max="1" width="6.85546875" style="10" customWidth="1"/>
    <col min="2" max="2" width="24.5703125" style="10" customWidth="1"/>
    <col min="3" max="3" width="91" style="10" customWidth="1"/>
    <col min="4" max="4" width="9.5703125" style="10" customWidth="1"/>
    <col min="5" max="5" width="9.140625" style="10"/>
    <col min="6" max="6" width="12.140625" style="10" bestFit="1" customWidth="1"/>
    <col min="7" max="7" width="6.7109375" style="26" bestFit="1" customWidth="1"/>
    <col min="8" max="16384" width="9.140625" style="10"/>
  </cols>
  <sheetData>
    <row r="1" spans="1:8" s="11" customFormat="1" ht="12.75" customHeight="1" x14ac:dyDescent="0.25">
      <c r="A1" s="48" t="s">
        <v>1729</v>
      </c>
      <c r="B1" s="49" t="s">
        <v>651</v>
      </c>
      <c r="C1" s="49" t="s">
        <v>210</v>
      </c>
      <c r="D1" s="49" t="s">
        <v>2192</v>
      </c>
      <c r="E1" s="50"/>
      <c r="F1" s="13" t="s">
        <v>2402</v>
      </c>
      <c r="G1" s="25" t="s">
        <v>2401</v>
      </c>
    </row>
    <row r="2" spans="1:8" s="11" customFormat="1" ht="12.75" customHeight="1" x14ac:dyDescent="0.25">
      <c r="A2" s="51"/>
      <c r="B2" s="22"/>
      <c r="C2" s="23" t="s">
        <v>652</v>
      </c>
      <c r="D2" s="22"/>
      <c r="E2" s="8"/>
      <c r="F2" s="13" t="e">
        <f>INDEX(Кат!$I:$I,MATCH(Прайс!$B2,Кат!$G:$G,0))</f>
        <v>#N/A</v>
      </c>
      <c r="G2" s="25" t="e">
        <f>INDEX(Кат!$A:$A,MATCH(Прайс!$B2,Кат!$G:$G,0))</f>
        <v>#N/A</v>
      </c>
    </row>
    <row r="3" spans="1:8" s="11" customFormat="1" ht="12.75" customHeight="1" x14ac:dyDescent="0.25">
      <c r="A3" s="52">
        <v>1</v>
      </c>
      <c r="B3" s="53" t="s">
        <v>2193</v>
      </c>
      <c r="C3" s="53" t="s">
        <v>653</v>
      </c>
      <c r="D3" s="52" t="s">
        <v>2194</v>
      </c>
      <c r="E3" s="54">
        <v>223.18049999999997</v>
      </c>
      <c r="F3" s="13" t="e">
        <f>INDEX(Кат!$I:$I,MATCH(Прайс!$B3,Кат!$G:$G,0))</f>
        <v>#N/A</v>
      </c>
      <c r="G3" s="25" t="e">
        <f>INDEX(Кат!$A:$A,MATCH(Прайс!$B3,Кат!$G:$G,0))</f>
        <v>#N/A</v>
      </c>
    </row>
    <row r="4" spans="1:8" s="11" customFormat="1" ht="12.75" customHeight="1" x14ac:dyDescent="0.25">
      <c r="A4" s="52">
        <v>2</v>
      </c>
      <c r="B4" s="53" t="s">
        <v>2195</v>
      </c>
      <c r="C4" s="53" t="s">
        <v>654</v>
      </c>
      <c r="D4" s="52" t="s">
        <v>2194</v>
      </c>
      <c r="E4" s="54">
        <v>190.417</v>
      </c>
      <c r="F4" s="13" t="e">
        <f>INDEX(Кат!$I:$I,MATCH(Прайс!$B4,Кат!$G:$G,0))</f>
        <v>#N/A</v>
      </c>
      <c r="G4" s="25" t="e">
        <f>INDEX(Кат!$A:$A,MATCH(Прайс!$B4,Кат!$G:$G,0))</f>
        <v>#N/A</v>
      </c>
    </row>
    <row r="5" spans="1:8" s="14" customFormat="1" ht="12.75" customHeight="1" x14ac:dyDescent="0.25">
      <c r="A5" s="52">
        <v>3</v>
      </c>
      <c r="B5" s="53" t="s">
        <v>2196</v>
      </c>
      <c r="C5" s="53" t="s">
        <v>655</v>
      </c>
      <c r="D5" s="52" t="s">
        <v>2194</v>
      </c>
      <c r="E5" s="54">
        <v>242.73049999999998</v>
      </c>
      <c r="F5" s="13" t="e">
        <f>INDEX(Кат!$I:$I,MATCH(Прайс!$B5,Кат!$G:$G,0))</f>
        <v>#N/A</v>
      </c>
      <c r="G5" s="25" t="e">
        <f>INDEX(Кат!$A:$A,MATCH(Прайс!$B5,Кат!$G:$G,0))</f>
        <v>#N/A</v>
      </c>
      <c r="H5" s="11"/>
    </row>
    <row r="6" spans="1:8" s="14" customFormat="1" ht="12.75" customHeight="1" x14ac:dyDescent="0.25">
      <c r="A6" s="52">
        <v>4</v>
      </c>
      <c r="B6" s="53" t="s">
        <v>2197</v>
      </c>
      <c r="C6" s="53" t="s">
        <v>654</v>
      </c>
      <c r="D6" s="52" t="s">
        <v>2194</v>
      </c>
      <c r="E6" s="54">
        <v>201.46849999999998</v>
      </c>
      <c r="F6" s="13" t="e">
        <f>INDEX(Кат!$I:$I,MATCH(Прайс!$B6,Кат!$G:$G,0))</f>
        <v>#N/A</v>
      </c>
      <c r="G6" s="25" t="e">
        <f>INDEX(Кат!$A:$A,MATCH(Прайс!$B6,Кат!$G:$G,0))</f>
        <v>#N/A</v>
      </c>
      <c r="H6" s="11"/>
    </row>
    <row r="7" spans="1:8" s="11" customFormat="1" ht="12.75" customHeight="1" x14ac:dyDescent="0.25">
      <c r="A7" s="52">
        <v>5</v>
      </c>
      <c r="B7" s="53" t="s">
        <v>2198</v>
      </c>
      <c r="C7" s="53" t="s">
        <v>655</v>
      </c>
      <c r="D7" s="52" t="s">
        <v>2194</v>
      </c>
      <c r="E7" s="54">
        <v>255.70249999999999</v>
      </c>
      <c r="F7" s="13" t="e">
        <f>INDEX(Кат!$I:$I,MATCH(Прайс!$B7,Кат!$G:$G,0))</f>
        <v>#N/A</v>
      </c>
      <c r="G7" s="25" t="e">
        <f>INDEX(Кат!$A:$A,MATCH(Прайс!$B7,Кат!$G:$G,0))</f>
        <v>#N/A</v>
      </c>
    </row>
    <row r="8" spans="1:8" s="11" customFormat="1" ht="12.75" customHeight="1" x14ac:dyDescent="0.25">
      <c r="A8" s="52">
        <v>7</v>
      </c>
      <c r="B8" s="55" t="s">
        <v>374</v>
      </c>
      <c r="C8" s="55" t="s">
        <v>656</v>
      </c>
      <c r="D8" s="56" t="s">
        <v>2194</v>
      </c>
      <c r="E8" s="57">
        <v>724.13199999999983</v>
      </c>
      <c r="F8" s="13" t="str">
        <f>INDEX(Кат!$I:$I,MATCH(Прайс!$B8,Кат!$G:$G,0))</f>
        <v>БРТ</v>
      </c>
      <c r="G8" s="25">
        <f>INDEX(Кат!$A:$A,MATCH(Прайс!$B8,Кат!$G:$G,0))</f>
        <v>204309</v>
      </c>
    </row>
    <row r="9" spans="1:8" s="11" customFormat="1" ht="12.75" customHeight="1" x14ac:dyDescent="0.25">
      <c r="A9" s="52">
        <v>9</v>
      </c>
      <c r="B9" s="55" t="s">
        <v>406</v>
      </c>
      <c r="C9" s="55" t="s">
        <v>657</v>
      </c>
      <c r="D9" s="56" t="s">
        <v>2194</v>
      </c>
      <c r="E9" s="57">
        <v>798.37599999999998</v>
      </c>
      <c r="F9" s="13" t="str">
        <f>INDEX(Кат!$I:$I,MATCH(Прайс!$B9,Кат!$G:$G,0))</f>
        <v>БРТ</v>
      </c>
      <c r="G9" s="25">
        <f>INDEX(Кат!$A:$A,MATCH(Прайс!$B9,Кат!$G:$G,0))</f>
        <v>204310</v>
      </c>
    </row>
    <row r="10" spans="1:8" s="11" customFormat="1" ht="12.75" customHeight="1" x14ac:dyDescent="0.25">
      <c r="A10" s="52">
        <v>10</v>
      </c>
      <c r="B10" s="53" t="s">
        <v>2015</v>
      </c>
      <c r="C10" s="53" t="s">
        <v>658</v>
      </c>
      <c r="D10" s="52" t="s">
        <v>2194</v>
      </c>
      <c r="E10" s="54">
        <v>130.249</v>
      </c>
      <c r="F10" s="13" t="e">
        <f>INDEX(Кат!$I:$I,MATCH(Прайс!$B10,Кат!$G:$G,0))</f>
        <v>#N/A</v>
      </c>
      <c r="G10" s="25" t="e">
        <f>INDEX(Кат!$A:$A,MATCH(Прайс!$B10,Кат!$G:$G,0))</f>
        <v>#N/A</v>
      </c>
    </row>
    <row r="11" spans="1:8" s="11" customFormat="1" ht="12.75" customHeight="1" x14ac:dyDescent="0.25">
      <c r="A11" s="52">
        <v>11</v>
      </c>
      <c r="B11" s="53" t="s">
        <v>2014</v>
      </c>
      <c r="C11" s="53" t="s">
        <v>659</v>
      </c>
      <c r="D11" s="52" t="s">
        <v>2194</v>
      </c>
      <c r="E11" s="54">
        <v>183.31</v>
      </c>
      <c r="F11" s="13" t="str">
        <f>INDEX(Кат!$I:$I,MATCH(Прайс!$B11,Кат!$G:$G,0))</f>
        <v>БРТ</v>
      </c>
      <c r="G11" s="25">
        <f>INDEX(Кат!$A:$A,MATCH(Прайс!$B11,Кат!$G:$G,0))</f>
        <v>204307</v>
      </c>
    </row>
    <row r="12" spans="1:8" s="11" customFormat="1" ht="12.75" customHeight="1" x14ac:dyDescent="0.25">
      <c r="A12" s="52">
        <v>12</v>
      </c>
      <c r="B12" s="53" t="s">
        <v>2199</v>
      </c>
      <c r="C12" s="53" t="s">
        <v>660</v>
      </c>
      <c r="D12" s="52" t="s">
        <v>2194</v>
      </c>
      <c r="E12" s="54">
        <v>196.46599999999998</v>
      </c>
      <c r="F12" s="13" t="e">
        <f>INDEX(Кат!$I:$I,MATCH(Прайс!$B12,Кат!$G:$G,0))</f>
        <v>#N/A</v>
      </c>
      <c r="G12" s="25" t="e">
        <f>INDEX(Кат!$A:$A,MATCH(Прайс!$B12,Кат!$G:$G,0))</f>
        <v>#N/A</v>
      </c>
    </row>
    <row r="13" spans="1:8" s="14" customFormat="1" ht="12.75" customHeight="1" x14ac:dyDescent="0.25">
      <c r="A13" s="52">
        <v>13</v>
      </c>
      <c r="B13" s="53" t="s">
        <v>2200</v>
      </c>
      <c r="C13" s="53" t="s">
        <v>655</v>
      </c>
      <c r="D13" s="52" t="s">
        <v>2194</v>
      </c>
      <c r="E13" s="54">
        <v>199.31799999999998</v>
      </c>
      <c r="F13" s="13" t="e">
        <f>INDEX(Кат!$I:$I,MATCH(Прайс!$B13,Кат!$G:$G,0))</f>
        <v>#N/A</v>
      </c>
      <c r="G13" s="25" t="e">
        <f>INDEX(Кат!$A:$A,MATCH(Прайс!$B13,Кат!$G:$G,0))</f>
        <v>#N/A</v>
      </c>
      <c r="H13" s="11"/>
    </row>
    <row r="14" spans="1:8" s="11" customFormat="1" ht="12.75" customHeight="1" x14ac:dyDescent="0.25">
      <c r="A14" s="52">
        <v>14</v>
      </c>
      <c r="B14" s="53" t="s">
        <v>2012</v>
      </c>
      <c r="C14" s="53" t="s">
        <v>661</v>
      </c>
      <c r="D14" s="52" t="s">
        <v>2194</v>
      </c>
      <c r="E14" s="54">
        <v>144.95749999999998</v>
      </c>
      <c r="F14" s="13" t="str">
        <f>INDEX(Кат!$I:$I,MATCH(Прайс!$B14,Кат!$G:$G,0))</f>
        <v>БРТ</v>
      </c>
      <c r="G14" s="25">
        <f>INDEX(Кат!$A:$A,MATCH(Прайс!$B14,Кат!$G:$G,0))</f>
        <v>204213</v>
      </c>
    </row>
    <row r="15" spans="1:8" s="11" customFormat="1" ht="12.75" customHeight="1" x14ac:dyDescent="0.25">
      <c r="A15" s="52">
        <v>15</v>
      </c>
      <c r="B15" s="53" t="s">
        <v>2201</v>
      </c>
      <c r="C15" s="53" t="s">
        <v>662</v>
      </c>
      <c r="D15" s="52" t="s">
        <v>2194</v>
      </c>
      <c r="E15" s="54">
        <v>232.6105</v>
      </c>
      <c r="F15" s="13" t="str">
        <f>INDEX(Кат!$I:$I,MATCH(Прайс!$B15,Кат!$G:$G,0))</f>
        <v>БРТ</v>
      </c>
      <c r="G15" s="25">
        <f>INDEX(Кат!$A:$A,MATCH(Прайс!$B15,Кат!$G:$G,0))</f>
        <v>204187</v>
      </c>
    </row>
    <row r="16" spans="1:8" s="11" customFormat="1" ht="12.75" customHeight="1" x14ac:dyDescent="0.25">
      <c r="A16" s="52">
        <v>17</v>
      </c>
      <c r="B16" s="55" t="s">
        <v>318</v>
      </c>
      <c r="C16" s="55" t="s">
        <v>663</v>
      </c>
      <c r="D16" s="56" t="s">
        <v>2194</v>
      </c>
      <c r="E16" s="57">
        <v>665.53949999999998</v>
      </c>
      <c r="F16" s="13" t="str">
        <f>INDEX(Кат!$I:$I,MATCH(Прайс!$B16,Кат!$G:$G,0))</f>
        <v>БРТ</v>
      </c>
      <c r="G16" s="25">
        <f>INDEX(Кат!$A:$A,MATCH(Прайс!$B16,Кат!$G:$G,0))</f>
        <v>204295</v>
      </c>
    </row>
    <row r="17" spans="1:8" s="11" customFormat="1" ht="12.75" customHeight="1" x14ac:dyDescent="0.25">
      <c r="A17" s="52">
        <v>18</v>
      </c>
      <c r="B17" s="53" t="s">
        <v>293</v>
      </c>
      <c r="C17" s="53" t="s">
        <v>664</v>
      </c>
      <c r="D17" s="52" t="s">
        <v>2194</v>
      </c>
      <c r="E17" s="54">
        <v>605.19899999999996</v>
      </c>
      <c r="F17" s="13" t="str">
        <f>INDEX(Кат!$I:$I,MATCH(Прайс!$B17,Кат!$G:$G,0))</f>
        <v>БРТ</v>
      </c>
      <c r="G17" s="25">
        <f>INDEX(Кат!$A:$A,MATCH(Прайс!$B17,Кат!$G:$G,0))</f>
        <v>204285</v>
      </c>
    </row>
    <row r="18" spans="1:8" s="11" customFormat="1" ht="12.75" customHeight="1" x14ac:dyDescent="0.25">
      <c r="A18" s="52">
        <v>19</v>
      </c>
      <c r="B18" s="53" t="s">
        <v>665</v>
      </c>
      <c r="C18" s="53" t="s">
        <v>666</v>
      </c>
      <c r="D18" s="52" t="s">
        <v>2194</v>
      </c>
      <c r="E18" s="54">
        <v>678.87950000000001</v>
      </c>
      <c r="F18" s="13" t="e">
        <f>INDEX(Кат!$I:$I,MATCH(Прайс!$B18,Кат!$G:$G,0))</f>
        <v>#N/A</v>
      </c>
      <c r="G18" s="25" t="e">
        <f>INDEX(Кат!$A:$A,MATCH(Прайс!$B18,Кат!$G:$G,0))</f>
        <v>#N/A</v>
      </c>
    </row>
    <row r="19" spans="1:8" s="14" customFormat="1" ht="12.75" customHeight="1" x14ac:dyDescent="0.25">
      <c r="A19" s="52">
        <v>20</v>
      </c>
      <c r="B19" s="53" t="s">
        <v>667</v>
      </c>
      <c r="C19" s="58" t="s">
        <v>668</v>
      </c>
      <c r="D19" s="52" t="s">
        <v>2194</v>
      </c>
      <c r="E19" s="54">
        <v>716.39250000000004</v>
      </c>
      <c r="F19" s="13" t="e">
        <f>INDEX(Кат!$I:$I,MATCH(Прайс!$B19,Кат!$G:$G,0))</f>
        <v>#N/A</v>
      </c>
      <c r="G19" s="25" t="e">
        <f>INDEX(Кат!$A:$A,MATCH(Прайс!$B19,Кат!$G:$G,0))</f>
        <v>#N/A</v>
      </c>
      <c r="H19" s="11"/>
    </row>
    <row r="20" spans="1:8" s="11" customFormat="1" ht="12.75" customHeight="1" x14ac:dyDescent="0.25">
      <c r="A20" s="52">
        <v>21</v>
      </c>
      <c r="B20" s="53" t="s">
        <v>669</v>
      </c>
      <c r="C20" s="58" t="s">
        <v>670</v>
      </c>
      <c r="D20" s="52" t="s">
        <v>2194</v>
      </c>
      <c r="E20" s="54">
        <v>756.11349999999993</v>
      </c>
      <c r="F20" s="13" t="e">
        <f>INDEX(Кат!$I:$I,MATCH(Прайс!$B20,Кат!$G:$G,0))</f>
        <v>#N/A</v>
      </c>
      <c r="G20" s="25" t="e">
        <f>INDEX(Кат!$A:$A,MATCH(Прайс!$B20,Кат!$G:$G,0))</f>
        <v>#N/A</v>
      </c>
    </row>
    <row r="21" spans="1:8" s="11" customFormat="1" ht="12.75" customHeight="1" x14ac:dyDescent="0.25">
      <c r="A21" s="52">
        <v>23</v>
      </c>
      <c r="B21" s="58" t="s">
        <v>542</v>
      </c>
      <c r="C21" s="58" t="s">
        <v>671</v>
      </c>
      <c r="D21" s="52" t="s">
        <v>2194</v>
      </c>
      <c r="E21" s="54">
        <v>653.79501000000005</v>
      </c>
      <c r="F21" s="13" t="e">
        <f>INDEX(Кат!$I:$I,MATCH(Прайс!$B21,Кат!$G:$G,0))</f>
        <v>#N/A</v>
      </c>
      <c r="G21" s="25" t="e">
        <f>INDEX(Кат!$A:$A,MATCH(Прайс!$B21,Кат!$G:$G,0))</f>
        <v>#N/A</v>
      </c>
    </row>
    <row r="22" spans="1:8" s="11" customFormat="1" ht="12.75" customHeight="1" x14ac:dyDescent="0.25">
      <c r="A22" s="52">
        <v>25</v>
      </c>
      <c r="B22" s="55" t="s">
        <v>672</v>
      </c>
      <c r="C22" s="55" t="s">
        <v>673</v>
      </c>
      <c r="D22" s="56" t="s">
        <v>2194</v>
      </c>
      <c r="E22" s="57">
        <v>1302.5014999999999</v>
      </c>
      <c r="F22" s="13" t="str">
        <f>INDEX(Кат!$I:$I,MATCH(Прайс!$B22,Кат!$G:$G,0))</f>
        <v>БРТ</v>
      </c>
      <c r="G22" s="25">
        <f>INDEX(Кат!$A:$A,MATCH(Прайс!$B22,Кат!$G:$G,0))</f>
        <v>204283</v>
      </c>
    </row>
    <row r="23" spans="1:8" s="11" customFormat="1" ht="12.75" customHeight="1" x14ac:dyDescent="0.25">
      <c r="A23" s="52">
        <v>26</v>
      </c>
      <c r="B23" s="53" t="s">
        <v>2010</v>
      </c>
      <c r="C23" s="53" t="s">
        <v>658</v>
      </c>
      <c r="D23" s="52" t="s">
        <v>2194</v>
      </c>
      <c r="E23" s="54">
        <v>179.27349999999998</v>
      </c>
      <c r="F23" s="13" t="str">
        <f>INDEX(Кат!$I:$I,MATCH(Прайс!$B23,Кат!$G:$G,0))</f>
        <v>БРТ</v>
      </c>
      <c r="G23" s="25">
        <f>INDEX(Кат!$A:$A,MATCH(Прайс!$B23,Кат!$G:$G,0))</f>
        <v>204212</v>
      </c>
    </row>
    <row r="24" spans="1:8" s="11" customFormat="1" ht="12.75" customHeight="1" x14ac:dyDescent="0.25">
      <c r="A24" s="52">
        <v>27</v>
      </c>
      <c r="B24" s="53" t="s">
        <v>2008</v>
      </c>
      <c r="C24" s="53" t="s">
        <v>658</v>
      </c>
      <c r="D24" s="52" t="s">
        <v>2194</v>
      </c>
      <c r="E24" s="54">
        <v>241.93699999999998</v>
      </c>
      <c r="F24" s="13" t="str">
        <f>INDEX(Кат!$I:$I,MATCH(Прайс!$B24,Кат!$G:$G,0))</f>
        <v>БРТ</v>
      </c>
      <c r="G24" s="25">
        <f>INDEX(Кат!$A:$A,MATCH(Прайс!$B24,Кат!$G:$G,0))</f>
        <v>204186</v>
      </c>
    </row>
    <row r="25" spans="1:8" s="14" customFormat="1" ht="12.75" customHeight="1" x14ac:dyDescent="0.25">
      <c r="A25" s="52">
        <v>28</v>
      </c>
      <c r="B25" s="59" t="s">
        <v>412</v>
      </c>
      <c r="C25" s="58" t="s">
        <v>674</v>
      </c>
      <c r="D25" s="52" t="s">
        <v>2194</v>
      </c>
      <c r="E25" s="54">
        <v>1174.7939999999999</v>
      </c>
      <c r="F25" s="13" t="str">
        <f>INDEX(Кат!$I:$I,MATCH(Прайс!$B25,Кат!$G:$G,0))</f>
        <v>БРТ</v>
      </c>
      <c r="G25" s="25">
        <f>INDEX(Кат!$A:$A,MATCH(Прайс!$B25,Кат!$G:$G,0))</f>
        <v>204312</v>
      </c>
      <c r="H25" s="11"/>
    </row>
    <row r="26" spans="1:8" s="14" customFormat="1" ht="12.75" customHeight="1" x14ac:dyDescent="0.25">
      <c r="A26" s="52">
        <v>29</v>
      </c>
      <c r="B26" s="59" t="s">
        <v>385</v>
      </c>
      <c r="C26" s="58" t="s">
        <v>675</v>
      </c>
      <c r="D26" s="52" t="s">
        <v>2194</v>
      </c>
      <c r="E26" s="54">
        <v>1112.6019999999999</v>
      </c>
      <c r="F26" s="13" t="str">
        <f>INDEX(Кат!$I:$I,MATCH(Прайс!$B26,Кат!$G:$G,0))</f>
        <v>БРТ</v>
      </c>
      <c r="G26" s="25">
        <f>INDEX(Кат!$A:$A,MATCH(Прайс!$B26,Кат!$G:$G,0))</f>
        <v>204305</v>
      </c>
      <c r="H26" s="11"/>
    </row>
    <row r="27" spans="1:8" s="14" customFormat="1" ht="12.75" customHeight="1" x14ac:dyDescent="0.25">
      <c r="A27" s="52">
        <v>30</v>
      </c>
      <c r="B27" s="58" t="s">
        <v>600</v>
      </c>
      <c r="C27" s="58" t="s">
        <v>676</v>
      </c>
      <c r="D27" s="52" t="s">
        <v>2194</v>
      </c>
      <c r="E27" s="54">
        <v>372.31249999999994</v>
      </c>
      <c r="F27" s="13" t="e">
        <f>INDEX(Кат!$I:$I,MATCH(Прайс!$B27,Кат!$G:$G,0))</f>
        <v>#N/A</v>
      </c>
      <c r="G27" s="25" t="e">
        <f>INDEX(Кат!$A:$A,MATCH(Прайс!$B27,Кат!$G:$G,0))</f>
        <v>#N/A</v>
      </c>
      <c r="H27" s="11"/>
    </row>
    <row r="28" spans="1:8" s="11" customFormat="1" ht="13.5" customHeight="1" x14ac:dyDescent="0.25">
      <c r="A28" s="52">
        <v>32</v>
      </c>
      <c r="B28" s="60" t="s">
        <v>482</v>
      </c>
      <c r="C28" s="60" t="s">
        <v>677</v>
      </c>
      <c r="D28" s="56" t="s">
        <v>2194</v>
      </c>
      <c r="E28" s="57">
        <v>1064.7735</v>
      </c>
      <c r="F28" s="13" t="str">
        <f>INDEX(Кат!$I:$I,MATCH(Прайс!$B28,Кат!$G:$G,0))</f>
        <v>БРТ</v>
      </c>
      <c r="G28" s="25">
        <f>INDEX(Кат!$A:$A,MATCH(Прайс!$B28,Кат!$G:$G,0))</f>
        <v>204215</v>
      </c>
    </row>
    <row r="29" spans="1:8" s="11" customFormat="1" ht="13.5" customHeight="1" x14ac:dyDescent="0.25">
      <c r="A29" s="52">
        <v>33</v>
      </c>
      <c r="B29" s="60" t="s">
        <v>431</v>
      </c>
      <c r="C29" s="60" t="s">
        <v>678</v>
      </c>
      <c r="D29" s="56" t="s">
        <v>2194</v>
      </c>
      <c r="E29" s="57">
        <v>1232.3169999999998</v>
      </c>
      <c r="F29" s="13" t="str">
        <f>INDEX(Кат!$I:$I,MATCH(Прайс!$B29,Кат!$G:$G,0))</f>
        <v>БРТ</v>
      </c>
      <c r="G29" s="25">
        <f>INDEX(Кат!$A:$A,MATCH(Прайс!$B29,Кат!$G:$G,0))</f>
        <v>204286</v>
      </c>
    </row>
    <row r="30" spans="1:8" s="11" customFormat="1" ht="13.5" customHeight="1" x14ac:dyDescent="0.25">
      <c r="A30" s="52">
        <v>34</v>
      </c>
      <c r="B30" s="60" t="s">
        <v>418</v>
      </c>
      <c r="C30" s="60" t="s">
        <v>679</v>
      </c>
      <c r="D30" s="56" t="s">
        <v>2194</v>
      </c>
      <c r="E30" s="57">
        <v>970.30099999999993</v>
      </c>
      <c r="F30" s="13" t="str">
        <f>INDEX(Кат!$I:$I,MATCH(Прайс!$B30,Кат!$G:$G,0))</f>
        <v>БРТ</v>
      </c>
      <c r="G30" s="25">
        <f>INDEX(Кат!$A:$A,MATCH(Прайс!$B30,Кат!$G:$G,0))</f>
        <v>204284</v>
      </c>
    </row>
    <row r="31" spans="1:8" s="11" customFormat="1" ht="13.5" customHeight="1" x14ac:dyDescent="0.25">
      <c r="A31" s="52">
        <v>36</v>
      </c>
      <c r="B31" s="58" t="s">
        <v>680</v>
      </c>
      <c r="C31" s="58" t="s">
        <v>681</v>
      </c>
      <c r="D31" s="52" t="s">
        <v>2194</v>
      </c>
      <c r="E31" s="54">
        <v>653.33799999999997</v>
      </c>
      <c r="F31" s="13" t="str">
        <f>INDEX(Кат!$I:$I,MATCH(Прайс!$B31,Кат!$G:$G,0))</f>
        <v>БРТ</v>
      </c>
      <c r="G31" s="25">
        <f>INDEX(Кат!$A:$A,MATCH(Прайс!$B31,Кат!$G:$G,0))</f>
        <v>204313</v>
      </c>
    </row>
    <row r="32" spans="1:8" s="11" customFormat="1" ht="13.5" customHeight="1" x14ac:dyDescent="0.25">
      <c r="A32" s="52">
        <v>37</v>
      </c>
      <c r="B32" s="58" t="s">
        <v>473</v>
      </c>
      <c r="C32" s="58" t="s">
        <v>682</v>
      </c>
      <c r="D32" s="52" t="s">
        <v>2194</v>
      </c>
      <c r="E32" s="54">
        <v>194.44200000000001</v>
      </c>
      <c r="F32" s="13" t="str">
        <f>INDEX(Кат!$I:$I,MATCH(Прайс!$B32,Кат!$G:$G,0))</f>
        <v>БРТ</v>
      </c>
      <c r="G32" s="25">
        <f>INDEX(Кат!$A:$A,MATCH(Прайс!$B32,Кат!$G:$G,0))</f>
        <v>204314</v>
      </c>
    </row>
    <row r="33" spans="1:7" s="11" customFormat="1" ht="13.5" customHeight="1" x14ac:dyDescent="0.25">
      <c r="A33" s="52">
        <v>38</v>
      </c>
      <c r="B33" s="58" t="s">
        <v>554</v>
      </c>
      <c r="C33" s="58" t="s">
        <v>683</v>
      </c>
      <c r="D33" s="52" t="s">
        <v>2194</v>
      </c>
      <c r="E33" s="54">
        <v>330.65949999999992</v>
      </c>
      <c r="F33" s="13" t="str">
        <f>INDEX(Кат!$I:$I,MATCH(Прайс!$B33,Кат!$G:$G,0))</f>
        <v>БРТ</v>
      </c>
      <c r="G33" s="25">
        <f>INDEX(Кат!$A:$A,MATCH(Прайс!$B33,Кат!$G:$G,0))</f>
        <v>204280</v>
      </c>
    </row>
    <row r="34" spans="1:7" s="11" customFormat="1" ht="13.5" customHeight="1" x14ac:dyDescent="0.25">
      <c r="A34" s="52">
        <v>39</v>
      </c>
      <c r="B34" s="58" t="s">
        <v>1730</v>
      </c>
      <c r="C34" s="58" t="s">
        <v>685</v>
      </c>
      <c r="D34" s="52" t="s">
        <v>2194</v>
      </c>
      <c r="E34" s="54">
        <v>706.00799999999992</v>
      </c>
      <c r="F34" s="13" t="str">
        <f>INDEX(Кат!$I:$I,MATCH(Прайс!$B34,Кат!$G:$G,0))</f>
        <v>БРТ</v>
      </c>
      <c r="G34" s="25">
        <f>INDEX(Кат!$A:$A,MATCH(Прайс!$B34,Кат!$G:$G,0))</f>
        <v>204188</v>
      </c>
    </row>
    <row r="35" spans="1:7" s="11" customFormat="1" ht="13.5" customHeight="1" x14ac:dyDescent="0.25">
      <c r="A35" s="52">
        <v>40</v>
      </c>
      <c r="B35" s="58" t="s">
        <v>569</v>
      </c>
      <c r="C35" s="58" t="s">
        <v>686</v>
      </c>
      <c r="D35" s="52" t="s">
        <v>2194</v>
      </c>
      <c r="E35" s="54">
        <v>707.66399999999999</v>
      </c>
      <c r="F35" s="13" t="str">
        <f>INDEX(Кат!$I:$I,MATCH(Прайс!$B35,Кат!$G:$G,0))</f>
        <v>БРТ</v>
      </c>
      <c r="G35" s="25">
        <f>INDEX(Кат!$A:$A,MATCH(Прайс!$B35,Кат!$G:$G,0))</f>
        <v>204281</v>
      </c>
    </row>
    <row r="36" spans="1:7" s="11" customFormat="1" ht="13.5" customHeight="1" x14ac:dyDescent="0.25">
      <c r="A36" s="52">
        <v>41</v>
      </c>
      <c r="B36" s="58" t="s">
        <v>2202</v>
      </c>
      <c r="C36" s="58" t="s">
        <v>687</v>
      </c>
      <c r="D36" s="52" t="s">
        <v>2194</v>
      </c>
      <c r="E36" s="54">
        <v>531.12749999999994</v>
      </c>
      <c r="F36" s="13" t="e">
        <f>INDEX(Кат!$I:$I,MATCH(Прайс!$B36,Кат!$G:$G,0))</f>
        <v>#N/A</v>
      </c>
      <c r="G36" s="25" t="e">
        <f>INDEX(Кат!$A:$A,MATCH(Прайс!$B36,Кат!$G:$G,0))</f>
        <v>#N/A</v>
      </c>
    </row>
    <row r="37" spans="1:7" s="11" customFormat="1" ht="12.6" customHeight="1" x14ac:dyDescent="0.25">
      <c r="A37" s="52">
        <v>42</v>
      </c>
      <c r="B37" s="58" t="s">
        <v>2203</v>
      </c>
      <c r="C37" s="58" t="s">
        <v>688</v>
      </c>
      <c r="D37" s="52" t="s">
        <v>2194</v>
      </c>
      <c r="E37" s="54">
        <v>469.87849999999992</v>
      </c>
      <c r="F37" s="13" t="e">
        <f>INDEX(Кат!$I:$I,MATCH(Прайс!$B37,Кат!$G:$G,0))</f>
        <v>#N/A</v>
      </c>
      <c r="G37" s="25" t="e">
        <f>INDEX(Кат!$A:$A,MATCH(Прайс!$B37,Кат!$G:$G,0))</f>
        <v>#N/A</v>
      </c>
    </row>
    <row r="38" spans="1:7" s="11" customFormat="1" ht="12.75" customHeight="1" x14ac:dyDescent="0.25">
      <c r="A38" s="52">
        <v>43</v>
      </c>
      <c r="B38" s="58" t="s">
        <v>2204</v>
      </c>
      <c r="C38" s="58" t="s">
        <v>689</v>
      </c>
      <c r="D38" s="52" t="s">
        <v>2194</v>
      </c>
      <c r="E38" s="54">
        <v>510.51949999999999</v>
      </c>
      <c r="F38" s="13" t="e">
        <f>INDEX(Кат!$I:$I,MATCH(Прайс!$B38,Кат!$G:$G,0))</f>
        <v>#N/A</v>
      </c>
      <c r="G38" s="25" t="e">
        <f>INDEX(Кат!$A:$A,MATCH(Прайс!$B38,Кат!$G:$G,0))</f>
        <v>#N/A</v>
      </c>
    </row>
    <row r="39" spans="1:7" s="11" customFormat="1" ht="12.75" customHeight="1" x14ac:dyDescent="0.25">
      <c r="A39" s="52">
        <v>44</v>
      </c>
      <c r="B39" s="58" t="s">
        <v>2205</v>
      </c>
      <c r="C39" s="58" t="s">
        <v>690</v>
      </c>
      <c r="D39" s="52" t="s">
        <v>2194</v>
      </c>
      <c r="E39" s="54">
        <v>2142.8179999999998</v>
      </c>
      <c r="F39" s="13" t="str">
        <f>INDEX(Кат!$I:$I,MATCH(Прайс!$B39,Кат!$G:$G,0))</f>
        <v>БРТ</v>
      </c>
      <c r="G39" s="25">
        <f>INDEX(Кат!$A:$A,MATCH(Прайс!$B39,Кат!$G:$G,0))</f>
        <v>204020</v>
      </c>
    </row>
    <row r="40" spans="1:7" s="11" customFormat="1" ht="12.75" customHeight="1" x14ac:dyDescent="0.25">
      <c r="A40" s="52">
        <v>45</v>
      </c>
      <c r="B40" s="61"/>
      <c r="C40" s="62" t="s">
        <v>691</v>
      </c>
      <c r="D40" s="63"/>
      <c r="E40" s="58"/>
      <c r="F40" s="13" t="e">
        <f>INDEX(Кат!$I:$I,MATCH(Прайс!$B40,Кат!$G:$G,0))</f>
        <v>#N/A</v>
      </c>
      <c r="G40" s="25" t="e">
        <f>INDEX(Кат!$A:$A,MATCH(Прайс!$B40,Кат!$G:$G,0))</f>
        <v>#N/A</v>
      </c>
    </row>
    <row r="41" spans="1:7" s="11" customFormat="1" ht="12.75" customHeight="1" x14ac:dyDescent="0.25">
      <c r="A41" s="52">
        <v>46</v>
      </c>
      <c r="B41" s="58" t="s">
        <v>240</v>
      </c>
      <c r="C41" s="96" t="s">
        <v>692</v>
      </c>
      <c r="D41" s="52" t="s">
        <v>2194</v>
      </c>
      <c r="E41" s="54">
        <v>59.387999999999998</v>
      </c>
      <c r="F41" s="13" t="e">
        <f>INDEX(Кат!$I:$I,MATCH(Прайс!$B41,Кат!$G:$G,0))</f>
        <v>#N/A</v>
      </c>
      <c r="G41" s="25" t="e">
        <f>INDEX(Кат!$A:$A,MATCH(Прайс!$B41,Кат!$G:$G,0))</f>
        <v>#N/A</v>
      </c>
    </row>
    <row r="42" spans="1:7" s="11" customFormat="1" ht="12.75" customHeight="1" x14ac:dyDescent="0.25">
      <c r="A42" s="52">
        <v>47</v>
      </c>
      <c r="B42" s="53" t="s">
        <v>238</v>
      </c>
      <c r="C42" s="97" t="s">
        <v>693</v>
      </c>
      <c r="D42" s="52" t="s">
        <v>2194</v>
      </c>
      <c r="E42" s="54">
        <v>30.66</v>
      </c>
      <c r="F42" s="13" t="e">
        <f>INDEX(Кат!$I:$I,MATCH(Прайс!$B42,Кат!$G:$G,0))</f>
        <v>#N/A</v>
      </c>
      <c r="G42" s="25" t="e">
        <f>INDEX(Кат!$A:$A,MATCH(Прайс!$B42,Кат!$G:$G,0))</f>
        <v>#N/A</v>
      </c>
    </row>
    <row r="43" spans="1:7" s="11" customFormat="1" ht="12.75" customHeight="1" x14ac:dyDescent="0.25">
      <c r="A43" s="52">
        <v>48</v>
      </c>
      <c r="B43" s="53" t="s">
        <v>237</v>
      </c>
      <c r="C43" s="53" t="s">
        <v>694</v>
      </c>
      <c r="D43" s="52" t="s">
        <v>2194</v>
      </c>
      <c r="E43" s="54">
        <v>152.66399999999999</v>
      </c>
      <c r="F43" s="13" t="str">
        <f>INDEX(Кат!$I:$I,MATCH(Прайс!$B43,Кат!$G:$G,0))</f>
        <v>БРТ</v>
      </c>
      <c r="G43" s="25">
        <f>INDEX(Кат!$A:$A,MATCH(Прайс!$B43,Кат!$G:$G,0))</f>
        <v>213358</v>
      </c>
    </row>
    <row r="44" spans="1:7" s="11" customFormat="1" ht="12.75" customHeight="1" x14ac:dyDescent="0.25">
      <c r="A44" s="52">
        <v>49</v>
      </c>
      <c r="B44" s="53" t="s">
        <v>239</v>
      </c>
      <c r="C44" s="53" t="s">
        <v>692</v>
      </c>
      <c r="D44" s="52" t="s">
        <v>2194</v>
      </c>
      <c r="E44" s="54">
        <v>272.31599999999997</v>
      </c>
      <c r="F44" s="13" t="str">
        <f>INDEX(Кат!$I:$I,MATCH(Прайс!$B44,Кат!$G:$G,0))</f>
        <v>БРТ</v>
      </c>
      <c r="G44" s="25">
        <f>INDEX(Кат!$A:$A,MATCH(Прайс!$B44,Кат!$G:$G,0))</f>
        <v>213354</v>
      </c>
    </row>
    <row r="45" spans="1:7" s="11" customFormat="1" ht="12.75" customHeight="1" x14ac:dyDescent="0.25">
      <c r="A45" s="52">
        <v>50</v>
      </c>
      <c r="B45" s="53" t="s">
        <v>272</v>
      </c>
      <c r="C45" s="53" t="s">
        <v>695</v>
      </c>
      <c r="D45" s="52" t="s">
        <v>2194</v>
      </c>
      <c r="E45" s="54">
        <v>40.235999999999997</v>
      </c>
      <c r="F45" s="13" t="str">
        <f>INDEX(Кат!$I:$I,MATCH(Прайс!$B45,Кат!$G:$G,0))</f>
        <v>БРТ</v>
      </c>
      <c r="G45" s="25">
        <f>INDEX(Кат!$A:$A,MATCH(Прайс!$B45,Кат!$G:$G,0))</f>
        <v>213303</v>
      </c>
    </row>
    <row r="46" spans="1:7" s="11" customFormat="1" ht="12.75" customHeight="1" x14ac:dyDescent="0.25">
      <c r="A46" s="52">
        <v>51</v>
      </c>
      <c r="B46" s="53" t="s">
        <v>273</v>
      </c>
      <c r="C46" s="53" t="s">
        <v>696</v>
      </c>
      <c r="D46" s="52" t="s">
        <v>2194</v>
      </c>
      <c r="E46" s="54">
        <v>41.136000000000003</v>
      </c>
      <c r="F46" s="13" t="str">
        <f>INDEX(Кат!$I:$I,MATCH(Прайс!$B46,Кат!$G:$G,0))</f>
        <v>БРТ</v>
      </c>
      <c r="G46" s="25">
        <f>INDEX(Кат!$A:$A,MATCH(Прайс!$B46,Кат!$G:$G,0))</f>
        <v>213302</v>
      </c>
    </row>
    <row r="47" spans="1:7" s="11" customFormat="1" ht="12.75" customHeight="1" x14ac:dyDescent="0.25">
      <c r="A47" s="52">
        <v>52</v>
      </c>
      <c r="B47" s="53" t="s">
        <v>260</v>
      </c>
      <c r="C47" s="53" t="s">
        <v>697</v>
      </c>
      <c r="D47" s="52" t="s">
        <v>2194</v>
      </c>
      <c r="E47" s="54">
        <v>33.744</v>
      </c>
      <c r="F47" s="13" t="str">
        <f>INDEX(Кат!$I:$I,MATCH(Прайс!$B47,Кат!$G:$G,0))</f>
        <v>БРТ</v>
      </c>
      <c r="G47" s="25">
        <f>INDEX(Кат!$A:$A,MATCH(Прайс!$B47,Кат!$G:$G,0))</f>
        <v>213305</v>
      </c>
    </row>
    <row r="48" spans="1:7" s="11" customFormat="1" ht="12.75" customHeight="1" x14ac:dyDescent="0.25">
      <c r="A48" s="52">
        <v>53</v>
      </c>
      <c r="B48" s="53" t="s">
        <v>261</v>
      </c>
      <c r="C48" s="53" t="s">
        <v>698</v>
      </c>
      <c r="D48" s="52" t="s">
        <v>2194</v>
      </c>
      <c r="E48" s="54">
        <v>33.744</v>
      </c>
      <c r="F48" s="13" t="str">
        <f>INDEX(Кат!$I:$I,MATCH(Прайс!$B48,Кат!$G:$G,0))</f>
        <v>БРТ</v>
      </c>
      <c r="G48" s="25">
        <f>INDEX(Кат!$A:$A,MATCH(Прайс!$B48,Кат!$G:$G,0))</f>
        <v>213304</v>
      </c>
    </row>
    <row r="49" spans="1:7" s="11" customFormat="1" ht="12.75" customHeight="1" x14ac:dyDescent="0.25">
      <c r="A49" s="52">
        <v>54</v>
      </c>
      <c r="B49" s="53" t="s">
        <v>699</v>
      </c>
      <c r="C49" s="53" t="s">
        <v>700</v>
      </c>
      <c r="D49" s="52" t="s">
        <v>2206</v>
      </c>
      <c r="E49" s="54">
        <v>30.202200000000001</v>
      </c>
      <c r="F49" s="13" t="str">
        <f>INDEX(Кат!$I:$I,MATCH(Прайс!$B49,Кат!$G:$G,0))</f>
        <v>БРТ</v>
      </c>
      <c r="G49" s="25">
        <f>INDEX(Кат!$A:$A,MATCH(Прайс!$B49,Кат!$G:$G,0))</f>
        <v>213306</v>
      </c>
    </row>
    <row r="50" spans="1:7" s="11" customFormat="1" ht="12.75" customHeight="1" x14ac:dyDescent="0.25">
      <c r="A50" s="52">
        <v>55</v>
      </c>
      <c r="B50" s="53" t="s">
        <v>262</v>
      </c>
      <c r="C50" s="53" t="s">
        <v>701</v>
      </c>
      <c r="D50" s="52" t="s">
        <v>2194</v>
      </c>
      <c r="E50" s="54">
        <v>40.043999999999997</v>
      </c>
      <c r="F50" s="13" t="str">
        <f>INDEX(Кат!$I:$I,MATCH(Прайс!$B50,Кат!$G:$G,0))</f>
        <v>БРТ</v>
      </c>
      <c r="G50" s="25">
        <f>INDEX(Кат!$A:$A,MATCH(Прайс!$B50,Кат!$G:$G,0))</f>
        <v>213294</v>
      </c>
    </row>
    <row r="51" spans="1:7" s="11" customFormat="1" ht="12.75" customHeight="1" x14ac:dyDescent="0.25">
      <c r="A51" s="52">
        <v>56</v>
      </c>
      <c r="B51" s="53" t="s">
        <v>263</v>
      </c>
      <c r="C51" s="53" t="s">
        <v>702</v>
      </c>
      <c r="D51" s="52" t="s">
        <v>2194</v>
      </c>
      <c r="E51" s="54">
        <v>40.043999999999997</v>
      </c>
      <c r="F51" s="13" t="str">
        <f>INDEX(Кат!$I:$I,MATCH(Прайс!$B51,Кат!$G:$G,0))</f>
        <v>БРТ</v>
      </c>
      <c r="G51" s="25">
        <f>INDEX(Кат!$A:$A,MATCH(Прайс!$B51,Кат!$G:$G,0))</f>
        <v>213295</v>
      </c>
    </row>
    <row r="52" spans="1:7" s="11" customFormat="1" ht="12.75" customHeight="1" x14ac:dyDescent="0.25">
      <c r="A52" s="52">
        <v>57</v>
      </c>
      <c r="B52" s="53" t="s">
        <v>256</v>
      </c>
      <c r="C52" s="53" t="s">
        <v>703</v>
      </c>
      <c r="D52" s="52" t="s">
        <v>2194</v>
      </c>
      <c r="E52" s="54">
        <v>40.727999999999994</v>
      </c>
      <c r="F52" s="13" t="str">
        <f>INDEX(Кат!$I:$I,MATCH(Прайс!$B52,Кат!$G:$G,0))</f>
        <v>БРТ</v>
      </c>
      <c r="G52" s="25">
        <f>INDEX(Кат!$A:$A,MATCH(Прайс!$B52,Кат!$G:$G,0))</f>
        <v>213315</v>
      </c>
    </row>
    <row r="53" spans="1:7" s="11" customFormat="1" ht="12.75" customHeight="1" x14ac:dyDescent="0.25">
      <c r="A53" s="52">
        <v>58</v>
      </c>
      <c r="B53" s="53" t="s">
        <v>255</v>
      </c>
      <c r="C53" s="53" t="s">
        <v>704</v>
      </c>
      <c r="D53" s="52" t="s">
        <v>2194</v>
      </c>
      <c r="E53" s="54">
        <v>31.02</v>
      </c>
      <c r="F53" s="13" t="str">
        <f>INDEX(Кат!$I:$I,MATCH(Прайс!$B53,Кат!$G:$G,0))</f>
        <v>БРТ</v>
      </c>
      <c r="G53" s="25">
        <f>INDEX(Кат!$A:$A,MATCH(Прайс!$B53,Кат!$G:$G,0))</f>
        <v>213366</v>
      </c>
    </row>
    <row r="54" spans="1:7" s="11" customFormat="1" ht="12.75" customHeight="1" x14ac:dyDescent="0.25">
      <c r="A54" s="52">
        <v>59</v>
      </c>
      <c r="B54" s="53" t="s">
        <v>274</v>
      </c>
      <c r="C54" s="53" t="s">
        <v>705</v>
      </c>
      <c r="D54" s="52" t="s">
        <v>2194</v>
      </c>
      <c r="E54" s="54">
        <v>23.904</v>
      </c>
      <c r="F54" s="13" t="str">
        <f>INDEX(Кат!$I:$I,MATCH(Прайс!$B54,Кат!$G:$G,0))</f>
        <v>БРТ</v>
      </c>
      <c r="G54" s="25">
        <f>INDEX(Кат!$A:$A,MATCH(Прайс!$B54,Кат!$G:$G,0))</f>
        <v>213290</v>
      </c>
    </row>
    <row r="55" spans="1:7" s="11" customFormat="1" ht="12.75" customHeight="1" x14ac:dyDescent="0.25">
      <c r="A55" s="52">
        <v>60</v>
      </c>
      <c r="B55" s="53" t="s">
        <v>275</v>
      </c>
      <c r="C55" s="53" t="s">
        <v>706</v>
      </c>
      <c r="D55" s="52" t="s">
        <v>2194</v>
      </c>
      <c r="E55" s="54">
        <v>23.555999999999997</v>
      </c>
      <c r="F55" s="13" t="str">
        <f>INDEX(Кат!$I:$I,MATCH(Прайс!$B55,Кат!$G:$G,0))</f>
        <v>БРТ</v>
      </c>
      <c r="G55" s="25">
        <f>INDEX(Кат!$A:$A,MATCH(Прайс!$B55,Кат!$G:$G,0))</f>
        <v>213291</v>
      </c>
    </row>
    <row r="56" spans="1:7" s="11" customFormat="1" ht="12.75" customHeight="1" x14ac:dyDescent="0.25">
      <c r="A56" s="52">
        <v>61</v>
      </c>
      <c r="B56" s="53" t="s">
        <v>316</v>
      </c>
      <c r="C56" s="53" t="s">
        <v>707</v>
      </c>
      <c r="D56" s="52" t="s">
        <v>2194</v>
      </c>
      <c r="E56" s="54">
        <v>144.50399999999999</v>
      </c>
      <c r="F56" s="13" t="str">
        <f>INDEX(Кат!$I:$I,MATCH(Прайс!$B56,Кат!$G:$G,0))</f>
        <v>БРТ</v>
      </c>
      <c r="G56" s="25">
        <f>INDEX(Кат!$A:$A,MATCH(Прайс!$B56,Кат!$G:$G,0))</f>
        <v>213345</v>
      </c>
    </row>
    <row r="57" spans="1:7" s="11" customFormat="1" ht="12.75" customHeight="1" x14ac:dyDescent="0.25">
      <c r="A57" s="52">
        <v>62</v>
      </c>
      <c r="B57" s="53" t="s">
        <v>317</v>
      </c>
      <c r="C57" s="53" t="s">
        <v>692</v>
      </c>
      <c r="D57" s="52" t="s">
        <v>2194</v>
      </c>
      <c r="E57" s="54">
        <v>258.084</v>
      </c>
      <c r="F57" s="13" t="str">
        <f>INDEX(Кат!$I:$I,MATCH(Прайс!$B57,Кат!$G:$G,0))</f>
        <v>БРТ</v>
      </c>
      <c r="G57" s="25">
        <f>INDEX(Кат!$A:$A,MATCH(Прайс!$B57,Кат!$G:$G,0))</f>
        <v>213297</v>
      </c>
    </row>
    <row r="58" spans="1:7" s="11" customFormat="1" ht="12.75" customHeight="1" x14ac:dyDescent="0.25">
      <c r="A58" s="52">
        <v>63</v>
      </c>
      <c r="B58" s="53" t="s">
        <v>337</v>
      </c>
      <c r="C58" s="53" t="s">
        <v>704</v>
      </c>
      <c r="D58" s="52" t="s">
        <v>2194</v>
      </c>
      <c r="E58" s="54">
        <v>36.815999999999995</v>
      </c>
      <c r="F58" s="13" t="str">
        <f>INDEX(Кат!$I:$I,MATCH(Прайс!$B58,Кат!$G:$G,0))</f>
        <v>БРТ</v>
      </c>
      <c r="G58" s="25">
        <f>INDEX(Кат!$A:$A,MATCH(Прайс!$B58,Кат!$G:$G,0))</f>
        <v>213373</v>
      </c>
    </row>
    <row r="59" spans="1:7" s="11" customFormat="1" ht="12.75" customHeight="1" x14ac:dyDescent="0.25">
      <c r="A59" s="52">
        <v>64</v>
      </c>
      <c r="B59" s="53" t="s">
        <v>393</v>
      </c>
      <c r="C59" s="53" t="s">
        <v>704</v>
      </c>
      <c r="D59" s="52" t="s">
        <v>2194</v>
      </c>
      <c r="E59" s="54">
        <v>68.843999999999994</v>
      </c>
      <c r="F59" s="13" t="str">
        <f>INDEX(Кат!$I:$I,MATCH(Прайс!$B59,Кат!$G:$G,0))</f>
        <v>БРТ</v>
      </c>
      <c r="G59" s="25">
        <f>INDEX(Кат!$A:$A,MATCH(Прайс!$B59,Кат!$G:$G,0))</f>
        <v>213298</v>
      </c>
    </row>
    <row r="60" spans="1:7" s="11" customFormat="1" ht="12.75" customHeight="1" x14ac:dyDescent="0.25">
      <c r="A60" s="52">
        <v>65</v>
      </c>
      <c r="B60" s="53" t="s">
        <v>338</v>
      </c>
      <c r="C60" s="53" t="s">
        <v>708</v>
      </c>
      <c r="D60" s="52" t="s">
        <v>2194</v>
      </c>
      <c r="E60" s="54">
        <v>22.547999999999998</v>
      </c>
      <c r="F60" s="13" t="str">
        <f>INDEX(Кат!$I:$I,MATCH(Прайс!$B60,Кат!$G:$G,0))</f>
        <v>БРТ</v>
      </c>
      <c r="G60" s="25">
        <f>INDEX(Кат!$A:$A,MATCH(Прайс!$B60,Кат!$G:$G,0))</f>
        <v>213314</v>
      </c>
    </row>
    <row r="61" spans="1:7" s="11" customFormat="1" ht="12.75" customHeight="1" x14ac:dyDescent="0.25">
      <c r="A61" s="52">
        <v>66</v>
      </c>
      <c r="B61" s="53" t="s">
        <v>709</v>
      </c>
      <c r="C61" s="53" t="s">
        <v>710</v>
      </c>
      <c r="D61" s="52" t="s">
        <v>2194</v>
      </c>
      <c r="E61" s="54">
        <v>28.799999999999997</v>
      </c>
      <c r="F61" s="13" t="str">
        <f>INDEX(Кат!$I:$I,MATCH(Прайс!$B61,Кат!$G:$G,0))</f>
        <v>БРТ</v>
      </c>
      <c r="G61" s="25">
        <f>INDEX(Кат!$A:$A,MATCH(Прайс!$B61,Кат!$G:$G,0))</f>
        <v>213313</v>
      </c>
    </row>
    <row r="62" spans="1:7" s="11" customFormat="1" ht="12.75" customHeight="1" x14ac:dyDescent="0.25">
      <c r="A62" s="52">
        <v>67</v>
      </c>
      <c r="B62" s="53" t="s">
        <v>711</v>
      </c>
      <c r="C62" s="53" t="s">
        <v>712</v>
      </c>
      <c r="D62" s="52" t="s">
        <v>2194</v>
      </c>
      <c r="E62" s="54">
        <v>34.716000000000001</v>
      </c>
      <c r="F62" s="13" t="str">
        <f>INDEX(Кат!$I:$I,MATCH(Прайс!$B62,Кат!$G:$G,0))</f>
        <v>БРТ</v>
      </c>
      <c r="G62" s="25">
        <f>INDEX(Кат!$A:$A,MATCH(Прайс!$B62,Кат!$G:$G,0))</f>
        <v>213389</v>
      </c>
    </row>
    <row r="63" spans="1:7" s="11" customFormat="1" ht="12.75" customHeight="1" x14ac:dyDescent="0.25">
      <c r="A63" s="52">
        <v>68</v>
      </c>
      <c r="B63" s="53" t="s">
        <v>449</v>
      </c>
      <c r="C63" s="53" t="s">
        <v>695</v>
      </c>
      <c r="D63" s="52" t="s">
        <v>2194</v>
      </c>
      <c r="E63" s="54">
        <v>43.691999999999993</v>
      </c>
      <c r="F63" s="13" t="str">
        <f>INDEX(Кат!$I:$I,MATCH(Прайс!$B63,Кат!$G:$G,0))</f>
        <v>БРТ</v>
      </c>
      <c r="G63" s="25">
        <f>INDEX(Кат!$A:$A,MATCH(Прайс!$B63,Кат!$G:$G,0))</f>
        <v>213301</v>
      </c>
    </row>
    <row r="64" spans="1:7" s="11" customFormat="1" ht="12.75" customHeight="1" x14ac:dyDescent="0.25">
      <c r="A64" s="52">
        <v>69</v>
      </c>
      <c r="B64" s="53" t="s">
        <v>450</v>
      </c>
      <c r="C64" s="53" t="s">
        <v>696</v>
      </c>
      <c r="D64" s="52" t="s">
        <v>2194</v>
      </c>
      <c r="E64" s="54">
        <v>43.691999999999993</v>
      </c>
      <c r="F64" s="13" t="str">
        <f>INDEX(Кат!$I:$I,MATCH(Прайс!$B64,Кат!$G:$G,0))</f>
        <v>БРТ</v>
      </c>
      <c r="G64" s="25">
        <f>INDEX(Кат!$A:$A,MATCH(Прайс!$B64,Кат!$G:$G,0))</f>
        <v>213300</v>
      </c>
    </row>
    <row r="65" spans="1:7" s="11" customFormat="1" ht="12.75" customHeight="1" x14ac:dyDescent="0.25">
      <c r="A65" s="52">
        <v>70</v>
      </c>
      <c r="B65" s="53" t="s">
        <v>445</v>
      </c>
      <c r="C65" s="53" t="s">
        <v>713</v>
      </c>
      <c r="D65" s="52" t="s">
        <v>2194</v>
      </c>
      <c r="E65" s="54">
        <v>50.856000000000002</v>
      </c>
      <c r="F65" s="13" t="str">
        <f>INDEX(Кат!$I:$I,MATCH(Прайс!$B65,Кат!$G:$G,0))</f>
        <v>БРТ</v>
      </c>
      <c r="G65" s="25">
        <f>INDEX(Кат!$A:$A,MATCH(Прайс!$B65,Кат!$G:$G,0))</f>
        <v>213312</v>
      </c>
    </row>
    <row r="66" spans="1:7" s="11" customFormat="1" ht="12.75" customHeight="1" x14ac:dyDescent="0.25">
      <c r="A66" s="52">
        <v>71</v>
      </c>
      <c r="B66" s="53" t="s">
        <v>446</v>
      </c>
      <c r="C66" s="53" t="s">
        <v>714</v>
      </c>
      <c r="D66" s="52" t="s">
        <v>2194</v>
      </c>
      <c r="E66" s="54">
        <v>50.856000000000002</v>
      </c>
      <c r="F66" s="13" t="str">
        <f>INDEX(Кат!$I:$I,MATCH(Прайс!$B66,Кат!$G:$G,0))</f>
        <v>БРТ</v>
      </c>
      <c r="G66" s="25">
        <f>INDEX(Кат!$A:$A,MATCH(Прайс!$B66,Кат!$G:$G,0))</f>
        <v>213311</v>
      </c>
    </row>
    <row r="67" spans="1:7" s="11" customFormat="1" ht="12.75" customHeight="1" x14ac:dyDescent="0.25">
      <c r="A67" s="52">
        <v>72</v>
      </c>
      <c r="B67" s="53" t="s">
        <v>715</v>
      </c>
      <c r="C67" s="53" t="s">
        <v>716</v>
      </c>
      <c r="D67" s="52" t="s">
        <v>2194</v>
      </c>
      <c r="E67" s="54">
        <v>57.947999999999993</v>
      </c>
      <c r="F67" s="13" t="str">
        <f>INDEX(Кат!$I:$I,MATCH(Прайс!$B67,Кат!$G:$G,0))</f>
        <v>БРТ</v>
      </c>
      <c r="G67" s="25">
        <f>INDEX(Кат!$A:$A,MATCH(Прайс!$B67,Кат!$G:$G,0))</f>
        <v>213386</v>
      </c>
    </row>
    <row r="68" spans="1:7" s="11" customFormat="1" ht="12.75" customHeight="1" x14ac:dyDescent="0.25">
      <c r="A68" s="52">
        <v>73</v>
      </c>
      <c r="B68" s="53" t="s">
        <v>717</v>
      </c>
      <c r="C68" s="53" t="s">
        <v>718</v>
      </c>
      <c r="D68" s="52" t="s">
        <v>2194</v>
      </c>
      <c r="E68" s="54">
        <v>44.268000000000001</v>
      </c>
      <c r="F68" s="13" t="str">
        <f>INDEX(Кат!$I:$I,MATCH(Прайс!$B68,Кат!$G:$G,0))</f>
        <v>БРТ</v>
      </c>
      <c r="G68" s="25">
        <f>INDEX(Кат!$A:$A,MATCH(Прайс!$B68,Кат!$G:$G,0))</f>
        <v>213308</v>
      </c>
    </row>
    <row r="69" spans="1:7" s="11" customFormat="1" ht="12.75" customHeight="1" x14ac:dyDescent="0.25">
      <c r="A69" s="52">
        <v>74</v>
      </c>
      <c r="B69" s="53" t="s">
        <v>719</v>
      </c>
      <c r="C69" s="53" t="s">
        <v>720</v>
      </c>
      <c r="D69" s="52" t="s">
        <v>2194</v>
      </c>
      <c r="E69" s="54">
        <v>84</v>
      </c>
      <c r="F69" s="13" t="str">
        <f>INDEX(Кат!$I:$I,MATCH(Прайс!$B69,Кат!$G:$G,0))</f>
        <v>БРТ</v>
      </c>
      <c r="G69" s="25">
        <f>INDEX(Кат!$A:$A,MATCH(Прайс!$B69,Кат!$G:$G,0))</f>
        <v>213292</v>
      </c>
    </row>
    <row r="70" spans="1:7" s="11" customFormat="1" ht="12.75" customHeight="1" x14ac:dyDescent="0.25">
      <c r="A70" s="52">
        <v>75</v>
      </c>
      <c r="B70" s="53" t="s">
        <v>721</v>
      </c>
      <c r="C70" s="53" t="s">
        <v>722</v>
      </c>
      <c r="D70" s="52" t="s">
        <v>2194</v>
      </c>
      <c r="E70" s="54">
        <v>84</v>
      </c>
      <c r="F70" s="13" t="str">
        <f>INDEX(Кат!$I:$I,MATCH(Прайс!$B70,Кат!$G:$G,0))</f>
        <v>БРТ</v>
      </c>
      <c r="G70" s="25">
        <f>INDEX(Кат!$A:$A,MATCH(Прайс!$B70,Кат!$G:$G,0))</f>
        <v>213289</v>
      </c>
    </row>
    <row r="71" spans="1:7" s="11" customFormat="1" ht="12.6" customHeight="1" x14ac:dyDescent="0.25">
      <c r="A71" s="52">
        <v>76</v>
      </c>
      <c r="B71" s="53" t="s">
        <v>723</v>
      </c>
      <c r="C71" s="53" t="s">
        <v>724</v>
      </c>
      <c r="D71" s="52" t="s">
        <v>2194</v>
      </c>
      <c r="E71" s="54">
        <v>176.76000000000002</v>
      </c>
      <c r="F71" s="13" t="str">
        <f>INDEX(Кат!$I:$I,MATCH(Прайс!$B71,Кат!$G:$G,0))</f>
        <v>БРТ</v>
      </c>
      <c r="G71" s="25">
        <f>INDEX(Кат!$A:$A,MATCH(Прайс!$B71,Кат!$G:$G,0))</f>
        <v>213293</v>
      </c>
    </row>
    <row r="72" spans="1:7" s="11" customFormat="1" ht="12.75" customHeight="1" x14ac:dyDescent="0.25">
      <c r="A72" s="52">
        <v>77</v>
      </c>
      <c r="B72" s="53" t="s">
        <v>725</v>
      </c>
      <c r="C72" s="53" t="s">
        <v>726</v>
      </c>
      <c r="D72" s="52" t="s">
        <v>2206</v>
      </c>
      <c r="E72" s="54">
        <v>107.28</v>
      </c>
      <c r="F72" s="13" t="str">
        <f>INDEX(Кат!$I:$I,MATCH(Прайс!$B72,Кат!$G:$G,0))</f>
        <v>БРТ</v>
      </c>
      <c r="G72" s="25">
        <f>INDEX(Кат!$A:$A,MATCH(Прайс!$B72,Кат!$G:$G,0))</f>
        <v>213309</v>
      </c>
    </row>
    <row r="73" spans="1:7" s="11" customFormat="1" ht="12.75" customHeight="1" x14ac:dyDescent="0.25">
      <c r="A73" s="52">
        <v>78</v>
      </c>
      <c r="B73" s="53" t="s">
        <v>727</v>
      </c>
      <c r="C73" s="53" t="s">
        <v>704</v>
      </c>
      <c r="D73" s="52" t="s">
        <v>2194</v>
      </c>
      <c r="E73" s="54">
        <v>37.86</v>
      </c>
      <c r="F73" s="13" t="str">
        <f>INDEX(Кат!$I:$I,MATCH(Прайс!$B73,Кат!$G:$G,0))</f>
        <v>БРТ</v>
      </c>
      <c r="G73" s="25">
        <f>INDEX(Кат!$A:$A,MATCH(Прайс!$B73,Кат!$G:$G,0))</f>
        <v>213299</v>
      </c>
    </row>
    <row r="74" spans="1:7" s="11" customFormat="1" ht="12.75" customHeight="1" x14ac:dyDescent="0.25">
      <c r="A74" s="52">
        <v>79</v>
      </c>
      <c r="B74" s="61"/>
      <c r="C74" s="62" t="s">
        <v>728</v>
      </c>
      <c r="D74" s="61"/>
      <c r="E74" s="54">
        <v>0</v>
      </c>
      <c r="F74" s="13" t="e">
        <f>INDEX(Кат!$I:$I,MATCH(Прайс!$B74,Кат!$G:$G,0))</f>
        <v>#N/A</v>
      </c>
      <c r="G74" s="25" t="e">
        <f>INDEX(Кат!$A:$A,MATCH(Прайс!$B74,Кат!$G:$G,0))</f>
        <v>#N/A</v>
      </c>
    </row>
    <row r="75" spans="1:7" s="11" customFormat="1" ht="12.75" customHeight="1" x14ac:dyDescent="0.25">
      <c r="A75" s="52">
        <v>80</v>
      </c>
      <c r="B75" s="53" t="s">
        <v>252</v>
      </c>
      <c r="C75" s="53" t="s">
        <v>729</v>
      </c>
      <c r="D75" s="52" t="s">
        <v>2194</v>
      </c>
      <c r="E75" s="54">
        <v>68.652000000000001</v>
      </c>
      <c r="F75" s="13" t="str">
        <f>INDEX(Кат!$I:$I,MATCH(Прайс!$B75,Кат!$G:$G,0))</f>
        <v>БРТ</v>
      </c>
      <c r="G75" s="25">
        <f>INDEX(Кат!$A:$A,MATCH(Прайс!$B75,Кат!$G:$G,0))</f>
        <v>224906</v>
      </c>
    </row>
    <row r="76" spans="1:7" s="11" customFormat="1" ht="12.75" customHeight="1" x14ac:dyDescent="0.25">
      <c r="A76" s="52">
        <v>81</v>
      </c>
      <c r="B76" s="58" t="s">
        <v>336</v>
      </c>
      <c r="C76" s="58" t="s">
        <v>729</v>
      </c>
      <c r="D76" s="52" t="s">
        <v>2194</v>
      </c>
      <c r="E76" s="54">
        <v>148.58399999999997</v>
      </c>
      <c r="F76" s="13" t="str">
        <f>INDEX(Кат!$I:$I,MATCH(Прайс!$B76,Кат!$G:$G,0))</f>
        <v>БРТ</v>
      </c>
      <c r="G76" s="25">
        <f>INDEX(Кат!$A:$A,MATCH(Прайс!$B76,Кат!$G:$G,0))</f>
        <v>224907</v>
      </c>
    </row>
    <row r="77" spans="1:7" s="11" customFormat="1" ht="12.75" customHeight="1" x14ac:dyDescent="0.25">
      <c r="A77" s="52">
        <v>82</v>
      </c>
      <c r="B77" s="58" t="s">
        <v>392</v>
      </c>
      <c r="C77" s="58" t="s">
        <v>729</v>
      </c>
      <c r="D77" s="52" t="s">
        <v>2194</v>
      </c>
      <c r="E77" s="54">
        <v>74.099999999999994</v>
      </c>
      <c r="F77" s="13" t="str">
        <f>INDEX(Кат!$I:$I,MATCH(Прайс!$B77,Кат!$G:$G,0))</f>
        <v>БРТ</v>
      </c>
      <c r="G77" s="25">
        <f>INDEX(Кат!$A:$A,MATCH(Прайс!$B77,Кат!$G:$G,0))</f>
        <v>224908</v>
      </c>
    </row>
    <row r="78" spans="1:7" s="11" customFormat="1" ht="12.75" customHeight="1" x14ac:dyDescent="0.25">
      <c r="A78" s="52">
        <v>83</v>
      </c>
      <c r="B78" s="53" t="s">
        <v>339</v>
      </c>
      <c r="C78" s="53" t="s">
        <v>730</v>
      </c>
      <c r="D78" s="52" t="s">
        <v>2194</v>
      </c>
      <c r="E78" s="54">
        <v>200.196</v>
      </c>
      <c r="F78" s="13" t="str">
        <f>INDEX(Кат!$I:$I,MATCH(Прайс!$B78,Кат!$G:$G,0))</f>
        <v>БРТ</v>
      </c>
      <c r="G78" s="25">
        <f>INDEX(Кат!$A:$A,MATCH(Прайс!$B78,Кат!$G:$G,0))</f>
        <v>225058</v>
      </c>
    </row>
    <row r="79" spans="1:7" s="11" customFormat="1" ht="12.75" customHeight="1" x14ac:dyDescent="0.25">
      <c r="A79" s="52">
        <v>84</v>
      </c>
      <c r="B79" s="53" t="s">
        <v>220</v>
      </c>
      <c r="C79" s="53" t="s">
        <v>731</v>
      </c>
      <c r="D79" s="52" t="s">
        <v>2194</v>
      </c>
      <c r="E79" s="54">
        <v>159.096</v>
      </c>
      <c r="F79" s="13" t="str">
        <f>INDEX(Кат!$I:$I,MATCH(Прайс!$B79,Кат!$G:$G,0))</f>
        <v>БРТ</v>
      </c>
      <c r="G79" s="25">
        <f>INDEX(Кат!$A:$A,MATCH(Прайс!$B79,Кат!$G:$G,0))</f>
        <v>202113</v>
      </c>
    </row>
    <row r="80" spans="1:7" s="11" customFormat="1" ht="12.75" customHeight="1" x14ac:dyDescent="0.25">
      <c r="A80" s="52">
        <v>85</v>
      </c>
      <c r="B80" s="53" t="s">
        <v>258</v>
      </c>
      <c r="C80" s="53" t="s">
        <v>732</v>
      </c>
      <c r="D80" s="52" t="s">
        <v>2194</v>
      </c>
      <c r="E80" s="54">
        <v>173.172</v>
      </c>
      <c r="F80" s="13" t="str">
        <f>INDEX(Кат!$I:$I,MATCH(Прайс!$B80,Кат!$G:$G,0))</f>
        <v>БРТ</v>
      </c>
      <c r="G80" s="25">
        <f>INDEX(Кат!$A:$A,MATCH(Прайс!$B80,Кат!$G:$G,0))</f>
        <v>225366</v>
      </c>
    </row>
    <row r="81" spans="1:7" s="11" customFormat="1" ht="12.75" customHeight="1" x14ac:dyDescent="0.25">
      <c r="A81" s="52">
        <v>86</v>
      </c>
      <c r="B81" s="53" t="s">
        <v>257</v>
      </c>
      <c r="C81" s="53" t="s">
        <v>733</v>
      </c>
      <c r="D81" s="52" t="s">
        <v>2194</v>
      </c>
      <c r="E81" s="54">
        <v>64.272000000000006</v>
      </c>
      <c r="F81" s="13" t="str">
        <f>INDEX(Кат!$I:$I,MATCH(Прайс!$B81,Кат!$G:$G,0))</f>
        <v>БРТ</v>
      </c>
      <c r="G81" s="25">
        <f>INDEX(Кат!$A:$A,MATCH(Прайс!$B81,Кат!$G:$G,0))</f>
        <v>225365</v>
      </c>
    </row>
    <row r="82" spans="1:7" s="11" customFormat="1" ht="12.75" customHeight="1" x14ac:dyDescent="0.25">
      <c r="A82" s="52">
        <v>87</v>
      </c>
      <c r="B82" s="53" t="s">
        <v>342</v>
      </c>
      <c r="C82" s="53" t="s">
        <v>734</v>
      </c>
      <c r="D82" s="52" t="s">
        <v>2194</v>
      </c>
      <c r="E82" s="54">
        <v>178.11600000000001</v>
      </c>
      <c r="F82" s="13" t="str">
        <f>INDEX(Кат!$I:$I,MATCH(Прайс!$B82,Кат!$G:$G,0))</f>
        <v>БРТ</v>
      </c>
      <c r="G82" s="25">
        <f>INDEX(Кат!$A:$A,MATCH(Прайс!$B82,Кат!$G:$G,0))</f>
        <v>202086</v>
      </c>
    </row>
    <row r="83" spans="1:7" s="11" customFormat="1" ht="12.75" customHeight="1" x14ac:dyDescent="0.25">
      <c r="A83" s="52">
        <v>88</v>
      </c>
      <c r="B83" s="53" t="s">
        <v>341</v>
      </c>
      <c r="C83" s="53" t="s">
        <v>735</v>
      </c>
      <c r="D83" s="52" t="s">
        <v>2194</v>
      </c>
      <c r="E83" s="54">
        <v>173.196</v>
      </c>
      <c r="F83" s="13" t="str">
        <f>INDEX(Кат!$I:$I,MATCH(Прайс!$B83,Кат!$G:$G,0))</f>
        <v>БРТ</v>
      </c>
      <c r="G83" s="25">
        <f>INDEX(Кат!$A:$A,MATCH(Прайс!$B83,Кат!$G:$G,0))</f>
        <v>202090</v>
      </c>
    </row>
    <row r="84" spans="1:7" s="11" customFormat="1" ht="12.75" customHeight="1" x14ac:dyDescent="0.25">
      <c r="A84" s="52">
        <v>89</v>
      </c>
      <c r="B84" s="53" t="s">
        <v>444</v>
      </c>
      <c r="C84" s="53" t="s">
        <v>734</v>
      </c>
      <c r="D84" s="52" t="s">
        <v>2194</v>
      </c>
      <c r="E84" s="54">
        <v>223.86</v>
      </c>
      <c r="F84" s="13" t="str">
        <f>INDEX(Кат!$I:$I,MATCH(Прайс!$B84,Кат!$G:$G,0))</f>
        <v>БРТ</v>
      </c>
      <c r="G84" s="25">
        <f>INDEX(Кат!$A:$A,MATCH(Прайс!$B84,Кат!$G:$G,0))</f>
        <v>202087</v>
      </c>
    </row>
    <row r="85" spans="1:7" s="11" customFormat="1" ht="12.75" customHeight="1" x14ac:dyDescent="0.25">
      <c r="A85" s="52">
        <v>90</v>
      </c>
      <c r="B85" s="53" t="s">
        <v>443</v>
      </c>
      <c r="C85" s="53" t="s">
        <v>736</v>
      </c>
      <c r="D85" s="52" t="s">
        <v>2194</v>
      </c>
      <c r="E85" s="54">
        <v>165.25200000000001</v>
      </c>
      <c r="F85" s="13" t="str">
        <f>INDEX(Кат!$I:$I,MATCH(Прайс!$B85,Кат!$G:$G,0))</f>
        <v>БРТ</v>
      </c>
      <c r="G85" s="25">
        <f>INDEX(Кат!$A:$A,MATCH(Прайс!$B85,Кат!$G:$G,0))</f>
        <v>202088</v>
      </c>
    </row>
    <row r="86" spans="1:7" s="11" customFormat="1" ht="12.75" customHeight="1" x14ac:dyDescent="0.25">
      <c r="A86" s="52">
        <v>91</v>
      </c>
      <c r="B86" s="53" t="s">
        <v>468</v>
      </c>
      <c r="C86" s="53" t="s">
        <v>736</v>
      </c>
      <c r="D86" s="52" t="s">
        <v>2194</v>
      </c>
      <c r="E86" s="54">
        <v>186.96</v>
      </c>
      <c r="F86" s="13" t="str">
        <f>INDEX(Кат!$I:$I,MATCH(Прайс!$B86,Кат!$G:$G,0))</f>
        <v>БРТ</v>
      </c>
      <c r="G86" s="25">
        <f>INDEX(Кат!$A:$A,MATCH(Прайс!$B86,Кат!$G:$G,0))</f>
        <v>202089</v>
      </c>
    </row>
    <row r="87" spans="1:7" s="11" customFormat="1" ht="12.75" customHeight="1" x14ac:dyDescent="0.25">
      <c r="A87" s="52">
        <v>92</v>
      </c>
      <c r="B87" s="58" t="s">
        <v>548</v>
      </c>
      <c r="C87" s="58" t="s">
        <v>736</v>
      </c>
      <c r="D87" s="52" t="s">
        <v>2194</v>
      </c>
      <c r="E87" s="54">
        <v>138.816</v>
      </c>
      <c r="F87" s="13" t="e">
        <f>INDEX(Кат!$I:$I,MATCH(Прайс!$B87,Кат!$G:$G,0))</f>
        <v>#N/A</v>
      </c>
      <c r="G87" s="25" t="e">
        <f>INDEX(Кат!$A:$A,MATCH(Прайс!$B87,Кат!$G:$G,0))</f>
        <v>#N/A</v>
      </c>
    </row>
    <row r="88" spans="1:7" s="11" customFormat="1" ht="12.75" customHeight="1" x14ac:dyDescent="0.25">
      <c r="A88" s="52">
        <v>93</v>
      </c>
      <c r="B88" s="58" t="s">
        <v>549</v>
      </c>
      <c r="C88" s="58" t="s">
        <v>734</v>
      </c>
      <c r="D88" s="52" t="s">
        <v>2194</v>
      </c>
      <c r="E88" s="54">
        <v>145.27199999999999</v>
      </c>
      <c r="F88" s="13" t="e">
        <f>INDEX(Кат!$I:$I,MATCH(Прайс!$B88,Кат!$G:$G,0))</f>
        <v>#N/A</v>
      </c>
      <c r="G88" s="25" t="e">
        <f>INDEX(Кат!$A:$A,MATCH(Прайс!$B88,Кат!$G:$G,0))</f>
        <v>#N/A</v>
      </c>
    </row>
    <row r="89" spans="1:7" s="11" customFormat="1" ht="12.75" customHeight="1" x14ac:dyDescent="0.25">
      <c r="A89" s="52">
        <v>94</v>
      </c>
      <c r="B89" s="53" t="s">
        <v>271</v>
      </c>
      <c r="C89" s="53" t="s">
        <v>737</v>
      </c>
      <c r="D89" s="52" t="s">
        <v>2194</v>
      </c>
      <c r="E89" s="54">
        <v>49.163999999999994</v>
      </c>
      <c r="F89" s="13" t="str">
        <f>INDEX(Кат!$I:$I,MATCH(Прайс!$B89,Кат!$G:$G,0))</f>
        <v>БРТ</v>
      </c>
      <c r="G89" s="25">
        <f>INDEX(Кат!$A:$A,MATCH(Прайс!$B89,Кат!$G:$G,0))</f>
        <v>158105</v>
      </c>
    </row>
    <row r="90" spans="1:7" s="11" customFormat="1" ht="12.75" customHeight="1" x14ac:dyDescent="0.25">
      <c r="A90" s="52">
        <v>95</v>
      </c>
      <c r="B90" s="53" t="s">
        <v>354</v>
      </c>
      <c r="C90" s="53" t="s">
        <v>738</v>
      </c>
      <c r="D90" s="52" t="s">
        <v>2194</v>
      </c>
      <c r="E90" s="54">
        <v>37.728000000000002</v>
      </c>
      <c r="F90" s="13" t="str">
        <f>INDEX(Кат!$I:$I,MATCH(Прайс!$B90,Кат!$G:$G,0))</f>
        <v>БРТ</v>
      </c>
      <c r="G90" s="25">
        <f>INDEX(Кат!$A:$A,MATCH(Прайс!$B90,Кат!$G:$G,0))</f>
        <v>202084</v>
      </c>
    </row>
    <row r="91" spans="1:7" s="11" customFormat="1" ht="12.75" customHeight="1" x14ac:dyDescent="0.25">
      <c r="A91" s="52">
        <v>96</v>
      </c>
      <c r="B91" s="53" t="s">
        <v>264</v>
      </c>
      <c r="C91" s="53" t="s">
        <v>739</v>
      </c>
      <c r="D91" s="52" t="s">
        <v>2194</v>
      </c>
      <c r="E91" s="54">
        <v>62.171999999999997</v>
      </c>
      <c r="F91" s="13" t="str">
        <f>INDEX(Кат!$I:$I,MATCH(Прайс!$B91,Кат!$G:$G,0))</f>
        <v>БРТ</v>
      </c>
      <c r="G91" s="25">
        <f>INDEX(Кат!$A:$A,MATCH(Прайс!$B91,Кат!$G:$G,0))</f>
        <v>225060</v>
      </c>
    </row>
    <row r="92" spans="1:7" s="11" customFormat="1" ht="12.75" customHeight="1" x14ac:dyDescent="0.25">
      <c r="A92" s="52">
        <v>97</v>
      </c>
      <c r="B92" s="53" t="s">
        <v>397</v>
      </c>
      <c r="C92" s="53" t="s">
        <v>739</v>
      </c>
      <c r="D92" s="52" t="s">
        <v>2194</v>
      </c>
      <c r="E92" s="54">
        <v>77.327999999999989</v>
      </c>
      <c r="F92" s="13" t="str">
        <f>INDEX(Кат!$I:$I,MATCH(Прайс!$B92,Кат!$G:$G,0))</f>
        <v>БРТ</v>
      </c>
      <c r="G92" s="25">
        <f>INDEX(Кат!$A:$A,MATCH(Прайс!$B92,Кат!$G:$G,0))</f>
        <v>225055</v>
      </c>
    </row>
    <row r="93" spans="1:7" s="11" customFormat="1" ht="12.75" customHeight="1" x14ac:dyDescent="0.25">
      <c r="A93" s="52">
        <v>98</v>
      </c>
      <c r="B93" s="53" t="s">
        <v>467</v>
      </c>
      <c r="C93" s="53" t="s">
        <v>740</v>
      </c>
      <c r="D93" s="52" t="s">
        <v>2194</v>
      </c>
      <c r="E93" s="54">
        <v>106.02</v>
      </c>
      <c r="F93" s="13" t="str">
        <f>INDEX(Кат!$I:$I,MATCH(Прайс!$B93,Кат!$G:$G,0))</f>
        <v>БРТ</v>
      </c>
      <c r="G93" s="25">
        <f>INDEX(Кат!$A:$A,MATCH(Прайс!$B93,Кат!$G:$G,0))</f>
        <v>202085</v>
      </c>
    </row>
    <row r="94" spans="1:7" s="11" customFormat="1" ht="12.75" customHeight="1" x14ac:dyDescent="0.25">
      <c r="A94" s="52">
        <v>99</v>
      </c>
      <c r="B94" s="53" t="s">
        <v>253</v>
      </c>
      <c r="C94" s="53" t="s">
        <v>741</v>
      </c>
      <c r="D94" s="52" t="s">
        <v>2194</v>
      </c>
      <c r="E94" s="54">
        <v>18.876000000000001</v>
      </c>
      <c r="F94" s="13" t="str">
        <f>INDEX(Кат!$I:$I,MATCH(Прайс!$B94,Кат!$G:$G,0))</f>
        <v>БРТ</v>
      </c>
      <c r="G94" s="25">
        <f>INDEX(Кат!$A:$A,MATCH(Прайс!$B94,Кат!$G:$G,0))</f>
        <v>202083</v>
      </c>
    </row>
    <row r="95" spans="1:7" s="11" customFormat="1" ht="12.75" customHeight="1" x14ac:dyDescent="0.25">
      <c r="A95" s="52">
        <v>100</v>
      </c>
      <c r="B95" s="53" t="s">
        <v>340</v>
      </c>
      <c r="C95" s="53" t="s">
        <v>742</v>
      </c>
      <c r="D95" s="52" t="s">
        <v>2194</v>
      </c>
      <c r="E95" s="54">
        <v>403.488</v>
      </c>
      <c r="F95" s="13" t="str">
        <f>INDEX(Кат!$I:$I,MATCH(Прайс!$B95,Кат!$G:$G,0))</f>
        <v>БРТ</v>
      </c>
      <c r="G95" s="25">
        <f>INDEX(Кат!$A:$A,MATCH(Прайс!$B95,Кат!$G:$G,0))</f>
        <v>225370</v>
      </c>
    </row>
    <row r="96" spans="1:7" s="11" customFormat="1" ht="12.75" customHeight="1" x14ac:dyDescent="0.25">
      <c r="A96" s="52">
        <v>101</v>
      </c>
      <c r="B96" s="53" t="s">
        <v>351</v>
      </c>
      <c r="C96" s="53" t="s">
        <v>743</v>
      </c>
      <c r="D96" s="52" t="s">
        <v>2194</v>
      </c>
      <c r="E96" s="54">
        <v>239.77199999999999</v>
      </c>
      <c r="F96" s="13" t="str">
        <f>INDEX(Кат!$I:$I,MATCH(Прайс!$B96,Кат!$G:$G,0))</f>
        <v>БРТ</v>
      </c>
      <c r="G96" s="25">
        <f>INDEX(Кат!$A:$A,MATCH(Прайс!$B96,Кат!$G:$G,0))</f>
        <v>157737</v>
      </c>
    </row>
    <row r="97" spans="1:7" s="11" customFormat="1" ht="15" customHeight="1" x14ac:dyDescent="0.25">
      <c r="A97" s="52">
        <v>102</v>
      </c>
      <c r="B97" s="53" t="s">
        <v>398</v>
      </c>
      <c r="C97" s="53" t="s">
        <v>744</v>
      </c>
      <c r="D97" s="52" t="s">
        <v>2194</v>
      </c>
      <c r="E97" s="54">
        <v>340.92</v>
      </c>
      <c r="F97" s="13" t="str">
        <f>INDEX(Кат!$I:$I,MATCH(Прайс!$B97,Кат!$G:$G,0))</f>
        <v>БРТ</v>
      </c>
      <c r="G97" s="25">
        <f>INDEX(Кат!$A:$A,MATCH(Прайс!$B97,Кат!$G:$G,0))</f>
        <v>157738</v>
      </c>
    </row>
    <row r="98" spans="1:7" s="11" customFormat="1" ht="11.1" customHeight="1" x14ac:dyDescent="0.25">
      <c r="A98" s="52">
        <v>103</v>
      </c>
      <c r="B98" s="53" t="s">
        <v>352</v>
      </c>
      <c r="C98" s="53" t="s">
        <v>745</v>
      </c>
      <c r="D98" s="52" t="s">
        <v>2194</v>
      </c>
      <c r="E98" s="54">
        <v>361.92</v>
      </c>
      <c r="F98" s="13" t="str">
        <f>INDEX(Кат!$I:$I,MATCH(Прайс!$B98,Кат!$G:$G,0))</f>
        <v>БРТ</v>
      </c>
      <c r="G98" s="25">
        <f>INDEX(Кат!$A:$A,MATCH(Прайс!$B98,Кат!$G:$G,0))</f>
        <v>225056</v>
      </c>
    </row>
    <row r="99" spans="1:7" s="11" customFormat="1" ht="12.75" customHeight="1" x14ac:dyDescent="0.25">
      <c r="A99" s="52">
        <v>104</v>
      </c>
      <c r="B99" s="58" t="s">
        <v>403</v>
      </c>
      <c r="C99" s="58" t="s">
        <v>746</v>
      </c>
      <c r="D99" s="52" t="s">
        <v>2194</v>
      </c>
      <c r="E99" s="54">
        <v>413.48399999999998</v>
      </c>
      <c r="F99" s="13" t="str">
        <f>INDEX(Кат!$I:$I,MATCH(Прайс!$B99,Кат!$G:$G,0))</f>
        <v>БРТ</v>
      </c>
      <c r="G99" s="25">
        <f>INDEX(Кат!$A:$A,MATCH(Прайс!$B99,Кат!$G:$G,0))</f>
        <v>225057</v>
      </c>
    </row>
    <row r="100" spans="1:7" s="11" customFormat="1" ht="12.75" customHeight="1" x14ac:dyDescent="0.25">
      <c r="A100" s="52">
        <v>105</v>
      </c>
      <c r="B100" s="58" t="s">
        <v>550</v>
      </c>
      <c r="C100" s="58" t="s">
        <v>746</v>
      </c>
      <c r="D100" s="52" t="s">
        <v>2194</v>
      </c>
      <c r="E100" s="54">
        <v>202.78800000000001</v>
      </c>
      <c r="F100" s="13" t="e">
        <f>INDEX(Кат!$I:$I,MATCH(Прайс!$B100,Кат!$G:$G,0))</f>
        <v>#N/A</v>
      </c>
      <c r="G100" s="25" t="e">
        <f>INDEX(Кат!$A:$A,MATCH(Прайс!$B100,Кат!$G:$G,0))</f>
        <v>#N/A</v>
      </c>
    </row>
    <row r="101" spans="1:7" s="11" customFormat="1" ht="12.75" customHeight="1" x14ac:dyDescent="0.25">
      <c r="A101" s="52">
        <v>106</v>
      </c>
      <c r="B101" s="61"/>
      <c r="C101" s="62" t="s">
        <v>747</v>
      </c>
      <c r="D101" s="63"/>
      <c r="E101" s="54">
        <v>0</v>
      </c>
      <c r="F101" s="13" t="e">
        <f>INDEX(Кат!$I:$I,MATCH(Прайс!$B101,Кат!$G:$G,0))</f>
        <v>#N/A</v>
      </c>
      <c r="G101" s="25" t="e">
        <f>INDEX(Кат!$A:$A,MATCH(Прайс!$B101,Кат!$G:$G,0))</f>
        <v>#N/A</v>
      </c>
    </row>
    <row r="102" spans="1:7" s="11" customFormat="1" ht="12.75" customHeight="1" x14ac:dyDescent="0.25">
      <c r="A102" s="52">
        <v>107</v>
      </c>
      <c r="B102" s="53" t="s">
        <v>236</v>
      </c>
      <c r="C102" s="53" t="s">
        <v>748</v>
      </c>
      <c r="D102" s="52" t="s">
        <v>2194</v>
      </c>
      <c r="E102" s="54">
        <v>131.1</v>
      </c>
      <c r="F102" s="13" t="str">
        <f>INDEX(Кат!$I:$I,MATCH(Прайс!$B102,Кат!$G:$G,0))</f>
        <v>БРТ</v>
      </c>
      <c r="G102" s="25">
        <f>INDEX(Кат!$A:$A,MATCH(Прайс!$B102,Кат!$G:$G,0))</f>
        <v>201443</v>
      </c>
    </row>
    <row r="103" spans="1:7" s="11" customFormat="1" ht="12.75" customHeight="1" x14ac:dyDescent="0.25">
      <c r="A103" s="52">
        <v>108</v>
      </c>
      <c r="B103" s="53" t="s">
        <v>242</v>
      </c>
      <c r="C103" s="53" t="s">
        <v>749</v>
      </c>
      <c r="D103" s="52" t="s">
        <v>2194</v>
      </c>
      <c r="E103" s="54">
        <v>154.16399999999999</v>
      </c>
      <c r="F103" s="13" t="str">
        <f>INDEX(Кат!$I:$I,MATCH(Прайс!$B103,Кат!$G:$G,0))</f>
        <v>БРТ</v>
      </c>
      <c r="G103" s="25">
        <f>INDEX(Кат!$A:$A,MATCH(Прайс!$B103,Кат!$G:$G,0))</f>
        <v>201449</v>
      </c>
    </row>
    <row r="104" spans="1:7" s="11" customFormat="1" ht="12.75" customHeight="1" x14ac:dyDescent="0.25">
      <c r="A104" s="52">
        <v>109</v>
      </c>
      <c r="B104" s="53" t="s">
        <v>314</v>
      </c>
      <c r="C104" s="53" t="s">
        <v>748</v>
      </c>
      <c r="D104" s="52" t="s">
        <v>2194</v>
      </c>
      <c r="E104" s="54">
        <v>156.036</v>
      </c>
      <c r="F104" s="13" t="str">
        <f>INDEX(Кат!$I:$I,MATCH(Прайс!$B104,Кат!$G:$G,0))</f>
        <v>БРТ</v>
      </c>
      <c r="G104" s="25">
        <f>INDEX(Кат!$A:$A,MATCH(Прайс!$B104,Кат!$G:$G,0))</f>
        <v>201444</v>
      </c>
    </row>
    <row r="105" spans="1:7" s="11" customFormat="1" ht="12.75" customHeight="1" x14ac:dyDescent="0.25">
      <c r="A105" s="52">
        <v>110</v>
      </c>
      <c r="B105" s="53" t="s">
        <v>320</v>
      </c>
      <c r="C105" s="53" t="s">
        <v>749</v>
      </c>
      <c r="D105" s="52" t="s">
        <v>2194</v>
      </c>
      <c r="E105" s="54">
        <v>130.01999999999998</v>
      </c>
      <c r="F105" s="13" t="str">
        <f>INDEX(Кат!$I:$I,MATCH(Прайс!$B105,Кат!$G:$G,0))</f>
        <v>БРТ</v>
      </c>
      <c r="G105" s="25">
        <f>INDEX(Кат!$A:$A,MATCH(Прайс!$B105,Кат!$G:$G,0))</f>
        <v>201334</v>
      </c>
    </row>
    <row r="106" spans="1:7" s="11" customFormat="1" ht="12.75" customHeight="1" x14ac:dyDescent="0.25">
      <c r="A106" s="52">
        <v>111</v>
      </c>
      <c r="B106" s="53" t="s">
        <v>292</v>
      </c>
      <c r="C106" s="53" t="s">
        <v>748</v>
      </c>
      <c r="D106" s="52" t="s">
        <v>2194</v>
      </c>
      <c r="E106" s="54">
        <v>147.024</v>
      </c>
      <c r="F106" s="13" t="str">
        <f>INDEX(Кат!$I:$I,MATCH(Прайс!$B106,Кат!$G:$G,0))</f>
        <v>БРТ</v>
      </c>
      <c r="G106" s="25">
        <f>INDEX(Кат!$A:$A,MATCH(Прайс!$B106,Кат!$G:$G,0))</f>
        <v>201332</v>
      </c>
    </row>
    <row r="107" spans="1:7" s="11" customFormat="1" ht="12.75" customHeight="1" x14ac:dyDescent="0.25">
      <c r="A107" s="52">
        <v>112</v>
      </c>
      <c r="B107" s="53" t="s">
        <v>294</v>
      </c>
      <c r="C107" s="53" t="s">
        <v>749</v>
      </c>
      <c r="D107" s="52" t="s">
        <v>2194</v>
      </c>
      <c r="E107" s="54">
        <v>240.57599999999996</v>
      </c>
      <c r="F107" s="13" t="str">
        <f>INDEX(Кат!$I:$I,MATCH(Прайс!$B107,Кат!$G:$G,0))</f>
        <v>БРТ</v>
      </c>
      <c r="G107" s="25">
        <f>INDEX(Кат!$A:$A,MATCH(Прайс!$B107,Кат!$G:$G,0))</f>
        <v>201335</v>
      </c>
    </row>
    <row r="108" spans="1:7" s="11" customFormat="1" ht="12.75" customHeight="1" x14ac:dyDescent="0.25">
      <c r="A108" s="52">
        <v>113</v>
      </c>
      <c r="B108" s="58" t="s">
        <v>543</v>
      </c>
      <c r="C108" s="58" t="s">
        <v>748</v>
      </c>
      <c r="D108" s="52" t="s">
        <v>2194</v>
      </c>
      <c r="E108" s="54">
        <v>119.904</v>
      </c>
      <c r="F108" s="13" t="e">
        <f>INDEX(Кат!$I:$I,MATCH(Прайс!$B108,Кат!$G:$G,0))</f>
        <v>#N/A</v>
      </c>
      <c r="G108" s="25" t="e">
        <f>INDEX(Кат!$A:$A,MATCH(Прайс!$B108,Кат!$G:$G,0))</f>
        <v>#N/A</v>
      </c>
    </row>
    <row r="109" spans="1:7" s="11" customFormat="1" ht="12.75" customHeight="1" x14ac:dyDescent="0.25">
      <c r="A109" s="52">
        <v>114</v>
      </c>
      <c r="B109" s="58" t="s">
        <v>544</v>
      </c>
      <c r="C109" s="58" t="s">
        <v>749</v>
      </c>
      <c r="D109" s="52" t="s">
        <v>2194</v>
      </c>
      <c r="E109" s="54">
        <v>117.56399999999999</v>
      </c>
      <c r="F109" s="13" t="e">
        <f>INDEX(Кат!$I:$I,MATCH(Прайс!$B109,Кат!$G:$G,0))</f>
        <v>#N/A</v>
      </c>
      <c r="G109" s="25" t="e">
        <f>INDEX(Кат!$A:$A,MATCH(Прайс!$B109,Кат!$G:$G,0))</f>
        <v>#N/A</v>
      </c>
    </row>
    <row r="110" spans="1:7" s="11" customFormat="1" ht="12.75" customHeight="1" x14ac:dyDescent="0.25">
      <c r="A110" s="52">
        <v>115</v>
      </c>
      <c r="B110" s="53" t="s">
        <v>265</v>
      </c>
      <c r="C110" s="53" t="s">
        <v>750</v>
      </c>
      <c r="D110" s="52" t="s">
        <v>2194</v>
      </c>
      <c r="E110" s="54">
        <v>76.872</v>
      </c>
      <c r="F110" s="13" t="str">
        <f>INDEX(Кат!$I:$I,MATCH(Прайс!$B110,Кат!$G:$G,0))</f>
        <v>БРТ</v>
      </c>
      <c r="G110" s="25">
        <f>INDEX(Кат!$A:$A,MATCH(Прайс!$B110,Кат!$G:$G,0))</f>
        <v>153070</v>
      </c>
    </row>
    <row r="111" spans="1:7" s="11" customFormat="1" ht="12.75" customHeight="1" x14ac:dyDescent="0.25">
      <c r="A111" s="52">
        <v>116</v>
      </c>
      <c r="B111" s="53" t="s">
        <v>266</v>
      </c>
      <c r="C111" s="53" t="s">
        <v>751</v>
      </c>
      <c r="D111" s="52" t="s">
        <v>2194</v>
      </c>
      <c r="E111" s="54">
        <v>124.44</v>
      </c>
      <c r="F111" s="13" t="str">
        <f>INDEX(Кат!$I:$I,MATCH(Прайс!$B111,Кат!$G:$G,0))</f>
        <v>БРТ</v>
      </c>
      <c r="G111" s="25">
        <f>INDEX(Кат!$A:$A,MATCH(Прайс!$B111,Кат!$G:$G,0))</f>
        <v>153072</v>
      </c>
    </row>
    <row r="112" spans="1:7" s="11" customFormat="1" ht="12.75" customHeight="1" x14ac:dyDescent="0.25">
      <c r="A112" s="52">
        <v>117</v>
      </c>
      <c r="B112" s="53" t="s">
        <v>269</v>
      </c>
      <c r="C112" s="53" t="s">
        <v>752</v>
      </c>
      <c r="D112" s="52" t="s">
        <v>2194</v>
      </c>
      <c r="E112" s="54">
        <v>118.09199999999998</v>
      </c>
      <c r="F112" s="13" t="str">
        <f>INDEX(Кат!$I:$I,MATCH(Прайс!$B112,Кат!$G:$G,0))</f>
        <v>БРТ</v>
      </c>
      <c r="G112" s="25">
        <f>INDEX(Кат!$A:$A,MATCH(Прайс!$B112,Кат!$G:$G,0))</f>
        <v>153068</v>
      </c>
    </row>
    <row r="113" spans="1:8" s="11" customFormat="1" ht="12.75" customHeight="1" x14ac:dyDescent="0.25">
      <c r="A113" s="52">
        <v>118</v>
      </c>
      <c r="B113" s="53" t="s">
        <v>270</v>
      </c>
      <c r="C113" s="53" t="s">
        <v>753</v>
      </c>
      <c r="D113" s="52" t="s">
        <v>2194</v>
      </c>
      <c r="E113" s="54">
        <v>185.56799999999998</v>
      </c>
      <c r="F113" s="13" t="str">
        <f>INDEX(Кат!$I:$I,MATCH(Прайс!$B113,Кат!$G:$G,0))</f>
        <v>БРТ</v>
      </c>
      <c r="G113" s="25">
        <f>INDEX(Кат!$A:$A,MATCH(Прайс!$B113,Кат!$G:$G,0))</f>
        <v>153069</v>
      </c>
    </row>
    <row r="114" spans="1:8" s="11" customFormat="1" ht="12.75" customHeight="1" x14ac:dyDescent="0.25">
      <c r="A114" s="52">
        <v>119</v>
      </c>
      <c r="B114" s="53" t="s">
        <v>348</v>
      </c>
      <c r="C114" s="53" t="s">
        <v>754</v>
      </c>
      <c r="D114" s="52" t="s">
        <v>2194</v>
      </c>
      <c r="E114" s="54">
        <v>186.38399999999999</v>
      </c>
      <c r="F114" s="13" t="str">
        <f>INDEX(Кат!$I:$I,MATCH(Прайс!$B114,Кат!$G:$G,0))</f>
        <v>БРТ</v>
      </c>
      <c r="G114" s="25">
        <f>INDEX(Кат!$A:$A,MATCH(Прайс!$B114,Кат!$G:$G,0))</f>
        <v>201421</v>
      </c>
    </row>
    <row r="115" spans="1:8" s="11" customFormat="1" ht="12.75" customHeight="1" x14ac:dyDescent="0.25">
      <c r="A115" s="52">
        <v>120</v>
      </c>
      <c r="B115" s="53" t="s">
        <v>400</v>
      </c>
      <c r="C115" s="53" t="s">
        <v>754</v>
      </c>
      <c r="D115" s="52" t="s">
        <v>2194</v>
      </c>
      <c r="E115" s="54">
        <v>144.54</v>
      </c>
      <c r="F115" s="13" t="str">
        <f>INDEX(Кат!$I:$I,MATCH(Прайс!$B115,Кат!$G:$G,0))</f>
        <v>БРТ</v>
      </c>
      <c r="G115" s="25">
        <f>INDEX(Кат!$A:$A,MATCH(Прайс!$B115,Кат!$G:$G,0))</f>
        <v>201422</v>
      </c>
    </row>
    <row r="116" spans="1:8" s="11" customFormat="1" ht="15.75" customHeight="1" x14ac:dyDescent="0.25">
      <c r="A116" s="52">
        <v>121</v>
      </c>
      <c r="B116" s="53" t="s">
        <v>368</v>
      </c>
      <c r="C116" s="53" t="s">
        <v>755</v>
      </c>
      <c r="D116" s="52" t="s">
        <v>2194</v>
      </c>
      <c r="E116" s="54">
        <v>165</v>
      </c>
      <c r="F116" s="13" t="str">
        <f>INDEX(Кат!$I:$I,MATCH(Прайс!$B116,Кат!$G:$G,0))</f>
        <v>БРТ</v>
      </c>
      <c r="G116" s="25">
        <f>INDEX(Кат!$A:$A,MATCH(Прайс!$B116,Кат!$G:$G,0))</f>
        <v>201513</v>
      </c>
    </row>
    <row r="117" spans="1:8" s="11" customFormat="1" ht="15.75" customHeight="1" x14ac:dyDescent="0.25">
      <c r="A117" s="52">
        <v>122</v>
      </c>
      <c r="B117" s="53" t="s">
        <v>756</v>
      </c>
      <c r="C117" s="53" t="s">
        <v>755</v>
      </c>
      <c r="D117" s="52" t="s">
        <v>2194</v>
      </c>
      <c r="E117" s="54">
        <v>48.527999999999999</v>
      </c>
      <c r="F117" s="13" t="str">
        <f>INDEX(Кат!$I:$I,MATCH(Прайс!$B117,Кат!$G:$G,0))</f>
        <v>БРТ</v>
      </c>
      <c r="G117" s="25">
        <f>INDEX(Кат!$A:$A,MATCH(Прайс!$B117,Кат!$G:$G,0))</f>
        <v>201331</v>
      </c>
    </row>
    <row r="118" spans="1:8" s="11" customFormat="1" ht="13.35" customHeight="1" x14ac:dyDescent="0.25">
      <c r="A118" s="52">
        <v>123</v>
      </c>
      <c r="B118" s="53" t="s">
        <v>247</v>
      </c>
      <c r="C118" s="53" t="s">
        <v>757</v>
      </c>
      <c r="D118" s="52" t="s">
        <v>2194</v>
      </c>
      <c r="E118" s="54">
        <v>119.232</v>
      </c>
      <c r="F118" s="13" t="str">
        <f>INDEX(Кат!$I:$I,MATCH(Прайс!$B118,Кат!$G:$G,0))</f>
        <v>БРТ</v>
      </c>
      <c r="G118" s="25">
        <f>INDEX(Кат!$A:$A,MATCH(Прайс!$B118,Кат!$G:$G,0))</f>
        <v>201330</v>
      </c>
    </row>
    <row r="119" spans="1:8" s="11" customFormat="1" ht="12.75" customHeight="1" x14ac:dyDescent="0.25">
      <c r="A119" s="52">
        <v>124</v>
      </c>
      <c r="B119" s="58" t="s">
        <v>284</v>
      </c>
      <c r="C119" s="58" t="s">
        <v>758</v>
      </c>
      <c r="D119" s="52" t="s">
        <v>2194</v>
      </c>
      <c r="E119" s="54">
        <v>23.783999999999999</v>
      </c>
      <c r="F119" s="13" t="str">
        <f>INDEX(Кат!$I:$I,MATCH(Прайс!$B119,Кат!$G:$G,0))</f>
        <v>БРТ</v>
      </c>
      <c r="G119" s="25">
        <f>INDEX(Кат!$A:$A,MATCH(Прайс!$B119,Кат!$G:$G,0))</f>
        <v>201432</v>
      </c>
    </row>
    <row r="120" spans="1:8" s="11" customFormat="1" ht="12.75" customHeight="1" x14ac:dyDescent="0.25">
      <c r="A120" s="52">
        <v>125</v>
      </c>
      <c r="B120" s="58" t="s">
        <v>243</v>
      </c>
      <c r="C120" s="58" t="s">
        <v>759</v>
      </c>
      <c r="D120" s="52" t="s">
        <v>2194</v>
      </c>
      <c r="E120" s="54">
        <v>21.576000000000001</v>
      </c>
      <c r="F120" s="13" t="str">
        <f>INDEX(Кат!$I:$I,MATCH(Прайс!$B120,Кат!$G:$G,0))</f>
        <v>БРТ</v>
      </c>
      <c r="G120" s="25">
        <f>INDEX(Кат!$A:$A,MATCH(Прайс!$B120,Кат!$G:$G,0))</f>
        <v>201333</v>
      </c>
    </row>
    <row r="121" spans="1:8" s="11" customFormat="1" ht="12.75" customHeight="1" x14ac:dyDescent="0.25">
      <c r="A121" s="52">
        <v>126</v>
      </c>
      <c r="B121" s="61"/>
      <c r="C121" s="62" t="s">
        <v>760</v>
      </c>
      <c r="D121" s="63"/>
      <c r="E121" s="54">
        <v>0</v>
      </c>
      <c r="F121" s="13" t="e">
        <f>INDEX(Кат!$I:$I,MATCH(Прайс!$B121,Кат!$G:$G,0))</f>
        <v>#N/A</v>
      </c>
      <c r="G121" s="25" t="e">
        <f>INDEX(Кат!$A:$A,MATCH(Прайс!$B121,Кат!$G:$G,0))</f>
        <v>#N/A</v>
      </c>
    </row>
    <row r="122" spans="1:8" s="11" customFormat="1" ht="12.75" customHeight="1" x14ac:dyDescent="0.25">
      <c r="A122" s="52">
        <v>127</v>
      </c>
      <c r="B122" s="58" t="s">
        <v>761</v>
      </c>
      <c r="C122" s="58" t="s">
        <v>762</v>
      </c>
      <c r="D122" s="52" t="s">
        <v>2194</v>
      </c>
      <c r="E122" s="54">
        <v>402.52799999999996</v>
      </c>
      <c r="F122" s="13" t="e">
        <f>INDEX(Кат!$I:$I,MATCH(Прайс!$B122,Кат!$G:$G,0))</f>
        <v>#N/A</v>
      </c>
      <c r="G122" s="25" t="e">
        <f>INDEX(Кат!$A:$A,MATCH(Прайс!$B122,Кат!$G:$G,0))</f>
        <v>#N/A</v>
      </c>
    </row>
    <row r="123" spans="1:8" s="11" customFormat="1" ht="12.75" customHeight="1" x14ac:dyDescent="0.25">
      <c r="A123" s="52">
        <v>128</v>
      </c>
      <c r="B123" s="53" t="s">
        <v>362</v>
      </c>
      <c r="C123" s="53" t="s">
        <v>763</v>
      </c>
      <c r="D123" s="52" t="s">
        <v>2194</v>
      </c>
      <c r="E123" s="54">
        <v>312.85199999999998</v>
      </c>
      <c r="F123" s="13" t="str">
        <f>INDEX(Кат!$I:$I,MATCH(Прайс!$B123,Кат!$G:$G,0))</f>
        <v>БРТ</v>
      </c>
      <c r="G123" s="25">
        <f>INDEX(Кат!$A:$A,MATCH(Прайс!$B123,Кат!$G:$G,0))</f>
        <v>223217</v>
      </c>
    </row>
    <row r="124" spans="1:8" x14ac:dyDescent="0.25">
      <c r="A124" s="52">
        <v>129</v>
      </c>
      <c r="B124" s="53" t="s">
        <v>281</v>
      </c>
      <c r="C124" s="53" t="s">
        <v>762</v>
      </c>
      <c r="D124" s="52" t="s">
        <v>2194</v>
      </c>
      <c r="E124" s="54">
        <v>316.34399999999999</v>
      </c>
      <c r="F124" s="13" t="e">
        <f>INDEX(Кат!$I:$I,MATCH(Прайс!$B124,Кат!$G:$G,0))</f>
        <v>#N/A</v>
      </c>
      <c r="G124" s="25" t="e">
        <f>INDEX(Кат!$A:$A,MATCH(Прайс!$B124,Кат!$G:$G,0))</f>
        <v>#N/A</v>
      </c>
      <c r="H124" s="11"/>
    </row>
    <row r="125" spans="1:8" s="11" customFormat="1" ht="12.75" customHeight="1" x14ac:dyDescent="0.25">
      <c r="A125" s="52">
        <v>130</v>
      </c>
      <c r="B125" s="53" t="s">
        <v>764</v>
      </c>
      <c r="C125" s="53" t="s">
        <v>762</v>
      </c>
      <c r="D125" s="52" t="s">
        <v>2194</v>
      </c>
      <c r="E125" s="54">
        <v>384.17999999999995</v>
      </c>
      <c r="F125" s="13" t="str">
        <f>INDEX(Кат!$I:$I,MATCH(Прайс!$B125,Кат!$G:$G,0))</f>
        <v>БРТ</v>
      </c>
      <c r="G125" s="25">
        <f>INDEX(Кат!$A:$A,MATCH(Прайс!$B125,Кат!$G:$G,0))</f>
        <v>223285</v>
      </c>
    </row>
    <row r="126" spans="1:8" s="11" customFormat="1" ht="12.75" customHeight="1" x14ac:dyDescent="0.25">
      <c r="A126" s="52">
        <v>131</v>
      </c>
      <c r="B126" s="53" t="s">
        <v>765</v>
      </c>
      <c r="C126" s="53" t="s">
        <v>762</v>
      </c>
      <c r="D126" s="52" t="s">
        <v>2194</v>
      </c>
      <c r="E126" s="54">
        <v>402.59999999999997</v>
      </c>
      <c r="F126" s="13" t="str">
        <f>INDEX(Кат!$I:$I,MATCH(Прайс!$B126,Кат!$G:$G,0))</f>
        <v>БРТ</v>
      </c>
      <c r="G126" s="25">
        <f>INDEX(Кат!$A:$A,MATCH(Прайс!$B126,Кат!$G:$G,0))</f>
        <v>223233</v>
      </c>
    </row>
    <row r="127" spans="1:8" s="11" customFormat="1" ht="12.75" customHeight="1" x14ac:dyDescent="0.25">
      <c r="A127" s="52">
        <v>133</v>
      </c>
      <c r="B127" s="64" t="s">
        <v>766</v>
      </c>
      <c r="C127" s="65" t="s">
        <v>767</v>
      </c>
      <c r="D127" s="52" t="s">
        <v>2194</v>
      </c>
      <c r="E127" s="66">
        <v>420.84</v>
      </c>
      <c r="F127" s="13" t="str">
        <f>INDEX(Кат!$I:$I,MATCH(Прайс!$B127,Кат!$G:$G,0))</f>
        <v>БРТ</v>
      </c>
      <c r="G127" s="25">
        <f>INDEX(Кат!$A:$A,MATCH(Прайс!$B127,Кат!$G:$G,0))</f>
        <v>223219</v>
      </c>
    </row>
    <row r="128" spans="1:8" s="11" customFormat="1" ht="12.75" customHeight="1" x14ac:dyDescent="0.25">
      <c r="A128" s="52">
        <v>134</v>
      </c>
      <c r="B128" s="53" t="s">
        <v>230</v>
      </c>
      <c r="C128" s="53" t="s">
        <v>768</v>
      </c>
      <c r="D128" s="52" t="s">
        <v>2194</v>
      </c>
      <c r="E128" s="54">
        <v>495.10799999999995</v>
      </c>
      <c r="F128" s="13" t="str">
        <f>INDEX(Кат!$I:$I,MATCH(Прайс!$B128,Кат!$G:$G,0))</f>
        <v>БРТ</v>
      </c>
      <c r="G128" s="25">
        <f>INDEX(Кат!$A:$A,MATCH(Прайс!$B128,Кат!$G:$G,0))</f>
        <v>223236</v>
      </c>
    </row>
    <row r="129" spans="1:7" s="11" customFormat="1" ht="12.75" customHeight="1" x14ac:dyDescent="0.25">
      <c r="A129" s="52">
        <v>135</v>
      </c>
      <c r="B129" s="53" t="s">
        <v>306</v>
      </c>
      <c r="C129" s="53" t="s">
        <v>768</v>
      </c>
      <c r="D129" s="52" t="s">
        <v>2194</v>
      </c>
      <c r="E129" s="54">
        <v>288</v>
      </c>
      <c r="F129" s="13" t="str">
        <f>INDEX(Кат!$I:$I,MATCH(Прайс!$B129,Кат!$G:$G,0))</f>
        <v>БРТ</v>
      </c>
      <c r="G129" s="25">
        <f>INDEX(Кат!$A:$A,MATCH(Прайс!$B129,Кат!$G:$G,0))</f>
        <v>223238</v>
      </c>
    </row>
    <row r="130" spans="1:7" s="11" customFormat="1" ht="12.75" customHeight="1" x14ac:dyDescent="0.25">
      <c r="A130" s="52">
        <v>136</v>
      </c>
      <c r="B130" s="53" t="s">
        <v>360</v>
      </c>
      <c r="C130" s="53" t="s">
        <v>768</v>
      </c>
      <c r="D130" s="52" t="s">
        <v>2194</v>
      </c>
      <c r="E130" s="54">
        <v>376.464</v>
      </c>
      <c r="F130" s="13" t="str">
        <f>INDEX(Кат!$I:$I,MATCH(Прайс!$B130,Кат!$G:$G,0))</f>
        <v>БРТ</v>
      </c>
      <c r="G130" s="25">
        <f>INDEX(Кат!$A:$A,MATCH(Прайс!$B130,Кат!$G:$G,0))</f>
        <v>223239</v>
      </c>
    </row>
    <row r="131" spans="1:7" s="11" customFormat="1" ht="12.75" customHeight="1" x14ac:dyDescent="0.25">
      <c r="A131" s="52">
        <v>137</v>
      </c>
      <c r="B131" s="53" t="s">
        <v>379</v>
      </c>
      <c r="C131" s="53" t="s">
        <v>768</v>
      </c>
      <c r="D131" s="52" t="s">
        <v>2194</v>
      </c>
      <c r="E131" s="54">
        <v>320.41199999999998</v>
      </c>
      <c r="F131" s="13" t="str">
        <f>INDEX(Кат!$I:$I,MATCH(Прайс!$B131,Кат!$G:$G,0))</f>
        <v>БРТ</v>
      </c>
      <c r="G131" s="25">
        <f>INDEX(Кат!$A:$A,MATCH(Прайс!$B131,Кат!$G:$G,0))</f>
        <v>223234</v>
      </c>
    </row>
    <row r="132" spans="1:7" s="11" customFormat="1" ht="12.75" customHeight="1" x14ac:dyDescent="0.25">
      <c r="A132" s="52">
        <v>138</v>
      </c>
      <c r="B132" s="53" t="s">
        <v>408</v>
      </c>
      <c r="C132" s="53" t="s">
        <v>769</v>
      </c>
      <c r="D132" s="52" t="s">
        <v>2194</v>
      </c>
      <c r="E132" s="54">
        <v>394.96799999999996</v>
      </c>
      <c r="F132" s="13" t="str">
        <f>INDEX(Кат!$I:$I,MATCH(Прайс!$B132,Кат!$G:$G,0))</f>
        <v>БРТ</v>
      </c>
      <c r="G132" s="25">
        <f>INDEX(Кат!$A:$A,MATCH(Прайс!$B132,Кат!$G:$G,0))</f>
        <v>223298</v>
      </c>
    </row>
    <row r="133" spans="1:7" s="11" customFormat="1" ht="12.75" customHeight="1" x14ac:dyDescent="0.25">
      <c r="A133" s="52">
        <v>139</v>
      </c>
      <c r="B133" s="53" t="s">
        <v>456</v>
      </c>
      <c r="C133" s="53" t="s">
        <v>768</v>
      </c>
      <c r="D133" s="52" t="s">
        <v>2194</v>
      </c>
      <c r="E133" s="54">
        <v>317.39999999999998</v>
      </c>
      <c r="F133" s="13" t="str">
        <f>INDEX(Кат!$I:$I,MATCH(Прайс!$B133,Кат!$G:$G,0))</f>
        <v>БРТ</v>
      </c>
      <c r="G133" s="25">
        <f>INDEX(Кат!$A:$A,MATCH(Прайс!$B133,Кат!$G:$G,0))</f>
        <v>223241</v>
      </c>
    </row>
    <row r="134" spans="1:7" s="11" customFormat="1" ht="12.75" customHeight="1" x14ac:dyDescent="0.25">
      <c r="A134" s="52">
        <v>140</v>
      </c>
      <c r="B134" s="53" t="s">
        <v>512</v>
      </c>
      <c r="C134" s="53" t="s">
        <v>768</v>
      </c>
      <c r="D134" s="52" t="s">
        <v>2194</v>
      </c>
      <c r="E134" s="54">
        <v>519.20399999999995</v>
      </c>
      <c r="F134" s="13" t="str">
        <f>INDEX(Кат!$I:$I,MATCH(Прайс!$B134,Кат!$G:$G,0))</f>
        <v>БРТ</v>
      </c>
      <c r="G134" s="25">
        <f>INDEX(Кат!$A:$A,MATCH(Прайс!$B134,Кат!$G:$G,0))</f>
        <v>223288</v>
      </c>
    </row>
    <row r="135" spans="1:7" s="11" customFormat="1" ht="12.75" customHeight="1" x14ac:dyDescent="0.25">
      <c r="A135" s="52">
        <v>141</v>
      </c>
      <c r="B135" s="53" t="s">
        <v>280</v>
      </c>
      <c r="C135" s="53" t="s">
        <v>770</v>
      </c>
      <c r="D135" s="52" t="s">
        <v>2194</v>
      </c>
      <c r="E135" s="54">
        <v>1128.768</v>
      </c>
      <c r="F135" s="13" t="str">
        <f>INDEX(Кат!$I:$I,MATCH(Прайс!$B135,Кат!$G:$G,0))</f>
        <v>БРТ</v>
      </c>
      <c r="G135" s="25">
        <f>INDEX(Кат!$A:$A,MATCH(Прайс!$B135,Кат!$G:$G,0))</f>
        <v>223255</v>
      </c>
    </row>
    <row r="136" spans="1:7" s="11" customFormat="1" ht="12.75" customHeight="1" x14ac:dyDescent="0.25">
      <c r="A136" s="52">
        <v>142</v>
      </c>
      <c r="B136" s="53" t="s">
        <v>361</v>
      </c>
      <c r="C136" s="53" t="s">
        <v>771</v>
      </c>
      <c r="D136" s="52" t="s">
        <v>2194</v>
      </c>
      <c r="E136" s="54">
        <v>1499.424</v>
      </c>
      <c r="F136" s="13" t="str">
        <f>INDEX(Кат!$I:$I,MATCH(Прайс!$B136,Кат!$G:$G,0))</f>
        <v>БРТ</v>
      </c>
      <c r="G136" s="25">
        <f>INDEX(Кат!$A:$A,MATCH(Прайс!$B136,Кат!$G:$G,0))</f>
        <v>223222</v>
      </c>
    </row>
    <row r="137" spans="1:7" s="11" customFormat="1" ht="12.75" customHeight="1" x14ac:dyDescent="0.25">
      <c r="A137" s="52">
        <v>143</v>
      </c>
      <c r="B137" s="53" t="s">
        <v>457</v>
      </c>
      <c r="C137" s="53" t="s">
        <v>771</v>
      </c>
      <c r="D137" s="52" t="s">
        <v>2194</v>
      </c>
      <c r="E137" s="54">
        <v>1253.3040000000001</v>
      </c>
      <c r="F137" s="13" t="str">
        <f>INDEX(Кат!$I:$I,MATCH(Прайс!$B137,Кат!$G:$G,0))</f>
        <v>БРТ</v>
      </c>
      <c r="G137" s="25">
        <f>INDEX(Кат!$A:$A,MATCH(Прайс!$B137,Кат!$G:$G,0))</f>
        <v>223244</v>
      </c>
    </row>
    <row r="138" spans="1:7" s="11" customFormat="1" ht="12.75" customHeight="1" x14ac:dyDescent="0.25">
      <c r="A138" s="52">
        <v>144</v>
      </c>
      <c r="B138" s="53" t="s">
        <v>380</v>
      </c>
      <c r="C138" s="53" t="s">
        <v>772</v>
      </c>
      <c r="D138" s="52" t="s">
        <v>2194</v>
      </c>
      <c r="E138" s="54">
        <v>2094.1680000000001</v>
      </c>
      <c r="F138" s="13" t="str">
        <f>INDEX(Кат!$I:$I,MATCH(Прайс!$B138,Кат!$G:$G,0))</f>
        <v>БРТ</v>
      </c>
      <c r="G138" s="25">
        <f>INDEX(Кат!$A:$A,MATCH(Прайс!$B138,Кат!$G:$G,0))</f>
        <v>223223</v>
      </c>
    </row>
    <row r="139" spans="1:7" s="11" customFormat="1" ht="12.75" customHeight="1" x14ac:dyDescent="0.25">
      <c r="A139" s="52">
        <v>145</v>
      </c>
      <c r="B139" s="53" t="s">
        <v>291</v>
      </c>
      <c r="C139" s="53" t="s">
        <v>773</v>
      </c>
      <c r="D139" s="52" t="s">
        <v>2194</v>
      </c>
      <c r="E139" s="54">
        <v>1970.3040000000001</v>
      </c>
      <c r="F139" s="13" t="str">
        <f>INDEX(Кат!$I:$I,MATCH(Прайс!$B139,Кат!$G:$G,0))</f>
        <v>БРТ</v>
      </c>
      <c r="G139" s="25">
        <f>INDEX(Кат!$A:$A,MATCH(Прайс!$B139,Кат!$G:$G,0))</f>
        <v>223227</v>
      </c>
    </row>
    <row r="140" spans="1:7" s="11" customFormat="1" ht="12.75" customHeight="1" x14ac:dyDescent="0.25">
      <c r="A140" s="52">
        <v>146</v>
      </c>
      <c r="B140" s="53" t="s">
        <v>774</v>
      </c>
      <c r="C140" s="53" t="s">
        <v>773</v>
      </c>
      <c r="D140" s="52" t="s">
        <v>2194</v>
      </c>
      <c r="E140" s="54">
        <v>409.2</v>
      </c>
      <c r="F140" s="13" t="str">
        <f>INDEX(Кат!$I:$I,MATCH(Прайс!$B140,Кат!$G:$G,0))</f>
        <v>БРТ</v>
      </c>
      <c r="G140" s="25">
        <f>INDEX(Кат!$A:$A,MATCH(Прайс!$B140,Кат!$G:$G,0))</f>
        <v>223258</v>
      </c>
    </row>
    <row r="141" spans="1:7" s="11" customFormat="1" ht="12.75" customHeight="1" x14ac:dyDescent="0.25">
      <c r="A141" s="52">
        <v>147</v>
      </c>
      <c r="B141" s="53" t="s">
        <v>775</v>
      </c>
      <c r="C141" s="53" t="s">
        <v>773</v>
      </c>
      <c r="D141" s="52" t="s">
        <v>2194</v>
      </c>
      <c r="E141" s="54">
        <v>360</v>
      </c>
      <c r="F141" s="13" t="str">
        <f>INDEX(Кат!$I:$I,MATCH(Прайс!$B141,Кат!$G:$G,0))</f>
        <v>БРТ</v>
      </c>
      <c r="G141" s="25">
        <f>INDEX(Кат!$A:$A,MATCH(Прайс!$B141,Кат!$G:$G,0))</f>
        <v>223212</v>
      </c>
    </row>
    <row r="142" spans="1:7" s="11" customFormat="1" ht="12.75" customHeight="1" x14ac:dyDescent="0.25">
      <c r="A142" s="52">
        <v>148</v>
      </c>
      <c r="B142" s="53" t="s">
        <v>776</v>
      </c>
      <c r="C142" s="53" t="s">
        <v>773</v>
      </c>
      <c r="D142" s="52" t="s">
        <v>2194</v>
      </c>
      <c r="E142" s="54">
        <v>330</v>
      </c>
      <c r="F142" s="13" t="str">
        <f>INDEX(Кат!$I:$I,MATCH(Прайс!$B142,Кат!$G:$G,0))</f>
        <v>БРТ</v>
      </c>
      <c r="G142" s="25">
        <f>INDEX(Кат!$A:$A,MATCH(Прайс!$B142,Кат!$G:$G,0))</f>
        <v>223257</v>
      </c>
    </row>
    <row r="143" spans="1:7" s="11" customFormat="1" ht="12.75" customHeight="1" x14ac:dyDescent="0.25">
      <c r="A143" s="52">
        <v>149</v>
      </c>
      <c r="B143" s="53" t="s">
        <v>454</v>
      </c>
      <c r="C143" s="53" t="s">
        <v>777</v>
      </c>
      <c r="D143" s="52" t="s">
        <v>2194</v>
      </c>
      <c r="E143" s="54">
        <v>1612.704</v>
      </c>
      <c r="F143" s="13" t="str">
        <f>INDEX(Кат!$I:$I,MATCH(Прайс!$B143,Кат!$G:$G,0))</f>
        <v>БРТ</v>
      </c>
      <c r="G143" s="25">
        <f>INDEX(Кат!$A:$A,MATCH(Прайс!$B143,Кат!$G:$G,0))</f>
        <v>223252</v>
      </c>
    </row>
    <row r="144" spans="1:7" s="11" customFormat="1" ht="12.75" customHeight="1" x14ac:dyDescent="0.25">
      <c r="A144" s="52">
        <v>150</v>
      </c>
      <c r="B144" s="53" t="s">
        <v>279</v>
      </c>
      <c r="C144" s="53" t="s">
        <v>777</v>
      </c>
      <c r="D144" s="52" t="s">
        <v>2194</v>
      </c>
      <c r="E144" s="54">
        <v>1217.28</v>
      </c>
      <c r="F144" s="13" t="str">
        <f>INDEX(Кат!$I:$I,MATCH(Прайс!$B144,Кат!$G:$G,0))</f>
        <v>БРТ</v>
      </c>
      <c r="G144" s="25">
        <f>INDEX(Кат!$A:$A,MATCH(Прайс!$B144,Кат!$G:$G,0))</f>
        <v>223294</v>
      </c>
    </row>
    <row r="145" spans="1:7" s="11" customFormat="1" ht="12.75" customHeight="1" x14ac:dyDescent="0.25">
      <c r="A145" s="52">
        <v>151</v>
      </c>
      <c r="B145" s="53" t="s">
        <v>359</v>
      </c>
      <c r="C145" s="53" t="s">
        <v>777</v>
      </c>
      <c r="D145" s="52" t="s">
        <v>2194</v>
      </c>
      <c r="E145" s="54">
        <v>1900.6079999999997</v>
      </c>
      <c r="F145" s="13" t="str">
        <f>INDEX(Кат!$I:$I,MATCH(Прайс!$B145,Кат!$G:$G,0))</f>
        <v>БРТ</v>
      </c>
      <c r="G145" s="25">
        <f>INDEX(Кат!$A:$A,MATCH(Прайс!$B145,Кат!$G:$G,0))</f>
        <v>223204</v>
      </c>
    </row>
    <row r="146" spans="1:7" s="11" customFormat="1" ht="12.75" customHeight="1" x14ac:dyDescent="0.25">
      <c r="A146" s="52">
        <v>152</v>
      </c>
      <c r="B146" s="53" t="s">
        <v>778</v>
      </c>
      <c r="C146" s="53" t="s">
        <v>779</v>
      </c>
      <c r="D146" s="52" t="s">
        <v>2207</v>
      </c>
      <c r="E146" s="54">
        <v>1254</v>
      </c>
      <c r="F146" s="13" t="str">
        <f>INDEX(Кат!$I:$I,MATCH(Прайс!$B146,Кат!$G:$G,0))</f>
        <v>БРТ</v>
      </c>
      <c r="G146" s="25">
        <f>INDEX(Кат!$A:$A,MATCH(Прайс!$B146,Кат!$G:$G,0))</f>
        <v>223295</v>
      </c>
    </row>
    <row r="147" spans="1:7" s="11" customFormat="1" ht="12.75" customHeight="1" x14ac:dyDescent="0.25">
      <c r="A147" s="52">
        <v>153</v>
      </c>
      <c r="B147" s="53" t="s">
        <v>780</v>
      </c>
      <c r="C147" s="53" t="s">
        <v>475</v>
      </c>
      <c r="D147" s="52" t="s">
        <v>2194</v>
      </c>
      <c r="E147" s="54">
        <v>1099.068</v>
      </c>
      <c r="F147" s="13" t="str">
        <f>INDEX(Кат!$I:$I,MATCH(Прайс!$B147,Кат!$G:$G,0))</f>
        <v>БРТ</v>
      </c>
      <c r="G147" s="25">
        <f>INDEX(Кат!$A:$A,MATCH(Прайс!$B147,Кат!$G:$G,0))</f>
        <v>223225</v>
      </c>
    </row>
    <row r="148" spans="1:7" s="11" customFormat="1" ht="12.75" customHeight="1" x14ac:dyDescent="0.25">
      <c r="A148" s="52">
        <v>154</v>
      </c>
      <c r="B148" s="53" t="s">
        <v>781</v>
      </c>
      <c r="C148" s="53" t="s">
        <v>475</v>
      </c>
      <c r="D148" s="52" t="s">
        <v>2194</v>
      </c>
      <c r="E148" s="54">
        <v>764.29199999999992</v>
      </c>
      <c r="F148" s="13" t="str">
        <f>INDEX(Кат!$I:$I,MATCH(Прайс!$B148,Кат!$G:$G,0))</f>
        <v>БРТ</v>
      </c>
      <c r="G148" s="25">
        <f>INDEX(Кат!$A:$A,MATCH(Прайс!$B148,Кат!$G:$G,0))</f>
        <v>223210</v>
      </c>
    </row>
    <row r="149" spans="1:7" s="11" customFormat="1" ht="12.75" customHeight="1" x14ac:dyDescent="0.25">
      <c r="A149" s="52">
        <v>155</v>
      </c>
      <c r="B149" s="53" t="s">
        <v>782</v>
      </c>
      <c r="C149" s="53" t="s">
        <v>475</v>
      </c>
      <c r="D149" s="52" t="s">
        <v>2194</v>
      </c>
      <c r="E149" s="54">
        <v>728.16</v>
      </c>
      <c r="F149" s="13" t="str">
        <f>INDEX(Кат!$I:$I,MATCH(Прайс!$B149,Кат!$G:$G,0))</f>
        <v>БРТ</v>
      </c>
      <c r="G149" s="25">
        <f>INDEX(Кат!$A:$A,MATCH(Прайс!$B149,Кат!$G:$G,0))</f>
        <v>223211</v>
      </c>
    </row>
    <row r="150" spans="1:7" s="11" customFormat="1" ht="12.75" customHeight="1" x14ac:dyDescent="0.25">
      <c r="A150" s="52">
        <v>156</v>
      </c>
      <c r="B150" s="53" t="s">
        <v>455</v>
      </c>
      <c r="C150" s="53" t="s">
        <v>783</v>
      </c>
      <c r="D150" s="52" t="s">
        <v>2194</v>
      </c>
      <c r="E150" s="54">
        <v>1127.664</v>
      </c>
      <c r="F150" s="13" t="str">
        <f>INDEX(Кат!$I:$I,MATCH(Прайс!$B150,Кат!$G:$G,0))</f>
        <v>БРТ</v>
      </c>
      <c r="G150" s="25">
        <f>INDEX(Кат!$A:$A,MATCH(Прайс!$B150,Кат!$G:$G,0))</f>
        <v>223293</v>
      </c>
    </row>
    <row r="151" spans="1:7" s="11" customFormat="1" ht="12.75" customHeight="1" x14ac:dyDescent="0.25">
      <c r="A151" s="52">
        <v>157</v>
      </c>
      <c r="B151" s="53" t="s">
        <v>784</v>
      </c>
      <c r="C151" s="53" t="s">
        <v>783</v>
      </c>
      <c r="D151" s="52" t="s">
        <v>2207</v>
      </c>
      <c r="E151" s="54">
        <v>433.72800000000001</v>
      </c>
      <c r="F151" s="13" t="str">
        <f>INDEX(Кат!$I:$I,MATCH(Прайс!$B151,Кат!$G:$G,0))</f>
        <v>БРТ</v>
      </c>
      <c r="G151" s="25">
        <f>INDEX(Кат!$A:$A,MATCH(Прайс!$B151,Кат!$G:$G,0))</f>
        <v>223207</v>
      </c>
    </row>
    <row r="152" spans="1:7" s="11" customFormat="1" ht="12.75" customHeight="1" x14ac:dyDescent="0.25">
      <c r="A152" s="52">
        <v>158</v>
      </c>
      <c r="B152" s="53" t="s">
        <v>785</v>
      </c>
      <c r="C152" s="53" t="s">
        <v>783</v>
      </c>
      <c r="D152" s="52" t="s">
        <v>2207</v>
      </c>
      <c r="E152" s="54">
        <v>397.1268</v>
      </c>
      <c r="F152" s="13" t="str">
        <f>INDEX(Кат!$I:$I,MATCH(Прайс!$B152,Кат!$G:$G,0))</f>
        <v>БРТ</v>
      </c>
      <c r="G152" s="25">
        <f>INDEX(Кат!$A:$A,MATCH(Прайс!$B152,Кат!$G:$G,0))</f>
        <v>181332</v>
      </c>
    </row>
    <row r="153" spans="1:7" s="11" customFormat="1" ht="12.75" customHeight="1" x14ac:dyDescent="0.25">
      <c r="A153" s="52">
        <v>159</v>
      </c>
      <c r="B153" s="53" t="s">
        <v>786</v>
      </c>
      <c r="C153" s="53" t="s">
        <v>783</v>
      </c>
      <c r="D153" s="52" t="s">
        <v>2207</v>
      </c>
      <c r="E153" s="54">
        <v>395.83199999999999</v>
      </c>
      <c r="F153" s="13" t="str">
        <f>INDEX(Кат!$I:$I,MATCH(Прайс!$B153,Кат!$G:$G,0))</f>
        <v>БРТ</v>
      </c>
      <c r="G153" s="25">
        <f>INDEX(Кат!$A:$A,MATCH(Прайс!$B153,Кат!$G:$G,0))</f>
        <v>223205</v>
      </c>
    </row>
    <row r="154" spans="1:7" s="11" customFormat="1" ht="12.75" customHeight="1" x14ac:dyDescent="0.25">
      <c r="A154" s="52">
        <v>160</v>
      </c>
      <c r="B154" s="53" t="s">
        <v>787</v>
      </c>
      <c r="C154" s="53" t="s">
        <v>788</v>
      </c>
      <c r="D154" s="52" t="s">
        <v>2194</v>
      </c>
      <c r="E154" s="54">
        <v>389.4</v>
      </c>
      <c r="F154" s="13" t="str">
        <f>INDEX(Кат!$I:$I,MATCH(Прайс!$B154,Кат!$G:$G,0))</f>
        <v>БРТ</v>
      </c>
      <c r="G154" s="25">
        <f>INDEX(Кат!$A:$A,MATCH(Прайс!$B154,Кат!$G:$G,0))</f>
        <v>223251</v>
      </c>
    </row>
    <row r="155" spans="1:7" s="11" customFormat="1" ht="12.75" customHeight="1" x14ac:dyDescent="0.25">
      <c r="A155" s="52">
        <v>161</v>
      </c>
      <c r="B155" s="53" t="s">
        <v>789</v>
      </c>
      <c r="C155" s="53" t="s">
        <v>788</v>
      </c>
      <c r="D155" s="52" t="s">
        <v>2194</v>
      </c>
      <c r="E155" s="54">
        <v>41.16</v>
      </c>
      <c r="F155" s="13" t="str">
        <f>INDEX(Кат!$I:$I,MATCH(Прайс!$B155,Кат!$G:$G,0))</f>
        <v>БРТ</v>
      </c>
      <c r="G155" s="25">
        <f>INDEX(Кат!$A:$A,MATCH(Прайс!$B155,Кат!$G:$G,0))</f>
        <v>223221</v>
      </c>
    </row>
    <row r="156" spans="1:7" s="11" customFormat="1" ht="12.75" customHeight="1" x14ac:dyDescent="0.25">
      <c r="A156" s="52">
        <v>162</v>
      </c>
      <c r="B156" s="58" t="s">
        <v>303</v>
      </c>
      <c r="C156" s="53" t="s">
        <v>790</v>
      </c>
      <c r="D156" s="67" t="s">
        <v>2194</v>
      </c>
      <c r="E156" s="54">
        <v>163.92</v>
      </c>
      <c r="F156" s="13" t="str">
        <f>INDEX(Кат!$I:$I,MATCH(Прайс!$B156,Кат!$G:$G,0))</f>
        <v>БРТ</v>
      </c>
      <c r="G156" s="25">
        <f>INDEX(Кат!$A:$A,MATCH(Прайс!$B156,Кат!$G:$G,0))</f>
        <v>223214</v>
      </c>
    </row>
    <row r="157" spans="1:7" s="11" customFormat="1" ht="12.75" customHeight="1" x14ac:dyDescent="0.25">
      <c r="A157" s="52">
        <v>163</v>
      </c>
      <c r="B157" s="58" t="s">
        <v>367</v>
      </c>
      <c r="C157" s="53" t="s">
        <v>790</v>
      </c>
      <c r="D157" s="67" t="s">
        <v>2194</v>
      </c>
      <c r="E157" s="54">
        <v>204.72</v>
      </c>
      <c r="F157" s="13" t="str">
        <f>INDEX(Кат!$I:$I,MATCH(Прайс!$B157,Кат!$G:$G,0))</f>
        <v>БРТ</v>
      </c>
      <c r="G157" s="25">
        <f>INDEX(Кат!$A:$A,MATCH(Прайс!$B157,Кат!$G:$G,0))</f>
        <v>223216</v>
      </c>
    </row>
    <row r="158" spans="1:7" s="11" customFormat="1" ht="12.75" customHeight="1" x14ac:dyDescent="0.25">
      <c r="A158" s="52">
        <v>164</v>
      </c>
      <c r="B158" s="58" t="s">
        <v>460</v>
      </c>
      <c r="C158" s="53" t="s">
        <v>790</v>
      </c>
      <c r="D158" s="67" t="s">
        <v>2194</v>
      </c>
      <c r="E158" s="54">
        <v>236.44799999999998</v>
      </c>
      <c r="F158" s="13" t="str">
        <f>INDEX(Кат!$I:$I,MATCH(Прайс!$B158,Кат!$G:$G,0))</f>
        <v>БРТ</v>
      </c>
      <c r="G158" s="25">
        <f>INDEX(Кат!$A:$A,MATCH(Прайс!$B158,Кат!$G:$G,0))</f>
        <v>223263</v>
      </c>
    </row>
    <row r="159" spans="1:7" s="11" customFormat="1" ht="12.75" customHeight="1" x14ac:dyDescent="0.25">
      <c r="A159" s="52">
        <v>165</v>
      </c>
      <c r="B159" s="58" t="s">
        <v>791</v>
      </c>
      <c r="C159" s="97" t="s">
        <v>792</v>
      </c>
      <c r="D159" s="67" t="s">
        <v>2194</v>
      </c>
      <c r="E159" s="54">
        <v>325.73999999999995</v>
      </c>
      <c r="F159" s="13" t="str">
        <f>INDEX(Кат!$I:$I,MATCH(Прайс!$B159,Кат!$G:$G,0))</f>
        <v>БРТ</v>
      </c>
      <c r="G159" s="25">
        <f>INDEX(Кат!$A:$A,MATCH(Прайс!$B159,Кат!$G:$G,0))</f>
        <v>223248</v>
      </c>
    </row>
    <row r="160" spans="1:7" s="11" customFormat="1" ht="12.75" customHeight="1" x14ac:dyDescent="0.25">
      <c r="A160" s="52">
        <v>166</v>
      </c>
      <c r="B160" s="58" t="s">
        <v>793</v>
      </c>
      <c r="C160" s="53" t="s">
        <v>771</v>
      </c>
      <c r="D160" s="67" t="s">
        <v>2194</v>
      </c>
      <c r="E160" s="54">
        <v>507.85199999999998</v>
      </c>
      <c r="F160" s="13" t="str">
        <f>INDEX(Кат!$I:$I,MATCH(Прайс!$B160,Кат!$G:$G,0))</f>
        <v>БРТ</v>
      </c>
      <c r="G160" s="25">
        <f>INDEX(Кат!$A:$A,MATCH(Прайс!$B160,Кат!$G:$G,0))</f>
        <v>223243</v>
      </c>
    </row>
    <row r="161" spans="1:7" s="11" customFormat="1" ht="12.75" customHeight="1" x14ac:dyDescent="0.25">
      <c r="A161" s="52">
        <v>167</v>
      </c>
      <c r="B161" s="58" t="s">
        <v>474</v>
      </c>
      <c r="C161" s="53" t="s">
        <v>794</v>
      </c>
      <c r="D161" s="67" t="s">
        <v>2194</v>
      </c>
      <c r="E161" s="54">
        <v>1195.8</v>
      </c>
      <c r="F161" s="13" t="str">
        <f>INDEX(Кат!$I:$I,MATCH(Прайс!$B161,Кат!$G:$G,0))</f>
        <v>БРТ</v>
      </c>
      <c r="G161" s="25">
        <f>INDEX(Кат!$A:$A,MATCH(Прайс!$B161,Кат!$G:$G,0))</f>
        <v>223276</v>
      </c>
    </row>
    <row r="162" spans="1:7" s="11" customFormat="1" ht="14.85" customHeight="1" x14ac:dyDescent="0.25">
      <c r="A162" s="52">
        <v>168</v>
      </c>
      <c r="B162" s="58" t="s">
        <v>795</v>
      </c>
      <c r="C162" s="53" t="s">
        <v>783</v>
      </c>
      <c r="D162" s="67" t="s">
        <v>2194</v>
      </c>
      <c r="E162" s="54">
        <v>997.03199999999993</v>
      </c>
      <c r="F162" s="13" t="str">
        <f>INDEX(Кат!$I:$I,MATCH(Прайс!$B162,Кат!$G:$G,0))</f>
        <v>БРТ</v>
      </c>
      <c r="G162" s="25">
        <f>INDEX(Кат!$A:$A,MATCH(Прайс!$B162,Кат!$G:$G,0))</f>
        <v>223296</v>
      </c>
    </row>
    <row r="163" spans="1:7" s="11" customFormat="1" ht="12.75" customHeight="1" x14ac:dyDescent="0.25">
      <c r="A163" s="52">
        <v>169</v>
      </c>
      <c r="B163" s="58" t="s">
        <v>476</v>
      </c>
      <c r="C163" s="53" t="s">
        <v>773</v>
      </c>
      <c r="D163" s="67" t="s">
        <v>2194</v>
      </c>
      <c r="E163" s="54">
        <v>989.17199999999991</v>
      </c>
      <c r="F163" s="13" t="str">
        <f>INDEX(Кат!$I:$I,MATCH(Прайс!$B163,Кат!$G:$G,0))</f>
        <v>БРТ</v>
      </c>
      <c r="G163" s="25">
        <f>INDEX(Кат!$A:$A,MATCH(Прайс!$B163,Кат!$G:$G,0))</f>
        <v>223213</v>
      </c>
    </row>
    <row r="164" spans="1:7" s="11" customFormat="1" ht="12.75" customHeight="1" x14ac:dyDescent="0.25">
      <c r="A164" s="52">
        <v>170</v>
      </c>
      <c r="B164" s="58" t="s">
        <v>796</v>
      </c>
      <c r="C164" s="53" t="s">
        <v>797</v>
      </c>
      <c r="D164" s="67" t="s">
        <v>2207</v>
      </c>
      <c r="E164" s="54">
        <v>876.84</v>
      </c>
      <c r="F164" s="13" t="str">
        <f>INDEX(Кат!$I:$I,MATCH(Прайс!$B164,Кат!$G:$G,0))</f>
        <v>БРТ</v>
      </c>
      <c r="G164" s="25">
        <f>INDEX(Кат!$A:$A,MATCH(Прайс!$B164,Кат!$G:$G,0))</f>
        <v>181333</v>
      </c>
    </row>
    <row r="165" spans="1:7" s="11" customFormat="1" ht="12.75" customHeight="1" x14ac:dyDescent="0.25">
      <c r="A165" s="52">
        <v>171</v>
      </c>
      <c r="B165" s="61"/>
      <c r="C165" s="23" t="s">
        <v>798</v>
      </c>
      <c r="D165" s="68"/>
      <c r="E165" s="54">
        <v>0</v>
      </c>
      <c r="F165" s="13" t="e">
        <f>INDEX(Кат!$I:$I,MATCH(Прайс!$B165,Кат!$G:$G,0))</f>
        <v>#N/A</v>
      </c>
      <c r="G165" s="25" t="e">
        <f>INDEX(Кат!$A:$A,MATCH(Прайс!$B165,Кат!$G:$G,0))</f>
        <v>#N/A</v>
      </c>
    </row>
    <row r="166" spans="1:7" s="11" customFormat="1" ht="12.75" customHeight="1" x14ac:dyDescent="0.25">
      <c r="A166" s="52">
        <v>172</v>
      </c>
      <c r="B166" s="58" t="s">
        <v>391</v>
      </c>
      <c r="C166" s="58" t="s">
        <v>799</v>
      </c>
      <c r="D166" s="52" t="s">
        <v>2194</v>
      </c>
      <c r="E166" s="54">
        <v>157.75200000000001</v>
      </c>
      <c r="F166" s="13" t="str">
        <f>INDEX(Кат!$I:$I,MATCH(Прайс!$B166,Кат!$G:$G,0))</f>
        <v>БРТ</v>
      </c>
      <c r="G166" s="25">
        <f>INDEX(Кат!$A:$A,MATCH(Прайс!$B166,Кат!$G:$G,0))</f>
        <v>186576</v>
      </c>
    </row>
    <row r="167" spans="1:7" s="11" customFormat="1" ht="12.75" customHeight="1" x14ac:dyDescent="0.25">
      <c r="A167" s="52">
        <v>173</v>
      </c>
      <c r="B167" s="58" t="s">
        <v>387</v>
      </c>
      <c r="C167" s="58" t="s">
        <v>800</v>
      </c>
      <c r="D167" s="52" t="s">
        <v>2194</v>
      </c>
      <c r="E167" s="54">
        <v>178.64400000000001</v>
      </c>
      <c r="F167" s="13" t="str">
        <f>INDEX(Кат!$I:$I,MATCH(Прайс!$B167,Кат!$G:$G,0))</f>
        <v>БРТ</v>
      </c>
      <c r="G167" s="25">
        <f>INDEX(Кат!$A:$A,MATCH(Прайс!$B167,Кат!$G:$G,0))</f>
        <v>225922</v>
      </c>
    </row>
    <row r="168" spans="1:7" s="11" customFormat="1" ht="12.75" customHeight="1" x14ac:dyDescent="0.25">
      <c r="A168" s="52">
        <v>174</v>
      </c>
      <c r="B168" s="58" t="s">
        <v>801</v>
      </c>
      <c r="C168" s="96" t="s">
        <v>802</v>
      </c>
      <c r="D168" s="52" t="s">
        <v>2194</v>
      </c>
      <c r="E168" s="54">
        <v>44.4</v>
      </c>
      <c r="F168" s="13" t="e">
        <f>INDEX(Кат!$I:$I,MATCH(Прайс!$B168,Кат!$G:$G,0))</f>
        <v>#N/A</v>
      </c>
      <c r="G168" s="25" t="e">
        <f>INDEX(Кат!$A:$A,MATCH(Прайс!$B168,Кат!$G:$G,0))</f>
        <v>#N/A</v>
      </c>
    </row>
    <row r="169" spans="1:7" s="11" customFormat="1" ht="12.75" customHeight="1" x14ac:dyDescent="0.25">
      <c r="A169" s="52">
        <v>175</v>
      </c>
      <c r="B169" s="58" t="s">
        <v>246</v>
      </c>
      <c r="C169" s="58" t="s">
        <v>803</v>
      </c>
      <c r="D169" s="52" t="s">
        <v>2194</v>
      </c>
      <c r="E169" s="54">
        <v>175.2</v>
      </c>
      <c r="F169" s="13" t="str">
        <f>INDEX(Кат!$I:$I,MATCH(Прайс!$B169,Кат!$G:$G,0))</f>
        <v>БРТ</v>
      </c>
      <c r="G169" s="25">
        <f>INDEX(Кат!$A:$A,MATCH(Прайс!$B169,Кат!$G:$G,0))</f>
        <v>225918</v>
      </c>
    </row>
    <row r="170" spans="1:7" s="11" customFormat="1" ht="12.75" customHeight="1" x14ac:dyDescent="0.25">
      <c r="A170" s="52">
        <v>176</v>
      </c>
      <c r="B170" s="58" t="s">
        <v>439</v>
      </c>
      <c r="C170" s="58" t="s">
        <v>804</v>
      </c>
      <c r="D170" s="52" t="s">
        <v>2194</v>
      </c>
      <c r="E170" s="54">
        <v>216.36</v>
      </c>
      <c r="F170" s="13" t="str">
        <f>INDEX(Кат!$I:$I,MATCH(Прайс!$B170,Кат!$G:$G,0))</f>
        <v>БРТ</v>
      </c>
      <c r="G170" s="25">
        <f>INDEX(Кат!$A:$A,MATCH(Прайс!$B170,Кат!$G:$G,0))</f>
        <v>225949</v>
      </c>
    </row>
    <row r="171" spans="1:7" s="11" customFormat="1" ht="12.75" customHeight="1" x14ac:dyDescent="0.25">
      <c r="A171" s="52">
        <v>177</v>
      </c>
      <c r="B171" s="53" t="s">
        <v>289</v>
      </c>
      <c r="C171" s="53" t="s">
        <v>805</v>
      </c>
      <c r="D171" s="52" t="s">
        <v>2194</v>
      </c>
      <c r="E171" s="54">
        <v>275.06399999999996</v>
      </c>
      <c r="F171" s="13" t="str">
        <f>INDEX(Кат!$I:$I,MATCH(Прайс!$B171,Кат!$G:$G,0))</f>
        <v>БРТ</v>
      </c>
      <c r="G171" s="25">
        <f>INDEX(Кат!$A:$A,MATCH(Прайс!$B171,Кат!$G:$G,0))</f>
        <v>225940</v>
      </c>
    </row>
    <row r="172" spans="1:7" s="11" customFormat="1" ht="12.75" customHeight="1" x14ac:dyDescent="0.25">
      <c r="A172" s="52">
        <v>178</v>
      </c>
      <c r="B172" s="53" t="s">
        <v>471</v>
      </c>
      <c r="C172" s="53" t="s">
        <v>806</v>
      </c>
      <c r="D172" s="52" t="s">
        <v>2194</v>
      </c>
      <c r="E172" s="54">
        <v>416.24399999999997</v>
      </c>
      <c r="F172" s="13" t="str">
        <f>INDEX(Кат!$I:$I,MATCH(Прайс!$B172,Кат!$G:$G,0))</f>
        <v>БРТ</v>
      </c>
      <c r="G172" s="25">
        <f>INDEX(Кат!$A:$A,MATCH(Прайс!$B172,Кат!$G:$G,0))</f>
        <v>225941</v>
      </c>
    </row>
    <row r="173" spans="1:7" s="11" customFormat="1" ht="12.75" customHeight="1" x14ac:dyDescent="0.25">
      <c r="A173" s="52">
        <v>179</v>
      </c>
      <c r="B173" s="53" t="s">
        <v>453</v>
      </c>
      <c r="C173" s="53" t="s">
        <v>806</v>
      </c>
      <c r="D173" s="52" t="s">
        <v>2194</v>
      </c>
      <c r="E173" s="54">
        <v>362.87999999999994</v>
      </c>
      <c r="F173" s="13" t="str">
        <f>INDEX(Кат!$I:$I,MATCH(Прайс!$B173,Кат!$G:$G,0))</f>
        <v>БРТ</v>
      </c>
      <c r="G173" s="25">
        <f>INDEX(Кат!$A:$A,MATCH(Прайс!$B173,Кат!$G:$G,0))</f>
        <v>225913</v>
      </c>
    </row>
    <row r="174" spans="1:7" s="11" customFormat="1" ht="12.75" customHeight="1" x14ac:dyDescent="0.25">
      <c r="A174" s="52">
        <v>180</v>
      </c>
      <c r="B174" s="53" t="s">
        <v>254</v>
      </c>
      <c r="C174" s="53" t="s">
        <v>807</v>
      </c>
      <c r="D174" s="52" t="s">
        <v>2194</v>
      </c>
      <c r="E174" s="54">
        <v>309.85199999999998</v>
      </c>
      <c r="F174" s="13" t="str">
        <f>INDEX(Кат!$I:$I,MATCH(Прайс!$B174,Кат!$G:$G,0))</f>
        <v>БРТ</v>
      </c>
      <c r="G174" s="25">
        <f>INDEX(Кат!$A:$A,MATCH(Прайс!$B174,Кат!$G:$G,0))</f>
        <v>225953</v>
      </c>
    </row>
    <row r="175" spans="1:7" s="11" customFormat="1" ht="12.75" customHeight="1" x14ac:dyDescent="0.25">
      <c r="A175" s="52">
        <v>181</v>
      </c>
      <c r="B175" s="53" t="s">
        <v>277</v>
      </c>
      <c r="C175" s="53" t="s">
        <v>808</v>
      </c>
      <c r="D175" s="52" t="s">
        <v>2194</v>
      </c>
      <c r="E175" s="54">
        <v>245.352</v>
      </c>
      <c r="F175" s="13" t="str">
        <f>INDEX(Кат!$I:$I,MATCH(Прайс!$B175,Кат!$G:$G,0))</f>
        <v>БРТ</v>
      </c>
      <c r="G175" s="25">
        <f>INDEX(Кат!$A:$A,MATCH(Прайс!$B175,Кат!$G:$G,0))</f>
        <v>225923</v>
      </c>
    </row>
    <row r="176" spans="1:7" s="11" customFormat="1" ht="12.75" customHeight="1" x14ac:dyDescent="0.25">
      <c r="A176" s="52">
        <v>182</v>
      </c>
      <c r="B176" s="53" t="s">
        <v>357</v>
      </c>
      <c r="C176" s="53" t="s">
        <v>808</v>
      </c>
      <c r="D176" s="52" t="s">
        <v>2194</v>
      </c>
      <c r="E176" s="54">
        <v>217.78800000000001</v>
      </c>
      <c r="F176" s="13" t="str">
        <f>INDEX(Кат!$I:$I,MATCH(Прайс!$B176,Кат!$G:$G,0))</f>
        <v>БРТ</v>
      </c>
      <c r="G176" s="25">
        <f>INDEX(Кат!$A:$A,MATCH(Прайс!$B176,Кат!$G:$G,0))</f>
        <v>226092</v>
      </c>
    </row>
    <row r="177" spans="1:7" s="11" customFormat="1" ht="12.75" customHeight="1" x14ac:dyDescent="0.25">
      <c r="A177" s="52">
        <v>183</v>
      </c>
      <c r="B177" s="53" t="s">
        <v>470</v>
      </c>
      <c r="C177" s="53" t="s">
        <v>809</v>
      </c>
      <c r="D177" s="52" t="s">
        <v>2194</v>
      </c>
      <c r="E177" s="54">
        <v>142.548</v>
      </c>
      <c r="F177" s="13" t="str">
        <f>INDEX(Кат!$I:$I,MATCH(Прайс!$B177,Кат!$G:$G,0))</f>
        <v>БРТ</v>
      </c>
      <c r="G177" s="25">
        <f>INDEX(Кат!$A:$A,MATCH(Прайс!$B177,Кат!$G:$G,0))</f>
        <v>225950</v>
      </c>
    </row>
    <row r="178" spans="1:7" s="11" customFormat="1" ht="12.75" customHeight="1" x14ac:dyDescent="0.25">
      <c r="A178" s="52">
        <v>184</v>
      </c>
      <c r="B178" s="53" t="s">
        <v>276</v>
      </c>
      <c r="C178" s="53" t="s">
        <v>810</v>
      </c>
      <c r="D178" s="52" t="s">
        <v>2194</v>
      </c>
      <c r="E178" s="54">
        <v>304.99199999999996</v>
      </c>
      <c r="F178" s="13" t="str">
        <f>INDEX(Кат!$I:$I,MATCH(Прайс!$B178,Кат!$G:$G,0))</f>
        <v>БРТ</v>
      </c>
      <c r="G178" s="25">
        <f>INDEX(Кат!$A:$A,MATCH(Прайс!$B178,Кат!$G:$G,0))</f>
        <v>226094</v>
      </c>
    </row>
    <row r="179" spans="1:7" s="11" customFormat="1" ht="12.75" customHeight="1" x14ac:dyDescent="0.25">
      <c r="A179" s="52">
        <v>185</v>
      </c>
      <c r="B179" s="53" t="s">
        <v>356</v>
      </c>
      <c r="C179" s="53" t="s">
        <v>810</v>
      </c>
      <c r="D179" s="52" t="s">
        <v>2194</v>
      </c>
      <c r="E179" s="54">
        <v>311.84399999999999</v>
      </c>
      <c r="F179" s="13" t="str">
        <f>INDEX(Кат!$I:$I,MATCH(Прайс!$B179,Кат!$G:$G,0))</f>
        <v>БРТ</v>
      </c>
      <c r="G179" s="25">
        <f>INDEX(Кат!$A:$A,MATCH(Прайс!$B179,Кат!$G:$G,0))</f>
        <v>225924</v>
      </c>
    </row>
    <row r="180" spans="1:7" s="11" customFormat="1" ht="12.75" customHeight="1" x14ac:dyDescent="0.25">
      <c r="A180" s="52">
        <v>186</v>
      </c>
      <c r="B180" s="53" t="s">
        <v>451</v>
      </c>
      <c r="C180" s="53" t="s">
        <v>810</v>
      </c>
      <c r="D180" s="52" t="s">
        <v>2194</v>
      </c>
      <c r="E180" s="54">
        <v>332.68799999999999</v>
      </c>
      <c r="F180" s="13" t="str">
        <f>INDEX(Кат!$I:$I,MATCH(Прайс!$B180,Кат!$G:$G,0))</f>
        <v>БРТ</v>
      </c>
      <c r="G180" s="25">
        <f>INDEX(Кат!$A:$A,MATCH(Прайс!$B180,Кат!$G:$G,0))</f>
        <v>225926</v>
      </c>
    </row>
    <row r="181" spans="1:7" s="11" customFormat="1" ht="12.75" customHeight="1" x14ac:dyDescent="0.25">
      <c r="A181" s="52">
        <v>187</v>
      </c>
      <c r="B181" s="53" t="s">
        <v>452</v>
      </c>
      <c r="C181" s="53" t="s">
        <v>810</v>
      </c>
      <c r="D181" s="52" t="s">
        <v>2194</v>
      </c>
      <c r="E181" s="54">
        <v>316.95599999999996</v>
      </c>
      <c r="F181" s="13" t="str">
        <f>INDEX(Кат!$I:$I,MATCH(Прайс!$B181,Кат!$G:$G,0))</f>
        <v>БРТ</v>
      </c>
      <c r="G181" s="25">
        <f>INDEX(Кат!$A:$A,MATCH(Прайс!$B181,Кат!$G:$G,0))</f>
        <v>225927</v>
      </c>
    </row>
    <row r="182" spans="1:7" s="11" customFormat="1" ht="12.75" customHeight="1" x14ac:dyDescent="0.25">
      <c r="A182" s="52">
        <v>188</v>
      </c>
      <c r="B182" s="53" t="s">
        <v>405</v>
      </c>
      <c r="C182" s="53" t="s">
        <v>810</v>
      </c>
      <c r="D182" s="52" t="s">
        <v>2194</v>
      </c>
      <c r="E182" s="54">
        <v>345.53999999999996</v>
      </c>
      <c r="F182" s="13" t="str">
        <f>INDEX(Кат!$I:$I,MATCH(Прайс!$B182,Кат!$G:$G,0))</f>
        <v>БРТ</v>
      </c>
      <c r="G182" s="25">
        <f>INDEX(Кат!$A:$A,MATCH(Прайс!$B182,Кат!$G:$G,0))</f>
        <v>225925</v>
      </c>
    </row>
    <row r="183" spans="1:7" s="11" customFormat="1" ht="12.75" customHeight="1" x14ac:dyDescent="0.25">
      <c r="A183" s="52">
        <v>189</v>
      </c>
      <c r="B183" s="53" t="s">
        <v>438</v>
      </c>
      <c r="C183" s="53" t="s">
        <v>811</v>
      </c>
      <c r="D183" s="52" t="s">
        <v>2194</v>
      </c>
      <c r="E183" s="54">
        <v>104.94</v>
      </c>
      <c r="F183" s="13" t="str">
        <f>INDEX(Кат!$I:$I,MATCH(Прайс!$B183,Кат!$G:$G,0))</f>
        <v>БРТ</v>
      </c>
      <c r="G183" s="25">
        <f>INDEX(Кат!$A:$A,MATCH(Прайс!$B183,Кат!$G:$G,0))</f>
        <v>225916</v>
      </c>
    </row>
    <row r="184" spans="1:7" s="11" customFormat="1" ht="12.75" customHeight="1" x14ac:dyDescent="0.25">
      <c r="A184" s="52">
        <v>190</v>
      </c>
      <c r="B184" s="53" t="s">
        <v>244</v>
      </c>
      <c r="C184" s="53" t="s">
        <v>812</v>
      </c>
      <c r="D184" s="52" t="s">
        <v>2194</v>
      </c>
      <c r="E184" s="54">
        <v>131.74799999999999</v>
      </c>
      <c r="F184" s="13" t="str">
        <f>INDEX(Кат!$I:$I,MATCH(Прайс!$B184,Кат!$G:$G,0))</f>
        <v>БРТ</v>
      </c>
      <c r="G184" s="25">
        <f>INDEX(Кат!$A:$A,MATCH(Прайс!$B184,Кат!$G:$G,0))</f>
        <v>186772</v>
      </c>
    </row>
    <row r="185" spans="1:7" s="11" customFormat="1" ht="12.75" customHeight="1" x14ac:dyDescent="0.25">
      <c r="A185" s="52">
        <v>191</v>
      </c>
      <c r="B185" s="53" t="s">
        <v>323</v>
      </c>
      <c r="C185" s="53" t="s">
        <v>813</v>
      </c>
      <c r="D185" s="52" t="s">
        <v>2194</v>
      </c>
      <c r="E185" s="54">
        <v>201.696</v>
      </c>
      <c r="F185" s="13" t="str">
        <f>INDEX(Кат!$I:$I,MATCH(Прайс!$B185,Кат!$G:$G,0))</f>
        <v>БРТ</v>
      </c>
      <c r="G185" s="25">
        <f>INDEX(Кат!$A:$A,MATCH(Прайс!$B185,Кат!$G:$G,0))</f>
        <v>186774</v>
      </c>
    </row>
    <row r="186" spans="1:7" s="11" customFormat="1" ht="12.75" customHeight="1" x14ac:dyDescent="0.25">
      <c r="A186" s="52">
        <v>192</v>
      </c>
      <c r="B186" s="53" t="s">
        <v>437</v>
      </c>
      <c r="C186" s="53" t="s">
        <v>812</v>
      </c>
      <c r="D186" s="52" t="s">
        <v>2194</v>
      </c>
      <c r="E186" s="54">
        <v>174.51599999999999</v>
      </c>
      <c r="F186" s="13" t="str">
        <f>INDEX(Кат!$I:$I,MATCH(Прайс!$B186,Кат!$G:$G,0))</f>
        <v>БРТ</v>
      </c>
      <c r="G186" s="25">
        <f>INDEX(Кат!$A:$A,MATCH(Прайс!$B186,Кат!$G:$G,0))</f>
        <v>186773</v>
      </c>
    </row>
    <row r="187" spans="1:7" s="11" customFormat="1" ht="12.75" customHeight="1" x14ac:dyDescent="0.25">
      <c r="A187" s="52">
        <v>193</v>
      </c>
      <c r="B187" s="53" t="s">
        <v>321</v>
      </c>
      <c r="C187" s="53" t="s">
        <v>814</v>
      </c>
      <c r="D187" s="52" t="s">
        <v>2194</v>
      </c>
      <c r="E187" s="54">
        <v>79.272000000000006</v>
      </c>
      <c r="F187" s="13" t="str">
        <f>INDEX(Кат!$I:$I,MATCH(Прайс!$B187,Кат!$G:$G,0))</f>
        <v>БРТ</v>
      </c>
      <c r="G187" s="25">
        <f>INDEX(Кат!$A:$A,MATCH(Прайс!$B187,Кат!$G:$G,0))</f>
        <v>186771</v>
      </c>
    </row>
    <row r="188" spans="1:7" s="11" customFormat="1" ht="12.75" customHeight="1" x14ac:dyDescent="0.25">
      <c r="A188" s="52">
        <v>194</v>
      </c>
      <c r="B188" s="53" t="s">
        <v>413</v>
      </c>
      <c r="C188" s="53" t="s">
        <v>814</v>
      </c>
      <c r="D188" s="52" t="s">
        <v>2194</v>
      </c>
      <c r="E188" s="54">
        <v>145.38</v>
      </c>
      <c r="F188" s="13" t="str">
        <f>INDEX(Кат!$I:$I,MATCH(Прайс!$B188,Кат!$G:$G,0))</f>
        <v>БРТ</v>
      </c>
      <c r="G188" s="25">
        <f>INDEX(Кат!$A:$A,MATCH(Прайс!$B188,Кат!$G:$G,0))</f>
        <v>225947</v>
      </c>
    </row>
    <row r="189" spans="1:7" s="11" customFormat="1" ht="12.75" customHeight="1" x14ac:dyDescent="0.25">
      <c r="A189" s="52">
        <v>195</v>
      </c>
      <c r="B189" s="53" t="s">
        <v>423</v>
      </c>
      <c r="C189" s="53" t="s">
        <v>814</v>
      </c>
      <c r="D189" s="52" t="s">
        <v>2194</v>
      </c>
      <c r="E189" s="54">
        <v>126.444</v>
      </c>
      <c r="F189" s="13" t="str">
        <f>INDEX(Кат!$I:$I,MATCH(Прайс!$B189,Кат!$G:$G,0))</f>
        <v>БРТ</v>
      </c>
      <c r="G189" s="25">
        <f>INDEX(Кат!$A:$A,MATCH(Прайс!$B189,Кат!$G:$G,0))</f>
        <v>186657</v>
      </c>
    </row>
    <row r="190" spans="1:7" s="11" customFormat="1" ht="12.75" customHeight="1" x14ac:dyDescent="0.25">
      <c r="A190" s="52">
        <v>196</v>
      </c>
      <c r="B190" s="53" t="s">
        <v>422</v>
      </c>
      <c r="C190" s="53" t="s">
        <v>815</v>
      </c>
      <c r="D190" s="52" t="s">
        <v>2194</v>
      </c>
      <c r="E190" s="54">
        <v>214.89600000000002</v>
      </c>
      <c r="F190" s="13" t="e">
        <f>INDEX(Кат!$I:$I,MATCH(Прайс!$B190,Кат!$G:$G,0))</f>
        <v>#N/A</v>
      </c>
      <c r="G190" s="25" t="e">
        <f>INDEX(Кат!$A:$A,MATCH(Прайс!$B190,Кат!$G:$G,0))</f>
        <v>#N/A</v>
      </c>
    </row>
    <row r="191" spans="1:7" s="11" customFormat="1" ht="12.75" customHeight="1" x14ac:dyDescent="0.25">
      <c r="A191" s="52">
        <v>197</v>
      </c>
      <c r="B191" s="53" t="s">
        <v>551</v>
      </c>
      <c r="C191" s="53" t="s">
        <v>816</v>
      </c>
      <c r="D191" s="52" t="s">
        <v>2194</v>
      </c>
      <c r="E191" s="54">
        <v>107.36399999999999</v>
      </c>
      <c r="F191" s="13" t="e">
        <f>INDEX(Кат!$I:$I,MATCH(Прайс!$B191,Кат!$G:$G,0))</f>
        <v>#N/A</v>
      </c>
      <c r="G191" s="25" t="e">
        <f>INDEX(Кат!$A:$A,MATCH(Прайс!$B191,Кат!$G:$G,0))</f>
        <v>#N/A</v>
      </c>
    </row>
    <row r="192" spans="1:7" s="11" customFormat="1" ht="12.75" customHeight="1" x14ac:dyDescent="0.25">
      <c r="A192" s="52">
        <v>198</v>
      </c>
      <c r="B192" s="53" t="s">
        <v>552</v>
      </c>
      <c r="C192" s="53" t="s">
        <v>817</v>
      </c>
      <c r="D192" s="52" t="s">
        <v>2194</v>
      </c>
      <c r="E192" s="54">
        <v>100.128</v>
      </c>
      <c r="F192" s="13" t="e">
        <f>INDEX(Кат!$I:$I,MATCH(Прайс!$B192,Кат!$G:$G,0))</f>
        <v>#N/A</v>
      </c>
      <c r="G192" s="25" t="e">
        <f>INDEX(Кат!$A:$A,MATCH(Прайс!$B192,Кат!$G:$G,0))</f>
        <v>#N/A</v>
      </c>
    </row>
    <row r="193" spans="1:7" s="11" customFormat="1" ht="12.75" customHeight="1" x14ac:dyDescent="0.25">
      <c r="A193" s="52">
        <v>199</v>
      </c>
      <c r="B193" s="53" t="s">
        <v>553</v>
      </c>
      <c r="C193" s="53" t="s">
        <v>818</v>
      </c>
      <c r="D193" s="52" t="s">
        <v>2194</v>
      </c>
      <c r="E193" s="54">
        <v>55.056000000000004</v>
      </c>
      <c r="F193" s="13" t="e">
        <f>INDEX(Кат!$I:$I,MATCH(Прайс!$B193,Кат!$G:$G,0))</f>
        <v>#N/A</v>
      </c>
      <c r="G193" s="25" t="e">
        <f>INDEX(Кат!$A:$A,MATCH(Прайс!$B193,Кат!$G:$G,0))</f>
        <v>#N/A</v>
      </c>
    </row>
    <row r="194" spans="1:7" s="11" customFormat="1" ht="12.75" customHeight="1" x14ac:dyDescent="0.25">
      <c r="A194" s="52">
        <v>200</v>
      </c>
      <c r="B194" s="53" t="s">
        <v>283</v>
      </c>
      <c r="C194" s="53" t="s">
        <v>817</v>
      </c>
      <c r="D194" s="52" t="s">
        <v>2194</v>
      </c>
      <c r="E194" s="54">
        <v>82.403999999999996</v>
      </c>
      <c r="F194" s="13" t="str">
        <f>INDEX(Кат!$I:$I,MATCH(Прайс!$B194,Кат!$G:$G,0))</f>
        <v>БРТ</v>
      </c>
      <c r="G194" s="25">
        <f>INDEX(Кат!$A:$A,MATCH(Прайс!$B194,Кат!$G:$G,0))</f>
        <v>186682</v>
      </c>
    </row>
    <row r="195" spans="1:7" s="11" customFormat="1" ht="12.75" customHeight="1" x14ac:dyDescent="0.25">
      <c r="A195" s="52">
        <v>201</v>
      </c>
      <c r="B195" s="53" t="s">
        <v>282</v>
      </c>
      <c r="C195" s="53" t="s">
        <v>816</v>
      </c>
      <c r="D195" s="52" t="s">
        <v>2194</v>
      </c>
      <c r="E195" s="54">
        <v>85.968000000000004</v>
      </c>
      <c r="F195" s="13" t="str">
        <f>INDEX(Кат!$I:$I,MATCH(Прайс!$B195,Кат!$G:$G,0))</f>
        <v>БРТ</v>
      </c>
      <c r="G195" s="25">
        <f>INDEX(Кат!$A:$A,MATCH(Прайс!$B195,Кат!$G:$G,0))</f>
        <v>186689</v>
      </c>
    </row>
    <row r="196" spans="1:7" s="11" customFormat="1" ht="12.75" customHeight="1" x14ac:dyDescent="0.25">
      <c r="A196" s="52">
        <v>202</v>
      </c>
      <c r="B196" s="53" t="s">
        <v>310</v>
      </c>
      <c r="C196" s="53" t="s">
        <v>819</v>
      </c>
      <c r="D196" s="52" t="s">
        <v>2194</v>
      </c>
      <c r="E196" s="54">
        <v>78.036000000000001</v>
      </c>
      <c r="F196" s="13" t="str">
        <f>INDEX(Кат!$I:$I,MATCH(Прайс!$B196,Кат!$G:$G,0))</f>
        <v>БРТ</v>
      </c>
      <c r="G196" s="25">
        <f>INDEX(Кат!$A:$A,MATCH(Прайс!$B196,Кат!$G:$G,0))</f>
        <v>186701</v>
      </c>
    </row>
    <row r="197" spans="1:7" s="11" customFormat="1" ht="12.75" customHeight="1" x14ac:dyDescent="0.25">
      <c r="A197" s="52">
        <v>203</v>
      </c>
      <c r="B197" s="53" t="s">
        <v>365</v>
      </c>
      <c r="C197" s="53" t="s">
        <v>820</v>
      </c>
      <c r="D197" s="52" t="s">
        <v>2194</v>
      </c>
      <c r="E197" s="54">
        <v>183.036</v>
      </c>
      <c r="F197" s="13" t="str">
        <f>INDEX(Кат!$I:$I,MATCH(Прайс!$B197,Кат!$G:$G,0))</f>
        <v>БРТ</v>
      </c>
      <c r="G197" s="25">
        <f>INDEX(Кат!$A:$A,MATCH(Прайс!$B197,Кат!$G:$G,0))</f>
        <v>186692</v>
      </c>
    </row>
    <row r="198" spans="1:7" s="11" customFormat="1" ht="12.75" customHeight="1" x14ac:dyDescent="0.25">
      <c r="A198" s="52">
        <v>204</v>
      </c>
      <c r="B198" s="53" t="s">
        <v>366</v>
      </c>
      <c r="C198" s="53" t="s">
        <v>818</v>
      </c>
      <c r="D198" s="52" t="s">
        <v>2194</v>
      </c>
      <c r="E198" s="54">
        <v>128.35199999999998</v>
      </c>
      <c r="F198" s="13" t="str">
        <f>INDEX(Кат!$I:$I,MATCH(Прайс!$B198,Кат!$G:$G,0))</f>
        <v>БРТ</v>
      </c>
      <c r="G198" s="25">
        <f>INDEX(Кат!$A:$A,MATCH(Прайс!$B198,Кат!$G:$G,0))</f>
        <v>186684</v>
      </c>
    </row>
    <row r="199" spans="1:7" s="11" customFormat="1" ht="12.75" customHeight="1" x14ac:dyDescent="0.25">
      <c r="A199" s="52">
        <v>205</v>
      </c>
      <c r="B199" s="53" t="s">
        <v>363</v>
      </c>
      <c r="C199" s="53" t="s">
        <v>821</v>
      </c>
      <c r="D199" s="52" t="s">
        <v>2194</v>
      </c>
      <c r="E199" s="54">
        <v>93.768000000000001</v>
      </c>
      <c r="F199" s="13" t="str">
        <f>INDEX(Кат!$I:$I,MATCH(Прайс!$B199,Кат!$G:$G,0))</f>
        <v>БРТ</v>
      </c>
      <c r="G199" s="25">
        <f>INDEX(Кат!$A:$A,MATCH(Прайс!$B199,Кат!$G:$G,0))</f>
        <v>186694</v>
      </c>
    </row>
    <row r="200" spans="1:7" s="11" customFormat="1" ht="12.75" customHeight="1" x14ac:dyDescent="0.25">
      <c r="A200" s="52">
        <v>206</v>
      </c>
      <c r="B200" s="53" t="s">
        <v>364</v>
      </c>
      <c r="C200" s="53" t="s">
        <v>822</v>
      </c>
      <c r="D200" s="52" t="s">
        <v>2194</v>
      </c>
      <c r="E200" s="54">
        <v>82.248000000000005</v>
      </c>
      <c r="F200" s="13" t="str">
        <f>INDEX(Кат!$I:$I,MATCH(Прайс!$B200,Кат!$G:$G,0))</f>
        <v>БРТ</v>
      </c>
      <c r="G200" s="25">
        <f>INDEX(Кат!$A:$A,MATCH(Прайс!$B200,Кат!$G:$G,0))</f>
        <v>186686</v>
      </c>
    </row>
    <row r="201" spans="1:7" s="11" customFormat="1" ht="12.75" customHeight="1" x14ac:dyDescent="0.25">
      <c r="A201" s="52">
        <v>207</v>
      </c>
      <c r="B201" s="53" t="s">
        <v>411</v>
      </c>
      <c r="C201" s="53" t="s">
        <v>817</v>
      </c>
      <c r="D201" s="52" t="s">
        <v>2194</v>
      </c>
      <c r="E201" s="54">
        <v>514.14</v>
      </c>
      <c r="F201" s="13" t="str">
        <f>INDEX(Кат!$I:$I,MATCH(Прайс!$B201,Кат!$G:$G,0))</f>
        <v>БРТ</v>
      </c>
      <c r="G201" s="25">
        <f>INDEX(Кат!$A:$A,MATCH(Прайс!$B201,Кат!$G:$G,0))</f>
        <v>186675</v>
      </c>
    </row>
    <row r="202" spans="1:7" s="11" customFormat="1" ht="12.75" customHeight="1" x14ac:dyDescent="0.25">
      <c r="A202" s="52">
        <v>208</v>
      </c>
      <c r="B202" s="53" t="s">
        <v>410</v>
      </c>
      <c r="C202" s="53" t="s">
        <v>816</v>
      </c>
      <c r="D202" s="52" t="s">
        <v>2194</v>
      </c>
      <c r="E202" s="54">
        <v>169.56</v>
      </c>
      <c r="F202" s="13" t="str">
        <f>INDEX(Кат!$I:$I,MATCH(Прайс!$B202,Кат!$G:$G,0))</f>
        <v>БРТ</v>
      </c>
      <c r="G202" s="25">
        <f>INDEX(Кат!$A:$A,MATCH(Прайс!$B202,Кат!$G:$G,0))</f>
        <v>186559</v>
      </c>
    </row>
    <row r="203" spans="1:7" s="11" customFormat="1" ht="12.75" customHeight="1" x14ac:dyDescent="0.25">
      <c r="A203" s="52">
        <v>209</v>
      </c>
      <c r="B203" s="53" t="s">
        <v>416</v>
      </c>
      <c r="C203" s="53" t="s">
        <v>816</v>
      </c>
      <c r="D203" s="52" t="s">
        <v>2194</v>
      </c>
      <c r="E203" s="54">
        <v>152.916</v>
      </c>
      <c r="F203" s="13" t="str">
        <f>INDEX(Кат!$I:$I,MATCH(Прайс!$B203,Кат!$G:$G,0))</f>
        <v>БРТ</v>
      </c>
      <c r="G203" s="25">
        <f>INDEX(Кат!$A:$A,MATCH(Прайс!$B203,Кат!$G:$G,0))</f>
        <v>186690</v>
      </c>
    </row>
    <row r="204" spans="1:7" s="11" customFormat="1" ht="12.75" customHeight="1" x14ac:dyDescent="0.25">
      <c r="A204" s="52">
        <v>210</v>
      </c>
      <c r="B204" s="53" t="s">
        <v>417</v>
      </c>
      <c r="C204" s="53" t="s">
        <v>816</v>
      </c>
      <c r="D204" s="52" t="s">
        <v>2194</v>
      </c>
      <c r="E204" s="54">
        <v>105.3</v>
      </c>
      <c r="F204" s="13" t="str">
        <f>INDEX(Кат!$I:$I,MATCH(Прайс!$B204,Кат!$G:$G,0))</f>
        <v>БРТ</v>
      </c>
      <c r="G204" s="25">
        <f>INDEX(Кат!$A:$A,MATCH(Прайс!$B204,Кат!$G:$G,0))</f>
        <v>186557</v>
      </c>
    </row>
    <row r="205" spans="1:7" s="11" customFormat="1" ht="12.75" customHeight="1" x14ac:dyDescent="0.25">
      <c r="A205" s="52">
        <v>211</v>
      </c>
      <c r="B205" s="58" t="s">
        <v>432</v>
      </c>
      <c r="C205" s="69" t="s">
        <v>823</v>
      </c>
      <c r="D205" s="70" t="s">
        <v>2194</v>
      </c>
      <c r="E205" s="54">
        <v>76.656000000000006</v>
      </c>
      <c r="F205" s="13" t="str">
        <f>INDEX(Кат!$I:$I,MATCH(Прайс!$B205,Кат!$G:$G,0))</f>
        <v>БРТ</v>
      </c>
      <c r="G205" s="25">
        <f>INDEX(Кат!$A:$A,MATCH(Прайс!$B205,Кат!$G:$G,0))</f>
        <v>186696</v>
      </c>
    </row>
    <row r="206" spans="1:7" s="11" customFormat="1" ht="12.75" customHeight="1" x14ac:dyDescent="0.25">
      <c r="A206" s="52">
        <v>212</v>
      </c>
      <c r="B206" s="58" t="s">
        <v>433</v>
      </c>
      <c r="C206" s="69" t="s">
        <v>824</v>
      </c>
      <c r="D206" s="70" t="s">
        <v>2194</v>
      </c>
      <c r="E206" s="54">
        <v>83.567999999999998</v>
      </c>
      <c r="F206" s="13" t="str">
        <f>INDEX(Кат!$I:$I,MATCH(Прайс!$B206,Кат!$G:$G,0))</f>
        <v>БРТ</v>
      </c>
      <c r="G206" s="25">
        <f>INDEX(Кат!$A:$A,MATCH(Прайс!$B206,Кат!$G:$G,0))</f>
        <v>186688</v>
      </c>
    </row>
    <row r="207" spans="1:7" s="11" customFormat="1" ht="12.75" customHeight="1" x14ac:dyDescent="0.25">
      <c r="A207" s="52">
        <v>213</v>
      </c>
      <c r="B207" s="58" t="s">
        <v>434</v>
      </c>
      <c r="C207" s="69" t="s">
        <v>825</v>
      </c>
      <c r="D207" s="70" t="s">
        <v>2194</v>
      </c>
      <c r="E207" s="54">
        <v>183.036</v>
      </c>
      <c r="F207" s="13" t="str">
        <f>INDEX(Кат!$I:$I,MATCH(Прайс!$B207,Кат!$G:$G,0))</f>
        <v>БРТ</v>
      </c>
      <c r="G207" s="25">
        <f>INDEX(Кат!$A:$A,MATCH(Прайс!$B207,Кат!$G:$G,0))</f>
        <v>186693</v>
      </c>
    </row>
    <row r="208" spans="1:7" s="11" customFormat="1" ht="12.75" customHeight="1" x14ac:dyDescent="0.25">
      <c r="A208" s="52">
        <v>214</v>
      </c>
      <c r="B208" s="58" t="s">
        <v>435</v>
      </c>
      <c r="C208" s="69" t="s">
        <v>826</v>
      </c>
      <c r="D208" s="70" t="s">
        <v>2194</v>
      </c>
      <c r="E208" s="54">
        <v>174.51599999999999</v>
      </c>
      <c r="F208" s="13" t="str">
        <f>INDEX(Кат!$I:$I,MATCH(Прайс!$B208,Кат!$G:$G,0))</f>
        <v>БРТ</v>
      </c>
      <c r="G208" s="25">
        <f>INDEX(Кат!$A:$A,MATCH(Прайс!$B208,Кат!$G:$G,0))</f>
        <v>186558</v>
      </c>
    </row>
    <row r="209" spans="1:7" s="11" customFormat="1" ht="12.75" customHeight="1" x14ac:dyDescent="0.25">
      <c r="A209" s="52">
        <v>215</v>
      </c>
      <c r="B209" s="58" t="s">
        <v>458</v>
      </c>
      <c r="C209" s="69" t="s">
        <v>816</v>
      </c>
      <c r="D209" s="70" t="s">
        <v>2194</v>
      </c>
      <c r="E209" s="54">
        <v>58.835999999999999</v>
      </c>
      <c r="F209" s="13" t="str">
        <f>INDEX(Кат!$I:$I,MATCH(Прайс!$B209,Кат!$G:$G,0))</f>
        <v>БРТ</v>
      </c>
      <c r="G209" s="25">
        <f>INDEX(Кат!$A:$A,MATCH(Прайс!$B209,Кат!$G:$G,0))</f>
        <v>186679</v>
      </c>
    </row>
    <row r="210" spans="1:7" s="11" customFormat="1" ht="12.75" customHeight="1" x14ac:dyDescent="0.25">
      <c r="A210" s="52">
        <v>216</v>
      </c>
      <c r="B210" s="58" t="s">
        <v>459</v>
      </c>
      <c r="C210" s="69" t="s">
        <v>817</v>
      </c>
      <c r="D210" s="70" t="s">
        <v>2194</v>
      </c>
      <c r="E210" s="54">
        <v>70.512</v>
      </c>
      <c r="F210" s="13" t="str">
        <f>INDEX(Кат!$I:$I,MATCH(Прайс!$B210,Кат!$G:$G,0))</f>
        <v>БРТ</v>
      </c>
      <c r="G210" s="25">
        <f>INDEX(Кат!$A:$A,MATCH(Прайс!$B210,Кат!$G:$G,0))</f>
        <v>186676</v>
      </c>
    </row>
    <row r="211" spans="1:7" s="11" customFormat="1" ht="12.75" customHeight="1" x14ac:dyDescent="0.25">
      <c r="A211" s="52">
        <v>217</v>
      </c>
      <c r="B211" s="58" t="s">
        <v>477</v>
      </c>
      <c r="C211" s="69" t="s">
        <v>819</v>
      </c>
      <c r="D211" s="70" t="s">
        <v>2194</v>
      </c>
      <c r="E211" s="54">
        <v>48.779999999999994</v>
      </c>
      <c r="F211" s="13" t="str">
        <f>INDEX(Кат!$I:$I,MATCH(Прайс!$B211,Кат!$G:$G,0))</f>
        <v>БРТ</v>
      </c>
      <c r="G211" s="25">
        <f>INDEX(Кат!$A:$A,MATCH(Прайс!$B211,Кат!$G:$G,0))</f>
        <v>186680</v>
      </c>
    </row>
    <row r="212" spans="1:7" s="11" customFormat="1" ht="12.75" customHeight="1" x14ac:dyDescent="0.25">
      <c r="A212" s="52">
        <v>218</v>
      </c>
      <c r="B212" s="58" t="s">
        <v>478</v>
      </c>
      <c r="C212" s="69" t="s">
        <v>817</v>
      </c>
      <c r="D212" s="70" t="s">
        <v>2194</v>
      </c>
      <c r="E212" s="54">
        <v>89.076000000000008</v>
      </c>
      <c r="F212" s="13" t="str">
        <f>INDEX(Кат!$I:$I,MATCH(Прайс!$B212,Кат!$G:$G,0))</f>
        <v>БРТ</v>
      </c>
      <c r="G212" s="25">
        <f>INDEX(Кат!$A:$A,MATCH(Прайс!$B212,Кат!$G:$G,0))</f>
        <v>186677</v>
      </c>
    </row>
    <row r="213" spans="1:7" s="11" customFormat="1" ht="12.75" customHeight="1" x14ac:dyDescent="0.25">
      <c r="A213" s="52">
        <v>219</v>
      </c>
      <c r="B213" s="58" t="s">
        <v>524</v>
      </c>
      <c r="C213" s="69" t="s">
        <v>816</v>
      </c>
      <c r="D213" s="70" t="s">
        <v>2194</v>
      </c>
      <c r="E213" s="54">
        <v>159.29999999999998</v>
      </c>
      <c r="F213" s="13" t="str">
        <f>INDEX(Кат!$I:$I,MATCH(Прайс!$B213,Кат!$G:$G,0))</f>
        <v>БРТ</v>
      </c>
      <c r="G213" s="25">
        <f>INDEX(Кат!$A:$A,MATCH(Прайс!$B213,Кат!$G:$G,0))</f>
        <v>186560</v>
      </c>
    </row>
    <row r="214" spans="1:7" s="11" customFormat="1" ht="12.75" customHeight="1" x14ac:dyDescent="0.25">
      <c r="A214" s="52">
        <v>220</v>
      </c>
      <c r="B214" s="58" t="s">
        <v>525</v>
      </c>
      <c r="C214" s="69" t="s">
        <v>817</v>
      </c>
      <c r="D214" s="70" t="s">
        <v>2194</v>
      </c>
      <c r="E214" s="54">
        <v>125.496</v>
      </c>
      <c r="F214" s="13" t="str">
        <f>INDEX(Кат!$I:$I,MATCH(Прайс!$B214,Кат!$G:$G,0))</f>
        <v>БРТ</v>
      </c>
      <c r="G214" s="25">
        <f>INDEX(Кат!$A:$A,MATCH(Прайс!$B214,Кат!$G:$G,0))</f>
        <v>186685</v>
      </c>
    </row>
    <row r="215" spans="1:7" s="11" customFormat="1" ht="12.75" customHeight="1" x14ac:dyDescent="0.25">
      <c r="A215" s="52">
        <v>221</v>
      </c>
      <c r="B215" s="58" t="s">
        <v>519</v>
      </c>
      <c r="C215" s="69" t="s">
        <v>827</v>
      </c>
      <c r="D215" s="70" t="s">
        <v>2194</v>
      </c>
      <c r="E215" s="54">
        <v>231.91199999999998</v>
      </c>
      <c r="F215" s="13" t="str">
        <f>INDEX(Кат!$I:$I,MATCH(Прайс!$B215,Кат!$G:$G,0))</f>
        <v>БРТ</v>
      </c>
      <c r="G215" s="25">
        <f>INDEX(Кат!$A:$A,MATCH(Прайс!$B215,Кат!$G:$G,0))</f>
        <v>186670</v>
      </c>
    </row>
    <row r="216" spans="1:7" s="11" customFormat="1" ht="12.75" customHeight="1" x14ac:dyDescent="0.25">
      <c r="A216" s="52">
        <v>222</v>
      </c>
      <c r="B216" s="58" t="s">
        <v>520</v>
      </c>
      <c r="C216" s="69" t="s">
        <v>828</v>
      </c>
      <c r="D216" s="70" t="s">
        <v>2194</v>
      </c>
      <c r="E216" s="54">
        <v>231.91199999999998</v>
      </c>
      <c r="F216" s="13" t="str">
        <f>INDEX(Кат!$I:$I,MATCH(Прайс!$B216,Кат!$G:$G,0))</f>
        <v>БРТ</v>
      </c>
      <c r="G216" s="25">
        <f>INDEX(Кат!$A:$A,MATCH(Прайс!$B216,Кат!$G:$G,0))</f>
        <v>186635</v>
      </c>
    </row>
    <row r="217" spans="1:7" s="11" customFormat="1" ht="12.75" customHeight="1" x14ac:dyDescent="0.25">
      <c r="A217" s="52">
        <v>223</v>
      </c>
      <c r="B217" s="53" t="s">
        <v>546</v>
      </c>
      <c r="C217" s="53" t="s">
        <v>827</v>
      </c>
      <c r="D217" s="52" t="s">
        <v>2194</v>
      </c>
      <c r="E217" s="54">
        <v>235.43999999999997</v>
      </c>
      <c r="F217" s="13" t="e">
        <f>INDEX(Кат!$I:$I,MATCH(Прайс!$B217,Кат!$G:$G,0))</f>
        <v>#N/A</v>
      </c>
      <c r="G217" s="25" t="e">
        <f>INDEX(Кат!$A:$A,MATCH(Прайс!$B217,Кат!$G:$G,0))</f>
        <v>#N/A</v>
      </c>
    </row>
    <row r="218" spans="1:7" s="11" customFormat="1" ht="12.75" customHeight="1" x14ac:dyDescent="0.25">
      <c r="A218" s="52">
        <v>224</v>
      </c>
      <c r="B218" s="53" t="s">
        <v>547</v>
      </c>
      <c r="C218" s="53" t="s">
        <v>828</v>
      </c>
      <c r="D218" s="52" t="s">
        <v>2194</v>
      </c>
      <c r="E218" s="54">
        <v>235.43999999999997</v>
      </c>
      <c r="F218" s="13" t="e">
        <f>INDEX(Кат!$I:$I,MATCH(Прайс!$B218,Кат!$G:$G,0))</f>
        <v>#N/A</v>
      </c>
      <c r="G218" s="25" t="e">
        <f>INDEX(Кат!$A:$A,MATCH(Прайс!$B218,Кат!$G:$G,0))</f>
        <v>#N/A</v>
      </c>
    </row>
    <row r="219" spans="1:7" s="11" customFormat="1" ht="12.75" customHeight="1" x14ac:dyDescent="0.25">
      <c r="A219" s="52">
        <v>225</v>
      </c>
      <c r="B219" s="53" t="s">
        <v>250</v>
      </c>
      <c r="C219" s="53" t="s">
        <v>829</v>
      </c>
      <c r="D219" s="52" t="s">
        <v>2194</v>
      </c>
      <c r="E219" s="54">
        <v>339.87600000000003</v>
      </c>
      <c r="F219" s="13" t="str">
        <f>INDEX(Кат!$I:$I,MATCH(Прайс!$B219,Кат!$G:$G,0))</f>
        <v>БРТ</v>
      </c>
      <c r="G219" s="25">
        <f>INDEX(Кат!$A:$A,MATCH(Прайс!$B219,Кат!$G:$G,0))</f>
        <v>186734</v>
      </c>
    </row>
    <row r="220" spans="1:7" s="11" customFormat="1" ht="12.75" customHeight="1" x14ac:dyDescent="0.25">
      <c r="A220" s="52">
        <v>226</v>
      </c>
      <c r="B220" s="53" t="s">
        <v>298</v>
      </c>
      <c r="C220" s="53" t="s">
        <v>828</v>
      </c>
      <c r="D220" s="52" t="s">
        <v>2194</v>
      </c>
      <c r="E220" s="54">
        <v>338.67599999999999</v>
      </c>
      <c r="F220" s="13" t="str">
        <f>INDEX(Кат!$I:$I,MATCH(Прайс!$B220,Кат!$G:$G,0))</f>
        <v>БРТ</v>
      </c>
      <c r="G220" s="25">
        <f>INDEX(Кат!$A:$A,MATCH(Прайс!$B220,Кат!$G:$G,0))</f>
        <v>186736</v>
      </c>
    </row>
    <row r="221" spans="1:7" s="11" customFormat="1" ht="12.75" customHeight="1" x14ac:dyDescent="0.25">
      <c r="A221" s="52">
        <v>227</v>
      </c>
      <c r="B221" s="53" t="s">
        <v>249</v>
      </c>
      <c r="C221" s="53" t="s">
        <v>830</v>
      </c>
      <c r="D221" s="52" t="s">
        <v>2194</v>
      </c>
      <c r="E221" s="54">
        <v>256.596</v>
      </c>
      <c r="F221" s="13" t="str">
        <f>INDEX(Кат!$I:$I,MATCH(Прайс!$B221,Кат!$G:$G,0))</f>
        <v>БРТ</v>
      </c>
      <c r="G221" s="25">
        <f>INDEX(Кат!$A:$A,MATCH(Прайс!$B221,Кат!$G:$G,0))</f>
        <v>186669</v>
      </c>
    </row>
    <row r="222" spans="1:7" s="11" customFormat="1" ht="12.75" customHeight="1" x14ac:dyDescent="0.25">
      <c r="A222" s="52">
        <v>228</v>
      </c>
      <c r="B222" s="53" t="s">
        <v>251</v>
      </c>
      <c r="C222" s="53" t="s">
        <v>831</v>
      </c>
      <c r="D222" s="52" t="s">
        <v>2194</v>
      </c>
      <c r="E222" s="54">
        <v>162.72</v>
      </c>
      <c r="F222" s="13" t="str">
        <f>INDEX(Кат!$I:$I,MATCH(Прайс!$B222,Кат!$G:$G,0))</f>
        <v>БРТ</v>
      </c>
      <c r="G222" s="25">
        <f>INDEX(Кат!$A:$A,MATCH(Прайс!$B222,Кат!$G:$G,0))</f>
        <v>225952</v>
      </c>
    </row>
    <row r="223" spans="1:7" s="11" customFormat="1" ht="12.75" customHeight="1" x14ac:dyDescent="0.25">
      <c r="A223" s="52">
        <v>229</v>
      </c>
      <c r="B223" s="53" t="s">
        <v>300</v>
      </c>
      <c r="C223" s="53" t="s">
        <v>832</v>
      </c>
      <c r="D223" s="52" t="s">
        <v>2194</v>
      </c>
      <c r="E223" s="54">
        <v>55.92</v>
      </c>
      <c r="F223" s="13" t="str">
        <f>INDEX(Кат!$I:$I,MATCH(Прайс!$B223,Кат!$G:$G,0))</f>
        <v>БРТ</v>
      </c>
      <c r="G223" s="25">
        <f>INDEX(Кат!$A:$A,MATCH(Прайс!$B223,Кат!$G:$G,0))</f>
        <v>164751</v>
      </c>
    </row>
    <row r="224" spans="1:7" s="11" customFormat="1" ht="12.75" customHeight="1" x14ac:dyDescent="0.25">
      <c r="A224" s="52">
        <v>230</v>
      </c>
      <c r="B224" s="53" t="s">
        <v>297</v>
      </c>
      <c r="C224" s="53" t="s">
        <v>833</v>
      </c>
      <c r="D224" s="52" t="s">
        <v>2194</v>
      </c>
      <c r="E224" s="54">
        <v>380.72399999999999</v>
      </c>
      <c r="F224" s="13" t="str">
        <f>INDEX(Кат!$I:$I,MATCH(Прайс!$B224,Кат!$G:$G,0))</f>
        <v>БРТ</v>
      </c>
      <c r="G224" s="25">
        <f>INDEX(Кат!$A:$A,MATCH(Прайс!$B224,Кат!$G:$G,0))</f>
        <v>186735</v>
      </c>
    </row>
    <row r="225" spans="1:7" s="11" customFormat="1" ht="12.75" customHeight="1" x14ac:dyDescent="0.25">
      <c r="A225" s="52">
        <v>231</v>
      </c>
      <c r="B225" s="53" t="s">
        <v>295</v>
      </c>
      <c r="C225" s="53" t="s">
        <v>834</v>
      </c>
      <c r="D225" s="52" t="s">
        <v>2194</v>
      </c>
      <c r="E225" s="54">
        <v>272.03999999999996</v>
      </c>
      <c r="F225" s="13" t="str">
        <f>INDEX(Кат!$I:$I,MATCH(Прайс!$B225,Кат!$G:$G,0))</f>
        <v>БРТ</v>
      </c>
      <c r="G225" s="25">
        <f>INDEX(Кат!$A:$A,MATCH(Прайс!$B225,Кат!$G:$G,0))</f>
        <v>186726</v>
      </c>
    </row>
    <row r="226" spans="1:7" s="11" customFormat="1" ht="12.75" customHeight="1" x14ac:dyDescent="0.25">
      <c r="A226" s="52">
        <v>232</v>
      </c>
      <c r="B226" s="53" t="s">
        <v>308</v>
      </c>
      <c r="C226" s="53" t="s">
        <v>828</v>
      </c>
      <c r="D226" s="52" t="s">
        <v>2194</v>
      </c>
      <c r="E226" s="54">
        <v>326.13599999999997</v>
      </c>
      <c r="F226" s="13" t="str">
        <f>INDEX(Кат!$I:$I,MATCH(Прайс!$B226,Кат!$G:$G,0))</f>
        <v>БРТ</v>
      </c>
      <c r="G226" s="25">
        <f>INDEX(Кат!$A:$A,MATCH(Прайс!$B226,Кат!$G:$G,0))</f>
        <v>186744</v>
      </c>
    </row>
    <row r="227" spans="1:7" s="11" customFormat="1" ht="12.75" customHeight="1" x14ac:dyDescent="0.25">
      <c r="A227" s="52">
        <v>233</v>
      </c>
      <c r="B227" s="53" t="s">
        <v>332</v>
      </c>
      <c r="C227" s="53" t="s">
        <v>828</v>
      </c>
      <c r="D227" s="52" t="s">
        <v>2194</v>
      </c>
      <c r="E227" s="54">
        <v>325.404</v>
      </c>
      <c r="F227" s="13" t="str">
        <f>INDEX(Кат!$I:$I,MATCH(Прайс!$B227,Кат!$G:$G,0))</f>
        <v>БРТ</v>
      </c>
      <c r="G227" s="25">
        <f>INDEX(Кат!$A:$A,MATCH(Прайс!$B227,Кат!$G:$G,0))</f>
        <v>186745</v>
      </c>
    </row>
    <row r="228" spans="1:7" s="11" customFormat="1" ht="12.75" customHeight="1" x14ac:dyDescent="0.25">
      <c r="A228" s="52">
        <v>234</v>
      </c>
      <c r="B228" s="53" t="s">
        <v>330</v>
      </c>
      <c r="C228" s="53" t="s">
        <v>827</v>
      </c>
      <c r="D228" s="52" t="s">
        <v>2194</v>
      </c>
      <c r="E228" s="54">
        <v>310.75199999999995</v>
      </c>
      <c r="F228" s="13" t="str">
        <f>INDEX(Кат!$I:$I,MATCH(Прайс!$B228,Кат!$G:$G,0))</f>
        <v>БРТ</v>
      </c>
      <c r="G228" s="25">
        <f>INDEX(Кат!$A:$A,MATCH(Прайс!$B228,Кат!$G:$G,0))</f>
        <v>186724</v>
      </c>
    </row>
    <row r="229" spans="1:7" s="11" customFormat="1" ht="12.75" customHeight="1" x14ac:dyDescent="0.25">
      <c r="A229" s="52">
        <v>235</v>
      </c>
      <c r="B229" s="53" t="s">
        <v>335</v>
      </c>
      <c r="C229" s="53" t="s">
        <v>832</v>
      </c>
      <c r="D229" s="52" t="s">
        <v>2194</v>
      </c>
      <c r="E229" s="54">
        <v>63.395999999999994</v>
      </c>
      <c r="F229" s="13" t="str">
        <f>INDEX(Кат!$I:$I,MATCH(Прайс!$B229,Кат!$G:$G,0))</f>
        <v>БРТ</v>
      </c>
      <c r="G229" s="25">
        <f>INDEX(Кат!$A:$A,MATCH(Прайс!$B229,Кат!$G:$G,0))</f>
        <v>186598</v>
      </c>
    </row>
    <row r="230" spans="1:7" s="11" customFormat="1" ht="12.75" customHeight="1" x14ac:dyDescent="0.25">
      <c r="A230" s="52">
        <v>236</v>
      </c>
      <c r="B230" s="53" t="s">
        <v>369</v>
      </c>
      <c r="C230" s="53" t="s">
        <v>835</v>
      </c>
      <c r="D230" s="52" t="s">
        <v>2194</v>
      </c>
      <c r="E230" s="54">
        <v>318.12</v>
      </c>
      <c r="F230" s="13" t="str">
        <f>INDEX(Кат!$I:$I,MATCH(Прайс!$B230,Кат!$G:$G,0))</f>
        <v>БРТ</v>
      </c>
      <c r="G230" s="25">
        <f>INDEX(Кат!$A:$A,MATCH(Прайс!$B230,Кат!$G:$G,0))</f>
        <v>186723</v>
      </c>
    </row>
    <row r="231" spans="1:7" s="11" customFormat="1" ht="12.75" customHeight="1" x14ac:dyDescent="0.25">
      <c r="A231" s="52">
        <v>237</v>
      </c>
      <c r="B231" s="53" t="s">
        <v>371</v>
      </c>
      <c r="C231" s="53" t="s">
        <v>836</v>
      </c>
      <c r="D231" s="52" t="s">
        <v>2194</v>
      </c>
      <c r="E231" s="54">
        <v>330.13200000000001</v>
      </c>
      <c r="F231" s="13" t="str">
        <f>INDEX(Кат!$I:$I,MATCH(Прайс!$B231,Кат!$G:$G,0))</f>
        <v>БРТ</v>
      </c>
      <c r="G231" s="25">
        <f>INDEX(Кат!$A:$A,MATCH(Прайс!$B231,Кат!$G:$G,0))</f>
        <v>186743</v>
      </c>
    </row>
    <row r="232" spans="1:7" s="11" customFormat="1" ht="12.75" customHeight="1" x14ac:dyDescent="0.25">
      <c r="A232" s="52">
        <v>238</v>
      </c>
      <c r="B232" s="53" t="s">
        <v>376</v>
      </c>
      <c r="C232" s="53" t="s">
        <v>837</v>
      </c>
      <c r="D232" s="52" t="s">
        <v>2194</v>
      </c>
      <c r="E232" s="54">
        <v>111.55199999999999</v>
      </c>
      <c r="F232" s="13" t="str">
        <f>INDEX(Кат!$I:$I,MATCH(Прайс!$B232,Кат!$G:$G,0))</f>
        <v>БРТ</v>
      </c>
      <c r="G232" s="25">
        <f>INDEX(Кат!$A:$A,MATCH(Прайс!$B232,Кат!$G:$G,0))</f>
        <v>186831</v>
      </c>
    </row>
    <row r="233" spans="1:7" s="11" customFormat="1" ht="12.75" customHeight="1" x14ac:dyDescent="0.25">
      <c r="A233" s="52">
        <v>239</v>
      </c>
      <c r="B233" s="53" t="s">
        <v>334</v>
      </c>
      <c r="C233" s="53" t="s">
        <v>838</v>
      </c>
      <c r="D233" s="52" t="s">
        <v>2194</v>
      </c>
      <c r="E233" s="54">
        <v>135.56399999999999</v>
      </c>
      <c r="F233" s="13" t="str">
        <f>INDEX(Кат!$I:$I,MATCH(Прайс!$B233,Кат!$G:$G,0))</f>
        <v>БРТ</v>
      </c>
      <c r="G233" s="25">
        <f>INDEX(Кат!$A:$A,MATCH(Прайс!$B233,Кат!$G:$G,0))</f>
        <v>186763</v>
      </c>
    </row>
    <row r="234" spans="1:7" s="11" customFormat="1" ht="12.75" customHeight="1" x14ac:dyDescent="0.25">
      <c r="A234" s="52">
        <v>240</v>
      </c>
      <c r="B234" s="53" t="s">
        <v>390</v>
      </c>
      <c r="C234" s="53" t="s">
        <v>838</v>
      </c>
      <c r="D234" s="52" t="s">
        <v>2194</v>
      </c>
      <c r="E234" s="54">
        <v>449.38799999999998</v>
      </c>
      <c r="F234" s="13" t="str">
        <f>INDEX(Кат!$I:$I,MATCH(Прайс!$B234,Кат!$G:$G,0))</f>
        <v>БРТ</v>
      </c>
      <c r="G234" s="25">
        <f>INDEX(Кат!$A:$A,MATCH(Прайс!$B234,Кат!$G:$G,0))</f>
        <v>186552</v>
      </c>
    </row>
    <row r="235" spans="1:7" s="11" customFormat="1" ht="12.75" customHeight="1" x14ac:dyDescent="0.25">
      <c r="A235" s="52">
        <v>241</v>
      </c>
      <c r="B235" s="53" t="s">
        <v>415</v>
      </c>
      <c r="C235" s="53" t="s">
        <v>838</v>
      </c>
      <c r="D235" s="52" t="s">
        <v>2194</v>
      </c>
      <c r="E235" s="54">
        <v>272.02799999999996</v>
      </c>
      <c r="F235" s="13" t="str">
        <f>INDEX(Кат!$I:$I,MATCH(Прайс!$B235,Кат!$G:$G,0))</f>
        <v>БРТ</v>
      </c>
      <c r="G235" s="25">
        <f>INDEX(Кат!$A:$A,MATCH(Прайс!$B235,Кат!$G:$G,0))</f>
        <v>186765</v>
      </c>
    </row>
    <row r="236" spans="1:7" s="11" customFormat="1" ht="12.75" customHeight="1" x14ac:dyDescent="0.25">
      <c r="A236" s="52">
        <v>242</v>
      </c>
      <c r="B236" s="53" t="s">
        <v>430</v>
      </c>
      <c r="C236" s="53" t="s">
        <v>838</v>
      </c>
      <c r="D236" s="52" t="s">
        <v>2194</v>
      </c>
      <c r="E236" s="54">
        <v>139.38</v>
      </c>
      <c r="F236" s="13" t="str">
        <f>INDEX(Кат!$I:$I,MATCH(Прайс!$B236,Кат!$G:$G,0))</f>
        <v>БРТ</v>
      </c>
      <c r="G236" s="25">
        <f>INDEX(Кат!$A:$A,MATCH(Прайс!$B236,Кат!$G:$G,0))</f>
        <v>186762</v>
      </c>
    </row>
    <row r="237" spans="1:7" s="11" customFormat="1" ht="12.75" customHeight="1" x14ac:dyDescent="0.25">
      <c r="A237" s="52">
        <v>243</v>
      </c>
      <c r="B237" s="53" t="s">
        <v>373</v>
      </c>
      <c r="C237" s="53" t="s">
        <v>838</v>
      </c>
      <c r="D237" s="52" t="s">
        <v>2194</v>
      </c>
      <c r="E237" s="54">
        <v>150.768</v>
      </c>
      <c r="F237" s="13" t="str">
        <f>INDEX(Кат!$I:$I,MATCH(Прайс!$B237,Кат!$G:$G,0))</f>
        <v>БРТ</v>
      </c>
      <c r="G237" s="25">
        <f>INDEX(Кат!$A:$A,MATCH(Прайс!$B237,Кат!$G:$G,0))</f>
        <v>186764</v>
      </c>
    </row>
    <row r="238" spans="1:7" s="11" customFormat="1" ht="12.75" customHeight="1" x14ac:dyDescent="0.25">
      <c r="A238" s="52">
        <v>244</v>
      </c>
      <c r="B238" s="53" t="s">
        <v>521</v>
      </c>
      <c r="C238" s="53" t="s">
        <v>839</v>
      </c>
      <c r="D238" s="52" t="s">
        <v>2194</v>
      </c>
      <c r="E238" s="54">
        <v>171.46799999999999</v>
      </c>
      <c r="F238" s="13" t="str">
        <f>INDEX(Кат!$I:$I,MATCH(Прайс!$B238,Кат!$G:$G,0))</f>
        <v>БРТ</v>
      </c>
      <c r="G238" s="25">
        <f>INDEX(Кат!$A:$A,MATCH(Прайс!$B238,Кат!$G:$G,0))</f>
        <v>186761</v>
      </c>
    </row>
    <row r="239" spans="1:7" s="11" customFormat="1" ht="12.75" customHeight="1" x14ac:dyDescent="0.25">
      <c r="A239" s="52">
        <v>245</v>
      </c>
      <c r="B239" s="53" t="s">
        <v>840</v>
      </c>
      <c r="C239" s="53" t="s">
        <v>841</v>
      </c>
      <c r="D239" s="52" t="s">
        <v>2194</v>
      </c>
      <c r="E239" s="54">
        <v>129.804</v>
      </c>
      <c r="F239" s="13" t="str">
        <f>INDEX(Кат!$I:$I,MATCH(Прайс!$B239,Кат!$G:$G,0))</f>
        <v>БРТ</v>
      </c>
      <c r="G239" s="25">
        <f>INDEX(Кат!$A:$A,MATCH(Прайс!$B239,Кат!$G:$G,0))</f>
        <v>186588</v>
      </c>
    </row>
    <row r="240" spans="1:7" s="11" customFormat="1" ht="12.75" customHeight="1" x14ac:dyDescent="0.25">
      <c r="A240" s="52">
        <v>246</v>
      </c>
      <c r="B240" s="53" t="s">
        <v>842</v>
      </c>
      <c r="C240" s="53" t="s">
        <v>843</v>
      </c>
      <c r="D240" s="52" t="s">
        <v>2194</v>
      </c>
      <c r="E240" s="54">
        <v>83.30543999999999</v>
      </c>
      <c r="F240" s="13" t="str">
        <f>INDEX(Кат!$I:$I,MATCH(Прайс!$B240,Кат!$G:$G,0))</f>
        <v>БРТ</v>
      </c>
      <c r="G240" s="25">
        <f>INDEX(Кат!$A:$A,MATCH(Прайс!$B240,Кат!$G:$G,0))</f>
        <v>186589</v>
      </c>
    </row>
    <row r="241" spans="1:7" s="11" customFormat="1" ht="12.75" customHeight="1" x14ac:dyDescent="0.25">
      <c r="A241" s="52">
        <v>247</v>
      </c>
      <c r="B241" s="53" t="s">
        <v>844</v>
      </c>
      <c r="C241" s="53" t="s">
        <v>845</v>
      </c>
      <c r="D241" s="52" t="s">
        <v>2194</v>
      </c>
      <c r="E241" s="54">
        <v>100.15992</v>
      </c>
      <c r="F241" s="13" t="str">
        <f>INDEX(Кат!$I:$I,MATCH(Прайс!$B241,Кат!$G:$G,0))</f>
        <v>БРТ</v>
      </c>
      <c r="G241" s="25">
        <f>INDEX(Кат!$A:$A,MATCH(Прайс!$B241,Кат!$G:$G,0))</f>
        <v>186587</v>
      </c>
    </row>
    <row r="242" spans="1:7" s="11" customFormat="1" ht="12.75" customHeight="1" x14ac:dyDescent="0.25">
      <c r="A242" s="52">
        <v>248</v>
      </c>
      <c r="B242" s="53" t="s">
        <v>414</v>
      </c>
      <c r="C242" s="65" t="s">
        <v>846</v>
      </c>
      <c r="D242" s="52" t="s">
        <v>2194</v>
      </c>
      <c r="E242" s="54">
        <v>722.28</v>
      </c>
      <c r="F242" s="13" t="str">
        <f>INDEX(Кат!$I:$I,MATCH(Прайс!$B242,Кат!$G:$G,0))</f>
        <v>БРТ</v>
      </c>
      <c r="G242" s="25">
        <f>INDEX(Кат!$A:$A,MATCH(Прайс!$B242,Кат!$G:$G,0))</f>
        <v>186594</v>
      </c>
    </row>
    <row r="243" spans="1:7" s="11" customFormat="1" ht="12.75" customHeight="1" x14ac:dyDescent="0.25">
      <c r="A243" s="52">
        <v>249</v>
      </c>
      <c r="B243" s="53" t="s">
        <v>426</v>
      </c>
      <c r="C243" s="65" t="s">
        <v>847</v>
      </c>
      <c r="D243" s="52" t="s">
        <v>2194</v>
      </c>
      <c r="E243" s="54">
        <v>815.23199999999997</v>
      </c>
      <c r="F243" s="13" t="str">
        <f>INDEX(Кат!$I:$I,MATCH(Прайс!$B243,Кат!$G:$G,0))</f>
        <v>БРТ</v>
      </c>
      <c r="G243" s="25">
        <f>INDEX(Кат!$A:$A,MATCH(Прайс!$B243,Кат!$G:$G,0))</f>
        <v>186595</v>
      </c>
    </row>
    <row r="244" spans="1:7" s="11" customFormat="1" ht="12.75" customHeight="1" x14ac:dyDescent="0.25">
      <c r="A244" s="52">
        <v>250</v>
      </c>
      <c r="B244" s="53" t="s">
        <v>848</v>
      </c>
      <c r="C244" s="65" t="s">
        <v>849</v>
      </c>
      <c r="D244" s="52" t="s">
        <v>2194</v>
      </c>
      <c r="E244" s="54">
        <v>264</v>
      </c>
      <c r="F244" s="13" t="e">
        <f>INDEX(Кат!$I:$I,MATCH(Прайс!$B244,Кат!$G:$G,0))</f>
        <v>#N/A</v>
      </c>
      <c r="G244" s="25" t="e">
        <f>INDEX(Кат!$A:$A,MATCH(Прайс!$B244,Кат!$G:$G,0))</f>
        <v>#N/A</v>
      </c>
    </row>
    <row r="245" spans="1:7" s="11" customFormat="1" ht="12.75" customHeight="1" x14ac:dyDescent="0.25">
      <c r="A245" s="52">
        <v>251</v>
      </c>
      <c r="B245" s="53" t="s">
        <v>850</v>
      </c>
      <c r="C245" s="65" t="s">
        <v>851</v>
      </c>
      <c r="D245" s="52" t="s">
        <v>2194</v>
      </c>
      <c r="E245" s="54">
        <v>264</v>
      </c>
      <c r="F245" s="13" t="e">
        <f>INDEX(Кат!$I:$I,MATCH(Прайс!$B245,Кат!$G:$G,0))</f>
        <v>#N/A</v>
      </c>
      <c r="G245" s="25" t="e">
        <f>INDEX(Кат!$A:$A,MATCH(Прайс!$B245,Кат!$G:$G,0))</f>
        <v>#N/A</v>
      </c>
    </row>
    <row r="246" spans="1:7" s="11" customFormat="1" ht="12.75" customHeight="1" x14ac:dyDescent="0.25">
      <c r="A246" s="52">
        <v>252</v>
      </c>
      <c r="B246" s="53" t="s">
        <v>852</v>
      </c>
      <c r="C246" s="65" t="s">
        <v>598</v>
      </c>
      <c r="D246" s="52" t="s">
        <v>2207</v>
      </c>
      <c r="E246" s="54">
        <v>318</v>
      </c>
      <c r="F246" s="13" t="str">
        <f>INDEX(Кат!$I:$I,MATCH(Прайс!$B246,Кат!$G:$G,0))</f>
        <v>БРТ</v>
      </c>
      <c r="G246" s="25">
        <f>INDEX(Кат!$A:$A,MATCH(Прайс!$B246,Кат!$G:$G,0))</f>
        <v>158848</v>
      </c>
    </row>
    <row r="247" spans="1:7" s="11" customFormat="1" ht="12.75" customHeight="1" x14ac:dyDescent="0.25">
      <c r="A247" s="52">
        <v>253</v>
      </c>
      <c r="B247" s="53" t="s">
        <v>307</v>
      </c>
      <c r="C247" s="65" t="s">
        <v>853</v>
      </c>
      <c r="D247" s="52" t="s">
        <v>2194</v>
      </c>
      <c r="E247" s="54">
        <v>120</v>
      </c>
      <c r="F247" s="13" t="str">
        <f>INDEX(Кат!$I:$I,MATCH(Прайс!$B247,Кат!$G:$G,0))</f>
        <v>БРТ</v>
      </c>
      <c r="G247" s="25">
        <f>INDEX(Кат!$A:$A,MATCH(Прайс!$B247,Кат!$G:$G,0))</f>
        <v>186556</v>
      </c>
    </row>
    <row r="248" spans="1:7" s="11" customFormat="1" ht="12.75" customHeight="1" x14ac:dyDescent="0.25">
      <c r="A248" s="52">
        <v>254</v>
      </c>
      <c r="B248" s="53" t="s">
        <v>328</v>
      </c>
      <c r="C248" s="53" t="s">
        <v>854</v>
      </c>
      <c r="D248" s="52" t="s">
        <v>2194</v>
      </c>
      <c r="E248" s="54">
        <v>56.172000000000004</v>
      </c>
      <c r="F248" s="13" t="str">
        <f>INDEX(Кат!$I:$I,MATCH(Прайс!$B248,Кат!$G:$G,0))</f>
        <v>БРТ</v>
      </c>
      <c r="G248" s="25">
        <f>INDEX(Кат!$A:$A,MATCH(Прайс!$B248,Кат!$G:$G,0))</f>
        <v>225920</v>
      </c>
    </row>
    <row r="249" spans="1:7" s="11" customFormat="1" ht="12.75" customHeight="1" x14ac:dyDescent="0.25">
      <c r="A249" s="52">
        <v>255</v>
      </c>
      <c r="B249" s="53" t="s">
        <v>388</v>
      </c>
      <c r="C249" s="53" t="s">
        <v>827</v>
      </c>
      <c r="D249" s="52" t="s">
        <v>2194</v>
      </c>
      <c r="E249" s="54">
        <v>360.21600000000001</v>
      </c>
      <c r="F249" s="13" t="str">
        <f>INDEX(Кат!$I:$I,MATCH(Прайс!$B249,Кат!$G:$G,0))</f>
        <v>БРТ</v>
      </c>
      <c r="G249" s="25">
        <f>INDEX(Кат!$A:$A,MATCH(Прайс!$B249,Кат!$G:$G,0))</f>
        <v>186727</v>
      </c>
    </row>
    <row r="250" spans="1:7" s="11" customFormat="1" ht="12.75" customHeight="1" x14ac:dyDescent="0.25">
      <c r="A250" s="52">
        <v>256</v>
      </c>
      <c r="B250" s="53" t="s">
        <v>389</v>
      </c>
      <c r="C250" s="53" t="s">
        <v>828</v>
      </c>
      <c r="D250" s="52" t="s">
        <v>2194</v>
      </c>
      <c r="E250" s="54">
        <v>360.22800000000001</v>
      </c>
      <c r="F250" s="13" t="str">
        <f>INDEX(Кат!$I:$I,MATCH(Прайс!$B250,Кат!$G:$G,0))</f>
        <v>БРТ</v>
      </c>
      <c r="G250" s="25">
        <f>INDEX(Кат!$A:$A,MATCH(Прайс!$B250,Кат!$G:$G,0))</f>
        <v>186737</v>
      </c>
    </row>
    <row r="251" spans="1:7" s="11" customFormat="1" ht="12.75" customHeight="1" x14ac:dyDescent="0.25">
      <c r="A251" s="52">
        <v>257</v>
      </c>
      <c r="B251" s="58" t="s">
        <v>428</v>
      </c>
      <c r="C251" s="58" t="s">
        <v>827</v>
      </c>
      <c r="D251" s="52" t="s">
        <v>2194</v>
      </c>
      <c r="E251" s="54">
        <v>354.93599999999998</v>
      </c>
      <c r="F251" s="13" t="str">
        <f>INDEX(Кат!$I:$I,MATCH(Прайс!$B251,Кат!$G:$G,0))</f>
        <v>БРТ</v>
      </c>
      <c r="G251" s="25">
        <f>INDEX(Кат!$A:$A,MATCH(Прайс!$B251,Кат!$G:$G,0))</f>
        <v>186671</v>
      </c>
    </row>
    <row r="252" spans="1:7" s="11" customFormat="1" ht="12.75" customHeight="1" x14ac:dyDescent="0.25">
      <c r="A252" s="52">
        <v>258</v>
      </c>
      <c r="B252" s="58" t="s">
        <v>429</v>
      </c>
      <c r="C252" s="58" t="s">
        <v>828</v>
      </c>
      <c r="D252" s="52" t="s">
        <v>2194</v>
      </c>
      <c r="E252" s="54">
        <v>202.90799999999999</v>
      </c>
      <c r="F252" s="13" t="str">
        <f>INDEX(Кат!$I:$I,MATCH(Прайс!$B252,Кат!$G:$G,0))</f>
        <v>БРТ</v>
      </c>
      <c r="G252" s="25">
        <f>INDEX(Кат!$A:$A,MATCH(Прайс!$B252,Кат!$G:$G,0))</f>
        <v>186634</v>
      </c>
    </row>
    <row r="253" spans="1:7" s="11" customFormat="1" ht="12.75" customHeight="1" x14ac:dyDescent="0.25">
      <c r="A253" s="52">
        <v>259</v>
      </c>
      <c r="B253" s="53" t="s">
        <v>464</v>
      </c>
      <c r="C253" s="53" t="s">
        <v>827</v>
      </c>
      <c r="D253" s="52" t="s">
        <v>2194</v>
      </c>
      <c r="E253" s="54">
        <v>431.11199999999997</v>
      </c>
      <c r="F253" s="13" t="str">
        <f>INDEX(Кат!$I:$I,MATCH(Прайс!$B253,Кат!$G:$G,0))</f>
        <v>БРТ</v>
      </c>
      <c r="G253" s="25">
        <f>INDEX(Кат!$A:$A,MATCH(Прайс!$B253,Кат!$G:$G,0))</f>
        <v>186741</v>
      </c>
    </row>
    <row r="254" spans="1:7" s="11" customFormat="1" ht="12.75" customHeight="1" x14ac:dyDescent="0.25">
      <c r="A254" s="52">
        <v>260</v>
      </c>
      <c r="B254" s="53" t="s">
        <v>441</v>
      </c>
      <c r="C254" s="53" t="s">
        <v>828</v>
      </c>
      <c r="D254" s="52" t="s">
        <v>2194</v>
      </c>
      <c r="E254" s="54">
        <v>330.87600000000003</v>
      </c>
      <c r="F254" s="13" t="str">
        <f>INDEX(Кат!$I:$I,MATCH(Прайс!$B254,Кат!$G:$G,0))</f>
        <v>БРТ</v>
      </c>
      <c r="G254" s="25">
        <f>INDEX(Кат!$A:$A,MATCH(Прайс!$B254,Кат!$G:$G,0))</f>
        <v>186739</v>
      </c>
    </row>
    <row r="255" spans="1:7" s="11" customFormat="1" ht="12.75" customHeight="1" x14ac:dyDescent="0.25">
      <c r="A255" s="52">
        <v>261</v>
      </c>
      <c r="B255" s="53" t="s">
        <v>440</v>
      </c>
      <c r="C255" s="53" t="s">
        <v>855</v>
      </c>
      <c r="D255" s="52" t="s">
        <v>2194</v>
      </c>
      <c r="E255" s="54">
        <v>210.98399999999998</v>
      </c>
      <c r="F255" s="13" t="str">
        <f>INDEX(Кат!$I:$I,MATCH(Прайс!$B255,Кат!$G:$G,0))</f>
        <v>БРТ</v>
      </c>
      <c r="G255" s="25">
        <f>INDEX(Кат!$A:$A,MATCH(Прайс!$B255,Кат!$G:$G,0))</f>
        <v>186729</v>
      </c>
    </row>
    <row r="256" spans="1:7" s="11" customFormat="1" ht="12.75" customHeight="1" x14ac:dyDescent="0.25">
      <c r="A256" s="52">
        <v>262</v>
      </c>
      <c r="B256" s="53" t="s">
        <v>442</v>
      </c>
      <c r="C256" s="53" t="s">
        <v>831</v>
      </c>
      <c r="D256" s="52" t="s">
        <v>2194</v>
      </c>
      <c r="E256" s="54">
        <v>165.864</v>
      </c>
      <c r="F256" s="13" t="str">
        <f>INDEX(Кат!$I:$I,MATCH(Прайс!$B256,Кат!$G:$G,0))</f>
        <v>БРТ</v>
      </c>
      <c r="G256" s="25">
        <f>INDEX(Кат!$A:$A,MATCH(Прайс!$B256,Кат!$G:$G,0))</f>
        <v>186699</v>
      </c>
    </row>
    <row r="257" spans="1:7" s="11" customFormat="1" ht="12.75" customHeight="1" x14ac:dyDescent="0.25">
      <c r="A257" s="52">
        <v>263</v>
      </c>
      <c r="B257" s="53" t="s">
        <v>463</v>
      </c>
      <c r="C257" s="53" t="s">
        <v>828</v>
      </c>
      <c r="D257" s="52" t="s">
        <v>2194</v>
      </c>
      <c r="E257" s="54">
        <v>150.768</v>
      </c>
      <c r="F257" s="13" t="str">
        <f>INDEX(Кат!$I:$I,MATCH(Прайс!$B257,Кат!$G:$G,0))</f>
        <v>БРТ</v>
      </c>
      <c r="G257" s="25">
        <f>INDEX(Кат!$A:$A,MATCH(Прайс!$B257,Кат!$G:$G,0))</f>
        <v>186731</v>
      </c>
    </row>
    <row r="258" spans="1:7" s="11" customFormat="1" ht="12.75" customHeight="1" x14ac:dyDescent="0.25">
      <c r="A258" s="52">
        <v>264</v>
      </c>
      <c r="B258" s="53" t="s">
        <v>465</v>
      </c>
      <c r="C258" s="53" t="s">
        <v>831</v>
      </c>
      <c r="D258" s="52" t="s">
        <v>2194</v>
      </c>
      <c r="E258" s="54">
        <v>113.06399999999999</v>
      </c>
      <c r="F258" s="13" t="str">
        <f>INDEX(Кат!$I:$I,MATCH(Прайс!$B258,Кат!$G:$G,0))</f>
        <v>БРТ</v>
      </c>
      <c r="G258" s="25">
        <f>INDEX(Кат!$A:$A,MATCH(Прайс!$B258,Кат!$G:$G,0))</f>
        <v>186553</v>
      </c>
    </row>
    <row r="259" spans="1:7" s="11" customFormat="1" ht="12.75" customHeight="1" x14ac:dyDescent="0.25">
      <c r="A259" s="52">
        <v>265</v>
      </c>
      <c r="B259" s="53" t="s">
        <v>466</v>
      </c>
      <c r="C259" s="53" t="s">
        <v>832</v>
      </c>
      <c r="D259" s="52" t="s">
        <v>2194</v>
      </c>
      <c r="E259" s="54">
        <v>140.66399999999999</v>
      </c>
      <c r="F259" s="13" t="str">
        <f>INDEX(Кат!$I:$I,MATCH(Прайс!$B259,Кат!$G:$G,0))</f>
        <v>БРТ</v>
      </c>
      <c r="G259" s="25">
        <f>INDEX(Кат!$A:$A,MATCH(Прайс!$B259,Кат!$G:$G,0))</f>
        <v>186844</v>
      </c>
    </row>
    <row r="260" spans="1:7" s="11" customFormat="1" ht="12.75" customHeight="1" x14ac:dyDescent="0.25">
      <c r="A260" s="52">
        <v>266</v>
      </c>
      <c r="B260" s="53" t="s">
        <v>488</v>
      </c>
      <c r="C260" s="53" t="s">
        <v>596</v>
      </c>
      <c r="D260" s="52" t="s">
        <v>2194</v>
      </c>
      <c r="E260" s="54">
        <v>217.536</v>
      </c>
      <c r="F260" s="13" t="str">
        <f>INDEX(Кат!$I:$I,MATCH(Прайс!$B260,Кат!$G:$G,0))</f>
        <v>БРТ</v>
      </c>
      <c r="G260" s="25">
        <f>INDEX(Кат!$A:$A,MATCH(Прайс!$B260,Кат!$G:$G,0))</f>
        <v>186732</v>
      </c>
    </row>
    <row r="261" spans="1:7" s="11" customFormat="1" ht="12.75" customHeight="1" x14ac:dyDescent="0.25">
      <c r="A261" s="52">
        <v>267</v>
      </c>
      <c r="B261" s="53" t="s">
        <v>490</v>
      </c>
      <c r="C261" s="53" t="s">
        <v>596</v>
      </c>
      <c r="D261" s="52" t="s">
        <v>2194</v>
      </c>
      <c r="E261" s="54">
        <v>363.45599999999996</v>
      </c>
      <c r="F261" s="13" t="str">
        <f>INDEX(Кат!$I:$I,MATCH(Прайс!$B261,Кат!$G:$G,0))</f>
        <v>БРТ</v>
      </c>
      <c r="G261" s="25">
        <f>INDEX(Кат!$A:$A,MATCH(Прайс!$B261,Кат!$G:$G,0))</f>
        <v>186742</v>
      </c>
    </row>
    <row r="262" spans="1:7" s="11" customFormat="1" ht="12.75" customHeight="1" x14ac:dyDescent="0.25">
      <c r="A262" s="52">
        <v>268</v>
      </c>
      <c r="B262" s="53" t="s">
        <v>285</v>
      </c>
      <c r="C262" s="53" t="s">
        <v>856</v>
      </c>
      <c r="D262" s="52" t="s">
        <v>2194</v>
      </c>
      <c r="E262" s="54">
        <v>209.08799999999999</v>
      </c>
      <c r="F262" s="13" t="str">
        <f>INDEX(Кат!$I:$I,MATCH(Прайс!$B262,Кат!$G:$G,0))</f>
        <v>БРТ</v>
      </c>
      <c r="G262" s="25">
        <f>INDEX(Кат!$A:$A,MATCH(Прайс!$B262,Кат!$G:$G,0))</f>
        <v>186838</v>
      </c>
    </row>
    <row r="263" spans="1:7" s="11" customFormat="1" ht="12.75" customHeight="1" x14ac:dyDescent="0.25">
      <c r="A263" s="52">
        <v>269</v>
      </c>
      <c r="B263" s="53" t="s">
        <v>327</v>
      </c>
      <c r="C263" s="53" t="s">
        <v>857</v>
      </c>
      <c r="D263" s="52" t="s">
        <v>2194</v>
      </c>
      <c r="E263" s="54">
        <v>342.048</v>
      </c>
      <c r="F263" s="13" t="e">
        <f>INDEX(Кат!$I:$I,MATCH(Прайс!$B263,Кат!$G:$G,0))</f>
        <v>#N/A</v>
      </c>
      <c r="G263" s="25" t="e">
        <f>INDEX(Кат!$A:$A,MATCH(Прайс!$B263,Кат!$G:$G,0))</f>
        <v>#N/A</v>
      </c>
    </row>
    <row r="264" spans="1:7" s="11" customFormat="1" ht="12.75" customHeight="1" x14ac:dyDescent="0.25">
      <c r="A264" s="52">
        <v>270</v>
      </c>
      <c r="B264" s="53" t="s">
        <v>325</v>
      </c>
      <c r="C264" s="53" t="s">
        <v>858</v>
      </c>
      <c r="D264" s="52" t="s">
        <v>2194</v>
      </c>
      <c r="E264" s="54">
        <v>428.25599999999997</v>
      </c>
      <c r="F264" s="13" t="str">
        <f>INDEX(Кат!$I:$I,MATCH(Прайс!$B264,Кат!$G:$G,0))</f>
        <v>БРТ</v>
      </c>
      <c r="G264" s="25">
        <f>INDEX(Кат!$A:$A,MATCH(Прайс!$B264,Кат!$G:$G,0))</f>
        <v>186832</v>
      </c>
    </row>
    <row r="265" spans="1:7" s="11" customFormat="1" ht="12.75" customHeight="1" x14ac:dyDescent="0.25">
      <c r="A265" s="52">
        <v>271</v>
      </c>
      <c r="B265" s="53" t="s">
        <v>326</v>
      </c>
      <c r="C265" s="53" t="s">
        <v>859</v>
      </c>
      <c r="D265" s="52" t="s">
        <v>2194</v>
      </c>
      <c r="E265" s="54">
        <v>697.9799999999999</v>
      </c>
      <c r="F265" s="13" t="str">
        <f>INDEX(Кат!$I:$I,MATCH(Прайс!$B265,Кат!$G:$G,0))</f>
        <v>БРТ</v>
      </c>
      <c r="G265" s="25">
        <f>INDEX(Кат!$A:$A,MATCH(Прайс!$B265,Кат!$G:$G,0))</f>
        <v>186833</v>
      </c>
    </row>
    <row r="266" spans="1:7" s="11" customFormat="1" ht="12.75" customHeight="1" x14ac:dyDescent="0.25">
      <c r="A266" s="52">
        <v>272</v>
      </c>
      <c r="B266" s="53" t="s">
        <v>424</v>
      </c>
      <c r="C266" s="65" t="s">
        <v>860</v>
      </c>
      <c r="D266" s="71" t="s">
        <v>2194</v>
      </c>
      <c r="E266" s="54">
        <v>535.95600000000002</v>
      </c>
      <c r="F266" s="13" t="str">
        <f>INDEX(Кат!$I:$I,MATCH(Прайс!$B266,Кат!$G:$G,0))</f>
        <v>БРТ</v>
      </c>
      <c r="G266" s="25">
        <f>INDEX(Кат!$A:$A,MATCH(Прайс!$B266,Кат!$G:$G,0))</f>
        <v>186834</v>
      </c>
    </row>
    <row r="267" spans="1:7" s="11" customFormat="1" ht="12.75" customHeight="1" x14ac:dyDescent="0.25">
      <c r="A267" s="52">
        <v>273</v>
      </c>
      <c r="B267" s="53" t="s">
        <v>427</v>
      </c>
      <c r="C267" s="65" t="s">
        <v>861</v>
      </c>
      <c r="D267" s="71" t="s">
        <v>2194</v>
      </c>
      <c r="E267" s="54">
        <v>71.471999999999994</v>
      </c>
      <c r="F267" s="13" t="str">
        <f>INDEX(Кат!$I:$I,MATCH(Прайс!$B267,Кат!$G:$G,0))</f>
        <v>БРТ</v>
      </c>
      <c r="G267" s="25">
        <f>INDEX(Кат!$A:$A,MATCH(Прайс!$B267,Кат!$G:$G,0))</f>
        <v>225919</v>
      </c>
    </row>
    <row r="268" spans="1:7" s="11" customFormat="1" ht="15" customHeight="1" x14ac:dyDescent="0.25">
      <c r="A268" s="52">
        <v>274</v>
      </c>
      <c r="B268" s="53" t="s">
        <v>862</v>
      </c>
      <c r="C268" s="65" t="s">
        <v>863</v>
      </c>
      <c r="D268" s="71" t="s">
        <v>2194</v>
      </c>
      <c r="E268" s="54">
        <v>21.578507999999999</v>
      </c>
      <c r="F268" s="13" t="str">
        <f>INDEX(Кат!$I:$I,MATCH(Прайс!$B268,Кат!$G:$G,0))</f>
        <v>БРТ</v>
      </c>
      <c r="G268" s="25">
        <f>INDEX(Кат!$A:$A,MATCH(Прайс!$B268,Кат!$G:$G,0))</f>
        <v>225912</v>
      </c>
    </row>
    <row r="269" spans="1:7" s="11" customFormat="1" ht="15" customHeight="1" x14ac:dyDescent="0.25">
      <c r="A269" s="52">
        <v>275</v>
      </c>
      <c r="B269" s="53" t="s">
        <v>245</v>
      </c>
      <c r="C269" s="53" t="s">
        <v>864</v>
      </c>
      <c r="D269" s="52" t="s">
        <v>2194</v>
      </c>
      <c r="E269" s="54">
        <v>272.12400000000002</v>
      </c>
      <c r="F269" s="13" t="str">
        <f>INDEX(Кат!$I:$I,MATCH(Прайс!$B269,Кат!$G:$G,0))</f>
        <v>БРТ</v>
      </c>
      <c r="G269" s="25">
        <f>INDEX(Кат!$A:$A,MATCH(Прайс!$B269,Кат!$G:$G,0))</f>
        <v>180669</v>
      </c>
    </row>
    <row r="270" spans="1:7" s="11" customFormat="1" ht="15" customHeight="1" x14ac:dyDescent="0.25">
      <c r="A270" s="52">
        <v>276</v>
      </c>
      <c r="B270" s="53" t="s">
        <v>386</v>
      </c>
      <c r="C270" s="53" t="s">
        <v>864</v>
      </c>
      <c r="D270" s="52" t="s">
        <v>2194</v>
      </c>
      <c r="E270" s="54">
        <v>214.14</v>
      </c>
      <c r="F270" s="13" t="str">
        <f>INDEX(Кат!$I:$I,MATCH(Прайс!$B270,Кат!$G:$G,0))</f>
        <v>БРТ</v>
      </c>
      <c r="G270" s="25">
        <f>INDEX(Кат!$A:$A,MATCH(Прайс!$B270,Кат!$G:$G,0))</f>
        <v>180671</v>
      </c>
    </row>
    <row r="271" spans="1:7" s="11" customFormat="1" ht="15" customHeight="1" x14ac:dyDescent="0.25">
      <c r="A271" s="52">
        <v>277</v>
      </c>
      <c r="B271" s="53" t="s">
        <v>865</v>
      </c>
      <c r="C271" s="53" t="s">
        <v>866</v>
      </c>
      <c r="D271" s="52" t="s">
        <v>2194</v>
      </c>
      <c r="E271" s="54">
        <v>94.38000000000001</v>
      </c>
      <c r="F271" s="13" t="str">
        <f>INDEX(Кат!$I:$I,MATCH(Прайс!$B271,Кат!$G:$G,0))</f>
        <v>БРТ</v>
      </c>
      <c r="G271" s="25">
        <f>INDEX(Кат!$A:$A,MATCH(Прайс!$B271,Кат!$G:$G,0))</f>
        <v>180670</v>
      </c>
    </row>
    <row r="272" spans="1:7" s="11" customFormat="1" ht="15" customHeight="1" x14ac:dyDescent="0.25">
      <c r="A272" s="52">
        <v>278</v>
      </c>
      <c r="B272" s="53" t="s">
        <v>867</v>
      </c>
      <c r="C272" s="53" t="s">
        <v>868</v>
      </c>
      <c r="D272" s="52" t="s">
        <v>2194</v>
      </c>
      <c r="E272" s="54">
        <v>104.01600000000001</v>
      </c>
      <c r="F272" s="13" t="str">
        <f>INDEX(Кат!$I:$I,MATCH(Прайс!$B272,Кат!$G:$G,0))</f>
        <v>БРТ</v>
      </c>
      <c r="G272" s="25">
        <f>INDEX(Кат!$A:$A,MATCH(Прайс!$B272,Кат!$G:$G,0))</f>
        <v>186568</v>
      </c>
    </row>
    <row r="273" spans="1:7" s="11" customFormat="1" ht="15" customHeight="1" x14ac:dyDescent="0.25">
      <c r="A273" s="52">
        <v>279</v>
      </c>
      <c r="B273" s="53" t="s">
        <v>869</v>
      </c>
      <c r="C273" s="53" t="s">
        <v>870</v>
      </c>
      <c r="D273" s="52" t="s">
        <v>2194</v>
      </c>
      <c r="E273" s="54">
        <v>97.055999999999997</v>
      </c>
      <c r="F273" s="13" t="str">
        <f>INDEX(Кат!$I:$I,MATCH(Прайс!$B273,Кат!$G:$G,0))</f>
        <v>БРТ</v>
      </c>
      <c r="G273" s="25">
        <f>INDEX(Кат!$A:$A,MATCH(Прайс!$B273,Кат!$G:$G,0))</f>
        <v>186564</v>
      </c>
    </row>
    <row r="274" spans="1:7" s="11" customFormat="1" ht="15" customHeight="1" x14ac:dyDescent="0.25">
      <c r="A274" s="52">
        <v>280</v>
      </c>
      <c r="B274" s="53" t="s">
        <v>871</v>
      </c>
      <c r="C274" s="53" t="s">
        <v>872</v>
      </c>
      <c r="D274" s="52" t="s">
        <v>2194</v>
      </c>
      <c r="E274" s="54">
        <v>344.928</v>
      </c>
      <c r="F274" s="13" t="e">
        <f>INDEX(Кат!$I:$I,MATCH(Прайс!$B274,Кат!$G:$G,0))</f>
        <v>#N/A</v>
      </c>
      <c r="G274" s="25" t="e">
        <f>INDEX(Кат!$A:$A,MATCH(Прайс!$B274,Кат!$G:$G,0))</f>
        <v>#N/A</v>
      </c>
    </row>
    <row r="275" spans="1:7" s="11" customFormat="1" ht="15" customHeight="1" x14ac:dyDescent="0.25">
      <c r="A275" s="52">
        <v>281</v>
      </c>
      <c r="B275" s="53" t="s">
        <v>873</v>
      </c>
      <c r="C275" s="53" t="s">
        <v>874</v>
      </c>
      <c r="D275" s="52" t="s">
        <v>2194</v>
      </c>
      <c r="E275" s="54">
        <v>262.93200000000002</v>
      </c>
      <c r="F275" s="13" t="e">
        <f>INDEX(Кат!$I:$I,MATCH(Прайс!$B275,Кат!$G:$G,0))</f>
        <v>#N/A</v>
      </c>
      <c r="G275" s="25" t="e">
        <f>INDEX(Кат!$A:$A,MATCH(Прайс!$B275,Кат!$G:$G,0))</f>
        <v>#N/A</v>
      </c>
    </row>
    <row r="276" spans="1:7" s="11" customFormat="1" ht="15" customHeight="1" x14ac:dyDescent="0.25">
      <c r="A276" s="52">
        <v>282</v>
      </c>
      <c r="B276" s="53" t="s">
        <v>875</v>
      </c>
      <c r="C276" s="53" t="s">
        <v>876</v>
      </c>
      <c r="D276" s="52" t="s">
        <v>2194</v>
      </c>
      <c r="E276" s="54">
        <v>102.708</v>
      </c>
      <c r="F276" s="13" t="str">
        <f>INDEX(Кат!$I:$I,MATCH(Прайс!$B276,Кат!$G:$G,0))</f>
        <v>БРТ</v>
      </c>
      <c r="G276" s="25">
        <f>INDEX(Кат!$A:$A,MATCH(Прайс!$B276,Кат!$G:$G,0))</f>
        <v>186569</v>
      </c>
    </row>
    <row r="277" spans="1:7" s="11" customFormat="1" ht="15" customHeight="1" x14ac:dyDescent="0.25">
      <c r="A277" s="52">
        <v>283</v>
      </c>
      <c r="B277" s="53" t="s">
        <v>877</v>
      </c>
      <c r="C277" s="53" t="s">
        <v>878</v>
      </c>
      <c r="D277" s="52" t="s">
        <v>2194</v>
      </c>
      <c r="E277" s="54">
        <v>102.744</v>
      </c>
      <c r="F277" s="13" t="str">
        <f>INDEX(Кат!$I:$I,MATCH(Прайс!$B277,Кат!$G:$G,0))</f>
        <v>БРТ</v>
      </c>
      <c r="G277" s="25">
        <f>INDEX(Кат!$A:$A,MATCH(Прайс!$B277,Кат!$G:$G,0))</f>
        <v>186565</v>
      </c>
    </row>
    <row r="278" spans="1:7" s="11" customFormat="1" ht="15" customHeight="1" x14ac:dyDescent="0.25">
      <c r="A278" s="52">
        <v>284</v>
      </c>
      <c r="B278" s="53" t="s">
        <v>879</v>
      </c>
      <c r="C278" s="53" t="s">
        <v>880</v>
      </c>
      <c r="D278" s="52" t="s">
        <v>2194</v>
      </c>
      <c r="E278" s="54">
        <v>259.77599999999995</v>
      </c>
      <c r="F278" s="13" t="str">
        <f>INDEX(Кат!$I:$I,MATCH(Прайс!$B278,Кат!$G:$G,0))</f>
        <v>БРТ</v>
      </c>
      <c r="G278" s="25">
        <f>INDEX(Кат!$A:$A,MATCH(Прайс!$B278,Кат!$G:$G,0))</f>
        <v>186585</v>
      </c>
    </row>
    <row r="279" spans="1:7" s="11" customFormat="1" ht="15" customHeight="1" x14ac:dyDescent="0.25">
      <c r="A279" s="52">
        <v>285</v>
      </c>
      <c r="B279" s="53" t="s">
        <v>881</v>
      </c>
      <c r="C279" s="53" t="s">
        <v>882</v>
      </c>
      <c r="D279" s="52" t="s">
        <v>2194</v>
      </c>
      <c r="E279" s="54">
        <v>290.85599999999999</v>
      </c>
      <c r="F279" s="13" t="str">
        <f>INDEX(Кат!$I:$I,MATCH(Прайс!$B279,Кат!$G:$G,0))</f>
        <v>БРТ</v>
      </c>
      <c r="G279" s="25">
        <f>INDEX(Кат!$A:$A,MATCH(Прайс!$B279,Кат!$G:$G,0))</f>
        <v>186583</v>
      </c>
    </row>
    <row r="280" spans="1:7" s="11" customFormat="1" ht="15" customHeight="1" x14ac:dyDescent="0.25">
      <c r="A280" s="52">
        <v>286</v>
      </c>
      <c r="B280" s="53" t="s">
        <v>883</v>
      </c>
      <c r="C280" s="53" t="s">
        <v>884</v>
      </c>
      <c r="D280" s="52" t="s">
        <v>2194</v>
      </c>
      <c r="E280" s="54">
        <v>218.52072000000001</v>
      </c>
      <c r="F280" s="13" t="str">
        <f>INDEX(Кат!$I:$I,MATCH(Прайс!$B280,Кат!$G:$G,0))</f>
        <v>БРТ</v>
      </c>
      <c r="G280" s="25">
        <f>INDEX(Кат!$A:$A,MATCH(Прайс!$B280,Кат!$G:$G,0))</f>
        <v>186584</v>
      </c>
    </row>
    <row r="281" spans="1:7" s="11" customFormat="1" ht="12.6" customHeight="1" x14ac:dyDescent="0.25">
      <c r="A281" s="52">
        <v>287</v>
      </c>
      <c r="B281" s="53" t="s">
        <v>885</v>
      </c>
      <c r="C281" s="53" t="s">
        <v>886</v>
      </c>
      <c r="D281" s="52" t="s">
        <v>2194</v>
      </c>
      <c r="E281" s="54">
        <v>277.29720000000003</v>
      </c>
      <c r="F281" s="13" t="str">
        <f>INDEX(Кат!$I:$I,MATCH(Прайс!$B281,Кат!$G:$G,0))</f>
        <v>БРТ</v>
      </c>
      <c r="G281" s="25">
        <f>INDEX(Кат!$A:$A,MATCH(Прайс!$B281,Кат!$G:$G,0))</f>
        <v>186582</v>
      </c>
    </row>
    <row r="282" spans="1:7" s="11" customFormat="1" ht="12.75" customHeight="1" x14ac:dyDescent="0.25">
      <c r="A282" s="52">
        <v>288</v>
      </c>
      <c r="B282" s="53" t="s">
        <v>887</v>
      </c>
      <c r="C282" s="53" t="s">
        <v>888</v>
      </c>
      <c r="D282" s="52" t="s">
        <v>2194</v>
      </c>
      <c r="E282" s="54">
        <v>75.606480000000005</v>
      </c>
      <c r="F282" s="13" t="str">
        <f>INDEX(Кат!$I:$I,MATCH(Прайс!$B282,Кат!$G:$G,0))</f>
        <v>БРТ</v>
      </c>
      <c r="G282" s="25">
        <f>INDEX(Кат!$A:$A,MATCH(Прайс!$B282,Кат!$G:$G,0))</f>
        <v>186566</v>
      </c>
    </row>
    <row r="283" spans="1:7" s="11" customFormat="1" ht="12.75" customHeight="1" x14ac:dyDescent="0.25">
      <c r="A283" s="52">
        <v>289</v>
      </c>
      <c r="B283" s="53" t="s">
        <v>889</v>
      </c>
      <c r="C283" s="53" t="s">
        <v>890</v>
      </c>
      <c r="D283" s="52" t="s">
        <v>2194</v>
      </c>
      <c r="E283" s="54">
        <v>76.475519999999989</v>
      </c>
      <c r="F283" s="13" t="e">
        <f>INDEX(Кат!$I:$I,MATCH(Прайс!$B283,Кат!$G:$G,0))</f>
        <v>#N/A</v>
      </c>
      <c r="G283" s="25" t="e">
        <f>INDEX(Кат!$A:$A,MATCH(Прайс!$B283,Кат!$G:$G,0))</f>
        <v>#N/A</v>
      </c>
    </row>
    <row r="284" spans="1:7" s="11" customFormat="1" ht="12.75" customHeight="1" x14ac:dyDescent="0.25">
      <c r="A284" s="52">
        <v>290</v>
      </c>
      <c r="B284" s="61"/>
      <c r="C284" s="62" t="s">
        <v>891</v>
      </c>
      <c r="D284" s="61"/>
      <c r="E284" s="54">
        <v>0</v>
      </c>
      <c r="F284" s="13" t="e">
        <f>INDEX(Кат!$I:$I,MATCH(Прайс!$B284,Кат!$G:$G,0))</f>
        <v>#N/A</v>
      </c>
      <c r="G284" s="25" t="e">
        <f>INDEX(Кат!$A:$A,MATCH(Прайс!$B284,Кат!$G:$G,0))</f>
        <v>#N/A</v>
      </c>
    </row>
    <row r="285" spans="1:7" s="11" customFormat="1" ht="12.75" customHeight="1" x14ac:dyDescent="0.25">
      <c r="A285" s="52">
        <v>291</v>
      </c>
      <c r="B285" s="53" t="s">
        <v>315</v>
      </c>
      <c r="C285" s="53" t="s">
        <v>892</v>
      </c>
      <c r="D285" s="52" t="s">
        <v>2194</v>
      </c>
      <c r="E285" s="54">
        <v>22.331999999999997</v>
      </c>
      <c r="F285" s="13" t="str">
        <f>INDEX(Кат!$I:$I,MATCH(Прайс!$B285,Кат!$G:$G,0))</f>
        <v>БРТ</v>
      </c>
      <c r="G285" s="25">
        <f>INDEX(Кат!$A:$A,MATCH(Прайс!$B285,Кат!$G:$G,0))</f>
        <v>139793</v>
      </c>
    </row>
    <row r="286" spans="1:7" s="11" customFormat="1" ht="12.75" customHeight="1" x14ac:dyDescent="0.25">
      <c r="A286" s="52">
        <v>292</v>
      </c>
      <c r="B286" s="53" t="s">
        <v>893</v>
      </c>
      <c r="C286" s="53" t="s">
        <v>894</v>
      </c>
      <c r="D286" s="52" t="s">
        <v>2194</v>
      </c>
      <c r="E286" s="54">
        <v>66.575999999999993</v>
      </c>
      <c r="F286" s="13" t="str">
        <f>INDEX(Кат!$I:$I,MATCH(Прайс!$B286,Кат!$G:$G,0))</f>
        <v>БРТ</v>
      </c>
      <c r="G286" s="25">
        <f>INDEX(Кат!$A:$A,MATCH(Прайс!$B286,Кат!$G:$G,0))</f>
        <v>145220</v>
      </c>
    </row>
    <row r="287" spans="1:7" s="11" customFormat="1" ht="12.75" customHeight="1" x14ac:dyDescent="0.25">
      <c r="A287" s="52">
        <v>293</v>
      </c>
      <c r="B287" s="53" t="s">
        <v>402</v>
      </c>
      <c r="C287" s="53" t="s">
        <v>895</v>
      </c>
      <c r="D287" s="52" t="s">
        <v>2194</v>
      </c>
      <c r="E287" s="54">
        <v>20.544</v>
      </c>
      <c r="F287" s="13" t="str">
        <f>INDEX(Кат!$I:$I,MATCH(Прайс!$B287,Кат!$G:$G,0))</f>
        <v>БРТ</v>
      </c>
      <c r="G287" s="25">
        <f>INDEX(Кат!$A:$A,MATCH(Прайс!$B287,Кат!$G:$G,0))</f>
        <v>194565</v>
      </c>
    </row>
    <row r="288" spans="1:7" s="11" customFormat="1" ht="12.75" customHeight="1" x14ac:dyDescent="0.25">
      <c r="A288" s="52">
        <v>294</v>
      </c>
      <c r="B288" s="53" t="s">
        <v>401</v>
      </c>
      <c r="C288" s="53" t="s">
        <v>896</v>
      </c>
      <c r="D288" s="52" t="s">
        <v>2194</v>
      </c>
      <c r="E288" s="54">
        <v>248.57999999999998</v>
      </c>
      <c r="F288" s="13" t="str">
        <f>INDEX(Кат!$I:$I,MATCH(Прайс!$B288,Кат!$G:$G,0))</f>
        <v>БРТ</v>
      </c>
      <c r="G288" s="25">
        <f>INDEX(Кат!$A:$A,MATCH(Прайс!$B288,Кат!$G:$G,0))</f>
        <v>225393</v>
      </c>
    </row>
    <row r="289" spans="1:7" s="11" customFormat="1" ht="12.75" customHeight="1" x14ac:dyDescent="0.25">
      <c r="A289" s="52">
        <v>295</v>
      </c>
      <c r="B289" s="53" t="s">
        <v>349</v>
      </c>
      <c r="C289" s="53" t="s">
        <v>896</v>
      </c>
      <c r="D289" s="52" t="s">
        <v>2194</v>
      </c>
      <c r="E289" s="54">
        <v>174.04799999999997</v>
      </c>
      <c r="F289" s="13" t="str">
        <f>INDEX(Кат!$I:$I,MATCH(Прайс!$B289,Кат!$G:$G,0))</f>
        <v>БРТ</v>
      </c>
      <c r="G289" s="25">
        <f>INDEX(Кат!$A:$A,MATCH(Прайс!$B289,Кат!$G:$G,0))</f>
        <v>225392</v>
      </c>
    </row>
    <row r="290" spans="1:7" s="11" customFormat="1" ht="12.75" customHeight="1" x14ac:dyDescent="0.25">
      <c r="A290" s="52">
        <v>296</v>
      </c>
      <c r="B290" s="53" t="s">
        <v>350</v>
      </c>
      <c r="C290" s="53" t="s">
        <v>897</v>
      </c>
      <c r="D290" s="52" t="s">
        <v>2194</v>
      </c>
      <c r="E290" s="54">
        <v>179.208</v>
      </c>
      <c r="F290" s="13" t="str">
        <f>INDEX(Кат!$I:$I,MATCH(Прайс!$B290,Кат!$G:$G,0))</f>
        <v>БРТ</v>
      </c>
      <c r="G290" s="25">
        <f>INDEX(Кат!$A:$A,MATCH(Прайс!$B290,Кат!$G:$G,0))</f>
        <v>139802</v>
      </c>
    </row>
    <row r="291" spans="1:7" s="11" customFormat="1" ht="12.75" customHeight="1" x14ac:dyDescent="0.25">
      <c r="A291" s="52">
        <v>297</v>
      </c>
      <c r="B291" s="53" t="s">
        <v>355</v>
      </c>
      <c r="C291" s="53" t="s">
        <v>898</v>
      </c>
      <c r="D291" s="52" t="s">
        <v>2194</v>
      </c>
      <c r="E291" s="54">
        <v>63.624000000000002</v>
      </c>
      <c r="F291" s="13" t="str">
        <f>INDEX(Кат!$I:$I,MATCH(Прайс!$B291,Кат!$G:$G,0))</f>
        <v>БРТ</v>
      </c>
      <c r="G291" s="25">
        <f>INDEX(Кат!$A:$A,MATCH(Прайс!$B291,Кат!$G:$G,0))</f>
        <v>139797</v>
      </c>
    </row>
    <row r="292" spans="1:7" s="11" customFormat="1" ht="12.75" customHeight="1" x14ac:dyDescent="0.25">
      <c r="A292" s="52">
        <v>298</v>
      </c>
      <c r="B292" s="53" t="s">
        <v>268</v>
      </c>
      <c r="C292" s="53" t="s">
        <v>895</v>
      </c>
      <c r="D292" s="52" t="s">
        <v>2194</v>
      </c>
      <c r="E292" s="54">
        <v>20.544</v>
      </c>
      <c r="F292" s="13" t="str">
        <f>INDEX(Кат!$I:$I,MATCH(Прайс!$B292,Кат!$G:$G,0))</f>
        <v>БРТ</v>
      </c>
      <c r="G292" s="25">
        <f>INDEX(Кат!$A:$A,MATCH(Прайс!$B292,Кат!$G:$G,0))</f>
        <v>194610</v>
      </c>
    </row>
    <row r="293" spans="1:7" s="11" customFormat="1" ht="12.75" customHeight="1" x14ac:dyDescent="0.25">
      <c r="A293" s="52">
        <v>299</v>
      </c>
      <c r="B293" s="53" t="s">
        <v>344</v>
      </c>
      <c r="C293" s="53" t="s">
        <v>899</v>
      </c>
      <c r="D293" s="52" t="s">
        <v>2194</v>
      </c>
      <c r="E293" s="54">
        <v>100.33199999999999</v>
      </c>
      <c r="F293" s="13" t="str">
        <f>INDEX(Кат!$I:$I,MATCH(Прайс!$B293,Кат!$G:$G,0))</f>
        <v>БРТ</v>
      </c>
      <c r="G293" s="25">
        <f>INDEX(Кат!$A:$A,MATCH(Прайс!$B293,Кат!$G:$G,0))</f>
        <v>225397</v>
      </c>
    </row>
    <row r="294" spans="1:7" s="11" customFormat="1" ht="12.75" customHeight="1" x14ac:dyDescent="0.25">
      <c r="A294" s="52">
        <v>300</v>
      </c>
      <c r="B294" s="53" t="s">
        <v>447</v>
      </c>
      <c r="C294" s="53" t="s">
        <v>900</v>
      </c>
      <c r="D294" s="52" t="s">
        <v>2194</v>
      </c>
      <c r="E294" s="54">
        <v>35.832000000000001</v>
      </c>
      <c r="F294" s="13" t="str">
        <f>INDEX(Кат!$I:$I,MATCH(Прайс!$B294,Кат!$G:$G,0))</f>
        <v>БРТ</v>
      </c>
      <c r="G294" s="25">
        <f>INDEX(Кат!$A:$A,MATCH(Прайс!$B294,Кат!$G:$G,0))</f>
        <v>194572</v>
      </c>
    </row>
    <row r="295" spans="1:7" s="11" customFormat="1" ht="20.25" customHeight="1" x14ac:dyDescent="0.25">
      <c r="A295" s="52">
        <v>301</v>
      </c>
      <c r="B295" s="53" t="s">
        <v>448</v>
      </c>
      <c r="C295" s="53" t="s">
        <v>900</v>
      </c>
      <c r="D295" s="52" t="s">
        <v>2194</v>
      </c>
      <c r="E295" s="54">
        <v>26.099999999999998</v>
      </c>
      <c r="F295" s="13" t="str">
        <f>INDEX(Кат!$I:$I,MATCH(Прайс!$B295,Кат!$G:$G,0))</f>
        <v>БРТ</v>
      </c>
      <c r="G295" s="25">
        <f>INDEX(Кат!$A:$A,MATCH(Прайс!$B295,Кат!$G:$G,0))</f>
        <v>194573</v>
      </c>
    </row>
    <row r="296" spans="1:7" s="11" customFormat="1" ht="11.85" customHeight="1" x14ac:dyDescent="0.25">
      <c r="A296" s="52">
        <v>302</v>
      </c>
      <c r="B296" s="53" t="s">
        <v>347</v>
      </c>
      <c r="C296" s="53" t="s">
        <v>900</v>
      </c>
      <c r="D296" s="52" t="s">
        <v>2194</v>
      </c>
      <c r="E296" s="54">
        <v>40.211999999999996</v>
      </c>
      <c r="F296" s="13" t="str">
        <f>INDEX(Кат!$I:$I,MATCH(Прайс!$B296,Кат!$G:$G,0))</f>
        <v>БРТ</v>
      </c>
      <c r="G296" s="25">
        <f>INDEX(Кат!$A:$A,MATCH(Прайс!$B296,Кат!$G:$G,0))</f>
        <v>194568</v>
      </c>
    </row>
    <row r="297" spans="1:7" s="11" customFormat="1" ht="12.75" customHeight="1" x14ac:dyDescent="0.25">
      <c r="A297" s="52">
        <v>303</v>
      </c>
      <c r="B297" s="53" t="s">
        <v>346</v>
      </c>
      <c r="C297" s="53" t="s">
        <v>901</v>
      </c>
      <c r="D297" s="52" t="s">
        <v>2194</v>
      </c>
      <c r="E297" s="54">
        <v>207.51599999999999</v>
      </c>
      <c r="F297" s="13" t="str">
        <f>INDEX(Кат!$I:$I,MATCH(Прайс!$B297,Кат!$G:$G,0))</f>
        <v>БРТ</v>
      </c>
      <c r="G297" s="25">
        <f>INDEX(Кат!$A:$A,MATCH(Прайс!$B297,Кат!$G:$G,0))</f>
        <v>194859</v>
      </c>
    </row>
    <row r="298" spans="1:7" s="11" customFormat="1" ht="12.75" customHeight="1" x14ac:dyDescent="0.25">
      <c r="A298" s="52">
        <v>304</v>
      </c>
      <c r="B298" s="53" t="s">
        <v>399</v>
      </c>
      <c r="C298" s="53" t="s">
        <v>900</v>
      </c>
      <c r="D298" s="52" t="s">
        <v>2194</v>
      </c>
      <c r="E298" s="54">
        <v>40.26</v>
      </c>
      <c r="F298" s="13" t="str">
        <f>INDEX(Кат!$I:$I,MATCH(Прайс!$B298,Кат!$G:$G,0))</f>
        <v>БРТ</v>
      </c>
      <c r="G298" s="25">
        <f>INDEX(Кат!$A:$A,MATCH(Прайс!$B298,Кат!$G:$G,0))</f>
        <v>194569</v>
      </c>
    </row>
    <row r="299" spans="1:7" s="11" customFormat="1" ht="12.75" customHeight="1" x14ac:dyDescent="0.25">
      <c r="A299" s="52">
        <v>305</v>
      </c>
      <c r="B299" s="61"/>
      <c r="C299" s="62" t="s">
        <v>902</v>
      </c>
      <c r="D299" s="63"/>
      <c r="E299" s="54">
        <v>0</v>
      </c>
      <c r="F299" s="13" t="e">
        <f>INDEX(Кат!$I:$I,MATCH(Прайс!$B299,Кат!$G:$G,0))</f>
        <v>#N/A</v>
      </c>
      <c r="G299" s="25" t="e">
        <f>INDEX(Кат!$A:$A,MATCH(Прайс!$B299,Кат!$G:$G,0))</f>
        <v>#N/A</v>
      </c>
    </row>
    <row r="300" spans="1:7" s="11" customFormat="1" ht="12.75" customHeight="1" x14ac:dyDescent="0.25">
      <c r="A300" s="52">
        <v>306</v>
      </c>
      <c r="B300" s="58" t="s">
        <v>903</v>
      </c>
      <c r="C300" s="58" t="s">
        <v>904</v>
      </c>
      <c r="D300" s="52" t="s">
        <v>2194</v>
      </c>
      <c r="E300" s="54">
        <v>83.16</v>
      </c>
      <c r="F300" s="13" t="e">
        <f>INDEX(Кат!$I:$I,MATCH(Прайс!$B300,Кат!$G:$G,0))</f>
        <v>#N/A</v>
      </c>
      <c r="G300" s="25" t="e">
        <f>INDEX(Кат!$A:$A,MATCH(Прайс!$B300,Кат!$G:$G,0))</f>
        <v>#N/A</v>
      </c>
    </row>
    <row r="301" spans="1:7" s="11" customFormat="1" ht="12.75" customHeight="1" x14ac:dyDescent="0.25">
      <c r="A301" s="52">
        <v>307</v>
      </c>
      <c r="B301" s="53" t="s">
        <v>286</v>
      </c>
      <c r="C301" s="53" t="s">
        <v>904</v>
      </c>
      <c r="D301" s="52" t="s">
        <v>2194</v>
      </c>
      <c r="E301" s="54">
        <v>166.30799999999999</v>
      </c>
      <c r="F301" s="13" t="str">
        <f>INDEX(Кат!$I:$I,MATCH(Прайс!$B301,Кат!$G:$G,0))</f>
        <v>БРТ</v>
      </c>
      <c r="G301" s="25">
        <f>INDEX(Кат!$A:$A,MATCH(Прайс!$B301,Кат!$G:$G,0))</f>
        <v>136653</v>
      </c>
    </row>
    <row r="302" spans="1:7" s="11" customFormat="1" ht="12.75" customHeight="1" x14ac:dyDescent="0.25">
      <c r="A302" s="52">
        <v>308</v>
      </c>
      <c r="B302" s="53" t="s">
        <v>905</v>
      </c>
      <c r="C302" s="53" t="s">
        <v>906</v>
      </c>
      <c r="D302" s="52" t="s">
        <v>2194</v>
      </c>
      <c r="E302" s="54">
        <v>259.08</v>
      </c>
      <c r="F302" s="13" t="str">
        <f>INDEX(Кат!$I:$I,MATCH(Прайс!$B302,Кат!$G:$G,0))</f>
        <v>БРТ</v>
      </c>
      <c r="G302" s="25">
        <f>INDEX(Кат!$A:$A,MATCH(Прайс!$B302,Кат!$G:$G,0))</f>
        <v>136654</v>
      </c>
    </row>
    <row r="303" spans="1:7" s="11" customFormat="1" ht="12.75" customHeight="1" x14ac:dyDescent="0.25">
      <c r="A303" s="52">
        <v>309</v>
      </c>
      <c r="B303" s="53" t="s">
        <v>259</v>
      </c>
      <c r="C303" s="53" t="s">
        <v>907</v>
      </c>
      <c r="D303" s="52" t="s">
        <v>2194</v>
      </c>
      <c r="E303" s="54">
        <v>770.18400000000008</v>
      </c>
      <c r="F303" s="13" t="str">
        <f>INDEX(Кат!$I:$I,MATCH(Прайс!$B303,Кат!$G:$G,0))</f>
        <v>БРТ</v>
      </c>
      <c r="G303" s="25">
        <f>INDEX(Кат!$A:$A,MATCH(Прайс!$B303,Кат!$G:$G,0))</f>
        <v>164793</v>
      </c>
    </row>
    <row r="304" spans="1:7" s="11" customFormat="1" ht="12.75" customHeight="1" x14ac:dyDescent="0.25">
      <c r="A304" s="52">
        <v>310</v>
      </c>
      <c r="B304" s="53" t="s">
        <v>908</v>
      </c>
      <c r="C304" s="53" t="s">
        <v>907</v>
      </c>
      <c r="D304" s="52" t="s">
        <v>2194</v>
      </c>
      <c r="E304" s="54">
        <v>425.03999999999996</v>
      </c>
      <c r="F304" s="13" t="e">
        <f>INDEX(Кат!$I:$I,MATCH(Прайс!$B304,Кат!$G:$G,0))</f>
        <v>#N/A</v>
      </c>
      <c r="G304" s="25" t="e">
        <f>INDEX(Кат!$A:$A,MATCH(Прайс!$B304,Кат!$G:$G,0))</f>
        <v>#N/A</v>
      </c>
    </row>
    <row r="305" spans="1:7" s="11" customFormat="1" ht="12.75" customHeight="1" x14ac:dyDescent="0.25">
      <c r="A305" s="52">
        <v>311</v>
      </c>
      <c r="B305" s="53" t="s">
        <v>545</v>
      </c>
      <c r="C305" s="53" t="s">
        <v>909</v>
      </c>
      <c r="D305" s="52" t="s">
        <v>2194</v>
      </c>
      <c r="E305" s="54">
        <v>32.207999999999998</v>
      </c>
      <c r="F305" s="13" t="e">
        <f>INDEX(Кат!$I:$I,MATCH(Прайс!$B305,Кат!$G:$G,0))</f>
        <v>#N/A</v>
      </c>
      <c r="G305" s="25" t="e">
        <f>INDEX(Кат!$A:$A,MATCH(Прайс!$B305,Кат!$G:$G,0))</f>
        <v>#N/A</v>
      </c>
    </row>
    <row r="306" spans="1:7" s="11" customFormat="1" ht="12.75" customHeight="1" x14ac:dyDescent="0.25">
      <c r="A306" s="52">
        <v>312</v>
      </c>
      <c r="B306" s="53" t="s">
        <v>248</v>
      </c>
      <c r="C306" s="53" t="s">
        <v>909</v>
      </c>
      <c r="D306" s="52" t="s">
        <v>2194</v>
      </c>
      <c r="E306" s="54">
        <v>46.235999999999997</v>
      </c>
      <c r="F306" s="13" t="str">
        <f>INDEX(Кат!$I:$I,MATCH(Прайс!$B306,Кат!$G:$G,0))</f>
        <v>БРТ</v>
      </c>
      <c r="G306" s="25">
        <f>INDEX(Кат!$A:$A,MATCH(Прайс!$B306,Кат!$G:$G,0))</f>
        <v>181552</v>
      </c>
    </row>
    <row r="307" spans="1:7" s="11" customFormat="1" ht="12.75" customHeight="1" x14ac:dyDescent="0.25">
      <c r="A307" s="52">
        <v>313</v>
      </c>
      <c r="B307" s="53" t="s">
        <v>329</v>
      </c>
      <c r="C307" s="53" t="s">
        <v>909</v>
      </c>
      <c r="D307" s="52" t="s">
        <v>2194</v>
      </c>
      <c r="E307" s="54">
        <v>23.123999999999999</v>
      </c>
      <c r="F307" s="13" t="str">
        <f>INDEX(Кат!$I:$I,MATCH(Прайс!$B307,Кат!$G:$G,0))</f>
        <v>БРТ</v>
      </c>
      <c r="G307" s="25">
        <f>INDEX(Кат!$A:$A,MATCH(Прайс!$B307,Кат!$G:$G,0))</f>
        <v>181551</v>
      </c>
    </row>
    <row r="308" spans="1:7" s="11" customFormat="1" ht="12.75" customHeight="1" x14ac:dyDescent="0.25">
      <c r="A308" s="52">
        <v>314</v>
      </c>
      <c r="B308" s="53" t="s">
        <v>235</v>
      </c>
      <c r="C308" s="53" t="s">
        <v>910</v>
      </c>
      <c r="D308" s="52" t="s">
        <v>2194</v>
      </c>
      <c r="E308" s="54">
        <v>196.30799999999999</v>
      </c>
      <c r="F308" s="13" t="str">
        <f>INDEX(Кат!$I:$I,MATCH(Прайс!$B308,Кат!$G:$G,0))</f>
        <v>БРТ</v>
      </c>
      <c r="G308" s="25">
        <f>INDEX(Кат!$A:$A,MATCH(Прайс!$B308,Кат!$G:$G,0))</f>
        <v>194607</v>
      </c>
    </row>
    <row r="309" spans="1:7" s="11" customFormat="1" ht="12.75" customHeight="1" x14ac:dyDescent="0.25">
      <c r="A309" s="52">
        <v>315</v>
      </c>
      <c r="B309" s="53" t="s">
        <v>304</v>
      </c>
      <c r="C309" s="53" t="s">
        <v>911</v>
      </c>
      <c r="D309" s="52" t="s">
        <v>2194</v>
      </c>
      <c r="E309" s="54">
        <v>192.78</v>
      </c>
      <c r="F309" s="13" t="str">
        <f>INDEX(Кат!$I:$I,MATCH(Прайс!$B309,Кат!$G:$G,0))</f>
        <v>БРТ</v>
      </c>
      <c r="G309" s="25">
        <f>INDEX(Кат!$A:$A,MATCH(Прайс!$B309,Кат!$G:$G,0))</f>
        <v>194606</v>
      </c>
    </row>
    <row r="310" spans="1:7" s="11" customFormat="1" ht="12.75" customHeight="1" x14ac:dyDescent="0.25">
      <c r="A310" s="52">
        <v>316</v>
      </c>
      <c r="B310" s="53" t="s">
        <v>234</v>
      </c>
      <c r="C310" s="53" t="s">
        <v>912</v>
      </c>
      <c r="D310" s="52" t="s">
        <v>2194</v>
      </c>
      <c r="E310" s="54">
        <v>285.53999999999996</v>
      </c>
      <c r="F310" s="13" t="str">
        <f>INDEX(Кат!$I:$I,MATCH(Прайс!$B310,Кат!$G:$G,0))</f>
        <v>БРТ</v>
      </c>
      <c r="G310" s="25">
        <f>INDEX(Кат!$A:$A,MATCH(Прайс!$B310,Кат!$G:$G,0))</f>
        <v>194570</v>
      </c>
    </row>
    <row r="311" spans="1:7" s="11" customFormat="1" ht="12.75" customHeight="1" x14ac:dyDescent="0.25">
      <c r="A311" s="52">
        <v>317</v>
      </c>
      <c r="B311" s="53" t="s">
        <v>436</v>
      </c>
      <c r="C311" s="53" t="s">
        <v>913</v>
      </c>
      <c r="D311" s="52" t="s">
        <v>2194</v>
      </c>
      <c r="E311" s="54">
        <v>382.96799999999996</v>
      </c>
      <c r="F311" s="13" t="str">
        <f>INDEX(Кат!$I:$I,MATCH(Прайс!$B311,Кат!$G:$G,0))</f>
        <v>БРТ</v>
      </c>
      <c r="G311" s="25">
        <f>INDEX(Кат!$A:$A,MATCH(Прайс!$B311,Кат!$G:$G,0))</f>
        <v>194571</v>
      </c>
    </row>
    <row r="312" spans="1:7" s="11" customFormat="1" ht="12.75" customHeight="1" x14ac:dyDescent="0.25">
      <c r="A312" s="52">
        <v>318</v>
      </c>
      <c r="B312" s="53" t="s">
        <v>540</v>
      </c>
      <c r="C312" s="53" t="s">
        <v>914</v>
      </c>
      <c r="D312" s="52" t="s">
        <v>2194</v>
      </c>
      <c r="E312" s="54">
        <v>318.97199999999998</v>
      </c>
      <c r="F312" s="13" t="str">
        <f>INDEX(Кат!$I:$I,MATCH(Прайс!$B312,Кат!$G:$G,0))</f>
        <v>БРТ</v>
      </c>
      <c r="G312" s="25">
        <f>INDEX(Кат!$A:$A,MATCH(Прайс!$B312,Кат!$G:$G,0))</f>
        <v>194866</v>
      </c>
    </row>
    <row r="313" spans="1:7" s="11" customFormat="1" ht="12.75" customHeight="1" x14ac:dyDescent="0.25">
      <c r="A313" s="52">
        <v>319</v>
      </c>
      <c r="B313" s="53" t="s">
        <v>287</v>
      </c>
      <c r="C313" s="53" t="s">
        <v>915</v>
      </c>
      <c r="D313" s="52" t="s">
        <v>2194</v>
      </c>
      <c r="E313" s="54">
        <v>98.327999999999989</v>
      </c>
      <c r="F313" s="13" t="str">
        <f>INDEX(Кат!$I:$I,MATCH(Прайс!$B313,Кат!$G:$G,0))</f>
        <v>БРТ</v>
      </c>
      <c r="G313" s="25">
        <f>INDEX(Кат!$A:$A,MATCH(Прайс!$B313,Кат!$G:$G,0))</f>
        <v>223706</v>
      </c>
    </row>
    <row r="314" spans="1:7" s="11" customFormat="1" ht="12.75" customHeight="1" x14ac:dyDescent="0.25">
      <c r="A314" s="52">
        <v>320</v>
      </c>
      <c r="B314" s="53" t="s">
        <v>462</v>
      </c>
      <c r="C314" s="53" t="s">
        <v>916</v>
      </c>
      <c r="D314" s="52" t="s">
        <v>2194</v>
      </c>
      <c r="E314" s="54">
        <v>173.01599999999999</v>
      </c>
      <c r="F314" s="13" t="str">
        <f>INDEX(Кат!$I:$I,MATCH(Прайс!$B314,Кат!$G:$G,0))</f>
        <v>БРТ</v>
      </c>
      <c r="G314" s="25">
        <f>INDEX(Кат!$A:$A,MATCH(Прайс!$B314,Кат!$G:$G,0))</f>
        <v>194566</v>
      </c>
    </row>
    <row r="315" spans="1:7" s="11" customFormat="1" ht="12.75" customHeight="1" x14ac:dyDescent="0.25">
      <c r="A315" s="52">
        <v>321</v>
      </c>
      <c r="B315" s="53" t="s">
        <v>518</v>
      </c>
      <c r="C315" s="53" t="s">
        <v>916</v>
      </c>
      <c r="D315" s="52" t="s">
        <v>2194</v>
      </c>
      <c r="E315" s="54">
        <v>75.012</v>
      </c>
      <c r="F315" s="13" t="str">
        <f>INDEX(Кат!$I:$I,MATCH(Прайс!$B315,Кат!$G:$G,0))</f>
        <v>БРТ</v>
      </c>
      <c r="G315" s="25">
        <f>INDEX(Кат!$A:$A,MATCH(Прайс!$B315,Кат!$G:$G,0))</f>
        <v>194567</v>
      </c>
    </row>
    <row r="316" spans="1:7" s="11" customFormat="1" ht="12.75" customHeight="1" x14ac:dyDescent="0.25">
      <c r="A316" s="52">
        <v>322</v>
      </c>
      <c r="B316" s="53" t="s">
        <v>214</v>
      </c>
      <c r="C316" s="53" t="s">
        <v>916</v>
      </c>
      <c r="D316" s="52" t="s">
        <v>2194</v>
      </c>
      <c r="E316" s="54">
        <v>57.059999999999995</v>
      </c>
      <c r="F316" s="13" t="str">
        <f>INDEX(Кат!$I:$I,MATCH(Прайс!$B316,Кат!$G:$G,0))</f>
        <v>БРТ</v>
      </c>
      <c r="G316" s="25">
        <f>INDEX(Кат!$A:$A,MATCH(Прайс!$B316,Кат!$G:$G,0))</f>
        <v>194864</v>
      </c>
    </row>
    <row r="317" spans="1:7" s="11" customFormat="1" ht="12.75" customHeight="1" x14ac:dyDescent="0.25">
      <c r="A317" s="52">
        <v>323</v>
      </c>
      <c r="B317" s="53" t="s">
        <v>353</v>
      </c>
      <c r="C317" s="53" t="s">
        <v>917</v>
      </c>
      <c r="D317" s="52" t="s">
        <v>2194</v>
      </c>
      <c r="E317" s="54">
        <v>135.636</v>
      </c>
      <c r="F317" s="13" t="str">
        <f>INDEX(Кат!$I:$I,MATCH(Прайс!$B317,Кат!$G:$G,0))</f>
        <v>БРТ</v>
      </c>
      <c r="G317" s="25">
        <f>INDEX(Кат!$A:$A,MATCH(Прайс!$B317,Кат!$G:$G,0))</f>
        <v>213137</v>
      </c>
    </row>
    <row r="318" spans="1:7" s="11" customFormat="1" ht="12.75" customHeight="1" x14ac:dyDescent="0.25">
      <c r="A318" s="52">
        <v>324</v>
      </c>
      <c r="B318" s="53" t="s">
        <v>404</v>
      </c>
      <c r="C318" s="53" t="s">
        <v>917</v>
      </c>
      <c r="D318" s="52" t="s">
        <v>2194</v>
      </c>
      <c r="E318" s="54">
        <v>122.42399999999999</v>
      </c>
      <c r="F318" s="13" t="str">
        <f>INDEX(Кат!$I:$I,MATCH(Прайс!$B318,Кат!$G:$G,0))</f>
        <v>БРТ</v>
      </c>
      <c r="G318" s="25">
        <f>INDEX(Кат!$A:$A,MATCH(Прайс!$B318,Кат!$G:$G,0))</f>
        <v>225389</v>
      </c>
    </row>
    <row r="319" spans="1:7" s="11" customFormat="1" ht="12.75" customHeight="1" x14ac:dyDescent="0.25">
      <c r="A319" s="52">
        <v>325</v>
      </c>
      <c r="B319" s="53" t="s">
        <v>918</v>
      </c>
      <c r="C319" s="53" t="s">
        <v>919</v>
      </c>
      <c r="D319" s="52" t="s">
        <v>2194</v>
      </c>
      <c r="E319" s="54">
        <v>434.4</v>
      </c>
      <c r="F319" s="13" t="str">
        <f>INDEX(Кат!$I:$I,MATCH(Прайс!$B319,Кат!$G:$G,0))</f>
        <v>БРТ</v>
      </c>
      <c r="G319" s="25">
        <f>INDEX(Кат!$A:$A,MATCH(Прайс!$B319,Кат!$G:$G,0))</f>
        <v>138874</v>
      </c>
    </row>
    <row r="320" spans="1:7" s="11" customFormat="1" ht="12.75" customHeight="1" x14ac:dyDescent="0.25">
      <c r="A320" s="52">
        <v>326</v>
      </c>
      <c r="B320" s="53" t="s">
        <v>278</v>
      </c>
      <c r="C320" s="53" t="s">
        <v>920</v>
      </c>
      <c r="D320" s="52" t="s">
        <v>2194</v>
      </c>
      <c r="E320" s="54">
        <v>93.036000000000001</v>
      </c>
      <c r="F320" s="13" t="e">
        <f>INDEX(Кат!$I:$I,MATCH(Прайс!$B320,Кат!$G:$G,0))</f>
        <v>#N/A</v>
      </c>
      <c r="G320" s="25" t="e">
        <f>INDEX(Кат!$A:$A,MATCH(Прайс!$B320,Кат!$G:$G,0))</f>
        <v>#N/A</v>
      </c>
    </row>
    <row r="321" spans="1:7" s="11" customFormat="1" ht="12.75" customHeight="1" x14ac:dyDescent="0.25">
      <c r="A321" s="52">
        <v>327</v>
      </c>
      <c r="B321" s="53" t="s">
        <v>241</v>
      </c>
      <c r="C321" s="53" t="s">
        <v>921</v>
      </c>
      <c r="D321" s="52" t="s">
        <v>2194</v>
      </c>
      <c r="E321" s="54">
        <v>22.428000000000001</v>
      </c>
      <c r="F321" s="13" t="str">
        <f>INDEX(Кат!$I:$I,MATCH(Прайс!$B321,Кат!$G:$G,0))</f>
        <v>БРТ</v>
      </c>
      <c r="G321" s="25">
        <f>INDEX(Кат!$A:$A,MATCH(Прайс!$B321,Кат!$G:$G,0))</f>
        <v>223270</v>
      </c>
    </row>
    <row r="322" spans="1:7" s="11" customFormat="1" ht="12.75" customHeight="1" x14ac:dyDescent="0.25">
      <c r="A322" s="52">
        <v>328</v>
      </c>
      <c r="B322" s="58" t="s">
        <v>425</v>
      </c>
      <c r="C322" s="58" t="s">
        <v>922</v>
      </c>
      <c r="D322" s="52" t="s">
        <v>2194</v>
      </c>
      <c r="E322" s="54">
        <v>24.215999999999998</v>
      </c>
      <c r="F322" s="13" t="str">
        <f>INDEX(Кат!$I:$I,MATCH(Прайс!$B322,Кат!$G:$G,0))</f>
        <v>БРТ</v>
      </c>
      <c r="G322" s="25">
        <f>INDEX(Кат!$A:$A,MATCH(Прайс!$B322,Кат!$G:$G,0))</f>
        <v>181547</v>
      </c>
    </row>
    <row r="323" spans="1:7" s="11" customFormat="1" ht="12.75" customHeight="1" x14ac:dyDescent="0.25">
      <c r="A323" s="52">
        <v>329</v>
      </c>
      <c r="B323" s="58" t="s">
        <v>420</v>
      </c>
      <c r="C323" s="58" t="s">
        <v>923</v>
      </c>
      <c r="D323" s="52" t="s">
        <v>2194</v>
      </c>
      <c r="E323" s="54">
        <v>61.859999999999992</v>
      </c>
      <c r="F323" s="13" t="e">
        <f>INDEX(Кат!$I:$I,MATCH(Прайс!$B323,Кат!$G:$G,0))</f>
        <v>#N/A</v>
      </c>
      <c r="G323" s="25" t="e">
        <f>INDEX(Кат!$A:$A,MATCH(Прайс!$B323,Кат!$G:$G,0))</f>
        <v>#N/A</v>
      </c>
    </row>
    <row r="324" spans="1:7" s="11" customFormat="1" ht="12.75" customHeight="1" x14ac:dyDescent="0.25">
      <c r="A324" s="52">
        <v>330</v>
      </c>
      <c r="B324" s="58" t="s">
        <v>421</v>
      </c>
      <c r="C324" s="58" t="s">
        <v>924</v>
      </c>
      <c r="D324" s="52" t="s">
        <v>2194</v>
      </c>
      <c r="E324" s="54">
        <v>198.39600000000002</v>
      </c>
      <c r="F324" s="13" t="str">
        <f>INDEX(Кат!$I:$I,MATCH(Прайс!$B324,Кат!$G:$G,0))</f>
        <v>БРТ</v>
      </c>
      <c r="G324" s="25">
        <f>INDEX(Кат!$A:$A,MATCH(Прайс!$B324,Кат!$G:$G,0))</f>
        <v>181698</v>
      </c>
    </row>
    <row r="325" spans="1:7" s="11" customFormat="1" ht="12.75" customHeight="1" x14ac:dyDescent="0.25">
      <c r="A325" s="52">
        <v>331</v>
      </c>
      <c r="B325" s="59" t="s">
        <v>925</v>
      </c>
      <c r="C325" s="53" t="s">
        <v>926</v>
      </c>
      <c r="D325" s="52" t="s">
        <v>2194</v>
      </c>
      <c r="E325" s="54">
        <v>24.371999999999996</v>
      </c>
      <c r="F325" s="13" t="str">
        <f>INDEX(Кат!$I:$I,MATCH(Прайс!$B325,Кат!$G:$G,0))</f>
        <v>БРТ</v>
      </c>
      <c r="G325" s="25">
        <f>INDEX(Кат!$A:$A,MATCH(Прайс!$B325,Кат!$G:$G,0))</f>
        <v>162924</v>
      </c>
    </row>
    <row r="326" spans="1:7" s="11" customFormat="1" ht="12.75" customHeight="1" x14ac:dyDescent="0.25">
      <c r="A326" s="52">
        <v>332</v>
      </c>
      <c r="B326" s="59" t="s">
        <v>538</v>
      </c>
      <c r="C326" s="53" t="s">
        <v>927</v>
      </c>
      <c r="D326" s="52" t="s">
        <v>2194</v>
      </c>
      <c r="E326" s="54">
        <v>50.052</v>
      </c>
      <c r="F326" s="13" t="str">
        <f>INDEX(Кат!$I:$I,MATCH(Прайс!$B326,Кат!$G:$G,0))</f>
        <v>БРТ</v>
      </c>
      <c r="G326" s="25">
        <f>INDEX(Кат!$A:$A,MATCH(Прайс!$B326,Кат!$G:$G,0))</f>
        <v>162925</v>
      </c>
    </row>
    <row r="327" spans="1:7" s="11" customFormat="1" ht="12.75" customHeight="1" x14ac:dyDescent="0.25">
      <c r="A327" s="52">
        <v>333</v>
      </c>
      <c r="B327" s="58" t="s">
        <v>928</v>
      </c>
      <c r="C327" s="53" t="s">
        <v>929</v>
      </c>
      <c r="D327" s="52" t="s">
        <v>2194</v>
      </c>
      <c r="E327" s="54">
        <v>251.51363999999998</v>
      </c>
      <c r="F327" s="13" t="e">
        <f>INDEX(Кат!$I:$I,MATCH(Прайс!$B327,Кат!$G:$G,0))</f>
        <v>#N/A</v>
      </c>
      <c r="G327" s="25" t="e">
        <f>INDEX(Кат!$A:$A,MATCH(Прайс!$B327,Кат!$G:$G,0))</f>
        <v>#N/A</v>
      </c>
    </row>
    <row r="328" spans="1:7" s="11" customFormat="1" ht="12.75" customHeight="1" x14ac:dyDescent="0.25">
      <c r="A328" s="52">
        <v>334</v>
      </c>
      <c r="B328" s="58" t="s">
        <v>267</v>
      </c>
      <c r="C328" s="53" t="s">
        <v>930</v>
      </c>
      <c r="D328" s="52" t="s">
        <v>2194</v>
      </c>
      <c r="E328" s="54">
        <v>125.88</v>
      </c>
      <c r="F328" s="13" t="str">
        <f>INDEX(Кат!$I:$I,MATCH(Прайс!$B328,Кат!$G:$G,0))</f>
        <v>БРТ</v>
      </c>
      <c r="G328" s="25">
        <f>INDEX(Кат!$A:$A,MATCH(Прайс!$B328,Кат!$G:$G,0))</f>
        <v>213159</v>
      </c>
    </row>
    <row r="329" spans="1:7" s="11" customFormat="1" ht="12.75" customHeight="1" x14ac:dyDescent="0.25">
      <c r="A329" s="52">
        <v>335</v>
      </c>
      <c r="B329" s="58" t="s">
        <v>931</v>
      </c>
      <c r="C329" s="53" t="s">
        <v>932</v>
      </c>
      <c r="D329" s="67" t="s">
        <v>2206</v>
      </c>
      <c r="E329" s="54">
        <v>92.66292</v>
      </c>
      <c r="F329" s="13" t="e">
        <f>INDEX(Кат!$I:$I,MATCH(Прайс!$B329,Кат!$G:$G,0))</f>
        <v>#N/A</v>
      </c>
      <c r="G329" s="25" t="e">
        <f>INDEX(Кат!$A:$A,MATCH(Прайс!$B329,Кат!$G:$G,0))</f>
        <v>#N/A</v>
      </c>
    </row>
    <row r="330" spans="1:7" s="11" customFormat="1" ht="12.75" customHeight="1" x14ac:dyDescent="0.25">
      <c r="A330" s="52">
        <v>336</v>
      </c>
      <c r="B330" s="58" t="s">
        <v>2208</v>
      </c>
      <c r="C330" s="53" t="s">
        <v>934</v>
      </c>
      <c r="D330" s="67" t="s">
        <v>2206</v>
      </c>
      <c r="E330" s="54">
        <v>120</v>
      </c>
      <c r="F330" s="13" t="str">
        <f>INDEX(Кат!$I:$I,MATCH(Прайс!$B330,Кат!$G:$G,0))</f>
        <v>БРТ</v>
      </c>
      <c r="G330" s="25">
        <f>INDEX(Кат!$A:$A,MATCH(Прайс!$B330,Кат!$G:$G,0))</f>
        <v>204321</v>
      </c>
    </row>
    <row r="331" spans="1:7" s="11" customFormat="1" ht="12.75" customHeight="1" x14ac:dyDescent="0.25">
      <c r="A331" s="52">
        <v>337</v>
      </c>
      <c r="B331" s="58" t="s">
        <v>935</v>
      </c>
      <c r="C331" s="53" t="s">
        <v>936</v>
      </c>
      <c r="D331" s="52" t="s">
        <v>2194</v>
      </c>
      <c r="E331" s="54">
        <v>396</v>
      </c>
      <c r="F331" s="13" t="e">
        <f>INDEX(Кат!$I:$I,MATCH(Прайс!$B331,Кат!$G:$G,0))</f>
        <v>#N/A</v>
      </c>
      <c r="G331" s="25" t="e">
        <f>INDEX(Кат!$A:$A,MATCH(Прайс!$B331,Кат!$G:$G,0))</f>
        <v>#N/A</v>
      </c>
    </row>
    <row r="332" spans="1:7" s="11" customFormat="1" ht="12.75" customHeight="1" x14ac:dyDescent="0.25">
      <c r="A332" s="52">
        <v>338</v>
      </c>
      <c r="B332" s="58" t="s">
        <v>311</v>
      </c>
      <c r="C332" s="58" t="s">
        <v>937</v>
      </c>
      <c r="D332" s="52" t="s">
        <v>2194</v>
      </c>
      <c r="E332" s="54">
        <v>1202.076</v>
      </c>
      <c r="F332" s="13" t="str">
        <f>INDEX(Кат!$I:$I,MATCH(Прайс!$B332,Кат!$G:$G,0))</f>
        <v>БРТ</v>
      </c>
      <c r="G332" s="25">
        <f>INDEX(Кат!$A:$A,MATCH(Прайс!$B332,Кат!$G:$G,0))</f>
        <v>160729</v>
      </c>
    </row>
    <row r="333" spans="1:7" s="11" customFormat="1" ht="12.75" customHeight="1" x14ac:dyDescent="0.25">
      <c r="A333" s="52">
        <v>339</v>
      </c>
      <c r="B333" s="58" t="s">
        <v>312</v>
      </c>
      <c r="C333" s="58" t="s">
        <v>938</v>
      </c>
      <c r="D333" s="52" t="s">
        <v>2194</v>
      </c>
      <c r="E333" s="54">
        <v>740.35199999999998</v>
      </c>
      <c r="F333" s="13" t="str">
        <f>INDEX(Кат!$I:$I,MATCH(Прайс!$B333,Кат!$G:$G,0))</f>
        <v>БРТ</v>
      </c>
      <c r="G333" s="25">
        <f>INDEX(Кат!$A:$A,MATCH(Прайс!$B333,Кат!$G:$G,0))</f>
        <v>160641</v>
      </c>
    </row>
    <row r="334" spans="1:7" s="11" customFormat="1" ht="12.75" customHeight="1" x14ac:dyDescent="0.25">
      <c r="A334" s="52">
        <v>340</v>
      </c>
      <c r="B334" s="58" t="s">
        <v>313</v>
      </c>
      <c r="C334" s="58" t="s">
        <v>939</v>
      </c>
      <c r="D334" s="52" t="s">
        <v>2194</v>
      </c>
      <c r="E334" s="54">
        <v>717.78</v>
      </c>
      <c r="F334" s="13" t="str">
        <f>INDEX(Кат!$I:$I,MATCH(Прайс!$B334,Кат!$G:$G,0))</f>
        <v>БРТ</v>
      </c>
      <c r="G334" s="25">
        <f>INDEX(Кат!$A:$A,MATCH(Прайс!$B334,Кат!$G:$G,0))</f>
        <v>160714</v>
      </c>
    </row>
    <row r="335" spans="1:7" s="11" customFormat="1" ht="12.75" customHeight="1" x14ac:dyDescent="0.25">
      <c r="A335" s="52">
        <v>341</v>
      </c>
      <c r="B335" s="58" t="s">
        <v>940</v>
      </c>
      <c r="C335" s="58" t="s">
        <v>941</v>
      </c>
      <c r="D335" s="52" t="s">
        <v>2194</v>
      </c>
      <c r="E335" s="54">
        <v>450</v>
      </c>
      <c r="F335" s="13" t="e">
        <f>INDEX(Кат!$I:$I,MATCH(Прайс!$B335,Кат!$G:$G,0))</f>
        <v>#N/A</v>
      </c>
      <c r="G335" s="25" t="e">
        <f>INDEX(Кат!$A:$A,MATCH(Прайс!$B335,Кат!$G:$G,0))</f>
        <v>#N/A</v>
      </c>
    </row>
    <row r="336" spans="1:7" s="11" customFormat="1" ht="12.75" customHeight="1" x14ac:dyDescent="0.25">
      <c r="A336" s="52">
        <v>342</v>
      </c>
      <c r="B336" s="58" t="s">
        <v>942</v>
      </c>
      <c r="C336" s="58" t="s">
        <v>943</v>
      </c>
      <c r="D336" s="52" t="s">
        <v>2194</v>
      </c>
      <c r="E336" s="54">
        <v>450</v>
      </c>
      <c r="F336" s="13" t="e">
        <f>INDEX(Кат!$I:$I,MATCH(Прайс!$B336,Кат!$G:$G,0))</f>
        <v>#N/A</v>
      </c>
      <c r="G336" s="25" t="e">
        <f>INDEX(Кат!$A:$A,MATCH(Прайс!$B336,Кат!$G:$G,0))</f>
        <v>#N/A</v>
      </c>
    </row>
    <row r="337" spans="1:7" s="11" customFormat="1" ht="12.75" customHeight="1" x14ac:dyDescent="0.25">
      <c r="A337" s="52">
        <v>343</v>
      </c>
      <c r="B337" s="58" t="s">
        <v>944</v>
      </c>
      <c r="C337" s="58" t="s">
        <v>945</v>
      </c>
      <c r="D337" s="52" t="s">
        <v>2194</v>
      </c>
      <c r="E337" s="54">
        <v>467.05453200000005</v>
      </c>
      <c r="F337" s="13" t="str">
        <f>INDEX(Кат!$I:$I,MATCH(Прайс!$B337,Кат!$G:$G,0))</f>
        <v>БРТ</v>
      </c>
      <c r="G337" s="25">
        <f>INDEX(Кат!$A:$A,MATCH(Прайс!$B337,Кат!$G:$G,0))</f>
        <v>181600</v>
      </c>
    </row>
    <row r="338" spans="1:7" s="11" customFormat="1" ht="12.75" customHeight="1" x14ac:dyDescent="0.25">
      <c r="A338" s="52">
        <v>344</v>
      </c>
      <c r="B338" s="58" t="s">
        <v>946</v>
      </c>
      <c r="C338" s="58" t="s">
        <v>945</v>
      </c>
      <c r="D338" s="52" t="s">
        <v>2194</v>
      </c>
      <c r="E338" s="54">
        <v>467.05453200000005</v>
      </c>
      <c r="F338" s="13" t="str">
        <f>INDEX(Кат!$I:$I,MATCH(Прайс!$B338,Кат!$G:$G,0))</f>
        <v>БРТ</v>
      </c>
      <c r="G338" s="25">
        <f>INDEX(Кат!$A:$A,MATCH(Прайс!$B338,Кат!$G:$G,0))</f>
        <v>181602</v>
      </c>
    </row>
    <row r="339" spans="1:7" s="11" customFormat="1" ht="12.75" customHeight="1" x14ac:dyDescent="0.25">
      <c r="A339" s="52">
        <v>345</v>
      </c>
      <c r="B339" s="58" t="s">
        <v>383</v>
      </c>
      <c r="C339" s="58" t="s">
        <v>947</v>
      </c>
      <c r="D339" s="52" t="s">
        <v>2194</v>
      </c>
      <c r="E339" s="54">
        <v>676.34399999999994</v>
      </c>
      <c r="F339" s="13" t="e">
        <f>INDEX(Кат!$I:$I,MATCH(Прайс!$B339,Кат!$G:$G,0))</f>
        <v>#N/A</v>
      </c>
      <c r="G339" s="25" t="e">
        <f>INDEX(Кат!$A:$A,MATCH(Прайс!$B339,Кат!$G:$G,0))</f>
        <v>#N/A</v>
      </c>
    </row>
    <row r="340" spans="1:7" s="11" customFormat="1" ht="12.75" customHeight="1" x14ac:dyDescent="0.25">
      <c r="A340" s="52">
        <v>346</v>
      </c>
      <c r="B340" s="58" t="s">
        <v>948</v>
      </c>
      <c r="C340" s="58" t="s">
        <v>949</v>
      </c>
      <c r="D340" s="52" t="s">
        <v>2194</v>
      </c>
      <c r="E340" s="54">
        <v>311.54399999999998</v>
      </c>
      <c r="F340" s="13" t="str">
        <f>INDEX(Кат!$I:$I,MATCH(Прайс!$B340,Кат!$G:$G,0))</f>
        <v>БРТ</v>
      </c>
      <c r="G340" s="25">
        <f>INDEX(Кат!$A:$A,MATCH(Прайс!$B340,Кат!$G:$G,0))</f>
        <v>194600</v>
      </c>
    </row>
    <row r="341" spans="1:7" s="11" customFormat="1" ht="12.75" customHeight="1" x14ac:dyDescent="0.25">
      <c r="A341" s="52">
        <v>347</v>
      </c>
      <c r="B341" s="58" t="s">
        <v>419</v>
      </c>
      <c r="C341" s="58" t="s">
        <v>950</v>
      </c>
      <c r="D341" s="52" t="s">
        <v>2194</v>
      </c>
      <c r="E341" s="54">
        <v>794.16</v>
      </c>
      <c r="F341" s="13" t="str">
        <f>INDEX(Кат!$I:$I,MATCH(Прайс!$B341,Кат!$G:$G,0))</f>
        <v>БРТ</v>
      </c>
      <c r="G341" s="25">
        <f>INDEX(Кат!$A:$A,MATCH(Прайс!$B341,Кат!$G:$G,0))</f>
        <v>194598</v>
      </c>
    </row>
    <row r="342" spans="1:7" s="11" customFormat="1" ht="12.75" customHeight="1" x14ac:dyDescent="0.25">
      <c r="A342" s="52">
        <v>348</v>
      </c>
      <c r="B342" s="58" t="s">
        <v>951</v>
      </c>
      <c r="C342" s="58" t="s">
        <v>952</v>
      </c>
      <c r="D342" s="52" t="s">
        <v>2194</v>
      </c>
      <c r="E342" s="54">
        <v>529.50239999999997</v>
      </c>
      <c r="F342" s="13" t="e">
        <f>INDEX(Кат!$I:$I,MATCH(Прайс!$B342,Кат!$G:$G,0))</f>
        <v>#N/A</v>
      </c>
      <c r="G342" s="25" t="e">
        <f>INDEX(Кат!$A:$A,MATCH(Прайс!$B342,Кат!$G:$G,0))</f>
        <v>#N/A</v>
      </c>
    </row>
    <row r="343" spans="1:7" s="11" customFormat="1" ht="12.75" customHeight="1" x14ac:dyDescent="0.25">
      <c r="A343" s="52">
        <v>349</v>
      </c>
      <c r="B343" s="58" t="s">
        <v>953</v>
      </c>
      <c r="C343" s="58" t="s">
        <v>954</v>
      </c>
      <c r="D343" s="52" t="s">
        <v>2194</v>
      </c>
      <c r="E343" s="54">
        <v>462</v>
      </c>
      <c r="F343" s="13" t="str">
        <f>INDEX(Кат!$I:$I,MATCH(Прайс!$B343,Кат!$G:$G,0))</f>
        <v>БРТ</v>
      </c>
      <c r="G343" s="25">
        <f>INDEX(Кат!$A:$A,MATCH(Прайс!$B343,Кат!$G:$G,0))</f>
        <v>181599</v>
      </c>
    </row>
    <row r="344" spans="1:7" s="11" customFormat="1" ht="12.75" customHeight="1" x14ac:dyDescent="0.25">
      <c r="A344" s="52">
        <v>350</v>
      </c>
      <c r="B344" s="58" t="s">
        <v>394</v>
      </c>
      <c r="C344" s="58" t="s">
        <v>955</v>
      </c>
      <c r="D344" s="52" t="s">
        <v>2194</v>
      </c>
      <c r="E344" s="54">
        <v>650.04000000000008</v>
      </c>
      <c r="F344" s="13" t="str">
        <f>INDEX(Кат!$I:$I,MATCH(Прайс!$B344,Кат!$G:$G,0))</f>
        <v>БРТ</v>
      </c>
      <c r="G344" s="25">
        <f>INDEX(Кат!$A:$A,MATCH(Прайс!$B344,Кат!$G:$G,0))</f>
        <v>181700</v>
      </c>
    </row>
    <row r="345" spans="1:7" s="11" customFormat="1" ht="12.75" customHeight="1" x14ac:dyDescent="0.25">
      <c r="A345" s="52">
        <v>351</v>
      </c>
      <c r="B345" s="58" t="s">
        <v>956</v>
      </c>
      <c r="C345" s="58" t="s">
        <v>957</v>
      </c>
      <c r="D345" s="52" t="s">
        <v>2194</v>
      </c>
      <c r="E345" s="54">
        <v>330</v>
      </c>
      <c r="F345" s="13" t="str">
        <f>INDEX(Кат!$I:$I,MATCH(Прайс!$B345,Кат!$G:$G,0))</f>
        <v>БРТ</v>
      </c>
      <c r="G345" s="25">
        <f>INDEX(Кат!$A:$A,MATCH(Прайс!$B345,Кат!$G:$G,0))</f>
        <v>181548</v>
      </c>
    </row>
    <row r="346" spans="1:7" s="11" customFormat="1" ht="12.75" customHeight="1" x14ac:dyDescent="0.25">
      <c r="A346" s="52">
        <v>352</v>
      </c>
      <c r="B346" s="58" t="s">
        <v>221</v>
      </c>
      <c r="C346" s="58" t="s">
        <v>955</v>
      </c>
      <c r="D346" s="52" t="s">
        <v>2194</v>
      </c>
      <c r="E346" s="54">
        <v>632.66399999999999</v>
      </c>
      <c r="F346" s="13" t="str">
        <f>INDEX(Кат!$I:$I,MATCH(Прайс!$B346,Кат!$G:$G,0))</f>
        <v>БРТ</v>
      </c>
      <c r="G346" s="25">
        <f>INDEX(Кат!$A:$A,MATCH(Прайс!$B346,Кат!$G:$G,0))</f>
        <v>181549</v>
      </c>
    </row>
    <row r="347" spans="1:7" s="11" customFormat="1" ht="12.75" customHeight="1" x14ac:dyDescent="0.25">
      <c r="A347" s="52">
        <v>353</v>
      </c>
      <c r="B347" s="58" t="s">
        <v>222</v>
      </c>
      <c r="C347" s="58" t="s">
        <v>958</v>
      </c>
      <c r="D347" s="52" t="s">
        <v>2194</v>
      </c>
      <c r="E347" s="54">
        <v>1063.8</v>
      </c>
      <c r="F347" s="13" t="str">
        <f>INDEX(Кат!$I:$I,MATCH(Прайс!$B347,Кат!$G:$G,0))</f>
        <v>БРТ</v>
      </c>
      <c r="G347" s="25">
        <f>INDEX(Кат!$A:$A,MATCH(Прайс!$B347,Кат!$G:$G,0))</f>
        <v>180978</v>
      </c>
    </row>
    <row r="348" spans="1:7" s="11" customFormat="1" ht="12.75" customHeight="1" x14ac:dyDescent="0.25">
      <c r="A348" s="52">
        <v>354</v>
      </c>
      <c r="B348" s="58" t="s">
        <v>226</v>
      </c>
      <c r="C348" s="58" t="s">
        <v>959</v>
      </c>
      <c r="D348" s="52" t="s">
        <v>2194</v>
      </c>
      <c r="E348" s="54">
        <v>498.73199999999997</v>
      </c>
      <c r="F348" s="13" t="str">
        <f>INDEX(Кат!$I:$I,MATCH(Прайс!$B348,Кат!$G:$G,0))</f>
        <v>БРТ</v>
      </c>
      <c r="G348" s="25">
        <f>INDEX(Кат!$A:$A,MATCH(Прайс!$B348,Кат!$G:$G,0))</f>
        <v>181661</v>
      </c>
    </row>
    <row r="349" spans="1:7" s="11" customFormat="1" ht="12.75" customHeight="1" x14ac:dyDescent="0.25">
      <c r="A349" s="52">
        <v>355</v>
      </c>
      <c r="B349" s="58" t="s">
        <v>225</v>
      </c>
      <c r="C349" s="58" t="s">
        <v>960</v>
      </c>
      <c r="D349" s="52" t="s">
        <v>2194</v>
      </c>
      <c r="E349" s="54">
        <v>1406.5800000000002</v>
      </c>
      <c r="F349" s="13" t="str">
        <f>INDEX(Кат!$I:$I,MATCH(Прайс!$B349,Кат!$G:$G,0))</f>
        <v>БРТ</v>
      </c>
      <c r="G349" s="25">
        <f>INDEX(Кат!$A:$A,MATCH(Прайс!$B349,Кат!$G:$G,0))</f>
        <v>181559</v>
      </c>
    </row>
    <row r="350" spans="1:7" s="11" customFormat="1" ht="11.85" customHeight="1" x14ac:dyDescent="0.25">
      <c r="A350" s="52">
        <v>356</v>
      </c>
      <c r="B350" s="58" t="s">
        <v>227</v>
      </c>
      <c r="C350" s="58" t="s">
        <v>961</v>
      </c>
      <c r="D350" s="52" t="s">
        <v>2194</v>
      </c>
      <c r="E350" s="54">
        <v>642.17999999999995</v>
      </c>
      <c r="F350" s="13" t="str">
        <f>INDEX(Кат!$I:$I,MATCH(Прайс!$B350,Кат!$G:$G,0))</f>
        <v>БРТ</v>
      </c>
      <c r="G350" s="25">
        <f>INDEX(Кат!$A:$A,MATCH(Прайс!$B350,Кат!$G:$G,0))</f>
        <v>160772</v>
      </c>
    </row>
    <row r="351" spans="1:7" s="11" customFormat="1" ht="12.75" customHeight="1" x14ac:dyDescent="0.25">
      <c r="A351" s="52">
        <v>357</v>
      </c>
      <c r="B351" s="58" t="s">
        <v>523</v>
      </c>
      <c r="C351" s="58" t="s">
        <v>959</v>
      </c>
      <c r="D351" s="52" t="s">
        <v>2194</v>
      </c>
      <c r="E351" s="54">
        <v>577.39200000000005</v>
      </c>
      <c r="F351" s="13" t="str">
        <f>INDEX(Кат!$I:$I,MATCH(Прайс!$B351,Кат!$G:$G,0))</f>
        <v>БРТ</v>
      </c>
      <c r="G351" s="25">
        <f>INDEX(Кат!$A:$A,MATCH(Прайс!$B351,Кат!$G:$G,0))</f>
        <v>181576</v>
      </c>
    </row>
    <row r="352" spans="1:7" s="11" customFormat="1" ht="12.75" customHeight="1" x14ac:dyDescent="0.25">
      <c r="A352" s="52">
        <v>358</v>
      </c>
      <c r="B352" s="58" t="s">
        <v>522</v>
      </c>
      <c r="C352" s="58" t="s">
        <v>960</v>
      </c>
      <c r="D352" s="52" t="s">
        <v>2194</v>
      </c>
      <c r="E352" s="54">
        <v>1454.1959999999999</v>
      </c>
      <c r="F352" s="13" t="str">
        <f>INDEX(Кат!$I:$I,MATCH(Прайс!$B352,Кат!$G:$G,0))</f>
        <v>БРТ</v>
      </c>
      <c r="G352" s="25">
        <f>INDEX(Кат!$A:$A,MATCH(Прайс!$B352,Кат!$G:$G,0))</f>
        <v>181560</v>
      </c>
    </row>
    <row r="353" spans="1:237" s="11" customFormat="1" ht="12.75" customHeight="1" x14ac:dyDescent="0.25">
      <c r="A353" s="52">
        <v>359</v>
      </c>
      <c r="B353" s="72"/>
      <c r="C353" s="62" t="s">
        <v>962</v>
      </c>
      <c r="D353" s="73"/>
      <c r="E353" s="74">
        <v>0</v>
      </c>
      <c r="F353" s="13" t="e">
        <f>INDEX(Кат!$I:$I,MATCH(Прайс!$B353,Кат!$G:$G,0))</f>
        <v>#N/A</v>
      </c>
      <c r="G353" s="25" t="e">
        <f>INDEX(Кат!$A:$A,MATCH(Прайс!$B353,Кат!$G:$G,0))</f>
        <v>#N/A</v>
      </c>
    </row>
    <row r="354" spans="1:237" s="11" customFormat="1" ht="12.75" customHeight="1" x14ac:dyDescent="0.25">
      <c r="A354" s="52">
        <v>360</v>
      </c>
      <c r="B354" s="58" t="s">
        <v>963</v>
      </c>
      <c r="C354" s="58" t="s">
        <v>964</v>
      </c>
      <c r="D354" s="52" t="s">
        <v>2194</v>
      </c>
      <c r="E354" s="54">
        <v>410.06400000000002</v>
      </c>
      <c r="F354" s="13" t="e">
        <f>INDEX(Кат!$I:$I,MATCH(Прайс!$B354,Кат!$G:$G,0))</f>
        <v>#N/A</v>
      </c>
      <c r="G354" s="25" t="e">
        <f>INDEX(Кат!$A:$A,MATCH(Прайс!$B354,Кат!$G:$G,0))</f>
        <v>#N/A</v>
      </c>
    </row>
    <row r="355" spans="1:237" s="11" customFormat="1" ht="12.75" customHeight="1" x14ac:dyDescent="0.25">
      <c r="A355" s="52">
        <v>361</v>
      </c>
      <c r="B355" s="58" t="s">
        <v>965</v>
      </c>
      <c r="C355" s="58" t="s">
        <v>966</v>
      </c>
      <c r="D355" s="52" t="s">
        <v>2194</v>
      </c>
      <c r="E355" s="54">
        <v>76.932000000000002</v>
      </c>
      <c r="F355" s="13" t="e">
        <f>INDEX(Кат!$I:$I,MATCH(Прайс!$B355,Кат!$G:$G,0))</f>
        <v>#N/A</v>
      </c>
      <c r="G355" s="25" t="e">
        <f>INDEX(Кат!$A:$A,MATCH(Прайс!$B355,Кат!$G:$G,0))</f>
        <v>#N/A</v>
      </c>
      <c r="HR355" s="15" t="s">
        <v>1511</v>
      </c>
      <c r="HS355" s="15" t="s">
        <v>1511</v>
      </c>
      <c r="HT355" s="15" t="s">
        <v>1511</v>
      </c>
      <c r="HU355" s="15" t="s">
        <v>1511</v>
      </c>
      <c r="HV355" s="15" t="s">
        <v>1511</v>
      </c>
      <c r="HW355" s="15" t="s">
        <v>1511</v>
      </c>
      <c r="HX355" s="15" t="s">
        <v>1511</v>
      </c>
      <c r="HY355" s="15" t="s">
        <v>1511</v>
      </c>
      <c r="HZ355" s="15" t="s">
        <v>1511</v>
      </c>
      <c r="IA355" s="15" t="s">
        <v>1511</v>
      </c>
      <c r="IB355" s="15" t="s">
        <v>1511</v>
      </c>
      <c r="IC355" s="15" t="s">
        <v>1511</v>
      </c>
    </row>
    <row r="356" spans="1:237" s="11" customFormat="1" ht="12.75" customHeight="1" x14ac:dyDescent="0.25">
      <c r="A356" s="52">
        <v>362</v>
      </c>
      <c r="B356" s="58" t="s">
        <v>967</v>
      </c>
      <c r="C356" s="58" t="s">
        <v>968</v>
      </c>
      <c r="D356" s="52" t="s">
        <v>2194</v>
      </c>
      <c r="E356" s="54">
        <v>517.48799999999994</v>
      </c>
      <c r="F356" s="13" t="e">
        <f>INDEX(Кат!$I:$I,MATCH(Прайс!$B356,Кат!$G:$G,0))</f>
        <v>#N/A</v>
      </c>
      <c r="G356" s="25" t="e">
        <f>INDEX(Кат!$A:$A,MATCH(Прайс!$B356,Кат!$G:$G,0))</f>
        <v>#N/A</v>
      </c>
      <c r="HB356" s="15" t="s">
        <v>1511</v>
      </c>
      <c r="HG356" s="15" t="s">
        <v>1511</v>
      </c>
      <c r="HH356" s="15" t="s">
        <v>1511</v>
      </c>
      <c r="HJ356" s="15" t="s">
        <v>1511</v>
      </c>
      <c r="HL356" s="15" t="s">
        <v>1511</v>
      </c>
      <c r="HM356" s="15" t="s">
        <v>1511</v>
      </c>
      <c r="HN356" s="15" t="s">
        <v>1511</v>
      </c>
      <c r="HO356" s="15" t="s">
        <v>1511</v>
      </c>
      <c r="HP356" s="15" t="s">
        <v>1511</v>
      </c>
      <c r="HQ356" s="15" t="s">
        <v>1511</v>
      </c>
      <c r="HR356" s="15" t="s">
        <v>1511</v>
      </c>
      <c r="HS356" s="15" t="s">
        <v>1511</v>
      </c>
      <c r="HT356" s="15" t="s">
        <v>1511</v>
      </c>
      <c r="HU356" s="15" t="s">
        <v>1511</v>
      </c>
      <c r="HV356" s="15" t="s">
        <v>1511</v>
      </c>
      <c r="HW356" s="15" t="s">
        <v>1511</v>
      </c>
      <c r="HX356" s="15" t="s">
        <v>1511</v>
      </c>
      <c r="IA356" s="15" t="s">
        <v>1511</v>
      </c>
    </row>
    <row r="357" spans="1:237" s="11" customFormat="1" ht="12.75" customHeight="1" x14ac:dyDescent="0.25">
      <c r="A357" s="52">
        <v>363</v>
      </c>
      <c r="B357" s="58" t="s">
        <v>969</v>
      </c>
      <c r="C357" s="58" t="s">
        <v>970</v>
      </c>
      <c r="D357" s="52" t="s">
        <v>2194</v>
      </c>
      <c r="E357" s="54">
        <v>85.908000000000001</v>
      </c>
      <c r="F357" s="13" t="e">
        <f>INDEX(Кат!$I:$I,MATCH(Прайс!$B357,Кат!$G:$G,0))</f>
        <v>#N/A</v>
      </c>
      <c r="G357" s="25" t="e">
        <f>INDEX(Кат!$A:$A,MATCH(Прайс!$B357,Кат!$G:$G,0))</f>
        <v>#N/A</v>
      </c>
      <c r="HB357" s="15"/>
      <c r="HG357" s="15"/>
      <c r="HH357" s="15"/>
      <c r="HJ357" s="15"/>
      <c r="HL357" s="15"/>
      <c r="HM357" s="15"/>
      <c r="HN357" s="15"/>
      <c r="HO357" s="15"/>
      <c r="HP357" s="15"/>
      <c r="HQ357" s="15"/>
      <c r="HR357" s="15"/>
      <c r="HS357" s="15"/>
      <c r="HT357" s="15"/>
      <c r="HU357" s="15"/>
      <c r="HV357" s="15"/>
      <c r="HW357" s="15"/>
      <c r="HX357" s="15"/>
      <c r="IA357" s="15"/>
    </row>
    <row r="358" spans="1:237" s="11" customFormat="1" ht="12.75" customHeight="1" x14ac:dyDescent="0.25">
      <c r="A358" s="52">
        <v>364</v>
      </c>
      <c r="B358" s="58" t="s">
        <v>971</v>
      </c>
      <c r="C358" s="58" t="s">
        <v>972</v>
      </c>
      <c r="D358" s="52" t="s">
        <v>2194</v>
      </c>
      <c r="E358" s="54">
        <v>134.928</v>
      </c>
      <c r="F358" s="13" t="e">
        <f>INDEX(Кат!$I:$I,MATCH(Прайс!$B358,Кат!$G:$G,0))</f>
        <v>#N/A</v>
      </c>
      <c r="G358" s="25" t="e">
        <f>INDEX(Кат!$A:$A,MATCH(Прайс!$B358,Кат!$G:$G,0))</f>
        <v>#N/A</v>
      </c>
      <c r="HI358" s="15" t="s">
        <v>1511</v>
      </c>
      <c r="HL358" s="15" t="s">
        <v>1511</v>
      </c>
      <c r="HM358" s="15" t="s">
        <v>1511</v>
      </c>
      <c r="HN358" s="15" t="s">
        <v>1511</v>
      </c>
      <c r="HO358" s="15" t="s">
        <v>1511</v>
      </c>
      <c r="HP358" s="15" t="s">
        <v>1511</v>
      </c>
      <c r="HQ358" s="15" t="s">
        <v>1511</v>
      </c>
      <c r="HR358" s="15" t="s">
        <v>1511</v>
      </c>
      <c r="HS358" s="15" t="s">
        <v>1511</v>
      </c>
      <c r="HT358" s="15" t="s">
        <v>1511</v>
      </c>
      <c r="HU358" s="15" t="s">
        <v>1511</v>
      </c>
      <c r="HV358" s="15" t="s">
        <v>1511</v>
      </c>
      <c r="HW358" s="15" t="s">
        <v>1511</v>
      </c>
      <c r="HX358" s="15" t="s">
        <v>1511</v>
      </c>
      <c r="IA358" s="15" t="s">
        <v>1511</v>
      </c>
    </row>
    <row r="359" spans="1:237" s="11" customFormat="1" ht="12.75" customHeight="1" x14ac:dyDescent="0.25">
      <c r="A359" s="52">
        <v>365</v>
      </c>
      <c r="B359" s="58" t="s">
        <v>973</v>
      </c>
      <c r="C359" s="58" t="s">
        <v>974</v>
      </c>
      <c r="D359" s="52" t="s">
        <v>2194</v>
      </c>
      <c r="E359" s="54">
        <v>94.308000000000007</v>
      </c>
      <c r="F359" s="13" t="e">
        <f>INDEX(Кат!$I:$I,MATCH(Прайс!$B359,Кат!$G:$G,0))</f>
        <v>#N/A</v>
      </c>
      <c r="G359" s="25" t="e">
        <f>INDEX(Кат!$A:$A,MATCH(Прайс!$B359,Кат!$G:$G,0))</f>
        <v>#N/A</v>
      </c>
    </row>
    <row r="360" spans="1:237" s="11" customFormat="1" ht="12.75" customHeight="1" x14ac:dyDescent="0.25">
      <c r="A360" s="52">
        <v>366</v>
      </c>
      <c r="B360" s="58" t="s">
        <v>975</v>
      </c>
      <c r="C360" s="58" t="s">
        <v>976</v>
      </c>
      <c r="D360" s="52" t="s">
        <v>2194</v>
      </c>
      <c r="E360" s="54">
        <v>375.33599999999996</v>
      </c>
      <c r="F360" s="13" t="e">
        <f>INDEX(Кат!$I:$I,MATCH(Прайс!$B360,Кат!$G:$G,0))</f>
        <v>#N/A</v>
      </c>
      <c r="G360" s="25" t="e">
        <f>INDEX(Кат!$A:$A,MATCH(Прайс!$B360,Кат!$G:$G,0))</f>
        <v>#N/A</v>
      </c>
    </row>
    <row r="361" spans="1:237" s="11" customFormat="1" ht="12.75" customHeight="1" x14ac:dyDescent="0.25">
      <c r="A361" s="52">
        <v>367</v>
      </c>
      <c r="B361" s="58" t="s">
        <v>977</v>
      </c>
      <c r="C361" s="58" t="s">
        <v>978</v>
      </c>
      <c r="D361" s="52" t="s">
        <v>2194</v>
      </c>
      <c r="E361" s="54">
        <v>96.635999999999996</v>
      </c>
      <c r="F361" s="13" t="e">
        <f>INDEX(Кат!$I:$I,MATCH(Прайс!$B361,Кат!$G:$G,0))</f>
        <v>#N/A</v>
      </c>
      <c r="G361" s="25" t="e">
        <f>INDEX(Кат!$A:$A,MATCH(Прайс!$B361,Кат!$G:$G,0))</f>
        <v>#N/A</v>
      </c>
    </row>
    <row r="362" spans="1:237" s="11" customFormat="1" ht="12.75" customHeight="1" x14ac:dyDescent="0.25">
      <c r="A362" s="52">
        <v>368</v>
      </c>
      <c r="B362" s="58" t="s">
        <v>979</v>
      </c>
      <c r="C362" s="58" t="s">
        <v>980</v>
      </c>
      <c r="D362" s="52" t="s">
        <v>2194</v>
      </c>
      <c r="E362" s="54">
        <v>109.68</v>
      </c>
      <c r="F362" s="13" t="e">
        <f>INDEX(Кат!$I:$I,MATCH(Прайс!$B362,Кат!$G:$G,0))</f>
        <v>#N/A</v>
      </c>
      <c r="G362" s="25" t="e">
        <f>INDEX(Кат!$A:$A,MATCH(Прайс!$B362,Кат!$G:$G,0))</f>
        <v>#N/A</v>
      </c>
    </row>
    <row r="363" spans="1:237" s="11" customFormat="1" ht="12.75" customHeight="1" x14ac:dyDescent="0.25">
      <c r="A363" s="52">
        <v>369</v>
      </c>
      <c r="B363" s="58" t="s">
        <v>981</v>
      </c>
      <c r="C363" s="58" t="s">
        <v>982</v>
      </c>
      <c r="D363" s="52" t="s">
        <v>2194</v>
      </c>
      <c r="E363" s="54">
        <v>82.595999999999989</v>
      </c>
      <c r="F363" s="13" t="e">
        <f>INDEX(Кат!$I:$I,MATCH(Прайс!$B363,Кат!$G:$G,0))</f>
        <v>#N/A</v>
      </c>
      <c r="G363" s="25" t="e">
        <f>INDEX(Кат!$A:$A,MATCH(Прайс!$B363,Кат!$G:$G,0))</f>
        <v>#N/A</v>
      </c>
    </row>
    <row r="364" spans="1:237" s="11" customFormat="1" ht="12.75" customHeight="1" x14ac:dyDescent="0.25">
      <c r="A364" s="52">
        <v>370</v>
      </c>
      <c r="B364" s="58" t="s">
        <v>983</v>
      </c>
      <c r="C364" s="58" t="s">
        <v>984</v>
      </c>
      <c r="D364" s="52" t="s">
        <v>2194</v>
      </c>
      <c r="E364" s="54">
        <v>121.28399999999999</v>
      </c>
      <c r="F364" s="13" t="e">
        <f>INDEX(Кат!$I:$I,MATCH(Прайс!$B364,Кат!$G:$G,0))</f>
        <v>#N/A</v>
      </c>
      <c r="G364" s="25" t="e">
        <f>INDEX(Кат!$A:$A,MATCH(Прайс!$B364,Кат!$G:$G,0))</f>
        <v>#N/A</v>
      </c>
    </row>
    <row r="365" spans="1:237" s="11" customFormat="1" ht="12.75" customHeight="1" x14ac:dyDescent="0.25">
      <c r="A365" s="52">
        <v>371</v>
      </c>
      <c r="B365" s="58" t="s">
        <v>985</v>
      </c>
      <c r="C365" s="58" t="s">
        <v>986</v>
      </c>
      <c r="D365" s="52" t="s">
        <v>2194</v>
      </c>
      <c r="E365" s="54">
        <v>71.724000000000004</v>
      </c>
      <c r="F365" s="13" t="e">
        <f>INDEX(Кат!$I:$I,MATCH(Прайс!$B365,Кат!$G:$G,0))</f>
        <v>#N/A</v>
      </c>
      <c r="G365" s="25" t="e">
        <f>INDEX(Кат!$A:$A,MATCH(Прайс!$B365,Кат!$G:$G,0))</f>
        <v>#N/A</v>
      </c>
    </row>
    <row r="366" spans="1:237" s="11" customFormat="1" ht="12.75" customHeight="1" x14ac:dyDescent="0.25">
      <c r="A366" s="52">
        <v>372</v>
      </c>
      <c r="B366" s="58" t="s">
        <v>987</v>
      </c>
      <c r="C366" s="58" t="s">
        <v>988</v>
      </c>
      <c r="D366" s="52" t="s">
        <v>2194</v>
      </c>
      <c r="E366" s="54">
        <v>62.652000000000001</v>
      </c>
      <c r="F366" s="13" t="e">
        <f>INDEX(Кат!$I:$I,MATCH(Прайс!$B366,Кат!$G:$G,0))</f>
        <v>#N/A</v>
      </c>
      <c r="G366" s="25" t="e">
        <f>INDEX(Кат!$A:$A,MATCH(Прайс!$B366,Кат!$G:$G,0))</f>
        <v>#N/A</v>
      </c>
    </row>
    <row r="367" spans="1:237" s="11" customFormat="1" ht="12.75" customHeight="1" x14ac:dyDescent="0.25">
      <c r="A367" s="52">
        <v>373</v>
      </c>
      <c r="B367" s="58" t="s">
        <v>641</v>
      </c>
      <c r="C367" s="58" t="s">
        <v>989</v>
      </c>
      <c r="D367" s="52" t="s">
        <v>2194</v>
      </c>
      <c r="E367" s="54">
        <v>114.264</v>
      </c>
      <c r="F367" s="13" t="str">
        <f>INDEX(Кат!$I:$I,MATCH(Прайс!$B367,Кат!$G:$G,0))</f>
        <v>БРТ</v>
      </c>
      <c r="G367" s="25">
        <f>INDEX(Кат!$A:$A,MATCH(Прайс!$B367,Кат!$G:$G,0))</f>
        <v>204352</v>
      </c>
    </row>
    <row r="368" spans="1:237" s="11" customFormat="1" ht="12.75" customHeight="1" x14ac:dyDescent="0.25">
      <c r="A368" s="52">
        <v>374</v>
      </c>
      <c r="B368" s="58" t="s">
        <v>640</v>
      </c>
      <c r="C368" s="58" t="s">
        <v>990</v>
      </c>
      <c r="D368" s="52" t="s">
        <v>2194</v>
      </c>
      <c r="E368" s="54">
        <v>158.08799999999999</v>
      </c>
      <c r="F368" s="13" t="str">
        <f>INDEX(Кат!$I:$I,MATCH(Прайс!$B368,Кат!$G:$G,0))</f>
        <v>БРТ</v>
      </c>
      <c r="G368" s="25">
        <f>INDEX(Кат!$A:$A,MATCH(Прайс!$B368,Кат!$G:$G,0))</f>
        <v>204351</v>
      </c>
    </row>
    <row r="369" spans="1:7" s="11" customFormat="1" ht="12.75" customHeight="1" x14ac:dyDescent="0.25">
      <c r="A369" s="52">
        <v>375</v>
      </c>
      <c r="B369" s="58" t="s">
        <v>639</v>
      </c>
      <c r="C369" s="58" t="s">
        <v>991</v>
      </c>
      <c r="D369" s="52" t="s">
        <v>2194</v>
      </c>
      <c r="E369" s="54">
        <v>216.708</v>
      </c>
      <c r="F369" s="13" t="str">
        <f>INDEX(Кат!$I:$I,MATCH(Прайс!$B369,Кат!$G:$G,0))</f>
        <v>БРТ</v>
      </c>
      <c r="G369" s="25">
        <f>INDEX(Кат!$A:$A,MATCH(Прайс!$B369,Кат!$G:$G,0))</f>
        <v>204353</v>
      </c>
    </row>
    <row r="370" spans="1:7" s="11" customFormat="1" ht="12.75" customHeight="1" x14ac:dyDescent="0.25">
      <c r="A370" s="52">
        <v>376</v>
      </c>
      <c r="B370" s="58" t="s">
        <v>992</v>
      </c>
      <c r="C370" s="58" t="s">
        <v>993</v>
      </c>
      <c r="D370" s="52" t="s">
        <v>2194</v>
      </c>
      <c r="E370" s="54">
        <v>68.616</v>
      </c>
      <c r="F370" s="13" t="e">
        <f>INDEX(Кат!$I:$I,MATCH(Прайс!$B370,Кат!$G:$G,0))</f>
        <v>#N/A</v>
      </c>
      <c r="G370" s="25" t="e">
        <f>INDEX(Кат!$A:$A,MATCH(Прайс!$B370,Кат!$G:$G,0))</f>
        <v>#N/A</v>
      </c>
    </row>
    <row r="371" spans="1:7" s="11" customFormat="1" ht="12.75" customHeight="1" x14ac:dyDescent="0.25">
      <c r="A371" s="52">
        <v>377</v>
      </c>
      <c r="B371" s="58" t="s">
        <v>994</v>
      </c>
      <c r="C371" s="58" t="s">
        <v>995</v>
      </c>
      <c r="D371" s="52" t="s">
        <v>2194</v>
      </c>
      <c r="E371" s="54">
        <v>226.66799999999998</v>
      </c>
      <c r="F371" s="13" t="e">
        <f>INDEX(Кат!$I:$I,MATCH(Прайс!$B371,Кат!$G:$G,0))</f>
        <v>#N/A</v>
      </c>
      <c r="G371" s="25" t="e">
        <f>INDEX(Кат!$A:$A,MATCH(Прайс!$B371,Кат!$G:$G,0))</f>
        <v>#N/A</v>
      </c>
    </row>
    <row r="372" spans="1:7" s="11" customFormat="1" ht="12.75" customHeight="1" x14ac:dyDescent="0.25">
      <c r="A372" s="52">
        <v>378</v>
      </c>
      <c r="B372" s="58" t="s">
        <v>996</v>
      </c>
      <c r="C372" s="58" t="s">
        <v>997</v>
      </c>
      <c r="D372" s="52" t="s">
        <v>2194</v>
      </c>
      <c r="E372" s="54">
        <v>115.66799999999999</v>
      </c>
      <c r="F372" s="13" t="e">
        <f>INDEX(Кат!$I:$I,MATCH(Прайс!$B372,Кат!$G:$G,0))</f>
        <v>#N/A</v>
      </c>
      <c r="G372" s="25" t="e">
        <f>INDEX(Кат!$A:$A,MATCH(Прайс!$B372,Кат!$G:$G,0))</f>
        <v>#N/A</v>
      </c>
    </row>
    <row r="373" spans="1:7" s="11" customFormat="1" ht="12.75" customHeight="1" x14ac:dyDescent="0.25">
      <c r="A373" s="52">
        <v>379</v>
      </c>
      <c r="B373" s="58" t="s">
        <v>998</v>
      </c>
      <c r="C373" s="58" t="s">
        <v>999</v>
      </c>
      <c r="D373" s="52" t="s">
        <v>2194</v>
      </c>
      <c r="E373" s="54">
        <v>83.304000000000002</v>
      </c>
      <c r="F373" s="13" t="e">
        <f>INDEX(Кат!$I:$I,MATCH(Прайс!$B373,Кат!$G:$G,0))</f>
        <v>#N/A</v>
      </c>
      <c r="G373" s="25" t="e">
        <f>INDEX(Кат!$A:$A,MATCH(Прайс!$B373,Кат!$G:$G,0))</f>
        <v>#N/A</v>
      </c>
    </row>
    <row r="374" spans="1:7" s="11" customFormat="1" ht="12.75" customHeight="1" x14ac:dyDescent="0.25">
      <c r="A374" s="52">
        <v>380</v>
      </c>
      <c r="B374" s="58" t="s">
        <v>1000</v>
      </c>
      <c r="C374" s="58" t="s">
        <v>1001</v>
      </c>
      <c r="D374" s="52" t="s">
        <v>2194</v>
      </c>
      <c r="E374" s="54">
        <v>378.37200000000001</v>
      </c>
      <c r="F374" s="13" t="e">
        <f>INDEX(Кат!$I:$I,MATCH(Прайс!$B374,Кат!$G:$G,0))</f>
        <v>#N/A</v>
      </c>
      <c r="G374" s="25" t="e">
        <f>INDEX(Кат!$A:$A,MATCH(Прайс!$B374,Кат!$G:$G,0))</f>
        <v>#N/A</v>
      </c>
    </row>
    <row r="375" spans="1:7" s="11" customFormat="1" ht="12.75" customHeight="1" x14ac:dyDescent="0.25">
      <c r="A375" s="52">
        <v>381</v>
      </c>
      <c r="B375" s="58" t="s">
        <v>1002</v>
      </c>
      <c r="C375" s="58" t="s">
        <v>1003</v>
      </c>
      <c r="D375" s="52" t="s">
        <v>2194</v>
      </c>
      <c r="E375" s="54">
        <v>79.8</v>
      </c>
      <c r="F375" s="13" t="e">
        <f>INDEX(Кат!$I:$I,MATCH(Прайс!$B375,Кат!$G:$G,0))</f>
        <v>#N/A</v>
      </c>
      <c r="G375" s="25" t="e">
        <f>INDEX(Кат!$A:$A,MATCH(Прайс!$B375,Кат!$G:$G,0))</f>
        <v>#N/A</v>
      </c>
    </row>
    <row r="376" spans="1:7" s="11" customFormat="1" ht="12.75" customHeight="1" x14ac:dyDescent="0.25">
      <c r="A376" s="52">
        <v>382</v>
      </c>
      <c r="B376" s="58" t="s">
        <v>1004</v>
      </c>
      <c r="C376" s="58" t="s">
        <v>1005</v>
      </c>
      <c r="D376" s="52" t="s">
        <v>2194</v>
      </c>
      <c r="E376" s="54">
        <v>728.82</v>
      </c>
      <c r="F376" s="13" t="e">
        <f>INDEX(Кат!$I:$I,MATCH(Прайс!$B376,Кат!$G:$G,0))</f>
        <v>#N/A</v>
      </c>
      <c r="G376" s="25" t="e">
        <f>INDEX(Кат!$A:$A,MATCH(Прайс!$B376,Кат!$G:$G,0))</f>
        <v>#N/A</v>
      </c>
    </row>
    <row r="377" spans="1:7" s="11" customFormat="1" ht="12.75" customHeight="1" x14ac:dyDescent="0.25">
      <c r="A377" s="52">
        <v>383</v>
      </c>
      <c r="B377" s="58" t="s">
        <v>1006</v>
      </c>
      <c r="C377" s="65" t="s">
        <v>1007</v>
      </c>
      <c r="D377" s="52" t="s">
        <v>2194</v>
      </c>
      <c r="E377" s="54">
        <v>85.236000000000004</v>
      </c>
      <c r="F377" s="13" t="e">
        <f>INDEX(Кат!$I:$I,MATCH(Прайс!$B377,Кат!$G:$G,0))</f>
        <v>#N/A</v>
      </c>
      <c r="G377" s="25" t="e">
        <f>INDEX(Кат!$A:$A,MATCH(Прайс!$B377,Кат!$G:$G,0))</f>
        <v>#N/A</v>
      </c>
    </row>
    <row r="378" spans="1:7" s="11" customFormat="1" ht="12.75" customHeight="1" x14ac:dyDescent="0.25">
      <c r="A378" s="52">
        <v>384</v>
      </c>
      <c r="B378" s="58" t="s">
        <v>1008</v>
      </c>
      <c r="C378" s="65" t="s">
        <v>1009</v>
      </c>
      <c r="D378" s="52" t="s">
        <v>2194</v>
      </c>
      <c r="E378" s="75">
        <v>73.031999999999996</v>
      </c>
      <c r="F378" s="13" t="e">
        <f>INDEX(Кат!$I:$I,MATCH(Прайс!$B378,Кат!$G:$G,0))</f>
        <v>#N/A</v>
      </c>
      <c r="G378" s="25" t="e">
        <f>INDEX(Кат!$A:$A,MATCH(Прайс!$B378,Кат!$G:$G,0))</f>
        <v>#N/A</v>
      </c>
    </row>
    <row r="379" spans="1:7" s="11" customFormat="1" ht="12.75" customHeight="1" x14ac:dyDescent="0.25">
      <c r="A379" s="52">
        <v>385</v>
      </c>
      <c r="B379" s="58" t="s">
        <v>1010</v>
      </c>
      <c r="C379" s="65" t="s">
        <v>1011</v>
      </c>
      <c r="D379" s="52" t="s">
        <v>2194</v>
      </c>
      <c r="E379" s="75">
        <v>293.976</v>
      </c>
      <c r="F379" s="13" t="e">
        <f>INDEX(Кат!$I:$I,MATCH(Прайс!$B379,Кат!$G:$G,0))</f>
        <v>#N/A</v>
      </c>
      <c r="G379" s="25" t="e">
        <f>INDEX(Кат!$A:$A,MATCH(Прайс!$B379,Кат!$G:$G,0))</f>
        <v>#N/A</v>
      </c>
    </row>
    <row r="380" spans="1:7" s="11" customFormat="1" ht="12.75" customHeight="1" x14ac:dyDescent="0.25">
      <c r="A380" s="52">
        <v>386</v>
      </c>
      <c r="B380" s="58" t="s">
        <v>1012</v>
      </c>
      <c r="C380" s="65" t="s">
        <v>1013</v>
      </c>
      <c r="D380" s="52" t="s">
        <v>2194</v>
      </c>
      <c r="E380" s="75">
        <v>341.65199999999999</v>
      </c>
      <c r="F380" s="13" t="e">
        <f>INDEX(Кат!$I:$I,MATCH(Прайс!$B380,Кат!$G:$G,0))</f>
        <v>#N/A</v>
      </c>
      <c r="G380" s="25" t="e">
        <f>INDEX(Кат!$A:$A,MATCH(Прайс!$B380,Кат!$G:$G,0))</f>
        <v>#N/A</v>
      </c>
    </row>
    <row r="381" spans="1:7" s="11" customFormat="1" ht="12.75" customHeight="1" x14ac:dyDescent="0.25">
      <c r="A381" s="52">
        <v>387</v>
      </c>
      <c r="B381" s="58" t="s">
        <v>1014</v>
      </c>
      <c r="C381" s="65" t="s">
        <v>1015</v>
      </c>
      <c r="D381" s="52" t="s">
        <v>2194</v>
      </c>
      <c r="E381" s="75">
        <v>368.84399999999999</v>
      </c>
      <c r="F381" s="13" t="e">
        <f>INDEX(Кат!$I:$I,MATCH(Прайс!$B381,Кат!$G:$G,0))</f>
        <v>#N/A</v>
      </c>
      <c r="G381" s="25" t="e">
        <f>INDEX(Кат!$A:$A,MATCH(Прайс!$B381,Кат!$G:$G,0))</f>
        <v>#N/A</v>
      </c>
    </row>
    <row r="382" spans="1:7" s="11" customFormat="1" ht="12.75" customHeight="1" x14ac:dyDescent="0.25">
      <c r="A382" s="52">
        <v>388</v>
      </c>
      <c r="B382" s="58" t="s">
        <v>1016</v>
      </c>
      <c r="C382" s="65" t="s">
        <v>1017</v>
      </c>
      <c r="D382" s="52" t="s">
        <v>2207</v>
      </c>
      <c r="E382" s="75">
        <v>362.73599999999993</v>
      </c>
      <c r="F382" s="13" t="e">
        <f>INDEX(Кат!$I:$I,MATCH(Прайс!$B382,Кат!$G:$G,0))</f>
        <v>#N/A</v>
      </c>
      <c r="G382" s="25" t="e">
        <f>INDEX(Кат!$A:$A,MATCH(Прайс!$B382,Кат!$G:$G,0))</f>
        <v>#N/A</v>
      </c>
    </row>
    <row r="383" spans="1:7" s="11" customFormat="1" ht="12.75" customHeight="1" x14ac:dyDescent="0.25">
      <c r="A383" s="52">
        <v>389</v>
      </c>
      <c r="B383" s="58" t="s">
        <v>1018</v>
      </c>
      <c r="C383" s="65" t="s">
        <v>1019</v>
      </c>
      <c r="D383" s="52" t="s">
        <v>2207</v>
      </c>
      <c r="E383" s="75">
        <v>613.76400000000001</v>
      </c>
      <c r="F383" s="13" t="e">
        <f>INDEX(Кат!$I:$I,MATCH(Прайс!$B383,Кат!$G:$G,0))</f>
        <v>#N/A</v>
      </c>
      <c r="G383" s="25" t="e">
        <f>INDEX(Кат!$A:$A,MATCH(Прайс!$B383,Кат!$G:$G,0))</f>
        <v>#N/A</v>
      </c>
    </row>
    <row r="384" spans="1:7" s="11" customFormat="1" ht="12.75" customHeight="1" x14ac:dyDescent="0.25">
      <c r="A384" s="52">
        <v>390</v>
      </c>
      <c r="B384" s="58" t="s">
        <v>1020</v>
      </c>
      <c r="C384" s="65" t="s">
        <v>1021</v>
      </c>
      <c r="D384" s="52" t="s">
        <v>2207</v>
      </c>
      <c r="E384" s="75">
        <v>378.85199999999998</v>
      </c>
      <c r="F384" s="13" t="e">
        <f>INDEX(Кат!$I:$I,MATCH(Прайс!$B384,Кат!$G:$G,0))</f>
        <v>#N/A</v>
      </c>
      <c r="G384" s="25" t="e">
        <f>INDEX(Кат!$A:$A,MATCH(Прайс!$B384,Кат!$G:$G,0))</f>
        <v>#N/A</v>
      </c>
    </row>
    <row r="385" spans="1:8" s="11" customFormat="1" ht="12.75" customHeight="1" x14ac:dyDescent="0.25">
      <c r="A385" s="52">
        <v>391</v>
      </c>
      <c r="B385" s="58" t="s">
        <v>1022</v>
      </c>
      <c r="C385" s="65" t="s">
        <v>1023</v>
      </c>
      <c r="D385" s="52" t="s">
        <v>2207</v>
      </c>
      <c r="E385" s="75">
        <v>499.69200000000001</v>
      </c>
      <c r="F385" s="13" t="e">
        <f>INDEX(Кат!$I:$I,MATCH(Прайс!$B385,Кат!$G:$G,0))</f>
        <v>#N/A</v>
      </c>
      <c r="G385" s="25" t="e">
        <f>INDEX(Кат!$A:$A,MATCH(Прайс!$B385,Кат!$G:$G,0))</f>
        <v>#N/A</v>
      </c>
    </row>
    <row r="386" spans="1:8" s="11" customFormat="1" ht="12.75" customHeight="1" x14ac:dyDescent="0.25">
      <c r="A386" s="52">
        <v>392</v>
      </c>
      <c r="B386" s="58" t="s">
        <v>1024</v>
      </c>
      <c r="C386" s="65" t="s">
        <v>1025</v>
      </c>
      <c r="D386" s="52" t="s">
        <v>2207</v>
      </c>
      <c r="E386" s="75">
        <v>372.93599999999998</v>
      </c>
      <c r="F386" s="13" t="e">
        <f>INDEX(Кат!$I:$I,MATCH(Прайс!$B386,Кат!$G:$G,0))</f>
        <v>#N/A</v>
      </c>
      <c r="G386" s="25" t="e">
        <f>INDEX(Кат!$A:$A,MATCH(Прайс!$B386,Кат!$G:$G,0))</f>
        <v>#N/A</v>
      </c>
    </row>
    <row r="387" spans="1:8" s="11" customFormat="1" ht="12.75" customHeight="1" x14ac:dyDescent="0.25">
      <c r="A387" s="52">
        <v>393</v>
      </c>
      <c r="B387" s="58" t="s">
        <v>1026</v>
      </c>
      <c r="C387" s="65" t="s">
        <v>1027</v>
      </c>
      <c r="D387" s="52" t="s">
        <v>2207</v>
      </c>
      <c r="E387" s="75">
        <v>362.77199999999999</v>
      </c>
      <c r="F387" s="13" t="e">
        <f>INDEX(Кат!$I:$I,MATCH(Прайс!$B387,Кат!$G:$G,0))</f>
        <v>#N/A</v>
      </c>
      <c r="G387" s="25" t="e">
        <f>INDEX(Кат!$A:$A,MATCH(Прайс!$B387,Кат!$G:$G,0))</f>
        <v>#N/A</v>
      </c>
    </row>
    <row r="388" spans="1:8" s="11" customFormat="1" ht="12.75" customHeight="1" x14ac:dyDescent="0.25">
      <c r="A388" s="52">
        <v>394</v>
      </c>
      <c r="B388" s="58" t="s">
        <v>1026</v>
      </c>
      <c r="C388" s="65"/>
      <c r="D388" s="52" t="s">
        <v>2207</v>
      </c>
      <c r="E388" s="75">
        <v>0</v>
      </c>
      <c r="F388" s="13" t="e">
        <f>INDEX(Кат!$I:$I,MATCH(Прайс!$B388,Кат!$G:$G,0))</f>
        <v>#N/A</v>
      </c>
      <c r="G388" s="25" t="e">
        <f>INDEX(Кат!$A:$A,MATCH(Прайс!$B388,Кат!$G:$G,0))</f>
        <v>#N/A</v>
      </c>
    </row>
    <row r="389" spans="1:8" s="16" customFormat="1" ht="12.75" customHeight="1" x14ac:dyDescent="0.25">
      <c r="A389" s="52">
        <v>395</v>
      </c>
      <c r="B389" s="58" t="s">
        <v>1028</v>
      </c>
      <c r="C389" s="65" t="s">
        <v>1029</v>
      </c>
      <c r="D389" s="52" t="s">
        <v>2207</v>
      </c>
      <c r="E389" s="75">
        <v>2461.212</v>
      </c>
      <c r="F389" s="13" t="e">
        <f>INDEX(Кат!$I:$I,MATCH(Прайс!$B389,Кат!$G:$G,0))</f>
        <v>#N/A</v>
      </c>
      <c r="G389" s="25" t="e">
        <f>INDEX(Кат!$A:$A,MATCH(Прайс!$B389,Кат!$G:$G,0))</f>
        <v>#N/A</v>
      </c>
      <c r="H389" s="11"/>
    </row>
    <row r="390" spans="1:8" s="11" customFormat="1" ht="12.75" customHeight="1" x14ac:dyDescent="0.25">
      <c r="A390" s="52"/>
      <c r="B390" s="58" t="s">
        <v>1731</v>
      </c>
      <c r="C390" s="65" t="s">
        <v>1029</v>
      </c>
      <c r="D390" s="52" t="s">
        <v>2207</v>
      </c>
      <c r="E390" s="75">
        <v>1327.0800000000002</v>
      </c>
      <c r="F390" s="13" t="e">
        <f>INDEX(Кат!$I:$I,MATCH(Прайс!$B390,Кат!$G:$G,0))</f>
        <v>#N/A</v>
      </c>
      <c r="G390" s="25" t="e">
        <f>INDEX(Кат!$A:$A,MATCH(Прайс!$B390,Кат!$G:$G,0))</f>
        <v>#N/A</v>
      </c>
    </row>
    <row r="391" spans="1:8" s="11" customFormat="1" ht="12.75" customHeight="1" x14ac:dyDescent="0.25">
      <c r="A391" s="52">
        <v>396</v>
      </c>
      <c r="B391" s="58" t="s">
        <v>1030</v>
      </c>
      <c r="C391" s="65" t="s">
        <v>1031</v>
      </c>
      <c r="D391" s="52" t="s">
        <v>2207</v>
      </c>
      <c r="E391" s="75">
        <v>4798.6439999999993</v>
      </c>
      <c r="F391" s="13" t="e">
        <f>INDEX(Кат!$I:$I,MATCH(Прайс!$B391,Кат!$G:$G,0))</f>
        <v>#N/A</v>
      </c>
      <c r="G391" s="25" t="e">
        <f>INDEX(Кат!$A:$A,MATCH(Прайс!$B391,Кат!$G:$G,0))</f>
        <v>#N/A</v>
      </c>
    </row>
    <row r="392" spans="1:8" s="11" customFormat="1" ht="12.75" customHeight="1" x14ac:dyDescent="0.25">
      <c r="A392" s="52"/>
      <c r="B392" s="58" t="s">
        <v>1732</v>
      </c>
      <c r="C392" s="65" t="s">
        <v>1031</v>
      </c>
      <c r="D392" s="52" t="s">
        <v>2207</v>
      </c>
      <c r="E392" s="75">
        <v>2806.152</v>
      </c>
      <c r="F392" s="13" t="e">
        <f>INDEX(Кат!$I:$I,MATCH(Прайс!$B392,Кат!$G:$G,0))</f>
        <v>#N/A</v>
      </c>
      <c r="G392" s="25" t="e">
        <f>INDEX(Кат!$A:$A,MATCH(Прайс!$B392,Кат!$G:$G,0))</f>
        <v>#N/A</v>
      </c>
    </row>
    <row r="393" spans="1:8" s="11" customFormat="1" ht="12.75" customHeight="1" x14ac:dyDescent="0.25">
      <c r="A393" s="52">
        <v>397</v>
      </c>
      <c r="B393" s="58" t="s">
        <v>1032</v>
      </c>
      <c r="C393" s="65" t="s">
        <v>1033</v>
      </c>
      <c r="D393" s="52" t="s">
        <v>2207</v>
      </c>
      <c r="E393" s="75">
        <v>3893.2080000000001</v>
      </c>
      <c r="F393" s="13" t="e">
        <f>INDEX(Кат!$I:$I,MATCH(Прайс!$B393,Кат!$G:$G,0))</f>
        <v>#N/A</v>
      </c>
      <c r="G393" s="25" t="e">
        <f>INDEX(Кат!$A:$A,MATCH(Прайс!$B393,Кат!$G:$G,0))</f>
        <v>#N/A</v>
      </c>
    </row>
    <row r="394" spans="1:8" s="16" customFormat="1" ht="12.75" customHeight="1" x14ac:dyDescent="0.25">
      <c r="A394" s="52">
        <v>398</v>
      </c>
      <c r="B394" s="58" t="s">
        <v>1034</v>
      </c>
      <c r="C394" s="65" t="s">
        <v>1035</v>
      </c>
      <c r="D394" s="52" t="s">
        <v>2207</v>
      </c>
      <c r="E394" s="75">
        <v>594.52800000000002</v>
      </c>
      <c r="F394" s="13" t="str">
        <f>INDEX(Кат!$I:$I,MATCH(Прайс!$B394,Кат!$G:$G,0))</f>
        <v>БРТ</v>
      </c>
      <c r="G394" s="25">
        <f>INDEX(Кат!$A:$A,MATCH(Прайс!$B394,Кат!$G:$G,0))</f>
        <v>204346</v>
      </c>
      <c r="H394" s="11"/>
    </row>
    <row r="395" spans="1:8" s="11" customFormat="1" ht="12.75" customHeight="1" x14ac:dyDescent="0.25">
      <c r="A395" s="52">
        <v>399</v>
      </c>
      <c r="B395" s="58" t="s">
        <v>1036</v>
      </c>
      <c r="C395" s="65" t="s">
        <v>1037</v>
      </c>
      <c r="D395" s="52" t="s">
        <v>2207</v>
      </c>
      <c r="E395" s="75">
        <v>2465.748</v>
      </c>
      <c r="F395" s="13" t="e">
        <f>INDEX(Кат!$I:$I,MATCH(Прайс!$B395,Кат!$G:$G,0))</f>
        <v>#N/A</v>
      </c>
      <c r="G395" s="25" t="e">
        <f>INDEX(Кат!$A:$A,MATCH(Прайс!$B395,Кат!$G:$G,0))</f>
        <v>#N/A</v>
      </c>
    </row>
    <row r="396" spans="1:8" s="11" customFormat="1" ht="12.75" customHeight="1" x14ac:dyDescent="0.25">
      <c r="A396" s="52">
        <v>400</v>
      </c>
      <c r="B396" s="58" t="s">
        <v>1038</v>
      </c>
      <c r="C396" s="65" t="s">
        <v>1039</v>
      </c>
      <c r="D396" s="52" t="s">
        <v>2207</v>
      </c>
      <c r="E396" s="75">
        <v>351.68399999999997</v>
      </c>
      <c r="F396" s="13" t="e">
        <f>INDEX(Кат!$I:$I,MATCH(Прайс!$B396,Кат!$G:$G,0))</f>
        <v>#N/A</v>
      </c>
      <c r="G396" s="25" t="e">
        <f>INDEX(Кат!$A:$A,MATCH(Прайс!$B396,Кат!$G:$G,0))</f>
        <v>#N/A</v>
      </c>
    </row>
    <row r="397" spans="1:8" s="11" customFormat="1" ht="12.75" customHeight="1" x14ac:dyDescent="0.25">
      <c r="A397" s="52">
        <v>401</v>
      </c>
      <c r="B397" s="58" t="s">
        <v>1040</v>
      </c>
      <c r="C397" s="65" t="s">
        <v>1041</v>
      </c>
      <c r="D397" s="52" t="s">
        <v>2207</v>
      </c>
      <c r="E397" s="75">
        <v>351.68399999999997</v>
      </c>
      <c r="F397" s="13" t="e">
        <f>INDEX(Кат!$I:$I,MATCH(Прайс!$B397,Кат!$G:$G,0))</f>
        <v>#N/A</v>
      </c>
      <c r="G397" s="25" t="e">
        <f>INDEX(Кат!$A:$A,MATCH(Прайс!$B397,Кат!$G:$G,0))</f>
        <v>#N/A</v>
      </c>
    </row>
    <row r="398" spans="1:8" s="11" customFormat="1" ht="12.75" customHeight="1" x14ac:dyDescent="0.25">
      <c r="A398" s="52">
        <v>402</v>
      </c>
      <c r="B398" s="58" t="s">
        <v>1042</v>
      </c>
      <c r="C398" s="65" t="s">
        <v>1043</v>
      </c>
      <c r="D398" s="52" t="s">
        <v>2207</v>
      </c>
      <c r="E398" s="75">
        <v>351.68399999999997</v>
      </c>
      <c r="F398" s="13" t="e">
        <f>INDEX(Кат!$I:$I,MATCH(Прайс!$B398,Кат!$G:$G,0))</f>
        <v>#N/A</v>
      </c>
      <c r="G398" s="25" t="e">
        <f>INDEX(Кат!$A:$A,MATCH(Прайс!$B398,Кат!$G:$G,0))</f>
        <v>#N/A</v>
      </c>
    </row>
    <row r="399" spans="1:8" s="11" customFormat="1" ht="12.75" customHeight="1" x14ac:dyDescent="0.25">
      <c r="A399" s="52">
        <v>403</v>
      </c>
      <c r="B399" s="58" t="s">
        <v>1044</v>
      </c>
      <c r="C399" s="65" t="s">
        <v>1045</v>
      </c>
      <c r="D399" s="52" t="s">
        <v>2207</v>
      </c>
      <c r="E399" s="75">
        <v>871.39199999999994</v>
      </c>
      <c r="F399" s="13" t="str">
        <f>INDEX(Кат!$I:$I,MATCH(Прайс!$B399,Кат!$G:$G,0))</f>
        <v>БРТ</v>
      </c>
      <c r="G399" s="25">
        <f>INDEX(Кат!$A:$A,MATCH(Прайс!$B399,Кат!$G:$G,0))</f>
        <v>186396</v>
      </c>
    </row>
    <row r="400" spans="1:8" s="11" customFormat="1" ht="12.75" customHeight="1" x14ac:dyDescent="0.25">
      <c r="A400" s="52">
        <v>404</v>
      </c>
      <c r="B400" s="58" t="s">
        <v>1046</v>
      </c>
      <c r="C400" s="65" t="s">
        <v>1047</v>
      </c>
      <c r="D400" s="52" t="s">
        <v>2207</v>
      </c>
      <c r="E400" s="54">
        <v>103.512</v>
      </c>
      <c r="F400" s="13" t="e">
        <f>INDEX(Кат!$I:$I,MATCH(Прайс!$B400,Кат!$G:$G,0))</f>
        <v>#N/A</v>
      </c>
      <c r="G400" s="25" t="e">
        <f>INDEX(Кат!$A:$A,MATCH(Прайс!$B400,Кат!$G:$G,0))</f>
        <v>#N/A</v>
      </c>
    </row>
    <row r="401" spans="1:7" s="11" customFormat="1" ht="12.75" customHeight="1" x14ac:dyDescent="0.25">
      <c r="A401" s="52">
        <v>405</v>
      </c>
      <c r="B401" s="58" t="s">
        <v>1048</v>
      </c>
      <c r="C401" s="65" t="s">
        <v>1049</v>
      </c>
      <c r="D401" s="52" t="s">
        <v>2207</v>
      </c>
      <c r="E401" s="54">
        <v>143.42399999999998</v>
      </c>
      <c r="F401" s="13" t="e">
        <f>INDEX(Кат!$I:$I,MATCH(Прайс!$B401,Кат!$G:$G,0))</f>
        <v>#N/A</v>
      </c>
      <c r="G401" s="25" t="e">
        <f>INDEX(Кат!$A:$A,MATCH(Прайс!$B401,Кат!$G:$G,0))</f>
        <v>#N/A</v>
      </c>
    </row>
    <row r="402" spans="1:7" s="11" customFormat="1" ht="12.75" customHeight="1" x14ac:dyDescent="0.25">
      <c r="A402" s="52">
        <v>406</v>
      </c>
      <c r="B402" s="58" t="s">
        <v>1050</v>
      </c>
      <c r="C402" s="58" t="s">
        <v>1051</v>
      </c>
      <c r="D402" s="52" t="s">
        <v>2207</v>
      </c>
      <c r="E402" s="54">
        <v>1518.5040000000001</v>
      </c>
      <c r="F402" s="13" t="e">
        <f>INDEX(Кат!$I:$I,MATCH(Прайс!$B402,Кат!$G:$G,0))</f>
        <v>#N/A</v>
      </c>
      <c r="G402" s="25" t="e">
        <f>INDEX(Кат!$A:$A,MATCH(Прайс!$B402,Кат!$G:$G,0))</f>
        <v>#N/A</v>
      </c>
    </row>
    <row r="403" spans="1:7" s="11" customFormat="1" ht="12.75" customHeight="1" x14ac:dyDescent="0.25">
      <c r="A403" s="52">
        <v>407</v>
      </c>
      <c r="B403" s="58" t="s">
        <v>1052</v>
      </c>
      <c r="C403" s="58" t="s">
        <v>1053</v>
      </c>
      <c r="D403" s="52" t="s">
        <v>2207</v>
      </c>
      <c r="E403" s="54">
        <v>520.39200000000005</v>
      </c>
      <c r="F403" s="13" t="str">
        <f>INDEX(Кат!$I:$I,MATCH(Прайс!$B403,Кат!$G:$G,0))</f>
        <v>БРТ</v>
      </c>
      <c r="G403" s="25">
        <f>INDEX(Кат!$A:$A,MATCH(Прайс!$B403,Кат!$G:$G,0))</f>
        <v>223162</v>
      </c>
    </row>
    <row r="404" spans="1:7" s="11" customFormat="1" ht="12.75" customHeight="1" x14ac:dyDescent="0.25">
      <c r="A404" s="52">
        <v>408</v>
      </c>
      <c r="B404" s="58" t="s">
        <v>1054</v>
      </c>
      <c r="C404" s="58" t="s">
        <v>1055</v>
      </c>
      <c r="D404" s="52" t="s">
        <v>2207</v>
      </c>
      <c r="E404" s="54">
        <v>686.90399999999988</v>
      </c>
      <c r="F404" s="13" t="e">
        <f>INDEX(Кат!$I:$I,MATCH(Прайс!$B404,Кат!$G:$G,0))</f>
        <v>#N/A</v>
      </c>
      <c r="G404" s="25" t="e">
        <f>INDEX(Кат!$A:$A,MATCH(Прайс!$B404,Кат!$G:$G,0))</f>
        <v>#N/A</v>
      </c>
    </row>
    <row r="405" spans="1:7" s="11" customFormat="1" ht="12.75" customHeight="1" x14ac:dyDescent="0.25">
      <c r="A405" s="52">
        <v>409</v>
      </c>
      <c r="B405" s="58" t="s">
        <v>1056</v>
      </c>
      <c r="C405" s="58" t="s">
        <v>1057</v>
      </c>
      <c r="D405" s="52" t="s">
        <v>2207</v>
      </c>
      <c r="E405" s="54">
        <v>720.25200000000007</v>
      </c>
      <c r="F405" s="13" t="str">
        <f>INDEX(Кат!$I:$I,MATCH(Прайс!$B405,Кат!$G:$G,0))</f>
        <v>БРТ</v>
      </c>
      <c r="G405" s="25">
        <f>INDEX(Кат!$A:$A,MATCH(Прайс!$B405,Кат!$G:$G,0))</f>
        <v>223163</v>
      </c>
    </row>
    <row r="406" spans="1:7" s="11" customFormat="1" ht="12.75" customHeight="1" x14ac:dyDescent="0.25">
      <c r="A406" s="52">
        <v>410</v>
      </c>
      <c r="B406" s="58" t="s">
        <v>1058</v>
      </c>
      <c r="C406" s="58" t="s">
        <v>1059</v>
      </c>
      <c r="D406" s="52" t="s">
        <v>2207</v>
      </c>
      <c r="E406" s="54">
        <v>475.2</v>
      </c>
      <c r="F406" s="13" t="str">
        <f>INDEX(Кат!$I:$I,MATCH(Прайс!$B406,Кат!$G:$G,0))</f>
        <v>БРТ</v>
      </c>
      <c r="G406" s="25">
        <f>INDEX(Кат!$A:$A,MATCH(Прайс!$B406,Кат!$G:$G,0))</f>
        <v>223283</v>
      </c>
    </row>
    <row r="407" spans="1:7" s="11" customFormat="1" ht="12.75" customHeight="1" x14ac:dyDescent="0.25">
      <c r="A407" s="52">
        <v>411</v>
      </c>
      <c r="B407" s="58" t="s">
        <v>1060</v>
      </c>
      <c r="C407" s="58" t="s">
        <v>1051</v>
      </c>
      <c r="D407" s="52" t="s">
        <v>2207</v>
      </c>
      <c r="E407" s="54">
        <v>840</v>
      </c>
      <c r="F407" s="13" t="str">
        <f>INDEX(Кат!$I:$I,MATCH(Прайс!$B407,Кат!$G:$G,0))</f>
        <v>БРТ</v>
      </c>
      <c r="G407" s="25">
        <f>INDEX(Кат!$A:$A,MATCH(Прайс!$B407,Кат!$G:$G,0))</f>
        <v>223176</v>
      </c>
    </row>
    <row r="408" spans="1:7" s="11" customFormat="1" ht="12.75" customHeight="1" x14ac:dyDescent="0.25">
      <c r="A408" s="52">
        <v>412</v>
      </c>
      <c r="B408" s="58" t="s">
        <v>1061</v>
      </c>
      <c r="C408" s="58" t="s">
        <v>1061</v>
      </c>
      <c r="D408" s="52" t="s">
        <v>2207</v>
      </c>
      <c r="E408" s="54">
        <v>1468.8</v>
      </c>
      <c r="F408" s="13" t="str">
        <f>INDEX(Кат!$I:$I,MATCH(Прайс!$B408,Кат!$G:$G,0))</f>
        <v>БРТ</v>
      </c>
      <c r="G408" s="25">
        <f>INDEX(Кат!$A:$A,MATCH(Прайс!$B408,Кат!$G:$G,0))</f>
        <v>159929</v>
      </c>
    </row>
    <row r="409" spans="1:7" s="11" customFormat="1" ht="12.75" customHeight="1" x14ac:dyDescent="0.25">
      <c r="A409" s="52">
        <v>413</v>
      </c>
      <c r="B409" s="58" t="s">
        <v>1062</v>
      </c>
      <c r="C409" s="65" t="s">
        <v>1063</v>
      </c>
      <c r="D409" s="52" t="s">
        <v>2194</v>
      </c>
      <c r="E409" s="54">
        <v>339.53999999999996</v>
      </c>
      <c r="F409" s="13" t="str">
        <f>INDEX(Кат!$I:$I,MATCH(Прайс!$B409,Кат!$G:$G,0))</f>
        <v>БРТ</v>
      </c>
      <c r="G409" s="25">
        <f>INDEX(Кат!$A:$A,MATCH(Прайс!$B409,Кат!$G:$G,0))</f>
        <v>213169</v>
      </c>
    </row>
    <row r="410" spans="1:7" s="11" customFormat="1" ht="12.75" customHeight="1" x14ac:dyDescent="0.25">
      <c r="A410" s="52">
        <v>414</v>
      </c>
      <c r="B410" s="58" t="s">
        <v>1064</v>
      </c>
      <c r="C410" s="65" t="s">
        <v>1065</v>
      </c>
      <c r="D410" s="52" t="s">
        <v>2194</v>
      </c>
      <c r="E410" s="54">
        <v>825.76799999999992</v>
      </c>
      <c r="F410" s="13" t="str">
        <f>INDEX(Кат!$I:$I,MATCH(Прайс!$B410,Кат!$G:$G,0))</f>
        <v>БРТ</v>
      </c>
      <c r="G410" s="25">
        <f>INDEX(Кат!$A:$A,MATCH(Прайс!$B410,Кат!$G:$G,0))</f>
        <v>186397</v>
      </c>
    </row>
    <row r="411" spans="1:7" s="11" customFormat="1" ht="12.75" customHeight="1" x14ac:dyDescent="0.25">
      <c r="A411" s="52">
        <v>415</v>
      </c>
      <c r="B411" s="58" t="s">
        <v>1066</v>
      </c>
      <c r="C411" s="65" t="s">
        <v>1067</v>
      </c>
      <c r="D411" s="52" t="s">
        <v>2194</v>
      </c>
      <c r="E411" s="54">
        <v>648.26400000000001</v>
      </c>
      <c r="F411" s="13" t="str">
        <f>INDEX(Кат!$I:$I,MATCH(Прайс!$B411,Кат!$G:$G,0))</f>
        <v>БРТ</v>
      </c>
      <c r="G411" s="25">
        <f>INDEX(Кат!$A:$A,MATCH(Прайс!$B411,Кат!$G:$G,0))</f>
        <v>186534</v>
      </c>
    </row>
    <row r="412" spans="1:7" s="11" customFormat="1" ht="12.75" customHeight="1" x14ac:dyDescent="0.25">
      <c r="A412" s="52">
        <v>416</v>
      </c>
      <c r="B412" s="58" t="s">
        <v>1068</v>
      </c>
      <c r="C412" s="65" t="s">
        <v>1069</v>
      </c>
      <c r="D412" s="52" t="s">
        <v>2194</v>
      </c>
      <c r="E412" s="54">
        <v>697.14</v>
      </c>
      <c r="F412" s="13" t="e">
        <f>INDEX(Кат!$I:$I,MATCH(Прайс!$B412,Кат!$G:$G,0))</f>
        <v>#N/A</v>
      </c>
      <c r="G412" s="25" t="e">
        <f>INDEX(Кат!$A:$A,MATCH(Прайс!$B412,Кат!$G:$G,0))</f>
        <v>#N/A</v>
      </c>
    </row>
    <row r="413" spans="1:7" s="11" customFormat="1" ht="12.75" customHeight="1" x14ac:dyDescent="0.25">
      <c r="A413" s="52">
        <v>417</v>
      </c>
      <c r="B413" s="58" t="s">
        <v>1070</v>
      </c>
      <c r="C413" s="65" t="s">
        <v>1071</v>
      </c>
      <c r="D413" s="52" t="s">
        <v>2194</v>
      </c>
      <c r="E413" s="54">
        <v>175.64400000000001</v>
      </c>
      <c r="F413" s="13" t="e">
        <f>INDEX(Кат!$I:$I,MATCH(Прайс!$B413,Кат!$G:$G,0))</f>
        <v>#N/A</v>
      </c>
      <c r="G413" s="25" t="e">
        <f>INDEX(Кат!$A:$A,MATCH(Прайс!$B413,Кат!$G:$G,0))</f>
        <v>#N/A</v>
      </c>
    </row>
    <row r="414" spans="1:7" s="11" customFormat="1" ht="12.75" customHeight="1" x14ac:dyDescent="0.25">
      <c r="A414" s="52">
        <v>418</v>
      </c>
      <c r="B414" s="58" t="s">
        <v>1072</v>
      </c>
      <c r="C414" s="65" t="s">
        <v>1073</v>
      </c>
      <c r="D414" s="52" t="s">
        <v>2194</v>
      </c>
      <c r="E414" s="54">
        <v>783.3599999999999</v>
      </c>
      <c r="F414" s="13" t="e">
        <f>INDEX(Кат!$I:$I,MATCH(Прайс!$B414,Кат!$G:$G,0))</f>
        <v>#N/A</v>
      </c>
      <c r="G414" s="25" t="e">
        <f>INDEX(Кат!$A:$A,MATCH(Прайс!$B414,Кат!$G:$G,0))</f>
        <v>#N/A</v>
      </c>
    </row>
    <row r="415" spans="1:7" s="11" customFormat="1" ht="12.75" customHeight="1" x14ac:dyDescent="0.25">
      <c r="A415" s="52">
        <v>419</v>
      </c>
      <c r="B415" s="58" t="s">
        <v>1074</v>
      </c>
      <c r="C415" s="65" t="s">
        <v>1075</v>
      </c>
      <c r="D415" s="52" t="s">
        <v>2194</v>
      </c>
      <c r="E415" s="54">
        <v>487.404</v>
      </c>
      <c r="F415" s="13" t="e">
        <f>INDEX(Кат!$I:$I,MATCH(Прайс!$B415,Кат!$G:$G,0))</f>
        <v>#N/A</v>
      </c>
      <c r="G415" s="25" t="e">
        <f>INDEX(Кат!$A:$A,MATCH(Прайс!$B415,Кат!$G:$G,0))</f>
        <v>#N/A</v>
      </c>
    </row>
    <row r="416" spans="1:7" s="11" customFormat="1" ht="12.75" customHeight="1" x14ac:dyDescent="0.25">
      <c r="A416" s="52">
        <v>420</v>
      </c>
      <c r="B416" s="58" t="s">
        <v>1076</v>
      </c>
      <c r="C416" s="65" t="s">
        <v>1077</v>
      </c>
      <c r="D416" s="52" t="s">
        <v>2194</v>
      </c>
      <c r="E416" s="54">
        <v>891.4799999999999</v>
      </c>
      <c r="F416" s="13" t="str">
        <f>INDEX(Кат!$I:$I,MATCH(Прайс!$B416,Кат!$G:$G,0))</f>
        <v>БРТ</v>
      </c>
      <c r="G416" s="25">
        <f>INDEX(Кат!$A:$A,MATCH(Прайс!$B416,Кат!$G:$G,0))</f>
        <v>226116</v>
      </c>
    </row>
    <row r="417" spans="1:7" s="11" customFormat="1" ht="12.75" customHeight="1" x14ac:dyDescent="0.25">
      <c r="A417" s="52">
        <v>421</v>
      </c>
      <c r="B417" s="58" t="s">
        <v>1078</v>
      </c>
      <c r="C417" s="65" t="s">
        <v>1079</v>
      </c>
      <c r="D417" s="52" t="s">
        <v>2194</v>
      </c>
      <c r="E417" s="54">
        <v>777.97199999999987</v>
      </c>
      <c r="F417" s="13" t="e">
        <f>INDEX(Кат!$I:$I,MATCH(Прайс!$B417,Кат!$G:$G,0))</f>
        <v>#N/A</v>
      </c>
      <c r="G417" s="25" t="e">
        <f>INDEX(Кат!$A:$A,MATCH(Прайс!$B417,Кат!$G:$G,0))</f>
        <v>#N/A</v>
      </c>
    </row>
    <row r="418" spans="1:7" s="11" customFormat="1" ht="12.75" customHeight="1" x14ac:dyDescent="0.25">
      <c r="A418" s="52">
        <v>422</v>
      </c>
      <c r="B418" s="58" t="s">
        <v>1080</v>
      </c>
      <c r="C418" s="58" t="s">
        <v>1081</v>
      </c>
      <c r="D418" s="52" t="s">
        <v>2194</v>
      </c>
      <c r="E418" s="54">
        <v>166.78800000000001</v>
      </c>
      <c r="F418" s="13" t="str">
        <f>INDEX(Кат!$I:$I,MATCH(Прайс!$B418,Кат!$G:$G,0))</f>
        <v>БРТ</v>
      </c>
      <c r="G418" s="25">
        <f>INDEX(Кат!$A:$A,MATCH(Прайс!$B418,Кат!$G:$G,0))</f>
        <v>213437</v>
      </c>
    </row>
    <row r="419" spans="1:7" s="11" customFormat="1" ht="12.75" customHeight="1" x14ac:dyDescent="0.25">
      <c r="A419" s="52">
        <v>423</v>
      </c>
      <c r="B419" s="58" t="s">
        <v>1082</v>
      </c>
      <c r="C419" s="58" t="s">
        <v>1083</v>
      </c>
      <c r="D419" s="52" t="s">
        <v>2194</v>
      </c>
      <c r="E419" s="54">
        <v>296.59199999999998</v>
      </c>
      <c r="F419" s="13" t="e">
        <f>INDEX(Кат!$I:$I,MATCH(Прайс!$B419,Кат!$G:$G,0))</f>
        <v>#N/A</v>
      </c>
      <c r="G419" s="25" t="e">
        <f>INDEX(Кат!$A:$A,MATCH(Прайс!$B419,Кат!$G:$G,0))</f>
        <v>#N/A</v>
      </c>
    </row>
    <row r="420" spans="1:7" s="11" customFormat="1" ht="12.75" customHeight="1" x14ac:dyDescent="0.25">
      <c r="A420" s="52">
        <v>424</v>
      </c>
      <c r="B420" s="58" t="s">
        <v>1084</v>
      </c>
      <c r="C420" s="58" t="s">
        <v>1085</v>
      </c>
      <c r="D420" s="52" t="s">
        <v>2194</v>
      </c>
      <c r="E420" s="54">
        <v>489.85199999999998</v>
      </c>
      <c r="F420" s="13" t="e">
        <f>INDEX(Кат!$I:$I,MATCH(Прайс!$B420,Кат!$G:$G,0))</f>
        <v>#N/A</v>
      </c>
      <c r="G420" s="25" t="e">
        <f>INDEX(Кат!$A:$A,MATCH(Прайс!$B420,Кат!$G:$G,0))</f>
        <v>#N/A</v>
      </c>
    </row>
    <row r="421" spans="1:7" s="11" customFormat="1" ht="12.75" customHeight="1" x14ac:dyDescent="0.25">
      <c r="A421" s="52">
        <v>425</v>
      </c>
      <c r="B421" s="58" t="s">
        <v>1086</v>
      </c>
      <c r="C421" s="58" t="s">
        <v>1087</v>
      </c>
      <c r="D421" s="52" t="s">
        <v>2194</v>
      </c>
      <c r="E421" s="54">
        <v>662.86799999999994</v>
      </c>
      <c r="F421" s="13" t="e">
        <f>INDEX(Кат!$I:$I,MATCH(Прайс!$B421,Кат!$G:$G,0))</f>
        <v>#N/A</v>
      </c>
      <c r="G421" s="25" t="e">
        <f>INDEX(Кат!$A:$A,MATCH(Прайс!$B421,Кат!$G:$G,0))</f>
        <v>#N/A</v>
      </c>
    </row>
    <row r="422" spans="1:7" s="11" customFormat="1" ht="12.75" customHeight="1" x14ac:dyDescent="0.25">
      <c r="A422" s="52">
        <v>426</v>
      </c>
      <c r="B422" s="58" t="s">
        <v>1086</v>
      </c>
      <c r="C422" s="76" t="s">
        <v>2209</v>
      </c>
      <c r="D422" s="77"/>
      <c r="E422" s="54">
        <v>0</v>
      </c>
      <c r="F422" s="13" t="e">
        <f>INDEX(Кат!$I:$I,MATCH(Прайс!$B422,Кат!$G:$G,0))</f>
        <v>#N/A</v>
      </c>
      <c r="G422" s="25" t="e">
        <f>INDEX(Кат!$A:$A,MATCH(Прайс!$B422,Кат!$G:$G,0))</f>
        <v>#N/A</v>
      </c>
    </row>
    <row r="423" spans="1:7" s="11" customFormat="1" ht="12.75" customHeight="1" x14ac:dyDescent="0.25">
      <c r="A423" s="52">
        <v>427</v>
      </c>
      <c r="B423" s="58" t="s">
        <v>1086</v>
      </c>
      <c r="C423" s="69" t="s">
        <v>2210</v>
      </c>
      <c r="D423" s="70" t="s">
        <v>2194</v>
      </c>
      <c r="E423" s="54">
        <v>0</v>
      </c>
      <c r="F423" s="13" t="e">
        <f>INDEX(Кат!$I:$I,MATCH(Прайс!$B423,Кат!$G:$G,0))</f>
        <v>#N/A</v>
      </c>
      <c r="G423" s="25" t="e">
        <f>INDEX(Кат!$A:$A,MATCH(Прайс!$B423,Кат!$G:$G,0))</f>
        <v>#N/A</v>
      </c>
    </row>
    <row r="424" spans="1:7" s="11" customFormat="1" ht="12.75" customHeight="1" x14ac:dyDescent="0.25">
      <c r="A424" s="52">
        <v>428</v>
      </c>
      <c r="B424" s="58" t="s">
        <v>1086</v>
      </c>
      <c r="C424" s="69" t="s">
        <v>2211</v>
      </c>
      <c r="D424" s="70" t="s">
        <v>2194</v>
      </c>
      <c r="E424" s="54">
        <v>0</v>
      </c>
      <c r="F424" s="13" t="e">
        <f>INDEX(Кат!$I:$I,MATCH(Прайс!$B424,Кат!$G:$G,0))</f>
        <v>#N/A</v>
      </c>
      <c r="G424" s="25" t="e">
        <f>INDEX(Кат!$A:$A,MATCH(Прайс!$B424,Кат!$G:$G,0))</f>
        <v>#N/A</v>
      </c>
    </row>
    <row r="425" spans="1:7" s="11" customFormat="1" ht="12.75" customHeight="1" x14ac:dyDescent="0.25">
      <c r="A425" s="52">
        <v>429</v>
      </c>
      <c r="B425" s="58" t="s">
        <v>1086</v>
      </c>
      <c r="C425" s="69" t="s">
        <v>2212</v>
      </c>
      <c r="D425" s="70" t="s">
        <v>2194</v>
      </c>
      <c r="E425" s="54">
        <v>0</v>
      </c>
      <c r="F425" s="13" t="e">
        <f>INDEX(Кат!$I:$I,MATCH(Прайс!$B425,Кат!$G:$G,0))</f>
        <v>#N/A</v>
      </c>
      <c r="G425" s="25" t="e">
        <f>INDEX(Кат!$A:$A,MATCH(Прайс!$B425,Кат!$G:$G,0))</f>
        <v>#N/A</v>
      </c>
    </row>
    <row r="426" spans="1:7" s="11" customFormat="1" ht="12.75" customHeight="1" x14ac:dyDescent="0.25">
      <c r="A426" s="52">
        <v>430</v>
      </c>
      <c r="B426" s="58" t="s">
        <v>1086</v>
      </c>
      <c r="C426" s="69" t="s">
        <v>2213</v>
      </c>
      <c r="D426" s="70" t="s">
        <v>2194</v>
      </c>
      <c r="E426" s="54">
        <v>0</v>
      </c>
      <c r="F426" s="13" t="e">
        <f>INDEX(Кат!$I:$I,MATCH(Прайс!$B426,Кат!$G:$G,0))</f>
        <v>#N/A</v>
      </c>
      <c r="G426" s="25" t="e">
        <f>INDEX(Кат!$A:$A,MATCH(Прайс!$B426,Кат!$G:$G,0))</f>
        <v>#N/A</v>
      </c>
    </row>
    <row r="427" spans="1:7" s="11" customFormat="1" ht="12.75" customHeight="1" x14ac:dyDescent="0.25">
      <c r="A427" s="52">
        <v>431</v>
      </c>
      <c r="B427" s="58" t="s">
        <v>1086</v>
      </c>
      <c r="C427" s="69" t="s">
        <v>2214</v>
      </c>
      <c r="D427" s="70" t="s">
        <v>2194</v>
      </c>
      <c r="E427" s="54">
        <v>0</v>
      </c>
      <c r="F427" s="13" t="e">
        <f>INDEX(Кат!$I:$I,MATCH(Прайс!$B427,Кат!$G:$G,0))</f>
        <v>#N/A</v>
      </c>
      <c r="G427" s="25" t="e">
        <f>INDEX(Кат!$A:$A,MATCH(Прайс!$B427,Кат!$G:$G,0))</f>
        <v>#N/A</v>
      </c>
    </row>
    <row r="428" spans="1:7" s="11" customFormat="1" ht="12.75" customHeight="1" x14ac:dyDescent="0.25">
      <c r="A428" s="52">
        <v>432</v>
      </c>
      <c r="B428" s="58" t="s">
        <v>1086</v>
      </c>
      <c r="C428" s="69" t="s">
        <v>2215</v>
      </c>
      <c r="D428" s="70" t="s">
        <v>2194</v>
      </c>
      <c r="E428" s="54">
        <v>0</v>
      </c>
      <c r="F428" s="13" t="e">
        <f>INDEX(Кат!$I:$I,MATCH(Прайс!$B428,Кат!$G:$G,0))</f>
        <v>#N/A</v>
      </c>
      <c r="G428" s="25" t="e">
        <f>INDEX(Кат!$A:$A,MATCH(Прайс!$B428,Кат!$G:$G,0))</f>
        <v>#N/A</v>
      </c>
    </row>
    <row r="429" spans="1:7" s="11" customFormat="1" ht="12.75" customHeight="1" x14ac:dyDescent="0.25">
      <c r="A429" s="52">
        <v>433</v>
      </c>
      <c r="B429" s="58" t="s">
        <v>1086</v>
      </c>
      <c r="C429" s="69" t="s">
        <v>2216</v>
      </c>
      <c r="D429" s="70" t="s">
        <v>2194</v>
      </c>
      <c r="E429" s="54">
        <v>0</v>
      </c>
      <c r="F429" s="13" t="e">
        <f>INDEX(Кат!$I:$I,MATCH(Прайс!$B429,Кат!$G:$G,0))</f>
        <v>#N/A</v>
      </c>
      <c r="G429" s="25" t="e">
        <f>INDEX(Кат!$A:$A,MATCH(Прайс!$B429,Кат!$G:$G,0))</f>
        <v>#N/A</v>
      </c>
    </row>
    <row r="430" spans="1:7" s="11" customFormat="1" ht="12.75" customHeight="1" x14ac:dyDescent="0.25">
      <c r="A430" s="52">
        <v>434</v>
      </c>
      <c r="B430" s="58" t="s">
        <v>1086</v>
      </c>
      <c r="C430" s="69" t="s">
        <v>2217</v>
      </c>
      <c r="D430" s="70" t="s">
        <v>2194</v>
      </c>
      <c r="E430" s="54">
        <v>0</v>
      </c>
      <c r="F430" s="13" t="e">
        <f>INDEX(Кат!$I:$I,MATCH(Прайс!$B430,Кат!$G:$G,0))</f>
        <v>#N/A</v>
      </c>
      <c r="G430" s="25" t="e">
        <f>INDEX(Кат!$A:$A,MATCH(Прайс!$B430,Кат!$G:$G,0))</f>
        <v>#N/A</v>
      </c>
    </row>
    <row r="431" spans="1:7" s="11" customFormat="1" ht="12.75" customHeight="1" x14ac:dyDescent="0.25">
      <c r="A431" s="52">
        <v>435</v>
      </c>
      <c r="B431" s="58" t="s">
        <v>1086</v>
      </c>
      <c r="C431" s="69" t="s">
        <v>2218</v>
      </c>
      <c r="D431" s="70" t="s">
        <v>2194</v>
      </c>
      <c r="E431" s="54">
        <v>0</v>
      </c>
      <c r="F431" s="13" t="e">
        <f>INDEX(Кат!$I:$I,MATCH(Прайс!$B431,Кат!$G:$G,0))</f>
        <v>#N/A</v>
      </c>
      <c r="G431" s="25" t="e">
        <f>INDEX(Кат!$A:$A,MATCH(Прайс!$B431,Кат!$G:$G,0))</f>
        <v>#N/A</v>
      </c>
    </row>
    <row r="432" spans="1:7" s="11" customFormat="1" ht="12.75" customHeight="1" x14ac:dyDescent="0.25">
      <c r="A432" s="52">
        <v>436</v>
      </c>
      <c r="B432" s="58" t="s">
        <v>1086</v>
      </c>
      <c r="C432" s="69" t="s">
        <v>2219</v>
      </c>
      <c r="D432" s="70" t="s">
        <v>2194</v>
      </c>
      <c r="E432" s="54">
        <v>0</v>
      </c>
      <c r="F432" s="13" t="e">
        <f>INDEX(Кат!$I:$I,MATCH(Прайс!$B432,Кат!$G:$G,0))</f>
        <v>#N/A</v>
      </c>
      <c r="G432" s="25" t="e">
        <f>INDEX(Кат!$A:$A,MATCH(Прайс!$B432,Кат!$G:$G,0))</f>
        <v>#N/A</v>
      </c>
    </row>
    <row r="433" spans="1:7" s="11" customFormat="1" ht="12.75" customHeight="1" x14ac:dyDescent="0.25">
      <c r="A433" s="52">
        <v>437</v>
      </c>
      <c r="B433" s="58" t="s">
        <v>1086</v>
      </c>
      <c r="C433" s="69" t="s">
        <v>2220</v>
      </c>
      <c r="D433" s="70" t="s">
        <v>2194</v>
      </c>
      <c r="E433" s="54">
        <v>0</v>
      </c>
      <c r="F433" s="13" t="e">
        <f>INDEX(Кат!$I:$I,MATCH(Прайс!$B433,Кат!$G:$G,0))</f>
        <v>#N/A</v>
      </c>
      <c r="G433" s="25" t="e">
        <f>INDEX(Кат!$A:$A,MATCH(Прайс!$B433,Кат!$G:$G,0))</f>
        <v>#N/A</v>
      </c>
    </row>
    <row r="434" spans="1:7" s="11" customFormat="1" ht="12.75" customHeight="1" x14ac:dyDescent="0.25">
      <c r="A434" s="52">
        <v>438</v>
      </c>
      <c r="B434" s="58" t="s">
        <v>1086</v>
      </c>
      <c r="C434" s="69" t="s">
        <v>2221</v>
      </c>
      <c r="D434" s="70" t="s">
        <v>2194</v>
      </c>
      <c r="E434" s="54">
        <v>0</v>
      </c>
      <c r="F434" s="13" t="e">
        <f>INDEX(Кат!$I:$I,MATCH(Прайс!$B434,Кат!$G:$G,0))</f>
        <v>#N/A</v>
      </c>
      <c r="G434" s="25" t="e">
        <f>INDEX(Кат!$A:$A,MATCH(Прайс!$B434,Кат!$G:$G,0))</f>
        <v>#N/A</v>
      </c>
    </row>
    <row r="435" spans="1:7" s="11" customFormat="1" ht="12.75" customHeight="1" x14ac:dyDescent="0.25">
      <c r="A435" s="52">
        <v>439</v>
      </c>
      <c r="B435" s="58" t="s">
        <v>1086</v>
      </c>
      <c r="C435" s="69" t="s">
        <v>2222</v>
      </c>
      <c r="D435" s="70" t="s">
        <v>2194</v>
      </c>
      <c r="E435" s="54">
        <v>0</v>
      </c>
      <c r="F435" s="13" t="e">
        <f>INDEX(Кат!$I:$I,MATCH(Прайс!$B435,Кат!$G:$G,0))</f>
        <v>#N/A</v>
      </c>
      <c r="G435" s="25" t="e">
        <f>INDEX(Кат!$A:$A,MATCH(Прайс!$B435,Кат!$G:$G,0))</f>
        <v>#N/A</v>
      </c>
    </row>
    <row r="436" spans="1:7" s="11" customFormat="1" ht="12.75" customHeight="1" x14ac:dyDescent="0.25">
      <c r="A436" s="52">
        <v>440</v>
      </c>
      <c r="B436" s="58" t="s">
        <v>1086</v>
      </c>
      <c r="C436" s="69" t="s">
        <v>2223</v>
      </c>
      <c r="D436" s="70" t="s">
        <v>2194</v>
      </c>
      <c r="E436" s="54">
        <v>0</v>
      </c>
      <c r="F436" s="13" t="e">
        <f>INDEX(Кат!$I:$I,MATCH(Прайс!$B436,Кат!$G:$G,0))</f>
        <v>#N/A</v>
      </c>
      <c r="G436" s="25" t="e">
        <f>INDEX(Кат!$A:$A,MATCH(Прайс!$B436,Кат!$G:$G,0))</f>
        <v>#N/A</v>
      </c>
    </row>
    <row r="437" spans="1:7" s="11" customFormat="1" ht="12.75" customHeight="1" x14ac:dyDescent="0.25">
      <c r="A437" s="52">
        <v>441</v>
      </c>
      <c r="B437" s="58" t="s">
        <v>1086</v>
      </c>
      <c r="C437" s="69" t="s">
        <v>2224</v>
      </c>
      <c r="D437" s="70" t="s">
        <v>2194</v>
      </c>
      <c r="E437" s="54">
        <v>0</v>
      </c>
      <c r="F437" s="13" t="e">
        <f>INDEX(Кат!$I:$I,MATCH(Прайс!$B437,Кат!$G:$G,0))</f>
        <v>#N/A</v>
      </c>
      <c r="G437" s="25" t="e">
        <f>INDEX(Кат!$A:$A,MATCH(Прайс!$B437,Кат!$G:$G,0))</f>
        <v>#N/A</v>
      </c>
    </row>
    <row r="438" spans="1:7" s="11" customFormat="1" ht="12.75" customHeight="1" x14ac:dyDescent="0.25">
      <c r="A438" s="52">
        <v>442</v>
      </c>
      <c r="B438" s="58" t="s">
        <v>1086</v>
      </c>
      <c r="C438" s="69" t="s">
        <v>2225</v>
      </c>
      <c r="D438" s="70" t="s">
        <v>2194</v>
      </c>
      <c r="E438" s="54">
        <v>0</v>
      </c>
      <c r="F438" s="13" t="e">
        <f>INDEX(Кат!$I:$I,MATCH(Прайс!$B438,Кат!$G:$G,0))</f>
        <v>#N/A</v>
      </c>
      <c r="G438" s="25" t="e">
        <f>INDEX(Кат!$A:$A,MATCH(Прайс!$B438,Кат!$G:$G,0))</f>
        <v>#N/A</v>
      </c>
    </row>
    <row r="439" spans="1:7" s="11" customFormat="1" ht="12.75" customHeight="1" x14ac:dyDescent="0.25">
      <c r="A439" s="52">
        <v>443</v>
      </c>
      <c r="B439" s="58" t="s">
        <v>1086</v>
      </c>
      <c r="C439" s="69" t="s">
        <v>2226</v>
      </c>
      <c r="D439" s="70" t="s">
        <v>2194</v>
      </c>
      <c r="E439" s="54">
        <v>0</v>
      </c>
      <c r="F439" s="13" t="e">
        <f>INDEX(Кат!$I:$I,MATCH(Прайс!$B439,Кат!$G:$G,0))</f>
        <v>#N/A</v>
      </c>
      <c r="G439" s="25" t="e">
        <f>INDEX(Кат!$A:$A,MATCH(Прайс!$B439,Кат!$G:$G,0))</f>
        <v>#N/A</v>
      </c>
    </row>
    <row r="440" spans="1:7" s="11" customFormat="1" ht="12.75" customHeight="1" x14ac:dyDescent="0.25">
      <c r="A440" s="52">
        <v>444</v>
      </c>
      <c r="B440" s="58" t="s">
        <v>1086</v>
      </c>
      <c r="C440" s="69" t="s">
        <v>2227</v>
      </c>
      <c r="D440" s="70" t="s">
        <v>2194</v>
      </c>
      <c r="E440" s="54">
        <v>0</v>
      </c>
      <c r="F440" s="13" t="e">
        <f>INDEX(Кат!$I:$I,MATCH(Прайс!$B440,Кат!$G:$G,0))</f>
        <v>#N/A</v>
      </c>
      <c r="G440" s="25" t="e">
        <f>INDEX(Кат!$A:$A,MATCH(Прайс!$B440,Кат!$G:$G,0))</f>
        <v>#N/A</v>
      </c>
    </row>
    <row r="441" spans="1:7" s="11" customFormat="1" ht="12.75" customHeight="1" x14ac:dyDescent="0.25">
      <c r="A441" s="52">
        <v>445</v>
      </c>
      <c r="B441" s="58" t="s">
        <v>1088</v>
      </c>
      <c r="C441" s="69" t="s">
        <v>1089</v>
      </c>
      <c r="D441" s="70" t="s">
        <v>2207</v>
      </c>
      <c r="E441" s="54">
        <v>684.26400000000001</v>
      </c>
      <c r="F441" s="13" t="e">
        <f>INDEX(Кат!$I:$I,MATCH(Прайс!$B441,Кат!$G:$G,0))</f>
        <v>#N/A</v>
      </c>
      <c r="G441" s="25" t="e">
        <f>INDEX(Кат!$A:$A,MATCH(Прайс!$B441,Кат!$G:$G,0))</f>
        <v>#N/A</v>
      </c>
    </row>
    <row r="442" spans="1:7" s="11" customFormat="1" ht="12.75" customHeight="1" x14ac:dyDescent="0.25">
      <c r="A442" s="52">
        <v>446</v>
      </c>
      <c r="B442" s="58" t="s">
        <v>1090</v>
      </c>
      <c r="C442" s="69" t="s">
        <v>1091</v>
      </c>
      <c r="D442" s="70" t="s">
        <v>2207</v>
      </c>
      <c r="E442" s="54">
        <v>344.12399999999997</v>
      </c>
      <c r="F442" s="13" t="e">
        <f>INDEX(Кат!$I:$I,MATCH(Прайс!$B442,Кат!$G:$G,0))</f>
        <v>#N/A</v>
      </c>
      <c r="G442" s="25" t="e">
        <f>INDEX(Кат!$A:$A,MATCH(Прайс!$B442,Кат!$G:$G,0))</f>
        <v>#N/A</v>
      </c>
    </row>
    <row r="443" spans="1:7" s="11" customFormat="1" ht="12.75" customHeight="1" x14ac:dyDescent="0.25">
      <c r="A443" s="52">
        <v>447</v>
      </c>
      <c r="B443" s="58" t="s">
        <v>1092</v>
      </c>
      <c r="C443" s="69" t="s">
        <v>1089</v>
      </c>
      <c r="D443" s="70" t="s">
        <v>2207</v>
      </c>
      <c r="E443" s="54">
        <v>819.3359999999999</v>
      </c>
      <c r="F443" s="13" t="e">
        <f>INDEX(Кат!$I:$I,MATCH(Прайс!$B443,Кат!$G:$G,0))</f>
        <v>#N/A</v>
      </c>
      <c r="G443" s="25" t="e">
        <f>INDEX(Кат!$A:$A,MATCH(Прайс!$B443,Кат!$G:$G,0))</f>
        <v>#N/A</v>
      </c>
    </row>
    <row r="444" spans="1:7" s="11" customFormat="1" ht="12.75" customHeight="1" x14ac:dyDescent="0.25">
      <c r="A444" s="52">
        <v>448</v>
      </c>
      <c r="B444" s="58" t="s">
        <v>1093</v>
      </c>
      <c r="C444" s="69" t="s">
        <v>1091</v>
      </c>
      <c r="D444" s="70" t="s">
        <v>2207</v>
      </c>
      <c r="E444" s="54">
        <v>525.4799999999999</v>
      </c>
      <c r="F444" s="13" t="str">
        <f>INDEX(Кат!$I:$I,MATCH(Прайс!$B444,Кат!$G:$G,0))</f>
        <v>БРТ</v>
      </c>
      <c r="G444" s="25">
        <f>INDEX(Кат!$A:$A,MATCH(Прайс!$B444,Кат!$G:$G,0))</f>
        <v>213161</v>
      </c>
    </row>
    <row r="445" spans="1:7" s="11" customFormat="1" ht="12.75" customHeight="1" x14ac:dyDescent="0.25">
      <c r="A445" s="52">
        <v>449</v>
      </c>
      <c r="B445" s="58" t="s">
        <v>604</v>
      </c>
      <c r="C445" s="78" t="s">
        <v>1094</v>
      </c>
      <c r="D445" s="70" t="s">
        <v>2207</v>
      </c>
      <c r="E445" s="54">
        <v>823.22399999999993</v>
      </c>
      <c r="F445" s="13" t="e">
        <f>INDEX(Кат!$I:$I,MATCH(Прайс!$B445,Кат!$G:$G,0))</f>
        <v>#N/A</v>
      </c>
      <c r="G445" s="25" t="e">
        <f>INDEX(Кат!$A:$A,MATCH(Прайс!$B445,Кат!$G:$G,0))</f>
        <v>#N/A</v>
      </c>
    </row>
    <row r="446" spans="1:7" s="11" customFormat="1" ht="12.75" customHeight="1" x14ac:dyDescent="0.25">
      <c r="A446" s="52">
        <v>450</v>
      </c>
      <c r="B446" s="58" t="s">
        <v>605</v>
      </c>
      <c r="C446" s="78" t="s">
        <v>1095</v>
      </c>
      <c r="D446" s="70" t="s">
        <v>2207</v>
      </c>
      <c r="E446" s="54">
        <v>739.05599999999993</v>
      </c>
      <c r="F446" s="13" t="str">
        <f>INDEX(Кат!$I:$I,MATCH(Прайс!$B446,Кат!$G:$G,0))</f>
        <v>БРТ</v>
      </c>
      <c r="G446" s="25">
        <f>INDEX(Кат!$A:$A,MATCH(Прайс!$B446,Кат!$G:$G,0))</f>
        <v>226115</v>
      </c>
    </row>
    <row r="447" spans="1:7" s="11" customFormat="1" ht="12.75" customHeight="1" x14ac:dyDescent="0.25">
      <c r="A447" s="52">
        <v>451</v>
      </c>
      <c r="B447" s="58" t="s">
        <v>606</v>
      </c>
      <c r="C447" s="78" t="s">
        <v>1096</v>
      </c>
      <c r="D447" s="70" t="s">
        <v>2207</v>
      </c>
      <c r="E447" s="54">
        <v>807.88800000000003</v>
      </c>
      <c r="F447" s="13" t="str">
        <f>INDEX(Кат!$I:$I,MATCH(Прайс!$B447,Кат!$G:$G,0))</f>
        <v>БРТ</v>
      </c>
      <c r="G447" s="25">
        <f>INDEX(Кат!$A:$A,MATCH(Прайс!$B447,Кат!$G:$G,0))</f>
        <v>186395</v>
      </c>
    </row>
    <row r="448" spans="1:7" s="11" customFormat="1" ht="12.75" customHeight="1" x14ac:dyDescent="0.25">
      <c r="A448" s="52">
        <v>452</v>
      </c>
      <c r="B448" s="58" t="s">
        <v>607</v>
      </c>
      <c r="C448" s="78" t="s">
        <v>608</v>
      </c>
      <c r="D448" s="70" t="s">
        <v>2207</v>
      </c>
      <c r="E448" s="54">
        <v>763.99199999999996</v>
      </c>
      <c r="F448" s="13" t="e">
        <f>INDEX(Кат!$I:$I,MATCH(Прайс!$B448,Кат!$G:$G,0))</f>
        <v>#N/A</v>
      </c>
      <c r="G448" s="25" t="e">
        <f>INDEX(Кат!$A:$A,MATCH(Прайс!$B448,Кат!$G:$G,0))</f>
        <v>#N/A</v>
      </c>
    </row>
    <row r="449" spans="1:7" s="11" customFormat="1" ht="12.75" customHeight="1" x14ac:dyDescent="0.25">
      <c r="A449" s="52">
        <v>453</v>
      </c>
      <c r="B449" s="58" t="s">
        <v>609</v>
      </c>
      <c r="C449" s="78" t="s">
        <v>610</v>
      </c>
      <c r="D449" s="70" t="s">
        <v>2207</v>
      </c>
      <c r="E449" s="54">
        <v>835.63199999999995</v>
      </c>
      <c r="F449" s="13" t="e">
        <f>INDEX(Кат!$I:$I,MATCH(Прайс!$B449,Кат!$G:$G,0))</f>
        <v>#N/A</v>
      </c>
      <c r="G449" s="25" t="e">
        <f>INDEX(Кат!$A:$A,MATCH(Прайс!$B449,Кат!$G:$G,0))</f>
        <v>#N/A</v>
      </c>
    </row>
    <row r="450" spans="1:7" s="11" customFormat="1" ht="12.75" customHeight="1" x14ac:dyDescent="0.25">
      <c r="A450" s="52">
        <v>454</v>
      </c>
      <c r="B450" s="58" t="s">
        <v>611</v>
      </c>
      <c r="C450" s="78" t="s">
        <v>612</v>
      </c>
      <c r="D450" s="70" t="s">
        <v>2207</v>
      </c>
      <c r="E450" s="54">
        <v>1618.068</v>
      </c>
      <c r="F450" s="13" t="e">
        <f>INDEX(Кат!$I:$I,MATCH(Прайс!$B450,Кат!$G:$G,0))</f>
        <v>#N/A</v>
      </c>
      <c r="G450" s="25" t="e">
        <f>INDEX(Кат!$A:$A,MATCH(Прайс!$B450,Кат!$G:$G,0))</f>
        <v>#N/A</v>
      </c>
    </row>
    <row r="451" spans="1:7" s="11" customFormat="1" ht="12.75" customHeight="1" x14ac:dyDescent="0.25">
      <c r="A451" s="52">
        <v>455</v>
      </c>
      <c r="B451" s="58" t="s">
        <v>613</v>
      </c>
      <c r="C451" s="78" t="s">
        <v>615</v>
      </c>
      <c r="D451" s="70" t="s">
        <v>2207</v>
      </c>
      <c r="E451" s="54">
        <v>867.16800000000001</v>
      </c>
      <c r="F451" s="13" t="e">
        <f>INDEX(Кат!$I:$I,MATCH(Прайс!$B451,Кат!$G:$G,0))</f>
        <v>#N/A</v>
      </c>
      <c r="G451" s="25" t="e">
        <f>INDEX(Кат!$A:$A,MATCH(Прайс!$B451,Кат!$G:$G,0))</f>
        <v>#N/A</v>
      </c>
    </row>
    <row r="452" spans="1:7" s="11" customFormat="1" ht="12.75" customHeight="1" x14ac:dyDescent="0.25">
      <c r="A452" s="52">
        <v>456</v>
      </c>
      <c r="B452" s="58" t="s">
        <v>614</v>
      </c>
      <c r="C452" s="78" t="s">
        <v>615</v>
      </c>
      <c r="D452" s="70" t="s">
        <v>2207</v>
      </c>
      <c r="E452" s="54">
        <v>593.08799999999997</v>
      </c>
      <c r="F452" s="13" t="e">
        <f>INDEX(Кат!$I:$I,MATCH(Прайс!$B452,Кат!$G:$G,0))</f>
        <v>#N/A</v>
      </c>
      <c r="G452" s="25" t="e">
        <f>INDEX(Кат!$A:$A,MATCH(Прайс!$B452,Кат!$G:$G,0))</f>
        <v>#N/A</v>
      </c>
    </row>
    <row r="453" spans="1:7" s="11" customFormat="1" ht="12.75" customHeight="1" x14ac:dyDescent="0.25">
      <c r="A453" s="52">
        <v>457</v>
      </c>
      <c r="B453" s="58" t="s">
        <v>616</v>
      </c>
      <c r="C453" s="78" t="s">
        <v>1097</v>
      </c>
      <c r="D453" s="70" t="s">
        <v>2207</v>
      </c>
      <c r="E453" s="54">
        <v>1122.2280000000001</v>
      </c>
      <c r="F453" s="13" t="e">
        <f>INDEX(Кат!$I:$I,MATCH(Прайс!$B453,Кат!$G:$G,0))</f>
        <v>#N/A</v>
      </c>
      <c r="G453" s="25" t="e">
        <f>INDEX(Кат!$A:$A,MATCH(Прайс!$B453,Кат!$G:$G,0))</f>
        <v>#N/A</v>
      </c>
    </row>
    <row r="454" spans="1:7" s="11" customFormat="1" ht="12.75" customHeight="1" x14ac:dyDescent="0.25">
      <c r="A454" s="52">
        <v>458</v>
      </c>
      <c r="B454" s="58" t="s">
        <v>617</v>
      </c>
      <c r="C454" s="78" t="s">
        <v>1098</v>
      </c>
      <c r="D454" s="70" t="s">
        <v>2207</v>
      </c>
      <c r="E454" s="54">
        <v>884.80799999999999</v>
      </c>
      <c r="F454" s="13" t="e">
        <f>INDEX(Кат!$I:$I,MATCH(Прайс!$B454,Кат!$G:$G,0))</f>
        <v>#N/A</v>
      </c>
      <c r="G454" s="25" t="e">
        <f>INDEX(Кат!$A:$A,MATCH(Прайс!$B454,Кат!$G:$G,0))</f>
        <v>#N/A</v>
      </c>
    </row>
    <row r="455" spans="1:7" s="11" customFormat="1" ht="12.75" customHeight="1" x14ac:dyDescent="0.25">
      <c r="A455" s="52">
        <v>459</v>
      </c>
      <c r="B455" s="58" t="s">
        <v>618</v>
      </c>
      <c r="C455" s="78" t="s">
        <v>1099</v>
      </c>
      <c r="D455" s="70" t="s">
        <v>2207</v>
      </c>
      <c r="E455" s="54">
        <v>328.63200000000001</v>
      </c>
      <c r="F455" s="13" t="e">
        <f>INDEX(Кат!$I:$I,MATCH(Прайс!$B455,Кат!$G:$G,0))</f>
        <v>#N/A</v>
      </c>
      <c r="G455" s="25" t="e">
        <f>INDEX(Кат!$A:$A,MATCH(Прайс!$B455,Кат!$G:$G,0))</f>
        <v>#N/A</v>
      </c>
    </row>
    <row r="456" spans="1:7" s="11" customFormat="1" ht="12.75" customHeight="1" x14ac:dyDescent="0.25">
      <c r="A456" s="52">
        <v>460</v>
      </c>
      <c r="B456" s="58" t="s">
        <v>619</v>
      </c>
      <c r="C456" s="78" t="s">
        <v>1100</v>
      </c>
      <c r="D456" s="70" t="s">
        <v>2207</v>
      </c>
      <c r="E456" s="54">
        <v>284.83199999999999</v>
      </c>
      <c r="F456" s="13" t="e">
        <f>INDEX(Кат!$I:$I,MATCH(Прайс!$B456,Кат!$G:$G,0))</f>
        <v>#N/A</v>
      </c>
      <c r="G456" s="25" t="e">
        <f>INDEX(Кат!$A:$A,MATCH(Прайс!$B456,Кат!$G:$G,0))</f>
        <v>#N/A</v>
      </c>
    </row>
    <row r="457" spans="1:7" s="11" customFormat="1" ht="12.75" customHeight="1" x14ac:dyDescent="0.25">
      <c r="A457" s="52">
        <v>461</v>
      </c>
      <c r="B457" s="58" t="s">
        <v>620</v>
      </c>
      <c r="C457" s="78" t="s">
        <v>621</v>
      </c>
      <c r="D457" s="70" t="s">
        <v>2207</v>
      </c>
      <c r="E457" s="54">
        <v>131.49599999999998</v>
      </c>
      <c r="F457" s="13" t="e">
        <f>INDEX(Кат!$I:$I,MATCH(Прайс!$B457,Кат!$G:$G,0))</f>
        <v>#N/A</v>
      </c>
      <c r="G457" s="25" t="e">
        <f>INDEX(Кат!$A:$A,MATCH(Прайс!$B457,Кат!$G:$G,0))</f>
        <v>#N/A</v>
      </c>
    </row>
    <row r="458" spans="1:7" s="11" customFormat="1" ht="12.75" customHeight="1" x14ac:dyDescent="0.25">
      <c r="A458" s="52">
        <v>462</v>
      </c>
      <c r="B458" s="58" t="s">
        <v>622</v>
      </c>
      <c r="C458" s="78" t="s">
        <v>623</v>
      </c>
      <c r="D458" s="70" t="s">
        <v>2207</v>
      </c>
      <c r="E458" s="54">
        <v>333.47999999999996</v>
      </c>
      <c r="F458" s="13" t="e">
        <f>INDEX(Кат!$I:$I,MATCH(Прайс!$B458,Кат!$G:$G,0))</f>
        <v>#N/A</v>
      </c>
      <c r="G458" s="25" t="e">
        <f>INDEX(Кат!$A:$A,MATCH(Прайс!$B458,Кат!$G:$G,0))</f>
        <v>#N/A</v>
      </c>
    </row>
    <row r="459" spans="1:7" s="11" customFormat="1" ht="12.75" customHeight="1" x14ac:dyDescent="0.25">
      <c r="A459" s="52">
        <v>463</v>
      </c>
      <c r="B459" s="58" t="s">
        <v>624</v>
      </c>
      <c r="C459" s="78" t="s">
        <v>1101</v>
      </c>
      <c r="D459" s="70" t="s">
        <v>2207</v>
      </c>
      <c r="E459" s="54">
        <v>389.03999999999996</v>
      </c>
      <c r="F459" s="13" t="e">
        <f>INDEX(Кат!$I:$I,MATCH(Прайс!$B459,Кат!$G:$G,0))</f>
        <v>#N/A</v>
      </c>
      <c r="G459" s="25" t="e">
        <f>INDEX(Кат!$A:$A,MATCH(Прайс!$B459,Кат!$G:$G,0))</f>
        <v>#N/A</v>
      </c>
    </row>
    <row r="460" spans="1:7" s="11" customFormat="1" ht="12.75" customHeight="1" x14ac:dyDescent="0.25">
      <c r="A460" s="52">
        <v>464</v>
      </c>
      <c r="B460" s="58" t="s">
        <v>625</v>
      </c>
      <c r="C460" s="78" t="s">
        <v>1102</v>
      </c>
      <c r="D460" s="70" t="s">
        <v>2207</v>
      </c>
      <c r="E460" s="54">
        <v>164.01599999999999</v>
      </c>
      <c r="F460" s="13" t="e">
        <f>INDEX(Кат!$I:$I,MATCH(Прайс!$B460,Кат!$G:$G,0))</f>
        <v>#N/A</v>
      </c>
      <c r="G460" s="25" t="e">
        <f>INDEX(Кат!$A:$A,MATCH(Прайс!$B460,Кат!$G:$G,0))</f>
        <v>#N/A</v>
      </c>
    </row>
    <row r="461" spans="1:7" s="11" customFormat="1" ht="12.75" customHeight="1" x14ac:dyDescent="0.25">
      <c r="A461" s="52">
        <v>465</v>
      </c>
      <c r="B461" s="58" t="s">
        <v>626</v>
      </c>
      <c r="C461" s="78" t="s">
        <v>1103</v>
      </c>
      <c r="D461" s="70" t="s">
        <v>2207</v>
      </c>
      <c r="E461" s="54">
        <v>854.12399999999991</v>
      </c>
      <c r="F461" s="13" t="e">
        <f>INDEX(Кат!$I:$I,MATCH(Прайс!$B461,Кат!$G:$G,0))</f>
        <v>#N/A</v>
      </c>
      <c r="G461" s="25" t="e">
        <f>INDEX(Кат!$A:$A,MATCH(Прайс!$B461,Кат!$G:$G,0))</f>
        <v>#N/A</v>
      </c>
    </row>
    <row r="462" spans="1:7" s="11" customFormat="1" ht="12.75" customHeight="1" x14ac:dyDescent="0.25">
      <c r="A462" s="52">
        <v>466</v>
      </c>
      <c r="B462" s="58" t="s">
        <v>627</v>
      </c>
      <c r="C462" s="78" t="s">
        <v>1104</v>
      </c>
      <c r="D462" s="70" t="s">
        <v>2207</v>
      </c>
      <c r="E462" s="54">
        <v>258.22800000000001</v>
      </c>
      <c r="F462" s="13" t="e">
        <f>INDEX(Кат!$I:$I,MATCH(Прайс!$B462,Кат!$G:$G,0))</f>
        <v>#N/A</v>
      </c>
      <c r="G462" s="25" t="e">
        <f>INDEX(Кат!$A:$A,MATCH(Прайс!$B462,Кат!$G:$G,0))</f>
        <v>#N/A</v>
      </c>
    </row>
    <row r="463" spans="1:7" s="11" customFormat="1" ht="12.75" customHeight="1" x14ac:dyDescent="0.25">
      <c r="A463" s="52">
        <v>467</v>
      </c>
      <c r="B463" s="58" t="s">
        <v>1105</v>
      </c>
      <c r="C463" s="78" t="s">
        <v>1106</v>
      </c>
      <c r="D463" s="70" t="s">
        <v>2207</v>
      </c>
      <c r="E463" s="54">
        <v>0</v>
      </c>
      <c r="F463" s="13" t="e">
        <f>INDEX(Кат!$I:$I,MATCH(Прайс!$B463,Кат!$G:$G,0))</f>
        <v>#N/A</v>
      </c>
      <c r="G463" s="25" t="e">
        <f>INDEX(Кат!$A:$A,MATCH(Прайс!$B463,Кат!$G:$G,0))</f>
        <v>#N/A</v>
      </c>
    </row>
    <row r="464" spans="1:7" s="11" customFormat="1" ht="12.75" customHeight="1" x14ac:dyDescent="0.25">
      <c r="A464" s="52">
        <v>468</v>
      </c>
      <c r="B464" s="58" t="s">
        <v>1107</v>
      </c>
      <c r="C464" s="78" t="s">
        <v>1108</v>
      </c>
      <c r="D464" s="70" t="s">
        <v>2207</v>
      </c>
      <c r="E464" s="54">
        <v>0</v>
      </c>
      <c r="F464" s="13" t="e">
        <f>INDEX(Кат!$I:$I,MATCH(Прайс!$B464,Кат!$G:$G,0))</f>
        <v>#N/A</v>
      </c>
      <c r="G464" s="25" t="e">
        <f>INDEX(Кат!$A:$A,MATCH(Прайс!$B464,Кат!$G:$G,0))</f>
        <v>#N/A</v>
      </c>
    </row>
    <row r="465" spans="1:8" s="11" customFormat="1" ht="12.75" customHeight="1" x14ac:dyDescent="0.25">
      <c r="A465" s="52">
        <v>469</v>
      </c>
      <c r="B465" s="58" t="s">
        <v>1109</v>
      </c>
      <c r="C465" s="78" t="s">
        <v>1110</v>
      </c>
      <c r="D465" s="70" t="s">
        <v>2207</v>
      </c>
      <c r="E465" s="54">
        <v>0</v>
      </c>
      <c r="F465" s="13" t="e">
        <f>INDEX(Кат!$I:$I,MATCH(Прайс!$B465,Кат!$G:$G,0))</f>
        <v>#N/A</v>
      </c>
      <c r="G465" s="25" t="e">
        <f>INDEX(Кат!$A:$A,MATCH(Прайс!$B465,Кат!$G:$G,0))</f>
        <v>#N/A</v>
      </c>
    </row>
    <row r="466" spans="1:8" s="11" customFormat="1" ht="12.75" customHeight="1" x14ac:dyDescent="0.25">
      <c r="A466" s="52">
        <v>470</v>
      </c>
      <c r="B466" s="58" t="s">
        <v>1111</v>
      </c>
      <c r="C466" s="78" t="s">
        <v>1112</v>
      </c>
      <c r="D466" s="70" t="s">
        <v>2207</v>
      </c>
      <c r="E466" s="54">
        <v>0</v>
      </c>
      <c r="F466" s="13" t="e">
        <f>INDEX(Кат!$I:$I,MATCH(Прайс!$B466,Кат!$G:$G,0))</f>
        <v>#N/A</v>
      </c>
      <c r="G466" s="25" t="e">
        <f>INDEX(Кат!$A:$A,MATCH(Прайс!$B466,Кат!$G:$G,0))</f>
        <v>#N/A</v>
      </c>
    </row>
    <row r="467" spans="1:8" s="11" customFormat="1" ht="12.75" customHeight="1" x14ac:dyDescent="0.25">
      <c r="A467" s="52">
        <v>471</v>
      </c>
      <c r="B467" s="58" t="s">
        <v>1113</v>
      </c>
      <c r="C467" s="78" t="s">
        <v>1114</v>
      </c>
      <c r="D467" s="70" t="s">
        <v>2207</v>
      </c>
      <c r="E467" s="54">
        <v>0</v>
      </c>
      <c r="F467" s="13" t="e">
        <f>INDEX(Кат!$I:$I,MATCH(Прайс!$B467,Кат!$G:$G,0))</f>
        <v>#N/A</v>
      </c>
      <c r="G467" s="25" t="e">
        <f>INDEX(Кат!$A:$A,MATCH(Прайс!$B467,Кат!$G:$G,0))</f>
        <v>#N/A</v>
      </c>
    </row>
    <row r="468" spans="1:8" s="11" customFormat="1" ht="12.75" customHeight="1" x14ac:dyDescent="0.25">
      <c r="A468" s="52">
        <v>472</v>
      </c>
      <c r="B468" s="58" t="s">
        <v>1115</v>
      </c>
      <c r="C468" s="78" t="s">
        <v>1116</v>
      </c>
      <c r="D468" s="70" t="s">
        <v>2207</v>
      </c>
      <c r="E468" s="54">
        <v>0</v>
      </c>
      <c r="F468" s="13" t="e">
        <f>INDEX(Кат!$I:$I,MATCH(Прайс!$B468,Кат!$G:$G,0))</f>
        <v>#N/A</v>
      </c>
      <c r="G468" s="25" t="e">
        <f>INDEX(Кат!$A:$A,MATCH(Прайс!$B468,Кат!$G:$G,0))</f>
        <v>#N/A</v>
      </c>
    </row>
    <row r="469" spans="1:8" s="11" customFormat="1" ht="12.75" customHeight="1" x14ac:dyDescent="0.25">
      <c r="A469" s="52">
        <v>473</v>
      </c>
      <c r="B469" s="58" t="s">
        <v>1117</v>
      </c>
      <c r="C469" s="78" t="s">
        <v>1118</v>
      </c>
      <c r="D469" s="70" t="s">
        <v>2207</v>
      </c>
      <c r="E469" s="54">
        <v>0</v>
      </c>
      <c r="F469" s="13" t="e">
        <f>INDEX(Кат!$I:$I,MATCH(Прайс!$B469,Кат!$G:$G,0))</f>
        <v>#N/A</v>
      </c>
      <c r="G469" s="25" t="e">
        <f>INDEX(Кат!$A:$A,MATCH(Прайс!$B469,Кат!$G:$G,0))</f>
        <v>#N/A</v>
      </c>
    </row>
    <row r="470" spans="1:8" s="11" customFormat="1" ht="12.75" customHeight="1" x14ac:dyDescent="0.25">
      <c r="A470" s="52">
        <v>474</v>
      </c>
      <c r="B470" s="58" t="s">
        <v>1119</v>
      </c>
      <c r="C470" s="78" t="s">
        <v>1120</v>
      </c>
      <c r="D470" s="70" t="s">
        <v>2207</v>
      </c>
      <c r="E470" s="54">
        <v>0</v>
      </c>
      <c r="F470" s="13" t="e">
        <f>INDEX(Кат!$I:$I,MATCH(Прайс!$B470,Кат!$G:$G,0))</f>
        <v>#N/A</v>
      </c>
      <c r="G470" s="25" t="e">
        <f>INDEX(Кат!$A:$A,MATCH(Прайс!$B470,Кат!$G:$G,0))</f>
        <v>#N/A</v>
      </c>
    </row>
    <row r="471" spans="1:8" s="11" customFormat="1" ht="12.75" customHeight="1" x14ac:dyDescent="0.25">
      <c r="A471" s="52">
        <v>475</v>
      </c>
      <c r="B471" s="58" t="s">
        <v>1121</v>
      </c>
      <c r="C471" s="78" t="s">
        <v>1122</v>
      </c>
      <c r="D471" s="70" t="s">
        <v>2207</v>
      </c>
      <c r="E471" s="54">
        <v>0</v>
      </c>
      <c r="F471" s="13" t="e">
        <f>INDEX(Кат!$I:$I,MATCH(Прайс!$B471,Кат!$G:$G,0))</f>
        <v>#N/A</v>
      </c>
      <c r="G471" s="25" t="e">
        <f>INDEX(Кат!$A:$A,MATCH(Прайс!$B471,Кат!$G:$G,0))</f>
        <v>#N/A</v>
      </c>
    </row>
    <row r="472" spans="1:8" s="11" customFormat="1" ht="12.75" customHeight="1" x14ac:dyDescent="0.25">
      <c r="A472" s="52">
        <v>476</v>
      </c>
      <c r="B472" s="58" t="s">
        <v>1123</v>
      </c>
      <c r="C472" s="78" t="s">
        <v>1124</v>
      </c>
      <c r="D472" s="70" t="s">
        <v>2207</v>
      </c>
      <c r="E472" s="54">
        <v>0</v>
      </c>
      <c r="F472" s="13" t="e">
        <f>INDEX(Кат!$I:$I,MATCH(Прайс!$B472,Кат!$G:$G,0))</f>
        <v>#N/A</v>
      </c>
      <c r="G472" s="25" t="e">
        <f>INDEX(Кат!$A:$A,MATCH(Прайс!$B472,Кат!$G:$G,0))</f>
        <v>#N/A</v>
      </c>
    </row>
    <row r="473" spans="1:8" s="11" customFormat="1" ht="12.75" customHeight="1" x14ac:dyDescent="0.25">
      <c r="A473" s="52">
        <v>477</v>
      </c>
      <c r="B473" s="58" t="s">
        <v>1125</v>
      </c>
      <c r="C473" s="78" t="s">
        <v>1126</v>
      </c>
      <c r="D473" s="70" t="s">
        <v>2207</v>
      </c>
      <c r="E473" s="54">
        <v>0</v>
      </c>
      <c r="F473" s="13" t="e">
        <f>INDEX(Кат!$I:$I,MATCH(Прайс!$B473,Кат!$G:$G,0))</f>
        <v>#N/A</v>
      </c>
      <c r="G473" s="25" t="e">
        <f>INDEX(Кат!$A:$A,MATCH(Прайс!$B473,Кат!$G:$G,0))</f>
        <v>#N/A</v>
      </c>
    </row>
    <row r="474" spans="1:8" s="11" customFormat="1" ht="12.75" customHeight="1" x14ac:dyDescent="0.25">
      <c r="A474" s="52">
        <v>478</v>
      </c>
      <c r="B474" s="58" t="s">
        <v>1127</v>
      </c>
      <c r="C474" s="78" t="s">
        <v>1128</v>
      </c>
      <c r="D474" s="70" t="s">
        <v>2207</v>
      </c>
      <c r="E474" s="54">
        <v>0</v>
      </c>
      <c r="F474" s="13" t="e">
        <f>INDEX(Кат!$I:$I,MATCH(Прайс!$B474,Кат!$G:$G,0))</f>
        <v>#N/A</v>
      </c>
      <c r="G474" s="25" t="e">
        <f>INDEX(Кат!$A:$A,MATCH(Прайс!$B474,Кат!$G:$G,0))</f>
        <v>#N/A</v>
      </c>
    </row>
    <row r="475" spans="1:8" s="11" customFormat="1" ht="15.6" customHeight="1" x14ac:dyDescent="0.25">
      <c r="A475" s="52">
        <v>479</v>
      </c>
      <c r="B475" s="58" t="s">
        <v>1129</v>
      </c>
      <c r="C475" s="78" t="s">
        <v>1130</v>
      </c>
      <c r="D475" s="70" t="s">
        <v>2207</v>
      </c>
      <c r="E475" s="54">
        <v>0</v>
      </c>
      <c r="F475" s="13" t="e">
        <f>INDEX(Кат!$I:$I,MATCH(Прайс!$B475,Кат!$G:$G,0))</f>
        <v>#N/A</v>
      </c>
      <c r="G475" s="25" t="e">
        <f>INDEX(Кат!$A:$A,MATCH(Прайс!$B475,Кат!$G:$G,0))</f>
        <v>#N/A</v>
      </c>
    </row>
    <row r="476" spans="1:8" s="14" customFormat="1" ht="12.75" customHeight="1" x14ac:dyDescent="0.25">
      <c r="A476" s="52">
        <v>480</v>
      </c>
      <c r="B476" s="58" t="s">
        <v>1131</v>
      </c>
      <c r="C476" s="78" t="s">
        <v>1132</v>
      </c>
      <c r="D476" s="70" t="s">
        <v>2207</v>
      </c>
      <c r="E476" s="54">
        <v>0</v>
      </c>
      <c r="F476" s="13" t="e">
        <f>INDEX(Кат!$I:$I,MATCH(Прайс!$B476,Кат!$G:$G,0))</f>
        <v>#N/A</v>
      </c>
      <c r="G476" s="25" t="e">
        <f>INDEX(Кат!$A:$A,MATCH(Прайс!$B476,Кат!$G:$G,0))</f>
        <v>#N/A</v>
      </c>
      <c r="H476" s="11"/>
    </row>
    <row r="477" spans="1:8" s="14" customFormat="1" ht="12.75" customHeight="1" x14ac:dyDescent="0.25">
      <c r="A477" s="52">
        <v>481</v>
      </c>
      <c r="B477" s="58" t="s">
        <v>1133</v>
      </c>
      <c r="C477" s="78" t="s">
        <v>1134</v>
      </c>
      <c r="D477" s="70" t="s">
        <v>2207</v>
      </c>
      <c r="E477" s="54">
        <v>0</v>
      </c>
      <c r="F477" s="13" t="e">
        <f>INDEX(Кат!$I:$I,MATCH(Прайс!$B477,Кат!$G:$G,0))</f>
        <v>#N/A</v>
      </c>
      <c r="G477" s="25" t="e">
        <f>INDEX(Кат!$A:$A,MATCH(Прайс!$B477,Кат!$G:$G,0))</f>
        <v>#N/A</v>
      </c>
      <c r="H477" s="11"/>
    </row>
    <row r="478" spans="1:8" s="14" customFormat="1" ht="12.75" customHeight="1" x14ac:dyDescent="0.25">
      <c r="A478" s="52">
        <v>467</v>
      </c>
      <c r="B478" s="58" t="s">
        <v>603</v>
      </c>
      <c r="C478" s="78" t="s">
        <v>1135</v>
      </c>
      <c r="D478" s="70" t="s">
        <v>2207</v>
      </c>
      <c r="E478" s="54">
        <v>517.77599999999995</v>
      </c>
      <c r="F478" s="13" t="e">
        <f>INDEX(Кат!$I:$I,MATCH(Прайс!$B478,Кат!$G:$G,0))</f>
        <v>#N/A</v>
      </c>
      <c r="G478" s="25" t="e">
        <f>INDEX(Кат!$A:$A,MATCH(Прайс!$B478,Кат!$G:$G,0))</f>
        <v>#N/A</v>
      </c>
      <c r="H478" s="11"/>
    </row>
    <row r="479" spans="1:8" s="14" customFormat="1" ht="12.75" customHeight="1" x14ac:dyDescent="0.25">
      <c r="A479" s="52">
        <v>468</v>
      </c>
      <c r="B479" s="58" t="s">
        <v>1136</v>
      </c>
      <c r="C479" s="69" t="s">
        <v>1137</v>
      </c>
      <c r="D479" s="70" t="s">
        <v>2207</v>
      </c>
      <c r="E479" s="54">
        <v>367.37999999999994</v>
      </c>
      <c r="F479" s="13" t="e">
        <f>INDEX(Кат!$I:$I,MATCH(Прайс!$B479,Кат!$G:$G,0))</f>
        <v>#N/A</v>
      </c>
      <c r="G479" s="25" t="e">
        <f>INDEX(Кат!$A:$A,MATCH(Прайс!$B479,Кат!$G:$G,0))</f>
        <v>#N/A</v>
      </c>
      <c r="H479" s="11"/>
    </row>
    <row r="480" spans="1:8" s="14" customFormat="1" ht="12.75" customHeight="1" x14ac:dyDescent="0.25">
      <c r="A480" s="52"/>
      <c r="B480" s="61"/>
      <c r="C480" s="62" t="s">
        <v>1138</v>
      </c>
      <c r="D480" s="63"/>
      <c r="E480" s="54">
        <v>0</v>
      </c>
      <c r="F480" s="13" t="e">
        <f>INDEX(Кат!$I:$I,MATCH(Прайс!$B480,Кат!$G:$G,0))</f>
        <v>#N/A</v>
      </c>
      <c r="G480" s="25" t="e">
        <f>INDEX(Кат!$A:$A,MATCH(Прайс!$B480,Кат!$G:$G,0))</f>
        <v>#N/A</v>
      </c>
      <c r="H480" s="11"/>
    </row>
    <row r="481" spans="1:8" s="14" customFormat="1" ht="12.75" customHeight="1" x14ac:dyDescent="0.25">
      <c r="A481" s="52">
        <v>469</v>
      </c>
      <c r="B481" s="58" t="s">
        <v>479</v>
      </c>
      <c r="C481" s="65" t="s">
        <v>1139</v>
      </c>
      <c r="D481" s="70" t="s">
        <v>2194</v>
      </c>
      <c r="E481" s="57">
        <v>372.57600000000002</v>
      </c>
      <c r="F481" s="13" t="str">
        <f>INDEX(Кат!$I:$I,MATCH(Прайс!$B481,Кат!$G:$G,0))</f>
        <v>БРТ</v>
      </c>
      <c r="G481" s="25">
        <f>INDEX(Кат!$A:$A,MATCH(Прайс!$B481,Кат!$G:$G,0))</f>
        <v>181546</v>
      </c>
      <c r="H481" s="11"/>
    </row>
    <row r="482" spans="1:8" s="14" customFormat="1" ht="12.75" customHeight="1" x14ac:dyDescent="0.25">
      <c r="A482" s="52">
        <v>470</v>
      </c>
      <c r="B482" s="58" t="s">
        <v>480</v>
      </c>
      <c r="C482" s="65" t="s">
        <v>812</v>
      </c>
      <c r="D482" s="70" t="s">
        <v>2194</v>
      </c>
      <c r="E482" s="57">
        <v>142.12799999999999</v>
      </c>
      <c r="F482" s="13" t="str">
        <f>INDEX(Кат!$I:$I,MATCH(Прайс!$B482,Кат!$G:$G,0))</f>
        <v>БРТ</v>
      </c>
      <c r="G482" s="25">
        <f>INDEX(Кат!$A:$A,MATCH(Прайс!$B482,Кат!$G:$G,0))</f>
        <v>186775</v>
      </c>
      <c r="H482" s="11"/>
    </row>
    <row r="483" spans="1:8" s="14" customFormat="1" ht="12.75" customHeight="1" x14ac:dyDescent="0.25">
      <c r="A483" s="52">
        <v>471</v>
      </c>
      <c r="B483" s="58" t="s">
        <v>481</v>
      </c>
      <c r="C483" s="65" t="s">
        <v>1140</v>
      </c>
      <c r="D483" s="70" t="s">
        <v>2194</v>
      </c>
      <c r="E483" s="57">
        <v>119.124</v>
      </c>
      <c r="F483" s="13" t="str">
        <f>INDEX(Кат!$I:$I,MATCH(Прайс!$B483,Кат!$G:$G,0))</f>
        <v>БРТ</v>
      </c>
      <c r="G483" s="25">
        <f>INDEX(Кат!$A:$A,MATCH(Прайс!$B483,Кат!$G:$G,0))</f>
        <v>225915</v>
      </c>
      <c r="H483" s="11"/>
    </row>
    <row r="484" spans="1:8" s="14" customFormat="1" ht="12.75" customHeight="1" x14ac:dyDescent="0.25">
      <c r="A484" s="52">
        <v>472</v>
      </c>
      <c r="B484" s="58" t="s">
        <v>483</v>
      </c>
      <c r="C484" s="65" t="s">
        <v>1141</v>
      </c>
      <c r="D484" s="70" t="s">
        <v>2194</v>
      </c>
      <c r="E484" s="57">
        <v>962.83199999999999</v>
      </c>
      <c r="F484" s="13" t="e">
        <f>INDEX(Кат!$I:$I,MATCH(Прайс!$B484,Кат!$G:$G,0))</f>
        <v>#N/A</v>
      </c>
      <c r="G484" s="25" t="e">
        <f>INDEX(Кат!$A:$A,MATCH(Прайс!$B484,Кат!$G:$G,0))</f>
        <v>#N/A</v>
      </c>
      <c r="H484" s="11"/>
    </row>
    <row r="485" spans="1:8" s="14" customFormat="1" ht="12.75" customHeight="1" x14ac:dyDescent="0.25">
      <c r="A485" s="52">
        <v>473</v>
      </c>
      <c r="B485" s="58" t="s">
        <v>484</v>
      </c>
      <c r="C485" s="65" t="s">
        <v>1142</v>
      </c>
      <c r="D485" s="70" t="s">
        <v>2194</v>
      </c>
      <c r="E485" s="57">
        <v>765.84</v>
      </c>
      <c r="F485" s="13" t="str">
        <f>INDEX(Кат!$I:$I,MATCH(Прайс!$B485,Кат!$G:$G,0))</f>
        <v>БРТ</v>
      </c>
      <c r="G485" s="25">
        <f>INDEX(Кат!$A:$A,MATCH(Прайс!$B485,Кат!$G:$G,0))</f>
        <v>186836</v>
      </c>
      <c r="H485" s="11"/>
    </row>
    <row r="486" spans="1:8" s="14" customFormat="1" ht="12.75" customHeight="1" x14ac:dyDescent="0.25">
      <c r="A486" s="52">
        <v>474</v>
      </c>
      <c r="B486" s="58" t="s">
        <v>485</v>
      </c>
      <c r="C486" s="65" t="s">
        <v>598</v>
      </c>
      <c r="D486" s="70" t="s">
        <v>2194</v>
      </c>
      <c r="E486" s="57">
        <v>1095.1079999999999</v>
      </c>
      <c r="F486" s="13" t="str">
        <f>INDEX(Кат!$I:$I,MATCH(Прайс!$B486,Кат!$G:$G,0))</f>
        <v>БРТ</v>
      </c>
      <c r="G486" s="25">
        <f>INDEX(Кат!$A:$A,MATCH(Прайс!$B486,Кат!$G:$G,0))</f>
        <v>186597</v>
      </c>
      <c r="H486" s="11"/>
    </row>
    <row r="487" spans="1:8" s="14" customFormat="1" ht="12.75" customHeight="1" x14ac:dyDescent="0.25">
      <c r="A487" s="52">
        <v>475</v>
      </c>
      <c r="B487" s="58" t="s">
        <v>486</v>
      </c>
      <c r="C487" s="65" t="s">
        <v>598</v>
      </c>
      <c r="D487" s="70" t="s">
        <v>2194</v>
      </c>
      <c r="E487" s="57">
        <v>568.72799999999995</v>
      </c>
      <c r="F487" s="13" t="str">
        <f>INDEX(Кат!$I:$I,MATCH(Прайс!$B487,Кат!$G:$G,0))</f>
        <v>БРТ</v>
      </c>
      <c r="G487" s="25">
        <f>INDEX(Кат!$A:$A,MATCH(Прайс!$B487,Кат!$G:$G,0))</f>
        <v>186593</v>
      </c>
      <c r="H487" s="11"/>
    </row>
    <row r="488" spans="1:8" s="14" customFormat="1" ht="12.75" customHeight="1" x14ac:dyDescent="0.25">
      <c r="A488" s="52">
        <v>476</v>
      </c>
      <c r="B488" s="58" t="s">
        <v>491</v>
      </c>
      <c r="C488" s="65" t="s">
        <v>1143</v>
      </c>
      <c r="D488" s="70" t="s">
        <v>2194</v>
      </c>
      <c r="E488" s="57">
        <v>1009.788</v>
      </c>
      <c r="F488" s="13" t="str">
        <f>INDEX(Кат!$I:$I,MATCH(Прайс!$B488,Кат!$G:$G,0))</f>
        <v>БРТ</v>
      </c>
      <c r="G488" s="25">
        <f>INDEX(Кат!$A:$A,MATCH(Прайс!$B488,Кат!$G:$G,0))</f>
        <v>186592</v>
      </c>
      <c r="H488" s="11"/>
    </row>
    <row r="489" spans="1:8" s="14" customFormat="1" ht="12.75" customHeight="1" x14ac:dyDescent="0.25">
      <c r="A489" s="52">
        <v>477</v>
      </c>
      <c r="B489" s="58" t="s">
        <v>487</v>
      </c>
      <c r="C489" s="65" t="s">
        <v>1144</v>
      </c>
      <c r="D489" s="70" t="s">
        <v>2194</v>
      </c>
      <c r="E489" s="57">
        <v>217.536</v>
      </c>
      <c r="F489" s="13" t="e">
        <f>INDEX(Кат!$I:$I,MATCH(Прайс!$B489,Кат!$G:$G,0))</f>
        <v>#N/A</v>
      </c>
      <c r="G489" s="25" t="e">
        <f>INDEX(Кат!$A:$A,MATCH(Прайс!$B489,Кат!$G:$G,0))</f>
        <v>#N/A</v>
      </c>
      <c r="H489" s="11"/>
    </row>
    <row r="490" spans="1:8" s="14" customFormat="1" ht="12.75" customHeight="1" x14ac:dyDescent="0.25">
      <c r="A490" s="52">
        <v>478</v>
      </c>
      <c r="B490" s="58" t="s">
        <v>489</v>
      </c>
      <c r="C490" s="65" t="s">
        <v>1145</v>
      </c>
      <c r="D490" s="70" t="s">
        <v>2194</v>
      </c>
      <c r="E490" s="57">
        <v>363.45599999999996</v>
      </c>
      <c r="F490" s="13" t="e">
        <f>INDEX(Кат!$I:$I,MATCH(Прайс!$B490,Кат!$G:$G,0))</f>
        <v>#N/A</v>
      </c>
      <c r="G490" s="25" t="e">
        <f>INDEX(Кат!$A:$A,MATCH(Прайс!$B490,Кат!$G:$G,0))</f>
        <v>#N/A</v>
      </c>
      <c r="H490" s="11"/>
    </row>
    <row r="491" spans="1:8" s="14" customFormat="1" ht="12.75" customHeight="1" x14ac:dyDescent="0.25">
      <c r="A491" s="52">
        <v>479</v>
      </c>
      <c r="B491" s="58" t="s">
        <v>493</v>
      </c>
      <c r="C491" s="65" t="s">
        <v>1146</v>
      </c>
      <c r="D491" s="70" t="s">
        <v>2194</v>
      </c>
      <c r="E491" s="57">
        <v>143.84399999999999</v>
      </c>
      <c r="F491" s="13" t="str">
        <f>INDEX(Кат!$I:$I,MATCH(Прайс!$B491,Кат!$G:$G,0))</f>
        <v>БРТ</v>
      </c>
      <c r="G491" s="25">
        <f>INDEX(Кат!$A:$A,MATCH(Прайс!$B491,Кат!$G:$G,0))</f>
        <v>186846</v>
      </c>
      <c r="H491" s="11"/>
    </row>
    <row r="492" spans="1:8" s="14" customFormat="1" ht="12.75" customHeight="1" x14ac:dyDescent="0.25">
      <c r="A492" s="52">
        <v>480</v>
      </c>
      <c r="B492" s="58" t="s">
        <v>492</v>
      </c>
      <c r="C492" s="65" t="s">
        <v>1147</v>
      </c>
      <c r="D492" s="70" t="s">
        <v>2194</v>
      </c>
      <c r="E492" s="57">
        <v>109.176</v>
      </c>
      <c r="F492" s="13" t="str">
        <f>INDEX(Кат!$I:$I,MATCH(Прайс!$B492,Кат!$G:$G,0))</f>
        <v>БРТ</v>
      </c>
      <c r="G492" s="25">
        <f>INDEX(Кат!$A:$A,MATCH(Прайс!$B492,Кат!$G:$G,0))</f>
        <v>225985</v>
      </c>
      <c r="H492" s="11"/>
    </row>
    <row r="493" spans="1:8" s="14" customFormat="1" ht="12.75" customHeight="1" x14ac:dyDescent="0.25">
      <c r="A493" s="52">
        <v>481</v>
      </c>
      <c r="B493" s="58" t="s">
        <v>494</v>
      </c>
      <c r="C493" s="65" t="s">
        <v>1148</v>
      </c>
      <c r="D493" s="70" t="s">
        <v>2194</v>
      </c>
      <c r="E493" s="57">
        <v>44.891999999999996</v>
      </c>
      <c r="F493" s="13" t="str">
        <f>INDEX(Кат!$I:$I,MATCH(Прайс!$B493,Кат!$G:$G,0))</f>
        <v>БРТ</v>
      </c>
      <c r="G493" s="25">
        <f>INDEX(Кат!$A:$A,MATCH(Прайс!$B493,Кат!$G:$G,0))</f>
        <v>204517</v>
      </c>
      <c r="H493" s="11"/>
    </row>
    <row r="494" spans="1:8" s="14" customFormat="1" ht="12.75" customHeight="1" x14ac:dyDescent="0.25">
      <c r="A494" s="52">
        <v>482</v>
      </c>
      <c r="B494" s="58" t="s">
        <v>1149</v>
      </c>
      <c r="C494" s="65" t="s">
        <v>1150</v>
      </c>
      <c r="D494" s="70" t="s">
        <v>2194</v>
      </c>
      <c r="E494" s="57">
        <v>37.86</v>
      </c>
      <c r="F494" s="13" t="e">
        <f>INDEX(Кат!$I:$I,MATCH(Прайс!$B494,Кат!$G:$G,0))</f>
        <v>#N/A</v>
      </c>
      <c r="G494" s="25" t="e">
        <f>INDEX(Кат!$A:$A,MATCH(Прайс!$B494,Кат!$G:$G,0))</f>
        <v>#N/A</v>
      </c>
      <c r="H494" s="11"/>
    </row>
    <row r="495" spans="1:8" s="14" customFormat="1" ht="12.75" customHeight="1" x14ac:dyDescent="0.25">
      <c r="A495" s="52">
        <v>483</v>
      </c>
      <c r="B495" s="58" t="s">
        <v>496</v>
      </c>
      <c r="C495" s="58" t="s">
        <v>1151</v>
      </c>
      <c r="D495" s="70" t="s">
        <v>2194</v>
      </c>
      <c r="E495" s="57">
        <v>39.827999999999996</v>
      </c>
      <c r="F495" s="13" t="str">
        <f>INDEX(Кат!$I:$I,MATCH(Прайс!$B495,Кат!$G:$G,0))</f>
        <v>БРТ</v>
      </c>
      <c r="G495" s="25">
        <f>INDEX(Кат!$A:$A,MATCH(Прайс!$B495,Кат!$G:$G,0))</f>
        <v>202140</v>
      </c>
      <c r="H495" s="11"/>
    </row>
    <row r="496" spans="1:8" s="14" customFormat="1" ht="12.75" customHeight="1" x14ac:dyDescent="0.25">
      <c r="A496" s="52">
        <v>484</v>
      </c>
      <c r="B496" s="58" t="s">
        <v>497</v>
      </c>
      <c r="C496" s="65" t="s">
        <v>1152</v>
      </c>
      <c r="D496" s="70" t="s">
        <v>2194</v>
      </c>
      <c r="E496" s="57">
        <v>154.26000000000002</v>
      </c>
      <c r="F496" s="13" t="str">
        <f>INDEX(Кат!$I:$I,MATCH(Прайс!$B496,Кат!$G:$G,0))</f>
        <v>БРТ</v>
      </c>
      <c r="G496" s="25">
        <f>INDEX(Кат!$A:$A,MATCH(Прайс!$B496,Кат!$G:$G,0))</f>
        <v>224898</v>
      </c>
      <c r="H496" s="11"/>
    </row>
    <row r="497" spans="1:8" s="14" customFormat="1" ht="12.75" customHeight="1" x14ac:dyDescent="0.25">
      <c r="A497" s="52">
        <v>485</v>
      </c>
      <c r="B497" s="58" t="s">
        <v>495</v>
      </c>
      <c r="C497" s="65" t="s">
        <v>1153</v>
      </c>
      <c r="D497" s="70" t="s">
        <v>2194</v>
      </c>
      <c r="E497" s="57">
        <v>217.58399999999997</v>
      </c>
      <c r="F497" s="13" t="str">
        <f>INDEX(Кат!$I:$I,MATCH(Прайс!$B497,Кат!$G:$G,0))</f>
        <v>БРТ</v>
      </c>
      <c r="G497" s="25">
        <f>INDEX(Кат!$A:$A,MATCH(Прайс!$B497,Кат!$G:$G,0))</f>
        <v>158160</v>
      </c>
      <c r="H497" s="11"/>
    </row>
    <row r="498" spans="1:8" s="14" customFormat="1" ht="12.75" customHeight="1" x14ac:dyDescent="0.25">
      <c r="A498" s="52">
        <v>486</v>
      </c>
      <c r="B498" s="58" t="s">
        <v>498</v>
      </c>
      <c r="C498" s="65" t="s">
        <v>1154</v>
      </c>
      <c r="D498" s="70" t="s">
        <v>2194</v>
      </c>
      <c r="E498" s="57">
        <v>85.391999999999996</v>
      </c>
      <c r="F498" s="13" t="str">
        <f>INDEX(Кат!$I:$I,MATCH(Прайс!$B498,Кат!$G:$G,0))</f>
        <v>БРТ</v>
      </c>
      <c r="G498" s="25">
        <f>INDEX(Кат!$A:$A,MATCH(Прайс!$B498,Кат!$G:$G,0))</f>
        <v>224899</v>
      </c>
      <c r="H498" s="11"/>
    </row>
    <row r="499" spans="1:8" s="14" customFormat="1" ht="12.75" customHeight="1" x14ac:dyDescent="0.25">
      <c r="A499" s="52">
        <v>487</v>
      </c>
      <c r="B499" s="58" t="s">
        <v>499</v>
      </c>
      <c r="C499" s="58" t="s">
        <v>500</v>
      </c>
      <c r="D499" s="70" t="s">
        <v>2194</v>
      </c>
      <c r="E499" s="57">
        <v>104.604</v>
      </c>
      <c r="F499" s="13" t="str">
        <f>INDEX(Кат!$I:$I,MATCH(Прайс!$B499,Кат!$G:$G,0))</f>
        <v>БРТ</v>
      </c>
      <c r="G499" s="25">
        <f>INDEX(Кат!$A:$A,MATCH(Прайс!$B499,Кат!$G:$G,0))</f>
        <v>202111</v>
      </c>
      <c r="H499" s="11"/>
    </row>
    <row r="500" spans="1:8" s="14" customFormat="1" ht="12.75" customHeight="1" x14ac:dyDescent="0.25">
      <c r="A500" s="52">
        <v>488</v>
      </c>
      <c r="B500" s="58" t="s">
        <v>502</v>
      </c>
      <c r="C500" s="65" t="s">
        <v>1155</v>
      </c>
      <c r="D500" s="70" t="s">
        <v>2194</v>
      </c>
      <c r="E500" s="57">
        <v>732.93599999999992</v>
      </c>
      <c r="F500" s="13" t="str">
        <f>INDEX(Кат!$I:$I,MATCH(Прайс!$B500,Кат!$G:$G,0))</f>
        <v>БРТ</v>
      </c>
      <c r="G500" s="25">
        <f>INDEX(Кат!$A:$A,MATCH(Прайс!$B500,Кат!$G:$G,0))</f>
        <v>160750</v>
      </c>
      <c r="H500" s="11"/>
    </row>
    <row r="501" spans="1:8" s="14" customFormat="1" ht="12.75" customHeight="1" x14ac:dyDescent="0.25">
      <c r="A501" s="52">
        <v>489</v>
      </c>
      <c r="B501" s="58" t="s">
        <v>501</v>
      </c>
      <c r="C501" s="65" t="s">
        <v>1156</v>
      </c>
      <c r="D501" s="70" t="s">
        <v>2194</v>
      </c>
      <c r="E501" s="57">
        <v>255.36</v>
      </c>
      <c r="F501" s="13" t="str">
        <f>INDEX(Кат!$I:$I,MATCH(Прайс!$B501,Кат!$G:$G,0))</f>
        <v>БРТ</v>
      </c>
      <c r="G501" s="25">
        <f>INDEX(Кат!$A:$A,MATCH(Прайс!$B501,Кат!$G:$G,0))</f>
        <v>181550</v>
      </c>
      <c r="H501" s="11"/>
    </row>
    <row r="502" spans="1:8" s="14" customFormat="1" ht="12.75" customHeight="1" x14ac:dyDescent="0.25">
      <c r="A502" s="52">
        <v>490</v>
      </c>
      <c r="B502" s="58" t="s">
        <v>503</v>
      </c>
      <c r="C502" s="65" t="s">
        <v>1157</v>
      </c>
      <c r="D502" s="70" t="s">
        <v>2194</v>
      </c>
      <c r="E502" s="57">
        <v>112.33199999999999</v>
      </c>
      <c r="F502" s="13" t="str">
        <f>INDEX(Кат!$I:$I,MATCH(Прайс!$B502,Кат!$G:$G,0))</f>
        <v>БРТ</v>
      </c>
      <c r="G502" s="25">
        <f>INDEX(Кат!$A:$A,MATCH(Прайс!$B502,Кат!$G:$G,0))</f>
        <v>202114</v>
      </c>
      <c r="H502" s="11"/>
    </row>
    <row r="503" spans="1:8" s="11" customFormat="1" ht="12.75" customHeight="1" x14ac:dyDescent="0.25">
      <c r="A503" s="52">
        <v>491</v>
      </c>
      <c r="B503" s="58" t="s">
        <v>504</v>
      </c>
      <c r="C503" s="65" t="s">
        <v>907</v>
      </c>
      <c r="D503" s="70" t="s">
        <v>2194</v>
      </c>
      <c r="E503" s="57">
        <v>1325.04</v>
      </c>
      <c r="F503" s="13" t="str">
        <f>INDEX(Кат!$I:$I,MATCH(Прайс!$B503,Кат!$G:$G,0))</f>
        <v>БРТ</v>
      </c>
      <c r="G503" s="25">
        <f>INDEX(Кат!$A:$A,MATCH(Прайс!$B503,Кат!$G:$G,0))</f>
        <v>164794</v>
      </c>
    </row>
    <row r="504" spans="1:8" s="11" customFormat="1" ht="12.75" customHeight="1" x14ac:dyDescent="0.25">
      <c r="A504" s="52">
        <v>492</v>
      </c>
      <c r="B504" s="58" t="s">
        <v>1158</v>
      </c>
      <c r="C504" s="65" t="s">
        <v>1159</v>
      </c>
      <c r="D504" s="70" t="s">
        <v>2194</v>
      </c>
      <c r="E504" s="57">
        <v>720</v>
      </c>
      <c r="F504" s="13" t="e">
        <f>INDEX(Кат!$I:$I,MATCH(Прайс!$B504,Кат!$G:$G,0))</f>
        <v>#N/A</v>
      </c>
      <c r="G504" s="25" t="e">
        <f>INDEX(Кат!$A:$A,MATCH(Прайс!$B504,Кат!$G:$G,0))</f>
        <v>#N/A</v>
      </c>
    </row>
    <row r="505" spans="1:8" s="11" customFormat="1" ht="12.75" customHeight="1" x14ac:dyDescent="0.25">
      <c r="A505" s="52">
        <v>493</v>
      </c>
      <c r="B505" s="58" t="s">
        <v>1160</v>
      </c>
      <c r="C505" s="65" t="s">
        <v>1161</v>
      </c>
      <c r="D505" s="70" t="s">
        <v>2194</v>
      </c>
      <c r="E505" s="57">
        <v>138</v>
      </c>
      <c r="F505" s="13" t="str">
        <f>INDEX(Кат!$I:$I,MATCH(Прайс!$B505,Кат!$G:$G,0))</f>
        <v>БРТ</v>
      </c>
      <c r="G505" s="25">
        <f>INDEX(Кат!$A:$A,MATCH(Прайс!$B505,Кат!$G:$G,0))</f>
        <v>225396</v>
      </c>
    </row>
    <row r="506" spans="1:8" s="11" customFormat="1" ht="12.75" customHeight="1" x14ac:dyDescent="0.25">
      <c r="A506" s="52">
        <v>494</v>
      </c>
      <c r="B506" s="58" t="s">
        <v>1162</v>
      </c>
      <c r="C506" s="65" t="s">
        <v>1163</v>
      </c>
      <c r="D506" s="70" t="s">
        <v>2207</v>
      </c>
      <c r="E506" s="57">
        <v>860.44139999999993</v>
      </c>
      <c r="F506" s="13" t="e">
        <f>INDEX(Кат!$I:$I,MATCH(Прайс!$B506,Кат!$G:$G,0))</f>
        <v>#N/A</v>
      </c>
      <c r="G506" s="25" t="e">
        <f>INDEX(Кат!$A:$A,MATCH(Прайс!$B506,Кат!$G:$G,0))</f>
        <v>#N/A</v>
      </c>
    </row>
    <row r="507" spans="1:8" s="11" customFormat="1" ht="12.75" customHeight="1" x14ac:dyDescent="0.25">
      <c r="A507" s="52">
        <v>495</v>
      </c>
      <c r="B507" s="58" t="s">
        <v>1164</v>
      </c>
      <c r="C507" s="65" t="s">
        <v>1165</v>
      </c>
      <c r="D507" s="70" t="s">
        <v>2194</v>
      </c>
      <c r="E507" s="57">
        <v>35.253036000000002</v>
      </c>
      <c r="F507" s="13" t="str">
        <f>INDEX(Кат!$I:$I,MATCH(Прайс!$B507,Кат!$G:$G,0))</f>
        <v>БРТ</v>
      </c>
      <c r="G507" s="25">
        <f>INDEX(Кат!$A:$A,MATCH(Прайс!$B507,Кат!$G:$G,0))</f>
        <v>202115</v>
      </c>
    </row>
    <row r="508" spans="1:8" s="11" customFormat="1" ht="12.75" customHeight="1" x14ac:dyDescent="0.25">
      <c r="A508" s="52">
        <v>496</v>
      </c>
      <c r="B508" s="58" t="s">
        <v>505</v>
      </c>
      <c r="C508" s="65" t="s">
        <v>1166</v>
      </c>
      <c r="D508" s="70" t="s">
        <v>2194</v>
      </c>
      <c r="E508" s="54">
        <v>97.295999999999992</v>
      </c>
      <c r="F508" s="13" t="str">
        <f>INDEX(Кат!$I:$I,MATCH(Прайс!$B508,Кат!$G:$G,0))</f>
        <v>БРТ</v>
      </c>
      <c r="G508" s="25">
        <f>INDEX(Кат!$A:$A,MATCH(Прайс!$B508,Кат!$G:$G,0))</f>
        <v>139796</v>
      </c>
    </row>
    <row r="509" spans="1:8" s="11" customFormat="1" ht="12.75" customHeight="1" x14ac:dyDescent="0.25">
      <c r="A509" s="52">
        <v>497</v>
      </c>
      <c r="B509" s="58" t="s">
        <v>506</v>
      </c>
      <c r="C509" s="65" t="s">
        <v>1166</v>
      </c>
      <c r="D509" s="70" t="s">
        <v>2194</v>
      </c>
      <c r="E509" s="54">
        <v>102.64800000000001</v>
      </c>
      <c r="F509" s="13" t="str">
        <f>INDEX(Кат!$I:$I,MATCH(Прайс!$B509,Кат!$G:$G,0))</f>
        <v>БРТ</v>
      </c>
      <c r="G509" s="25">
        <f>INDEX(Кат!$A:$A,MATCH(Прайс!$B509,Кат!$G:$G,0))</f>
        <v>139798</v>
      </c>
    </row>
    <row r="510" spans="1:8" s="11" customFormat="1" ht="12.75" customHeight="1" x14ac:dyDescent="0.25">
      <c r="A510" s="52">
        <v>498</v>
      </c>
      <c r="B510" s="58" t="s">
        <v>507</v>
      </c>
      <c r="C510" s="65" t="s">
        <v>1167</v>
      </c>
      <c r="D510" s="70" t="s">
        <v>2194</v>
      </c>
      <c r="E510" s="54">
        <v>109.32</v>
      </c>
      <c r="F510" s="13" t="str">
        <f>INDEX(Кат!$I:$I,MATCH(Прайс!$B510,Кат!$G:$G,0))</f>
        <v>БРТ</v>
      </c>
      <c r="G510" s="25">
        <f>INDEX(Кат!$A:$A,MATCH(Прайс!$B510,Кат!$G:$G,0))</f>
        <v>139792</v>
      </c>
    </row>
    <row r="511" spans="1:8" s="11" customFormat="1" ht="12.75" customHeight="1" x14ac:dyDescent="0.25">
      <c r="A511" s="52">
        <v>499</v>
      </c>
      <c r="B511" s="58" t="s">
        <v>508</v>
      </c>
      <c r="C511" s="65" t="s">
        <v>1168</v>
      </c>
      <c r="D511" s="70" t="s">
        <v>2194</v>
      </c>
      <c r="E511" s="54">
        <v>391.05599999999998</v>
      </c>
      <c r="F511" s="13" t="str">
        <f>INDEX(Кат!$I:$I,MATCH(Прайс!$B511,Кат!$G:$G,0))</f>
        <v>БРТ</v>
      </c>
      <c r="G511" s="25">
        <f>INDEX(Кат!$A:$A,MATCH(Прайс!$B511,Кат!$G:$G,0))</f>
        <v>225951</v>
      </c>
    </row>
    <row r="512" spans="1:8" s="11" customFormat="1" ht="12.75" customHeight="1" x14ac:dyDescent="0.25">
      <c r="A512" s="52">
        <v>500</v>
      </c>
      <c r="B512" s="58" t="s">
        <v>509</v>
      </c>
      <c r="C512" s="65" t="s">
        <v>1169</v>
      </c>
      <c r="D512" s="70" t="s">
        <v>2194</v>
      </c>
      <c r="E512" s="54">
        <v>398.58</v>
      </c>
      <c r="F512" s="13" t="str">
        <f>INDEX(Кат!$I:$I,MATCH(Прайс!$B512,Кат!$G:$G,0))</f>
        <v>БРТ</v>
      </c>
      <c r="G512" s="25">
        <f>INDEX(Кат!$A:$A,MATCH(Прайс!$B512,Кат!$G:$G,0))</f>
        <v>225948</v>
      </c>
    </row>
    <row r="513" spans="1:8" s="11" customFormat="1" ht="12.75" customHeight="1" x14ac:dyDescent="0.25">
      <c r="A513" s="52">
        <v>501</v>
      </c>
      <c r="B513" s="58" t="s">
        <v>510</v>
      </c>
      <c r="C513" s="65" t="s">
        <v>1170</v>
      </c>
      <c r="D513" s="70" t="s">
        <v>2194</v>
      </c>
      <c r="E513" s="54">
        <v>216.864</v>
      </c>
      <c r="F513" s="13" t="e">
        <f>INDEX(Кат!$I:$I,MATCH(Прайс!$B513,Кат!$G:$G,0))</f>
        <v>#N/A</v>
      </c>
      <c r="G513" s="25" t="e">
        <f>INDEX(Кат!$A:$A,MATCH(Прайс!$B513,Кат!$G:$G,0))</f>
        <v>#N/A</v>
      </c>
    </row>
    <row r="514" spans="1:8" s="11" customFormat="1" ht="12.75" customHeight="1" x14ac:dyDescent="0.25">
      <c r="A514" s="52">
        <v>502</v>
      </c>
      <c r="B514" s="58" t="s">
        <v>511</v>
      </c>
      <c r="C514" s="65" t="s">
        <v>1171</v>
      </c>
      <c r="D514" s="70" t="s">
        <v>2194</v>
      </c>
      <c r="E514" s="54">
        <v>216.864</v>
      </c>
      <c r="F514" s="13" t="e">
        <f>INDEX(Кат!$I:$I,MATCH(Прайс!$B514,Кат!$G:$G,0))</f>
        <v>#N/A</v>
      </c>
      <c r="G514" s="25" t="e">
        <f>INDEX(Кат!$A:$A,MATCH(Прайс!$B514,Кат!$G:$G,0))</f>
        <v>#N/A</v>
      </c>
    </row>
    <row r="515" spans="1:8" s="11" customFormat="1" ht="14.1" customHeight="1" x14ac:dyDescent="0.25">
      <c r="A515" s="52">
        <v>503</v>
      </c>
      <c r="B515" s="58" t="s">
        <v>513</v>
      </c>
      <c r="C515" s="58" t="s">
        <v>1172</v>
      </c>
      <c r="D515" s="70" t="s">
        <v>2194</v>
      </c>
      <c r="E515" s="54">
        <v>535.78800000000001</v>
      </c>
      <c r="F515" s="13" t="str">
        <f>INDEX(Кат!$I:$I,MATCH(Прайс!$B515,Кат!$G:$G,0))</f>
        <v>БРТ</v>
      </c>
      <c r="G515" s="25">
        <f>INDEX(Кат!$A:$A,MATCH(Прайс!$B515,Кат!$G:$G,0))</f>
        <v>223286</v>
      </c>
    </row>
    <row r="516" spans="1:8" s="11" customFormat="1" ht="12.75" customHeight="1" x14ac:dyDescent="0.25">
      <c r="A516" s="52">
        <v>504</v>
      </c>
      <c r="B516" s="58" t="s">
        <v>514</v>
      </c>
      <c r="C516" s="65" t="s">
        <v>816</v>
      </c>
      <c r="D516" s="70" t="s">
        <v>2194</v>
      </c>
      <c r="E516" s="54">
        <v>139.572</v>
      </c>
      <c r="F516" s="13" t="str">
        <f>INDEX(Кат!$I:$I,MATCH(Прайс!$B516,Кат!$G:$G,0))</f>
        <v>БРТ</v>
      </c>
      <c r="G516" s="25">
        <f>INDEX(Кат!$A:$A,MATCH(Прайс!$B516,Кат!$G:$G,0))</f>
        <v>186681</v>
      </c>
    </row>
    <row r="517" spans="1:8" s="11" customFormat="1" ht="12.75" customHeight="1" x14ac:dyDescent="0.25">
      <c r="A517" s="52">
        <v>505</v>
      </c>
      <c r="B517" s="58" t="s">
        <v>515</v>
      </c>
      <c r="C517" s="65" t="s">
        <v>817</v>
      </c>
      <c r="D517" s="70" t="s">
        <v>2194</v>
      </c>
      <c r="E517" s="54">
        <v>193.92</v>
      </c>
      <c r="F517" s="13" t="str">
        <f>INDEX(Кат!$I:$I,MATCH(Прайс!$B517,Кат!$G:$G,0))</f>
        <v>БРТ</v>
      </c>
      <c r="G517" s="25">
        <f>INDEX(Кат!$A:$A,MATCH(Прайс!$B517,Кат!$G:$G,0))</f>
        <v>186678</v>
      </c>
    </row>
    <row r="518" spans="1:8" s="11" customFormat="1" ht="12.75" customHeight="1" x14ac:dyDescent="0.25">
      <c r="A518" s="52">
        <v>506</v>
      </c>
      <c r="B518" s="58" t="s">
        <v>516</v>
      </c>
      <c r="C518" s="65" t="s">
        <v>1173</v>
      </c>
      <c r="D518" s="70" t="s">
        <v>2194</v>
      </c>
      <c r="E518" s="54">
        <v>484.87199999999996</v>
      </c>
      <c r="F518" s="13" t="str">
        <f>INDEX(Кат!$I:$I,MATCH(Прайс!$B518,Кат!$G:$G,0))</f>
        <v>БРТ</v>
      </c>
      <c r="G518" s="25">
        <f>INDEX(Кат!$A:$A,MATCH(Прайс!$B518,Кат!$G:$G,0))</f>
        <v>138721</v>
      </c>
    </row>
    <row r="519" spans="1:8" s="11" customFormat="1" ht="12.75" customHeight="1" x14ac:dyDescent="0.25">
      <c r="A519" s="52">
        <v>507</v>
      </c>
      <c r="B519" s="58" t="s">
        <v>517</v>
      </c>
      <c r="C519" s="65" t="s">
        <v>1174</v>
      </c>
      <c r="D519" s="70" t="s">
        <v>2194</v>
      </c>
      <c r="E519" s="54">
        <v>484.87199999999996</v>
      </c>
      <c r="F519" s="13" t="str">
        <f>INDEX(Кат!$I:$I,MATCH(Прайс!$B519,Кат!$G:$G,0))</f>
        <v>БРТ</v>
      </c>
      <c r="G519" s="25">
        <f>INDEX(Кат!$A:$A,MATCH(Прайс!$B519,Кат!$G:$G,0))</f>
        <v>138720</v>
      </c>
    </row>
    <row r="520" spans="1:8" x14ac:dyDescent="0.25">
      <c r="A520" s="52">
        <v>508</v>
      </c>
      <c r="B520" s="79"/>
      <c r="C520" s="62" t="s">
        <v>1175</v>
      </c>
      <c r="D520" s="63"/>
      <c r="E520" s="54">
        <v>0</v>
      </c>
      <c r="F520" s="13" t="e">
        <f>INDEX(Кат!$I:$I,MATCH(Прайс!$B520,Кат!$G:$G,0))</f>
        <v>#N/A</v>
      </c>
      <c r="G520" s="25" t="e">
        <f>INDEX(Кат!$A:$A,MATCH(Прайс!$B520,Кат!$G:$G,0))</f>
        <v>#N/A</v>
      </c>
      <c r="H520" s="11"/>
    </row>
    <row r="521" spans="1:8" ht="13.5" customHeight="1" x14ac:dyDescent="0.25">
      <c r="A521" s="52">
        <v>509</v>
      </c>
      <c r="B521" s="59" t="s">
        <v>1176</v>
      </c>
      <c r="C521" s="59" t="s">
        <v>906</v>
      </c>
      <c r="D521" s="52" t="s">
        <v>2194</v>
      </c>
      <c r="E521" s="54">
        <v>127.68</v>
      </c>
      <c r="F521" s="13" t="e">
        <f>INDEX(Кат!$I:$I,MATCH(Прайс!$B521,Кат!$G:$G,0))</f>
        <v>#N/A</v>
      </c>
      <c r="G521" s="25" t="e">
        <f>INDEX(Кат!$A:$A,MATCH(Прайс!$B521,Кат!$G:$G,0))</f>
        <v>#N/A</v>
      </c>
      <c r="H521" s="11"/>
    </row>
    <row r="522" spans="1:8" ht="13.35" customHeight="1" x14ac:dyDescent="0.25">
      <c r="A522" s="52">
        <v>510</v>
      </c>
      <c r="B522" s="59" t="s">
        <v>1177</v>
      </c>
      <c r="C522" s="59" t="s">
        <v>906</v>
      </c>
      <c r="D522" s="52" t="s">
        <v>2194</v>
      </c>
      <c r="E522" s="54">
        <v>131.04</v>
      </c>
      <c r="F522" s="13" t="e">
        <f>INDEX(Кат!$I:$I,MATCH(Прайс!$B522,Кат!$G:$G,0))</f>
        <v>#N/A</v>
      </c>
      <c r="G522" s="25" t="e">
        <f>INDEX(Кат!$A:$A,MATCH(Прайс!$B522,Кат!$G:$G,0))</f>
        <v>#N/A</v>
      </c>
      <c r="H522" s="11"/>
    </row>
    <row r="523" spans="1:8" x14ac:dyDescent="0.25">
      <c r="A523" s="52">
        <v>511</v>
      </c>
      <c r="B523" s="59" t="s">
        <v>1178</v>
      </c>
      <c r="C523" s="59" t="s">
        <v>1179</v>
      </c>
      <c r="D523" s="52" t="s">
        <v>2194</v>
      </c>
      <c r="E523" s="54">
        <v>51.6</v>
      </c>
      <c r="F523" s="13" t="e">
        <f>INDEX(Кат!$I:$I,MATCH(Прайс!$B523,Кат!$G:$G,0))</f>
        <v>#N/A</v>
      </c>
      <c r="G523" s="25" t="e">
        <f>INDEX(Кат!$A:$A,MATCH(Прайс!$B523,Кат!$G:$G,0))</f>
        <v>#N/A</v>
      </c>
      <c r="H523" s="11"/>
    </row>
    <row r="524" spans="1:8" x14ac:dyDescent="0.25">
      <c r="A524" s="52">
        <v>512</v>
      </c>
      <c r="B524" s="59" t="s">
        <v>1180</v>
      </c>
      <c r="C524" s="59" t="s">
        <v>1181</v>
      </c>
      <c r="D524" s="52" t="s">
        <v>2194</v>
      </c>
      <c r="E524" s="54">
        <v>68.22</v>
      </c>
      <c r="F524" s="13" t="e">
        <f>INDEX(Кат!$I:$I,MATCH(Прайс!$B524,Кат!$G:$G,0))</f>
        <v>#N/A</v>
      </c>
      <c r="G524" s="25" t="e">
        <f>INDEX(Кат!$A:$A,MATCH(Прайс!$B524,Кат!$G:$G,0))</f>
        <v>#N/A</v>
      </c>
      <c r="H524" s="11"/>
    </row>
    <row r="525" spans="1:8" x14ac:dyDescent="0.25">
      <c r="A525" s="52">
        <v>513</v>
      </c>
      <c r="B525" s="59" t="s">
        <v>1182</v>
      </c>
      <c r="C525" s="59" t="s">
        <v>1183</v>
      </c>
      <c r="D525" s="52" t="s">
        <v>2194</v>
      </c>
      <c r="E525" s="66">
        <v>829.62720000000002</v>
      </c>
      <c r="F525" s="13" t="e">
        <f>INDEX(Кат!$I:$I,MATCH(Прайс!$B525,Кат!$G:$G,0))</f>
        <v>#N/A</v>
      </c>
      <c r="G525" s="25" t="e">
        <f>INDEX(Кат!$A:$A,MATCH(Прайс!$B525,Кат!$G:$G,0))</f>
        <v>#N/A</v>
      </c>
      <c r="H525" s="11"/>
    </row>
    <row r="526" spans="1:8" x14ac:dyDescent="0.25">
      <c r="A526" s="52">
        <v>514</v>
      </c>
      <c r="B526" s="59" t="s">
        <v>1184</v>
      </c>
      <c r="C526" s="59" t="s">
        <v>915</v>
      </c>
      <c r="D526" s="52" t="s">
        <v>2194</v>
      </c>
      <c r="E526" s="66">
        <v>89.04</v>
      </c>
      <c r="F526" s="13" t="str">
        <f>INDEX(Кат!$I:$I,MATCH(Прайс!$B526,Кат!$G:$G,0))</f>
        <v>БРТ</v>
      </c>
      <c r="G526" s="25">
        <f>INDEX(Кат!$A:$A,MATCH(Прайс!$B526,Кат!$G:$G,0))</f>
        <v>223705</v>
      </c>
      <c r="H526" s="11"/>
    </row>
    <row r="527" spans="1:8" x14ac:dyDescent="0.25">
      <c r="A527" s="52">
        <v>515</v>
      </c>
      <c r="B527" s="80"/>
      <c r="C527" s="23" t="s">
        <v>1185</v>
      </c>
      <c r="D527" s="80"/>
      <c r="E527" s="66">
        <v>0</v>
      </c>
      <c r="F527" s="13" t="e">
        <f>INDEX(Кат!$I:$I,MATCH(Прайс!$B527,Кат!$G:$G,0))</f>
        <v>#N/A</v>
      </c>
      <c r="G527" s="25" t="e">
        <f>INDEX(Кат!$A:$A,MATCH(Прайс!$B527,Кат!$G:$G,0))</f>
        <v>#N/A</v>
      </c>
      <c r="H527" s="11"/>
    </row>
    <row r="528" spans="1:8" x14ac:dyDescent="0.25">
      <c r="A528" s="52">
        <v>516</v>
      </c>
      <c r="B528" s="58" t="s">
        <v>212</v>
      </c>
      <c r="C528" s="65" t="s">
        <v>1186</v>
      </c>
      <c r="D528" s="70" t="s">
        <v>2194</v>
      </c>
      <c r="E528" s="66">
        <v>1129.2840000000001</v>
      </c>
      <c r="F528" s="13" t="str">
        <f>INDEX(Кат!$I:$I,MATCH(Прайс!$B528,Кат!$G:$G,0))</f>
        <v>БРТ</v>
      </c>
      <c r="G528" s="25">
        <f>INDEX(Кат!$A:$A,MATCH(Прайс!$B528,Кат!$G:$G,0))</f>
        <v>181597</v>
      </c>
      <c r="H528" s="11"/>
    </row>
    <row r="529" spans="1:8" x14ac:dyDescent="0.25">
      <c r="A529" s="52">
        <v>517</v>
      </c>
      <c r="B529" s="58" t="s">
        <v>1187</v>
      </c>
      <c r="C529" s="65" t="s">
        <v>1188</v>
      </c>
      <c r="D529" s="70" t="s">
        <v>2194</v>
      </c>
      <c r="E529" s="66">
        <v>858</v>
      </c>
      <c r="F529" s="13" t="e">
        <f>INDEX(Кат!$I:$I,MATCH(Прайс!$B529,Кат!$G:$G,0))</f>
        <v>#N/A</v>
      </c>
      <c r="G529" s="25" t="e">
        <f>INDEX(Кат!$A:$A,MATCH(Прайс!$B529,Кат!$G:$G,0))</f>
        <v>#N/A</v>
      </c>
      <c r="H529" s="11"/>
    </row>
    <row r="530" spans="1:8" x14ac:dyDescent="0.25">
      <c r="A530" s="52">
        <v>518</v>
      </c>
      <c r="B530" s="58" t="s">
        <v>211</v>
      </c>
      <c r="C530" s="65" t="s">
        <v>1186</v>
      </c>
      <c r="D530" s="70" t="s">
        <v>2194</v>
      </c>
      <c r="E530" s="66">
        <v>516.37199999999996</v>
      </c>
      <c r="F530" s="13" t="str">
        <f>INDEX(Кат!$I:$I,MATCH(Прайс!$B530,Кат!$G:$G,0))</f>
        <v>БРТ</v>
      </c>
      <c r="G530" s="25">
        <f>INDEX(Кат!$A:$A,MATCH(Прайс!$B530,Кат!$G:$G,0))</f>
        <v>194599</v>
      </c>
      <c r="H530" s="11"/>
    </row>
    <row r="531" spans="1:8" x14ac:dyDescent="0.25">
      <c r="A531" s="52">
        <v>519</v>
      </c>
      <c r="B531" s="58" t="s">
        <v>1189</v>
      </c>
      <c r="C531" s="65" t="s">
        <v>1190</v>
      </c>
      <c r="D531" s="70" t="s">
        <v>2194</v>
      </c>
      <c r="E531" s="66">
        <v>303.59999999999997</v>
      </c>
      <c r="F531" s="13" t="e">
        <f>INDEX(Кат!$I:$I,MATCH(Прайс!$B531,Кат!$G:$G,0))</f>
        <v>#N/A</v>
      </c>
      <c r="G531" s="25" t="e">
        <f>INDEX(Кат!$A:$A,MATCH(Прайс!$B531,Кат!$G:$G,0))</f>
        <v>#N/A</v>
      </c>
      <c r="H531" s="11"/>
    </row>
    <row r="532" spans="1:8" x14ac:dyDescent="0.25">
      <c r="A532" s="52">
        <v>520</v>
      </c>
      <c r="B532" s="58" t="s">
        <v>213</v>
      </c>
      <c r="C532" s="65" t="s">
        <v>1186</v>
      </c>
      <c r="D532" s="70" t="s">
        <v>2194</v>
      </c>
      <c r="E532" s="66">
        <v>1105.2840000000001</v>
      </c>
      <c r="F532" s="13" t="str">
        <f>INDEX(Кат!$I:$I,MATCH(Прайс!$B532,Кат!$G:$G,0))</f>
        <v>БРТ</v>
      </c>
      <c r="G532" s="25">
        <f>INDEX(Кат!$A:$A,MATCH(Прайс!$B532,Кат!$G:$G,0))</f>
        <v>194595</v>
      </c>
      <c r="H532" s="11"/>
    </row>
    <row r="533" spans="1:8" x14ac:dyDescent="0.25">
      <c r="A533" s="52">
        <v>521</v>
      </c>
      <c r="B533" s="58" t="s">
        <v>1191</v>
      </c>
      <c r="C533" s="65" t="s">
        <v>1192</v>
      </c>
      <c r="D533" s="70" t="s">
        <v>2194</v>
      </c>
      <c r="E533" s="66">
        <v>858</v>
      </c>
      <c r="F533" s="13" t="e">
        <f>INDEX(Кат!$I:$I,MATCH(Прайс!$B533,Кат!$G:$G,0))</f>
        <v>#N/A</v>
      </c>
      <c r="G533" s="25" t="e">
        <f>INDEX(Кат!$A:$A,MATCH(Прайс!$B533,Кат!$G:$G,0))</f>
        <v>#N/A</v>
      </c>
      <c r="H533" s="11"/>
    </row>
    <row r="534" spans="1:8" x14ac:dyDescent="0.25">
      <c r="A534" s="52">
        <v>522</v>
      </c>
      <c r="B534" s="58" t="s">
        <v>680</v>
      </c>
      <c r="C534" s="65" t="s">
        <v>1193</v>
      </c>
      <c r="D534" s="70" t="s">
        <v>2194</v>
      </c>
      <c r="E534" s="66">
        <v>681.74400000000003</v>
      </c>
      <c r="F534" s="13" t="str">
        <f>INDEX(Кат!$I:$I,MATCH(Прайс!$B534,Кат!$G:$G,0))</f>
        <v>БРТ</v>
      </c>
      <c r="G534" s="25">
        <f>INDEX(Кат!$A:$A,MATCH(Прайс!$B534,Кат!$G:$G,0))</f>
        <v>204313</v>
      </c>
      <c r="H534" s="11"/>
    </row>
    <row r="535" spans="1:8" x14ac:dyDescent="0.25">
      <c r="A535" s="52">
        <v>523</v>
      </c>
      <c r="B535" s="58" t="s">
        <v>214</v>
      </c>
      <c r="C535" s="65" t="s">
        <v>1194</v>
      </c>
      <c r="D535" s="70" t="s">
        <v>2194</v>
      </c>
      <c r="E535" s="66">
        <v>57.059999999999995</v>
      </c>
      <c r="F535" s="13" t="str">
        <f>INDEX(Кат!$I:$I,MATCH(Прайс!$B535,Кат!$G:$G,0))</f>
        <v>БРТ</v>
      </c>
      <c r="G535" s="25">
        <f>INDEX(Кат!$A:$A,MATCH(Прайс!$B535,Кат!$G:$G,0))</f>
        <v>194864</v>
      </c>
      <c r="H535" s="11"/>
    </row>
    <row r="536" spans="1:8" x14ac:dyDescent="0.25">
      <c r="A536" s="52">
        <v>524</v>
      </c>
      <c r="B536" s="58" t="s">
        <v>215</v>
      </c>
      <c r="C536" s="65" t="s">
        <v>1195</v>
      </c>
      <c r="D536" s="70" t="s">
        <v>2194</v>
      </c>
      <c r="E536" s="66">
        <v>1910.5199999999998</v>
      </c>
      <c r="F536" s="13" t="str">
        <f>INDEX(Кат!$I:$I,MATCH(Прайс!$B536,Кат!$G:$G,0))</f>
        <v>БРТ</v>
      </c>
      <c r="G536" s="25">
        <f>INDEX(Кат!$A:$A,MATCH(Прайс!$B536,Кат!$G:$G,0))</f>
        <v>186718</v>
      </c>
      <c r="H536" s="11"/>
    </row>
    <row r="537" spans="1:8" x14ac:dyDescent="0.25">
      <c r="A537" s="52">
        <v>525</v>
      </c>
      <c r="B537" s="58" t="s">
        <v>216</v>
      </c>
      <c r="C537" s="65" t="s">
        <v>828</v>
      </c>
      <c r="D537" s="70" t="s">
        <v>2194</v>
      </c>
      <c r="E537" s="66">
        <v>329.18399999999997</v>
      </c>
      <c r="F537" s="13" t="str">
        <f>INDEX(Кат!$I:$I,MATCH(Прайс!$B537,Кат!$G:$G,0))</f>
        <v>БРТ</v>
      </c>
      <c r="G537" s="25">
        <f>INDEX(Кат!$A:$A,MATCH(Прайс!$B537,Кат!$G:$G,0))</f>
        <v>186738</v>
      </c>
      <c r="H537" s="11"/>
    </row>
    <row r="538" spans="1:8" x14ac:dyDescent="0.25">
      <c r="A538" s="52">
        <v>526</v>
      </c>
      <c r="B538" s="58" t="s">
        <v>217</v>
      </c>
      <c r="C538" s="65" t="s">
        <v>837</v>
      </c>
      <c r="D538" s="70" t="s">
        <v>2194</v>
      </c>
      <c r="E538" s="66">
        <v>172.596</v>
      </c>
      <c r="F538" s="13" t="str">
        <f>INDEX(Кат!$I:$I,MATCH(Прайс!$B538,Кат!$G:$G,0))</f>
        <v>БРТ</v>
      </c>
      <c r="G538" s="25">
        <f>INDEX(Кат!$A:$A,MATCH(Прайс!$B538,Кат!$G:$G,0))</f>
        <v>186842</v>
      </c>
      <c r="H538" s="11"/>
    </row>
    <row r="539" spans="1:8" x14ac:dyDescent="0.25">
      <c r="A539" s="52">
        <v>527</v>
      </c>
      <c r="B539" s="58" t="s">
        <v>218</v>
      </c>
      <c r="C539" s="65" t="s">
        <v>1196</v>
      </c>
      <c r="D539" s="70" t="s">
        <v>2194</v>
      </c>
      <c r="E539" s="66">
        <v>83.435999999999993</v>
      </c>
      <c r="F539" s="13" t="str">
        <f>INDEX(Кат!$I:$I,MATCH(Прайс!$B539,Кат!$G:$G,0))</f>
        <v>БРТ</v>
      </c>
      <c r="G539" s="25">
        <f>INDEX(Кат!$A:$A,MATCH(Прайс!$B539,Кат!$G:$G,0))</f>
        <v>186555</v>
      </c>
      <c r="H539" s="11"/>
    </row>
    <row r="540" spans="1:8" x14ac:dyDescent="0.25">
      <c r="A540" s="52">
        <v>528</v>
      </c>
      <c r="B540" s="64" t="s">
        <v>219</v>
      </c>
      <c r="C540" s="65" t="s">
        <v>1197</v>
      </c>
      <c r="D540" s="71" t="s">
        <v>2194</v>
      </c>
      <c r="E540" s="66">
        <v>159.096</v>
      </c>
      <c r="F540" s="13" t="e">
        <f>INDEX(Кат!$I:$I,MATCH(Прайс!$B540,Кат!$G:$G,0))</f>
        <v>#N/A</v>
      </c>
      <c r="G540" s="25" t="e">
        <f>INDEX(Кат!$A:$A,MATCH(Прайс!$B540,Кат!$G:$G,0))</f>
        <v>#N/A</v>
      </c>
      <c r="H540" s="11"/>
    </row>
    <row r="541" spans="1:8" x14ac:dyDescent="0.25">
      <c r="A541" s="52">
        <v>529</v>
      </c>
      <c r="B541" s="58" t="s">
        <v>223</v>
      </c>
      <c r="C541" s="65" t="s">
        <v>1198</v>
      </c>
      <c r="D541" s="70" t="s">
        <v>2194</v>
      </c>
      <c r="E541" s="66">
        <v>264.27599999999995</v>
      </c>
      <c r="F541" s="13" t="str">
        <f>INDEX(Кат!$I:$I,MATCH(Прайс!$B541,Кат!$G:$G,0))</f>
        <v>БРТ</v>
      </c>
      <c r="G541" s="25">
        <f>INDEX(Кат!$A:$A,MATCH(Прайс!$B541,Кат!$G:$G,0))</f>
        <v>202112</v>
      </c>
      <c r="H541" s="11"/>
    </row>
    <row r="542" spans="1:8" x14ac:dyDescent="0.25">
      <c r="A542" s="52">
        <v>530</v>
      </c>
      <c r="B542" s="58" t="s">
        <v>224</v>
      </c>
      <c r="C542" s="65" t="s">
        <v>1199</v>
      </c>
      <c r="D542" s="70" t="s">
        <v>2194</v>
      </c>
      <c r="E542" s="66">
        <v>193.99199999999999</v>
      </c>
      <c r="F542" s="13" t="str">
        <f>INDEX(Кат!$I:$I,MATCH(Прайс!$B542,Кат!$G:$G,0))</f>
        <v>БРТ</v>
      </c>
      <c r="G542" s="25">
        <f>INDEX(Кат!$A:$A,MATCH(Прайс!$B542,Кат!$G:$G,0))</f>
        <v>202117</v>
      </c>
      <c r="H542" s="11"/>
    </row>
    <row r="543" spans="1:8" x14ac:dyDescent="0.25">
      <c r="A543" s="52">
        <v>531</v>
      </c>
      <c r="B543" s="58" t="s">
        <v>1200</v>
      </c>
      <c r="C543" s="65" t="s">
        <v>1201</v>
      </c>
      <c r="D543" s="70" t="s">
        <v>2194</v>
      </c>
      <c r="E543" s="66">
        <v>76.8</v>
      </c>
      <c r="F543" s="13" t="str">
        <f>INDEX(Кат!$I:$I,MATCH(Прайс!$B543,Кат!$G:$G,0))</f>
        <v>БРТ</v>
      </c>
      <c r="G543" s="25">
        <f>INDEX(Кат!$A:$A,MATCH(Прайс!$B543,Кат!$G:$G,0))</f>
        <v>202116</v>
      </c>
      <c r="H543" s="11"/>
    </row>
    <row r="544" spans="1:8" x14ac:dyDescent="0.25">
      <c r="A544" s="52">
        <v>532</v>
      </c>
      <c r="B544" s="58" t="s">
        <v>1202</v>
      </c>
      <c r="C544" s="65" t="s">
        <v>1203</v>
      </c>
      <c r="D544" s="70" t="s">
        <v>2194</v>
      </c>
      <c r="E544" s="66">
        <v>33.731999999999999</v>
      </c>
      <c r="F544" s="13" t="str">
        <f>INDEX(Кат!$I:$I,MATCH(Прайс!$B544,Кат!$G:$G,0))</f>
        <v>БРТ</v>
      </c>
      <c r="G544" s="25">
        <f>INDEX(Кат!$A:$A,MATCH(Прайс!$B544,Кат!$G:$G,0))</f>
        <v>194574</v>
      </c>
      <c r="H544" s="11"/>
    </row>
    <row r="545" spans="1:8" ht="11.1" customHeight="1" x14ac:dyDescent="0.25">
      <c r="A545" s="52">
        <v>533</v>
      </c>
      <c r="B545" s="58" t="s">
        <v>228</v>
      </c>
      <c r="C545" s="65" t="s">
        <v>1166</v>
      </c>
      <c r="D545" s="70" t="s">
        <v>2194</v>
      </c>
      <c r="E545" s="66">
        <v>37.931999999999995</v>
      </c>
      <c r="F545" s="13" t="str">
        <f>INDEX(Кат!$I:$I,MATCH(Прайс!$B545,Кат!$G:$G,0))</f>
        <v>БРТ</v>
      </c>
      <c r="G545" s="25">
        <f>INDEX(Кат!$A:$A,MATCH(Прайс!$B545,Кат!$G:$G,0))</f>
        <v>194575</v>
      </c>
      <c r="H545" s="11"/>
    </row>
    <row r="546" spans="1:8" x14ac:dyDescent="0.25">
      <c r="A546" s="52">
        <v>534</v>
      </c>
      <c r="B546" s="58" t="s">
        <v>1204</v>
      </c>
      <c r="C546" s="65" t="s">
        <v>472</v>
      </c>
      <c r="D546" s="70" t="s">
        <v>2194</v>
      </c>
      <c r="E546" s="66">
        <v>234.27599999999998</v>
      </c>
      <c r="F546" s="13" t="str">
        <f>INDEX(Кат!$I:$I,MATCH(Прайс!$B546,Кат!$G:$G,0))</f>
        <v>БРТ</v>
      </c>
      <c r="G546" s="25">
        <f>INDEX(Кат!$A:$A,MATCH(Прайс!$B546,Кат!$G:$G,0))</f>
        <v>225954</v>
      </c>
      <c r="H546" s="11"/>
    </row>
    <row r="547" spans="1:8" x14ac:dyDescent="0.25">
      <c r="A547" s="52">
        <v>535</v>
      </c>
      <c r="B547" s="58" t="s">
        <v>231</v>
      </c>
      <c r="C547" s="65" t="s">
        <v>1205</v>
      </c>
      <c r="D547" s="70" t="s">
        <v>2194</v>
      </c>
      <c r="E547" s="66">
        <v>197.06399999999999</v>
      </c>
      <c r="F547" s="13" t="str">
        <f>INDEX(Кат!$I:$I,MATCH(Прайс!$B547,Кат!$G:$G,0))</f>
        <v>БРТ</v>
      </c>
      <c r="G547" s="25">
        <f>INDEX(Кат!$A:$A,MATCH(Прайс!$B547,Кат!$G:$G,0))</f>
        <v>186691</v>
      </c>
      <c r="H547" s="11"/>
    </row>
    <row r="548" spans="1:8" x14ac:dyDescent="0.25">
      <c r="A548" s="52">
        <v>536</v>
      </c>
      <c r="B548" s="58" t="s">
        <v>232</v>
      </c>
      <c r="C548" s="65" t="s">
        <v>1205</v>
      </c>
      <c r="D548" s="70" t="s">
        <v>2194</v>
      </c>
      <c r="E548" s="66">
        <v>131.55599999999998</v>
      </c>
      <c r="F548" s="13" t="str">
        <f>INDEX(Кат!$I:$I,MATCH(Прайс!$B548,Кат!$G:$G,0))</f>
        <v>БРТ</v>
      </c>
      <c r="G548" s="25">
        <f>INDEX(Кат!$A:$A,MATCH(Прайс!$B548,Кат!$G:$G,0))</f>
        <v>186683</v>
      </c>
      <c r="H548" s="11"/>
    </row>
    <row r="549" spans="1:8" x14ac:dyDescent="0.25">
      <c r="A549" s="52">
        <v>537</v>
      </c>
      <c r="B549" s="58" t="s">
        <v>1206</v>
      </c>
      <c r="C549" s="65" t="s">
        <v>847</v>
      </c>
      <c r="D549" s="70" t="s">
        <v>2194</v>
      </c>
      <c r="E549" s="66">
        <v>211.2</v>
      </c>
      <c r="F549" s="13" t="str">
        <f>INDEX(Кат!$I:$I,MATCH(Прайс!$B549,Кат!$G:$G,0))</f>
        <v>БРТ</v>
      </c>
      <c r="G549" s="25">
        <f>INDEX(Кат!$A:$A,MATCH(Прайс!$B549,Кат!$G:$G,0))</f>
        <v>186596</v>
      </c>
      <c r="H549" s="11"/>
    </row>
    <row r="550" spans="1:8" x14ac:dyDescent="0.25">
      <c r="A550" s="52">
        <v>538</v>
      </c>
      <c r="B550" s="80"/>
      <c r="C550" s="81" t="s">
        <v>1733</v>
      </c>
      <c r="D550" s="80"/>
      <c r="E550" s="66">
        <v>0</v>
      </c>
      <c r="F550" s="13" t="e">
        <f>INDEX(Кат!$I:$I,MATCH(Прайс!$B550,Кат!$G:$G,0))</f>
        <v>#N/A</v>
      </c>
      <c r="G550" s="25" t="e">
        <f>INDEX(Кат!$A:$A,MATCH(Прайс!$B550,Кат!$G:$G,0))</f>
        <v>#N/A</v>
      </c>
      <c r="H550" s="11"/>
    </row>
    <row r="551" spans="1:8" x14ac:dyDescent="0.25">
      <c r="A551" s="52">
        <v>539</v>
      </c>
      <c r="B551" s="58" t="s">
        <v>1734</v>
      </c>
      <c r="C551" s="58" t="s">
        <v>1735</v>
      </c>
      <c r="D551" s="52" t="s">
        <v>2194</v>
      </c>
      <c r="E551" s="66">
        <v>696.78</v>
      </c>
      <c r="F551" s="13" t="e">
        <f>INDEX(Кат!$I:$I,MATCH(Прайс!$B551,Кат!$G:$G,0))</f>
        <v>#N/A</v>
      </c>
      <c r="G551" s="25" t="e">
        <f>INDEX(Кат!$A:$A,MATCH(Прайс!$B551,Кат!$G:$G,0))</f>
        <v>#N/A</v>
      </c>
      <c r="H551" s="11"/>
    </row>
    <row r="552" spans="1:8" x14ac:dyDescent="0.25">
      <c r="A552" s="52">
        <v>540</v>
      </c>
      <c r="B552" s="58" t="s">
        <v>1736</v>
      </c>
      <c r="C552" s="58" t="s">
        <v>1737</v>
      </c>
      <c r="D552" s="52" t="s">
        <v>2194</v>
      </c>
      <c r="E552" s="66">
        <v>505.26</v>
      </c>
      <c r="F552" s="13" t="e">
        <f>INDEX(Кат!$I:$I,MATCH(Прайс!$B552,Кат!$G:$G,0))</f>
        <v>#N/A</v>
      </c>
      <c r="G552" s="25" t="e">
        <f>INDEX(Кат!$A:$A,MATCH(Прайс!$B552,Кат!$G:$G,0))</f>
        <v>#N/A</v>
      </c>
      <c r="H552" s="11"/>
    </row>
    <row r="553" spans="1:8" x14ac:dyDescent="0.25">
      <c r="A553" s="52">
        <v>541</v>
      </c>
      <c r="B553" s="58" t="s">
        <v>1738</v>
      </c>
      <c r="C553" s="58" t="s">
        <v>1739</v>
      </c>
      <c r="D553" s="52" t="s">
        <v>2194</v>
      </c>
      <c r="E553" s="66">
        <v>970.19999999999993</v>
      </c>
      <c r="F553" s="13" t="e">
        <f>INDEX(Кат!$I:$I,MATCH(Прайс!$B553,Кат!$G:$G,0))</f>
        <v>#N/A</v>
      </c>
      <c r="G553" s="25" t="e">
        <f>INDEX(Кат!$A:$A,MATCH(Прайс!$B553,Кат!$G:$G,0))</f>
        <v>#N/A</v>
      </c>
      <c r="H553" s="11"/>
    </row>
    <row r="554" spans="1:8" x14ac:dyDescent="0.25">
      <c r="A554" s="52">
        <v>542</v>
      </c>
      <c r="B554" s="58" t="s">
        <v>1740</v>
      </c>
      <c r="C554" s="58" t="s">
        <v>1741</v>
      </c>
      <c r="D554" s="52" t="s">
        <v>2194</v>
      </c>
      <c r="E554" s="66">
        <v>1329.3</v>
      </c>
      <c r="F554" s="13" t="e">
        <f>INDEX(Кат!$I:$I,MATCH(Прайс!$B554,Кат!$G:$G,0))</f>
        <v>#N/A</v>
      </c>
      <c r="G554" s="25" t="e">
        <f>INDEX(Кат!$A:$A,MATCH(Прайс!$B554,Кат!$G:$G,0))</f>
        <v>#N/A</v>
      </c>
      <c r="H554" s="11"/>
    </row>
    <row r="555" spans="1:8" x14ac:dyDescent="0.25">
      <c r="A555" s="52">
        <v>543</v>
      </c>
      <c r="B555" s="58" t="s">
        <v>1742</v>
      </c>
      <c r="C555" s="58" t="s">
        <v>1743</v>
      </c>
      <c r="D555" s="52" t="s">
        <v>2194</v>
      </c>
      <c r="E555" s="66">
        <v>1108.8</v>
      </c>
      <c r="F555" s="13" t="e">
        <f>INDEX(Кат!$I:$I,MATCH(Прайс!$B555,Кат!$G:$G,0))</f>
        <v>#N/A</v>
      </c>
      <c r="G555" s="25" t="e">
        <f>INDEX(Кат!$A:$A,MATCH(Прайс!$B555,Кат!$G:$G,0))</f>
        <v>#N/A</v>
      </c>
      <c r="H555" s="11"/>
    </row>
    <row r="556" spans="1:8" x14ac:dyDescent="0.25">
      <c r="A556" s="52">
        <v>544</v>
      </c>
      <c r="B556" s="64" t="s">
        <v>1744</v>
      </c>
      <c r="C556" s="58" t="s">
        <v>1207</v>
      </c>
      <c r="D556" s="82" t="s">
        <v>2194</v>
      </c>
      <c r="E556" s="66">
        <v>680.4</v>
      </c>
      <c r="F556" s="13" t="e">
        <f>INDEX(Кат!$I:$I,MATCH(Прайс!$B556,Кат!$G:$G,0))</f>
        <v>#N/A</v>
      </c>
      <c r="G556" s="25" t="e">
        <f>INDEX(Кат!$A:$A,MATCH(Прайс!$B556,Кат!$G:$G,0))</f>
        <v>#N/A</v>
      </c>
      <c r="H556" s="11"/>
    </row>
    <row r="557" spans="1:8" x14ac:dyDescent="0.25">
      <c r="A557" s="52">
        <v>545</v>
      </c>
      <c r="B557" s="64" t="s">
        <v>1745</v>
      </c>
      <c r="C557" s="58" t="s">
        <v>1746</v>
      </c>
      <c r="D557" s="82" t="s">
        <v>2194</v>
      </c>
      <c r="E557" s="66">
        <v>68.7</v>
      </c>
      <c r="F557" s="13" t="e">
        <f>INDEX(Кат!$I:$I,MATCH(Прайс!$B557,Кат!$G:$G,0))</f>
        <v>#N/A</v>
      </c>
      <c r="G557" s="25" t="e">
        <f>INDEX(Кат!$A:$A,MATCH(Прайс!$B557,Кат!$G:$G,0))</f>
        <v>#N/A</v>
      </c>
      <c r="H557" s="11"/>
    </row>
    <row r="558" spans="1:8" x14ac:dyDescent="0.25">
      <c r="A558" s="52">
        <v>546</v>
      </c>
      <c r="B558" s="64" t="s">
        <v>1747</v>
      </c>
      <c r="C558" s="58" t="s">
        <v>1746</v>
      </c>
      <c r="D558" s="82" t="s">
        <v>2194</v>
      </c>
      <c r="E558" s="66">
        <v>64.92</v>
      </c>
      <c r="F558" s="13" t="e">
        <f>INDEX(Кат!$I:$I,MATCH(Прайс!$B558,Кат!$G:$G,0))</f>
        <v>#N/A</v>
      </c>
      <c r="G558" s="25" t="e">
        <f>INDEX(Кат!$A:$A,MATCH(Прайс!$B558,Кат!$G:$G,0))</f>
        <v>#N/A</v>
      </c>
      <c r="H558" s="11"/>
    </row>
    <row r="559" spans="1:8" x14ac:dyDescent="0.25">
      <c r="A559" s="52">
        <v>547</v>
      </c>
      <c r="B559" s="58" t="s">
        <v>1748</v>
      </c>
      <c r="C559" s="53" t="s">
        <v>1749</v>
      </c>
      <c r="D559" s="52" t="s">
        <v>2194</v>
      </c>
      <c r="E559" s="66">
        <v>443.52000000000004</v>
      </c>
      <c r="F559" s="13" t="e">
        <f>INDEX(Кат!$I:$I,MATCH(Прайс!$B559,Кат!$G:$G,0))</f>
        <v>#N/A</v>
      </c>
      <c r="G559" s="25" t="e">
        <f>INDEX(Кат!$A:$A,MATCH(Прайс!$B559,Кат!$G:$G,0))</f>
        <v>#N/A</v>
      </c>
      <c r="H559" s="11"/>
    </row>
    <row r="560" spans="1:8" x14ac:dyDescent="0.25">
      <c r="A560" s="52">
        <v>548</v>
      </c>
      <c r="B560" s="58" t="s">
        <v>1750</v>
      </c>
      <c r="C560" s="53" t="s">
        <v>1751</v>
      </c>
      <c r="D560" s="52" t="s">
        <v>2194</v>
      </c>
      <c r="E560" s="66">
        <v>349.02000000000004</v>
      </c>
      <c r="F560" s="13" t="e">
        <f>INDEX(Кат!$I:$I,MATCH(Прайс!$B560,Кат!$G:$G,0))</f>
        <v>#N/A</v>
      </c>
      <c r="G560" s="25" t="e">
        <f>INDEX(Кат!$A:$A,MATCH(Прайс!$B560,Кат!$G:$G,0))</f>
        <v>#N/A</v>
      </c>
      <c r="H560" s="11"/>
    </row>
    <row r="561" spans="1:8" x14ac:dyDescent="0.25">
      <c r="A561" s="52">
        <v>549</v>
      </c>
      <c r="B561" s="53" t="s">
        <v>1752</v>
      </c>
      <c r="C561" s="53" t="s">
        <v>1753</v>
      </c>
      <c r="D561" s="52" t="s">
        <v>2206</v>
      </c>
      <c r="E561" s="66">
        <v>299.88</v>
      </c>
      <c r="F561" s="13" t="e">
        <f>INDEX(Кат!$I:$I,MATCH(Прайс!$B561,Кат!$G:$G,0))</f>
        <v>#N/A</v>
      </c>
      <c r="G561" s="25" t="e">
        <f>INDEX(Кат!$A:$A,MATCH(Прайс!$B561,Кат!$G:$G,0))</f>
        <v>#N/A</v>
      </c>
      <c r="H561" s="11"/>
    </row>
    <row r="562" spans="1:8" x14ac:dyDescent="0.25">
      <c r="A562" s="52">
        <v>550</v>
      </c>
      <c r="B562" s="53" t="s">
        <v>1745</v>
      </c>
      <c r="C562" s="53" t="s">
        <v>1754</v>
      </c>
      <c r="D562" s="52" t="s">
        <v>2206</v>
      </c>
      <c r="E562" s="66">
        <v>289.8</v>
      </c>
      <c r="F562" s="13" t="e">
        <f>INDEX(Кат!$I:$I,MATCH(Прайс!$B562,Кат!$G:$G,0))</f>
        <v>#N/A</v>
      </c>
      <c r="G562" s="25" t="e">
        <f>INDEX(Кат!$A:$A,MATCH(Прайс!$B562,Кат!$G:$G,0))</f>
        <v>#N/A</v>
      </c>
      <c r="H562" s="11"/>
    </row>
    <row r="563" spans="1:8" x14ac:dyDescent="0.25">
      <c r="A563" s="52">
        <v>551</v>
      </c>
      <c r="B563" s="53" t="s">
        <v>1755</v>
      </c>
      <c r="C563" s="53" t="s">
        <v>1754</v>
      </c>
      <c r="D563" s="52" t="s">
        <v>2206</v>
      </c>
      <c r="E563" s="66">
        <v>270.89999999999998</v>
      </c>
      <c r="F563" s="13" t="e">
        <f>INDEX(Кат!$I:$I,MATCH(Прайс!$B563,Кат!$G:$G,0))</f>
        <v>#N/A</v>
      </c>
      <c r="G563" s="25" t="e">
        <f>INDEX(Кат!$A:$A,MATCH(Прайс!$B563,Кат!$G:$G,0))</f>
        <v>#N/A</v>
      </c>
      <c r="H563" s="11"/>
    </row>
    <row r="564" spans="1:8" x14ac:dyDescent="0.25">
      <c r="A564" s="52">
        <v>552</v>
      </c>
      <c r="B564" s="58" t="s">
        <v>1756</v>
      </c>
      <c r="C564" s="53" t="s">
        <v>1757</v>
      </c>
      <c r="D564" s="52" t="s">
        <v>2194</v>
      </c>
      <c r="E564" s="66">
        <v>874.44</v>
      </c>
      <c r="F564" s="13" t="e">
        <f>INDEX(Кат!$I:$I,MATCH(Прайс!$B564,Кат!$G:$G,0))</f>
        <v>#N/A</v>
      </c>
      <c r="G564" s="25" t="e">
        <f>INDEX(Кат!$A:$A,MATCH(Прайс!$B564,Кат!$G:$G,0))</f>
        <v>#N/A</v>
      </c>
      <c r="H564" s="11"/>
    </row>
    <row r="565" spans="1:8" x14ac:dyDescent="0.25">
      <c r="A565" s="52">
        <v>553</v>
      </c>
      <c r="B565" s="58" t="s">
        <v>1758</v>
      </c>
      <c r="C565" s="53" t="s">
        <v>1759</v>
      </c>
      <c r="D565" s="52" t="s">
        <v>2228</v>
      </c>
      <c r="E565" s="66">
        <v>585.9</v>
      </c>
      <c r="F565" s="13" t="e">
        <f>INDEX(Кат!$I:$I,MATCH(Прайс!$B565,Кат!$G:$G,0))</f>
        <v>#N/A</v>
      </c>
      <c r="G565" s="25" t="e">
        <f>INDEX(Кат!$A:$A,MATCH(Прайс!$B565,Кат!$G:$G,0))</f>
        <v>#N/A</v>
      </c>
      <c r="H565" s="11"/>
    </row>
    <row r="566" spans="1:8" x14ac:dyDescent="0.25">
      <c r="A566" s="52">
        <v>554</v>
      </c>
      <c r="B566" s="58" t="s">
        <v>1760</v>
      </c>
      <c r="C566" s="53" t="s">
        <v>1761</v>
      </c>
      <c r="D566" s="52" t="s">
        <v>2228</v>
      </c>
      <c r="E566" s="66">
        <v>933.65999999999985</v>
      </c>
      <c r="F566" s="13" t="e">
        <f>INDEX(Кат!$I:$I,MATCH(Прайс!$B566,Кат!$G:$G,0))</f>
        <v>#N/A</v>
      </c>
      <c r="G566" s="25" t="e">
        <f>INDEX(Кат!$A:$A,MATCH(Прайс!$B566,Кат!$G:$G,0))</f>
        <v>#N/A</v>
      </c>
      <c r="H566" s="11"/>
    </row>
    <row r="567" spans="1:8" x14ac:dyDescent="0.25">
      <c r="A567" s="52">
        <v>555</v>
      </c>
      <c r="B567" s="58" t="s">
        <v>1762</v>
      </c>
      <c r="C567" s="53" t="s">
        <v>1763</v>
      </c>
      <c r="D567" s="52" t="s">
        <v>2228</v>
      </c>
      <c r="E567" s="66">
        <v>441</v>
      </c>
      <c r="F567" s="13" t="e">
        <f>INDEX(Кат!$I:$I,MATCH(Прайс!$B567,Кат!$G:$G,0))</f>
        <v>#N/A</v>
      </c>
      <c r="G567" s="25" t="e">
        <f>INDEX(Кат!$A:$A,MATCH(Прайс!$B567,Кат!$G:$G,0))</f>
        <v>#N/A</v>
      </c>
      <c r="H567" s="11"/>
    </row>
    <row r="568" spans="1:8" x14ac:dyDescent="0.25">
      <c r="A568" s="52">
        <v>556</v>
      </c>
      <c r="B568" s="58" t="s">
        <v>1764</v>
      </c>
      <c r="C568" s="53" t="s">
        <v>1765</v>
      </c>
      <c r="D568" s="52" t="s">
        <v>2228</v>
      </c>
      <c r="E568" s="66">
        <v>409.5</v>
      </c>
      <c r="F568" s="13" t="e">
        <f>INDEX(Кат!$I:$I,MATCH(Прайс!$B568,Кат!$G:$G,0))</f>
        <v>#N/A</v>
      </c>
      <c r="G568" s="25" t="e">
        <f>INDEX(Кат!$A:$A,MATCH(Прайс!$B568,Кат!$G:$G,0))</f>
        <v>#N/A</v>
      </c>
      <c r="H568" s="11"/>
    </row>
    <row r="569" spans="1:8" x14ac:dyDescent="0.25">
      <c r="A569" s="52">
        <v>557</v>
      </c>
      <c r="B569" s="58" t="s">
        <v>1766</v>
      </c>
      <c r="C569" s="53" t="s">
        <v>1208</v>
      </c>
      <c r="D569" s="52" t="s">
        <v>2206</v>
      </c>
      <c r="E569" s="66">
        <v>307.44</v>
      </c>
      <c r="F569" s="13" t="e">
        <f>INDEX(Кат!$I:$I,MATCH(Прайс!$B569,Кат!$G:$G,0))</f>
        <v>#N/A</v>
      </c>
      <c r="G569" s="25" t="e">
        <f>INDEX(Кат!$A:$A,MATCH(Прайс!$B569,Кат!$G:$G,0))</f>
        <v>#N/A</v>
      </c>
      <c r="H569" s="11"/>
    </row>
    <row r="570" spans="1:8" x14ac:dyDescent="0.25">
      <c r="A570" s="52">
        <v>558</v>
      </c>
      <c r="B570" s="58" t="s">
        <v>1767</v>
      </c>
      <c r="C570" s="58" t="s">
        <v>1768</v>
      </c>
      <c r="D570" s="52" t="s">
        <v>2206</v>
      </c>
      <c r="E570" s="66">
        <v>307.44</v>
      </c>
      <c r="F570" s="13" t="e">
        <f>INDEX(Кат!$I:$I,MATCH(Прайс!$B570,Кат!$G:$G,0))</f>
        <v>#N/A</v>
      </c>
      <c r="G570" s="25" t="e">
        <f>INDEX(Кат!$A:$A,MATCH(Прайс!$B570,Кат!$G:$G,0))</f>
        <v>#N/A</v>
      </c>
      <c r="H570" s="11"/>
    </row>
    <row r="571" spans="1:8" x14ac:dyDescent="0.25">
      <c r="A571" s="52">
        <v>559</v>
      </c>
      <c r="B571" s="58" t="s">
        <v>1769</v>
      </c>
      <c r="C571" s="58" t="s">
        <v>1768</v>
      </c>
      <c r="D571" s="52" t="s">
        <v>2206</v>
      </c>
      <c r="E571" s="66">
        <v>307.44</v>
      </c>
      <c r="F571" s="13" t="e">
        <f>INDEX(Кат!$I:$I,MATCH(Прайс!$B571,Кат!$G:$G,0))</f>
        <v>#N/A</v>
      </c>
      <c r="G571" s="25" t="e">
        <f>INDEX(Кат!$A:$A,MATCH(Прайс!$B571,Кат!$G:$G,0))</f>
        <v>#N/A</v>
      </c>
      <c r="H571" s="11"/>
    </row>
    <row r="572" spans="1:8" x14ac:dyDescent="0.25">
      <c r="A572" s="52">
        <v>560</v>
      </c>
      <c r="B572" s="58" t="s">
        <v>1209</v>
      </c>
      <c r="C572" s="58" t="s">
        <v>1768</v>
      </c>
      <c r="D572" s="52" t="s">
        <v>2206</v>
      </c>
      <c r="E572" s="66">
        <v>307.44</v>
      </c>
      <c r="F572" s="13" t="e">
        <f>INDEX(Кат!$I:$I,MATCH(Прайс!$B572,Кат!$G:$G,0))</f>
        <v>#N/A</v>
      </c>
      <c r="G572" s="25" t="e">
        <f>INDEX(Кат!$A:$A,MATCH(Прайс!$B572,Кат!$G:$G,0))</f>
        <v>#N/A</v>
      </c>
      <c r="H572" s="11"/>
    </row>
    <row r="573" spans="1:8" x14ac:dyDescent="0.25">
      <c r="A573" s="52">
        <v>561</v>
      </c>
      <c r="B573" s="58" t="s">
        <v>1770</v>
      </c>
      <c r="C573" s="53" t="s">
        <v>1210</v>
      </c>
      <c r="D573" s="52" t="s">
        <v>2206</v>
      </c>
      <c r="E573" s="66">
        <v>151.19999999999999</v>
      </c>
      <c r="F573" s="13" t="e">
        <f>INDEX(Кат!$I:$I,MATCH(Прайс!$B573,Кат!$G:$G,0))</f>
        <v>#N/A</v>
      </c>
      <c r="G573" s="25" t="e">
        <f>INDEX(Кат!$A:$A,MATCH(Прайс!$B573,Кат!$G:$G,0))</f>
        <v>#N/A</v>
      </c>
      <c r="H573" s="11"/>
    </row>
    <row r="574" spans="1:8" x14ac:dyDescent="0.25">
      <c r="A574" s="52">
        <v>562</v>
      </c>
      <c r="B574" s="58" t="s">
        <v>1771</v>
      </c>
      <c r="C574" s="53" t="s">
        <v>1772</v>
      </c>
      <c r="D574" s="52" t="s">
        <v>2228</v>
      </c>
      <c r="E574" s="66">
        <v>396.9</v>
      </c>
      <c r="F574" s="13" t="e">
        <f>INDEX(Кат!$I:$I,MATCH(Прайс!$B574,Кат!$G:$G,0))</f>
        <v>#N/A</v>
      </c>
      <c r="G574" s="25" t="e">
        <f>INDEX(Кат!$A:$A,MATCH(Прайс!$B574,Кат!$G:$G,0))</f>
        <v>#N/A</v>
      </c>
      <c r="H574" s="11"/>
    </row>
    <row r="575" spans="1:8" x14ac:dyDescent="0.25">
      <c r="A575" s="52">
        <v>563</v>
      </c>
      <c r="B575" s="58" t="s">
        <v>1773</v>
      </c>
      <c r="C575" s="53" t="s">
        <v>1774</v>
      </c>
      <c r="D575" s="52" t="s">
        <v>2206</v>
      </c>
      <c r="E575" s="66">
        <v>303.06</v>
      </c>
      <c r="F575" s="13" t="e">
        <f>INDEX(Кат!$I:$I,MATCH(Прайс!$B575,Кат!$G:$G,0))</f>
        <v>#N/A</v>
      </c>
      <c r="G575" s="25" t="e">
        <f>INDEX(Кат!$A:$A,MATCH(Прайс!$B575,Кат!$G:$G,0))</f>
        <v>#N/A</v>
      </c>
      <c r="H575" s="11"/>
    </row>
    <row r="576" spans="1:8" x14ac:dyDescent="0.25">
      <c r="A576" s="52">
        <v>564</v>
      </c>
      <c r="B576" s="58" t="s">
        <v>1775</v>
      </c>
      <c r="C576" s="53"/>
      <c r="D576" s="52" t="s">
        <v>2194</v>
      </c>
      <c r="E576" s="66">
        <v>845.45999999999992</v>
      </c>
      <c r="F576" s="13" t="e">
        <f>INDEX(Кат!$I:$I,MATCH(Прайс!$B576,Кат!$G:$G,0))</f>
        <v>#N/A</v>
      </c>
      <c r="G576" s="25" t="e">
        <f>INDEX(Кат!$A:$A,MATCH(Прайс!$B576,Кат!$G:$G,0))</f>
        <v>#N/A</v>
      </c>
      <c r="H576" s="11"/>
    </row>
    <row r="577" spans="1:8" x14ac:dyDescent="0.25">
      <c r="A577" s="52">
        <v>565</v>
      </c>
      <c r="B577" s="58" t="s">
        <v>1776</v>
      </c>
      <c r="C577" s="53" t="s">
        <v>1777</v>
      </c>
      <c r="D577" s="52" t="s">
        <v>2194</v>
      </c>
      <c r="E577" s="66">
        <v>1263.78</v>
      </c>
      <c r="F577" s="13" t="e">
        <f>INDEX(Кат!$I:$I,MATCH(Прайс!$B577,Кат!$G:$G,0))</f>
        <v>#N/A</v>
      </c>
      <c r="G577" s="25" t="e">
        <f>INDEX(Кат!$A:$A,MATCH(Прайс!$B577,Кат!$G:$G,0))</f>
        <v>#N/A</v>
      </c>
      <c r="H577" s="11"/>
    </row>
    <row r="578" spans="1:8" x14ac:dyDescent="0.25">
      <c r="A578" s="52">
        <v>566</v>
      </c>
      <c r="B578" s="58" t="s">
        <v>1778</v>
      </c>
      <c r="C578" s="53" t="s">
        <v>1779</v>
      </c>
      <c r="D578" s="52" t="s">
        <v>2194</v>
      </c>
      <c r="E578" s="66">
        <v>438.47999999999996</v>
      </c>
      <c r="F578" s="13" t="e">
        <f>INDEX(Кат!$I:$I,MATCH(Прайс!$B578,Кат!$G:$G,0))</f>
        <v>#N/A</v>
      </c>
      <c r="G578" s="25" t="e">
        <f>INDEX(Кат!$A:$A,MATCH(Прайс!$B578,Кат!$G:$G,0))</f>
        <v>#N/A</v>
      </c>
      <c r="H578" s="11"/>
    </row>
    <row r="579" spans="1:8" x14ac:dyDescent="0.25">
      <c r="A579" s="52">
        <v>567</v>
      </c>
      <c r="B579" s="58" t="s">
        <v>1780</v>
      </c>
      <c r="C579" s="53" t="s">
        <v>1777</v>
      </c>
      <c r="D579" s="52" t="s">
        <v>2194</v>
      </c>
      <c r="E579" s="66">
        <v>1291.5</v>
      </c>
      <c r="F579" s="13" t="e">
        <f>INDEX(Кат!$I:$I,MATCH(Прайс!$B579,Кат!$G:$G,0))</f>
        <v>#N/A</v>
      </c>
      <c r="G579" s="25" t="e">
        <f>INDEX(Кат!$A:$A,MATCH(Прайс!$B579,Кат!$G:$G,0))</f>
        <v>#N/A</v>
      </c>
      <c r="H579" s="11"/>
    </row>
    <row r="580" spans="1:8" x14ac:dyDescent="0.25">
      <c r="A580" s="52">
        <v>568</v>
      </c>
      <c r="B580" s="58" t="s">
        <v>1781</v>
      </c>
      <c r="C580" s="53" t="s">
        <v>1779</v>
      </c>
      <c r="D580" s="52" t="s">
        <v>2194</v>
      </c>
      <c r="E580" s="66">
        <v>466.2</v>
      </c>
      <c r="F580" s="13" t="e">
        <f>INDEX(Кат!$I:$I,MATCH(Прайс!$B580,Кат!$G:$G,0))</f>
        <v>#N/A</v>
      </c>
      <c r="G580" s="25" t="e">
        <f>INDEX(Кат!$A:$A,MATCH(Прайс!$B580,Кат!$G:$G,0))</f>
        <v>#N/A</v>
      </c>
      <c r="H580" s="11"/>
    </row>
    <row r="581" spans="1:8" x14ac:dyDescent="0.25">
      <c r="A581" s="52">
        <v>569</v>
      </c>
      <c r="B581" s="58" t="s">
        <v>1782</v>
      </c>
      <c r="C581" s="53" t="s">
        <v>1783</v>
      </c>
      <c r="D581" s="52" t="s">
        <v>2194</v>
      </c>
      <c r="E581" s="66">
        <v>1398.6</v>
      </c>
      <c r="F581" s="13" t="e">
        <f>INDEX(Кат!$I:$I,MATCH(Прайс!$B581,Кат!$G:$G,0))</f>
        <v>#N/A</v>
      </c>
      <c r="G581" s="25" t="e">
        <f>INDEX(Кат!$A:$A,MATCH(Прайс!$B581,Кат!$G:$G,0))</f>
        <v>#N/A</v>
      </c>
      <c r="H581" s="11"/>
    </row>
    <row r="582" spans="1:8" x14ac:dyDescent="0.25">
      <c r="A582" s="52">
        <v>570</v>
      </c>
      <c r="B582" s="58" t="s">
        <v>1782</v>
      </c>
      <c r="C582" s="53" t="s">
        <v>1784</v>
      </c>
      <c r="D582" s="52" t="s">
        <v>2194</v>
      </c>
      <c r="E582" s="66">
        <v>582.12</v>
      </c>
      <c r="F582" s="13" t="e">
        <f>INDEX(Кат!$I:$I,MATCH(Прайс!$B582,Кат!$G:$G,0))</f>
        <v>#N/A</v>
      </c>
      <c r="G582" s="25" t="e">
        <f>INDEX(Кат!$A:$A,MATCH(Прайс!$B582,Кат!$G:$G,0))</f>
        <v>#N/A</v>
      </c>
      <c r="H582" s="11"/>
    </row>
    <row r="583" spans="1:8" x14ac:dyDescent="0.25">
      <c r="A583" s="52">
        <v>571</v>
      </c>
      <c r="B583" s="58" t="s">
        <v>1785</v>
      </c>
      <c r="C583" s="53" t="s">
        <v>1786</v>
      </c>
      <c r="D583" s="52" t="s">
        <v>2194</v>
      </c>
      <c r="E583" s="66">
        <v>1398.6</v>
      </c>
      <c r="F583" s="13" t="e">
        <f>INDEX(Кат!$I:$I,MATCH(Прайс!$B583,Кат!$G:$G,0))</f>
        <v>#N/A</v>
      </c>
      <c r="G583" s="25" t="e">
        <f>INDEX(Кат!$A:$A,MATCH(Прайс!$B583,Кат!$G:$G,0))</f>
        <v>#N/A</v>
      </c>
      <c r="H583" s="11"/>
    </row>
    <row r="584" spans="1:8" x14ac:dyDescent="0.25">
      <c r="A584" s="52">
        <v>572</v>
      </c>
      <c r="B584" s="58" t="s">
        <v>1785</v>
      </c>
      <c r="C584" s="53" t="s">
        <v>1787</v>
      </c>
      <c r="D584" s="52" t="s">
        <v>2194</v>
      </c>
      <c r="E584" s="66">
        <v>582.12</v>
      </c>
      <c r="F584" s="13" t="e">
        <f>INDEX(Кат!$I:$I,MATCH(Прайс!$B584,Кат!$G:$G,0))</f>
        <v>#N/A</v>
      </c>
      <c r="G584" s="25" t="e">
        <f>INDEX(Кат!$A:$A,MATCH(Прайс!$B584,Кат!$G:$G,0))</f>
        <v>#N/A</v>
      </c>
      <c r="H584" s="11"/>
    </row>
    <row r="585" spans="1:8" x14ac:dyDescent="0.25">
      <c r="A585" s="52">
        <v>573</v>
      </c>
      <c r="B585" s="58" t="s">
        <v>1788</v>
      </c>
      <c r="C585" s="53" t="s">
        <v>1789</v>
      </c>
      <c r="D585" s="52" t="s">
        <v>2194</v>
      </c>
      <c r="E585" s="66">
        <v>338.94</v>
      </c>
      <c r="F585" s="13" t="e">
        <f>INDEX(Кат!$I:$I,MATCH(Прайс!$B585,Кат!$G:$G,0))</f>
        <v>#N/A</v>
      </c>
      <c r="G585" s="25" t="e">
        <f>INDEX(Кат!$A:$A,MATCH(Прайс!$B585,Кат!$G:$G,0))</f>
        <v>#N/A</v>
      </c>
      <c r="H585" s="11"/>
    </row>
    <row r="586" spans="1:8" x14ac:dyDescent="0.25">
      <c r="A586" s="52">
        <v>574</v>
      </c>
      <c r="B586" s="58" t="s">
        <v>1790</v>
      </c>
      <c r="C586" s="53" t="s">
        <v>1791</v>
      </c>
      <c r="D586" s="52" t="s">
        <v>2194</v>
      </c>
      <c r="E586" s="66">
        <v>286.26</v>
      </c>
      <c r="F586" s="13" t="e">
        <f>INDEX(Кат!$I:$I,MATCH(Прайс!$B586,Кат!$G:$G,0))</f>
        <v>#N/A</v>
      </c>
      <c r="G586" s="25" t="e">
        <f>INDEX(Кат!$A:$A,MATCH(Прайс!$B586,Кат!$G:$G,0))</f>
        <v>#N/A</v>
      </c>
      <c r="H586" s="11"/>
    </row>
    <row r="587" spans="1:8" x14ac:dyDescent="0.25">
      <c r="A587" s="52">
        <v>575</v>
      </c>
      <c r="B587" s="61"/>
      <c r="C587" s="24" t="s">
        <v>1792</v>
      </c>
      <c r="D587" s="63"/>
      <c r="E587" s="66">
        <v>0</v>
      </c>
      <c r="F587" s="13" t="e">
        <f>INDEX(Кат!$I:$I,MATCH(Прайс!$B587,Кат!$G:$G,0))</f>
        <v>#N/A</v>
      </c>
      <c r="G587" s="25" t="e">
        <f>INDEX(Кат!$A:$A,MATCH(Прайс!$B587,Кат!$G:$G,0))</f>
        <v>#N/A</v>
      </c>
      <c r="H587" s="11"/>
    </row>
    <row r="588" spans="1:8" x14ac:dyDescent="0.25">
      <c r="A588" s="52">
        <v>576</v>
      </c>
      <c r="B588" s="58" t="s">
        <v>1793</v>
      </c>
      <c r="C588" s="58" t="s">
        <v>2229</v>
      </c>
      <c r="D588" s="52" t="s">
        <v>2194</v>
      </c>
      <c r="E588" s="66">
        <v>1321.2</v>
      </c>
      <c r="F588" s="13" t="e">
        <f>INDEX(Кат!$I:$I,MATCH(Прайс!$B588,Кат!$G:$G,0))</f>
        <v>#N/A</v>
      </c>
      <c r="G588" s="25" t="e">
        <f>INDEX(Кат!$A:$A,MATCH(Прайс!$B588,Кат!$G:$G,0))</f>
        <v>#N/A</v>
      </c>
      <c r="H588" s="11"/>
    </row>
    <row r="589" spans="1:8" x14ac:dyDescent="0.25">
      <c r="A589" s="52">
        <v>577</v>
      </c>
      <c r="B589" s="58" t="s">
        <v>1794</v>
      </c>
      <c r="C589" s="58" t="s">
        <v>2230</v>
      </c>
      <c r="D589" s="52" t="s">
        <v>2194</v>
      </c>
      <c r="E589" s="66">
        <v>1409.3040000000001</v>
      </c>
      <c r="F589" s="13" t="e">
        <f>INDEX(Кат!$I:$I,MATCH(Прайс!$B589,Кат!$G:$G,0))</f>
        <v>#N/A</v>
      </c>
      <c r="G589" s="25" t="e">
        <f>INDEX(Кат!$A:$A,MATCH(Прайс!$B589,Кат!$G:$G,0))</f>
        <v>#N/A</v>
      </c>
      <c r="H589" s="11"/>
    </row>
    <row r="590" spans="1:8" x14ac:dyDescent="0.25">
      <c r="A590" s="52">
        <v>578</v>
      </c>
      <c r="B590" s="58" t="s">
        <v>1795</v>
      </c>
      <c r="C590" s="58" t="s">
        <v>1796</v>
      </c>
      <c r="D590" s="52" t="s">
        <v>2194</v>
      </c>
      <c r="E590" s="66">
        <v>1327.5359999999998</v>
      </c>
      <c r="F590" s="13" t="e">
        <f>INDEX(Кат!$I:$I,MATCH(Прайс!$B590,Кат!$G:$G,0))</f>
        <v>#N/A</v>
      </c>
      <c r="G590" s="25" t="e">
        <f>INDEX(Кат!$A:$A,MATCH(Прайс!$B590,Кат!$G:$G,0))</f>
        <v>#N/A</v>
      </c>
      <c r="H590" s="11"/>
    </row>
    <row r="591" spans="1:8" x14ac:dyDescent="0.25">
      <c r="A591" s="52">
        <v>579</v>
      </c>
      <c r="B591" s="58" t="s">
        <v>1797</v>
      </c>
      <c r="C591" s="58" t="s">
        <v>1796</v>
      </c>
      <c r="D591" s="52" t="s">
        <v>2194</v>
      </c>
      <c r="E591" s="66">
        <v>1346.3999999999999</v>
      </c>
      <c r="F591" s="13" t="e">
        <f>INDEX(Кат!$I:$I,MATCH(Прайс!$B591,Кат!$G:$G,0))</f>
        <v>#N/A</v>
      </c>
      <c r="G591" s="25" t="e">
        <f>INDEX(Кат!$A:$A,MATCH(Прайс!$B591,Кат!$G:$G,0))</f>
        <v>#N/A</v>
      </c>
      <c r="H591" s="11"/>
    </row>
    <row r="592" spans="1:8" x14ac:dyDescent="0.25">
      <c r="A592" s="52">
        <v>580</v>
      </c>
      <c r="B592" s="58" t="s">
        <v>1798</v>
      </c>
      <c r="C592" s="58" t="s">
        <v>1799</v>
      </c>
      <c r="D592" s="52" t="s">
        <v>2207</v>
      </c>
      <c r="E592" s="66">
        <v>59.027999999999992</v>
      </c>
      <c r="F592" s="13" t="e">
        <f>INDEX(Кат!$I:$I,MATCH(Прайс!$B592,Кат!$G:$G,0))</f>
        <v>#N/A</v>
      </c>
      <c r="G592" s="25" t="e">
        <f>INDEX(Кат!$A:$A,MATCH(Прайс!$B592,Кат!$G:$G,0))</f>
        <v>#N/A</v>
      </c>
      <c r="H592" s="11"/>
    </row>
    <row r="593" spans="1:8" x14ac:dyDescent="0.25">
      <c r="A593" s="52">
        <v>581</v>
      </c>
      <c r="B593" s="58" t="s">
        <v>1800</v>
      </c>
      <c r="C593" s="58" t="s">
        <v>1801</v>
      </c>
      <c r="D593" s="52" t="s">
        <v>2207</v>
      </c>
      <c r="E593" s="66">
        <v>130.09199999999998</v>
      </c>
      <c r="F593" s="13" t="e">
        <f>INDEX(Кат!$I:$I,MATCH(Прайс!$B593,Кат!$G:$G,0))</f>
        <v>#N/A</v>
      </c>
      <c r="G593" s="25" t="e">
        <f>INDEX(Кат!$A:$A,MATCH(Прайс!$B593,Кат!$G:$G,0))</f>
        <v>#N/A</v>
      </c>
      <c r="H593" s="11"/>
    </row>
    <row r="594" spans="1:8" x14ac:dyDescent="0.25">
      <c r="A594" s="52">
        <v>582</v>
      </c>
      <c r="B594" s="58" t="s">
        <v>1802</v>
      </c>
      <c r="C594" s="58" t="s">
        <v>1803</v>
      </c>
      <c r="D594" s="52" t="s">
        <v>2207</v>
      </c>
      <c r="E594" s="66">
        <v>251.05199999999999</v>
      </c>
      <c r="F594" s="13" t="e">
        <f>INDEX(Кат!$I:$I,MATCH(Прайс!$B594,Кат!$G:$G,0))</f>
        <v>#N/A</v>
      </c>
      <c r="G594" s="25" t="e">
        <f>INDEX(Кат!$A:$A,MATCH(Прайс!$B594,Кат!$G:$G,0))</f>
        <v>#N/A</v>
      </c>
      <c r="H594" s="11"/>
    </row>
    <row r="595" spans="1:8" x14ac:dyDescent="0.25">
      <c r="A595" s="52">
        <v>583</v>
      </c>
      <c r="B595" s="58" t="s">
        <v>1804</v>
      </c>
      <c r="C595" s="58" t="s">
        <v>1805</v>
      </c>
      <c r="D595" s="52" t="s">
        <v>2207</v>
      </c>
      <c r="E595" s="66">
        <v>277.03199999999998</v>
      </c>
      <c r="F595" s="13" t="e">
        <f>INDEX(Кат!$I:$I,MATCH(Прайс!$B595,Кат!$G:$G,0))</f>
        <v>#N/A</v>
      </c>
      <c r="G595" s="25" t="e">
        <f>INDEX(Кат!$A:$A,MATCH(Прайс!$B595,Кат!$G:$G,0))</f>
        <v>#N/A</v>
      </c>
      <c r="H595" s="11"/>
    </row>
    <row r="596" spans="1:8" x14ac:dyDescent="0.25">
      <c r="A596" s="52">
        <v>584</v>
      </c>
      <c r="B596" s="58" t="s">
        <v>1806</v>
      </c>
      <c r="C596" s="58" t="s">
        <v>1807</v>
      </c>
      <c r="D596" s="52" t="s">
        <v>2207</v>
      </c>
      <c r="E596" s="66">
        <v>1009.62</v>
      </c>
      <c r="F596" s="13" t="e">
        <f>INDEX(Кат!$I:$I,MATCH(Прайс!$B596,Кат!$G:$G,0))</f>
        <v>#N/A</v>
      </c>
      <c r="G596" s="25" t="e">
        <f>INDEX(Кат!$A:$A,MATCH(Прайс!$B596,Кат!$G:$G,0))</f>
        <v>#N/A</v>
      </c>
      <c r="H596" s="11"/>
    </row>
    <row r="597" spans="1:8" x14ac:dyDescent="0.25">
      <c r="A597" s="52">
        <v>585</v>
      </c>
      <c r="B597" s="58" t="s">
        <v>1808</v>
      </c>
      <c r="C597" s="58" t="s">
        <v>1809</v>
      </c>
      <c r="D597" s="52" t="s">
        <v>2207</v>
      </c>
      <c r="E597" s="66">
        <v>2795.4360000000001</v>
      </c>
      <c r="F597" s="13" t="e">
        <f>INDEX(Кат!$I:$I,MATCH(Прайс!$B597,Кат!$G:$G,0))</f>
        <v>#N/A</v>
      </c>
      <c r="G597" s="25" t="e">
        <f>INDEX(Кат!$A:$A,MATCH(Прайс!$B597,Кат!$G:$G,0))</f>
        <v>#N/A</v>
      </c>
      <c r="H597" s="11"/>
    </row>
    <row r="598" spans="1:8" x14ac:dyDescent="0.25">
      <c r="A598" s="52">
        <v>586</v>
      </c>
      <c r="B598" s="58" t="s">
        <v>1810</v>
      </c>
      <c r="C598" s="58" t="s">
        <v>1809</v>
      </c>
      <c r="D598" s="52" t="s">
        <v>2207</v>
      </c>
      <c r="E598" s="66">
        <v>2781.5399999999995</v>
      </c>
      <c r="F598" s="13" t="e">
        <f>INDEX(Кат!$I:$I,MATCH(Прайс!$B598,Кат!$G:$G,0))</f>
        <v>#N/A</v>
      </c>
      <c r="G598" s="25" t="e">
        <f>INDEX(Кат!$A:$A,MATCH(Прайс!$B598,Кат!$G:$G,0))</f>
        <v>#N/A</v>
      </c>
      <c r="H598" s="11"/>
    </row>
    <row r="599" spans="1:8" x14ac:dyDescent="0.25">
      <c r="A599" s="52">
        <v>587</v>
      </c>
      <c r="B599" s="58" t="s">
        <v>1811</v>
      </c>
      <c r="C599" s="58" t="s">
        <v>1809</v>
      </c>
      <c r="D599" s="52" t="s">
        <v>2207</v>
      </c>
      <c r="E599" s="66">
        <v>3396.6600000000003</v>
      </c>
      <c r="F599" s="13" t="e">
        <f>INDEX(Кат!$I:$I,MATCH(Прайс!$B599,Кат!$G:$G,0))</f>
        <v>#N/A</v>
      </c>
      <c r="G599" s="25" t="e">
        <f>INDEX(Кат!$A:$A,MATCH(Прайс!$B599,Кат!$G:$G,0))</f>
        <v>#N/A</v>
      </c>
      <c r="H599" s="11"/>
    </row>
    <row r="600" spans="1:8" x14ac:dyDescent="0.25">
      <c r="A600" s="52">
        <v>588</v>
      </c>
      <c r="B600" s="58" t="s">
        <v>1812</v>
      </c>
      <c r="C600" s="58" t="s">
        <v>1813</v>
      </c>
      <c r="D600" s="52" t="s">
        <v>2207</v>
      </c>
      <c r="E600" s="66">
        <v>913.19999999999993</v>
      </c>
      <c r="F600" s="13" t="e">
        <f>INDEX(Кат!$I:$I,MATCH(Прайс!$B600,Кат!$G:$G,0))</f>
        <v>#N/A</v>
      </c>
      <c r="G600" s="25" t="e">
        <f>INDEX(Кат!$A:$A,MATCH(Прайс!$B600,Кат!$G:$G,0))</f>
        <v>#N/A</v>
      </c>
      <c r="H600" s="11"/>
    </row>
    <row r="601" spans="1:8" x14ac:dyDescent="0.25">
      <c r="A601" s="52">
        <v>589</v>
      </c>
      <c r="B601" s="52"/>
      <c r="C601" s="83" t="s">
        <v>1814</v>
      </c>
      <c r="D601" s="52"/>
      <c r="E601" s="66">
        <v>0</v>
      </c>
      <c r="F601" s="13" t="e">
        <f>INDEX(Кат!$I:$I,MATCH(Прайс!$B601,Кат!$G:$G,0))</f>
        <v>#N/A</v>
      </c>
      <c r="G601" s="25" t="e">
        <f>INDEX(Кат!$A:$A,MATCH(Прайс!$B601,Кат!$G:$G,0))</f>
        <v>#N/A</v>
      </c>
      <c r="H601" s="11"/>
    </row>
    <row r="602" spans="1:8" x14ac:dyDescent="0.25">
      <c r="A602" s="52">
        <v>590</v>
      </c>
      <c r="B602" s="80"/>
      <c r="C602" s="23" t="s">
        <v>1211</v>
      </c>
      <c r="D602" s="80"/>
      <c r="E602" s="66">
        <v>0</v>
      </c>
      <c r="F602" s="13" t="e">
        <f>INDEX(Кат!$I:$I,MATCH(Прайс!$B602,Кат!$G:$G,0))</f>
        <v>#N/A</v>
      </c>
      <c r="G602" s="25" t="e">
        <f>INDEX(Кат!$A:$A,MATCH(Прайс!$B602,Кат!$G:$G,0))</f>
        <v>#N/A</v>
      </c>
      <c r="H602" s="11"/>
    </row>
    <row r="603" spans="1:8" x14ac:dyDescent="0.25">
      <c r="A603" s="52">
        <v>591</v>
      </c>
      <c r="B603" s="58" t="s">
        <v>1212</v>
      </c>
      <c r="C603" s="58" t="s">
        <v>1213</v>
      </c>
      <c r="D603" s="52" t="s">
        <v>2206</v>
      </c>
      <c r="E603" s="66">
        <v>949.73831999999993</v>
      </c>
      <c r="F603" s="13" t="str">
        <f>INDEX(Кат!$I:$I,MATCH(Прайс!$B603,Кат!$G:$G,0))</f>
        <v>БРТ</v>
      </c>
      <c r="G603" s="25">
        <f>INDEX(Кат!$A:$A,MATCH(Прайс!$B603,Кат!$G:$G,0))</f>
        <v>223149</v>
      </c>
      <c r="H603" s="11"/>
    </row>
    <row r="604" spans="1:8" x14ac:dyDescent="0.25">
      <c r="A604" s="52">
        <v>592</v>
      </c>
      <c r="B604" s="58" t="s">
        <v>1214</v>
      </c>
      <c r="C604" s="58" t="s">
        <v>1215</v>
      </c>
      <c r="D604" s="52" t="s">
        <v>2206</v>
      </c>
      <c r="E604" s="66">
        <v>651.12</v>
      </c>
      <c r="F604" s="13" t="e">
        <f>INDEX(Кат!$I:$I,MATCH(Прайс!$B604,Кат!$G:$G,0))</f>
        <v>#N/A</v>
      </c>
      <c r="G604" s="25" t="e">
        <f>INDEX(Кат!$A:$A,MATCH(Прайс!$B604,Кат!$G:$G,0))</f>
        <v>#N/A</v>
      </c>
      <c r="H604" s="11"/>
    </row>
    <row r="605" spans="1:8" x14ac:dyDescent="0.25">
      <c r="A605" s="52">
        <v>593</v>
      </c>
      <c r="B605" s="58" t="s">
        <v>1216</v>
      </c>
      <c r="C605" s="58" t="s">
        <v>1217</v>
      </c>
      <c r="D605" s="52" t="s">
        <v>2206</v>
      </c>
      <c r="E605" s="66">
        <v>1128</v>
      </c>
      <c r="F605" s="13" t="str">
        <f>INDEX(Кат!$I:$I,MATCH(Прайс!$B605,Кат!$G:$G,0))</f>
        <v>БРТ</v>
      </c>
      <c r="G605" s="25">
        <f>INDEX(Кат!$A:$A,MATCH(Прайс!$B605,Кат!$G:$G,0))</f>
        <v>204414</v>
      </c>
      <c r="H605" s="11"/>
    </row>
    <row r="606" spans="1:8" x14ac:dyDescent="0.25">
      <c r="A606" s="52">
        <v>594</v>
      </c>
      <c r="B606" s="58" t="s">
        <v>1218</v>
      </c>
      <c r="C606" s="58" t="s">
        <v>1219</v>
      </c>
      <c r="D606" s="52" t="s">
        <v>2206</v>
      </c>
      <c r="E606" s="66">
        <v>1326.84</v>
      </c>
      <c r="F606" s="13" t="str">
        <f>INDEX(Кат!$I:$I,MATCH(Прайс!$B606,Кат!$G:$G,0))</f>
        <v>БРТ</v>
      </c>
      <c r="G606" s="25">
        <f>INDEX(Кат!$A:$A,MATCH(Прайс!$B606,Кат!$G:$G,0))</f>
        <v>204322</v>
      </c>
      <c r="H606" s="11"/>
    </row>
    <row r="607" spans="1:8" x14ac:dyDescent="0.25">
      <c r="A607" s="52">
        <v>595</v>
      </c>
      <c r="B607" s="58" t="s">
        <v>1220</v>
      </c>
      <c r="C607" s="58" t="s">
        <v>1221</v>
      </c>
      <c r="D607" s="52" t="s">
        <v>2206</v>
      </c>
      <c r="E607" s="66">
        <v>808.15823999999998</v>
      </c>
      <c r="F607" s="13" t="str">
        <f>INDEX(Кат!$I:$I,MATCH(Прайс!$B607,Кат!$G:$G,0))</f>
        <v>БРТ</v>
      </c>
      <c r="G607" s="25">
        <f>INDEX(Кат!$A:$A,MATCH(Прайс!$B607,Кат!$G:$G,0))</f>
        <v>223147</v>
      </c>
      <c r="H607" s="11"/>
    </row>
    <row r="608" spans="1:8" x14ac:dyDescent="0.25">
      <c r="A608" s="52">
        <v>596</v>
      </c>
      <c r="B608" s="64" t="s">
        <v>1222</v>
      </c>
      <c r="C608" s="65" t="s">
        <v>1223</v>
      </c>
      <c r="D608" s="52" t="s">
        <v>2206</v>
      </c>
      <c r="E608" s="66">
        <v>1730.0640000000001</v>
      </c>
      <c r="F608" s="13" t="str">
        <f>INDEX(Кат!$I:$I,MATCH(Прайс!$B608,Кат!$G:$G,0))</f>
        <v>БРТ</v>
      </c>
      <c r="G608" s="25">
        <f>INDEX(Кат!$A:$A,MATCH(Прайс!$B608,Кат!$G:$G,0))</f>
        <v>158284</v>
      </c>
      <c r="H608" s="11"/>
    </row>
    <row r="609" spans="1:8" x14ac:dyDescent="0.25">
      <c r="A609" s="52">
        <v>597</v>
      </c>
      <c r="B609" s="64" t="s">
        <v>1224</v>
      </c>
      <c r="C609" s="65" t="s">
        <v>1225</v>
      </c>
      <c r="D609" s="52" t="s">
        <v>2206</v>
      </c>
      <c r="E609" s="66">
        <v>3315.0479999999998</v>
      </c>
      <c r="F609" s="13" t="str">
        <f>INDEX(Кат!$I:$I,MATCH(Прайс!$B609,Кат!$G:$G,0))</f>
        <v>БРТ</v>
      </c>
      <c r="G609" s="25">
        <f>INDEX(Кат!$A:$A,MATCH(Прайс!$B609,Кат!$G:$G,0))</f>
        <v>158285</v>
      </c>
      <c r="H609" s="11"/>
    </row>
    <row r="610" spans="1:8" x14ac:dyDescent="0.25">
      <c r="A610" s="52">
        <v>598</v>
      </c>
      <c r="B610" s="64" t="s">
        <v>377</v>
      </c>
      <c r="C610" s="65" t="s">
        <v>1226</v>
      </c>
      <c r="D610" s="52" t="s">
        <v>2194</v>
      </c>
      <c r="E610" s="66">
        <v>163.13999999999999</v>
      </c>
      <c r="F610" s="13" t="str">
        <f>INDEX(Кат!$I:$I,MATCH(Прайс!$B610,Кат!$G:$G,0))</f>
        <v>БРТ</v>
      </c>
      <c r="G610" s="25">
        <f>INDEX(Кат!$A:$A,MATCH(Прайс!$B610,Кат!$G:$G,0))</f>
        <v>223160</v>
      </c>
      <c r="H610" s="11"/>
    </row>
    <row r="611" spans="1:8" x14ac:dyDescent="0.25">
      <c r="A611" s="52">
        <v>599</v>
      </c>
      <c r="B611" s="64" t="s">
        <v>378</v>
      </c>
      <c r="C611" s="65" t="s">
        <v>1227</v>
      </c>
      <c r="D611" s="52" t="s">
        <v>2194</v>
      </c>
      <c r="E611" s="66">
        <v>168.56399999999999</v>
      </c>
      <c r="F611" s="13" t="str">
        <f>INDEX(Кат!$I:$I,MATCH(Прайс!$B611,Кат!$G:$G,0))</f>
        <v>БРТ</v>
      </c>
      <c r="G611" s="25">
        <f>INDEX(Кат!$A:$A,MATCH(Прайс!$B611,Кат!$G:$G,0))</f>
        <v>223159</v>
      </c>
      <c r="H611" s="11"/>
    </row>
    <row r="612" spans="1:8" x14ac:dyDescent="0.25">
      <c r="A612" s="52">
        <v>600</v>
      </c>
      <c r="B612" s="64" t="s">
        <v>1228</v>
      </c>
      <c r="C612" s="65" t="s">
        <v>1229</v>
      </c>
      <c r="D612" s="52" t="s">
        <v>2206</v>
      </c>
      <c r="E612" s="66">
        <v>3336.576</v>
      </c>
      <c r="F612" s="13" t="str">
        <f>INDEX(Кат!$I:$I,MATCH(Прайс!$B612,Кат!$G:$G,0))</f>
        <v>БРТ</v>
      </c>
      <c r="G612" s="25">
        <f>INDEX(Кат!$A:$A,MATCH(Прайс!$B612,Кат!$G:$G,0))</f>
        <v>223170</v>
      </c>
      <c r="H612" s="11"/>
    </row>
    <row r="613" spans="1:8" x14ac:dyDescent="0.25">
      <c r="A613" s="52">
        <v>601</v>
      </c>
      <c r="B613" s="64" t="s">
        <v>1230</v>
      </c>
      <c r="C613" s="65" t="s">
        <v>1231</v>
      </c>
      <c r="D613" s="52" t="s">
        <v>2206</v>
      </c>
      <c r="E613" s="66">
        <v>1305.7199999999998</v>
      </c>
      <c r="F613" s="13" t="str">
        <f>INDEX(Кат!$I:$I,MATCH(Прайс!$B613,Кат!$G:$G,0))</f>
        <v>БРТ</v>
      </c>
      <c r="G613" s="25">
        <f>INDEX(Кат!$A:$A,MATCH(Прайс!$B613,Кат!$G:$G,0))</f>
        <v>136589</v>
      </c>
      <c r="H613" s="11"/>
    </row>
    <row r="614" spans="1:8" x14ac:dyDescent="0.25">
      <c r="A614" s="52">
        <v>602</v>
      </c>
      <c r="B614" s="64" t="s">
        <v>1232</v>
      </c>
      <c r="C614" s="65" t="s">
        <v>1233</v>
      </c>
      <c r="D614" s="52" t="s">
        <v>2206</v>
      </c>
      <c r="E614" s="66">
        <v>1433.1119999999999</v>
      </c>
      <c r="F614" s="13" t="str">
        <f>INDEX(Кат!$I:$I,MATCH(Прайс!$B614,Кат!$G:$G,0))</f>
        <v>БРТ</v>
      </c>
      <c r="G614" s="25">
        <f>INDEX(Кат!$A:$A,MATCH(Прайс!$B614,Кат!$G:$G,0))</f>
        <v>136591</v>
      </c>
      <c r="H614" s="11"/>
    </row>
    <row r="615" spans="1:8" x14ac:dyDescent="0.25">
      <c r="A615" s="52">
        <v>603</v>
      </c>
      <c r="B615" s="64" t="s">
        <v>1234</v>
      </c>
      <c r="C615" s="65" t="s">
        <v>1226</v>
      </c>
      <c r="D615" s="52" t="s">
        <v>2194</v>
      </c>
      <c r="E615" s="66">
        <v>350.892</v>
      </c>
      <c r="F615" s="13" t="str">
        <f>INDEX(Кат!$I:$I,MATCH(Прайс!$B615,Кат!$G:$G,0))</f>
        <v>БРТ</v>
      </c>
      <c r="G615" s="25">
        <f>INDEX(Кат!$A:$A,MATCH(Прайс!$B615,Кат!$G:$G,0))</f>
        <v>223231</v>
      </c>
      <c r="H615" s="11"/>
    </row>
    <row r="616" spans="1:8" x14ac:dyDescent="0.25">
      <c r="A616" s="52">
        <v>604</v>
      </c>
      <c r="B616" s="64" t="s">
        <v>407</v>
      </c>
      <c r="C616" s="65" t="s">
        <v>1227</v>
      </c>
      <c r="D616" s="52" t="s">
        <v>2194</v>
      </c>
      <c r="E616" s="66">
        <v>321.072</v>
      </c>
      <c r="F616" s="13" t="str">
        <f>INDEX(Кат!$I:$I,MATCH(Прайс!$B616,Кат!$G:$G,0))</f>
        <v>БРТ</v>
      </c>
      <c r="G616" s="25">
        <f>INDEX(Кат!$A:$A,MATCH(Прайс!$B616,Кат!$G:$G,0))</f>
        <v>223229</v>
      </c>
      <c r="H616" s="11"/>
    </row>
    <row r="617" spans="1:8" x14ac:dyDescent="0.25">
      <c r="A617" s="52">
        <v>605</v>
      </c>
      <c r="B617" s="64" t="s">
        <v>1235</v>
      </c>
      <c r="C617" s="65" t="s">
        <v>1236</v>
      </c>
      <c r="D617" s="52" t="s">
        <v>2194</v>
      </c>
      <c r="E617" s="66">
        <v>376.33199999999999</v>
      </c>
      <c r="F617" s="13" t="str">
        <f>INDEX(Кат!$I:$I,MATCH(Прайс!$B617,Кат!$G:$G,0))</f>
        <v>БРТ</v>
      </c>
      <c r="G617" s="25">
        <f>INDEX(Кат!$A:$A,MATCH(Прайс!$B617,Кат!$G:$G,0))</f>
        <v>223230</v>
      </c>
      <c r="H617" s="11"/>
    </row>
    <row r="618" spans="1:8" x14ac:dyDescent="0.25">
      <c r="A618" s="52">
        <v>606</v>
      </c>
      <c r="B618" s="64" t="s">
        <v>409</v>
      </c>
      <c r="C618" s="65" t="s">
        <v>1237</v>
      </c>
      <c r="D618" s="52" t="s">
        <v>2194</v>
      </c>
      <c r="E618" s="66">
        <v>331.78800000000001</v>
      </c>
      <c r="F618" s="13" t="str">
        <f>INDEX(Кат!$I:$I,MATCH(Прайс!$B618,Кат!$G:$G,0))</f>
        <v>БРТ</v>
      </c>
      <c r="G618" s="25">
        <f>INDEX(Кат!$A:$A,MATCH(Прайс!$B618,Кат!$G:$G,0))</f>
        <v>223228</v>
      </c>
      <c r="H618" s="11"/>
    </row>
    <row r="619" spans="1:8" x14ac:dyDescent="0.25">
      <c r="A619" s="52">
        <v>607</v>
      </c>
      <c r="B619" s="64" t="s">
        <v>1238</v>
      </c>
      <c r="C619" s="65" t="s">
        <v>1239</v>
      </c>
      <c r="D619" s="52" t="s">
        <v>2206</v>
      </c>
      <c r="E619" s="66">
        <v>711.6</v>
      </c>
      <c r="F619" s="13" t="str">
        <f>INDEX(Кат!$I:$I,MATCH(Прайс!$B619,Кат!$G:$G,0))</f>
        <v>БРТ</v>
      </c>
      <c r="G619" s="25">
        <f>INDEX(Кат!$A:$A,MATCH(Прайс!$B619,Кат!$G:$G,0))</f>
        <v>136586</v>
      </c>
      <c r="H619" s="11"/>
    </row>
    <row r="620" spans="1:8" x14ac:dyDescent="0.25">
      <c r="A620" s="52">
        <v>608</v>
      </c>
      <c r="B620" s="64" t="s">
        <v>1240</v>
      </c>
      <c r="C620" s="65" t="s">
        <v>1233</v>
      </c>
      <c r="D620" s="52" t="s">
        <v>2206</v>
      </c>
      <c r="E620" s="66">
        <v>815.04000000000008</v>
      </c>
      <c r="F620" s="13" t="str">
        <f>INDEX(Кат!$I:$I,MATCH(Прайс!$B620,Кат!$G:$G,0))</f>
        <v>БРТ</v>
      </c>
      <c r="G620" s="25">
        <f>INDEX(Кат!$A:$A,MATCH(Прайс!$B620,Кат!$G:$G,0))</f>
        <v>136585</v>
      </c>
      <c r="H620" s="11"/>
    </row>
    <row r="621" spans="1:8" x14ac:dyDescent="0.25">
      <c r="A621" s="52">
        <v>609</v>
      </c>
      <c r="B621" s="64" t="s">
        <v>1241</v>
      </c>
      <c r="C621" s="65" t="s">
        <v>1229</v>
      </c>
      <c r="D621" s="52" t="s">
        <v>2206</v>
      </c>
      <c r="E621" s="66">
        <v>2846.4</v>
      </c>
      <c r="F621" s="13" t="str">
        <f>INDEX(Кат!$I:$I,MATCH(Прайс!$B621,Кат!$G:$G,0))</f>
        <v>БРТ</v>
      </c>
      <c r="G621" s="25">
        <f>INDEX(Кат!$A:$A,MATCH(Прайс!$B621,Кат!$G:$G,0))</f>
        <v>136587</v>
      </c>
      <c r="H621" s="11"/>
    </row>
    <row r="622" spans="1:8" x14ac:dyDescent="0.25">
      <c r="A622" s="52">
        <v>610</v>
      </c>
      <c r="B622" s="64" t="s">
        <v>1242</v>
      </c>
      <c r="C622" s="65" t="s">
        <v>1239</v>
      </c>
      <c r="D622" s="52" t="s">
        <v>2206</v>
      </c>
      <c r="E622" s="66">
        <v>686.17439999999999</v>
      </c>
      <c r="F622" s="13" t="str">
        <f>INDEX(Кат!$I:$I,MATCH(Прайс!$B622,Кат!$G:$G,0))</f>
        <v>БРТ</v>
      </c>
      <c r="G622" s="25">
        <f>INDEX(Кат!$A:$A,MATCH(Прайс!$B622,Кат!$G:$G,0))</f>
        <v>158271</v>
      </c>
      <c r="H622" s="11"/>
    </row>
    <row r="623" spans="1:8" x14ac:dyDescent="0.25">
      <c r="A623" s="52">
        <v>611</v>
      </c>
      <c r="B623" s="64" t="s">
        <v>1243</v>
      </c>
      <c r="C623" s="65" t="s">
        <v>1233</v>
      </c>
      <c r="D623" s="52" t="s">
        <v>2206</v>
      </c>
      <c r="E623" s="66">
        <v>721.91520000000003</v>
      </c>
      <c r="F623" s="13" t="str">
        <f>INDEX(Кат!$I:$I,MATCH(Прайс!$B623,Кат!$G:$G,0))</f>
        <v>БРТ</v>
      </c>
      <c r="G623" s="25">
        <f>INDEX(Кат!$A:$A,MATCH(Прайс!$B623,Кат!$G:$G,0))</f>
        <v>158283</v>
      </c>
      <c r="H623" s="11"/>
    </row>
    <row r="624" spans="1:8" x14ac:dyDescent="0.25">
      <c r="A624" s="52">
        <v>612</v>
      </c>
      <c r="B624" s="64" t="s">
        <v>1244</v>
      </c>
      <c r="C624" s="65" t="s">
        <v>1229</v>
      </c>
      <c r="D624" s="52" t="s">
        <v>2206</v>
      </c>
      <c r="E624" s="66">
        <v>3298.68</v>
      </c>
      <c r="F624" s="13" t="str">
        <f>INDEX(Кат!$I:$I,MATCH(Прайс!$B624,Кат!$G:$G,0))</f>
        <v>БРТ</v>
      </c>
      <c r="G624" s="25">
        <f>INDEX(Кат!$A:$A,MATCH(Прайс!$B624,Кат!$G:$G,0))</f>
        <v>158270</v>
      </c>
      <c r="H624" s="11"/>
    </row>
    <row r="625" spans="1:8" x14ac:dyDescent="0.25">
      <c r="A625" s="52">
        <v>613</v>
      </c>
      <c r="B625" s="64" t="s">
        <v>1245</v>
      </c>
      <c r="C625" s="65" t="s">
        <v>1233</v>
      </c>
      <c r="D625" s="52" t="s">
        <v>2206</v>
      </c>
      <c r="E625" s="66">
        <v>711.6</v>
      </c>
      <c r="F625" s="13" t="str">
        <f>INDEX(Кат!$I:$I,MATCH(Прайс!$B625,Кат!$G:$G,0))</f>
        <v>БРТ</v>
      </c>
      <c r="G625" s="25">
        <f>INDEX(Кат!$A:$A,MATCH(Прайс!$B625,Кат!$G:$G,0))</f>
        <v>158362</v>
      </c>
      <c r="H625" s="11"/>
    </row>
    <row r="626" spans="1:8" x14ac:dyDescent="0.25">
      <c r="A626" s="52">
        <v>614</v>
      </c>
      <c r="B626" s="64" t="s">
        <v>1246</v>
      </c>
      <c r="C626" s="65" t="s">
        <v>1239</v>
      </c>
      <c r="D626" s="52" t="s">
        <v>2206</v>
      </c>
      <c r="E626" s="66">
        <v>659.73599999999999</v>
      </c>
      <c r="F626" s="13" t="str">
        <f>INDEX(Кат!$I:$I,MATCH(Прайс!$B626,Кат!$G:$G,0))</f>
        <v>БРТ</v>
      </c>
      <c r="G626" s="25">
        <f>INDEX(Кат!$A:$A,MATCH(Прайс!$B626,Кат!$G:$G,0))</f>
        <v>158364</v>
      </c>
      <c r="H626" s="11"/>
    </row>
    <row r="627" spans="1:8" x14ac:dyDescent="0.25">
      <c r="A627" s="52">
        <v>615</v>
      </c>
      <c r="B627" s="64" t="s">
        <v>1247</v>
      </c>
      <c r="C627" s="65" t="s">
        <v>1223</v>
      </c>
      <c r="D627" s="52" t="s">
        <v>2206</v>
      </c>
      <c r="E627" s="66">
        <v>2846.4</v>
      </c>
      <c r="F627" s="13" t="str">
        <f>INDEX(Кат!$I:$I,MATCH(Прайс!$B627,Кат!$G:$G,0))</f>
        <v>БРТ</v>
      </c>
      <c r="G627" s="25">
        <f>INDEX(Кат!$A:$A,MATCH(Прайс!$B627,Кат!$G:$G,0))</f>
        <v>158838</v>
      </c>
      <c r="H627" s="11"/>
    </row>
    <row r="628" spans="1:8" x14ac:dyDescent="0.25">
      <c r="A628" s="52">
        <v>616</v>
      </c>
      <c r="B628" s="64" t="s">
        <v>1248</v>
      </c>
      <c r="C628" s="65" t="s">
        <v>1249</v>
      </c>
      <c r="D628" s="52" t="s">
        <v>2206</v>
      </c>
      <c r="E628" s="66">
        <v>341.13599999999997</v>
      </c>
      <c r="F628" s="13" t="str">
        <f>INDEX(Кат!$I:$I,MATCH(Прайс!$B628,Кат!$G:$G,0))</f>
        <v>БРТ</v>
      </c>
      <c r="G628" s="25">
        <f>INDEX(Кат!$A:$A,MATCH(Прайс!$B628,Кат!$G:$G,0))</f>
        <v>0</v>
      </c>
      <c r="H628" s="11"/>
    </row>
    <row r="629" spans="1:8" x14ac:dyDescent="0.25">
      <c r="A629" s="52">
        <v>617</v>
      </c>
      <c r="B629" s="64" t="s">
        <v>1250</v>
      </c>
      <c r="C629" s="65" t="s">
        <v>1251</v>
      </c>
      <c r="D629" s="52" t="s">
        <v>2206</v>
      </c>
      <c r="E629" s="66">
        <v>339.31199999999995</v>
      </c>
      <c r="F629" s="13" t="str">
        <f>INDEX(Кат!$I:$I,MATCH(Прайс!$B629,Кат!$G:$G,0))</f>
        <v>БРТ</v>
      </c>
      <c r="G629" s="25">
        <f>INDEX(Кат!$A:$A,MATCH(Прайс!$B629,Кат!$G:$G,0))</f>
        <v>0</v>
      </c>
      <c r="H629" s="11"/>
    </row>
    <row r="630" spans="1:8" x14ac:dyDescent="0.25">
      <c r="A630" s="52">
        <v>618</v>
      </c>
      <c r="B630" s="64" t="s">
        <v>1252</v>
      </c>
      <c r="C630" s="65" t="s">
        <v>1253</v>
      </c>
      <c r="D630" s="52" t="s">
        <v>2206</v>
      </c>
      <c r="E630" s="66">
        <v>1396.3680000000002</v>
      </c>
      <c r="F630" s="13" t="str">
        <f>INDEX(Кат!$I:$I,MATCH(Прайс!$B630,Кат!$G:$G,0))</f>
        <v>БРТ</v>
      </c>
      <c r="G630" s="25">
        <f>INDEX(Кат!$A:$A,MATCH(Прайс!$B630,Кат!$G:$G,0))</f>
        <v>0</v>
      </c>
      <c r="H630" s="11"/>
    </row>
    <row r="631" spans="1:8" x14ac:dyDescent="0.25">
      <c r="A631" s="52">
        <v>619</v>
      </c>
      <c r="B631" s="84"/>
      <c r="C631" s="85" t="s">
        <v>1254</v>
      </c>
      <c r="D631" s="63"/>
      <c r="E631" s="66">
        <v>0</v>
      </c>
      <c r="F631" s="13" t="e">
        <f>INDEX(Кат!$I:$I,MATCH(Прайс!$B631,Кат!$G:$G,0))</f>
        <v>#N/A</v>
      </c>
      <c r="G631" s="25" t="e">
        <f>INDEX(Кат!$A:$A,MATCH(Прайс!$B631,Кат!$G:$G,0))</f>
        <v>#N/A</v>
      </c>
      <c r="H631" s="11"/>
    </row>
    <row r="632" spans="1:8" x14ac:dyDescent="0.25">
      <c r="A632" s="52">
        <v>620</v>
      </c>
      <c r="B632" s="64" t="s">
        <v>1255</v>
      </c>
      <c r="C632" s="65" t="s">
        <v>1256</v>
      </c>
      <c r="D632" s="52" t="s">
        <v>2206</v>
      </c>
      <c r="E632" s="66">
        <v>364.34399999999999</v>
      </c>
      <c r="F632" s="13" t="str">
        <f>INDEX(Кат!$I:$I,MATCH(Прайс!$B632,Кат!$G:$G,0))</f>
        <v>БРТ</v>
      </c>
      <c r="G632" s="25">
        <f>INDEX(Кат!$A:$A,MATCH(Прайс!$B632,Кат!$G:$G,0))</f>
        <v>158274</v>
      </c>
      <c r="H632" s="11"/>
    </row>
    <row r="633" spans="1:8" x14ac:dyDescent="0.25">
      <c r="A633" s="52">
        <v>621</v>
      </c>
      <c r="B633" s="64" t="s">
        <v>1257</v>
      </c>
      <c r="C633" s="65" t="s">
        <v>1258</v>
      </c>
      <c r="D633" s="52" t="s">
        <v>2206</v>
      </c>
      <c r="E633" s="66">
        <v>368.35199999999998</v>
      </c>
      <c r="F633" s="13" t="str">
        <f>INDEX(Кат!$I:$I,MATCH(Прайс!$B633,Кат!$G:$G,0))</f>
        <v>БРТ</v>
      </c>
      <c r="G633" s="25">
        <f>INDEX(Кат!$A:$A,MATCH(Прайс!$B633,Кат!$G:$G,0))</f>
        <v>158288</v>
      </c>
      <c r="H633" s="11"/>
    </row>
    <row r="634" spans="1:8" x14ac:dyDescent="0.25">
      <c r="A634" s="52">
        <v>622</v>
      </c>
      <c r="B634" s="64" t="s">
        <v>1259</v>
      </c>
      <c r="C634" s="65" t="s">
        <v>1260</v>
      </c>
      <c r="D634" s="52" t="s">
        <v>2206</v>
      </c>
      <c r="E634" s="66">
        <v>201.96</v>
      </c>
      <c r="F634" s="13" t="str">
        <f>INDEX(Кат!$I:$I,MATCH(Прайс!$B634,Кат!$G:$G,0))</f>
        <v>БРТ</v>
      </c>
      <c r="G634" s="25">
        <f>INDEX(Кат!$A:$A,MATCH(Прайс!$B634,Кат!$G:$G,0))</f>
        <v>158287</v>
      </c>
      <c r="H634" s="11"/>
    </row>
    <row r="635" spans="1:8" x14ac:dyDescent="0.25">
      <c r="A635" s="52">
        <v>623</v>
      </c>
      <c r="B635" s="64" t="s">
        <v>1261</v>
      </c>
      <c r="C635" s="65" t="s">
        <v>1262</v>
      </c>
      <c r="D635" s="52" t="s">
        <v>2206</v>
      </c>
      <c r="E635" s="66">
        <v>132</v>
      </c>
      <c r="F635" s="13" t="e">
        <f>INDEX(Кат!$I:$I,MATCH(Прайс!$B635,Кат!$G:$G,0))</f>
        <v>#N/A</v>
      </c>
      <c r="G635" s="25" t="e">
        <f>INDEX(Кат!$A:$A,MATCH(Прайс!$B635,Кат!$G:$G,0))</f>
        <v>#N/A</v>
      </c>
      <c r="H635" s="11"/>
    </row>
    <row r="636" spans="1:8" x14ac:dyDescent="0.25">
      <c r="A636" s="52">
        <v>624</v>
      </c>
      <c r="B636" s="64" t="s">
        <v>1263</v>
      </c>
      <c r="C636" s="65" t="s">
        <v>1264</v>
      </c>
      <c r="D636" s="52" t="s">
        <v>2206</v>
      </c>
      <c r="E636" s="66">
        <v>132</v>
      </c>
      <c r="F636" s="13" t="e">
        <f>INDEX(Кат!$I:$I,MATCH(Прайс!$B636,Кат!$G:$G,0))</f>
        <v>#N/A</v>
      </c>
      <c r="G636" s="25" t="e">
        <f>INDEX(Кат!$A:$A,MATCH(Прайс!$B636,Кат!$G:$G,0))</f>
        <v>#N/A</v>
      </c>
      <c r="H636" s="11"/>
    </row>
    <row r="637" spans="1:8" x14ac:dyDescent="0.25">
      <c r="A637" s="52">
        <v>625</v>
      </c>
      <c r="B637" s="64" t="s">
        <v>1265</v>
      </c>
      <c r="C637" s="65" t="s">
        <v>1258</v>
      </c>
      <c r="D637" s="52" t="s">
        <v>2206</v>
      </c>
      <c r="E637" s="66">
        <v>341.85599999999999</v>
      </c>
      <c r="F637" s="13" t="str">
        <f>INDEX(Кат!$I:$I,MATCH(Прайс!$B637,Кат!$G:$G,0))</f>
        <v>БРТ</v>
      </c>
      <c r="G637" s="25">
        <f>INDEX(Кат!$A:$A,MATCH(Прайс!$B637,Кат!$G:$G,0))</f>
        <v>158289</v>
      </c>
      <c r="H637" s="11"/>
    </row>
    <row r="638" spans="1:8" x14ac:dyDescent="0.25">
      <c r="A638" s="52">
        <v>626</v>
      </c>
      <c r="B638" s="64" t="s">
        <v>1266</v>
      </c>
      <c r="C638" s="65" t="s">
        <v>1256</v>
      </c>
      <c r="D638" s="52" t="s">
        <v>2206</v>
      </c>
      <c r="E638" s="66">
        <v>444.19200000000001</v>
      </c>
      <c r="F638" s="13" t="str">
        <f>INDEX(Кат!$I:$I,MATCH(Прайс!$B638,Кат!$G:$G,0))</f>
        <v>БРТ</v>
      </c>
      <c r="G638" s="25">
        <f>INDEX(Кат!$A:$A,MATCH(Прайс!$B638,Кат!$G:$G,0))</f>
        <v>158275</v>
      </c>
      <c r="H638" s="11"/>
    </row>
    <row r="639" spans="1:8" x14ac:dyDescent="0.25">
      <c r="A639" s="52">
        <v>627</v>
      </c>
      <c r="B639" s="64" t="s">
        <v>1267</v>
      </c>
      <c r="C639" s="65" t="s">
        <v>1264</v>
      </c>
      <c r="D639" s="52" t="s">
        <v>2206</v>
      </c>
      <c r="E639" s="66">
        <v>148.19999999999999</v>
      </c>
      <c r="F639" s="13" t="e">
        <f>INDEX(Кат!$I:$I,MATCH(Прайс!$B639,Кат!$G:$G,0))</f>
        <v>#N/A</v>
      </c>
      <c r="G639" s="25" t="e">
        <f>INDEX(Кат!$A:$A,MATCH(Прайс!$B639,Кат!$G:$G,0))</f>
        <v>#N/A</v>
      </c>
      <c r="H639" s="11"/>
    </row>
    <row r="640" spans="1:8" x14ac:dyDescent="0.25">
      <c r="A640" s="52">
        <v>628</v>
      </c>
      <c r="B640" s="64" t="s">
        <v>1268</v>
      </c>
      <c r="C640" s="65" t="s">
        <v>1262</v>
      </c>
      <c r="D640" s="52" t="s">
        <v>2206</v>
      </c>
      <c r="E640" s="66">
        <v>133.416</v>
      </c>
      <c r="F640" s="13" t="e">
        <f>INDEX(Кат!$I:$I,MATCH(Прайс!$B640,Кат!$G:$G,0))</f>
        <v>#N/A</v>
      </c>
      <c r="G640" s="25" t="e">
        <f>INDEX(Кат!$A:$A,MATCH(Прайс!$B640,Кат!$G:$G,0))</f>
        <v>#N/A</v>
      </c>
      <c r="H640" s="11"/>
    </row>
    <row r="641" spans="1:8" x14ac:dyDescent="0.25">
      <c r="A641" s="52">
        <v>629</v>
      </c>
      <c r="B641" s="64" t="s">
        <v>1269</v>
      </c>
      <c r="C641" s="65" t="s">
        <v>1270</v>
      </c>
      <c r="D641" s="52" t="s">
        <v>2206</v>
      </c>
      <c r="E641" s="66">
        <v>38.4</v>
      </c>
      <c r="F641" s="13" t="e">
        <f>INDEX(Кат!$I:$I,MATCH(Прайс!$B641,Кат!$G:$G,0))</f>
        <v>#N/A</v>
      </c>
      <c r="G641" s="25" t="e">
        <f>INDEX(Кат!$A:$A,MATCH(Прайс!$B641,Кат!$G:$G,0))</f>
        <v>#N/A</v>
      </c>
      <c r="H641" s="11"/>
    </row>
    <row r="642" spans="1:8" x14ac:dyDescent="0.25">
      <c r="A642" s="52">
        <v>630</v>
      </c>
      <c r="B642" s="64" t="s">
        <v>1271</v>
      </c>
      <c r="C642" s="65" t="s">
        <v>1272</v>
      </c>
      <c r="D642" s="52" t="s">
        <v>2206</v>
      </c>
      <c r="E642" s="66">
        <v>48</v>
      </c>
      <c r="F642" s="13" t="e">
        <f>INDEX(Кат!$I:$I,MATCH(Прайс!$B642,Кат!$G:$G,0))</f>
        <v>#N/A</v>
      </c>
      <c r="G642" s="25" t="e">
        <f>INDEX(Кат!$A:$A,MATCH(Прайс!$B642,Кат!$G:$G,0))</f>
        <v>#N/A</v>
      </c>
      <c r="H642" s="11"/>
    </row>
    <row r="643" spans="1:8" x14ac:dyDescent="0.25">
      <c r="A643" s="52">
        <v>631</v>
      </c>
      <c r="B643" s="58" t="s">
        <v>1273</v>
      </c>
      <c r="C643" s="58" t="s">
        <v>1274</v>
      </c>
      <c r="D643" s="52" t="s">
        <v>2206</v>
      </c>
      <c r="E643" s="66">
        <v>81</v>
      </c>
      <c r="F643" s="13" t="str">
        <f>INDEX(Кат!$I:$I,MATCH(Прайс!$B643,Кат!$G:$G,0))</f>
        <v>БРТ</v>
      </c>
      <c r="G643" s="25">
        <f>INDEX(Кат!$A:$A,MATCH(Прайс!$B643,Кат!$G:$G,0))</f>
        <v>158351</v>
      </c>
      <c r="H643" s="11"/>
    </row>
    <row r="644" spans="1:8" x14ac:dyDescent="0.25">
      <c r="A644" s="52">
        <v>632</v>
      </c>
      <c r="B644" s="58" t="s">
        <v>1275</v>
      </c>
      <c r="C644" s="58" t="s">
        <v>1276</v>
      </c>
      <c r="D644" s="52" t="s">
        <v>2206</v>
      </c>
      <c r="E644" s="66">
        <v>90</v>
      </c>
      <c r="F644" s="13" t="str">
        <f>INDEX(Кат!$I:$I,MATCH(Прайс!$B644,Кат!$G:$G,0))</f>
        <v>БРТ</v>
      </c>
      <c r="G644" s="25">
        <f>INDEX(Кат!$A:$A,MATCH(Прайс!$B644,Кат!$G:$G,0))</f>
        <v>158273</v>
      </c>
      <c r="H644" s="11"/>
    </row>
    <row r="645" spans="1:8" ht="16.350000000000001" customHeight="1" x14ac:dyDescent="0.25">
      <c r="A645" s="52">
        <v>633</v>
      </c>
      <c r="B645" s="58" t="s">
        <v>1277</v>
      </c>
      <c r="C645" s="65" t="s">
        <v>1278</v>
      </c>
      <c r="D645" s="52" t="s">
        <v>2206</v>
      </c>
      <c r="E645" s="66">
        <v>109.55999999999999</v>
      </c>
      <c r="F645" s="13" t="e">
        <f>INDEX(Кат!$I:$I,MATCH(Прайс!$B645,Кат!$G:$G,0))</f>
        <v>#N/A</v>
      </c>
      <c r="G645" s="25" t="e">
        <f>INDEX(Кат!$A:$A,MATCH(Прайс!$B645,Кат!$G:$G,0))</f>
        <v>#N/A</v>
      </c>
      <c r="H645" s="11"/>
    </row>
    <row r="646" spans="1:8" x14ac:dyDescent="0.25">
      <c r="A646" s="52">
        <v>634</v>
      </c>
      <c r="B646" s="58" t="s">
        <v>1279</v>
      </c>
      <c r="C646" s="65" t="s">
        <v>1280</v>
      </c>
      <c r="D646" s="52" t="s">
        <v>2206</v>
      </c>
      <c r="E646" s="66">
        <v>124.19999999999999</v>
      </c>
      <c r="F646" s="13" t="e">
        <f>INDEX(Кат!$I:$I,MATCH(Прайс!$B646,Кат!$G:$G,0))</f>
        <v>#N/A</v>
      </c>
      <c r="G646" s="25" t="e">
        <f>INDEX(Кат!$A:$A,MATCH(Прайс!$B646,Кат!$G:$G,0))</f>
        <v>#N/A</v>
      </c>
      <c r="H646" s="11"/>
    </row>
    <row r="647" spans="1:8" x14ac:dyDescent="0.25">
      <c r="A647" s="52">
        <v>635</v>
      </c>
      <c r="B647" s="58" t="s">
        <v>1281</v>
      </c>
      <c r="C647" s="65" t="s">
        <v>1258</v>
      </c>
      <c r="D647" s="52" t="s">
        <v>2206</v>
      </c>
      <c r="E647" s="66">
        <v>307.2</v>
      </c>
      <c r="F647" s="13" t="str">
        <f>INDEX(Кат!$I:$I,MATCH(Прайс!$B647,Кат!$G:$G,0))</f>
        <v>БРТ</v>
      </c>
      <c r="G647" s="25">
        <f>INDEX(Кат!$A:$A,MATCH(Прайс!$B647,Кат!$G:$G,0))</f>
        <v>158295</v>
      </c>
      <c r="H647" s="11"/>
    </row>
    <row r="648" spans="1:8" x14ac:dyDescent="0.25">
      <c r="A648" s="52">
        <v>636</v>
      </c>
      <c r="B648" s="58" t="s">
        <v>461</v>
      </c>
      <c r="C648" s="65" t="s">
        <v>1256</v>
      </c>
      <c r="D648" s="52" t="s">
        <v>2206</v>
      </c>
      <c r="E648" s="66">
        <v>247.27199999999999</v>
      </c>
      <c r="F648" s="13" t="str">
        <f>INDEX(Кат!$I:$I,MATCH(Прайс!$B648,Кат!$G:$G,0))</f>
        <v>БРТ</v>
      </c>
      <c r="G648" s="25">
        <f>INDEX(Кат!$A:$A,MATCH(Прайс!$B648,Кат!$G:$G,0))</f>
        <v>138757</v>
      </c>
      <c r="H648" s="11"/>
    </row>
    <row r="649" spans="1:8" x14ac:dyDescent="0.25">
      <c r="A649" s="52">
        <v>637</v>
      </c>
      <c r="B649" s="58" t="s">
        <v>1282</v>
      </c>
      <c r="C649" s="65" t="s">
        <v>1283</v>
      </c>
      <c r="D649" s="52" t="s">
        <v>2206</v>
      </c>
      <c r="E649" s="66">
        <v>124.08</v>
      </c>
      <c r="F649" s="13" t="str">
        <f>INDEX(Кат!$I:$I,MATCH(Прайс!$B649,Кат!$G:$G,0))</f>
        <v>БРТ</v>
      </c>
      <c r="G649" s="25">
        <f>INDEX(Кат!$A:$A,MATCH(Прайс!$B649,Кат!$G:$G,0))</f>
        <v>158294</v>
      </c>
      <c r="H649" s="11"/>
    </row>
    <row r="650" spans="1:8" x14ac:dyDescent="0.25">
      <c r="A650" s="52">
        <v>638</v>
      </c>
      <c r="B650" s="58" t="s">
        <v>1284</v>
      </c>
      <c r="C650" s="65" t="s">
        <v>1285</v>
      </c>
      <c r="D650" s="52" t="s">
        <v>2206</v>
      </c>
      <c r="E650" s="66">
        <v>250.79999999999998</v>
      </c>
      <c r="F650" s="13" t="str">
        <f>INDEX(Кат!$I:$I,MATCH(Прайс!$B650,Кат!$G:$G,0))</f>
        <v>БРТ</v>
      </c>
      <c r="G650" s="25">
        <f>INDEX(Кат!$A:$A,MATCH(Прайс!$B650,Кат!$G:$G,0))</f>
        <v>158280</v>
      </c>
      <c r="H650" s="11"/>
    </row>
    <row r="651" spans="1:8" x14ac:dyDescent="0.25">
      <c r="A651" s="52">
        <v>639</v>
      </c>
      <c r="B651" s="58" t="s">
        <v>1286</v>
      </c>
      <c r="C651" s="65" t="s">
        <v>1283</v>
      </c>
      <c r="D651" s="52" t="s">
        <v>2206</v>
      </c>
      <c r="E651" s="66">
        <v>109.55999999999999</v>
      </c>
      <c r="F651" s="13" t="str">
        <f>INDEX(Кат!$I:$I,MATCH(Прайс!$B651,Кат!$G:$G,0))</f>
        <v>БРТ</v>
      </c>
      <c r="G651" s="25">
        <f>INDEX(Кат!$A:$A,MATCH(Прайс!$B651,Кат!$G:$G,0))</f>
        <v>138833</v>
      </c>
      <c r="H651" s="11"/>
    </row>
    <row r="652" spans="1:8" x14ac:dyDescent="0.25">
      <c r="A652" s="52">
        <v>640</v>
      </c>
      <c r="B652" s="58" t="s">
        <v>1287</v>
      </c>
      <c r="C652" s="65" t="s">
        <v>1285</v>
      </c>
      <c r="D652" s="52" t="s">
        <v>2206</v>
      </c>
      <c r="E652" s="66">
        <v>121.44</v>
      </c>
      <c r="F652" s="13" t="str">
        <f>INDEX(Кат!$I:$I,MATCH(Прайс!$B652,Кат!$G:$G,0))</f>
        <v>БРТ</v>
      </c>
      <c r="G652" s="25">
        <f>INDEX(Кат!$A:$A,MATCH(Прайс!$B652,Кат!$G:$G,0))</f>
        <v>138805</v>
      </c>
      <c r="H652" s="11"/>
    </row>
    <row r="653" spans="1:8" x14ac:dyDescent="0.25">
      <c r="A653" s="52">
        <v>641</v>
      </c>
      <c r="B653" s="58" t="s">
        <v>1288</v>
      </c>
      <c r="C653" s="65" t="s">
        <v>1285</v>
      </c>
      <c r="D653" s="52" t="s">
        <v>2206</v>
      </c>
      <c r="E653" s="66">
        <v>134.63999999999999</v>
      </c>
      <c r="F653" s="13" t="str">
        <f>INDEX(Кат!$I:$I,MATCH(Прайс!$B653,Кат!$G:$G,0))</f>
        <v>БРТ</v>
      </c>
      <c r="G653" s="25">
        <f>INDEX(Кат!$A:$A,MATCH(Прайс!$B653,Кат!$G:$G,0))</f>
        <v>158281</v>
      </c>
      <c r="H653" s="11"/>
    </row>
    <row r="654" spans="1:8" x14ac:dyDescent="0.25">
      <c r="A654" s="52">
        <v>642</v>
      </c>
      <c r="B654" s="58" t="s">
        <v>1289</v>
      </c>
      <c r="C654" s="65" t="s">
        <v>1283</v>
      </c>
      <c r="D654" s="52" t="s">
        <v>2206</v>
      </c>
      <c r="E654" s="66">
        <v>274.17599999999999</v>
      </c>
      <c r="F654" s="13" t="str">
        <f>INDEX(Кат!$I:$I,MATCH(Прайс!$B654,Кат!$G:$G,0))</f>
        <v>БРТ</v>
      </c>
      <c r="G654" s="25">
        <f>INDEX(Кат!$A:$A,MATCH(Прайс!$B654,Кат!$G:$G,0))</f>
        <v>158296</v>
      </c>
      <c r="H654" s="11"/>
    </row>
    <row r="655" spans="1:8" x14ac:dyDescent="0.25">
      <c r="A655" s="52">
        <v>643</v>
      </c>
      <c r="B655" s="58" t="s">
        <v>1290</v>
      </c>
      <c r="C655" s="65" t="s">
        <v>1291</v>
      </c>
      <c r="D655" s="52" t="s">
        <v>2206</v>
      </c>
      <c r="E655" s="66">
        <v>235.00799999999998</v>
      </c>
      <c r="F655" s="13" t="str">
        <f>INDEX(Кат!$I:$I,MATCH(Прайс!$B655,Кат!$G:$G,0))</f>
        <v>БРТ</v>
      </c>
      <c r="G655" s="25">
        <f>INDEX(Кат!$A:$A,MATCH(Прайс!$B655,Кат!$G:$G,0))</f>
        <v>158282</v>
      </c>
      <c r="H655" s="11"/>
    </row>
    <row r="656" spans="1:8" x14ac:dyDescent="0.25">
      <c r="A656" s="52">
        <v>644</v>
      </c>
      <c r="B656" s="58" t="s">
        <v>1292</v>
      </c>
      <c r="C656" s="65" t="s">
        <v>1260</v>
      </c>
      <c r="D656" s="52" t="s">
        <v>2206</v>
      </c>
      <c r="E656" s="66">
        <v>732.4799999999999</v>
      </c>
      <c r="F656" s="13" t="str">
        <f>INDEX(Кат!$I:$I,MATCH(Прайс!$B656,Кат!$G:$G,0))</f>
        <v>БРТ</v>
      </c>
      <c r="G656" s="25">
        <f>INDEX(Кат!$A:$A,MATCH(Прайс!$B656,Кат!$G:$G,0))</f>
        <v>158286</v>
      </c>
      <c r="H656" s="11"/>
    </row>
    <row r="657" spans="1:8" ht="15" customHeight="1" x14ac:dyDescent="0.25">
      <c r="A657" s="52">
        <v>645</v>
      </c>
      <c r="B657" s="58" t="s">
        <v>1293</v>
      </c>
      <c r="C657" s="65" t="s">
        <v>1294</v>
      </c>
      <c r="D657" s="52" t="s">
        <v>2206</v>
      </c>
      <c r="E657" s="66">
        <v>786</v>
      </c>
      <c r="F657" s="13" t="str">
        <f>INDEX(Кат!$I:$I,MATCH(Прайс!$B657,Кат!$G:$G,0))</f>
        <v>БРТ</v>
      </c>
      <c r="G657" s="25">
        <f>INDEX(Кат!$A:$A,MATCH(Прайс!$B657,Кат!$G:$G,0))</f>
        <v>158272</v>
      </c>
      <c r="H657" s="11"/>
    </row>
    <row r="658" spans="1:8" x14ac:dyDescent="0.25">
      <c r="A658" s="52">
        <v>646</v>
      </c>
      <c r="B658" s="58" t="s">
        <v>1295</v>
      </c>
      <c r="C658" s="65" t="s">
        <v>1296</v>
      </c>
      <c r="D658" s="52" t="s">
        <v>2206</v>
      </c>
      <c r="E658" s="66">
        <v>273.048</v>
      </c>
      <c r="F658" s="13" t="str">
        <f>INDEX(Кат!$I:$I,MATCH(Прайс!$B658,Кат!$G:$G,0))</f>
        <v>БРТ</v>
      </c>
      <c r="G658" s="25">
        <f>INDEX(Кат!$A:$A,MATCH(Прайс!$B658,Кат!$G:$G,0))</f>
        <v>158279</v>
      </c>
      <c r="H658" s="11"/>
    </row>
    <row r="659" spans="1:8" x14ac:dyDescent="0.25">
      <c r="A659" s="52">
        <v>647</v>
      </c>
      <c r="B659" s="58" t="s">
        <v>1297</v>
      </c>
      <c r="C659" s="65" t="s">
        <v>1298</v>
      </c>
      <c r="D659" s="52" t="s">
        <v>2206</v>
      </c>
      <c r="E659" s="66">
        <v>163.89600000000002</v>
      </c>
      <c r="F659" s="13" t="str">
        <f>INDEX(Кат!$I:$I,MATCH(Прайс!$B659,Кат!$G:$G,0))</f>
        <v>БРТ</v>
      </c>
      <c r="G659" s="25">
        <f>INDEX(Кат!$A:$A,MATCH(Прайс!$B659,Кат!$G:$G,0))</f>
        <v>158293</v>
      </c>
      <c r="H659" s="11"/>
    </row>
    <row r="660" spans="1:8" x14ac:dyDescent="0.25">
      <c r="A660" s="52">
        <v>648</v>
      </c>
      <c r="B660" s="58" t="s">
        <v>1299</v>
      </c>
      <c r="C660" s="58" t="s">
        <v>1299</v>
      </c>
      <c r="D660" s="52" t="s">
        <v>2206</v>
      </c>
      <c r="E660" s="66">
        <v>215.42400000000001</v>
      </c>
      <c r="F660" s="13" t="str">
        <f>INDEX(Кат!$I:$I,MATCH(Прайс!$B660,Кат!$G:$G,0))</f>
        <v>БРТ</v>
      </c>
      <c r="G660" s="25">
        <f>INDEX(Кат!$A:$A,MATCH(Прайс!$B660,Кат!$G:$G,0))</f>
        <v>138756</v>
      </c>
      <c r="H660" s="11"/>
    </row>
    <row r="661" spans="1:8" x14ac:dyDescent="0.25">
      <c r="A661" s="52">
        <v>649</v>
      </c>
      <c r="B661" s="58" t="s">
        <v>1300</v>
      </c>
      <c r="C661" s="58" t="s">
        <v>1300</v>
      </c>
      <c r="D661" s="52" t="s">
        <v>2206</v>
      </c>
      <c r="E661" s="66">
        <v>231.45839999999998</v>
      </c>
      <c r="F661" s="13" t="str">
        <f>INDEX(Кат!$I:$I,MATCH(Прайс!$B661,Кат!$G:$G,0))</f>
        <v>БРТ</v>
      </c>
      <c r="G661" s="25">
        <f>INDEX(Кат!$A:$A,MATCH(Прайс!$B661,Кат!$G:$G,0))</f>
        <v>138827</v>
      </c>
      <c r="H661" s="11"/>
    </row>
    <row r="662" spans="1:8" x14ac:dyDescent="0.25">
      <c r="A662" s="52">
        <v>650</v>
      </c>
      <c r="B662" s="58" t="s">
        <v>1301</v>
      </c>
      <c r="C662" s="58" t="s">
        <v>1302</v>
      </c>
      <c r="D662" s="52" t="s">
        <v>2206</v>
      </c>
      <c r="E662" s="66">
        <v>90</v>
      </c>
      <c r="F662" s="13" t="e">
        <f>INDEX(Кат!$I:$I,MATCH(Прайс!$B662,Кат!$G:$G,0))</f>
        <v>#N/A</v>
      </c>
      <c r="G662" s="25" t="e">
        <f>INDEX(Кат!$A:$A,MATCH(Прайс!$B662,Кат!$G:$G,0))</f>
        <v>#N/A</v>
      </c>
      <c r="H662" s="11"/>
    </row>
    <row r="663" spans="1:8" x14ac:dyDescent="0.25">
      <c r="A663" s="52">
        <v>651</v>
      </c>
      <c r="B663" s="58" t="s">
        <v>1303</v>
      </c>
      <c r="C663" s="58" t="s">
        <v>1304</v>
      </c>
      <c r="D663" s="52" t="s">
        <v>2206</v>
      </c>
      <c r="E663" s="66">
        <v>121.44</v>
      </c>
      <c r="F663" s="13" t="e">
        <f>INDEX(Кат!$I:$I,MATCH(Прайс!$B663,Кат!$G:$G,0))</f>
        <v>#N/A</v>
      </c>
      <c r="G663" s="25" t="e">
        <f>INDEX(Кат!$A:$A,MATCH(Прайс!$B663,Кат!$G:$G,0))</f>
        <v>#N/A</v>
      </c>
      <c r="H663" s="11"/>
    </row>
    <row r="664" spans="1:8" x14ac:dyDescent="0.25">
      <c r="A664" s="52">
        <v>652</v>
      </c>
      <c r="B664" s="58" t="s">
        <v>1305</v>
      </c>
      <c r="C664" s="58" t="s">
        <v>1306</v>
      </c>
      <c r="D664" s="52" t="s">
        <v>2206</v>
      </c>
      <c r="E664" s="66">
        <v>201.96</v>
      </c>
      <c r="F664" s="13" t="str">
        <f>INDEX(Кат!$I:$I,MATCH(Прайс!$B664,Кат!$G:$G,0))</f>
        <v>БРТ</v>
      </c>
      <c r="G664" s="25">
        <f>INDEX(Кат!$A:$A,MATCH(Прайс!$B664,Кат!$G:$G,0))</f>
        <v>158277</v>
      </c>
      <c r="H664" s="11"/>
    </row>
    <row r="665" spans="1:8" x14ac:dyDescent="0.25">
      <c r="A665" s="52">
        <v>653</v>
      </c>
      <c r="B665" s="58" t="s">
        <v>1307</v>
      </c>
      <c r="C665" s="58" t="s">
        <v>1306</v>
      </c>
      <c r="D665" s="52" t="s">
        <v>2206</v>
      </c>
      <c r="E665" s="66">
        <v>241.12799999999999</v>
      </c>
      <c r="F665" s="13" t="str">
        <f>INDEX(Кат!$I:$I,MATCH(Прайс!$B665,Кат!$G:$G,0))</f>
        <v>БРТ</v>
      </c>
      <c r="G665" s="25">
        <f>INDEX(Кат!$A:$A,MATCH(Прайс!$B665,Кат!$G:$G,0))</f>
        <v>158291</v>
      </c>
      <c r="H665" s="11"/>
    </row>
    <row r="666" spans="1:8" x14ac:dyDescent="0.25">
      <c r="A666" s="52">
        <v>654</v>
      </c>
      <c r="B666" s="58" t="s">
        <v>1308</v>
      </c>
      <c r="C666" s="58" t="s">
        <v>1306</v>
      </c>
      <c r="D666" s="52" t="s">
        <v>2206</v>
      </c>
      <c r="E666" s="66">
        <v>514.08000000000004</v>
      </c>
      <c r="F666" s="13" t="str">
        <f>INDEX(Кат!$I:$I,MATCH(Прайс!$B666,Кат!$G:$G,0))</f>
        <v>БРТ</v>
      </c>
      <c r="G666" s="25">
        <f>INDEX(Кат!$A:$A,MATCH(Прайс!$B666,Кат!$G:$G,0))</f>
        <v>158278</v>
      </c>
      <c r="H666" s="11"/>
    </row>
    <row r="667" spans="1:8" x14ac:dyDescent="0.25">
      <c r="A667" s="52">
        <v>655</v>
      </c>
      <c r="B667" s="58" t="s">
        <v>1309</v>
      </c>
      <c r="C667" s="58" t="s">
        <v>1306</v>
      </c>
      <c r="D667" s="52" t="s">
        <v>2206</v>
      </c>
      <c r="E667" s="66">
        <v>374.54399999999998</v>
      </c>
      <c r="F667" s="13" t="str">
        <f>INDEX(Кат!$I:$I,MATCH(Прайс!$B667,Кат!$G:$G,0))</f>
        <v>БРТ</v>
      </c>
      <c r="G667" s="25">
        <f>INDEX(Кат!$A:$A,MATCH(Прайс!$B667,Кат!$G:$G,0))</f>
        <v>158292</v>
      </c>
      <c r="H667" s="11"/>
    </row>
    <row r="668" spans="1:8" x14ac:dyDescent="0.25">
      <c r="A668" s="52">
        <v>656</v>
      </c>
      <c r="B668" s="58" t="s">
        <v>1310</v>
      </c>
      <c r="C668" s="58" t="s">
        <v>1306</v>
      </c>
      <c r="D668" s="52" t="s">
        <v>2206</v>
      </c>
      <c r="E668" s="66">
        <v>174.2364</v>
      </c>
      <c r="F668" s="13" t="str">
        <f>INDEX(Кат!$I:$I,MATCH(Прайс!$B668,Кат!$G:$G,0))</f>
        <v>БРТ</v>
      </c>
      <c r="G668" s="25">
        <f>INDEX(Кат!$A:$A,MATCH(Прайс!$B668,Кат!$G:$G,0))</f>
        <v>158290</v>
      </c>
      <c r="H668" s="11"/>
    </row>
    <row r="669" spans="1:8" x14ac:dyDescent="0.25">
      <c r="A669" s="52">
        <v>657</v>
      </c>
      <c r="B669" s="58" t="s">
        <v>1311</v>
      </c>
      <c r="C669" s="58" t="s">
        <v>1306</v>
      </c>
      <c r="D669" s="52" t="s">
        <v>2206</v>
      </c>
      <c r="E669" s="66">
        <v>194.00400000000002</v>
      </c>
      <c r="F669" s="13" t="str">
        <f>INDEX(Кат!$I:$I,MATCH(Прайс!$B669,Кат!$G:$G,0))</f>
        <v>БРТ</v>
      </c>
      <c r="G669" s="25">
        <f>INDEX(Кат!$A:$A,MATCH(Прайс!$B669,Кат!$G:$G,0))</f>
        <v>158276</v>
      </c>
      <c r="H669" s="11"/>
    </row>
    <row r="670" spans="1:8" x14ac:dyDescent="0.25">
      <c r="A670" s="52">
        <v>658</v>
      </c>
      <c r="B670" s="58" t="s">
        <v>1512</v>
      </c>
      <c r="C670" s="58"/>
      <c r="D670" s="52" t="s">
        <v>2206</v>
      </c>
      <c r="E670" s="66">
        <v>1405.8</v>
      </c>
      <c r="F670" s="13" t="str">
        <f>INDEX(Кат!$I:$I,MATCH(Прайс!$B670,Кат!$G:$G,0))</f>
        <v>БРТ</v>
      </c>
      <c r="G670" s="25">
        <f>INDEX(Кат!$A:$A,MATCH(Прайс!$B670,Кат!$G:$G,0))</f>
        <v>139156</v>
      </c>
      <c r="H670" s="11"/>
    </row>
    <row r="671" spans="1:8" x14ac:dyDescent="0.25">
      <c r="A671" s="52">
        <v>659</v>
      </c>
      <c r="B671" s="58" t="s">
        <v>1312</v>
      </c>
      <c r="C671" s="58"/>
      <c r="D671" s="52" t="s">
        <v>2194</v>
      </c>
      <c r="E671" s="66">
        <v>313.2</v>
      </c>
      <c r="F671" s="13" t="str">
        <f>INDEX(Кат!$I:$I,MATCH(Прайс!$B671,Кат!$G:$G,0))</f>
        <v>БРТ</v>
      </c>
      <c r="G671" s="25">
        <f>INDEX(Кат!$A:$A,MATCH(Прайс!$B671,Кат!$G:$G,0))</f>
        <v>139155</v>
      </c>
      <c r="H671" s="11"/>
    </row>
    <row r="672" spans="1:8" x14ac:dyDescent="0.25">
      <c r="A672" s="52">
        <v>660</v>
      </c>
      <c r="B672" s="58" t="s">
        <v>1313</v>
      </c>
      <c r="C672" s="58"/>
      <c r="D672" s="52" t="s">
        <v>2206</v>
      </c>
      <c r="E672" s="66">
        <v>1032</v>
      </c>
      <c r="F672" s="13" t="str">
        <f>INDEX(Кат!$I:$I,MATCH(Прайс!$B672,Кат!$G:$G,0))</f>
        <v>БРТ</v>
      </c>
      <c r="G672" s="25">
        <f>INDEX(Кат!$A:$A,MATCH(Прайс!$B672,Кат!$G:$G,0))</f>
        <v>139158</v>
      </c>
      <c r="H672" s="11"/>
    </row>
    <row r="673" spans="1:8" x14ac:dyDescent="0.25">
      <c r="A673" s="52">
        <v>661</v>
      </c>
      <c r="B673" s="58" t="s">
        <v>1513</v>
      </c>
      <c r="C673" s="58"/>
      <c r="D673" s="52" t="s">
        <v>2206</v>
      </c>
      <c r="E673" s="66">
        <v>944.4</v>
      </c>
      <c r="F673" s="13" t="str">
        <f>INDEX(Кат!$I:$I,MATCH(Прайс!$B673,Кат!$G:$G,0))</f>
        <v>БРТ</v>
      </c>
      <c r="G673" s="25">
        <f>INDEX(Кат!$A:$A,MATCH(Прайс!$B673,Кат!$G:$G,0))</f>
        <v>139159</v>
      </c>
      <c r="H673" s="11"/>
    </row>
    <row r="674" spans="1:8" x14ac:dyDescent="0.25">
      <c r="A674" s="52">
        <v>662</v>
      </c>
      <c r="B674" s="58" t="s">
        <v>1314</v>
      </c>
      <c r="C674" s="58"/>
      <c r="D674" s="52" t="s">
        <v>2206</v>
      </c>
      <c r="E674" s="66">
        <v>708</v>
      </c>
      <c r="F674" s="13" t="str">
        <f>INDEX(Кат!$I:$I,MATCH(Прайс!$B674,Кат!$G:$G,0))</f>
        <v>БРТ</v>
      </c>
      <c r="G674" s="25">
        <f>INDEX(Кат!$A:$A,MATCH(Прайс!$B674,Кат!$G:$G,0))</f>
        <v>158299</v>
      </c>
      <c r="H674" s="11"/>
    </row>
    <row r="675" spans="1:8" x14ac:dyDescent="0.25">
      <c r="A675" s="52">
        <v>663</v>
      </c>
      <c r="B675" s="58" t="s">
        <v>1315</v>
      </c>
      <c r="C675" s="58" t="s">
        <v>1316</v>
      </c>
      <c r="D675" s="52" t="s">
        <v>2206</v>
      </c>
      <c r="E675" s="66">
        <v>350.23200000000003</v>
      </c>
      <c r="F675" s="13" t="str">
        <f>INDEX(Кат!$I:$I,MATCH(Прайс!$B675,Кат!$G:$G,0))</f>
        <v>БРТ</v>
      </c>
      <c r="G675" s="25">
        <f>INDEX(Кат!$A:$A,MATCH(Прайс!$B675,Кат!$G:$G,0))</f>
        <v>138758</v>
      </c>
      <c r="H675" s="11"/>
    </row>
    <row r="676" spans="1:8" x14ac:dyDescent="0.25">
      <c r="A676" s="52">
        <v>664</v>
      </c>
      <c r="B676" s="153" t="s">
        <v>1317</v>
      </c>
      <c r="C676" s="153"/>
      <c r="D676" s="153"/>
      <c r="E676" s="66">
        <v>0</v>
      </c>
      <c r="F676" s="13" t="e">
        <f>INDEX(Кат!$I:$I,MATCH(Прайс!$B676,Кат!$G:$G,0))</f>
        <v>#N/A</v>
      </c>
      <c r="G676" s="25" t="e">
        <f>INDEX(Кат!$A:$A,MATCH(Прайс!$B676,Кат!$G:$G,0))</f>
        <v>#N/A</v>
      </c>
      <c r="H676" s="11"/>
    </row>
    <row r="677" spans="1:8" x14ac:dyDescent="0.25">
      <c r="A677" s="52">
        <v>665</v>
      </c>
      <c r="B677" s="58" t="s">
        <v>233</v>
      </c>
      <c r="C677" s="58" t="s">
        <v>1318</v>
      </c>
      <c r="D677" s="52" t="s">
        <v>2194</v>
      </c>
      <c r="E677" s="66">
        <v>577.63199999999995</v>
      </c>
      <c r="F677" s="13" t="str">
        <f>INDEX(Кат!$I:$I,MATCH(Прайс!$B677,Кат!$G:$G,0))</f>
        <v>БРТ</v>
      </c>
      <c r="G677" s="25">
        <f>INDEX(Кат!$A:$A,MATCH(Прайс!$B677,Кат!$G:$G,0))</f>
        <v>194597</v>
      </c>
      <c r="H677" s="11"/>
    </row>
    <row r="678" spans="1:8" x14ac:dyDescent="0.25">
      <c r="A678" s="52">
        <v>666</v>
      </c>
      <c r="B678" s="58" t="s">
        <v>222</v>
      </c>
      <c r="C678" s="58" t="s">
        <v>1319</v>
      </c>
      <c r="D678" s="52" t="s">
        <v>2194</v>
      </c>
      <c r="E678" s="66">
        <v>1063.8</v>
      </c>
      <c r="F678" s="13" t="str">
        <f>INDEX(Кат!$I:$I,MATCH(Прайс!$B678,Кат!$G:$G,0))</f>
        <v>БРТ</v>
      </c>
      <c r="G678" s="25">
        <f>INDEX(Кат!$A:$A,MATCH(Прайс!$B678,Кат!$G:$G,0))</f>
        <v>180978</v>
      </c>
      <c r="H678" s="11"/>
    </row>
    <row r="679" spans="1:8" x14ac:dyDescent="0.25">
      <c r="A679" s="52">
        <v>667</v>
      </c>
      <c r="B679" s="58" t="s">
        <v>226</v>
      </c>
      <c r="C679" s="58" t="s">
        <v>1320</v>
      </c>
      <c r="D679" s="52" t="s">
        <v>2194</v>
      </c>
      <c r="E679" s="66">
        <v>498.73199999999997</v>
      </c>
      <c r="F679" s="13" t="str">
        <f>INDEX(Кат!$I:$I,MATCH(Прайс!$B679,Кат!$G:$G,0))</f>
        <v>БРТ</v>
      </c>
      <c r="G679" s="25">
        <f>INDEX(Кат!$A:$A,MATCH(Прайс!$B679,Кат!$G:$G,0))</f>
        <v>181661</v>
      </c>
      <c r="H679" s="11"/>
    </row>
    <row r="680" spans="1:8" x14ac:dyDescent="0.25">
      <c r="A680" s="52">
        <v>668</v>
      </c>
      <c r="B680" s="58" t="s">
        <v>225</v>
      </c>
      <c r="C680" s="58" t="s">
        <v>1321</v>
      </c>
      <c r="D680" s="52" t="s">
        <v>2194</v>
      </c>
      <c r="E680" s="66">
        <v>1406.5800000000002</v>
      </c>
      <c r="F680" s="13" t="str">
        <f>INDEX(Кат!$I:$I,MATCH(Прайс!$B680,Кат!$G:$G,0))</f>
        <v>БРТ</v>
      </c>
      <c r="G680" s="25">
        <f>INDEX(Кат!$A:$A,MATCH(Прайс!$B680,Кат!$G:$G,0))</f>
        <v>181559</v>
      </c>
      <c r="H680" s="11"/>
    </row>
    <row r="681" spans="1:8" x14ac:dyDescent="0.25">
      <c r="A681" s="52">
        <v>669</v>
      </c>
      <c r="B681" s="58" t="s">
        <v>227</v>
      </c>
      <c r="C681" s="58" t="s">
        <v>961</v>
      </c>
      <c r="D681" s="52" t="s">
        <v>2194</v>
      </c>
      <c r="E681" s="66">
        <v>642.17999999999995</v>
      </c>
      <c r="F681" s="13" t="str">
        <f>INDEX(Кат!$I:$I,MATCH(Прайс!$B681,Кат!$G:$G,0))</f>
        <v>БРТ</v>
      </c>
      <c r="G681" s="25">
        <f>INDEX(Кат!$A:$A,MATCH(Прайс!$B681,Кат!$G:$G,0))</f>
        <v>160772</v>
      </c>
      <c r="H681" s="11"/>
    </row>
    <row r="682" spans="1:8" x14ac:dyDescent="0.25">
      <c r="A682" s="52">
        <v>670</v>
      </c>
      <c r="B682" s="58" t="s">
        <v>302</v>
      </c>
      <c r="C682" s="58" t="s">
        <v>1322</v>
      </c>
      <c r="D682" s="52" t="s">
        <v>2194</v>
      </c>
      <c r="E682" s="66">
        <v>967.06799999999998</v>
      </c>
      <c r="F682" s="13" t="str">
        <f>INDEX(Кат!$I:$I,MATCH(Прайс!$B682,Кат!$G:$G,0))</f>
        <v>БРТ</v>
      </c>
      <c r="G682" s="25">
        <f>INDEX(Кат!$A:$A,MATCH(Прайс!$B682,Кат!$G:$G,0))</f>
        <v>181653</v>
      </c>
      <c r="H682" s="11"/>
    </row>
    <row r="683" spans="1:8" x14ac:dyDescent="0.25">
      <c r="A683" s="52">
        <v>671</v>
      </c>
      <c r="B683" s="58" t="s">
        <v>311</v>
      </c>
      <c r="C683" s="58" t="s">
        <v>1323</v>
      </c>
      <c r="D683" s="52" t="s">
        <v>2194</v>
      </c>
      <c r="E683" s="66">
        <v>1202.076</v>
      </c>
      <c r="F683" s="13" t="str">
        <f>INDEX(Кат!$I:$I,MATCH(Прайс!$B683,Кат!$G:$G,0))</f>
        <v>БРТ</v>
      </c>
      <c r="G683" s="25">
        <f>INDEX(Кат!$A:$A,MATCH(Прайс!$B683,Кат!$G:$G,0))</f>
        <v>160729</v>
      </c>
      <c r="H683" s="11"/>
    </row>
    <row r="684" spans="1:8" x14ac:dyDescent="0.25">
      <c r="A684" s="52">
        <v>672</v>
      </c>
      <c r="B684" s="58" t="s">
        <v>312</v>
      </c>
      <c r="C684" s="58" t="s">
        <v>1324</v>
      </c>
      <c r="D684" s="52" t="s">
        <v>2194</v>
      </c>
      <c r="E684" s="66">
        <v>740.35199999999998</v>
      </c>
      <c r="F684" s="13" t="str">
        <f>INDEX(Кат!$I:$I,MATCH(Прайс!$B684,Кат!$G:$G,0))</f>
        <v>БРТ</v>
      </c>
      <c r="G684" s="25">
        <f>INDEX(Кат!$A:$A,MATCH(Прайс!$B684,Кат!$G:$G,0))</f>
        <v>160641</v>
      </c>
      <c r="H684" s="11"/>
    </row>
    <row r="685" spans="1:8" x14ac:dyDescent="0.25">
      <c r="A685" s="52">
        <v>673</v>
      </c>
      <c r="B685" s="58" t="s">
        <v>313</v>
      </c>
      <c r="C685" s="58" t="s">
        <v>1325</v>
      </c>
      <c r="D685" s="52" t="s">
        <v>2194</v>
      </c>
      <c r="E685" s="66">
        <v>717.78</v>
      </c>
      <c r="F685" s="13" t="str">
        <f>INDEX(Кат!$I:$I,MATCH(Прайс!$B685,Кат!$G:$G,0))</f>
        <v>БРТ</v>
      </c>
      <c r="G685" s="25">
        <f>INDEX(Кат!$A:$A,MATCH(Прайс!$B685,Кат!$G:$G,0))</f>
        <v>160714</v>
      </c>
      <c r="H685" s="11"/>
    </row>
    <row r="686" spans="1:8" x14ac:dyDescent="0.25">
      <c r="A686" s="52">
        <v>674</v>
      </c>
      <c r="B686" s="58" t="s">
        <v>343</v>
      </c>
      <c r="C686" s="58" t="s">
        <v>1326</v>
      </c>
      <c r="D686" s="52" t="s">
        <v>2194</v>
      </c>
      <c r="E686" s="66">
        <v>1300.4759999999999</v>
      </c>
      <c r="F686" s="13" t="str">
        <f>INDEX(Кат!$I:$I,MATCH(Прайс!$B686,Кат!$G:$G,0))</f>
        <v>БРТ</v>
      </c>
      <c r="G686" s="25">
        <f>INDEX(Кат!$A:$A,MATCH(Прайс!$B686,Кат!$G:$G,0))</f>
        <v>181577</v>
      </c>
      <c r="H686" s="11"/>
    </row>
    <row r="687" spans="1:8" x14ac:dyDescent="0.25">
      <c r="A687" s="52">
        <v>675</v>
      </c>
      <c r="B687" s="58" t="s">
        <v>345</v>
      </c>
      <c r="C687" s="58" t="s">
        <v>1327</v>
      </c>
      <c r="D687" s="52" t="s">
        <v>2194</v>
      </c>
      <c r="E687" s="66">
        <v>531.78</v>
      </c>
      <c r="F687" s="13" t="str">
        <f>INDEX(Кат!$I:$I,MATCH(Прайс!$B687,Кат!$G:$G,0))</f>
        <v>БРТ</v>
      </c>
      <c r="G687" s="25">
        <f>INDEX(Кат!$A:$A,MATCH(Прайс!$B687,Кат!$G:$G,0))</f>
        <v>160570</v>
      </c>
      <c r="H687" s="11"/>
    </row>
    <row r="688" spans="1:8" x14ac:dyDescent="0.25">
      <c r="A688" s="52">
        <v>676</v>
      </c>
      <c r="B688" s="58" t="s">
        <v>395</v>
      </c>
      <c r="C688" s="58" t="s">
        <v>1328</v>
      </c>
      <c r="D688" s="52" t="s">
        <v>2194</v>
      </c>
      <c r="E688" s="66">
        <v>1407.2639999999999</v>
      </c>
      <c r="F688" s="13" t="str">
        <f>INDEX(Кат!$I:$I,MATCH(Прайс!$B688,Кат!$G:$G,0))</f>
        <v>БРТ</v>
      </c>
      <c r="G688" s="25">
        <f>INDEX(Кат!$A:$A,MATCH(Прайс!$B688,Кат!$G:$G,0))</f>
        <v>181561</v>
      </c>
      <c r="H688" s="11"/>
    </row>
    <row r="689" spans="1:8" x14ac:dyDescent="0.25">
      <c r="A689" s="52">
        <v>677</v>
      </c>
      <c r="B689" s="58" t="s">
        <v>394</v>
      </c>
      <c r="C689" s="58" t="s">
        <v>1329</v>
      </c>
      <c r="D689" s="52" t="s">
        <v>2194</v>
      </c>
      <c r="E689" s="66">
        <v>650.04000000000008</v>
      </c>
      <c r="F689" s="13" t="str">
        <f>INDEX(Кат!$I:$I,MATCH(Прайс!$B689,Кат!$G:$G,0))</f>
        <v>БРТ</v>
      </c>
      <c r="G689" s="25">
        <f>INDEX(Кат!$A:$A,MATCH(Прайс!$B689,Кат!$G:$G,0))</f>
        <v>181700</v>
      </c>
      <c r="H689" s="11"/>
    </row>
    <row r="690" spans="1:8" x14ac:dyDescent="0.25">
      <c r="A690" s="52">
        <v>678</v>
      </c>
      <c r="B690" s="58" t="s">
        <v>419</v>
      </c>
      <c r="C690" s="58" t="s">
        <v>1207</v>
      </c>
      <c r="D690" s="52" t="s">
        <v>2194</v>
      </c>
      <c r="E690" s="66">
        <v>794.16</v>
      </c>
      <c r="F690" s="13" t="str">
        <f>INDEX(Кат!$I:$I,MATCH(Прайс!$B690,Кат!$G:$G,0))</f>
        <v>БРТ</v>
      </c>
      <c r="G690" s="25">
        <f>INDEX(Кат!$A:$A,MATCH(Прайс!$B690,Кат!$G:$G,0))</f>
        <v>194598</v>
      </c>
      <c r="H690" s="11"/>
    </row>
    <row r="691" spans="1:8" x14ac:dyDescent="0.25">
      <c r="A691" s="52">
        <v>679</v>
      </c>
      <c r="B691" s="58" t="s">
        <v>381</v>
      </c>
      <c r="C691" s="58" t="s">
        <v>1330</v>
      </c>
      <c r="D691" s="52" t="s">
        <v>2194</v>
      </c>
      <c r="E691" s="66">
        <v>663.44399999999996</v>
      </c>
      <c r="F691" s="13" t="str">
        <f>INDEX(Кат!$I:$I,MATCH(Прайс!$B691,Кат!$G:$G,0))</f>
        <v>БРТ</v>
      </c>
      <c r="G691" s="25">
        <f>INDEX(Кат!$A:$A,MATCH(Прайс!$B691,Кат!$G:$G,0))</f>
        <v>181601</v>
      </c>
      <c r="H691" s="11"/>
    </row>
    <row r="692" spans="1:8" x14ac:dyDescent="0.25">
      <c r="A692" s="52">
        <v>680</v>
      </c>
      <c r="B692" s="58" t="s">
        <v>382</v>
      </c>
      <c r="C692" s="58" t="s">
        <v>1330</v>
      </c>
      <c r="D692" s="52" t="s">
        <v>2194</v>
      </c>
      <c r="E692" s="66">
        <v>663.44399999999996</v>
      </c>
      <c r="F692" s="13" t="str">
        <f>INDEX(Кат!$I:$I,MATCH(Прайс!$B692,Кат!$G:$G,0))</f>
        <v>БРТ</v>
      </c>
      <c r="G692" s="25">
        <f>INDEX(Кат!$A:$A,MATCH(Прайс!$B692,Кат!$G:$G,0))</f>
        <v>181603</v>
      </c>
      <c r="H692" s="11"/>
    </row>
    <row r="693" spans="1:8" x14ac:dyDescent="0.25">
      <c r="A693" s="52">
        <v>681</v>
      </c>
      <c r="B693" s="58" t="s">
        <v>384</v>
      </c>
      <c r="C693" s="58" t="s">
        <v>1331</v>
      </c>
      <c r="D693" s="52" t="s">
        <v>2194</v>
      </c>
      <c r="E693" s="66">
        <v>1002.276</v>
      </c>
      <c r="F693" s="13" t="str">
        <f>INDEX(Кат!$I:$I,MATCH(Прайс!$B693,Кат!$G:$G,0))</f>
        <v>БРТ</v>
      </c>
      <c r="G693" s="25">
        <f>INDEX(Кат!$A:$A,MATCH(Прайс!$B693,Кат!$G:$G,0))</f>
        <v>181610</v>
      </c>
      <c r="H693" s="11"/>
    </row>
    <row r="694" spans="1:8" x14ac:dyDescent="0.25">
      <c r="A694" s="52">
        <v>682</v>
      </c>
      <c r="B694" s="58" t="s">
        <v>522</v>
      </c>
      <c r="C694" s="58" t="s">
        <v>1321</v>
      </c>
      <c r="D694" s="52" t="s">
        <v>2194</v>
      </c>
      <c r="E694" s="66">
        <v>1454.1959999999999</v>
      </c>
      <c r="F694" s="13" t="str">
        <f>INDEX(Кат!$I:$I,MATCH(Прайс!$B694,Кат!$G:$G,0))</f>
        <v>БРТ</v>
      </c>
      <c r="G694" s="25">
        <f>INDEX(Кат!$A:$A,MATCH(Прайс!$B694,Кат!$G:$G,0))</f>
        <v>181560</v>
      </c>
      <c r="H694" s="11"/>
    </row>
    <row r="695" spans="1:8" x14ac:dyDescent="0.25">
      <c r="A695" s="52">
        <v>683</v>
      </c>
      <c r="B695" s="58" t="s">
        <v>523</v>
      </c>
      <c r="C695" s="58" t="s">
        <v>1328</v>
      </c>
      <c r="D695" s="52" t="s">
        <v>2194</v>
      </c>
      <c r="E695" s="66">
        <v>577.39200000000005</v>
      </c>
      <c r="F695" s="13" t="str">
        <f>INDEX(Кат!$I:$I,MATCH(Прайс!$B695,Кат!$G:$G,0))</f>
        <v>БРТ</v>
      </c>
      <c r="G695" s="25">
        <f>INDEX(Кат!$A:$A,MATCH(Прайс!$B695,Кат!$G:$G,0))</f>
        <v>181576</v>
      </c>
      <c r="H695" s="11"/>
    </row>
    <row r="696" spans="1:8" x14ac:dyDescent="0.25">
      <c r="A696" s="52">
        <v>684</v>
      </c>
      <c r="B696" s="58" t="s">
        <v>1332</v>
      </c>
      <c r="C696" s="58" t="s">
        <v>1333</v>
      </c>
      <c r="D696" s="52" t="s">
        <v>2194</v>
      </c>
      <c r="E696" s="66">
        <v>375.33599999999996</v>
      </c>
      <c r="F696" s="13" t="e">
        <f>INDEX(Кат!$I:$I,MATCH(Прайс!$B696,Кат!$G:$G,0))</f>
        <v>#N/A</v>
      </c>
      <c r="G696" s="25" t="e">
        <f>INDEX(Кат!$A:$A,MATCH(Прайс!$B696,Кат!$G:$G,0))</f>
        <v>#N/A</v>
      </c>
      <c r="H696" s="11"/>
    </row>
    <row r="697" spans="1:8" x14ac:dyDescent="0.25">
      <c r="A697" s="52">
        <v>685</v>
      </c>
      <c r="B697" s="58" t="s">
        <v>1062</v>
      </c>
      <c r="C697" s="58" t="s">
        <v>1334</v>
      </c>
      <c r="D697" s="52" t="s">
        <v>2194</v>
      </c>
      <c r="E697" s="66">
        <v>339.53999999999996</v>
      </c>
      <c r="F697" s="13" t="str">
        <f>INDEX(Кат!$I:$I,MATCH(Прайс!$B697,Кат!$G:$G,0))</f>
        <v>БРТ</v>
      </c>
      <c r="G697" s="25">
        <f>INDEX(Кат!$A:$A,MATCH(Прайс!$B697,Кат!$G:$G,0))</f>
        <v>213169</v>
      </c>
      <c r="H697" s="11"/>
    </row>
    <row r="698" spans="1:8" s="12" customFormat="1" x14ac:dyDescent="0.25">
      <c r="A698" s="52">
        <v>686</v>
      </c>
      <c r="B698" s="58" t="s">
        <v>1335</v>
      </c>
      <c r="C698" s="58" t="s">
        <v>1336</v>
      </c>
      <c r="D698" s="52" t="s">
        <v>2194</v>
      </c>
      <c r="E698" s="66">
        <v>351.68399999999997</v>
      </c>
      <c r="F698" s="13" t="e">
        <f>INDEX(Кат!$I:$I,MATCH(Прайс!$B698,Кат!$G:$G,0))</f>
        <v>#N/A</v>
      </c>
      <c r="G698" s="25" t="e">
        <f>INDEX(Кат!$A:$A,MATCH(Прайс!$B698,Кат!$G:$G,0))</f>
        <v>#N/A</v>
      </c>
      <c r="H698" s="11"/>
    </row>
    <row r="699" spans="1:8" ht="15.75" customHeight="1" x14ac:dyDescent="0.25">
      <c r="A699" s="52">
        <v>687</v>
      </c>
      <c r="B699" s="58" t="s">
        <v>1337</v>
      </c>
      <c r="C699" s="58" t="s">
        <v>1338</v>
      </c>
      <c r="D699" s="52" t="s">
        <v>2194</v>
      </c>
      <c r="E699" s="66">
        <v>351.68399999999997</v>
      </c>
      <c r="F699" s="13" t="e">
        <f>INDEX(Кат!$I:$I,MATCH(Прайс!$B699,Кат!$G:$G,0))</f>
        <v>#N/A</v>
      </c>
      <c r="G699" s="25" t="e">
        <f>INDEX(Кат!$A:$A,MATCH(Прайс!$B699,Кат!$G:$G,0))</f>
        <v>#N/A</v>
      </c>
      <c r="H699" s="11"/>
    </row>
    <row r="700" spans="1:8" ht="15.75" customHeight="1" x14ac:dyDescent="0.25">
      <c r="A700" s="52">
        <v>688</v>
      </c>
      <c r="B700" s="58" t="s">
        <v>1339</v>
      </c>
      <c r="C700" s="58" t="s">
        <v>1340</v>
      </c>
      <c r="D700" s="52" t="s">
        <v>2194</v>
      </c>
      <c r="E700" s="66">
        <v>819.3359999999999</v>
      </c>
      <c r="F700" s="13" t="e">
        <f>INDEX(Кат!$I:$I,MATCH(Прайс!$B700,Кат!$G:$G,0))</f>
        <v>#N/A</v>
      </c>
      <c r="G700" s="25" t="e">
        <f>INDEX(Кат!$A:$A,MATCH(Прайс!$B700,Кат!$G:$G,0))</f>
        <v>#N/A</v>
      </c>
      <c r="H700" s="11"/>
    </row>
    <row r="701" spans="1:8" ht="15.75" customHeight="1" x14ac:dyDescent="0.25">
      <c r="A701" s="52">
        <v>689</v>
      </c>
      <c r="B701" s="58" t="s">
        <v>1341</v>
      </c>
      <c r="C701" s="58" t="s">
        <v>1342</v>
      </c>
      <c r="D701" s="52" t="s">
        <v>2194</v>
      </c>
      <c r="E701" s="66">
        <v>684.26400000000001</v>
      </c>
      <c r="F701" s="13" t="e">
        <f>INDEX(Кат!$I:$I,MATCH(Прайс!$B701,Кат!$G:$G,0))</f>
        <v>#N/A</v>
      </c>
      <c r="G701" s="25" t="e">
        <f>INDEX(Кат!$A:$A,MATCH(Прайс!$B701,Кат!$G:$G,0))</f>
        <v>#N/A</v>
      </c>
      <c r="H701" s="11"/>
    </row>
    <row r="702" spans="1:8" ht="15.75" customHeight="1" x14ac:dyDescent="0.25">
      <c r="A702" s="52">
        <v>690</v>
      </c>
      <c r="B702" s="61" t="s">
        <v>2231</v>
      </c>
      <c r="C702" s="86"/>
      <c r="D702" s="63"/>
      <c r="E702" s="66">
        <v>0</v>
      </c>
      <c r="F702" s="13" t="e">
        <f>INDEX(Кат!$I:$I,MATCH(Прайс!$B702,Кат!$G:$G,0))</f>
        <v>#N/A</v>
      </c>
      <c r="G702" s="25" t="e">
        <f>INDEX(Кат!$A:$A,MATCH(Прайс!$B702,Кат!$G:$G,0))</f>
        <v>#N/A</v>
      </c>
      <c r="H702" s="11"/>
    </row>
    <row r="703" spans="1:8" ht="15.75" customHeight="1" x14ac:dyDescent="0.25">
      <c r="A703" s="52">
        <v>691</v>
      </c>
      <c r="B703" s="58" t="s">
        <v>1343</v>
      </c>
      <c r="C703" s="58" t="s">
        <v>1344</v>
      </c>
      <c r="D703" s="52" t="s">
        <v>2207</v>
      </c>
      <c r="E703" s="66">
        <v>344.46</v>
      </c>
      <c r="F703" s="13" t="e">
        <f>INDEX(Кат!$I:$I,MATCH(Прайс!$B703,Кат!$G:$G,0))</f>
        <v>#N/A</v>
      </c>
      <c r="G703" s="25" t="e">
        <f>INDEX(Кат!$A:$A,MATCH(Прайс!$B703,Кат!$G:$G,0))</f>
        <v>#N/A</v>
      </c>
      <c r="H703" s="11"/>
    </row>
    <row r="704" spans="1:8" ht="15.75" customHeight="1" x14ac:dyDescent="0.25">
      <c r="A704" s="52">
        <v>692</v>
      </c>
      <c r="B704" s="58" t="s">
        <v>1345</v>
      </c>
      <c r="C704" s="58" t="s">
        <v>1346</v>
      </c>
      <c r="D704" s="52" t="s">
        <v>2207</v>
      </c>
      <c r="E704" s="66">
        <v>342.53999999999996</v>
      </c>
      <c r="F704" s="13" t="e">
        <f>INDEX(Кат!$I:$I,MATCH(Прайс!$B704,Кат!$G:$G,0))</f>
        <v>#N/A</v>
      </c>
      <c r="G704" s="25" t="e">
        <f>INDEX(Кат!$A:$A,MATCH(Прайс!$B704,Кат!$G:$G,0))</f>
        <v>#N/A</v>
      </c>
      <c r="H704" s="11"/>
    </row>
    <row r="705" spans="1:9" ht="15.75" customHeight="1" x14ac:dyDescent="0.25">
      <c r="A705" s="52">
        <v>693</v>
      </c>
      <c r="B705" s="58" t="s">
        <v>1347</v>
      </c>
      <c r="C705" s="58" t="s">
        <v>1348</v>
      </c>
      <c r="D705" s="52" t="s">
        <v>2207</v>
      </c>
      <c r="E705" s="66">
        <v>294.18</v>
      </c>
      <c r="F705" s="13" t="e">
        <f>INDEX(Кат!$I:$I,MATCH(Прайс!$B705,Кат!$G:$G,0))</f>
        <v>#N/A</v>
      </c>
      <c r="G705" s="25" t="e">
        <f>INDEX(Кат!$A:$A,MATCH(Прайс!$B705,Кат!$G:$G,0))</f>
        <v>#N/A</v>
      </c>
      <c r="H705" s="11"/>
    </row>
    <row r="706" spans="1:9" ht="15.75" customHeight="1" x14ac:dyDescent="0.25">
      <c r="A706" s="52">
        <v>694</v>
      </c>
      <c r="B706" s="58" t="s">
        <v>1349</v>
      </c>
      <c r="C706" s="58" t="s">
        <v>1350</v>
      </c>
      <c r="D706" s="52" t="s">
        <v>2207</v>
      </c>
      <c r="E706" s="66">
        <v>294.71999999999997</v>
      </c>
      <c r="F706" s="13" t="e">
        <f>INDEX(Кат!$I:$I,MATCH(Прайс!$B706,Кат!$G:$G,0))</f>
        <v>#N/A</v>
      </c>
      <c r="G706" s="25" t="e">
        <f>INDEX(Кат!$A:$A,MATCH(Прайс!$B706,Кат!$G:$G,0))</f>
        <v>#N/A</v>
      </c>
      <c r="H706" s="11"/>
    </row>
    <row r="707" spans="1:9" ht="12.75" customHeight="1" x14ac:dyDescent="0.25">
      <c r="A707" s="52">
        <v>695</v>
      </c>
      <c r="B707" s="58" t="s">
        <v>1351</v>
      </c>
      <c r="C707" s="58" t="s">
        <v>1352</v>
      </c>
      <c r="D707" s="52" t="s">
        <v>2207</v>
      </c>
      <c r="E707" s="66">
        <v>309.53999999999996</v>
      </c>
      <c r="F707" s="13" t="e">
        <f>INDEX(Кат!$I:$I,MATCH(Прайс!$B707,Кат!$G:$G,0))</f>
        <v>#N/A</v>
      </c>
      <c r="G707" s="25" t="e">
        <f>INDEX(Кат!$A:$A,MATCH(Прайс!$B707,Кат!$G:$G,0))</f>
        <v>#N/A</v>
      </c>
      <c r="H707" s="11"/>
    </row>
    <row r="708" spans="1:9" ht="12.75" customHeight="1" x14ac:dyDescent="0.25">
      <c r="A708" s="52">
        <v>696</v>
      </c>
      <c r="B708" s="58" t="s">
        <v>1353</v>
      </c>
      <c r="C708" s="58" t="s">
        <v>1354</v>
      </c>
      <c r="D708" s="52" t="s">
        <v>2207</v>
      </c>
      <c r="E708" s="66">
        <v>317.94</v>
      </c>
      <c r="F708" s="13" t="e">
        <f>INDEX(Кат!$I:$I,MATCH(Прайс!$B708,Кат!$G:$G,0))</f>
        <v>#N/A</v>
      </c>
      <c r="G708" s="25" t="e">
        <f>INDEX(Кат!$A:$A,MATCH(Прайс!$B708,Кат!$G:$G,0))</f>
        <v>#N/A</v>
      </c>
      <c r="H708" s="11"/>
    </row>
    <row r="709" spans="1:9" ht="12.75" customHeight="1" x14ac:dyDescent="0.25">
      <c r="A709" s="52">
        <v>697</v>
      </c>
      <c r="B709" s="58" t="s">
        <v>1355</v>
      </c>
      <c r="C709" s="58" t="s">
        <v>1356</v>
      </c>
      <c r="D709" s="52" t="s">
        <v>2207</v>
      </c>
      <c r="E709" s="66">
        <v>354.66</v>
      </c>
      <c r="F709" s="13" t="e">
        <f>INDEX(Кат!$I:$I,MATCH(Прайс!$B709,Кат!$G:$G,0))</f>
        <v>#N/A</v>
      </c>
      <c r="G709" s="25" t="e">
        <f>INDEX(Кат!$A:$A,MATCH(Прайс!$B709,Кат!$G:$G,0))</f>
        <v>#N/A</v>
      </c>
      <c r="H709" s="11"/>
    </row>
    <row r="710" spans="1:9" ht="12.75" customHeight="1" x14ac:dyDescent="0.25">
      <c r="A710" s="52">
        <v>698</v>
      </c>
      <c r="B710" s="58" t="s">
        <v>1357</v>
      </c>
      <c r="C710" s="58" t="s">
        <v>1358</v>
      </c>
      <c r="D710" s="52" t="s">
        <v>2207</v>
      </c>
      <c r="E710" s="66">
        <v>353.46</v>
      </c>
      <c r="F710" s="13" t="e">
        <f>INDEX(Кат!$I:$I,MATCH(Прайс!$B710,Кат!$G:$G,0))</f>
        <v>#N/A</v>
      </c>
      <c r="G710" s="25" t="e">
        <f>INDEX(Кат!$A:$A,MATCH(Прайс!$B710,Кат!$G:$G,0))</f>
        <v>#N/A</v>
      </c>
      <c r="H710" s="11"/>
      <c r="I710" s="11"/>
    </row>
    <row r="711" spans="1:9" ht="15.6" customHeight="1" x14ac:dyDescent="0.25">
      <c r="A711" s="52">
        <v>699</v>
      </c>
      <c r="B711" s="58" t="s">
        <v>1359</v>
      </c>
      <c r="C711" s="58" t="s">
        <v>1360</v>
      </c>
      <c r="D711" s="52" t="s">
        <v>2207</v>
      </c>
      <c r="E711" s="66">
        <v>398.82</v>
      </c>
      <c r="F711" s="13" t="e">
        <f>INDEX(Кат!$I:$I,MATCH(Прайс!$B711,Кат!$G:$G,0))</f>
        <v>#N/A</v>
      </c>
      <c r="G711" s="25" t="e">
        <f>INDEX(Кат!$A:$A,MATCH(Прайс!$B711,Кат!$G:$G,0))</f>
        <v>#N/A</v>
      </c>
      <c r="H711" s="11"/>
      <c r="I711" s="11"/>
    </row>
    <row r="712" spans="1:9" ht="12.75" customHeight="1" x14ac:dyDescent="0.25">
      <c r="A712" s="52">
        <v>700</v>
      </c>
      <c r="B712" s="58" t="s">
        <v>1361</v>
      </c>
      <c r="C712" s="58" t="s">
        <v>1362</v>
      </c>
      <c r="D712" s="52" t="s">
        <v>2207</v>
      </c>
      <c r="E712" s="66">
        <v>210.54</v>
      </c>
      <c r="F712" s="13" t="e">
        <f>INDEX(Кат!$I:$I,MATCH(Прайс!$B712,Кат!$G:$G,0))</f>
        <v>#N/A</v>
      </c>
      <c r="G712" s="25" t="e">
        <f>INDEX(Кат!$A:$A,MATCH(Прайс!$B712,Кат!$G:$G,0))</f>
        <v>#N/A</v>
      </c>
      <c r="H712" s="11"/>
      <c r="I712" s="11"/>
    </row>
    <row r="713" spans="1:9" ht="12.75" customHeight="1" x14ac:dyDescent="0.25">
      <c r="A713" s="52">
        <v>701</v>
      </c>
      <c r="B713" s="58" t="s">
        <v>1363</v>
      </c>
      <c r="C713" s="58" t="s">
        <v>1364</v>
      </c>
      <c r="D713" s="52" t="s">
        <v>2207</v>
      </c>
      <c r="E713" s="66">
        <v>47.16</v>
      </c>
      <c r="F713" s="13" t="e">
        <f>INDEX(Кат!$I:$I,MATCH(Прайс!$B713,Кат!$G:$G,0))</f>
        <v>#N/A</v>
      </c>
      <c r="G713" s="25" t="e">
        <f>INDEX(Кат!$A:$A,MATCH(Прайс!$B713,Кат!$G:$G,0))</f>
        <v>#N/A</v>
      </c>
      <c r="H713" s="11"/>
      <c r="I713" s="11"/>
    </row>
    <row r="714" spans="1:9" ht="12.75" customHeight="1" x14ac:dyDescent="0.25">
      <c r="A714" s="52">
        <v>702</v>
      </c>
      <c r="B714" s="58" t="s">
        <v>1365</v>
      </c>
      <c r="C714" s="58" t="s">
        <v>1366</v>
      </c>
      <c r="D714" s="52" t="s">
        <v>2207</v>
      </c>
      <c r="E714" s="66">
        <v>56.76</v>
      </c>
      <c r="F714" s="13" t="e">
        <f>INDEX(Кат!$I:$I,MATCH(Прайс!$B714,Кат!$G:$G,0))</f>
        <v>#N/A</v>
      </c>
      <c r="G714" s="25" t="e">
        <f>INDEX(Кат!$A:$A,MATCH(Прайс!$B714,Кат!$G:$G,0))</f>
        <v>#N/A</v>
      </c>
      <c r="H714" s="11"/>
      <c r="I714" s="11"/>
    </row>
    <row r="715" spans="1:9" ht="12.75" customHeight="1" x14ac:dyDescent="0.25">
      <c r="A715" s="52">
        <v>703</v>
      </c>
      <c r="B715" s="58" t="s">
        <v>1367</v>
      </c>
      <c r="C715" s="58" t="s">
        <v>1368</v>
      </c>
      <c r="D715" s="52" t="s">
        <v>2207</v>
      </c>
      <c r="E715" s="66">
        <v>147.78</v>
      </c>
      <c r="F715" s="13" t="e">
        <f>INDEX(Кат!$I:$I,MATCH(Прайс!$B715,Кат!$G:$G,0))</f>
        <v>#N/A</v>
      </c>
      <c r="G715" s="25" t="e">
        <f>INDEX(Кат!$A:$A,MATCH(Прайс!$B715,Кат!$G:$G,0))</f>
        <v>#N/A</v>
      </c>
      <c r="H715" s="11"/>
      <c r="I715" s="11"/>
    </row>
    <row r="716" spans="1:9" x14ac:dyDescent="0.25">
      <c r="A716" s="52">
        <v>704</v>
      </c>
      <c r="B716" s="58" t="s">
        <v>1369</v>
      </c>
      <c r="C716" s="58" t="s">
        <v>1370</v>
      </c>
      <c r="D716" s="52" t="s">
        <v>2207</v>
      </c>
      <c r="E716" s="66">
        <v>184.86</v>
      </c>
      <c r="F716" s="13" t="e">
        <f>INDEX(Кат!$I:$I,MATCH(Прайс!$B716,Кат!$G:$G,0))</f>
        <v>#N/A</v>
      </c>
      <c r="G716" s="25" t="e">
        <f>INDEX(Кат!$A:$A,MATCH(Прайс!$B716,Кат!$G:$G,0))</f>
        <v>#N/A</v>
      </c>
      <c r="H716" s="11"/>
      <c r="I716" s="11"/>
    </row>
    <row r="717" spans="1:9" x14ac:dyDescent="0.25">
      <c r="A717" s="52">
        <v>705</v>
      </c>
      <c r="B717" s="58" t="s">
        <v>1371</v>
      </c>
      <c r="C717" s="58" t="s">
        <v>1372</v>
      </c>
      <c r="D717" s="52" t="s">
        <v>2207</v>
      </c>
      <c r="E717" s="66">
        <v>107.7</v>
      </c>
      <c r="F717" s="13" t="e">
        <f>INDEX(Кат!$I:$I,MATCH(Прайс!$B717,Кат!$G:$G,0))</f>
        <v>#N/A</v>
      </c>
      <c r="G717" s="25" t="e">
        <f>INDEX(Кат!$A:$A,MATCH(Прайс!$B717,Кат!$G:$G,0))</f>
        <v>#N/A</v>
      </c>
      <c r="H717" s="11"/>
      <c r="I717" s="11"/>
    </row>
    <row r="718" spans="1:9" ht="12.75" customHeight="1" x14ac:dyDescent="0.25">
      <c r="A718" s="52">
        <v>706</v>
      </c>
      <c r="B718" s="58" t="s">
        <v>1373</v>
      </c>
      <c r="C718" s="58" t="s">
        <v>1374</v>
      </c>
      <c r="D718" s="52" t="s">
        <v>2207</v>
      </c>
      <c r="E718" s="66">
        <v>75.72</v>
      </c>
      <c r="F718" s="13" t="e">
        <f>INDEX(Кат!$I:$I,MATCH(Прайс!$B718,Кат!$G:$G,0))</f>
        <v>#N/A</v>
      </c>
      <c r="G718" s="25" t="e">
        <f>INDEX(Кат!$A:$A,MATCH(Прайс!$B718,Кат!$G:$G,0))</f>
        <v>#N/A</v>
      </c>
      <c r="H718" s="11"/>
      <c r="I718" s="11"/>
    </row>
    <row r="719" spans="1:9" ht="12.75" customHeight="1" x14ac:dyDescent="0.25">
      <c r="A719" s="52">
        <v>707</v>
      </c>
      <c r="B719" s="58" t="s">
        <v>1375</v>
      </c>
      <c r="C719" s="58" t="s">
        <v>1376</v>
      </c>
      <c r="D719" s="52" t="s">
        <v>2207</v>
      </c>
      <c r="E719" s="66">
        <v>232.86</v>
      </c>
      <c r="F719" s="13" t="e">
        <f>INDEX(Кат!$I:$I,MATCH(Прайс!$B719,Кат!$G:$G,0))</f>
        <v>#N/A</v>
      </c>
      <c r="G719" s="25" t="e">
        <f>INDEX(Кат!$A:$A,MATCH(Прайс!$B719,Кат!$G:$G,0))</f>
        <v>#N/A</v>
      </c>
      <c r="H719" s="11"/>
      <c r="I719" s="11"/>
    </row>
    <row r="720" spans="1:9" ht="12.75" customHeight="1" x14ac:dyDescent="0.25">
      <c r="A720" s="52">
        <v>708</v>
      </c>
      <c r="B720" s="58" t="s">
        <v>1377</v>
      </c>
      <c r="C720" s="58" t="s">
        <v>1378</v>
      </c>
      <c r="D720" s="52" t="s">
        <v>2207</v>
      </c>
      <c r="E720" s="66">
        <v>46.62</v>
      </c>
      <c r="F720" s="13" t="e">
        <f>INDEX(Кат!$I:$I,MATCH(Прайс!$B720,Кат!$G:$G,0))</f>
        <v>#N/A</v>
      </c>
      <c r="G720" s="25" t="e">
        <f>INDEX(Кат!$A:$A,MATCH(Прайс!$B720,Кат!$G:$G,0))</f>
        <v>#N/A</v>
      </c>
      <c r="H720" s="11"/>
      <c r="I720" s="11"/>
    </row>
    <row r="721" spans="1:9" x14ac:dyDescent="0.25">
      <c r="A721" s="52">
        <v>709</v>
      </c>
      <c r="B721" s="58" t="s">
        <v>1379</v>
      </c>
      <c r="C721" s="58" t="s">
        <v>1378</v>
      </c>
      <c r="D721" s="52" t="s">
        <v>2207</v>
      </c>
      <c r="E721" s="66">
        <v>0</v>
      </c>
      <c r="F721" s="13" t="e">
        <f>INDEX(Кат!$I:$I,MATCH(Прайс!$B721,Кат!$G:$G,0))</f>
        <v>#N/A</v>
      </c>
      <c r="G721" s="25" t="e">
        <f>INDEX(Кат!$A:$A,MATCH(Прайс!$B721,Кат!$G:$G,0))</f>
        <v>#N/A</v>
      </c>
      <c r="H721" s="11"/>
      <c r="I721" s="11"/>
    </row>
    <row r="722" spans="1:9" ht="12.75" customHeight="1" x14ac:dyDescent="0.25">
      <c r="A722" s="52">
        <v>710</v>
      </c>
      <c r="B722" s="58" t="s">
        <v>1380</v>
      </c>
      <c r="C722" s="58" t="s">
        <v>1381</v>
      </c>
      <c r="D722" s="52" t="s">
        <v>2207</v>
      </c>
      <c r="E722" s="66">
        <v>65.28</v>
      </c>
      <c r="F722" s="13" t="e">
        <f>INDEX(Кат!$I:$I,MATCH(Прайс!$B722,Кат!$G:$G,0))</f>
        <v>#N/A</v>
      </c>
      <c r="G722" s="25" t="e">
        <f>INDEX(Кат!$A:$A,MATCH(Прайс!$B722,Кат!$G:$G,0))</f>
        <v>#N/A</v>
      </c>
      <c r="H722" s="11"/>
      <c r="I722" s="11"/>
    </row>
    <row r="723" spans="1:9" ht="12.75" customHeight="1" x14ac:dyDescent="0.25">
      <c r="A723" s="52">
        <v>711</v>
      </c>
      <c r="B723" s="58" t="s">
        <v>1382</v>
      </c>
      <c r="C723" s="58" t="s">
        <v>1383</v>
      </c>
      <c r="D723" s="52" t="s">
        <v>2207</v>
      </c>
      <c r="E723" s="66">
        <v>38.82</v>
      </c>
      <c r="F723" s="13" t="e">
        <f>INDEX(Кат!$I:$I,MATCH(Прайс!$B723,Кат!$G:$G,0))</f>
        <v>#N/A</v>
      </c>
      <c r="G723" s="25" t="e">
        <f>INDEX(Кат!$A:$A,MATCH(Прайс!$B723,Кат!$G:$G,0))</f>
        <v>#N/A</v>
      </c>
      <c r="H723" s="11"/>
      <c r="I723" s="11"/>
    </row>
    <row r="724" spans="1:9" x14ac:dyDescent="0.25">
      <c r="A724" s="52">
        <v>712</v>
      </c>
      <c r="B724" s="58" t="s">
        <v>1384</v>
      </c>
      <c r="C724" s="58" t="s">
        <v>1385</v>
      </c>
      <c r="D724" s="52" t="s">
        <v>2207</v>
      </c>
      <c r="E724" s="66">
        <v>85.919999999999987</v>
      </c>
      <c r="F724" s="13" t="e">
        <f>INDEX(Кат!$I:$I,MATCH(Прайс!$B724,Кат!$G:$G,0))</f>
        <v>#N/A</v>
      </c>
      <c r="G724" s="25" t="e">
        <f>INDEX(Кат!$A:$A,MATCH(Прайс!$B724,Кат!$G:$G,0))</f>
        <v>#N/A</v>
      </c>
      <c r="H724" s="11"/>
      <c r="I724" s="11"/>
    </row>
    <row r="725" spans="1:9" x14ac:dyDescent="0.25">
      <c r="A725" s="52">
        <v>713</v>
      </c>
      <c r="B725" s="87"/>
      <c r="C725" s="88" t="s">
        <v>1386</v>
      </c>
      <c r="D725" s="89"/>
      <c r="E725" s="66">
        <v>0</v>
      </c>
      <c r="F725" s="13" t="e">
        <f>INDEX(Кат!$I:$I,MATCH(Прайс!$B725,Кат!$G:$G,0))</f>
        <v>#N/A</v>
      </c>
      <c r="G725" s="25" t="e">
        <f>INDEX(Кат!$A:$A,MATCH(Прайс!$B725,Кат!$G:$G,0))</f>
        <v>#N/A</v>
      </c>
      <c r="H725" s="11"/>
      <c r="I725" s="11"/>
    </row>
    <row r="726" spans="1:9" ht="12.75" customHeight="1" x14ac:dyDescent="0.25">
      <c r="A726" s="52">
        <v>714</v>
      </c>
      <c r="B726" s="58" t="s">
        <v>526</v>
      </c>
      <c r="C726" s="58" t="s">
        <v>1387</v>
      </c>
      <c r="D726" s="52" t="s">
        <v>2194</v>
      </c>
      <c r="E726" s="66">
        <v>390.084</v>
      </c>
      <c r="F726" s="13" t="str">
        <f>INDEX(Кат!$I:$I,MATCH(Прайс!$B726,Кат!$G:$G,0))</f>
        <v>БРТ</v>
      </c>
      <c r="G726" s="25">
        <f>INDEX(Кат!$A:$A,MATCH(Прайс!$B726,Кат!$G:$G,0))</f>
        <v>186573</v>
      </c>
      <c r="H726" s="11"/>
      <c r="I726" s="11"/>
    </row>
    <row r="727" spans="1:9" x14ac:dyDescent="0.25">
      <c r="A727" s="52">
        <v>715</v>
      </c>
      <c r="B727" s="58" t="s">
        <v>527</v>
      </c>
      <c r="C727" s="58" t="s">
        <v>1388</v>
      </c>
      <c r="D727" s="52" t="s">
        <v>2194</v>
      </c>
      <c r="E727" s="66">
        <v>465.34800000000001</v>
      </c>
      <c r="F727" s="13" t="str">
        <f>INDEX(Кат!$I:$I,MATCH(Прайс!$B727,Кат!$G:$G,0))</f>
        <v>БРТ</v>
      </c>
      <c r="G727" s="25">
        <f>INDEX(Кат!$A:$A,MATCH(Прайс!$B727,Кат!$G:$G,0))</f>
        <v>186572</v>
      </c>
      <c r="H727" s="11"/>
      <c r="I727" s="11"/>
    </row>
    <row r="728" spans="1:9" x14ac:dyDescent="0.25">
      <c r="A728" s="52">
        <v>716</v>
      </c>
      <c r="B728" s="58" t="s">
        <v>528</v>
      </c>
      <c r="C728" s="58" t="s">
        <v>1387</v>
      </c>
      <c r="D728" s="52" t="s">
        <v>2194</v>
      </c>
      <c r="E728" s="66">
        <v>388.36799999999999</v>
      </c>
      <c r="F728" s="13" t="str">
        <f>INDEX(Кат!$I:$I,MATCH(Прайс!$B728,Кат!$G:$G,0))</f>
        <v>БРТ</v>
      </c>
      <c r="G728" s="25">
        <f>INDEX(Кат!$A:$A,MATCH(Прайс!$B728,Кат!$G:$G,0))</f>
        <v>186580</v>
      </c>
      <c r="H728" s="11"/>
      <c r="I728" s="11"/>
    </row>
    <row r="729" spans="1:9" x14ac:dyDescent="0.25">
      <c r="A729" s="52">
        <v>717</v>
      </c>
      <c r="B729" s="58" t="s">
        <v>529</v>
      </c>
      <c r="C729" s="58" t="s">
        <v>1388</v>
      </c>
      <c r="D729" s="52" t="s">
        <v>2194</v>
      </c>
      <c r="E729" s="66">
        <v>465.34800000000001</v>
      </c>
      <c r="F729" s="13" t="str">
        <f>INDEX(Кат!$I:$I,MATCH(Прайс!$B729,Кат!$G:$G,0))</f>
        <v>БРТ</v>
      </c>
      <c r="G729" s="25">
        <f>INDEX(Кат!$A:$A,MATCH(Прайс!$B729,Кат!$G:$G,0))</f>
        <v>186578</v>
      </c>
      <c r="H729" s="11"/>
      <c r="I729" s="11"/>
    </row>
    <row r="730" spans="1:9" ht="12.75" customHeight="1" x14ac:dyDescent="0.25">
      <c r="A730" s="52">
        <v>718</v>
      </c>
      <c r="B730" s="58" t="s">
        <v>530</v>
      </c>
      <c r="C730" s="58" t="s">
        <v>1389</v>
      </c>
      <c r="D730" s="52" t="s">
        <v>2194</v>
      </c>
      <c r="E730" s="66">
        <v>141.27600000000001</v>
      </c>
      <c r="F730" s="13" t="e">
        <f>INDEX(Кат!$I:$I,MATCH(Прайс!$B730,Кат!$G:$G,0))</f>
        <v>#N/A</v>
      </c>
      <c r="G730" s="25" t="e">
        <f>INDEX(Кат!$A:$A,MATCH(Прайс!$B730,Кат!$G:$G,0))</f>
        <v>#N/A</v>
      </c>
      <c r="H730" s="11"/>
      <c r="I730" s="11"/>
    </row>
    <row r="731" spans="1:9" x14ac:dyDescent="0.25">
      <c r="A731" s="52">
        <v>719</v>
      </c>
      <c r="B731" s="58" t="s">
        <v>531</v>
      </c>
      <c r="C731" s="58" t="s">
        <v>839</v>
      </c>
      <c r="D731" s="52" t="s">
        <v>2194</v>
      </c>
      <c r="E731" s="66">
        <v>195.50399999999999</v>
      </c>
      <c r="F731" s="13" t="str">
        <f>INDEX(Кат!$I:$I,MATCH(Прайс!$B731,Кат!$G:$G,0))</f>
        <v>БРТ</v>
      </c>
      <c r="G731" s="25">
        <f>INDEX(Кат!$A:$A,MATCH(Прайс!$B731,Кат!$G:$G,0))</f>
        <v>186570</v>
      </c>
      <c r="H731" s="11"/>
      <c r="I731" s="11"/>
    </row>
    <row r="732" spans="1:9" x14ac:dyDescent="0.25">
      <c r="A732" s="52">
        <v>720</v>
      </c>
      <c r="B732" s="58" t="s">
        <v>1390</v>
      </c>
      <c r="C732" s="58" t="s">
        <v>1391</v>
      </c>
      <c r="D732" s="52" t="s">
        <v>2194</v>
      </c>
      <c r="E732" s="66">
        <v>97.919999999999987</v>
      </c>
      <c r="F732" s="13" t="str">
        <f>INDEX(Кат!$I:$I,MATCH(Прайс!$B732,Кат!$G:$G,0))</f>
        <v>БРТ</v>
      </c>
      <c r="G732" s="25">
        <f>INDEX(Кат!$A:$A,MATCH(Прайс!$B732,Кат!$G:$G,0))</f>
        <v>202110</v>
      </c>
      <c r="H732" s="11"/>
      <c r="I732" s="11"/>
    </row>
    <row r="733" spans="1:9" x14ac:dyDescent="0.25">
      <c r="A733" s="52">
        <v>721</v>
      </c>
      <c r="B733" s="58" t="s">
        <v>1392</v>
      </c>
      <c r="C733" s="58" t="s">
        <v>1393</v>
      </c>
      <c r="D733" s="52" t="s">
        <v>2194</v>
      </c>
      <c r="E733" s="66">
        <v>548.28</v>
      </c>
      <c r="F733" s="13" t="e">
        <f>INDEX(Кат!$I:$I,MATCH(Прайс!$B733,Кат!$G:$G,0))</f>
        <v>#N/A</v>
      </c>
      <c r="G733" s="25" t="e">
        <f>INDEX(Кат!$A:$A,MATCH(Прайс!$B733,Кат!$G:$G,0))</f>
        <v>#N/A</v>
      </c>
      <c r="H733" s="11"/>
      <c r="I733" s="11"/>
    </row>
    <row r="734" spans="1:9" x14ac:dyDescent="0.25">
      <c r="A734" s="52">
        <v>722</v>
      </c>
      <c r="B734" s="58" t="s">
        <v>1392</v>
      </c>
      <c r="C734" s="58" t="s">
        <v>1394</v>
      </c>
      <c r="D734" s="52" t="s">
        <v>2194</v>
      </c>
      <c r="E734" s="66">
        <v>1396.8</v>
      </c>
      <c r="F734" s="13" t="e">
        <f>INDEX(Кат!$I:$I,MATCH(Прайс!$B734,Кат!$G:$G,0))</f>
        <v>#N/A</v>
      </c>
      <c r="G734" s="25" t="e">
        <f>INDEX(Кат!$A:$A,MATCH(Прайс!$B734,Кат!$G:$G,0))</f>
        <v>#N/A</v>
      </c>
      <c r="H734" s="11"/>
      <c r="I734" s="11"/>
    </row>
    <row r="735" spans="1:9" x14ac:dyDescent="0.25">
      <c r="A735" s="52">
        <v>723</v>
      </c>
      <c r="B735" s="58" t="s">
        <v>1392</v>
      </c>
      <c r="C735" s="58" t="s">
        <v>1395</v>
      </c>
      <c r="D735" s="52" t="s">
        <v>2194</v>
      </c>
      <c r="E735" s="66">
        <v>1396.8</v>
      </c>
      <c r="F735" s="13" t="e">
        <f>INDEX(Кат!$I:$I,MATCH(Прайс!$B735,Кат!$G:$G,0))</f>
        <v>#N/A</v>
      </c>
      <c r="G735" s="25" t="e">
        <f>INDEX(Кат!$A:$A,MATCH(Прайс!$B735,Кат!$G:$G,0))</f>
        <v>#N/A</v>
      </c>
      <c r="H735" s="11"/>
      <c r="I735" s="11"/>
    </row>
    <row r="736" spans="1:9" ht="12.75" customHeight="1" x14ac:dyDescent="0.25">
      <c r="A736" s="52">
        <v>724</v>
      </c>
      <c r="B736" s="58" t="s">
        <v>1392</v>
      </c>
      <c r="C736" s="58" t="s">
        <v>1396</v>
      </c>
      <c r="D736" s="52" t="s">
        <v>2194</v>
      </c>
      <c r="E736" s="66">
        <v>548.28</v>
      </c>
      <c r="F736" s="13" t="e">
        <f>INDEX(Кат!$I:$I,MATCH(Прайс!$B736,Кат!$G:$G,0))</f>
        <v>#N/A</v>
      </c>
      <c r="G736" s="25" t="e">
        <f>INDEX(Кат!$A:$A,MATCH(Прайс!$B736,Кат!$G:$G,0))</f>
        <v>#N/A</v>
      </c>
      <c r="H736" s="11"/>
      <c r="I736" s="11"/>
    </row>
    <row r="737" spans="1:9" x14ac:dyDescent="0.25">
      <c r="A737" s="52">
        <v>725</v>
      </c>
      <c r="B737" s="58" t="s">
        <v>1397</v>
      </c>
      <c r="C737" s="58" t="s">
        <v>1398</v>
      </c>
      <c r="D737" s="52" t="s">
        <v>2194</v>
      </c>
      <c r="E737" s="66">
        <v>1398.6</v>
      </c>
      <c r="F737" s="13" t="str">
        <f>INDEX(Кат!$I:$I,MATCH(Прайс!$B737,Кат!$G:$G,0))</f>
        <v>БРТ</v>
      </c>
      <c r="G737" s="25">
        <f>INDEX(Кат!$A:$A,MATCH(Прайс!$B737,Кат!$G:$G,0))</f>
        <v>181724</v>
      </c>
      <c r="H737" s="11"/>
      <c r="I737" s="11"/>
    </row>
    <row r="738" spans="1:9" x14ac:dyDescent="0.25">
      <c r="A738" s="52">
        <v>726</v>
      </c>
      <c r="B738" s="58" t="s">
        <v>1397</v>
      </c>
      <c r="C738" s="58" t="s">
        <v>1399</v>
      </c>
      <c r="D738" s="52" t="s">
        <v>2194</v>
      </c>
      <c r="E738" s="66">
        <v>1398.6</v>
      </c>
      <c r="F738" s="13" t="str">
        <f>INDEX(Кат!$I:$I,MATCH(Прайс!$B738,Кат!$G:$G,0))</f>
        <v>БРТ</v>
      </c>
      <c r="G738" s="25">
        <f>INDEX(Кат!$A:$A,MATCH(Прайс!$B738,Кат!$G:$G,0))</f>
        <v>181724</v>
      </c>
      <c r="H738" s="11"/>
      <c r="I738" s="11"/>
    </row>
    <row r="739" spans="1:9" x14ac:dyDescent="0.25">
      <c r="A739" s="52">
        <v>727</v>
      </c>
      <c r="B739" s="58" t="s">
        <v>1400</v>
      </c>
      <c r="C739" s="58" t="s">
        <v>1393</v>
      </c>
      <c r="D739" s="52" t="s">
        <v>2194</v>
      </c>
      <c r="E739" s="66">
        <v>582.12</v>
      </c>
      <c r="F739" s="13" t="e">
        <f>INDEX(Кат!$I:$I,MATCH(Прайс!$B739,Кат!$G:$G,0))</f>
        <v>#N/A</v>
      </c>
      <c r="G739" s="25" t="e">
        <f>INDEX(Кат!$A:$A,MATCH(Прайс!$B739,Кат!$G:$G,0))</f>
        <v>#N/A</v>
      </c>
      <c r="H739" s="11"/>
      <c r="I739" s="11"/>
    </row>
    <row r="740" spans="1:9" ht="12.75" customHeight="1" x14ac:dyDescent="0.25">
      <c r="A740" s="52">
        <v>728</v>
      </c>
      <c r="B740" s="58" t="s">
        <v>1400</v>
      </c>
      <c r="C740" s="58" t="s">
        <v>1396</v>
      </c>
      <c r="D740" s="52" t="s">
        <v>2194</v>
      </c>
      <c r="E740" s="66">
        <v>582.12</v>
      </c>
      <c r="F740" s="13" t="e">
        <f>INDEX(Кат!$I:$I,MATCH(Прайс!$B740,Кат!$G:$G,0))</f>
        <v>#N/A</v>
      </c>
      <c r="G740" s="25" t="e">
        <f>INDEX(Кат!$A:$A,MATCH(Прайс!$B740,Кат!$G:$G,0))</f>
        <v>#N/A</v>
      </c>
      <c r="H740" s="11"/>
      <c r="I740" s="11"/>
    </row>
    <row r="741" spans="1:9" ht="12.75" customHeight="1" x14ac:dyDescent="0.25">
      <c r="A741" s="52">
        <v>729</v>
      </c>
      <c r="B741" s="58" t="s">
        <v>532</v>
      </c>
      <c r="C741" s="58" t="s">
        <v>1210</v>
      </c>
      <c r="D741" s="52" t="s">
        <v>2194</v>
      </c>
      <c r="E741" s="66">
        <v>80.808000000000007</v>
      </c>
      <c r="F741" s="13" t="str">
        <f>INDEX(Кат!$I:$I,MATCH(Прайс!$B741,Кат!$G:$G,0))</f>
        <v>БРТ</v>
      </c>
      <c r="G741" s="25">
        <f>INDEX(Кат!$A:$A,MATCH(Прайс!$B741,Кат!$G:$G,0))</f>
        <v>225395</v>
      </c>
      <c r="H741" s="11"/>
      <c r="I741" s="11"/>
    </row>
    <row r="742" spans="1:9" ht="12.75" customHeight="1" x14ac:dyDescent="0.25">
      <c r="A742" s="52">
        <v>730</v>
      </c>
      <c r="B742" s="58" t="s">
        <v>533</v>
      </c>
      <c r="C742" s="58" t="s">
        <v>1401</v>
      </c>
      <c r="D742" s="52" t="s">
        <v>2194</v>
      </c>
      <c r="E742" s="66">
        <v>75.275999999999996</v>
      </c>
      <c r="F742" s="13" t="str">
        <f>INDEX(Кат!$I:$I,MATCH(Прайс!$B742,Кат!$G:$G,0))</f>
        <v>БРТ</v>
      </c>
      <c r="G742" s="25">
        <f>INDEX(Кат!$A:$A,MATCH(Прайс!$B742,Кат!$G:$G,0))</f>
        <v>213136</v>
      </c>
      <c r="H742" s="11"/>
      <c r="I742" s="11"/>
    </row>
    <row r="743" spans="1:9" ht="12.75" customHeight="1" x14ac:dyDescent="0.25">
      <c r="A743" s="52">
        <v>731</v>
      </c>
      <c r="B743" s="58" t="s">
        <v>534</v>
      </c>
      <c r="C743" s="58" t="s">
        <v>1327</v>
      </c>
      <c r="D743" s="52" t="s">
        <v>2194</v>
      </c>
      <c r="E743" s="66">
        <v>646.95600000000002</v>
      </c>
      <c r="F743" s="13" t="str">
        <f>INDEX(Кат!$I:$I,MATCH(Прайс!$B743,Кат!$G:$G,0))</f>
        <v>БРТ</v>
      </c>
      <c r="G743" s="25">
        <f>INDEX(Кат!$A:$A,MATCH(Прайс!$B743,Кат!$G:$G,0))</f>
        <v>160771</v>
      </c>
      <c r="H743" s="11"/>
      <c r="I743" s="11"/>
    </row>
    <row r="744" spans="1:9" ht="12.75" customHeight="1" x14ac:dyDescent="0.25">
      <c r="A744" s="52">
        <v>732</v>
      </c>
      <c r="B744" s="58" t="s">
        <v>1402</v>
      </c>
      <c r="C744" s="58" t="s">
        <v>1403</v>
      </c>
      <c r="D744" s="52" t="s">
        <v>2207</v>
      </c>
      <c r="E744" s="66">
        <v>64.92</v>
      </c>
      <c r="F744" s="13" t="e">
        <f>INDEX(Кат!$I:$I,MATCH(Прайс!$B744,Кат!$G:$G,0))</f>
        <v>#N/A</v>
      </c>
      <c r="G744" s="25" t="e">
        <f>INDEX(Кат!$A:$A,MATCH(Прайс!$B744,Кат!$G:$G,0))</f>
        <v>#N/A</v>
      </c>
      <c r="H744" s="11"/>
      <c r="I744" s="11"/>
    </row>
    <row r="745" spans="1:9" ht="12.75" customHeight="1" x14ac:dyDescent="0.25">
      <c r="A745" s="52">
        <v>733</v>
      </c>
      <c r="B745" s="58" t="s">
        <v>535</v>
      </c>
      <c r="C745" s="58" t="s">
        <v>1403</v>
      </c>
      <c r="D745" s="52" t="s">
        <v>2194</v>
      </c>
      <c r="E745" s="66">
        <v>36.647999999999996</v>
      </c>
      <c r="F745" s="13" t="str">
        <f>INDEX(Кат!$I:$I,MATCH(Прайс!$B745,Кат!$G:$G,0))</f>
        <v>БРТ</v>
      </c>
      <c r="G745" s="25">
        <f>INDEX(Кат!$A:$A,MATCH(Прайс!$B745,Кат!$G:$G,0))</f>
        <v>194874</v>
      </c>
      <c r="H745" s="11"/>
      <c r="I745" s="11"/>
    </row>
    <row r="746" spans="1:9" x14ac:dyDescent="0.25">
      <c r="A746" s="52">
        <v>734</v>
      </c>
      <c r="B746" s="58" t="s">
        <v>1404</v>
      </c>
      <c r="C746" s="58" t="s">
        <v>1403</v>
      </c>
      <c r="D746" s="52" t="s">
        <v>2194</v>
      </c>
      <c r="E746" s="66">
        <v>15.885071999999999</v>
      </c>
      <c r="F746" s="13" t="e">
        <f>INDEX(Кат!$I:$I,MATCH(Прайс!$B746,Кат!$G:$G,0))</f>
        <v>#N/A</v>
      </c>
      <c r="G746" s="25" t="e">
        <f>INDEX(Кат!$A:$A,MATCH(Прайс!$B746,Кат!$G:$G,0))</f>
        <v>#N/A</v>
      </c>
      <c r="H746" s="11"/>
      <c r="I746" s="11"/>
    </row>
    <row r="747" spans="1:9" x14ac:dyDescent="0.25">
      <c r="A747" s="52">
        <v>735</v>
      </c>
      <c r="B747" s="58" t="s">
        <v>1405</v>
      </c>
      <c r="C747" s="58" t="s">
        <v>1208</v>
      </c>
      <c r="D747" s="52" t="s">
        <v>2207</v>
      </c>
      <c r="E747" s="66">
        <v>321.34800000000001</v>
      </c>
      <c r="F747" s="13" t="e">
        <f>INDEX(Кат!$I:$I,MATCH(Прайс!$B747,Кат!$G:$G,0))</f>
        <v>#N/A</v>
      </c>
      <c r="G747" s="25" t="e">
        <f>INDEX(Кат!$A:$A,MATCH(Прайс!$B747,Кат!$G:$G,0))</f>
        <v>#N/A</v>
      </c>
      <c r="H747" s="11"/>
      <c r="I747" s="11"/>
    </row>
    <row r="748" spans="1:9" x14ac:dyDescent="0.25">
      <c r="A748" s="52">
        <v>736</v>
      </c>
      <c r="B748" s="58" t="s">
        <v>1209</v>
      </c>
      <c r="C748" s="58" t="s">
        <v>1208</v>
      </c>
      <c r="D748" s="52" t="s">
        <v>2207</v>
      </c>
      <c r="E748" s="66">
        <v>307.44</v>
      </c>
      <c r="F748" s="13" t="e">
        <f>INDEX(Кат!$I:$I,MATCH(Прайс!$B748,Кат!$G:$G,0))</f>
        <v>#N/A</v>
      </c>
      <c r="G748" s="25" t="e">
        <f>INDEX(Кат!$A:$A,MATCH(Прайс!$B748,Кат!$G:$G,0))</f>
        <v>#N/A</v>
      </c>
      <c r="H748" s="11"/>
      <c r="I748" s="11"/>
    </row>
    <row r="749" spans="1:9" ht="12.75" customHeight="1" x14ac:dyDescent="0.25">
      <c r="A749" s="52">
        <v>737</v>
      </c>
      <c r="B749" s="58" t="s">
        <v>1406</v>
      </c>
      <c r="C749" s="58" t="s">
        <v>1208</v>
      </c>
      <c r="D749" s="52" t="s">
        <v>2207</v>
      </c>
      <c r="E749" s="66">
        <v>264</v>
      </c>
      <c r="F749" s="13" t="str">
        <f>INDEX(Кат!$I:$I,MATCH(Прайс!$B749,Кат!$G:$G,0))</f>
        <v>БРТ</v>
      </c>
      <c r="G749" s="25">
        <f>INDEX(Кат!$A:$A,MATCH(Прайс!$B749,Кат!$G:$G,0))</f>
        <v>218424</v>
      </c>
      <c r="H749" s="11"/>
      <c r="I749" s="11"/>
    </row>
    <row r="750" spans="1:9" x14ac:dyDescent="0.25">
      <c r="A750" s="52">
        <v>738</v>
      </c>
      <c r="B750" s="58" t="s">
        <v>1407</v>
      </c>
      <c r="C750" s="58" t="s">
        <v>1408</v>
      </c>
      <c r="D750" s="52" t="s">
        <v>2207</v>
      </c>
      <c r="E750" s="66">
        <v>2340</v>
      </c>
      <c r="F750" s="13" t="str">
        <f>INDEX(Кат!$I:$I,MATCH(Прайс!$B750,Кат!$G:$G,0))</f>
        <v>БРТ</v>
      </c>
      <c r="G750" s="25">
        <f>INDEX(Кат!$A:$A,MATCH(Прайс!$B750,Кат!$G:$G,0))</f>
        <v>223153</v>
      </c>
      <c r="H750" s="11"/>
      <c r="I750" s="11"/>
    </row>
    <row r="751" spans="1:9" ht="12.75" customHeight="1" x14ac:dyDescent="0.25">
      <c r="A751" s="52">
        <v>739</v>
      </c>
      <c r="B751" s="58" t="s">
        <v>536</v>
      </c>
      <c r="C751" s="58" t="s">
        <v>1409</v>
      </c>
      <c r="D751" s="52" t="s">
        <v>2194</v>
      </c>
      <c r="E751" s="66">
        <v>208.90799999999999</v>
      </c>
      <c r="F751" s="13" t="str">
        <f>INDEX(Кат!$I:$I,MATCH(Прайс!$B751,Кат!$G:$G,0))</f>
        <v>БРТ</v>
      </c>
      <c r="G751" s="25">
        <f>INDEX(Кат!$A:$A,MATCH(Прайс!$B751,Кат!$G:$G,0))</f>
        <v>186562</v>
      </c>
      <c r="H751" s="11"/>
      <c r="I751" s="11"/>
    </row>
    <row r="752" spans="1:9" ht="12.75" customHeight="1" x14ac:dyDescent="0.25">
      <c r="A752" s="52">
        <v>740</v>
      </c>
      <c r="B752" s="58" t="s">
        <v>537</v>
      </c>
      <c r="C752" s="58" t="s">
        <v>1410</v>
      </c>
      <c r="D752" s="52" t="s">
        <v>2194</v>
      </c>
      <c r="E752" s="66">
        <v>171.23999999999998</v>
      </c>
      <c r="F752" s="13" t="str">
        <f>INDEX(Кат!$I:$I,MATCH(Прайс!$B752,Кат!$G:$G,0))</f>
        <v>БРТ</v>
      </c>
      <c r="G752" s="25">
        <f>INDEX(Кат!$A:$A,MATCH(Прайс!$B752,Кат!$G:$G,0))</f>
        <v>186561</v>
      </c>
      <c r="H752" s="11"/>
      <c r="I752" s="11"/>
    </row>
    <row r="753" spans="1:9" ht="12.75" customHeight="1" x14ac:dyDescent="0.25">
      <c r="A753" s="52">
        <v>741</v>
      </c>
      <c r="B753" s="58" t="s">
        <v>1411</v>
      </c>
      <c r="C753" s="58" t="s">
        <v>1412</v>
      </c>
      <c r="D753" s="52" t="s">
        <v>2207</v>
      </c>
      <c r="E753" s="66">
        <v>52.950240000000008</v>
      </c>
      <c r="F753" s="13" t="str">
        <f>INDEX(Кат!$I:$I,MATCH(Прайс!$B753,Кат!$G:$G,0))</f>
        <v>БРТ</v>
      </c>
      <c r="G753" s="25">
        <f>INDEX(Кат!$A:$A,MATCH(Прайс!$B753,Кат!$G:$G,0))</f>
        <v>223215</v>
      </c>
      <c r="H753" s="11"/>
      <c r="I753" s="11"/>
    </row>
    <row r="754" spans="1:9" ht="12.75" customHeight="1" x14ac:dyDescent="0.25">
      <c r="A754" s="52">
        <v>742</v>
      </c>
      <c r="B754" s="58" t="s">
        <v>1413</v>
      </c>
      <c r="C754" s="58" t="s">
        <v>1414</v>
      </c>
      <c r="D754" s="52" t="s">
        <v>2207</v>
      </c>
      <c r="E754" s="66">
        <v>163.89600000000002</v>
      </c>
      <c r="F754" s="13" t="e">
        <f>INDEX(Кат!$I:$I,MATCH(Прайс!$B754,Кат!$G:$G,0))</f>
        <v>#N/A</v>
      </c>
      <c r="G754" s="25" t="e">
        <f>INDEX(Кат!$A:$A,MATCH(Прайс!$B754,Кат!$G:$G,0))</f>
        <v>#N/A</v>
      </c>
      <c r="H754" s="11"/>
      <c r="I754" s="11"/>
    </row>
    <row r="755" spans="1:9" x14ac:dyDescent="0.25">
      <c r="A755" s="52">
        <v>743</v>
      </c>
      <c r="B755" s="58" t="s">
        <v>1415</v>
      </c>
      <c r="C755" s="58" t="s">
        <v>1416</v>
      </c>
      <c r="D755" s="52" t="s">
        <v>2207</v>
      </c>
      <c r="E755" s="90">
        <v>273.048</v>
      </c>
      <c r="F755" s="13" t="e">
        <f>INDEX(Кат!$I:$I,MATCH(Прайс!$B755,Кат!$G:$G,0))</f>
        <v>#N/A</v>
      </c>
      <c r="G755" s="25" t="e">
        <f>INDEX(Кат!$A:$A,MATCH(Прайс!$B755,Кат!$G:$G,0))</f>
        <v>#N/A</v>
      </c>
    </row>
    <row r="756" spans="1:9" x14ac:dyDescent="0.25">
      <c r="A756" s="52">
        <v>744</v>
      </c>
      <c r="B756" s="58" t="s">
        <v>1415</v>
      </c>
      <c r="C756" s="58" t="s">
        <v>1417</v>
      </c>
      <c r="D756" s="52" t="s">
        <v>2207</v>
      </c>
      <c r="E756" s="66">
        <v>121.44</v>
      </c>
      <c r="F756" s="13" t="e">
        <f>INDEX(Кат!$I:$I,MATCH(Прайс!$B756,Кат!$G:$G,0))</f>
        <v>#N/A</v>
      </c>
      <c r="G756" s="25" t="e">
        <f>INDEX(Кат!$A:$A,MATCH(Прайс!$B756,Кат!$G:$G,0))</f>
        <v>#N/A</v>
      </c>
    </row>
    <row r="757" spans="1:9" x14ac:dyDescent="0.25">
      <c r="A757" s="52">
        <v>745</v>
      </c>
      <c r="B757" s="58" t="s">
        <v>1413</v>
      </c>
      <c r="C757" s="58" t="s">
        <v>1418</v>
      </c>
      <c r="D757" s="52" t="s">
        <v>2207</v>
      </c>
      <c r="E757" s="66">
        <v>90</v>
      </c>
      <c r="F757" s="13" t="e">
        <f>INDEX(Кат!$I:$I,MATCH(Прайс!$B757,Кат!$G:$G,0))</f>
        <v>#N/A</v>
      </c>
      <c r="G757" s="25" t="e">
        <f>INDEX(Кат!$A:$A,MATCH(Прайс!$B757,Кат!$G:$G,0))</f>
        <v>#N/A</v>
      </c>
    </row>
    <row r="758" spans="1:9" x14ac:dyDescent="0.25">
      <c r="A758" s="52">
        <v>746</v>
      </c>
      <c r="B758" s="58" t="s">
        <v>1419</v>
      </c>
      <c r="C758" s="58" t="s">
        <v>1420</v>
      </c>
      <c r="D758" s="52" t="s">
        <v>2194</v>
      </c>
      <c r="E758" s="66">
        <v>33.659999999999997</v>
      </c>
      <c r="F758" s="13" t="str">
        <f>INDEX(Кат!$I:$I,MATCH(Прайс!$B758,Кат!$G:$G,0))</f>
        <v>БРТ</v>
      </c>
      <c r="G758" s="25">
        <f>INDEX(Кат!$A:$A,MATCH(Прайс!$B758,Кат!$G:$G,0))</f>
        <v>194873</v>
      </c>
    </row>
    <row r="759" spans="1:9" x14ac:dyDescent="0.25">
      <c r="A759" s="52">
        <v>747</v>
      </c>
      <c r="B759" s="58" t="s">
        <v>1421</v>
      </c>
      <c r="C759" s="58" t="s">
        <v>1208</v>
      </c>
      <c r="D759" s="52" t="s">
        <v>2194</v>
      </c>
      <c r="E759" s="66">
        <v>296.20799999999997</v>
      </c>
      <c r="F759" s="13" t="str">
        <f>INDEX(Кат!$I:$I,MATCH(Прайс!$B759,Кат!$G:$G,0))</f>
        <v>БРТ</v>
      </c>
      <c r="G759" s="25">
        <f>INDEX(Кат!$A:$A,MATCH(Прайс!$B759,Кат!$G:$G,0))</f>
        <v>218423</v>
      </c>
    </row>
    <row r="760" spans="1:9" x14ac:dyDescent="0.25">
      <c r="A760" s="52">
        <v>748</v>
      </c>
      <c r="B760" s="58" t="s">
        <v>1422</v>
      </c>
      <c r="C760" s="58" t="s">
        <v>601</v>
      </c>
      <c r="D760" s="52" t="s">
        <v>2194</v>
      </c>
      <c r="E760" s="66">
        <v>788.98799999999994</v>
      </c>
      <c r="F760" s="13" t="str">
        <f>INDEX(Кат!$I:$I,MATCH(Прайс!$B760,Кат!$G:$G,0))</f>
        <v>БРТ</v>
      </c>
      <c r="G760" s="25">
        <f>INDEX(Кат!$A:$A,MATCH(Прайс!$B760,Кат!$G:$G,0))</f>
        <v>204306</v>
      </c>
    </row>
    <row r="761" spans="1:9" x14ac:dyDescent="0.25">
      <c r="A761" s="52">
        <v>749</v>
      </c>
      <c r="B761" s="58" t="s">
        <v>418</v>
      </c>
      <c r="C761" s="58" t="s">
        <v>1423</v>
      </c>
      <c r="D761" s="52" t="s">
        <v>2194</v>
      </c>
      <c r="E761" s="66">
        <v>1012.4879999999999</v>
      </c>
      <c r="F761" s="13" t="str">
        <f>INDEX(Кат!$I:$I,MATCH(Прайс!$B761,Кат!$G:$G,0))</f>
        <v>БРТ</v>
      </c>
      <c r="G761" s="25">
        <f>INDEX(Кат!$A:$A,MATCH(Прайс!$B761,Кат!$G:$G,0))</f>
        <v>204284</v>
      </c>
    </row>
    <row r="762" spans="1:9" x14ac:dyDescent="0.25">
      <c r="A762" s="52">
        <v>750</v>
      </c>
      <c r="B762" s="58" t="s">
        <v>599</v>
      </c>
      <c r="C762" s="58" t="s">
        <v>1424</v>
      </c>
      <c r="D762" s="52" t="s">
        <v>2194</v>
      </c>
      <c r="E762" s="66">
        <v>72.599999999999994</v>
      </c>
      <c r="F762" s="13" t="str">
        <f>INDEX(Кат!$I:$I,MATCH(Прайс!$B762,Кат!$G:$G,0))</f>
        <v>БРТ</v>
      </c>
      <c r="G762" s="25">
        <f>INDEX(Кат!$A:$A,MATCH(Прайс!$B762,Кат!$G:$G,0))</f>
        <v>202108</v>
      </c>
    </row>
    <row r="763" spans="1:9" x14ac:dyDescent="0.25">
      <c r="A763" s="52">
        <v>751</v>
      </c>
      <c r="B763" s="58" t="s">
        <v>568</v>
      </c>
      <c r="C763" s="58" t="s">
        <v>1425</v>
      </c>
      <c r="D763" s="52" t="s">
        <v>2194</v>
      </c>
      <c r="E763" s="66">
        <v>80.784000000000006</v>
      </c>
      <c r="F763" s="13" t="str">
        <f>INDEX(Кат!$I:$I,MATCH(Прайс!$B763,Кат!$G:$G,0))</f>
        <v>БРТ</v>
      </c>
      <c r="G763" s="25">
        <f>INDEX(Кат!$A:$A,MATCH(Прайс!$B763,Кат!$G:$G,0))</f>
        <v>202109</v>
      </c>
    </row>
    <row r="764" spans="1:9" x14ac:dyDescent="0.25">
      <c r="A764" s="52">
        <v>752</v>
      </c>
      <c r="B764" s="58"/>
      <c r="C764" s="58"/>
      <c r="D764" s="52" t="s">
        <v>2194</v>
      </c>
      <c r="E764" s="66">
        <v>0</v>
      </c>
      <c r="F764" s="13" t="e">
        <f>INDEX(Кат!$I:$I,MATCH(Прайс!$B764,Кат!$G:$G,0))</f>
        <v>#N/A</v>
      </c>
      <c r="G764" s="25" t="e">
        <f>INDEX(Кат!$A:$A,MATCH(Прайс!$B764,Кат!$G:$G,0))</f>
        <v>#N/A</v>
      </c>
    </row>
    <row r="765" spans="1:9" x14ac:dyDescent="0.25">
      <c r="A765" s="52">
        <v>753</v>
      </c>
      <c r="B765" s="58"/>
      <c r="C765" s="58"/>
      <c r="D765" s="52"/>
      <c r="E765" s="66">
        <v>0</v>
      </c>
      <c r="F765" s="13" t="e">
        <f>INDEX(Кат!$I:$I,MATCH(Прайс!$B765,Кат!$G:$G,0))</f>
        <v>#N/A</v>
      </c>
      <c r="G765" s="25" t="e">
        <f>INDEX(Кат!$A:$A,MATCH(Прайс!$B765,Кат!$G:$G,0))</f>
        <v>#N/A</v>
      </c>
    </row>
    <row r="766" spans="1:9" x14ac:dyDescent="0.25">
      <c r="A766" s="52">
        <v>754</v>
      </c>
      <c r="B766" s="91"/>
      <c r="C766" s="92" t="s">
        <v>1426</v>
      </c>
      <c r="D766" s="93"/>
      <c r="E766" s="66">
        <v>0</v>
      </c>
      <c r="F766" s="13" t="e">
        <f>INDEX(Кат!$I:$I,MATCH(Прайс!$B766,Кат!$G:$G,0))</f>
        <v>#N/A</v>
      </c>
      <c r="G766" s="25" t="e">
        <f>INDEX(Кат!$A:$A,MATCH(Прайс!$B766,Кат!$G:$G,0))</f>
        <v>#N/A</v>
      </c>
    </row>
    <row r="767" spans="1:9" x14ac:dyDescent="0.25">
      <c r="A767" s="52">
        <v>755</v>
      </c>
      <c r="B767" s="58" t="s">
        <v>590</v>
      </c>
      <c r="C767" s="58" t="s">
        <v>1427</v>
      </c>
      <c r="D767" s="52" t="s">
        <v>2194</v>
      </c>
      <c r="E767" s="66">
        <v>259.77599999999995</v>
      </c>
      <c r="F767" s="13" t="str">
        <f>INDEX(Кат!$I:$I,MATCH(Прайс!$B767,Кат!$G:$G,0))</f>
        <v>БРТ</v>
      </c>
      <c r="G767" s="25">
        <f>INDEX(Кат!$A:$A,MATCH(Прайс!$B767,Кат!$G:$G,0))</f>
        <v>186577</v>
      </c>
    </row>
    <row r="768" spans="1:9" x14ac:dyDescent="0.25">
      <c r="A768" s="52">
        <v>756</v>
      </c>
      <c r="B768" s="58" t="s">
        <v>591</v>
      </c>
      <c r="C768" s="58" t="s">
        <v>1428</v>
      </c>
      <c r="D768" s="52" t="s">
        <v>2194</v>
      </c>
      <c r="E768" s="66">
        <v>83.231999999999999</v>
      </c>
      <c r="F768" s="13" t="str">
        <f>INDEX(Кат!$I:$I,MATCH(Прайс!$B768,Кат!$G:$G,0))</f>
        <v>БРТ</v>
      </c>
      <c r="G768" s="25">
        <f>INDEX(Кат!$A:$A,MATCH(Прайс!$B768,Кат!$G:$G,0))</f>
        <v>186586</v>
      </c>
    </row>
    <row r="769" spans="1:7" x14ac:dyDescent="0.25">
      <c r="A769" s="52">
        <v>757</v>
      </c>
      <c r="B769" s="58" t="s">
        <v>592</v>
      </c>
      <c r="C769" s="58" t="s">
        <v>1429</v>
      </c>
      <c r="D769" s="52" t="s">
        <v>2194</v>
      </c>
      <c r="E769" s="66">
        <v>290.85599999999999</v>
      </c>
      <c r="F769" s="13" t="str">
        <f>INDEX(Кат!$I:$I,MATCH(Прайс!$B769,Кат!$G:$G,0))</f>
        <v>БРТ</v>
      </c>
      <c r="G769" s="25">
        <f>INDEX(Кат!$A:$A,MATCH(Прайс!$B769,Кат!$G:$G,0))</f>
        <v>186574</v>
      </c>
    </row>
    <row r="770" spans="1:7" x14ac:dyDescent="0.25">
      <c r="A770" s="52">
        <v>758</v>
      </c>
      <c r="B770" s="58" t="s">
        <v>593</v>
      </c>
      <c r="C770" s="58" t="s">
        <v>1430</v>
      </c>
      <c r="D770" s="52" t="s">
        <v>2194</v>
      </c>
      <c r="E770" s="66">
        <v>102.708</v>
      </c>
      <c r="F770" s="13" t="e">
        <f>INDEX(Кат!$I:$I,MATCH(Прайс!$B770,Кат!$G:$G,0))</f>
        <v>#N/A</v>
      </c>
      <c r="G770" s="25" t="e">
        <f>INDEX(Кат!$A:$A,MATCH(Прайс!$B770,Кат!$G:$G,0))</f>
        <v>#N/A</v>
      </c>
    </row>
    <row r="771" spans="1:7" x14ac:dyDescent="0.25">
      <c r="A771" s="52">
        <v>759</v>
      </c>
      <c r="B771" s="58" t="s">
        <v>594</v>
      </c>
      <c r="C771" s="58" t="s">
        <v>1431</v>
      </c>
      <c r="D771" s="52" t="s">
        <v>2194</v>
      </c>
      <c r="E771" s="66">
        <v>102.744</v>
      </c>
      <c r="F771" s="13" t="e">
        <f>INDEX(Кат!$I:$I,MATCH(Прайс!$B771,Кат!$G:$G,0))</f>
        <v>#N/A</v>
      </c>
      <c r="G771" s="25" t="e">
        <f>INDEX(Кат!$A:$A,MATCH(Прайс!$B771,Кат!$G:$G,0))</f>
        <v>#N/A</v>
      </c>
    </row>
    <row r="772" spans="1:7" x14ac:dyDescent="0.25">
      <c r="A772" s="52">
        <v>760</v>
      </c>
      <c r="B772" s="58" t="s">
        <v>595</v>
      </c>
      <c r="C772" s="58" t="s">
        <v>1432</v>
      </c>
      <c r="D772" s="52" t="s">
        <v>2194</v>
      </c>
      <c r="E772" s="66">
        <v>122.20416</v>
      </c>
      <c r="F772" s="13" t="str">
        <f>INDEX(Кат!$I:$I,MATCH(Прайс!$B772,Кат!$G:$G,0))</f>
        <v>БРТ</v>
      </c>
      <c r="G772" s="25">
        <f>INDEX(Кат!$A:$A,MATCH(Прайс!$B772,Кат!$G:$G,0))</f>
        <v>225921</v>
      </c>
    </row>
    <row r="773" spans="1:7" x14ac:dyDescent="0.25">
      <c r="A773" s="52">
        <v>761</v>
      </c>
      <c r="B773" s="58" t="s">
        <v>588</v>
      </c>
      <c r="C773" s="58" t="s">
        <v>1433</v>
      </c>
      <c r="D773" s="52" t="s">
        <v>2194</v>
      </c>
      <c r="E773" s="66">
        <v>101.004</v>
      </c>
      <c r="F773" s="13" t="str">
        <f>INDEX(Кат!$I:$I,MATCH(Прайс!$B773,Кат!$G:$G,0))</f>
        <v>БРТ</v>
      </c>
      <c r="G773" s="25">
        <f>INDEX(Кат!$A:$A,MATCH(Прайс!$B773,Кат!$G:$G,0))</f>
        <v>186591</v>
      </c>
    </row>
    <row r="774" spans="1:7" x14ac:dyDescent="0.25">
      <c r="A774" s="52">
        <v>762</v>
      </c>
      <c r="B774" s="58" t="s">
        <v>589</v>
      </c>
      <c r="C774" s="58" t="s">
        <v>1434</v>
      </c>
      <c r="D774" s="52" t="s">
        <v>2194</v>
      </c>
      <c r="E774" s="66">
        <v>0</v>
      </c>
      <c r="F774" s="13" t="e">
        <f>INDEX(Кат!$I:$I,MATCH(Прайс!$B774,Кат!$G:$G,0))</f>
        <v>#N/A</v>
      </c>
      <c r="G774" s="25" t="e">
        <f>INDEX(Кат!$A:$A,MATCH(Прайс!$B774,Кат!$G:$G,0))</f>
        <v>#N/A</v>
      </c>
    </row>
    <row r="775" spans="1:7" x14ac:dyDescent="0.25">
      <c r="A775" s="52">
        <v>763</v>
      </c>
      <c r="B775" s="58" t="s">
        <v>1435</v>
      </c>
      <c r="C775" s="58" t="s">
        <v>1436</v>
      </c>
      <c r="D775" s="52" t="s">
        <v>2194</v>
      </c>
      <c r="E775" s="66">
        <v>69.914879999999997</v>
      </c>
      <c r="F775" s="13" t="str">
        <f>INDEX(Кат!$I:$I,MATCH(Прайс!$B775,Кат!$G:$G,0))</f>
        <v>БРТ</v>
      </c>
      <c r="G775" s="25">
        <f>INDEX(Кат!$A:$A,MATCH(Прайс!$B775,Кат!$G:$G,0))</f>
        <v>225917</v>
      </c>
    </row>
    <row r="776" spans="1:7" x14ac:dyDescent="0.25">
      <c r="A776" s="52">
        <v>764</v>
      </c>
      <c r="B776" s="58" t="s">
        <v>1437</v>
      </c>
      <c r="C776" s="58" t="s">
        <v>805</v>
      </c>
      <c r="D776" s="52" t="s">
        <v>2194</v>
      </c>
      <c r="E776" s="66">
        <v>143.48952</v>
      </c>
      <c r="F776" s="13" t="str">
        <f>INDEX(Кат!$I:$I,MATCH(Прайс!$B776,Кат!$G:$G,0))</f>
        <v>БРТ</v>
      </c>
      <c r="G776" s="25">
        <f>INDEX(Кат!$A:$A,MATCH(Прайс!$B776,Кат!$G:$G,0))</f>
        <v>225928</v>
      </c>
    </row>
    <row r="777" spans="1:7" x14ac:dyDescent="0.25">
      <c r="A777" s="52">
        <v>765</v>
      </c>
      <c r="B777" s="58" t="s">
        <v>1438</v>
      </c>
      <c r="C777" s="58" t="s">
        <v>1439</v>
      </c>
      <c r="D777" s="52" t="s">
        <v>2194</v>
      </c>
      <c r="E777" s="66">
        <v>218.52072000000001</v>
      </c>
      <c r="F777" s="13" t="str">
        <f>INDEX(Кат!$I:$I,MATCH(Прайс!$B777,Кат!$G:$G,0))</f>
        <v>БРТ</v>
      </c>
      <c r="G777" s="25">
        <f>INDEX(Кат!$A:$A,MATCH(Прайс!$B777,Кат!$G:$G,0))</f>
        <v>186579</v>
      </c>
    </row>
    <row r="778" spans="1:7" x14ac:dyDescent="0.25">
      <c r="A778" s="52">
        <v>766</v>
      </c>
      <c r="B778" s="58" t="s">
        <v>1440</v>
      </c>
      <c r="C778" s="58" t="s">
        <v>1441</v>
      </c>
      <c r="D778" s="52" t="s">
        <v>2194</v>
      </c>
      <c r="E778" s="66">
        <v>277.29720000000003</v>
      </c>
      <c r="F778" s="13" t="str">
        <f>INDEX(Кат!$I:$I,MATCH(Прайс!$B778,Кат!$G:$G,0))</f>
        <v>БРТ</v>
      </c>
      <c r="G778" s="25">
        <f>INDEX(Кат!$A:$A,MATCH(Прайс!$B778,Кат!$G:$G,0))</f>
        <v>186575</v>
      </c>
    </row>
    <row r="779" spans="1:7" x14ac:dyDescent="0.25">
      <c r="A779" s="52">
        <v>767</v>
      </c>
      <c r="B779" s="58" t="s">
        <v>1442</v>
      </c>
      <c r="C779" s="94" t="s">
        <v>1443</v>
      </c>
      <c r="D779" s="52" t="s">
        <v>2194</v>
      </c>
      <c r="E779" s="66">
        <v>89.192880000000017</v>
      </c>
      <c r="F779" s="13" t="str">
        <f>INDEX(Кат!$I:$I,MATCH(Прайс!$B779,Кат!$G:$G,0))</f>
        <v>БРТ</v>
      </c>
      <c r="G779" s="25">
        <f>INDEX(Кат!$A:$A,MATCH(Прайс!$B779,Кат!$G:$G,0))</f>
        <v>186590</v>
      </c>
    </row>
    <row r="780" spans="1:7" x14ac:dyDescent="0.25">
      <c r="A780" s="52">
        <v>768</v>
      </c>
      <c r="B780" s="58" t="s">
        <v>1444</v>
      </c>
      <c r="C780" s="58" t="s">
        <v>1445</v>
      </c>
      <c r="D780" s="52" t="s">
        <v>2194</v>
      </c>
      <c r="E780" s="66">
        <v>100.15992</v>
      </c>
      <c r="F780" s="13" t="str">
        <f>INDEX(Кат!$I:$I,MATCH(Прайс!$B780,Кат!$G:$G,0))</f>
        <v>БРТ</v>
      </c>
      <c r="G780" s="25">
        <f>INDEX(Кат!$A:$A,MATCH(Прайс!$B780,Кат!$G:$G,0))</f>
        <v>186581</v>
      </c>
    </row>
    <row r="781" spans="1:7" x14ac:dyDescent="0.25">
      <c r="A781" s="52">
        <v>769</v>
      </c>
      <c r="B781" s="58" t="s">
        <v>1446</v>
      </c>
      <c r="C781" s="58" t="s">
        <v>1447</v>
      </c>
      <c r="D781" s="52" t="s">
        <v>2194</v>
      </c>
      <c r="E781" s="66">
        <v>75.606480000000005</v>
      </c>
      <c r="F781" s="13" t="str">
        <f>INDEX(Кат!$I:$I,MATCH(Прайс!$B781,Кат!$G:$G,0))</f>
        <v>БРТ</v>
      </c>
      <c r="G781" s="25">
        <f>INDEX(Кат!$A:$A,MATCH(Прайс!$B781,Кат!$G:$G,0))</f>
        <v>186567</v>
      </c>
    </row>
    <row r="782" spans="1:7" x14ac:dyDescent="0.25">
      <c r="A782" s="52">
        <v>770</v>
      </c>
      <c r="B782" s="58" t="s">
        <v>1448</v>
      </c>
      <c r="C782" s="58" t="s">
        <v>1449</v>
      </c>
      <c r="D782" s="52" t="s">
        <v>2194</v>
      </c>
      <c r="E782" s="66">
        <v>76.475519999999989</v>
      </c>
      <c r="F782" s="13" t="str">
        <f>INDEX(Кат!$I:$I,MATCH(Прайс!$B782,Кат!$G:$G,0))</f>
        <v>БРТ</v>
      </c>
      <c r="G782" s="25">
        <f>INDEX(Кат!$A:$A,MATCH(Прайс!$B782,Кат!$G:$G,0))</f>
        <v>186563</v>
      </c>
    </row>
    <row r="783" spans="1:7" x14ac:dyDescent="0.25">
      <c r="A783" s="52">
        <v>771</v>
      </c>
      <c r="B783" s="58" t="s">
        <v>1450</v>
      </c>
      <c r="C783" s="94" t="s">
        <v>1451</v>
      </c>
      <c r="D783" s="52" t="s">
        <v>2194</v>
      </c>
      <c r="E783" s="66">
        <v>85.569839999999999</v>
      </c>
      <c r="F783" s="13" t="str">
        <f>INDEX(Кат!$I:$I,MATCH(Прайс!$B783,Кат!$G:$G,0))</f>
        <v>БРТ</v>
      </c>
      <c r="G783" s="25">
        <f>INDEX(Кат!$A:$A,MATCH(Прайс!$B783,Кат!$G:$G,0))</f>
        <v>186571</v>
      </c>
    </row>
    <row r="784" spans="1:7" x14ac:dyDescent="0.25">
      <c r="A784" s="52">
        <v>772</v>
      </c>
      <c r="B784" s="58" t="s">
        <v>556</v>
      </c>
      <c r="C784" s="58" t="s">
        <v>827</v>
      </c>
      <c r="D784" s="52" t="s">
        <v>2194</v>
      </c>
      <c r="E784" s="66">
        <v>344.928</v>
      </c>
      <c r="F784" s="13" t="str">
        <f>INDEX(Кат!$I:$I,MATCH(Прайс!$B784,Кат!$G:$G,0))</f>
        <v>БРТ</v>
      </c>
      <c r="G784" s="25">
        <f>INDEX(Кат!$A:$A,MATCH(Прайс!$B784,Кат!$G:$G,0))</f>
        <v>186672</v>
      </c>
    </row>
    <row r="785" spans="1:7" x14ac:dyDescent="0.25">
      <c r="A785" s="52">
        <v>773</v>
      </c>
      <c r="B785" s="58" t="s">
        <v>557</v>
      </c>
      <c r="C785" s="58" t="s">
        <v>828</v>
      </c>
      <c r="D785" s="52" t="s">
        <v>2194</v>
      </c>
      <c r="E785" s="66">
        <v>262.93200000000002</v>
      </c>
      <c r="F785" s="13" t="str">
        <f>INDEX(Кат!$I:$I,MATCH(Прайс!$B785,Кат!$G:$G,0))</f>
        <v>БРТ</v>
      </c>
      <c r="G785" s="25">
        <f>INDEX(Кат!$A:$A,MATCH(Прайс!$B785,Кат!$G:$G,0))</f>
        <v>186705</v>
      </c>
    </row>
    <row r="786" spans="1:7" x14ac:dyDescent="0.25">
      <c r="A786" s="52">
        <v>774</v>
      </c>
      <c r="B786" s="58" t="s">
        <v>555</v>
      </c>
      <c r="C786" s="58" t="s">
        <v>814</v>
      </c>
      <c r="D786" s="52" t="s">
        <v>2194</v>
      </c>
      <c r="E786" s="66">
        <v>54.8964</v>
      </c>
      <c r="F786" s="13" t="str">
        <f>INDEX(Кат!$I:$I,MATCH(Прайс!$B786,Кат!$G:$G,0))</f>
        <v>БРТ</v>
      </c>
      <c r="G786" s="25">
        <f>INDEX(Кат!$A:$A,MATCH(Прайс!$B786,Кат!$G:$G,0))</f>
        <v>186655</v>
      </c>
    </row>
    <row r="787" spans="1:7" x14ac:dyDescent="0.25">
      <c r="A787" s="52">
        <v>775</v>
      </c>
      <c r="B787" s="58" t="s">
        <v>558</v>
      </c>
      <c r="C787" s="58" t="s">
        <v>838</v>
      </c>
      <c r="D787" s="52" t="s">
        <v>2194</v>
      </c>
      <c r="E787" s="66">
        <v>129.804</v>
      </c>
      <c r="F787" s="13" t="str">
        <f>INDEX(Кат!$I:$I,MATCH(Прайс!$B787,Кат!$G:$G,0))</f>
        <v>БРТ</v>
      </c>
      <c r="G787" s="25">
        <f>INDEX(Кат!$A:$A,MATCH(Прайс!$B787,Кат!$G:$G,0))</f>
        <v>186668</v>
      </c>
    </row>
    <row r="788" spans="1:7" x14ac:dyDescent="0.25">
      <c r="A788" s="52">
        <v>777</v>
      </c>
      <c r="B788" s="58" t="s">
        <v>1452</v>
      </c>
      <c r="C788" s="58" t="s">
        <v>1453</v>
      </c>
      <c r="D788" s="52" t="s">
        <v>2194</v>
      </c>
      <c r="E788" s="66">
        <v>213.53904000000003</v>
      </c>
      <c r="F788" s="13" t="str">
        <f>INDEX(Кат!$I:$I,MATCH(Прайс!$B788,Кат!$G:$G,0))</f>
        <v>БРТ</v>
      </c>
      <c r="G788" s="25">
        <f>INDEX(Кат!$A:$A,MATCH(Прайс!$B788,Кат!$G:$G,0))</f>
        <v>224897</v>
      </c>
    </row>
    <row r="789" spans="1:7" x14ac:dyDescent="0.25">
      <c r="A789" s="52">
        <v>778</v>
      </c>
      <c r="B789" s="58" t="s">
        <v>559</v>
      </c>
      <c r="C789" s="58" t="s">
        <v>1454</v>
      </c>
      <c r="D789" s="52" t="s">
        <v>2194</v>
      </c>
      <c r="E789" s="66">
        <v>109.09511999999999</v>
      </c>
      <c r="F789" s="13" t="str">
        <f>INDEX(Кат!$I:$I,MATCH(Прайс!$B789,Кат!$G:$G,0))</f>
        <v>БРТ</v>
      </c>
      <c r="G789" s="25">
        <f>INDEX(Кат!$A:$A,MATCH(Прайс!$B789,Кат!$G:$G,0))</f>
        <v>225426</v>
      </c>
    </row>
    <row r="790" spans="1:7" x14ac:dyDescent="0.25">
      <c r="A790" s="52">
        <v>779</v>
      </c>
      <c r="B790" s="58" t="s">
        <v>1455</v>
      </c>
      <c r="C790" s="58" t="s">
        <v>1456</v>
      </c>
      <c r="D790" s="52" t="s">
        <v>2194</v>
      </c>
      <c r="E790" s="66">
        <v>266.73599999999999</v>
      </c>
      <c r="F790" s="13" t="str">
        <f>INDEX(Кат!$I:$I,MATCH(Прайс!$B790,Кат!$G:$G,0))</f>
        <v>БРТ</v>
      </c>
      <c r="G790" s="25">
        <f>INDEX(Кат!$A:$A,MATCH(Прайс!$B790,Кат!$G:$G,0))</f>
        <v>225423</v>
      </c>
    </row>
    <row r="791" spans="1:7" x14ac:dyDescent="0.25">
      <c r="A791" s="52">
        <v>780</v>
      </c>
      <c r="B791" s="58" t="s">
        <v>560</v>
      </c>
      <c r="C791" s="58" t="s">
        <v>1457</v>
      </c>
      <c r="D791" s="52" t="s">
        <v>2194</v>
      </c>
      <c r="E791" s="66">
        <v>304.5924</v>
      </c>
      <c r="F791" s="13" t="str">
        <f>INDEX(Кат!$I:$I,MATCH(Прайс!$B791,Кат!$G:$G,0))</f>
        <v>БРТ</v>
      </c>
      <c r="G791" s="25">
        <f>INDEX(Кат!$A:$A,MATCH(Прайс!$B791,Кат!$G:$G,0))</f>
        <v>213135</v>
      </c>
    </row>
    <row r="792" spans="1:7" x14ac:dyDescent="0.25">
      <c r="A792" s="52">
        <v>781</v>
      </c>
      <c r="B792" s="58" t="s">
        <v>561</v>
      </c>
      <c r="C792" s="58" t="s">
        <v>1458</v>
      </c>
      <c r="D792" s="52" t="s">
        <v>2194</v>
      </c>
      <c r="E792" s="66">
        <v>164.964</v>
      </c>
      <c r="F792" s="13" t="str">
        <f>INDEX(Кат!$I:$I,MATCH(Прайс!$B792,Кат!$G:$G,0))</f>
        <v>БРТ</v>
      </c>
      <c r="G792" s="25">
        <f>INDEX(Кат!$A:$A,MATCH(Прайс!$B792,Кат!$G:$G,0))</f>
        <v>225961</v>
      </c>
    </row>
    <row r="793" spans="1:7" x14ac:dyDescent="0.25">
      <c r="A793" s="52">
        <v>782</v>
      </c>
      <c r="B793" s="58" t="s">
        <v>562</v>
      </c>
      <c r="C793" s="58" t="s">
        <v>1459</v>
      </c>
      <c r="D793" s="52" t="s">
        <v>2194</v>
      </c>
      <c r="E793" s="66">
        <v>130.24799999999999</v>
      </c>
      <c r="F793" s="13" t="str">
        <f>INDEX(Кат!$I:$I,MATCH(Прайс!$B793,Кат!$G:$G,0))</f>
        <v>БРТ</v>
      </c>
      <c r="G793" s="25">
        <f>INDEX(Кат!$A:$A,MATCH(Прайс!$B793,Кат!$G:$G,0))</f>
        <v>225957</v>
      </c>
    </row>
    <row r="794" spans="1:7" x14ac:dyDescent="0.25">
      <c r="A794" s="52">
        <v>783</v>
      </c>
      <c r="B794" s="58" t="s">
        <v>565</v>
      </c>
      <c r="C794" s="58" t="s">
        <v>868</v>
      </c>
      <c r="D794" s="52" t="s">
        <v>2194</v>
      </c>
      <c r="E794" s="66">
        <v>104.01600000000001</v>
      </c>
      <c r="F794" s="13" t="e">
        <f>INDEX(Кат!$I:$I,MATCH(Прайс!$B794,Кат!$G:$G,0))</f>
        <v>#N/A</v>
      </c>
      <c r="G794" s="25" t="e">
        <f>INDEX(Кат!$A:$A,MATCH(Прайс!$B794,Кат!$G:$G,0))</f>
        <v>#N/A</v>
      </c>
    </row>
    <row r="795" spans="1:7" x14ac:dyDescent="0.25">
      <c r="A795" s="52">
        <v>784</v>
      </c>
      <c r="B795" s="58" t="s">
        <v>566</v>
      </c>
      <c r="C795" s="58" t="s">
        <v>870</v>
      </c>
      <c r="D795" s="52" t="s">
        <v>2194</v>
      </c>
      <c r="E795" s="66">
        <v>97.055999999999997</v>
      </c>
      <c r="F795" s="13" t="e">
        <f>INDEX(Кат!$I:$I,MATCH(Прайс!$B795,Кат!$G:$G,0))</f>
        <v>#N/A</v>
      </c>
      <c r="G795" s="25" t="e">
        <f>INDEX(Кат!$A:$A,MATCH(Прайс!$B795,Кат!$G:$G,0))</f>
        <v>#N/A</v>
      </c>
    </row>
    <row r="796" spans="1:7" x14ac:dyDescent="0.25">
      <c r="A796" s="52">
        <v>785</v>
      </c>
      <c r="B796" s="58" t="s">
        <v>567</v>
      </c>
      <c r="C796" s="58" t="s">
        <v>1460</v>
      </c>
      <c r="D796" s="52" t="s">
        <v>2194</v>
      </c>
      <c r="E796" s="66">
        <v>61.518239999999999</v>
      </c>
      <c r="F796" s="13" t="str">
        <f>INDEX(Кат!$I:$I,MATCH(Прайс!$B796,Кат!$G:$G,0))</f>
        <v>БРТ</v>
      </c>
      <c r="G796" s="25">
        <f>INDEX(Кат!$A:$A,MATCH(Прайс!$B796,Кат!$G:$G,0))</f>
        <v>186656</v>
      </c>
    </row>
    <row r="797" spans="1:7" x14ac:dyDescent="0.25">
      <c r="A797" s="52">
        <v>786</v>
      </c>
      <c r="B797" s="58" t="s">
        <v>571</v>
      </c>
      <c r="C797" s="58" t="s">
        <v>1461</v>
      </c>
      <c r="D797" s="52" t="s">
        <v>2194</v>
      </c>
      <c r="E797" s="66">
        <v>335.80440000000004</v>
      </c>
      <c r="F797" s="13" t="str">
        <f>INDEX(Кат!$I:$I,MATCH(Прайс!$B797,Кат!$G:$G,0))</f>
        <v>БРТ</v>
      </c>
      <c r="G797" s="25">
        <f>INDEX(Кат!$A:$A,MATCH(Прайс!$B797,Кат!$G:$G,0))</f>
        <v>223282</v>
      </c>
    </row>
    <row r="798" spans="1:7" x14ac:dyDescent="0.25">
      <c r="A798" s="52">
        <v>787</v>
      </c>
      <c r="B798" s="58" t="s">
        <v>574</v>
      </c>
      <c r="C798" s="58" t="s">
        <v>1462</v>
      </c>
      <c r="D798" s="52" t="s">
        <v>2194</v>
      </c>
      <c r="E798" s="66">
        <v>52.693199999999997</v>
      </c>
      <c r="F798" s="13" t="str">
        <f>INDEX(Кат!$I:$I,MATCH(Прайс!$B798,Кат!$G:$G,0))</f>
        <v>БРТ</v>
      </c>
      <c r="G798" s="25">
        <f>INDEX(Кат!$A:$A,MATCH(Прайс!$B798,Кат!$G:$G,0))</f>
        <v>139834</v>
      </c>
    </row>
    <row r="799" spans="1:7" x14ac:dyDescent="0.25">
      <c r="A799" s="52">
        <v>788</v>
      </c>
      <c r="B799" s="58" t="s">
        <v>575</v>
      </c>
      <c r="C799" s="58" t="s">
        <v>576</v>
      </c>
      <c r="D799" s="52" t="s">
        <v>2194</v>
      </c>
      <c r="E799" s="66">
        <v>41.860799999999998</v>
      </c>
      <c r="F799" s="13" t="str">
        <f>INDEX(Кат!$I:$I,MATCH(Прайс!$B799,Кат!$G:$G,0))</f>
        <v>БРТ</v>
      </c>
      <c r="G799" s="25">
        <f>INDEX(Кат!$A:$A,MATCH(Прайс!$B799,Кат!$G:$G,0))</f>
        <v>194865</v>
      </c>
    </row>
    <row r="800" spans="1:7" x14ac:dyDescent="0.25">
      <c r="A800" s="52">
        <v>789</v>
      </c>
      <c r="B800" s="58" t="s">
        <v>577</v>
      </c>
      <c r="C800" s="58" t="s">
        <v>1463</v>
      </c>
      <c r="D800" s="52" t="s">
        <v>2194</v>
      </c>
      <c r="E800" s="66">
        <v>35.532719999999998</v>
      </c>
      <c r="F800" s="13" t="str">
        <f>INDEX(Кат!$I:$I,MATCH(Прайс!$B800,Кат!$G:$G,0))</f>
        <v>БРТ</v>
      </c>
      <c r="G800" s="25">
        <f>INDEX(Кат!$A:$A,MATCH(Прайс!$B800,Кат!$G:$G,0))</f>
        <v>181647</v>
      </c>
    </row>
    <row r="801" spans="1:7" x14ac:dyDescent="0.25">
      <c r="A801" s="52">
        <v>790</v>
      </c>
      <c r="B801" s="58" t="s">
        <v>578</v>
      </c>
      <c r="C801" s="58" t="s">
        <v>1464</v>
      </c>
      <c r="D801" s="52" t="s">
        <v>2194</v>
      </c>
      <c r="E801" s="66">
        <v>87.283439999999999</v>
      </c>
      <c r="F801" s="13" t="str">
        <f>INDEX(Кат!$I:$I,MATCH(Прайс!$B801,Кат!$G:$G,0))</f>
        <v>БРТ</v>
      </c>
      <c r="G801" s="25">
        <f>INDEX(Кат!$A:$A,MATCH(Прайс!$B801,Кат!$G:$G,0))</f>
        <v>181646</v>
      </c>
    </row>
    <row r="802" spans="1:7" x14ac:dyDescent="0.25">
      <c r="A802" s="52">
        <v>791</v>
      </c>
      <c r="B802" s="58" t="s">
        <v>579</v>
      </c>
      <c r="C802" s="58" t="s">
        <v>1465</v>
      </c>
      <c r="D802" s="52" t="s">
        <v>2194</v>
      </c>
      <c r="E802" s="66">
        <v>419.916</v>
      </c>
      <c r="F802" s="13" t="str">
        <f>INDEX(Кат!$I:$I,MATCH(Прайс!$B802,Кат!$G:$G,0))</f>
        <v>БРТ</v>
      </c>
      <c r="G802" s="25">
        <f>INDEX(Кат!$A:$A,MATCH(Прайс!$B802,Кат!$G:$G,0))</f>
        <v>181553</v>
      </c>
    </row>
    <row r="803" spans="1:7" x14ac:dyDescent="0.25">
      <c r="A803" s="52">
        <v>792</v>
      </c>
      <c r="B803" s="58" t="s">
        <v>581</v>
      </c>
      <c r="C803" s="58" t="s">
        <v>1466</v>
      </c>
      <c r="D803" s="52" t="s">
        <v>2194</v>
      </c>
      <c r="E803" s="66">
        <v>164.28</v>
      </c>
      <c r="F803" s="13" t="str">
        <f>INDEX(Кат!$I:$I,MATCH(Прайс!$B803,Кат!$G:$G,0))</f>
        <v>БРТ</v>
      </c>
      <c r="G803" s="25">
        <f>INDEX(Кат!$A:$A,MATCH(Прайс!$B803,Кат!$G:$G,0))</f>
        <v>226093</v>
      </c>
    </row>
    <row r="804" spans="1:7" x14ac:dyDescent="0.25">
      <c r="A804" s="52">
        <v>793</v>
      </c>
      <c r="B804" s="58" t="s">
        <v>582</v>
      </c>
      <c r="C804" s="58" t="s">
        <v>1467</v>
      </c>
      <c r="D804" s="52" t="s">
        <v>2194</v>
      </c>
      <c r="E804" s="66">
        <v>165.57599999999999</v>
      </c>
      <c r="F804" s="13" t="str">
        <f>INDEX(Кат!$I:$I,MATCH(Прайс!$B804,Кат!$G:$G,0))</f>
        <v>БРТ</v>
      </c>
      <c r="G804" s="25">
        <f>INDEX(Кат!$A:$A,MATCH(Прайс!$B804,Кат!$G:$G,0))</f>
        <v>226091</v>
      </c>
    </row>
    <row r="805" spans="1:7" x14ac:dyDescent="0.25">
      <c r="A805" s="52">
        <v>794</v>
      </c>
      <c r="B805" s="58" t="s">
        <v>583</v>
      </c>
      <c r="C805" s="58" t="s">
        <v>1468</v>
      </c>
      <c r="D805" s="52" t="s">
        <v>2194</v>
      </c>
      <c r="E805" s="66">
        <v>123.75599999999999</v>
      </c>
      <c r="F805" s="13" t="str">
        <f>INDEX(Кат!$I:$I,MATCH(Прайс!$B805,Кат!$G:$G,0))</f>
        <v>БРТ</v>
      </c>
      <c r="G805" s="25">
        <f>INDEX(Кат!$A:$A,MATCH(Прайс!$B805,Кат!$G:$G,0))</f>
        <v>204180</v>
      </c>
    </row>
    <row r="806" spans="1:7" x14ac:dyDescent="0.25">
      <c r="A806" s="52">
        <v>795</v>
      </c>
      <c r="B806" s="58" t="s">
        <v>584</v>
      </c>
      <c r="C806" s="58" t="s">
        <v>1469</v>
      </c>
      <c r="D806" s="52" t="s">
        <v>2194</v>
      </c>
      <c r="E806" s="66">
        <v>493.99200000000002</v>
      </c>
      <c r="F806" s="13" t="str">
        <f>INDEX(Кат!$I:$I,MATCH(Прайс!$B806,Кат!$G:$G,0))</f>
        <v>БРТ</v>
      </c>
      <c r="G806" s="25">
        <f>INDEX(Кат!$A:$A,MATCH(Прайс!$B806,Кат!$G:$G,0))</f>
        <v>223247</v>
      </c>
    </row>
    <row r="807" spans="1:7" x14ac:dyDescent="0.25">
      <c r="A807" s="52">
        <v>796</v>
      </c>
      <c r="B807" s="58" t="s">
        <v>586</v>
      </c>
      <c r="C807" s="58" t="s">
        <v>1470</v>
      </c>
      <c r="D807" s="52" t="s">
        <v>2194</v>
      </c>
      <c r="E807" s="66">
        <v>32.328000000000003</v>
      </c>
      <c r="F807" s="13" t="str">
        <f>INDEX(Кат!$I:$I,MATCH(Прайс!$B807,Кат!$G:$G,0))</f>
        <v>БРТ</v>
      </c>
      <c r="G807" s="25">
        <f>INDEX(Кат!$A:$A,MATCH(Прайс!$B807,Кат!$G:$G,0))</f>
        <v>194617</v>
      </c>
    </row>
    <row r="808" spans="1:7" x14ac:dyDescent="0.25">
      <c r="A808" s="52">
        <v>797</v>
      </c>
      <c r="B808" s="58" t="s">
        <v>585</v>
      </c>
      <c r="C808" s="58" t="s">
        <v>1471</v>
      </c>
      <c r="D808" s="52" t="s">
        <v>2194</v>
      </c>
      <c r="E808" s="66">
        <v>61.971119999999999</v>
      </c>
      <c r="F808" s="13" t="str">
        <f>INDEX(Кат!$I:$I,MATCH(Прайс!$B808,Кат!$G:$G,0))</f>
        <v>БРТ</v>
      </c>
      <c r="G808" s="25">
        <f>INDEX(Кат!$A:$A,MATCH(Прайс!$B808,Кат!$G:$G,0))</f>
        <v>213296</v>
      </c>
    </row>
    <row r="809" spans="1:7" x14ac:dyDescent="0.25">
      <c r="A809" s="52">
        <v>798</v>
      </c>
      <c r="B809" s="58" t="s">
        <v>563</v>
      </c>
      <c r="C809" s="58" t="s">
        <v>1472</v>
      </c>
      <c r="D809" s="52" t="s">
        <v>2194</v>
      </c>
      <c r="E809" s="66">
        <v>405.04608000000002</v>
      </c>
      <c r="F809" s="13" t="str">
        <f>INDEX(Кат!$I:$I,MATCH(Прайс!$B809,Кат!$G:$G,0))</f>
        <v>БРТ</v>
      </c>
      <c r="G809" s="25">
        <f>INDEX(Кат!$A:$A,MATCH(Прайс!$B809,Кат!$G:$G,0))</f>
        <v>223232</v>
      </c>
    </row>
    <row r="810" spans="1:7" x14ac:dyDescent="0.25">
      <c r="A810" s="52">
        <v>799</v>
      </c>
      <c r="B810" s="58" t="s">
        <v>564</v>
      </c>
      <c r="C810" s="58" t="s">
        <v>1473</v>
      </c>
      <c r="D810" s="52" t="s">
        <v>2194</v>
      </c>
      <c r="E810" s="66">
        <v>589.12343999999996</v>
      </c>
      <c r="F810" s="13" t="e">
        <f>INDEX(Кат!$I:$I,MATCH(Прайс!$B810,Кат!$G:$G,0))</f>
        <v>#N/A</v>
      </c>
      <c r="G810" s="25" t="e">
        <f>INDEX(Кат!$A:$A,MATCH(Прайс!$B810,Кат!$G:$G,0))</f>
        <v>#N/A</v>
      </c>
    </row>
    <row r="811" spans="1:7" x14ac:dyDescent="0.25">
      <c r="A811" s="20"/>
      <c r="B811" s="19"/>
      <c r="C811" s="19"/>
      <c r="D811" s="20"/>
    </row>
    <row r="812" spans="1:7" x14ac:dyDescent="0.25">
      <c r="A812" s="20"/>
      <c r="B812" s="19"/>
      <c r="C812" s="19"/>
      <c r="D812" s="20"/>
    </row>
    <row r="813" spans="1:7" x14ac:dyDescent="0.25">
      <c r="A813" s="20"/>
      <c r="B813" s="21"/>
      <c r="C813" s="21"/>
      <c r="D813" s="17"/>
    </row>
    <row r="815" spans="1:7" ht="15.75" x14ac:dyDescent="0.25">
      <c r="A815" s="17"/>
      <c r="B815" s="17"/>
      <c r="C815" s="152"/>
      <c r="D815" s="152"/>
    </row>
    <row r="816" spans="1:7" x14ac:dyDescent="0.25">
      <c r="A816" s="17"/>
      <c r="B816" s="17"/>
      <c r="C816" s="18"/>
      <c r="D816" s="17"/>
    </row>
    <row r="817" spans="1:4" x14ac:dyDescent="0.25">
      <c r="A817" s="17"/>
      <c r="B817" s="17"/>
      <c r="C817" s="18"/>
      <c r="D817" s="17"/>
    </row>
    <row r="818" spans="1:4" x14ac:dyDescent="0.25">
      <c r="A818" s="17"/>
      <c r="B818" s="17"/>
      <c r="C818" s="18"/>
      <c r="D818" s="17"/>
    </row>
    <row r="819" spans="1:4" x14ac:dyDescent="0.25">
      <c r="A819" s="17"/>
      <c r="B819" s="17"/>
      <c r="C819" s="18"/>
      <c r="D819" s="17"/>
    </row>
    <row r="820" spans="1:4" x14ac:dyDescent="0.25">
      <c r="A820" s="17"/>
      <c r="B820" s="17"/>
      <c r="C820" s="18"/>
      <c r="D820" s="17"/>
    </row>
    <row r="821" spans="1:4" x14ac:dyDescent="0.25">
      <c r="A821" s="17"/>
      <c r="B821" s="17"/>
      <c r="C821" s="18"/>
      <c r="D821" s="17"/>
    </row>
    <row r="822" spans="1:4" x14ac:dyDescent="0.25">
      <c r="A822" s="17"/>
      <c r="B822" s="17"/>
      <c r="C822" s="18"/>
      <c r="D822" s="17"/>
    </row>
  </sheetData>
  <autoFilter ref="A1:G810" xr:uid="{DEA3226A-B42A-4C10-8957-B9FD0210188E}"/>
  <mergeCells count="2">
    <mergeCell ref="C815:D815"/>
    <mergeCell ref="B676:D676"/>
  </mergeCells>
  <conditionalFormatting sqref="B1:B507 B509:B1048576">
    <cfRule type="duplicateValues" dxfId="2" priority="1"/>
  </conditionalFormatting>
  <hyperlinks>
    <hyperlink ref="HR355" r:id="rId1" xr:uid="{60B8E3A2-E910-4CF4-91C5-C18A8ABA21BC}"/>
    <hyperlink ref="HS355" r:id="rId2" xr:uid="{B817EB28-351F-46C0-8B9D-E63D2DA7B147}"/>
    <hyperlink ref="HT355" r:id="rId3" xr:uid="{5E6ABC39-E936-4A8C-A66A-FE8E344FA61C}"/>
    <hyperlink ref="HU355" r:id="rId4" xr:uid="{783D2986-70C6-43CC-A9A7-B1721EE2991C}"/>
    <hyperlink ref="HV355" r:id="rId5" xr:uid="{E7A27F4F-B75F-4970-8AEA-B462ED96189E}"/>
    <hyperlink ref="HW355" r:id="rId6" xr:uid="{FD817316-88B3-4F22-9092-1CF0C02AB66C}"/>
    <hyperlink ref="HX355" r:id="rId7" xr:uid="{36BE8D02-085B-4A10-A549-496CC2DF4B3D}"/>
    <hyperlink ref="HY355" r:id="rId8" xr:uid="{38A3B847-C60F-4FA3-801B-328E045EC0D3}"/>
    <hyperlink ref="HZ355" r:id="rId9" xr:uid="{349C6F38-9833-4FB1-8DFD-3F9807299690}"/>
    <hyperlink ref="IA355" r:id="rId10" xr:uid="{138BD2D4-FEF9-4FC9-95B6-CE3C0448F183}"/>
    <hyperlink ref="IB355" r:id="rId11" xr:uid="{7C52CA81-51C7-4F0B-857F-9F746192DD47}"/>
    <hyperlink ref="IC355" r:id="rId12" xr:uid="{695869E9-D4FD-4A2B-BADF-E1E9FBD0154E}"/>
    <hyperlink ref="HB356" r:id="rId13" xr:uid="{1A566C3A-5445-4E96-B1AB-EF94AFA7E060}"/>
    <hyperlink ref="HG356" r:id="rId14" xr:uid="{2ED14C70-9941-4AAE-893F-18743212B59B}"/>
    <hyperlink ref="HH356" r:id="rId15" xr:uid="{43963829-E94D-45AF-903E-AFD18D114F85}"/>
    <hyperlink ref="HJ356" r:id="rId16" xr:uid="{66BA13DE-26E1-4486-BCA5-76EBA3A8BEB5}"/>
    <hyperlink ref="HL356" r:id="rId17" xr:uid="{1C666F01-8989-4BC3-B893-7D0AE4B99B49}"/>
    <hyperlink ref="HM356" r:id="rId18" xr:uid="{06DC5B09-4777-48A6-B886-C1835E41546C}"/>
    <hyperlink ref="HN356" r:id="rId19" xr:uid="{0110BF77-F0D2-48A2-896F-ABA64D14FBA5}"/>
    <hyperlink ref="HO356" r:id="rId20" xr:uid="{EDDE335B-8C7D-4AB9-BC0D-3320ABB1F687}"/>
    <hyperlink ref="HP356" r:id="rId21" xr:uid="{42C57C03-7DBD-4E7E-8A9E-7AAB7BBE04B2}"/>
    <hyperlink ref="HQ356" r:id="rId22" xr:uid="{7146F224-0DDD-4A41-AC2B-21E3E53505F5}"/>
    <hyperlink ref="HR356" r:id="rId23" xr:uid="{32599301-BC51-486C-BF94-3CA2850CC143}"/>
    <hyperlink ref="HS356" r:id="rId24" xr:uid="{26054F5B-B187-45D7-B4EF-AE72292DC734}"/>
    <hyperlink ref="HT356" r:id="rId25" xr:uid="{4A5C95C7-B82F-43C1-B09F-8A8A5388A951}"/>
    <hyperlink ref="HU356" r:id="rId26" xr:uid="{7E65C586-F370-406C-82EA-3B98A1BC206A}"/>
    <hyperlink ref="HV356" r:id="rId27" xr:uid="{69061B3F-2C22-47B7-B601-14A3A34AF5C2}"/>
    <hyperlink ref="HW356" r:id="rId28" xr:uid="{52081E78-F2FA-4FFD-B7F3-54E438F42BB5}"/>
    <hyperlink ref="HX356" r:id="rId29" xr:uid="{860EC4CF-A89E-4F52-8F4E-6487DF8A3CE9}"/>
    <hyperlink ref="IA356" r:id="rId30" xr:uid="{0EB01CDA-F132-481F-9223-FDA1C7A0975D}"/>
    <hyperlink ref="HI358" r:id="rId31" xr:uid="{E6F023BB-E3E2-490E-99E4-DE06BB970E57}"/>
    <hyperlink ref="HL358" r:id="rId32" xr:uid="{75303AD9-385C-4EAA-B18E-A36BB8AAB99E}"/>
    <hyperlink ref="HM358" r:id="rId33" xr:uid="{49D36F09-0944-402A-BC30-FCB8BDBCA806}"/>
    <hyperlink ref="HN358" r:id="rId34" xr:uid="{EFA0FD96-4DF2-4D09-AB00-B3A5A1B8DD5C}"/>
    <hyperlink ref="HO358" r:id="rId35" xr:uid="{A3AB2654-331B-4CCB-B82A-2C5AB99CEA24}"/>
    <hyperlink ref="HP358" r:id="rId36" xr:uid="{EEDD9075-D1FA-4991-8338-1186F5A6F371}"/>
    <hyperlink ref="HQ358" r:id="rId37" xr:uid="{6DC50027-30EC-4E3D-B4CE-E82043EE5FC3}"/>
    <hyperlink ref="HR358" r:id="rId38" xr:uid="{86C2D1EE-0254-466D-9961-A6A0150F9B33}"/>
    <hyperlink ref="HS358" r:id="rId39" xr:uid="{E0E6712E-7F21-4350-AB36-7750E50CAF80}"/>
    <hyperlink ref="HT358" r:id="rId40" xr:uid="{12B1A6E5-1D62-4E2C-B34D-CC622F42CA39}"/>
    <hyperlink ref="HU358" r:id="rId41" xr:uid="{A5DACE52-1256-4994-BF79-8E4D76F18C0A}"/>
    <hyperlink ref="HV358" r:id="rId42" xr:uid="{105B26B1-3641-4196-A04F-E11E986213F3}"/>
    <hyperlink ref="HW358" r:id="rId43" xr:uid="{38C4B5C4-1475-46D6-B959-2DE51E7E2298}"/>
    <hyperlink ref="HX358" r:id="rId44" xr:uid="{CFFAA41E-91B6-4A6A-A387-AE8239E57FE7}"/>
    <hyperlink ref="IA358" r:id="rId45" xr:uid="{0440049B-9F66-45AE-BE62-2F724C3AA671}"/>
  </hyperlinks>
  <pageMargins left="0.7" right="0.7" top="0.75" bottom="0.75" header="0.3" footer="0.3"/>
  <pageSetup paperSize="9" orientation="portrait" r:id="rId4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5"/>
  <dimension ref="A1:E8"/>
  <sheetViews>
    <sheetView workbookViewId="0">
      <selection activeCell="H24" sqref="H24"/>
    </sheetView>
  </sheetViews>
  <sheetFormatPr defaultRowHeight="15" x14ac:dyDescent="0.25"/>
  <sheetData>
    <row r="1" spans="1:5" x14ac:dyDescent="0.25">
      <c r="A1" s="1">
        <v>0.1</v>
      </c>
      <c r="B1" s="112">
        <v>2.150537634408602</v>
      </c>
      <c r="D1" s="1">
        <v>0.1</v>
      </c>
      <c r="E1" s="1">
        <v>2</v>
      </c>
    </row>
    <row r="2" spans="1:5" x14ac:dyDescent="0.25">
      <c r="A2" s="1">
        <v>100</v>
      </c>
      <c r="B2" s="112">
        <v>1.7204301075268817</v>
      </c>
      <c r="D2" s="1">
        <v>100</v>
      </c>
      <c r="E2" s="1">
        <v>1.8</v>
      </c>
    </row>
    <row r="3" spans="1:5" x14ac:dyDescent="0.25">
      <c r="A3" s="2">
        <v>300</v>
      </c>
      <c r="B3" s="112">
        <v>1.5053763440860215</v>
      </c>
      <c r="D3" s="2">
        <v>300</v>
      </c>
      <c r="E3" s="2">
        <v>1.6</v>
      </c>
    </row>
    <row r="4" spans="1:5" x14ac:dyDescent="0.25">
      <c r="A4" s="2">
        <v>500</v>
      </c>
      <c r="B4" s="112">
        <v>1.3978494623655915</v>
      </c>
      <c r="D4" s="2">
        <v>500</v>
      </c>
      <c r="E4" s="2">
        <v>1.55</v>
      </c>
    </row>
    <row r="5" spans="1:5" x14ac:dyDescent="0.25">
      <c r="A5" s="2">
        <v>1000</v>
      </c>
      <c r="B5" s="112">
        <v>1.2903225806451613</v>
      </c>
      <c r="D5" s="2">
        <v>1000</v>
      </c>
      <c r="E5" s="2">
        <v>1.5</v>
      </c>
    </row>
    <row r="6" spans="1:5" x14ac:dyDescent="0.25">
      <c r="A6" s="2">
        <v>2000</v>
      </c>
      <c r="B6" s="112">
        <v>1.2903225806451613</v>
      </c>
      <c r="D6" s="2">
        <v>2000</v>
      </c>
      <c r="E6" s="2">
        <v>1.4</v>
      </c>
    </row>
    <row r="7" spans="1:5" x14ac:dyDescent="0.25">
      <c r="A7" s="2">
        <v>5000</v>
      </c>
      <c r="B7" s="112">
        <v>1.4516129032258065</v>
      </c>
      <c r="D7" s="2">
        <v>5000</v>
      </c>
      <c r="E7" s="2">
        <v>1.35</v>
      </c>
    </row>
    <row r="8" spans="1:5" x14ac:dyDescent="0.25">
      <c r="A8" s="2">
        <v>10000</v>
      </c>
      <c r="B8" s="112">
        <v>1.3978494623655915</v>
      </c>
      <c r="D8" s="2">
        <v>10000</v>
      </c>
      <c r="E8" s="2">
        <v>1.3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408F4-DA9A-4A9F-99A1-5E322280170D}">
  <sheetPr codeName="Лист6"/>
  <dimension ref="A1:O703"/>
  <sheetViews>
    <sheetView showGridLines="0" workbookViewId="0">
      <pane ySplit="1" topLeftCell="A696" activePane="bottomLeft" state="frozen"/>
      <selection pane="bottomLeft" sqref="A1:M703"/>
    </sheetView>
  </sheetViews>
  <sheetFormatPr defaultRowHeight="15" x14ac:dyDescent="0.25"/>
  <cols>
    <col min="1" max="1" width="7" bestFit="1" customWidth="1"/>
    <col min="2" max="2" width="7" customWidth="1"/>
    <col min="3" max="3" width="36.5703125" customWidth="1"/>
    <col min="4" max="4" width="7.5703125" bestFit="1" customWidth="1"/>
    <col min="5" max="5" width="36.28515625" bestFit="1" customWidth="1"/>
    <col min="6" max="6" width="18" customWidth="1"/>
    <col min="7" max="7" width="13.28515625" customWidth="1"/>
    <col min="8" max="8" width="8.42578125" bestFit="1" customWidth="1"/>
    <col min="9" max="9" width="10.85546875" bestFit="1" customWidth="1"/>
    <col min="10" max="10" width="36" customWidth="1"/>
    <col min="11" max="11" width="9.5703125" bestFit="1" customWidth="1"/>
    <col min="12" max="12" width="8.85546875" bestFit="1" customWidth="1"/>
    <col min="13" max="13" width="8" customWidth="1"/>
    <col min="14" max="14" width="4.85546875" bestFit="1" customWidth="1"/>
    <col min="15" max="15" width="6.28515625" bestFit="1" customWidth="1"/>
  </cols>
  <sheetData>
    <row r="1" spans="1:15" ht="30" x14ac:dyDescent="0.25">
      <c r="A1" s="119" t="s">
        <v>0</v>
      </c>
      <c r="B1" s="119" t="s">
        <v>2401</v>
      </c>
      <c r="C1" s="119" t="s">
        <v>2409</v>
      </c>
      <c r="D1" s="119" t="s">
        <v>2410</v>
      </c>
      <c r="E1" s="119" t="s">
        <v>2687</v>
      </c>
      <c r="F1" s="119" t="s">
        <v>2688</v>
      </c>
      <c r="G1" s="119" t="s">
        <v>1515</v>
      </c>
      <c r="H1" s="119" t="s">
        <v>1715</v>
      </c>
      <c r="I1" s="119" t="s">
        <v>1716</v>
      </c>
      <c r="J1" s="119" t="s">
        <v>2411</v>
      </c>
      <c r="K1" s="119" t="s">
        <v>2412</v>
      </c>
      <c r="L1" s="119" t="s">
        <v>2413</v>
      </c>
      <c r="M1" s="119" t="s">
        <v>1508</v>
      </c>
      <c r="N1" s="103"/>
      <c r="O1" s="103"/>
    </row>
    <row r="2" spans="1:15" ht="45" x14ac:dyDescent="0.25">
      <c r="A2" s="120">
        <v>186574</v>
      </c>
      <c r="B2" s="120">
        <v>35579</v>
      </c>
      <c r="C2" s="121" t="s">
        <v>3006</v>
      </c>
      <c r="D2" s="121" t="s">
        <v>2467</v>
      </c>
      <c r="E2" s="121" t="s">
        <v>592</v>
      </c>
      <c r="F2" s="121" t="s">
        <v>592</v>
      </c>
      <c r="G2" s="121" t="s">
        <v>2</v>
      </c>
      <c r="H2" s="122">
        <v>291</v>
      </c>
      <c r="I2" s="122">
        <v>509</v>
      </c>
      <c r="J2" s="121"/>
      <c r="K2" s="121" t="s">
        <v>1</v>
      </c>
      <c r="L2" s="121"/>
      <c r="M2" s="121"/>
      <c r="N2" s="103" t="str">
        <f>_xlfn.CONCAT(K2,IF(L2&lt;&gt;"",_xlfn.CONCAT("ск",L2),""))</f>
        <v>1</v>
      </c>
      <c r="O2" s="103" t="str">
        <f>INDEX(Кат!$I:$I,MATCH($A2,Кат!$A:$A,0))</f>
        <v>БРТ</v>
      </c>
    </row>
    <row r="3" spans="1:15" ht="30" x14ac:dyDescent="0.25">
      <c r="A3" s="120">
        <v>186575</v>
      </c>
      <c r="B3" s="120">
        <v>35586</v>
      </c>
      <c r="C3" s="121" t="s">
        <v>3007</v>
      </c>
      <c r="D3" s="121" t="s">
        <v>2467</v>
      </c>
      <c r="E3" s="121" t="s">
        <v>1440</v>
      </c>
      <c r="F3" s="121" t="s">
        <v>1440</v>
      </c>
      <c r="G3" s="121" t="s">
        <v>2</v>
      </c>
      <c r="H3" s="122">
        <v>278</v>
      </c>
      <c r="I3" s="122">
        <v>479</v>
      </c>
      <c r="J3" s="121"/>
      <c r="K3" s="121" t="s">
        <v>1</v>
      </c>
      <c r="L3" s="121"/>
      <c r="M3" s="121"/>
      <c r="N3" s="103" t="str">
        <f t="shared" ref="N3:N66" si="0">_xlfn.CONCAT(K3,IF(L3&lt;&gt;"",_xlfn.CONCAT("ск",L3),""))</f>
        <v>1</v>
      </c>
      <c r="O3" s="103" t="str">
        <f>INDEX(Кат!$I:$I,MATCH($A3,Кат!$A:$A,0))</f>
        <v>БРТ</v>
      </c>
    </row>
    <row r="4" spans="1:15" ht="30" x14ac:dyDescent="0.25">
      <c r="A4" s="120">
        <v>186577</v>
      </c>
      <c r="B4" s="120">
        <v>35577</v>
      </c>
      <c r="C4" s="121" t="s">
        <v>3008</v>
      </c>
      <c r="D4" s="121" t="s">
        <v>2467</v>
      </c>
      <c r="E4" s="121" t="s">
        <v>590</v>
      </c>
      <c r="F4" s="121" t="s">
        <v>590</v>
      </c>
      <c r="G4" s="121" t="s">
        <v>2</v>
      </c>
      <c r="H4" s="122">
        <v>260</v>
      </c>
      <c r="I4" s="122">
        <v>449</v>
      </c>
      <c r="J4" s="121"/>
      <c r="K4" s="121" t="s">
        <v>1</v>
      </c>
      <c r="L4" s="121"/>
      <c r="M4" s="121"/>
      <c r="N4" s="103" t="str">
        <f t="shared" si="0"/>
        <v>1</v>
      </c>
      <c r="O4" s="103" t="str">
        <f>INDEX(Кат!$I:$I,MATCH($A4,Кат!$A:$A,0))</f>
        <v>БРТ</v>
      </c>
    </row>
    <row r="5" spans="1:15" ht="30" x14ac:dyDescent="0.25">
      <c r="A5" s="120">
        <v>186584</v>
      </c>
      <c r="B5" s="120">
        <v>35388</v>
      </c>
      <c r="C5" s="121" t="s">
        <v>3009</v>
      </c>
      <c r="D5" s="121" t="s">
        <v>2467</v>
      </c>
      <c r="E5" s="121" t="s">
        <v>883</v>
      </c>
      <c r="F5" s="121" t="s">
        <v>883</v>
      </c>
      <c r="G5" s="121" t="s">
        <v>2</v>
      </c>
      <c r="H5" s="122">
        <v>219</v>
      </c>
      <c r="I5" s="122">
        <v>379</v>
      </c>
      <c r="J5" s="121"/>
      <c r="K5" s="121" t="s">
        <v>1</v>
      </c>
      <c r="L5" s="121"/>
      <c r="M5" s="121"/>
      <c r="N5" s="103" t="str">
        <f t="shared" si="0"/>
        <v>1</v>
      </c>
      <c r="O5" s="103" t="str">
        <f>INDEX(Кат!$I:$I,MATCH($A5,Кат!$A:$A,0))</f>
        <v>БРТ</v>
      </c>
    </row>
    <row r="6" spans="1:15" ht="45" x14ac:dyDescent="0.25">
      <c r="A6" s="120">
        <v>136585</v>
      </c>
      <c r="B6" s="120">
        <v>19048</v>
      </c>
      <c r="C6" s="121" t="s">
        <v>2246</v>
      </c>
      <c r="D6" s="121" t="s">
        <v>2414</v>
      </c>
      <c r="E6" s="121" t="s">
        <v>1240</v>
      </c>
      <c r="F6" s="121"/>
      <c r="G6" s="121" t="s">
        <v>2</v>
      </c>
      <c r="H6" s="122">
        <v>816</v>
      </c>
      <c r="I6" s="122">
        <v>1290</v>
      </c>
      <c r="J6" s="121" t="s">
        <v>2506</v>
      </c>
      <c r="K6" s="121" t="s">
        <v>1</v>
      </c>
      <c r="L6" s="121"/>
      <c r="M6" s="121"/>
      <c r="N6" s="103" t="str">
        <f t="shared" si="0"/>
        <v>1</v>
      </c>
      <c r="O6" s="103" t="str">
        <f>INDEX(Кат!$I:$I,MATCH($A6,Кат!$A:$A,0))</f>
        <v>БРТ</v>
      </c>
    </row>
    <row r="7" spans="1:15" ht="45" x14ac:dyDescent="0.25">
      <c r="A7" s="120">
        <v>136586</v>
      </c>
      <c r="B7" s="120">
        <v>35496</v>
      </c>
      <c r="C7" s="121" t="s">
        <v>2261</v>
      </c>
      <c r="D7" s="121" t="s">
        <v>2414</v>
      </c>
      <c r="E7" s="121" t="s">
        <v>1238</v>
      </c>
      <c r="F7" s="121" t="s">
        <v>1238</v>
      </c>
      <c r="G7" s="121" t="s">
        <v>2</v>
      </c>
      <c r="H7" s="122">
        <v>780</v>
      </c>
      <c r="I7" s="122">
        <v>1090</v>
      </c>
      <c r="J7" s="121" t="s">
        <v>2546</v>
      </c>
      <c r="K7" s="121" t="s">
        <v>1</v>
      </c>
      <c r="L7" s="121"/>
      <c r="M7" s="121"/>
      <c r="N7" s="103" t="str">
        <f t="shared" si="0"/>
        <v>1</v>
      </c>
      <c r="O7" s="103" t="str">
        <f>INDEX(Кат!$I:$I,MATCH($A7,Кат!$A:$A,0))</f>
        <v>БРТ</v>
      </c>
    </row>
    <row r="8" spans="1:15" ht="45" x14ac:dyDescent="0.25">
      <c r="A8" s="120">
        <v>136587</v>
      </c>
      <c r="B8" s="120">
        <v>17103</v>
      </c>
      <c r="C8" s="121" t="s">
        <v>2244</v>
      </c>
      <c r="D8" s="121" t="s">
        <v>2414</v>
      </c>
      <c r="E8" s="121"/>
      <c r="F8" s="121"/>
      <c r="G8" s="121" t="s">
        <v>2</v>
      </c>
      <c r="H8" s="122">
        <v>4380</v>
      </c>
      <c r="I8" s="122">
        <v>5690</v>
      </c>
      <c r="J8" s="121" t="s">
        <v>2325</v>
      </c>
      <c r="K8" s="121" t="s">
        <v>1</v>
      </c>
      <c r="L8" s="121"/>
      <c r="M8" s="121"/>
      <c r="N8" s="103" t="str">
        <f t="shared" si="0"/>
        <v>1</v>
      </c>
      <c r="O8" s="103" t="str">
        <f>INDEX(Кат!$I:$I,MATCH($A8,Кат!$A:$A,0))</f>
        <v>БРТ</v>
      </c>
    </row>
    <row r="9" spans="1:15" ht="45" x14ac:dyDescent="0.25">
      <c r="A9" s="120">
        <v>136588</v>
      </c>
      <c r="B9" s="120">
        <v>6124</v>
      </c>
      <c r="C9" s="121" t="s">
        <v>1844</v>
      </c>
      <c r="D9" s="121" t="s">
        <v>2414</v>
      </c>
      <c r="E9" s="121" t="s">
        <v>2689</v>
      </c>
      <c r="F9" s="121"/>
      <c r="G9" s="121" t="s">
        <v>2</v>
      </c>
      <c r="H9" s="122">
        <v>1306</v>
      </c>
      <c r="I9" s="122">
        <v>1690</v>
      </c>
      <c r="J9" s="121" t="s">
        <v>2532</v>
      </c>
      <c r="K9" s="121" t="s">
        <v>1</v>
      </c>
      <c r="L9" s="121"/>
      <c r="M9" s="121"/>
      <c r="N9" s="103" t="str">
        <f t="shared" si="0"/>
        <v>1</v>
      </c>
      <c r="O9" s="103" t="str">
        <f>INDEX(Кат!$I:$I,MATCH($A9,Кат!$A:$A,0))</f>
        <v>БРТ</v>
      </c>
    </row>
    <row r="10" spans="1:15" ht="45" x14ac:dyDescent="0.25">
      <c r="A10" s="120">
        <v>136589</v>
      </c>
      <c r="B10" s="120">
        <v>22506</v>
      </c>
      <c r="C10" s="121" t="s">
        <v>2110</v>
      </c>
      <c r="D10" s="121" t="s">
        <v>2414</v>
      </c>
      <c r="E10" s="121" t="s">
        <v>2111</v>
      </c>
      <c r="F10" s="121"/>
      <c r="G10" s="121" t="s">
        <v>2</v>
      </c>
      <c r="H10" s="122">
        <v>1306</v>
      </c>
      <c r="I10" s="122">
        <v>1690</v>
      </c>
      <c r="J10" s="121" t="s">
        <v>2531</v>
      </c>
      <c r="K10" s="121" t="s">
        <v>1</v>
      </c>
      <c r="L10" s="121"/>
      <c r="M10" s="121"/>
      <c r="N10" s="103" t="str">
        <f t="shared" si="0"/>
        <v>1</v>
      </c>
      <c r="O10" s="103" t="str">
        <f>INDEX(Кат!$I:$I,MATCH($A10,Кат!$A:$A,0))</f>
        <v>БРТ</v>
      </c>
    </row>
    <row r="11" spans="1:15" ht="30" x14ac:dyDescent="0.25">
      <c r="A11" s="120">
        <v>136590</v>
      </c>
      <c r="B11" s="120">
        <v>6161</v>
      </c>
      <c r="C11" s="121" t="s">
        <v>2235</v>
      </c>
      <c r="D11" s="121" t="s">
        <v>2414</v>
      </c>
      <c r="E11" s="121"/>
      <c r="F11" s="121"/>
      <c r="G11" s="121" t="s">
        <v>2</v>
      </c>
      <c r="H11" s="122">
        <v>1434</v>
      </c>
      <c r="I11" s="122">
        <v>1890</v>
      </c>
      <c r="J11" s="121"/>
      <c r="K11" s="121" t="s">
        <v>1</v>
      </c>
      <c r="L11" s="121"/>
      <c r="M11" s="121"/>
      <c r="N11" s="103" t="str">
        <f t="shared" si="0"/>
        <v>1</v>
      </c>
      <c r="O11" s="103" t="str">
        <f>INDEX(Кат!$I:$I,MATCH($A11,Кат!$A:$A,0))</f>
        <v>БРТ</v>
      </c>
    </row>
    <row r="12" spans="1:15" ht="45" x14ac:dyDescent="0.25">
      <c r="A12" s="120">
        <v>136591</v>
      </c>
      <c r="B12" s="120">
        <v>22505</v>
      </c>
      <c r="C12" s="121" t="s">
        <v>2108</v>
      </c>
      <c r="D12" s="121" t="s">
        <v>2414</v>
      </c>
      <c r="E12" s="121" t="s">
        <v>2109</v>
      </c>
      <c r="F12" s="121"/>
      <c r="G12" s="121" t="s">
        <v>2</v>
      </c>
      <c r="H12" s="122">
        <v>1434</v>
      </c>
      <c r="I12" s="122">
        <v>1890</v>
      </c>
      <c r="J12" s="121" t="s">
        <v>2268</v>
      </c>
      <c r="K12" s="121" t="s">
        <v>1</v>
      </c>
      <c r="L12" s="121"/>
      <c r="M12" s="121"/>
      <c r="N12" s="103" t="str">
        <f t="shared" si="0"/>
        <v>1</v>
      </c>
      <c r="O12" s="103" t="str">
        <f>INDEX(Кат!$I:$I,MATCH($A12,Кат!$A:$A,0))</f>
        <v>БРТ</v>
      </c>
    </row>
    <row r="13" spans="1:15" ht="30" x14ac:dyDescent="0.25">
      <c r="A13" s="120">
        <v>136653</v>
      </c>
      <c r="B13" s="120">
        <v>19801</v>
      </c>
      <c r="C13" s="121" t="s">
        <v>2746</v>
      </c>
      <c r="D13" s="121" t="s">
        <v>2414</v>
      </c>
      <c r="E13" s="121" t="s">
        <v>1896</v>
      </c>
      <c r="F13" s="121"/>
      <c r="G13" s="121" t="s">
        <v>2</v>
      </c>
      <c r="H13" s="122">
        <v>167</v>
      </c>
      <c r="I13" s="122">
        <v>289</v>
      </c>
      <c r="J13" s="121"/>
      <c r="K13" s="121" t="s">
        <v>1</v>
      </c>
      <c r="L13" s="121" t="s">
        <v>1824</v>
      </c>
      <c r="M13" s="121"/>
      <c r="N13" s="103" t="str">
        <f t="shared" si="0"/>
        <v>1ск6</v>
      </c>
      <c r="O13" s="103" t="str">
        <f>INDEX(Кат!$I:$I,MATCH($A13,Кат!$A:$A,0))</f>
        <v>БРТ</v>
      </c>
    </row>
    <row r="14" spans="1:15" ht="45" x14ac:dyDescent="0.25">
      <c r="A14" s="120">
        <v>136654</v>
      </c>
      <c r="B14" s="120">
        <v>19817</v>
      </c>
      <c r="C14" s="121" t="s">
        <v>1708</v>
      </c>
      <c r="D14" s="121" t="s">
        <v>2414</v>
      </c>
      <c r="E14" s="121" t="s">
        <v>1905</v>
      </c>
      <c r="F14" s="121"/>
      <c r="G14" s="121" t="s">
        <v>2</v>
      </c>
      <c r="H14" s="122">
        <v>260</v>
      </c>
      <c r="I14" s="122">
        <v>449</v>
      </c>
      <c r="J14" s="121"/>
      <c r="K14" s="121" t="s">
        <v>1</v>
      </c>
      <c r="L14" s="121"/>
      <c r="M14" s="121"/>
      <c r="N14" s="103" t="str">
        <f t="shared" si="0"/>
        <v>1</v>
      </c>
      <c r="O14" s="103" t="str">
        <f>INDEX(Кат!$I:$I,MATCH($A14,Кат!$A:$A,0))</f>
        <v>БРТ</v>
      </c>
    </row>
    <row r="15" spans="1:15" ht="45" x14ac:dyDescent="0.25">
      <c r="A15" s="120">
        <v>138720</v>
      </c>
      <c r="B15" s="120">
        <v>35467</v>
      </c>
      <c r="C15" s="121" t="s">
        <v>1639</v>
      </c>
      <c r="D15" s="121" t="s">
        <v>2414</v>
      </c>
      <c r="E15" s="121" t="s">
        <v>517</v>
      </c>
      <c r="F15" s="121" t="s">
        <v>517</v>
      </c>
      <c r="G15" s="121" t="s">
        <v>2</v>
      </c>
      <c r="H15" s="122">
        <v>485</v>
      </c>
      <c r="I15" s="122">
        <v>739</v>
      </c>
      <c r="J15" s="121" t="s">
        <v>2563</v>
      </c>
      <c r="K15" s="121" t="s">
        <v>1</v>
      </c>
      <c r="L15" s="121"/>
      <c r="M15" s="121"/>
      <c r="N15" s="103" t="str">
        <f t="shared" si="0"/>
        <v>1</v>
      </c>
      <c r="O15" s="103" t="str">
        <f>INDEX(Кат!$I:$I,MATCH($A15,Кат!$A:$A,0))</f>
        <v>БРТ</v>
      </c>
    </row>
    <row r="16" spans="1:15" ht="45" x14ac:dyDescent="0.25">
      <c r="A16" s="120">
        <v>138721</v>
      </c>
      <c r="B16" s="120">
        <v>35466</v>
      </c>
      <c r="C16" s="121" t="s">
        <v>1638</v>
      </c>
      <c r="D16" s="121" t="s">
        <v>2414</v>
      </c>
      <c r="E16" s="121" t="s">
        <v>516</v>
      </c>
      <c r="F16" s="121" t="s">
        <v>516</v>
      </c>
      <c r="G16" s="121" t="s">
        <v>2</v>
      </c>
      <c r="H16" s="122">
        <v>485</v>
      </c>
      <c r="I16" s="122">
        <v>739</v>
      </c>
      <c r="J16" s="121" t="s">
        <v>2564</v>
      </c>
      <c r="K16" s="121" t="s">
        <v>1</v>
      </c>
      <c r="L16" s="121"/>
      <c r="M16" s="121"/>
      <c r="N16" s="103" t="str">
        <f t="shared" si="0"/>
        <v>1</v>
      </c>
      <c r="O16" s="103" t="str">
        <f>INDEX(Кат!$I:$I,MATCH($A16,Кат!$A:$A,0))</f>
        <v>БРТ</v>
      </c>
    </row>
    <row r="17" spans="1:15" ht="30" x14ac:dyDescent="0.25">
      <c r="A17" s="120">
        <v>138756</v>
      </c>
      <c r="B17" s="120">
        <v>26559</v>
      </c>
      <c r="C17" s="121" t="s">
        <v>2123</v>
      </c>
      <c r="D17" s="121" t="s">
        <v>2414</v>
      </c>
      <c r="E17" s="121" t="s">
        <v>2124</v>
      </c>
      <c r="F17" s="121"/>
      <c r="G17" s="121" t="s">
        <v>2</v>
      </c>
      <c r="H17" s="122">
        <v>216</v>
      </c>
      <c r="I17" s="122">
        <v>379</v>
      </c>
      <c r="J17" s="121"/>
      <c r="K17" s="121" t="s">
        <v>1</v>
      </c>
      <c r="L17" s="121"/>
      <c r="M17" s="121"/>
      <c r="N17" s="103" t="str">
        <f t="shared" si="0"/>
        <v>1</v>
      </c>
      <c r="O17" s="103" t="str">
        <f>INDEX(Кат!$I:$I,MATCH($A17,Кат!$A:$A,0))</f>
        <v>БРТ</v>
      </c>
    </row>
    <row r="18" spans="1:15" ht="30" x14ac:dyDescent="0.25">
      <c r="A18" s="120">
        <v>138757</v>
      </c>
      <c r="B18" s="120">
        <v>17623</v>
      </c>
      <c r="C18" s="121" t="s">
        <v>1880</v>
      </c>
      <c r="D18" s="121" t="s">
        <v>2414</v>
      </c>
      <c r="E18" s="121" t="s">
        <v>1881</v>
      </c>
      <c r="F18" s="121"/>
      <c r="G18" s="121" t="s">
        <v>2</v>
      </c>
      <c r="H18" s="122">
        <v>250</v>
      </c>
      <c r="I18" s="122">
        <v>509</v>
      </c>
      <c r="J18" s="121" t="s">
        <v>2607</v>
      </c>
      <c r="K18" s="121" t="s">
        <v>1</v>
      </c>
      <c r="L18" s="121"/>
      <c r="M18" s="121"/>
      <c r="N18" s="103" t="str">
        <f t="shared" si="0"/>
        <v>1</v>
      </c>
      <c r="O18" s="103" t="str">
        <f>INDEX(Кат!$I:$I,MATCH($A18,Кат!$A:$A,0))</f>
        <v>БРТ</v>
      </c>
    </row>
    <row r="19" spans="1:15" ht="30" x14ac:dyDescent="0.25">
      <c r="A19" s="120">
        <v>138758</v>
      </c>
      <c r="B19" s="120">
        <v>35559</v>
      </c>
      <c r="C19" s="121" t="s">
        <v>1680</v>
      </c>
      <c r="D19" s="121" t="s">
        <v>2414</v>
      </c>
      <c r="E19" s="121" t="s">
        <v>1315</v>
      </c>
      <c r="F19" s="121" t="s">
        <v>1315</v>
      </c>
      <c r="G19" s="121" t="s">
        <v>2</v>
      </c>
      <c r="H19" s="122">
        <v>351</v>
      </c>
      <c r="I19" s="122">
        <v>509</v>
      </c>
      <c r="J19" s="121" t="s">
        <v>2607</v>
      </c>
      <c r="K19" s="121" t="s">
        <v>1</v>
      </c>
      <c r="L19" s="121"/>
      <c r="M19" s="121"/>
      <c r="N19" s="103" t="str">
        <f t="shared" si="0"/>
        <v>1</v>
      </c>
      <c r="O19" s="103" t="str">
        <f>INDEX(Кат!$I:$I,MATCH($A19,Кат!$A:$A,0))</f>
        <v>БРТ</v>
      </c>
    </row>
    <row r="20" spans="1:15" ht="45" x14ac:dyDescent="0.25">
      <c r="A20" s="120">
        <v>138804</v>
      </c>
      <c r="B20" s="120">
        <v>6705</v>
      </c>
      <c r="C20" s="121" t="s">
        <v>1859</v>
      </c>
      <c r="D20" s="121" t="s">
        <v>2414</v>
      </c>
      <c r="E20" s="121" t="s">
        <v>1860</v>
      </c>
      <c r="F20" s="121"/>
      <c r="G20" s="121" t="s">
        <v>2</v>
      </c>
      <c r="H20" s="122">
        <v>175</v>
      </c>
      <c r="I20" s="122">
        <v>509</v>
      </c>
      <c r="J20" s="121" t="s">
        <v>2623</v>
      </c>
      <c r="K20" s="121" t="s">
        <v>1</v>
      </c>
      <c r="L20" s="121"/>
      <c r="M20" s="121"/>
      <c r="N20" s="103" t="str">
        <f t="shared" si="0"/>
        <v>1</v>
      </c>
      <c r="O20" s="103" t="str">
        <f>INDEX(Кат!$I:$I,MATCH($A20,Кат!$A:$A,0))</f>
        <v>БРТ</v>
      </c>
    </row>
    <row r="21" spans="1:15" ht="45" x14ac:dyDescent="0.25">
      <c r="A21" s="120">
        <v>138805</v>
      </c>
      <c r="B21" s="120">
        <v>15416</v>
      </c>
      <c r="C21" s="121" t="s">
        <v>1873</v>
      </c>
      <c r="D21" s="121" t="s">
        <v>2414</v>
      </c>
      <c r="E21" s="121"/>
      <c r="F21" s="121"/>
      <c r="G21" s="121" t="s">
        <v>2</v>
      </c>
      <c r="H21" s="122">
        <v>260</v>
      </c>
      <c r="I21" s="122">
        <v>509</v>
      </c>
      <c r="J21" s="121" t="s">
        <v>2623</v>
      </c>
      <c r="K21" s="121" t="s">
        <v>1</v>
      </c>
      <c r="L21" s="121"/>
      <c r="M21" s="121"/>
      <c r="N21" s="103" t="str">
        <f t="shared" si="0"/>
        <v>1</v>
      </c>
      <c r="O21" s="103" t="str">
        <f>INDEX(Кат!$I:$I,MATCH($A21,Кат!$A:$A,0))</f>
        <v>БРТ</v>
      </c>
    </row>
    <row r="22" spans="1:15" ht="30" x14ac:dyDescent="0.25">
      <c r="A22" s="120">
        <v>138808</v>
      </c>
      <c r="B22" s="120">
        <v>36584</v>
      </c>
      <c r="C22" s="121" t="s">
        <v>1712</v>
      </c>
      <c r="D22" s="121" t="s">
        <v>2414</v>
      </c>
      <c r="E22" s="121"/>
      <c r="F22" s="121"/>
      <c r="G22" s="121" t="s">
        <v>2</v>
      </c>
      <c r="H22" s="122">
        <v>431</v>
      </c>
      <c r="I22" s="122">
        <v>649</v>
      </c>
      <c r="J22" s="121"/>
      <c r="K22" s="121" t="s">
        <v>1</v>
      </c>
      <c r="L22" s="121"/>
      <c r="M22" s="121"/>
      <c r="N22" s="103" t="str">
        <f t="shared" si="0"/>
        <v>1</v>
      </c>
      <c r="O22" s="103" t="str">
        <f>INDEX(Кат!$I:$I,MATCH($A22,Кат!$A:$A,0))</f>
        <v>БРТ</v>
      </c>
    </row>
    <row r="23" spans="1:15" ht="30" x14ac:dyDescent="0.25">
      <c r="A23" s="120">
        <v>138827</v>
      </c>
      <c r="B23" s="120">
        <v>26560</v>
      </c>
      <c r="C23" s="121" t="s">
        <v>2125</v>
      </c>
      <c r="D23" s="121" t="s">
        <v>2414</v>
      </c>
      <c r="E23" s="121"/>
      <c r="F23" s="121"/>
      <c r="G23" s="121" t="s">
        <v>2</v>
      </c>
      <c r="H23" s="122">
        <v>232</v>
      </c>
      <c r="I23" s="122">
        <v>399</v>
      </c>
      <c r="J23" s="121"/>
      <c r="K23" s="121" t="s">
        <v>1</v>
      </c>
      <c r="L23" s="121"/>
      <c r="M23" s="121"/>
      <c r="N23" s="103" t="str">
        <f t="shared" si="0"/>
        <v>1</v>
      </c>
      <c r="O23" s="103" t="str">
        <f>INDEX(Кат!$I:$I,MATCH($A23,Кат!$A:$A,0))</f>
        <v>БРТ</v>
      </c>
    </row>
    <row r="24" spans="1:15" ht="45" x14ac:dyDescent="0.25">
      <c r="A24" s="120">
        <v>138833</v>
      </c>
      <c r="B24" s="120">
        <v>6704</v>
      </c>
      <c r="C24" s="121" t="s">
        <v>112</v>
      </c>
      <c r="D24" s="121" t="s">
        <v>2414</v>
      </c>
      <c r="E24" s="121"/>
      <c r="F24" s="121"/>
      <c r="G24" s="121" t="s">
        <v>2</v>
      </c>
      <c r="H24" s="122">
        <v>140</v>
      </c>
      <c r="I24" s="122">
        <v>409</v>
      </c>
      <c r="J24" s="121" t="s">
        <v>2622</v>
      </c>
      <c r="K24" s="121" t="s">
        <v>1</v>
      </c>
      <c r="L24" s="121"/>
      <c r="M24" s="121"/>
      <c r="N24" s="103" t="str">
        <f t="shared" si="0"/>
        <v>1</v>
      </c>
      <c r="O24" s="103" t="str">
        <f>INDEX(Кат!$I:$I,MATCH($A24,Кат!$A:$A,0))</f>
        <v>БРТ</v>
      </c>
    </row>
    <row r="25" spans="1:15" ht="30" x14ac:dyDescent="0.25">
      <c r="A25" s="120">
        <v>138871</v>
      </c>
      <c r="B25" s="120">
        <v>25147</v>
      </c>
      <c r="C25" s="121" t="s">
        <v>2115</v>
      </c>
      <c r="D25" s="121" t="s">
        <v>2414</v>
      </c>
      <c r="E25" s="121" t="s">
        <v>633</v>
      </c>
      <c r="F25" s="121"/>
      <c r="G25" s="121" t="s">
        <v>2</v>
      </c>
      <c r="H25" s="122">
        <v>55</v>
      </c>
      <c r="I25" s="122">
        <v>119</v>
      </c>
      <c r="J25" s="121"/>
      <c r="K25" s="121" t="s">
        <v>1</v>
      </c>
      <c r="L25" s="121"/>
      <c r="M25" s="121" t="s">
        <v>2414</v>
      </c>
      <c r="N25" s="103" t="str">
        <f t="shared" si="0"/>
        <v>1</v>
      </c>
      <c r="O25" s="103" t="str">
        <f>INDEX(Кат!$I:$I,MATCH($A25,Кат!$A:$A,0))</f>
        <v>БРТ</v>
      </c>
    </row>
    <row r="26" spans="1:15" ht="60" x14ac:dyDescent="0.25">
      <c r="A26" s="120">
        <v>138872</v>
      </c>
      <c r="B26" s="120">
        <v>32887</v>
      </c>
      <c r="C26" s="121" t="s">
        <v>2145</v>
      </c>
      <c r="D26" s="121" t="s">
        <v>2414</v>
      </c>
      <c r="E26" s="121" t="s">
        <v>2146</v>
      </c>
      <c r="F26" s="121"/>
      <c r="G26" s="121" t="s">
        <v>2</v>
      </c>
      <c r="H26" s="122">
        <v>8</v>
      </c>
      <c r="I26" s="122">
        <v>29</v>
      </c>
      <c r="J26" s="121" t="s">
        <v>2578</v>
      </c>
      <c r="K26" s="121" t="s">
        <v>1</v>
      </c>
      <c r="L26" s="121"/>
      <c r="M26" s="121"/>
      <c r="N26" s="103" t="str">
        <f t="shared" si="0"/>
        <v>1</v>
      </c>
      <c r="O26" s="103" t="str">
        <f>INDEX(Кат!$I:$I,MATCH($A26,Кат!$A:$A,0))</f>
        <v>БРТ</v>
      </c>
    </row>
    <row r="27" spans="1:15" ht="45" x14ac:dyDescent="0.25">
      <c r="A27" s="120">
        <v>138873</v>
      </c>
      <c r="B27" s="120">
        <v>39864</v>
      </c>
      <c r="C27" s="121" t="s">
        <v>2170</v>
      </c>
      <c r="D27" s="121" t="s">
        <v>2414</v>
      </c>
      <c r="E27" s="121" t="s">
        <v>2171</v>
      </c>
      <c r="F27" s="121" t="s">
        <v>2172</v>
      </c>
      <c r="G27" s="121" t="s">
        <v>2</v>
      </c>
      <c r="H27" s="122">
        <v>42</v>
      </c>
      <c r="I27" s="122">
        <v>159</v>
      </c>
      <c r="J27" s="121" t="s">
        <v>2379</v>
      </c>
      <c r="K27" s="121" t="s">
        <v>1</v>
      </c>
      <c r="L27" s="121"/>
      <c r="M27" s="121"/>
      <c r="N27" s="103" t="str">
        <f t="shared" si="0"/>
        <v>1</v>
      </c>
      <c r="O27" s="103" t="str">
        <f>INDEX(Кат!$I:$I,MATCH($A27,Кат!$A:$A,0))</f>
        <v>БРТ</v>
      </c>
    </row>
    <row r="28" spans="1:15" ht="45" x14ac:dyDescent="0.25">
      <c r="A28" s="120">
        <v>138870</v>
      </c>
      <c r="B28" s="120">
        <v>39859</v>
      </c>
      <c r="C28" s="121" t="s">
        <v>2690</v>
      </c>
      <c r="D28" s="121" t="s">
        <v>2414</v>
      </c>
      <c r="E28" s="121" t="s">
        <v>2168</v>
      </c>
      <c r="F28" s="121" t="s">
        <v>2169</v>
      </c>
      <c r="G28" s="121" t="s">
        <v>2</v>
      </c>
      <c r="H28" s="122">
        <v>42</v>
      </c>
      <c r="I28" s="122">
        <v>159</v>
      </c>
      <c r="J28" s="121" t="s">
        <v>2378</v>
      </c>
      <c r="K28" s="121" t="s">
        <v>1</v>
      </c>
      <c r="L28" s="121"/>
      <c r="M28" s="121"/>
      <c r="N28" s="103" t="str">
        <f t="shared" si="0"/>
        <v>1</v>
      </c>
      <c r="O28" s="103" t="str">
        <f>INDEX(Кат!$I:$I,MATCH($A28,Кат!$A:$A,0))</f>
        <v>БРТ</v>
      </c>
    </row>
    <row r="29" spans="1:15" ht="45" x14ac:dyDescent="0.25">
      <c r="A29" s="120">
        <v>138874</v>
      </c>
      <c r="B29" s="120">
        <v>35416</v>
      </c>
      <c r="C29" s="121" t="s">
        <v>1612</v>
      </c>
      <c r="D29" s="121" t="s">
        <v>2414</v>
      </c>
      <c r="E29" s="121" t="s">
        <v>1613</v>
      </c>
      <c r="F29" s="121" t="s">
        <v>1613</v>
      </c>
      <c r="G29" s="121" t="s">
        <v>2</v>
      </c>
      <c r="H29" s="122">
        <v>217.2</v>
      </c>
      <c r="I29" s="122">
        <v>389</v>
      </c>
      <c r="J29" s="121" t="s">
        <v>2567</v>
      </c>
      <c r="K29" s="121" t="s">
        <v>1</v>
      </c>
      <c r="L29" s="121"/>
      <c r="M29" s="121"/>
      <c r="N29" s="103" t="str">
        <f t="shared" si="0"/>
        <v>1</v>
      </c>
      <c r="O29" s="103" t="str">
        <f>INDEX(Кат!$I:$I,MATCH($A29,Кат!$A:$A,0))</f>
        <v>БРТ</v>
      </c>
    </row>
    <row r="30" spans="1:15" ht="45" x14ac:dyDescent="0.25">
      <c r="A30" s="120">
        <v>138875</v>
      </c>
      <c r="B30" s="120">
        <v>35415</v>
      </c>
      <c r="C30" s="121" t="s">
        <v>1610</v>
      </c>
      <c r="D30" s="121" t="s">
        <v>2414</v>
      </c>
      <c r="E30" s="121" t="s">
        <v>1611</v>
      </c>
      <c r="F30" s="121" t="s">
        <v>1611</v>
      </c>
      <c r="G30" s="121" t="s">
        <v>2</v>
      </c>
      <c r="H30" s="122">
        <v>217.2</v>
      </c>
      <c r="I30" s="122">
        <v>389</v>
      </c>
      <c r="J30" s="121" t="s">
        <v>2567</v>
      </c>
      <c r="K30" s="121" t="s">
        <v>1</v>
      </c>
      <c r="L30" s="121"/>
      <c r="M30" s="121"/>
      <c r="N30" s="103" t="str">
        <f t="shared" si="0"/>
        <v>1</v>
      </c>
      <c r="O30" s="103" t="str">
        <f>INDEX(Кат!$I:$I,MATCH($A30,Кат!$A:$A,0))</f>
        <v>БРТ</v>
      </c>
    </row>
    <row r="31" spans="1:15" ht="30" x14ac:dyDescent="0.25">
      <c r="A31" s="120">
        <v>243564</v>
      </c>
      <c r="B31" s="120">
        <v>197620</v>
      </c>
      <c r="C31" s="121" t="s">
        <v>2415</v>
      </c>
      <c r="D31" s="121" t="s">
        <v>2414</v>
      </c>
      <c r="E31" s="121" t="s">
        <v>2416</v>
      </c>
      <c r="F31" s="121" t="s">
        <v>2416</v>
      </c>
      <c r="G31" s="121" t="s">
        <v>2</v>
      </c>
      <c r="H31" s="122">
        <v>42</v>
      </c>
      <c r="I31" s="122">
        <v>99</v>
      </c>
      <c r="J31" s="121"/>
      <c r="K31" s="121" t="s">
        <v>1</v>
      </c>
      <c r="L31" s="121"/>
      <c r="M31" s="121"/>
      <c r="N31" s="103" t="str">
        <f t="shared" si="0"/>
        <v>1</v>
      </c>
      <c r="O31" s="103" t="str">
        <f>INDEX(Кат!$I:$I,MATCH($A31,Кат!$A:$A,0))</f>
        <v>БРТ</v>
      </c>
    </row>
    <row r="32" spans="1:15" ht="30" x14ac:dyDescent="0.25">
      <c r="A32" s="120">
        <v>138896</v>
      </c>
      <c r="B32" s="120">
        <v>20274</v>
      </c>
      <c r="C32" s="121" t="s">
        <v>106</v>
      </c>
      <c r="D32" s="121" t="s">
        <v>2414</v>
      </c>
      <c r="E32" s="121" t="s">
        <v>1967</v>
      </c>
      <c r="F32" s="121"/>
      <c r="G32" s="121" t="s">
        <v>2</v>
      </c>
      <c r="H32" s="122">
        <v>60</v>
      </c>
      <c r="I32" s="122">
        <v>129</v>
      </c>
      <c r="J32" s="121"/>
      <c r="K32" s="121" t="s">
        <v>1</v>
      </c>
      <c r="L32" s="121"/>
      <c r="M32" s="121"/>
      <c r="N32" s="103" t="str">
        <f t="shared" si="0"/>
        <v>1</v>
      </c>
      <c r="O32" s="103" t="str">
        <f>INDEX(Кат!$I:$I,MATCH($A32,Кат!$A:$A,0))</f>
        <v>БРТ</v>
      </c>
    </row>
    <row r="33" spans="1:15" ht="45" x14ac:dyDescent="0.25">
      <c r="A33" s="120">
        <v>138980</v>
      </c>
      <c r="B33" s="120">
        <v>24982</v>
      </c>
      <c r="C33" s="121" t="s">
        <v>2691</v>
      </c>
      <c r="D33" s="121" t="s">
        <v>2414</v>
      </c>
      <c r="E33" s="121" t="s">
        <v>2417</v>
      </c>
      <c r="F33" s="121"/>
      <c r="G33" s="121" t="s">
        <v>2</v>
      </c>
      <c r="H33" s="122">
        <v>15</v>
      </c>
      <c r="I33" s="122">
        <v>39</v>
      </c>
      <c r="J33" s="121"/>
      <c r="K33" s="121" t="s">
        <v>2418</v>
      </c>
      <c r="L33" s="121"/>
      <c r="M33" s="121"/>
      <c r="N33" s="103" t="str">
        <f t="shared" si="0"/>
        <v>0</v>
      </c>
      <c r="O33" s="103" t="str">
        <f>INDEX(Кат!$I:$I,MATCH($A33,Кат!$A:$A,0))</f>
        <v>БРТ</v>
      </c>
    </row>
    <row r="34" spans="1:15" ht="45" x14ac:dyDescent="0.25">
      <c r="A34" s="120">
        <v>139155</v>
      </c>
      <c r="B34" s="120">
        <v>34071</v>
      </c>
      <c r="C34" s="121" t="s">
        <v>2150</v>
      </c>
      <c r="D34" s="121" t="s">
        <v>2414</v>
      </c>
      <c r="E34" s="121" t="s">
        <v>2151</v>
      </c>
      <c r="F34" s="121"/>
      <c r="G34" s="121" t="s">
        <v>2</v>
      </c>
      <c r="H34" s="122">
        <v>700</v>
      </c>
      <c r="I34" s="122">
        <v>989</v>
      </c>
      <c r="J34" s="121" t="s">
        <v>2313</v>
      </c>
      <c r="K34" s="121" t="s">
        <v>1</v>
      </c>
      <c r="L34" s="121"/>
      <c r="M34" s="121"/>
      <c r="N34" s="103" t="str">
        <f t="shared" si="0"/>
        <v>1</v>
      </c>
      <c r="O34" s="103" t="str">
        <f>INDEX(Кат!$I:$I,MATCH($A34,Кат!$A:$A,0))</f>
        <v>БРТ</v>
      </c>
    </row>
    <row r="35" spans="1:15" ht="60" x14ac:dyDescent="0.25">
      <c r="A35" s="120">
        <v>139156</v>
      </c>
      <c r="B35" s="120">
        <v>16877</v>
      </c>
      <c r="C35" s="121" t="s">
        <v>1507</v>
      </c>
      <c r="D35" s="121" t="s">
        <v>2414</v>
      </c>
      <c r="E35" s="121"/>
      <c r="F35" s="121"/>
      <c r="G35" s="121" t="s">
        <v>2</v>
      </c>
      <c r="H35" s="122">
        <v>1450</v>
      </c>
      <c r="I35" s="122">
        <v>1890</v>
      </c>
      <c r="J35" s="121" t="s">
        <v>2308</v>
      </c>
      <c r="K35" s="121" t="s">
        <v>1</v>
      </c>
      <c r="L35" s="121"/>
      <c r="M35" s="121"/>
      <c r="N35" s="103" t="str">
        <f t="shared" si="0"/>
        <v>1</v>
      </c>
      <c r="O35" s="103" t="str">
        <f>INDEX(Кат!$I:$I,MATCH($A35,Кат!$A:$A,0))</f>
        <v>БРТ</v>
      </c>
    </row>
    <row r="36" spans="1:15" ht="60" x14ac:dyDescent="0.25">
      <c r="A36" s="120">
        <v>139157</v>
      </c>
      <c r="B36" s="120">
        <v>34069</v>
      </c>
      <c r="C36" s="121" t="s">
        <v>1506</v>
      </c>
      <c r="D36" s="121" t="s">
        <v>2414</v>
      </c>
      <c r="E36" s="121"/>
      <c r="F36" s="121"/>
      <c r="G36" s="121" t="s">
        <v>2</v>
      </c>
      <c r="H36" s="122">
        <v>1560</v>
      </c>
      <c r="I36" s="122">
        <v>2090</v>
      </c>
      <c r="J36" s="121" t="s">
        <v>2309</v>
      </c>
      <c r="K36" s="121" t="s">
        <v>1</v>
      </c>
      <c r="L36" s="121"/>
      <c r="M36" s="121"/>
      <c r="N36" s="103" t="str">
        <f t="shared" si="0"/>
        <v>1</v>
      </c>
      <c r="O36" s="103" t="str">
        <f>INDEX(Кат!$I:$I,MATCH($A36,Кат!$A:$A,0))</f>
        <v>БРТ</v>
      </c>
    </row>
    <row r="37" spans="1:15" ht="30" x14ac:dyDescent="0.25">
      <c r="A37" s="120">
        <v>139158</v>
      </c>
      <c r="B37" s="120">
        <v>12592</v>
      </c>
      <c r="C37" s="121" t="s">
        <v>2241</v>
      </c>
      <c r="D37" s="121" t="s">
        <v>2414</v>
      </c>
      <c r="E37" s="121" t="s">
        <v>2419</v>
      </c>
      <c r="F37" s="121"/>
      <c r="G37" s="121" t="s">
        <v>2</v>
      </c>
      <c r="H37" s="122">
        <v>1100</v>
      </c>
      <c r="I37" s="122">
        <v>1490</v>
      </c>
      <c r="J37" s="121" t="s">
        <v>2319</v>
      </c>
      <c r="K37" s="121" t="s">
        <v>1</v>
      </c>
      <c r="L37" s="121" t="s">
        <v>1824</v>
      </c>
      <c r="M37" s="121"/>
      <c r="N37" s="103" t="str">
        <f t="shared" si="0"/>
        <v>1ск6</v>
      </c>
      <c r="O37" s="103" t="str">
        <f>INDEX(Кат!$I:$I,MATCH($A37,Кат!$A:$A,0))</f>
        <v>БРТ</v>
      </c>
    </row>
    <row r="38" spans="1:15" ht="45" x14ac:dyDescent="0.25">
      <c r="A38" s="120">
        <v>139159</v>
      </c>
      <c r="B38" s="120">
        <v>12593</v>
      </c>
      <c r="C38" s="121" t="s">
        <v>1505</v>
      </c>
      <c r="D38" s="121" t="s">
        <v>2414</v>
      </c>
      <c r="E38" s="121"/>
      <c r="F38" s="121"/>
      <c r="G38" s="121" t="s">
        <v>2</v>
      </c>
      <c r="H38" s="122">
        <v>945</v>
      </c>
      <c r="I38" s="122">
        <v>1290</v>
      </c>
      <c r="J38" s="121" t="s">
        <v>2311</v>
      </c>
      <c r="K38" s="121" t="s">
        <v>1</v>
      </c>
      <c r="L38" s="121"/>
      <c r="M38" s="121"/>
      <c r="N38" s="103" t="str">
        <f t="shared" si="0"/>
        <v>1</v>
      </c>
      <c r="O38" s="103" t="str">
        <f>INDEX(Кат!$I:$I,MATCH($A38,Кат!$A:$A,0))</f>
        <v>БРТ</v>
      </c>
    </row>
    <row r="39" spans="1:15" ht="30" x14ac:dyDescent="0.25">
      <c r="A39" s="120">
        <v>139792</v>
      </c>
      <c r="B39" s="120">
        <v>35463</v>
      </c>
      <c r="C39" s="121" t="s">
        <v>1637</v>
      </c>
      <c r="D39" s="121" t="s">
        <v>2414</v>
      </c>
      <c r="E39" s="121" t="s">
        <v>507</v>
      </c>
      <c r="F39" s="121" t="s">
        <v>507</v>
      </c>
      <c r="G39" s="121" t="s">
        <v>2</v>
      </c>
      <c r="H39" s="122">
        <v>110</v>
      </c>
      <c r="I39" s="122">
        <v>189</v>
      </c>
      <c r="J39" s="121"/>
      <c r="K39" s="121" t="s">
        <v>1</v>
      </c>
      <c r="L39" s="121"/>
      <c r="M39" s="121"/>
      <c r="N39" s="103" t="str">
        <f t="shared" si="0"/>
        <v>1</v>
      </c>
      <c r="O39" s="103" t="str">
        <f>INDEX(Кат!$I:$I,MATCH($A39,Кат!$A:$A,0))</f>
        <v>БРТ</v>
      </c>
    </row>
    <row r="40" spans="1:15" ht="75" x14ac:dyDescent="0.25">
      <c r="A40" s="120">
        <v>139794</v>
      </c>
      <c r="B40" s="120">
        <v>25145</v>
      </c>
      <c r="C40" s="121" t="s">
        <v>2113</v>
      </c>
      <c r="D40" s="121" t="s">
        <v>2414</v>
      </c>
      <c r="E40" s="121" t="s">
        <v>2114</v>
      </c>
      <c r="F40" s="121"/>
      <c r="G40" s="121" t="s">
        <v>2</v>
      </c>
      <c r="H40" s="122">
        <v>15</v>
      </c>
      <c r="I40" s="122">
        <v>39</v>
      </c>
      <c r="J40" s="121"/>
      <c r="K40" s="121" t="s">
        <v>1</v>
      </c>
      <c r="L40" s="121"/>
      <c r="M40" s="121"/>
      <c r="N40" s="103" t="str">
        <f t="shared" si="0"/>
        <v>1</v>
      </c>
      <c r="O40" s="103" t="str">
        <f>INDEX(Кат!$I:$I,MATCH($A40,Кат!$A:$A,0))</f>
        <v>БРТ</v>
      </c>
    </row>
    <row r="41" spans="1:15" ht="45" x14ac:dyDescent="0.25">
      <c r="A41" s="120">
        <v>274398</v>
      </c>
      <c r="B41" s="120">
        <v>225734</v>
      </c>
      <c r="C41" s="121" t="s">
        <v>2420</v>
      </c>
      <c r="D41" s="121" t="s">
        <v>2414</v>
      </c>
      <c r="E41" s="121" t="s">
        <v>2421</v>
      </c>
      <c r="F41" s="121"/>
      <c r="G41" s="121" t="s">
        <v>2</v>
      </c>
      <c r="H41" s="122">
        <v>12</v>
      </c>
      <c r="I41" s="122">
        <v>29</v>
      </c>
      <c r="J41" s="121"/>
      <c r="K41" s="121" t="s">
        <v>1</v>
      </c>
      <c r="L41" s="121"/>
      <c r="M41" s="121"/>
      <c r="N41" s="103" t="str">
        <f t="shared" si="0"/>
        <v>1</v>
      </c>
      <c r="O41" s="103" t="str">
        <f>INDEX(Кат!$I:$I,MATCH($A41,Кат!$A:$A,0))</f>
        <v>БРТ</v>
      </c>
    </row>
    <row r="42" spans="1:15" ht="30" x14ac:dyDescent="0.25">
      <c r="A42" s="120">
        <v>139796</v>
      </c>
      <c r="B42" s="120">
        <v>35460</v>
      </c>
      <c r="C42" s="121" t="s">
        <v>1635</v>
      </c>
      <c r="D42" s="121" t="s">
        <v>2414</v>
      </c>
      <c r="E42" s="121" t="s">
        <v>505</v>
      </c>
      <c r="F42" s="121" t="s">
        <v>505</v>
      </c>
      <c r="G42" s="121" t="s">
        <v>2</v>
      </c>
      <c r="H42" s="122">
        <v>98</v>
      </c>
      <c r="I42" s="122">
        <v>219</v>
      </c>
      <c r="J42" s="121"/>
      <c r="K42" s="121" t="s">
        <v>1</v>
      </c>
      <c r="L42" s="121"/>
      <c r="M42" s="121"/>
      <c r="N42" s="103" t="str">
        <f t="shared" si="0"/>
        <v>1</v>
      </c>
      <c r="O42" s="103" t="str">
        <f>INDEX(Кат!$I:$I,MATCH($A42,Кат!$A:$A,0))</f>
        <v>БРТ</v>
      </c>
    </row>
    <row r="43" spans="1:15" ht="45" x14ac:dyDescent="0.25">
      <c r="A43" s="120">
        <v>139797</v>
      </c>
      <c r="B43" s="120">
        <v>35401</v>
      </c>
      <c r="C43" s="121" t="s">
        <v>1600</v>
      </c>
      <c r="D43" s="121" t="s">
        <v>2414</v>
      </c>
      <c r="E43" s="121" t="s">
        <v>2422</v>
      </c>
      <c r="F43" s="121" t="s">
        <v>355</v>
      </c>
      <c r="G43" s="121" t="s">
        <v>2</v>
      </c>
      <c r="H43" s="122">
        <v>64</v>
      </c>
      <c r="I43" s="122">
        <v>159</v>
      </c>
      <c r="J43" s="121" t="s">
        <v>2634</v>
      </c>
      <c r="K43" s="121" t="s">
        <v>1</v>
      </c>
      <c r="L43" s="121"/>
      <c r="M43" s="121"/>
      <c r="N43" s="103" t="str">
        <f t="shared" si="0"/>
        <v>1</v>
      </c>
      <c r="O43" s="103" t="str">
        <f>INDEX(Кат!$I:$I,MATCH($A43,Кат!$A:$A,0))</f>
        <v>БРТ</v>
      </c>
    </row>
    <row r="44" spans="1:15" ht="45" x14ac:dyDescent="0.25">
      <c r="A44" s="120">
        <v>139793</v>
      </c>
      <c r="B44" s="120">
        <v>19807</v>
      </c>
      <c r="C44" s="121" t="s">
        <v>2692</v>
      </c>
      <c r="D44" s="121" t="s">
        <v>2414</v>
      </c>
      <c r="E44" s="121" t="s">
        <v>1903</v>
      </c>
      <c r="F44" s="121"/>
      <c r="G44" s="121" t="s">
        <v>2</v>
      </c>
      <c r="H44" s="122">
        <v>23</v>
      </c>
      <c r="I44" s="122">
        <v>69</v>
      </c>
      <c r="J44" s="121" t="s">
        <v>2581</v>
      </c>
      <c r="K44" s="121" t="s">
        <v>1</v>
      </c>
      <c r="L44" s="121"/>
      <c r="M44" s="121"/>
      <c r="N44" s="103" t="str">
        <f t="shared" si="0"/>
        <v>1</v>
      </c>
      <c r="O44" s="103" t="str">
        <f>INDEX(Кат!$I:$I,MATCH($A44,Кат!$A:$A,0))</f>
        <v>БРТ</v>
      </c>
    </row>
    <row r="45" spans="1:15" ht="30" x14ac:dyDescent="0.25">
      <c r="A45" s="120">
        <v>139798</v>
      </c>
      <c r="B45" s="120">
        <v>35461</v>
      </c>
      <c r="C45" s="121" t="s">
        <v>1636</v>
      </c>
      <c r="D45" s="121" t="s">
        <v>2414</v>
      </c>
      <c r="E45" s="121" t="s">
        <v>506</v>
      </c>
      <c r="F45" s="121" t="s">
        <v>506</v>
      </c>
      <c r="G45" s="121" t="s">
        <v>2</v>
      </c>
      <c r="H45" s="122">
        <v>103</v>
      </c>
      <c r="I45" s="122">
        <v>179</v>
      </c>
      <c r="J45" s="121"/>
      <c r="K45" s="121" t="s">
        <v>1</v>
      </c>
      <c r="L45" s="121"/>
      <c r="M45" s="121"/>
      <c r="N45" s="103" t="str">
        <f t="shared" si="0"/>
        <v>1</v>
      </c>
      <c r="O45" s="103" t="str">
        <f>INDEX(Кат!$I:$I,MATCH($A45,Кат!$A:$A,0))</f>
        <v>БРТ</v>
      </c>
    </row>
    <row r="46" spans="1:15" ht="45" x14ac:dyDescent="0.25">
      <c r="A46" s="120">
        <v>139802</v>
      </c>
      <c r="B46" s="120">
        <v>20318</v>
      </c>
      <c r="C46" s="121" t="s">
        <v>137</v>
      </c>
      <c r="D46" s="121" t="s">
        <v>2414</v>
      </c>
      <c r="E46" s="121" t="s">
        <v>1992</v>
      </c>
      <c r="F46" s="121"/>
      <c r="G46" s="121" t="s">
        <v>2</v>
      </c>
      <c r="H46" s="122">
        <v>180</v>
      </c>
      <c r="I46" s="122">
        <v>309</v>
      </c>
      <c r="J46" s="121"/>
      <c r="K46" s="121" t="s">
        <v>1</v>
      </c>
      <c r="L46" s="121"/>
      <c r="M46" s="121"/>
      <c r="N46" s="103" t="str">
        <f t="shared" si="0"/>
        <v>1</v>
      </c>
      <c r="O46" s="103" t="str">
        <f>INDEX(Кат!$I:$I,MATCH($A46,Кат!$A:$A,0))</f>
        <v>БРТ</v>
      </c>
    </row>
    <row r="47" spans="1:15" ht="30" x14ac:dyDescent="0.25">
      <c r="A47" s="120">
        <v>139834</v>
      </c>
      <c r="B47" s="120">
        <v>19848</v>
      </c>
      <c r="C47" s="121" t="s">
        <v>173</v>
      </c>
      <c r="D47" s="121" t="s">
        <v>2414</v>
      </c>
      <c r="E47" s="121" t="s">
        <v>574</v>
      </c>
      <c r="F47" s="121"/>
      <c r="G47" s="121" t="s">
        <v>2</v>
      </c>
      <c r="H47" s="122">
        <v>53</v>
      </c>
      <c r="I47" s="122">
        <v>119</v>
      </c>
      <c r="J47" s="121"/>
      <c r="K47" s="121" t="s">
        <v>1</v>
      </c>
      <c r="L47" s="121"/>
      <c r="M47" s="121"/>
      <c r="N47" s="103" t="str">
        <f t="shared" si="0"/>
        <v>1</v>
      </c>
      <c r="O47" s="103" t="str">
        <f>INDEX(Кат!$I:$I,MATCH($A47,Кат!$A:$A,0))</f>
        <v>БРТ</v>
      </c>
    </row>
    <row r="48" spans="1:15" ht="30" x14ac:dyDescent="0.25">
      <c r="A48" s="120">
        <v>141789</v>
      </c>
      <c r="B48" s="120">
        <v>20409</v>
      </c>
      <c r="C48" s="121" t="s">
        <v>2036</v>
      </c>
      <c r="D48" s="121" t="s">
        <v>2414</v>
      </c>
      <c r="E48" s="121" t="s">
        <v>2037</v>
      </c>
      <c r="F48" s="121"/>
      <c r="G48" s="121" t="s">
        <v>2</v>
      </c>
      <c r="H48" s="122">
        <v>60</v>
      </c>
      <c r="I48" s="122">
        <v>129</v>
      </c>
      <c r="J48" s="121"/>
      <c r="K48" s="121" t="s">
        <v>1</v>
      </c>
      <c r="L48" s="121"/>
      <c r="M48" s="121"/>
      <c r="N48" s="103" t="str">
        <f t="shared" si="0"/>
        <v>1</v>
      </c>
      <c r="O48" s="103" t="str">
        <f>INDEX(Кат!$I:$I,MATCH($A48,Кат!$A:$A,0))</f>
        <v>БРТ</v>
      </c>
    </row>
    <row r="49" spans="1:15" ht="30" x14ac:dyDescent="0.25">
      <c r="A49" s="120">
        <v>141790</v>
      </c>
      <c r="B49" s="120">
        <v>20416</v>
      </c>
      <c r="C49" s="121" t="s">
        <v>2043</v>
      </c>
      <c r="D49" s="121" t="s">
        <v>2414</v>
      </c>
      <c r="E49" s="121"/>
      <c r="F49" s="121"/>
      <c r="G49" s="121" t="s">
        <v>2</v>
      </c>
      <c r="H49" s="122">
        <v>35</v>
      </c>
      <c r="I49" s="122">
        <v>79</v>
      </c>
      <c r="J49" s="121"/>
      <c r="K49" s="121" t="s">
        <v>1</v>
      </c>
      <c r="L49" s="121"/>
      <c r="M49" s="121"/>
      <c r="N49" s="103" t="str">
        <f t="shared" si="0"/>
        <v>1</v>
      </c>
      <c r="O49" s="103" t="str">
        <f>INDEX(Кат!$I:$I,MATCH($A49,Кат!$A:$A,0))</f>
        <v>БРТ</v>
      </c>
    </row>
    <row r="50" spans="1:15" ht="30" x14ac:dyDescent="0.25">
      <c r="A50" s="120">
        <v>141791</v>
      </c>
      <c r="B50" s="120">
        <v>20394</v>
      </c>
      <c r="C50" s="121" t="s">
        <v>2024</v>
      </c>
      <c r="D50" s="121" t="s">
        <v>2414</v>
      </c>
      <c r="E50" s="121" t="s">
        <v>290</v>
      </c>
      <c r="F50" s="121"/>
      <c r="G50" s="121" t="s">
        <v>2</v>
      </c>
      <c r="H50" s="122">
        <v>17</v>
      </c>
      <c r="I50" s="122">
        <v>39</v>
      </c>
      <c r="J50" s="121"/>
      <c r="K50" s="121" t="s">
        <v>1</v>
      </c>
      <c r="L50" s="121" t="s">
        <v>1824</v>
      </c>
      <c r="M50" s="121"/>
      <c r="N50" s="103" t="str">
        <f t="shared" si="0"/>
        <v>1ск6</v>
      </c>
      <c r="O50" s="103" t="str">
        <f>INDEX(Кат!$I:$I,MATCH($A50,Кат!$A:$A,0))</f>
        <v>БРТ</v>
      </c>
    </row>
    <row r="51" spans="1:15" ht="30" x14ac:dyDescent="0.25">
      <c r="A51" s="120">
        <v>141792</v>
      </c>
      <c r="B51" s="120">
        <v>20411</v>
      </c>
      <c r="C51" s="121" t="s">
        <v>2038</v>
      </c>
      <c r="D51" s="121" t="s">
        <v>2414</v>
      </c>
      <c r="E51" s="121" t="s">
        <v>637</v>
      </c>
      <c r="F51" s="121"/>
      <c r="G51" s="121" t="s">
        <v>2</v>
      </c>
      <c r="H51" s="122">
        <v>130</v>
      </c>
      <c r="I51" s="122">
        <v>229</v>
      </c>
      <c r="J51" s="121"/>
      <c r="K51" s="121" t="s">
        <v>1</v>
      </c>
      <c r="L51" s="121"/>
      <c r="M51" s="121"/>
      <c r="N51" s="103" t="str">
        <f t="shared" si="0"/>
        <v>1</v>
      </c>
      <c r="O51" s="103" t="str">
        <f>INDEX(Кат!$I:$I,MATCH($A51,Кат!$A:$A,0))</f>
        <v>БРТ</v>
      </c>
    </row>
    <row r="52" spans="1:15" ht="30" x14ac:dyDescent="0.25">
      <c r="A52" s="120">
        <v>141793</v>
      </c>
      <c r="B52" s="120">
        <v>30610</v>
      </c>
      <c r="C52" s="121" t="s">
        <v>2134</v>
      </c>
      <c r="D52" s="121" t="s">
        <v>2414</v>
      </c>
      <c r="E52" s="121" t="s">
        <v>2135</v>
      </c>
      <c r="F52" s="121"/>
      <c r="G52" s="121" t="s">
        <v>2</v>
      </c>
      <c r="H52" s="122">
        <v>60</v>
      </c>
      <c r="I52" s="122">
        <v>129</v>
      </c>
      <c r="J52" s="121"/>
      <c r="K52" s="121" t="s">
        <v>2418</v>
      </c>
      <c r="L52" s="121"/>
      <c r="M52" s="121"/>
      <c r="N52" s="103" t="str">
        <f t="shared" si="0"/>
        <v>0</v>
      </c>
      <c r="O52" s="103" t="str">
        <f>INDEX(Кат!$I:$I,MATCH($A52,Кат!$A:$A,0))</f>
        <v>БРТ</v>
      </c>
    </row>
    <row r="53" spans="1:15" ht="30" x14ac:dyDescent="0.25">
      <c r="A53" s="120">
        <v>141794</v>
      </c>
      <c r="B53" s="120">
        <v>20395</v>
      </c>
      <c r="C53" s="121" t="s">
        <v>2025</v>
      </c>
      <c r="D53" s="121" t="s">
        <v>2414</v>
      </c>
      <c r="E53" s="121"/>
      <c r="F53" s="121"/>
      <c r="G53" s="121" t="s">
        <v>2</v>
      </c>
      <c r="H53" s="122">
        <v>28</v>
      </c>
      <c r="I53" s="122">
        <v>69</v>
      </c>
      <c r="J53" s="121"/>
      <c r="K53" s="121" t="s">
        <v>1</v>
      </c>
      <c r="L53" s="121"/>
      <c r="M53" s="121"/>
      <c r="N53" s="103" t="str">
        <f t="shared" si="0"/>
        <v>1</v>
      </c>
      <c r="O53" s="103" t="str">
        <f>INDEX(Кат!$I:$I,MATCH($A53,Кат!$A:$A,0))</f>
        <v>БРТ</v>
      </c>
    </row>
    <row r="54" spans="1:15" ht="30" x14ac:dyDescent="0.25">
      <c r="A54" s="120">
        <v>141795</v>
      </c>
      <c r="B54" s="120">
        <v>20403</v>
      </c>
      <c r="C54" s="121" t="s">
        <v>2034</v>
      </c>
      <c r="D54" s="121" t="s">
        <v>2414</v>
      </c>
      <c r="E54" s="121"/>
      <c r="F54" s="121"/>
      <c r="G54" s="121" t="s">
        <v>2</v>
      </c>
      <c r="H54" s="122">
        <v>35</v>
      </c>
      <c r="I54" s="122">
        <v>79</v>
      </c>
      <c r="J54" s="121"/>
      <c r="K54" s="121" t="s">
        <v>1</v>
      </c>
      <c r="L54" s="121"/>
      <c r="M54" s="121"/>
      <c r="N54" s="103" t="str">
        <f t="shared" si="0"/>
        <v>1</v>
      </c>
      <c r="O54" s="103" t="str">
        <f>INDEX(Кат!$I:$I,MATCH($A54,Кат!$A:$A,0))</f>
        <v>БРТ</v>
      </c>
    </row>
    <row r="55" spans="1:15" ht="30" x14ac:dyDescent="0.25">
      <c r="A55" s="120">
        <v>141796</v>
      </c>
      <c r="B55" s="120">
        <v>20414</v>
      </c>
      <c r="C55" s="121" t="s">
        <v>2041</v>
      </c>
      <c r="D55" s="121" t="s">
        <v>2414</v>
      </c>
      <c r="E55" s="121"/>
      <c r="F55" s="121"/>
      <c r="G55" s="121" t="s">
        <v>2</v>
      </c>
      <c r="H55" s="122">
        <v>175</v>
      </c>
      <c r="I55" s="122">
        <v>309</v>
      </c>
      <c r="J55" s="121"/>
      <c r="K55" s="121" t="s">
        <v>1</v>
      </c>
      <c r="L55" s="121"/>
      <c r="M55" s="121"/>
      <c r="N55" s="103" t="str">
        <f t="shared" si="0"/>
        <v>1</v>
      </c>
      <c r="O55" s="103" t="str">
        <f>INDEX(Кат!$I:$I,MATCH($A55,Кат!$A:$A,0))</f>
        <v>БРТ</v>
      </c>
    </row>
    <row r="56" spans="1:15" ht="45" x14ac:dyDescent="0.25">
      <c r="A56" s="120">
        <v>141797</v>
      </c>
      <c r="B56" s="120">
        <v>167832</v>
      </c>
      <c r="C56" s="121" t="s">
        <v>2266</v>
      </c>
      <c r="D56" s="121" t="s">
        <v>2414</v>
      </c>
      <c r="E56" s="121" t="s">
        <v>2267</v>
      </c>
      <c r="F56" s="121"/>
      <c r="G56" s="121" t="s">
        <v>2</v>
      </c>
      <c r="H56" s="122">
        <v>75</v>
      </c>
      <c r="I56" s="122">
        <v>209</v>
      </c>
      <c r="J56" s="121" t="s">
        <v>2524</v>
      </c>
      <c r="K56" s="121" t="s">
        <v>1</v>
      </c>
      <c r="L56" s="121"/>
      <c r="M56" s="121"/>
      <c r="N56" s="103" t="str">
        <f t="shared" si="0"/>
        <v>1</v>
      </c>
      <c r="O56" s="103" t="str">
        <f>INDEX(Кат!$I:$I,MATCH($A56,Кат!$A:$A,0))</f>
        <v>БРТ</v>
      </c>
    </row>
    <row r="57" spans="1:15" ht="30" x14ac:dyDescent="0.25">
      <c r="A57" s="120">
        <v>141807</v>
      </c>
      <c r="B57" s="120">
        <v>20406</v>
      </c>
      <c r="C57" s="121" t="s">
        <v>94</v>
      </c>
      <c r="D57" s="121" t="s">
        <v>2414</v>
      </c>
      <c r="E57" s="121" t="s">
        <v>2035</v>
      </c>
      <c r="F57" s="121"/>
      <c r="G57" s="121" t="s">
        <v>2</v>
      </c>
      <c r="H57" s="122">
        <v>55</v>
      </c>
      <c r="I57" s="122">
        <v>119</v>
      </c>
      <c r="J57" s="121"/>
      <c r="K57" s="121" t="s">
        <v>1</v>
      </c>
      <c r="L57" s="121"/>
      <c r="M57" s="121"/>
      <c r="N57" s="103" t="str">
        <f t="shared" si="0"/>
        <v>1</v>
      </c>
      <c r="O57" s="103" t="str">
        <f>INDEX(Кат!$I:$I,MATCH($A57,Кат!$A:$A,0))</f>
        <v>БРТ</v>
      </c>
    </row>
    <row r="58" spans="1:15" ht="60" x14ac:dyDescent="0.25">
      <c r="A58" s="120">
        <v>141808</v>
      </c>
      <c r="B58" s="120">
        <v>20397</v>
      </c>
      <c r="C58" s="121" t="s">
        <v>2027</v>
      </c>
      <c r="D58" s="121" t="s">
        <v>2414</v>
      </c>
      <c r="E58" s="121" t="s">
        <v>2028</v>
      </c>
      <c r="F58" s="121"/>
      <c r="G58" s="121" t="s">
        <v>2</v>
      </c>
      <c r="H58" s="122">
        <v>35</v>
      </c>
      <c r="I58" s="122">
        <v>79</v>
      </c>
      <c r="J58" s="121"/>
      <c r="K58" s="121" t="s">
        <v>1</v>
      </c>
      <c r="L58" s="121"/>
      <c r="M58" s="121"/>
      <c r="N58" s="103" t="str">
        <f t="shared" si="0"/>
        <v>1</v>
      </c>
      <c r="O58" s="103" t="str">
        <f>INDEX(Кат!$I:$I,MATCH($A58,Кат!$A:$A,0))</f>
        <v>БРТ</v>
      </c>
    </row>
    <row r="59" spans="1:15" ht="30" x14ac:dyDescent="0.25">
      <c r="A59" s="120">
        <v>141809</v>
      </c>
      <c r="B59" s="120">
        <v>20402</v>
      </c>
      <c r="C59" s="121" t="s">
        <v>118</v>
      </c>
      <c r="D59" s="121" t="s">
        <v>2414</v>
      </c>
      <c r="E59" s="121" t="s">
        <v>2033</v>
      </c>
      <c r="F59" s="121"/>
      <c r="G59" s="121" t="s">
        <v>2</v>
      </c>
      <c r="H59" s="122">
        <v>60</v>
      </c>
      <c r="I59" s="122">
        <v>129</v>
      </c>
      <c r="J59" s="121"/>
      <c r="K59" s="121" t="s">
        <v>1</v>
      </c>
      <c r="L59" s="121"/>
      <c r="M59" s="121"/>
      <c r="N59" s="103" t="str">
        <f t="shared" si="0"/>
        <v>1</v>
      </c>
      <c r="O59" s="103" t="str">
        <f>INDEX(Кат!$I:$I,MATCH($A59,Кат!$A:$A,0))</f>
        <v>БРТ</v>
      </c>
    </row>
    <row r="60" spans="1:15" ht="30" x14ac:dyDescent="0.25">
      <c r="A60" s="120">
        <v>141810</v>
      </c>
      <c r="B60" s="120">
        <v>20417</v>
      </c>
      <c r="C60" s="121" t="s">
        <v>139</v>
      </c>
      <c r="D60" s="121" t="s">
        <v>2414</v>
      </c>
      <c r="E60" s="121" t="s">
        <v>2044</v>
      </c>
      <c r="F60" s="121"/>
      <c r="G60" s="121" t="s">
        <v>2</v>
      </c>
      <c r="H60" s="122">
        <v>60</v>
      </c>
      <c r="I60" s="122">
        <v>129</v>
      </c>
      <c r="J60" s="121"/>
      <c r="K60" s="121" t="s">
        <v>1</v>
      </c>
      <c r="L60" s="121"/>
      <c r="M60" s="121"/>
      <c r="N60" s="103" t="str">
        <f t="shared" si="0"/>
        <v>1</v>
      </c>
      <c r="O60" s="103" t="str">
        <f>INDEX(Кат!$I:$I,MATCH($A60,Кат!$A:$A,0))</f>
        <v>БРТ</v>
      </c>
    </row>
    <row r="61" spans="1:15" ht="30" x14ac:dyDescent="0.25">
      <c r="A61" s="120">
        <v>141812</v>
      </c>
      <c r="B61" s="120">
        <v>20208</v>
      </c>
      <c r="C61" s="121" t="s">
        <v>105</v>
      </c>
      <c r="D61" s="121" t="s">
        <v>2414</v>
      </c>
      <c r="E61" s="121" t="s">
        <v>1946</v>
      </c>
      <c r="F61" s="121"/>
      <c r="G61" s="121" t="s">
        <v>2</v>
      </c>
      <c r="H61" s="122">
        <v>65</v>
      </c>
      <c r="I61" s="122">
        <v>139</v>
      </c>
      <c r="J61" s="121"/>
      <c r="K61" s="121" t="s">
        <v>1</v>
      </c>
      <c r="L61" s="121"/>
      <c r="M61" s="121"/>
      <c r="N61" s="103" t="str">
        <f t="shared" si="0"/>
        <v>1</v>
      </c>
      <c r="O61" s="103" t="str">
        <f>INDEX(Кат!$I:$I,MATCH($A61,Кат!$A:$A,0))</f>
        <v>БРТ</v>
      </c>
    </row>
    <row r="62" spans="1:15" ht="60" x14ac:dyDescent="0.25">
      <c r="A62" s="120">
        <v>141813</v>
      </c>
      <c r="B62" s="120">
        <v>23774</v>
      </c>
      <c r="C62" s="121" t="s">
        <v>170</v>
      </c>
      <c r="D62" s="121" t="s">
        <v>2414</v>
      </c>
      <c r="E62" s="121" t="s">
        <v>638</v>
      </c>
      <c r="F62" s="121"/>
      <c r="G62" s="121" t="s">
        <v>2</v>
      </c>
      <c r="H62" s="122">
        <v>80</v>
      </c>
      <c r="I62" s="122">
        <v>179</v>
      </c>
      <c r="J62" s="121"/>
      <c r="K62" s="121" t="s">
        <v>1</v>
      </c>
      <c r="L62" s="121"/>
      <c r="M62" s="121"/>
      <c r="N62" s="103" t="str">
        <f t="shared" si="0"/>
        <v>1</v>
      </c>
      <c r="O62" s="103" t="str">
        <f>INDEX(Кат!$I:$I,MATCH($A62,Кат!$A:$A,0))</f>
        <v>БРТ</v>
      </c>
    </row>
    <row r="63" spans="1:15" ht="45" x14ac:dyDescent="0.25">
      <c r="A63" s="120">
        <v>141824</v>
      </c>
      <c r="B63" s="120">
        <v>37954</v>
      </c>
      <c r="C63" s="121" t="s">
        <v>2158</v>
      </c>
      <c r="D63" s="121" t="s">
        <v>2414</v>
      </c>
      <c r="E63" s="121" t="s">
        <v>2265</v>
      </c>
      <c r="F63" s="121"/>
      <c r="G63" s="121" t="s">
        <v>2</v>
      </c>
      <c r="H63" s="122">
        <v>170</v>
      </c>
      <c r="I63" s="122">
        <v>349</v>
      </c>
      <c r="J63" s="121" t="s">
        <v>2373</v>
      </c>
      <c r="K63" s="121" t="s">
        <v>1</v>
      </c>
      <c r="L63" s="121"/>
      <c r="M63" s="121"/>
      <c r="N63" s="103" t="str">
        <f t="shared" si="0"/>
        <v>1</v>
      </c>
      <c r="O63" s="103" t="str">
        <f>INDEX(Кат!$I:$I,MATCH($A63,Кат!$A:$A,0))</f>
        <v>БРТ</v>
      </c>
    </row>
    <row r="64" spans="1:15" ht="45" x14ac:dyDescent="0.25">
      <c r="A64" s="120">
        <v>141826</v>
      </c>
      <c r="B64" s="120">
        <v>16955</v>
      </c>
      <c r="C64" s="121" t="s">
        <v>186</v>
      </c>
      <c r="D64" s="121" t="s">
        <v>2414</v>
      </c>
      <c r="E64" s="121"/>
      <c r="F64" s="121"/>
      <c r="G64" s="121" t="s">
        <v>2</v>
      </c>
      <c r="H64" s="122">
        <v>156</v>
      </c>
      <c r="I64" s="122">
        <v>309</v>
      </c>
      <c r="J64" s="121" t="s">
        <v>2341</v>
      </c>
      <c r="K64" s="121" t="s">
        <v>1</v>
      </c>
      <c r="L64" s="121" t="s">
        <v>1824</v>
      </c>
      <c r="M64" s="121"/>
      <c r="N64" s="103" t="str">
        <f t="shared" si="0"/>
        <v>1ск6</v>
      </c>
      <c r="O64" s="103" t="str">
        <f>INDEX(Кат!$I:$I,MATCH($A64,Кат!$A:$A,0))</f>
        <v>БРТ</v>
      </c>
    </row>
    <row r="65" spans="1:15" ht="45" x14ac:dyDescent="0.25">
      <c r="A65" s="120">
        <v>141827</v>
      </c>
      <c r="B65" s="120">
        <v>12304</v>
      </c>
      <c r="C65" s="121" t="s">
        <v>182</v>
      </c>
      <c r="D65" s="121" t="s">
        <v>2414</v>
      </c>
      <c r="E65" s="121"/>
      <c r="F65" s="121"/>
      <c r="G65" s="121" t="s">
        <v>2</v>
      </c>
      <c r="H65" s="122">
        <v>156</v>
      </c>
      <c r="I65" s="122">
        <v>349</v>
      </c>
      <c r="J65" s="121" t="s">
        <v>2342</v>
      </c>
      <c r="K65" s="121" t="s">
        <v>1</v>
      </c>
      <c r="L65" s="121"/>
      <c r="M65" s="121"/>
      <c r="N65" s="103" t="str">
        <f t="shared" si="0"/>
        <v>1</v>
      </c>
      <c r="O65" s="103" t="str">
        <f>INDEX(Кат!$I:$I,MATCH($A65,Кат!$A:$A,0))</f>
        <v>БРТ</v>
      </c>
    </row>
    <row r="66" spans="1:15" ht="45" x14ac:dyDescent="0.25">
      <c r="A66" s="120">
        <v>145220</v>
      </c>
      <c r="B66" s="120">
        <v>35395</v>
      </c>
      <c r="C66" s="121" t="s">
        <v>2747</v>
      </c>
      <c r="D66" s="121" t="s">
        <v>2414</v>
      </c>
      <c r="E66" s="121" t="s">
        <v>893</v>
      </c>
      <c r="F66" s="121" t="s">
        <v>893</v>
      </c>
      <c r="G66" s="121" t="s">
        <v>2</v>
      </c>
      <c r="H66" s="122">
        <v>72</v>
      </c>
      <c r="I66" s="122">
        <v>129</v>
      </c>
      <c r="J66" s="121" t="s">
        <v>2638</v>
      </c>
      <c r="K66" s="121" t="s">
        <v>1</v>
      </c>
      <c r="L66" s="121" t="s">
        <v>1824</v>
      </c>
      <c r="M66" s="121"/>
      <c r="N66" s="103" t="str">
        <f t="shared" si="0"/>
        <v>1ск6</v>
      </c>
      <c r="O66" s="103" t="str">
        <f>INDEX(Кат!$I:$I,MATCH($A66,Кат!$A:$A,0))</f>
        <v>БРТ</v>
      </c>
    </row>
    <row r="67" spans="1:15" ht="30" x14ac:dyDescent="0.25">
      <c r="A67" s="120">
        <v>346754</v>
      </c>
      <c r="B67" s="120">
        <v>346754</v>
      </c>
      <c r="C67" s="121" t="s">
        <v>2693</v>
      </c>
      <c r="D67" s="121" t="s">
        <v>2414</v>
      </c>
      <c r="E67" s="121" t="s">
        <v>2694</v>
      </c>
      <c r="F67" s="121"/>
      <c r="G67" s="121" t="s">
        <v>2</v>
      </c>
      <c r="H67" s="122">
        <v>10</v>
      </c>
      <c r="I67" s="122">
        <v>29</v>
      </c>
      <c r="J67" s="121"/>
      <c r="K67" s="121" t="s">
        <v>1</v>
      </c>
      <c r="L67" s="121" t="s">
        <v>1824</v>
      </c>
      <c r="M67" s="121"/>
      <c r="N67" s="103" t="str">
        <f t="shared" ref="N67:N130" si="1">_xlfn.CONCAT(K67,IF(L67&lt;&gt;"",_xlfn.CONCAT("ск",L67),""))</f>
        <v>1ск6</v>
      </c>
      <c r="O67" s="103" t="str">
        <f>INDEX(Кат!$I:$I,MATCH($A67,Кат!$A:$A,0))</f>
        <v>БРТ</v>
      </c>
    </row>
    <row r="68" spans="1:15" ht="45" x14ac:dyDescent="0.25">
      <c r="A68" s="120">
        <v>152839</v>
      </c>
      <c r="B68" s="120">
        <v>31780</v>
      </c>
      <c r="C68" s="121" t="s">
        <v>2140</v>
      </c>
      <c r="D68" s="121" t="s">
        <v>2414</v>
      </c>
      <c r="E68" s="121" t="s">
        <v>2141</v>
      </c>
      <c r="F68" s="121"/>
      <c r="G68" s="121" t="s">
        <v>2</v>
      </c>
      <c r="H68" s="122">
        <v>80</v>
      </c>
      <c r="I68" s="122">
        <v>349</v>
      </c>
      <c r="J68" s="121" t="s">
        <v>2372</v>
      </c>
      <c r="K68" s="121" t="s">
        <v>1</v>
      </c>
      <c r="L68" s="121"/>
      <c r="M68" s="121"/>
      <c r="N68" s="103" t="str">
        <f t="shared" si="1"/>
        <v>1</v>
      </c>
      <c r="O68" s="103" t="str">
        <f>INDEX(Кат!$I:$I,MATCH($A68,Кат!$A:$A,0))</f>
        <v>БРТ</v>
      </c>
    </row>
    <row r="69" spans="1:15" ht="45" x14ac:dyDescent="0.25">
      <c r="A69" s="120">
        <v>153068</v>
      </c>
      <c r="B69" s="120">
        <v>20275</v>
      </c>
      <c r="C69" s="121" t="s">
        <v>151</v>
      </c>
      <c r="D69" s="121" t="s">
        <v>2414</v>
      </c>
      <c r="E69" s="121" t="s">
        <v>1968</v>
      </c>
      <c r="F69" s="121"/>
      <c r="G69" s="121" t="s">
        <v>2</v>
      </c>
      <c r="H69" s="122">
        <v>119</v>
      </c>
      <c r="I69" s="122">
        <v>159</v>
      </c>
      <c r="J69" s="121" t="s">
        <v>2347</v>
      </c>
      <c r="K69" s="121" t="s">
        <v>1</v>
      </c>
      <c r="L69" s="121"/>
      <c r="M69" s="121"/>
      <c r="N69" s="103" t="str">
        <f t="shared" si="1"/>
        <v>1</v>
      </c>
      <c r="O69" s="103" t="str">
        <f>INDEX(Кат!$I:$I,MATCH($A69,Кат!$A:$A,0))</f>
        <v>БРТ</v>
      </c>
    </row>
    <row r="70" spans="1:15" ht="45" x14ac:dyDescent="0.25">
      <c r="A70" s="120">
        <v>153069</v>
      </c>
      <c r="B70" s="120">
        <v>36978</v>
      </c>
      <c r="C70" s="121" t="s">
        <v>1727</v>
      </c>
      <c r="D70" s="121" t="s">
        <v>2414</v>
      </c>
      <c r="E70" s="121" t="s">
        <v>270</v>
      </c>
      <c r="F70" s="121" t="s">
        <v>270</v>
      </c>
      <c r="G70" s="121" t="s">
        <v>2</v>
      </c>
      <c r="H70" s="122">
        <v>186</v>
      </c>
      <c r="I70" s="122">
        <v>319</v>
      </c>
      <c r="J70" s="121"/>
      <c r="K70" s="121" t="s">
        <v>1</v>
      </c>
      <c r="L70" s="121"/>
      <c r="M70" s="121"/>
      <c r="N70" s="103" t="str">
        <f t="shared" si="1"/>
        <v>1</v>
      </c>
      <c r="O70" s="103" t="str">
        <f>INDEX(Кат!$I:$I,MATCH($A70,Кат!$A:$A,0))</f>
        <v>БРТ</v>
      </c>
    </row>
    <row r="71" spans="1:15" ht="45" x14ac:dyDescent="0.25">
      <c r="A71" s="120">
        <v>153070</v>
      </c>
      <c r="B71" s="120">
        <v>20273</v>
      </c>
      <c r="C71" s="121" t="s">
        <v>152</v>
      </c>
      <c r="D71" s="121" t="s">
        <v>2414</v>
      </c>
      <c r="E71" s="121" t="s">
        <v>1966</v>
      </c>
      <c r="F71" s="121"/>
      <c r="G71" s="121" t="s">
        <v>2</v>
      </c>
      <c r="H71" s="122">
        <v>77</v>
      </c>
      <c r="I71" s="122">
        <v>179</v>
      </c>
      <c r="J71" s="121" t="s">
        <v>2349</v>
      </c>
      <c r="K71" s="121" t="s">
        <v>1</v>
      </c>
      <c r="L71" s="121"/>
      <c r="M71" s="121"/>
      <c r="N71" s="103" t="str">
        <f t="shared" si="1"/>
        <v>1</v>
      </c>
      <c r="O71" s="103" t="str">
        <f>INDEX(Кат!$I:$I,MATCH($A71,Кат!$A:$A,0))</f>
        <v>БРТ</v>
      </c>
    </row>
    <row r="72" spans="1:15" ht="45" x14ac:dyDescent="0.25">
      <c r="A72" s="120">
        <v>153071</v>
      </c>
      <c r="B72" s="120">
        <v>20300</v>
      </c>
      <c r="C72" s="121" t="s">
        <v>146</v>
      </c>
      <c r="D72" s="121" t="s">
        <v>2467</v>
      </c>
      <c r="E72" s="121" t="s">
        <v>1981</v>
      </c>
      <c r="F72" s="121"/>
      <c r="G72" s="121" t="s">
        <v>2</v>
      </c>
      <c r="H72" s="122">
        <v>75</v>
      </c>
      <c r="I72" s="122">
        <v>169</v>
      </c>
      <c r="J72" s="121"/>
      <c r="K72" s="121" t="s">
        <v>1</v>
      </c>
      <c r="L72" s="121" t="s">
        <v>1824</v>
      </c>
      <c r="M72" s="121"/>
      <c r="N72" s="103" t="str">
        <f t="shared" si="1"/>
        <v>1ск6</v>
      </c>
      <c r="O72" s="103" t="str">
        <f>INDEX(Кат!$I:$I,MATCH($A72,Кат!$A:$A,0))</f>
        <v>БРТ</v>
      </c>
    </row>
    <row r="73" spans="1:15" ht="45" x14ac:dyDescent="0.25">
      <c r="A73" s="120">
        <v>153072</v>
      </c>
      <c r="B73" s="120">
        <v>36977</v>
      </c>
      <c r="C73" s="121" t="s">
        <v>1726</v>
      </c>
      <c r="D73" s="121" t="s">
        <v>2414</v>
      </c>
      <c r="E73" s="121" t="s">
        <v>266</v>
      </c>
      <c r="F73" s="121" t="s">
        <v>266</v>
      </c>
      <c r="G73" s="121" t="s">
        <v>2</v>
      </c>
      <c r="H73" s="122">
        <v>125</v>
      </c>
      <c r="I73" s="122">
        <v>179</v>
      </c>
      <c r="J73" s="121" t="s">
        <v>2349</v>
      </c>
      <c r="K73" s="121" t="s">
        <v>1</v>
      </c>
      <c r="L73" s="121"/>
      <c r="M73" s="121"/>
      <c r="N73" s="103" t="str">
        <f t="shared" si="1"/>
        <v>1</v>
      </c>
      <c r="O73" s="103" t="str">
        <f>INDEX(Кат!$I:$I,MATCH($A73,Кат!$A:$A,0))</f>
        <v>БРТ</v>
      </c>
    </row>
    <row r="74" spans="1:15" ht="45" x14ac:dyDescent="0.25">
      <c r="A74" s="120">
        <v>155852</v>
      </c>
      <c r="B74" s="120">
        <v>19917</v>
      </c>
      <c r="C74" s="121" t="s">
        <v>18</v>
      </c>
      <c r="D74" s="121" t="s">
        <v>2414</v>
      </c>
      <c r="E74" s="121" t="s">
        <v>632</v>
      </c>
      <c r="F74" s="121"/>
      <c r="G74" s="121" t="s">
        <v>2</v>
      </c>
      <c r="H74" s="122">
        <v>200</v>
      </c>
      <c r="I74" s="122">
        <v>349</v>
      </c>
      <c r="J74" s="121"/>
      <c r="K74" s="121" t="s">
        <v>1</v>
      </c>
      <c r="L74" s="121"/>
      <c r="M74" s="121"/>
      <c r="N74" s="103" t="str">
        <f t="shared" si="1"/>
        <v>1</v>
      </c>
      <c r="O74" s="103" t="str">
        <f>INDEX(Кат!$I:$I,MATCH($A74,Кат!$A:$A,0))</f>
        <v>БРТ</v>
      </c>
    </row>
    <row r="75" spans="1:15" ht="60" x14ac:dyDescent="0.25">
      <c r="A75" s="120">
        <v>157737</v>
      </c>
      <c r="B75" s="120">
        <v>20288</v>
      </c>
      <c r="C75" s="121" t="s">
        <v>1971</v>
      </c>
      <c r="D75" s="121" t="s">
        <v>2414</v>
      </c>
      <c r="E75" s="121" t="s">
        <v>1972</v>
      </c>
      <c r="F75" s="121"/>
      <c r="G75" s="121" t="s">
        <v>2</v>
      </c>
      <c r="H75" s="122">
        <v>264</v>
      </c>
      <c r="I75" s="122">
        <v>459</v>
      </c>
      <c r="J75" s="121"/>
      <c r="K75" s="121" t="s">
        <v>1</v>
      </c>
      <c r="L75" s="121"/>
      <c r="M75" s="121"/>
      <c r="N75" s="103" t="str">
        <f t="shared" si="1"/>
        <v>1</v>
      </c>
      <c r="O75" s="103" t="str">
        <f>INDEX(Кат!$I:$I,MATCH($A75,Кат!$A:$A,0))</f>
        <v>БРТ</v>
      </c>
    </row>
    <row r="76" spans="1:15" ht="45" x14ac:dyDescent="0.25">
      <c r="A76" s="120">
        <v>157738</v>
      </c>
      <c r="B76" s="120">
        <v>20292</v>
      </c>
      <c r="C76" s="121" t="s">
        <v>157</v>
      </c>
      <c r="D76" s="121" t="s">
        <v>2467</v>
      </c>
      <c r="E76" s="121" t="s">
        <v>1974</v>
      </c>
      <c r="F76" s="121"/>
      <c r="G76" s="121" t="s">
        <v>2</v>
      </c>
      <c r="H76" s="122">
        <v>341</v>
      </c>
      <c r="I76" s="122">
        <v>599</v>
      </c>
      <c r="J76" s="121" t="s">
        <v>2602</v>
      </c>
      <c r="K76" s="121" t="s">
        <v>1</v>
      </c>
      <c r="L76" s="121"/>
      <c r="M76" s="121"/>
      <c r="N76" s="103" t="str">
        <f t="shared" si="1"/>
        <v>1</v>
      </c>
      <c r="O76" s="103" t="str">
        <f>INDEX(Кат!$I:$I,MATCH($A76,Кат!$A:$A,0))</f>
        <v>БРТ</v>
      </c>
    </row>
    <row r="77" spans="1:15" ht="60" x14ac:dyDescent="0.25">
      <c r="A77" s="120">
        <v>158105</v>
      </c>
      <c r="B77" s="120">
        <v>20514</v>
      </c>
      <c r="C77" s="121" t="s">
        <v>172</v>
      </c>
      <c r="D77" s="121" t="s">
        <v>2414</v>
      </c>
      <c r="E77" s="121" t="s">
        <v>2090</v>
      </c>
      <c r="F77" s="121"/>
      <c r="G77" s="121" t="s">
        <v>2</v>
      </c>
      <c r="H77" s="122">
        <v>50</v>
      </c>
      <c r="I77" s="122">
        <v>109</v>
      </c>
      <c r="J77" s="121"/>
      <c r="K77" s="121" t="s">
        <v>1</v>
      </c>
      <c r="L77" s="121"/>
      <c r="M77" s="121"/>
      <c r="N77" s="103" t="str">
        <f t="shared" si="1"/>
        <v>1</v>
      </c>
      <c r="O77" s="103" t="str">
        <f>INDEX(Кат!$I:$I,MATCH($A77,Кат!$A:$A,0))</f>
        <v>БРТ</v>
      </c>
    </row>
    <row r="78" spans="1:15" ht="75" x14ac:dyDescent="0.25">
      <c r="A78" s="120">
        <v>158108</v>
      </c>
      <c r="B78" s="120">
        <v>30781</v>
      </c>
      <c r="C78" s="121" t="s">
        <v>2136</v>
      </c>
      <c r="D78" s="121" t="s">
        <v>2414</v>
      </c>
      <c r="E78" s="121" t="s">
        <v>2137</v>
      </c>
      <c r="F78" s="121"/>
      <c r="G78" s="121" t="s">
        <v>2</v>
      </c>
      <c r="H78" s="122">
        <v>40</v>
      </c>
      <c r="I78" s="122">
        <v>79</v>
      </c>
      <c r="J78" s="121" t="s">
        <v>2337</v>
      </c>
      <c r="K78" s="121" t="s">
        <v>1</v>
      </c>
      <c r="L78" s="121" t="s">
        <v>1824</v>
      </c>
      <c r="M78" s="121"/>
      <c r="N78" s="103" t="str">
        <f t="shared" si="1"/>
        <v>1ск6</v>
      </c>
      <c r="O78" s="103" t="str">
        <f>INDEX(Кат!$I:$I,MATCH($A78,Кат!$A:$A,0))</f>
        <v>БРТ</v>
      </c>
    </row>
    <row r="79" spans="1:15" ht="45" x14ac:dyDescent="0.25">
      <c r="A79" s="120">
        <v>158111</v>
      </c>
      <c r="B79" s="120">
        <v>31104</v>
      </c>
      <c r="C79" s="121" t="s">
        <v>650</v>
      </c>
      <c r="D79" s="121" t="s">
        <v>2414</v>
      </c>
      <c r="E79" s="121" t="s">
        <v>2139</v>
      </c>
      <c r="F79" s="121"/>
      <c r="G79" s="121" t="s">
        <v>2</v>
      </c>
      <c r="H79" s="122">
        <v>130</v>
      </c>
      <c r="I79" s="122">
        <v>199</v>
      </c>
      <c r="J79" s="121" t="s">
        <v>2336</v>
      </c>
      <c r="K79" s="121" t="s">
        <v>1</v>
      </c>
      <c r="L79" s="121"/>
      <c r="M79" s="121"/>
      <c r="N79" s="103" t="str">
        <f t="shared" si="1"/>
        <v>1</v>
      </c>
      <c r="O79" s="103" t="str">
        <f>INDEX(Кат!$I:$I,MATCH($A79,Кат!$A:$A,0))</f>
        <v>БРТ</v>
      </c>
    </row>
    <row r="80" spans="1:15" ht="45" x14ac:dyDescent="0.25">
      <c r="A80" s="120">
        <v>158112</v>
      </c>
      <c r="B80" s="120">
        <v>31101</v>
      </c>
      <c r="C80" s="121" t="s">
        <v>1816</v>
      </c>
      <c r="D80" s="121" t="s">
        <v>2414</v>
      </c>
      <c r="E80" s="121" t="s">
        <v>2138</v>
      </c>
      <c r="F80" s="121"/>
      <c r="G80" s="121" t="s">
        <v>2</v>
      </c>
      <c r="H80" s="122">
        <v>120</v>
      </c>
      <c r="I80" s="122">
        <v>209</v>
      </c>
      <c r="J80" s="121"/>
      <c r="K80" s="121" t="s">
        <v>1</v>
      </c>
      <c r="L80" s="121"/>
      <c r="M80" s="121"/>
      <c r="N80" s="103" t="str">
        <f t="shared" si="1"/>
        <v>1</v>
      </c>
      <c r="O80" s="103" t="str">
        <f>INDEX(Кат!$I:$I,MATCH($A80,Кат!$A:$A,0))</f>
        <v>БРТ</v>
      </c>
    </row>
    <row r="81" spans="1:15" ht="30" x14ac:dyDescent="0.25">
      <c r="A81" s="120">
        <v>158160</v>
      </c>
      <c r="B81" s="120">
        <v>35444</v>
      </c>
      <c r="C81" s="121" t="s">
        <v>1628</v>
      </c>
      <c r="D81" s="121" t="s">
        <v>2414</v>
      </c>
      <c r="E81" s="121" t="s">
        <v>495</v>
      </c>
      <c r="F81" s="121" t="s">
        <v>495</v>
      </c>
      <c r="G81" s="121" t="s">
        <v>2</v>
      </c>
      <c r="H81" s="122">
        <v>218</v>
      </c>
      <c r="I81" s="122">
        <v>379</v>
      </c>
      <c r="J81" s="121"/>
      <c r="K81" s="121" t="s">
        <v>1</v>
      </c>
      <c r="L81" s="121"/>
      <c r="M81" s="121"/>
      <c r="N81" s="103" t="str">
        <f t="shared" si="1"/>
        <v>1</v>
      </c>
      <c r="O81" s="103" t="str">
        <f>INDEX(Кат!$I:$I,MATCH($A81,Кат!$A:$A,0))</f>
        <v>БРТ</v>
      </c>
    </row>
    <row r="82" spans="1:15" ht="60" x14ac:dyDescent="0.25">
      <c r="A82" s="120">
        <v>223304</v>
      </c>
      <c r="B82" s="120">
        <v>12267</v>
      </c>
      <c r="C82" s="121" t="s">
        <v>2695</v>
      </c>
      <c r="D82" s="121" t="s">
        <v>2414</v>
      </c>
      <c r="E82" s="121" t="s">
        <v>634</v>
      </c>
      <c r="F82" s="121"/>
      <c r="G82" s="121" t="s">
        <v>2</v>
      </c>
      <c r="H82" s="122">
        <v>60</v>
      </c>
      <c r="I82" s="122">
        <v>179</v>
      </c>
      <c r="J82" s="121" t="s">
        <v>2297</v>
      </c>
      <c r="K82" s="121" t="s">
        <v>1</v>
      </c>
      <c r="L82" s="121" t="s">
        <v>1824</v>
      </c>
      <c r="M82" s="121"/>
      <c r="N82" s="103" t="str">
        <f t="shared" si="1"/>
        <v>1ск6</v>
      </c>
      <c r="O82" s="103" t="str">
        <f>INDEX(Кат!$I:$I,MATCH($A82,Кат!$A:$A,0))</f>
        <v>БРТ</v>
      </c>
    </row>
    <row r="83" spans="1:15" ht="45" x14ac:dyDescent="0.25">
      <c r="A83" s="120">
        <v>158181</v>
      </c>
      <c r="B83" s="120">
        <v>20309</v>
      </c>
      <c r="C83" s="121" t="s">
        <v>2423</v>
      </c>
      <c r="D83" s="121" t="s">
        <v>2414</v>
      </c>
      <c r="E83" s="121" t="s">
        <v>2424</v>
      </c>
      <c r="F83" s="121"/>
      <c r="G83" s="121" t="s">
        <v>2</v>
      </c>
      <c r="H83" s="122">
        <v>60</v>
      </c>
      <c r="I83" s="122">
        <v>129</v>
      </c>
      <c r="J83" s="121" t="s">
        <v>2296</v>
      </c>
      <c r="K83" s="121" t="s">
        <v>1</v>
      </c>
      <c r="L83" s="121"/>
      <c r="M83" s="121"/>
      <c r="N83" s="103" t="str">
        <f t="shared" si="1"/>
        <v>1</v>
      </c>
      <c r="O83" s="103" t="str">
        <f>INDEX(Кат!$I:$I,MATCH($A83,Кат!$A:$A,0))</f>
        <v>БРТ</v>
      </c>
    </row>
    <row r="84" spans="1:15" ht="30" x14ac:dyDescent="0.25">
      <c r="A84" s="120">
        <v>158182</v>
      </c>
      <c r="B84" s="120">
        <v>21248</v>
      </c>
      <c r="C84" s="121" t="s">
        <v>2102</v>
      </c>
      <c r="D84" s="121" t="s">
        <v>2414</v>
      </c>
      <c r="E84" s="121" t="s">
        <v>2103</v>
      </c>
      <c r="F84" s="121"/>
      <c r="G84" s="121" t="s">
        <v>2</v>
      </c>
      <c r="H84" s="122">
        <v>0</v>
      </c>
      <c r="I84" s="122">
        <v>99</v>
      </c>
      <c r="J84" s="121"/>
      <c r="K84" s="121" t="s">
        <v>1</v>
      </c>
      <c r="L84" s="121"/>
      <c r="M84" s="121"/>
      <c r="N84" s="103" t="str">
        <f t="shared" si="1"/>
        <v>1</v>
      </c>
      <c r="O84" s="103" t="str">
        <f>INDEX(Кат!$I:$I,MATCH($A84,Кат!$A:$A,0))</f>
        <v>БРТ</v>
      </c>
    </row>
    <row r="85" spans="1:15" ht="30" x14ac:dyDescent="0.25">
      <c r="A85" s="120">
        <v>158183</v>
      </c>
      <c r="B85" s="120">
        <v>21249</v>
      </c>
      <c r="C85" s="121" t="s">
        <v>2104</v>
      </c>
      <c r="D85" s="121" t="s">
        <v>2414</v>
      </c>
      <c r="E85" s="121"/>
      <c r="F85" s="121"/>
      <c r="G85" s="121" t="s">
        <v>2</v>
      </c>
      <c r="H85" s="122">
        <v>0</v>
      </c>
      <c r="I85" s="122">
        <v>99</v>
      </c>
      <c r="J85" s="121"/>
      <c r="K85" s="121" t="s">
        <v>1</v>
      </c>
      <c r="L85" s="121"/>
      <c r="M85" s="121"/>
      <c r="N85" s="103" t="str">
        <f t="shared" si="1"/>
        <v>1</v>
      </c>
      <c r="O85" s="103" t="str">
        <f>INDEX(Кат!$I:$I,MATCH($A85,Кат!$A:$A,0))</f>
        <v>БРТ</v>
      </c>
    </row>
    <row r="86" spans="1:15" ht="30" x14ac:dyDescent="0.25">
      <c r="A86" s="120">
        <v>158185</v>
      </c>
      <c r="B86" s="120">
        <v>21252</v>
      </c>
      <c r="C86" s="121" t="s">
        <v>2105</v>
      </c>
      <c r="D86" s="121" t="s">
        <v>2414</v>
      </c>
      <c r="E86" s="121"/>
      <c r="F86" s="121"/>
      <c r="G86" s="121" t="s">
        <v>2</v>
      </c>
      <c r="H86" s="122">
        <v>0</v>
      </c>
      <c r="I86" s="122">
        <v>99</v>
      </c>
      <c r="J86" s="121"/>
      <c r="K86" s="121" t="s">
        <v>1</v>
      </c>
      <c r="L86" s="121"/>
      <c r="M86" s="121"/>
      <c r="N86" s="103" t="str">
        <f t="shared" si="1"/>
        <v>1</v>
      </c>
      <c r="O86" s="103" t="str">
        <f>INDEX(Кат!$I:$I,MATCH($A86,Кат!$A:$A,0))</f>
        <v>БРТ</v>
      </c>
    </row>
    <row r="87" spans="1:15" ht="45" x14ac:dyDescent="0.25">
      <c r="A87" s="120">
        <v>158269</v>
      </c>
      <c r="B87" s="120">
        <v>13809</v>
      </c>
      <c r="C87" s="121" t="s">
        <v>1871</v>
      </c>
      <c r="D87" s="121" t="s">
        <v>2414</v>
      </c>
      <c r="E87" s="121" t="s">
        <v>1872</v>
      </c>
      <c r="F87" s="121"/>
      <c r="G87" s="121" t="s">
        <v>2</v>
      </c>
      <c r="H87" s="122">
        <v>1420</v>
      </c>
      <c r="I87" s="122">
        <v>1890</v>
      </c>
      <c r="J87" s="121" t="s">
        <v>2320</v>
      </c>
      <c r="K87" s="121" t="s">
        <v>1</v>
      </c>
      <c r="L87" s="121"/>
      <c r="M87" s="121"/>
      <c r="N87" s="103" t="str">
        <f t="shared" si="1"/>
        <v>1</v>
      </c>
      <c r="O87" s="103" t="str">
        <f>INDEX(Кат!$I:$I,MATCH($A87,Кат!$A:$A,0))</f>
        <v>БРТ</v>
      </c>
    </row>
    <row r="88" spans="1:15" ht="45" x14ac:dyDescent="0.25">
      <c r="A88" s="120">
        <v>158270</v>
      </c>
      <c r="B88" s="120">
        <v>35504</v>
      </c>
      <c r="C88" s="121" t="s">
        <v>1655</v>
      </c>
      <c r="D88" s="121" t="s">
        <v>2414</v>
      </c>
      <c r="E88" s="121" t="s">
        <v>1244</v>
      </c>
      <c r="F88" s="121" t="s">
        <v>1244</v>
      </c>
      <c r="G88" s="121" t="s">
        <v>2</v>
      </c>
      <c r="H88" s="122">
        <v>3299</v>
      </c>
      <c r="I88" s="122">
        <v>5090</v>
      </c>
      <c r="J88" s="121" t="s">
        <v>2270</v>
      </c>
      <c r="K88" s="121" t="s">
        <v>1</v>
      </c>
      <c r="L88" s="121"/>
      <c r="M88" s="121"/>
      <c r="N88" s="103" t="str">
        <f t="shared" si="1"/>
        <v>1</v>
      </c>
      <c r="O88" s="103" t="str">
        <f>INDEX(Кат!$I:$I,MATCH($A88,Кат!$A:$A,0))</f>
        <v>БРТ</v>
      </c>
    </row>
    <row r="89" spans="1:15" ht="45" x14ac:dyDescent="0.25">
      <c r="A89" s="120">
        <v>158271</v>
      </c>
      <c r="B89" s="120">
        <v>35500</v>
      </c>
      <c r="C89" s="121" t="s">
        <v>1653</v>
      </c>
      <c r="D89" s="121" t="s">
        <v>2414</v>
      </c>
      <c r="E89" s="121" t="s">
        <v>1242</v>
      </c>
      <c r="F89" s="121" t="s">
        <v>1242</v>
      </c>
      <c r="G89" s="121" t="s">
        <v>2</v>
      </c>
      <c r="H89" s="122">
        <v>687</v>
      </c>
      <c r="I89" s="122">
        <v>1190</v>
      </c>
      <c r="J89" s="121" t="s">
        <v>2507</v>
      </c>
      <c r="K89" s="121" t="s">
        <v>1</v>
      </c>
      <c r="L89" s="121"/>
      <c r="M89" s="121"/>
      <c r="N89" s="103" t="str">
        <f t="shared" si="1"/>
        <v>1</v>
      </c>
      <c r="O89" s="103" t="str">
        <f>INDEX(Кат!$I:$I,MATCH($A89,Кат!$A:$A,0))</f>
        <v>БРТ</v>
      </c>
    </row>
    <row r="90" spans="1:15" ht="45" x14ac:dyDescent="0.25">
      <c r="A90" s="120">
        <v>158272</v>
      </c>
      <c r="B90" s="120">
        <v>35533</v>
      </c>
      <c r="C90" s="121" t="s">
        <v>1669</v>
      </c>
      <c r="D90" s="121" t="s">
        <v>2414</v>
      </c>
      <c r="E90" s="121" t="s">
        <v>1670</v>
      </c>
      <c r="F90" s="121" t="s">
        <v>1670</v>
      </c>
      <c r="G90" s="121" t="s">
        <v>2</v>
      </c>
      <c r="H90" s="122">
        <v>786</v>
      </c>
      <c r="I90" s="122">
        <v>1390</v>
      </c>
      <c r="J90" s="121" t="s">
        <v>2508</v>
      </c>
      <c r="K90" s="121" t="s">
        <v>1</v>
      </c>
      <c r="L90" s="121"/>
      <c r="M90" s="121"/>
      <c r="N90" s="103" t="str">
        <f t="shared" si="1"/>
        <v>1</v>
      </c>
      <c r="O90" s="103" t="str">
        <f>INDEX(Кат!$I:$I,MATCH($A90,Кат!$A:$A,0))</f>
        <v>БРТ</v>
      </c>
    </row>
    <row r="91" spans="1:15" ht="45" x14ac:dyDescent="0.25">
      <c r="A91" s="120">
        <v>158273</v>
      </c>
      <c r="B91" s="120">
        <v>35516</v>
      </c>
      <c r="C91" s="121" t="s">
        <v>1661</v>
      </c>
      <c r="D91" s="121" t="s">
        <v>2414</v>
      </c>
      <c r="E91" s="121" t="s">
        <v>1275</v>
      </c>
      <c r="F91" s="121" t="s">
        <v>1275</v>
      </c>
      <c r="G91" s="121" t="s">
        <v>2</v>
      </c>
      <c r="H91" s="122">
        <v>90</v>
      </c>
      <c r="I91" s="122">
        <v>399</v>
      </c>
      <c r="J91" s="121" t="s">
        <v>2621</v>
      </c>
      <c r="K91" s="121" t="s">
        <v>1</v>
      </c>
      <c r="L91" s="121"/>
      <c r="M91" s="121"/>
      <c r="N91" s="103" t="str">
        <f t="shared" si="1"/>
        <v>1</v>
      </c>
      <c r="O91" s="103" t="str">
        <f>INDEX(Кат!$I:$I,MATCH($A91,Кат!$A:$A,0))</f>
        <v>БРТ</v>
      </c>
    </row>
    <row r="92" spans="1:15" ht="45" x14ac:dyDescent="0.25">
      <c r="A92" s="120">
        <v>158274</v>
      </c>
      <c r="B92" s="120">
        <v>35505</v>
      </c>
      <c r="C92" s="121" t="s">
        <v>1656</v>
      </c>
      <c r="D92" s="121" t="s">
        <v>2414</v>
      </c>
      <c r="E92" s="121" t="s">
        <v>1255</v>
      </c>
      <c r="F92" s="121" t="s">
        <v>1255</v>
      </c>
      <c r="G92" s="121" t="s">
        <v>2</v>
      </c>
      <c r="H92" s="122">
        <v>365</v>
      </c>
      <c r="I92" s="122">
        <v>559</v>
      </c>
      <c r="J92" s="121" t="s">
        <v>2598</v>
      </c>
      <c r="K92" s="121" t="s">
        <v>1</v>
      </c>
      <c r="L92" s="121"/>
      <c r="M92" s="121"/>
      <c r="N92" s="103" t="str">
        <f t="shared" si="1"/>
        <v>1</v>
      </c>
      <c r="O92" s="103" t="str">
        <f>INDEX(Кат!$I:$I,MATCH($A92,Кат!$A:$A,0))</f>
        <v>БРТ</v>
      </c>
    </row>
    <row r="93" spans="1:15" ht="45" x14ac:dyDescent="0.25">
      <c r="A93" s="120">
        <v>158275</v>
      </c>
      <c r="B93" s="120">
        <v>35514</v>
      </c>
      <c r="C93" s="121" t="s">
        <v>1660</v>
      </c>
      <c r="D93" s="121" t="s">
        <v>2414</v>
      </c>
      <c r="E93" s="121" t="s">
        <v>1266</v>
      </c>
      <c r="F93" s="121" t="s">
        <v>1266</v>
      </c>
      <c r="G93" s="121" t="s">
        <v>2</v>
      </c>
      <c r="H93" s="122">
        <v>445</v>
      </c>
      <c r="I93" s="122">
        <v>659</v>
      </c>
      <c r="J93" s="121" t="s">
        <v>2566</v>
      </c>
      <c r="K93" s="121" t="s">
        <v>1</v>
      </c>
      <c r="L93" s="121"/>
      <c r="M93" s="121"/>
      <c r="N93" s="103" t="str">
        <f t="shared" si="1"/>
        <v>1</v>
      </c>
      <c r="O93" s="103" t="str">
        <f>INDEX(Кат!$I:$I,MATCH($A93,Кат!$A:$A,0))</f>
        <v>БРТ</v>
      </c>
    </row>
    <row r="94" spans="1:15" ht="45" x14ac:dyDescent="0.25">
      <c r="A94" s="120">
        <v>158276</v>
      </c>
      <c r="B94" s="120">
        <v>35553</v>
      </c>
      <c r="C94" s="121" t="s">
        <v>1678</v>
      </c>
      <c r="D94" s="121" t="s">
        <v>2414</v>
      </c>
      <c r="E94" s="121"/>
      <c r="F94" s="121"/>
      <c r="G94" s="121" t="s">
        <v>2</v>
      </c>
      <c r="H94" s="122">
        <v>194</v>
      </c>
      <c r="I94" s="122">
        <v>409</v>
      </c>
      <c r="J94" s="121" t="s">
        <v>2626</v>
      </c>
      <c r="K94" s="121" t="s">
        <v>1</v>
      </c>
      <c r="L94" s="121"/>
      <c r="M94" s="121"/>
      <c r="N94" s="103" t="str">
        <f t="shared" si="1"/>
        <v>1</v>
      </c>
      <c r="O94" s="103" t="str">
        <f>INDEX(Кат!$I:$I,MATCH($A94,Кат!$A:$A,0))</f>
        <v>БРТ</v>
      </c>
    </row>
    <row r="95" spans="1:15" ht="45" x14ac:dyDescent="0.25">
      <c r="A95" s="120">
        <v>158277</v>
      </c>
      <c r="B95" s="120">
        <v>35541</v>
      </c>
      <c r="C95" s="121" t="s">
        <v>1673</v>
      </c>
      <c r="D95" s="121" t="s">
        <v>2414</v>
      </c>
      <c r="E95" s="121"/>
      <c r="F95" s="121"/>
      <c r="G95" s="121" t="s">
        <v>2</v>
      </c>
      <c r="H95" s="122">
        <v>202</v>
      </c>
      <c r="I95" s="122">
        <v>759</v>
      </c>
      <c r="J95" s="121" t="s">
        <v>2619</v>
      </c>
      <c r="K95" s="121" t="s">
        <v>1</v>
      </c>
      <c r="L95" s="121"/>
      <c r="M95" s="121"/>
      <c r="N95" s="103" t="str">
        <f t="shared" si="1"/>
        <v>1</v>
      </c>
      <c r="O95" s="103" t="str">
        <f>INDEX(Кат!$I:$I,MATCH($A95,Кат!$A:$A,0))</f>
        <v>БРТ</v>
      </c>
    </row>
    <row r="96" spans="1:15" ht="45" x14ac:dyDescent="0.25">
      <c r="A96" s="120">
        <v>158278</v>
      </c>
      <c r="B96" s="120">
        <v>35546</v>
      </c>
      <c r="C96" s="121" t="s">
        <v>1675</v>
      </c>
      <c r="D96" s="121" t="s">
        <v>2414</v>
      </c>
      <c r="E96" s="121"/>
      <c r="F96" s="121"/>
      <c r="G96" s="121" t="s">
        <v>2</v>
      </c>
      <c r="H96" s="122">
        <v>515</v>
      </c>
      <c r="I96" s="122">
        <v>1790</v>
      </c>
      <c r="J96" s="121" t="s">
        <v>2629</v>
      </c>
      <c r="K96" s="121" t="s">
        <v>1</v>
      </c>
      <c r="L96" s="121"/>
      <c r="M96" s="121"/>
      <c r="N96" s="103" t="str">
        <f t="shared" si="1"/>
        <v>1</v>
      </c>
      <c r="O96" s="103" t="str">
        <f>INDEX(Кат!$I:$I,MATCH($A96,Кат!$A:$A,0))</f>
        <v>БРТ</v>
      </c>
    </row>
    <row r="97" spans="1:15" ht="45" x14ac:dyDescent="0.25">
      <c r="A97" s="120">
        <v>158279</v>
      </c>
      <c r="B97" s="120">
        <v>35536</v>
      </c>
      <c r="C97" s="121" t="s">
        <v>1671</v>
      </c>
      <c r="D97" s="121" t="s">
        <v>2414</v>
      </c>
      <c r="E97" s="121" t="s">
        <v>1295</v>
      </c>
      <c r="F97" s="121" t="s">
        <v>1295</v>
      </c>
      <c r="G97" s="121" t="s">
        <v>2</v>
      </c>
      <c r="H97" s="122">
        <v>274</v>
      </c>
      <c r="I97" s="122">
        <v>409</v>
      </c>
      <c r="J97" s="121" t="s">
        <v>2615</v>
      </c>
      <c r="K97" s="121" t="s">
        <v>1</v>
      </c>
      <c r="L97" s="121"/>
      <c r="M97" s="121"/>
      <c r="N97" s="103" t="str">
        <f t="shared" si="1"/>
        <v>1</v>
      </c>
      <c r="O97" s="103" t="str">
        <f>INDEX(Кат!$I:$I,MATCH($A97,Кат!$A:$A,0))</f>
        <v>БРТ</v>
      </c>
    </row>
    <row r="98" spans="1:15" ht="30" x14ac:dyDescent="0.25">
      <c r="A98" s="120">
        <v>158280</v>
      </c>
      <c r="B98" s="120">
        <v>35519</v>
      </c>
      <c r="C98" s="121" t="s">
        <v>1664</v>
      </c>
      <c r="D98" s="121" t="s">
        <v>2414</v>
      </c>
      <c r="E98" s="121" t="s">
        <v>1284</v>
      </c>
      <c r="F98" s="121" t="s">
        <v>1284</v>
      </c>
      <c r="G98" s="121" t="s">
        <v>2</v>
      </c>
      <c r="H98" s="122">
        <v>240</v>
      </c>
      <c r="I98" s="122">
        <v>419</v>
      </c>
      <c r="J98" s="121"/>
      <c r="K98" s="121" t="s">
        <v>1</v>
      </c>
      <c r="L98" s="121"/>
      <c r="M98" s="121"/>
      <c r="N98" s="103" t="str">
        <f t="shared" si="1"/>
        <v>1</v>
      </c>
      <c r="O98" s="103" t="str">
        <f>INDEX(Кат!$I:$I,MATCH($A98,Кат!$A:$A,0))</f>
        <v>БРТ</v>
      </c>
    </row>
    <row r="99" spans="1:15" ht="45" x14ac:dyDescent="0.25">
      <c r="A99" s="120">
        <v>158281</v>
      </c>
      <c r="B99" s="120">
        <v>35520</v>
      </c>
      <c r="C99" s="121" t="s">
        <v>1665</v>
      </c>
      <c r="D99" s="121" t="s">
        <v>2414</v>
      </c>
      <c r="E99" s="121" t="s">
        <v>1288</v>
      </c>
      <c r="F99" s="121" t="s">
        <v>1288</v>
      </c>
      <c r="G99" s="121" t="s">
        <v>2</v>
      </c>
      <c r="H99" s="122">
        <v>135</v>
      </c>
      <c r="I99" s="122">
        <v>509</v>
      </c>
      <c r="J99" s="121" t="s">
        <v>2623</v>
      </c>
      <c r="K99" s="121" t="s">
        <v>1</v>
      </c>
      <c r="L99" s="121"/>
      <c r="M99" s="121"/>
      <c r="N99" s="103" t="str">
        <f t="shared" si="1"/>
        <v>1</v>
      </c>
      <c r="O99" s="103" t="str">
        <f>INDEX(Кат!$I:$I,MATCH($A99,Кат!$A:$A,0))</f>
        <v>БРТ</v>
      </c>
    </row>
    <row r="100" spans="1:15" ht="45" x14ac:dyDescent="0.25">
      <c r="A100" s="120">
        <v>158282</v>
      </c>
      <c r="B100" s="120">
        <v>35527</v>
      </c>
      <c r="C100" s="121" t="s">
        <v>1667</v>
      </c>
      <c r="D100" s="121" t="s">
        <v>2414</v>
      </c>
      <c r="E100" s="121" t="s">
        <v>1290</v>
      </c>
      <c r="F100" s="121" t="s">
        <v>1290</v>
      </c>
      <c r="G100" s="121" t="s">
        <v>2</v>
      </c>
      <c r="H100" s="122">
        <v>250</v>
      </c>
      <c r="I100" s="122">
        <v>999</v>
      </c>
      <c r="J100" s="121" t="s">
        <v>2564</v>
      </c>
      <c r="K100" s="121" t="s">
        <v>1</v>
      </c>
      <c r="L100" s="121"/>
      <c r="M100" s="121"/>
      <c r="N100" s="103" t="str">
        <f t="shared" si="1"/>
        <v>1</v>
      </c>
      <c r="O100" s="103" t="str">
        <f>INDEX(Кат!$I:$I,MATCH($A100,Кат!$A:$A,0))</f>
        <v>БРТ</v>
      </c>
    </row>
    <row r="101" spans="1:15" ht="45" x14ac:dyDescent="0.25">
      <c r="A101" s="120">
        <v>158283</v>
      </c>
      <c r="B101" s="120">
        <v>35501</v>
      </c>
      <c r="C101" s="121" t="s">
        <v>1654</v>
      </c>
      <c r="D101" s="121" t="s">
        <v>2414</v>
      </c>
      <c r="E101" s="121" t="s">
        <v>1243</v>
      </c>
      <c r="F101" s="121" t="s">
        <v>1243</v>
      </c>
      <c r="G101" s="121" t="s">
        <v>2</v>
      </c>
      <c r="H101" s="122">
        <v>750</v>
      </c>
      <c r="I101" s="122">
        <v>1090</v>
      </c>
      <c r="J101" s="121" t="s">
        <v>2507</v>
      </c>
      <c r="K101" s="121" t="s">
        <v>1</v>
      </c>
      <c r="L101" s="121"/>
      <c r="M101" s="121"/>
      <c r="N101" s="103" t="str">
        <f t="shared" si="1"/>
        <v>1</v>
      </c>
      <c r="O101" s="103" t="str">
        <f>INDEX(Кат!$I:$I,MATCH($A101,Кат!$A:$A,0))</f>
        <v>БРТ</v>
      </c>
    </row>
    <row r="102" spans="1:15" ht="45" x14ac:dyDescent="0.25">
      <c r="A102" s="120">
        <v>158284</v>
      </c>
      <c r="B102" s="120">
        <v>30478</v>
      </c>
      <c r="C102" s="121" t="s">
        <v>2130</v>
      </c>
      <c r="D102" s="121" t="s">
        <v>2414</v>
      </c>
      <c r="E102" s="121" t="s">
        <v>2131</v>
      </c>
      <c r="F102" s="121"/>
      <c r="G102" s="121" t="s">
        <v>2</v>
      </c>
      <c r="H102" s="122">
        <v>1850</v>
      </c>
      <c r="I102" s="122">
        <v>2790</v>
      </c>
      <c r="J102" s="121" t="s">
        <v>2307</v>
      </c>
      <c r="K102" s="121" t="s">
        <v>1</v>
      </c>
      <c r="L102" s="121"/>
      <c r="M102" s="121"/>
      <c r="N102" s="103" t="str">
        <f t="shared" si="1"/>
        <v>1</v>
      </c>
      <c r="O102" s="103" t="str">
        <f>INDEX(Кат!$I:$I,MATCH($A102,Кат!$A:$A,0))</f>
        <v>БРТ</v>
      </c>
    </row>
    <row r="103" spans="1:15" ht="45" x14ac:dyDescent="0.25">
      <c r="A103" s="120">
        <v>158285</v>
      </c>
      <c r="B103" s="120">
        <v>13572</v>
      </c>
      <c r="C103" s="121" t="s">
        <v>1868</v>
      </c>
      <c r="D103" s="121" t="s">
        <v>2414</v>
      </c>
      <c r="E103" s="121" t="s">
        <v>1869</v>
      </c>
      <c r="F103" s="121"/>
      <c r="G103" s="121" t="s">
        <v>2</v>
      </c>
      <c r="H103" s="122">
        <v>3450</v>
      </c>
      <c r="I103" s="122">
        <v>4490</v>
      </c>
      <c r="J103" s="121" t="s">
        <v>2302</v>
      </c>
      <c r="K103" s="121" t="s">
        <v>1</v>
      </c>
      <c r="L103" s="121"/>
      <c r="M103" s="121"/>
      <c r="N103" s="103" t="str">
        <f t="shared" si="1"/>
        <v>1</v>
      </c>
      <c r="O103" s="103" t="str">
        <f>INDEX(Кат!$I:$I,MATCH($A103,Кат!$A:$A,0))</f>
        <v>БРТ</v>
      </c>
    </row>
    <row r="104" spans="1:15" ht="45" x14ac:dyDescent="0.25">
      <c r="A104" s="120">
        <v>158286</v>
      </c>
      <c r="B104" s="120">
        <v>35531</v>
      </c>
      <c r="C104" s="121" t="s">
        <v>1668</v>
      </c>
      <c r="D104" s="121" t="s">
        <v>2414</v>
      </c>
      <c r="E104" s="121" t="s">
        <v>1289</v>
      </c>
      <c r="F104" s="121" t="s">
        <v>1289</v>
      </c>
      <c r="G104" s="121" t="s">
        <v>2</v>
      </c>
      <c r="H104" s="122">
        <v>733</v>
      </c>
      <c r="I104" s="122">
        <v>1390</v>
      </c>
      <c r="J104" s="121" t="s">
        <v>2508</v>
      </c>
      <c r="K104" s="121" t="s">
        <v>1</v>
      </c>
      <c r="L104" s="121"/>
      <c r="M104" s="121"/>
      <c r="N104" s="103" t="str">
        <f t="shared" si="1"/>
        <v>1</v>
      </c>
      <c r="O104" s="103" t="str">
        <f>INDEX(Кат!$I:$I,MATCH($A104,Кат!$A:$A,0))</f>
        <v>БРТ</v>
      </c>
    </row>
    <row r="105" spans="1:15" ht="45" x14ac:dyDescent="0.25">
      <c r="A105" s="120">
        <v>158287</v>
      </c>
      <c r="B105" s="120">
        <v>35510</v>
      </c>
      <c r="C105" s="121" t="s">
        <v>1658</v>
      </c>
      <c r="D105" s="121" t="s">
        <v>2414</v>
      </c>
      <c r="E105" s="121" t="s">
        <v>1259</v>
      </c>
      <c r="F105" s="121" t="s">
        <v>1259</v>
      </c>
      <c r="G105" s="121" t="s">
        <v>2</v>
      </c>
      <c r="H105" s="122">
        <v>202</v>
      </c>
      <c r="I105" s="122">
        <v>409</v>
      </c>
      <c r="J105" s="121" t="s">
        <v>2627</v>
      </c>
      <c r="K105" s="121" t="s">
        <v>1</v>
      </c>
      <c r="L105" s="121"/>
      <c r="M105" s="121"/>
      <c r="N105" s="103" t="str">
        <f t="shared" si="1"/>
        <v>1</v>
      </c>
      <c r="O105" s="103" t="str">
        <f>INDEX(Кат!$I:$I,MATCH($A105,Кат!$A:$A,0))</f>
        <v>БРТ</v>
      </c>
    </row>
    <row r="106" spans="1:15" ht="45" x14ac:dyDescent="0.25">
      <c r="A106" s="120">
        <v>158288</v>
      </c>
      <c r="B106" s="120">
        <v>35507</v>
      </c>
      <c r="C106" s="121" t="s">
        <v>1657</v>
      </c>
      <c r="D106" s="121" t="s">
        <v>2414</v>
      </c>
      <c r="E106" s="121" t="s">
        <v>1257</v>
      </c>
      <c r="F106" s="121" t="s">
        <v>1257</v>
      </c>
      <c r="G106" s="121" t="s">
        <v>2</v>
      </c>
      <c r="H106" s="122">
        <v>369</v>
      </c>
      <c r="I106" s="122">
        <v>749</v>
      </c>
      <c r="J106" s="121" t="s">
        <v>2597</v>
      </c>
      <c r="K106" s="121" t="s">
        <v>1</v>
      </c>
      <c r="L106" s="121"/>
      <c r="M106" s="121"/>
      <c r="N106" s="103" t="str">
        <f t="shared" si="1"/>
        <v>1</v>
      </c>
      <c r="O106" s="103" t="str">
        <f>INDEX(Кат!$I:$I,MATCH($A106,Кат!$A:$A,0))</f>
        <v>БРТ</v>
      </c>
    </row>
    <row r="107" spans="1:15" ht="45" x14ac:dyDescent="0.25">
      <c r="A107" s="120">
        <v>158289</v>
      </c>
      <c r="B107" s="120">
        <v>35512</v>
      </c>
      <c r="C107" s="121" t="s">
        <v>1659</v>
      </c>
      <c r="D107" s="121" t="s">
        <v>2414</v>
      </c>
      <c r="E107" s="121" t="s">
        <v>1265</v>
      </c>
      <c r="F107" s="121" t="s">
        <v>1265</v>
      </c>
      <c r="G107" s="121" t="s">
        <v>2</v>
      </c>
      <c r="H107" s="122">
        <v>360</v>
      </c>
      <c r="I107" s="122">
        <v>789</v>
      </c>
      <c r="J107" s="121" t="s">
        <v>2603</v>
      </c>
      <c r="K107" s="121" t="s">
        <v>1</v>
      </c>
      <c r="L107" s="121"/>
      <c r="M107" s="121"/>
      <c r="N107" s="103" t="str">
        <f t="shared" si="1"/>
        <v>1</v>
      </c>
      <c r="O107" s="103" t="str">
        <f>INDEX(Кат!$I:$I,MATCH($A107,Кат!$A:$A,0))</f>
        <v>БРТ</v>
      </c>
    </row>
    <row r="108" spans="1:15" ht="30" x14ac:dyDescent="0.25">
      <c r="A108" s="120">
        <v>158290</v>
      </c>
      <c r="B108" s="120">
        <v>35551</v>
      </c>
      <c r="C108" s="121" t="s">
        <v>1677</v>
      </c>
      <c r="D108" s="121" t="s">
        <v>2414</v>
      </c>
      <c r="E108" s="121"/>
      <c r="F108" s="121"/>
      <c r="G108" s="121" t="s">
        <v>2</v>
      </c>
      <c r="H108" s="122">
        <v>175</v>
      </c>
      <c r="I108" s="122">
        <v>309</v>
      </c>
      <c r="J108" s="121"/>
      <c r="K108" s="121" t="s">
        <v>1</v>
      </c>
      <c r="L108" s="121"/>
      <c r="M108" s="121"/>
      <c r="N108" s="103" t="str">
        <f t="shared" si="1"/>
        <v>1</v>
      </c>
      <c r="O108" s="103" t="str">
        <f>INDEX(Кат!$I:$I,MATCH($A108,Кат!$A:$A,0))</f>
        <v>БРТ</v>
      </c>
    </row>
    <row r="109" spans="1:15" ht="45" x14ac:dyDescent="0.25">
      <c r="A109" s="120">
        <v>158291</v>
      </c>
      <c r="B109" s="120">
        <v>35543</v>
      </c>
      <c r="C109" s="121" t="s">
        <v>1674</v>
      </c>
      <c r="D109" s="121" t="s">
        <v>2414</v>
      </c>
      <c r="E109" s="121"/>
      <c r="F109" s="121"/>
      <c r="G109" s="121" t="s">
        <v>2</v>
      </c>
      <c r="H109" s="122">
        <v>242</v>
      </c>
      <c r="I109" s="122">
        <v>599</v>
      </c>
      <c r="J109" s="121" t="s">
        <v>2618</v>
      </c>
      <c r="K109" s="121" t="s">
        <v>1</v>
      </c>
      <c r="L109" s="121"/>
      <c r="M109" s="121"/>
      <c r="N109" s="103" t="str">
        <f t="shared" si="1"/>
        <v>1</v>
      </c>
      <c r="O109" s="103" t="str">
        <f>INDEX(Кат!$I:$I,MATCH($A109,Кат!$A:$A,0))</f>
        <v>БРТ</v>
      </c>
    </row>
    <row r="110" spans="1:15" ht="45" x14ac:dyDescent="0.25">
      <c r="A110" s="120">
        <v>158292</v>
      </c>
      <c r="B110" s="120">
        <v>35548</v>
      </c>
      <c r="C110" s="121" t="s">
        <v>1676</v>
      </c>
      <c r="D110" s="121" t="s">
        <v>2414</v>
      </c>
      <c r="E110" s="121"/>
      <c r="F110" s="121"/>
      <c r="G110" s="121" t="s">
        <v>2</v>
      </c>
      <c r="H110" s="122">
        <v>750</v>
      </c>
      <c r="I110" s="122">
        <v>1790</v>
      </c>
      <c r="J110" s="121" t="s">
        <v>2628</v>
      </c>
      <c r="K110" s="121" t="s">
        <v>1</v>
      </c>
      <c r="L110" s="121"/>
      <c r="M110" s="121"/>
      <c r="N110" s="103" t="str">
        <f t="shared" si="1"/>
        <v>1</v>
      </c>
      <c r="O110" s="103" t="str">
        <f>INDEX(Кат!$I:$I,MATCH($A110,Кат!$A:$A,0))</f>
        <v>БРТ</v>
      </c>
    </row>
    <row r="111" spans="1:15" ht="45" x14ac:dyDescent="0.25">
      <c r="A111" s="120">
        <v>158293</v>
      </c>
      <c r="B111" s="120">
        <v>35539</v>
      </c>
      <c r="C111" s="121" t="s">
        <v>1672</v>
      </c>
      <c r="D111" s="121" t="s">
        <v>2414</v>
      </c>
      <c r="E111" s="121" t="s">
        <v>1297</v>
      </c>
      <c r="F111" s="121" t="s">
        <v>1297</v>
      </c>
      <c r="G111" s="121" t="s">
        <v>2</v>
      </c>
      <c r="H111" s="122">
        <v>164</v>
      </c>
      <c r="I111" s="122">
        <v>379</v>
      </c>
      <c r="J111" s="121" t="s">
        <v>2625</v>
      </c>
      <c r="K111" s="121" t="s">
        <v>1</v>
      </c>
      <c r="L111" s="121"/>
      <c r="M111" s="121"/>
      <c r="N111" s="103" t="str">
        <f t="shared" si="1"/>
        <v>1</v>
      </c>
      <c r="O111" s="103" t="str">
        <f>INDEX(Кат!$I:$I,MATCH($A111,Кат!$A:$A,0))</f>
        <v>БРТ</v>
      </c>
    </row>
    <row r="112" spans="1:15" ht="45" x14ac:dyDescent="0.25">
      <c r="A112" s="120">
        <v>158294</v>
      </c>
      <c r="B112" s="120">
        <v>35518</v>
      </c>
      <c r="C112" s="121" t="s">
        <v>1663</v>
      </c>
      <c r="D112" s="121" t="s">
        <v>2414</v>
      </c>
      <c r="E112" s="121" t="s">
        <v>1282</v>
      </c>
      <c r="F112" s="121" t="s">
        <v>1282</v>
      </c>
      <c r="G112" s="121" t="s">
        <v>2</v>
      </c>
      <c r="H112" s="122">
        <v>165</v>
      </c>
      <c r="I112" s="122">
        <v>409</v>
      </c>
      <c r="J112" s="121" t="s">
        <v>2624</v>
      </c>
      <c r="K112" s="121" t="s">
        <v>1</v>
      </c>
      <c r="L112" s="121"/>
      <c r="M112" s="121"/>
      <c r="N112" s="103" t="str">
        <f t="shared" si="1"/>
        <v>1</v>
      </c>
      <c r="O112" s="103" t="str">
        <f>INDEX(Кат!$I:$I,MATCH($A112,Кат!$A:$A,0))</f>
        <v>БРТ</v>
      </c>
    </row>
    <row r="113" spans="1:15" ht="30" x14ac:dyDescent="0.25">
      <c r="A113" s="120">
        <v>158295</v>
      </c>
      <c r="B113" s="120">
        <v>35517</v>
      </c>
      <c r="C113" s="121" t="s">
        <v>1662</v>
      </c>
      <c r="D113" s="121" t="s">
        <v>2414</v>
      </c>
      <c r="E113" s="121" t="s">
        <v>1281</v>
      </c>
      <c r="F113" s="121" t="s">
        <v>1281</v>
      </c>
      <c r="G113" s="121" t="s">
        <v>2</v>
      </c>
      <c r="H113" s="122">
        <v>308</v>
      </c>
      <c r="I113" s="122">
        <v>619</v>
      </c>
      <c r="J113" s="121" t="s">
        <v>2612</v>
      </c>
      <c r="K113" s="121" t="s">
        <v>1</v>
      </c>
      <c r="L113" s="121"/>
      <c r="M113" s="121"/>
      <c r="N113" s="103" t="str">
        <f t="shared" si="1"/>
        <v>1</v>
      </c>
      <c r="O113" s="103" t="str">
        <f>INDEX(Кат!$I:$I,MATCH($A113,Кат!$A:$A,0))</f>
        <v>БРТ</v>
      </c>
    </row>
    <row r="114" spans="1:15" ht="45" x14ac:dyDescent="0.25">
      <c r="A114" s="120">
        <v>158296</v>
      </c>
      <c r="B114" s="120">
        <v>35525</v>
      </c>
      <c r="C114" s="121" t="s">
        <v>1666</v>
      </c>
      <c r="D114" s="121" t="s">
        <v>2414</v>
      </c>
      <c r="E114" s="121" t="s">
        <v>1289</v>
      </c>
      <c r="F114" s="121" t="s">
        <v>1289</v>
      </c>
      <c r="G114" s="121" t="s">
        <v>2</v>
      </c>
      <c r="H114" s="122">
        <v>300</v>
      </c>
      <c r="I114" s="122">
        <v>1390</v>
      </c>
      <c r="J114" s="121" t="s">
        <v>2508</v>
      </c>
      <c r="K114" s="121" t="s">
        <v>1</v>
      </c>
      <c r="L114" s="121"/>
      <c r="M114" s="121"/>
      <c r="N114" s="103" t="str">
        <f t="shared" si="1"/>
        <v>1</v>
      </c>
      <c r="O114" s="103" t="str">
        <f>INDEX(Кат!$I:$I,MATCH($A114,Кат!$A:$A,0))</f>
        <v>БРТ</v>
      </c>
    </row>
    <row r="115" spans="1:15" ht="45" x14ac:dyDescent="0.25">
      <c r="A115" s="120">
        <v>158297</v>
      </c>
      <c r="B115" s="120">
        <v>35482</v>
      </c>
      <c r="C115" s="121" t="s">
        <v>2155</v>
      </c>
      <c r="D115" s="121" t="s">
        <v>2414</v>
      </c>
      <c r="E115" s="121" t="s">
        <v>1709</v>
      </c>
      <c r="F115" s="121" t="s">
        <v>1709</v>
      </c>
      <c r="G115" s="121" t="s">
        <v>2</v>
      </c>
      <c r="H115" s="122">
        <v>450</v>
      </c>
      <c r="I115" s="122">
        <v>679</v>
      </c>
      <c r="J115" s="121"/>
      <c r="K115" s="121" t="s">
        <v>1</v>
      </c>
      <c r="L115" s="121"/>
      <c r="M115" s="121"/>
      <c r="N115" s="103" t="str">
        <f t="shared" si="1"/>
        <v>1</v>
      </c>
      <c r="O115" s="103" t="str">
        <f>INDEX(Кат!$I:$I,MATCH($A115,Кат!$A:$A,0))</f>
        <v>БРТ</v>
      </c>
    </row>
    <row r="116" spans="1:15" ht="45" x14ac:dyDescent="0.25">
      <c r="A116" s="120">
        <v>158298</v>
      </c>
      <c r="B116" s="120">
        <v>35454</v>
      </c>
      <c r="C116" s="121" t="s">
        <v>1633</v>
      </c>
      <c r="D116" s="121" t="s">
        <v>2414</v>
      </c>
      <c r="E116" s="121" t="s">
        <v>1160</v>
      </c>
      <c r="F116" s="121" t="s">
        <v>1160</v>
      </c>
      <c r="G116" s="121" t="s">
        <v>2</v>
      </c>
      <c r="H116" s="122">
        <v>1104</v>
      </c>
      <c r="I116" s="122">
        <v>1590</v>
      </c>
      <c r="J116" s="121" t="s">
        <v>2534</v>
      </c>
      <c r="K116" s="121" t="s">
        <v>1</v>
      </c>
      <c r="L116" s="121"/>
      <c r="M116" s="121"/>
      <c r="N116" s="103" t="str">
        <f t="shared" si="1"/>
        <v>1</v>
      </c>
      <c r="O116" s="103" t="str">
        <f>INDEX(Кат!$I:$I,MATCH($A116,Кат!$A:$A,0))</f>
        <v>БРТ</v>
      </c>
    </row>
    <row r="117" spans="1:15" ht="45" x14ac:dyDescent="0.25">
      <c r="A117" s="120">
        <v>158299</v>
      </c>
      <c r="B117" s="120">
        <v>35556</v>
      </c>
      <c r="C117" s="121" t="s">
        <v>1679</v>
      </c>
      <c r="D117" s="121" t="s">
        <v>2414</v>
      </c>
      <c r="E117" s="121"/>
      <c r="F117" s="121"/>
      <c r="G117" s="121" t="s">
        <v>2</v>
      </c>
      <c r="H117" s="122">
        <v>800</v>
      </c>
      <c r="I117" s="122">
        <v>1390</v>
      </c>
      <c r="J117" s="121" t="s">
        <v>2284</v>
      </c>
      <c r="K117" s="121" t="s">
        <v>1</v>
      </c>
      <c r="L117" s="121"/>
      <c r="M117" s="121"/>
      <c r="N117" s="103" t="str">
        <f t="shared" si="1"/>
        <v>1</v>
      </c>
      <c r="O117" s="103" t="str">
        <f>INDEX(Кат!$I:$I,MATCH($A117,Кат!$A:$A,0))</f>
        <v>БРТ</v>
      </c>
    </row>
    <row r="118" spans="1:15" ht="45" x14ac:dyDescent="0.25">
      <c r="A118" s="120">
        <v>158300</v>
      </c>
      <c r="B118" s="120">
        <v>18939</v>
      </c>
      <c r="C118" s="121" t="s">
        <v>1886</v>
      </c>
      <c r="D118" s="121" t="s">
        <v>2414</v>
      </c>
      <c r="E118" s="121" t="s">
        <v>306</v>
      </c>
      <c r="F118" s="121"/>
      <c r="G118" s="121" t="s">
        <v>2</v>
      </c>
      <c r="H118" s="122">
        <v>1280</v>
      </c>
      <c r="I118" s="122">
        <v>1890</v>
      </c>
      <c r="J118" s="121" t="s">
        <v>2280</v>
      </c>
      <c r="K118" s="121" t="s">
        <v>1</v>
      </c>
      <c r="L118" s="121"/>
      <c r="M118" s="121"/>
      <c r="N118" s="103" t="str">
        <f t="shared" si="1"/>
        <v>1</v>
      </c>
      <c r="O118" s="103" t="str">
        <f>INDEX(Кат!$I:$I,MATCH($A118,Кат!$A:$A,0))</f>
        <v>БРТ</v>
      </c>
    </row>
    <row r="119" spans="1:15" ht="45" x14ac:dyDescent="0.25">
      <c r="A119" s="120">
        <v>158348</v>
      </c>
      <c r="B119" s="120">
        <v>17822</v>
      </c>
      <c r="C119" s="121" t="s">
        <v>204</v>
      </c>
      <c r="D119" s="121" t="s">
        <v>2414</v>
      </c>
      <c r="E119" s="121"/>
      <c r="F119" s="121"/>
      <c r="G119" s="121" t="s">
        <v>2</v>
      </c>
      <c r="H119" s="122">
        <v>2510</v>
      </c>
      <c r="I119" s="122">
        <v>3690</v>
      </c>
      <c r="J119" s="121" t="s">
        <v>2327</v>
      </c>
      <c r="K119" s="121" t="s">
        <v>1</v>
      </c>
      <c r="L119" s="121"/>
      <c r="M119" s="121"/>
      <c r="N119" s="103" t="str">
        <f t="shared" si="1"/>
        <v>1</v>
      </c>
      <c r="O119" s="103" t="str">
        <f>INDEX(Кат!$I:$I,MATCH($A119,Кат!$A:$A,0))</f>
        <v>БРТ</v>
      </c>
    </row>
    <row r="120" spans="1:15" ht="45" x14ac:dyDescent="0.25">
      <c r="A120" s="120">
        <v>158351</v>
      </c>
      <c r="B120" s="120">
        <v>35515</v>
      </c>
      <c r="C120" s="121" t="s">
        <v>2156</v>
      </c>
      <c r="D120" s="121" t="s">
        <v>2414</v>
      </c>
      <c r="E120" s="121" t="s">
        <v>1273</v>
      </c>
      <c r="F120" s="121" t="s">
        <v>1273</v>
      </c>
      <c r="G120" s="121" t="s">
        <v>2</v>
      </c>
      <c r="H120" s="122">
        <v>91</v>
      </c>
      <c r="I120" s="122">
        <v>419</v>
      </c>
      <c r="J120" s="121" t="s">
        <v>2620</v>
      </c>
      <c r="K120" s="121" t="s">
        <v>1</v>
      </c>
      <c r="L120" s="121"/>
      <c r="M120" s="121"/>
      <c r="N120" s="103" t="str">
        <f t="shared" si="1"/>
        <v>1</v>
      </c>
      <c r="O120" s="103" t="str">
        <f>INDEX(Кат!$I:$I,MATCH($A120,Кат!$A:$A,0))</f>
        <v>БРТ</v>
      </c>
    </row>
    <row r="121" spans="1:15" ht="45" x14ac:dyDescent="0.25">
      <c r="A121" s="120">
        <v>158362</v>
      </c>
      <c r="B121" s="120">
        <v>15372</v>
      </c>
      <c r="C121" s="121" t="s">
        <v>2243</v>
      </c>
      <c r="D121" s="121" t="s">
        <v>2414</v>
      </c>
      <c r="E121" s="121"/>
      <c r="F121" s="121"/>
      <c r="G121" s="121" t="s">
        <v>2</v>
      </c>
      <c r="H121" s="122">
        <v>800</v>
      </c>
      <c r="I121" s="122">
        <v>1090</v>
      </c>
      <c r="J121" s="121" t="s">
        <v>2550</v>
      </c>
      <c r="K121" s="121" t="s">
        <v>1</v>
      </c>
      <c r="L121" s="121"/>
      <c r="M121" s="121"/>
      <c r="N121" s="103" t="str">
        <f t="shared" si="1"/>
        <v>1</v>
      </c>
      <c r="O121" s="103" t="str">
        <f>INDEX(Кат!$I:$I,MATCH($A121,Кат!$A:$A,0))</f>
        <v>БРТ</v>
      </c>
    </row>
    <row r="122" spans="1:15" ht="45" x14ac:dyDescent="0.25">
      <c r="A122" s="120">
        <v>158364</v>
      </c>
      <c r="B122" s="120">
        <v>22508</v>
      </c>
      <c r="C122" s="121" t="s">
        <v>2255</v>
      </c>
      <c r="D122" s="121" t="s">
        <v>2414</v>
      </c>
      <c r="E122" s="121"/>
      <c r="F122" s="121"/>
      <c r="G122" s="121" t="s">
        <v>2</v>
      </c>
      <c r="H122" s="122">
        <v>660</v>
      </c>
      <c r="I122" s="122">
        <v>969</v>
      </c>
      <c r="J122" s="121" t="s">
        <v>2549</v>
      </c>
      <c r="K122" s="121" t="s">
        <v>1</v>
      </c>
      <c r="L122" s="121"/>
      <c r="M122" s="121"/>
      <c r="N122" s="103" t="str">
        <f t="shared" si="1"/>
        <v>1</v>
      </c>
      <c r="O122" s="103" t="str">
        <f>INDEX(Кат!$I:$I,MATCH($A122,Кат!$A:$A,0))</f>
        <v>БРТ</v>
      </c>
    </row>
    <row r="123" spans="1:15" ht="45" x14ac:dyDescent="0.25">
      <c r="A123" s="120">
        <v>158365</v>
      </c>
      <c r="B123" s="120">
        <v>22507</v>
      </c>
      <c r="C123" s="121" t="s">
        <v>174</v>
      </c>
      <c r="D123" s="121" t="s">
        <v>2414</v>
      </c>
      <c r="E123" s="121"/>
      <c r="F123" s="121"/>
      <c r="G123" s="121" t="s">
        <v>2</v>
      </c>
      <c r="H123" s="122">
        <v>660</v>
      </c>
      <c r="I123" s="122">
        <v>989</v>
      </c>
      <c r="J123" s="121" t="s">
        <v>2547</v>
      </c>
      <c r="K123" s="121" t="s">
        <v>2418</v>
      </c>
      <c r="L123" s="121"/>
      <c r="M123" s="121"/>
      <c r="N123" s="103" t="str">
        <f t="shared" si="1"/>
        <v>0</v>
      </c>
      <c r="O123" s="103" t="str">
        <f>INDEX(Кат!$I:$I,MATCH($A123,Кат!$A:$A,0))</f>
        <v>БРТ</v>
      </c>
    </row>
    <row r="124" spans="1:15" ht="45" x14ac:dyDescent="0.25">
      <c r="A124" s="120">
        <v>158748</v>
      </c>
      <c r="B124" s="120">
        <v>10320</v>
      </c>
      <c r="C124" s="121" t="s">
        <v>2237</v>
      </c>
      <c r="D124" s="121" t="s">
        <v>2414</v>
      </c>
      <c r="E124" s="121"/>
      <c r="F124" s="121"/>
      <c r="G124" s="121" t="s">
        <v>2</v>
      </c>
      <c r="H124" s="122">
        <v>740</v>
      </c>
      <c r="I124" s="122">
        <v>979</v>
      </c>
      <c r="J124" s="121" t="s">
        <v>2548</v>
      </c>
      <c r="K124" s="121" t="s">
        <v>1</v>
      </c>
      <c r="L124" s="121"/>
      <c r="M124" s="121"/>
      <c r="N124" s="103" t="str">
        <f t="shared" si="1"/>
        <v>1</v>
      </c>
      <c r="O124" s="103" t="str">
        <f>INDEX(Кат!$I:$I,MATCH($A124,Кат!$A:$A,0))</f>
        <v>БРТ</v>
      </c>
    </row>
    <row r="125" spans="1:15" ht="45" x14ac:dyDescent="0.25">
      <c r="A125" s="120">
        <v>158837</v>
      </c>
      <c r="B125" s="120">
        <v>22605</v>
      </c>
      <c r="C125" s="121" t="s">
        <v>2256</v>
      </c>
      <c r="D125" s="121" t="s">
        <v>2414</v>
      </c>
      <c r="E125" s="121"/>
      <c r="F125" s="121"/>
      <c r="G125" s="121" t="s">
        <v>2</v>
      </c>
      <c r="H125" s="122">
        <v>3500</v>
      </c>
      <c r="I125" s="122">
        <v>4590</v>
      </c>
      <c r="J125" s="121" t="s">
        <v>2324</v>
      </c>
      <c r="K125" s="121" t="s">
        <v>1</v>
      </c>
      <c r="L125" s="121"/>
      <c r="M125" s="121"/>
      <c r="N125" s="103" t="str">
        <f t="shared" si="1"/>
        <v>1</v>
      </c>
      <c r="O125" s="103" t="str">
        <f>INDEX(Кат!$I:$I,MATCH($A125,Кат!$A:$A,0))</f>
        <v>БРТ</v>
      </c>
    </row>
    <row r="126" spans="1:15" ht="45" x14ac:dyDescent="0.25">
      <c r="A126" s="120">
        <v>158838</v>
      </c>
      <c r="B126" s="120">
        <v>22606</v>
      </c>
      <c r="C126" s="121" t="s">
        <v>2257</v>
      </c>
      <c r="D126" s="121" t="s">
        <v>2414</v>
      </c>
      <c r="E126" s="121"/>
      <c r="F126" s="121"/>
      <c r="G126" s="121" t="s">
        <v>2</v>
      </c>
      <c r="H126" s="122">
        <v>4400</v>
      </c>
      <c r="I126" s="122">
        <v>5690</v>
      </c>
      <c r="J126" s="121" t="s">
        <v>2271</v>
      </c>
      <c r="K126" s="121" t="s">
        <v>1</v>
      </c>
      <c r="L126" s="121"/>
      <c r="M126" s="121"/>
      <c r="N126" s="103" t="str">
        <f t="shared" si="1"/>
        <v>1</v>
      </c>
      <c r="O126" s="103" t="str">
        <f>INDEX(Кат!$I:$I,MATCH($A126,Кат!$A:$A,0))</f>
        <v>БРТ</v>
      </c>
    </row>
    <row r="127" spans="1:15" ht="45" x14ac:dyDescent="0.25">
      <c r="A127" s="120">
        <v>158848</v>
      </c>
      <c r="B127" s="120">
        <v>35352</v>
      </c>
      <c r="C127" s="121" t="s">
        <v>1582</v>
      </c>
      <c r="D127" s="121" t="s">
        <v>2414</v>
      </c>
      <c r="E127" s="121" t="s">
        <v>852</v>
      </c>
      <c r="F127" s="121" t="s">
        <v>852</v>
      </c>
      <c r="G127" s="121" t="s">
        <v>2</v>
      </c>
      <c r="H127" s="122">
        <v>318</v>
      </c>
      <c r="I127" s="122">
        <v>1490</v>
      </c>
      <c r="J127" s="121" t="s">
        <v>2556</v>
      </c>
      <c r="K127" s="121" t="s">
        <v>1</v>
      </c>
      <c r="L127" s="121"/>
      <c r="M127" s="121"/>
      <c r="N127" s="103" t="str">
        <f t="shared" si="1"/>
        <v>1</v>
      </c>
      <c r="O127" s="103" t="str">
        <f>INDEX(Кат!$I:$I,MATCH($A127,Кат!$A:$A,0))</f>
        <v>БРТ</v>
      </c>
    </row>
    <row r="128" spans="1:15" ht="60" x14ac:dyDescent="0.25">
      <c r="A128" s="120">
        <v>158857</v>
      </c>
      <c r="B128" s="120">
        <v>13137</v>
      </c>
      <c r="C128" s="121" t="s">
        <v>2842</v>
      </c>
      <c r="D128" s="121" t="s">
        <v>2414</v>
      </c>
      <c r="E128" s="121"/>
      <c r="F128" s="121"/>
      <c r="G128" s="121" t="s">
        <v>2</v>
      </c>
      <c r="H128" s="122">
        <v>2750</v>
      </c>
      <c r="I128" s="122">
        <v>3790</v>
      </c>
      <c r="J128" s="121" t="s">
        <v>2523</v>
      </c>
      <c r="K128" s="121" t="s">
        <v>1</v>
      </c>
      <c r="L128" s="121"/>
      <c r="M128" s="121"/>
      <c r="N128" s="103" t="str">
        <f t="shared" si="1"/>
        <v>1</v>
      </c>
      <c r="O128" s="103" t="str">
        <f>INDEX(Кат!$I:$I,MATCH($A128,Кат!$A:$A,0))</f>
        <v>БРТ</v>
      </c>
    </row>
    <row r="129" spans="1:15" ht="60" x14ac:dyDescent="0.25">
      <c r="A129" s="120">
        <v>158860</v>
      </c>
      <c r="B129" s="120">
        <v>13138</v>
      </c>
      <c r="C129" s="121" t="s">
        <v>2843</v>
      </c>
      <c r="D129" s="121" t="s">
        <v>2414</v>
      </c>
      <c r="E129" s="121"/>
      <c r="F129" s="121"/>
      <c r="G129" s="121" t="s">
        <v>2</v>
      </c>
      <c r="H129" s="122">
        <v>2400</v>
      </c>
      <c r="I129" s="122">
        <v>3090</v>
      </c>
      <c r="J129" s="121" t="s">
        <v>2522</v>
      </c>
      <c r="K129" s="121" t="s">
        <v>1</v>
      </c>
      <c r="L129" s="121"/>
      <c r="M129" s="121" t="s">
        <v>2414</v>
      </c>
      <c r="N129" s="103" t="str">
        <f t="shared" si="1"/>
        <v>1</v>
      </c>
      <c r="O129" s="103" t="str">
        <f>INDEX(Кат!$I:$I,MATCH($A129,Кат!$A:$A,0))</f>
        <v>БРТ</v>
      </c>
    </row>
    <row r="130" spans="1:15" ht="45" x14ac:dyDescent="0.25">
      <c r="A130" s="120">
        <v>158859</v>
      </c>
      <c r="B130" s="120">
        <v>24472</v>
      </c>
      <c r="C130" s="121" t="s">
        <v>2844</v>
      </c>
      <c r="D130" s="121" t="s">
        <v>2414</v>
      </c>
      <c r="E130" s="121" t="s">
        <v>2425</v>
      </c>
      <c r="F130" s="121"/>
      <c r="G130" s="121" t="s">
        <v>2</v>
      </c>
      <c r="H130" s="122">
        <v>1300</v>
      </c>
      <c r="I130" s="122">
        <v>1690</v>
      </c>
      <c r="J130" s="121"/>
      <c r="K130" s="121" t="s">
        <v>1</v>
      </c>
      <c r="L130" s="121"/>
      <c r="M130" s="121"/>
      <c r="N130" s="103" t="str">
        <f t="shared" si="1"/>
        <v>1</v>
      </c>
      <c r="O130" s="103" t="str">
        <f>INDEX(Кат!$I:$I,MATCH($A130,Кат!$A:$A,0))</f>
        <v>БРТ</v>
      </c>
    </row>
    <row r="131" spans="1:15" ht="45" x14ac:dyDescent="0.25">
      <c r="A131" s="120">
        <v>158864</v>
      </c>
      <c r="B131" s="120">
        <v>29356</v>
      </c>
      <c r="C131" s="121" t="s">
        <v>187</v>
      </c>
      <c r="D131" s="121" t="s">
        <v>2414</v>
      </c>
      <c r="E131" s="121" t="s">
        <v>2128</v>
      </c>
      <c r="F131" s="121"/>
      <c r="G131" s="121" t="s">
        <v>2</v>
      </c>
      <c r="H131" s="122">
        <v>649</v>
      </c>
      <c r="I131" s="122">
        <v>909</v>
      </c>
      <c r="J131" s="121"/>
      <c r="K131" s="121" t="s">
        <v>1</v>
      </c>
      <c r="L131" s="121"/>
      <c r="M131" s="121"/>
      <c r="N131" s="103" t="str">
        <f t="shared" ref="N131:N194" si="2">_xlfn.CONCAT(K131,IF(L131&lt;&gt;"",_xlfn.CONCAT("ск",L131),""))</f>
        <v>1</v>
      </c>
      <c r="O131" s="103" t="str">
        <f>INDEX(Кат!$I:$I,MATCH($A131,Кат!$A:$A,0))</f>
        <v>БРТ</v>
      </c>
    </row>
    <row r="132" spans="1:15" ht="45" x14ac:dyDescent="0.25">
      <c r="A132" s="120">
        <v>159495</v>
      </c>
      <c r="B132" s="120">
        <v>19716</v>
      </c>
      <c r="C132" s="121" t="s">
        <v>1889</v>
      </c>
      <c r="D132" s="121" t="s">
        <v>2414</v>
      </c>
      <c r="E132" s="121" t="s">
        <v>1890</v>
      </c>
      <c r="F132" s="121" t="s">
        <v>1890</v>
      </c>
      <c r="G132" s="121" t="s">
        <v>2</v>
      </c>
      <c r="H132" s="122">
        <v>190</v>
      </c>
      <c r="I132" s="122">
        <v>329</v>
      </c>
      <c r="J132" s="121"/>
      <c r="K132" s="121" t="s">
        <v>1</v>
      </c>
      <c r="L132" s="121" t="s">
        <v>1824</v>
      </c>
      <c r="M132" s="121"/>
      <c r="N132" s="103" t="str">
        <f t="shared" si="2"/>
        <v>1ск6</v>
      </c>
      <c r="O132" s="103" t="str">
        <f>INDEX(Кат!$I:$I,MATCH($A132,Кат!$A:$A,0))</f>
        <v>БРТ</v>
      </c>
    </row>
    <row r="133" spans="1:15" ht="30" x14ac:dyDescent="0.25">
      <c r="A133" s="120">
        <v>159546</v>
      </c>
      <c r="B133" s="120">
        <v>35481</v>
      </c>
      <c r="C133" s="121" t="s">
        <v>2154</v>
      </c>
      <c r="D133" s="121" t="s">
        <v>2414</v>
      </c>
      <c r="E133" s="121"/>
      <c r="F133" s="121"/>
      <c r="G133" s="121" t="s">
        <v>2</v>
      </c>
      <c r="H133" s="122">
        <v>200</v>
      </c>
      <c r="I133" s="122">
        <v>349</v>
      </c>
      <c r="J133" s="121"/>
      <c r="K133" s="121" t="s">
        <v>1</v>
      </c>
      <c r="L133" s="121"/>
      <c r="M133" s="121"/>
      <c r="N133" s="103" t="str">
        <f t="shared" si="2"/>
        <v>1</v>
      </c>
      <c r="O133" s="103" t="str">
        <f>INDEX(Кат!$I:$I,MATCH($A133,Кат!$A:$A,0))</f>
        <v>БРТ</v>
      </c>
    </row>
    <row r="134" spans="1:15" ht="30" x14ac:dyDescent="0.25">
      <c r="A134" s="120">
        <v>159547</v>
      </c>
      <c r="B134" s="120">
        <v>33043</v>
      </c>
      <c r="C134" s="121" t="s">
        <v>2147</v>
      </c>
      <c r="D134" s="121" t="s">
        <v>2414</v>
      </c>
      <c r="E134" s="121" t="s">
        <v>2148</v>
      </c>
      <c r="F134" s="121"/>
      <c r="G134" s="121" t="s">
        <v>2</v>
      </c>
      <c r="H134" s="122">
        <v>500</v>
      </c>
      <c r="I134" s="122">
        <v>699</v>
      </c>
      <c r="J134" s="121"/>
      <c r="K134" s="121" t="s">
        <v>1</v>
      </c>
      <c r="L134" s="121"/>
      <c r="M134" s="121"/>
      <c r="N134" s="103" t="str">
        <f t="shared" si="2"/>
        <v>1</v>
      </c>
      <c r="O134" s="103" t="str">
        <f>INDEX(Кат!$I:$I,MATCH($A134,Кат!$A:$A,0))</f>
        <v>БРТ</v>
      </c>
    </row>
    <row r="135" spans="1:15" ht="45" x14ac:dyDescent="0.25">
      <c r="A135" s="120">
        <v>159929</v>
      </c>
      <c r="B135" s="120">
        <v>36005</v>
      </c>
      <c r="C135" s="121" t="s">
        <v>1711</v>
      </c>
      <c r="D135" s="121" t="s">
        <v>2414</v>
      </c>
      <c r="E135" s="121"/>
      <c r="F135" s="121"/>
      <c r="G135" s="121" t="s">
        <v>2</v>
      </c>
      <c r="H135" s="122">
        <v>1469</v>
      </c>
      <c r="I135" s="122">
        <v>1990</v>
      </c>
      <c r="J135" s="121" t="s">
        <v>2306</v>
      </c>
      <c r="K135" s="121" t="s">
        <v>1</v>
      </c>
      <c r="L135" s="121"/>
      <c r="M135" s="121"/>
      <c r="N135" s="103" t="str">
        <f t="shared" si="2"/>
        <v>1</v>
      </c>
      <c r="O135" s="103" t="str">
        <f>INDEX(Кат!$I:$I,MATCH($A135,Кат!$A:$A,0))</f>
        <v>БРТ</v>
      </c>
    </row>
    <row r="136" spans="1:15" ht="45" x14ac:dyDescent="0.25">
      <c r="A136" s="120">
        <v>159930</v>
      </c>
      <c r="B136" s="120">
        <v>26166</v>
      </c>
      <c r="C136" s="121" t="s">
        <v>1504</v>
      </c>
      <c r="D136" s="121" t="s">
        <v>2414</v>
      </c>
      <c r="E136" s="121" t="s">
        <v>2426</v>
      </c>
      <c r="F136" s="121"/>
      <c r="G136" s="121" t="s">
        <v>2</v>
      </c>
      <c r="H136" s="122">
        <v>2600</v>
      </c>
      <c r="I136" s="122">
        <v>3390</v>
      </c>
      <c r="J136" s="121"/>
      <c r="K136" s="121" t="s">
        <v>1</v>
      </c>
      <c r="L136" s="121"/>
      <c r="M136" s="121"/>
      <c r="N136" s="103" t="str">
        <f t="shared" si="2"/>
        <v>1</v>
      </c>
      <c r="O136" s="103" t="str">
        <f>INDEX(Кат!$I:$I,MATCH($A136,Кат!$A:$A,0))</f>
        <v>БРТ</v>
      </c>
    </row>
    <row r="137" spans="1:15" ht="45" x14ac:dyDescent="0.25">
      <c r="A137" s="120">
        <v>160570</v>
      </c>
      <c r="B137" s="120">
        <v>35420</v>
      </c>
      <c r="C137" s="121" t="s">
        <v>1617</v>
      </c>
      <c r="D137" s="121" t="s">
        <v>2467</v>
      </c>
      <c r="E137" s="121" t="s">
        <v>935</v>
      </c>
      <c r="F137" s="121" t="s">
        <v>935</v>
      </c>
      <c r="G137" s="121" t="s">
        <v>2</v>
      </c>
      <c r="H137" s="122">
        <v>531.78</v>
      </c>
      <c r="I137" s="122">
        <v>749</v>
      </c>
      <c r="J137" s="121" t="s">
        <v>2611</v>
      </c>
      <c r="K137" s="121" t="s">
        <v>1</v>
      </c>
      <c r="L137" s="121"/>
      <c r="M137" s="121"/>
      <c r="N137" s="103" t="str">
        <f t="shared" si="2"/>
        <v>1</v>
      </c>
      <c r="O137" s="103" t="str">
        <f>INDEX(Кат!$I:$I,MATCH($A137,Кат!$A:$A,0))</f>
        <v>БРТ</v>
      </c>
    </row>
    <row r="138" spans="1:15" ht="45" x14ac:dyDescent="0.25">
      <c r="A138" s="120">
        <v>160641</v>
      </c>
      <c r="B138" s="120">
        <v>19802</v>
      </c>
      <c r="C138" s="121" t="s">
        <v>193</v>
      </c>
      <c r="D138" s="121" t="s">
        <v>2414</v>
      </c>
      <c r="E138" s="121" t="s">
        <v>1897</v>
      </c>
      <c r="F138" s="121"/>
      <c r="G138" s="121" t="s">
        <v>2</v>
      </c>
      <c r="H138" s="122">
        <v>741</v>
      </c>
      <c r="I138" s="122">
        <v>989</v>
      </c>
      <c r="J138" s="121" t="s">
        <v>2545</v>
      </c>
      <c r="K138" s="121" t="s">
        <v>1</v>
      </c>
      <c r="L138" s="121"/>
      <c r="M138" s="121"/>
      <c r="N138" s="103" t="str">
        <f t="shared" si="2"/>
        <v>1</v>
      </c>
      <c r="O138" s="103" t="str">
        <f>INDEX(Кат!$I:$I,MATCH($A138,Кат!$A:$A,0))</f>
        <v>БРТ</v>
      </c>
    </row>
    <row r="139" spans="1:15" ht="45" x14ac:dyDescent="0.25">
      <c r="A139" s="120">
        <v>160714</v>
      </c>
      <c r="B139" s="120">
        <v>19805</v>
      </c>
      <c r="C139" s="121" t="s">
        <v>194</v>
      </c>
      <c r="D139" s="121" t="s">
        <v>2414</v>
      </c>
      <c r="E139" s="121" t="s">
        <v>1901</v>
      </c>
      <c r="F139" s="121"/>
      <c r="G139" s="121" t="s">
        <v>2</v>
      </c>
      <c r="H139" s="122">
        <v>718</v>
      </c>
      <c r="I139" s="122">
        <v>1090</v>
      </c>
      <c r="J139" s="121" t="s">
        <v>2558</v>
      </c>
      <c r="K139" s="121" t="s">
        <v>1</v>
      </c>
      <c r="L139" s="121"/>
      <c r="M139" s="121"/>
      <c r="N139" s="103" t="str">
        <f t="shared" si="2"/>
        <v>1</v>
      </c>
      <c r="O139" s="103" t="str">
        <f>INDEX(Кат!$I:$I,MATCH($A139,Кат!$A:$A,0))</f>
        <v>БРТ</v>
      </c>
    </row>
    <row r="140" spans="1:15" ht="45" x14ac:dyDescent="0.25">
      <c r="A140" s="120">
        <v>160729</v>
      </c>
      <c r="B140" s="120">
        <v>19804</v>
      </c>
      <c r="C140" s="121" t="s">
        <v>195</v>
      </c>
      <c r="D140" s="121" t="s">
        <v>2414</v>
      </c>
      <c r="E140" s="121" t="s">
        <v>1900</v>
      </c>
      <c r="F140" s="121"/>
      <c r="G140" s="121" t="s">
        <v>2</v>
      </c>
      <c r="H140" s="122">
        <v>1203</v>
      </c>
      <c r="I140" s="122">
        <v>1590</v>
      </c>
      <c r="J140" s="121" t="s">
        <v>2504</v>
      </c>
      <c r="K140" s="121" t="s">
        <v>1</v>
      </c>
      <c r="L140" s="121"/>
      <c r="M140" s="121"/>
      <c r="N140" s="103" t="str">
        <f t="shared" si="2"/>
        <v>1</v>
      </c>
      <c r="O140" s="103" t="str">
        <f>INDEX(Кат!$I:$I,MATCH($A140,Кат!$A:$A,0))</f>
        <v>БРТ</v>
      </c>
    </row>
    <row r="141" spans="1:15" ht="45" x14ac:dyDescent="0.25">
      <c r="A141" s="120">
        <v>160750</v>
      </c>
      <c r="B141" s="120">
        <v>20336</v>
      </c>
      <c r="C141" s="121" t="s">
        <v>2427</v>
      </c>
      <c r="D141" s="121" t="s">
        <v>2414</v>
      </c>
      <c r="E141" s="121" t="s">
        <v>1999</v>
      </c>
      <c r="F141" s="121"/>
      <c r="G141" s="121" t="s">
        <v>2</v>
      </c>
      <c r="H141" s="122">
        <v>733</v>
      </c>
      <c r="I141" s="122">
        <v>1090</v>
      </c>
      <c r="J141" s="121" t="s">
        <v>2276</v>
      </c>
      <c r="K141" s="121" t="s">
        <v>1</v>
      </c>
      <c r="L141" s="121"/>
      <c r="M141" s="121"/>
      <c r="N141" s="103" t="str">
        <f t="shared" si="2"/>
        <v>1</v>
      </c>
      <c r="O141" s="103" t="str">
        <f>INDEX(Кат!$I:$I,MATCH($A141,Кат!$A:$A,0))</f>
        <v>БРТ</v>
      </c>
    </row>
    <row r="142" spans="1:15" ht="45" x14ac:dyDescent="0.25">
      <c r="A142" s="120">
        <v>160771</v>
      </c>
      <c r="B142" s="120">
        <v>20307</v>
      </c>
      <c r="C142" s="121" t="s">
        <v>2696</v>
      </c>
      <c r="D142" s="121" t="s">
        <v>2414</v>
      </c>
      <c r="E142" s="121" t="s">
        <v>1988</v>
      </c>
      <c r="F142" s="121"/>
      <c r="G142" s="121" t="s">
        <v>2</v>
      </c>
      <c r="H142" s="122">
        <v>647</v>
      </c>
      <c r="I142" s="122">
        <v>909</v>
      </c>
      <c r="J142" s="121"/>
      <c r="K142" s="121" t="s">
        <v>1</v>
      </c>
      <c r="L142" s="121"/>
      <c r="M142" s="121"/>
      <c r="N142" s="103" t="str">
        <f t="shared" si="2"/>
        <v>1</v>
      </c>
      <c r="O142" s="103" t="str">
        <f>INDEX(Кат!$I:$I,MATCH($A142,Кат!$A:$A,0))</f>
        <v>БРТ</v>
      </c>
    </row>
    <row r="143" spans="1:15" ht="45" x14ac:dyDescent="0.25">
      <c r="A143" s="120">
        <v>160772</v>
      </c>
      <c r="B143" s="120">
        <v>20270</v>
      </c>
      <c r="C143" s="121" t="s">
        <v>90</v>
      </c>
      <c r="D143" s="121" t="s">
        <v>2414</v>
      </c>
      <c r="E143" s="121" t="s">
        <v>227</v>
      </c>
      <c r="F143" s="121"/>
      <c r="G143" s="121" t="s">
        <v>2</v>
      </c>
      <c r="H143" s="122">
        <v>610</v>
      </c>
      <c r="I143" s="122">
        <v>859</v>
      </c>
      <c r="J143" s="121" t="s">
        <v>2562</v>
      </c>
      <c r="K143" s="121" t="s">
        <v>1</v>
      </c>
      <c r="L143" s="121"/>
      <c r="M143" s="121"/>
      <c r="N143" s="103" t="str">
        <f t="shared" si="2"/>
        <v>1</v>
      </c>
      <c r="O143" s="103" t="str">
        <f>INDEX(Кат!$I:$I,MATCH($A143,Кат!$A:$A,0))</f>
        <v>БРТ</v>
      </c>
    </row>
    <row r="144" spans="1:15" ht="45" x14ac:dyDescent="0.25">
      <c r="A144" s="120">
        <v>160773</v>
      </c>
      <c r="B144" s="120">
        <v>20286</v>
      </c>
      <c r="C144" s="121" t="s">
        <v>181</v>
      </c>
      <c r="D144" s="121" t="s">
        <v>2414</v>
      </c>
      <c r="E144" s="121" t="s">
        <v>345</v>
      </c>
      <c r="F144" s="121"/>
      <c r="G144" s="121" t="s">
        <v>2</v>
      </c>
      <c r="H144" s="122">
        <v>532</v>
      </c>
      <c r="I144" s="122">
        <v>699</v>
      </c>
      <c r="J144" s="121" t="s">
        <v>2568</v>
      </c>
      <c r="K144" s="121" t="s">
        <v>1</v>
      </c>
      <c r="L144" s="121"/>
      <c r="M144" s="121"/>
      <c r="N144" s="103" t="str">
        <f t="shared" si="2"/>
        <v>1</v>
      </c>
      <c r="O144" s="103" t="str">
        <f>INDEX(Кат!$I:$I,MATCH($A144,Кат!$A:$A,0))</f>
        <v>БРТ</v>
      </c>
    </row>
    <row r="145" spans="1:15" ht="30" x14ac:dyDescent="0.25">
      <c r="A145" s="120">
        <v>162924</v>
      </c>
      <c r="B145" s="120">
        <v>35417</v>
      </c>
      <c r="C145" s="121" t="s">
        <v>1614</v>
      </c>
      <c r="D145" s="121" t="s">
        <v>2414</v>
      </c>
      <c r="E145" s="121" t="s">
        <v>925</v>
      </c>
      <c r="F145" s="121" t="s">
        <v>925</v>
      </c>
      <c r="G145" s="121" t="s">
        <v>2</v>
      </c>
      <c r="H145" s="122">
        <v>25</v>
      </c>
      <c r="I145" s="122">
        <v>59</v>
      </c>
      <c r="J145" s="121"/>
      <c r="K145" s="121" t="s">
        <v>1</v>
      </c>
      <c r="L145" s="121"/>
      <c r="M145" s="121"/>
      <c r="N145" s="103" t="str">
        <f t="shared" si="2"/>
        <v>1</v>
      </c>
      <c r="O145" s="103" t="str">
        <f>INDEX(Кат!$I:$I,MATCH($A145,Кат!$A:$A,0))</f>
        <v>БРТ</v>
      </c>
    </row>
    <row r="146" spans="1:15" ht="30" x14ac:dyDescent="0.25">
      <c r="A146" s="120">
        <v>162925</v>
      </c>
      <c r="B146" s="120">
        <v>35418</v>
      </c>
      <c r="C146" s="121" t="s">
        <v>1615</v>
      </c>
      <c r="D146" s="121" t="s">
        <v>2414</v>
      </c>
      <c r="E146" s="121" t="s">
        <v>538</v>
      </c>
      <c r="F146" s="121" t="s">
        <v>538</v>
      </c>
      <c r="G146" s="121" t="s">
        <v>2</v>
      </c>
      <c r="H146" s="122">
        <v>51</v>
      </c>
      <c r="I146" s="122">
        <v>109</v>
      </c>
      <c r="J146" s="121"/>
      <c r="K146" s="121" t="s">
        <v>1</v>
      </c>
      <c r="L146" s="121"/>
      <c r="M146" s="121"/>
      <c r="N146" s="103" t="str">
        <f t="shared" si="2"/>
        <v>1</v>
      </c>
      <c r="O146" s="103" t="str">
        <f>INDEX(Кат!$I:$I,MATCH($A146,Кат!$A:$A,0))</f>
        <v>БРТ</v>
      </c>
    </row>
    <row r="147" spans="1:15" ht="30" x14ac:dyDescent="0.25">
      <c r="A147" s="120">
        <v>164206</v>
      </c>
      <c r="B147" s="120">
        <v>20510</v>
      </c>
      <c r="C147" s="121" t="s">
        <v>84</v>
      </c>
      <c r="D147" s="121" t="s">
        <v>2414</v>
      </c>
      <c r="E147" s="121" t="s">
        <v>2428</v>
      </c>
      <c r="F147" s="121"/>
      <c r="G147" s="121" t="s">
        <v>2</v>
      </c>
      <c r="H147" s="122">
        <v>170</v>
      </c>
      <c r="I147" s="122">
        <v>299</v>
      </c>
      <c r="J147" s="121"/>
      <c r="K147" s="121" t="s">
        <v>1</v>
      </c>
      <c r="L147" s="121"/>
      <c r="M147" s="121"/>
      <c r="N147" s="103" t="str">
        <f t="shared" si="2"/>
        <v>1</v>
      </c>
      <c r="O147" s="103" t="str">
        <f>INDEX(Кат!$I:$I,MATCH($A147,Кат!$A:$A,0))</f>
        <v>БРТ</v>
      </c>
    </row>
    <row r="148" spans="1:15" ht="45" x14ac:dyDescent="0.25">
      <c r="A148" s="120">
        <v>164751</v>
      </c>
      <c r="B148" s="120">
        <v>19957</v>
      </c>
      <c r="C148" s="121" t="s">
        <v>28</v>
      </c>
      <c r="D148" s="121" t="s">
        <v>2414</v>
      </c>
      <c r="E148" s="121" t="s">
        <v>301</v>
      </c>
      <c r="F148" s="121"/>
      <c r="G148" s="121" t="s">
        <v>2</v>
      </c>
      <c r="H148" s="122">
        <v>56</v>
      </c>
      <c r="I148" s="122">
        <v>159</v>
      </c>
      <c r="J148" s="121" t="s">
        <v>2630</v>
      </c>
      <c r="K148" s="121" t="s">
        <v>1</v>
      </c>
      <c r="L148" s="121"/>
      <c r="M148" s="121"/>
      <c r="N148" s="103" t="str">
        <f t="shared" si="2"/>
        <v>1</v>
      </c>
      <c r="O148" s="103" t="str">
        <f>INDEX(Кат!$I:$I,MATCH($A148,Кат!$A:$A,0))</f>
        <v>БРТ</v>
      </c>
    </row>
    <row r="149" spans="1:15" ht="45" x14ac:dyDescent="0.25">
      <c r="A149" s="120">
        <v>164793</v>
      </c>
      <c r="B149" s="120">
        <v>20271</v>
      </c>
      <c r="C149" s="121" t="s">
        <v>126</v>
      </c>
      <c r="D149" s="121" t="s">
        <v>2414</v>
      </c>
      <c r="E149" s="121" t="s">
        <v>1964</v>
      </c>
      <c r="F149" s="121"/>
      <c r="G149" s="121" t="s">
        <v>2</v>
      </c>
      <c r="H149" s="122">
        <v>771</v>
      </c>
      <c r="I149" s="122">
        <v>999</v>
      </c>
      <c r="J149" s="121" t="s">
        <v>2512</v>
      </c>
      <c r="K149" s="121" t="s">
        <v>1</v>
      </c>
      <c r="L149" s="121" t="s">
        <v>1823</v>
      </c>
      <c r="M149" s="121"/>
      <c r="N149" s="103" t="str">
        <f t="shared" si="2"/>
        <v>1ск4</v>
      </c>
      <c r="O149" s="103" t="str">
        <f>INDEX(Кат!$I:$I,MATCH($A149,Кат!$A:$A,0))</f>
        <v>БРТ</v>
      </c>
    </row>
    <row r="150" spans="1:15" ht="45" x14ac:dyDescent="0.25">
      <c r="A150" s="120">
        <v>164794</v>
      </c>
      <c r="B150" s="120">
        <v>20299</v>
      </c>
      <c r="C150" s="121" t="s">
        <v>43</v>
      </c>
      <c r="D150" s="121" t="s">
        <v>2414</v>
      </c>
      <c r="E150" s="121" t="s">
        <v>2429</v>
      </c>
      <c r="F150" s="121"/>
      <c r="G150" s="121" t="s">
        <v>2</v>
      </c>
      <c r="H150" s="122">
        <v>1326</v>
      </c>
      <c r="I150" s="122">
        <v>1790</v>
      </c>
      <c r="J150" s="121" t="s">
        <v>2528</v>
      </c>
      <c r="K150" s="121" t="s">
        <v>1</v>
      </c>
      <c r="L150" s="121"/>
      <c r="M150" s="121"/>
      <c r="N150" s="103" t="str">
        <f t="shared" si="2"/>
        <v>1</v>
      </c>
      <c r="O150" s="103" t="str">
        <f>INDEX(Кат!$I:$I,MATCH($A150,Кат!$A:$A,0))</f>
        <v>БРТ</v>
      </c>
    </row>
    <row r="151" spans="1:15" ht="45" x14ac:dyDescent="0.25">
      <c r="A151" s="120">
        <v>165493</v>
      </c>
      <c r="B151" s="120">
        <v>41267</v>
      </c>
      <c r="C151" s="121" t="s">
        <v>2181</v>
      </c>
      <c r="D151" s="121" t="s">
        <v>2414</v>
      </c>
      <c r="E151" s="121" t="s">
        <v>2182</v>
      </c>
      <c r="F151" s="121" t="s">
        <v>2182</v>
      </c>
      <c r="G151" s="121" t="s">
        <v>2</v>
      </c>
      <c r="H151" s="122">
        <v>50</v>
      </c>
      <c r="I151" s="122">
        <v>109</v>
      </c>
      <c r="J151" s="121"/>
      <c r="K151" s="121" t="s">
        <v>1</v>
      </c>
      <c r="L151" s="121"/>
      <c r="M151" s="121"/>
      <c r="N151" s="103" t="str">
        <f t="shared" si="2"/>
        <v>1</v>
      </c>
      <c r="O151" s="103" t="str">
        <f>INDEX(Кат!$I:$I,MATCH($A151,Кат!$A:$A,0))</f>
        <v>БРТ</v>
      </c>
    </row>
    <row r="152" spans="1:15" ht="60" x14ac:dyDescent="0.25">
      <c r="A152" s="120">
        <v>165492</v>
      </c>
      <c r="B152" s="120">
        <v>41271</v>
      </c>
      <c r="C152" s="121" t="s">
        <v>2697</v>
      </c>
      <c r="D152" s="121" t="s">
        <v>2414</v>
      </c>
      <c r="E152" s="121" t="s">
        <v>2183</v>
      </c>
      <c r="F152" s="121" t="s">
        <v>2183</v>
      </c>
      <c r="G152" s="121" t="s">
        <v>2</v>
      </c>
      <c r="H152" s="122">
        <v>15</v>
      </c>
      <c r="I152" s="122">
        <v>59</v>
      </c>
      <c r="J152" s="121" t="s">
        <v>2499</v>
      </c>
      <c r="K152" s="121" t="s">
        <v>1</v>
      </c>
      <c r="L152" s="121" t="s">
        <v>1713</v>
      </c>
      <c r="M152" s="121"/>
      <c r="N152" s="103" t="str">
        <f t="shared" si="2"/>
        <v>1ск2</v>
      </c>
      <c r="O152" s="103" t="str">
        <f>INDEX(Кат!$I:$I,MATCH($A152,Кат!$A:$A,0))</f>
        <v>БРТ</v>
      </c>
    </row>
    <row r="153" spans="1:15" ht="30" x14ac:dyDescent="0.25">
      <c r="A153" s="120">
        <v>167251</v>
      </c>
      <c r="B153" s="120">
        <v>41263</v>
      </c>
      <c r="C153" s="121" t="s">
        <v>2430</v>
      </c>
      <c r="D153" s="121" t="s">
        <v>2414</v>
      </c>
      <c r="E153" s="121" t="s">
        <v>2431</v>
      </c>
      <c r="F153" s="121" t="s">
        <v>2431</v>
      </c>
      <c r="G153" s="121" t="s">
        <v>2</v>
      </c>
      <c r="H153" s="122">
        <v>16</v>
      </c>
      <c r="I153" s="122">
        <v>39</v>
      </c>
      <c r="J153" s="121"/>
      <c r="K153" s="121" t="s">
        <v>1</v>
      </c>
      <c r="L153" s="121" t="s">
        <v>1713</v>
      </c>
      <c r="M153" s="121"/>
      <c r="N153" s="103" t="str">
        <f t="shared" si="2"/>
        <v>1ск2</v>
      </c>
      <c r="O153" s="103" t="str">
        <f>INDEX(Кат!$I:$I,MATCH($A153,Кат!$A:$A,0))</f>
        <v>БРТ</v>
      </c>
    </row>
    <row r="154" spans="1:15" ht="45" x14ac:dyDescent="0.25">
      <c r="A154" s="120">
        <v>167286</v>
      </c>
      <c r="B154" s="120">
        <v>21284</v>
      </c>
      <c r="C154" s="121" t="s">
        <v>185</v>
      </c>
      <c r="D154" s="121" t="s">
        <v>2414</v>
      </c>
      <c r="E154" s="121" t="s">
        <v>2106</v>
      </c>
      <c r="F154" s="121"/>
      <c r="G154" s="121" t="s">
        <v>2</v>
      </c>
      <c r="H154" s="122">
        <v>271</v>
      </c>
      <c r="I154" s="122">
        <v>559</v>
      </c>
      <c r="J154" s="121" t="s">
        <v>2613</v>
      </c>
      <c r="K154" s="121" t="s">
        <v>2418</v>
      </c>
      <c r="L154" s="121"/>
      <c r="M154" s="121"/>
      <c r="N154" s="103" t="str">
        <f t="shared" si="2"/>
        <v>0</v>
      </c>
      <c r="O154" s="103" t="str">
        <f>INDEX(Кат!$I:$I,MATCH($A154,Кат!$A:$A,0))</f>
        <v>БРТ</v>
      </c>
    </row>
    <row r="155" spans="1:15" ht="60" x14ac:dyDescent="0.25">
      <c r="A155" s="120">
        <v>167460</v>
      </c>
      <c r="B155" s="120">
        <v>35638</v>
      </c>
      <c r="C155" s="121" t="s">
        <v>2432</v>
      </c>
      <c r="D155" s="121" t="s">
        <v>2414</v>
      </c>
      <c r="E155" s="121" t="s">
        <v>2433</v>
      </c>
      <c r="F155" s="121" t="s">
        <v>2434</v>
      </c>
      <c r="G155" s="121" t="s">
        <v>2</v>
      </c>
      <c r="H155" s="122">
        <v>8</v>
      </c>
      <c r="I155" s="122">
        <v>19</v>
      </c>
      <c r="J155" s="121"/>
      <c r="K155" s="121" t="s">
        <v>1</v>
      </c>
      <c r="L155" s="121" t="s">
        <v>1713</v>
      </c>
      <c r="M155" s="121"/>
      <c r="N155" s="103" t="str">
        <f t="shared" si="2"/>
        <v>1ск2</v>
      </c>
      <c r="O155" s="103" t="str">
        <f>INDEX(Кат!$I:$I,MATCH($A155,Кат!$A:$A,0))</f>
        <v>БРТ</v>
      </c>
    </row>
    <row r="156" spans="1:15" ht="30" x14ac:dyDescent="0.25">
      <c r="A156" s="120">
        <v>171773</v>
      </c>
      <c r="B156" s="120">
        <v>17711</v>
      </c>
      <c r="C156" s="121" t="s">
        <v>2748</v>
      </c>
      <c r="D156" s="121" t="s">
        <v>2414</v>
      </c>
      <c r="E156" s="121"/>
      <c r="F156" s="121"/>
      <c r="G156" s="121" t="s">
        <v>2</v>
      </c>
      <c r="H156" s="122">
        <v>3150</v>
      </c>
      <c r="I156" s="122">
        <v>4090</v>
      </c>
      <c r="J156" s="121" t="s">
        <v>2517</v>
      </c>
      <c r="K156" s="121" t="s">
        <v>1</v>
      </c>
      <c r="L156" s="121"/>
      <c r="M156" s="121" t="s">
        <v>2414</v>
      </c>
      <c r="N156" s="103" t="str">
        <f t="shared" si="2"/>
        <v>1</v>
      </c>
      <c r="O156" s="103" t="str">
        <f>INDEX(Кат!$I:$I,MATCH($A156,Кат!$A:$A,0))</f>
        <v>БРТ</v>
      </c>
    </row>
    <row r="157" spans="1:15" ht="30" x14ac:dyDescent="0.25">
      <c r="A157" s="120">
        <v>171772</v>
      </c>
      <c r="B157" s="120">
        <v>17834</v>
      </c>
      <c r="C157" s="121" t="s">
        <v>2749</v>
      </c>
      <c r="D157" s="121" t="s">
        <v>2414</v>
      </c>
      <c r="E157" s="121"/>
      <c r="F157" s="121"/>
      <c r="G157" s="121" t="s">
        <v>2</v>
      </c>
      <c r="H157" s="122">
        <v>3150</v>
      </c>
      <c r="I157" s="122">
        <v>4090</v>
      </c>
      <c r="J157" s="121" t="s">
        <v>2518</v>
      </c>
      <c r="K157" s="121" t="s">
        <v>1</v>
      </c>
      <c r="L157" s="121"/>
      <c r="M157" s="121" t="s">
        <v>2414</v>
      </c>
      <c r="N157" s="103" t="str">
        <f t="shared" si="2"/>
        <v>1</v>
      </c>
      <c r="O157" s="103" t="str">
        <f>INDEX(Кат!$I:$I,MATCH($A157,Кат!$A:$A,0))</f>
        <v>БРТ</v>
      </c>
    </row>
    <row r="158" spans="1:15" ht="30" x14ac:dyDescent="0.25">
      <c r="A158" s="120">
        <v>180515</v>
      </c>
      <c r="B158" s="120">
        <v>19824</v>
      </c>
      <c r="C158" s="121" t="s">
        <v>7</v>
      </c>
      <c r="D158" s="121" t="s">
        <v>2414</v>
      </c>
      <c r="E158" s="121" t="s">
        <v>630</v>
      </c>
      <c r="F158" s="121"/>
      <c r="G158" s="121" t="s">
        <v>2</v>
      </c>
      <c r="H158" s="122">
        <v>115</v>
      </c>
      <c r="I158" s="122">
        <v>199</v>
      </c>
      <c r="J158" s="121"/>
      <c r="K158" s="121" t="s">
        <v>1</v>
      </c>
      <c r="L158" s="121"/>
      <c r="M158" s="121"/>
      <c r="N158" s="103" t="str">
        <f t="shared" si="2"/>
        <v>1</v>
      </c>
      <c r="O158" s="103" t="str">
        <f>INDEX(Кат!$I:$I,MATCH($A158,Кат!$A:$A,0))</f>
        <v>БРТ</v>
      </c>
    </row>
    <row r="159" spans="1:15" ht="30" x14ac:dyDescent="0.25">
      <c r="A159" s="120">
        <v>180516</v>
      </c>
      <c r="B159" s="120">
        <v>19822</v>
      </c>
      <c r="C159" s="121" t="s">
        <v>5</v>
      </c>
      <c r="D159" s="121" t="s">
        <v>2414</v>
      </c>
      <c r="E159" s="121" t="s">
        <v>629</v>
      </c>
      <c r="F159" s="121"/>
      <c r="G159" s="121" t="s">
        <v>2</v>
      </c>
      <c r="H159" s="122">
        <v>120</v>
      </c>
      <c r="I159" s="122">
        <v>209</v>
      </c>
      <c r="J159" s="121"/>
      <c r="K159" s="121" t="s">
        <v>1</v>
      </c>
      <c r="L159" s="121"/>
      <c r="M159" s="121"/>
      <c r="N159" s="103" t="str">
        <f t="shared" si="2"/>
        <v>1</v>
      </c>
      <c r="O159" s="103" t="str">
        <f>INDEX(Кат!$I:$I,MATCH($A159,Кат!$A:$A,0))</f>
        <v>БРТ</v>
      </c>
    </row>
    <row r="160" spans="1:15" ht="30" x14ac:dyDescent="0.25">
      <c r="A160" s="120">
        <v>180517</v>
      </c>
      <c r="B160" s="120">
        <v>19821</v>
      </c>
      <c r="C160" s="121" t="s">
        <v>4</v>
      </c>
      <c r="D160" s="121" t="s">
        <v>2414</v>
      </c>
      <c r="E160" s="121" t="s">
        <v>628</v>
      </c>
      <c r="F160" s="121"/>
      <c r="G160" s="121" t="s">
        <v>2</v>
      </c>
      <c r="H160" s="122">
        <v>0</v>
      </c>
      <c r="I160" s="122">
        <v>989</v>
      </c>
      <c r="J160" s="121"/>
      <c r="K160" s="121" t="s">
        <v>1</v>
      </c>
      <c r="L160" s="121"/>
      <c r="M160" s="121"/>
      <c r="N160" s="103" t="str">
        <f t="shared" si="2"/>
        <v>1</v>
      </c>
      <c r="O160" s="103" t="str">
        <f>INDEX(Кат!$I:$I,MATCH($A160,Кат!$A:$A,0))</f>
        <v>БРТ</v>
      </c>
    </row>
    <row r="161" spans="1:15" ht="45" x14ac:dyDescent="0.25">
      <c r="A161" s="120">
        <v>180669</v>
      </c>
      <c r="B161" s="120">
        <v>35372</v>
      </c>
      <c r="C161" s="121" t="s">
        <v>1588</v>
      </c>
      <c r="D161" s="121" t="s">
        <v>2414</v>
      </c>
      <c r="E161" s="121" t="s">
        <v>245</v>
      </c>
      <c r="F161" s="121" t="s">
        <v>245</v>
      </c>
      <c r="G161" s="121" t="s">
        <v>2</v>
      </c>
      <c r="H161" s="122">
        <v>273</v>
      </c>
      <c r="I161" s="122">
        <v>619</v>
      </c>
      <c r="J161" s="121" t="s">
        <v>2616</v>
      </c>
      <c r="K161" s="121" t="s">
        <v>1</v>
      </c>
      <c r="L161" s="121"/>
      <c r="M161" s="121"/>
      <c r="N161" s="103" t="str">
        <f t="shared" si="2"/>
        <v>1</v>
      </c>
      <c r="O161" s="103" t="str">
        <f>INDEX(Кат!$I:$I,MATCH($A161,Кат!$A:$A,0))</f>
        <v>БРТ</v>
      </c>
    </row>
    <row r="162" spans="1:15" ht="45" x14ac:dyDescent="0.25">
      <c r="A162" s="120">
        <v>180670</v>
      </c>
      <c r="B162" s="120">
        <v>35375</v>
      </c>
      <c r="C162" s="121" t="s">
        <v>1590</v>
      </c>
      <c r="D162" s="121" t="s">
        <v>2414</v>
      </c>
      <c r="E162" s="121" t="s">
        <v>865</v>
      </c>
      <c r="F162" s="121" t="s">
        <v>865</v>
      </c>
      <c r="G162" s="121" t="s">
        <v>2</v>
      </c>
      <c r="H162" s="122">
        <v>185</v>
      </c>
      <c r="I162" s="122">
        <v>319</v>
      </c>
      <c r="J162" s="121"/>
      <c r="K162" s="121" t="s">
        <v>1</v>
      </c>
      <c r="L162" s="121"/>
      <c r="M162" s="121"/>
      <c r="N162" s="103" t="str">
        <f t="shared" si="2"/>
        <v>1</v>
      </c>
      <c r="O162" s="103" t="str">
        <f>INDEX(Кат!$I:$I,MATCH($A162,Кат!$A:$A,0))</f>
        <v>БРТ</v>
      </c>
    </row>
    <row r="163" spans="1:15" ht="45" x14ac:dyDescent="0.25">
      <c r="A163" s="120">
        <v>180671</v>
      </c>
      <c r="B163" s="120">
        <v>35373</v>
      </c>
      <c r="C163" s="121" t="s">
        <v>1589</v>
      </c>
      <c r="D163" s="121" t="s">
        <v>2414</v>
      </c>
      <c r="E163" s="121" t="s">
        <v>386</v>
      </c>
      <c r="F163" s="121" t="s">
        <v>386</v>
      </c>
      <c r="G163" s="121" t="s">
        <v>2</v>
      </c>
      <c r="H163" s="122">
        <v>240</v>
      </c>
      <c r="I163" s="122">
        <v>419</v>
      </c>
      <c r="J163" s="121"/>
      <c r="K163" s="121" t="s">
        <v>1</v>
      </c>
      <c r="L163" s="121"/>
      <c r="M163" s="121"/>
      <c r="N163" s="103" t="str">
        <f t="shared" si="2"/>
        <v>1</v>
      </c>
      <c r="O163" s="103" t="str">
        <f>INDEX(Кат!$I:$I,MATCH($A163,Кат!$A:$A,0))</f>
        <v>БРТ</v>
      </c>
    </row>
    <row r="164" spans="1:15" ht="45" x14ac:dyDescent="0.25">
      <c r="A164" s="120">
        <v>180978</v>
      </c>
      <c r="B164" s="120">
        <v>20329</v>
      </c>
      <c r="C164" s="121" t="s">
        <v>158</v>
      </c>
      <c r="D164" s="121" t="s">
        <v>2414</v>
      </c>
      <c r="E164" s="121" t="s">
        <v>222</v>
      </c>
      <c r="F164" s="121"/>
      <c r="G164" s="121" t="s">
        <v>2</v>
      </c>
      <c r="H164" s="122">
        <v>1064</v>
      </c>
      <c r="I164" s="122">
        <v>1390</v>
      </c>
      <c r="J164" s="121" t="s">
        <v>2503</v>
      </c>
      <c r="K164" s="121" t="s">
        <v>1</v>
      </c>
      <c r="L164" s="121"/>
      <c r="M164" s="121"/>
      <c r="N164" s="103" t="str">
        <f t="shared" si="2"/>
        <v>1</v>
      </c>
      <c r="O164" s="103" t="str">
        <f>INDEX(Кат!$I:$I,MATCH($A164,Кат!$A:$A,0))</f>
        <v>БРТ</v>
      </c>
    </row>
    <row r="165" spans="1:15" ht="45" x14ac:dyDescent="0.25">
      <c r="A165" s="120">
        <v>181310</v>
      </c>
      <c r="B165" s="120">
        <v>12437</v>
      </c>
      <c r="C165" s="121" t="s">
        <v>2238</v>
      </c>
      <c r="D165" s="121" t="s">
        <v>2414</v>
      </c>
      <c r="E165" s="121"/>
      <c r="F165" s="121"/>
      <c r="G165" s="121" t="s">
        <v>2</v>
      </c>
      <c r="H165" s="122">
        <v>470</v>
      </c>
      <c r="I165" s="122">
        <v>709</v>
      </c>
      <c r="J165" s="121" t="s">
        <v>2610</v>
      </c>
      <c r="K165" s="121" t="s">
        <v>1</v>
      </c>
      <c r="L165" s="121"/>
      <c r="M165" s="121"/>
      <c r="N165" s="103" t="str">
        <f t="shared" si="2"/>
        <v>1</v>
      </c>
      <c r="O165" s="103" t="str">
        <f>INDEX(Кат!$I:$I,MATCH($A165,Кат!$A:$A,0))</f>
        <v>БРТ</v>
      </c>
    </row>
    <row r="166" spans="1:15" ht="45" x14ac:dyDescent="0.25">
      <c r="A166" s="120">
        <v>181311</v>
      </c>
      <c r="B166" s="120">
        <v>20518</v>
      </c>
      <c r="C166" s="121" t="s">
        <v>2254</v>
      </c>
      <c r="D166" s="121" t="s">
        <v>2414</v>
      </c>
      <c r="E166" s="121" t="s">
        <v>229</v>
      </c>
      <c r="F166" s="121"/>
      <c r="G166" s="121" t="s">
        <v>2</v>
      </c>
      <c r="H166" s="122">
        <v>60</v>
      </c>
      <c r="I166" s="122">
        <v>239</v>
      </c>
      <c r="J166" s="121" t="s">
        <v>2635</v>
      </c>
      <c r="K166" s="121" t="s">
        <v>1</v>
      </c>
      <c r="L166" s="121"/>
      <c r="M166" s="121"/>
      <c r="N166" s="103" t="str">
        <f t="shared" si="2"/>
        <v>1</v>
      </c>
      <c r="O166" s="103" t="str">
        <f>INDEX(Кат!$I:$I,MATCH($A166,Кат!$A:$A,0))</f>
        <v>БРТ</v>
      </c>
    </row>
    <row r="167" spans="1:15" ht="45" x14ac:dyDescent="0.25">
      <c r="A167" s="120">
        <v>181332</v>
      </c>
      <c r="B167" s="120">
        <v>12435</v>
      </c>
      <c r="C167" s="121" t="s">
        <v>2435</v>
      </c>
      <c r="D167" s="121" t="s">
        <v>2414</v>
      </c>
      <c r="E167" s="121"/>
      <c r="F167" s="121"/>
      <c r="G167" s="121" t="s">
        <v>2</v>
      </c>
      <c r="H167" s="122">
        <v>650</v>
      </c>
      <c r="I167" s="122">
        <v>909</v>
      </c>
      <c r="J167" s="121" t="s">
        <v>2511</v>
      </c>
      <c r="K167" s="121" t="s">
        <v>1</v>
      </c>
      <c r="L167" s="121"/>
      <c r="M167" s="121"/>
      <c r="N167" s="103" t="str">
        <f t="shared" si="2"/>
        <v>1</v>
      </c>
      <c r="O167" s="103" t="str">
        <f>INDEX(Кат!$I:$I,MATCH($A167,Кат!$A:$A,0))</f>
        <v>БРТ</v>
      </c>
    </row>
    <row r="168" spans="1:15" ht="45" x14ac:dyDescent="0.25">
      <c r="A168" s="120">
        <v>181333</v>
      </c>
      <c r="B168" s="120">
        <v>12590</v>
      </c>
      <c r="C168" s="121" t="s">
        <v>2240</v>
      </c>
      <c r="D168" s="121" t="s">
        <v>2414</v>
      </c>
      <c r="E168" s="121"/>
      <c r="F168" s="121"/>
      <c r="G168" s="121" t="s">
        <v>2</v>
      </c>
      <c r="H168" s="122">
        <v>877</v>
      </c>
      <c r="I168" s="122">
        <v>1390</v>
      </c>
      <c r="J168" s="121" t="s">
        <v>2505</v>
      </c>
      <c r="K168" s="121" t="s">
        <v>1</v>
      </c>
      <c r="L168" s="121"/>
      <c r="M168" s="121"/>
      <c r="N168" s="103" t="str">
        <f t="shared" si="2"/>
        <v>1</v>
      </c>
      <c r="O168" s="103" t="str">
        <f>INDEX(Кат!$I:$I,MATCH($A168,Кат!$A:$A,0))</f>
        <v>БРТ</v>
      </c>
    </row>
    <row r="169" spans="1:15" ht="30" x14ac:dyDescent="0.25">
      <c r="A169" s="120">
        <v>181546</v>
      </c>
      <c r="B169" s="120">
        <v>35433</v>
      </c>
      <c r="C169" s="121" t="s">
        <v>1622</v>
      </c>
      <c r="D169" s="121" t="s">
        <v>2414</v>
      </c>
      <c r="E169" s="121" t="s">
        <v>479</v>
      </c>
      <c r="F169" s="121" t="s">
        <v>479</v>
      </c>
      <c r="G169" s="121" t="s">
        <v>2</v>
      </c>
      <c r="H169" s="122">
        <v>373</v>
      </c>
      <c r="I169" s="122">
        <v>619</v>
      </c>
      <c r="J169" s="121" t="s">
        <v>2594</v>
      </c>
      <c r="K169" s="121" t="s">
        <v>1</v>
      </c>
      <c r="L169" s="121"/>
      <c r="M169" s="121"/>
      <c r="N169" s="103" t="str">
        <f t="shared" si="2"/>
        <v>1</v>
      </c>
      <c r="O169" s="103" t="str">
        <f>INDEX(Кат!$I:$I,MATCH($A169,Кат!$A:$A,0))</f>
        <v>БРТ</v>
      </c>
    </row>
    <row r="170" spans="1:15" ht="90" x14ac:dyDescent="0.25">
      <c r="A170" s="120">
        <v>181547</v>
      </c>
      <c r="B170" s="120">
        <v>30645</v>
      </c>
      <c r="C170" s="121" t="s">
        <v>2258</v>
      </c>
      <c r="D170" s="121" t="s">
        <v>2414</v>
      </c>
      <c r="E170" s="121" t="s">
        <v>425</v>
      </c>
      <c r="F170" s="121"/>
      <c r="G170" s="121" t="s">
        <v>2</v>
      </c>
      <c r="H170" s="122">
        <v>25</v>
      </c>
      <c r="I170" s="122">
        <v>89</v>
      </c>
      <c r="J170" s="121" t="s">
        <v>2642</v>
      </c>
      <c r="K170" s="121" t="s">
        <v>1</v>
      </c>
      <c r="L170" s="121"/>
      <c r="M170" s="121"/>
      <c r="N170" s="103" t="str">
        <f t="shared" si="2"/>
        <v>1</v>
      </c>
      <c r="O170" s="103" t="str">
        <f>INDEX(Кат!$I:$I,MATCH($A170,Кат!$A:$A,0))</f>
        <v>БРТ</v>
      </c>
    </row>
    <row r="171" spans="1:15" ht="45" x14ac:dyDescent="0.25">
      <c r="A171" s="120">
        <v>181548</v>
      </c>
      <c r="B171" s="120">
        <v>35430</v>
      </c>
      <c r="C171" s="121" t="s">
        <v>2698</v>
      </c>
      <c r="D171" s="121" t="s">
        <v>2467</v>
      </c>
      <c r="E171" s="121" t="s">
        <v>956</v>
      </c>
      <c r="F171" s="121" t="s">
        <v>956</v>
      </c>
      <c r="G171" s="121" t="s">
        <v>2</v>
      </c>
      <c r="H171" s="122">
        <v>330</v>
      </c>
      <c r="I171" s="122">
        <v>719</v>
      </c>
      <c r="J171" s="121" t="s">
        <v>2552</v>
      </c>
      <c r="K171" s="121" t="s">
        <v>1</v>
      </c>
      <c r="L171" s="121"/>
      <c r="M171" s="121"/>
      <c r="N171" s="103" t="str">
        <f t="shared" si="2"/>
        <v>1</v>
      </c>
      <c r="O171" s="103" t="str">
        <f>INDEX(Кат!$I:$I,MATCH($A171,Кат!$A:$A,0))</f>
        <v>БРТ</v>
      </c>
    </row>
    <row r="172" spans="1:15" ht="45" x14ac:dyDescent="0.25">
      <c r="A172" s="120">
        <v>181549</v>
      </c>
      <c r="B172" s="120">
        <v>35431</v>
      </c>
      <c r="C172" s="121" t="s">
        <v>2699</v>
      </c>
      <c r="D172" s="121" t="s">
        <v>2414</v>
      </c>
      <c r="E172" s="121" t="s">
        <v>221</v>
      </c>
      <c r="F172" s="121" t="s">
        <v>221</v>
      </c>
      <c r="G172" s="121" t="s">
        <v>2</v>
      </c>
      <c r="H172" s="122">
        <v>633</v>
      </c>
      <c r="I172" s="122">
        <v>1390</v>
      </c>
      <c r="J172" s="121" t="s">
        <v>2503</v>
      </c>
      <c r="K172" s="121" t="s">
        <v>2418</v>
      </c>
      <c r="L172" s="121"/>
      <c r="M172" s="121"/>
      <c r="N172" s="103" t="str">
        <f t="shared" si="2"/>
        <v>0</v>
      </c>
      <c r="O172" s="103" t="str">
        <f>INDEX(Кат!$I:$I,MATCH($A172,Кат!$A:$A,0))</f>
        <v>БРТ</v>
      </c>
    </row>
    <row r="173" spans="1:15" ht="45" x14ac:dyDescent="0.25">
      <c r="A173" s="120">
        <v>181550</v>
      </c>
      <c r="B173" s="120">
        <v>35450</v>
      </c>
      <c r="C173" s="121" t="s">
        <v>1631</v>
      </c>
      <c r="D173" s="121" t="s">
        <v>2414</v>
      </c>
      <c r="E173" s="121" t="s">
        <v>501</v>
      </c>
      <c r="F173" s="121" t="s">
        <v>501</v>
      </c>
      <c r="G173" s="121" t="s">
        <v>2</v>
      </c>
      <c r="H173" s="122">
        <v>256</v>
      </c>
      <c r="I173" s="122">
        <v>449</v>
      </c>
      <c r="J173" s="121"/>
      <c r="K173" s="121" t="s">
        <v>1</v>
      </c>
      <c r="L173" s="121"/>
      <c r="M173" s="121"/>
      <c r="N173" s="103" t="str">
        <f t="shared" si="2"/>
        <v>1</v>
      </c>
      <c r="O173" s="103" t="str">
        <f>INDEX(Кат!$I:$I,MATCH($A173,Кат!$A:$A,0))</f>
        <v>БРТ</v>
      </c>
    </row>
    <row r="174" spans="1:15" ht="45" x14ac:dyDescent="0.25">
      <c r="A174" s="120">
        <v>181700</v>
      </c>
      <c r="B174" s="120">
        <v>20335</v>
      </c>
      <c r="C174" s="121" t="s">
        <v>2700</v>
      </c>
      <c r="D174" s="121" t="s">
        <v>2414</v>
      </c>
      <c r="E174" s="121" t="s">
        <v>394</v>
      </c>
      <c r="F174" s="121"/>
      <c r="G174" s="121" t="s">
        <v>2</v>
      </c>
      <c r="H174" s="122">
        <v>651</v>
      </c>
      <c r="I174" s="122">
        <v>909</v>
      </c>
      <c r="J174" s="121" t="s">
        <v>2552</v>
      </c>
      <c r="K174" s="121" t="s">
        <v>1</v>
      </c>
      <c r="L174" s="121"/>
      <c r="M174" s="121"/>
      <c r="N174" s="103" t="str">
        <f t="shared" si="2"/>
        <v>1</v>
      </c>
      <c r="O174" s="103" t="str">
        <f>INDEX(Кат!$I:$I,MATCH($A174,Кат!$A:$A,0))</f>
        <v>БРТ</v>
      </c>
    </row>
    <row r="175" spans="1:15" ht="30" x14ac:dyDescent="0.25">
      <c r="A175" s="120">
        <v>181553</v>
      </c>
      <c r="B175" s="120">
        <v>35595</v>
      </c>
      <c r="C175" s="121" t="s">
        <v>1702</v>
      </c>
      <c r="D175" s="121" t="s">
        <v>2414</v>
      </c>
      <c r="E175" s="121" t="s">
        <v>579</v>
      </c>
      <c r="F175" s="121" t="s">
        <v>579</v>
      </c>
      <c r="G175" s="121" t="s">
        <v>2</v>
      </c>
      <c r="H175" s="122">
        <v>420</v>
      </c>
      <c r="I175" s="122">
        <v>639</v>
      </c>
      <c r="J175" s="121"/>
      <c r="K175" s="121" t="s">
        <v>1</v>
      </c>
      <c r="L175" s="121"/>
      <c r="M175" s="121"/>
      <c r="N175" s="103" t="str">
        <f t="shared" si="2"/>
        <v>1</v>
      </c>
      <c r="O175" s="103" t="str">
        <f>INDEX(Кат!$I:$I,MATCH($A175,Кат!$A:$A,0))</f>
        <v>БРТ</v>
      </c>
    </row>
    <row r="176" spans="1:15" ht="45" x14ac:dyDescent="0.25">
      <c r="A176" s="120">
        <v>268256</v>
      </c>
      <c r="B176" s="120">
        <v>217714</v>
      </c>
      <c r="C176" s="121" t="s">
        <v>2436</v>
      </c>
      <c r="D176" s="121" t="s">
        <v>2414</v>
      </c>
      <c r="E176" s="121" t="s">
        <v>2701</v>
      </c>
      <c r="F176" s="121"/>
      <c r="G176" s="121" t="s">
        <v>2</v>
      </c>
      <c r="H176" s="122">
        <v>780</v>
      </c>
      <c r="I176" s="122">
        <v>1090</v>
      </c>
      <c r="J176" s="121" t="s">
        <v>2516</v>
      </c>
      <c r="K176" s="121" t="s">
        <v>1</v>
      </c>
      <c r="L176" s="121" t="s">
        <v>1823</v>
      </c>
      <c r="M176" s="121"/>
      <c r="N176" s="103" t="str">
        <f t="shared" si="2"/>
        <v>1ск4</v>
      </c>
      <c r="O176" s="103" t="str">
        <f>INDEX(Кат!$I:$I,MATCH($A176,Кат!$A:$A,0))</f>
        <v>БРТ</v>
      </c>
    </row>
    <row r="177" spans="1:15" ht="45" x14ac:dyDescent="0.25">
      <c r="A177" s="120">
        <v>181559</v>
      </c>
      <c r="B177" s="120">
        <v>20268</v>
      </c>
      <c r="C177" s="121" t="s">
        <v>35</v>
      </c>
      <c r="D177" s="121" t="s">
        <v>2414</v>
      </c>
      <c r="E177" s="121" t="s">
        <v>1962</v>
      </c>
      <c r="F177" s="121"/>
      <c r="G177" s="121" t="s">
        <v>2</v>
      </c>
      <c r="H177" s="122">
        <v>1407</v>
      </c>
      <c r="I177" s="122">
        <v>1890</v>
      </c>
      <c r="J177" s="121" t="s">
        <v>2527</v>
      </c>
      <c r="K177" s="121" t="s">
        <v>1</v>
      </c>
      <c r="L177" s="121"/>
      <c r="M177" s="121"/>
      <c r="N177" s="103" t="str">
        <f t="shared" si="2"/>
        <v>1</v>
      </c>
      <c r="O177" s="103" t="str">
        <f>INDEX(Кат!$I:$I,MATCH($A177,Кат!$A:$A,0))</f>
        <v>БРТ</v>
      </c>
    </row>
    <row r="178" spans="1:15" ht="45" x14ac:dyDescent="0.25">
      <c r="A178" s="120">
        <v>181560</v>
      </c>
      <c r="B178" s="120">
        <v>20301</v>
      </c>
      <c r="C178" s="121" t="s">
        <v>44</v>
      </c>
      <c r="D178" s="121" t="s">
        <v>2414</v>
      </c>
      <c r="E178" s="121" t="s">
        <v>1982</v>
      </c>
      <c r="F178" s="121"/>
      <c r="G178" s="121" t="s">
        <v>2</v>
      </c>
      <c r="H178" s="122">
        <v>1455</v>
      </c>
      <c r="I178" s="122">
        <v>1890</v>
      </c>
      <c r="J178" s="121"/>
      <c r="K178" s="121" t="s">
        <v>1</v>
      </c>
      <c r="L178" s="121"/>
      <c r="M178" s="121"/>
      <c r="N178" s="103" t="str">
        <f t="shared" si="2"/>
        <v>1</v>
      </c>
      <c r="O178" s="103" t="str">
        <f>INDEX(Кат!$I:$I,MATCH($A178,Кат!$A:$A,0))</f>
        <v>БРТ</v>
      </c>
    </row>
    <row r="179" spans="1:15" ht="45" x14ac:dyDescent="0.25">
      <c r="A179" s="120">
        <v>181561</v>
      </c>
      <c r="B179" s="120">
        <v>20290</v>
      </c>
      <c r="C179" s="121" t="s">
        <v>39</v>
      </c>
      <c r="D179" s="121" t="s">
        <v>2414</v>
      </c>
      <c r="E179" s="121" t="s">
        <v>1973</v>
      </c>
      <c r="F179" s="121"/>
      <c r="G179" s="121" t="s">
        <v>2</v>
      </c>
      <c r="H179" s="122">
        <v>1408</v>
      </c>
      <c r="I179" s="122">
        <v>1890</v>
      </c>
      <c r="J179" s="121" t="s">
        <v>2269</v>
      </c>
      <c r="K179" s="121" t="s">
        <v>1</v>
      </c>
      <c r="L179" s="121"/>
      <c r="M179" s="121"/>
      <c r="N179" s="103" t="str">
        <f t="shared" si="2"/>
        <v>1</v>
      </c>
      <c r="O179" s="103" t="str">
        <f>INDEX(Кат!$I:$I,MATCH($A179,Кат!$A:$A,0))</f>
        <v>БРТ</v>
      </c>
    </row>
    <row r="180" spans="1:15" ht="45" x14ac:dyDescent="0.25">
      <c r="A180" s="120">
        <v>181576</v>
      </c>
      <c r="B180" s="120">
        <v>20303</v>
      </c>
      <c r="C180" s="121" t="s">
        <v>1983</v>
      </c>
      <c r="D180" s="121" t="s">
        <v>2414</v>
      </c>
      <c r="E180" s="121" t="s">
        <v>1984</v>
      </c>
      <c r="F180" s="121"/>
      <c r="G180" s="121" t="s">
        <v>2</v>
      </c>
      <c r="H180" s="122">
        <v>578</v>
      </c>
      <c r="I180" s="122">
        <v>809</v>
      </c>
      <c r="J180" s="121"/>
      <c r="K180" s="121" t="s">
        <v>1</v>
      </c>
      <c r="L180" s="121" t="s">
        <v>1823</v>
      </c>
      <c r="M180" s="121"/>
      <c r="N180" s="103" t="str">
        <f t="shared" si="2"/>
        <v>1ск4</v>
      </c>
      <c r="O180" s="103" t="str">
        <f>INDEX(Кат!$I:$I,MATCH($A180,Кат!$A:$A,0))</f>
        <v>БРТ</v>
      </c>
    </row>
    <row r="181" spans="1:15" ht="45" x14ac:dyDescent="0.25">
      <c r="A181" s="120">
        <v>181577</v>
      </c>
      <c r="B181" s="120">
        <v>20285</v>
      </c>
      <c r="C181" s="121" t="s">
        <v>38</v>
      </c>
      <c r="D181" s="121" t="s">
        <v>2414</v>
      </c>
      <c r="E181" s="121" t="s">
        <v>1969</v>
      </c>
      <c r="F181" s="121"/>
      <c r="G181" s="121" t="s">
        <v>2</v>
      </c>
      <c r="H181" s="122">
        <v>1200</v>
      </c>
      <c r="I181" s="122">
        <v>1590</v>
      </c>
      <c r="J181" s="121"/>
      <c r="K181" s="121" t="s">
        <v>1</v>
      </c>
      <c r="L181" s="121"/>
      <c r="M181" s="121"/>
      <c r="N181" s="103" t="str">
        <f t="shared" si="2"/>
        <v>1</v>
      </c>
      <c r="O181" s="103" t="str">
        <f>INDEX(Кат!$I:$I,MATCH($A181,Кат!$A:$A,0))</f>
        <v>БРТ</v>
      </c>
    </row>
    <row r="182" spans="1:15" ht="30" x14ac:dyDescent="0.25">
      <c r="A182" s="120">
        <v>181597</v>
      </c>
      <c r="B182" s="120">
        <v>35468</v>
      </c>
      <c r="C182" s="121" t="s">
        <v>2437</v>
      </c>
      <c r="D182" s="121" t="s">
        <v>2414</v>
      </c>
      <c r="E182" s="121" t="s">
        <v>212</v>
      </c>
      <c r="F182" s="121" t="s">
        <v>212</v>
      </c>
      <c r="G182" s="121" t="s">
        <v>2</v>
      </c>
      <c r="H182" s="122">
        <v>1130</v>
      </c>
      <c r="I182" s="122">
        <v>1890</v>
      </c>
      <c r="J182" s="121" t="s">
        <v>2275</v>
      </c>
      <c r="K182" s="121" t="s">
        <v>1</v>
      </c>
      <c r="L182" s="121"/>
      <c r="M182" s="121"/>
      <c r="N182" s="103" t="str">
        <f t="shared" si="2"/>
        <v>1</v>
      </c>
      <c r="O182" s="103" t="str">
        <f>INDEX(Кат!$I:$I,MATCH($A182,Кат!$A:$A,0))</f>
        <v>БРТ</v>
      </c>
    </row>
    <row r="183" spans="1:15" ht="30" x14ac:dyDescent="0.25">
      <c r="A183" s="120">
        <v>181599</v>
      </c>
      <c r="B183" s="120">
        <v>35428</v>
      </c>
      <c r="C183" s="121" t="s">
        <v>1621</v>
      </c>
      <c r="D183" s="121" t="s">
        <v>2414</v>
      </c>
      <c r="E183" s="121" t="s">
        <v>953</v>
      </c>
      <c r="F183" s="121" t="s">
        <v>953</v>
      </c>
      <c r="G183" s="121" t="s">
        <v>2</v>
      </c>
      <c r="H183" s="122">
        <v>462</v>
      </c>
      <c r="I183" s="122">
        <v>699</v>
      </c>
      <c r="J183" s="121"/>
      <c r="K183" s="121" t="s">
        <v>1</v>
      </c>
      <c r="L183" s="121"/>
      <c r="M183" s="121"/>
      <c r="N183" s="103" t="str">
        <f t="shared" si="2"/>
        <v>1</v>
      </c>
      <c r="O183" s="103" t="str">
        <f>INDEX(Кат!$I:$I,MATCH($A183,Кат!$A:$A,0))</f>
        <v>БРТ</v>
      </c>
    </row>
    <row r="184" spans="1:15" ht="45" x14ac:dyDescent="0.25">
      <c r="A184" s="120">
        <v>181600</v>
      </c>
      <c r="B184" s="120">
        <v>35422</v>
      </c>
      <c r="C184" s="121" t="s">
        <v>1618</v>
      </c>
      <c r="D184" s="121" t="s">
        <v>2414</v>
      </c>
      <c r="E184" s="121" t="s">
        <v>944</v>
      </c>
      <c r="F184" s="121" t="s">
        <v>944</v>
      </c>
      <c r="G184" s="121" t="s">
        <v>2</v>
      </c>
      <c r="H184" s="122">
        <v>468</v>
      </c>
      <c r="I184" s="122">
        <v>709</v>
      </c>
      <c r="J184" s="121"/>
      <c r="K184" s="121" t="s">
        <v>2418</v>
      </c>
      <c r="L184" s="121"/>
      <c r="M184" s="121"/>
      <c r="N184" s="103" t="str">
        <f t="shared" si="2"/>
        <v>0</v>
      </c>
      <c r="O184" s="103" t="str">
        <f>INDEX(Кат!$I:$I,MATCH($A184,Кат!$A:$A,0))</f>
        <v>БРТ</v>
      </c>
    </row>
    <row r="185" spans="1:15" ht="45" x14ac:dyDescent="0.25">
      <c r="A185" s="120">
        <v>181601</v>
      </c>
      <c r="B185" s="120">
        <v>19809</v>
      </c>
      <c r="C185" s="121" t="s">
        <v>199</v>
      </c>
      <c r="D185" s="121" t="s">
        <v>2414</v>
      </c>
      <c r="E185" s="121" t="s">
        <v>381</v>
      </c>
      <c r="F185" s="121"/>
      <c r="G185" s="121" t="s">
        <v>2</v>
      </c>
      <c r="H185" s="122">
        <v>664</v>
      </c>
      <c r="I185" s="122">
        <v>929</v>
      </c>
      <c r="J185" s="121" t="s">
        <v>2278</v>
      </c>
      <c r="K185" s="121" t="s">
        <v>1</v>
      </c>
      <c r="L185" s="121"/>
      <c r="M185" s="121"/>
      <c r="N185" s="103" t="str">
        <f t="shared" si="2"/>
        <v>1</v>
      </c>
      <c r="O185" s="103" t="str">
        <f>INDEX(Кат!$I:$I,MATCH($A185,Кат!$A:$A,0))</f>
        <v>БРТ</v>
      </c>
    </row>
    <row r="186" spans="1:15" ht="45" x14ac:dyDescent="0.25">
      <c r="A186" s="120">
        <v>181602</v>
      </c>
      <c r="B186" s="120">
        <v>35424</v>
      </c>
      <c r="C186" s="121" t="s">
        <v>1619</v>
      </c>
      <c r="D186" s="121" t="s">
        <v>2414</v>
      </c>
      <c r="E186" s="121" t="s">
        <v>946</v>
      </c>
      <c r="F186" s="121" t="s">
        <v>946</v>
      </c>
      <c r="G186" s="121" t="s">
        <v>2</v>
      </c>
      <c r="H186" s="122">
        <v>468</v>
      </c>
      <c r="I186" s="122">
        <v>709</v>
      </c>
      <c r="J186" s="121"/>
      <c r="K186" s="121" t="s">
        <v>2418</v>
      </c>
      <c r="L186" s="121"/>
      <c r="M186" s="121"/>
      <c r="N186" s="103" t="str">
        <f t="shared" si="2"/>
        <v>0</v>
      </c>
      <c r="O186" s="103" t="str">
        <f>INDEX(Кат!$I:$I,MATCH($A186,Кат!$A:$A,0))</f>
        <v>БРТ</v>
      </c>
    </row>
    <row r="187" spans="1:15" ht="45" x14ac:dyDescent="0.25">
      <c r="A187" s="120">
        <v>181603</v>
      </c>
      <c r="B187" s="120">
        <v>19810</v>
      </c>
      <c r="C187" s="121" t="s">
        <v>200</v>
      </c>
      <c r="D187" s="121" t="s">
        <v>2414</v>
      </c>
      <c r="E187" s="121" t="s">
        <v>382</v>
      </c>
      <c r="F187" s="121"/>
      <c r="G187" s="121" t="s">
        <v>2</v>
      </c>
      <c r="H187" s="122">
        <v>664</v>
      </c>
      <c r="I187" s="122">
        <v>929</v>
      </c>
      <c r="J187" s="121" t="s">
        <v>2278</v>
      </c>
      <c r="K187" s="121" t="s">
        <v>1</v>
      </c>
      <c r="L187" s="121"/>
      <c r="M187" s="121"/>
      <c r="N187" s="103" t="str">
        <f t="shared" si="2"/>
        <v>1</v>
      </c>
      <c r="O187" s="103" t="str">
        <f>INDEX(Кат!$I:$I,MATCH($A187,Кат!$A:$A,0))</f>
        <v>БРТ</v>
      </c>
    </row>
    <row r="188" spans="1:15" ht="45" x14ac:dyDescent="0.25">
      <c r="A188" s="120">
        <v>181610</v>
      </c>
      <c r="B188" s="120">
        <v>19811</v>
      </c>
      <c r="C188" s="121" t="s">
        <v>1503</v>
      </c>
      <c r="D188" s="121" t="s">
        <v>2414</v>
      </c>
      <c r="E188" s="121" t="s">
        <v>384</v>
      </c>
      <c r="F188" s="121" t="s">
        <v>384</v>
      </c>
      <c r="G188" s="121" t="s">
        <v>2</v>
      </c>
      <c r="H188" s="122">
        <v>1003</v>
      </c>
      <c r="I188" s="122">
        <v>1290</v>
      </c>
      <c r="J188" s="121" t="s">
        <v>2369</v>
      </c>
      <c r="K188" s="121" t="s">
        <v>1</v>
      </c>
      <c r="L188" s="121"/>
      <c r="M188" s="121"/>
      <c r="N188" s="103" t="str">
        <f t="shared" si="2"/>
        <v>1</v>
      </c>
      <c r="O188" s="103" t="str">
        <f>INDEX(Кат!$I:$I,MATCH($A188,Кат!$A:$A,0))</f>
        <v>БРТ</v>
      </c>
    </row>
    <row r="189" spans="1:15" ht="45" x14ac:dyDescent="0.25">
      <c r="A189" s="120">
        <v>181646</v>
      </c>
      <c r="B189" s="120">
        <v>19851</v>
      </c>
      <c r="C189" s="121" t="s">
        <v>12</v>
      </c>
      <c r="D189" s="121" t="s">
        <v>2414</v>
      </c>
      <c r="E189" s="121" t="s">
        <v>578</v>
      </c>
      <c r="F189" s="121"/>
      <c r="G189" s="121" t="s">
        <v>2</v>
      </c>
      <c r="H189" s="122">
        <v>88</v>
      </c>
      <c r="I189" s="122">
        <v>189</v>
      </c>
      <c r="J189" s="121"/>
      <c r="K189" s="121" t="s">
        <v>1</v>
      </c>
      <c r="L189" s="121"/>
      <c r="M189" s="121"/>
      <c r="N189" s="103" t="str">
        <f t="shared" si="2"/>
        <v>1</v>
      </c>
      <c r="O189" s="103" t="str">
        <f>INDEX(Кат!$I:$I,MATCH($A189,Кат!$A:$A,0))</f>
        <v>БРТ</v>
      </c>
    </row>
    <row r="190" spans="1:15" ht="45" x14ac:dyDescent="0.25">
      <c r="A190" s="120">
        <v>181647</v>
      </c>
      <c r="B190" s="120">
        <v>19850</v>
      </c>
      <c r="C190" s="121" t="s">
        <v>11</v>
      </c>
      <c r="D190" s="121" t="s">
        <v>2414</v>
      </c>
      <c r="E190" s="121" t="s">
        <v>577</v>
      </c>
      <c r="F190" s="121"/>
      <c r="G190" s="121" t="s">
        <v>2</v>
      </c>
      <c r="H190" s="122">
        <v>36</v>
      </c>
      <c r="I190" s="122">
        <v>79</v>
      </c>
      <c r="J190" s="121"/>
      <c r="K190" s="121" t="s">
        <v>1</v>
      </c>
      <c r="L190" s="121"/>
      <c r="M190" s="121"/>
      <c r="N190" s="103" t="str">
        <f t="shared" si="2"/>
        <v>1</v>
      </c>
      <c r="O190" s="103" t="str">
        <f>INDEX(Кат!$I:$I,MATCH($A190,Кат!$A:$A,0))</f>
        <v>БРТ</v>
      </c>
    </row>
    <row r="191" spans="1:15" ht="45" x14ac:dyDescent="0.25">
      <c r="A191" s="120">
        <v>181653</v>
      </c>
      <c r="B191" s="120">
        <v>20284</v>
      </c>
      <c r="C191" s="121" t="s">
        <v>98</v>
      </c>
      <c r="D191" s="121" t="s">
        <v>2414</v>
      </c>
      <c r="E191" s="121" t="s">
        <v>302</v>
      </c>
      <c r="F191" s="121"/>
      <c r="G191" s="121" t="s">
        <v>2</v>
      </c>
      <c r="H191" s="122">
        <v>968</v>
      </c>
      <c r="I191" s="122">
        <v>1390</v>
      </c>
      <c r="J191" s="121" t="s">
        <v>2381</v>
      </c>
      <c r="K191" s="121" t="s">
        <v>1</v>
      </c>
      <c r="L191" s="121"/>
      <c r="M191" s="121"/>
      <c r="N191" s="103" t="str">
        <f t="shared" si="2"/>
        <v>1</v>
      </c>
      <c r="O191" s="103" t="str">
        <f>INDEX(Кат!$I:$I,MATCH($A191,Кат!$A:$A,0))</f>
        <v>БРТ</v>
      </c>
    </row>
    <row r="192" spans="1:15" ht="45" x14ac:dyDescent="0.25">
      <c r="A192" s="120">
        <v>181661</v>
      </c>
      <c r="B192" s="120">
        <v>20269</v>
      </c>
      <c r="C192" s="121" t="s">
        <v>36</v>
      </c>
      <c r="D192" s="121" t="s">
        <v>2414</v>
      </c>
      <c r="E192" s="121" t="s">
        <v>1963</v>
      </c>
      <c r="F192" s="121"/>
      <c r="G192" s="121" t="s">
        <v>2</v>
      </c>
      <c r="H192" s="122">
        <v>570</v>
      </c>
      <c r="I192" s="122">
        <v>799</v>
      </c>
      <c r="J192" s="121" t="s">
        <v>2561</v>
      </c>
      <c r="K192" s="121" t="s">
        <v>1</v>
      </c>
      <c r="L192" s="121"/>
      <c r="M192" s="121"/>
      <c r="N192" s="103" t="str">
        <f t="shared" si="2"/>
        <v>1</v>
      </c>
      <c r="O192" s="103" t="str">
        <f>INDEX(Кат!$I:$I,MATCH($A192,Кат!$A:$A,0))</f>
        <v>БРТ</v>
      </c>
    </row>
    <row r="193" spans="1:15" ht="30" x14ac:dyDescent="0.25">
      <c r="A193" s="120">
        <v>181551</v>
      </c>
      <c r="B193" s="120">
        <v>35409</v>
      </c>
      <c r="C193" s="121" t="s">
        <v>2438</v>
      </c>
      <c r="D193" s="121" t="s">
        <v>2414</v>
      </c>
      <c r="E193" s="121" t="s">
        <v>329</v>
      </c>
      <c r="F193" s="121" t="s">
        <v>329</v>
      </c>
      <c r="G193" s="121" t="s">
        <v>2</v>
      </c>
      <c r="H193" s="122">
        <v>15</v>
      </c>
      <c r="I193" s="122">
        <v>39</v>
      </c>
      <c r="J193" s="121"/>
      <c r="K193" s="121" t="s">
        <v>1</v>
      </c>
      <c r="L193" s="121"/>
      <c r="M193" s="121"/>
      <c r="N193" s="103" t="str">
        <f t="shared" si="2"/>
        <v>1</v>
      </c>
      <c r="O193" s="103" t="str">
        <f>INDEX(Кат!$I:$I,MATCH($A193,Кат!$A:$A,0))</f>
        <v>БРТ</v>
      </c>
    </row>
    <row r="194" spans="1:15" ht="30" x14ac:dyDescent="0.25">
      <c r="A194" s="120">
        <v>181552</v>
      </c>
      <c r="B194" s="120">
        <v>35408</v>
      </c>
      <c r="C194" s="121" t="s">
        <v>2439</v>
      </c>
      <c r="D194" s="121" t="s">
        <v>2414</v>
      </c>
      <c r="E194" s="121" t="s">
        <v>248</v>
      </c>
      <c r="F194" s="121" t="s">
        <v>248</v>
      </c>
      <c r="G194" s="121" t="s">
        <v>2</v>
      </c>
      <c r="H194" s="122">
        <v>47</v>
      </c>
      <c r="I194" s="122">
        <v>109</v>
      </c>
      <c r="J194" s="121"/>
      <c r="K194" s="121" t="s">
        <v>1</v>
      </c>
      <c r="L194" s="121"/>
      <c r="M194" s="121"/>
      <c r="N194" s="103" t="str">
        <f t="shared" si="2"/>
        <v>1</v>
      </c>
      <c r="O194" s="103" t="str">
        <f>INDEX(Кат!$I:$I,MATCH($A194,Кат!$A:$A,0))</f>
        <v>БРТ</v>
      </c>
    </row>
    <row r="195" spans="1:15" ht="30" x14ac:dyDescent="0.25">
      <c r="A195" s="120">
        <v>181698</v>
      </c>
      <c r="B195" s="120">
        <v>26528</v>
      </c>
      <c r="C195" s="121" t="s">
        <v>99</v>
      </c>
      <c r="D195" s="121" t="s">
        <v>2414</v>
      </c>
      <c r="E195" s="121" t="s">
        <v>2118</v>
      </c>
      <c r="F195" s="121"/>
      <c r="G195" s="121" t="s">
        <v>2</v>
      </c>
      <c r="H195" s="122">
        <v>60</v>
      </c>
      <c r="I195" s="122">
        <v>129</v>
      </c>
      <c r="J195" s="121"/>
      <c r="K195" s="121" t="s">
        <v>1</v>
      </c>
      <c r="L195" s="121"/>
      <c r="M195" s="121"/>
      <c r="N195" s="103" t="str">
        <f t="shared" ref="N195:N258" si="3">_xlfn.CONCAT(K195,IF(L195&lt;&gt;"",_xlfn.CONCAT("ск",L195),""))</f>
        <v>1</v>
      </c>
      <c r="O195" s="103" t="str">
        <f>INDEX(Кат!$I:$I,MATCH($A195,Кат!$A:$A,0))</f>
        <v>БРТ</v>
      </c>
    </row>
    <row r="196" spans="1:15" ht="45" x14ac:dyDescent="0.25">
      <c r="A196" s="120">
        <v>181721</v>
      </c>
      <c r="B196" s="120">
        <v>38213</v>
      </c>
      <c r="C196" s="121" t="s">
        <v>2159</v>
      </c>
      <c r="D196" s="121" t="s">
        <v>2414</v>
      </c>
      <c r="E196" s="121" t="s">
        <v>2160</v>
      </c>
      <c r="F196" s="121"/>
      <c r="G196" s="121" t="s">
        <v>2</v>
      </c>
      <c r="H196" s="122">
        <v>670</v>
      </c>
      <c r="I196" s="122">
        <v>939</v>
      </c>
      <c r="J196" s="121"/>
      <c r="K196" s="121" t="s">
        <v>1</v>
      </c>
      <c r="L196" s="121"/>
      <c r="M196" s="121"/>
      <c r="N196" s="103" t="str">
        <f t="shared" si="3"/>
        <v>1</v>
      </c>
      <c r="O196" s="103" t="str">
        <f>INDEX(Кат!$I:$I,MATCH($A196,Кат!$A:$A,0))</f>
        <v>БРТ</v>
      </c>
    </row>
    <row r="197" spans="1:15" ht="45" x14ac:dyDescent="0.25">
      <c r="A197" s="120">
        <v>181723</v>
      </c>
      <c r="B197" s="120">
        <v>36973</v>
      </c>
      <c r="C197" s="121" t="s">
        <v>1724</v>
      </c>
      <c r="D197" s="121" t="s">
        <v>2414</v>
      </c>
      <c r="E197" s="121" t="s">
        <v>1397</v>
      </c>
      <c r="F197" s="121" t="s">
        <v>1397</v>
      </c>
      <c r="G197" s="121" t="s">
        <v>2</v>
      </c>
      <c r="H197" s="122">
        <v>1399</v>
      </c>
      <c r="I197" s="122">
        <v>1890</v>
      </c>
      <c r="J197" s="121"/>
      <c r="K197" s="121" t="s">
        <v>1</v>
      </c>
      <c r="L197" s="121"/>
      <c r="M197" s="121"/>
      <c r="N197" s="103" t="str">
        <f t="shared" si="3"/>
        <v>1</v>
      </c>
      <c r="O197" s="103" t="str">
        <f>INDEX(Кат!$I:$I,MATCH($A197,Кат!$A:$A,0))</f>
        <v>БРТ</v>
      </c>
    </row>
    <row r="198" spans="1:15" ht="45" x14ac:dyDescent="0.25">
      <c r="A198" s="120">
        <v>181724</v>
      </c>
      <c r="B198" s="120">
        <v>36971</v>
      </c>
      <c r="C198" s="121" t="s">
        <v>1723</v>
      </c>
      <c r="D198" s="121" t="s">
        <v>2414</v>
      </c>
      <c r="E198" s="121" t="s">
        <v>1397</v>
      </c>
      <c r="F198" s="121" t="s">
        <v>1397</v>
      </c>
      <c r="G198" s="121" t="s">
        <v>2</v>
      </c>
      <c r="H198" s="122">
        <v>1399</v>
      </c>
      <c r="I198" s="122">
        <v>1890</v>
      </c>
      <c r="J198" s="121"/>
      <c r="K198" s="121" t="s">
        <v>1</v>
      </c>
      <c r="L198" s="121"/>
      <c r="M198" s="121"/>
      <c r="N198" s="103" t="str">
        <f t="shared" si="3"/>
        <v>1</v>
      </c>
      <c r="O198" s="103" t="str">
        <f>INDEX(Кат!$I:$I,MATCH($A198,Кат!$A:$A,0))</f>
        <v>БРТ</v>
      </c>
    </row>
    <row r="199" spans="1:15" ht="45" x14ac:dyDescent="0.25">
      <c r="A199" s="120">
        <v>181756</v>
      </c>
      <c r="B199" s="120">
        <v>13588</v>
      </c>
      <c r="C199" s="121" t="s">
        <v>3</v>
      </c>
      <c r="D199" s="121" t="s">
        <v>2414</v>
      </c>
      <c r="E199" s="121" t="s">
        <v>1870</v>
      </c>
      <c r="F199" s="121"/>
      <c r="G199" s="121" t="s">
        <v>2</v>
      </c>
      <c r="H199" s="122">
        <v>1407</v>
      </c>
      <c r="I199" s="122">
        <v>1890</v>
      </c>
      <c r="J199" s="121" t="s">
        <v>2527</v>
      </c>
      <c r="K199" s="121" t="s">
        <v>1</v>
      </c>
      <c r="L199" s="121"/>
      <c r="M199" s="121"/>
      <c r="N199" s="103" t="str">
        <f t="shared" si="3"/>
        <v>1</v>
      </c>
      <c r="O199" s="103" t="str">
        <f>INDEX(Кат!$I:$I,MATCH($A199,Кат!$A:$A,0))</f>
        <v>БРТ</v>
      </c>
    </row>
    <row r="200" spans="1:15" ht="30" x14ac:dyDescent="0.25">
      <c r="A200" s="120">
        <v>185273</v>
      </c>
      <c r="B200" s="120">
        <v>16929</v>
      </c>
      <c r="C200" s="121" t="s">
        <v>162</v>
      </c>
      <c r="D200" s="121" t="s">
        <v>2414</v>
      </c>
      <c r="E200" s="121" t="s">
        <v>1874</v>
      </c>
      <c r="F200" s="121"/>
      <c r="G200" s="121" t="s">
        <v>2</v>
      </c>
      <c r="H200" s="122">
        <v>173</v>
      </c>
      <c r="I200" s="122">
        <v>299</v>
      </c>
      <c r="J200" s="121"/>
      <c r="K200" s="121" t="s">
        <v>1</v>
      </c>
      <c r="L200" s="121"/>
      <c r="M200" s="121"/>
      <c r="N200" s="103" t="str">
        <f t="shared" si="3"/>
        <v>1</v>
      </c>
      <c r="O200" s="103" t="str">
        <f>INDEX(Кат!$I:$I,MATCH($A200,Кат!$A:$A,0))</f>
        <v>БРТ</v>
      </c>
    </row>
    <row r="201" spans="1:15" ht="45" x14ac:dyDescent="0.25">
      <c r="A201" s="120">
        <v>186395</v>
      </c>
      <c r="B201" s="120">
        <v>33581</v>
      </c>
      <c r="C201" s="121" t="s">
        <v>1501</v>
      </c>
      <c r="D201" s="121" t="s">
        <v>2414</v>
      </c>
      <c r="E201" s="121" t="s">
        <v>2149</v>
      </c>
      <c r="F201" s="121"/>
      <c r="G201" s="121" t="s">
        <v>2</v>
      </c>
      <c r="H201" s="122">
        <v>808</v>
      </c>
      <c r="I201" s="122">
        <v>1190</v>
      </c>
      <c r="J201" s="121"/>
      <c r="K201" s="121" t="s">
        <v>1</v>
      </c>
      <c r="L201" s="121"/>
      <c r="M201" s="121"/>
      <c r="N201" s="103" t="str">
        <f t="shared" si="3"/>
        <v>1</v>
      </c>
      <c r="O201" s="103" t="str">
        <f>INDEX(Кат!$I:$I,MATCH($A201,Кат!$A:$A,0))</f>
        <v>БРТ</v>
      </c>
    </row>
    <row r="202" spans="1:15" ht="45" x14ac:dyDescent="0.25">
      <c r="A202" s="120">
        <v>186396</v>
      </c>
      <c r="B202" s="120">
        <v>17126</v>
      </c>
      <c r="C202" s="121" t="s">
        <v>2845</v>
      </c>
      <c r="D202" s="121" t="s">
        <v>2414</v>
      </c>
      <c r="E202" s="121" t="s">
        <v>1878</v>
      </c>
      <c r="F202" s="121"/>
      <c r="G202" s="121" t="s">
        <v>2</v>
      </c>
      <c r="H202" s="122">
        <v>872</v>
      </c>
      <c r="I202" s="122">
        <v>1590</v>
      </c>
      <c r="J202" s="121" t="s">
        <v>2538</v>
      </c>
      <c r="K202" s="121" t="s">
        <v>1</v>
      </c>
      <c r="L202" s="121"/>
      <c r="M202" s="121"/>
      <c r="N202" s="103" t="str">
        <f t="shared" si="3"/>
        <v>1</v>
      </c>
      <c r="O202" s="103" t="str">
        <f>INDEX(Кат!$I:$I,MATCH($A202,Кат!$A:$A,0))</f>
        <v>БРТ</v>
      </c>
    </row>
    <row r="203" spans="1:15" ht="30" x14ac:dyDescent="0.25">
      <c r="A203" s="120">
        <v>186397</v>
      </c>
      <c r="B203" s="120">
        <v>13099</v>
      </c>
      <c r="C203" s="121" t="s">
        <v>2846</v>
      </c>
      <c r="D203" s="121" t="s">
        <v>2414</v>
      </c>
      <c r="E203" s="121" t="s">
        <v>1864</v>
      </c>
      <c r="F203" s="121"/>
      <c r="G203" s="121" t="s">
        <v>2</v>
      </c>
      <c r="H203" s="122">
        <v>826</v>
      </c>
      <c r="I203" s="122">
        <v>1190</v>
      </c>
      <c r="J203" s="121"/>
      <c r="K203" s="121" t="s">
        <v>1</v>
      </c>
      <c r="L203" s="121"/>
      <c r="M203" s="121"/>
      <c r="N203" s="103" t="str">
        <f t="shared" si="3"/>
        <v>1</v>
      </c>
      <c r="O203" s="103" t="str">
        <f>INDEX(Кат!$I:$I,MATCH($A203,Кат!$A:$A,0))</f>
        <v>БРТ</v>
      </c>
    </row>
    <row r="204" spans="1:15" ht="30" x14ac:dyDescent="0.25">
      <c r="A204" s="120">
        <v>186398</v>
      </c>
      <c r="B204" s="120">
        <v>13100</v>
      </c>
      <c r="C204" s="121" t="s">
        <v>2847</v>
      </c>
      <c r="D204" s="121" t="s">
        <v>2414</v>
      </c>
      <c r="E204" s="121" t="s">
        <v>1865</v>
      </c>
      <c r="F204" s="121"/>
      <c r="G204" s="121" t="s">
        <v>2</v>
      </c>
      <c r="H204" s="122">
        <v>801.37</v>
      </c>
      <c r="I204" s="122">
        <v>1190</v>
      </c>
      <c r="J204" s="121"/>
      <c r="K204" s="121" t="s">
        <v>1</v>
      </c>
      <c r="L204" s="121"/>
      <c r="M204" s="121"/>
      <c r="N204" s="103" t="str">
        <f t="shared" si="3"/>
        <v>1</v>
      </c>
      <c r="O204" s="103" t="str">
        <f>INDEX(Кат!$I:$I,MATCH($A204,Кат!$A:$A,0))</f>
        <v>БРТ</v>
      </c>
    </row>
    <row r="205" spans="1:15" ht="30" x14ac:dyDescent="0.25">
      <c r="A205" s="120">
        <v>186510</v>
      </c>
      <c r="B205" s="120">
        <v>19623</v>
      </c>
      <c r="C205" s="121" t="s">
        <v>163</v>
      </c>
      <c r="D205" s="121" t="s">
        <v>2414</v>
      </c>
      <c r="E205" s="121" t="s">
        <v>1888</v>
      </c>
      <c r="F205" s="121"/>
      <c r="G205" s="121" t="s">
        <v>2</v>
      </c>
      <c r="H205" s="122">
        <v>649</v>
      </c>
      <c r="I205" s="122">
        <v>909</v>
      </c>
      <c r="J205" s="121"/>
      <c r="K205" s="121" t="s">
        <v>1</v>
      </c>
      <c r="L205" s="121"/>
      <c r="M205" s="121"/>
      <c r="N205" s="103" t="str">
        <f t="shared" si="3"/>
        <v>1</v>
      </c>
      <c r="O205" s="103" t="str">
        <f>INDEX(Кат!$I:$I,MATCH($A205,Кат!$A:$A,0))</f>
        <v>БРТ</v>
      </c>
    </row>
    <row r="206" spans="1:15" ht="45" x14ac:dyDescent="0.25">
      <c r="A206" s="120">
        <v>186524</v>
      </c>
      <c r="B206" s="120">
        <v>13108</v>
      </c>
      <c r="C206" s="121" t="s">
        <v>2848</v>
      </c>
      <c r="D206" s="121" t="s">
        <v>2414</v>
      </c>
      <c r="E206" s="121" t="s">
        <v>1867</v>
      </c>
      <c r="F206" s="121"/>
      <c r="G206" s="121" t="s">
        <v>2</v>
      </c>
      <c r="H206" s="122">
        <v>835.61</v>
      </c>
      <c r="I206" s="122">
        <v>1190</v>
      </c>
      <c r="J206" s="121" t="s">
        <v>2343</v>
      </c>
      <c r="K206" s="121" t="s">
        <v>1</v>
      </c>
      <c r="L206" s="121"/>
      <c r="M206" s="121"/>
      <c r="N206" s="103" t="str">
        <f t="shared" si="3"/>
        <v>1</v>
      </c>
      <c r="O206" s="103" t="str">
        <f>INDEX(Кат!$I:$I,MATCH($A206,Кат!$A:$A,0))</f>
        <v>БРТ</v>
      </c>
    </row>
    <row r="207" spans="1:15" ht="30" x14ac:dyDescent="0.25">
      <c r="A207" s="120">
        <v>186533</v>
      </c>
      <c r="B207" s="120">
        <v>13102</v>
      </c>
      <c r="C207" s="121" t="s">
        <v>2849</v>
      </c>
      <c r="D207" s="121" t="s">
        <v>2414</v>
      </c>
      <c r="E207" s="121" t="s">
        <v>1866</v>
      </c>
      <c r="F207" s="121"/>
      <c r="G207" s="121" t="s">
        <v>2</v>
      </c>
      <c r="H207" s="122">
        <v>832</v>
      </c>
      <c r="I207" s="122">
        <v>1190</v>
      </c>
      <c r="J207" s="121"/>
      <c r="K207" s="121" t="s">
        <v>1</v>
      </c>
      <c r="L207" s="121"/>
      <c r="M207" s="121"/>
      <c r="N207" s="103" t="str">
        <f t="shared" si="3"/>
        <v>1</v>
      </c>
      <c r="O207" s="103" t="str">
        <f>INDEX(Кат!$I:$I,MATCH($A207,Кат!$A:$A,0))</f>
        <v>БРТ</v>
      </c>
    </row>
    <row r="208" spans="1:15" ht="45" x14ac:dyDescent="0.25">
      <c r="A208" s="120">
        <v>186534</v>
      </c>
      <c r="B208" s="120">
        <v>21605</v>
      </c>
      <c r="C208" s="121" t="s">
        <v>89</v>
      </c>
      <c r="D208" s="121" t="s">
        <v>2414</v>
      </c>
      <c r="E208" s="121" t="s">
        <v>2107</v>
      </c>
      <c r="F208" s="121"/>
      <c r="G208" s="121" t="s">
        <v>2</v>
      </c>
      <c r="H208" s="122">
        <v>649</v>
      </c>
      <c r="I208" s="122">
        <v>909</v>
      </c>
      <c r="J208" s="121"/>
      <c r="K208" s="121" t="s">
        <v>1</v>
      </c>
      <c r="L208" s="121"/>
      <c r="M208" s="121"/>
      <c r="N208" s="103" t="str">
        <f t="shared" si="3"/>
        <v>1</v>
      </c>
      <c r="O208" s="103" t="str">
        <f>INDEX(Кат!$I:$I,MATCH($A208,Кат!$A:$A,0))</f>
        <v>БРТ</v>
      </c>
    </row>
    <row r="209" spans="1:15" ht="45" x14ac:dyDescent="0.25">
      <c r="A209" s="120">
        <v>186552</v>
      </c>
      <c r="B209" s="120">
        <v>35342</v>
      </c>
      <c r="C209" s="121" t="s">
        <v>1576</v>
      </c>
      <c r="D209" s="121" t="s">
        <v>2414</v>
      </c>
      <c r="E209" s="121" t="s">
        <v>390</v>
      </c>
      <c r="F209" s="121" t="s">
        <v>390</v>
      </c>
      <c r="G209" s="121" t="s">
        <v>2</v>
      </c>
      <c r="H209" s="122">
        <v>450</v>
      </c>
      <c r="I209" s="122">
        <v>679</v>
      </c>
      <c r="J209" s="121" t="s">
        <v>2565</v>
      </c>
      <c r="K209" s="121" t="s">
        <v>1</v>
      </c>
      <c r="L209" s="121"/>
      <c r="M209" s="121"/>
      <c r="N209" s="103" t="str">
        <f t="shared" si="3"/>
        <v>1</v>
      </c>
      <c r="O209" s="103" t="str">
        <f>INDEX(Кат!$I:$I,MATCH($A209,Кат!$A:$A,0))</f>
        <v>БРТ</v>
      </c>
    </row>
    <row r="210" spans="1:15" ht="45" x14ac:dyDescent="0.25">
      <c r="A210" s="120">
        <v>186553</v>
      </c>
      <c r="B210" s="120">
        <v>20415</v>
      </c>
      <c r="C210" s="121" t="s">
        <v>2440</v>
      </c>
      <c r="D210" s="121" t="s">
        <v>2414</v>
      </c>
      <c r="E210" s="121" t="s">
        <v>2042</v>
      </c>
      <c r="F210" s="121"/>
      <c r="G210" s="121" t="s">
        <v>2</v>
      </c>
      <c r="H210" s="122">
        <v>114</v>
      </c>
      <c r="I210" s="122">
        <v>279</v>
      </c>
      <c r="J210" s="121" t="s">
        <v>2676</v>
      </c>
      <c r="K210" s="121" t="s">
        <v>1</v>
      </c>
      <c r="L210" s="121"/>
      <c r="M210" s="121"/>
      <c r="N210" s="103" t="str">
        <f t="shared" si="3"/>
        <v>1</v>
      </c>
      <c r="O210" s="103" t="str">
        <f>INDEX(Кат!$I:$I,MATCH($A210,Кат!$A:$A,0))</f>
        <v>БРТ</v>
      </c>
    </row>
    <row r="211" spans="1:15" ht="45" x14ac:dyDescent="0.25">
      <c r="A211" s="120">
        <v>186554</v>
      </c>
      <c r="B211" s="120">
        <v>20413</v>
      </c>
      <c r="C211" s="121" t="s">
        <v>1820</v>
      </c>
      <c r="D211" s="121" t="s">
        <v>2414</v>
      </c>
      <c r="E211" s="121" t="s">
        <v>2040</v>
      </c>
      <c r="F211" s="121"/>
      <c r="G211" s="121" t="s">
        <v>2</v>
      </c>
      <c r="H211" s="122">
        <v>114</v>
      </c>
      <c r="I211" s="122">
        <v>199</v>
      </c>
      <c r="J211" s="121"/>
      <c r="K211" s="121" t="s">
        <v>1</v>
      </c>
      <c r="L211" s="121"/>
      <c r="M211" s="121"/>
      <c r="N211" s="103" t="str">
        <f t="shared" si="3"/>
        <v>1</v>
      </c>
      <c r="O211" s="103" t="str">
        <f>INDEX(Кат!$I:$I,MATCH($A211,Кат!$A:$A,0))</f>
        <v>БРТ</v>
      </c>
    </row>
    <row r="212" spans="1:15" ht="45" x14ac:dyDescent="0.25">
      <c r="A212" s="120">
        <v>186555</v>
      </c>
      <c r="B212" s="120">
        <v>35475</v>
      </c>
      <c r="C212" s="121" t="s">
        <v>1642</v>
      </c>
      <c r="D212" s="121" t="s">
        <v>2414</v>
      </c>
      <c r="E212" s="121" t="s">
        <v>218</v>
      </c>
      <c r="F212" s="121" t="s">
        <v>218</v>
      </c>
      <c r="G212" s="121" t="s">
        <v>2</v>
      </c>
      <c r="H212" s="122">
        <v>84</v>
      </c>
      <c r="I212" s="122">
        <v>369</v>
      </c>
      <c r="J212" s="121" t="s">
        <v>2651</v>
      </c>
      <c r="K212" s="121" t="s">
        <v>1</v>
      </c>
      <c r="L212" s="121"/>
      <c r="M212" s="121"/>
      <c r="N212" s="103" t="str">
        <f t="shared" si="3"/>
        <v>1</v>
      </c>
      <c r="O212" s="103" t="str">
        <f>INDEX(Кат!$I:$I,MATCH($A212,Кат!$A:$A,0))</f>
        <v>БРТ</v>
      </c>
    </row>
    <row r="213" spans="1:15" ht="30" x14ac:dyDescent="0.25">
      <c r="A213" s="120">
        <v>186556</v>
      </c>
      <c r="B213" s="120">
        <v>35353</v>
      </c>
      <c r="C213" s="121" t="s">
        <v>1583</v>
      </c>
      <c r="D213" s="121" t="s">
        <v>2414</v>
      </c>
      <c r="E213" s="121" t="s">
        <v>307</v>
      </c>
      <c r="F213" s="121" t="s">
        <v>307</v>
      </c>
      <c r="G213" s="121" t="s">
        <v>2</v>
      </c>
      <c r="H213" s="122">
        <v>250</v>
      </c>
      <c r="I213" s="122">
        <v>429</v>
      </c>
      <c r="J213" s="121"/>
      <c r="K213" s="121" t="s">
        <v>1</v>
      </c>
      <c r="L213" s="121"/>
      <c r="M213" s="121"/>
      <c r="N213" s="103" t="str">
        <f t="shared" si="3"/>
        <v>1</v>
      </c>
      <c r="O213" s="103" t="str">
        <f>INDEX(Кат!$I:$I,MATCH($A213,Кат!$A:$A,0))</f>
        <v>БРТ</v>
      </c>
    </row>
    <row r="214" spans="1:15" ht="45" x14ac:dyDescent="0.25">
      <c r="A214" s="120">
        <v>186557</v>
      </c>
      <c r="B214" s="120">
        <v>20374</v>
      </c>
      <c r="C214" s="121" t="s">
        <v>1819</v>
      </c>
      <c r="D214" s="121" t="s">
        <v>2414</v>
      </c>
      <c r="E214" s="121" t="s">
        <v>417</v>
      </c>
      <c r="F214" s="121"/>
      <c r="G214" s="121" t="s">
        <v>2</v>
      </c>
      <c r="H214" s="122">
        <v>106</v>
      </c>
      <c r="I214" s="122">
        <v>279</v>
      </c>
      <c r="J214" s="121" t="s">
        <v>2661</v>
      </c>
      <c r="K214" s="121" t="s">
        <v>1</v>
      </c>
      <c r="L214" s="121"/>
      <c r="M214" s="121"/>
      <c r="N214" s="103" t="str">
        <f t="shared" si="3"/>
        <v>1</v>
      </c>
      <c r="O214" s="103" t="str">
        <f>INDEX(Кат!$I:$I,MATCH($A214,Кат!$A:$A,0))</f>
        <v>БРТ</v>
      </c>
    </row>
    <row r="215" spans="1:15" ht="30" x14ac:dyDescent="0.25">
      <c r="A215" s="120">
        <v>186558</v>
      </c>
      <c r="B215" s="120">
        <v>35339</v>
      </c>
      <c r="C215" s="121" t="s">
        <v>1574</v>
      </c>
      <c r="D215" s="121" t="s">
        <v>2414</v>
      </c>
      <c r="E215" s="121" t="s">
        <v>435</v>
      </c>
      <c r="F215" s="121" t="s">
        <v>435</v>
      </c>
      <c r="G215" s="121" t="s">
        <v>2</v>
      </c>
      <c r="H215" s="122">
        <v>175</v>
      </c>
      <c r="I215" s="122">
        <v>309</v>
      </c>
      <c r="J215" s="121"/>
      <c r="K215" s="121" t="s">
        <v>1</v>
      </c>
      <c r="L215" s="121"/>
      <c r="M215" s="121"/>
      <c r="N215" s="103" t="str">
        <f t="shared" si="3"/>
        <v>1</v>
      </c>
      <c r="O215" s="103" t="str">
        <f>INDEX(Кат!$I:$I,MATCH($A215,Кат!$A:$A,0))</f>
        <v>БРТ</v>
      </c>
    </row>
    <row r="216" spans="1:15" ht="45" x14ac:dyDescent="0.25">
      <c r="A216" s="120">
        <v>186559</v>
      </c>
      <c r="B216" s="120">
        <v>35338</v>
      </c>
      <c r="C216" s="121" t="s">
        <v>1573</v>
      </c>
      <c r="D216" s="121" t="s">
        <v>2414</v>
      </c>
      <c r="E216" s="121" t="s">
        <v>410</v>
      </c>
      <c r="F216" s="121" t="s">
        <v>410</v>
      </c>
      <c r="G216" s="121" t="s">
        <v>2</v>
      </c>
      <c r="H216" s="122">
        <v>170</v>
      </c>
      <c r="I216" s="122">
        <v>389</v>
      </c>
      <c r="J216" s="121" t="s">
        <v>2591</v>
      </c>
      <c r="K216" s="121" t="s">
        <v>1</v>
      </c>
      <c r="L216" s="121"/>
      <c r="M216" s="121"/>
      <c r="N216" s="103" t="str">
        <f t="shared" si="3"/>
        <v>1</v>
      </c>
      <c r="O216" s="103" t="str">
        <f>INDEX(Кат!$I:$I,MATCH($A216,Кат!$A:$A,0))</f>
        <v>БРТ</v>
      </c>
    </row>
    <row r="217" spans="1:15" ht="45" x14ac:dyDescent="0.25">
      <c r="A217" s="120">
        <v>186560</v>
      </c>
      <c r="B217" s="120">
        <v>35340</v>
      </c>
      <c r="C217" s="121" t="s">
        <v>1575</v>
      </c>
      <c r="D217" s="121" t="s">
        <v>2414</v>
      </c>
      <c r="E217" s="121" t="s">
        <v>524</v>
      </c>
      <c r="F217" s="121" t="s">
        <v>524</v>
      </c>
      <c r="G217" s="121" t="s">
        <v>2</v>
      </c>
      <c r="H217" s="122">
        <v>160</v>
      </c>
      <c r="I217" s="122">
        <v>279</v>
      </c>
      <c r="J217" s="121"/>
      <c r="K217" s="121" t="s">
        <v>1</v>
      </c>
      <c r="L217" s="121"/>
      <c r="M217" s="121"/>
      <c r="N217" s="103" t="str">
        <f t="shared" si="3"/>
        <v>1</v>
      </c>
      <c r="O217" s="103" t="str">
        <f>INDEX(Кат!$I:$I,MATCH($A217,Кат!$A:$A,0))</f>
        <v>БРТ</v>
      </c>
    </row>
    <row r="218" spans="1:15" ht="45" x14ac:dyDescent="0.25">
      <c r="A218" s="120">
        <v>186561</v>
      </c>
      <c r="B218" s="120">
        <v>35572</v>
      </c>
      <c r="C218" s="121" t="s">
        <v>1689</v>
      </c>
      <c r="D218" s="121" t="s">
        <v>2414</v>
      </c>
      <c r="E218" s="121" t="s">
        <v>537</v>
      </c>
      <c r="F218" s="121" t="s">
        <v>537</v>
      </c>
      <c r="G218" s="121" t="s">
        <v>2</v>
      </c>
      <c r="H218" s="122">
        <v>172</v>
      </c>
      <c r="I218" s="122">
        <v>409</v>
      </c>
      <c r="J218" s="121" t="s">
        <v>2671</v>
      </c>
      <c r="K218" s="121" t="s">
        <v>1</v>
      </c>
      <c r="L218" s="121"/>
      <c r="M218" s="121"/>
      <c r="N218" s="103" t="str">
        <f t="shared" si="3"/>
        <v>1</v>
      </c>
      <c r="O218" s="103" t="str">
        <f>INDEX(Кат!$I:$I,MATCH($A218,Кат!$A:$A,0))</f>
        <v>БРТ</v>
      </c>
    </row>
    <row r="219" spans="1:15" ht="45" x14ac:dyDescent="0.25">
      <c r="A219" s="120">
        <v>186562</v>
      </c>
      <c r="B219" s="120">
        <v>35571</v>
      </c>
      <c r="C219" s="121" t="s">
        <v>1688</v>
      </c>
      <c r="D219" s="121" t="s">
        <v>2414</v>
      </c>
      <c r="E219" s="121" t="s">
        <v>536</v>
      </c>
      <c r="F219" s="121" t="s">
        <v>536</v>
      </c>
      <c r="G219" s="121" t="s">
        <v>2</v>
      </c>
      <c r="H219" s="122">
        <v>209</v>
      </c>
      <c r="I219" s="122">
        <v>719</v>
      </c>
      <c r="J219" s="121" t="s">
        <v>2673</v>
      </c>
      <c r="K219" s="121" t="s">
        <v>1</v>
      </c>
      <c r="L219" s="121"/>
      <c r="M219" s="121"/>
      <c r="N219" s="103" t="str">
        <f t="shared" si="3"/>
        <v>1</v>
      </c>
      <c r="O219" s="103" t="str">
        <f>INDEX(Кат!$I:$I,MATCH($A219,Кат!$A:$A,0))</f>
        <v>БРТ</v>
      </c>
    </row>
    <row r="220" spans="1:15" ht="30" x14ac:dyDescent="0.25">
      <c r="A220" s="120">
        <v>186563</v>
      </c>
      <c r="B220" s="120">
        <v>35590</v>
      </c>
      <c r="C220" s="121" t="s">
        <v>1710</v>
      </c>
      <c r="D220" s="121" t="s">
        <v>2414</v>
      </c>
      <c r="E220" s="121" t="s">
        <v>2850</v>
      </c>
      <c r="F220" s="121" t="s">
        <v>1448</v>
      </c>
      <c r="G220" s="121" t="s">
        <v>2</v>
      </c>
      <c r="H220" s="122">
        <v>77</v>
      </c>
      <c r="I220" s="122">
        <v>169</v>
      </c>
      <c r="J220" s="121"/>
      <c r="K220" s="121" t="s">
        <v>1</v>
      </c>
      <c r="L220" s="121"/>
      <c r="M220" s="121"/>
      <c r="N220" s="103" t="str">
        <f t="shared" si="3"/>
        <v>1</v>
      </c>
      <c r="O220" s="103" t="str">
        <f>INDEX(Кат!$I:$I,MATCH($A220,Кат!$A:$A,0))</f>
        <v>БРТ</v>
      </c>
    </row>
    <row r="221" spans="1:15" ht="30" x14ac:dyDescent="0.25">
      <c r="A221" s="120">
        <v>186564</v>
      </c>
      <c r="B221" s="120">
        <v>35378</v>
      </c>
      <c r="C221" s="121" t="s">
        <v>1592</v>
      </c>
      <c r="D221" s="121" t="s">
        <v>2414</v>
      </c>
      <c r="E221" s="121" t="s">
        <v>869</v>
      </c>
      <c r="F221" s="121" t="s">
        <v>869</v>
      </c>
      <c r="G221" s="121" t="s">
        <v>2</v>
      </c>
      <c r="H221" s="122">
        <v>98</v>
      </c>
      <c r="I221" s="122">
        <v>219</v>
      </c>
      <c r="J221" s="121"/>
      <c r="K221" s="121" t="s">
        <v>1</v>
      </c>
      <c r="L221" s="121"/>
      <c r="M221" s="121"/>
      <c r="N221" s="103" t="str">
        <f t="shared" si="3"/>
        <v>1</v>
      </c>
      <c r="O221" s="103" t="str">
        <f>INDEX(Кат!$I:$I,MATCH($A221,Кат!$A:$A,0))</f>
        <v>БРТ</v>
      </c>
    </row>
    <row r="222" spans="1:15" ht="45" x14ac:dyDescent="0.25">
      <c r="A222" s="120">
        <v>186565</v>
      </c>
      <c r="B222" s="120">
        <v>35382</v>
      </c>
      <c r="C222" s="121" t="s">
        <v>1594</v>
      </c>
      <c r="D222" s="121" t="s">
        <v>2414</v>
      </c>
      <c r="E222" s="121" t="s">
        <v>877</v>
      </c>
      <c r="F222" s="121" t="s">
        <v>877</v>
      </c>
      <c r="G222" s="121" t="s">
        <v>2</v>
      </c>
      <c r="H222" s="122">
        <v>103</v>
      </c>
      <c r="I222" s="122">
        <v>179</v>
      </c>
      <c r="J222" s="121"/>
      <c r="K222" s="121" t="s">
        <v>1</v>
      </c>
      <c r="L222" s="121"/>
      <c r="M222" s="121"/>
      <c r="N222" s="103" t="str">
        <f t="shared" si="3"/>
        <v>1</v>
      </c>
      <c r="O222" s="103" t="str">
        <f>INDEX(Кат!$I:$I,MATCH($A222,Кат!$A:$A,0))</f>
        <v>БРТ</v>
      </c>
    </row>
    <row r="223" spans="1:15" ht="30" x14ac:dyDescent="0.25">
      <c r="A223" s="120">
        <v>186566</v>
      </c>
      <c r="B223" s="120">
        <v>35393</v>
      </c>
      <c r="C223" s="121" t="s">
        <v>1598</v>
      </c>
      <c r="D223" s="121" t="s">
        <v>2414</v>
      </c>
      <c r="E223" s="121" t="s">
        <v>2851</v>
      </c>
      <c r="F223" s="121" t="s">
        <v>887</v>
      </c>
      <c r="G223" s="121" t="s">
        <v>2</v>
      </c>
      <c r="H223" s="122">
        <v>76</v>
      </c>
      <c r="I223" s="122">
        <v>169</v>
      </c>
      <c r="J223" s="121"/>
      <c r="K223" s="121" t="s">
        <v>1</v>
      </c>
      <c r="L223" s="121"/>
      <c r="M223" s="121"/>
      <c r="N223" s="103" t="str">
        <f t="shared" si="3"/>
        <v>1</v>
      </c>
      <c r="O223" s="103" t="str">
        <f>INDEX(Кат!$I:$I,MATCH($A223,Кат!$A:$A,0))</f>
        <v>БРТ</v>
      </c>
    </row>
    <row r="224" spans="1:15" ht="30" x14ac:dyDescent="0.25">
      <c r="A224" s="120">
        <v>186567</v>
      </c>
      <c r="B224" s="120">
        <v>35589</v>
      </c>
      <c r="C224" s="121" t="s">
        <v>1598</v>
      </c>
      <c r="D224" s="121" t="s">
        <v>2467</v>
      </c>
      <c r="E224" s="121" t="s">
        <v>1446</v>
      </c>
      <c r="F224" s="121" t="s">
        <v>1446</v>
      </c>
      <c r="G224" s="121" t="s">
        <v>2</v>
      </c>
      <c r="H224" s="122">
        <v>76</v>
      </c>
      <c r="I224" s="122">
        <v>169</v>
      </c>
      <c r="J224" s="121"/>
      <c r="K224" s="121" t="s">
        <v>1</v>
      </c>
      <c r="L224" s="121"/>
      <c r="M224" s="121"/>
      <c r="N224" s="103" t="str">
        <f t="shared" si="3"/>
        <v>1</v>
      </c>
      <c r="O224" s="103" t="str">
        <f>INDEX(Кат!$I:$I,MATCH($A224,Кат!$A:$A,0))</f>
        <v>БРТ</v>
      </c>
    </row>
    <row r="225" spans="1:15" ht="30" x14ac:dyDescent="0.25">
      <c r="A225" s="120">
        <v>186568</v>
      </c>
      <c r="B225" s="120">
        <v>35377</v>
      </c>
      <c r="C225" s="121" t="s">
        <v>1591</v>
      </c>
      <c r="D225" s="121" t="s">
        <v>2414</v>
      </c>
      <c r="E225" s="121" t="s">
        <v>867</v>
      </c>
      <c r="F225" s="121" t="s">
        <v>867</v>
      </c>
      <c r="G225" s="121" t="s">
        <v>2</v>
      </c>
      <c r="H225" s="122">
        <v>105</v>
      </c>
      <c r="I225" s="122">
        <v>189</v>
      </c>
      <c r="J225" s="121"/>
      <c r="K225" s="121" t="s">
        <v>1</v>
      </c>
      <c r="L225" s="121"/>
      <c r="M225" s="121"/>
      <c r="N225" s="103" t="str">
        <f t="shared" si="3"/>
        <v>1</v>
      </c>
      <c r="O225" s="103" t="str">
        <f>INDEX(Кат!$I:$I,MATCH($A225,Кат!$A:$A,0))</f>
        <v>БРТ</v>
      </c>
    </row>
    <row r="226" spans="1:15" ht="45" x14ac:dyDescent="0.25">
      <c r="A226" s="120">
        <v>186569</v>
      </c>
      <c r="B226" s="120">
        <v>35380</v>
      </c>
      <c r="C226" s="121" t="s">
        <v>1593</v>
      </c>
      <c r="D226" s="121" t="s">
        <v>2414</v>
      </c>
      <c r="E226" s="121" t="s">
        <v>875</v>
      </c>
      <c r="F226" s="121" t="s">
        <v>875</v>
      </c>
      <c r="G226" s="121" t="s">
        <v>2</v>
      </c>
      <c r="H226" s="122">
        <v>103</v>
      </c>
      <c r="I226" s="122">
        <v>179</v>
      </c>
      <c r="J226" s="121"/>
      <c r="K226" s="121" t="s">
        <v>1</v>
      </c>
      <c r="L226" s="121"/>
      <c r="M226" s="121"/>
      <c r="N226" s="103" t="str">
        <f t="shared" si="3"/>
        <v>1</v>
      </c>
      <c r="O226" s="103" t="str">
        <f>INDEX(Кат!$I:$I,MATCH($A226,Кат!$A:$A,0))</f>
        <v>БРТ</v>
      </c>
    </row>
    <row r="227" spans="1:15" ht="45" x14ac:dyDescent="0.25">
      <c r="A227" s="120">
        <v>186570</v>
      </c>
      <c r="B227" s="120">
        <v>35565</v>
      </c>
      <c r="C227" s="121" t="s">
        <v>1685</v>
      </c>
      <c r="D227" s="121" t="s">
        <v>2414</v>
      </c>
      <c r="E227" s="121" t="s">
        <v>531</v>
      </c>
      <c r="F227" s="121" t="s">
        <v>531</v>
      </c>
      <c r="G227" s="121" t="s">
        <v>2</v>
      </c>
      <c r="H227" s="122">
        <v>196</v>
      </c>
      <c r="I227" s="122">
        <v>309</v>
      </c>
      <c r="J227" s="121" t="s">
        <v>2672</v>
      </c>
      <c r="K227" s="121" t="s">
        <v>1</v>
      </c>
      <c r="L227" s="121"/>
      <c r="M227" s="121"/>
      <c r="N227" s="103" t="str">
        <f t="shared" si="3"/>
        <v>1</v>
      </c>
      <c r="O227" s="103" t="str">
        <f>INDEX(Кат!$I:$I,MATCH($A227,Кат!$A:$A,0))</f>
        <v>БРТ</v>
      </c>
    </row>
    <row r="228" spans="1:15" ht="45" x14ac:dyDescent="0.25">
      <c r="A228" s="120">
        <v>186571</v>
      </c>
      <c r="B228" s="120">
        <v>35592</v>
      </c>
      <c r="C228" s="121" t="s">
        <v>1700</v>
      </c>
      <c r="D228" s="121" t="s">
        <v>2414</v>
      </c>
      <c r="E228" s="121" t="s">
        <v>2852</v>
      </c>
      <c r="F228" s="121" t="s">
        <v>1450</v>
      </c>
      <c r="G228" s="121" t="s">
        <v>2</v>
      </c>
      <c r="H228" s="122">
        <v>86</v>
      </c>
      <c r="I228" s="122">
        <v>189</v>
      </c>
      <c r="J228" s="121"/>
      <c r="K228" s="121" t="s">
        <v>1</v>
      </c>
      <c r="L228" s="121"/>
      <c r="M228" s="121"/>
      <c r="N228" s="103" t="str">
        <f t="shared" si="3"/>
        <v>1</v>
      </c>
      <c r="O228" s="103" t="str">
        <f>INDEX(Кат!$I:$I,MATCH($A228,Кат!$A:$A,0))</f>
        <v>БРТ</v>
      </c>
    </row>
    <row r="229" spans="1:15" ht="30" x14ac:dyDescent="0.25">
      <c r="A229" s="120">
        <v>186572</v>
      </c>
      <c r="B229" s="120">
        <v>35562</v>
      </c>
      <c r="C229" s="121" t="s">
        <v>1682</v>
      </c>
      <c r="D229" s="121" t="s">
        <v>2414</v>
      </c>
      <c r="E229" s="121" t="s">
        <v>527</v>
      </c>
      <c r="F229" s="121" t="s">
        <v>527</v>
      </c>
      <c r="G229" s="121" t="s">
        <v>2</v>
      </c>
      <c r="H229" s="122">
        <v>466</v>
      </c>
      <c r="I229" s="122">
        <v>709</v>
      </c>
      <c r="J229" s="121"/>
      <c r="K229" s="121" t="s">
        <v>1</v>
      </c>
      <c r="L229" s="121"/>
      <c r="M229" s="121"/>
      <c r="N229" s="103" t="str">
        <f t="shared" si="3"/>
        <v>1</v>
      </c>
      <c r="O229" s="103" t="str">
        <f>INDEX(Кат!$I:$I,MATCH($A229,Кат!$A:$A,0))</f>
        <v>БРТ</v>
      </c>
    </row>
    <row r="230" spans="1:15" ht="45" x14ac:dyDescent="0.25">
      <c r="A230" s="120">
        <v>186573</v>
      </c>
      <c r="B230" s="120">
        <v>35561</v>
      </c>
      <c r="C230" s="121" t="s">
        <v>1681</v>
      </c>
      <c r="D230" s="121" t="s">
        <v>2414</v>
      </c>
      <c r="E230" s="121" t="s">
        <v>526</v>
      </c>
      <c r="F230" s="121" t="s">
        <v>526</v>
      </c>
      <c r="G230" s="121" t="s">
        <v>2</v>
      </c>
      <c r="H230" s="122">
        <v>391</v>
      </c>
      <c r="I230" s="122">
        <v>759</v>
      </c>
      <c r="J230" s="121" t="s">
        <v>2577</v>
      </c>
      <c r="K230" s="121" t="s">
        <v>1</v>
      </c>
      <c r="L230" s="121"/>
      <c r="M230" s="121"/>
      <c r="N230" s="103" t="str">
        <f t="shared" si="3"/>
        <v>1</v>
      </c>
      <c r="O230" s="103" t="str">
        <f>INDEX(Кат!$I:$I,MATCH($A230,Кат!$A:$A,0))</f>
        <v>БРТ</v>
      </c>
    </row>
    <row r="231" spans="1:15" ht="45" x14ac:dyDescent="0.25">
      <c r="A231" s="120">
        <v>186576</v>
      </c>
      <c r="B231" s="120">
        <v>35325</v>
      </c>
      <c r="C231" s="121" t="s">
        <v>1564</v>
      </c>
      <c r="D231" s="121" t="s">
        <v>2414</v>
      </c>
      <c r="E231" s="121" t="s">
        <v>391</v>
      </c>
      <c r="F231" s="121" t="s">
        <v>391</v>
      </c>
      <c r="G231" s="121" t="s">
        <v>2</v>
      </c>
      <c r="H231" s="122">
        <v>158</v>
      </c>
      <c r="I231" s="122">
        <v>209</v>
      </c>
      <c r="J231" s="121" t="s">
        <v>2338</v>
      </c>
      <c r="K231" s="121" t="s">
        <v>1</v>
      </c>
      <c r="L231" s="121"/>
      <c r="M231" s="121"/>
      <c r="N231" s="103" t="str">
        <f t="shared" si="3"/>
        <v>1</v>
      </c>
      <c r="O231" s="103" t="str">
        <f>INDEX(Кат!$I:$I,MATCH($A231,Кат!$A:$A,0))</f>
        <v>БРТ</v>
      </c>
    </row>
    <row r="232" spans="1:15" ht="45" x14ac:dyDescent="0.25">
      <c r="A232" s="120">
        <v>186578</v>
      </c>
      <c r="B232" s="120">
        <v>35564</v>
      </c>
      <c r="C232" s="121" t="s">
        <v>1684</v>
      </c>
      <c r="D232" s="121" t="s">
        <v>2414</v>
      </c>
      <c r="E232" s="121" t="s">
        <v>529</v>
      </c>
      <c r="F232" s="121" t="s">
        <v>529</v>
      </c>
      <c r="G232" s="121" t="s">
        <v>2</v>
      </c>
      <c r="H232" s="122">
        <v>466</v>
      </c>
      <c r="I232" s="122">
        <v>709</v>
      </c>
      <c r="J232" s="121"/>
      <c r="K232" s="121" t="s">
        <v>1</v>
      </c>
      <c r="L232" s="121"/>
      <c r="M232" s="121"/>
      <c r="N232" s="103" t="str">
        <f t="shared" si="3"/>
        <v>1</v>
      </c>
      <c r="O232" s="103" t="str">
        <f>INDEX(Кат!$I:$I,MATCH($A232,Кат!$A:$A,0))</f>
        <v>БРТ</v>
      </c>
    </row>
    <row r="233" spans="1:15" ht="30" x14ac:dyDescent="0.25">
      <c r="A233" s="120">
        <v>186579</v>
      </c>
      <c r="B233" s="120">
        <v>35584</v>
      </c>
      <c r="C233" s="121" t="s">
        <v>1697</v>
      </c>
      <c r="D233" s="121" t="s">
        <v>2414</v>
      </c>
      <c r="E233" s="121" t="s">
        <v>3010</v>
      </c>
      <c r="F233" s="121" t="s">
        <v>1437</v>
      </c>
      <c r="G233" s="121" t="s">
        <v>2</v>
      </c>
      <c r="H233" s="122">
        <v>219</v>
      </c>
      <c r="I233" s="122">
        <v>379</v>
      </c>
      <c r="J233" s="121"/>
      <c r="K233" s="121" t="s">
        <v>1</v>
      </c>
      <c r="L233" s="121"/>
      <c r="M233" s="121"/>
      <c r="N233" s="103" t="str">
        <f t="shared" si="3"/>
        <v>1</v>
      </c>
      <c r="O233" s="103" t="str">
        <f>INDEX(Кат!$I:$I,MATCH($A233,Кат!$A:$A,0))</f>
        <v>БРТ</v>
      </c>
    </row>
    <row r="234" spans="1:15" ht="45" x14ac:dyDescent="0.25">
      <c r="A234" s="120">
        <v>186580</v>
      </c>
      <c r="B234" s="120">
        <v>35563</v>
      </c>
      <c r="C234" s="121" t="s">
        <v>1683</v>
      </c>
      <c r="D234" s="121" t="s">
        <v>2414</v>
      </c>
      <c r="E234" s="121" t="s">
        <v>528</v>
      </c>
      <c r="F234" s="121" t="s">
        <v>528</v>
      </c>
      <c r="G234" s="121" t="s">
        <v>2</v>
      </c>
      <c r="H234" s="122">
        <v>389</v>
      </c>
      <c r="I234" s="122">
        <v>759</v>
      </c>
      <c r="J234" s="121" t="s">
        <v>2492</v>
      </c>
      <c r="K234" s="121" t="s">
        <v>1</v>
      </c>
      <c r="L234" s="121"/>
      <c r="M234" s="121"/>
      <c r="N234" s="103" t="str">
        <f t="shared" si="3"/>
        <v>1</v>
      </c>
      <c r="O234" s="103" t="str">
        <f>INDEX(Кат!$I:$I,MATCH($A234,Кат!$A:$A,0))</f>
        <v>БРТ</v>
      </c>
    </row>
    <row r="235" spans="1:15" ht="30" x14ac:dyDescent="0.25">
      <c r="A235" s="120">
        <v>186581</v>
      </c>
      <c r="B235" s="120">
        <v>35588</v>
      </c>
      <c r="C235" s="121" t="s">
        <v>1699</v>
      </c>
      <c r="D235" s="121" t="s">
        <v>2414</v>
      </c>
      <c r="E235" s="121" t="s">
        <v>2853</v>
      </c>
      <c r="F235" s="121" t="s">
        <v>1444</v>
      </c>
      <c r="G235" s="121" t="s">
        <v>2</v>
      </c>
      <c r="H235" s="122">
        <v>101</v>
      </c>
      <c r="I235" s="122">
        <v>179</v>
      </c>
      <c r="J235" s="121"/>
      <c r="K235" s="121" t="s">
        <v>1</v>
      </c>
      <c r="L235" s="121"/>
      <c r="M235" s="121"/>
      <c r="N235" s="103" t="str">
        <f t="shared" si="3"/>
        <v>1</v>
      </c>
      <c r="O235" s="103" t="str">
        <f>INDEX(Кат!$I:$I,MATCH($A235,Кат!$A:$A,0))</f>
        <v>БРТ</v>
      </c>
    </row>
    <row r="236" spans="1:15" ht="30" x14ac:dyDescent="0.25">
      <c r="A236" s="120">
        <v>186582</v>
      </c>
      <c r="B236" s="120">
        <v>35390</v>
      </c>
      <c r="C236" s="121" t="s">
        <v>1597</v>
      </c>
      <c r="D236" s="121" t="s">
        <v>2414</v>
      </c>
      <c r="E236" s="121" t="s">
        <v>3011</v>
      </c>
      <c r="F236" s="121" t="s">
        <v>885</v>
      </c>
      <c r="G236" s="121" t="s">
        <v>2</v>
      </c>
      <c r="H236" s="122">
        <v>278</v>
      </c>
      <c r="I236" s="122">
        <v>479</v>
      </c>
      <c r="J236" s="121"/>
      <c r="K236" s="121" t="s">
        <v>1</v>
      </c>
      <c r="L236" s="121"/>
      <c r="M236" s="121"/>
      <c r="N236" s="103" t="str">
        <f t="shared" si="3"/>
        <v>1</v>
      </c>
      <c r="O236" s="103" t="str">
        <f>INDEX(Кат!$I:$I,MATCH($A236,Кат!$A:$A,0))</f>
        <v>БРТ</v>
      </c>
    </row>
    <row r="237" spans="1:15" ht="45" x14ac:dyDescent="0.25">
      <c r="A237" s="120">
        <v>186583</v>
      </c>
      <c r="B237" s="120">
        <v>35385</v>
      </c>
      <c r="C237" s="121" t="s">
        <v>1596</v>
      </c>
      <c r="D237" s="121" t="s">
        <v>2414</v>
      </c>
      <c r="E237" s="121" t="s">
        <v>3012</v>
      </c>
      <c r="F237" s="121" t="s">
        <v>881</v>
      </c>
      <c r="G237" s="121" t="s">
        <v>2</v>
      </c>
      <c r="H237" s="122">
        <v>291</v>
      </c>
      <c r="I237" s="122">
        <v>509</v>
      </c>
      <c r="J237" s="121"/>
      <c r="K237" s="121" t="s">
        <v>1</v>
      </c>
      <c r="L237" s="121"/>
      <c r="M237" s="121"/>
      <c r="N237" s="103" t="str">
        <f t="shared" si="3"/>
        <v>1</v>
      </c>
      <c r="O237" s="103" t="str">
        <f>INDEX(Кат!$I:$I,MATCH($A237,Кат!$A:$A,0))</f>
        <v>БРТ</v>
      </c>
    </row>
    <row r="238" spans="1:15" ht="45" x14ac:dyDescent="0.25">
      <c r="A238" s="120">
        <v>186585</v>
      </c>
      <c r="B238" s="120">
        <v>35383</v>
      </c>
      <c r="C238" s="121" t="s">
        <v>1595</v>
      </c>
      <c r="D238" s="121" t="s">
        <v>2414</v>
      </c>
      <c r="E238" s="121" t="s">
        <v>3013</v>
      </c>
      <c r="F238" s="121" t="s">
        <v>879</v>
      </c>
      <c r="G238" s="121" t="s">
        <v>2</v>
      </c>
      <c r="H238" s="122">
        <v>260</v>
      </c>
      <c r="I238" s="122">
        <v>449</v>
      </c>
      <c r="J238" s="121"/>
      <c r="K238" s="121" t="s">
        <v>1</v>
      </c>
      <c r="L238" s="121"/>
      <c r="M238" s="121"/>
      <c r="N238" s="103" t="str">
        <f t="shared" si="3"/>
        <v>1</v>
      </c>
      <c r="O238" s="103" t="str">
        <f>INDEX(Кат!$I:$I,MATCH($A238,Кат!$A:$A,0))</f>
        <v>БРТ</v>
      </c>
    </row>
    <row r="239" spans="1:15" ht="30" x14ac:dyDescent="0.25">
      <c r="A239" s="120">
        <v>186586</v>
      </c>
      <c r="B239" s="120">
        <v>35578</v>
      </c>
      <c r="C239" s="121" t="s">
        <v>1692</v>
      </c>
      <c r="D239" s="121" t="s">
        <v>2467</v>
      </c>
      <c r="E239" s="121" t="s">
        <v>2854</v>
      </c>
      <c r="F239" s="121" t="s">
        <v>591</v>
      </c>
      <c r="G239" s="121" t="s">
        <v>2</v>
      </c>
      <c r="H239" s="122">
        <v>84</v>
      </c>
      <c r="I239" s="122">
        <v>189</v>
      </c>
      <c r="J239" s="121"/>
      <c r="K239" s="121" t="s">
        <v>1</v>
      </c>
      <c r="L239" s="121"/>
      <c r="M239" s="121"/>
      <c r="N239" s="103" t="str">
        <f t="shared" si="3"/>
        <v>1</v>
      </c>
      <c r="O239" s="103" t="str">
        <f>INDEX(Кат!$I:$I,MATCH($A239,Кат!$A:$A,0))</f>
        <v>БРТ</v>
      </c>
    </row>
    <row r="240" spans="1:15" ht="30" x14ac:dyDescent="0.25">
      <c r="A240" s="120">
        <v>186587</v>
      </c>
      <c r="B240" s="120">
        <v>35347</v>
      </c>
      <c r="C240" s="121" t="s">
        <v>1579</v>
      </c>
      <c r="D240" s="121" t="s">
        <v>2414</v>
      </c>
      <c r="E240" s="121" t="s">
        <v>2853</v>
      </c>
      <c r="F240" s="121"/>
      <c r="G240" s="121" t="s">
        <v>2</v>
      </c>
      <c r="H240" s="122">
        <v>101</v>
      </c>
      <c r="I240" s="122">
        <v>179</v>
      </c>
      <c r="J240" s="121"/>
      <c r="K240" s="121" t="s">
        <v>1</v>
      </c>
      <c r="L240" s="121"/>
      <c r="M240" s="121"/>
      <c r="N240" s="103" t="str">
        <f t="shared" si="3"/>
        <v>1</v>
      </c>
      <c r="O240" s="103" t="str">
        <f>INDEX(Кат!$I:$I,MATCH($A240,Кат!$A:$A,0))</f>
        <v>БРТ</v>
      </c>
    </row>
    <row r="241" spans="1:15" ht="30" x14ac:dyDescent="0.25">
      <c r="A241" s="120">
        <v>186588</v>
      </c>
      <c r="B241" s="120">
        <v>35344</v>
      </c>
      <c r="C241" s="121" t="s">
        <v>1577</v>
      </c>
      <c r="D241" s="121" t="s">
        <v>2467</v>
      </c>
      <c r="E241" s="121" t="s">
        <v>840</v>
      </c>
      <c r="F241" s="121" t="s">
        <v>840</v>
      </c>
      <c r="G241" s="121" t="s">
        <v>2</v>
      </c>
      <c r="H241" s="122">
        <v>130</v>
      </c>
      <c r="I241" s="122">
        <v>229</v>
      </c>
      <c r="J241" s="121"/>
      <c r="K241" s="121" t="s">
        <v>1</v>
      </c>
      <c r="L241" s="121"/>
      <c r="M241" s="121"/>
      <c r="N241" s="103" t="str">
        <f t="shared" si="3"/>
        <v>1</v>
      </c>
      <c r="O241" s="103" t="str">
        <f>INDEX(Кат!$I:$I,MATCH($A241,Кат!$A:$A,0))</f>
        <v>БРТ</v>
      </c>
    </row>
    <row r="242" spans="1:15" ht="30" x14ac:dyDescent="0.25">
      <c r="A242" s="120">
        <v>186668</v>
      </c>
      <c r="B242" s="120">
        <v>20493</v>
      </c>
      <c r="C242" s="121" t="s">
        <v>1577</v>
      </c>
      <c r="D242" s="121" t="s">
        <v>2414</v>
      </c>
      <c r="E242" s="121" t="s">
        <v>558</v>
      </c>
      <c r="F242" s="121"/>
      <c r="G242" s="121" t="s">
        <v>2</v>
      </c>
      <c r="H242" s="122">
        <v>130</v>
      </c>
      <c r="I242" s="122">
        <v>229</v>
      </c>
      <c r="J242" s="121"/>
      <c r="K242" s="121" t="s">
        <v>1</v>
      </c>
      <c r="L242" s="121"/>
      <c r="M242" s="121"/>
      <c r="N242" s="103" t="str">
        <f t="shared" si="3"/>
        <v>1</v>
      </c>
      <c r="O242" s="103" t="str">
        <f>INDEX(Кат!$I:$I,MATCH($A242,Кат!$A:$A,0))</f>
        <v>БРТ</v>
      </c>
    </row>
    <row r="243" spans="1:15" ht="45" x14ac:dyDescent="0.25">
      <c r="A243" s="120">
        <v>186589</v>
      </c>
      <c r="B243" s="120">
        <v>35346</v>
      </c>
      <c r="C243" s="121" t="s">
        <v>1578</v>
      </c>
      <c r="D243" s="121" t="s">
        <v>2414</v>
      </c>
      <c r="E243" s="121" t="s">
        <v>2854</v>
      </c>
      <c r="F243" s="121" t="s">
        <v>842</v>
      </c>
      <c r="G243" s="121" t="s">
        <v>2</v>
      </c>
      <c r="H243" s="122">
        <v>84</v>
      </c>
      <c r="I243" s="122">
        <v>189</v>
      </c>
      <c r="J243" s="121"/>
      <c r="K243" s="121" t="s">
        <v>1</v>
      </c>
      <c r="L243" s="121"/>
      <c r="M243" s="121"/>
      <c r="N243" s="103" t="str">
        <f t="shared" si="3"/>
        <v>1</v>
      </c>
      <c r="O243" s="103" t="str">
        <f>INDEX(Кат!$I:$I,MATCH($A243,Кат!$A:$A,0))</f>
        <v>БРТ</v>
      </c>
    </row>
    <row r="244" spans="1:15" ht="30" x14ac:dyDescent="0.25">
      <c r="A244" s="120">
        <v>186590</v>
      </c>
      <c r="B244" s="120">
        <v>35587</v>
      </c>
      <c r="C244" s="121" t="s">
        <v>1698</v>
      </c>
      <c r="D244" s="121" t="s">
        <v>2414</v>
      </c>
      <c r="E244" s="121" t="s">
        <v>2855</v>
      </c>
      <c r="F244" s="121" t="s">
        <v>1442</v>
      </c>
      <c r="G244" s="121" t="s">
        <v>2</v>
      </c>
      <c r="H244" s="122">
        <v>90</v>
      </c>
      <c r="I244" s="122">
        <v>199</v>
      </c>
      <c r="J244" s="121"/>
      <c r="K244" s="121" t="s">
        <v>1</v>
      </c>
      <c r="L244" s="121"/>
      <c r="M244" s="121"/>
      <c r="N244" s="103" t="str">
        <f t="shared" si="3"/>
        <v>1</v>
      </c>
      <c r="O244" s="103" t="str">
        <f>INDEX(Кат!$I:$I,MATCH($A244,Кат!$A:$A,0))</f>
        <v>БРТ</v>
      </c>
    </row>
    <row r="245" spans="1:15" ht="30" x14ac:dyDescent="0.25">
      <c r="A245" s="120">
        <v>186591</v>
      </c>
      <c r="B245" s="120">
        <v>35581</v>
      </c>
      <c r="C245" s="121" t="s">
        <v>1694</v>
      </c>
      <c r="D245" s="121" t="s">
        <v>2414</v>
      </c>
      <c r="E245" s="121" t="s">
        <v>588</v>
      </c>
      <c r="F245" s="121" t="s">
        <v>588</v>
      </c>
      <c r="G245" s="121" t="s">
        <v>2</v>
      </c>
      <c r="H245" s="122">
        <v>101</v>
      </c>
      <c r="I245" s="122">
        <v>179</v>
      </c>
      <c r="J245" s="121"/>
      <c r="K245" s="121" t="s">
        <v>1</v>
      </c>
      <c r="L245" s="121"/>
      <c r="M245" s="121"/>
      <c r="N245" s="103" t="str">
        <f t="shared" si="3"/>
        <v>1</v>
      </c>
      <c r="O245" s="103" t="str">
        <f>INDEX(Кат!$I:$I,MATCH($A245,Кат!$A:$A,0))</f>
        <v>БРТ</v>
      </c>
    </row>
    <row r="246" spans="1:15" ht="30" x14ac:dyDescent="0.25">
      <c r="A246" s="120">
        <v>186592</v>
      </c>
      <c r="B246" s="120">
        <v>35438</v>
      </c>
      <c r="C246" s="121" t="s">
        <v>1626</v>
      </c>
      <c r="D246" s="121" t="s">
        <v>2414</v>
      </c>
      <c r="E246" s="121" t="s">
        <v>491</v>
      </c>
      <c r="F246" s="121" t="s">
        <v>491</v>
      </c>
      <c r="G246" s="121" t="s">
        <v>2</v>
      </c>
      <c r="H246" s="122">
        <v>1010</v>
      </c>
      <c r="I246" s="122">
        <v>1390</v>
      </c>
      <c r="J246" s="121"/>
      <c r="K246" s="121" t="s">
        <v>1</v>
      </c>
      <c r="L246" s="121"/>
      <c r="M246" s="121"/>
      <c r="N246" s="103" t="str">
        <f t="shared" si="3"/>
        <v>1</v>
      </c>
      <c r="O246" s="103" t="str">
        <f>INDEX(Кат!$I:$I,MATCH($A246,Кат!$A:$A,0))</f>
        <v>БРТ</v>
      </c>
    </row>
    <row r="247" spans="1:15" ht="45" x14ac:dyDescent="0.25">
      <c r="A247" s="120">
        <v>186593</v>
      </c>
      <c r="B247" s="120">
        <v>35437</v>
      </c>
      <c r="C247" s="121" t="s">
        <v>1625</v>
      </c>
      <c r="D247" s="121" t="s">
        <v>2414</v>
      </c>
      <c r="E247" s="121" t="s">
        <v>486</v>
      </c>
      <c r="F247" s="121" t="s">
        <v>486</v>
      </c>
      <c r="G247" s="121" t="s">
        <v>2</v>
      </c>
      <c r="H247" s="122">
        <v>569</v>
      </c>
      <c r="I247" s="122">
        <v>799</v>
      </c>
      <c r="J247" s="121" t="s">
        <v>2554</v>
      </c>
      <c r="K247" s="121" t="s">
        <v>1</v>
      </c>
      <c r="L247" s="121"/>
      <c r="M247" s="121"/>
      <c r="N247" s="103" t="str">
        <f t="shared" si="3"/>
        <v>1</v>
      </c>
      <c r="O247" s="103" t="str">
        <f>INDEX(Кат!$I:$I,MATCH($A247,Кат!$A:$A,0))</f>
        <v>БРТ</v>
      </c>
    </row>
    <row r="248" spans="1:15" ht="45" x14ac:dyDescent="0.25">
      <c r="A248" s="120">
        <v>186594</v>
      </c>
      <c r="B248" s="120">
        <v>35348</v>
      </c>
      <c r="C248" s="121" t="s">
        <v>1580</v>
      </c>
      <c r="D248" s="121" t="s">
        <v>2414</v>
      </c>
      <c r="E248" s="121" t="s">
        <v>414</v>
      </c>
      <c r="F248" s="121" t="s">
        <v>414</v>
      </c>
      <c r="G248" s="121" t="s">
        <v>2</v>
      </c>
      <c r="H248" s="122">
        <v>723</v>
      </c>
      <c r="I248" s="122">
        <v>1090</v>
      </c>
      <c r="J248" s="121" t="s">
        <v>2551</v>
      </c>
      <c r="K248" s="121" t="s">
        <v>1</v>
      </c>
      <c r="L248" s="121"/>
      <c r="M248" s="121"/>
      <c r="N248" s="103" t="str">
        <f t="shared" si="3"/>
        <v>1</v>
      </c>
      <c r="O248" s="103" t="str">
        <f>INDEX(Кат!$I:$I,MATCH($A248,Кат!$A:$A,0))</f>
        <v>БРТ</v>
      </c>
    </row>
    <row r="249" spans="1:15" ht="60" x14ac:dyDescent="0.25">
      <c r="A249" s="120">
        <v>186595</v>
      </c>
      <c r="B249" s="120">
        <v>35351</v>
      </c>
      <c r="C249" s="121" t="s">
        <v>1581</v>
      </c>
      <c r="D249" s="121" t="s">
        <v>2414</v>
      </c>
      <c r="E249" s="121" t="s">
        <v>426</v>
      </c>
      <c r="F249" s="121" t="s">
        <v>426</v>
      </c>
      <c r="G249" s="121" t="s">
        <v>2</v>
      </c>
      <c r="H249" s="122">
        <v>470</v>
      </c>
      <c r="I249" s="122">
        <v>619</v>
      </c>
      <c r="J249" s="121" t="s">
        <v>2540</v>
      </c>
      <c r="K249" s="121" t="s">
        <v>1</v>
      </c>
      <c r="L249" s="121"/>
      <c r="M249" s="121"/>
      <c r="N249" s="103" t="str">
        <f t="shared" si="3"/>
        <v>1</v>
      </c>
      <c r="O249" s="103" t="str">
        <f>INDEX(Кат!$I:$I,MATCH($A249,Кат!$A:$A,0))</f>
        <v>БРТ</v>
      </c>
    </row>
    <row r="250" spans="1:15" ht="45" x14ac:dyDescent="0.25">
      <c r="A250" s="120">
        <v>186596</v>
      </c>
      <c r="B250" s="120">
        <v>35483</v>
      </c>
      <c r="C250" s="121" t="s">
        <v>1647</v>
      </c>
      <c r="D250" s="121" t="s">
        <v>2414</v>
      </c>
      <c r="E250" s="121" t="s">
        <v>1206</v>
      </c>
      <c r="F250" s="121" t="s">
        <v>1206</v>
      </c>
      <c r="G250" s="121" t="s">
        <v>2</v>
      </c>
      <c r="H250" s="122">
        <v>480</v>
      </c>
      <c r="I250" s="122">
        <v>729</v>
      </c>
      <c r="J250" s="121" t="s">
        <v>2665</v>
      </c>
      <c r="K250" s="121" t="s">
        <v>1</v>
      </c>
      <c r="L250" s="121"/>
      <c r="M250" s="121"/>
      <c r="N250" s="103" t="str">
        <f t="shared" si="3"/>
        <v>1</v>
      </c>
      <c r="O250" s="103" t="str">
        <f>INDEX(Кат!$I:$I,MATCH($A250,Кат!$A:$A,0))</f>
        <v>БРТ</v>
      </c>
    </row>
    <row r="251" spans="1:15" ht="45" x14ac:dyDescent="0.25">
      <c r="A251" s="120">
        <v>186597</v>
      </c>
      <c r="B251" s="120">
        <v>35436</v>
      </c>
      <c r="C251" s="121" t="s">
        <v>1624</v>
      </c>
      <c r="D251" s="121" t="s">
        <v>2414</v>
      </c>
      <c r="E251" s="121" t="s">
        <v>485</v>
      </c>
      <c r="F251" s="121" t="s">
        <v>485</v>
      </c>
      <c r="G251" s="121" t="s">
        <v>2</v>
      </c>
      <c r="H251" s="122">
        <v>1096</v>
      </c>
      <c r="I251" s="122">
        <v>1490</v>
      </c>
      <c r="J251" s="121" t="s">
        <v>2536</v>
      </c>
      <c r="K251" s="121" t="s">
        <v>1</v>
      </c>
      <c r="L251" s="121"/>
      <c r="M251" s="121"/>
      <c r="N251" s="103" t="str">
        <f t="shared" si="3"/>
        <v>1</v>
      </c>
      <c r="O251" s="103" t="str">
        <f>INDEX(Кат!$I:$I,MATCH($A251,Кат!$A:$A,0))</f>
        <v>БРТ</v>
      </c>
    </row>
    <row r="252" spans="1:15" ht="75" x14ac:dyDescent="0.25">
      <c r="A252" s="120">
        <v>186598</v>
      </c>
      <c r="B252" s="120">
        <v>19972</v>
      </c>
      <c r="C252" s="121" t="s">
        <v>2856</v>
      </c>
      <c r="D252" s="121" t="s">
        <v>2414</v>
      </c>
      <c r="E252" s="121" t="s">
        <v>1937</v>
      </c>
      <c r="F252" s="121"/>
      <c r="G252" s="121" t="s">
        <v>2</v>
      </c>
      <c r="H252" s="122">
        <v>64</v>
      </c>
      <c r="I252" s="122">
        <v>159</v>
      </c>
      <c r="J252" s="121" t="s">
        <v>2633</v>
      </c>
      <c r="K252" s="121" t="s">
        <v>1</v>
      </c>
      <c r="L252" s="121"/>
      <c r="M252" s="121"/>
      <c r="N252" s="103" t="str">
        <f t="shared" si="3"/>
        <v>1</v>
      </c>
      <c r="O252" s="103" t="str">
        <f>INDEX(Кат!$I:$I,MATCH($A252,Кат!$A:$A,0))</f>
        <v>БРТ</v>
      </c>
    </row>
    <row r="253" spans="1:15" ht="45" x14ac:dyDescent="0.25">
      <c r="A253" s="120">
        <v>186634</v>
      </c>
      <c r="B253" s="120">
        <v>20381</v>
      </c>
      <c r="C253" s="121" t="s">
        <v>2857</v>
      </c>
      <c r="D253" s="121" t="s">
        <v>2414</v>
      </c>
      <c r="E253" s="121" t="s">
        <v>2858</v>
      </c>
      <c r="F253" s="121"/>
      <c r="G253" s="121" t="s">
        <v>2</v>
      </c>
      <c r="H253" s="122">
        <v>203</v>
      </c>
      <c r="I253" s="122">
        <v>659</v>
      </c>
      <c r="J253" s="121" t="s">
        <v>2601</v>
      </c>
      <c r="K253" s="121" t="s">
        <v>1</v>
      </c>
      <c r="L253" s="121"/>
      <c r="M253" s="121"/>
      <c r="N253" s="103" t="str">
        <f t="shared" si="3"/>
        <v>1</v>
      </c>
      <c r="O253" s="103" t="str">
        <f>INDEX(Кат!$I:$I,MATCH($A253,Кат!$A:$A,0))</f>
        <v>БРТ</v>
      </c>
    </row>
    <row r="254" spans="1:15" ht="45" x14ac:dyDescent="0.25">
      <c r="A254" s="120">
        <v>186635</v>
      </c>
      <c r="B254" s="120">
        <v>20481</v>
      </c>
      <c r="C254" s="121" t="s">
        <v>2859</v>
      </c>
      <c r="D254" s="121" t="s">
        <v>2414</v>
      </c>
      <c r="E254" s="121" t="s">
        <v>2860</v>
      </c>
      <c r="F254" s="121"/>
      <c r="G254" s="121" t="s">
        <v>2</v>
      </c>
      <c r="H254" s="122">
        <v>232</v>
      </c>
      <c r="I254" s="122">
        <v>399</v>
      </c>
      <c r="J254" s="121"/>
      <c r="K254" s="121" t="s">
        <v>1</v>
      </c>
      <c r="L254" s="121"/>
      <c r="M254" s="121"/>
      <c r="N254" s="103" t="str">
        <f t="shared" si="3"/>
        <v>1</v>
      </c>
      <c r="O254" s="103" t="str">
        <f>INDEX(Кат!$I:$I,MATCH($A254,Кат!$A:$A,0))</f>
        <v>БРТ</v>
      </c>
    </row>
    <row r="255" spans="1:15" ht="45" x14ac:dyDescent="0.25">
      <c r="A255" s="120">
        <v>186655</v>
      </c>
      <c r="B255" s="120">
        <v>20485</v>
      </c>
      <c r="C255" s="121" t="s">
        <v>206</v>
      </c>
      <c r="D255" s="121" t="s">
        <v>2414</v>
      </c>
      <c r="E255" s="121" t="s">
        <v>2077</v>
      </c>
      <c r="F255" s="121"/>
      <c r="G255" s="121" t="s">
        <v>2</v>
      </c>
      <c r="H255" s="122">
        <v>55</v>
      </c>
      <c r="I255" s="122">
        <v>159</v>
      </c>
      <c r="J255" s="121" t="s">
        <v>2340</v>
      </c>
      <c r="K255" s="121" t="s">
        <v>1</v>
      </c>
      <c r="L255" s="121"/>
      <c r="M255" s="121"/>
      <c r="N255" s="103" t="str">
        <f t="shared" si="3"/>
        <v>1</v>
      </c>
      <c r="O255" s="103" t="str">
        <f>INDEX(Кат!$I:$I,MATCH($A255,Кат!$A:$A,0))</f>
        <v>БРТ</v>
      </c>
    </row>
    <row r="256" spans="1:15" ht="45" x14ac:dyDescent="0.25">
      <c r="A256" s="120">
        <v>186656</v>
      </c>
      <c r="B256" s="120">
        <v>20487</v>
      </c>
      <c r="C256" s="121" t="s">
        <v>80</v>
      </c>
      <c r="D256" s="121" t="s">
        <v>2414</v>
      </c>
      <c r="E256" s="121" t="s">
        <v>2078</v>
      </c>
      <c r="F256" s="121"/>
      <c r="G256" s="121" t="s">
        <v>2</v>
      </c>
      <c r="H256" s="122">
        <v>62</v>
      </c>
      <c r="I256" s="122">
        <v>179</v>
      </c>
      <c r="J256" s="121" t="s">
        <v>2640</v>
      </c>
      <c r="K256" s="121" t="s">
        <v>1</v>
      </c>
      <c r="L256" s="121"/>
      <c r="M256" s="121"/>
      <c r="N256" s="103" t="str">
        <f t="shared" si="3"/>
        <v>1</v>
      </c>
      <c r="O256" s="103" t="str">
        <f>INDEX(Кат!$I:$I,MATCH($A256,Кат!$A:$A,0))</f>
        <v>БРТ</v>
      </c>
    </row>
    <row r="257" spans="1:15" ht="45" x14ac:dyDescent="0.25">
      <c r="A257" s="120">
        <v>186657</v>
      </c>
      <c r="B257" s="120">
        <v>20392</v>
      </c>
      <c r="C257" s="121" t="s">
        <v>136</v>
      </c>
      <c r="D257" s="121" t="s">
        <v>2414</v>
      </c>
      <c r="E257" s="121" t="s">
        <v>2023</v>
      </c>
      <c r="F257" s="121"/>
      <c r="G257" s="121" t="s">
        <v>2</v>
      </c>
      <c r="H257" s="122">
        <v>127</v>
      </c>
      <c r="I257" s="122">
        <v>239</v>
      </c>
      <c r="J257" s="121" t="s">
        <v>2653</v>
      </c>
      <c r="K257" s="121" t="s">
        <v>1</v>
      </c>
      <c r="L257" s="121"/>
      <c r="M257" s="121"/>
      <c r="N257" s="103" t="str">
        <f t="shared" si="3"/>
        <v>1</v>
      </c>
      <c r="O257" s="103" t="str">
        <f>INDEX(Кат!$I:$I,MATCH($A257,Кат!$A:$A,0))</f>
        <v>БРТ</v>
      </c>
    </row>
    <row r="258" spans="1:15" ht="45" x14ac:dyDescent="0.25">
      <c r="A258" s="120">
        <v>186658</v>
      </c>
      <c r="B258" s="120">
        <v>20378</v>
      </c>
      <c r="C258" s="121" t="s">
        <v>95</v>
      </c>
      <c r="D258" s="121" t="s">
        <v>2414</v>
      </c>
      <c r="E258" s="121" t="s">
        <v>2019</v>
      </c>
      <c r="F258" s="121"/>
      <c r="G258" s="121" t="s">
        <v>2</v>
      </c>
      <c r="H258" s="122">
        <v>127</v>
      </c>
      <c r="I258" s="122">
        <v>239</v>
      </c>
      <c r="J258" s="121" t="s">
        <v>2653</v>
      </c>
      <c r="K258" s="121" t="s">
        <v>1</v>
      </c>
      <c r="L258" s="121"/>
      <c r="M258" s="121"/>
      <c r="N258" s="103" t="str">
        <f t="shared" si="3"/>
        <v>1</v>
      </c>
      <c r="O258" s="103" t="str">
        <f>INDEX(Кат!$I:$I,MATCH($A258,Кат!$A:$A,0))</f>
        <v>БРТ</v>
      </c>
    </row>
    <row r="259" spans="1:15" ht="45" x14ac:dyDescent="0.25">
      <c r="A259" s="120">
        <v>186669</v>
      </c>
      <c r="B259" s="120">
        <v>19953</v>
      </c>
      <c r="C259" s="121" t="s">
        <v>2861</v>
      </c>
      <c r="D259" s="121" t="s">
        <v>2414</v>
      </c>
      <c r="E259" s="121" t="s">
        <v>249</v>
      </c>
      <c r="F259" s="121"/>
      <c r="G259" s="121" t="s">
        <v>2</v>
      </c>
      <c r="H259" s="122">
        <v>257</v>
      </c>
      <c r="I259" s="122">
        <v>449</v>
      </c>
      <c r="J259" s="121"/>
      <c r="K259" s="121" t="s">
        <v>1</v>
      </c>
      <c r="L259" s="121"/>
      <c r="M259" s="121"/>
      <c r="N259" s="103" t="str">
        <f t="shared" ref="N259:N322" si="4">_xlfn.CONCAT(K259,IF(L259&lt;&gt;"",_xlfn.CONCAT("ск",L259),""))</f>
        <v>1</v>
      </c>
      <c r="O259" s="103" t="str">
        <f>INDEX(Кат!$I:$I,MATCH($A259,Кат!$A:$A,0))</f>
        <v>БРТ</v>
      </c>
    </row>
    <row r="260" spans="1:15" ht="45" x14ac:dyDescent="0.25">
      <c r="A260" s="120">
        <v>186671</v>
      </c>
      <c r="B260" s="120">
        <v>20380</v>
      </c>
      <c r="C260" s="121" t="s">
        <v>2862</v>
      </c>
      <c r="D260" s="121" t="s">
        <v>2414</v>
      </c>
      <c r="E260" s="121" t="s">
        <v>2702</v>
      </c>
      <c r="F260" s="121"/>
      <c r="G260" s="121" t="s">
        <v>2</v>
      </c>
      <c r="H260" s="122">
        <v>360</v>
      </c>
      <c r="I260" s="122">
        <v>579</v>
      </c>
      <c r="J260" s="121" t="s">
        <v>2600</v>
      </c>
      <c r="K260" s="121" t="s">
        <v>1</v>
      </c>
      <c r="L260" s="121"/>
      <c r="M260" s="121"/>
      <c r="N260" s="103" t="str">
        <f t="shared" si="4"/>
        <v>1</v>
      </c>
      <c r="O260" s="103" t="str">
        <f>INDEX(Кат!$I:$I,MATCH($A260,Кат!$A:$A,0))</f>
        <v>БРТ</v>
      </c>
    </row>
    <row r="261" spans="1:15" ht="45" x14ac:dyDescent="0.25">
      <c r="A261" s="120">
        <v>186670</v>
      </c>
      <c r="B261" s="120">
        <v>20479</v>
      </c>
      <c r="C261" s="121" t="s">
        <v>2863</v>
      </c>
      <c r="D261" s="121" t="s">
        <v>2414</v>
      </c>
      <c r="E261" s="121" t="s">
        <v>2864</v>
      </c>
      <c r="F261" s="121"/>
      <c r="G261" s="121" t="s">
        <v>2</v>
      </c>
      <c r="H261" s="122">
        <v>232</v>
      </c>
      <c r="I261" s="122">
        <v>399</v>
      </c>
      <c r="J261" s="121"/>
      <c r="K261" s="121" t="s">
        <v>1</v>
      </c>
      <c r="L261" s="121"/>
      <c r="M261" s="121"/>
      <c r="N261" s="103" t="str">
        <f t="shared" si="4"/>
        <v>1</v>
      </c>
      <c r="O261" s="103" t="str">
        <f>INDEX(Кат!$I:$I,MATCH($A261,Кат!$A:$A,0))</f>
        <v>БРТ</v>
      </c>
    </row>
    <row r="262" spans="1:15" ht="45" x14ac:dyDescent="0.25">
      <c r="A262" s="120">
        <v>186672</v>
      </c>
      <c r="B262" s="120">
        <v>20488</v>
      </c>
      <c r="C262" s="121" t="s">
        <v>81</v>
      </c>
      <c r="D262" s="121" t="s">
        <v>2414</v>
      </c>
      <c r="E262" s="121" t="s">
        <v>556</v>
      </c>
      <c r="F262" s="121"/>
      <c r="G262" s="121" t="s">
        <v>2</v>
      </c>
      <c r="H262" s="122">
        <v>345</v>
      </c>
      <c r="I262" s="122">
        <v>679</v>
      </c>
      <c r="J262" s="121" t="s">
        <v>2614</v>
      </c>
      <c r="K262" s="121" t="s">
        <v>1</v>
      </c>
      <c r="L262" s="121"/>
      <c r="M262" s="121"/>
      <c r="N262" s="103" t="str">
        <f t="shared" si="4"/>
        <v>1</v>
      </c>
      <c r="O262" s="103" t="str">
        <f>INDEX(Кат!$I:$I,MATCH($A262,Кат!$A:$A,0))</f>
        <v>БРТ</v>
      </c>
    </row>
    <row r="263" spans="1:15" ht="30" x14ac:dyDescent="0.25">
      <c r="A263" s="120">
        <v>186675</v>
      </c>
      <c r="B263" s="120">
        <v>20235</v>
      </c>
      <c r="C263" s="121" t="s">
        <v>31</v>
      </c>
      <c r="D263" s="121" t="s">
        <v>2414</v>
      </c>
      <c r="E263" s="121" t="s">
        <v>1947</v>
      </c>
      <c r="F263" s="121"/>
      <c r="G263" s="121" t="s">
        <v>2</v>
      </c>
      <c r="H263" s="122">
        <v>515</v>
      </c>
      <c r="I263" s="122">
        <v>719</v>
      </c>
      <c r="J263" s="121"/>
      <c r="K263" s="121" t="s">
        <v>1</v>
      </c>
      <c r="L263" s="121" t="s">
        <v>1823</v>
      </c>
      <c r="M263" s="121"/>
      <c r="N263" s="103" t="str">
        <f t="shared" si="4"/>
        <v>1ск4</v>
      </c>
      <c r="O263" s="103" t="str">
        <f>INDEX(Кат!$I:$I,MATCH($A263,Кат!$A:$A,0))</f>
        <v>БРТ</v>
      </c>
    </row>
    <row r="264" spans="1:15" ht="45" x14ac:dyDescent="0.25">
      <c r="A264" s="120">
        <v>186676</v>
      </c>
      <c r="B264" s="120">
        <v>20437</v>
      </c>
      <c r="C264" s="121" t="s">
        <v>74</v>
      </c>
      <c r="D264" s="121" t="s">
        <v>2414</v>
      </c>
      <c r="E264" s="121" t="s">
        <v>2053</v>
      </c>
      <c r="F264" s="121"/>
      <c r="G264" s="121" t="s">
        <v>2</v>
      </c>
      <c r="H264" s="122">
        <v>71</v>
      </c>
      <c r="I264" s="122">
        <v>159</v>
      </c>
      <c r="J264" s="121"/>
      <c r="K264" s="121" t="s">
        <v>1</v>
      </c>
      <c r="L264" s="121"/>
      <c r="M264" s="121"/>
      <c r="N264" s="103" t="str">
        <f t="shared" si="4"/>
        <v>1</v>
      </c>
      <c r="O264" s="103" t="str">
        <f>INDEX(Кат!$I:$I,MATCH($A264,Кат!$A:$A,0))</f>
        <v>БРТ</v>
      </c>
    </row>
    <row r="265" spans="1:15" ht="45" x14ac:dyDescent="0.25">
      <c r="A265" s="120">
        <v>186677</v>
      </c>
      <c r="B265" s="120">
        <v>20433</v>
      </c>
      <c r="C265" s="121" t="s">
        <v>72</v>
      </c>
      <c r="D265" s="121" t="s">
        <v>2414</v>
      </c>
      <c r="E265" s="121" t="s">
        <v>2051</v>
      </c>
      <c r="F265" s="121"/>
      <c r="G265" s="121" t="s">
        <v>2</v>
      </c>
      <c r="H265" s="122">
        <v>90</v>
      </c>
      <c r="I265" s="122">
        <v>319</v>
      </c>
      <c r="J265" s="121" t="s">
        <v>2675</v>
      </c>
      <c r="K265" s="121" t="s">
        <v>1</v>
      </c>
      <c r="L265" s="121"/>
      <c r="M265" s="121"/>
      <c r="N265" s="103" t="str">
        <f t="shared" si="4"/>
        <v>1</v>
      </c>
      <c r="O265" s="103" t="str">
        <f>INDEX(Кат!$I:$I,MATCH($A265,Кат!$A:$A,0))</f>
        <v>БРТ</v>
      </c>
    </row>
    <row r="266" spans="1:15" ht="45" x14ac:dyDescent="0.25">
      <c r="A266" s="120">
        <v>186678</v>
      </c>
      <c r="B266" s="120">
        <v>20451</v>
      </c>
      <c r="C266" s="121" t="s">
        <v>79</v>
      </c>
      <c r="D266" s="121" t="s">
        <v>2414</v>
      </c>
      <c r="E266" s="121" t="s">
        <v>2060</v>
      </c>
      <c r="F266" s="121"/>
      <c r="G266" s="121" t="s">
        <v>2</v>
      </c>
      <c r="H266" s="122">
        <v>194</v>
      </c>
      <c r="I266" s="122">
        <v>379</v>
      </c>
      <c r="J266" s="121" t="s">
        <v>2668</v>
      </c>
      <c r="K266" s="121" t="s">
        <v>1</v>
      </c>
      <c r="L266" s="121"/>
      <c r="M266" s="121"/>
      <c r="N266" s="103" t="str">
        <f t="shared" si="4"/>
        <v>1</v>
      </c>
      <c r="O266" s="103" t="str">
        <f>INDEX(Кат!$I:$I,MATCH($A266,Кат!$A:$A,0))</f>
        <v>БРТ</v>
      </c>
    </row>
    <row r="267" spans="1:15" ht="45" x14ac:dyDescent="0.25">
      <c r="A267" s="120">
        <v>186679</v>
      </c>
      <c r="B267" s="120">
        <v>20434</v>
      </c>
      <c r="C267" s="121" t="s">
        <v>73</v>
      </c>
      <c r="D267" s="121" t="s">
        <v>2414</v>
      </c>
      <c r="E267" s="121" t="s">
        <v>2052</v>
      </c>
      <c r="F267" s="121"/>
      <c r="G267" s="121" t="s">
        <v>2</v>
      </c>
      <c r="H267" s="122">
        <v>59</v>
      </c>
      <c r="I267" s="122">
        <v>129</v>
      </c>
      <c r="J267" s="121"/>
      <c r="K267" s="121" t="s">
        <v>1</v>
      </c>
      <c r="L267" s="121"/>
      <c r="M267" s="121"/>
      <c r="N267" s="103" t="str">
        <f t="shared" si="4"/>
        <v>1</v>
      </c>
      <c r="O267" s="103" t="str">
        <f>INDEX(Кат!$I:$I,MATCH($A267,Кат!$A:$A,0))</f>
        <v>БРТ</v>
      </c>
    </row>
    <row r="268" spans="1:15" ht="45" x14ac:dyDescent="0.25">
      <c r="A268" s="120">
        <v>186680</v>
      </c>
      <c r="B268" s="120">
        <v>20430</v>
      </c>
      <c r="C268" s="121" t="s">
        <v>71</v>
      </c>
      <c r="D268" s="121" t="s">
        <v>2414</v>
      </c>
      <c r="E268" s="121" t="s">
        <v>2050</v>
      </c>
      <c r="F268" s="121"/>
      <c r="G268" s="121" t="s">
        <v>2</v>
      </c>
      <c r="H268" s="122">
        <v>49</v>
      </c>
      <c r="I268" s="122">
        <v>159</v>
      </c>
      <c r="J268" s="121" t="s">
        <v>2652</v>
      </c>
      <c r="K268" s="121" t="s">
        <v>1</v>
      </c>
      <c r="L268" s="121"/>
      <c r="M268" s="121"/>
      <c r="N268" s="103" t="str">
        <f t="shared" si="4"/>
        <v>1</v>
      </c>
      <c r="O268" s="103" t="str">
        <f>INDEX(Кат!$I:$I,MATCH($A268,Кат!$A:$A,0))</f>
        <v>БРТ</v>
      </c>
    </row>
    <row r="269" spans="1:15" ht="45" x14ac:dyDescent="0.25">
      <c r="A269" s="120">
        <v>186681</v>
      </c>
      <c r="B269" s="120">
        <v>20449</v>
      </c>
      <c r="C269" s="121" t="s">
        <v>78</v>
      </c>
      <c r="D269" s="121" t="s">
        <v>2414</v>
      </c>
      <c r="E269" s="121" t="s">
        <v>2059</v>
      </c>
      <c r="F269" s="121"/>
      <c r="G269" s="121" t="s">
        <v>2</v>
      </c>
      <c r="H269" s="122">
        <v>140</v>
      </c>
      <c r="I269" s="122">
        <v>269</v>
      </c>
      <c r="J269" s="121" t="s">
        <v>2666</v>
      </c>
      <c r="K269" s="121" t="s">
        <v>1</v>
      </c>
      <c r="L269" s="121"/>
      <c r="M269" s="121"/>
      <c r="N269" s="103" t="str">
        <f t="shared" si="4"/>
        <v>1</v>
      </c>
      <c r="O269" s="103" t="str">
        <f>INDEX(Кат!$I:$I,MATCH($A269,Кат!$A:$A,0))</f>
        <v>БРТ</v>
      </c>
    </row>
    <row r="270" spans="1:15" ht="45" x14ac:dyDescent="0.25">
      <c r="A270" s="120">
        <v>186682</v>
      </c>
      <c r="B270" s="120">
        <v>19947</v>
      </c>
      <c r="C270" s="121" t="s">
        <v>138</v>
      </c>
      <c r="D270" s="121" t="s">
        <v>2414</v>
      </c>
      <c r="E270" s="121" t="s">
        <v>1926</v>
      </c>
      <c r="F270" s="121"/>
      <c r="G270" s="121" t="s">
        <v>2</v>
      </c>
      <c r="H270" s="122">
        <v>83</v>
      </c>
      <c r="I270" s="122">
        <v>179</v>
      </c>
      <c r="J270" s="121" t="s">
        <v>2650</v>
      </c>
      <c r="K270" s="121" t="s">
        <v>1</v>
      </c>
      <c r="L270" s="121"/>
      <c r="M270" s="121"/>
      <c r="N270" s="103" t="str">
        <f t="shared" si="4"/>
        <v>1</v>
      </c>
      <c r="O270" s="103" t="str">
        <f>INDEX(Кат!$I:$I,MATCH($A270,Кат!$A:$A,0))</f>
        <v>БРТ</v>
      </c>
    </row>
    <row r="271" spans="1:15" ht="45" x14ac:dyDescent="0.25">
      <c r="A271" s="120">
        <v>186683</v>
      </c>
      <c r="B271" s="120">
        <v>19935</v>
      </c>
      <c r="C271" s="121" t="s">
        <v>125</v>
      </c>
      <c r="D271" s="121" t="s">
        <v>2414</v>
      </c>
      <c r="E271" s="121" t="s">
        <v>1916</v>
      </c>
      <c r="F271" s="121"/>
      <c r="G271" s="121" t="s">
        <v>2</v>
      </c>
      <c r="H271" s="122">
        <v>132</v>
      </c>
      <c r="I271" s="122">
        <v>239</v>
      </c>
      <c r="J271" s="121" t="s">
        <v>2663</v>
      </c>
      <c r="K271" s="121" t="s">
        <v>1</v>
      </c>
      <c r="L271" s="121"/>
      <c r="M271" s="121"/>
      <c r="N271" s="103" t="str">
        <f t="shared" si="4"/>
        <v>1</v>
      </c>
      <c r="O271" s="103" t="str">
        <f>INDEX(Кат!$I:$I,MATCH($A271,Кат!$A:$A,0))</f>
        <v>БРТ</v>
      </c>
    </row>
    <row r="272" spans="1:15" ht="45" x14ac:dyDescent="0.25">
      <c r="A272" s="120">
        <v>186684</v>
      </c>
      <c r="B272" s="120">
        <v>19975</v>
      </c>
      <c r="C272" s="121" t="s">
        <v>29</v>
      </c>
      <c r="D272" s="121" t="s">
        <v>2414</v>
      </c>
      <c r="E272" s="121" t="s">
        <v>375</v>
      </c>
      <c r="F272" s="121"/>
      <c r="G272" s="121" t="s">
        <v>2</v>
      </c>
      <c r="H272" s="122">
        <v>129</v>
      </c>
      <c r="I272" s="122">
        <v>179</v>
      </c>
      <c r="J272" s="121" t="s">
        <v>2655</v>
      </c>
      <c r="K272" s="121" t="s">
        <v>1</v>
      </c>
      <c r="L272" s="121"/>
      <c r="M272" s="121"/>
      <c r="N272" s="103" t="str">
        <f t="shared" si="4"/>
        <v>1</v>
      </c>
      <c r="O272" s="103" t="str">
        <f>INDEX(Кат!$I:$I,MATCH($A272,Кат!$A:$A,0))</f>
        <v>БРТ</v>
      </c>
    </row>
    <row r="273" spans="1:15" ht="45" x14ac:dyDescent="0.25">
      <c r="A273" s="120">
        <v>186685</v>
      </c>
      <c r="B273" s="120">
        <v>20236</v>
      </c>
      <c r="C273" s="121" t="s">
        <v>32</v>
      </c>
      <c r="D273" s="121" t="s">
        <v>2414</v>
      </c>
      <c r="E273" s="121" t="s">
        <v>1948</v>
      </c>
      <c r="F273" s="121"/>
      <c r="G273" s="121" t="s">
        <v>2</v>
      </c>
      <c r="H273" s="122">
        <v>126</v>
      </c>
      <c r="I273" s="122">
        <v>219</v>
      </c>
      <c r="J273" s="121"/>
      <c r="K273" s="121" t="s">
        <v>1</v>
      </c>
      <c r="L273" s="121"/>
      <c r="M273" s="121"/>
      <c r="N273" s="103" t="str">
        <f t="shared" si="4"/>
        <v>1</v>
      </c>
      <c r="O273" s="103" t="str">
        <f>INDEX(Кат!$I:$I,MATCH($A273,Кат!$A:$A,0))</f>
        <v>БРТ</v>
      </c>
    </row>
    <row r="274" spans="1:15" ht="45" x14ac:dyDescent="0.25">
      <c r="A274" s="120">
        <v>186686</v>
      </c>
      <c r="B274" s="120">
        <v>20010</v>
      </c>
      <c r="C274" s="121" t="s">
        <v>147</v>
      </c>
      <c r="D274" s="121" t="s">
        <v>2414</v>
      </c>
      <c r="E274" s="121" t="s">
        <v>1943</v>
      </c>
      <c r="F274" s="121"/>
      <c r="G274" s="121" t="s">
        <v>2</v>
      </c>
      <c r="H274" s="122">
        <v>83</v>
      </c>
      <c r="I274" s="122">
        <v>179</v>
      </c>
      <c r="J274" s="121"/>
      <c r="K274" s="121" t="s">
        <v>1</v>
      </c>
      <c r="L274" s="121"/>
      <c r="M274" s="121"/>
      <c r="N274" s="103" t="str">
        <f t="shared" si="4"/>
        <v>1</v>
      </c>
      <c r="O274" s="103" t="str">
        <f>INDEX(Кат!$I:$I,MATCH($A274,Кат!$A:$A,0))</f>
        <v>БРТ</v>
      </c>
    </row>
    <row r="275" spans="1:15" ht="45" x14ac:dyDescent="0.25">
      <c r="A275" s="120">
        <v>186687</v>
      </c>
      <c r="B275" s="120">
        <v>20008</v>
      </c>
      <c r="C275" s="121" t="s">
        <v>96</v>
      </c>
      <c r="D275" s="121" t="s">
        <v>2414</v>
      </c>
      <c r="E275" s="121" t="s">
        <v>1941</v>
      </c>
      <c r="F275" s="121"/>
      <c r="G275" s="121" t="s">
        <v>2</v>
      </c>
      <c r="H275" s="122">
        <v>83</v>
      </c>
      <c r="I275" s="122">
        <v>179</v>
      </c>
      <c r="J275" s="121" t="s">
        <v>2649</v>
      </c>
      <c r="K275" s="121" t="s">
        <v>1</v>
      </c>
      <c r="L275" s="121"/>
      <c r="M275" s="121"/>
      <c r="N275" s="103" t="str">
        <f t="shared" si="4"/>
        <v>1</v>
      </c>
      <c r="O275" s="103" t="str">
        <f>INDEX(Кат!$I:$I,MATCH($A275,Кат!$A:$A,0))</f>
        <v>БРТ</v>
      </c>
    </row>
    <row r="276" spans="1:15" ht="45" x14ac:dyDescent="0.25">
      <c r="A276" s="120">
        <v>186688</v>
      </c>
      <c r="B276" s="120">
        <v>20398</v>
      </c>
      <c r="C276" s="121" t="s">
        <v>202</v>
      </c>
      <c r="D276" s="121" t="s">
        <v>2414</v>
      </c>
      <c r="E276" s="121" t="s">
        <v>2029</v>
      </c>
      <c r="F276" s="121"/>
      <c r="G276" s="121" t="s">
        <v>2</v>
      </c>
      <c r="H276" s="122">
        <v>84</v>
      </c>
      <c r="I276" s="122">
        <v>189</v>
      </c>
      <c r="J276" s="121"/>
      <c r="K276" s="121" t="s">
        <v>1</v>
      </c>
      <c r="L276" s="121"/>
      <c r="M276" s="121"/>
      <c r="N276" s="103" t="str">
        <f t="shared" si="4"/>
        <v>1</v>
      </c>
      <c r="O276" s="103" t="str">
        <f>INDEX(Кат!$I:$I,MATCH($A276,Кат!$A:$A,0))</f>
        <v>БРТ</v>
      </c>
    </row>
    <row r="277" spans="1:15" ht="30" x14ac:dyDescent="0.25">
      <c r="A277" s="120">
        <v>186689</v>
      </c>
      <c r="B277" s="120">
        <v>19946</v>
      </c>
      <c r="C277" s="121" t="s">
        <v>134</v>
      </c>
      <c r="D277" s="121" t="s">
        <v>2414</v>
      </c>
      <c r="E277" s="121" t="s">
        <v>1925</v>
      </c>
      <c r="F277" s="121"/>
      <c r="G277" s="121" t="s">
        <v>2</v>
      </c>
      <c r="H277" s="122">
        <v>86</v>
      </c>
      <c r="I277" s="122">
        <v>189</v>
      </c>
      <c r="J277" s="121"/>
      <c r="K277" s="121" t="s">
        <v>1</v>
      </c>
      <c r="L277" s="121"/>
      <c r="M277" s="121"/>
      <c r="N277" s="103" t="str">
        <f t="shared" si="4"/>
        <v>1</v>
      </c>
      <c r="O277" s="103" t="str">
        <f>INDEX(Кат!$I:$I,MATCH($A277,Кат!$A:$A,0))</f>
        <v>БРТ</v>
      </c>
    </row>
    <row r="278" spans="1:15" ht="30" x14ac:dyDescent="0.25">
      <c r="A278" s="120">
        <v>186690</v>
      </c>
      <c r="B278" s="120">
        <v>20241</v>
      </c>
      <c r="C278" s="121" t="s">
        <v>91</v>
      </c>
      <c r="D278" s="121" t="s">
        <v>2414</v>
      </c>
      <c r="E278" s="121" t="s">
        <v>1953</v>
      </c>
      <c r="F278" s="121"/>
      <c r="G278" s="121" t="s">
        <v>2</v>
      </c>
      <c r="H278" s="122">
        <v>153</v>
      </c>
      <c r="I278" s="122">
        <v>269</v>
      </c>
      <c r="J278" s="121"/>
      <c r="K278" s="121" t="s">
        <v>1</v>
      </c>
      <c r="L278" s="121"/>
      <c r="M278" s="121"/>
      <c r="N278" s="103" t="str">
        <f t="shared" si="4"/>
        <v>1</v>
      </c>
      <c r="O278" s="103" t="str">
        <f>INDEX(Кат!$I:$I,MATCH($A278,Кат!$A:$A,0))</f>
        <v>БРТ</v>
      </c>
    </row>
    <row r="279" spans="1:15" ht="45" x14ac:dyDescent="0.25">
      <c r="A279" s="120">
        <v>186691</v>
      </c>
      <c r="B279" s="120">
        <v>19933</v>
      </c>
      <c r="C279" s="121" t="s">
        <v>122</v>
      </c>
      <c r="D279" s="121" t="s">
        <v>2414</v>
      </c>
      <c r="E279" s="121" t="s">
        <v>1915</v>
      </c>
      <c r="F279" s="121"/>
      <c r="G279" s="121" t="s">
        <v>2</v>
      </c>
      <c r="H279" s="122">
        <v>198</v>
      </c>
      <c r="I279" s="122">
        <v>349</v>
      </c>
      <c r="J279" s="121" t="s">
        <v>2664</v>
      </c>
      <c r="K279" s="121" t="s">
        <v>1</v>
      </c>
      <c r="L279" s="121"/>
      <c r="M279" s="121"/>
      <c r="N279" s="103" t="str">
        <f t="shared" si="4"/>
        <v>1</v>
      </c>
      <c r="O279" s="103" t="str">
        <f>INDEX(Кат!$I:$I,MATCH($A279,Кат!$A:$A,0))</f>
        <v>БРТ</v>
      </c>
    </row>
    <row r="280" spans="1:15" ht="45" x14ac:dyDescent="0.25">
      <c r="A280" s="120">
        <v>186692</v>
      </c>
      <c r="B280" s="120">
        <v>20007</v>
      </c>
      <c r="C280" s="121" t="s">
        <v>184</v>
      </c>
      <c r="D280" s="121" t="s">
        <v>2414</v>
      </c>
      <c r="E280" s="121" t="s">
        <v>1940</v>
      </c>
      <c r="F280" s="121"/>
      <c r="G280" s="121" t="s">
        <v>2</v>
      </c>
      <c r="H280" s="122">
        <v>184</v>
      </c>
      <c r="I280" s="122">
        <v>239</v>
      </c>
      <c r="J280" s="121" t="s">
        <v>2656</v>
      </c>
      <c r="K280" s="121" t="s">
        <v>1</v>
      </c>
      <c r="L280" s="121"/>
      <c r="M280" s="121"/>
      <c r="N280" s="103" t="str">
        <f t="shared" si="4"/>
        <v>1</v>
      </c>
      <c r="O280" s="103" t="str">
        <f>INDEX(Кат!$I:$I,MATCH($A280,Кат!$A:$A,0))</f>
        <v>БРТ</v>
      </c>
    </row>
    <row r="281" spans="1:15" ht="45" x14ac:dyDescent="0.25">
      <c r="A281" s="120">
        <v>186693</v>
      </c>
      <c r="B281" s="120">
        <v>20399</v>
      </c>
      <c r="C281" s="121" t="s">
        <v>64</v>
      </c>
      <c r="D281" s="121" t="s">
        <v>2414</v>
      </c>
      <c r="E281" s="121" t="s">
        <v>2030</v>
      </c>
      <c r="F281" s="121"/>
      <c r="G281" s="121" t="s">
        <v>2</v>
      </c>
      <c r="H281" s="122">
        <v>184</v>
      </c>
      <c r="I281" s="122">
        <v>319</v>
      </c>
      <c r="J281" s="121"/>
      <c r="K281" s="121" t="s">
        <v>1</v>
      </c>
      <c r="L281" s="121"/>
      <c r="M281" s="121"/>
      <c r="N281" s="103" t="str">
        <f t="shared" si="4"/>
        <v>1</v>
      </c>
      <c r="O281" s="103" t="str">
        <f>INDEX(Кат!$I:$I,MATCH($A281,Кат!$A:$A,0))</f>
        <v>БРТ</v>
      </c>
    </row>
    <row r="282" spans="1:15" ht="45" x14ac:dyDescent="0.25">
      <c r="A282" s="120">
        <v>186694</v>
      </c>
      <c r="B282" s="120">
        <v>20009</v>
      </c>
      <c r="C282" s="121" t="s">
        <v>145</v>
      </c>
      <c r="D282" s="121" t="s">
        <v>2414</v>
      </c>
      <c r="E282" s="121" t="s">
        <v>1942</v>
      </c>
      <c r="F282" s="121"/>
      <c r="G282" s="121" t="s">
        <v>2</v>
      </c>
      <c r="H282" s="122">
        <v>94</v>
      </c>
      <c r="I282" s="122">
        <v>169</v>
      </c>
      <c r="J282" s="121" t="s">
        <v>2654</v>
      </c>
      <c r="K282" s="121" t="s">
        <v>1</v>
      </c>
      <c r="L282" s="121"/>
      <c r="M282" s="121"/>
      <c r="N282" s="103" t="str">
        <f t="shared" si="4"/>
        <v>1</v>
      </c>
      <c r="O282" s="103" t="str">
        <f>INDEX(Кат!$I:$I,MATCH($A282,Кат!$A:$A,0))</f>
        <v>БРТ</v>
      </c>
    </row>
    <row r="283" spans="1:15" ht="45" x14ac:dyDescent="0.25">
      <c r="A283" s="120">
        <v>186695</v>
      </c>
      <c r="B283" s="120">
        <v>20006</v>
      </c>
      <c r="C283" s="121" t="s">
        <v>30</v>
      </c>
      <c r="D283" s="121" t="s">
        <v>2414</v>
      </c>
      <c r="E283" s="121" t="s">
        <v>1939</v>
      </c>
      <c r="F283" s="121"/>
      <c r="G283" s="121" t="s">
        <v>2</v>
      </c>
      <c r="H283" s="122">
        <v>94</v>
      </c>
      <c r="I283" s="122">
        <v>209</v>
      </c>
      <c r="J283" s="121"/>
      <c r="K283" s="121" t="s">
        <v>1</v>
      </c>
      <c r="L283" s="121"/>
      <c r="M283" s="121"/>
      <c r="N283" s="103" t="str">
        <f t="shared" si="4"/>
        <v>1</v>
      </c>
      <c r="O283" s="103" t="str">
        <f>INDEX(Кат!$I:$I,MATCH($A283,Кат!$A:$A,0))</f>
        <v>БРТ</v>
      </c>
    </row>
    <row r="284" spans="1:15" ht="45" x14ac:dyDescent="0.25">
      <c r="A284" s="120">
        <v>186696</v>
      </c>
      <c r="B284" s="120">
        <v>20396</v>
      </c>
      <c r="C284" s="121" t="s">
        <v>203</v>
      </c>
      <c r="D284" s="121" t="s">
        <v>2414</v>
      </c>
      <c r="E284" s="121" t="s">
        <v>2026</v>
      </c>
      <c r="F284" s="121"/>
      <c r="G284" s="121" t="s">
        <v>2</v>
      </c>
      <c r="H284" s="122">
        <v>77</v>
      </c>
      <c r="I284" s="122">
        <v>169</v>
      </c>
      <c r="J284" s="121"/>
      <c r="K284" s="121" t="s">
        <v>1</v>
      </c>
      <c r="L284" s="121"/>
      <c r="M284" s="121"/>
      <c r="N284" s="103" t="str">
        <f t="shared" si="4"/>
        <v>1</v>
      </c>
      <c r="O284" s="103" t="str">
        <f>INDEX(Кат!$I:$I,MATCH($A284,Кат!$A:$A,0))</f>
        <v>БРТ</v>
      </c>
    </row>
    <row r="285" spans="1:15" ht="45" x14ac:dyDescent="0.25">
      <c r="A285" s="120">
        <v>186698</v>
      </c>
      <c r="B285" s="120">
        <v>20240</v>
      </c>
      <c r="C285" s="121" t="s">
        <v>120</v>
      </c>
      <c r="D285" s="121" t="s">
        <v>2414</v>
      </c>
      <c r="E285" s="121" t="s">
        <v>1952</v>
      </c>
      <c r="F285" s="121"/>
      <c r="G285" s="121" t="s">
        <v>2</v>
      </c>
      <c r="H285" s="122">
        <v>153</v>
      </c>
      <c r="I285" s="122">
        <v>349</v>
      </c>
      <c r="J285" s="121" t="s">
        <v>2662</v>
      </c>
      <c r="K285" s="121" t="s">
        <v>1</v>
      </c>
      <c r="L285" s="121"/>
      <c r="M285" s="121"/>
      <c r="N285" s="103" t="str">
        <f t="shared" si="4"/>
        <v>1</v>
      </c>
      <c r="O285" s="103" t="str">
        <f>INDEX(Кат!$I:$I,MATCH($A285,Кат!$A:$A,0))</f>
        <v>БРТ</v>
      </c>
    </row>
    <row r="286" spans="1:15" ht="45" x14ac:dyDescent="0.25">
      <c r="A286" s="120">
        <v>186699</v>
      </c>
      <c r="B286" s="120">
        <v>20412</v>
      </c>
      <c r="C286" s="121" t="s">
        <v>69</v>
      </c>
      <c r="D286" s="121" t="s">
        <v>2414</v>
      </c>
      <c r="E286" s="121" t="s">
        <v>2039</v>
      </c>
      <c r="F286" s="121"/>
      <c r="G286" s="121" t="s">
        <v>2</v>
      </c>
      <c r="H286" s="122">
        <v>166</v>
      </c>
      <c r="I286" s="122">
        <v>279</v>
      </c>
      <c r="J286" s="121" t="s">
        <v>2677</v>
      </c>
      <c r="K286" s="121" t="s">
        <v>1</v>
      </c>
      <c r="L286" s="121"/>
      <c r="M286" s="121"/>
      <c r="N286" s="103" t="str">
        <f t="shared" si="4"/>
        <v>1</v>
      </c>
      <c r="O286" s="103" t="str">
        <f>INDEX(Кат!$I:$I,MATCH($A286,Кат!$A:$A,0))</f>
        <v>БРТ</v>
      </c>
    </row>
    <row r="287" spans="1:15" ht="45" x14ac:dyDescent="0.25">
      <c r="A287" s="120">
        <v>186700</v>
      </c>
      <c r="B287" s="120">
        <v>19943</v>
      </c>
      <c r="C287" s="121" t="s">
        <v>24</v>
      </c>
      <c r="D287" s="121" t="s">
        <v>2467</v>
      </c>
      <c r="E287" s="121" t="s">
        <v>1923</v>
      </c>
      <c r="F287" s="121"/>
      <c r="G287" s="121" t="s">
        <v>2</v>
      </c>
      <c r="H287" s="122">
        <v>163</v>
      </c>
      <c r="I287" s="122">
        <v>289</v>
      </c>
      <c r="J287" s="121" t="s">
        <v>2659</v>
      </c>
      <c r="K287" s="121" t="s">
        <v>1</v>
      </c>
      <c r="L287" s="121"/>
      <c r="M287" s="121"/>
      <c r="N287" s="103" t="str">
        <f t="shared" si="4"/>
        <v>1</v>
      </c>
      <c r="O287" s="103" t="str">
        <f>INDEX(Кат!$I:$I,MATCH($A287,Кат!$A:$A,0))</f>
        <v>БРТ</v>
      </c>
    </row>
    <row r="288" spans="1:15" ht="45" x14ac:dyDescent="0.25">
      <c r="A288" s="120">
        <v>186701</v>
      </c>
      <c r="B288" s="120">
        <v>19960</v>
      </c>
      <c r="C288" s="121" t="s">
        <v>197</v>
      </c>
      <c r="D288" s="121" t="s">
        <v>2414</v>
      </c>
      <c r="E288" s="121" t="s">
        <v>1931</v>
      </c>
      <c r="F288" s="121"/>
      <c r="G288" s="121" t="s">
        <v>2</v>
      </c>
      <c r="H288" s="122">
        <v>79</v>
      </c>
      <c r="I288" s="122">
        <v>169</v>
      </c>
      <c r="J288" s="121"/>
      <c r="K288" s="121" t="s">
        <v>1</v>
      </c>
      <c r="L288" s="121"/>
      <c r="M288" s="121"/>
      <c r="N288" s="103" t="str">
        <f t="shared" si="4"/>
        <v>1</v>
      </c>
      <c r="O288" s="103" t="str">
        <f>INDEX(Кат!$I:$I,MATCH($A288,Кат!$A:$A,0))</f>
        <v>БРТ</v>
      </c>
    </row>
    <row r="289" spans="1:15" ht="45" x14ac:dyDescent="0.25">
      <c r="A289" s="120">
        <v>186704</v>
      </c>
      <c r="B289" s="120">
        <v>19929</v>
      </c>
      <c r="C289" s="121" t="s">
        <v>22</v>
      </c>
      <c r="D289" s="121" t="s">
        <v>2414</v>
      </c>
      <c r="E289" s="121" t="s">
        <v>1912</v>
      </c>
      <c r="F289" s="121"/>
      <c r="G289" s="121" t="s">
        <v>2</v>
      </c>
      <c r="H289" s="122">
        <v>330</v>
      </c>
      <c r="I289" s="122">
        <v>599</v>
      </c>
      <c r="J289" s="121" t="s">
        <v>2606</v>
      </c>
      <c r="K289" s="121" t="s">
        <v>1</v>
      </c>
      <c r="L289" s="121"/>
      <c r="M289" s="121"/>
      <c r="N289" s="103" t="str">
        <f t="shared" si="4"/>
        <v>1</v>
      </c>
      <c r="O289" s="103" t="str">
        <f>INDEX(Кат!$I:$I,MATCH($A289,Кат!$A:$A,0))</f>
        <v>БРТ</v>
      </c>
    </row>
    <row r="290" spans="1:15" ht="30" x14ac:dyDescent="0.25">
      <c r="A290" s="120">
        <v>186705</v>
      </c>
      <c r="B290" s="120">
        <v>20491</v>
      </c>
      <c r="C290" s="121" t="s">
        <v>135</v>
      </c>
      <c r="D290" s="121" t="s">
        <v>2414</v>
      </c>
      <c r="E290" s="121" t="s">
        <v>557</v>
      </c>
      <c r="F290" s="121"/>
      <c r="G290" s="121" t="s">
        <v>2</v>
      </c>
      <c r="H290" s="122">
        <v>263</v>
      </c>
      <c r="I290" s="122">
        <v>459</v>
      </c>
      <c r="J290" s="121"/>
      <c r="K290" s="121" t="s">
        <v>1</v>
      </c>
      <c r="L290" s="121"/>
      <c r="M290" s="121"/>
      <c r="N290" s="103" t="str">
        <f t="shared" si="4"/>
        <v>1</v>
      </c>
      <c r="O290" s="103" t="str">
        <f>INDEX(Кат!$I:$I,MATCH($A290,Кат!$A:$A,0))</f>
        <v>БРТ</v>
      </c>
    </row>
    <row r="291" spans="1:15" ht="45" x14ac:dyDescent="0.25">
      <c r="A291" s="120">
        <v>186718</v>
      </c>
      <c r="B291" s="120">
        <v>35474</v>
      </c>
      <c r="C291" s="121" t="s">
        <v>1641</v>
      </c>
      <c r="D291" s="121" t="s">
        <v>2414</v>
      </c>
      <c r="E291" s="121" t="s">
        <v>215</v>
      </c>
      <c r="F291" s="121" t="s">
        <v>215</v>
      </c>
      <c r="G291" s="121" t="s">
        <v>2</v>
      </c>
      <c r="H291" s="122">
        <v>1911</v>
      </c>
      <c r="I291" s="122">
        <v>2490</v>
      </c>
      <c r="J291" s="121" t="s">
        <v>2382</v>
      </c>
      <c r="K291" s="121" t="s">
        <v>1</v>
      </c>
      <c r="L291" s="121"/>
      <c r="M291" s="121"/>
      <c r="N291" s="103" t="str">
        <f t="shared" si="4"/>
        <v>1</v>
      </c>
      <c r="O291" s="103" t="str">
        <f>INDEX(Кат!$I:$I,MATCH($A291,Кат!$A:$A,0))</f>
        <v>БРТ</v>
      </c>
    </row>
    <row r="292" spans="1:15" ht="45" x14ac:dyDescent="0.25">
      <c r="A292" s="120">
        <v>186723</v>
      </c>
      <c r="B292" s="120">
        <v>19970</v>
      </c>
      <c r="C292" s="121" t="s">
        <v>2865</v>
      </c>
      <c r="D292" s="121" t="s">
        <v>2414</v>
      </c>
      <c r="E292" s="121" t="s">
        <v>370</v>
      </c>
      <c r="F292" s="121"/>
      <c r="G292" s="121" t="s">
        <v>2</v>
      </c>
      <c r="H292" s="122">
        <v>319</v>
      </c>
      <c r="I292" s="122">
        <v>559</v>
      </c>
      <c r="J292" s="121" t="s">
        <v>2609</v>
      </c>
      <c r="K292" s="121" t="s">
        <v>1</v>
      </c>
      <c r="L292" s="121"/>
      <c r="M292" s="121"/>
      <c r="N292" s="103" t="str">
        <f t="shared" si="4"/>
        <v>1</v>
      </c>
      <c r="O292" s="103" t="str">
        <f>INDEX(Кат!$I:$I,MATCH($A292,Кат!$A:$A,0))</f>
        <v>БРТ</v>
      </c>
    </row>
    <row r="293" spans="1:15" ht="45" x14ac:dyDescent="0.25">
      <c r="A293" s="120">
        <v>186724</v>
      </c>
      <c r="B293" s="120">
        <v>19967</v>
      </c>
      <c r="C293" s="121" t="s">
        <v>1934</v>
      </c>
      <c r="D293" s="121" t="s">
        <v>2414</v>
      </c>
      <c r="E293" s="121" t="s">
        <v>331</v>
      </c>
      <c r="F293" s="121"/>
      <c r="G293" s="121" t="s">
        <v>2</v>
      </c>
      <c r="H293" s="122">
        <v>311</v>
      </c>
      <c r="I293" s="122">
        <v>469</v>
      </c>
      <c r="J293" s="121"/>
      <c r="K293" s="121" t="s">
        <v>1</v>
      </c>
      <c r="L293" s="121"/>
      <c r="M293" s="121"/>
      <c r="N293" s="103" t="str">
        <f t="shared" si="4"/>
        <v>1</v>
      </c>
      <c r="O293" s="103" t="str">
        <f>INDEX(Кат!$I:$I,MATCH($A293,Кат!$A:$A,0))</f>
        <v>БРТ</v>
      </c>
    </row>
    <row r="294" spans="1:15" ht="45" x14ac:dyDescent="0.25">
      <c r="A294" s="120">
        <v>186725</v>
      </c>
      <c r="B294" s="120">
        <v>19941</v>
      </c>
      <c r="C294" s="121" t="s">
        <v>2866</v>
      </c>
      <c r="D294" s="121" t="s">
        <v>2414</v>
      </c>
      <c r="E294" s="121" t="s">
        <v>1921</v>
      </c>
      <c r="F294" s="121"/>
      <c r="G294" s="121" t="s">
        <v>2</v>
      </c>
      <c r="H294" s="122">
        <v>257</v>
      </c>
      <c r="I294" s="122">
        <v>449</v>
      </c>
      <c r="J294" s="121" t="s">
        <v>2660</v>
      </c>
      <c r="K294" s="121" t="s">
        <v>1</v>
      </c>
      <c r="L294" s="121"/>
      <c r="M294" s="121"/>
      <c r="N294" s="103" t="str">
        <f t="shared" si="4"/>
        <v>1</v>
      </c>
      <c r="O294" s="103" t="str">
        <f>INDEX(Кат!$I:$I,MATCH($A294,Кат!$A:$A,0))</f>
        <v>БРТ</v>
      </c>
    </row>
    <row r="295" spans="1:15" ht="45" x14ac:dyDescent="0.25">
      <c r="A295" s="120">
        <v>186726</v>
      </c>
      <c r="B295" s="120">
        <v>19952</v>
      </c>
      <c r="C295" s="121" t="s">
        <v>2867</v>
      </c>
      <c r="D295" s="121" t="s">
        <v>2414</v>
      </c>
      <c r="E295" s="121" t="s">
        <v>296</v>
      </c>
      <c r="F295" s="121"/>
      <c r="G295" s="121" t="s">
        <v>2</v>
      </c>
      <c r="H295" s="122">
        <v>273</v>
      </c>
      <c r="I295" s="122">
        <v>469</v>
      </c>
      <c r="J295" s="121"/>
      <c r="K295" s="121" t="s">
        <v>1</v>
      </c>
      <c r="L295" s="121"/>
      <c r="M295" s="121"/>
      <c r="N295" s="103" t="str">
        <f t="shared" si="4"/>
        <v>1</v>
      </c>
      <c r="O295" s="103" t="str">
        <f>INDEX(Кат!$I:$I,MATCH($A295,Кат!$A:$A,0))</f>
        <v>БРТ</v>
      </c>
    </row>
    <row r="296" spans="1:15" ht="45" x14ac:dyDescent="0.25">
      <c r="A296" s="120">
        <v>186727</v>
      </c>
      <c r="B296" s="120">
        <v>20012</v>
      </c>
      <c r="C296" s="121" t="s">
        <v>2868</v>
      </c>
      <c r="D296" s="121" t="s">
        <v>2414</v>
      </c>
      <c r="E296" s="121" t="s">
        <v>1944</v>
      </c>
      <c r="F296" s="121"/>
      <c r="G296" s="121" t="s">
        <v>2</v>
      </c>
      <c r="H296" s="122">
        <v>361</v>
      </c>
      <c r="I296" s="122">
        <v>549</v>
      </c>
      <c r="J296" s="121"/>
      <c r="K296" s="121" t="s">
        <v>1</v>
      </c>
      <c r="L296" s="121"/>
      <c r="M296" s="121"/>
      <c r="N296" s="103" t="str">
        <f t="shared" si="4"/>
        <v>1</v>
      </c>
      <c r="O296" s="103" t="str">
        <f>INDEX(Кат!$I:$I,MATCH($A296,Кат!$A:$A,0))</f>
        <v>БРТ</v>
      </c>
    </row>
    <row r="297" spans="1:15" ht="30" x14ac:dyDescent="0.25">
      <c r="A297" s="120">
        <v>186728</v>
      </c>
      <c r="B297" s="120">
        <v>19936</v>
      </c>
      <c r="C297" s="121" t="s">
        <v>119</v>
      </c>
      <c r="D297" s="121" t="s">
        <v>2414</v>
      </c>
      <c r="E297" s="121" t="s">
        <v>1917</v>
      </c>
      <c r="F297" s="121"/>
      <c r="G297" s="121" t="s">
        <v>2</v>
      </c>
      <c r="H297" s="122">
        <v>280</v>
      </c>
      <c r="I297" s="122">
        <v>489</v>
      </c>
      <c r="J297" s="121" t="s">
        <v>2339</v>
      </c>
      <c r="K297" s="121" t="s">
        <v>1</v>
      </c>
      <c r="L297" s="121"/>
      <c r="M297" s="121"/>
      <c r="N297" s="103" t="str">
        <f t="shared" si="4"/>
        <v>1</v>
      </c>
      <c r="O297" s="103" t="str">
        <f>INDEX(Кат!$I:$I,MATCH($A297,Кат!$A:$A,0))</f>
        <v>БРТ</v>
      </c>
    </row>
    <row r="298" spans="1:15" ht="45" x14ac:dyDescent="0.25">
      <c r="A298" s="120">
        <v>186729</v>
      </c>
      <c r="B298" s="120">
        <v>20404</v>
      </c>
      <c r="C298" s="121" t="s">
        <v>67</v>
      </c>
      <c r="D298" s="121" t="s">
        <v>2414</v>
      </c>
      <c r="E298" s="121" t="s">
        <v>2869</v>
      </c>
      <c r="F298" s="121"/>
      <c r="G298" s="121" t="s">
        <v>2</v>
      </c>
      <c r="H298" s="122">
        <v>211</v>
      </c>
      <c r="I298" s="122">
        <v>369</v>
      </c>
      <c r="J298" s="121" t="s">
        <v>2678</v>
      </c>
      <c r="K298" s="121" t="s">
        <v>1</v>
      </c>
      <c r="L298" s="121"/>
      <c r="M298" s="121"/>
      <c r="N298" s="103" t="str">
        <f t="shared" si="4"/>
        <v>1</v>
      </c>
      <c r="O298" s="103" t="str">
        <f>INDEX(Кат!$I:$I,MATCH($A298,Кат!$A:$A,0))</f>
        <v>БРТ</v>
      </c>
    </row>
    <row r="299" spans="1:15" ht="30" x14ac:dyDescent="0.25">
      <c r="A299" s="120">
        <v>186730</v>
      </c>
      <c r="B299" s="120">
        <v>20407</v>
      </c>
      <c r="C299" s="121" t="s">
        <v>67</v>
      </c>
      <c r="D299" s="121" t="s">
        <v>2414</v>
      </c>
      <c r="E299" s="121" t="s">
        <v>2870</v>
      </c>
      <c r="F299" s="121"/>
      <c r="G299" s="121" t="s">
        <v>2</v>
      </c>
      <c r="H299" s="122">
        <v>151</v>
      </c>
      <c r="I299" s="122">
        <v>259</v>
      </c>
      <c r="J299" s="121"/>
      <c r="K299" s="121" t="s">
        <v>1</v>
      </c>
      <c r="L299" s="121"/>
      <c r="M299" s="121"/>
      <c r="N299" s="103" t="str">
        <f t="shared" si="4"/>
        <v>1</v>
      </c>
      <c r="O299" s="103" t="str">
        <f>INDEX(Кат!$I:$I,MATCH($A299,Кат!$A:$A,0))</f>
        <v>БРТ</v>
      </c>
    </row>
    <row r="300" spans="1:15" ht="30" x14ac:dyDescent="0.25">
      <c r="A300" s="120">
        <v>186731</v>
      </c>
      <c r="B300" s="120">
        <v>20408</v>
      </c>
      <c r="C300" s="121" t="s">
        <v>67</v>
      </c>
      <c r="D300" s="121" t="s">
        <v>2414</v>
      </c>
      <c r="E300" s="121" t="s">
        <v>2871</v>
      </c>
      <c r="F300" s="121"/>
      <c r="G300" s="121" t="s">
        <v>2</v>
      </c>
      <c r="H300" s="122">
        <v>151</v>
      </c>
      <c r="I300" s="122">
        <v>259</v>
      </c>
      <c r="J300" s="121"/>
      <c r="K300" s="121" t="s">
        <v>1</v>
      </c>
      <c r="L300" s="121"/>
      <c r="M300" s="121"/>
      <c r="N300" s="103" t="str">
        <f t="shared" si="4"/>
        <v>1</v>
      </c>
      <c r="O300" s="103" t="str">
        <f>INDEX(Кат!$I:$I,MATCH($A300,Кат!$A:$A,0))</f>
        <v>БРТ</v>
      </c>
    </row>
    <row r="301" spans="1:15" ht="45" x14ac:dyDescent="0.25">
      <c r="A301" s="120">
        <v>186732</v>
      </c>
      <c r="B301" s="120">
        <v>20442</v>
      </c>
      <c r="C301" s="121" t="s">
        <v>75</v>
      </c>
      <c r="D301" s="121" t="s">
        <v>2414</v>
      </c>
      <c r="E301" s="121" t="s">
        <v>2872</v>
      </c>
      <c r="F301" s="121"/>
      <c r="G301" s="121" t="s">
        <v>2</v>
      </c>
      <c r="H301" s="122">
        <v>218</v>
      </c>
      <c r="I301" s="122">
        <v>679</v>
      </c>
      <c r="J301" s="121" t="s">
        <v>2669</v>
      </c>
      <c r="K301" s="121" t="s">
        <v>1</v>
      </c>
      <c r="L301" s="121"/>
      <c r="M301" s="121"/>
      <c r="N301" s="103" t="str">
        <f t="shared" si="4"/>
        <v>1</v>
      </c>
      <c r="O301" s="103" t="str">
        <f>INDEX(Кат!$I:$I,MATCH($A301,Кат!$A:$A,0))</f>
        <v>БРТ</v>
      </c>
    </row>
    <row r="302" spans="1:15" ht="45" x14ac:dyDescent="0.25">
      <c r="A302" s="120">
        <v>186733</v>
      </c>
      <c r="B302" s="120">
        <v>19942</v>
      </c>
      <c r="C302" s="121" t="s">
        <v>2873</v>
      </c>
      <c r="D302" s="121" t="s">
        <v>2414</v>
      </c>
      <c r="E302" s="121" t="s">
        <v>1922</v>
      </c>
      <c r="F302" s="121"/>
      <c r="G302" s="121" t="s">
        <v>2</v>
      </c>
      <c r="H302" s="122">
        <v>340</v>
      </c>
      <c r="I302" s="122">
        <v>579</v>
      </c>
      <c r="J302" s="121" t="s">
        <v>2604</v>
      </c>
      <c r="K302" s="121" t="s">
        <v>1</v>
      </c>
      <c r="L302" s="121"/>
      <c r="M302" s="121"/>
      <c r="N302" s="103" t="str">
        <f t="shared" si="4"/>
        <v>1</v>
      </c>
      <c r="O302" s="103" t="str">
        <f>INDEX(Кат!$I:$I,MATCH($A302,Кат!$A:$A,0))</f>
        <v>БРТ</v>
      </c>
    </row>
    <row r="303" spans="1:15" ht="45" x14ac:dyDescent="0.25">
      <c r="A303" s="120">
        <v>186734</v>
      </c>
      <c r="B303" s="120">
        <v>19949</v>
      </c>
      <c r="C303" s="121" t="s">
        <v>26</v>
      </c>
      <c r="D303" s="121" t="s">
        <v>2414</v>
      </c>
      <c r="E303" s="121" t="s">
        <v>1928</v>
      </c>
      <c r="F303" s="121"/>
      <c r="G303" s="121" t="s">
        <v>2</v>
      </c>
      <c r="H303" s="122">
        <v>340</v>
      </c>
      <c r="I303" s="122">
        <v>519</v>
      </c>
      <c r="J303" s="121" t="s">
        <v>2674</v>
      </c>
      <c r="K303" s="121" t="s">
        <v>1</v>
      </c>
      <c r="L303" s="121"/>
      <c r="M303" s="121"/>
      <c r="N303" s="103" t="str">
        <f t="shared" si="4"/>
        <v>1</v>
      </c>
      <c r="O303" s="103" t="str">
        <f>INDEX(Кат!$I:$I,MATCH($A303,Кат!$A:$A,0))</f>
        <v>БРТ</v>
      </c>
    </row>
    <row r="304" spans="1:15" ht="30" x14ac:dyDescent="0.25">
      <c r="A304" s="120">
        <v>186736</v>
      </c>
      <c r="B304" s="120">
        <v>19951</v>
      </c>
      <c r="C304" s="121" t="s">
        <v>2874</v>
      </c>
      <c r="D304" s="121" t="s">
        <v>2414</v>
      </c>
      <c r="E304" s="121" t="s">
        <v>1930</v>
      </c>
      <c r="F304" s="121"/>
      <c r="G304" s="121" t="s">
        <v>2</v>
      </c>
      <c r="H304" s="122">
        <v>339</v>
      </c>
      <c r="I304" s="122">
        <v>519</v>
      </c>
      <c r="J304" s="121"/>
      <c r="K304" s="121" t="s">
        <v>1</v>
      </c>
      <c r="L304" s="121"/>
      <c r="M304" s="121"/>
      <c r="N304" s="103" t="str">
        <f t="shared" si="4"/>
        <v>1</v>
      </c>
      <c r="O304" s="103" t="str">
        <f>INDEX(Кат!$I:$I,MATCH($A304,Кат!$A:$A,0))</f>
        <v>БРТ</v>
      </c>
    </row>
    <row r="305" spans="1:15" ht="45" x14ac:dyDescent="0.25">
      <c r="A305" s="120">
        <v>186735</v>
      </c>
      <c r="B305" s="120">
        <v>19954</v>
      </c>
      <c r="C305" s="121" t="s">
        <v>27</v>
      </c>
      <c r="D305" s="121" t="s">
        <v>2414</v>
      </c>
      <c r="E305" s="121" t="s">
        <v>299</v>
      </c>
      <c r="F305" s="121"/>
      <c r="G305" s="121" t="s">
        <v>2</v>
      </c>
      <c r="H305" s="122">
        <v>381</v>
      </c>
      <c r="I305" s="122">
        <v>619</v>
      </c>
      <c r="J305" s="121" t="s">
        <v>2593</v>
      </c>
      <c r="K305" s="121" t="s">
        <v>1</v>
      </c>
      <c r="L305" s="121"/>
      <c r="M305" s="121"/>
      <c r="N305" s="103" t="str">
        <f t="shared" si="4"/>
        <v>1</v>
      </c>
      <c r="O305" s="103" t="str">
        <f>INDEX(Кат!$I:$I,MATCH($A305,Кат!$A:$A,0))</f>
        <v>БРТ</v>
      </c>
    </row>
    <row r="306" spans="1:15" ht="45" x14ac:dyDescent="0.25">
      <c r="A306" s="120">
        <v>186737</v>
      </c>
      <c r="B306" s="120">
        <v>20014</v>
      </c>
      <c r="C306" s="121" t="s">
        <v>2875</v>
      </c>
      <c r="D306" s="121" t="s">
        <v>2414</v>
      </c>
      <c r="E306" s="121" t="s">
        <v>1945</v>
      </c>
      <c r="F306" s="121"/>
      <c r="G306" s="121" t="s">
        <v>2</v>
      </c>
      <c r="H306" s="122">
        <v>361</v>
      </c>
      <c r="I306" s="122">
        <v>549</v>
      </c>
      <c r="J306" s="121" t="s">
        <v>2599</v>
      </c>
      <c r="K306" s="121" t="s">
        <v>1</v>
      </c>
      <c r="L306" s="121"/>
      <c r="M306" s="121"/>
      <c r="N306" s="103" t="str">
        <f t="shared" si="4"/>
        <v>1</v>
      </c>
      <c r="O306" s="103" t="str">
        <f>INDEX(Кат!$I:$I,MATCH($A306,Кат!$A:$A,0))</f>
        <v>БРТ</v>
      </c>
    </row>
    <row r="307" spans="1:15" ht="30" x14ac:dyDescent="0.25">
      <c r="A307" s="120">
        <v>186738</v>
      </c>
      <c r="B307" s="120">
        <v>19938</v>
      </c>
      <c r="C307" s="121" t="s">
        <v>121</v>
      </c>
      <c r="D307" s="121" t="s">
        <v>2414</v>
      </c>
      <c r="E307" s="121" t="s">
        <v>1918</v>
      </c>
      <c r="F307" s="121"/>
      <c r="G307" s="121" t="s">
        <v>2</v>
      </c>
      <c r="H307" s="122">
        <v>330</v>
      </c>
      <c r="I307" s="122">
        <v>499</v>
      </c>
      <c r="J307" s="121"/>
      <c r="K307" s="121" t="s">
        <v>1</v>
      </c>
      <c r="L307" s="121"/>
      <c r="M307" s="121"/>
      <c r="N307" s="103" t="str">
        <f t="shared" si="4"/>
        <v>1</v>
      </c>
      <c r="O307" s="103" t="str">
        <f>INDEX(Кат!$I:$I,MATCH($A307,Кат!$A:$A,0))</f>
        <v>БРТ</v>
      </c>
    </row>
    <row r="308" spans="1:15" ht="45" x14ac:dyDescent="0.25">
      <c r="A308" s="120">
        <v>186739</v>
      </c>
      <c r="B308" s="120">
        <v>20405</v>
      </c>
      <c r="C308" s="121" t="s">
        <v>68</v>
      </c>
      <c r="D308" s="121" t="s">
        <v>2414</v>
      </c>
      <c r="E308" s="121" t="s">
        <v>2876</v>
      </c>
      <c r="F308" s="121"/>
      <c r="G308" s="121" t="s">
        <v>2</v>
      </c>
      <c r="H308" s="122">
        <v>331</v>
      </c>
      <c r="I308" s="122">
        <v>499</v>
      </c>
      <c r="J308" s="121" t="s">
        <v>2571</v>
      </c>
      <c r="K308" s="121" t="s">
        <v>1</v>
      </c>
      <c r="L308" s="121"/>
      <c r="M308" s="121"/>
      <c r="N308" s="103" t="str">
        <f t="shared" si="4"/>
        <v>1</v>
      </c>
      <c r="O308" s="103" t="str">
        <f>INDEX(Кат!$I:$I,MATCH($A308,Кат!$A:$A,0))</f>
        <v>БРТ</v>
      </c>
    </row>
    <row r="309" spans="1:15" ht="45" x14ac:dyDescent="0.25">
      <c r="A309" s="120">
        <v>186740</v>
      </c>
      <c r="B309" s="120">
        <v>20410</v>
      </c>
      <c r="C309" s="121" t="s">
        <v>68</v>
      </c>
      <c r="D309" s="121" t="s">
        <v>2414</v>
      </c>
      <c r="E309" s="121" t="s">
        <v>2877</v>
      </c>
      <c r="F309" s="121"/>
      <c r="G309" s="121" t="s">
        <v>2</v>
      </c>
      <c r="H309" s="122">
        <v>432</v>
      </c>
      <c r="I309" s="122">
        <v>659</v>
      </c>
      <c r="J309" s="121" t="s">
        <v>2571</v>
      </c>
      <c r="K309" s="121" t="s">
        <v>1</v>
      </c>
      <c r="L309" s="121"/>
      <c r="M309" s="121"/>
      <c r="N309" s="103" t="str">
        <f t="shared" si="4"/>
        <v>1</v>
      </c>
      <c r="O309" s="103" t="str">
        <f>INDEX(Кат!$I:$I,MATCH($A309,Кат!$A:$A,0))</f>
        <v>БРТ</v>
      </c>
    </row>
    <row r="310" spans="1:15" ht="45" x14ac:dyDescent="0.25">
      <c r="A310" s="120">
        <v>186741</v>
      </c>
      <c r="B310" s="120">
        <v>20429</v>
      </c>
      <c r="C310" s="121" t="s">
        <v>68</v>
      </c>
      <c r="D310" s="121" t="s">
        <v>2414</v>
      </c>
      <c r="E310" s="121" t="s">
        <v>2878</v>
      </c>
      <c r="F310" s="121"/>
      <c r="G310" s="121" t="s">
        <v>2</v>
      </c>
      <c r="H310" s="122">
        <v>432</v>
      </c>
      <c r="I310" s="122">
        <v>609</v>
      </c>
      <c r="J310" s="121" t="s">
        <v>2570</v>
      </c>
      <c r="K310" s="121" t="s">
        <v>1</v>
      </c>
      <c r="L310" s="121"/>
      <c r="M310" s="121"/>
      <c r="N310" s="103" t="str">
        <f t="shared" si="4"/>
        <v>1</v>
      </c>
      <c r="O310" s="103" t="str">
        <f>INDEX(Кат!$I:$I,MATCH($A310,Кат!$A:$A,0))</f>
        <v>БРТ</v>
      </c>
    </row>
    <row r="311" spans="1:15" ht="45" x14ac:dyDescent="0.25">
      <c r="A311" s="120">
        <v>186742</v>
      </c>
      <c r="B311" s="120">
        <v>20443</v>
      </c>
      <c r="C311" s="121" t="s">
        <v>76</v>
      </c>
      <c r="D311" s="121" t="s">
        <v>2414</v>
      </c>
      <c r="E311" s="121" t="s">
        <v>2879</v>
      </c>
      <c r="F311" s="121"/>
      <c r="G311" s="121" t="s">
        <v>2</v>
      </c>
      <c r="H311" s="122">
        <v>364</v>
      </c>
      <c r="I311" s="122">
        <v>619</v>
      </c>
      <c r="J311" s="121" t="s">
        <v>2670</v>
      </c>
      <c r="K311" s="121" t="s">
        <v>1</v>
      </c>
      <c r="L311" s="121"/>
      <c r="M311" s="121"/>
      <c r="N311" s="103" t="str">
        <f t="shared" si="4"/>
        <v>1</v>
      </c>
      <c r="O311" s="103" t="str">
        <f>INDEX(Кат!$I:$I,MATCH($A311,Кат!$A:$A,0))</f>
        <v>БРТ</v>
      </c>
    </row>
    <row r="312" spans="1:15" ht="45" x14ac:dyDescent="0.25">
      <c r="A312" s="120">
        <v>186743</v>
      </c>
      <c r="B312" s="120">
        <v>19974</v>
      </c>
      <c r="C312" s="121" t="s">
        <v>2880</v>
      </c>
      <c r="D312" s="121" t="s">
        <v>2414</v>
      </c>
      <c r="E312" s="121" t="s">
        <v>372</v>
      </c>
      <c r="F312" s="121"/>
      <c r="G312" s="121" t="s">
        <v>2</v>
      </c>
      <c r="H312" s="122">
        <v>331</v>
      </c>
      <c r="I312" s="122">
        <v>499</v>
      </c>
      <c r="J312" s="121" t="s">
        <v>2605</v>
      </c>
      <c r="K312" s="121" t="s">
        <v>1</v>
      </c>
      <c r="L312" s="121"/>
      <c r="M312" s="121"/>
      <c r="N312" s="103" t="str">
        <f t="shared" si="4"/>
        <v>1</v>
      </c>
      <c r="O312" s="103" t="str">
        <f>INDEX(Кат!$I:$I,MATCH($A312,Кат!$A:$A,0))</f>
        <v>БРТ</v>
      </c>
    </row>
    <row r="313" spans="1:15" ht="30" x14ac:dyDescent="0.25">
      <c r="A313" s="120">
        <v>186744</v>
      </c>
      <c r="B313" s="120">
        <v>19959</v>
      </c>
      <c r="C313" s="121" t="s">
        <v>2881</v>
      </c>
      <c r="D313" s="121" t="s">
        <v>2414</v>
      </c>
      <c r="E313" s="121" t="s">
        <v>309</v>
      </c>
      <c r="F313" s="121"/>
      <c r="G313" s="121" t="s">
        <v>2</v>
      </c>
      <c r="H313" s="122">
        <v>327</v>
      </c>
      <c r="I313" s="122">
        <v>499</v>
      </c>
      <c r="J313" s="121"/>
      <c r="K313" s="121" t="s">
        <v>1</v>
      </c>
      <c r="L313" s="121"/>
      <c r="M313" s="121"/>
      <c r="N313" s="103" t="str">
        <f t="shared" si="4"/>
        <v>1</v>
      </c>
      <c r="O313" s="103" t="str">
        <f>INDEX(Кат!$I:$I,MATCH($A313,Кат!$A:$A,0))</f>
        <v>БРТ</v>
      </c>
    </row>
    <row r="314" spans="1:15" ht="45" x14ac:dyDescent="0.25">
      <c r="A314" s="120">
        <v>186745</v>
      </c>
      <c r="B314" s="120">
        <v>19968</v>
      </c>
      <c r="C314" s="121" t="s">
        <v>1935</v>
      </c>
      <c r="D314" s="121" t="s">
        <v>2414</v>
      </c>
      <c r="E314" s="121" t="s">
        <v>333</v>
      </c>
      <c r="F314" s="121"/>
      <c r="G314" s="121" t="s">
        <v>2</v>
      </c>
      <c r="H314" s="122">
        <v>326</v>
      </c>
      <c r="I314" s="122">
        <v>559</v>
      </c>
      <c r="J314" s="121" t="s">
        <v>2608</v>
      </c>
      <c r="K314" s="121" t="s">
        <v>1</v>
      </c>
      <c r="L314" s="121"/>
      <c r="M314" s="121"/>
      <c r="N314" s="103" t="str">
        <f t="shared" si="4"/>
        <v>1</v>
      </c>
      <c r="O314" s="103" t="str">
        <f>INDEX(Кат!$I:$I,MATCH($A314,Кат!$A:$A,0))</f>
        <v>БРТ</v>
      </c>
    </row>
    <row r="315" spans="1:15" ht="30" x14ac:dyDescent="0.25">
      <c r="A315" s="120">
        <v>186760</v>
      </c>
      <c r="B315" s="120">
        <v>19847</v>
      </c>
      <c r="C315" s="121" t="s">
        <v>10</v>
      </c>
      <c r="D315" s="121" t="s">
        <v>2414</v>
      </c>
      <c r="E315" s="121" t="s">
        <v>573</v>
      </c>
      <c r="F315" s="121"/>
      <c r="G315" s="121" t="s">
        <v>2</v>
      </c>
      <c r="H315" s="122">
        <v>120</v>
      </c>
      <c r="I315" s="122">
        <v>209</v>
      </c>
      <c r="J315" s="121"/>
      <c r="K315" s="121" t="s">
        <v>1</v>
      </c>
      <c r="L315" s="121"/>
      <c r="M315" s="121"/>
      <c r="N315" s="103" t="str">
        <f t="shared" si="4"/>
        <v>1</v>
      </c>
      <c r="O315" s="103" t="str">
        <f>INDEX(Кат!$I:$I,MATCH($A315,Кат!$A:$A,0))</f>
        <v>БРТ</v>
      </c>
    </row>
    <row r="316" spans="1:15" ht="30" x14ac:dyDescent="0.25">
      <c r="A316" s="120">
        <v>186761</v>
      </c>
      <c r="B316" s="120">
        <v>20482</v>
      </c>
      <c r="C316" s="121" t="s">
        <v>132</v>
      </c>
      <c r="D316" s="121" t="s">
        <v>2414</v>
      </c>
      <c r="E316" s="121" t="s">
        <v>2075</v>
      </c>
      <c r="F316" s="121"/>
      <c r="G316" s="121" t="s">
        <v>2</v>
      </c>
      <c r="H316" s="122">
        <v>172</v>
      </c>
      <c r="I316" s="122">
        <v>299</v>
      </c>
      <c r="J316" s="121"/>
      <c r="K316" s="121" t="s">
        <v>1</v>
      </c>
      <c r="L316" s="121"/>
      <c r="M316" s="121"/>
      <c r="N316" s="103" t="str">
        <f t="shared" si="4"/>
        <v>1</v>
      </c>
      <c r="O316" s="103" t="str">
        <f>INDEX(Кат!$I:$I,MATCH($A316,Кат!$A:$A,0))</f>
        <v>БРТ</v>
      </c>
    </row>
    <row r="317" spans="1:15" ht="45" x14ac:dyDescent="0.25">
      <c r="A317" s="120">
        <v>186762</v>
      </c>
      <c r="B317" s="120">
        <v>20383</v>
      </c>
      <c r="C317" s="121" t="s">
        <v>1500</v>
      </c>
      <c r="D317" s="121" t="s">
        <v>2414</v>
      </c>
      <c r="E317" s="121" t="s">
        <v>2021</v>
      </c>
      <c r="F317" s="121"/>
      <c r="G317" s="121" t="s">
        <v>2</v>
      </c>
      <c r="H317" s="122">
        <v>140</v>
      </c>
      <c r="I317" s="122">
        <v>199</v>
      </c>
      <c r="J317" s="121" t="s">
        <v>2565</v>
      </c>
      <c r="K317" s="121" t="s">
        <v>1</v>
      </c>
      <c r="L317" s="121"/>
      <c r="M317" s="121"/>
      <c r="N317" s="103" t="str">
        <f t="shared" si="4"/>
        <v>1</v>
      </c>
      <c r="O317" s="103" t="str">
        <f>INDEX(Кат!$I:$I,MATCH($A317,Кат!$A:$A,0))</f>
        <v>БРТ</v>
      </c>
    </row>
    <row r="318" spans="1:15" ht="45" x14ac:dyDescent="0.25">
      <c r="A318" s="120">
        <v>186763</v>
      </c>
      <c r="B318" s="120">
        <v>19971</v>
      </c>
      <c r="C318" s="121" t="s">
        <v>2703</v>
      </c>
      <c r="D318" s="121" t="s">
        <v>2414</v>
      </c>
      <c r="E318" s="121" t="s">
        <v>1936</v>
      </c>
      <c r="F318" s="121"/>
      <c r="G318" s="121" t="s">
        <v>2</v>
      </c>
      <c r="H318" s="122">
        <v>136</v>
      </c>
      <c r="I318" s="122">
        <v>309</v>
      </c>
      <c r="J318" s="121" t="s">
        <v>2588</v>
      </c>
      <c r="K318" s="121" t="s">
        <v>1</v>
      </c>
      <c r="L318" s="121"/>
      <c r="M318" s="121"/>
      <c r="N318" s="103" t="str">
        <f t="shared" si="4"/>
        <v>1</v>
      </c>
      <c r="O318" s="103" t="str">
        <f>INDEX(Кат!$I:$I,MATCH($A318,Кат!$A:$A,0))</f>
        <v>БРТ</v>
      </c>
    </row>
    <row r="319" spans="1:15" ht="45" x14ac:dyDescent="0.25">
      <c r="A319" s="120">
        <v>186765</v>
      </c>
      <c r="B319" s="120">
        <v>20239</v>
      </c>
      <c r="C319" s="121" t="s">
        <v>156</v>
      </c>
      <c r="D319" s="121" t="s">
        <v>2414</v>
      </c>
      <c r="E319" s="121" t="s">
        <v>1951</v>
      </c>
      <c r="F319" s="121"/>
      <c r="G319" s="121" t="s">
        <v>2</v>
      </c>
      <c r="H319" s="122">
        <v>273</v>
      </c>
      <c r="I319" s="122">
        <v>699</v>
      </c>
      <c r="J319" s="121" t="s">
        <v>2617</v>
      </c>
      <c r="K319" s="121" t="s">
        <v>1</v>
      </c>
      <c r="L319" s="121"/>
      <c r="M319" s="121"/>
      <c r="N319" s="103" t="str">
        <f t="shared" si="4"/>
        <v>1</v>
      </c>
      <c r="O319" s="103" t="str">
        <f>INDEX(Кат!$I:$I,MATCH($A319,Кат!$A:$A,0))</f>
        <v>БРТ</v>
      </c>
    </row>
    <row r="320" spans="1:15" ht="45" x14ac:dyDescent="0.25">
      <c r="A320" s="120">
        <v>186764</v>
      </c>
      <c r="B320" s="120">
        <v>19973</v>
      </c>
      <c r="C320" s="121" t="s">
        <v>2704</v>
      </c>
      <c r="D320" s="121" t="s">
        <v>2414</v>
      </c>
      <c r="E320" s="121" t="s">
        <v>1938</v>
      </c>
      <c r="F320" s="121"/>
      <c r="G320" s="121" t="s">
        <v>2</v>
      </c>
      <c r="H320" s="122">
        <v>151</v>
      </c>
      <c r="I320" s="122">
        <v>259</v>
      </c>
      <c r="J320" s="121"/>
      <c r="K320" s="121" t="s">
        <v>1</v>
      </c>
      <c r="L320" s="121"/>
      <c r="M320" s="121"/>
      <c r="N320" s="103" t="str">
        <f t="shared" si="4"/>
        <v>1</v>
      </c>
      <c r="O320" s="103" t="str">
        <f>INDEX(Кат!$I:$I,MATCH($A320,Кат!$A:$A,0))</f>
        <v>БРТ</v>
      </c>
    </row>
    <row r="321" spans="1:15" ht="45" x14ac:dyDescent="0.25">
      <c r="A321" s="120">
        <v>225994</v>
      </c>
      <c r="B321" s="120">
        <v>13034</v>
      </c>
      <c r="C321" s="121" t="s">
        <v>2441</v>
      </c>
      <c r="D321" s="121" t="s">
        <v>2414</v>
      </c>
      <c r="E321" s="121" t="s">
        <v>2442</v>
      </c>
      <c r="F321" s="121"/>
      <c r="G321" s="121" t="s">
        <v>2</v>
      </c>
      <c r="H321" s="122">
        <v>146</v>
      </c>
      <c r="I321" s="122">
        <v>409</v>
      </c>
      <c r="J321" s="121" t="s">
        <v>2365</v>
      </c>
      <c r="K321" s="121" t="s">
        <v>1</v>
      </c>
      <c r="L321" s="121"/>
      <c r="M321" s="121"/>
      <c r="N321" s="103" t="str">
        <f t="shared" si="4"/>
        <v>1</v>
      </c>
      <c r="O321" s="103" t="str">
        <f>INDEX(Кат!$I:$I,MATCH($A321,Кат!$A:$A,0))</f>
        <v>БРТ</v>
      </c>
    </row>
    <row r="322" spans="1:15" ht="60" x14ac:dyDescent="0.25">
      <c r="A322" s="120">
        <v>186771</v>
      </c>
      <c r="B322" s="120">
        <v>19961</v>
      </c>
      <c r="C322" s="121" t="s">
        <v>2750</v>
      </c>
      <c r="D322" s="121" t="s">
        <v>2414</v>
      </c>
      <c r="E322" s="121" t="s">
        <v>322</v>
      </c>
      <c r="F322" s="121"/>
      <c r="G322" s="121" t="s">
        <v>2</v>
      </c>
      <c r="H322" s="122">
        <v>80</v>
      </c>
      <c r="I322" s="122">
        <v>179</v>
      </c>
      <c r="J322" s="121" t="s">
        <v>2648</v>
      </c>
      <c r="K322" s="121" t="s">
        <v>1</v>
      </c>
      <c r="L322" s="121"/>
      <c r="M322" s="121"/>
      <c r="N322" s="103" t="str">
        <f t="shared" si="4"/>
        <v>1</v>
      </c>
      <c r="O322" s="103" t="str">
        <f>INDEX(Кат!$I:$I,MATCH($A322,Кат!$A:$A,0))</f>
        <v>БРТ</v>
      </c>
    </row>
    <row r="323" spans="1:15" ht="45" x14ac:dyDescent="0.25">
      <c r="A323" s="120">
        <v>186772</v>
      </c>
      <c r="B323" s="120">
        <v>19940</v>
      </c>
      <c r="C323" s="121" t="s">
        <v>23</v>
      </c>
      <c r="D323" s="121" t="s">
        <v>2414</v>
      </c>
      <c r="E323" s="121" t="s">
        <v>1920</v>
      </c>
      <c r="F323" s="121"/>
      <c r="G323" s="121" t="s">
        <v>2</v>
      </c>
      <c r="H323" s="122">
        <v>132</v>
      </c>
      <c r="I323" s="122">
        <v>279</v>
      </c>
      <c r="J323" s="121" t="s">
        <v>2658</v>
      </c>
      <c r="K323" s="121" t="s">
        <v>1</v>
      </c>
      <c r="L323" s="121"/>
      <c r="M323" s="121"/>
      <c r="N323" s="103" t="str">
        <f t="shared" ref="N323:N386" si="5">_xlfn.CONCAT(K323,IF(L323&lt;&gt;"",_xlfn.CONCAT("ск",L323),""))</f>
        <v>1</v>
      </c>
      <c r="O323" s="103" t="str">
        <f>INDEX(Кат!$I:$I,MATCH($A323,Кат!$A:$A,0))</f>
        <v>БРТ</v>
      </c>
    </row>
    <row r="324" spans="1:15" ht="45" x14ac:dyDescent="0.25">
      <c r="A324" s="120">
        <v>186773</v>
      </c>
      <c r="B324" s="120">
        <v>20400</v>
      </c>
      <c r="C324" s="121" t="s">
        <v>65</v>
      </c>
      <c r="D324" s="121" t="s">
        <v>2414</v>
      </c>
      <c r="E324" s="121" t="s">
        <v>2031</v>
      </c>
      <c r="F324" s="121"/>
      <c r="G324" s="121" t="s">
        <v>2</v>
      </c>
      <c r="H324" s="122">
        <v>175</v>
      </c>
      <c r="I324" s="122">
        <v>409</v>
      </c>
      <c r="J324" s="121" t="s">
        <v>2679</v>
      </c>
      <c r="K324" s="121" t="s">
        <v>1</v>
      </c>
      <c r="L324" s="121"/>
      <c r="M324" s="121"/>
      <c r="N324" s="103" t="str">
        <f t="shared" si="5"/>
        <v>1</v>
      </c>
      <c r="O324" s="103" t="str">
        <f>INDEX(Кат!$I:$I,MATCH($A324,Кат!$A:$A,0))</f>
        <v>БРТ</v>
      </c>
    </row>
    <row r="325" spans="1:15" ht="90" x14ac:dyDescent="0.25">
      <c r="A325" s="120">
        <v>186774</v>
      </c>
      <c r="B325" s="120">
        <v>19965</v>
      </c>
      <c r="C325" s="121" t="s">
        <v>2751</v>
      </c>
      <c r="D325" s="121" t="s">
        <v>2414</v>
      </c>
      <c r="E325" s="121" t="s">
        <v>324</v>
      </c>
      <c r="F325" s="121"/>
      <c r="G325" s="121" t="s">
        <v>2</v>
      </c>
      <c r="H325" s="122">
        <v>202</v>
      </c>
      <c r="I325" s="122">
        <v>349</v>
      </c>
      <c r="J325" s="121" t="s">
        <v>2657</v>
      </c>
      <c r="K325" s="121" t="s">
        <v>1</v>
      </c>
      <c r="L325" s="121"/>
      <c r="M325" s="121"/>
      <c r="N325" s="103" t="str">
        <f t="shared" si="5"/>
        <v>1</v>
      </c>
      <c r="O325" s="103" t="str">
        <f>INDEX(Кат!$I:$I,MATCH($A325,Кат!$A:$A,0))</f>
        <v>БРТ</v>
      </c>
    </row>
    <row r="326" spans="1:15" ht="45" x14ac:dyDescent="0.25">
      <c r="A326" s="120">
        <v>186775</v>
      </c>
      <c r="B326" s="120">
        <v>20438</v>
      </c>
      <c r="C326" s="121" t="s">
        <v>644</v>
      </c>
      <c r="D326" s="121" t="s">
        <v>2414</v>
      </c>
      <c r="E326" s="121" t="s">
        <v>2054</v>
      </c>
      <c r="F326" s="121"/>
      <c r="G326" s="121" t="s">
        <v>2</v>
      </c>
      <c r="H326" s="122">
        <v>143</v>
      </c>
      <c r="I326" s="122">
        <v>309</v>
      </c>
      <c r="J326" s="121" t="s">
        <v>2667</v>
      </c>
      <c r="K326" s="121" t="s">
        <v>1</v>
      </c>
      <c r="L326" s="121"/>
      <c r="M326" s="121"/>
      <c r="N326" s="103" t="str">
        <f t="shared" si="5"/>
        <v>1</v>
      </c>
      <c r="O326" s="103" t="str">
        <f>INDEX(Кат!$I:$I,MATCH($A326,Кат!$A:$A,0))</f>
        <v>БРТ</v>
      </c>
    </row>
    <row r="327" spans="1:15" ht="45" x14ac:dyDescent="0.25">
      <c r="A327" s="120">
        <v>186830</v>
      </c>
      <c r="B327" s="120">
        <v>19886</v>
      </c>
      <c r="C327" s="121" t="s">
        <v>17</v>
      </c>
      <c r="D327" s="121" t="s">
        <v>2414</v>
      </c>
      <c r="E327" s="121" t="s">
        <v>631</v>
      </c>
      <c r="F327" s="121"/>
      <c r="G327" s="121" t="s">
        <v>2</v>
      </c>
      <c r="H327" s="122">
        <v>0</v>
      </c>
      <c r="I327" s="122">
        <v>239</v>
      </c>
      <c r="J327" s="121"/>
      <c r="K327" s="121" t="s">
        <v>1</v>
      </c>
      <c r="L327" s="121"/>
      <c r="M327" s="121"/>
      <c r="N327" s="103" t="str">
        <f t="shared" si="5"/>
        <v>1</v>
      </c>
      <c r="O327" s="103" t="str">
        <f>INDEX(Кат!$I:$I,MATCH($A327,Кат!$A:$A,0))</f>
        <v>БРТ</v>
      </c>
    </row>
    <row r="328" spans="1:15" ht="75" x14ac:dyDescent="0.25">
      <c r="A328" s="120">
        <v>186834</v>
      </c>
      <c r="B328" s="120">
        <v>20379</v>
      </c>
      <c r="C328" s="121" t="s">
        <v>2444</v>
      </c>
      <c r="D328" s="121" t="s">
        <v>2414</v>
      </c>
      <c r="E328" s="121" t="s">
        <v>2020</v>
      </c>
      <c r="F328" s="121"/>
      <c r="G328" s="121" t="s">
        <v>2</v>
      </c>
      <c r="H328" s="122">
        <v>536</v>
      </c>
      <c r="I328" s="122">
        <v>929</v>
      </c>
      <c r="J328" s="121" t="s">
        <v>2557</v>
      </c>
      <c r="K328" s="121" t="s">
        <v>1</v>
      </c>
      <c r="L328" s="121"/>
      <c r="M328" s="121"/>
      <c r="N328" s="103" t="str">
        <f t="shared" si="5"/>
        <v>1</v>
      </c>
      <c r="O328" s="103" t="str">
        <f>INDEX(Кат!$I:$I,MATCH($A328,Кат!$A:$A,0))</f>
        <v>БРТ</v>
      </c>
    </row>
    <row r="329" spans="1:15" ht="45" x14ac:dyDescent="0.25">
      <c r="A329" s="120">
        <v>186837</v>
      </c>
      <c r="B329" s="120">
        <v>20425</v>
      </c>
      <c r="C329" s="121" t="s">
        <v>2705</v>
      </c>
      <c r="D329" s="121" t="s">
        <v>2414</v>
      </c>
      <c r="E329" s="121" t="s">
        <v>2443</v>
      </c>
      <c r="F329" s="121"/>
      <c r="G329" s="121" t="s">
        <v>2</v>
      </c>
      <c r="H329" s="122">
        <v>190</v>
      </c>
      <c r="I329" s="122">
        <v>329</v>
      </c>
      <c r="J329" s="121"/>
      <c r="K329" s="121" t="s">
        <v>1</v>
      </c>
      <c r="L329" s="121"/>
      <c r="M329" s="121"/>
      <c r="N329" s="103" t="str">
        <f t="shared" si="5"/>
        <v>1</v>
      </c>
      <c r="O329" s="103" t="str">
        <f>INDEX(Кат!$I:$I,MATCH($A329,Кат!$A:$A,0))</f>
        <v>БРТ</v>
      </c>
    </row>
    <row r="330" spans="1:15" ht="45" x14ac:dyDescent="0.25">
      <c r="A330" s="120">
        <v>186843</v>
      </c>
      <c r="B330" s="120">
        <v>20418</v>
      </c>
      <c r="C330" s="121" t="s">
        <v>2445</v>
      </c>
      <c r="D330" s="121" t="s">
        <v>2414</v>
      </c>
      <c r="E330" s="121" t="s">
        <v>2045</v>
      </c>
      <c r="F330" s="121"/>
      <c r="G330" s="121" t="s">
        <v>2</v>
      </c>
      <c r="H330" s="122">
        <v>141</v>
      </c>
      <c r="I330" s="122">
        <v>239</v>
      </c>
      <c r="J330" s="121" t="s">
        <v>2589</v>
      </c>
      <c r="K330" s="121" t="s">
        <v>1</v>
      </c>
      <c r="L330" s="121"/>
      <c r="M330" s="121"/>
      <c r="N330" s="103" t="str">
        <f t="shared" si="5"/>
        <v>1</v>
      </c>
      <c r="O330" s="103" t="str">
        <f>INDEX(Кат!$I:$I,MATCH($A330,Кат!$A:$A,0))</f>
        <v>БРТ</v>
      </c>
    </row>
    <row r="331" spans="1:15" ht="45" x14ac:dyDescent="0.25">
      <c r="A331" s="120">
        <v>186844</v>
      </c>
      <c r="B331" s="120">
        <v>20421</v>
      </c>
      <c r="C331" s="121" t="s">
        <v>2445</v>
      </c>
      <c r="D331" s="121" t="s">
        <v>2414</v>
      </c>
      <c r="E331" s="121" t="s">
        <v>2046</v>
      </c>
      <c r="F331" s="121"/>
      <c r="G331" s="121" t="s">
        <v>2</v>
      </c>
      <c r="H331" s="122">
        <v>141</v>
      </c>
      <c r="I331" s="122">
        <v>239</v>
      </c>
      <c r="J331" s="121" t="s">
        <v>2589</v>
      </c>
      <c r="K331" s="121" t="s">
        <v>1</v>
      </c>
      <c r="L331" s="121"/>
      <c r="M331" s="121"/>
      <c r="N331" s="103" t="str">
        <f t="shared" si="5"/>
        <v>1</v>
      </c>
      <c r="O331" s="103" t="str">
        <f>INDEX(Кат!$I:$I,MATCH($A331,Кат!$A:$A,0))</f>
        <v>БРТ</v>
      </c>
    </row>
    <row r="332" spans="1:15" ht="60" x14ac:dyDescent="0.25">
      <c r="A332" s="120">
        <v>186831</v>
      </c>
      <c r="B332" s="120">
        <v>20011</v>
      </c>
      <c r="C332" s="121" t="s">
        <v>2882</v>
      </c>
      <c r="D332" s="121" t="s">
        <v>2414</v>
      </c>
      <c r="E332" s="121" t="s">
        <v>2883</v>
      </c>
      <c r="F332" s="121"/>
      <c r="G332" s="121" t="s">
        <v>2</v>
      </c>
      <c r="H332" s="122">
        <v>112</v>
      </c>
      <c r="I332" s="122">
        <v>199</v>
      </c>
      <c r="J332" s="121"/>
      <c r="K332" s="121" t="s">
        <v>1</v>
      </c>
      <c r="L332" s="121"/>
      <c r="M332" s="121"/>
      <c r="N332" s="103" t="str">
        <f t="shared" si="5"/>
        <v>1</v>
      </c>
      <c r="O332" s="103" t="str">
        <f>INDEX(Кат!$I:$I,MATCH($A332,Кат!$A:$A,0))</f>
        <v>БРТ</v>
      </c>
    </row>
    <row r="333" spans="1:15" ht="60" x14ac:dyDescent="0.25">
      <c r="A333" s="120">
        <v>186832</v>
      </c>
      <c r="B333" s="120">
        <v>19963</v>
      </c>
      <c r="C333" s="121" t="s">
        <v>102</v>
      </c>
      <c r="D333" s="121" t="s">
        <v>2414</v>
      </c>
      <c r="E333" s="121" t="s">
        <v>1932</v>
      </c>
      <c r="F333" s="121"/>
      <c r="G333" s="121" t="s">
        <v>2</v>
      </c>
      <c r="H333" s="122">
        <v>429</v>
      </c>
      <c r="I333" s="122">
        <v>649</v>
      </c>
      <c r="J333" s="121"/>
      <c r="K333" s="121" t="s">
        <v>1</v>
      </c>
      <c r="L333" s="121" t="s">
        <v>1824</v>
      </c>
      <c r="M333" s="121"/>
      <c r="N333" s="103" t="str">
        <f t="shared" si="5"/>
        <v>1ск6</v>
      </c>
      <c r="O333" s="103" t="str">
        <f>INDEX(Кат!$I:$I,MATCH($A333,Кат!$A:$A,0))</f>
        <v>БРТ</v>
      </c>
    </row>
    <row r="334" spans="1:15" ht="45" x14ac:dyDescent="0.25">
      <c r="A334" s="120">
        <v>186833</v>
      </c>
      <c r="B334" s="120">
        <v>19964</v>
      </c>
      <c r="C334" s="121" t="s">
        <v>167</v>
      </c>
      <c r="D334" s="121" t="s">
        <v>2414</v>
      </c>
      <c r="E334" s="121" t="s">
        <v>1933</v>
      </c>
      <c r="F334" s="121"/>
      <c r="G334" s="121" t="s">
        <v>2</v>
      </c>
      <c r="H334" s="122">
        <v>698</v>
      </c>
      <c r="I334" s="122">
        <v>979</v>
      </c>
      <c r="J334" s="121"/>
      <c r="K334" s="121" t="s">
        <v>1</v>
      </c>
      <c r="L334" s="121"/>
      <c r="M334" s="121"/>
      <c r="N334" s="103" t="str">
        <f t="shared" si="5"/>
        <v>1</v>
      </c>
      <c r="O334" s="103" t="str">
        <f>INDEX(Кат!$I:$I,MATCH($A334,Кат!$A:$A,0))</f>
        <v>БРТ</v>
      </c>
    </row>
    <row r="335" spans="1:15" ht="45" x14ac:dyDescent="0.25">
      <c r="A335" s="120">
        <v>186835</v>
      </c>
      <c r="B335" s="120">
        <v>20401</v>
      </c>
      <c r="C335" s="121" t="s">
        <v>66</v>
      </c>
      <c r="D335" s="121" t="s">
        <v>2414</v>
      </c>
      <c r="E335" s="121" t="s">
        <v>2032</v>
      </c>
      <c r="F335" s="121"/>
      <c r="G335" s="121" t="s">
        <v>2</v>
      </c>
      <c r="H335" s="122">
        <v>766</v>
      </c>
      <c r="I335" s="122">
        <v>1090</v>
      </c>
      <c r="J335" s="121" t="s">
        <v>2543</v>
      </c>
      <c r="K335" s="121" t="s">
        <v>1</v>
      </c>
      <c r="L335" s="121"/>
      <c r="M335" s="121"/>
      <c r="N335" s="103" t="str">
        <f t="shared" si="5"/>
        <v>1</v>
      </c>
      <c r="O335" s="103" t="str">
        <f>INDEX(Кат!$I:$I,MATCH($A335,Кат!$A:$A,0))</f>
        <v>БРТ</v>
      </c>
    </row>
    <row r="336" spans="1:15" ht="45" x14ac:dyDescent="0.25">
      <c r="A336" s="120">
        <v>186836</v>
      </c>
      <c r="B336" s="120">
        <v>20441</v>
      </c>
      <c r="C336" s="121" t="s">
        <v>645</v>
      </c>
      <c r="D336" s="121" t="s">
        <v>2414</v>
      </c>
      <c r="E336" s="121" t="s">
        <v>2055</v>
      </c>
      <c r="F336" s="121"/>
      <c r="G336" s="121" t="s">
        <v>2</v>
      </c>
      <c r="H336" s="122">
        <v>766</v>
      </c>
      <c r="I336" s="122">
        <v>989</v>
      </c>
      <c r="J336" s="121" t="s">
        <v>2544</v>
      </c>
      <c r="K336" s="121" t="s">
        <v>1</v>
      </c>
      <c r="L336" s="121"/>
      <c r="M336" s="121"/>
      <c r="N336" s="103" t="str">
        <f t="shared" si="5"/>
        <v>1</v>
      </c>
      <c r="O336" s="103" t="str">
        <f>INDEX(Кат!$I:$I,MATCH($A336,Кат!$A:$A,0))</f>
        <v>БРТ</v>
      </c>
    </row>
    <row r="337" spans="1:15" ht="30" x14ac:dyDescent="0.25">
      <c r="A337" s="120">
        <v>186838</v>
      </c>
      <c r="B337" s="120">
        <v>19948</v>
      </c>
      <c r="C337" s="121" t="s">
        <v>25</v>
      </c>
      <c r="D337" s="121" t="s">
        <v>2414</v>
      </c>
      <c r="E337" s="121" t="s">
        <v>1927</v>
      </c>
      <c r="F337" s="121"/>
      <c r="G337" s="121" t="s">
        <v>2</v>
      </c>
      <c r="H337" s="122">
        <v>210</v>
      </c>
      <c r="I337" s="122">
        <v>369</v>
      </c>
      <c r="J337" s="121"/>
      <c r="K337" s="121" t="s">
        <v>1</v>
      </c>
      <c r="L337" s="121"/>
      <c r="M337" s="121"/>
      <c r="N337" s="103" t="str">
        <f t="shared" si="5"/>
        <v>1</v>
      </c>
      <c r="O337" s="103" t="str">
        <f>INDEX(Кат!$I:$I,MATCH($A337,Кат!$A:$A,0))</f>
        <v>БРТ</v>
      </c>
    </row>
    <row r="338" spans="1:15" ht="45" x14ac:dyDescent="0.25">
      <c r="A338" s="120">
        <v>186842</v>
      </c>
      <c r="B338" s="120">
        <v>19939</v>
      </c>
      <c r="C338" s="121" t="s">
        <v>124</v>
      </c>
      <c r="D338" s="121" t="s">
        <v>2414</v>
      </c>
      <c r="E338" s="121" t="s">
        <v>1919</v>
      </c>
      <c r="F338" s="121"/>
      <c r="G338" s="121" t="s">
        <v>2</v>
      </c>
      <c r="H338" s="122">
        <v>173</v>
      </c>
      <c r="I338" s="122">
        <v>299</v>
      </c>
      <c r="J338" s="121"/>
      <c r="K338" s="121" t="s">
        <v>1</v>
      </c>
      <c r="L338" s="121"/>
      <c r="M338" s="121"/>
      <c r="N338" s="103" t="str">
        <f t="shared" si="5"/>
        <v>1</v>
      </c>
      <c r="O338" s="103" t="str">
        <f>INDEX(Кат!$I:$I,MATCH($A338,Кат!$A:$A,0))</f>
        <v>БРТ</v>
      </c>
    </row>
    <row r="339" spans="1:15" ht="60" x14ac:dyDescent="0.25">
      <c r="A339" s="120">
        <v>186845</v>
      </c>
      <c r="B339" s="120">
        <v>20390</v>
      </c>
      <c r="C339" s="121" t="s">
        <v>62</v>
      </c>
      <c r="D339" s="121" t="s">
        <v>2414</v>
      </c>
      <c r="E339" s="121" t="s">
        <v>2884</v>
      </c>
      <c r="F339" s="121"/>
      <c r="G339" s="121" t="s">
        <v>2</v>
      </c>
      <c r="H339" s="122">
        <v>45</v>
      </c>
      <c r="I339" s="122">
        <v>99</v>
      </c>
      <c r="J339" s="121"/>
      <c r="K339" s="121" t="s">
        <v>1</v>
      </c>
      <c r="L339" s="121"/>
      <c r="M339" s="121"/>
      <c r="N339" s="103" t="str">
        <f t="shared" si="5"/>
        <v>1</v>
      </c>
      <c r="O339" s="103" t="str">
        <f>INDEX(Кат!$I:$I,MATCH($A339,Кат!$A:$A,0))</f>
        <v>БРТ</v>
      </c>
    </row>
    <row r="340" spans="1:15" ht="45" x14ac:dyDescent="0.25">
      <c r="A340" s="120">
        <v>186846</v>
      </c>
      <c r="B340" s="120">
        <v>20444</v>
      </c>
      <c r="C340" s="121" t="s">
        <v>77</v>
      </c>
      <c r="D340" s="121" t="s">
        <v>2414</v>
      </c>
      <c r="E340" s="121" t="s">
        <v>2056</v>
      </c>
      <c r="F340" s="121"/>
      <c r="G340" s="121" t="s">
        <v>2</v>
      </c>
      <c r="H340" s="122">
        <v>144</v>
      </c>
      <c r="I340" s="122">
        <v>579</v>
      </c>
      <c r="J340" s="121" t="s">
        <v>2590</v>
      </c>
      <c r="K340" s="121" t="s">
        <v>1</v>
      </c>
      <c r="L340" s="121"/>
      <c r="M340" s="121"/>
      <c r="N340" s="103" t="str">
        <f t="shared" si="5"/>
        <v>1</v>
      </c>
      <c r="O340" s="103" t="str">
        <f>INDEX(Кат!$I:$I,MATCH($A340,Кат!$A:$A,0))</f>
        <v>БРТ</v>
      </c>
    </row>
    <row r="341" spans="1:15" ht="45" x14ac:dyDescent="0.25">
      <c r="A341" s="120">
        <v>186847</v>
      </c>
      <c r="B341" s="120">
        <v>20391</v>
      </c>
      <c r="C341" s="121" t="s">
        <v>63</v>
      </c>
      <c r="D341" s="121" t="s">
        <v>2414</v>
      </c>
      <c r="E341" s="121" t="s">
        <v>2022</v>
      </c>
      <c r="F341" s="121"/>
      <c r="G341" s="121" t="s">
        <v>2</v>
      </c>
      <c r="H341" s="122">
        <v>60</v>
      </c>
      <c r="I341" s="122">
        <v>129</v>
      </c>
      <c r="J341" s="121"/>
      <c r="K341" s="121" t="s">
        <v>1</v>
      </c>
      <c r="L341" s="121"/>
      <c r="M341" s="121"/>
      <c r="N341" s="103" t="str">
        <f t="shared" si="5"/>
        <v>1</v>
      </c>
      <c r="O341" s="103" t="str">
        <f>INDEX(Кат!$I:$I,MATCH($A341,Кат!$A:$A,0))</f>
        <v>БРТ</v>
      </c>
    </row>
    <row r="342" spans="1:15" ht="60" x14ac:dyDescent="0.25">
      <c r="A342" s="120">
        <v>186848</v>
      </c>
      <c r="B342" s="120">
        <v>19931</v>
      </c>
      <c r="C342" s="121" t="s">
        <v>101</v>
      </c>
      <c r="D342" s="121" t="s">
        <v>2414</v>
      </c>
      <c r="E342" s="121" t="s">
        <v>1914</v>
      </c>
      <c r="F342" s="121"/>
      <c r="G342" s="121" t="s">
        <v>2</v>
      </c>
      <c r="H342" s="122">
        <v>173</v>
      </c>
      <c r="I342" s="122">
        <v>299</v>
      </c>
      <c r="J342" s="121"/>
      <c r="K342" s="121" t="s">
        <v>1</v>
      </c>
      <c r="L342" s="121"/>
      <c r="M342" s="121"/>
      <c r="N342" s="103" t="str">
        <f t="shared" si="5"/>
        <v>1</v>
      </c>
      <c r="O342" s="103" t="str">
        <f>INDEX(Кат!$I:$I,MATCH($A342,Кат!$A:$A,0))</f>
        <v>БРТ</v>
      </c>
    </row>
    <row r="343" spans="1:15" ht="45" x14ac:dyDescent="0.25">
      <c r="A343" s="120">
        <v>225952</v>
      </c>
      <c r="B343" s="120">
        <v>19944</v>
      </c>
      <c r="C343" s="121" t="s">
        <v>2446</v>
      </c>
      <c r="D343" s="121" t="s">
        <v>2414</v>
      </c>
      <c r="E343" s="121" t="s">
        <v>1923</v>
      </c>
      <c r="F343" s="121"/>
      <c r="G343" s="121" t="s">
        <v>2</v>
      </c>
      <c r="H343" s="122">
        <v>163</v>
      </c>
      <c r="I343" s="122">
        <v>289</v>
      </c>
      <c r="J343" s="121" t="s">
        <v>2659</v>
      </c>
      <c r="K343" s="121" t="s">
        <v>1</v>
      </c>
      <c r="L343" s="121"/>
      <c r="M343" s="121"/>
      <c r="N343" s="103" t="str">
        <f t="shared" si="5"/>
        <v>1</v>
      </c>
      <c r="O343" s="103" t="str">
        <f>INDEX(Кат!$I:$I,MATCH($A343,Кат!$A:$A,0))</f>
        <v>БРТ</v>
      </c>
    </row>
    <row r="344" spans="1:15" ht="30" x14ac:dyDescent="0.25">
      <c r="A344" s="120">
        <v>194114</v>
      </c>
      <c r="B344" s="120">
        <v>12386</v>
      </c>
      <c r="C344" s="121" t="s">
        <v>2447</v>
      </c>
      <c r="D344" s="121" t="s">
        <v>2414</v>
      </c>
      <c r="E344" s="121" t="s">
        <v>2448</v>
      </c>
      <c r="F344" s="121" t="s">
        <v>2448</v>
      </c>
      <c r="G344" s="121" t="s">
        <v>2</v>
      </c>
      <c r="H344" s="122">
        <v>45</v>
      </c>
      <c r="I344" s="122">
        <v>159</v>
      </c>
      <c r="J344" s="121" t="s">
        <v>2515</v>
      </c>
      <c r="K344" s="121" t="s">
        <v>1</v>
      </c>
      <c r="L344" s="121" t="s">
        <v>1824</v>
      </c>
      <c r="M344" s="121"/>
      <c r="N344" s="103" t="str">
        <f t="shared" si="5"/>
        <v>1ск6</v>
      </c>
      <c r="O344" s="103" t="str">
        <f>INDEX(Кат!$I:$I,MATCH($A344,Кат!$A:$A,0))</f>
        <v>БРТ</v>
      </c>
    </row>
    <row r="345" spans="1:15" ht="60" x14ac:dyDescent="0.25">
      <c r="A345" s="120">
        <v>194565</v>
      </c>
      <c r="B345" s="120">
        <v>35400</v>
      </c>
      <c r="C345" s="121" t="s">
        <v>1599</v>
      </c>
      <c r="D345" s="121" t="s">
        <v>2414</v>
      </c>
      <c r="E345" s="121" t="s">
        <v>402</v>
      </c>
      <c r="F345" s="121" t="s">
        <v>402</v>
      </c>
      <c r="G345" s="121" t="s">
        <v>2</v>
      </c>
      <c r="H345" s="122">
        <v>15</v>
      </c>
      <c r="I345" s="122">
        <v>69</v>
      </c>
      <c r="J345" s="121" t="s">
        <v>2580</v>
      </c>
      <c r="K345" s="121" t="s">
        <v>1</v>
      </c>
      <c r="L345" s="121"/>
      <c r="M345" s="121"/>
      <c r="N345" s="103" t="str">
        <f t="shared" si="5"/>
        <v>1</v>
      </c>
      <c r="O345" s="103" t="str">
        <f>INDEX(Кат!$I:$I,MATCH($A345,Кат!$A:$A,0))</f>
        <v>БРТ</v>
      </c>
    </row>
    <row r="346" spans="1:15" ht="60" x14ac:dyDescent="0.25">
      <c r="A346" s="120">
        <v>194566</v>
      </c>
      <c r="B346" s="120">
        <v>35412</v>
      </c>
      <c r="C346" s="121" t="s">
        <v>1607</v>
      </c>
      <c r="D346" s="121" t="s">
        <v>2414</v>
      </c>
      <c r="E346" s="121" t="s">
        <v>462</v>
      </c>
      <c r="F346" s="121" t="s">
        <v>462</v>
      </c>
      <c r="G346" s="121" t="s">
        <v>2</v>
      </c>
      <c r="H346" s="122">
        <v>174</v>
      </c>
      <c r="I346" s="122">
        <v>299</v>
      </c>
      <c r="J346" s="121"/>
      <c r="K346" s="121" t="s">
        <v>1</v>
      </c>
      <c r="L346" s="121"/>
      <c r="M346" s="121"/>
      <c r="N346" s="103" t="str">
        <f t="shared" si="5"/>
        <v>1</v>
      </c>
      <c r="O346" s="103" t="str">
        <f>INDEX(Кат!$I:$I,MATCH($A346,Кат!$A:$A,0))</f>
        <v>БРТ</v>
      </c>
    </row>
    <row r="347" spans="1:15" ht="45" x14ac:dyDescent="0.25">
      <c r="A347" s="120">
        <v>194567</v>
      </c>
      <c r="B347" s="120">
        <v>35413</v>
      </c>
      <c r="C347" s="121" t="s">
        <v>1608</v>
      </c>
      <c r="D347" s="121" t="s">
        <v>2414</v>
      </c>
      <c r="E347" s="121" t="s">
        <v>518</v>
      </c>
      <c r="F347" s="121" t="s">
        <v>518</v>
      </c>
      <c r="G347" s="121" t="s">
        <v>2</v>
      </c>
      <c r="H347" s="122">
        <v>76</v>
      </c>
      <c r="I347" s="122">
        <v>129</v>
      </c>
      <c r="J347" s="121" t="s">
        <v>2644</v>
      </c>
      <c r="K347" s="121" t="s">
        <v>1</v>
      </c>
      <c r="L347" s="121"/>
      <c r="M347" s="121"/>
      <c r="N347" s="103" t="str">
        <f t="shared" si="5"/>
        <v>1</v>
      </c>
      <c r="O347" s="103" t="str">
        <f>INDEX(Кат!$I:$I,MATCH($A347,Кат!$A:$A,0))</f>
        <v>БРТ</v>
      </c>
    </row>
    <row r="348" spans="1:15" ht="45" x14ac:dyDescent="0.25">
      <c r="A348" s="120">
        <v>194568</v>
      </c>
      <c r="B348" s="120">
        <v>35404</v>
      </c>
      <c r="C348" s="121" t="s">
        <v>1603</v>
      </c>
      <c r="D348" s="121" t="s">
        <v>2414</v>
      </c>
      <c r="E348" s="121" t="s">
        <v>347</v>
      </c>
      <c r="F348" s="121" t="s">
        <v>347</v>
      </c>
      <c r="G348" s="121" t="s">
        <v>2</v>
      </c>
      <c r="H348" s="122">
        <v>41</v>
      </c>
      <c r="I348" s="122">
        <v>89</v>
      </c>
      <c r="J348" s="121"/>
      <c r="K348" s="121" t="s">
        <v>1</v>
      </c>
      <c r="L348" s="121"/>
      <c r="M348" s="121"/>
      <c r="N348" s="103" t="str">
        <f t="shared" si="5"/>
        <v>1</v>
      </c>
      <c r="O348" s="103" t="str">
        <f>INDEX(Кат!$I:$I,MATCH($A348,Кат!$A:$A,0))</f>
        <v>БРТ</v>
      </c>
    </row>
    <row r="349" spans="1:15" ht="45" x14ac:dyDescent="0.25">
      <c r="A349" s="120">
        <v>194569</v>
      </c>
      <c r="B349" s="120">
        <v>35405</v>
      </c>
      <c r="C349" s="121" t="s">
        <v>1604</v>
      </c>
      <c r="D349" s="121" t="s">
        <v>2414</v>
      </c>
      <c r="E349" s="121" t="s">
        <v>399</v>
      </c>
      <c r="F349" s="121" t="s">
        <v>399</v>
      </c>
      <c r="G349" s="121" t="s">
        <v>2</v>
      </c>
      <c r="H349" s="122">
        <v>41</v>
      </c>
      <c r="I349" s="122">
        <v>89</v>
      </c>
      <c r="J349" s="121"/>
      <c r="K349" s="121" t="s">
        <v>1</v>
      </c>
      <c r="L349" s="121"/>
      <c r="M349" s="121"/>
      <c r="N349" s="103" t="str">
        <f t="shared" si="5"/>
        <v>1</v>
      </c>
      <c r="O349" s="103" t="str">
        <f>INDEX(Кат!$I:$I,MATCH($A349,Кат!$A:$A,0))</f>
        <v>БРТ</v>
      </c>
    </row>
    <row r="350" spans="1:15" ht="30" x14ac:dyDescent="0.25">
      <c r="A350" s="120">
        <v>194570</v>
      </c>
      <c r="B350" s="120">
        <v>35410</v>
      </c>
      <c r="C350" s="121" t="s">
        <v>1605</v>
      </c>
      <c r="D350" s="121" t="s">
        <v>2414</v>
      </c>
      <c r="E350" s="121" t="s">
        <v>234</v>
      </c>
      <c r="F350" s="121" t="s">
        <v>234</v>
      </c>
      <c r="G350" s="121" t="s">
        <v>2</v>
      </c>
      <c r="H350" s="122">
        <v>286</v>
      </c>
      <c r="I350" s="122">
        <v>499</v>
      </c>
      <c r="J350" s="121"/>
      <c r="K350" s="121" t="s">
        <v>1</v>
      </c>
      <c r="L350" s="121"/>
      <c r="M350" s="121"/>
      <c r="N350" s="103" t="str">
        <f t="shared" si="5"/>
        <v>1</v>
      </c>
      <c r="O350" s="103" t="str">
        <f>INDEX(Кат!$I:$I,MATCH($A350,Кат!$A:$A,0))</f>
        <v>БРТ</v>
      </c>
    </row>
    <row r="351" spans="1:15" ht="45" x14ac:dyDescent="0.25">
      <c r="A351" s="120">
        <v>194571</v>
      </c>
      <c r="B351" s="120">
        <v>35411</v>
      </c>
      <c r="C351" s="121" t="s">
        <v>1606</v>
      </c>
      <c r="D351" s="121" t="s">
        <v>2414</v>
      </c>
      <c r="E351" s="121" t="s">
        <v>436</v>
      </c>
      <c r="F351" s="121" t="s">
        <v>436</v>
      </c>
      <c r="G351" s="121" t="s">
        <v>2</v>
      </c>
      <c r="H351" s="122">
        <v>383</v>
      </c>
      <c r="I351" s="122">
        <v>619</v>
      </c>
      <c r="J351" s="121" t="s">
        <v>2576</v>
      </c>
      <c r="K351" s="121" t="s">
        <v>1</v>
      </c>
      <c r="L351" s="121"/>
      <c r="M351" s="121"/>
      <c r="N351" s="103" t="str">
        <f t="shared" si="5"/>
        <v>1</v>
      </c>
      <c r="O351" s="103" t="str">
        <f>INDEX(Кат!$I:$I,MATCH($A351,Кат!$A:$A,0))</f>
        <v>БРТ</v>
      </c>
    </row>
    <row r="352" spans="1:15" ht="45" x14ac:dyDescent="0.25">
      <c r="A352" s="120">
        <v>194572</v>
      </c>
      <c r="B352" s="120">
        <v>35402</v>
      </c>
      <c r="C352" s="121" t="s">
        <v>1601</v>
      </c>
      <c r="D352" s="121" t="s">
        <v>2414</v>
      </c>
      <c r="E352" s="121" t="s">
        <v>447</v>
      </c>
      <c r="F352" s="121" t="s">
        <v>447</v>
      </c>
      <c r="G352" s="121" t="s">
        <v>2</v>
      </c>
      <c r="H352" s="122">
        <v>36</v>
      </c>
      <c r="I352" s="122">
        <v>129</v>
      </c>
      <c r="J352" s="121" t="s">
        <v>2553</v>
      </c>
      <c r="K352" s="121" t="s">
        <v>1</v>
      </c>
      <c r="L352" s="121"/>
      <c r="M352" s="121"/>
      <c r="N352" s="103" t="str">
        <f t="shared" si="5"/>
        <v>1</v>
      </c>
      <c r="O352" s="103" t="str">
        <f>INDEX(Кат!$I:$I,MATCH($A352,Кат!$A:$A,0))</f>
        <v>БРТ</v>
      </c>
    </row>
    <row r="353" spans="1:15" ht="45" x14ac:dyDescent="0.25">
      <c r="A353" s="120">
        <v>194573</v>
      </c>
      <c r="B353" s="120">
        <v>35403</v>
      </c>
      <c r="C353" s="121" t="s">
        <v>1602</v>
      </c>
      <c r="D353" s="121" t="s">
        <v>2414</v>
      </c>
      <c r="E353" s="121" t="s">
        <v>448</v>
      </c>
      <c r="F353" s="121" t="s">
        <v>448</v>
      </c>
      <c r="G353" s="121" t="s">
        <v>2</v>
      </c>
      <c r="H353" s="122">
        <v>27</v>
      </c>
      <c r="I353" s="122">
        <v>89</v>
      </c>
      <c r="J353" s="121" t="s">
        <v>2587</v>
      </c>
      <c r="K353" s="121" t="s">
        <v>1</v>
      </c>
      <c r="L353" s="121"/>
      <c r="M353" s="121"/>
      <c r="N353" s="103" t="str">
        <f t="shared" si="5"/>
        <v>1</v>
      </c>
      <c r="O353" s="103" t="str">
        <f>INDEX(Кат!$I:$I,MATCH($A353,Кат!$A:$A,0))</f>
        <v>БРТ</v>
      </c>
    </row>
    <row r="354" spans="1:15" ht="45" x14ac:dyDescent="0.25">
      <c r="A354" s="120">
        <v>194574</v>
      </c>
      <c r="B354" s="120">
        <v>35479</v>
      </c>
      <c r="C354" s="121" t="s">
        <v>1645</v>
      </c>
      <c r="D354" s="121" t="s">
        <v>2414</v>
      </c>
      <c r="E354" s="121" t="s">
        <v>1202</v>
      </c>
      <c r="F354" s="121" t="s">
        <v>1202</v>
      </c>
      <c r="G354" s="121" t="s">
        <v>2</v>
      </c>
      <c r="H354" s="122">
        <v>34</v>
      </c>
      <c r="I354" s="122">
        <v>159</v>
      </c>
      <c r="J354" s="121" t="s">
        <v>2584</v>
      </c>
      <c r="K354" s="121" t="s">
        <v>1</v>
      </c>
      <c r="L354" s="121"/>
      <c r="M354" s="121"/>
      <c r="N354" s="103" t="str">
        <f t="shared" si="5"/>
        <v>1</v>
      </c>
      <c r="O354" s="103" t="str">
        <f>INDEX(Кат!$I:$I,MATCH($A354,Кат!$A:$A,0))</f>
        <v>БРТ</v>
      </c>
    </row>
    <row r="355" spans="1:15" ht="30" x14ac:dyDescent="0.25">
      <c r="A355" s="120">
        <v>194575</v>
      </c>
      <c r="B355" s="120">
        <v>35480</v>
      </c>
      <c r="C355" s="121" t="s">
        <v>1646</v>
      </c>
      <c r="D355" s="121" t="s">
        <v>2414</v>
      </c>
      <c r="E355" s="121" t="s">
        <v>228</v>
      </c>
      <c r="F355" s="121" t="s">
        <v>228</v>
      </c>
      <c r="G355" s="121" t="s">
        <v>2</v>
      </c>
      <c r="H355" s="122">
        <v>38</v>
      </c>
      <c r="I355" s="122">
        <v>89</v>
      </c>
      <c r="J355" s="121"/>
      <c r="K355" s="121" t="s">
        <v>1</v>
      </c>
      <c r="L355" s="121"/>
      <c r="M355" s="121"/>
      <c r="N355" s="103" t="str">
        <f t="shared" si="5"/>
        <v>1</v>
      </c>
      <c r="O355" s="103" t="str">
        <f>INDEX(Кат!$I:$I,MATCH($A355,Кат!$A:$A,0))</f>
        <v>БРТ</v>
      </c>
    </row>
    <row r="356" spans="1:15" ht="45" x14ac:dyDescent="0.25">
      <c r="A356" s="120">
        <v>194595</v>
      </c>
      <c r="B356" s="120">
        <v>35471</v>
      </c>
      <c r="C356" s="121" t="s">
        <v>2449</v>
      </c>
      <c r="D356" s="121" t="s">
        <v>2414</v>
      </c>
      <c r="E356" s="121" t="s">
        <v>213</v>
      </c>
      <c r="F356" s="121" t="s">
        <v>213</v>
      </c>
      <c r="G356" s="121" t="s">
        <v>2</v>
      </c>
      <c r="H356" s="122">
        <v>1106</v>
      </c>
      <c r="I356" s="122">
        <v>1890</v>
      </c>
      <c r="J356" s="121" t="s">
        <v>2496</v>
      </c>
      <c r="K356" s="121" t="s">
        <v>1</v>
      </c>
      <c r="L356" s="121"/>
      <c r="M356" s="121"/>
      <c r="N356" s="103" t="str">
        <f t="shared" si="5"/>
        <v>1</v>
      </c>
      <c r="O356" s="103" t="str">
        <f>INDEX(Кат!$I:$I,MATCH($A356,Кат!$A:$A,0))</f>
        <v>БРТ</v>
      </c>
    </row>
    <row r="357" spans="1:15" ht="45" x14ac:dyDescent="0.25">
      <c r="A357" s="120">
        <v>194597</v>
      </c>
      <c r="B357" s="120">
        <v>19793</v>
      </c>
      <c r="C357" s="121" t="s">
        <v>208</v>
      </c>
      <c r="D357" s="121" t="s">
        <v>2414</v>
      </c>
      <c r="E357" s="121" t="s">
        <v>233</v>
      </c>
      <c r="F357" s="121"/>
      <c r="G357" s="121" t="s">
        <v>2</v>
      </c>
      <c r="H357" s="122">
        <v>578</v>
      </c>
      <c r="I357" s="122">
        <v>809</v>
      </c>
      <c r="J357" s="121" t="s">
        <v>2272</v>
      </c>
      <c r="K357" s="121" t="s">
        <v>1</v>
      </c>
      <c r="L357" s="121"/>
      <c r="M357" s="121"/>
      <c r="N357" s="103" t="str">
        <f t="shared" si="5"/>
        <v>1</v>
      </c>
      <c r="O357" s="103" t="str">
        <f>INDEX(Кат!$I:$I,MATCH($A357,Кат!$A:$A,0))</f>
        <v>БРТ</v>
      </c>
    </row>
    <row r="358" spans="1:15" ht="45" x14ac:dyDescent="0.25">
      <c r="A358" s="120">
        <v>194598</v>
      </c>
      <c r="B358" s="120">
        <v>35425</v>
      </c>
      <c r="C358" s="121" t="s">
        <v>1620</v>
      </c>
      <c r="D358" s="121" t="s">
        <v>2414</v>
      </c>
      <c r="E358" s="121" t="s">
        <v>419</v>
      </c>
      <c r="F358" s="121" t="s">
        <v>419</v>
      </c>
      <c r="G358" s="121" t="s">
        <v>2</v>
      </c>
      <c r="H358" s="122">
        <v>795</v>
      </c>
      <c r="I358" s="122">
        <v>1190</v>
      </c>
      <c r="J358" s="121" t="s">
        <v>2541</v>
      </c>
      <c r="K358" s="121" t="s">
        <v>1</v>
      </c>
      <c r="L358" s="121"/>
      <c r="M358" s="121"/>
      <c r="N358" s="103" t="str">
        <f t="shared" si="5"/>
        <v>1</v>
      </c>
      <c r="O358" s="103" t="str">
        <f>INDEX(Кат!$I:$I,MATCH($A358,Кат!$A:$A,0))</f>
        <v>БРТ</v>
      </c>
    </row>
    <row r="359" spans="1:15" ht="30" x14ac:dyDescent="0.25">
      <c r="A359" s="120">
        <v>194599</v>
      </c>
      <c r="B359" s="120">
        <v>35470</v>
      </c>
      <c r="C359" s="121" t="s">
        <v>1640</v>
      </c>
      <c r="D359" s="121" t="s">
        <v>2414</v>
      </c>
      <c r="E359" s="121" t="s">
        <v>211</v>
      </c>
      <c r="F359" s="121" t="s">
        <v>211</v>
      </c>
      <c r="G359" s="121" t="s">
        <v>2</v>
      </c>
      <c r="H359" s="122">
        <v>517</v>
      </c>
      <c r="I359" s="122">
        <v>729</v>
      </c>
      <c r="J359" s="121" t="s">
        <v>2497</v>
      </c>
      <c r="K359" s="121" t="s">
        <v>1</v>
      </c>
      <c r="L359" s="121"/>
      <c r="M359" s="121"/>
      <c r="N359" s="103" t="str">
        <f t="shared" si="5"/>
        <v>1</v>
      </c>
      <c r="O359" s="103" t="str">
        <f>INDEX(Кат!$I:$I,MATCH($A359,Кат!$A:$A,0))</f>
        <v>БРТ</v>
      </c>
    </row>
    <row r="360" spans="1:15" ht="30" x14ac:dyDescent="0.25">
      <c r="A360" s="120">
        <v>194600</v>
      </c>
      <c r="B360" s="120">
        <v>33092</v>
      </c>
      <c r="C360" s="121" t="s">
        <v>1499</v>
      </c>
      <c r="D360" s="121" t="s">
        <v>2414</v>
      </c>
      <c r="E360" s="121" t="s">
        <v>1498</v>
      </c>
      <c r="F360" s="121" t="s">
        <v>1498</v>
      </c>
      <c r="G360" s="121" t="s">
        <v>2</v>
      </c>
      <c r="H360" s="122">
        <v>312</v>
      </c>
      <c r="I360" s="122">
        <v>469</v>
      </c>
      <c r="J360" s="121"/>
      <c r="K360" s="121" t="s">
        <v>1</v>
      </c>
      <c r="L360" s="121"/>
      <c r="M360" s="121"/>
      <c r="N360" s="103" t="str">
        <f t="shared" si="5"/>
        <v>1</v>
      </c>
      <c r="O360" s="103" t="str">
        <f>INDEX(Кат!$I:$I,MATCH($A360,Кат!$A:$A,0))</f>
        <v>БРТ</v>
      </c>
    </row>
    <row r="361" spans="1:15" ht="45" x14ac:dyDescent="0.25">
      <c r="A361" s="120">
        <v>194606</v>
      </c>
      <c r="B361" s="120">
        <v>19803</v>
      </c>
      <c r="C361" s="121" t="s">
        <v>1898</v>
      </c>
      <c r="D361" s="121" t="s">
        <v>2414</v>
      </c>
      <c r="E361" s="121" t="s">
        <v>1899</v>
      </c>
      <c r="F361" s="121"/>
      <c r="G361" s="121" t="s">
        <v>2</v>
      </c>
      <c r="H361" s="122">
        <v>220</v>
      </c>
      <c r="I361" s="122">
        <v>379</v>
      </c>
      <c r="J361" s="121"/>
      <c r="K361" s="121" t="s">
        <v>1</v>
      </c>
      <c r="L361" s="121" t="s">
        <v>1823</v>
      </c>
      <c r="M361" s="121"/>
      <c r="N361" s="103" t="str">
        <f t="shared" si="5"/>
        <v>1ск4</v>
      </c>
      <c r="O361" s="103" t="str">
        <f>INDEX(Кат!$I:$I,MATCH($A361,Кат!$A:$A,0))</f>
        <v>БРТ</v>
      </c>
    </row>
    <row r="362" spans="1:15" ht="45" x14ac:dyDescent="0.25">
      <c r="A362" s="120">
        <v>194607</v>
      </c>
      <c r="B362" s="120">
        <v>19795</v>
      </c>
      <c r="C362" s="121" t="s">
        <v>153</v>
      </c>
      <c r="D362" s="121" t="s">
        <v>2414</v>
      </c>
      <c r="E362" s="121" t="s">
        <v>1891</v>
      </c>
      <c r="F362" s="121"/>
      <c r="G362" s="121" t="s">
        <v>2</v>
      </c>
      <c r="H362" s="122">
        <v>223</v>
      </c>
      <c r="I362" s="122">
        <v>389</v>
      </c>
      <c r="J362" s="121"/>
      <c r="K362" s="121" t="s">
        <v>1</v>
      </c>
      <c r="L362" s="121"/>
      <c r="M362" s="121"/>
      <c r="N362" s="103" t="str">
        <f t="shared" si="5"/>
        <v>1</v>
      </c>
      <c r="O362" s="103" t="str">
        <f>INDEX(Кат!$I:$I,MATCH($A362,Кат!$A:$A,0))</f>
        <v>БРТ</v>
      </c>
    </row>
    <row r="363" spans="1:15" ht="45" x14ac:dyDescent="0.25">
      <c r="A363" s="120">
        <v>194610</v>
      </c>
      <c r="B363" s="120">
        <v>20324</v>
      </c>
      <c r="C363" s="121" t="s">
        <v>48</v>
      </c>
      <c r="D363" s="121" t="s">
        <v>2414</v>
      </c>
      <c r="E363" s="121" t="s">
        <v>1997</v>
      </c>
      <c r="F363" s="121"/>
      <c r="G363" s="121" t="s">
        <v>2</v>
      </c>
      <c r="H363" s="122">
        <v>21</v>
      </c>
      <c r="I363" s="122">
        <v>69</v>
      </c>
      <c r="J363" s="121" t="s">
        <v>2580</v>
      </c>
      <c r="K363" s="121" t="s">
        <v>1</v>
      </c>
      <c r="L363" s="121"/>
      <c r="M363" s="121"/>
      <c r="N363" s="103" t="str">
        <f t="shared" si="5"/>
        <v>1</v>
      </c>
      <c r="O363" s="103" t="str">
        <f>INDEX(Кат!$I:$I,MATCH($A363,Кат!$A:$A,0))</f>
        <v>БРТ</v>
      </c>
    </row>
    <row r="364" spans="1:15" ht="45" x14ac:dyDescent="0.25">
      <c r="A364" s="120">
        <v>194617</v>
      </c>
      <c r="B364" s="120">
        <v>19862</v>
      </c>
      <c r="C364" s="121" t="s">
        <v>196</v>
      </c>
      <c r="D364" s="121" t="s">
        <v>2414</v>
      </c>
      <c r="E364" s="121" t="s">
        <v>586</v>
      </c>
      <c r="F364" s="121"/>
      <c r="G364" s="121" t="s">
        <v>2</v>
      </c>
      <c r="H364" s="122">
        <v>33</v>
      </c>
      <c r="I364" s="122">
        <v>79</v>
      </c>
      <c r="J364" s="121"/>
      <c r="K364" s="121" t="s">
        <v>1</v>
      </c>
      <c r="L364" s="121"/>
      <c r="M364" s="121"/>
      <c r="N364" s="103" t="str">
        <f t="shared" si="5"/>
        <v>1</v>
      </c>
      <c r="O364" s="103" t="str">
        <f>INDEX(Кат!$I:$I,MATCH($A364,Кат!$A:$A,0))</f>
        <v>БРТ</v>
      </c>
    </row>
    <row r="365" spans="1:15" ht="60" x14ac:dyDescent="0.25">
      <c r="A365" s="120">
        <v>194859</v>
      </c>
      <c r="B365" s="120">
        <v>20315</v>
      </c>
      <c r="C365" s="121" t="s">
        <v>183</v>
      </c>
      <c r="D365" s="121" t="s">
        <v>2414</v>
      </c>
      <c r="E365" s="121" t="s">
        <v>1990</v>
      </c>
      <c r="F365" s="121"/>
      <c r="G365" s="121" t="s">
        <v>2</v>
      </c>
      <c r="H365" s="122">
        <v>208</v>
      </c>
      <c r="I365" s="122">
        <v>359</v>
      </c>
      <c r="J365" s="121"/>
      <c r="K365" s="121" t="s">
        <v>1</v>
      </c>
      <c r="L365" s="121"/>
      <c r="M365" s="121"/>
      <c r="N365" s="103" t="str">
        <f t="shared" si="5"/>
        <v>1</v>
      </c>
      <c r="O365" s="103" t="str">
        <f>INDEX(Кат!$I:$I,MATCH($A365,Кат!$A:$A,0))</f>
        <v>БРТ</v>
      </c>
    </row>
    <row r="366" spans="1:15" ht="45" x14ac:dyDescent="0.25">
      <c r="A366" s="120">
        <v>194864</v>
      </c>
      <c r="B366" s="120">
        <v>20267</v>
      </c>
      <c r="C366" s="121" t="s">
        <v>34</v>
      </c>
      <c r="D366" s="121" t="s">
        <v>2414</v>
      </c>
      <c r="E366" s="121" t="s">
        <v>1961</v>
      </c>
      <c r="F366" s="121"/>
      <c r="G366" s="121" t="s">
        <v>2</v>
      </c>
      <c r="H366" s="122">
        <v>58</v>
      </c>
      <c r="I366" s="122">
        <v>129</v>
      </c>
      <c r="J366" s="121" t="s">
        <v>2631</v>
      </c>
      <c r="K366" s="121" t="s">
        <v>1</v>
      </c>
      <c r="L366" s="121"/>
      <c r="M366" s="121"/>
      <c r="N366" s="103" t="str">
        <f t="shared" si="5"/>
        <v>1</v>
      </c>
      <c r="O366" s="103" t="str">
        <f>INDEX(Кат!$I:$I,MATCH($A366,Кат!$A:$A,0))</f>
        <v>БРТ</v>
      </c>
    </row>
    <row r="367" spans="1:15" ht="45" x14ac:dyDescent="0.25">
      <c r="A367" s="120">
        <v>194865</v>
      </c>
      <c r="B367" s="120">
        <v>19849</v>
      </c>
      <c r="C367" s="121" t="s">
        <v>93</v>
      </c>
      <c r="D367" s="121" t="s">
        <v>2414</v>
      </c>
      <c r="E367" s="121" t="s">
        <v>575</v>
      </c>
      <c r="F367" s="121"/>
      <c r="G367" s="121" t="s">
        <v>2</v>
      </c>
      <c r="H367" s="122">
        <v>42</v>
      </c>
      <c r="I367" s="122">
        <v>99</v>
      </c>
      <c r="J367" s="121"/>
      <c r="K367" s="121" t="s">
        <v>1</v>
      </c>
      <c r="L367" s="121"/>
      <c r="M367" s="121"/>
      <c r="N367" s="103" t="str">
        <f t="shared" si="5"/>
        <v>1</v>
      </c>
      <c r="O367" s="103" t="str">
        <f>INDEX(Кат!$I:$I,MATCH($A367,Кат!$A:$A,0))</f>
        <v>БРТ</v>
      </c>
    </row>
    <row r="368" spans="1:15" ht="30" x14ac:dyDescent="0.25">
      <c r="A368" s="120">
        <v>194866</v>
      </c>
      <c r="B368" s="120">
        <v>19818</v>
      </c>
      <c r="C368" s="121" t="s">
        <v>2247</v>
      </c>
      <c r="D368" s="121" t="s">
        <v>2414</v>
      </c>
      <c r="E368" s="121" t="s">
        <v>541</v>
      </c>
      <c r="F368" s="121"/>
      <c r="G368" s="121" t="s">
        <v>2</v>
      </c>
      <c r="H368" s="122">
        <v>319</v>
      </c>
      <c r="I368" s="122">
        <v>489</v>
      </c>
      <c r="J368" s="121"/>
      <c r="K368" s="121" t="s">
        <v>1</v>
      </c>
      <c r="L368" s="121"/>
      <c r="M368" s="121"/>
      <c r="N368" s="103" t="str">
        <f t="shared" si="5"/>
        <v>1</v>
      </c>
      <c r="O368" s="103" t="str">
        <f>INDEX(Кат!$I:$I,MATCH($A368,Кат!$A:$A,0))</f>
        <v>БРТ</v>
      </c>
    </row>
    <row r="369" spans="1:15" ht="30" x14ac:dyDescent="0.25">
      <c r="A369" s="120">
        <v>194873</v>
      </c>
      <c r="B369" s="120">
        <v>36956</v>
      </c>
      <c r="C369" s="121" t="s">
        <v>1718</v>
      </c>
      <c r="D369" s="121" t="s">
        <v>2414</v>
      </c>
      <c r="E369" s="121" t="s">
        <v>1419</v>
      </c>
      <c r="F369" s="121" t="s">
        <v>1419</v>
      </c>
      <c r="G369" s="121" t="s">
        <v>2</v>
      </c>
      <c r="H369" s="122">
        <v>34</v>
      </c>
      <c r="I369" s="122">
        <v>79</v>
      </c>
      <c r="J369" s="121"/>
      <c r="K369" s="121" t="s">
        <v>1</v>
      </c>
      <c r="L369" s="121"/>
      <c r="M369" s="121"/>
      <c r="N369" s="103" t="str">
        <f t="shared" si="5"/>
        <v>1</v>
      </c>
      <c r="O369" s="103" t="str">
        <f>INDEX(Кат!$I:$I,MATCH($A369,Кат!$A:$A,0))</f>
        <v>БРТ</v>
      </c>
    </row>
    <row r="370" spans="1:15" ht="45" x14ac:dyDescent="0.25">
      <c r="A370" s="120">
        <v>194874</v>
      </c>
      <c r="B370" s="120">
        <v>20322</v>
      </c>
      <c r="C370" s="121" t="s">
        <v>100</v>
      </c>
      <c r="D370" s="121" t="s">
        <v>2414</v>
      </c>
      <c r="E370" s="121" t="s">
        <v>1996</v>
      </c>
      <c r="F370" s="121"/>
      <c r="G370" s="121" t="s">
        <v>2</v>
      </c>
      <c r="H370" s="122">
        <v>37</v>
      </c>
      <c r="I370" s="122">
        <v>79</v>
      </c>
      <c r="J370" s="121"/>
      <c r="K370" s="121" t="s">
        <v>1</v>
      </c>
      <c r="L370" s="121"/>
      <c r="M370" s="121"/>
      <c r="N370" s="103" t="str">
        <f t="shared" si="5"/>
        <v>1</v>
      </c>
      <c r="O370" s="103" t="str">
        <f>INDEX(Кат!$I:$I,MATCH($A370,Кат!$A:$A,0))</f>
        <v>БРТ</v>
      </c>
    </row>
    <row r="371" spans="1:15" ht="45" x14ac:dyDescent="0.25">
      <c r="A371" s="120">
        <v>201330</v>
      </c>
      <c r="B371" s="120">
        <v>35282</v>
      </c>
      <c r="C371" s="121" t="s">
        <v>1556</v>
      </c>
      <c r="D371" s="121" t="s">
        <v>2414</v>
      </c>
      <c r="E371" s="121" t="s">
        <v>247</v>
      </c>
      <c r="F371" s="121" t="s">
        <v>247</v>
      </c>
      <c r="G371" s="121" t="s">
        <v>2</v>
      </c>
      <c r="H371" s="122">
        <v>120</v>
      </c>
      <c r="I371" s="122">
        <v>309</v>
      </c>
      <c r="J371" s="121" t="s">
        <v>2348</v>
      </c>
      <c r="K371" s="121" t="s">
        <v>1</v>
      </c>
      <c r="L371" s="121"/>
      <c r="M371" s="121"/>
      <c r="N371" s="103" t="str">
        <f t="shared" si="5"/>
        <v>1</v>
      </c>
      <c r="O371" s="103" t="str">
        <f>INDEX(Кат!$I:$I,MATCH($A371,Кат!$A:$A,0))</f>
        <v>БРТ</v>
      </c>
    </row>
    <row r="372" spans="1:15" ht="30" x14ac:dyDescent="0.25">
      <c r="A372" s="120">
        <v>201331</v>
      </c>
      <c r="B372" s="120">
        <v>35281</v>
      </c>
      <c r="C372" s="121" t="s">
        <v>1555</v>
      </c>
      <c r="D372" s="121" t="s">
        <v>2414</v>
      </c>
      <c r="E372" s="121" t="s">
        <v>756</v>
      </c>
      <c r="F372" s="121" t="s">
        <v>756</v>
      </c>
      <c r="G372" s="121" t="s">
        <v>2</v>
      </c>
      <c r="H372" s="122">
        <v>49</v>
      </c>
      <c r="I372" s="122">
        <v>109</v>
      </c>
      <c r="J372" s="121"/>
      <c r="K372" s="121" t="s">
        <v>1</v>
      </c>
      <c r="L372" s="121"/>
      <c r="M372" s="121"/>
      <c r="N372" s="103" t="str">
        <f t="shared" si="5"/>
        <v>1</v>
      </c>
      <c r="O372" s="103" t="str">
        <f>INDEX(Кат!$I:$I,MATCH($A372,Кат!$A:$A,0))</f>
        <v>БРТ</v>
      </c>
    </row>
    <row r="373" spans="1:15" ht="30" x14ac:dyDescent="0.25">
      <c r="A373" s="120">
        <v>201332</v>
      </c>
      <c r="B373" s="120">
        <v>35276</v>
      </c>
      <c r="C373" s="121" t="s">
        <v>1553</v>
      </c>
      <c r="D373" s="121" t="s">
        <v>2414</v>
      </c>
      <c r="E373" s="121" t="s">
        <v>292</v>
      </c>
      <c r="F373" s="121" t="s">
        <v>292</v>
      </c>
      <c r="G373" s="121" t="s">
        <v>2</v>
      </c>
      <c r="H373" s="122">
        <v>148</v>
      </c>
      <c r="I373" s="122">
        <v>259</v>
      </c>
      <c r="J373" s="121"/>
      <c r="K373" s="121" t="s">
        <v>1</v>
      </c>
      <c r="L373" s="121"/>
      <c r="M373" s="121"/>
      <c r="N373" s="103" t="str">
        <f t="shared" si="5"/>
        <v>1</v>
      </c>
      <c r="O373" s="103" t="str">
        <f>INDEX(Кат!$I:$I,MATCH($A373,Кат!$A:$A,0))</f>
        <v>БРТ</v>
      </c>
    </row>
    <row r="374" spans="1:15" ht="45" x14ac:dyDescent="0.25">
      <c r="A374" s="120">
        <v>201333</v>
      </c>
      <c r="B374" s="120">
        <v>35285</v>
      </c>
      <c r="C374" s="121" t="s">
        <v>1557</v>
      </c>
      <c r="D374" s="121" t="s">
        <v>2414</v>
      </c>
      <c r="E374" s="121" t="s">
        <v>243</v>
      </c>
      <c r="F374" s="121" t="s">
        <v>243</v>
      </c>
      <c r="G374" s="121" t="s">
        <v>2</v>
      </c>
      <c r="H374" s="122">
        <v>22</v>
      </c>
      <c r="I374" s="122">
        <v>49</v>
      </c>
      <c r="J374" s="121"/>
      <c r="K374" s="121" t="s">
        <v>1</v>
      </c>
      <c r="L374" s="121"/>
      <c r="M374" s="121"/>
      <c r="N374" s="103" t="str">
        <f t="shared" si="5"/>
        <v>1</v>
      </c>
      <c r="O374" s="103" t="str">
        <f>INDEX(Кат!$I:$I,MATCH($A374,Кат!$A:$A,0))</f>
        <v>БРТ</v>
      </c>
    </row>
    <row r="375" spans="1:15" ht="45" x14ac:dyDescent="0.25">
      <c r="A375" s="120">
        <v>201334</v>
      </c>
      <c r="B375" s="120">
        <v>19808</v>
      </c>
      <c r="C375" s="121" t="s">
        <v>1818</v>
      </c>
      <c r="D375" s="121" t="s">
        <v>2414</v>
      </c>
      <c r="E375" s="121" t="s">
        <v>319</v>
      </c>
      <c r="F375" s="121"/>
      <c r="G375" s="121" t="s">
        <v>2</v>
      </c>
      <c r="H375" s="122">
        <v>131</v>
      </c>
      <c r="I375" s="122">
        <v>229</v>
      </c>
      <c r="J375" s="121"/>
      <c r="K375" s="121" t="s">
        <v>1</v>
      </c>
      <c r="L375" s="121"/>
      <c r="M375" s="121"/>
      <c r="N375" s="103" t="str">
        <f t="shared" si="5"/>
        <v>1</v>
      </c>
      <c r="O375" s="103" t="str">
        <f>INDEX(Кат!$I:$I,MATCH($A375,Кат!$A:$A,0))</f>
        <v>БРТ</v>
      </c>
    </row>
    <row r="376" spans="1:15" ht="30" x14ac:dyDescent="0.25">
      <c r="A376" s="120">
        <v>201335</v>
      </c>
      <c r="B376" s="120">
        <v>35278</v>
      </c>
      <c r="C376" s="121" t="s">
        <v>1554</v>
      </c>
      <c r="D376" s="121" t="s">
        <v>2414</v>
      </c>
      <c r="E376" s="121" t="s">
        <v>294</v>
      </c>
      <c r="F376" s="121" t="s">
        <v>294</v>
      </c>
      <c r="G376" s="121" t="s">
        <v>2</v>
      </c>
      <c r="H376" s="122">
        <v>241</v>
      </c>
      <c r="I376" s="122">
        <v>419</v>
      </c>
      <c r="J376" s="121"/>
      <c r="K376" s="121" t="s">
        <v>1</v>
      </c>
      <c r="L376" s="121"/>
      <c r="M376" s="121"/>
      <c r="N376" s="103" t="str">
        <f t="shared" si="5"/>
        <v>1</v>
      </c>
      <c r="O376" s="103" t="str">
        <f>INDEX(Кат!$I:$I,MATCH($A376,Кат!$A:$A,0))</f>
        <v>БРТ</v>
      </c>
    </row>
    <row r="377" spans="1:15" ht="60" x14ac:dyDescent="0.25">
      <c r="A377" s="120">
        <v>251649</v>
      </c>
      <c r="B377" s="120">
        <v>184622</v>
      </c>
      <c r="C377" s="121" t="s">
        <v>2450</v>
      </c>
      <c r="D377" s="121" t="s">
        <v>2414</v>
      </c>
      <c r="E377" s="121" t="s">
        <v>2451</v>
      </c>
      <c r="F377" s="121" t="s">
        <v>2451</v>
      </c>
      <c r="G377" s="121" t="s">
        <v>2</v>
      </c>
      <c r="H377" s="122">
        <v>114</v>
      </c>
      <c r="I377" s="122">
        <v>199</v>
      </c>
      <c r="J377" s="121"/>
      <c r="K377" s="121" t="s">
        <v>1</v>
      </c>
      <c r="L377" s="121"/>
      <c r="M377" s="121"/>
      <c r="N377" s="103" t="str">
        <f t="shared" si="5"/>
        <v>1</v>
      </c>
      <c r="O377" s="103" t="str">
        <f>INDEX(Кат!$I:$I,MATCH($A377,Кат!$A:$A,0))</f>
        <v>БРТ</v>
      </c>
    </row>
    <row r="378" spans="1:15" ht="30" x14ac:dyDescent="0.25">
      <c r="A378" s="120">
        <v>331794</v>
      </c>
      <c r="B378" s="120">
        <v>331794</v>
      </c>
      <c r="C378" s="121" t="s">
        <v>2452</v>
      </c>
      <c r="D378" s="121" t="s">
        <v>2414</v>
      </c>
      <c r="E378" s="121" t="s">
        <v>2453</v>
      </c>
      <c r="F378" s="121"/>
      <c r="G378" s="121" t="s">
        <v>2</v>
      </c>
      <c r="H378" s="122">
        <v>111</v>
      </c>
      <c r="I378" s="122">
        <v>199</v>
      </c>
      <c r="J378" s="121"/>
      <c r="K378" s="121" t="s">
        <v>1</v>
      </c>
      <c r="L378" s="121"/>
      <c r="M378" s="121"/>
      <c r="N378" s="103" t="str">
        <f t="shared" si="5"/>
        <v>1</v>
      </c>
      <c r="O378" s="103" t="str">
        <f>INDEX(Кат!$I:$I,MATCH($A378,Кат!$A:$A,0))</f>
        <v>БРТ</v>
      </c>
    </row>
    <row r="379" spans="1:15" ht="30" x14ac:dyDescent="0.25">
      <c r="A379" s="120">
        <v>201336</v>
      </c>
      <c r="B379" s="120">
        <v>26203</v>
      </c>
      <c r="C379" s="121" t="s">
        <v>2117</v>
      </c>
      <c r="D379" s="121" t="s">
        <v>2414</v>
      </c>
      <c r="E379" s="121" t="s">
        <v>1510</v>
      </c>
      <c r="F379" s="121"/>
      <c r="G379" s="121" t="s">
        <v>2</v>
      </c>
      <c r="H379" s="122">
        <v>10</v>
      </c>
      <c r="I379" s="122">
        <v>29</v>
      </c>
      <c r="J379" s="121"/>
      <c r="K379" s="121" t="s">
        <v>1</v>
      </c>
      <c r="L379" s="121" t="s">
        <v>1824</v>
      </c>
      <c r="M379" s="121"/>
      <c r="N379" s="103" t="str">
        <f t="shared" si="5"/>
        <v>1ск6</v>
      </c>
      <c r="O379" s="103" t="str">
        <f>INDEX(Кат!$I:$I,MATCH($A379,Кат!$A:$A,0))</f>
        <v>БРТ</v>
      </c>
    </row>
    <row r="380" spans="1:15" ht="60" x14ac:dyDescent="0.25">
      <c r="A380" s="120">
        <v>201513</v>
      </c>
      <c r="B380" s="120">
        <v>35280</v>
      </c>
      <c r="C380" s="121" t="s">
        <v>2706</v>
      </c>
      <c r="D380" s="121" t="s">
        <v>2414</v>
      </c>
      <c r="E380" s="121" t="s">
        <v>368</v>
      </c>
      <c r="F380" s="121" t="s">
        <v>368</v>
      </c>
      <c r="G380" s="121" t="s">
        <v>2</v>
      </c>
      <c r="H380" s="122">
        <v>165</v>
      </c>
      <c r="I380" s="122">
        <v>289</v>
      </c>
      <c r="J380" s="121"/>
      <c r="K380" s="121" t="s">
        <v>1</v>
      </c>
      <c r="L380" s="121"/>
      <c r="M380" s="121"/>
      <c r="N380" s="103" t="str">
        <f t="shared" si="5"/>
        <v>1</v>
      </c>
      <c r="O380" s="103" t="str">
        <f>INDEX(Кат!$I:$I,MATCH($A380,Кат!$A:$A,0))</f>
        <v>БРТ</v>
      </c>
    </row>
    <row r="381" spans="1:15" ht="45" x14ac:dyDescent="0.25">
      <c r="A381" s="120">
        <v>201421</v>
      </c>
      <c r="B381" s="120">
        <v>20287</v>
      </c>
      <c r="C381" s="121" t="s">
        <v>201</v>
      </c>
      <c r="D381" s="121" t="s">
        <v>2414</v>
      </c>
      <c r="E381" s="121" t="s">
        <v>1970</v>
      </c>
      <c r="F381" s="121"/>
      <c r="G381" s="121" t="s">
        <v>2</v>
      </c>
      <c r="H381" s="122">
        <v>187</v>
      </c>
      <c r="I381" s="122">
        <v>309</v>
      </c>
      <c r="J381" s="121" t="s">
        <v>2351</v>
      </c>
      <c r="K381" s="121" t="s">
        <v>1</v>
      </c>
      <c r="L381" s="121" t="s">
        <v>1824</v>
      </c>
      <c r="M381" s="121"/>
      <c r="N381" s="103" t="str">
        <f t="shared" si="5"/>
        <v>1ск6</v>
      </c>
      <c r="O381" s="103" t="str">
        <f>INDEX(Кат!$I:$I,MATCH($A381,Кат!$A:$A,0))</f>
        <v>БРТ</v>
      </c>
    </row>
    <row r="382" spans="1:15" ht="45" x14ac:dyDescent="0.25">
      <c r="A382" s="120">
        <v>201422</v>
      </c>
      <c r="B382" s="120">
        <v>20293</v>
      </c>
      <c r="C382" s="121" t="s">
        <v>40</v>
      </c>
      <c r="D382" s="121" t="s">
        <v>2414</v>
      </c>
      <c r="E382" s="121" t="s">
        <v>1975</v>
      </c>
      <c r="F382" s="121"/>
      <c r="G382" s="121" t="s">
        <v>2</v>
      </c>
      <c r="H382" s="122">
        <v>145</v>
      </c>
      <c r="I382" s="122">
        <v>309</v>
      </c>
      <c r="J382" s="121" t="s">
        <v>2351</v>
      </c>
      <c r="K382" s="121" t="s">
        <v>1</v>
      </c>
      <c r="L382" s="121"/>
      <c r="M382" s="121"/>
      <c r="N382" s="103" t="str">
        <f t="shared" si="5"/>
        <v>1</v>
      </c>
      <c r="O382" s="103" t="str">
        <f>INDEX(Кат!$I:$I,MATCH($A382,Кат!$A:$A,0))</f>
        <v>БРТ</v>
      </c>
    </row>
    <row r="383" spans="1:15" ht="45" x14ac:dyDescent="0.25">
      <c r="A383" s="120">
        <v>201432</v>
      </c>
      <c r="B383" s="120">
        <v>36966</v>
      </c>
      <c r="C383" s="121" t="s">
        <v>1722</v>
      </c>
      <c r="D383" s="121" t="s">
        <v>2414</v>
      </c>
      <c r="E383" s="121" t="s">
        <v>284</v>
      </c>
      <c r="F383" s="121" t="s">
        <v>284</v>
      </c>
      <c r="G383" s="121" t="s">
        <v>2</v>
      </c>
      <c r="H383" s="122">
        <v>24</v>
      </c>
      <c r="I383" s="122">
        <v>69</v>
      </c>
      <c r="J383" s="121" t="s">
        <v>2346</v>
      </c>
      <c r="K383" s="121" t="s">
        <v>1</v>
      </c>
      <c r="L383" s="121" t="s">
        <v>1824</v>
      </c>
      <c r="M383" s="121"/>
      <c r="N383" s="103" t="str">
        <f t="shared" si="5"/>
        <v>1ск6</v>
      </c>
      <c r="O383" s="103" t="str">
        <f>INDEX(Кат!$I:$I,MATCH($A383,Кат!$A:$A,0))</f>
        <v>БРТ</v>
      </c>
    </row>
    <row r="384" spans="1:15" ht="60" x14ac:dyDescent="0.25">
      <c r="A384" s="120">
        <v>201443</v>
      </c>
      <c r="B384" s="120">
        <v>19796</v>
      </c>
      <c r="C384" s="121" t="s">
        <v>140</v>
      </c>
      <c r="D384" s="121" t="s">
        <v>2414</v>
      </c>
      <c r="E384" s="121" t="s">
        <v>1892</v>
      </c>
      <c r="F384" s="121"/>
      <c r="G384" s="121" t="s">
        <v>2</v>
      </c>
      <c r="H384" s="122">
        <v>132</v>
      </c>
      <c r="I384" s="122">
        <v>309</v>
      </c>
      <c r="J384" s="121" t="s">
        <v>2350</v>
      </c>
      <c r="K384" s="121" t="s">
        <v>1</v>
      </c>
      <c r="L384" s="121"/>
      <c r="M384" s="121"/>
      <c r="N384" s="103" t="str">
        <f t="shared" si="5"/>
        <v>1</v>
      </c>
      <c r="O384" s="103" t="str">
        <f>INDEX(Кат!$I:$I,MATCH($A384,Кат!$A:$A,0))</f>
        <v>БРТ</v>
      </c>
    </row>
    <row r="385" spans="1:15" ht="45" x14ac:dyDescent="0.25">
      <c r="A385" s="120">
        <v>201444</v>
      </c>
      <c r="B385" s="120">
        <v>19806</v>
      </c>
      <c r="C385" s="121" t="s">
        <v>165</v>
      </c>
      <c r="D385" s="121" t="s">
        <v>2414</v>
      </c>
      <c r="E385" s="121" t="s">
        <v>1902</v>
      </c>
      <c r="F385" s="121"/>
      <c r="G385" s="121" t="s">
        <v>2</v>
      </c>
      <c r="H385" s="122">
        <v>157</v>
      </c>
      <c r="I385" s="122">
        <v>279</v>
      </c>
      <c r="J385" s="121" t="s">
        <v>2353</v>
      </c>
      <c r="K385" s="121" t="s">
        <v>1</v>
      </c>
      <c r="L385" s="121"/>
      <c r="M385" s="121"/>
      <c r="N385" s="103" t="str">
        <f t="shared" si="5"/>
        <v>1</v>
      </c>
      <c r="O385" s="103" t="str">
        <f>INDEX(Кат!$I:$I,MATCH($A385,Кат!$A:$A,0))</f>
        <v>БРТ</v>
      </c>
    </row>
    <row r="386" spans="1:15" ht="45" x14ac:dyDescent="0.25">
      <c r="A386" s="120">
        <v>201449</v>
      </c>
      <c r="B386" s="120">
        <v>19797</v>
      </c>
      <c r="C386" s="121" t="s">
        <v>127</v>
      </c>
      <c r="D386" s="121" t="s">
        <v>2414</v>
      </c>
      <c r="E386" s="121" t="s">
        <v>1893</v>
      </c>
      <c r="F386" s="121"/>
      <c r="G386" s="121" t="s">
        <v>2</v>
      </c>
      <c r="H386" s="122">
        <v>155</v>
      </c>
      <c r="I386" s="122">
        <v>239</v>
      </c>
      <c r="J386" s="121" t="s">
        <v>2352</v>
      </c>
      <c r="K386" s="121" t="s">
        <v>1</v>
      </c>
      <c r="L386" s="121"/>
      <c r="M386" s="121"/>
      <c r="N386" s="103" t="str">
        <f t="shared" si="5"/>
        <v>1</v>
      </c>
      <c r="O386" s="103" t="str">
        <f>INDEX(Кат!$I:$I,MATCH($A386,Кат!$A:$A,0))</f>
        <v>БРТ</v>
      </c>
    </row>
    <row r="387" spans="1:15" ht="30" x14ac:dyDescent="0.25">
      <c r="A387" s="120">
        <v>201459</v>
      </c>
      <c r="B387" s="120">
        <v>40265</v>
      </c>
      <c r="C387" s="121" t="s">
        <v>2175</v>
      </c>
      <c r="D387" s="121" t="s">
        <v>2414</v>
      </c>
      <c r="E387" s="121" t="s">
        <v>2176</v>
      </c>
      <c r="F387" s="121"/>
      <c r="G387" s="121" t="s">
        <v>2</v>
      </c>
      <c r="H387" s="122">
        <v>10</v>
      </c>
      <c r="I387" s="122">
        <v>29</v>
      </c>
      <c r="J387" s="121"/>
      <c r="K387" s="121" t="s">
        <v>1</v>
      </c>
      <c r="L387" s="121"/>
      <c r="M387" s="121"/>
      <c r="N387" s="103" t="str">
        <f t="shared" ref="N387:N450" si="6">_xlfn.CONCAT(K387,IF(L387&lt;&gt;"",_xlfn.CONCAT("ск",L387),""))</f>
        <v>1</v>
      </c>
      <c r="O387" s="103" t="str">
        <f>INDEX(Кат!$I:$I,MATCH($A387,Кат!$A:$A,0))</f>
        <v>БРТ</v>
      </c>
    </row>
    <row r="388" spans="1:15" ht="45" x14ac:dyDescent="0.25">
      <c r="A388" s="120">
        <v>201460</v>
      </c>
      <c r="B388" s="120">
        <v>40334</v>
      </c>
      <c r="C388" s="121" t="s">
        <v>2179</v>
      </c>
      <c r="D388" s="121" t="s">
        <v>2414</v>
      </c>
      <c r="E388" s="121" t="s">
        <v>2180</v>
      </c>
      <c r="F388" s="121"/>
      <c r="G388" s="121" t="s">
        <v>2</v>
      </c>
      <c r="H388" s="122">
        <v>54</v>
      </c>
      <c r="I388" s="122">
        <v>179</v>
      </c>
      <c r="J388" s="121" t="s">
        <v>2498</v>
      </c>
      <c r="K388" s="121" t="s">
        <v>1</v>
      </c>
      <c r="L388" s="121"/>
      <c r="M388" s="121"/>
      <c r="N388" s="103" t="str">
        <f t="shared" si="6"/>
        <v>1</v>
      </c>
      <c r="O388" s="103" t="str">
        <f>INDEX(Кат!$I:$I,MATCH($A388,Кат!$A:$A,0))</f>
        <v>БРТ</v>
      </c>
    </row>
    <row r="389" spans="1:15" ht="45" x14ac:dyDescent="0.25">
      <c r="A389" s="120">
        <v>201461</v>
      </c>
      <c r="B389" s="120">
        <v>40331</v>
      </c>
      <c r="C389" s="121" t="s">
        <v>2177</v>
      </c>
      <c r="D389" s="121" t="s">
        <v>2414</v>
      </c>
      <c r="E389" s="121" t="s">
        <v>2178</v>
      </c>
      <c r="F389" s="121"/>
      <c r="G389" s="121" t="s">
        <v>2</v>
      </c>
      <c r="H389" s="122">
        <v>54</v>
      </c>
      <c r="I389" s="122">
        <v>179</v>
      </c>
      <c r="J389" s="121" t="s">
        <v>2498</v>
      </c>
      <c r="K389" s="121" t="s">
        <v>1</v>
      </c>
      <c r="L389" s="121"/>
      <c r="M389" s="121"/>
      <c r="N389" s="103" t="str">
        <f t="shared" si="6"/>
        <v>1</v>
      </c>
      <c r="O389" s="103" t="str">
        <f>INDEX(Кат!$I:$I,MATCH($A389,Кат!$A:$A,0))</f>
        <v>БРТ</v>
      </c>
    </row>
    <row r="390" spans="1:15" ht="30" x14ac:dyDescent="0.25">
      <c r="A390" s="120">
        <v>201462</v>
      </c>
      <c r="B390" s="120">
        <v>26202</v>
      </c>
      <c r="C390" s="121" t="s">
        <v>1519</v>
      </c>
      <c r="D390" s="121" t="s">
        <v>2414</v>
      </c>
      <c r="E390" s="121" t="s">
        <v>2116</v>
      </c>
      <c r="F390" s="121"/>
      <c r="G390" s="121" t="s">
        <v>2</v>
      </c>
      <c r="H390" s="122">
        <v>15</v>
      </c>
      <c r="I390" s="122">
        <v>39</v>
      </c>
      <c r="J390" s="121"/>
      <c r="K390" s="121" t="s">
        <v>1</v>
      </c>
      <c r="L390" s="121"/>
      <c r="M390" s="121"/>
      <c r="N390" s="103" t="str">
        <f t="shared" si="6"/>
        <v>1</v>
      </c>
      <c r="O390" s="103" t="str">
        <f>INDEX(Кат!$I:$I,MATCH($A390,Кат!$A:$A,0))</f>
        <v>БРТ</v>
      </c>
    </row>
    <row r="391" spans="1:15" ht="30" x14ac:dyDescent="0.25">
      <c r="A391" s="120">
        <v>201463</v>
      </c>
      <c r="B391" s="120">
        <v>26204</v>
      </c>
      <c r="C391" s="121" t="s">
        <v>1520</v>
      </c>
      <c r="D391" s="121" t="s">
        <v>2414</v>
      </c>
      <c r="E391" s="121" t="s">
        <v>635</v>
      </c>
      <c r="F391" s="121"/>
      <c r="G391" s="121" t="s">
        <v>2</v>
      </c>
      <c r="H391" s="122">
        <v>12</v>
      </c>
      <c r="I391" s="122">
        <v>29</v>
      </c>
      <c r="J391" s="121"/>
      <c r="K391" s="121" t="s">
        <v>1</v>
      </c>
      <c r="L391" s="121"/>
      <c r="M391" s="121"/>
      <c r="N391" s="103" t="str">
        <f t="shared" si="6"/>
        <v>1</v>
      </c>
      <c r="O391" s="103" t="str">
        <f>INDEX(Кат!$I:$I,MATCH($A391,Кат!$A:$A,0))</f>
        <v>БРТ</v>
      </c>
    </row>
    <row r="392" spans="1:15" ht="45" x14ac:dyDescent="0.25">
      <c r="A392" s="120">
        <v>201489</v>
      </c>
      <c r="B392" s="120">
        <v>38382</v>
      </c>
      <c r="C392" s="121" t="s">
        <v>2162</v>
      </c>
      <c r="D392" s="121" t="s">
        <v>2414</v>
      </c>
      <c r="E392" s="121" t="s">
        <v>2163</v>
      </c>
      <c r="F392" s="121"/>
      <c r="G392" s="121" t="s">
        <v>2</v>
      </c>
      <c r="H392" s="122">
        <v>50</v>
      </c>
      <c r="I392" s="122">
        <v>179</v>
      </c>
      <c r="J392" s="121" t="s">
        <v>2375</v>
      </c>
      <c r="K392" s="121" t="s">
        <v>1</v>
      </c>
      <c r="L392" s="121"/>
      <c r="M392" s="121"/>
      <c r="N392" s="103" t="str">
        <f t="shared" si="6"/>
        <v>1</v>
      </c>
      <c r="O392" s="103" t="str">
        <f>INDEX(Кат!$I:$I,MATCH($A392,Кат!$A:$A,0))</f>
        <v>БРТ</v>
      </c>
    </row>
    <row r="393" spans="1:15" ht="30" x14ac:dyDescent="0.25">
      <c r="A393" s="120">
        <v>201510</v>
      </c>
      <c r="B393" s="120">
        <v>17354</v>
      </c>
      <c r="C393" s="121" t="s">
        <v>166</v>
      </c>
      <c r="D393" s="121" t="s">
        <v>2414</v>
      </c>
      <c r="E393" s="121" t="s">
        <v>1879</v>
      </c>
      <c r="F393" s="121"/>
      <c r="G393" s="121" t="s">
        <v>2</v>
      </c>
      <c r="H393" s="122">
        <v>15</v>
      </c>
      <c r="I393" s="122">
        <v>39</v>
      </c>
      <c r="J393" s="121"/>
      <c r="K393" s="121" t="s">
        <v>1</v>
      </c>
      <c r="L393" s="121" t="s">
        <v>1824</v>
      </c>
      <c r="M393" s="121"/>
      <c r="N393" s="103" t="str">
        <f t="shared" si="6"/>
        <v>1ск6</v>
      </c>
      <c r="O393" s="103" t="str">
        <f>INDEX(Кат!$I:$I,MATCH($A393,Кат!$A:$A,0))</f>
        <v>БРТ</v>
      </c>
    </row>
    <row r="394" spans="1:15" ht="30" x14ac:dyDescent="0.25">
      <c r="A394" s="120">
        <v>201531</v>
      </c>
      <c r="B394" s="120">
        <v>40205</v>
      </c>
      <c r="C394" s="121" t="s">
        <v>2173</v>
      </c>
      <c r="D394" s="121" t="s">
        <v>2414</v>
      </c>
      <c r="E394" s="121" t="s">
        <v>2174</v>
      </c>
      <c r="F394" s="121"/>
      <c r="G394" s="121" t="s">
        <v>2</v>
      </c>
      <c r="H394" s="122">
        <v>14</v>
      </c>
      <c r="I394" s="122">
        <v>39</v>
      </c>
      <c r="J394" s="121"/>
      <c r="K394" s="121" t="s">
        <v>1</v>
      </c>
      <c r="L394" s="121"/>
      <c r="M394" s="121"/>
      <c r="N394" s="103" t="str">
        <f t="shared" si="6"/>
        <v>1</v>
      </c>
      <c r="O394" s="103" t="str">
        <f>INDEX(Кат!$I:$I,MATCH($A394,Кат!$A:$A,0))</f>
        <v>БРТ</v>
      </c>
    </row>
    <row r="395" spans="1:15" ht="45" x14ac:dyDescent="0.25">
      <c r="A395" s="120">
        <v>202108</v>
      </c>
      <c r="B395" s="120">
        <v>35575</v>
      </c>
      <c r="C395" s="121" t="s">
        <v>1690</v>
      </c>
      <c r="D395" s="121" t="s">
        <v>2414</v>
      </c>
      <c r="E395" s="121" t="s">
        <v>599</v>
      </c>
      <c r="F395" s="121" t="s">
        <v>599</v>
      </c>
      <c r="G395" s="121" t="s">
        <v>2</v>
      </c>
      <c r="H395" s="122">
        <v>80</v>
      </c>
      <c r="I395" s="122">
        <v>199</v>
      </c>
      <c r="J395" s="121" t="s">
        <v>2645</v>
      </c>
      <c r="K395" s="121" t="s">
        <v>1</v>
      </c>
      <c r="L395" s="121"/>
      <c r="M395" s="121"/>
      <c r="N395" s="103" t="str">
        <f t="shared" si="6"/>
        <v>1</v>
      </c>
      <c r="O395" s="103" t="str">
        <f>INDEX(Кат!$I:$I,MATCH($A395,Кат!$A:$A,0))</f>
        <v>БРТ</v>
      </c>
    </row>
    <row r="396" spans="1:15" ht="45" x14ac:dyDescent="0.25">
      <c r="A396" s="120">
        <v>202109</v>
      </c>
      <c r="B396" s="120">
        <v>35576</v>
      </c>
      <c r="C396" s="121" t="s">
        <v>1691</v>
      </c>
      <c r="D396" s="121" t="s">
        <v>2414</v>
      </c>
      <c r="E396" s="121" t="s">
        <v>568</v>
      </c>
      <c r="F396" s="121" t="s">
        <v>568</v>
      </c>
      <c r="G396" s="121" t="s">
        <v>2</v>
      </c>
      <c r="H396" s="122">
        <v>90</v>
      </c>
      <c r="I396" s="122">
        <v>199</v>
      </c>
      <c r="J396" s="121"/>
      <c r="K396" s="121" t="s">
        <v>1</v>
      </c>
      <c r="L396" s="121"/>
      <c r="M396" s="121"/>
      <c r="N396" s="103" t="str">
        <f t="shared" si="6"/>
        <v>1</v>
      </c>
      <c r="O396" s="103" t="str">
        <f>INDEX(Кат!$I:$I,MATCH($A396,Кат!$A:$A,0))</f>
        <v>БРТ</v>
      </c>
    </row>
    <row r="397" spans="1:15" ht="30" x14ac:dyDescent="0.25">
      <c r="A397" s="120">
        <v>202110</v>
      </c>
      <c r="B397" s="120">
        <v>35566</v>
      </c>
      <c r="C397" s="121" t="s">
        <v>1686</v>
      </c>
      <c r="D397" s="121" t="s">
        <v>2414</v>
      </c>
      <c r="E397" s="121" t="s">
        <v>1390</v>
      </c>
      <c r="F397" s="121" t="s">
        <v>1390</v>
      </c>
      <c r="G397" s="121" t="s">
        <v>2</v>
      </c>
      <c r="H397" s="122">
        <v>200</v>
      </c>
      <c r="I397" s="122">
        <v>349</v>
      </c>
      <c r="J397" s="121"/>
      <c r="K397" s="121" t="s">
        <v>1</v>
      </c>
      <c r="L397" s="121"/>
      <c r="M397" s="121"/>
      <c r="N397" s="103" t="str">
        <f t="shared" si="6"/>
        <v>1</v>
      </c>
      <c r="O397" s="103" t="str">
        <f>INDEX(Кат!$I:$I,MATCH($A397,Кат!$A:$A,0))</f>
        <v>БРТ</v>
      </c>
    </row>
    <row r="398" spans="1:15" ht="30" x14ac:dyDescent="0.25">
      <c r="A398" s="120">
        <v>202111</v>
      </c>
      <c r="B398" s="120">
        <v>35449</v>
      </c>
      <c r="C398" s="121" t="s">
        <v>1630</v>
      </c>
      <c r="D398" s="121" t="s">
        <v>2414</v>
      </c>
      <c r="E398" s="121" t="s">
        <v>499</v>
      </c>
      <c r="F398" s="121" t="s">
        <v>499</v>
      </c>
      <c r="G398" s="121" t="s">
        <v>2</v>
      </c>
      <c r="H398" s="122">
        <v>105</v>
      </c>
      <c r="I398" s="122">
        <v>189</v>
      </c>
      <c r="J398" s="121"/>
      <c r="K398" s="121" t="s">
        <v>1</v>
      </c>
      <c r="L398" s="121"/>
      <c r="M398" s="121"/>
      <c r="N398" s="103" t="str">
        <f t="shared" si="6"/>
        <v>1</v>
      </c>
      <c r="O398" s="103" t="str">
        <f>INDEX(Кат!$I:$I,MATCH($A398,Кат!$A:$A,0))</f>
        <v>БРТ</v>
      </c>
    </row>
    <row r="399" spans="1:15" ht="45" x14ac:dyDescent="0.25">
      <c r="A399" s="120">
        <v>202083</v>
      </c>
      <c r="B399" s="120">
        <v>35260</v>
      </c>
      <c r="C399" s="121" t="s">
        <v>2707</v>
      </c>
      <c r="D399" s="121" t="s">
        <v>2414</v>
      </c>
      <c r="E399" s="121" t="s">
        <v>253</v>
      </c>
      <c r="F399" s="121" t="s">
        <v>253</v>
      </c>
      <c r="G399" s="121" t="s">
        <v>2</v>
      </c>
      <c r="H399" s="122">
        <v>34</v>
      </c>
      <c r="I399" s="122">
        <v>79</v>
      </c>
      <c r="J399" s="121" t="s">
        <v>2579</v>
      </c>
      <c r="K399" s="121" t="s">
        <v>1</v>
      </c>
      <c r="L399" s="121"/>
      <c r="M399" s="121"/>
      <c r="N399" s="103" t="str">
        <f t="shared" si="6"/>
        <v>1</v>
      </c>
      <c r="O399" s="103" t="str">
        <f>INDEX(Кат!$I:$I,MATCH($A399,Кат!$A:$A,0))</f>
        <v>БРТ</v>
      </c>
    </row>
    <row r="400" spans="1:15" ht="45" x14ac:dyDescent="0.25">
      <c r="A400" s="120">
        <v>202084</v>
      </c>
      <c r="B400" s="120">
        <v>35258</v>
      </c>
      <c r="C400" s="121" t="s">
        <v>2708</v>
      </c>
      <c r="D400" s="121" t="s">
        <v>2414</v>
      </c>
      <c r="E400" s="121" t="s">
        <v>354</v>
      </c>
      <c r="F400" s="121" t="s">
        <v>354</v>
      </c>
      <c r="G400" s="121" t="s">
        <v>2</v>
      </c>
      <c r="H400" s="122">
        <v>38</v>
      </c>
      <c r="I400" s="122">
        <v>89</v>
      </c>
      <c r="J400" s="121"/>
      <c r="K400" s="121" t="s">
        <v>1</v>
      </c>
      <c r="L400" s="121"/>
      <c r="M400" s="121"/>
      <c r="N400" s="103" t="str">
        <f t="shared" si="6"/>
        <v>1</v>
      </c>
      <c r="O400" s="103" t="str">
        <f>INDEX(Кат!$I:$I,MATCH($A400,Кат!$A:$A,0))</f>
        <v>БРТ</v>
      </c>
    </row>
    <row r="401" spans="1:15" ht="30" x14ac:dyDescent="0.25">
      <c r="A401" s="120">
        <v>202112</v>
      </c>
      <c r="B401" s="120">
        <v>35476</v>
      </c>
      <c r="C401" s="121" t="s">
        <v>1643</v>
      </c>
      <c r="D401" s="121" t="s">
        <v>2414</v>
      </c>
      <c r="E401" s="121" t="s">
        <v>223</v>
      </c>
      <c r="F401" s="121" t="s">
        <v>223</v>
      </c>
      <c r="G401" s="121" t="s">
        <v>2</v>
      </c>
      <c r="H401" s="122">
        <v>265</v>
      </c>
      <c r="I401" s="122">
        <v>459</v>
      </c>
      <c r="J401" s="121"/>
      <c r="K401" s="121" t="s">
        <v>1</v>
      </c>
      <c r="L401" s="121"/>
      <c r="M401" s="121"/>
      <c r="N401" s="103" t="str">
        <f t="shared" si="6"/>
        <v>1</v>
      </c>
      <c r="O401" s="103" t="str">
        <f>INDEX(Кат!$I:$I,MATCH($A401,Кат!$A:$A,0))</f>
        <v>БРТ</v>
      </c>
    </row>
    <row r="402" spans="1:15" ht="45" x14ac:dyDescent="0.25">
      <c r="A402" s="120">
        <v>202113</v>
      </c>
      <c r="B402" s="120">
        <v>35251</v>
      </c>
      <c r="C402" s="121" t="s">
        <v>1552</v>
      </c>
      <c r="D402" s="121" t="s">
        <v>2414</v>
      </c>
      <c r="E402" s="121" t="s">
        <v>220</v>
      </c>
      <c r="F402" s="121" t="s">
        <v>220</v>
      </c>
      <c r="G402" s="121" t="s">
        <v>2</v>
      </c>
      <c r="H402" s="122">
        <v>160</v>
      </c>
      <c r="I402" s="122">
        <v>279</v>
      </c>
      <c r="J402" s="121"/>
      <c r="K402" s="121" t="s">
        <v>1</v>
      </c>
      <c r="L402" s="121" t="s">
        <v>1824</v>
      </c>
      <c r="M402" s="121"/>
      <c r="N402" s="103" t="str">
        <f t="shared" si="6"/>
        <v>1ск6</v>
      </c>
      <c r="O402" s="103" t="str">
        <f>INDEX(Кат!$I:$I,MATCH($A402,Кат!$A:$A,0))</f>
        <v>БРТ</v>
      </c>
    </row>
    <row r="403" spans="1:15" ht="45" x14ac:dyDescent="0.25">
      <c r="A403" s="120">
        <v>202085</v>
      </c>
      <c r="B403" s="120">
        <v>35259</v>
      </c>
      <c r="C403" s="121" t="s">
        <v>2709</v>
      </c>
      <c r="D403" s="121" t="s">
        <v>2414</v>
      </c>
      <c r="E403" s="121" t="s">
        <v>467</v>
      </c>
      <c r="F403" s="121" t="s">
        <v>467</v>
      </c>
      <c r="G403" s="121" t="s">
        <v>2</v>
      </c>
      <c r="H403" s="122">
        <v>107</v>
      </c>
      <c r="I403" s="122">
        <v>189</v>
      </c>
      <c r="J403" s="121"/>
      <c r="K403" s="121" t="s">
        <v>1</v>
      </c>
      <c r="L403" s="121"/>
      <c r="M403" s="121"/>
      <c r="N403" s="103" t="str">
        <f t="shared" si="6"/>
        <v>1</v>
      </c>
      <c r="O403" s="103" t="str">
        <f>INDEX(Кат!$I:$I,MATCH($A403,Кат!$A:$A,0))</f>
        <v>БРТ</v>
      </c>
    </row>
    <row r="404" spans="1:15" ht="45" x14ac:dyDescent="0.25">
      <c r="A404" s="120">
        <v>202114</v>
      </c>
      <c r="B404" s="120">
        <v>35453</v>
      </c>
      <c r="C404" s="121" t="s">
        <v>1632</v>
      </c>
      <c r="D404" s="121" t="s">
        <v>2414</v>
      </c>
      <c r="E404" s="121" t="s">
        <v>503</v>
      </c>
      <c r="F404" s="121" t="s">
        <v>503</v>
      </c>
      <c r="G404" s="121" t="s">
        <v>2</v>
      </c>
      <c r="H404" s="122">
        <v>113</v>
      </c>
      <c r="I404" s="122">
        <v>199</v>
      </c>
      <c r="J404" s="121"/>
      <c r="K404" s="121" t="s">
        <v>1</v>
      </c>
      <c r="L404" s="121"/>
      <c r="M404" s="121"/>
      <c r="N404" s="103" t="str">
        <f t="shared" si="6"/>
        <v>1</v>
      </c>
      <c r="O404" s="103" t="str">
        <f>INDEX(Кат!$I:$I,MATCH($A404,Кат!$A:$A,0))</f>
        <v>БРТ</v>
      </c>
    </row>
    <row r="405" spans="1:15" ht="30" x14ac:dyDescent="0.25">
      <c r="A405" s="120">
        <v>202115</v>
      </c>
      <c r="B405" s="120">
        <v>35457</v>
      </c>
      <c r="C405" s="121" t="s">
        <v>1634</v>
      </c>
      <c r="D405" s="121" t="s">
        <v>2414</v>
      </c>
      <c r="E405" s="121" t="s">
        <v>1164</v>
      </c>
      <c r="F405" s="121" t="s">
        <v>1164</v>
      </c>
      <c r="G405" s="121" t="s">
        <v>2</v>
      </c>
      <c r="H405" s="122">
        <v>45</v>
      </c>
      <c r="I405" s="122">
        <v>99</v>
      </c>
      <c r="J405" s="121"/>
      <c r="K405" s="121" t="s">
        <v>1</v>
      </c>
      <c r="L405" s="121"/>
      <c r="M405" s="121"/>
      <c r="N405" s="103" t="str">
        <f t="shared" si="6"/>
        <v>1</v>
      </c>
      <c r="O405" s="103" t="str">
        <f>INDEX(Кат!$I:$I,MATCH($A405,Кат!$A:$A,0))</f>
        <v>БРТ</v>
      </c>
    </row>
    <row r="406" spans="1:15" ht="30" x14ac:dyDescent="0.25">
      <c r="A406" s="120">
        <v>202117</v>
      </c>
      <c r="B406" s="120">
        <v>35477</v>
      </c>
      <c r="C406" s="121" t="s">
        <v>1644</v>
      </c>
      <c r="D406" s="121" t="s">
        <v>2414</v>
      </c>
      <c r="E406" s="121" t="s">
        <v>224</v>
      </c>
      <c r="F406" s="121" t="s">
        <v>224</v>
      </c>
      <c r="G406" s="121" t="s">
        <v>2</v>
      </c>
      <c r="H406" s="122">
        <v>194</v>
      </c>
      <c r="I406" s="122">
        <v>339</v>
      </c>
      <c r="J406" s="121"/>
      <c r="K406" s="121" t="s">
        <v>1</v>
      </c>
      <c r="L406" s="121"/>
      <c r="M406" s="121"/>
      <c r="N406" s="103" t="str">
        <f t="shared" si="6"/>
        <v>1</v>
      </c>
      <c r="O406" s="103" t="str">
        <f>INDEX(Кат!$I:$I,MATCH($A406,Кат!$A:$A,0))</f>
        <v>БРТ</v>
      </c>
    </row>
    <row r="407" spans="1:15" ht="75" x14ac:dyDescent="0.25">
      <c r="A407" s="120">
        <v>202126</v>
      </c>
      <c r="B407" s="120">
        <v>2370</v>
      </c>
      <c r="C407" s="121" t="s">
        <v>1516</v>
      </c>
      <c r="D407" s="121" t="s">
        <v>2414</v>
      </c>
      <c r="E407" s="121" t="s">
        <v>1517</v>
      </c>
      <c r="F407" s="121" t="s">
        <v>1517</v>
      </c>
      <c r="G407" s="121" t="s">
        <v>2</v>
      </c>
      <c r="H407" s="122">
        <v>240</v>
      </c>
      <c r="I407" s="122">
        <v>419</v>
      </c>
      <c r="J407" s="121"/>
      <c r="K407" s="121" t="s">
        <v>1</v>
      </c>
      <c r="L407" s="121" t="s">
        <v>1824</v>
      </c>
      <c r="M407" s="121"/>
      <c r="N407" s="103" t="str">
        <f t="shared" si="6"/>
        <v>1ск6</v>
      </c>
      <c r="O407" s="103" t="str">
        <f>INDEX(Кат!$I:$I,MATCH($A407,Кат!$A:$A,0))</f>
        <v>БРТ</v>
      </c>
    </row>
    <row r="408" spans="1:15" ht="30" x14ac:dyDescent="0.25">
      <c r="A408" s="120">
        <v>202140</v>
      </c>
      <c r="B408" s="120">
        <v>35439</v>
      </c>
      <c r="C408" s="121" t="s">
        <v>2710</v>
      </c>
      <c r="D408" s="121" t="s">
        <v>2414</v>
      </c>
      <c r="E408" s="121" t="s">
        <v>496</v>
      </c>
      <c r="F408" s="121" t="s">
        <v>496</v>
      </c>
      <c r="G408" s="121" t="s">
        <v>2</v>
      </c>
      <c r="H408" s="122">
        <v>70</v>
      </c>
      <c r="I408" s="122">
        <v>159</v>
      </c>
      <c r="J408" s="121"/>
      <c r="K408" s="121" t="s">
        <v>1</v>
      </c>
      <c r="L408" s="121"/>
      <c r="M408" s="121"/>
      <c r="N408" s="103" t="str">
        <f t="shared" si="6"/>
        <v>1</v>
      </c>
      <c r="O408" s="103" t="str">
        <f>INDEX(Кат!$I:$I,MATCH($A408,Кат!$A:$A,0))</f>
        <v>БРТ</v>
      </c>
    </row>
    <row r="409" spans="1:15" ht="30" x14ac:dyDescent="0.25">
      <c r="A409" s="120">
        <v>202167</v>
      </c>
      <c r="B409" s="120">
        <v>19823</v>
      </c>
      <c r="C409" s="121" t="s">
        <v>6</v>
      </c>
      <c r="D409" s="121" t="s">
        <v>2414</v>
      </c>
      <c r="E409" s="121" t="s">
        <v>580</v>
      </c>
      <c r="F409" s="121"/>
      <c r="G409" s="121" t="s">
        <v>2</v>
      </c>
      <c r="H409" s="122">
        <v>105</v>
      </c>
      <c r="I409" s="122">
        <v>189</v>
      </c>
      <c r="J409" s="121"/>
      <c r="K409" s="121" t="s">
        <v>1</v>
      </c>
      <c r="L409" s="121"/>
      <c r="M409" s="121"/>
      <c r="N409" s="103" t="str">
        <f t="shared" si="6"/>
        <v>1</v>
      </c>
      <c r="O409" s="103" t="str">
        <f>INDEX(Кат!$I:$I,MATCH($A409,Кат!$A:$A,0))</f>
        <v>БРТ</v>
      </c>
    </row>
    <row r="410" spans="1:15" ht="60" x14ac:dyDescent="0.25">
      <c r="A410" s="120">
        <v>185461</v>
      </c>
      <c r="B410" s="120">
        <v>2368</v>
      </c>
      <c r="C410" s="121" t="s">
        <v>2711</v>
      </c>
      <c r="D410" s="121" t="s">
        <v>2414</v>
      </c>
      <c r="E410" s="121" t="s">
        <v>1502</v>
      </c>
      <c r="F410" s="121" t="s">
        <v>1502</v>
      </c>
      <c r="G410" s="121" t="s">
        <v>2</v>
      </c>
      <c r="H410" s="122">
        <v>341</v>
      </c>
      <c r="I410" s="122">
        <v>519</v>
      </c>
      <c r="J410" s="121" t="s">
        <v>2602</v>
      </c>
      <c r="K410" s="121" t="s">
        <v>1</v>
      </c>
      <c r="L410" s="121"/>
      <c r="M410" s="121"/>
      <c r="N410" s="103" t="str">
        <f t="shared" si="6"/>
        <v>1</v>
      </c>
      <c r="O410" s="103" t="str">
        <f>INDEX(Кат!$I:$I,MATCH($A410,Кат!$A:$A,0))</f>
        <v>БРТ</v>
      </c>
    </row>
    <row r="411" spans="1:15" ht="60" x14ac:dyDescent="0.25">
      <c r="A411" s="120">
        <v>202197</v>
      </c>
      <c r="B411" s="120">
        <v>12977</v>
      </c>
      <c r="C411" s="121" t="s">
        <v>2454</v>
      </c>
      <c r="D411" s="121" t="s">
        <v>2414</v>
      </c>
      <c r="E411" s="121"/>
      <c r="F411" s="121"/>
      <c r="G411" s="121" t="s">
        <v>2</v>
      </c>
      <c r="H411" s="122">
        <v>132</v>
      </c>
      <c r="I411" s="122">
        <v>309</v>
      </c>
      <c r="J411" s="121" t="s">
        <v>2519</v>
      </c>
      <c r="K411" s="121" t="s">
        <v>1</v>
      </c>
      <c r="L411" s="121" t="s">
        <v>1</v>
      </c>
      <c r="M411" s="121"/>
      <c r="N411" s="103" t="str">
        <f t="shared" si="6"/>
        <v>1ск1</v>
      </c>
      <c r="O411" s="103" t="str">
        <f>INDEX(Кат!$I:$I,MATCH($A411,Кат!$A:$A,0))</f>
        <v>БРТ</v>
      </c>
    </row>
    <row r="412" spans="1:15" ht="60" x14ac:dyDescent="0.25">
      <c r="A412" s="120">
        <v>202097</v>
      </c>
      <c r="B412" s="120">
        <v>2376</v>
      </c>
      <c r="C412" s="121" t="s">
        <v>2455</v>
      </c>
      <c r="D412" s="121" t="s">
        <v>2414</v>
      </c>
      <c r="E412" s="121"/>
      <c r="F412" s="121"/>
      <c r="G412" s="121" t="s">
        <v>2</v>
      </c>
      <c r="H412" s="122">
        <v>109</v>
      </c>
      <c r="I412" s="122">
        <v>309</v>
      </c>
      <c r="J412" s="121" t="s">
        <v>2521</v>
      </c>
      <c r="K412" s="121" t="s">
        <v>1</v>
      </c>
      <c r="L412" s="121"/>
      <c r="M412" s="121"/>
      <c r="N412" s="103" t="str">
        <f t="shared" si="6"/>
        <v>1</v>
      </c>
      <c r="O412" s="103" t="str">
        <f>INDEX(Кат!$I:$I,MATCH($A412,Кат!$A:$A,0))</f>
        <v>БРТ</v>
      </c>
    </row>
    <row r="413" spans="1:15" ht="60" x14ac:dyDescent="0.25">
      <c r="A413" s="120">
        <v>202099</v>
      </c>
      <c r="B413" s="120">
        <v>36829</v>
      </c>
      <c r="C413" s="121" t="s">
        <v>2456</v>
      </c>
      <c r="D413" s="121" t="s">
        <v>2414</v>
      </c>
      <c r="E413" s="121"/>
      <c r="F413" s="121"/>
      <c r="G413" s="121" t="s">
        <v>2</v>
      </c>
      <c r="H413" s="122">
        <v>107</v>
      </c>
      <c r="I413" s="122">
        <v>349</v>
      </c>
      <c r="J413" s="121" t="s">
        <v>2520</v>
      </c>
      <c r="K413" s="121" t="s">
        <v>1</v>
      </c>
      <c r="L413" s="121"/>
      <c r="M413" s="121"/>
      <c r="N413" s="103" t="str">
        <f t="shared" si="6"/>
        <v>1</v>
      </c>
      <c r="O413" s="103" t="str">
        <f>INDEX(Кат!$I:$I,MATCH($A413,Кат!$A:$A,0))</f>
        <v>БРТ</v>
      </c>
    </row>
    <row r="414" spans="1:15" ht="45" x14ac:dyDescent="0.25">
      <c r="A414" s="120">
        <v>202090</v>
      </c>
      <c r="B414" s="120">
        <v>35254</v>
      </c>
      <c r="C414" s="121" t="s">
        <v>2712</v>
      </c>
      <c r="D414" s="121" t="s">
        <v>2414</v>
      </c>
      <c r="E414" s="121" t="s">
        <v>341</v>
      </c>
      <c r="F414" s="121" t="s">
        <v>341</v>
      </c>
      <c r="G414" s="121" t="s">
        <v>2</v>
      </c>
      <c r="H414" s="122">
        <v>174</v>
      </c>
      <c r="I414" s="122">
        <v>299</v>
      </c>
      <c r="J414" s="121"/>
      <c r="K414" s="121" t="s">
        <v>1</v>
      </c>
      <c r="L414" s="121"/>
      <c r="M414" s="121"/>
      <c r="N414" s="103" t="str">
        <f t="shared" si="6"/>
        <v>1</v>
      </c>
      <c r="O414" s="103" t="str">
        <f>INDEX(Кат!$I:$I,MATCH($A414,Кат!$A:$A,0))</f>
        <v>БРТ</v>
      </c>
    </row>
    <row r="415" spans="1:15" ht="45" x14ac:dyDescent="0.25">
      <c r="A415" s="120">
        <v>202089</v>
      </c>
      <c r="B415" s="120">
        <v>35257</v>
      </c>
      <c r="C415" s="121" t="s">
        <v>2713</v>
      </c>
      <c r="D415" s="121" t="s">
        <v>2414</v>
      </c>
      <c r="E415" s="121" t="s">
        <v>468</v>
      </c>
      <c r="F415" s="121" t="s">
        <v>468</v>
      </c>
      <c r="G415" s="121" t="s">
        <v>2</v>
      </c>
      <c r="H415" s="122">
        <v>187</v>
      </c>
      <c r="I415" s="122">
        <v>329</v>
      </c>
      <c r="J415" s="121"/>
      <c r="K415" s="121" t="s">
        <v>1</v>
      </c>
      <c r="L415" s="121"/>
      <c r="M415" s="121"/>
      <c r="N415" s="103" t="str">
        <f t="shared" si="6"/>
        <v>1</v>
      </c>
      <c r="O415" s="103" t="str">
        <f>INDEX(Кат!$I:$I,MATCH($A415,Кат!$A:$A,0))</f>
        <v>БРТ</v>
      </c>
    </row>
    <row r="416" spans="1:15" ht="30" x14ac:dyDescent="0.25">
      <c r="A416" s="120">
        <v>202088</v>
      </c>
      <c r="B416" s="120">
        <v>35256</v>
      </c>
      <c r="C416" s="121" t="s">
        <v>2714</v>
      </c>
      <c r="D416" s="121" t="s">
        <v>2414</v>
      </c>
      <c r="E416" s="121" t="s">
        <v>443</v>
      </c>
      <c r="F416" s="121" t="s">
        <v>443</v>
      </c>
      <c r="G416" s="121" t="s">
        <v>2</v>
      </c>
      <c r="H416" s="122">
        <v>166</v>
      </c>
      <c r="I416" s="122">
        <v>289</v>
      </c>
      <c r="J416" s="121"/>
      <c r="K416" s="121" t="s">
        <v>1</v>
      </c>
      <c r="L416" s="121"/>
      <c r="M416" s="121"/>
      <c r="N416" s="103" t="str">
        <f t="shared" si="6"/>
        <v>1</v>
      </c>
      <c r="O416" s="103" t="str">
        <f>INDEX(Кат!$I:$I,MATCH($A416,Кат!$A:$A,0))</f>
        <v>БРТ</v>
      </c>
    </row>
    <row r="417" spans="1:15" ht="45" x14ac:dyDescent="0.25">
      <c r="A417" s="120">
        <v>202086</v>
      </c>
      <c r="B417" s="120">
        <v>35253</v>
      </c>
      <c r="C417" s="121" t="s">
        <v>2457</v>
      </c>
      <c r="D417" s="121" t="s">
        <v>2414</v>
      </c>
      <c r="E417" s="121" t="s">
        <v>342</v>
      </c>
      <c r="F417" s="121" t="s">
        <v>342</v>
      </c>
      <c r="G417" s="121" t="s">
        <v>2</v>
      </c>
      <c r="H417" s="122">
        <v>179</v>
      </c>
      <c r="I417" s="122">
        <v>309</v>
      </c>
      <c r="J417" s="121"/>
      <c r="K417" s="121" t="s">
        <v>1</v>
      </c>
      <c r="L417" s="121"/>
      <c r="M417" s="121"/>
      <c r="N417" s="103" t="str">
        <f t="shared" si="6"/>
        <v>1</v>
      </c>
      <c r="O417" s="103" t="str">
        <f>INDEX(Кат!$I:$I,MATCH($A417,Кат!$A:$A,0))</f>
        <v>БРТ</v>
      </c>
    </row>
    <row r="418" spans="1:15" ht="30" x14ac:dyDescent="0.25">
      <c r="A418" s="120">
        <v>202116</v>
      </c>
      <c r="B418" s="120">
        <v>35478</v>
      </c>
      <c r="C418" s="121" t="s">
        <v>2458</v>
      </c>
      <c r="D418" s="121" t="s">
        <v>2414</v>
      </c>
      <c r="E418" s="121" t="s">
        <v>1200</v>
      </c>
      <c r="F418" s="121" t="s">
        <v>1200</v>
      </c>
      <c r="G418" s="121" t="s">
        <v>2</v>
      </c>
      <c r="H418" s="122">
        <v>77</v>
      </c>
      <c r="I418" s="122">
        <v>169</v>
      </c>
      <c r="J418" s="121"/>
      <c r="K418" s="121" t="s">
        <v>1</v>
      </c>
      <c r="L418" s="121"/>
      <c r="M418" s="121"/>
      <c r="N418" s="103" t="str">
        <f t="shared" si="6"/>
        <v>1</v>
      </c>
      <c r="O418" s="103" t="str">
        <f>INDEX(Кат!$I:$I,MATCH($A418,Кат!$A:$A,0))</f>
        <v>БРТ</v>
      </c>
    </row>
    <row r="419" spans="1:15" ht="30" x14ac:dyDescent="0.25">
      <c r="A419" s="120">
        <v>202087</v>
      </c>
      <c r="B419" s="120">
        <v>35255</v>
      </c>
      <c r="C419" s="121" t="s">
        <v>2459</v>
      </c>
      <c r="D419" s="121" t="s">
        <v>2414</v>
      </c>
      <c r="E419" s="121" t="s">
        <v>444</v>
      </c>
      <c r="F419" s="121" t="s">
        <v>444</v>
      </c>
      <c r="G419" s="121" t="s">
        <v>2</v>
      </c>
      <c r="H419" s="122">
        <v>224</v>
      </c>
      <c r="I419" s="122">
        <v>389</v>
      </c>
      <c r="J419" s="121"/>
      <c r="K419" s="121" t="s">
        <v>1</v>
      </c>
      <c r="L419" s="121"/>
      <c r="M419" s="121"/>
      <c r="N419" s="103" t="str">
        <f t="shared" si="6"/>
        <v>1</v>
      </c>
      <c r="O419" s="103" t="str">
        <f>INDEX(Кат!$I:$I,MATCH($A419,Кат!$A:$A,0))</f>
        <v>БРТ</v>
      </c>
    </row>
    <row r="420" spans="1:15" ht="45" x14ac:dyDescent="0.25">
      <c r="A420" s="120">
        <v>202244</v>
      </c>
      <c r="B420" s="120">
        <v>17949</v>
      </c>
      <c r="C420" s="121" t="s">
        <v>2245</v>
      </c>
      <c r="D420" s="121" t="s">
        <v>2414</v>
      </c>
      <c r="E420" s="121" t="s">
        <v>1883</v>
      </c>
      <c r="F420" s="121"/>
      <c r="G420" s="121" t="s">
        <v>2</v>
      </c>
      <c r="H420" s="122">
        <v>170</v>
      </c>
      <c r="I420" s="122">
        <v>299</v>
      </c>
      <c r="J420" s="121" t="s">
        <v>2371</v>
      </c>
      <c r="K420" s="121" t="s">
        <v>2418</v>
      </c>
      <c r="L420" s="121" t="s">
        <v>1824</v>
      </c>
      <c r="M420" s="121"/>
      <c r="N420" s="103" t="str">
        <f t="shared" si="6"/>
        <v>0ск6</v>
      </c>
      <c r="O420" s="103" t="str">
        <f>INDEX(Кат!$I:$I,MATCH($A420,Кат!$A:$A,0))</f>
        <v>БРТ</v>
      </c>
    </row>
    <row r="421" spans="1:15" ht="30" x14ac:dyDescent="0.25">
      <c r="A421" s="120">
        <v>202245</v>
      </c>
      <c r="B421" s="120">
        <v>35523</v>
      </c>
      <c r="C421" s="121" t="s">
        <v>2262</v>
      </c>
      <c r="D421" s="121" t="s">
        <v>2414</v>
      </c>
      <c r="E421" s="121"/>
      <c r="F421" s="121"/>
      <c r="G421" s="121" t="s">
        <v>2</v>
      </c>
      <c r="H421" s="122">
        <v>84</v>
      </c>
      <c r="I421" s="122">
        <v>189</v>
      </c>
      <c r="J421" s="121"/>
      <c r="K421" s="121" t="s">
        <v>1</v>
      </c>
      <c r="L421" s="121" t="s">
        <v>1824</v>
      </c>
      <c r="M421" s="121"/>
      <c r="N421" s="103" t="str">
        <f t="shared" si="6"/>
        <v>1ск6</v>
      </c>
      <c r="O421" s="103" t="str">
        <f>INDEX(Кат!$I:$I,MATCH($A421,Кат!$A:$A,0))</f>
        <v>БРТ</v>
      </c>
    </row>
    <row r="422" spans="1:15" ht="45" x14ac:dyDescent="0.25">
      <c r="A422" s="120">
        <v>202249</v>
      </c>
      <c r="B422" s="120">
        <v>2383</v>
      </c>
      <c r="C422" s="121" t="s">
        <v>1705</v>
      </c>
      <c r="D422" s="121" t="s">
        <v>2414</v>
      </c>
      <c r="E422" s="121"/>
      <c r="F422" s="121"/>
      <c r="G422" s="121" t="s">
        <v>2</v>
      </c>
      <c r="H422" s="122">
        <v>374</v>
      </c>
      <c r="I422" s="122">
        <v>509</v>
      </c>
      <c r="J422" s="121" t="s">
        <v>2573</v>
      </c>
      <c r="K422" s="121" t="s">
        <v>1</v>
      </c>
      <c r="L422" s="121" t="s">
        <v>1824</v>
      </c>
      <c r="M422" s="121"/>
      <c r="N422" s="103" t="str">
        <f t="shared" si="6"/>
        <v>1ск6</v>
      </c>
      <c r="O422" s="103" t="str">
        <f>INDEX(Кат!$I:$I,MATCH($A422,Кат!$A:$A,0))</f>
        <v>БРТ</v>
      </c>
    </row>
    <row r="423" spans="1:15" ht="60" x14ac:dyDescent="0.25">
      <c r="A423" s="120">
        <v>202250</v>
      </c>
      <c r="B423" s="120">
        <v>2388</v>
      </c>
      <c r="C423" s="121" t="s">
        <v>1826</v>
      </c>
      <c r="D423" s="121" t="s">
        <v>2414</v>
      </c>
      <c r="E423" s="121" t="s">
        <v>351</v>
      </c>
      <c r="F423" s="121"/>
      <c r="G423" s="121" t="s">
        <v>2</v>
      </c>
      <c r="H423" s="122">
        <v>322</v>
      </c>
      <c r="I423" s="122">
        <v>509</v>
      </c>
      <c r="J423" s="121" t="s">
        <v>2370</v>
      </c>
      <c r="K423" s="121" t="s">
        <v>1</v>
      </c>
      <c r="L423" s="121"/>
      <c r="M423" s="121"/>
      <c r="N423" s="103" t="str">
        <f t="shared" si="6"/>
        <v>1</v>
      </c>
      <c r="O423" s="103" t="str">
        <f>INDEX(Кат!$I:$I,MATCH($A423,Кат!$A:$A,0))</f>
        <v>БРТ</v>
      </c>
    </row>
    <row r="424" spans="1:15" ht="45" x14ac:dyDescent="0.25">
      <c r="A424" s="120">
        <v>202257</v>
      </c>
      <c r="B424" s="120">
        <v>2389</v>
      </c>
      <c r="C424" s="121" t="s">
        <v>1706</v>
      </c>
      <c r="D424" s="121" t="s">
        <v>2414</v>
      </c>
      <c r="E424" s="121"/>
      <c r="F424" s="121"/>
      <c r="G424" s="121" t="s">
        <v>2</v>
      </c>
      <c r="H424" s="122">
        <v>360</v>
      </c>
      <c r="I424" s="122">
        <v>509</v>
      </c>
      <c r="J424" s="121" t="s">
        <v>2328</v>
      </c>
      <c r="K424" s="121" t="s">
        <v>1</v>
      </c>
      <c r="L424" s="121"/>
      <c r="M424" s="121"/>
      <c r="N424" s="103" t="str">
        <f t="shared" si="6"/>
        <v>1</v>
      </c>
      <c r="O424" s="103" t="str">
        <f>INDEX(Кат!$I:$I,MATCH($A424,Кат!$A:$A,0))</f>
        <v>БРТ</v>
      </c>
    </row>
    <row r="425" spans="1:15" ht="45" x14ac:dyDescent="0.25">
      <c r="A425" s="120">
        <v>202258</v>
      </c>
      <c r="B425" s="120">
        <v>2390</v>
      </c>
      <c r="C425" s="121" t="s">
        <v>1518</v>
      </c>
      <c r="D425" s="121" t="s">
        <v>2414</v>
      </c>
      <c r="E425" s="121"/>
      <c r="F425" s="121"/>
      <c r="G425" s="121" t="s">
        <v>2</v>
      </c>
      <c r="H425" s="122">
        <v>374</v>
      </c>
      <c r="I425" s="122">
        <v>509</v>
      </c>
      <c r="J425" s="121" t="s">
        <v>2574</v>
      </c>
      <c r="K425" s="121" t="s">
        <v>1</v>
      </c>
      <c r="L425" s="121"/>
      <c r="M425" s="121"/>
      <c r="N425" s="103" t="str">
        <f t="shared" si="6"/>
        <v>1</v>
      </c>
      <c r="O425" s="103" t="str">
        <f>INDEX(Кат!$I:$I,MATCH($A425,Кат!$A:$A,0))</f>
        <v>БРТ</v>
      </c>
    </row>
    <row r="426" spans="1:15" ht="45" x14ac:dyDescent="0.25">
      <c r="A426" s="120">
        <v>204020</v>
      </c>
      <c r="B426" s="120">
        <v>35188</v>
      </c>
      <c r="C426" s="121" t="s">
        <v>1523</v>
      </c>
      <c r="D426" s="121" t="s">
        <v>2414</v>
      </c>
      <c r="E426" s="121" t="s">
        <v>597</v>
      </c>
      <c r="F426" s="121" t="s">
        <v>597</v>
      </c>
      <c r="G426" s="121" t="s">
        <v>2</v>
      </c>
      <c r="H426" s="122">
        <v>2143</v>
      </c>
      <c r="I426" s="122">
        <v>2790</v>
      </c>
      <c r="J426" s="121"/>
      <c r="K426" s="121" t="s">
        <v>1</v>
      </c>
      <c r="L426" s="121"/>
      <c r="M426" s="121"/>
      <c r="N426" s="103" t="str">
        <f t="shared" si="6"/>
        <v>1</v>
      </c>
      <c r="O426" s="103" t="str">
        <f>INDEX(Кат!$I:$I,MATCH($A426,Кат!$A:$A,0))</f>
        <v>БРТ</v>
      </c>
    </row>
    <row r="427" spans="1:15" ht="45" x14ac:dyDescent="0.25">
      <c r="A427" s="120">
        <v>204180</v>
      </c>
      <c r="B427" s="120">
        <v>19854</v>
      </c>
      <c r="C427" s="121" t="s">
        <v>15</v>
      </c>
      <c r="D427" s="121" t="s">
        <v>2414</v>
      </c>
      <c r="E427" s="121" t="s">
        <v>583</v>
      </c>
      <c r="F427" s="121"/>
      <c r="G427" s="121" t="s">
        <v>2</v>
      </c>
      <c r="H427" s="122">
        <v>124</v>
      </c>
      <c r="I427" s="122">
        <v>219</v>
      </c>
      <c r="J427" s="121"/>
      <c r="K427" s="121" t="s">
        <v>1</v>
      </c>
      <c r="L427" s="121"/>
      <c r="M427" s="121"/>
      <c r="N427" s="103" t="str">
        <f t="shared" si="6"/>
        <v>1</v>
      </c>
      <c r="O427" s="103" t="str">
        <f>INDEX(Кат!$I:$I,MATCH($A427,Кат!$A:$A,0))</f>
        <v>БРТ</v>
      </c>
    </row>
    <row r="428" spans="1:15" ht="45" x14ac:dyDescent="0.25">
      <c r="A428" s="120">
        <v>204181</v>
      </c>
      <c r="B428" s="120">
        <v>19869</v>
      </c>
      <c r="C428" s="121" t="s">
        <v>16</v>
      </c>
      <c r="D428" s="121" t="s">
        <v>2414</v>
      </c>
      <c r="E428" s="121" t="s">
        <v>587</v>
      </c>
      <c r="F428" s="121"/>
      <c r="G428" s="121" t="s">
        <v>2</v>
      </c>
      <c r="H428" s="122">
        <v>280</v>
      </c>
      <c r="I428" s="122">
        <v>489</v>
      </c>
      <c r="J428" s="121"/>
      <c r="K428" s="121" t="s">
        <v>1</v>
      </c>
      <c r="L428" s="121"/>
      <c r="M428" s="121"/>
      <c r="N428" s="103" t="str">
        <f t="shared" si="6"/>
        <v>1</v>
      </c>
      <c r="O428" s="103" t="str">
        <f>INDEX(Кат!$I:$I,MATCH($A428,Кат!$A:$A,0))</f>
        <v>БРТ</v>
      </c>
    </row>
    <row r="429" spans="1:15" ht="45" x14ac:dyDescent="0.25">
      <c r="A429" s="120">
        <v>204182</v>
      </c>
      <c r="B429" s="120">
        <v>19866</v>
      </c>
      <c r="C429" s="121" t="s">
        <v>2752</v>
      </c>
      <c r="D429" s="121" t="s">
        <v>2414</v>
      </c>
      <c r="E429" s="121" t="s">
        <v>2753</v>
      </c>
      <c r="F429" s="121" t="s">
        <v>2754</v>
      </c>
      <c r="G429" s="121" t="s">
        <v>2</v>
      </c>
      <c r="H429" s="122">
        <v>330</v>
      </c>
      <c r="I429" s="122">
        <v>499</v>
      </c>
      <c r="J429" s="121" t="s">
        <v>2755</v>
      </c>
      <c r="K429" s="121" t="s">
        <v>1</v>
      </c>
      <c r="L429" s="121"/>
      <c r="M429" s="121"/>
      <c r="N429" s="103" t="str">
        <f t="shared" si="6"/>
        <v>1</v>
      </c>
      <c r="O429" s="103" t="str">
        <f>INDEX(Кат!$I:$I,MATCH($A429,Кат!$A:$A,0))</f>
        <v>БРТ</v>
      </c>
    </row>
    <row r="430" spans="1:15" ht="30" x14ac:dyDescent="0.25">
      <c r="A430" s="120">
        <v>204183</v>
      </c>
      <c r="B430" s="120">
        <v>19839</v>
      </c>
      <c r="C430" s="121" t="s">
        <v>8</v>
      </c>
      <c r="D430" s="121" t="s">
        <v>2414</v>
      </c>
      <c r="E430" s="121" t="s">
        <v>1906</v>
      </c>
      <c r="F430" s="121"/>
      <c r="G430" s="121" t="s">
        <v>2</v>
      </c>
      <c r="H430" s="122">
        <v>124</v>
      </c>
      <c r="I430" s="122">
        <v>219</v>
      </c>
      <c r="J430" s="121"/>
      <c r="K430" s="121" t="s">
        <v>1</v>
      </c>
      <c r="L430" s="121"/>
      <c r="M430" s="121"/>
      <c r="N430" s="103" t="str">
        <f t="shared" si="6"/>
        <v>1</v>
      </c>
      <c r="O430" s="103" t="str">
        <f>INDEX(Кат!$I:$I,MATCH($A430,Кат!$A:$A,0))</f>
        <v>БРТ</v>
      </c>
    </row>
    <row r="431" spans="1:15" ht="30" x14ac:dyDescent="0.25">
      <c r="A431" s="120">
        <v>204184</v>
      </c>
      <c r="B431" s="120">
        <v>19843</v>
      </c>
      <c r="C431" s="121" t="s">
        <v>9</v>
      </c>
      <c r="D431" s="121" t="s">
        <v>2414</v>
      </c>
      <c r="E431" s="121" t="s">
        <v>570</v>
      </c>
      <c r="F431" s="121"/>
      <c r="G431" s="121" t="s">
        <v>2</v>
      </c>
      <c r="H431" s="122">
        <v>250</v>
      </c>
      <c r="I431" s="122">
        <v>439</v>
      </c>
      <c r="J431" s="121"/>
      <c r="K431" s="121" t="s">
        <v>1</v>
      </c>
      <c r="L431" s="121"/>
      <c r="M431" s="121"/>
      <c r="N431" s="103" t="str">
        <f t="shared" si="6"/>
        <v>1</v>
      </c>
      <c r="O431" s="103" t="str">
        <f>INDEX(Кат!$I:$I,MATCH($A431,Кат!$A:$A,0))</f>
        <v>БРТ</v>
      </c>
    </row>
    <row r="432" spans="1:15" ht="30" x14ac:dyDescent="0.25">
      <c r="A432" s="120">
        <v>204185</v>
      </c>
      <c r="B432" s="120">
        <v>20345</v>
      </c>
      <c r="C432" s="121" t="s">
        <v>57</v>
      </c>
      <c r="D432" s="121" t="s">
        <v>2414</v>
      </c>
      <c r="E432" s="121" t="s">
        <v>2007</v>
      </c>
      <c r="F432" s="121"/>
      <c r="G432" s="121" t="s">
        <v>2</v>
      </c>
      <c r="H432" s="122">
        <v>145</v>
      </c>
      <c r="I432" s="122">
        <v>249</v>
      </c>
      <c r="J432" s="121"/>
      <c r="K432" s="121" t="s">
        <v>1</v>
      </c>
      <c r="L432" s="121"/>
      <c r="M432" s="121"/>
      <c r="N432" s="103" t="str">
        <f t="shared" si="6"/>
        <v>1</v>
      </c>
      <c r="O432" s="103" t="str">
        <f>INDEX(Кат!$I:$I,MATCH($A432,Кат!$A:$A,0))</f>
        <v>БРТ</v>
      </c>
    </row>
    <row r="433" spans="1:15" ht="30" x14ac:dyDescent="0.25">
      <c r="A433" s="120">
        <v>204186</v>
      </c>
      <c r="B433" s="120">
        <v>20346</v>
      </c>
      <c r="C433" s="121" t="s">
        <v>58</v>
      </c>
      <c r="D433" s="121" t="s">
        <v>2414</v>
      </c>
      <c r="E433" s="121" t="s">
        <v>2008</v>
      </c>
      <c r="F433" s="121"/>
      <c r="G433" s="121" t="s">
        <v>2</v>
      </c>
      <c r="H433" s="122">
        <v>242</v>
      </c>
      <c r="I433" s="122">
        <v>419</v>
      </c>
      <c r="J433" s="121"/>
      <c r="K433" s="121" t="s">
        <v>1</v>
      </c>
      <c r="L433" s="121"/>
      <c r="M433" s="121"/>
      <c r="N433" s="103" t="str">
        <f t="shared" si="6"/>
        <v>1</v>
      </c>
      <c r="O433" s="103" t="str">
        <f>INDEX(Кат!$I:$I,MATCH($A433,Кат!$A:$A,0))</f>
        <v>БРТ</v>
      </c>
    </row>
    <row r="434" spans="1:15" ht="30" x14ac:dyDescent="0.25">
      <c r="A434" s="120">
        <v>204187</v>
      </c>
      <c r="B434" s="120">
        <v>36964</v>
      </c>
      <c r="C434" s="121" t="s">
        <v>1720</v>
      </c>
      <c r="D434" s="121" t="s">
        <v>2414</v>
      </c>
      <c r="E434" s="121" t="s">
        <v>305</v>
      </c>
      <c r="F434" s="121" t="s">
        <v>305</v>
      </c>
      <c r="G434" s="121" t="s">
        <v>2</v>
      </c>
      <c r="H434" s="122">
        <v>233</v>
      </c>
      <c r="I434" s="122">
        <v>409</v>
      </c>
      <c r="J434" s="121"/>
      <c r="K434" s="121" t="s">
        <v>1</v>
      </c>
      <c r="L434" s="121"/>
      <c r="M434" s="121"/>
      <c r="N434" s="103" t="str">
        <f t="shared" si="6"/>
        <v>1</v>
      </c>
      <c r="O434" s="103" t="str">
        <f>INDEX(Кат!$I:$I,MATCH($A434,Кат!$A:$A,0))</f>
        <v>БРТ</v>
      </c>
    </row>
    <row r="435" spans="1:15" ht="45" x14ac:dyDescent="0.25">
      <c r="A435" s="120">
        <v>204188</v>
      </c>
      <c r="B435" s="120">
        <v>35187</v>
      </c>
      <c r="C435" s="121" t="s">
        <v>1522</v>
      </c>
      <c r="D435" s="121" t="s">
        <v>2414</v>
      </c>
      <c r="E435" s="121" t="s">
        <v>684</v>
      </c>
      <c r="F435" s="121" t="s">
        <v>684</v>
      </c>
      <c r="G435" s="121" t="s">
        <v>2</v>
      </c>
      <c r="H435" s="122">
        <v>707</v>
      </c>
      <c r="I435" s="122">
        <v>989</v>
      </c>
      <c r="J435" s="121"/>
      <c r="K435" s="121" t="s">
        <v>1</v>
      </c>
      <c r="L435" s="121"/>
      <c r="M435" s="121"/>
      <c r="N435" s="103" t="str">
        <f t="shared" si="6"/>
        <v>1</v>
      </c>
      <c r="O435" s="103" t="str">
        <f>INDEX(Кат!$I:$I,MATCH($A435,Кат!$A:$A,0))</f>
        <v>БРТ</v>
      </c>
    </row>
    <row r="436" spans="1:15" ht="30" x14ac:dyDescent="0.25">
      <c r="A436" s="120">
        <v>204212</v>
      </c>
      <c r="B436" s="120">
        <v>20351</v>
      </c>
      <c r="C436" s="121" t="s">
        <v>2009</v>
      </c>
      <c r="D436" s="121" t="s">
        <v>2414</v>
      </c>
      <c r="E436" s="121" t="s">
        <v>2010</v>
      </c>
      <c r="F436" s="121"/>
      <c r="G436" s="121" t="s">
        <v>2</v>
      </c>
      <c r="H436" s="122">
        <v>180</v>
      </c>
      <c r="I436" s="122">
        <v>309</v>
      </c>
      <c r="J436" s="121"/>
      <c r="K436" s="121" t="s">
        <v>1</v>
      </c>
      <c r="L436" s="121"/>
      <c r="M436" s="121"/>
      <c r="N436" s="103" t="str">
        <f t="shared" si="6"/>
        <v>1</v>
      </c>
      <c r="O436" s="103" t="str">
        <f>INDEX(Кат!$I:$I,MATCH($A436,Кат!$A:$A,0))</f>
        <v>БРТ</v>
      </c>
    </row>
    <row r="437" spans="1:15" ht="45" x14ac:dyDescent="0.25">
      <c r="A437" s="120">
        <v>204213</v>
      </c>
      <c r="B437" s="120">
        <v>20354</v>
      </c>
      <c r="C437" s="121" t="s">
        <v>161</v>
      </c>
      <c r="D437" s="121" t="s">
        <v>2414</v>
      </c>
      <c r="E437" s="121" t="s">
        <v>2012</v>
      </c>
      <c r="F437" s="121"/>
      <c r="G437" s="121" t="s">
        <v>2</v>
      </c>
      <c r="H437" s="122">
        <v>145</v>
      </c>
      <c r="I437" s="122">
        <v>249</v>
      </c>
      <c r="J437" s="121"/>
      <c r="K437" s="121" t="s">
        <v>1</v>
      </c>
      <c r="L437" s="121"/>
      <c r="M437" s="121"/>
      <c r="N437" s="103" t="str">
        <f t="shared" si="6"/>
        <v>1</v>
      </c>
      <c r="O437" s="103" t="str">
        <f>INDEX(Кат!$I:$I,MATCH($A437,Кат!$A:$A,0))</f>
        <v>БРТ</v>
      </c>
    </row>
    <row r="438" spans="1:15" ht="45" x14ac:dyDescent="0.25">
      <c r="A438" s="120">
        <v>204215</v>
      </c>
      <c r="B438" s="120">
        <v>20373</v>
      </c>
      <c r="C438" s="121" t="s">
        <v>148</v>
      </c>
      <c r="D438" s="121" t="s">
        <v>2414</v>
      </c>
      <c r="E438" s="121" t="s">
        <v>482</v>
      </c>
      <c r="F438" s="121"/>
      <c r="G438" s="121" t="s">
        <v>2</v>
      </c>
      <c r="H438" s="122">
        <v>1065</v>
      </c>
      <c r="I438" s="122">
        <v>2490</v>
      </c>
      <c r="J438" s="121" t="s">
        <v>2502</v>
      </c>
      <c r="K438" s="121" t="s">
        <v>1</v>
      </c>
      <c r="L438" s="121"/>
      <c r="M438" s="121"/>
      <c r="N438" s="103" t="str">
        <f t="shared" si="6"/>
        <v>1</v>
      </c>
      <c r="O438" s="103" t="str">
        <f>INDEX(Кат!$I:$I,MATCH($A438,Кат!$A:$A,0))</f>
        <v>БРТ</v>
      </c>
    </row>
    <row r="439" spans="1:15" ht="30" x14ac:dyDescent="0.25">
      <c r="A439" s="120">
        <v>204278</v>
      </c>
      <c r="B439" s="120">
        <v>1429</v>
      </c>
      <c r="C439" s="121" t="s">
        <v>2756</v>
      </c>
      <c r="D439" s="121" t="s">
        <v>2414</v>
      </c>
      <c r="E439" s="121" t="s">
        <v>1825</v>
      </c>
      <c r="F439" s="121"/>
      <c r="G439" s="121" t="s">
        <v>2</v>
      </c>
      <c r="H439" s="122">
        <v>666</v>
      </c>
      <c r="I439" s="122">
        <v>939</v>
      </c>
      <c r="J439" s="121"/>
      <c r="K439" s="121" t="s">
        <v>1</v>
      </c>
      <c r="L439" s="121"/>
      <c r="M439" s="121"/>
      <c r="N439" s="103" t="str">
        <f t="shared" si="6"/>
        <v>1</v>
      </c>
      <c r="O439" s="103" t="str">
        <f>INDEX(Кат!$I:$I,MATCH($A439,Кат!$A:$A,0))</f>
        <v>БРТ</v>
      </c>
    </row>
    <row r="440" spans="1:15" ht="45" x14ac:dyDescent="0.25">
      <c r="A440" s="120">
        <v>204281</v>
      </c>
      <c r="B440" s="120">
        <v>19838</v>
      </c>
      <c r="C440" s="121" t="s">
        <v>2757</v>
      </c>
      <c r="D440" s="121" t="s">
        <v>2414</v>
      </c>
      <c r="E440" s="121" t="s">
        <v>569</v>
      </c>
      <c r="F440" s="121"/>
      <c r="G440" s="121" t="s">
        <v>2</v>
      </c>
      <c r="H440" s="122">
        <v>708</v>
      </c>
      <c r="I440" s="122">
        <v>989</v>
      </c>
      <c r="J440" s="121"/>
      <c r="K440" s="121" t="s">
        <v>1</v>
      </c>
      <c r="L440" s="121"/>
      <c r="M440" s="121"/>
      <c r="N440" s="103" t="str">
        <f t="shared" si="6"/>
        <v>1</v>
      </c>
      <c r="O440" s="103" t="str">
        <f>INDEX(Кат!$I:$I,MATCH($A440,Кат!$A:$A,0))</f>
        <v>БРТ</v>
      </c>
    </row>
    <row r="441" spans="1:15" ht="45" x14ac:dyDescent="0.25">
      <c r="A441" s="120">
        <v>204280</v>
      </c>
      <c r="B441" s="120">
        <v>19830</v>
      </c>
      <c r="C441" s="121" t="s">
        <v>2758</v>
      </c>
      <c r="D441" s="121" t="s">
        <v>2414</v>
      </c>
      <c r="E441" s="121" t="s">
        <v>554</v>
      </c>
      <c r="F441" s="121"/>
      <c r="G441" s="121" t="s">
        <v>2</v>
      </c>
      <c r="H441" s="122">
        <v>331</v>
      </c>
      <c r="I441" s="122">
        <v>499</v>
      </c>
      <c r="J441" s="121"/>
      <c r="K441" s="121" t="s">
        <v>1</v>
      </c>
      <c r="L441" s="121"/>
      <c r="M441" s="121"/>
      <c r="N441" s="103" t="str">
        <f t="shared" si="6"/>
        <v>1</v>
      </c>
      <c r="O441" s="103" t="str">
        <f>INDEX(Кат!$I:$I,MATCH($A441,Кат!$A:$A,0))</f>
        <v>БРТ</v>
      </c>
    </row>
    <row r="442" spans="1:15" ht="45" x14ac:dyDescent="0.25">
      <c r="A442" s="120">
        <v>204283</v>
      </c>
      <c r="B442" s="120">
        <v>20370</v>
      </c>
      <c r="C442" s="121" t="s">
        <v>2759</v>
      </c>
      <c r="D442" s="121" t="s">
        <v>2414</v>
      </c>
      <c r="E442" s="121" t="s">
        <v>2760</v>
      </c>
      <c r="F442" s="121"/>
      <c r="G442" s="121" t="s">
        <v>2</v>
      </c>
      <c r="H442" s="122">
        <v>1303</v>
      </c>
      <c r="I442" s="122">
        <v>1690</v>
      </c>
      <c r="J442" s="121"/>
      <c r="K442" s="121" t="s">
        <v>1</v>
      </c>
      <c r="L442" s="121"/>
      <c r="M442" s="121"/>
      <c r="N442" s="103" t="str">
        <f t="shared" si="6"/>
        <v>1</v>
      </c>
      <c r="O442" s="103" t="str">
        <f>INDEX(Кат!$I:$I,MATCH($A442,Кат!$A:$A,0))</f>
        <v>БРТ</v>
      </c>
    </row>
    <row r="443" spans="1:15" ht="45" x14ac:dyDescent="0.25">
      <c r="A443" s="120">
        <v>204284</v>
      </c>
      <c r="B443" s="120">
        <v>20369</v>
      </c>
      <c r="C443" s="121" t="s">
        <v>2761</v>
      </c>
      <c r="D443" s="121" t="s">
        <v>2414</v>
      </c>
      <c r="E443" s="121" t="s">
        <v>418</v>
      </c>
      <c r="F443" s="121"/>
      <c r="G443" s="121" t="s">
        <v>2</v>
      </c>
      <c r="H443" s="122">
        <v>971</v>
      </c>
      <c r="I443" s="122">
        <v>1390</v>
      </c>
      <c r="J443" s="121" t="s">
        <v>2318</v>
      </c>
      <c r="K443" s="121" t="s">
        <v>1</v>
      </c>
      <c r="L443" s="121"/>
      <c r="M443" s="121"/>
      <c r="N443" s="103" t="str">
        <f t="shared" si="6"/>
        <v>1</v>
      </c>
      <c r="O443" s="103" t="str">
        <f>INDEX(Кат!$I:$I,MATCH($A443,Кат!$A:$A,0))</f>
        <v>БРТ</v>
      </c>
    </row>
    <row r="444" spans="1:15" ht="45" x14ac:dyDescent="0.25">
      <c r="A444" s="120">
        <v>204285</v>
      </c>
      <c r="B444" s="120">
        <v>20355</v>
      </c>
      <c r="C444" s="121" t="s">
        <v>2762</v>
      </c>
      <c r="D444" s="121" t="s">
        <v>2414</v>
      </c>
      <c r="E444" s="121" t="s">
        <v>293</v>
      </c>
      <c r="F444" s="121"/>
      <c r="G444" s="121" t="s">
        <v>2</v>
      </c>
      <c r="H444" s="122">
        <v>606</v>
      </c>
      <c r="I444" s="122">
        <v>849</v>
      </c>
      <c r="J444" s="121"/>
      <c r="K444" s="121" t="s">
        <v>1</v>
      </c>
      <c r="L444" s="121"/>
      <c r="M444" s="121"/>
      <c r="N444" s="103" t="str">
        <f t="shared" si="6"/>
        <v>1</v>
      </c>
      <c r="O444" s="103" t="str">
        <f>INDEX(Кат!$I:$I,MATCH($A444,Кат!$A:$A,0))</f>
        <v>БРТ</v>
      </c>
    </row>
    <row r="445" spans="1:15" ht="60" x14ac:dyDescent="0.25">
      <c r="A445" s="120">
        <v>204286</v>
      </c>
      <c r="B445" s="120">
        <v>20371</v>
      </c>
      <c r="C445" s="121" t="s">
        <v>2763</v>
      </c>
      <c r="D445" s="121" t="s">
        <v>2414</v>
      </c>
      <c r="E445" s="121" t="s">
        <v>431</v>
      </c>
      <c r="F445" s="121"/>
      <c r="G445" s="121" t="s">
        <v>2</v>
      </c>
      <c r="H445" s="122">
        <v>1319</v>
      </c>
      <c r="I445" s="122">
        <v>1790</v>
      </c>
      <c r="J445" s="121"/>
      <c r="K445" s="121" t="s">
        <v>1</v>
      </c>
      <c r="L445" s="121"/>
      <c r="M445" s="121"/>
      <c r="N445" s="103" t="str">
        <f t="shared" si="6"/>
        <v>1</v>
      </c>
      <c r="O445" s="103" t="str">
        <f>INDEX(Кат!$I:$I,MATCH($A445,Кат!$A:$A,0))</f>
        <v>БРТ</v>
      </c>
    </row>
    <row r="446" spans="1:15" ht="60" x14ac:dyDescent="0.25">
      <c r="A446" s="120">
        <v>204295</v>
      </c>
      <c r="B446" s="120">
        <v>20360</v>
      </c>
      <c r="C446" s="121" t="s">
        <v>3014</v>
      </c>
      <c r="D446" s="121" t="s">
        <v>2414</v>
      </c>
      <c r="E446" s="121" t="s">
        <v>318</v>
      </c>
      <c r="F446" s="121"/>
      <c r="G446" s="121" t="s">
        <v>2</v>
      </c>
      <c r="H446" s="122">
        <v>666</v>
      </c>
      <c r="I446" s="122">
        <v>939</v>
      </c>
      <c r="J446" s="121"/>
      <c r="K446" s="121" t="s">
        <v>1</v>
      </c>
      <c r="L446" s="121"/>
      <c r="M446" s="121"/>
      <c r="N446" s="103" t="str">
        <f t="shared" si="6"/>
        <v>1</v>
      </c>
      <c r="O446" s="103" t="str">
        <f>INDEX(Кат!$I:$I,MATCH($A446,Кат!$A:$A,0))</f>
        <v>БРТ</v>
      </c>
    </row>
    <row r="447" spans="1:15" ht="45" x14ac:dyDescent="0.25">
      <c r="A447" s="120">
        <v>204299</v>
      </c>
      <c r="B447" s="120">
        <v>20296</v>
      </c>
      <c r="C447" s="121" t="s">
        <v>143</v>
      </c>
      <c r="D447" s="121" t="s">
        <v>2414</v>
      </c>
      <c r="E447" s="121" t="s">
        <v>1978</v>
      </c>
      <c r="F447" s="121"/>
      <c r="G447" s="121" t="s">
        <v>2</v>
      </c>
      <c r="H447" s="122">
        <v>90</v>
      </c>
      <c r="I447" s="122">
        <v>209</v>
      </c>
      <c r="J447" s="121" t="s">
        <v>2647</v>
      </c>
      <c r="K447" s="121" t="s">
        <v>1</v>
      </c>
      <c r="L447" s="121"/>
      <c r="M447" s="121"/>
      <c r="N447" s="103" t="str">
        <f t="shared" si="6"/>
        <v>1</v>
      </c>
      <c r="O447" s="103" t="str">
        <f>INDEX(Кат!$I:$I,MATCH($A447,Кат!$A:$A,0))</f>
        <v>БРТ</v>
      </c>
    </row>
    <row r="448" spans="1:15" ht="45" x14ac:dyDescent="0.25">
      <c r="A448" s="120">
        <v>204300</v>
      </c>
      <c r="B448" s="120">
        <v>20295</v>
      </c>
      <c r="C448" s="121" t="s">
        <v>92</v>
      </c>
      <c r="D448" s="121" t="s">
        <v>2414</v>
      </c>
      <c r="E448" s="121" t="s">
        <v>1977</v>
      </c>
      <c r="F448" s="121"/>
      <c r="G448" s="121" t="s">
        <v>2</v>
      </c>
      <c r="H448" s="122">
        <v>120</v>
      </c>
      <c r="I448" s="122">
        <v>209</v>
      </c>
      <c r="J448" s="121"/>
      <c r="K448" s="121" t="s">
        <v>1</v>
      </c>
      <c r="L448" s="121"/>
      <c r="M448" s="121"/>
      <c r="N448" s="103" t="str">
        <f t="shared" si="6"/>
        <v>1</v>
      </c>
      <c r="O448" s="103" t="str">
        <f>INDEX(Кат!$I:$I,MATCH($A448,Кат!$A:$A,0))</f>
        <v>БРТ</v>
      </c>
    </row>
    <row r="449" spans="1:15" ht="45" x14ac:dyDescent="0.25">
      <c r="A449" s="120">
        <v>204301</v>
      </c>
      <c r="B449" s="120">
        <v>20294</v>
      </c>
      <c r="C449" s="121" t="s">
        <v>154</v>
      </c>
      <c r="D449" s="121" t="s">
        <v>2414</v>
      </c>
      <c r="E449" s="121" t="s">
        <v>1976</v>
      </c>
      <c r="F449" s="121"/>
      <c r="G449" s="121" t="s">
        <v>2</v>
      </c>
      <c r="H449" s="122">
        <v>115</v>
      </c>
      <c r="I449" s="122">
        <v>199</v>
      </c>
      <c r="J449" s="121"/>
      <c r="K449" s="121" t="s">
        <v>1</v>
      </c>
      <c r="L449" s="121"/>
      <c r="M449" s="121"/>
      <c r="N449" s="103" t="str">
        <f t="shared" si="6"/>
        <v>1</v>
      </c>
      <c r="O449" s="103" t="str">
        <f>INDEX(Кат!$I:$I,MATCH($A449,Кат!$A:$A,0))</f>
        <v>БРТ</v>
      </c>
    </row>
    <row r="450" spans="1:15" ht="30" x14ac:dyDescent="0.25">
      <c r="A450" s="120">
        <v>204304</v>
      </c>
      <c r="B450" s="120">
        <v>19841</v>
      </c>
      <c r="C450" s="121" t="s">
        <v>1907</v>
      </c>
      <c r="D450" s="121" t="s">
        <v>2414</v>
      </c>
      <c r="E450" s="121" t="s">
        <v>1908</v>
      </c>
      <c r="F450" s="121"/>
      <c r="G450" s="121" t="s">
        <v>2</v>
      </c>
      <c r="H450" s="122">
        <v>202</v>
      </c>
      <c r="I450" s="122">
        <v>349</v>
      </c>
      <c r="J450" s="121"/>
      <c r="K450" s="121" t="s">
        <v>1</v>
      </c>
      <c r="L450" s="121"/>
      <c r="M450" s="121"/>
      <c r="N450" s="103" t="str">
        <f t="shared" si="6"/>
        <v>1</v>
      </c>
      <c r="O450" s="103" t="str">
        <f>INDEX(Кат!$I:$I,MATCH($A450,Кат!$A:$A,0))</f>
        <v>БРТ</v>
      </c>
    </row>
    <row r="451" spans="1:15" ht="45" x14ac:dyDescent="0.25">
      <c r="A451" s="120">
        <v>204305</v>
      </c>
      <c r="B451" s="120">
        <v>20366</v>
      </c>
      <c r="C451" s="121" t="s">
        <v>144</v>
      </c>
      <c r="D451" s="121" t="s">
        <v>2414</v>
      </c>
      <c r="E451" s="121" t="s">
        <v>385</v>
      </c>
      <c r="F451" s="121"/>
      <c r="G451" s="121" t="s">
        <v>2</v>
      </c>
      <c r="H451" s="122">
        <v>1113</v>
      </c>
      <c r="I451" s="122">
        <v>1490</v>
      </c>
      <c r="J451" s="121" t="s">
        <v>2501</v>
      </c>
      <c r="K451" s="121" t="s">
        <v>1</v>
      </c>
      <c r="L451" s="121"/>
      <c r="M451" s="121"/>
      <c r="N451" s="103" t="str">
        <f t="shared" ref="N451:N514" si="7">_xlfn.CONCAT(K451,IF(L451&lt;&gt;"",_xlfn.CONCAT("ск",L451),""))</f>
        <v>1</v>
      </c>
      <c r="O451" s="103" t="str">
        <f>INDEX(Кат!$I:$I,MATCH($A451,Кат!$A:$A,0))</f>
        <v>БРТ</v>
      </c>
    </row>
    <row r="452" spans="1:15" ht="45" x14ac:dyDescent="0.25">
      <c r="A452" s="120">
        <v>204306</v>
      </c>
      <c r="B452" s="120">
        <v>20376</v>
      </c>
      <c r="C452" s="121" t="s">
        <v>2018</v>
      </c>
      <c r="D452" s="121" t="s">
        <v>2414</v>
      </c>
      <c r="E452" s="121" t="s">
        <v>539</v>
      </c>
      <c r="F452" s="121"/>
      <c r="G452" s="121" t="s">
        <v>2</v>
      </c>
      <c r="H452" s="122">
        <v>789</v>
      </c>
      <c r="I452" s="122">
        <v>1090</v>
      </c>
      <c r="J452" s="121" t="s">
        <v>2509</v>
      </c>
      <c r="K452" s="121" t="s">
        <v>1</v>
      </c>
      <c r="L452" s="121"/>
      <c r="M452" s="121"/>
      <c r="N452" s="103" t="str">
        <f t="shared" si="7"/>
        <v>1</v>
      </c>
      <c r="O452" s="103" t="str">
        <f>INDEX(Кат!$I:$I,MATCH($A452,Кат!$A:$A,0))</f>
        <v>БРТ</v>
      </c>
    </row>
    <row r="453" spans="1:15" ht="45" x14ac:dyDescent="0.25">
      <c r="A453" s="120">
        <v>204307</v>
      </c>
      <c r="B453" s="120">
        <v>20364</v>
      </c>
      <c r="C453" s="121" t="s">
        <v>59</v>
      </c>
      <c r="D453" s="121" t="s">
        <v>2414</v>
      </c>
      <c r="E453" s="121" t="s">
        <v>2014</v>
      </c>
      <c r="F453" s="121"/>
      <c r="G453" s="121" t="s">
        <v>2</v>
      </c>
      <c r="H453" s="122">
        <v>184</v>
      </c>
      <c r="I453" s="122">
        <v>319</v>
      </c>
      <c r="J453" s="121"/>
      <c r="K453" s="121" t="s">
        <v>1</v>
      </c>
      <c r="L453" s="121"/>
      <c r="M453" s="121"/>
      <c r="N453" s="103" t="str">
        <f t="shared" si="7"/>
        <v>1</v>
      </c>
      <c r="O453" s="103" t="str">
        <f>INDEX(Кат!$I:$I,MATCH($A453,Кат!$A:$A,0))</f>
        <v>БРТ</v>
      </c>
    </row>
    <row r="454" spans="1:15" ht="60" x14ac:dyDescent="0.25">
      <c r="A454" s="120">
        <v>204308</v>
      </c>
      <c r="B454" s="120">
        <v>20365</v>
      </c>
      <c r="C454" s="121" t="s">
        <v>60</v>
      </c>
      <c r="D454" s="121" t="s">
        <v>2414</v>
      </c>
      <c r="E454" s="121" t="s">
        <v>2015</v>
      </c>
      <c r="F454" s="121"/>
      <c r="G454" s="121" t="s">
        <v>2</v>
      </c>
      <c r="H454" s="122">
        <v>131</v>
      </c>
      <c r="I454" s="122">
        <v>229</v>
      </c>
      <c r="J454" s="121"/>
      <c r="K454" s="121" t="s">
        <v>1</v>
      </c>
      <c r="L454" s="121"/>
      <c r="M454" s="121"/>
      <c r="N454" s="103" t="str">
        <f t="shared" si="7"/>
        <v>1</v>
      </c>
      <c r="O454" s="103" t="str">
        <f>INDEX(Кат!$I:$I,MATCH($A454,Кат!$A:$A,0))</f>
        <v>БРТ</v>
      </c>
    </row>
    <row r="455" spans="1:15" ht="75" x14ac:dyDescent="0.25">
      <c r="A455" s="120">
        <v>204309</v>
      </c>
      <c r="B455" s="120">
        <v>20363</v>
      </c>
      <c r="C455" s="121" t="s">
        <v>113</v>
      </c>
      <c r="D455" s="121" t="s">
        <v>2414</v>
      </c>
      <c r="E455" s="121" t="s">
        <v>2013</v>
      </c>
      <c r="F455" s="121"/>
      <c r="G455" s="121" t="s">
        <v>2</v>
      </c>
      <c r="H455" s="122">
        <v>725</v>
      </c>
      <c r="I455" s="122">
        <v>989</v>
      </c>
      <c r="J455" s="121" t="s">
        <v>2277</v>
      </c>
      <c r="K455" s="121" t="s">
        <v>1</v>
      </c>
      <c r="L455" s="121"/>
      <c r="M455" s="121"/>
      <c r="N455" s="103" t="str">
        <f t="shared" si="7"/>
        <v>1</v>
      </c>
      <c r="O455" s="103" t="str">
        <f>INDEX(Кат!$I:$I,MATCH($A455,Кат!$A:$A,0))</f>
        <v>БРТ</v>
      </c>
    </row>
    <row r="456" spans="1:15" ht="60" x14ac:dyDescent="0.25">
      <c r="A456" s="120">
        <v>204310</v>
      </c>
      <c r="B456" s="120">
        <v>20367</v>
      </c>
      <c r="C456" s="121" t="s">
        <v>176</v>
      </c>
      <c r="D456" s="121" t="s">
        <v>2414</v>
      </c>
      <c r="E456" s="121" t="s">
        <v>2016</v>
      </c>
      <c r="F456" s="121"/>
      <c r="G456" s="121" t="s">
        <v>2</v>
      </c>
      <c r="H456" s="122">
        <v>799</v>
      </c>
      <c r="I456" s="122">
        <v>1190</v>
      </c>
      <c r="J456" s="121" t="s">
        <v>2539</v>
      </c>
      <c r="K456" s="121" t="s">
        <v>1</v>
      </c>
      <c r="L456" s="121"/>
      <c r="M456" s="121"/>
      <c r="N456" s="103" t="str">
        <f t="shared" si="7"/>
        <v>1</v>
      </c>
      <c r="O456" s="103" t="str">
        <f>INDEX(Кат!$I:$I,MATCH($A456,Кат!$A:$A,0))</f>
        <v>БРТ</v>
      </c>
    </row>
    <row r="457" spans="1:15" ht="45" x14ac:dyDescent="0.25">
      <c r="A457" s="120">
        <v>204312</v>
      </c>
      <c r="B457" s="120">
        <v>20368</v>
      </c>
      <c r="C457" s="121" t="s">
        <v>61</v>
      </c>
      <c r="D457" s="121" t="s">
        <v>2414</v>
      </c>
      <c r="E457" s="121" t="s">
        <v>412</v>
      </c>
      <c r="F457" s="121"/>
      <c r="G457" s="121" t="s">
        <v>2</v>
      </c>
      <c r="H457" s="122">
        <v>1175</v>
      </c>
      <c r="I457" s="122">
        <v>1690</v>
      </c>
      <c r="J457" s="121" t="s">
        <v>2533</v>
      </c>
      <c r="K457" s="121" t="s">
        <v>1</v>
      </c>
      <c r="L457" s="121"/>
      <c r="M457" s="121"/>
      <c r="N457" s="103" t="str">
        <f t="shared" si="7"/>
        <v>1</v>
      </c>
      <c r="O457" s="103" t="str">
        <f>INDEX(Кат!$I:$I,MATCH($A457,Кат!$A:$A,0))</f>
        <v>БРТ</v>
      </c>
    </row>
    <row r="458" spans="1:15" ht="45" x14ac:dyDescent="0.25">
      <c r="A458" s="120">
        <v>204313</v>
      </c>
      <c r="B458" s="120">
        <v>20353</v>
      </c>
      <c r="C458" s="121" t="s">
        <v>1497</v>
      </c>
      <c r="D458" s="121" t="s">
        <v>2414</v>
      </c>
      <c r="E458" s="121" t="s">
        <v>2011</v>
      </c>
      <c r="F458" s="121"/>
      <c r="G458" s="121" t="s">
        <v>2</v>
      </c>
      <c r="H458" s="122">
        <v>654</v>
      </c>
      <c r="I458" s="122">
        <v>919</v>
      </c>
      <c r="J458" s="121"/>
      <c r="K458" s="121" t="s">
        <v>1</v>
      </c>
      <c r="L458" s="121"/>
      <c r="M458" s="121"/>
      <c r="N458" s="103" t="str">
        <f t="shared" si="7"/>
        <v>1</v>
      </c>
      <c r="O458" s="103" t="str">
        <f>INDEX(Кат!$I:$I,MATCH($A458,Кат!$A:$A,0))</f>
        <v>БРТ</v>
      </c>
    </row>
    <row r="459" spans="1:15" ht="30" x14ac:dyDescent="0.25">
      <c r="A459" s="120">
        <v>204314</v>
      </c>
      <c r="B459" s="120">
        <v>20372</v>
      </c>
      <c r="C459" s="121" t="s">
        <v>116</v>
      </c>
      <c r="D459" s="121" t="s">
        <v>2414</v>
      </c>
      <c r="E459" s="121" t="s">
        <v>2017</v>
      </c>
      <c r="F459" s="121"/>
      <c r="G459" s="121" t="s">
        <v>2</v>
      </c>
      <c r="H459" s="122">
        <v>195</v>
      </c>
      <c r="I459" s="122">
        <v>339</v>
      </c>
      <c r="J459" s="121"/>
      <c r="K459" s="121" t="s">
        <v>1</v>
      </c>
      <c r="L459" s="121"/>
      <c r="M459" s="121"/>
      <c r="N459" s="103" t="str">
        <f t="shared" si="7"/>
        <v>1</v>
      </c>
      <c r="O459" s="103" t="str">
        <f>INDEX(Кат!$I:$I,MATCH($A459,Кат!$A:$A,0))</f>
        <v>БРТ</v>
      </c>
    </row>
    <row r="460" spans="1:15" ht="30" x14ac:dyDescent="0.25">
      <c r="A460" s="120">
        <v>204321</v>
      </c>
      <c r="B460" s="120">
        <v>35419</v>
      </c>
      <c r="C460" s="121" t="s">
        <v>1616</v>
      </c>
      <c r="D460" s="121" t="s">
        <v>2414</v>
      </c>
      <c r="E460" s="121" t="s">
        <v>933</v>
      </c>
      <c r="F460" s="121" t="s">
        <v>933</v>
      </c>
      <c r="G460" s="121" t="s">
        <v>2</v>
      </c>
      <c r="H460" s="122">
        <v>120</v>
      </c>
      <c r="I460" s="122">
        <v>209</v>
      </c>
      <c r="J460" s="121"/>
      <c r="K460" s="121" t="s">
        <v>1</v>
      </c>
      <c r="L460" s="121"/>
      <c r="M460" s="121"/>
      <c r="N460" s="103" t="str">
        <f t="shared" si="7"/>
        <v>1</v>
      </c>
      <c r="O460" s="103" t="str">
        <f>INDEX(Кат!$I:$I,MATCH($A460,Кат!$A:$A,0))</f>
        <v>БРТ</v>
      </c>
    </row>
    <row r="461" spans="1:15" ht="45" x14ac:dyDescent="0.25">
      <c r="A461" s="120">
        <v>204345</v>
      </c>
      <c r="B461" s="120">
        <v>20258</v>
      </c>
      <c r="C461" s="121" t="s">
        <v>33</v>
      </c>
      <c r="D461" s="121" t="s">
        <v>2414</v>
      </c>
      <c r="E461" s="121" t="s">
        <v>1954</v>
      </c>
      <c r="F461" s="121"/>
      <c r="G461" s="121" t="s">
        <v>2</v>
      </c>
      <c r="H461" s="122">
        <v>207</v>
      </c>
      <c r="I461" s="122">
        <v>359</v>
      </c>
      <c r="J461" s="121"/>
      <c r="K461" s="121" t="s">
        <v>1</v>
      </c>
      <c r="L461" s="121"/>
      <c r="M461" s="121"/>
      <c r="N461" s="103" t="str">
        <f t="shared" si="7"/>
        <v>1</v>
      </c>
      <c r="O461" s="103" t="str">
        <f>INDEX(Кат!$I:$I,MATCH($A461,Кат!$A:$A,0))</f>
        <v>БРТ</v>
      </c>
    </row>
    <row r="462" spans="1:15" ht="60" x14ac:dyDescent="0.25">
      <c r="A462" s="120">
        <v>204346</v>
      </c>
      <c r="B462" s="120">
        <v>20259</v>
      </c>
      <c r="C462" s="121" t="s">
        <v>1496</v>
      </c>
      <c r="D462" s="121" t="s">
        <v>2414</v>
      </c>
      <c r="E462" s="121" t="s">
        <v>1955</v>
      </c>
      <c r="F462" s="121"/>
      <c r="G462" s="121" t="s">
        <v>2</v>
      </c>
      <c r="H462" s="122">
        <v>595</v>
      </c>
      <c r="I462" s="122">
        <v>839</v>
      </c>
      <c r="J462" s="121" t="s">
        <v>2553</v>
      </c>
      <c r="K462" s="121" t="s">
        <v>1</v>
      </c>
      <c r="L462" s="121"/>
      <c r="M462" s="121"/>
      <c r="N462" s="103" t="str">
        <f t="shared" si="7"/>
        <v>1</v>
      </c>
      <c r="O462" s="103" t="str">
        <f>INDEX(Кат!$I:$I,MATCH($A462,Кат!$A:$A,0))</f>
        <v>БРТ</v>
      </c>
    </row>
    <row r="463" spans="1:15" ht="45" x14ac:dyDescent="0.25">
      <c r="A463" s="120">
        <v>204347</v>
      </c>
      <c r="B463" s="120">
        <v>20261</v>
      </c>
      <c r="C463" s="121" t="s">
        <v>171</v>
      </c>
      <c r="D463" s="121" t="s">
        <v>2414</v>
      </c>
      <c r="E463" s="121" t="s">
        <v>1956</v>
      </c>
      <c r="F463" s="121"/>
      <c r="G463" s="121" t="s">
        <v>2</v>
      </c>
      <c r="H463" s="122">
        <v>170</v>
      </c>
      <c r="I463" s="122">
        <v>299</v>
      </c>
      <c r="J463" s="121"/>
      <c r="K463" s="121" t="s">
        <v>1</v>
      </c>
      <c r="L463" s="121"/>
      <c r="M463" s="121"/>
      <c r="N463" s="103" t="str">
        <f t="shared" si="7"/>
        <v>1</v>
      </c>
      <c r="O463" s="103" t="str">
        <f>INDEX(Кат!$I:$I,MATCH($A463,Кат!$A:$A,0))</f>
        <v>БРТ</v>
      </c>
    </row>
    <row r="464" spans="1:15" ht="45" x14ac:dyDescent="0.25">
      <c r="A464" s="120">
        <v>204348</v>
      </c>
      <c r="B464" s="120">
        <v>20263</v>
      </c>
      <c r="C464" s="121" t="s">
        <v>150</v>
      </c>
      <c r="D464" s="121" t="s">
        <v>2414</v>
      </c>
      <c r="E464" s="121" t="s">
        <v>1957</v>
      </c>
      <c r="F464" s="121"/>
      <c r="G464" s="121" t="s">
        <v>2</v>
      </c>
      <c r="H464" s="122">
        <v>180</v>
      </c>
      <c r="I464" s="122">
        <v>309</v>
      </c>
      <c r="J464" s="121"/>
      <c r="K464" s="121" t="s">
        <v>1</v>
      </c>
      <c r="L464" s="121"/>
      <c r="M464" s="121"/>
      <c r="N464" s="103" t="str">
        <f t="shared" si="7"/>
        <v>1</v>
      </c>
      <c r="O464" s="103" t="str">
        <f>INDEX(Кат!$I:$I,MATCH($A464,Кат!$A:$A,0))</f>
        <v>БРТ</v>
      </c>
    </row>
    <row r="465" spans="1:15" ht="45" x14ac:dyDescent="0.25">
      <c r="A465" s="120">
        <v>204349</v>
      </c>
      <c r="B465" s="120">
        <v>19919</v>
      </c>
      <c r="C465" s="121" t="s">
        <v>19</v>
      </c>
      <c r="D465" s="121" t="s">
        <v>2414</v>
      </c>
      <c r="E465" s="121" t="s">
        <v>1909</v>
      </c>
      <c r="F465" s="121"/>
      <c r="G465" s="121" t="s">
        <v>2</v>
      </c>
      <c r="H465" s="122">
        <v>2532</v>
      </c>
      <c r="I465" s="122">
        <v>3290</v>
      </c>
      <c r="J465" s="121"/>
      <c r="K465" s="121" t="s">
        <v>1</v>
      </c>
      <c r="L465" s="121"/>
      <c r="M465" s="121"/>
      <c r="N465" s="103" t="str">
        <f t="shared" si="7"/>
        <v>1</v>
      </c>
      <c r="O465" s="103" t="str">
        <f>INDEX(Кат!$I:$I,MATCH($A465,Кат!$A:$A,0))</f>
        <v>БРТ</v>
      </c>
    </row>
    <row r="466" spans="1:15" ht="45" x14ac:dyDescent="0.25">
      <c r="A466" s="120">
        <v>204350</v>
      </c>
      <c r="B466" s="120">
        <v>19920</v>
      </c>
      <c r="C466" s="121" t="s">
        <v>20</v>
      </c>
      <c r="D466" s="121" t="s">
        <v>2414</v>
      </c>
      <c r="E466" s="121" t="s">
        <v>1910</v>
      </c>
      <c r="F466" s="121"/>
      <c r="G466" s="121" t="s">
        <v>2</v>
      </c>
      <c r="H466" s="122">
        <v>910</v>
      </c>
      <c r="I466" s="122">
        <v>1290</v>
      </c>
      <c r="J466" s="121"/>
      <c r="K466" s="121" t="s">
        <v>1</v>
      </c>
      <c r="L466" s="121"/>
      <c r="M466" s="121"/>
      <c r="N466" s="103" t="str">
        <f t="shared" si="7"/>
        <v>1</v>
      </c>
      <c r="O466" s="103" t="str">
        <f>INDEX(Кат!$I:$I,MATCH($A466,Кат!$A:$A,0))</f>
        <v>БРТ</v>
      </c>
    </row>
    <row r="467" spans="1:15" ht="45" x14ac:dyDescent="0.25">
      <c r="A467" s="120">
        <v>204351</v>
      </c>
      <c r="B467" s="120">
        <v>20264</v>
      </c>
      <c r="C467" s="121" t="s">
        <v>142</v>
      </c>
      <c r="D467" s="121" t="s">
        <v>2414</v>
      </c>
      <c r="E467" s="121" t="s">
        <v>1958</v>
      </c>
      <c r="F467" s="121"/>
      <c r="G467" s="121" t="s">
        <v>2</v>
      </c>
      <c r="H467" s="122">
        <v>159</v>
      </c>
      <c r="I467" s="122">
        <v>279</v>
      </c>
      <c r="J467" s="121"/>
      <c r="K467" s="121" t="s">
        <v>1</v>
      </c>
      <c r="L467" s="121"/>
      <c r="M467" s="121"/>
      <c r="N467" s="103" t="str">
        <f t="shared" si="7"/>
        <v>1</v>
      </c>
      <c r="O467" s="103" t="str">
        <f>INDEX(Кат!$I:$I,MATCH($A467,Кат!$A:$A,0))</f>
        <v>БРТ</v>
      </c>
    </row>
    <row r="468" spans="1:15" ht="45" x14ac:dyDescent="0.25">
      <c r="A468" s="120">
        <v>204352</v>
      </c>
      <c r="B468" s="120">
        <v>20265</v>
      </c>
      <c r="C468" s="121" t="s">
        <v>178</v>
      </c>
      <c r="D468" s="121" t="s">
        <v>2414</v>
      </c>
      <c r="E468" s="121" t="s">
        <v>1959</v>
      </c>
      <c r="F468" s="121"/>
      <c r="G468" s="121" t="s">
        <v>2</v>
      </c>
      <c r="H468" s="122">
        <v>115</v>
      </c>
      <c r="I468" s="122">
        <v>199</v>
      </c>
      <c r="J468" s="121"/>
      <c r="K468" s="121" t="s">
        <v>1</v>
      </c>
      <c r="L468" s="121"/>
      <c r="M468" s="121"/>
      <c r="N468" s="103" t="str">
        <f t="shared" si="7"/>
        <v>1</v>
      </c>
      <c r="O468" s="103" t="str">
        <f>INDEX(Кат!$I:$I,MATCH($A468,Кат!$A:$A,0))</f>
        <v>БРТ</v>
      </c>
    </row>
    <row r="469" spans="1:15" ht="45" x14ac:dyDescent="0.25">
      <c r="A469" s="120">
        <v>204353</v>
      </c>
      <c r="B469" s="120">
        <v>20266</v>
      </c>
      <c r="C469" s="121" t="s">
        <v>110</v>
      </c>
      <c r="D469" s="121" t="s">
        <v>2414</v>
      </c>
      <c r="E469" s="121" t="s">
        <v>1960</v>
      </c>
      <c r="F469" s="121"/>
      <c r="G469" s="121" t="s">
        <v>2</v>
      </c>
      <c r="H469" s="122">
        <v>217</v>
      </c>
      <c r="I469" s="122">
        <v>379</v>
      </c>
      <c r="J469" s="121"/>
      <c r="K469" s="121" t="s">
        <v>1</v>
      </c>
      <c r="L469" s="121"/>
      <c r="M469" s="121"/>
      <c r="N469" s="103" t="str">
        <f t="shared" si="7"/>
        <v>1</v>
      </c>
      <c r="O469" s="103" t="str">
        <f>INDEX(Кат!$I:$I,MATCH($A469,Кат!$A:$A,0))</f>
        <v>БРТ</v>
      </c>
    </row>
    <row r="470" spans="1:15" ht="45" x14ac:dyDescent="0.25">
      <c r="A470" s="120">
        <v>204354</v>
      </c>
      <c r="B470" s="120">
        <v>19921</v>
      </c>
      <c r="C470" s="121" t="s">
        <v>21</v>
      </c>
      <c r="D470" s="121" t="s">
        <v>2414</v>
      </c>
      <c r="E470" s="121" t="s">
        <v>1911</v>
      </c>
      <c r="F470" s="121"/>
      <c r="G470" s="121" t="s">
        <v>2</v>
      </c>
      <c r="H470" s="122">
        <v>146</v>
      </c>
      <c r="I470" s="122">
        <v>259</v>
      </c>
      <c r="J470" s="121"/>
      <c r="K470" s="121" t="s">
        <v>1</v>
      </c>
      <c r="L470" s="121"/>
      <c r="M470" s="121"/>
      <c r="N470" s="103" t="str">
        <f t="shared" si="7"/>
        <v>1</v>
      </c>
      <c r="O470" s="103" t="str">
        <f>INDEX(Кат!$I:$I,MATCH($A470,Кат!$A:$A,0))</f>
        <v>БРТ</v>
      </c>
    </row>
    <row r="471" spans="1:15" ht="45" x14ac:dyDescent="0.25">
      <c r="A471" s="120">
        <v>204517</v>
      </c>
      <c r="B471" s="120">
        <v>30465</v>
      </c>
      <c r="C471" s="121" t="s">
        <v>207</v>
      </c>
      <c r="D471" s="121" t="s">
        <v>2414</v>
      </c>
      <c r="E471" s="121" t="s">
        <v>2129</v>
      </c>
      <c r="F471" s="121"/>
      <c r="G471" s="121" t="s">
        <v>2</v>
      </c>
      <c r="H471" s="122">
        <v>45</v>
      </c>
      <c r="I471" s="122">
        <v>99</v>
      </c>
      <c r="J471" s="121"/>
      <c r="K471" s="121" t="s">
        <v>1</v>
      </c>
      <c r="L471" s="121"/>
      <c r="M471" s="121"/>
      <c r="N471" s="103" t="str">
        <f t="shared" si="7"/>
        <v>1</v>
      </c>
      <c r="O471" s="103" t="str">
        <f>INDEX(Кат!$I:$I,MATCH($A471,Кат!$A:$A,0))</f>
        <v>БРТ</v>
      </c>
    </row>
    <row r="472" spans="1:15" ht="45" x14ac:dyDescent="0.25">
      <c r="A472" s="120">
        <v>213135</v>
      </c>
      <c r="B472" s="120">
        <v>34600</v>
      </c>
      <c r="C472" s="121" t="s">
        <v>1521</v>
      </c>
      <c r="D472" s="121" t="s">
        <v>2414</v>
      </c>
      <c r="E472" s="121" t="s">
        <v>560</v>
      </c>
      <c r="F472" s="121" t="s">
        <v>560</v>
      </c>
      <c r="G472" s="121" t="s">
        <v>2</v>
      </c>
      <c r="H472" s="122">
        <v>305</v>
      </c>
      <c r="I472" s="122">
        <v>459</v>
      </c>
      <c r="J472" s="121"/>
      <c r="K472" s="121" t="s">
        <v>1</v>
      </c>
      <c r="L472" s="121"/>
      <c r="M472" s="121"/>
      <c r="N472" s="103" t="str">
        <f t="shared" si="7"/>
        <v>1</v>
      </c>
      <c r="O472" s="103" t="str">
        <f>INDEX(Кат!$I:$I,MATCH($A472,Кат!$A:$A,0))</f>
        <v>БРТ</v>
      </c>
    </row>
    <row r="473" spans="1:15" ht="45" x14ac:dyDescent="0.25">
      <c r="A473" s="120">
        <v>213136</v>
      </c>
      <c r="B473" s="120">
        <v>35569</v>
      </c>
      <c r="C473" s="121" t="s">
        <v>1687</v>
      </c>
      <c r="D473" s="121" t="s">
        <v>2414</v>
      </c>
      <c r="E473" s="121" t="s">
        <v>533</v>
      </c>
      <c r="F473" s="121" t="s">
        <v>533</v>
      </c>
      <c r="G473" s="121" t="s">
        <v>2</v>
      </c>
      <c r="H473" s="122">
        <v>76</v>
      </c>
      <c r="I473" s="122">
        <v>169</v>
      </c>
      <c r="J473" s="121"/>
      <c r="K473" s="121" t="s">
        <v>1</v>
      </c>
      <c r="L473" s="121"/>
      <c r="M473" s="121"/>
      <c r="N473" s="103" t="str">
        <f t="shared" si="7"/>
        <v>1</v>
      </c>
      <c r="O473" s="103" t="str">
        <f>INDEX(Кат!$I:$I,MATCH($A473,Кат!$A:$A,0))</f>
        <v>БРТ</v>
      </c>
    </row>
    <row r="474" spans="1:15" ht="30" x14ac:dyDescent="0.25">
      <c r="A474" s="120">
        <v>213137</v>
      </c>
      <c r="B474" s="120">
        <v>35414</v>
      </c>
      <c r="C474" s="121" t="s">
        <v>1609</v>
      </c>
      <c r="D474" s="121" t="s">
        <v>2414</v>
      </c>
      <c r="E474" s="121" t="s">
        <v>353</v>
      </c>
      <c r="F474" s="121" t="s">
        <v>353</v>
      </c>
      <c r="G474" s="121" t="s">
        <v>2</v>
      </c>
      <c r="H474" s="122">
        <v>136</v>
      </c>
      <c r="I474" s="122">
        <v>239</v>
      </c>
      <c r="J474" s="121"/>
      <c r="K474" s="121" t="s">
        <v>1</v>
      </c>
      <c r="L474" s="121"/>
      <c r="M474" s="121"/>
      <c r="N474" s="103" t="str">
        <f t="shared" si="7"/>
        <v>1</v>
      </c>
      <c r="O474" s="103" t="str">
        <f>INDEX(Кат!$I:$I,MATCH($A474,Кат!$A:$A,0))</f>
        <v>БРТ</v>
      </c>
    </row>
    <row r="475" spans="1:15" ht="45" x14ac:dyDescent="0.25">
      <c r="A475" s="120">
        <v>213148</v>
      </c>
      <c r="B475" s="120">
        <v>33046</v>
      </c>
      <c r="C475" s="121" t="s">
        <v>1495</v>
      </c>
      <c r="D475" s="121" t="s">
        <v>2467</v>
      </c>
      <c r="E475" s="121" t="s">
        <v>2127</v>
      </c>
      <c r="F475" s="121"/>
      <c r="G475" s="121" t="s">
        <v>2</v>
      </c>
      <c r="H475" s="122">
        <v>1800</v>
      </c>
      <c r="I475" s="122">
        <v>2290</v>
      </c>
      <c r="J475" s="121" t="s">
        <v>2526</v>
      </c>
      <c r="K475" s="121" t="s">
        <v>2418</v>
      </c>
      <c r="L475" s="121"/>
      <c r="M475" s="121"/>
      <c r="N475" s="103" t="str">
        <f t="shared" si="7"/>
        <v>0</v>
      </c>
      <c r="O475" s="103" t="str">
        <f>INDEX(Кат!$I:$I,MATCH($A475,Кат!$A:$A,0))</f>
        <v>БРТ</v>
      </c>
    </row>
    <row r="476" spans="1:15" ht="45" x14ac:dyDescent="0.25">
      <c r="A476" s="120">
        <v>213149</v>
      </c>
      <c r="B476" s="120">
        <v>27292</v>
      </c>
      <c r="C476" s="121" t="s">
        <v>1494</v>
      </c>
      <c r="D476" s="121" t="s">
        <v>2414</v>
      </c>
      <c r="E476" s="121" t="s">
        <v>2127</v>
      </c>
      <c r="F476" s="121"/>
      <c r="G476" s="121" t="s">
        <v>2</v>
      </c>
      <c r="H476" s="122">
        <v>2300</v>
      </c>
      <c r="I476" s="122">
        <v>2990</v>
      </c>
      <c r="J476" s="121" t="s">
        <v>2526</v>
      </c>
      <c r="K476" s="121" t="s">
        <v>1</v>
      </c>
      <c r="L476" s="121"/>
      <c r="M476" s="121"/>
      <c r="N476" s="103" t="str">
        <f t="shared" si="7"/>
        <v>1</v>
      </c>
      <c r="O476" s="103" t="str">
        <f>INDEX(Кат!$I:$I,MATCH($A476,Кат!$A:$A,0))</f>
        <v>БРТ</v>
      </c>
    </row>
    <row r="477" spans="1:15" ht="45" x14ac:dyDescent="0.25">
      <c r="A477" s="120">
        <v>213159</v>
      </c>
      <c r="B477" s="120">
        <v>32806</v>
      </c>
      <c r="C477" s="121" t="s">
        <v>1493</v>
      </c>
      <c r="D477" s="121" t="s">
        <v>2414</v>
      </c>
      <c r="E477" s="121" t="s">
        <v>2144</v>
      </c>
      <c r="F477" s="121"/>
      <c r="G477" s="121" t="s">
        <v>2</v>
      </c>
      <c r="H477" s="122">
        <v>126</v>
      </c>
      <c r="I477" s="122">
        <v>219</v>
      </c>
      <c r="J477" s="121"/>
      <c r="K477" s="121" t="s">
        <v>1</v>
      </c>
      <c r="L477" s="121" t="s">
        <v>1823</v>
      </c>
      <c r="M477" s="121"/>
      <c r="N477" s="103" t="str">
        <f t="shared" si="7"/>
        <v>1ск4</v>
      </c>
      <c r="O477" s="103" t="str">
        <f>INDEX(Кат!$I:$I,MATCH($A477,Кат!$A:$A,0))</f>
        <v>БРТ</v>
      </c>
    </row>
    <row r="478" spans="1:15" ht="45" x14ac:dyDescent="0.25">
      <c r="A478" s="120">
        <v>213161</v>
      </c>
      <c r="B478" s="120">
        <v>36915</v>
      </c>
      <c r="C478" s="121" t="s">
        <v>1714</v>
      </c>
      <c r="D478" s="121" t="s">
        <v>2414</v>
      </c>
      <c r="E478" s="121" t="s">
        <v>2157</v>
      </c>
      <c r="F478" s="121"/>
      <c r="G478" s="121" t="s">
        <v>2</v>
      </c>
      <c r="H478" s="122">
        <v>280</v>
      </c>
      <c r="I478" s="122">
        <v>439</v>
      </c>
      <c r="J478" s="121"/>
      <c r="K478" s="121" t="s">
        <v>1</v>
      </c>
      <c r="L478" s="121"/>
      <c r="M478" s="121"/>
      <c r="N478" s="103" t="str">
        <f t="shared" si="7"/>
        <v>1</v>
      </c>
      <c r="O478" s="103" t="str">
        <f>INDEX(Кат!$I:$I,MATCH($A478,Кат!$A:$A,0))</f>
        <v>БРТ</v>
      </c>
    </row>
    <row r="479" spans="1:15" ht="60" x14ac:dyDescent="0.25">
      <c r="A479" s="120">
        <v>213169</v>
      </c>
      <c r="B479" s="120">
        <v>54944</v>
      </c>
      <c r="C479" s="121" t="s">
        <v>2188</v>
      </c>
      <c r="D479" s="121" t="s">
        <v>2414</v>
      </c>
      <c r="E479" s="121" t="s">
        <v>2189</v>
      </c>
      <c r="F479" s="121"/>
      <c r="G479" s="121" t="s">
        <v>2</v>
      </c>
      <c r="H479" s="122">
        <v>357</v>
      </c>
      <c r="I479" s="122">
        <v>539</v>
      </c>
      <c r="J479" s="121"/>
      <c r="K479" s="121" t="s">
        <v>1</v>
      </c>
      <c r="L479" s="121" t="s">
        <v>1824</v>
      </c>
      <c r="M479" s="121"/>
      <c r="N479" s="103" t="str">
        <f t="shared" si="7"/>
        <v>1ск6</v>
      </c>
      <c r="O479" s="103" t="str">
        <f>INDEX(Кат!$I:$I,MATCH($A479,Кат!$A:$A,0))</f>
        <v>БРТ</v>
      </c>
    </row>
    <row r="480" spans="1:15" ht="30" x14ac:dyDescent="0.25">
      <c r="A480" s="120">
        <v>213289</v>
      </c>
      <c r="B480" s="120">
        <v>35245</v>
      </c>
      <c r="C480" s="121" t="s">
        <v>1547</v>
      </c>
      <c r="D480" s="121" t="s">
        <v>2414</v>
      </c>
      <c r="E480" s="121" t="s">
        <v>1548</v>
      </c>
      <c r="F480" s="121" t="s">
        <v>1548</v>
      </c>
      <c r="G480" s="121" t="s">
        <v>2</v>
      </c>
      <c r="H480" s="122">
        <v>84</v>
      </c>
      <c r="I480" s="122">
        <v>189</v>
      </c>
      <c r="J480" s="121"/>
      <c r="K480" s="121" t="s">
        <v>1</v>
      </c>
      <c r="L480" s="121"/>
      <c r="M480" s="121"/>
      <c r="N480" s="103" t="str">
        <f t="shared" si="7"/>
        <v>1</v>
      </c>
      <c r="O480" s="103" t="str">
        <f>INDEX(Кат!$I:$I,MATCH($A480,Кат!$A:$A,0))</f>
        <v>БРТ</v>
      </c>
    </row>
    <row r="481" spans="1:15" ht="30" x14ac:dyDescent="0.25">
      <c r="A481" s="120">
        <v>213290</v>
      </c>
      <c r="B481" s="120">
        <v>35205</v>
      </c>
      <c r="C481" s="121" t="s">
        <v>1529</v>
      </c>
      <c r="D481" s="121" t="s">
        <v>2414</v>
      </c>
      <c r="E481" s="121" t="s">
        <v>274</v>
      </c>
      <c r="F481" s="121" t="s">
        <v>274</v>
      </c>
      <c r="G481" s="121" t="s">
        <v>2</v>
      </c>
      <c r="H481" s="122">
        <v>24</v>
      </c>
      <c r="I481" s="122">
        <v>59</v>
      </c>
      <c r="J481" s="121"/>
      <c r="K481" s="121" t="s">
        <v>1</v>
      </c>
      <c r="L481" s="121"/>
      <c r="M481" s="121"/>
      <c r="N481" s="103" t="str">
        <f t="shared" si="7"/>
        <v>1</v>
      </c>
      <c r="O481" s="103" t="str">
        <f>INDEX(Кат!$I:$I,MATCH($A481,Кат!$A:$A,0))</f>
        <v>БРТ</v>
      </c>
    </row>
    <row r="482" spans="1:15" ht="30" x14ac:dyDescent="0.25">
      <c r="A482" s="120">
        <v>213291</v>
      </c>
      <c r="B482" s="120">
        <v>35213</v>
      </c>
      <c r="C482" s="121" t="s">
        <v>1531</v>
      </c>
      <c r="D482" s="121" t="s">
        <v>2414</v>
      </c>
      <c r="E482" s="121" t="s">
        <v>275</v>
      </c>
      <c r="F482" s="121" t="s">
        <v>275</v>
      </c>
      <c r="G482" s="121" t="s">
        <v>2</v>
      </c>
      <c r="H482" s="122">
        <v>24</v>
      </c>
      <c r="I482" s="122">
        <v>59</v>
      </c>
      <c r="J482" s="121"/>
      <c r="K482" s="121" t="s">
        <v>1</v>
      </c>
      <c r="L482" s="121"/>
      <c r="M482" s="121"/>
      <c r="N482" s="103" t="str">
        <f t="shared" si="7"/>
        <v>1</v>
      </c>
      <c r="O482" s="103" t="str">
        <f>INDEX(Кат!$I:$I,MATCH($A482,Кат!$A:$A,0))</f>
        <v>БРТ</v>
      </c>
    </row>
    <row r="483" spans="1:15" ht="30" x14ac:dyDescent="0.25">
      <c r="A483" s="120">
        <v>213292</v>
      </c>
      <c r="B483" s="120">
        <v>35242</v>
      </c>
      <c r="C483" s="121" t="s">
        <v>1545</v>
      </c>
      <c r="D483" s="121" t="s">
        <v>2414</v>
      </c>
      <c r="E483" s="121" t="s">
        <v>1546</v>
      </c>
      <c r="F483" s="121" t="s">
        <v>1546</v>
      </c>
      <c r="G483" s="121" t="s">
        <v>2</v>
      </c>
      <c r="H483" s="122">
        <v>84</v>
      </c>
      <c r="I483" s="122">
        <v>189</v>
      </c>
      <c r="J483" s="121"/>
      <c r="K483" s="121" t="s">
        <v>1</v>
      </c>
      <c r="L483" s="121"/>
      <c r="M483" s="121"/>
      <c r="N483" s="103" t="str">
        <f t="shared" si="7"/>
        <v>1</v>
      </c>
      <c r="O483" s="103" t="str">
        <f>INDEX(Кат!$I:$I,MATCH($A483,Кат!$A:$A,0))</f>
        <v>БРТ</v>
      </c>
    </row>
    <row r="484" spans="1:15" ht="30" x14ac:dyDescent="0.25">
      <c r="A484" s="120">
        <v>213293</v>
      </c>
      <c r="B484" s="120">
        <v>35247</v>
      </c>
      <c r="C484" s="121" t="s">
        <v>1549</v>
      </c>
      <c r="D484" s="121" t="s">
        <v>2414</v>
      </c>
      <c r="E484" s="121" t="s">
        <v>723</v>
      </c>
      <c r="F484" s="121" t="s">
        <v>723</v>
      </c>
      <c r="G484" s="121" t="s">
        <v>2</v>
      </c>
      <c r="H484" s="122">
        <v>177</v>
      </c>
      <c r="I484" s="122">
        <v>309</v>
      </c>
      <c r="J484" s="121"/>
      <c r="K484" s="121" t="s">
        <v>1</v>
      </c>
      <c r="L484" s="121"/>
      <c r="M484" s="121"/>
      <c r="N484" s="103" t="str">
        <f t="shared" si="7"/>
        <v>1</v>
      </c>
      <c r="O484" s="103" t="str">
        <f>INDEX(Кат!$I:$I,MATCH($A484,Кат!$A:$A,0))</f>
        <v>БРТ</v>
      </c>
    </row>
    <row r="485" spans="1:15" ht="45" x14ac:dyDescent="0.25">
      <c r="A485" s="120">
        <v>213294</v>
      </c>
      <c r="B485" s="120">
        <v>32110</v>
      </c>
      <c r="C485" s="121" t="s">
        <v>1492</v>
      </c>
      <c r="D485" s="121" t="s">
        <v>2414</v>
      </c>
      <c r="E485" s="121" t="s">
        <v>2142</v>
      </c>
      <c r="F485" s="121"/>
      <c r="G485" s="121" t="s">
        <v>2</v>
      </c>
      <c r="H485" s="122">
        <v>41</v>
      </c>
      <c r="I485" s="122">
        <v>89</v>
      </c>
      <c r="J485" s="121"/>
      <c r="K485" s="121" t="s">
        <v>1</v>
      </c>
      <c r="L485" s="121"/>
      <c r="M485" s="121"/>
      <c r="N485" s="103" t="str">
        <f t="shared" si="7"/>
        <v>1</v>
      </c>
      <c r="O485" s="103" t="str">
        <f>INDEX(Кат!$I:$I,MATCH($A485,Кат!$A:$A,0))</f>
        <v>БРТ</v>
      </c>
    </row>
    <row r="486" spans="1:15" ht="45" x14ac:dyDescent="0.25">
      <c r="A486" s="120">
        <v>213295</v>
      </c>
      <c r="B486" s="120">
        <v>35207</v>
      </c>
      <c r="C486" s="121" t="s">
        <v>1530</v>
      </c>
      <c r="D486" s="121" t="s">
        <v>2414</v>
      </c>
      <c r="E486" s="121" t="s">
        <v>263</v>
      </c>
      <c r="F486" s="121" t="s">
        <v>263</v>
      </c>
      <c r="G486" s="121" t="s">
        <v>2</v>
      </c>
      <c r="H486" s="122">
        <v>46</v>
      </c>
      <c r="I486" s="122">
        <v>99</v>
      </c>
      <c r="J486" s="121"/>
      <c r="K486" s="121" t="s">
        <v>1</v>
      </c>
      <c r="L486" s="121"/>
      <c r="M486" s="121"/>
      <c r="N486" s="103" t="str">
        <f t="shared" si="7"/>
        <v>1</v>
      </c>
      <c r="O486" s="103" t="str">
        <f>INDEX(Кат!$I:$I,MATCH($A486,Кат!$A:$A,0))</f>
        <v>БРТ</v>
      </c>
    </row>
    <row r="487" spans="1:15" ht="30" x14ac:dyDescent="0.25">
      <c r="A487" s="120">
        <v>213296</v>
      </c>
      <c r="B487" s="120">
        <v>35598</v>
      </c>
      <c r="C487" s="121" t="s">
        <v>1703</v>
      </c>
      <c r="D487" s="121" t="s">
        <v>2414</v>
      </c>
      <c r="E487" s="121" t="s">
        <v>585</v>
      </c>
      <c r="F487" s="121" t="s">
        <v>585</v>
      </c>
      <c r="G487" s="121" t="s">
        <v>2</v>
      </c>
      <c r="H487" s="122">
        <v>62</v>
      </c>
      <c r="I487" s="122">
        <v>139</v>
      </c>
      <c r="J487" s="121"/>
      <c r="K487" s="121" t="s">
        <v>1</v>
      </c>
      <c r="L487" s="121"/>
      <c r="M487" s="121"/>
      <c r="N487" s="103" t="str">
        <f t="shared" si="7"/>
        <v>1</v>
      </c>
      <c r="O487" s="103" t="str">
        <f>INDEX(Кат!$I:$I,MATCH($A487,Кат!$A:$A,0))</f>
        <v>БРТ</v>
      </c>
    </row>
    <row r="488" spans="1:15" ht="75" x14ac:dyDescent="0.25">
      <c r="A488" s="120">
        <v>213297</v>
      </c>
      <c r="B488" s="120">
        <v>35219</v>
      </c>
      <c r="C488" s="121" t="s">
        <v>1532</v>
      </c>
      <c r="D488" s="121" t="s">
        <v>2414</v>
      </c>
      <c r="E488" s="121" t="s">
        <v>317</v>
      </c>
      <c r="F488" s="121" t="s">
        <v>317</v>
      </c>
      <c r="G488" s="121" t="s">
        <v>2</v>
      </c>
      <c r="H488" s="122">
        <v>259</v>
      </c>
      <c r="I488" s="122">
        <v>449</v>
      </c>
      <c r="J488" s="121"/>
      <c r="K488" s="121" t="s">
        <v>1</v>
      </c>
      <c r="L488" s="121"/>
      <c r="M488" s="121"/>
      <c r="N488" s="103" t="str">
        <f t="shared" si="7"/>
        <v>1</v>
      </c>
      <c r="O488" s="103" t="str">
        <f>INDEX(Кат!$I:$I,MATCH($A488,Кат!$A:$A,0))</f>
        <v>БРТ</v>
      </c>
    </row>
    <row r="489" spans="1:15" ht="45" x14ac:dyDescent="0.25">
      <c r="A489" s="120">
        <v>213298</v>
      </c>
      <c r="B489" s="120">
        <v>35220</v>
      </c>
      <c r="C489" s="121" t="s">
        <v>1533</v>
      </c>
      <c r="D489" s="121" t="s">
        <v>2414</v>
      </c>
      <c r="E489" s="121" t="s">
        <v>393</v>
      </c>
      <c r="F489" s="121" t="s">
        <v>393</v>
      </c>
      <c r="G489" s="121" t="s">
        <v>2</v>
      </c>
      <c r="H489" s="122">
        <v>69</v>
      </c>
      <c r="I489" s="122">
        <v>179</v>
      </c>
      <c r="J489" s="121" t="s">
        <v>2514</v>
      </c>
      <c r="K489" s="121" t="s">
        <v>1</v>
      </c>
      <c r="L489" s="121"/>
      <c r="M489" s="121"/>
      <c r="N489" s="103" t="str">
        <f t="shared" si="7"/>
        <v>1</v>
      </c>
      <c r="O489" s="103" t="str">
        <f>INDEX(Кат!$I:$I,MATCH($A489,Кат!$A:$A,0))</f>
        <v>БРТ</v>
      </c>
    </row>
    <row r="490" spans="1:15" ht="45" x14ac:dyDescent="0.25">
      <c r="A490" s="120">
        <v>329100</v>
      </c>
      <c r="B490" s="120">
        <v>329100</v>
      </c>
      <c r="C490" s="121" t="s">
        <v>2715</v>
      </c>
      <c r="D490" s="121" t="s">
        <v>2414</v>
      </c>
      <c r="E490" s="121" t="s">
        <v>2460</v>
      </c>
      <c r="F490" s="121"/>
      <c r="G490" s="121" t="s">
        <v>2</v>
      </c>
      <c r="H490" s="122">
        <v>55</v>
      </c>
      <c r="I490" s="122">
        <v>179</v>
      </c>
      <c r="J490" s="121" t="s">
        <v>2514</v>
      </c>
      <c r="K490" s="121" t="s">
        <v>1</v>
      </c>
      <c r="L490" s="121"/>
      <c r="M490" s="121"/>
      <c r="N490" s="103" t="str">
        <f t="shared" si="7"/>
        <v>1</v>
      </c>
      <c r="O490" s="103" t="str">
        <f>INDEX(Кат!$I:$I,MATCH($A490,Кат!$A:$A,0))</f>
        <v>БРТ</v>
      </c>
    </row>
    <row r="491" spans="1:15" ht="30" x14ac:dyDescent="0.25">
      <c r="A491" s="120">
        <v>213299</v>
      </c>
      <c r="B491" s="120">
        <v>35250</v>
      </c>
      <c r="C491" s="121" t="s">
        <v>1551</v>
      </c>
      <c r="D491" s="121" t="s">
        <v>2414</v>
      </c>
      <c r="E491" s="121" t="s">
        <v>727</v>
      </c>
      <c r="F491" s="121" t="s">
        <v>727</v>
      </c>
      <c r="G491" s="121" t="s">
        <v>2</v>
      </c>
      <c r="H491" s="122">
        <v>38</v>
      </c>
      <c r="I491" s="122">
        <v>89</v>
      </c>
      <c r="J491" s="121"/>
      <c r="K491" s="121" t="s">
        <v>1</v>
      </c>
      <c r="L491" s="121"/>
      <c r="M491" s="121"/>
      <c r="N491" s="103" t="str">
        <f t="shared" si="7"/>
        <v>1</v>
      </c>
      <c r="O491" s="103" t="str">
        <f>INDEX(Кат!$I:$I,MATCH($A491,Кат!$A:$A,0))</f>
        <v>БРТ</v>
      </c>
    </row>
    <row r="492" spans="1:15" ht="45" x14ac:dyDescent="0.25">
      <c r="A492" s="120">
        <v>213300</v>
      </c>
      <c r="B492" s="120">
        <v>35230</v>
      </c>
      <c r="C492" s="121" t="s">
        <v>1538</v>
      </c>
      <c r="D492" s="121" t="s">
        <v>2414</v>
      </c>
      <c r="E492" s="121" t="s">
        <v>450</v>
      </c>
      <c r="F492" s="121" t="s">
        <v>450</v>
      </c>
      <c r="G492" s="121" t="s">
        <v>2</v>
      </c>
      <c r="H492" s="122">
        <v>44</v>
      </c>
      <c r="I492" s="122">
        <v>99</v>
      </c>
      <c r="J492" s="121"/>
      <c r="K492" s="121" t="s">
        <v>1</v>
      </c>
      <c r="L492" s="121"/>
      <c r="M492" s="121"/>
      <c r="N492" s="103" t="str">
        <f t="shared" si="7"/>
        <v>1</v>
      </c>
      <c r="O492" s="103" t="str">
        <f>INDEX(Кат!$I:$I,MATCH($A492,Кат!$A:$A,0))</f>
        <v>БРТ</v>
      </c>
    </row>
    <row r="493" spans="1:15" ht="45" x14ac:dyDescent="0.25">
      <c r="A493" s="120">
        <v>213301</v>
      </c>
      <c r="B493" s="120">
        <v>35226</v>
      </c>
      <c r="C493" s="121" t="s">
        <v>1537</v>
      </c>
      <c r="D493" s="121" t="s">
        <v>2414</v>
      </c>
      <c r="E493" s="121" t="s">
        <v>449</v>
      </c>
      <c r="F493" s="121" t="s">
        <v>449</v>
      </c>
      <c r="G493" s="121" t="s">
        <v>2</v>
      </c>
      <c r="H493" s="122">
        <v>44</v>
      </c>
      <c r="I493" s="122">
        <v>99</v>
      </c>
      <c r="J493" s="121"/>
      <c r="K493" s="121" t="s">
        <v>1</v>
      </c>
      <c r="L493" s="121"/>
      <c r="M493" s="121"/>
      <c r="N493" s="103" t="str">
        <f t="shared" si="7"/>
        <v>1</v>
      </c>
      <c r="O493" s="103" t="str">
        <f>INDEX(Кат!$I:$I,MATCH($A493,Кат!$A:$A,0))</f>
        <v>БРТ</v>
      </c>
    </row>
    <row r="494" spans="1:15" ht="45" x14ac:dyDescent="0.25">
      <c r="A494" s="120">
        <v>213302</v>
      </c>
      <c r="B494" s="120">
        <v>35194</v>
      </c>
      <c r="C494" s="121" t="s">
        <v>1525</v>
      </c>
      <c r="D494" s="121" t="s">
        <v>2414</v>
      </c>
      <c r="E494" s="121" t="s">
        <v>273</v>
      </c>
      <c r="F494" s="121" t="s">
        <v>273</v>
      </c>
      <c r="G494" s="121" t="s">
        <v>2</v>
      </c>
      <c r="H494" s="122">
        <v>42</v>
      </c>
      <c r="I494" s="122">
        <v>99</v>
      </c>
      <c r="J494" s="121"/>
      <c r="K494" s="121" t="s">
        <v>1</v>
      </c>
      <c r="L494" s="121"/>
      <c r="M494" s="121"/>
      <c r="N494" s="103" t="str">
        <f t="shared" si="7"/>
        <v>1</v>
      </c>
      <c r="O494" s="103" t="str">
        <f>INDEX(Кат!$I:$I,MATCH($A494,Кат!$A:$A,0))</f>
        <v>БРТ</v>
      </c>
    </row>
    <row r="495" spans="1:15" ht="30" x14ac:dyDescent="0.25">
      <c r="A495" s="120">
        <v>213303</v>
      </c>
      <c r="B495" s="120">
        <v>35193</v>
      </c>
      <c r="C495" s="121" t="s">
        <v>1524</v>
      </c>
      <c r="D495" s="121" t="s">
        <v>2414</v>
      </c>
      <c r="E495" s="121" t="s">
        <v>272</v>
      </c>
      <c r="F495" s="121" t="s">
        <v>272</v>
      </c>
      <c r="G495" s="121" t="s">
        <v>2</v>
      </c>
      <c r="H495" s="122">
        <v>41</v>
      </c>
      <c r="I495" s="122">
        <v>89</v>
      </c>
      <c r="J495" s="121"/>
      <c r="K495" s="121" t="s">
        <v>1</v>
      </c>
      <c r="L495" s="121"/>
      <c r="M495" s="121"/>
      <c r="N495" s="103" t="str">
        <f t="shared" si="7"/>
        <v>1</v>
      </c>
      <c r="O495" s="103" t="str">
        <f>INDEX(Кат!$I:$I,MATCH($A495,Кат!$A:$A,0))</f>
        <v>БРТ</v>
      </c>
    </row>
    <row r="496" spans="1:15" ht="30" x14ac:dyDescent="0.25">
      <c r="A496" s="120">
        <v>213304</v>
      </c>
      <c r="B496" s="120">
        <v>35198</v>
      </c>
      <c r="C496" s="121" t="s">
        <v>1527</v>
      </c>
      <c r="D496" s="121" t="s">
        <v>2414</v>
      </c>
      <c r="E496" s="121" t="s">
        <v>261</v>
      </c>
      <c r="F496" s="121" t="s">
        <v>261</v>
      </c>
      <c r="G496" s="121" t="s">
        <v>2</v>
      </c>
      <c r="H496" s="122">
        <v>34</v>
      </c>
      <c r="I496" s="122">
        <v>79</v>
      </c>
      <c r="J496" s="121"/>
      <c r="K496" s="121" t="s">
        <v>1</v>
      </c>
      <c r="L496" s="121"/>
      <c r="M496" s="121"/>
      <c r="N496" s="103" t="str">
        <f t="shared" si="7"/>
        <v>1</v>
      </c>
      <c r="O496" s="103" t="str">
        <f>INDEX(Кат!$I:$I,MATCH($A496,Кат!$A:$A,0))</f>
        <v>БРТ</v>
      </c>
    </row>
    <row r="497" spans="1:15" ht="30" x14ac:dyDescent="0.25">
      <c r="A497" s="120">
        <v>213305</v>
      </c>
      <c r="B497" s="120">
        <v>35196</v>
      </c>
      <c r="C497" s="121" t="s">
        <v>1526</v>
      </c>
      <c r="D497" s="121" t="s">
        <v>2414</v>
      </c>
      <c r="E497" s="121" t="s">
        <v>260</v>
      </c>
      <c r="F497" s="121" t="s">
        <v>260</v>
      </c>
      <c r="G497" s="121" t="s">
        <v>2</v>
      </c>
      <c r="H497" s="122">
        <v>34</v>
      </c>
      <c r="I497" s="122">
        <v>79</v>
      </c>
      <c r="J497" s="121"/>
      <c r="K497" s="121" t="s">
        <v>1</v>
      </c>
      <c r="L497" s="121"/>
      <c r="M497" s="121"/>
      <c r="N497" s="103" t="str">
        <f t="shared" si="7"/>
        <v>1</v>
      </c>
      <c r="O497" s="103" t="str">
        <f>INDEX(Кат!$I:$I,MATCH($A497,Кат!$A:$A,0))</f>
        <v>БРТ</v>
      </c>
    </row>
    <row r="498" spans="1:15" ht="30" x14ac:dyDescent="0.25">
      <c r="A498" s="120">
        <v>213306</v>
      </c>
      <c r="B498" s="120">
        <v>35200</v>
      </c>
      <c r="C498" s="121" t="s">
        <v>1528</v>
      </c>
      <c r="D498" s="121" t="s">
        <v>2414</v>
      </c>
      <c r="E498" s="121" t="s">
        <v>699</v>
      </c>
      <c r="F498" s="121" t="s">
        <v>699</v>
      </c>
      <c r="G498" s="121" t="s">
        <v>2</v>
      </c>
      <c r="H498" s="122">
        <v>42</v>
      </c>
      <c r="I498" s="122">
        <v>99</v>
      </c>
      <c r="J498" s="121"/>
      <c r="K498" s="121" t="s">
        <v>1</v>
      </c>
      <c r="L498" s="121"/>
      <c r="M498" s="121"/>
      <c r="N498" s="103" t="str">
        <f t="shared" si="7"/>
        <v>1</v>
      </c>
      <c r="O498" s="103" t="str">
        <f>INDEX(Кат!$I:$I,MATCH($A498,Кат!$A:$A,0))</f>
        <v>БРТ</v>
      </c>
    </row>
    <row r="499" spans="1:15" ht="30" x14ac:dyDescent="0.25">
      <c r="A499" s="120">
        <v>213307</v>
      </c>
      <c r="B499" s="120">
        <v>52687</v>
      </c>
      <c r="C499" s="121" t="s">
        <v>2184</v>
      </c>
      <c r="D499" s="121" t="s">
        <v>2414</v>
      </c>
      <c r="E499" s="121"/>
      <c r="F499" s="121" t="s">
        <v>2185</v>
      </c>
      <c r="G499" s="121" t="s">
        <v>2</v>
      </c>
      <c r="H499" s="122">
        <v>50</v>
      </c>
      <c r="I499" s="122">
        <v>109</v>
      </c>
      <c r="J499" s="121"/>
      <c r="K499" s="121" t="s">
        <v>1</v>
      </c>
      <c r="L499" s="121"/>
      <c r="M499" s="121"/>
      <c r="N499" s="103" t="str">
        <f t="shared" si="7"/>
        <v>1</v>
      </c>
      <c r="O499" s="103" t="str">
        <f>INDEX(Кат!$I:$I,MATCH($A499,Кат!$A:$A,0))</f>
        <v>БРТ</v>
      </c>
    </row>
    <row r="500" spans="1:15" ht="30" x14ac:dyDescent="0.25">
      <c r="A500" s="120">
        <v>213308</v>
      </c>
      <c r="B500" s="120">
        <v>35237</v>
      </c>
      <c r="C500" s="121" t="s">
        <v>1543</v>
      </c>
      <c r="D500" s="121" t="s">
        <v>2414</v>
      </c>
      <c r="E500" s="121" t="s">
        <v>1544</v>
      </c>
      <c r="F500" s="121" t="s">
        <v>1544</v>
      </c>
      <c r="G500" s="121" t="s">
        <v>2</v>
      </c>
      <c r="H500" s="122">
        <v>45</v>
      </c>
      <c r="I500" s="122">
        <v>99</v>
      </c>
      <c r="J500" s="121"/>
      <c r="K500" s="121" t="s">
        <v>1</v>
      </c>
      <c r="L500" s="121"/>
      <c r="M500" s="121"/>
      <c r="N500" s="103" t="str">
        <f t="shared" si="7"/>
        <v>1</v>
      </c>
      <c r="O500" s="103" t="str">
        <f>INDEX(Кат!$I:$I,MATCH($A500,Кат!$A:$A,0))</f>
        <v>БРТ</v>
      </c>
    </row>
    <row r="501" spans="1:15" ht="30" x14ac:dyDescent="0.25">
      <c r="A501" s="120">
        <v>213309</v>
      </c>
      <c r="B501" s="120">
        <v>35249</v>
      </c>
      <c r="C501" s="121" t="s">
        <v>1550</v>
      </c>
      <c r="D501" s="121" t="s">
        <v>2414</v>
      </c>
      <c r="E501" s="121" t="s">
        <v>725</v>
      </c>
      <c r="F501" s="121" t="s">
        <v>725</v>
      </c>
      <c r="G501" s="121" t="s">
        <v>2</v>
      </c>
      <c r="H501" s="122">
        <v>108</v>
      </c>
      <c r="I501" s="122">
        <v>189</v>
      </c>
      <c r="J501" s="121"/>
      <c r="K501" s="121" t="s">
        <v>1</v>
      </c>
      <c r="L501" s="121"/>
      <c r="M501" s="121"/>
      <c r="N501" s="103" t="str">
        <f t="shared" si="7"/>
        <v>1</v>
      </c>
      <c r="O501" s="103" t="str">
        <f>INDEX(Кат!$I:$I,MATCH($A501,Кат!$A:$A,0))</f>
        <v>БРТ</v>
      </c>
    </row>
    <row r="502" spans="1:15" ht="30" x14ac:dyDescent="0.25">
      <c r="A502" s="120">
        <v>213310</v>
      </c>
      <c r="B502" s="120">
        <v>35236</v>
      </c>
      <c r="C502" s="121" t="s">
        <v>1541</v>
      </c>
      <c r="D502" s="121" t="s">
        <v>2414</v>
      </c>
      <c r="E502" s="121" t="s">
        <v>1542</v>
      </c>
      <c r="F502" s="121" t="s">
        <v>1542</v>
      </c>
      <c r="G502" s="121" t="s">
        <v>2</v>
      </c>
      <c r="H502" s="122">
        <v>45</v>
      </c>
      <c r="I502" s="122">
        <v>99</v>
      </c>
      <c r="J502" s="121"/>
      <c r="K502" s="121" t="s">
        <v>1</v>
      </c>
      <c r="L502" s="121"/>
      <c r="M502" s="121"/>
      <c r="N502" s="103" t="str">
        <f t="shared" si="7"/>
        <v>1</v>
      </c>
      <c r="O502" s="103" t="str">
        <f>INDEX(Кат!$I:$I,MATCH($A502,Кат!$A:$A,0))</f>
        <v>БРТ</v>
      </c>
    </row>
    <row r="503" spans="1:15" ht="45" x14ac:dyDescent="0.25">
      <c r="A503" s="120">
        <v>213311</v>
      </c>
      <c r="B503" s="120">
        <v>35234</v>
      </c>
      <c r="C503" s="121" t="s">
        <v>1540</v>
      </c>
      <c r="D503" s="121" t="s">
        <v>2414</v>
      </c>
      <c r="E503" s="121" t="s">
        <v>446</v>
      </c>
      <c r="F503" s="121" t="s">
        <v>446</v>
      </c>
      <c r="G503" s="121" t="s">
        <v>2</v>
      </c>
      <c r="H503" s="122">
        <v>51</v>
      </c>
      <c r="I503" s="122">
        <v>109</v>
      </c>
      <c r="J503" s="121"/>
      <c r="K503" s="121" t="s">
        <v>1</v>
      </c>
      <c r="L503" s="121"/>
      <c r="M503" s="121"/>
      <c r="N503" s="103" t="str">
        <f t="shared" si="7"/>
        <v>1</v>
      </c>
      <c r="O503" s="103" t="str">
        <f>INDEX(Кат!$I:$I,MATCH($A503,Кат!$A:$A,0))</f>
        <v>БРТ</v>
      </c>
    </row>
    <row r="504" spans="1:15" ht="45" x14ac:dyDescent="0.25">
      <c r="A504" s="120">
        <v>213312</v>
      </c>
      <c r="B504" s="120">
        <v>35232</v>
      </c>
      <c r="C504" s="121" t="s">
        <v>1539</v>
      </c>
      <c r="D504" s="121" t="s">
        <v>2414</v>
      </c>
      <c r="E504" s="121" t="s">
        <v>445</v>
      </c>
      <c r="F504" s="121" t="s">
        <v>445</v>
      </c>
      <c r="G504" s="121" t="s">
        <v>2</v>
      </c>
      <c r="H504" s="122">
        <v>51</v>
      </c>
      <c r="I504" s="122">
        <v>109</v>
      </c>
      <c r="J504" s="121"/>
      <c r="K504" s="121" t="s">
        <v>1</v>
      </c>
      <c r="L504" s="121"/>
      <c r="M504" s="121"/>
      <c r="N504" s="103" t="str">
        <f t="shared" si="7"/>
        <v>1</v>
      </c>
      <c r="O504" s="103" t="str">
        <f>INDEX(Кат!$I:$I,MATCH($A504,Кат!$A:$A,0))</f>
        <v>БРТ</v>
      </c>
    </row>
    <row r="505" spans="1:15" ht="75" x14ac:dyDescent="0.25">
      <c r="A505" s="120">
        <v>213313</v>
      </c>
      <c r="B505" s="120">
        <v>35225</v>
      </c>
      <c r="C505" s="121" t="s">
        <v>1535</v>
      </c>
      <c r="D505" s="121" t="s">
        <v>2414</v>
      </c>
      <c r="E505" s="121" t="s">
        <v>1536</v>
      </c>
      <c r="F505" s="121" t="s">
        <v>1536</v>
      </c>
      <c r="G505" s="121" t="s">
        <v>2</v>
      </c>
      <c r="H505" s="122">
        <v>29</v>
      </c>
      <c r="I505" s="122">
        <v>129</v>
      </c>
      <c r="J505" s="121" t="s">
        <v>2583</v>
      </c>
      <c r="K505" s="121" t="s">
        <v>1</v>
      </c>
      <c r="L505" s="121"/>
      <c r="M505" s="121"/>
      <c r="N505" s="103" t="str">
        <f t="shared" si="7"/>
        <v>1</v>
      </c>
      <c r="O505" s="103" t="str">
        <f>INDEX(Кат!$I:$I,MATCH($A505,Кат!$A:$A,0))</f>
        <v>БРТ</v>
      </c>
    </row>
    <row r="506" spans="1:15" ht="60" x14ac:dyDescent="0.25">
      <c r="A506" s="120">
        <v>213314</v>
      </c>
      <c r="B506" s="120">
        <v>35222</v>
      </c>
      <c r="C506" s="121" t="s">
        <v>1534</v>
      </c>
      <c r="D506" s="121" t="s">
        <v>2414</v>
      </c>
      <c r="E506" s="121" t="s">
        <v>338</v>
      </c>
      <c r="F506" s="121" t="s">
        <v>338</v>
      </c>
      <c r="G506" s="121" t="s">
        <v>2</v>
      </c>
      <c r="H506" s="122">
        <v>23</v>
      </c>
      <c r="I506" s="122">
        <v>69</v>
      </c>
      <c r="J506" s="121" t="s">
        <v>2582</v>
      </c>
      <c r="K506" s="121" t="s">
        <v>1</v>
      </c>
      <c r="L506" s="121"/>
      <c r="M506" s="121"/>
      <c r="N506" s="103" t="str">
        <f t="shared" si="7"/>
        <v>1</v>
      </c>
      <c r="O506" s="103" t="str">
        <f>INDEX(Кат!$I:$I,MATCH($A506,Кат!$A:$A,0))</f>
        <v>БРТ</v>
      </c>
    </row>
    <row r="507" spans="1:15" ht="45" x14ac:dyDescent="0.25">
      <c r="A507" s="120">
        <v>213315</v>
      </c>
      <c r="B507" s="120">
        <v>20530</v>
      </c>
      <c r="C507" s="121" t="s">
        <v>107</v>
      </c>
      <c r="D507" s="121" t="s">
        <v>2414</v>
      </c>
      <c r="E507" s="121" t="s">
        <v>2101</v>
      </c>
      <c r="F507" s="121"/>
      <c r="G507" s="121" t="s">
        <v>2</v>
      </c>
      <c r="H507" s="122">
        <v>50</v>
      </c>
      <c r="I507" s="122">
        <v>109</v>
      </c>
      <c r="J507" s="121"/>
      <c r="K507" s="121" t="s">
        <v>1</v>
      </c>
      <c r="L507" s="121"/>
      <c r="M507" s="121"/>
      <c r="N507" s="103" t="str">
        <f t="shared" si="7"/>
        <v>1</v>
      </c>
      <c r="O507" s="103" t="str">
        <f>INDEX(Кат!$I:$I,MATCH($A507,Кат!$A:$A,0))</f>
        <v>БРТ</v>
      </c>
    </row>
    <row r="508" spans="1:15" ht="60" x14ac:dyDescent="0.25">
      <c r="A508" s="120">
        <v>213335</v>
      </c>
      <c r="B508" s="120">
        <v>30556</v>
      </c>
      <c r="C508" s="121" t="s">
        <v>648</v>
      </c>
      <c r="D508" s="121" t="s">
        <v>2414</v>
      </c>
      <c r="E508" s="121" t="s">
        <v>2132</v>
      </c>
      <c r="F508" s="121"/>
      <c r="G508" s="121" t="s">
        <v>2</v>
      </c>
      <c r="H508" s="122">
        <v>145</v>
      </c>
      <c r="I508" s="122">
        <v>249</v>
      </c>
      <c r="J508" s="121"/>
      <c r="K508" s="121" t="s">
        <v>1</v>
      </c>
      <c r="L508" s="121"/>
      <c r="M508" s="121"/>
      <c r="N508" s="103" t="str">
        <f t="shared" si="7"/>
        <v>1</v>
      </c>
      <c r="O508" s="103" t="str">
        <f>INDEX(Кат!$I:$I,MATCH($A508,Кат!$A:$A,0))</f>
        <v>БРТ</v>
      </c>
    </row>
    <row r="509" spans="1:15" ht="60" x14ac:dyDescent="0.25">
      <c r="A509" s="120">
        <v>213336</v>
      </c>
      <c r="B509" s="120">
        <v>30557</v>
      </c>
      <c r="C509" s="121" t="s">
        <v>649</v>
      </c>
      <c r="D509" s="121" t="s">
        <v>2414</v>
      </c>
      <c r="E509" s="121" t="s">
        <v>2133</v>
      </c>
      <c r="F509" s="121"/>
      <c r="G509" s="121" t="s">
        <v>2</v>
      </c>
      <c r="H509" s="122">
        <v>145</v>
      </c>
      <c r="I509" s="122">
        <v>249</v>
      </c>
      <c r="J509" s="121"/>
      <c r="K509" s="121" t="s">
        <v>1</v>
      </c>
      <c r="L509" s="121"/>
      <c r="M509" s="121"/>
      <c r="N509" s="103" t="str">
        <f t="shared" si="7"/>
        <v>1</v>
      </c>
      <c r="O509" s="103" t="str">
        <f>INDEX(Кат!$I:$I,MATCH($A509,Кат!$A:$A,0))</f>
        <v>БРТ</v>
      </c>
    </row>
    <row r="510" spans="1:15" ht="60" x14ac:dyDescent="0.25">
      <c r="A510" s="120">
        <v>213345</v>
      </c>
      <c r="B510" s="120">
        <v>30839</v>
      </c>
      <c r="C510" s="121" t="s">
        <v>1491</v>
      </c>
      <c r="D510" s="121" t="s">
        <v>2414</v>
      </c>
      <c r="E510" s="121" t="s">
        <v>1490</v>
      </c>
      <c r="F510" s="121" t="s">
        <v>1490</v>
      </c>
      <c r="G510" s="121" t="s">
        <v>2</v>
      </c>
      <c r="H510" s="122">
        <v>145</v>
      </c>
      <c r="I510" s="122">
        <v>249</v>
      </c>
      <c r="J510" s="121"/>
      <c r="K510" s="121" t="s">
        <v>1</v>
      </c>
      <c r="L510" s="121"/>
      <c r="M510" s="121"/>
      <c r="N510" s="103" t="str">
        <f t="shared" si="7"/>
        <v>1</v>
      </c>
      <c r="O510" s="103" t="str">
        <f>INDEX(Кат!$I:$I,MATCH($A510,Кат!$A:$A,0))</f>
        <v>БРТ</v>
      </c>
    </row>
    <row r="511" spans="1:15" ht="45" x14ac:dyDescent="0.25">
      <c r="A511" s="120">
        <v>213353</v>
      </c>
      <c r="B511" s="120">
        <v>20524</v>
      </c>
      <c r="C511" s="121" t="s">
        <v>104</v>
      </c>
      <c r="D511" s="121" t="s">
        <v>2414</v>
      </c>
      <c r="E511" s="121" t="s">
        <v>2097</v>
      </c>
      <c r="F511" s="121"/>
      <c r="G511" s="121" t="s">
        <v>2</v>
      </c>
      <c r="H511" s="122">
        <v>273</v>
      </c>
      <c r="I511" s="122">
        <v>469</v>
      </c>
      <c r="J511" s="121"/>
      <c r="K511" s="121" t="s">
        <v>1</v>
      </c>
      <c r="L511" s="121"/>
      <c r="M511" s="121"/>
      <c r="N511" s="103" t="str">
        <f t="shared" si="7"/>
        <v>1</v>
      </c>
      <c r="O511" s="103" t="str">
        <f>INDEX(Кат!$I:$I,MATCH($A511,Кат!$A:$A,0))</f>
        <v>БРТ</v>
      </c>
    </row>
    <row r="512" spans="1:15" ht="45" x14ac:dyDescent="0.25">
      <c r="A512" s="120">
        <v>213354</v>
      </c>
      <c r="B512" s="120">
        <v>20525</v>
      </c>
      <c r="C512" s="121" t="s">
        <v>104</v>
      </c>
      <c r="D512" s="121" t="s">
        <v>2414</v>
      </c>
      <c r="E512" s="121" t="s">
        <v>2098</v>
      </c>
      <c r="F512" s="121"/>
      <c r="G512" s="121" t="s">
        <v>2</v>
      </c>
      <c r="H512" s="122">
        <v>273</v>
      </c>
      <c r="I512" s="122">
        <v>469</v>
      </c>
      <c r="J512" s="121"/>
      <c r="K512" s="121" t="s">
        <v>1</v>
      </c>
      <c r="L512" s="121"/>
      <c r="M512" s="121"/>
      <c r="N512" s="103" t="str">
        <f t="shared" si="7"/>
        <v>1</v>
      </c>
      <c r="O512" s="103" t="str">
        <f>INDEX(Кат!$I:$I,MATCH($A512,Кат!$A:$A,0))</f>
        <v>БРТ</v>
      </c>
    </row>
    <row r="513" spans="1:15" ht="45" x14ac:dyDescent="0.25">
      <c r="A513" s="120">
        <v>213358</v>
      </c>
      <c r="B513" s="120">
        <v>20523</v>
      </c>
      <c r="C513" s="121" t="s">
        <v>86</v>
      </c>
      <c r="D513" s="121" t="s">
        <v>2414</v>
      </c>
      <c r="E513" s="121" t="s">
        <v>2096</v>
      </c>
      <c r="F513" s="121"/>
      <c r="G513" s="121" t="s">
        <v>2</v>
      </c>
      <c r="H513" s="122">
        <v>153</v>
      </c>
      <c r="I513" s="122">
        <v>269</v>
      </c>
      <c r="J513" s="121"/>
      <c r="K513" s="121" t="s">
        <v>1</v>
      </c>
      <c r="L513" s="121"/>
      <c r="M513" s="121"/>
      <c r="N513" s="103" t="str">
        <f t="shared" si="7"/>
        <v>1</v>
      </c>
      <c r="O513" s="103" t="str">
        <f>INDEX(Кат!$I:$I,MATCH($A513,Кат!$A:$A,0))</f>
        <v>БРТ</v>
      </c>
    </row>
    <row r="514" spans="1:15" ht="45" x14ac:dyDescent="0.25">
      <c r="A514" s="120">
        <v>213359</v>
      </c>
      <c r="B514" s="120">
        <v>20522</v>
      </c>
      <c r="C514" s="121" t="s">
        <v>103</v>
      </c>
      <c r="D514" s="121" t="s">
        <v>2414</v>
      </c>
      <c r="E514" s="121" t="s">
        <v>2095</v>
      </c>
      <c r="F514" s="121"/>
      <c r="G514" s="121" t="s">
        <v>2</v>
      </c>
      <c r="H514" s="122">
        <v>153</v>
      </c>
      <c r="I514" s="122">
        <v>269</v>
      </c>
      <c r="J514" s="121"/>
      <c r="K514" s="121" t="s">
        <v>1</v>
      </c>
      <c r="L514" s="121"/>
      <c r="M514" s="121"/>
      <c r="N514" s="103" t="str">
        <f t="shared" si="7"/>
        <v>1</v>
      </c>
      <c r="O514" s="103" t="str">
        <f>INDEX(Кат!$I:$I,MATCH($A514,Кат!$A:$A,0))</f>
        <v>БРТ</v>
      </c>
    </row>
    <row r="515" spans="1:15" ht="60" x14ac:dyDescent="0.25">
      <c r="A515" s="120">
        <v>213366</v>
      </c>
      <c r="B515" s="120">
        <v>20529</v>
      </c>
      <c r="C515" s="121" t="s">
        <v>88</v>
      </c>
      <c r="D515" s="121" t="s">
        <v>2414</v>
      </c>
      <c r="E515" s="121" t="s">
        <v>2100</v>
      </c>
      <c r="F515" s="121"/>
      <c r="G515" s="121" t="s">
        <v>2</v>
      </c>
      <c r="H515" s="122">
        <v>32</v>
      </c>
      <c r="I515" s="122">
        <v>129</v>
      </c>
      <c r="J515" s="121" t="s">
        <v>2344</v>
      </c>
      <c r="K515" s="121" t="s">
        <v>1</v>
      </c>
      <c r="L515" s="121"/>
      <c r="M515" s="121"/>
      <c r="N515" s="103" t="str">
        <f t="shared" ref="N515:N578" si="8">_xlfn.CONCAT(K515,IF(L515&lt;&gt;"",_xlfn.CONCAT("ск",L515),""))</f>
        <v>1</v>
      </c>
      <c r="O515" s="103" t="str">
        <f>INDEX(Кат!$I:$I,MATCH($A515,Кат!$A:$A,0))</f>
        <v>БРТ</v>
      </c>
    </row>
    <row r="516" spans="1:15" ht="45" x14ac:dyDescent="0.25">
      <c r="A516" s="120">
        <v>213367</v>
      </c>
      <c r="B516" s="120">
        <v>20527</v>
      </c>
      <c r="C516" s="121" t="s">
        <v>87</v>
      </c>
      <c r="D516" s="121" t="s">
        <v>2414</v>
      </c>
      <c r="E516" s="121" t="s">
        <v>2099</v>
      </c>
      <c r="F516" s="121"/>
      <c r="G516" s="121" t="s">
        <v>2</v>
      </c>
      <c r="H516" s="122">
        <v>32</v>
      </c>
      <c r="I516" s="122">
        <v>129</v>
      </c>
      <c r="J516" s="121" t="s">
        <v>2344</v>
      </c>
      <c r="K516" s="121" t="s">
        <v>1</v>
      </c>
      <c r="L516" s="121"/>
      <c r="M516" s="121"/>
      <c r="N516" s="103" t="str">
        <f t="shared" si="8"/>
        <v>1</v>
      </c>
      <c r="O516" s="103" t="str">
        <f>INDEX(Кат!$I:$I,MATCH($A516,Кат!$A:$A,0))</f>
        <v>БРТ</v>
      </c>
    </row>
    <row r="517" spans="1:15" ht="45" x14ac:dyDescent="0.25">
      <c r="A517" s="120">
        <v>213373</v>
      </c>
      <c r="B517" s="120">
        <v>36965</v>
      </c>
      <c r="C517" s="121" t="s">
        <v>1721</v>
      </c>
      <c r="D517" s="121" t="s">
        <v>2414</v>
      </c>
      <c r="E517" s="121" t="s">
        <v>337</v>
      </c>
      <c r="F517" s="121" t="s">
        <v>337</v>
      </c>
      <c r="G517" s="121" t="s">
        <v>2</v>
      </c>
      <c r="H517" s="122">
        <v>50</v>
      </c>
      <c r="I517" s="122">
        <v>129</v>
      </c>
      <c r="J517" s="121" t="s">
        <v>2345</v>
      </c>
      <c r="K517" s="121" t="s">
        <v>1</v>
      </c>
      <c r="L517" s="121"/>
      <c r="M517" s="121"/>
      <c r="N517" s="103" t="str">
        <f t="shared" si="8"/>
        <v>1</v>
      </c>
      <c r="O517" s="103" t="str">
        <f>INDEX(Кат!$I:$I,MATCH($A517,Кат!$A:$A,0))</f>
        <v>БРТ</v>
      </c>
    </row>
    <row r="518" spans="1:15" ht="75" x14ac:dyDescent="0.25">
      <c r="A518" s="120">
        <v>213386</v>
      </c>
      <c r="B518" s="120">
        <v>32475</v>
      </c>
      <c r="C518" s="121" t="s">
        <v>1489</v>
      </c>
      <c r="D518" s="121" t="s">
        <v>2414</v>
      </c>
      <c r="E518" s="121" t="s">
        <v>1488</v>
      </c>
      <c r="F518" s="121" t="s">
        <v>1488</v>
      </c>
      <c r="G518" s="121" t="s">
        <v>2</v>
      </c>
      <c r="H518" s="122">
        <v>73</v>
      </c>
      <c r="I518" s="122">
        <v>159</v>
      </c>
      <c r="J518" s="121"/>
      <c r="K518" s="121" t="s">
        <v>1</v>
      </c>
      <c r="L518" s="121"/>
      <c r="M518" s="121"/>
      <c r="N518" s="103" t="str">
        <f t="shared" si="8"/>
        <v>1</v>
      </c>
      <c r="O518" s="103" t="str">
        <f>INDEX(Кат!$I:$I,MATCH($A518,Кат!$A:$A,0))</f>
        <v>БРТ</v>
      </c>
    </row>
    <row r="519" spans="1:15" ht="45" x14ac:dyDescent="0.25">
      <c r="A519" s="120">
        <v>213387</v>
      </c>
      <c r="B519" s="120">
        <v>32889</v>
      </c>
      <c r="C519" s="121" t="s">
        <v>1487</v>
      </c>
      <c r="D519" s="121" t="s">
        <v>2414</v>
      </c>
      <c r="E519" s="121" t="s">
        <v>1486</v>
      </c>
      <c r="F519" s="121" t="s">
        <v>1486</v>
      </c>
      <c r="G519" s="121" t="s">
        <v>2</v>
      </c>
      <c r="H519" s="122">
        <v>35</v>
      </c>
      <c r="I519" s="122">
        <v>129</v>
      </c>
      <c r="J519" s="121" t="s">
        <v>2586</v>
      </c>
      <c r="K519" s="121" t="s">
        <v>1</v>
      </c>
      <c r="L519" s="121"/>
      <c r="M519" s="121"/>
      <c r="N519" s="103" t="str">
        <f t="shared" si="8"/>
        <v>1</v>
      </c>
      <c r="O519" s="103" t="str">
        <f>INDEX(Кат!$I:$I,MATCH($A519,Кат!$A:$A,0))</f>
        <v>БРТ</v>
      </c>
    </row>
    <row r="520" spans="1:15" ht="75" x14ac:dyDescent="0.25">
      <c r="A520" s="120">
        <v>213388</v>
      </c>
      <c r="B520" s="120">
        <v>32322</v>
      </c>
      <c r="C520" s="121" t="s">
        <v>1485</v>
      </c>
      <c r="D520" s="121" t="s">
        <v>2414</v>
      </c>
      <c r="E520" s="121" t="s">
        <v>1484</v>
      </c>
      <c r="F520" s="121" t="s">
        <v>1484</v>
      </c>
      <c r="G520" s="121" t="s">
        <v>2</v>
      </c>
      <c r="H520" s="122">
        <v>73</v>
      </c>
      <c r="I520" s="122">
        <v>159</v>
      </c>
      <c r="J520" s="121"/>
      <c r="K520" s="121" t="s">
        <v>1</v>
      </c>
      <c r="L520" s="121"/>
      <c r="M520" s="121"/>
      <c r="N520" s="103" t="str">
        <f t="shared" si="8"/>
        <v>1</v>
      </c>
      <c r="O520" s="103" t="str">
        <f>INDEX(Кат!$I:$I,MATCH($A520,Кат!$A:$A,0))</f>
        <v>БРТ</v>
      </c>
    </row>
    <row r="521" spans="1:15" ht="45" x14ac:dyDescent="0.25">
      <c r="A521" s="120">
        <v>213389</v>
      </c>
      <c r="B521" s="120">
        <v>32890</v>
      </c>
      <c r="C521" s="121" t="s">
        <v>1483</v>
      </c>
      <c r="D521" s="121" t="s">
        <v>2414</v>
      </c>
      <c r="E521" s="121" t="s">
        <v>1482</v>
      </c>
      <c r="F521" s="121" t="s">
        <v>1482</v>
      </c>
      <c r="G521" s="121" t="s">
        <v>2</v>
      </c>
      <c r="H521" s="122">
        <v>35</v>
      </c>
      <c r="I521" s="122">
        <v>129</v>
      </c>
      <c r="J521" s="121" t="s">
        <v>2585</v>
      </c>
      <c r="K521" s="121" t="s">
        <v>1</v>
      </c>
      <c r="L521" s="121"/>
      <c r="M521" s="121"/>
      <c r="N521" s="103" t="str">
        <f t="shared" si="8"/>
        <v>1</v>
      </c>
      <c r="O521" s="103" t="str">
        <f>INDEX(Кат!$I:$I,MATCH($A521,Кат!$A:$A,0))</f>
        <v>БРТ</v>
      </c>
    </row>
    <row r="522" spans="1:15" ht="60" x14ac:dyDescent="0.25">
      <c r="A522" s="120">
        <v>213400</v>
      </c>
      <c r="B522" s="120">
        <v>52690</v>
      </c>
      <c r="C522" s="121" t="s">
        <v>2186</v>
      </c>
      <c r="D522" s="121" t="s">
        <v>2414</v>
      </c>
      <c r="E522" s="121" t="s">
        <v>2187</v>
      </c>
      <c r="F522" s="121" t="s">
        <v>2187</v>
      </c>
      <c r="G522" s="121" t="s">
        <v>2</v>
      </c>
      <c r="H522" s="122">
        <v>145</v>
      </c>
      <c r="I522" s="122">
        <v>309</v>
      </c>
      <c r="J522" s="121" t="s">
        <v>2380</v>
      </c>
      <c r="K522" s="121" t="s">
        <v>1</v>
      </c>
      <c r="L522" s="121"/>
      <c r="M522" s="121"/>
      <c r="N522" s="103" t="str">
        <f t="shared" si="8"/>
        <v>1</v>
      </c>
      <c r="O522" s="103" t="str">
        <f>INDEX(Кат!$I:$I,MATCH($A522,Кат!$A:$A,0))</f>
        <v>БРТ</v>
      </c>
    </row>
    <row r="523" spans="1:15" ht="30" x14ac:dyDescent="0.25">
      <c r="A523" s="120">
        <v>213437</v>
      </c>
      <c r="B523" s="120">
        <v>19624</v>
      </c>
      <c r="C523" s="121" t="s">
        <v>2716</v>
      </c>
      <c r="D523" s="121" t="s">
        <v>2414</v>
      </c>
      <c r="E523" s="121" t="s">
        <v>2461</v>
      </c>
      <c r="F523" s="121"/>
      <c r="G523" s="121" t="s">
        <v>2</v>
      </c>
      <c r="H523" s="122">
        <v>167</v>
      </c>
      <c r="I523" s="122">
        <v>289</v>
      </c>
      <c r="J523" s="121"/>
      <c r="K523" s="121" t="s">
        <v>1</v>
      </c>
      <c r="L523" s="121"/>
      <c r="M523" s="121"/>
      <c r="N523" s="103" t="str">
        <f t="shared" si="8"/>
        <v>1</v>
      </c>
      <c r="O523" s="103" t="str">
        <f>INDEX(Кат!$I:$I,MATCH($A523,Кат!$A:$A,0))</f>
        <v>БРТ</v>
      </c>
    </row>
    <row r="524" spans="1:15" ht="45" x14ac:dyDescent="0.25">
      <c r="A524" s="120">
        <v>218422</v>
      </c>
      <c r="B524" s="120">
        <v>75227</v>
      </c>
      <c r="C524" s="121" t="s">
        <v>2190</v>
      </c>
      <c r="D524" s="121" t="s">
        <v>2414</v>
      </c>
      <c r="E524" s="121" t="s">
        <v>2191</v>
      </c>
      <c r="F524" s="121"/>
      <c r="G524" s="121" t="s">
        <v>2</v>
      </c>
      <c r="H524" s="122">
        <v>297</v>
      </c>
      <c r="I524" s="122">
        <v>619</v>
      </c>
      <c r="J524" s="121" t="s">
        <v>2525</v>
      </c>
      <c r="K524" s="121" t="s">
        <v>1</v>
      </c>
      <c r="L524" s="121"/>
      <c r="M524" s="121"/>
      <c r="N524" s="103" t="str">
        <f t="shared" si="8"/>
        <v>1</v>
      </c>
      <c r="O524" s="103" t="str">
        <f>INDEX(Кат!$I:$I,MATCH($A524,Кат!$A:$A,0))</f>
        <v>БРТ</v>
      </c>
    </row>
    <row r="525" spans="1:15" ht="45" x14ac:dyDescent="0.25">
      <c r="A525" s="120">
        <v>218423</v>
      </c>
      <c r="B525" s="120">
        <v>36975</v>
      </c>
      <c r="C525" s="121" t="s">
        <v>1725</v>
      </c>
      <c r="D525" s="121" t="s">
        <v>2414</v>
      </c>
      <c r="E525" s="121" t="s">
        <v>1421</v>
      </c>
      <c r="F525" s="121" t="s">
        <v>1421</v>
      </c>
      <c r="G525" s="121" t="s">
        <v>2</v>
      </c>
      <c r="H525" s="122">
        <v>297</v>
      </c>
      <c r="I525" s="122">
        <v>619</v>
      </c>
      <c r="J525" s="121" t="s">
        <v>2525</v>
      </c>
      <c r="K525" s="121" t="s">
        <v>1</v>
      </c>
      <c r="L525" s="121"/>
      <c r="M525" s="121"/>
      <c r="N525" s="103" t="str">
        <f t="shared" si="8"/>
        <v>1</v>
      </c>
      <c r="O525" s="103" t="str">
        <f>INDEX(Кат!$I:$I,MATCH($A525,Кат!$A:$A,0))</f>
        <v>БРТ</v>
      </c>
    </row>
    <row r="526" spans="1:15" ht="45" x14ac:dyDescent="0.25">
      <c r="A526" s="120">
        <v>218424</v>
      </c>
      <c r="B526" s="120">
        <v>36953</v>
      </c>
      <c r="C526" s="121" t="s">
        <v>1717</v>
      </c>
      <c r="D526" s="121" t="s">
        <v>2414</v>
      </c>
      <c r="E526" s="121" t="s">
        <v>1406</v>
      </c>
      <c r="F526" s="121" t="s">
        <v>1406</v>
      </c>
      <c r="G526" s="121" t="s">
        <v>2</v>
      </c>
      <c r="H526" s="122">
        <v>264</v>
      </c>
      <c r="I526" s="122">
        <v>619</v>
      </c>
      <c r="J526" s="121" t="s">
        <v>2525</v>
      </c>
      <c r="K526" s="121" t="s">
        <v>1</v>
      </c>
      <c r="L526" s="121"/>
      <c r="M526" s="121"/>
      <c r="N526" s="103" t="str">
        <f t="shared" si="8"/>
        <v>1</v>
      </c>
      <c r="O526" s="103" t="str">
        <f>INDEX(Кат!$I:$I,MATCH($A526,Кат!$A:$A,0))</f>
        <v>БРТ</v>
      </c>
    </row>
    <row r="527" spans="1:15" ht="45" x14ac:dyDescent="0.25">
      <c r="A527" s="120">
        <v>219975</v>
      </c>
      <c r="B527" s="120">
        <v>20237</v>
      </c>
      <c r="C527" s="121" t="s">
        <v>205</v>
      </c>
      <c r="D527" s="121" t="s">
        <v>2414</v>
      </c>
      <c r="E527" s="121" t="s">
        <v>1949</v>
      </c>
      <c r="F527" s="121"/>
      <c r="G527" s="121" t="s">
        <v>2</v>
      </c>
      <c r="H527" s="122">
        <v>135</v>
      </c>
      <c r="I527" s="122">
        <v>199</v>
      </c>
      <c r="J527" s="121" t="s">
        <v>2338</v>
      </c>
      <c r="K527" s="121" t="s">
        <v>1</v>
      </c>
      <c r="L527" s="121"/>
      <c r="M527" s="121"/>
      <c r="N527" s="103" t="str">
        <f t="shared" si="8"/>
        <v>1</v>
      </c>
      <c r="O527" s="103" t="str">
        <f>INDEX(Кат!$I:$I,MATCH($A527,Кат!$A:$A,0))</f>
        <v>БРТ</v>
      </c>
    </row>
    <row r="528" spans="1:15" ht="60" x14ac:dyDescent="0.25">
      <c r="A528" s="120">
        <v>223153</v>
      </c>
      <c r="B528" s="120">
        <v>6466</v>
      </c>
      <c r="C528" s="121" t="s">
        <v>2885</v>
      </c>
      <c r="D528" s="121" t="s">
        <v>2414</v>
      </c>
      <c r="E528" s="121" t="s">
        <v>1858</v>
      </c>
      <c r="F528" s="121"/>
      <c r="G528" s="121" t="s">
        <v>2</v>
      </c>
      <c r="H528" s="122">
        <v>2800</v>
      </c>
      <c r="I528" s="122">
        <v>3690</v>
      </c>
      <c r="J528" s="121" t="s">
        <v>2303</v>
      </c>
      <c r="K528" s="121" t="s">
        <v>1</v>
      </c>
      <c r="L528" s="121" t="s">
        <v>1824</v>
      </c>
      <c r="M528" s="121"/>
      <c r="N528" s="103" t="str">
        <f t="shared" si="8"/>
        <v>1ск6</v>
      </c>
      <c r="O528" s="103" t="str">
        <f>INDEX(Кат!$I:$I,MATCH($A528,Кат!$A:$A,0))</f>
        <v>БРТ</v>
      </c>
    </row>
    <row r="529" spans="1:15" ht="45" x14ac:dyDescent="0.25">
      <c r="A529" s="120">
        <v>223210</v>
      </c>
      <c r="B529" s="120">
        <v>35305</v>
      </c>
      <c r="C529" s="121" t="s">
        <v>2462</v>
      </c>
      <c r="D529" s="121" t="s">
        <v>2414</v>
      </c>
      <c r="E529" s="121" t="s">
        <v>2463</v>
      </c>
      <c r="F529" s="121" t="s">
        <v>2463</v>
      </c>
      <c r="G529" s="121" t="s">
        <v>2</v>
      </c>
      <c r="H529" s="122">
        <v>1530</v>
      </c>
      <c r="I529" s="122">
        <v>1990</v>
      </c>
      <c r="J529" s="121" t="s">
        <v>2312</v>
      </c>
      <c r="K529" s="121" t="s">
        <v>1</v>
      </c>
      <c r="L529" s="121"/>
      <c r="M529" s="121"/>
      <c r="N529" s="103" t="str">
        <f t="shared" si="8"/>
        <v>1</v>
      </c>
      <c r="O529" s="103" t="str">
        <f>INDEX(Кат!$I:$I,MATCH($A529,Кат!$A:$A,0))</f>
        <v>БРТ</v>
      </c>
    </row>
    <row r="530" spans="1:15" ht="45" x14ac:dyDescent="0.25">
      <c r="A530" s="120">
        <v>223211</v>
      </c>
      <c r="B530" s="120">
        <v>35307</v>
      </c>
      <c r="C530" s="121" t="s">
        <v>2464</v>
      </c>
      <c r="D530" s="121" t="s">
        <v>2414</v>
      </c>
      <c r="E530" s="121" t="s">
        <v>2465</v>
      </c>
      <c r="F530" s="121" t="s">
        <v>2465</v>
      </c>
      <c r="G530" s="121" t="s">
        <v>2</v>
      </c>
      <c r="H530" s="122">
        <v>1458</v>
      </c>
      <c r="I530" s="122">
        <v>1890</v>
      </c>
      <c r="J530" s="121" t="s">
        <v>2312</v>
      </c>
      <c r="K530" s="121" t="s">
        <v>1</v>
      </c>
      <c r="L530" s="121"/>
      <c r="M530" s="121"/>
      <c r="N530" s="103" t="str">
        <f t="shared" si="8"/>
        <v>1</v>
      </c>
      <c r="O530" s="103" t="str">
        <f>INDEX(Кат!$I:$I,MATCH($A530,Кат!$A:$A,0))</f>
        <v>БРТ</v>
      </c>
    </row>
    <row r="531" spans="1:15" ht="30" x14ac:dyDescent="0.25">
      <c r="A531" s="120">
        <v>223147</v>
      </c>
      <c r="B531" s="120">
        <v>26557</v>
      </c>
      <c r="C531" s="121" t="s">
        <v>2119</v>
      </c>
      <c r="D531" s="121" t="s">
        <v>2414</v>
      </c>
      <c r="E531" s="121" t="s">
        <v>2120</v>
      </c>
      <c r="F531" s="121"/>
      <c r="G531" s="121" t="s">
        <v>2</v>
      </c>
      <c r="H531" s="122">
        <v>950</v>
      </c>
      <c r="I531" s="122">
        <v>1390</v>
      </c>
      <c r="J531" s="121"/>
      <c r="K531" s="121" t="s">
        <v>1</v>
      </c>
      <c r="L531" s="121" t="s">
        <v>1824</v>
      </c>
      <c r="M531" s="121"/>
      <c r="N531" s="103" t="str">
        <f t="shared" si="8"/>
        <v>1ск6</v>
      </c>
      <c r="O531" s="103" t="str">
        <f>INDEX(Кат!$I:$I,MATCH($A531,Кат!$A:$A,0))</f>
        <v>БРТ</v>
      </c>
    </row>
    <row r="532" spans="1:15" ht="30" x14ac:dyDescent="0.25">
      <c r="A532" s="120">
        <v>223149</v>
      </c>
      <c r="B532" s="120">
        <v>26558</v>
      </c>
      <c r="C532" s="121" t="s">
        <v>2121</v>
      </c>
      <c r="D532" s="121" t="s">
        <v>2414</v>
      </c>
      <c r="E532" s="121" t="s">
        <v>2122</v>
      </c>
      <c r="F532" s="121"/>
      <c r="G532" s="121" t="s">
        <v>2</v>
      </c>
      <c r="H532" s="122">
        <v>950</v>
      </c>
      <c r="I532" s="122">
        <v>1390</v>
      </c>
      <c r="J532" s="121"/>
      <c r="K532" s="121" t="s">
        <v>1</v>
      </c>
      <c r="L532" s="121"/>
      <c r="M532" s="121"/>
      <c r="N532" s="103" t="str">
        <f t="shared" si="8"/>
        <v>1</v>
      </c>
      <c r="O532" s="103" t="str">
        <f>INDEX(Кат!$I:$I,MATCH($A532,Кат!$A:$A,0))</f>
        <v>БРТ</v>
      </c>
    </row>
    <row r="533" spans="1:15" ht="30" x14ac:dyDescent="0.25">
      <c r="A533" s="120">
        <v>223151</v>
      </c>
      <c r="B533" s="120">
        <v>5582</v>
      </c>
      <c r="C533" s="121" t="s">
        <v>1834</v>
      </c>
      <c r="D533" s="121" t="s">
        <v>2414</v>
      </c>
      <c r="E533" s="121"/>
      <c r="F533" s="121"/>
      <c r="G533" s="121" t="s">
        <v>2</v>
      </c>
      <c r="H533" s="122">
        <v>521</v>
      </c>
      <c r="I533" s="122">
        <v>929</v>
      </c>
      <c r="J533" s="121" t="s">
        <v>2316</v>
      </c>
      <c r="K533" s="121" t="s">
        <v>1</v>
      </c>
      <c r="L533" s="121"/>
      <c r="M533" s="121"/>
      <c r="N533" s="103" t="str">
        <f t="shared" si="8"/>
        <v>1</v>
      </c>
      <c r="O533" s="103" t="str">
        <f>INDEX(Кат!$I:$I,MATCH($A533,Кат!$A:$A,0))</f>
        <v>БРТ</v>
      </c>
    </row>
    <row r="534" spans="1:15" ht="45" x14ac:dyDescent="0.25">
      <c r="A534" s="120">
        <v>223152</v>
      </c>
      <c r="B534" s="120">
        <v>5583</v>
      </c>
      <c r="C534" s="121" t="s">
        <v>1835</v>
      </c>
      <c r="D534" s="121" t="s">
        <v>2414</v>
      </c>
      <c r="E534" s="121"/>
      <c r="F534" s="121"/>
      <c r="G534" s="121" t="s">
        <v>2</v>
      </c>
      <c r="H534" s="122">
        <v>721</v>
      </c>
      <c r="I534" s="122">
        <v>989</v>
      </c>
      <c r="J534" s="121" t="s">
        <v>2273</v>
      </c>
      <c r="K534" s="121" t="s">
        <v>1</v>
      </c>
      <c r="L534" s="121"/>
      <c r="M534" s="121"/>
      <c r="N534" s="103" t="str">
        <f t="shared" si="8"/>
        <v>1</v>
      </c>
      <c r="O534" s="103" t="str">
        <f>INDEX(Кат!$I:$I,MATCH($A534,Кат!$A:$A,0))</f>
        <v>БРТ</v>
      </c>
    </row>
    <row r="535" spans="1:15" ht="45" x14ac:dyDescent="0.25">
      <c r="A535" s="120">
        <v>223154</v>
      </c>
      <c r="B535" s="120">
        <v>38370</v>
      </c>
      <c r="C535" s="121" t="s">
        <v>2161</v>
      </c>
      <c r="D535" s="121" t="s">
        <v>2414</v>
      </c>
      <c r="E535" s="121"/>
      <c r="F535" s="121"/>
      <c r="G535" s="121" t="s">
        <v>2</v>
      </c>
      <c r="H535" s="122">
        <v>1835</v>
      </c>
      <c r="I535" s="122">
        <v>2390</v>
      </c>
      <c r="J535" s="121" t="s">
        <v>2374</v>
      </c>
      <c r="K535" s="121" t="s">
        <v>1</v>
      </c>
      <c r="L535" s="121"/>
      <c r="M535" s="121"/>
      <c r="N535" s="103" t="str">
        <f t="shared" si="8"/>
        <v>1</v>
      </c>
      <c r="O535" s="103" t="str">
        <f>INDEX(Кат!$I:$I,MATCH($A535,Кат!$A:$A,0))</f>
        <v>БРТ</v>
      </c>
    </row>
    <row r="536" spans="1:15" ht="45" x14ac:dyDescent="0.25">
      <c r="A536" s="120">
        <v>223155</v>
      </c>
      <c r="B536" s="120">
        <v>33971</v>
      </c>
      <c r="C536" s="121" t="s">
        <v>2259</v>
      </c>
      <c r="D536" s="121" t="s">
        <v>2414</v>
      </c>
      <c r="E536" s="121"/>
      <c r="F536" s="121"/>
      <c r="G536" s="121" t="s">
        <v>2</v>
      </c>
      <c r="H536" s="122">
        <v>2340</v>
      </c>
      <c r="I536" s="122">
        <v>3090</v>
      </c>
      <c r="J536" s="121" t="s">
        <v>2304</v>
      </c>
      <c r="K536" s="121" t="s">
        <v>1</v>
      </c>
      <c r="L536" s="121"/>
      <c r="M536" s="121"/>
      <c r="N536" s="103" t="str">
        <f t="shared" si="8"/>
        <v>1</v>
      </c>
      <c r="O536" s="103" t="str">
        <f>INDEX(Кат!$I:$I,MATCH($A536,Кат!$A:$A,0))</f>
        <v>БРТ</v>
      </c>
    </row>
    <row r="537" spans="1:15" ht="45" x14ac:dyDescent="0.25">
      <c r="A537" s="120">
        <v>223156</v>
      </c>
      <c r="B537" s="120">
        <v>5965</v>
      </c>
      <c r="C537" s="121" t="s">
        <v>1842</v>
      </c>
      <c r="D537" s="121" t="s">
        <v>2414</v>
      </c>
      <c r="E537" s="121" t="s">
        <v>1843</v>
      </c>
      <c r="F537" s="121"/>
      <c r="G537" s="121" t="s">
        <v>2</v>
      </c>
      <c r="H537" s="122">
        <v>720</v>
      </c>
      <c r="I537" s="122">
        <v>1090</v>
      </c>
      <c r="J537" s="121" t="s">
        <v>2286</v>
      </c>
      <c r="K537" s="121" t="s">
        <v>1</v>
      </c>
      <c r="L537" s="121"/>
      <c r="M537" s="121"/>
      <c r="N537" s="103" t="str">
        <f t="shared" si="8"/>
        <v>1</v>
      </c>
      <c r="O537" s="103" t="str">
        <f>INDEX(Кат!$I:$I,MATCH($A537,Кат!$A:$A,0))</f>
        <v>БРТ*2</v>
      </c>
    </row>
    <row r="538" spans="1:15" ht="45" x14ac:dyDescent="0.25">
      <c r="A538" s="120">
        <v>223157</v>
      </c>
      <c r="B538" s="120">
        <v>5960</v>
      </c>
      <c r="C538" s="121" t="s">
        <v>1840</v>
      </c>
      <c r="D538" s="121" t="s">
        <v>2414</v>
      </c>
      <c r="E538" s="121" t="s">
        <v>1841</v>
      </c>
      <c r="F538" s="121"/>
      <c r="G538" s="121" t="s">
        <v>2</v>
      </c>
      <c r="H538" s="122">
        <v>720</v>
      </c>
      <c r="I538" s="122">
        <v>1090</v>
      </c>
      <c r="J538" s="121" t="s">
        <v>2286</v>
      </c>
      <c r="K538" s="121" t="s">
        <v>1</v>
      </c>
      <c r="L538" s="121"/>
      <c r="M538" s="121"/>
      <c r="N538" s="103" t="str">
        <f t="shared" si="8"/>
        <v>1</v>
      </c>
      <c r="O538" s="103" t="str">
        <f>INDEX(Кат!$I:$I,MATCH($A538,Кат!$A:$A,0))</f>
        <v>БРТ</v>
      </c>
    </row>
    <row r="539" spans="1:15" ht="45" x14ac:dyDescent="0.25">
      <c r="A539" s="120">
        <v>223148</v>
      </c>
      <c r="B539" s="120">
        <v>5502</v>
      </c>
      <c r="C539" s="121" t="s">
        <v>2717</v>
      </c>
      <c r="D539" s="121" t="s">
        <v>2414</v>
      </c>
      <c r="E539" s="121" t="s">
        <v>2718</v>
      </c>
      <c r="F539" s="121"/>
      <c r="G539" s="121" t="s">
        <v>2</v>
      </c>
      <c r="H539" s="122">
        <v>500</v>
      </c>
      <c r="I539" s="122">
        <v>1090</v>
      </c>
      <c r="J539" s="121" t="s">
        <v>2555</v>
      </c>
      <c r="K539" s="121" t="s">
        <v>2418</v>
      </c>
      <c r="L539" s="121"/>
      <c r="M539" s="121"/>
      <c r="N539" s="103" t="str">
        <f t="shared" si="8"/>
        <v>0</v>
      </c>
      <c r="O539" s="103" t="str">
        <f>INDEX(Кат!$I:$I,MATCH($A539,Кат!$A:$A,0))</f>
        <v>БРТ</v>
      </c>
    </row>
    <row r="540" spans="1:15" ht="45" x14ac:dyDescent="0.25">
      <c r="A540" s="120">
        <v>223161</v>
      </c>
      <c r="B540" s="120">
        <v>5962</v>
      </c>
      <c r="C540" s="121" t="s">
        <v>2719</v>
      </c>
      <c r="D540" s="121" t="s">
        <v>2414</v>
      </c>
      <c r="E540" s="121" t="s">
        <v>2720</v>
      </c>
      <c r="F540" s="121"/>
      <c r="G540" s="121" t="s">
        <v>2</v>
      </c>
      <c r="H540" s="122">
        <v>400</v>
      </c>
      <c r="I540" s="122">
        <v>929</v>
      </c>
      <c r="J540" s="121" t="s">
        <v>2542</v>
      </c>
      <c r="K540" s="121" t="s">
        <v>1</v>
      </c>
      <c r="L540" s="121"/>
      <c r="M540" s="121"/>
      <c r="N540" s="103" t="str">
        <f t="shared" si="8"/>
        <v>1</v>
      </c>
      <c r="O540" s="103" t="str">
        <f>INDEX(Кат!$I:$I,MATCH($A540,Кат!$A:$A,0))</f>
        <v>БРТ*2</v>
      </c>
    </row>
    <row r="541" spans="1:15" ht="45" x14ac:dyDescent="0.25">
      <c r="A541" s="120">
        <v>223159</v>
      </c>
      <c r="B541" s="120">
        <v>5963</v>
      </c>
      <c r="C541" s="121" t="s">
        <v>2721</v>
      </c>
      <c r="D541" s="121" t="s">
        <v>2414</v>
      </c>
      <c r="E541" s="121" t="s">
        <v>2722</v>
      </c>
      <c r="F541" s="121"/>
      <c r="G541" s="121" t="s">
        <v>2</v>
      </c>
      <c r="H541" s="122">
        <v>700</v>
      </c>
      <c r="I541" s="122">
        <v>979</v>
      </c>
      <c r="J541" s="121"/>
      <c r="K541" s="121" t="s">
        <v>1</v>
      </c>
      <c r="L541" s="121"/>
      <c r="M541" s="121"/>
      <c r="N541" s="103" t="str">
        <f t="shared" si="8"/>
        <v>1</v>
      </c>
      <c r="O541" s="103" t="str">
        <f>INDEX(Кат!$I:$I,MATCH($A541,Кат!$A:$A,0))</f>
        <v>БРТ</v>
      </c>
    </row>
    <row r="542" spans="1:15" ht="45" x14ac:dyDescent="0.25">
      <c r="A542" s="120">
        <v>223146</v>
      </c>
      <c r="B542" s="120">
        <v>5499</v>
      </c>
      <c r="C542" s="121" t="s">
        <v>2723</v>
      </c>
      <c r="D542" s="121" t="s">
        <v>2414</v>
      </c>
      <c r="E542" s="121" t="s">
        <v>2724</v>
      </c>
      <c r="F542" s="121"/>
      <c r="G542" s="121" t="s">
        <v>2</v>
      </c>
      <c r="H542" s="122">
        <v>675</v>
      </c>
      <c r="I542" s="122">
        <v>949</v>
      </c>
      <c r="J542" s="121"/>
      <c r="K542" s="121" t="s">
        <v>1</v>
      </c>
      <c r="L542" s="121"/>
      <c r="M542" s="121"/>
      <c r="N542" s="103" t="str">
        <f t="shared" si="8"/>
        <v>1</v>
      </c>
      <c r="O542" s="103" t="str">
        <f>INDEX(Кат!$I:$I,MATCH($A542,Кат!$A:$A,0))</f>
        <v>БРТ</v>
      </c>
    </row>
    <row r="543" spans="1:15" ht="45" x14ac:dyDescent="0.25">
      <c r="A543" s="120">
        <v>223158</v>
      </c>
      <c r="B543" s="120">
        <v>10065</v>
      </c>
      <c r="C543" s="121" t="s">
        <v>2725</v>
      </c>
      <c r="D543" s="121" t="s">
        <v>2414</v>
      </c>
      <c r="E543" s="121" t="s">
        <v>2726</v>
      </c>
      <c r="F543" s="121"/>
      <c r="G543" s="121" t="s">
        <v>2</v>
      </c>
      <c r="H543" s="122">
        <v>880</v>
      </c>
      <c r="I543" s="122">
        <v>1890</v>
      </c>
      <c r="J543" s="121" t="s">
        <v>2535</v>
      </c>
      <c r="K543" s="121" t="s">
        <v>1</v>
      </c>
      <c r="L543" s="121"/>
      <c r="M543" s="121"/>
      <c r="N543" s="103" t="str">
        <f t="shared" si="8"/>
        <v>1</v>
      </c>
      <c r="O543" s="103" t="str">
        <f>INDEX(Кат!$I:$I,MATCH($A543,Кат!$A:$A,0))</f>
        <v>БРТ</v>
      </c>
    </row>
    <row r="544" spans="1:15" ht="45" x14ac:dyDescent="0.25">
      <c r="A544" s="120">
        <v>204322</v>
      </c>
      <c r="B544" s="120">
        <v>35487</v>
      </c>
      <c r="C544" s="121" t="s">
        <v>2727</v>
      </c>
      <c r="D544" s="121" t="s">
        <v>2414</v>
      </c>
      <c r="E544" s="121" t="s">
        <v>2728</v>
      </c>
      <c r="F544" s="121" t="s">
        <v>1649</v>
      </c>
      <c r="G544" s="121" t="s">
        <v>2</v>
      </c>
      <c r="H544" s="122">
        <v>1327</v>
      </c>
      <c r="I544" s="122">
        <v>1990</v>
      </c>
      <c r="J544" s="121" t="s">
        <v>2530</v>
      </c>
      <c r="K544" s="121" t="s">
        <v>1</v>
      </c>
      <c r="L544" s="121"/>
      <c r="M544" s="121"/>
      <c r="N544" s="103" t="str">
        <f t="shared" si="8"/>
        <v>1</v>
      </c>
      <c r="O544" s="103" t="str">
        <f>INDEX(Кат!$I:$I,MATCH($A544,Кат!$A:$A,0))</f>
        <v>БРТ</v>
      </c>
    </row>
    <row r="545" spans="1:15" ht="45" x14ac:dyDescent="0.25">
      <c r="A545" s="120">
        <v>223160</v>
      </c>
      <c r="B545" s="120">
        <v>13963</v>
      </c>
      <c r="C545" s="121" t="s">
        <v>2729</v>
      </c>
      <c r="D545" s="121" t="s">
        <v>2414</v>
      </c>
      <c r="E545" s="121" t="s">
        <v>2730</v>
      </c>
      <c r="F545" s="121"/>
      <c r="G545" s="121" t="s">
        <v>2</v>
      </c>
      <c r="H545" s="122">
        <v>653</v>
      </c>
      <c r="I545" s="122">
        <v>989</v>
      </c>
      <c r="J545" s="121" t="s">
        <v>2510</v>
      </c>
      <c r="K545" s="121" t="s">
        <v>1</v>
      </c>
      <c r="L545" s="121"/>
      <c r="M545" s="121"/>
      <c r="N545" s="103" t="str">
        <f t="shared" si="8"/>
        <v>1</v>
      </c>
      <c r="O545" s="103" t="str">
        <f>INDEX(Кат!$I:$I,MATCH($A545,Кат!$A:$A,0))</f>
        <v>БРТ</v>
      </c>
    </row>
    <row r="546" spans="1:15" ht="45" x14ac:dyDescent="0.25">
      <c r="A546" s="120">
        <v>204414</v>
      </c>
      <c r="B546" s="120">
        <v>35486</v>
      </c>
      <c r="C546" s="121" t="s">
        <v>2731</v>
      </c>
      <c r="D546" s="121" t="s">
        <v>2414</v>
      </c>
      <c r="E546" s="121" t="s">
        <v>2732</v>
      </c>
      <c r="F546" s="121" t="s">
        <v>1648</v>
      </c>
      <c r="G546" s="121" t="s">
        <v>2</v>
      </c>
      <c r="H546" s="122">
        <v>1200</v>
      </c>
      <c r="I546" s="122">
        <v>1890</v>
      </c>
      <c r="J546" s="121" t="s">
        <v>2535</v>
      </c>
      <c r="K546" s="121" t="s">
        <v>1</v>
      </c>
      <c r="L546" s="121"/>
      <c r="M546" s="121"/>
      <c r="N546" s="103" t="str">
        <f t="shared" si="8"/>
        <v>1</v>
      </c>
      <c r="O546" s="103" t="str">
        <f>INDEX(Кат!$I:$I,MATCH($A546,Кат!$A:$A,0))</f>
        <v>БРТ</v>
      </c>
    </row>
    <row r="547" spans="1:15" ht="30" x14ac:dyDescent="0.25">
      <c r="A547" s="120">
        <v>223162</v>
      </c>
      <c r="B547" s="120">
        <v>5955</v>
      </c>
      <c r="C547" s="121" t="s">
        <v>2234</v>
      </c>
      <c r="D547" s="121" t="s">
        <v>2414</v>
      </c>
      <c r="E547" s="121"/>
      <c r="F547" s="121"/>
      <c r="G547" s="121" t="s">
        <v>2</v>
      </c>
      <c r="H547" s="122">
        <v>521</v>
      </c>
      <c r="I547" s="122">
        <v>929</v>
      </c>
      <c r="J547" s="121" t="s">
        <v>2316</v>
      </c>
      <c r="K547" s="121" t="s">
        <v>1</v>
      </c>
      <c r="L547" s="121"/>
      <c r="M547" s="121"/>
      <c r="N547" s="103" t="str">
        <f t="shared" si="8"/>
        <v>1</v>
      </c>
      <c r="O547" s="103" t="str">
        <f>INDEX(Кат!$I:$I,MATCH($A547,Кат!$A:$A,0))</f>
        <v>БРТ</v>
      </c>
    </row>
    <row r="548" spans="1:15" ht="45" x14ac:dyDescent="0.25">
      <c r="A548" s="120">
        <v>223163</v>
      </c>
      <c r="B548" s="120">
        <v>5953</v>
      </c>
      <c r="C548" s="121" t="s">
        <v>2233</v>
      </c>
      <c r="D548" s="121" t="s">
        <v>2414</v>
      </c>
      <c r="E548" s="121"/>
      <c r="F548" s="121"/>
      <c r="G548" s="121" t="s">
        <v>2</v>
      </c>
      <c r="H548" s="122">
        <v>721</v>
      </c>
      <c r="I548" s="122">
        <v>989</v>
      </c>
      <c r="J548" s="121" t="s">
        <v>2273</v>
      </c>
      <c r="K548" s="121" t="s">
        <v>1</v>
      </c>
      <c r="L548" s="121"/>
      <c r="M548" s="121"/>
      <c r="N548" s="103" t="str">
        <f t="shared" si="8"/>
        <v>1</v>
      </c>
      <c r="O548" s="103" t="str">
        <f>INDEX(Кат!$I:$I,MATCH($A548,Кат!$A:$A,0))</f>
        <v>БРТ</v>
      </c>
    </row>
    <row r="549" spans="1:15" ht="45" x14ac:dyDescent="0.25">
      <c r="A549" s="120">
        <v>223170</v>
      </c>
      <c r="B549" s="120">
        <v>12309</v>
      </c>
      <c r="C549" s="121" t="s">
        <v>1862</v>
      </c>
      <c r="D549" s="121" t="s">
        <v>2414</v>
      </c>
      <c r="E549" s="121"/>
      <c r="F549" s="121"/>
      <c r="G549" s="121" t="s">
        <v>2</v>
      </c>
      <c r="H549" s="122">
        <v>3450</v>
      </c>
      <c r="I549" s="122">
        <v>4790</v>
      </c>
      <c r="J549" s="121" t="s">
        <v>2301</v>
      </c>
      <c r="K549" s="121" t="s">
        <v>1</v>
      </c>
      <c r="L549" s="121"/>
      <c r="M549" s="121"/>
      <c r="N549" s="103" t="str">
        <f t="shared" si="8"/>
        <v>1</v>
      </c>
      <c r="O549" s="103" t="str">
        <f>INDEX(Кат!$I:$I,MATCH($A549,Кат!$A:$A,0))</f>
        <v>БРТ</v>
      </c>
    </row>
    <row r="550" spans="1:15" ht="45" x14ac:dyDescent="0.25">
      <c r="A550" s="120">
        <v>223171</v>
      </c>
      <c r="B550" s="120">
        <v>12306</v>
      </c>
      <c r="C550" s="121" t="s">
        <v>1861</v>
      </c>
      <c r="D550" s="121" t="s">
        <v>2414</v>
      </c>
      <c r="E550" s="121"/>
      <c r="F550" s="121"/>
      <c r="G550" s="121" t="s">
        <v>2</v>
      </c>
      <c r="H550" s="122">
        <v>3337</v>
      </c>
      <c r="I550" s="122">
        <v>4990</v>
      </c>
      <c r="J550" s="121" t="s">
        <v>2271</v>
      </c>
      <c r="K550" s="121" t="s">
        <v>1</v>
      </c>
      <c r="L550" s="121"/>
      <c r="M550" s="121"/>
      <c r="N550" s="103" t="str">
        <f t="shared" si="8"/>
        <v>1</v>
      </c>
      <c r="O550" s="103" t="str">
        <f>INDEX(Кат!$I:$I,MATCH($A550,Кат!$A:$A,0))</f>
        <v>БРТ</v>
      </c>
    </row>
    <row r="551" spans="1:15" ht="45" x14ac:dyDescent="0.25">
      <c r="A551" s="120">
        <v>223172</v>
      </c>
      <c r="B551" s="120">
        <v>22609</v>
      </c>
      <c r="C551" s="121" t="s">
        <v>2112</v>
      </c>
      <c r="D551" s="121" t="s">
        <v>2414</v>
      </c>
      <c r="E551" s="121"/>
      <c r="F551" s="121"/>
      <c r="G551" s="121" t="s">
        <v>2</v>
      </c>
      <c r="H551" s="122">
        <v>1800</v>
      </c>
      <c r="I551" s="122">
        <v>2390</v>
      </c>
      <c r="J551" s="121" t="s">
        <v>2305</v>
      </c>
      <c r="K551" s="121" t="s">
        <v>1</v>
      </c>
      <c r="L551" s="121"/>
      <c r="M551" s="121"/>
      <c r="N551" s="103" t="str">
        <f t="shared" si="8"/>
        <v>1</v>
      </c>
      <c r="O551" s="103" t="str">
        <f>INDEX(Кат!$I:$I,MATCH($A551,Кат!$A:$A,0))</f>
        <v>БРТ</v>
      </c>
    </row>
    <row r="552" spans="1:15" ht="45" x14ac:dyDescent="0.25">
      <c r="A552" s="120">
        <v>223174</v>
      </c>
      <c r="B552" s="120">
        <v>26658</v>
      </c>
      <c r="C552" s="121" t="s">
        <v>109</v>
      </c>
      <c r="D552" s="121" t="s">
        <v>2414</v>
      </c>
      <c r="E552" s="121" t="s">
        <v>2126</v>
      </c>
      <c r="F552" s="121"/>
      <c r="G552" s="121" t="s">
        <v>2</v>
      </c>
      <c r="H552" s="122">
        <v>1750</v>
      </c>
      <c r="I552" s="122">
        <v>2290</v>
      </c>
      <c r="J552" s="121" t="s">
        <v>2306</v>
      </c>
      <c r="K552" s="121" t="s">
        <v>1</v>
      </c>
      <c r="L552" s="121"/>
      <c r="M552" s="121"/>
      <c r="N552" s="103" t="str">
        <f t="shared" si="8"/>
        <v>1</v>
      </c>
      <c r="O552" s="103" t="str">
        <f>INDEX(Кат!$I:$I,MATCH($A552,Кат!$A:$A,0))</f>
        <v>БРТ</v>
      </c>
    </row>
    <row r="553" spans="1:15" ht="30" x14ac:dyDescent="0.25">
      <c r="A553" s="120">
        <v>223176</v>
      </c>
      <c r="B553" s="120">
        <v>12594</v>
      </c>
      <c r="C553" s="121" t="s">
        <v>2242</v>
      </c>
      <c r="D553" s="121" t="s">
        <v>2414</v>
      </c>
      <c r="E553" s="121"/>
      <c r="F553" s="121"/>
      <c r="G553" s="121" t="s">
        <v>2</v>
      </c>
      <c r="H553" s="122">
        <v>1000</v>
      </c>
      <c r="I553" s="122">
        <v>1290</v>
      </c>
      <c r="J553" s="121" t="s">
        <v>2321</v>
      </c>
      <c r="K553" s="121" t="s">
        <v>1</v>
      </c>
      <c r="L553" s="121"/>
      <c r="M553" s="121"/>
      <c r="N553" s="103" t="str">
        <f t="shared" si="8"/>
        <v>1</v>
      </c>
      <c r="O553" s="103" t="str">
        <f>INDEX(Кат!$I:$I,MATCH($A553,Кат!$A:$A,0))</f>
        <v>БРТ</v>
      </c>
    </row>
    <row r="554" spans="1:15" ht="45" x14ac:dyDescent="0.25">
      <c r="A554" s="120">
        <v>223177</v>
      </c>
      <c r="B554" s="120">
        <v>6140</v>
      </c>
      <c r="C554" s="121" t="s">
        <v>1849</v>
      </c>
      <c r="D554" s="121" t="s">
        <v>2414</v>
      </c>
      <c r="E554" s="121" t="s">
        <v>1850</v>
      </c>
      <c r="F554" s="121"/>
      <c r="G554" s="121" t="s">
        <v>2</v>
      </c>
      <c r="H554" s="122">
        <v>950</v>
      </c>
      <c r="I554" s="122">
        <v>1390</v>
      </c>
      <c r="J554" s="121" t="s">
        <v>2283</v>
      </c>
      <c r="K554" s="121" t="s">
        <v>1</v>
      </c>
      <c r="L554" s="121"/>
      <c r="M554" s="121"/>
      <c r="N554" s="103" t="str">
        <f t="shared" si="8"/>
        <v>1</v>
      </c>
      <c r="O554" s="103" t="str">
        <f>INDEX(Кат!$I:$I,MATCH($A554,Кат!$A:$A,0))</f>
        <v>БРТ*2</v>
      </c>
    </row>
    <row r="555" spans="1:15" ht="45" x14ac:dyDescent="0.25">
      <c r="A555" s="120">
        <v>223179</v>
      </c>
      <c r="B555" s="120">
        <v>33974</v>
      </c>
      <c r="C555" s="121" t="s">
        <v>2260</v>
      </c>
      <c r="D555" s="121" t="s">
        <v>2414</v>
      </c>
      <c r="E555" s="121"/>
      <c r="F555" s="121"/>
      <c r="G555" s="121" t="s">
        <v>2</v>
      </c>
      <c r="H555" s="122">
        <v>2400</v>
      </c>
      <c r="I555" s="122">
        <v>3090</v>
      </c>
      <c r="J555" s="121" t="s">
        <v>2279</v>
      </c>
      <c r="K555" s="121" t="s">
        <v>1</v>
      </c>
      <c r="L555" s="121"/>
      <c r="M555" s="121"/>
      <c r="N555" s="103" t="str">
        <f t="shared" si="8"/>
        <v>1</v>
      </c>
      <c r="O555" s="103" t="str">
        <f>INDEX(Кат!$I:$I,MATCH($A555,Кат!$A:$A,0))</f>
        <v>БРТ*4</v>
      </c>
    </row>
    <row r="556" spans="1:15" ht="45" x14ac:dyDescent="0.25">
      <c r="A556" s="120">
        <v>223180</v>
      </c>
      <c r="B556" s="120">
        <v>4938</v>
      </c>
      <c r="C556" s="121" t="s">
        <v>177</v>
      </c>
      <c r="D556" s="121" t="s">
        <v>2414</v>
      </c>
      <c r="E556" s="121"/>
      <c r="F556" s="121"/>
      <c r="G556" s="121" t="s">
        <v>2</v>
      </c>
      <c r="H556" s="122">
        <v>635</v>
      </c>
      <c r="I556" s="122">
        <v>1190</v>
      </c>
      <c r="J556" s="121" t="s">
        <v>2285</v>
      </c>
      <c r="K556" s="121" t="s">
        <v>1</v>
      </c>
      <c r="L556" s="121"/>
      <c r="M556" s="121"/>
      <c r="N556" s="103" t="str">
        <f t="shared" si="8"/>
        <v>1</v>
      </c>
      <c r="O556" s="103" t="str">
        <f>INDEX(Кат!$I:$I,MATCH($A556,Кат!$A:$A,0))</f>
        <v>БРТ</v>
      </c>
    </row>
    <row r="557" spans="1:15" ht="45" x14ac:dyDescent="0.25">
      <c r="A557" s="120">
        <v>223181</v>
      </c>
      <c r="B557" s="120">
        <v>6136</v>
      </c>
      <c r="C557" s="121" t="s">
        <v>1847</v>
      </c>
      <c r="D557" s="121" t="s">
        <v>2414</v>
      </c>
      <c r="E557" s="121" t="s">
        <v>1848</v>
      </c>
      <c r="F557" s="121"/>
      <c r="G557" s="121" t="s">
        <v>2</v>
      </c>
      <c r="H557" s="122">
        <v>950</v>
      </c>
      <c r="I557" s="122">
        <v>1290</v>
      </c>
      <c r="J557" s="121" t="s">
        <v>2374</v>
      </c>
      <c r="K557" s="121" t="s">
        <v>1</v>
      </c>
      <c r="L557" s="121"/>
      <c r="M557" s="121"/>
      <c r="N557" s="103" t="str">
        <f t="shared" si="8"/>
        <v>1</v>
      </c>
      <c r="O557" s="103" t="str">
        <f>INDEX(Кат!$I:$I,MATCH($A557,Кат!$A:$A,0))</f>
        <v>БРТ</v>
      </c>
    </row>
    <row r="558" spans="1:15" ht="45" x14ac:dyDescent="0.25">
      <c r="A558" s="120">
        <v>223204</v>
      </c>
      <c r="B558" s="120">
        <v>5505</v>
      </c>
      <c r="C558" s="121" t="s">
        <v>1829</v>
      </c>
      <c r="D558" s="121" t="s">
        <v>2414</v>
      </c>
      <c r="E558" s="121" t="s">
        <v>1830</v>
      </c>
      <c r="F558" s="121"/>
      <c r="G558" s="121" t="s">
        <v>2</v>
      </c>
      <c r="H558" s="122">
        <v>1901</v>
      </c>
      <c r="I558" s="122">
        <v>2490</v>
      </c>
      <c r="J558" s="121" t="s">
        <v>2323</v>
      </c>
      <c r="K558" s="121" t="s">
        <v>1</v>
      </c>
      <c r="L558" s="121"/>
      <c r="M558" s="121"/>
      <c r="N558" s="103" t="str">
        <f t="shared" si="8"/>
        <v>1</v>
      </c>
      <c r="O558" s="103" t="str">
        <f>INDEX(Кат!$I:$I,MATCH($A558,Кат!$A:$A,0))</f>
        <v>БРТ</v>
      </c>
    </row>
    <row r="559" spans="1:15" ht="45" x14ac:dyDescent="0.25">
      <c r="A559" s="120">
        <v>223205</v>
      </c>
      <c r="B559" s="120">
        <v>36967</v>
      </c>
      <c r="C559" s="121" t="s">
        <v>2264</v>
      </c>
      <c r="D559" s="121" t="s">
        <v>2414</v>
      </c>
      <c r="E559" s="121" t="s">
        <v>786</v>
      </c>
      <c r="F559" s="121" t="s">
        <v>786</v>
      </c>
      <c r="G559" s="121" t="s">
        <v>2</v>
      </c>
      <c r="H559" s="122">
        <v>520</v>
      </c>
      <c r="I559" s="122">
        <v>729</v>
      </c>
      <c r="J559" s="121" t="s">
        <v>2596</v>
      </c>
      <c r="K559" s="121" t="s">
        <v>1</v>
      </c>
      <c r="L559" s="121"/>
      <c r="M559" s="121"/>
      <c r="N559" s="103" t="str">
        <f t="shared" si="8"/>
        <v>1</v>
      </c>
      <c r="O559" s="103" t="str">
        <f>INDEX(Кат!$I:$I,MATCH($A559,Кат!$A:$A,0))</f>
        <v>БРТ</v>
      </c>
    </row>
    <row r="560" spans="1:15" ht="45" x14ac:dyDescent="0.25">
      <c r="A560" s="120">
        <v>223207</v>
      </c>
      <c r="B560" s="120">
        <v>35310</v>
      </c>
      <c r="C560" s="121" t="s">
        <v>1560</v>
      </c>
      <c r="D560" s="121" t="s">
        <v>2414</v>
      </c>
      <c r="E560" s="121" t="s">
        <v>784</v>
      </c>
      <c r="F560" s="121" t="s">
        <v>784</v>
      </c>
      <c r="G560" s="121" t="s">
        <v>2</v>
      </c>
      <c r="H560" s="122">
        <v>434</v>
      </c>
      <c r="I560" s="122">
        <v>679</v>
      </c>
      <c r="J560" s="121" t="s">
        <v>2333</v>
      </c>
      <c r="K560" s="121" t="s">
        <v>1</v>
      </c>
      <c r="L560" s="121"/>
      <c r="M560" s="121"/>
      <c r="N560" s="103" t="str">
        <f t="shared" si="8"/>
        <v>1</v>
      </c>
      <c r="O560" s="103" t="str">
        <f>INDEX(Кат!$I:$I,MATCH($A560,Кат!$A:$A,0))</f>
        <v>БРТ</v>
      </c>
    </row>
    <row r="561" spans="1:15" ht="30" x14ac:dyDescent="0.25">
      <c r="A561" s="120">
        <v>223223</v>
      </c>
      <c r="B561" s="120">
        <v>20468</v>
      </c>
      <c r="C561" s="121" t="s">
        <v>2466</v>
      </c>
      <c r="D561" s="121" t="s">
        <v>2414</v>
      </c>
      <c r="E561" s="121" t="s">
        <v>2066</v>
      </c>
      <c r="F561" s="121"/>
      <c r="G561" s="121" t="s">
        <v>2</v>
      </c>
      <c r="H561" s="122">
        <v>2095</v>
      </c>
      <c r="I561" s="122">
        <v>2790</v>
      </c>
      <c r="J561" s="121"/>
      <c r="K561" s="121" t="s">
        <v>1</v>
      </c>
      <c r="L561" s="121"/>
      <c r="M561" s="121"/>
      <c r="N561" s="103" t="str">
        <f t="shared" si="8"/>
        <v>1</v>
      </c>
      <c r="O561" s="103" t="str">
        <f>INDEX(Кат!$I:$I,MATCH($A561,Кат!$A:$A,0))</f>
        <v>БРТ</v>
      </c>
    </row>
    <row r="562" spans="1:15" ht="30" x14ac:dyDescent="0.25">
      <c r="A562" s="120">
        <v>223212</v>
      </c>
      <c r="B562" s="120">
        <v>35304</v>
      </c>
      <c r="C562" s="121" t="s">
        <v>1559</v>
      </c>
      <c r="D562" s="121" t="s">
        <v>2414</v>
      </c>
      <c r="E562" s="121" t="s">
        <v>775</v>
      </c>
      <c r="F562" s="121" t="s">
        <v>775</v>
      </c>
      <c r="G562" s="121" t="s">
        <v>2</v>
      </c>
      <c r="H562" s="122">
        <v>360</v>
      </c>
      <c r="I562" s="122">
        <v>549</v>
      </c>
      <c r="J562" s="121"/>
      <c r="K562" s="121" t="s">
        <v>1</v>
      </c>
      <c r="L562" s="121"/>
      <c r="M562" s="121"/>
      <c r="N562" s="103" t="str">
        <f t="shared" si="8"/>
        <v>1</v>
      </c>
      <c r="O562" s="103" t="str">
        <f>INDEX(Кат!$I:$I,MATCH($A562,Кат!$A:$A,0))</f>
        <v>БРТ</v>
      </c>
    </row>
    <row r="563" spans="1:15" ht="45" x14ac:dyDescent="0.25">
      <c r="A563" s="120">
        <v>223213</v>
      </c>
      <c r="B563" s="120">
        <v>20484</v>
      </c>
      <c r="C563" s="121" t="s">
        <v>2076</v>
      </c>
      <c r="D563" s="121" t="s">
        <v>2467</v>
      </c>
      <c r="E563" s="121" t="s">
        <v>476</v>
      </c>
      <c r="F563" s="121"/>
      <c r="G563" s="121" t="s">
        <v>2</v>
      </c>
      <c r="H563" s="122">
        <v>990</v>
      </c>
      <c r="I563" s="122">
        <v>1890</v>
      </c>
      <c r="J563" s="121" t="s">
        <v>2310</v>
      </c>
      <c r="K563" s="121" t="s">
        <v>1</v>
      </c>
      <c r="L563" s="121"/>
      <c r="M563" s="121"/>
      <c r="N563" s="103" t="str">
        <f t="shared" si="8"/>
        <v>1</v>
      </c>
      <c r="O563" s="103" t="str">
        <f>INDEX(Кат!$I:$I,MATCH($A563,Кат!$A:$A,0))</f>
        <v>БРТ</v>
      </c>
    </row>
    <row r="564" spans="1:15" ht="45" x14ac:dyDescent="0.25">
      <c r="A564" s="120">
        <v>223214</v>
      </c>
      <c r="B564" s="120">
        <v>35321</v>
      </c>
      <c r="C564" s="121" t="s">
        <v>2153</v>
      </c>
      <c r="D564" s="121" t="s">
        <v>2414</v>
      </c>
      <c r="E564" s="121" t="s">
        <v>303</v>
      </c>
      <c r="F564" s="121" t="s">
        <v>303</v>
      </c>
      <c r="G564" s="121" t="s">
        <v>2</v>
      </c>
      <c r="H564" s="122">
        <v>240</v>
      </c>
      <c r="I564" s="122">
        <v>509</v>
      </c>
      <c r="J564" s="121" t="s">
        <v>2293</v>
      </c>
      <c r="K564" s="121" t="s">
        <v>1</v>
      </c>
      <c r="L564" s="121"/>
      <c r="M564" s="121"/>
      <c r="N564" s="103" t="str">
        <f t="shared" si="8"/>
        <v>1</v>
      </c>
      <c r="O564" s="103" t="str">
        <f>INDEX(Кат!$I:$I,MATCH($A564,Кат!$A:$A,0))</f>
        <v>БРТ</v>
      </c>
    </row>
    <row r="565" spans="1:15" ht="30" x14ac:dyDescent="0.25">
      <c r="A565" s="120">
        <v>223215</v>
      </c>
      <c r="B565" s="120">
        <v>35573</v>
      </c>
      <c r="C565" s="121" t="s">
        <v>2263</v>
      </c>
      <c r="D565" s="121" t="s">
        <v>2414</v>
      </c>
      <c r="E565" s="121" t="s">
        <v>1411</v>
      </c>
      <c r="F565" s="121" t="s">
        <v>1411</v>
      </c>
      <c r="G565" s="121" t="s">
        <v>2</v>
      </c>
      <c r="H565" s="122">
        <v>220</v>
      </c>
      <c r="I565" s="122">
        <v>379</v>
      </c>
      <c r="J565" s="121"/>
      <c r="K565" s="121" t="s">
        <v>1</v>
      </c>
      <c r="L565" s="121"/>
      <c r="M565" s="121"/>
      <c r="N565" s="103" t="str">
        <f t="shared" si="8"/>
        <v>1</v>
      </c>
      <c r="O565" s="103" t="str">
        <f>INDEX(Кат!$I:$I,MATCH($A565,Кат!$A:$A,0))</f>
        <v>БРТ</v>
      </c>
    </row>
    <row r="566" spans="1:15" ht="45" x14ac:dyDescent="0.25">
      <c r="A566" s="120">
        <v>223216</v>
      </c>
      <c r="B566" s="120">
        <v>5571</v>
      </c>
      <c r="C566" s="121" t="s">
        <v>1833</v>
      </c>
      <c r="D566" s="121" t="s">
        <v>2414</v>
      </c>
      <c r="E566" s="121" t="s">
        <v>367</v>
      </c>
      <c r="F566" s="121"/>
      <c r="G566" s="121" t="s">
        <v>2</v>
      </c>
      <c r="H566" s="122">
        <v>205</v>
      </c>
      <c r="I566" s="122">
        <v>559</v>
      </c>
      <c r="J566" s="121" t="s">
        <v>2290</v>
      </c>
      <c r="K566" s="121" t="s">
        <v>1</v>
      </c>
      <c r="L566" s="121"/>
      <c r="M566" s="121"/>
      <c r="N566" s="103" t="str">
        <f t="shared" si="8"/>
        <v>1</v>
      </c>
      <c r="O566" s="103" t="str">
        <f>INDEX(Кат!$I:$I,MATCH($A566,Кат!$A:$A,0))</f>
        <v>БРТ</v>
      </c>
    </row>
    <row r="567" spans="1:15" ht="45" x14ac:dyDescent="0.25">
      <c r="A567" s="120">
        <v>223217</v>
      </c>
      <c r="B567" s="120">
        <v>20469</v>
      </c>
      <c r="C567" s="121" t="s">
        <v>2067</v>
      </c>
      <c r="D567" s="121" t="s">
        <v>2414</v>
      </c>
      <c r="E567" s="121" t="s">
        <v>2068</v>
      </c>
      <c r="F567" s="121"/>
      <c r="G567" s="121" t="s">
        <v>2</v>
      </c>
      <c r="H567" s="122">
        <v>444</v>
      </c>
      <c r="I567" s="122">
        <v>679</v>
      </c>
      <c r="J567" s="121" t="s">
        <v>2289</v>
      </c>
      <c r="K567" s="121" t="s">
        <v>1</v>
      </c>
      <c r="L567" s="121" t="s">
        <v>1824</v>
      </c>
      <c r="M567" s="121"/>
      <c r="N567" s="103" t="str">
        <f t="shared" si="8"/>
        <v>1ск6</v>
      </c>
      <c r="O567" s="103" t="str">
        <f>INDEX(Кат!$I:$I,MATCH($A567,Кат!$A:$A,0))</f>
        <v>БРТ</v>
      </c>
    </row>
    <row r="568" spans="1:15" ht="45" x14ac:dyDescent="0.25">
      <c r="A568" s="120">
        <v>223218</v>
      </c>
      <c r="B568" s="120">
        <v>6153</v>
      </c>
      <c r="C568" s="121" t="s">
        <v>1855</v>
      </c>
      <c r="D568" s="121" t="s">
        <v>2414</v>
      </c>
      <c r="E568" s="121" t="s">
        <v>1856</v>
      </c>
      <c r="F568" s="121"/>
      <c r="G568" s="121" t="s">
        <v>2</v>
      </c>
      <c r="H568" s="122">
        <v>455</v>
      </c>
      <c r="I568" s="122">
        <v>689</v>
      </c>
      <c r="J568" s="121" t="s">
        <v>2291</v>
      </c>
      <c r="K568" s="121" t="s">
        <v>1</v>
      </c>
      <c r="L568" s="121" t="s">
        <v>1824</v>
      </c>
      <c r="M568" s="121"/>
      <c r="N568" s="103" t="str">
        <f t="shared" si="8"/>
        <v>1ск6</v>
      </c>
      <c r="O568" s="103" t="str">
        <f>INDEX(Кат!$I:$I,MATCH($A568,Кат!$A:$A,0))</f>
        <v>БРТ</v>
      </c>
    </row>
    <row r="569" spans="1:15" ht="45" x14ac:dyDescent="0.25">
      <c r="A569" s="120">
        <v>223219</v>
      </c>
      <c r="B569" s="120">
        <v>20502</v>
      </c>
      <c r="C569" s="121" t="s">
        <v>2086</v>
      </c>
      <c r="D569" s="121" t="s">
        <v>2414</v>
      </c>
      <c r="E569" s="121" t="s">
        <v>2087</v>
      </c>
      <c r="F569" s="121"/>
      <c r="G569" s="121" t="s">
        <v>2</v>
      </c>
      <c r="H569" s="122">
        <v>449</v>
      </c>
      <c r="I569" s="122">
        <v>989</v>
      </c>
      <c r="J569" s="121" t="s">
        <v>2292</v>
      </c>
      <c r="K569" s="121" t="s">
        <v>1</v>
      </c>
      <c r="L569" s="121"/>
      <c r="M569" s="121"/>
      <c r="N569" s="103" t="str">
        <f t="shared" si="8"/>
        <v>1</v>
      </c>
      <c r="O569" s="103" t="str">
        <f>INDEX(Кат!$I:$I,MATCH($A569,Кат!$A:$A,0))</f>
        <v>БРТ</v>
      </c>
    </row>
    <row r="570" spans="1:15" ht="45" x14ac:dyDescent="0.25">
      <c r="A570" s="120">
        <v>223220</v>
      </c>
      <c r="B570" s="120">
        <v>35324</v>
      </c>
      <c r="C570" s="121" t="s">
        <v>1563</v>
      </c>
      <c r="D570" s="121" t="s">
        <v>2414</v>
      </c>
      <c r="E570" s="121" t="s">
        <v>796</v>
      </c>
      <c r="F570" s="121" t="s">
        <v>796</v>
      </c>
      <c r="G570" s="121" t="s">
        <v>2</v>
      </c>
      <c r="H570" s="122">
        <v>900</v>
      </c>
      <c r="I570" s="122">
        <v>1390</v>
      </c>
      <c r="J570" s="121" t="s">
        <v>2537</v>
      </c>
      <c r="K570" s="121" t="s">
        <v>1</v>
      </c>
      <c r="L570" s="121"/>
      <c r="M570" s="121"/>
      <c r="N570" s="103" t="str">
        <f t="shared" si="8"/>
        <v>1</v>
      </c>
      <c r="O570" s="103" t="str">
        <f>INDEX(Кат!$I:$I,MATCH($A570,Кат!$A:$A,0))</f>
        <v>БРТ</v>
      </c>
    </row>
    <row r="571" spans="1:15" ht="30" x14ac:dyDescent="0.25">
      <c r="A571" s="120">
        <v>223221</v>
      </c>
      <c r="B571" s="120">
        <v>35317</v>
      </c>
      <c r="C571" s="121" t="s">
        <v>1561</v>
      </c>
      <c r="D571" s="121" t="s">
        <v>2414</v>
      </c>
      <c r="E571" s="121" t="s">
        <v>2152</v>
      </c>
      <c r="F571" s="121" t="s">
        <v>789</v>
      </c>
      <c r="G571" s="121" t="s">
        <v>2</v>
      </c>
      <c r="H571" s="122">
        <v>42</v>
      </c>
      <c r="I571" s="122">
        <v>99</v>
      </c>
      <c r="J571" s="121"/>
      <c r="K571" s="121" t="s">
        <v>1</v>
      </c>
      <c r="L571" s="121"/>
      <c r="M571" s="121"/>
      <c r="N571" s="103" t="str">
        <f t="shared" si="8"/>
        <v>1</v>
      </c>
      <c r="O571" s="103" t="str">
        <f>INDEX(Кат!$I:$I,MATCH($A571,Кат!$A:$A,0))</f>
        <v>БРТ</v>
      </c>
    </row>
    <row r="572" spans="1:15" ht="45" x14ac:dyDescent="0.25">
      <c r="A572" s="120">
        <v>223222</v>
      </c>
      <c r="B572" s="120">
        <v>5568</v>
      </c>
      <c r="C572" s="121" t="s">
        <v>2232</v>
      </c>
      <c r="D572" s="121" t="s">
        <v>2414</v>
      </c>
      <c r="E572" s="121" t="s">
        <v>1832</v>
      </c>
      <c r="F572" s="121"/>
      <c r="G572" s="121" t="s">
        <v>2</v>
      </c>
      <c r="H572" s="122">
        <v>1500</v>
      </c>
      <c r="I572" s="122">
        <v>1990</v>
      </c>
      <c r="J572" s="121"/>
      <c r="K572" s="121" t="s">
        <v>1</v>
      </c>
      <c r="L572" s="121"/>
      <c r="M572" s="121"/>
      <c r="N572" s="103" t="str">
        <f t="shared" si="8"/>
        <v>1</v>
      </c>
      <c r="O572" s="103" t="str">
        <f>INDEX(Кат!$I:$I,MATCH($A572,Кат!$A:$A,0))</f>
        <v>БРТ</v>
      </c>
    </row>
    <row r="573" spans="1:15" ht="45" x14ac:dyDescent="0.25">
      <c r="A573" s="120">
        <v>223224</v>
      </c>
      <c r="B573" s="120">
        <v>5591</v>
      </c>
      <c r="C573" s="121" t="s">
        <v>1838</v>
      </c>
      <c r="D573" s="121" t="s">
        <v>2414</v>
      </c>
      <c r="E573" s="121" t="s">
        <v>1839</v>
      </c>
      <c r="F573" s="121"/>
      <c r="G573" s="121" t="s">
        <v>2</v>
      </c>
      <c r="H573" s="122">
        <v>1100</v>
      </c>
      <c r="I573" s="122">
        <v>2390</v>
      </c>
      <c r="J573" s="121" t="s">
        <v>2282</v>
      </c>
      <c r="K573" s="121" t="s">
        <v>1</v>
      </c>
      <c r="L573" s="121"/>
      <c r="M573" s="121"/>
      <c r="N573" s="103" t="str">
        <f t="shared" si="8"/>
        <v>1</v>
      </c>
      <c r="O573" s="103" t="str">
        <f>INDEX(Кат!$I:$I,MATCH($A573,Кат!$A:$A,0))</f>
        <v>БРТ</v>
      </c>
    </row>
    <row r="574" spans="1:15" ht="45" x14ac:dyDescent="0.25">
      <c r="A574" s="120">
        <v>223225</v>
      </c>
      <c r="B574" s="120">
        <v>5952</v>
      </c>
      <c r="C574" s="121" t="s">
        <v>2468</v>
      </c>
      <c r="D574" s="121" t="s">
        <v>2414</v>
      </c>
      <c r="E574" s="121" t="s">
        <v>1839</v>
      </c>
      <c r="F574" s="121"/>
      <c r="G574" s="121" t="s">
        <v>2</v>
      </c>
      <c r="H574" s="122">
        <v>550</v>
      </c>
      <c r="I574" s="122">
        <v>2390</v>
      </c>
      <c r="J574" s="121" t="s">
        <v>2282</v>
      </c>
      <c r="K574" s="121" t="s">
        <v>1</v>
      </c>
      <c r="L574" s="121"/>
      <c r="M574" s="121"/>
      <c r="N574" s="103" t="str">
        <f t="shared" si="8"/>
        <v>1</v>
      </c>
      <c r="O574" s="103" t="str">
        <f>INDEX(Кат!$I:$I,MATCH($A574,Кат!$A:$A,0))</f>
        <v>БРТ</v>
      </c>
    </row>
    <row r="575" spans="1:15" ht="45" x14ac:dyDescent="0.25">
      <c r="A575" s="120">
        <v>223226</v>
      </c>
      <c r="B575" s="120">
        <v>5950</v>
      </c>
      <c r="C575" s="121" t="s">
        <v>2469</v>
      </c>
      <c r="D575" s="121" t="s">
        <v>2414</v>
      </c>
      <c r="E575" s="121" t="s">
        <v>1837</v>
      </c>
      <c r="F575" s="121"/>
      <c r="G575" s="121" t="s">
        <v>2</v>
      </c>
      <c r="H575" s="122">
        <v>550</v>
      </c>
      <c r="I575" s="122">
        <v>2390</v>
      </c>
      <c r="J575" s="121" t="s">
        <v>2281</v>
      </c>
      <c r="K575" s="121" t="s">
        <v>1</v>
      </c>
      <c r="L575" s="121"/>
      <c r="M575" s="121"/>
      <c r="N575" s="103" t="str">
        <f t="shared" si="8"/>
        <v>1</v>
      </c>
      <c r="O575" s="103" t="str">
        <f>INDEX(Кат!$I:$I,MATCH($A575,Кат!$A:$A,0))</f>
        <v>БРТ</v>
      </c>
    </row>
    <row r="576" spans="1:15" ht="30" x14ac:dyDescent="0.25">
      <c r="A576" s="120">
        <v>223227</v>
      </c>
      <c r="B576" s="120">
        <v>35288</v>
      </c>
      <c r="C576" s="121" t="s">
        <v>1558</v>
      </c>
      <c r="D576" s="121" t="s">
        <v>2414</v>
      </c>
      <c r="E576" s="121" t="s">
        <v>291</v>
      </c>
      <c r="F576" s="121" t="s">
        <v>291</v>
      </c>
      <c r="G576" s="121" t="s">
        <v>2</v>
      </c>
      <c r="H576" s="122">
        <v>1971</v>
      </c>
      <c r="I576" s="122">
        <v>2590</v>
      </c>
      <c r="J576" s="121"/>
      <c r="K576" s="121" t="s">
        <v>1</v>
      </c>
      <c r="L576" s="121"/>
      <c r="M576" s="121" t="s">
        <v>2414</v>
      </c>
      <c r="N576" s="103" t="str">
        <f t="shared" si="8"/>
        <v>1</v>
      </c>
      <c r="O576" s="103" t="str">
        <f>INDEX(Кат!$I:$I,MATCH($A576,Кат!$A:$A,0))</f>
        <v>БРТ</v>
      </c>
    </row>
    <row r="577" spans="1:15" ht="45" x14ac:dyDescent="0.25">
      <c r="A577" s="120">
        <v>223228</v>
      </c>
      <c r="B577" s="120">
        <v>36962</v>
      </c>
      <c r="C577" s="121" t="s">
        <v>1719</v>
      </c>
      <c r="D577" s="121" t="s">
        <v>2414</v>
      </c>
      <c r="E577" s="121" t="s">
        <v>409</v>
      </c>
      <c r="F577" s="121" t="s">
        <v>409</v>
      </c>
      <c r="G577" s="121" t="s">
        <v>2</v>
      </c>
      <c r="H577" s="122">
        <v>332</v>
      </c>
      <c r="I577" s="122">
        <v>499</v>
      </c>
      <c r="J577" s="121" t="s">
        <v>2532</v>
      </c>
      <c r="K577" s="121" t="s">
        <v>1</v>
      </c>
      <c r="L577" s="121"/>
      <c r="M577" s="121"/>
      <c r="N577" s="103" t="str">
        <f t="shared" si="8"/>
        <v>1</v>
      </c>
      <c r="O577" s="103" t="str">
        <f>INDEX(Кат!$I:$I,MATCH($A577,Кат!$A:$A,0))</f>
        <v>БРТ</v>
      </c>
    </row>
    <row r="578" spans="1:15" ht="45" x14ac:dyDescent="0.25">
      <c r="A578" s="120">
        <v>223229</v>
      </c>
      <c r="B578" s="120">
        <v>35493</v>
      </c>
      <c r="C578" s="121" t="s">
        <v>1651</v>
      </c>
      <c r="D578" s="121" t="s">
        <v>2414</v>
      </c>
      <c r="E578" s="121" t="s">
        <v>407</v>
      </c>
      <c r="F578" s="121" t="s">
        <v>407</v>
      </c>
      <c r="G578" s="121" t="s">
        <v>2</v>
      </c>
      <c r="H578" s="122">
        <v>322</v>
      </c>
      <c r="I578" s="122">
        <v>489</v>
      </c>
      <c r="J578" s="121" t="s">
        <v>2532</v>
      </c>
      <c r="K578" s="121" t="s">
        <v>1</v>
      </c>
      <c r="L578" s="121"/>
      <c r="M578" s="121"/>
      <c r="N578" s="103" t="str">
        <f t="shared" si="8"/>
        <v>1</v>
      </c>
      <c r="O578" s="103" t="str">
        <f>INDEX(Кат!$I:$I,MATCH($A578,Кат!$A:$A,0))</f>
        <v>БРТ</v>
      </c>
    </row>
    <row r="579" spans="1:15" ht="45" x14ac:dyDescent="0.25">
      <c r="A579" s="120">
        <v>223230</v>
      </c>
      <c r="B579" s="120">
        <v>35494</v>
      </c>
      <c r="C579" s="121" t="s">
        <v>1652</v>
      </c>
      <c r="D579" s="121" t="s">
        <v>2414</v>
      </c>
      <c r="E579" s="121" t="s">
        <v>1235</v>
      </c>
      <c r="F579" s="121" t="s">
        <v>1235</v>
      </c>
      <c r="G579" s="121" t="s">
        <v>2</v>
      </c>
      <c r="H579" s="122">
        <v>377</v>
      </c>
      <c r="I579" s="122">
        <v>569</v>
      </c>
      <c r="J579" s="121" t="s">
        <v>2680</v>
      </c>
      <c r="K579" s="121" t="s">
        <v>1</v>
      </c>
      <c r="L579" s="121"/>
      <c r="M579" s="121"/>
      <c r="N579" s="103" t="str">
        <f t="shared" ref="N579:N642" si="9">_xlfn.CONCAT(K579,IF(L579&lt;&gt;"",_xlfn.CONCAT("ск",L579),""))</f>
        <v>1</v>
      </c>
      <c r="O579" s="103" t="str">
        <f>INDEX(Кат!$I:$I,MATCH($A579,Кат!$A:$A,0))</f>
        <v>БРТ</v>
      </c>
    </row>
    <row r="580" spans="1:15" ht="45" x14ac:dyDescent="0.25">
      <c r="A580" s="120">
        <v>223231</v>
      </c>
      <c r="B580" s="120">
        <v>35491</v>
      </c>
      <c r="C580" s="121" t="s">
        <v>1650</v>
      </c>
      <c r="D580" s="121" t="s">
        <v>2414</v>
      </c>
      <c r="E580" s="121" t="s">
        <v>1234</v>
      </c>
      <c r="F580" s="121" t="s">
        <v>1234</v>
      </c>
      <c r="G580" s="121" t="s">
        <v>2</v>
      </c>
      <c r="H580" s="122">
        <v>351</v>
      </c>
      <c r="I580" s="122">
        <v>459</v>
      </c>
      <c r="J580" s="121" t="s">
        <v>2680</v>
      </c>
      <c r="K580" s="121" t="s">
        <v>1</v>
      </c>
      <c r="L580" s="121"/>
      <c r="M580" s="121"/>
      <c r="N580" s="103" t="str">
        <f t="shared" si="9"/>
        <v>1</v>
      </c>
      <c r="O580" s="103" t="str">
        <f>INDEX(Кат!$I:$I,MATCH($A580,Кат!$A:$A,0))</f>
        <v>БРТ</v>
      </c>
    </row>
    <row r="581" spans="1:15" ht="45" x14ac:dyDescent="0.25">
      <c r="A581" s="120">
        <v>223150</v>
      </c>
      <c r="B581" s="120">
        <v>5507</v>
      </c>
      <c r="C581" s="121" t="s">
        <v>2470</v>
      </c>
      <c r="D581" s="121" t="s">
        <v>2414</v>
      </c>
      <c r="E581" s="121" t="s">
        <v>1831</v>
      </c>
      <c r="F581" s="121"/>
      <c r="G581" s="121" t="s">
        <v>2</v>
      </c>
      <c r="H581" s="122">
        <v>810</v>
      </c>
      <c r="I581" s="122">
        <v>1390</v>
      </c>
      <c r="J581" s="121" t="s">
        <v>2317</v>
      </c>
      <c r="K581" s="121" t="s">
        <v>1</v>
      </c>
      <c r="L581" s="121"/>
      <c r="M581" s="121"/>
      <c r="N581" s="103" t="str">
        <f t="shared" si="9"/>
        <v>1</v>
      </c>
      <c r="O581" s="103" t="str">
        <f>INDEX(Кат!$I:$I,MATCH($A581,Кат!$A:$A,0))</f>
        <v>БРТ</v>
      </c>
    </row>
    <row r="582" spans="1:15" ht="30" x14ac:dyDescent="0.25">
      <c r="A582" s="120">
        <v>223232</v>
      </c>
      <c r="B582" s="120">
        <v>35599</v>
      </c>
      <c r="C582" s="121" t="s">
        <v>1704</v>
      </c>
      <c r="D582" s="121" t="s">
        <v>2414</v>
      </c>
      <c r="E582" s="121" t="s">
        <v>563</v>
      </c>
      <c r="F582" s="121" t="s">
        <v>563</v>
      </c>
      <c r="G582" s="121" t="s">
        <v>2</v>
      </c>
      <c r="H582" s="122">
        <v>406</v>
      </c>
      <c r="I582" s="122">
        <v>619</v>
      </c>
      <c r="J582" s="121"/>
      <c r="K582" s="121" t="s">
        <v>1</v>
      </c>
      <c r="L582" s="121"/>
      <c r="M582" s="121"/>
      <c r="N582" s="103" t="str">
        <f t="shared" si="9"/>
        <v>1</v>
      </c>
      <c r="O582" s="103" t="str">
        <f>INDEX(Кат!$I:$I,MATCH($A582,Кат!$A:$A,0))</f>
        <v>БРТ</v>
      </c>
    </row>
    <row r="583" spans="1:15" ht="30" x14ac:dyDescent="0.25">
      <c r="A583" s="120">
        <v>223233</v>
      </c>
      <c r="B583" s="120">
        <v>4944</v>
      </c>
      <c r="C583" s="121" t="s">
        <v>1827</v>
      </c>
      <c r="D583" s="121" t="s">
        <v>2414</v>
      </c>
      <c r="E583" s="121" t="s">
        <v>1828</v>
      </c>
      <c r="F583" s="121"/>
      <c r="G583" s="121" t="s">
        <v>2</v>
      </c>
      <c r="H583" s="122">
        <v>490</v>
      </c>
      <c r="I583" s="122">
        <v>739</v>
      </c>
      <c r="J583" s="121" t="s">
        <v>2287</v>
      </c>
      <c r="K583" s="121" t="s">
        <v>1</v>
      </c>
      <c r="L583" s="121"/>
      <c r="M583" s="121"/>
      <c r="N583" s="103" t="str">
        <f t="shared" si="9"/>
        <v>1</v>
      </c>
      <c r="O583" s="103" t="str">
        <f>INDEX(Кат!$I:$I,MATCH($A583,Кат!$A:$A,0))</f>
        <v>БРТ</v>
      </c>
    </row>
    <row r="584" spans="1:15" ht="45" x14ac:dyDescent="0.25">
      <c r="A584" s="120">
        <v>223234</v>
      </c>
      <c r="B584" s="120">
        <v>20471</v>
      </c>
      <c r="C584" s="121" t="s">
        <v>2071</v>
      </c>
      <c r="D584" s="121" t="s">
        <v>2414</v>
      </c>
      <c r="E584" s="121" t="s">
        <v>2072</v>
      </c>
      <c r="F584" s="121"/>
      <c r="G584" s="121" t="s">
        <v>2</v>
      </c>
      <c r="H584" s="122">
        <v>350</v>
      </c>
      <c r="I584" s="122">
        <v>1090</v>
      </c>
      <c r="J584" s="121" t="s">
        <v>2286</v>
      </c>
      <c r="K584" s="121" t="s">
        <v>1</v>
      </c>
      <c r="L584" s="121"/>
      <c r="M584" s="121"/>
      <c r="N584" s="103" t="str">
        <f t="shared" si="9"/>
        <v>1</v>
      </c>
      <c r="O584" s="103" t="str">
        <f>INDEX(Кат!$I:$I,MATCH($A584,Кат!$A:$A,0))</f>
        <v>БРТ</v>
      </c>
    </row>
    <row r="585" spans="1:15" ht="45" x14ac:dyDescent="0.25">
      <c r="A585" s="120">
        <v>223235</v>
      </c>
      <c r="B585" s="120">
        <v>17112</v>
      </c>
      <c r="C585" s="121" t="s">
        <v>1876</v>
      </c>
      <c r="D585" s="121" t="s">
        <v>2414</v>
      </c>
      <c r="E585" s="121" t="s">
        <v>1877</v>
      </c>
      <c r="F585" s="121"/>
      <c r="G585" s="121" t="s">
        <v>2</v>
      </c>
      <c r="H585" s="122">
        <v>320</v>
      </c>
      <c r="I585" s="122">
        <v>929</v>
      </c>
      <c r="J585" s="121" t="s">
        <v>2299</v>
      </c>
      <c r="K585" s="121" t="s">
        <v>1</v>
      </c>
      <c r="L585" s="121"/>
      <c r="M585" s="121"/>
      <c r="N585" s="103" t="str">
        <f t="shared" si="9"/>
        <v>1</v>
      </c>
      <c r="O585" s="103" t="str">
        <f>INDEX(Кат!$I:$I,MATCH($A585,Кат!$A:$A,0))</f>
        <v>БРТ</v>
      </c>
    </row>
    <row r="586" spans="1:15" ht="45" x14ac:dyDescent="0.25">
      <c r="A586" s="120">
        <v>223236</v>
      </c>
      <c r="B586" s="120">
        <v>20459</v>
      </c>
      <c r="C586" s="121" t="s">
        <v>2250</v>
      </c>
      <c r="D586" s="121" t="s">
        <v>2414</v>
      </c>
      <c r="E586" s="121" t="s">
        <v>2251</v>
      </c>
      <c r="F586" s="121"/>
      <c r="G586" s="121" t="s">
        <v>2</v>
      </c>
      <c r="H586" s="122">
        <v>545</v>
      </c>
      <c r="I586" s="122">
        <v>769</v>
      </c>
      <c r="J586" s="121" t="s">
        <v>2330</v>
      </c>
      <c r="K586" s="121" t="s">
        <v>1</v>
      </c>
      <c r="L586" s="121"/>
      <c r="M586" s="121"/>
      <c r="N586" s="103" t="str">
        <f t="shared" si="9"/>
        <v>1</v>
      </c>
      <c r="O586" s="103" t="str">
        <f>INDEX(Кат!$I:$I,MATCH($A586,Кат!$A:$A,0))</f>
        <v>БРТ</v>
      </c>
    </row>
    <row r="587" spans="1:15" ht="45" x14ac:dyDescent="0.25">
      <c r="A587" s="120">
        <v>223237</v>
      </c>
      <c r="B587" s="120">
        <v>20470</v>
      </c>
      <c r="C587" s="121" t="s">
        <v>2069</v>
      </c>
      <c r="D587" s="121" t="s">
        <v>2414</v>
      </c>
      <c r="E587" s="121" t="s">
        <v>2070</v>
      </c>
      <c r="F587" s="121"/>
      <c r="G587" s="121" t="s">
        <v>2</v>
      </c>
      <c r="H587" s="122">
        <v>321</v>
      </c>
      <c r="I587" s="122">
        <v>1090</v>
      </c>
      <c r="J587" s="121" t="s">
        <v>2286</v>
      </c>
      <c r="K587" s="121" t="s">
        <v>1</v>
      </c>
      <c r="L587" s="121"/>
      <c r="M587" s="121"/>
      <c r="N587" s="103" t="str">
        <f t="shared" si="9"/>
        <v>1</v>
      </c>
      <c r="O587" s="103" t="str">
        <f>INDEX(Кат!$I:$I,MATCH($A587,Кат!$A:$A,0))</f>
        <v>БРТ</v>
      </c>
    </row>
    <row r="588" spans="1:15" ht="45" x14ac:dyDescent="0.25">
      <c r="A588" s="120">
        <v>223238</v>
      </c>
      <c r="B588" s="120">
        <v>20464</v>
      </c>
      <c r="C588" s="121" t="s">
        <v>2063</v>
      </c>
      <c r="D588" s="121" t="s">
        <v>2414</v>
      </c>
      <c r="E588" s="121" t="s">
        <v>1875</v>
      </c>
      <c r="F588" s="121"/>
      <c r="G588" s="121" t="s">
        <v>2</v>
      </c>
      <c r="H588" s="122">
        <v>288</v>
      </c>
      <c r="I588" s="122">
        <v>929</v>
      </c>
      <c r="J588" s="121" t="s">
        <v>2298</v>
      </c>
      <c r="K588" s="121" t="s">
        <v>1</v>
      </c>
      <c r="L588" s="121"/>
      <c r="M588" s="121"/>
      <c r="N588" s="103" t="str">
        <f t="shared" si="9"/>
        <v>1</v>
      </c>
      <c r="O588" s="103" t="str">
        <f>INDEX(Кат!$I:$I,MATCH($A588,Кат!$A:$A,0))</f>
        <v>БРТ</v>
      </c>
    </row>
    <row r="589" spans="1:15" ht="45" x14ac:dyDescent="0.25">
      <c r="A589" s="120">
        <v>223239</v>
      </c>
      <c r="B589" s="120">
        <v>20467</v>
      </c>
      <c r="C589" s="121" t="s">
        <v>2064</v>
      </c>
      <c r="D589" s="121" t="s">
        <v>2414</v>
      </c>
      <c r="E589" s="121" t="s">
        <v>2065</v>
      </c>
      <c r="F589" s="121"/>
      <c r="G589" s="121" t="s">
        <v>2</v>
      </c>
      <c r="H589" s="122">
        <v>377</v>
      </c>
      <c r="I589" s="122">
        <v>659</v>
      </c>
      <c r="J589" s="121" t="s">
        <v>2335</v>
      </c>
      <c r="K589" s="121" t="s">
        <v>1</v>
      </c>
      <c r="L589" s="121"/>
      <c r="M589" s="121"/>
      <c r="N589" s="103" t="str">
        <f t="shared" si="9"/>
        <v>1</v>
      </c>
      <c r="O589" s="103" t="str">
        <f>INDEX(Кат!$I:$I,MATCH($A589,Кат!$A:$A,0))</f>
        <v>БРТ</v>
      </c>
    </row>
    <row r="590" spans="1:15" ht="45" x14ac:dyDescent="0.25">
      <c r="A590" s="120">
        <v>223240</v>
      </c>
      <c r="B590" s="120">
        <v>20458</v>
      </c>
      <c r="C590" s="121" t="s">
        <v>2248</v>
      </c>
      <c r="D590" s="121" t="s">
        <v>2414</v>
      </c>
      <c r="E590" s="121" t="s">
        <v>2249</v>
      </c>
      <c r="F590" s="121"/>
      <c r="G590" s="121" t="s">
        <v>2</v>
      </c>
      <c r="H590" s="122">
        <v>545</v>
      </c>
      <c r="I590" s="122">
        <v>769</v>
      </c>
      <c r="J590" s="121" t="s">
        <v>2331</v>
      </c>
      <c r="K590" s="121" t="s">
        <v>1</v>
      </c>
      <c r="L590" s="121"/>
      <c r="M590" s="121"/>
      <c r="N590" s="103" t="str">
        <f t="shared" si="9"/>
        <v>1</v>
      </c>
      <c r="O590" s="103" t="str">
        <f>INDEX(Кат!$I:$I,MATCH($A590,Кат!$A:$A,0))</f>
        <v>БРТ</v>
      </c>
    </row>
    <row r="591" spans="1:15" ht="45" x14ac:dyDescent="0.25">
      <c r="A591" s="120">
        <v>223241</v>
      </c>
      <c r="B591" s="120">
        <v>20490</v>
      </c>
      <c r="C591" s="121" t="s">
        <v>2080</v>
      </c>
      <c r="D591" s="121" t="s">
        <v>2414</v>
      </c>
      <c r="E591" s="121" t="s">
        <v>2081</v>
      </c>
      <c r="F591" s="121"/>
      <c r="G591" s="121" t="s">
        <v>2</v>
      </c>
      <c r="H591" s="122">
        <v>318</v>
      </c>
      <c r="I591" s="122">
        <v>619</v>
      </c>
      <c r="J591" s="121" t="s">
        <v>2334</v>
      </c>
      <c r="K591" s="121" t="s">
        <v>1</v>
      </c>
      <c r="L591" s="121"/>
      <c r="M591" s="121"/>
      <c r="N591" s="103" t="str">
        <f t="shared" si="9"/>
        <v>1</v>
      </c>
      <c r="O591" s="103" t="str">
        <f>INDEX(Кат!$I:$I,MATCH($A591,Кат!$A:$A,0))</f>
        <v>БРТ</v>
      </c>
    </row>
    <row r="592" spans="1:15" ht="45" x14ac:dyDescent="0.25">
      <c r="A592" s="120">
        <v>223242</v>
      </c>
      <c r="B592" s="120">
        <v>18729</v>
      </c>
      <c r="C592" s="121" t="s">
        <v>2471</v>
      </c>
      <c r="D592" s="121" t="s">
        <v>2414</v>
      </c>
      <c r="E592" s="121" t="s">
        <v>1885</v>
      </c>
      <c r="F592" s="121"/>
      <c r="G592" s="121" t="s">
        <v>2</v>
      </c>
      <c r="H592" s="122">
        <v>998</v>
      </c>
      <c r="I592" s="122">
        <v>1390</v>
      </c>
      <c r="J592" s="121" t="s">
        <v>2332</v>
      </c>
      <c r="K592" s="121" t="s">
        <v>1</v>
      </c>
      <c r="L592" s="121"/>
      <c r="M592" s="121"/>
      <c r="N592" s="103" t="str">
        <f t="shared" si="9"/>
        <v>1</v>
      </c>
      <c r="O592" s="103" t="str">
        <f>INDEX(Кат!$I:$I,MATCH($A592,Кат!$A:$A,0))</f>
        <v>БРТ</v>
      </c>
    </row>
    <row r="593" spans="1:15" ht="30" x14ac:dyDescent="0.25">
      <c r="A593" s="120">
        <v>223243</v>
      </c>
      <c r="B593" s="120">
        <v>35323</v>
      </c>
      <c r="C593" s="121" t="s">
        <v>1562</v>
      </c>
      <c r="D593" s="121" t="s">
        <v>2414</v>
      </c>
      <c r="E593" s="121" t="s">
        <v>793</v>
      </c>
      <c r="F593" s="121" t="s">
        <v>793</v>
      </c>
      <c r="G593" s="121" t="s">
        <v>2</v>
      </c>
      <c r="H593" s="122">
        <v>508</v>
      </c>
      <c r="I593" s="122">
        <v>719</v>
      </c>
      <c r="J593" s="121"/>
      <c r="K593" s="121" t="s">
        <v>1</v>
      </c>
      <c r="L593" s="121"/>
      <c r="M593" s="121"/>
      <c r="N593" s="103" t="str">
        <f t="shared" si="9"/>
        <v>1</v>
      </c>
      <c r="O593" s="103" t="str">
        <f>INDEX(Кат!$I:$I,MATCH($A593,Кат!$A:$A,0))</f>
        <v>БРТ</v>
      </c>
    </row>
    <row r="594" spans="1:15" ht="30" x14ac:dyDescent="0.25">
      <c r="A594" s="120">
        <v>223244</v>
      </c>
      <c r="B594" s="120">
        <v>20492</v>
      </c>
      <c r="C594" s="121" t="s">
        <v>2472</v>
      </c>
      <c r="D594" s="121" t="s">
        <v>2414</v>
      </c>
      <c r="E594" s="121" t="s">
        <v>2473</v>
      </c>
      <c r="F594" s="121"/>
      <c r="G594" s="121" t="s">
        <v>2</v>
      </c>
      <c r="H594" s="122">
        <v>1254</v>
      </c>
      <c r="I594" s="122">
        <v>1690</v>
      </c>
      <c r="J594" s="121"/>
      <c r="K594" s="121" t="s">
        <v>1</v>
      </c>
      <c r="L594" s="121"/>
      <c r="M594" s="121"/>
      <c r="N594" s="103" t="str">
        <f t="shared" si="9"/>
        <v>1</v>
      </c>
      <c r="O594" s="103" t="str">
        <f>INDEX(Кат!$I:$I,MATCH($A594,Кат!$A:$A,0))</f>
        <v>БРТ</v>
      </c>
    </row>
    <row r="595" spans="1:15" ht="30" x14ac:dyDescent="0.25">
      <c r="A595" s="120">
        <v>223247</v>
      </c>
      <c r="B595" s="120">
        <v>20511</v>
      </c>
      <c r="C595" s="121" t="s">
        <v>114</v>
      </c>
      <c r="D595" s="121" t="s">
        <v>2414</v>
      </c>
      <c r="E595" s="121" t="s">
        <v>584</v>
      </c>
      <c r="F595" s="121"/>
      <c r="G595" s="121" t="s">
        <v>2</v>
      </c>
      <c r="H595" s="122">
        <v>494</v>
      </c>
      <c r="I595" s="122">
        <v>749</v>
      </c>
      <c r="J595" s="121"/>
      <c r="K595" s="121" t="s">
        <v>1</v>
      </c>
      <c r="L595" s="121"/>
      <c r="M595" s="121"/>
      <c r="N595" s="103" t="str">
        <f t="shared" si="9"/>
        <v>1</v>
      </c>
      <c r="O595" s="103" t="str">
        <f>INDEX(Кат!$I:$I,MATCH($A595,Кат!$A:$A,0))</f>
        <v>БРТ</v>
      </c>
    </row>
    <row r="596" spans="1:15" ht="45" x14ac:dyDescent="0.25">
      <c r="A596" s="120">
        <v>223248</v>
      </c>
      <c r="B596" s="120">
        <v>6609</v>
      </c>
      <c r="C596" s="121" t="s">
        <v>2236</v>
      </c>
      <c r="D596" s="121" t="s">
        <v>2414</v>
      </c>
      <c r="E596" s="121"/>
      <c r="F596" s="121"/>
      <c r="G596" s="121" t="s">
        <v>2</v>
      </c>
      <c r="H596" s="122">
        <v>326</v>
      </c>
      <c r="I596" s="122">
        <v>619</v>
      </c>
      <c r="J596" s="121" t="s">
        <v>2495</v>
      </c>
      <c r="K596" s="121" t="s">
        <v>1</v>
      </c>
      <c r="L596" s="121" t="s">
        <v>1824</v>
      </c>
      <c r="M596" s="121"/>
      <c r="N596" s="103" t="str">
        <f t="shared" si="9"/>
        <v>1ск6</v>
      </c>
      <c r="O596" s="103" t="str">
        <f>INDEX(Кат!$I:$I,MATCH($A596,Кат!$A:$A,0))</f>
        <v>БРТ</v>
      </c>
    </row>
    <row r="597" spans="1:15" ht="30" x14ac:dyDescent="0.25">
      <c r="A597" s="120">
        <v>223251</v>
      </c>
      <c r="B597" s="120">
        <v>6126</v>
      </c>
      <c r="C597" s="121" t="s">
        <v>1845</v>
      </c>
      <c r="D597" s="121" t="s">
        <v>2414</v>
      </c>
      <c r="E597" s="121" t="s">
        <v>1846</v>
      </c>
      <c r="F597" s="121"/>
      <c r="G597" s="121" t="s">
        <v>2</v>
      </c>
      <c r="H597" s="122">
        <v>420</v>
      </c>
      <c r="I597" s="122">
        <v>639</v>
      </c>
      <c r="J597" s="121"/>
      <c r="K597" s="121" t="s">
        <v>1</v>
      </c>
      <c r="L597" s="121"/>
      <c r="M597" s="121"/>
      <c r="N597" s="103" t="str">
        <f t="shared" si="9"/>
        <v>1</v>
      </c>
      <c r="O597" s="103" t="str">
        <f>INDEX(Кат!$I:$I,MATCH($A597,Кат!$A:$A,0))</f>
        <v>БРТ</v>
      </c>
    </row>
    <row r="598" spans="1:15" ht="45" x14ac:dyDescent="0.25">
      <c r="A598" s="120">
        <v>223252</v>
      </c>
      <c r="B598" s="120">
        <v>4947</v>
      </c>
      <c r="C598" s="121" t="s">
        <v>1481</v>
      </c>
      <c r="D598" s="121" t="s">
        <v>2414</v>
      </c>
      <c r="E598" s="121"/>
      <c r="F598" s="121"/>
      <c r="G598" s="121" t="s">
        <v>2</v>
      </c>
      <c r="H598" s="122">
        <v>1613</v>
      </c>
      <c r="I598" s="122">
        <v>2090</v>
      </c>
      <c r="J598" s="121" t="s">
        <v>2322</v>
      </c>
      <c r="K598" s="121" t="s">
        <v>1</v>
      </c>
      <c r="L598" s="121"/>
      <c r="M598" s="121"/>
      <c r="N598" s="103" t="str">
        <f t="shared" si="9"/>
        <v>1</v>
      </c>
      <c r="O598" s="103" t="str">
        <f>INDEX(Кат!$I:$I,MATCH($A598,Кат!$A:$A,0))</f>
        <v>БРТ</v>
      </c>
    </row>
    <row r="599" spans="1:15" ht="30" x14ac:dyDescent="0.25">
      <c r="A599" s="120">
        <v>223253</v>
      </c>
      <c r="B599" s="120">
        <v>20506</v>
      </c>
      <c r="C599" s="121" t="s">
        <v>83</v>
      </c>
      <c r="D599" s="121" t="s">
        <v>2414</v>
      </c>
      <c r="E599" s="121" t="s">
        <v>2089</v>
      </c>
      <c r="F599" s="121"/>
      <c r="G599" s="121" t="s">
        <v>2</v>
      </c>
      <c r="H599" s="122">
        <v>30</v>
      </c>
      <c r="I599" s="122">
        <v>69</v>
      </c>
      <c r="J599" s="121"/>
      <c r="K599" s="121" t="s">
        <v>1</v>
      </c>
      <c r="L599" s="121"/>
      <c r="M599" s="121"/>
      <c r="N599" s="103" t="str">
        <f t="shared" si="9"/>
        <v>1</v>
      </c>
      <c r="O599" s="103" t="str">
        <f>INDEX(Кат!$I:$I,MATCH($A599,Кат!$A:$A,0))</f>
        <v>БРТ</v>
      </c>
    </row>
    <row r="600" spans="1:15" ht="30" x14ac:dyDescent="0.25">
      <c r="A600" s="120">
        <v>223254</v>
      </c>
      <c r="B600" s="120">
        <v>20505</v>
      </c>
      <c r="C600" s="121" t="s">
        <v>83</v>
      </c>
      <c r="D600" s="121" t="s">
        <v>2414</v>
      </c>
      <c r="E600" s="121" t="s">
        <v>2474</v>
      </c>
      <c r="F600" s="121"/>
      <c r="G600" s="121" t="s">
        <v>2</v>
      </c>
      <c r="H600" s="122">
        <v>40</v>
      </c>
      <c r="I600" s="122">
        <v>89</v>
      </c>
      <c r="J600" s="121"/>
      <c r="K600" s="121" t="s">
        <v>1</v>
      </c>
      <c r="L600" s="121"/>
      <c r="M600" s="121"/>
      <c r="N600" s="103" t="str">
        <f t="shared" si="9"/>
        <v>1</v>
      </c>
      <c r="O600" s="103" t="str">
        <f>INDEX(Кат!$I:$I,MATCH($A600,Кат!$A:$A,0))</f>
        <v>БРТ</v>
      </c>
    </row>
    <row r="601" spans="1:15" ht="30" x14ac:dyDescent="0.25">
      <c r="A601" s="120">
        <v>223255</v>
      </c>
      <c r="B601" s="120">
        <v>20461</v>
      </c>
      <c r="C601" s="121" t="s">
        <v>123</v>
      </c>
      <c r="D601" s="121" t="s">
        <v>2414</v>
      </c>
      <c r="E601" s="121" t="s">
        <v>2062</v>
      </c>
      <c r="F601" s="121"/>
      <c r="G601" s="121" t="s">
        <v>2</v>
      </c>
      <c r="H601" s="122">
        <v>1129</v>
      </c>
      <c r="I601" s="122">
        <v>1490</v>
      </c>
      <c r="J601" s="121"/>
      <c r="K601" s="121" t="s">
        <v>1</v>
      </c>
      <c r="L601" s="121" t="s">
        <v>1824</v>
      </c>
      <c r="M601" s="121"/>
      <c r="N601" s="103" t="str">
        <f t="shared" si="9"/>
        <v>1ск6</v>
      </c>
      <c r="O601" s="103" t="str">
        <f>INDEX(Кат!$I:$I,MATCH($A601,Кат!$A:$A,0))</f>
        <v>БРТ</v>
      </c>
    </row>
    <row r="602" spans="1:15" ht="30" x14ac:dyDescent="0.25">
      <c r="A602" s="120">
        <v>223256</v>
      </c>
      <c r="B602" s="120">
        <v>6152</v>
      </c>
      <c r="C602" s="121" t="s">
        <v>1853</v>
      </c>
      <c r="D602" s="121" t="s">
        <v>2414</v>
      </c>
      <c r="E602" s="121" t="s">
        <v>1854</v>
      </c>
      <c r="F602" s="121"/>
      <c r="G602" s="121" t="s">
        <v>2</v>
      </c>
      <c r="H602" s="122">
        <v>360</v>
      </c>
      <c r="I602" s="122">
        <v>549</v>
      </c>
      <c r="J602" s="121"/>
      <c r="K602" s="121" t="s">
        <v>1</v>
      </c>
      <c r="L602" s="121"/>
      <c r="M602" s="121"/>
      <c r="N602" s="103" t="str">
        <f t="shared" si="9"/>
        <v>1</v>
      </c>
      <c r="O602" s="103" t="str">
        <f>INDEX(Кат!$I:$I,MATCH($A602,Кат!$A:$A,0))</f>
        <v>БРТ</v>
      </c>
    </row>
    <row r="603" spans="1:15" ht="30" x14ac:dyDescent="0.25">
      <c r="A603" s="120">
        <v>223257</v>
      </c>
      <c r="B603" s="120">
        <v>6145</v>
      </c>
      <c r="C603" s="121" t="s">
        <v>1851</v>
      </c>
      <c r="D603" s="121" t="s">
        <v>2414</v>
      </c>
      <c r="E603" s="121"/>
      <c r="F603" s="121"/>
      <c r="G603" s="121" t="s">
        <v>2</v>
      </c>
      <c r="H603" s="122">
        <v>400</v>
      </c>
      <c r="I603" s="122">
        <v>609</v>
      </c>
      <c r="J603" s="121"/>
      <c r="K603" s="121" t="s">
        <v>2418</v>
      </c>
      <c r="L603" s="121"/>
      <c r="M603" s="121"/>
      <c r="N603" s="103" t="str">
        <f t="shared" si="9"/>
        <v>0</v>
      </c>
      <c r="O603" s="103" t="str">
        <f>INDEX(Кат!$I:$I,MATCH($A603,Кат!$A:$A,0))</f>
        <v>БРТ</v>
      </c>
    </row>
    <row r="604" spans="1:15" ht="30" x14ac:dyDescent="0.25">
      <c r="A604" s="120">
        <v>223258</v>
      </c>
      <c r="B604" s="120">
        <v>6147</v>
      </c>
      <c r="C604" s="121" t="s">
        <v>1852</v>
      </c>
      <c r="D604" s="121" t="s">
        <v>2414</v>
      </c>
      <c r="E604" s="121"/>
      <c r="F604" s="121"/>
      <c r="G604" s="121" t="s">
        <v>2</v>
      </c>
      <c r="H604" s="122">
        <v>550</v>
      </c>
      <c r="I604" s="122">
        <v>769</v>
      </c>
      <c r="J604" s="121"/>
      <c r="K604" s="121" t="s">
        <v>1</v>
      </c>
      <c r="L604" s="121"/>
      <c r="M604" s="121"/>
      <c r="N604" s="103" t="str">
        <f t="shared" si="9"/>
        <v>1</v>
      </c>
      <c r="O604" s="103" t="str">
        <f>INDEX(Кат!$I:$I,MATCH($A604,Кат!$A:$A,0))</f>
        <v>БРТ</v>
      </c>
    </row>
    <row r="605" spans="1:15" ht="30" x14ac:dyDescent="0.25">
      <c r="A605" s="120">
        <v>223262</v>
      </c>
      <c r="B605" s="120">
        <v>12589</v>
      </c>
      <c r="C605" s="121" t="s">
        <v>2239</v>
      </c>
      <c r="D605" s="121" t="s">
        <v>2414</v>
      </c>
      <c r="E605" s="121"/>
      <c r="F605" s="121"/>
      <c r="G605" s="121" t="s">
        <v>2</v>
      </c>
      <c r="H605" s="122">
        <v>330</v>
      </c>
      <c r="I605" s="122">
        <v>509</v>
      </c>
      <c r="J605" s="121" t="s">
        <v>2288</v>
      </c>
      <c r="K605" s="121" t="s">
        <v>1</v>
      </c>
      <c r="L605" s="121"/>
      <c r="M605" s="121"/>
      <c r="N605" s="103" t="str">
        <f t="shared" si="9"/>
        <v>1</v>
      </c>
      <c r="O605" s="103" t="str">
        <f>INDEX(Кат!$I:$I,MATCH($A605,Кат!$A:$A,0))</f>
        <v>БРТ</v>
      </c>
    </row>
    <row r="606" spans="1:15" ht="45" x14ac:dyDescent="0.25">
      <c r="A606" s="120">
        <v>223263</v>
      </c>
      <c r="B606" s="120">
        <v>4963</v>
      </c>
      <c r="C606" s="121" t="s">
        <v>1480</v>
      </c>
      <c r="D606" s="121" t="s">
        <v>2414</v>
      </c>
      <c r="E606" s="121" t="s">
        <v>1479</v>
      </c>
      <c r="F606" s="121" t="s">
        <v>1479</v>
      </c>
      <c r="G606" s="121" t="s">
        <v>2</v>
      </c>
      <c r="H606" s="122">
        <v>237</v>
      </c>
      <c r="I606" s="122">
        <v>599</v>
      </c>
      <c r="J606" s="121" t="s">
        <v>2314</v>
      </c>
      <c r="K606" s="121" t="s">
        <v>1</v>
      </c>
      <c r="L606" s="121"/>
      <c r="M606" s="121"/>
      <c r="N606" s="103" t="str">
        <f t="shared" si="9"/>
        <v>1</v>
      </c>
      <c r="O606" s="103" t="str">
        <f>INDEX(Кат!$I:$I,MATCH($A606,Кат!$A:$A,0))</f>
        <v>БРТ</v>
      </c>
    </row>
    <row r="607" spans="1:15" ht="45" x14ac:dyDescent="0.25">
      <c r="A607" s="120">
        <v>223276</v>
      </c>
      <c r="B607" s="120">
        <v>18728</v>
      </c>
      <c r="C607" s="121" t="s">
        <v>2475</v>
      </c>
      <c r="D607" s="121" t="s">
        <v>2414</v>
      </c>
      <c r="E607" s="121" t="s">
        <v>1884</v>
      </c>
      <c r="F607" s="121"/>
      <c r="G607" s="121" t="s">
        <v>2</v>
      </c>
      <c r="H607" s="122">
        <v>1196</v>
      </c>
      <c r="I607" s="122">
        <v>1890</v>
      </c>
      <c r="J607" s="121" t="s">
        <v>2310</v>
      </c>
      <c r="K607" s="121" t="s">
        <v>1</v>
      </c>
      <c r="L607" s="121"/>
      <c r="M607" s="121"/>
      <c r="N607" s="103" t="str">
        <f t="shared" si="9"/>
        <v>1</v>
      </c>
      <c r="O607" s="103" t="str">
        <f>INDEX(Кат!$I:$I,MATCH($A607,Кат!$A:$A,0))</f>
        <v>БРТ</v>
      </c>
    </row>
    <row r="608" spans="1:15" ht="45" x14ac:dyDescent="0.25">
      <c r="A608" s="120">
        <v>223269</v>
      </c>
      <c r="B608" s="120">
        <v>12387</v>
      </c>
      <c r="C608" s="121" t="s">
        <v>1863</v>
      </c>
      <c r="D608" s="121" t="s">
        <v>2414</v>
      </c>
      <c r="E608" s="121"/>
      <c r="F608" s="121"/>
      <c r="G608" s="121" t="s">
        <v>2</v>
      </c>
      <c r="H608" s="122">
        <v>200</v>
      </c>
      <c r="I608" s="122">
        <v>469</v>
      </c>
      <c r="J608" s="121" t="s">
        <v>2300</v>
      </c>
      <c r="K608" s="121" t="s">
        <v>1</v>
      </c>
      <c r="L608" s="121"/>
      <c r="M608" s="121"/>
      <c r="N608" s="103" t="str">
        <f t="shared" si="9"/>
        <v>1</v>
      </c>
      <c r="O608" s="103" t="str">
        <f>INDEX(Кат!$I:$I,MATCH($A608,Кат!$A:$A,0))</f>
        <v>БРТ</v>
      </c>
    </row>
    <row r="609" spans="1:15" ht="45" x14ac:dyDescent="0.25">
      <c r="A609" s="120">
        <v>223270</v>
      </c>
      <c r="B609" s="120">
        <v>30504</v>
      </c>
      <c r="C609" s="121" t="s">
        <v>646</v>
      </c>
      <c r="D609" s="121" t="s">
        <v>2414</v>
      </c>
      <c r="E609" s="121" t="s">
        <v>647</v>
      </c>
      <c r="F609" s="121" t="s">
        <v>647</v>
      </c>
      <c r="G609" s="121" t="s">
        <v>2</v>
      </c>
      <c r="H609" s="122">
        <v>23</v>
      </c>
      <c r="I609" s="122">
        <v>89</v>
      </c>
      <c r="J609" s="121" t="s">
        <v>2295</v>
      </c>
      <c r="K609" s="121" t="s">
        <v>1</v>
      </c>
      <c r="L609" s="121"/>
      <c r="M609" s="121"/>
      <c r="N609" s="103" t="str">
        <f t="shared" si="9"/>
        <v>1</v>
      </c>
      <c r="O609" s="103" t="str">
        <f>INDEX(Кат!$I:$I,MATCH($A609,Кат!$A:$A,0))</f>
        <v>БРТ</v>
      </c>
    </row>
    <row r="610" spans="1:15" ht="45" x14ac:dyDescent="0.25">
      <c r="A610" s="120">
        <v>223277</v>
      </c>
      <c r="B610" s="120">
        <v>17847</v>
      </c>
      <c r="C610" s="121" t="s">
        <v>188</v>
      </c>
      <c r="D610" s="121" t="s">
        <v>2414</v>
      </c>
      <c r="E610" s="121" t="s">
        <v>1882</v>
      </c>
      <c r="F610" s="121"/>
      <c r="G610" s="121" t="s">
        <v>2</v>
      </c>
      <c r="H610" s="122">
        <v>990</v>
      </c>
      <c r="I610" s="122">
        <v>1890</v>
      </c>
      <c r="J610" s="121" t="s">
        <v>2310</v>
      </c>
      <c r="K610" s="121" t="s">
        <v>1</v>
      </c>
      <c r="L610" s="121"/>
      <c r="M610" s="121"/>
      <c r="N610" s="103" t="str">
        <f t="shared" si="9"/>
        <v>1</v>
      </c>
      <c r="O610" s="103" t="str">
        <f>INDEX(Кат!$I:$I,MATCH($A610,Кат!$A:$A,0))</f>
        <v>БРТ</v>
      </c>
    </row>
    <row r="611" spans="1:15" ht="45" x14ac:dyDescent="0.25">
      <c r="A611" s="120">
        <v>223279</v>
      </c>
      <c r="B611" s="120">
        <v>5587</v>
      </c>
      <c r="C611" s="121" t="s">
        <v>1836</v>
      </c>
      <c r="D611" s="121" t="s">
        <v>2414</v>
      </c>
      <c r="E611" s="121" t="s">
        <v>1837</v>
      </c>
      <c r="F611" s="121"/>
      <c r="G611" s="121" t="s">
        <v>2</v>
      </c>
      <c r="H611" s="122">
        <v>1100</v>
      </c>
      <c r="I611" s="122">
        <v>2390</v>
      </c>
      <c r="J611" s="121" t="s">
        <v>2281</v>
      </c>
      <c r="K611" s="121" t="s">
        <v>1</v>
      </c>
      <c r="L611" s="121"/>
      <c r="M611" s="121"/>
      <c r="N611" s="103" t="str">
        <f t="shared" si="9"/>
        <v>1</v>
      </c>
      <c r="O611" s="103" t="str">
        <f>INDEX(Кат!$I:$I,MATCH($A611,Кат!$A:$A,0))</f>
        <v>БРТ</v>
      </c>
    </row>
    <row r="612" spans="1:15" ht="30" x14ac:dyDescent="0.25">
      <c r="A612" s="120">
        <v>223282</v>
      </c>
      <c r="B612" s="120">
        <v>20512</v>
      </c>
      <c r="C612" s="121" t="s">
        <v>131</v>
      </c>
      <c r="D612" s="121" t="s">
        <v>2414</v>
      </c>
      <c r="E612" s="121" t="s">
        <v>571</v>
      </c>
      <c r="F612" s="121"/>
      <c r="G612" s="121" t="s">
        <v>2</v>
      </c>
      <c r="H612" s="122">
        <v>336</v>
      </c>
      <c r="I612" s="122">
        <v>509</v>
      </c>
      <c r="J612" s="121"/>
      <c r="K612" s="121" t="s">
        <v>1</v>
      </c>
      <c r="L612" s="121"/>
      <c r="M612" s="121"/>
      <c r="N612" s="103" t="str">
        <f t="shared" si="9"/>
        <v>1</v>
      </c>
      <c r="O612" s="103" t="str">
        <f>INDEX(Кат!$I:$I,MATCH($A612,Кат!$A:$A,0))</f>
        <v>БРТ</v>
      </c>
    </row>
    <row r="613" spans="1:15" ht="45" x14ac:dyDescent="0.25">
      <c r="A613" s="120">
        <v>223283</v>
      </c>
      <c r="B613" s="120">
        <v>6607</v>
      </c>
      <c r="C613" s="121" t="s">
        <v>1707</v>
      </c>
      <c r="D613" s="121" t="s">
        <v>2414</v>
      </c>
      <c r="E613" s="121"/>
      <c r="F613" s="121"/>
      <c r="G613" s="121" t="s">
        <v>2</v>
      </c>
      <c r="H613" s="122">
        <v>500</v>
      </c>
      <c r="I613" s="122">
        <v>889</v>
      </c>
      <c r="J613" s="121" t="s">
        <v>2274</v>
      </c>
      <c r="K613" s="121" t="s">
        <v>1</v>
      </c>
      <c r="L613" s="121" t="s">
        <v>1824</v>
      </c>
      <c r="M613" s="121"/>
      <c r="N613" s="103" t="str">
        <f t="shared" si="9"/>
        <v>1ск6</v>
      </c>
      <c r="O613" s="103" t="str">
        <f>INDEX(Кат!$I:$I,MATCH($A613,Кат!$A:$A,0))</f>
        <v>БРТ</v>
      </c>
    </row>
    <row r="614" spans="1:15" ht="30" x14ac:dyDescent="0.25">
      <c r="A614" s="120">
        <v>223284</v>
      </c>
      <c r="B614" s="120">
        <v>6155</v>
      </c>
      <c r="C614" s="121" t="s">
        <v>1857</v>
      </c>
      <c r="D614" s="121" t="s">
        <v>2414</v>
      </c>
      <c r="E614" s="121"/>
      <c r="F614" s="121"/>
      <c r="G614" s="121" t="s">
        <v>2</v>
      </c>
      <c r="H614" s="122">
        <v>840</v>
      </c>
      <c r="I614" s="122">
        <v>1290</v>
      </c>
      <c r="J614" s="121" t="s">
        <v>2321</v>
      </c>
      <c r="K614" s="121" t="s">
        <v>1</v>
      </c>
      <c r="L614" s="121"/>
      <c r="M614" s="121"/>
      <c r="N614" s="103" t="str">
        <f t="shared" si="9"/>
        <v>1</v>
      </c>
      <c r="O614" s="103" t="str">
        <f>INDEX(Кат!$I:$I,MATCH($A614,Кат!$A:$A,0))</f>
        <v>БРТ</v>
      </c>
    </row>
    <row r="615" spans="1:15" ht="45" x14ac:dyDescent="0.25">
      <c r="A615" s="120">
        <v>223285</v>
      </c>
      <c r="B615" s="120">
        <v>20478</v>
      </c>
      <c r="C615" s="121" t="s">
        <v>189</v>
      </c>
      <c r="D615" s="121" t="s">
        <v>2414</v>
      </c>
      <c r="E615" s="121" t="s">
        <v>2074</v>
      </c>
      <c r="F615" s="121"/>
      <c r="G615" s="121" t="s">
        <v>2</v>
      </c>
      <c r="H615" s="122">
        <v>385</v>
      </c>
      <c r="I615" s="122">
        <v>829</v>
      </c>
      <c r="J615" s="121" t="s">
        <v>2291</v>
      </c>
      <c r="K615" s="121" t="s">
        <v>1</v>
      </c>
      <c r="L615" s="121"/>
      <c r="M615" s="121"/>
      <c r="N615" s="103" t="str">
        <f t="shared" si="9"/>
        <v>1</v>
      </c>
      <c r="O615" s="103" t="str">
        <f>INDEX(Кат!$I:$I,MATCH($A615,Кат!$A:$A,0))</f>
        <v>БРТ</v>
      </c>
    </row>
    <row r="616" spans="1:15" ht="45" x14ac:dyDescent="0.25">
      <c r="A616" s="120">
        <v>223286</v>
      </c>
      <c r="B616" s="120">
        <v>20497</v>
      </c>
      <c r="C616" s="121" t="s">
        <v>108</v>
      </c>
      <c r="D616" s="121" t="s">
        <v>2414</v>
      </c>
      <c r="E616" s="121" t="s">
        <v>2085</v>
      </c>
      <c r="F616" s="121"/>
      <c r="G616" s="121" t="s">
        <v>2</v>
      </c>
      <c r="H616" s="122">
        <v>536</v>
      </c>
      <c r="I616" s="122">
        <v>989</v>
      </c>
      <c r="J616" s="121" t="s">
        <v>2329</v>
      </c>
      <c r="K616" s="121" t="s">
        <v>1</v>
      </c>
      <c r="L616" s="121"/>
      <c r="M616" s="121"/>
      <c r="N616" s="103" t="str">
        <f t="shared" si="9"/>
        <v>1</v>
      </c>
      <c r="O616" s="103" t="str">
        <f>INDEX(Кат!$I:$I,MATCH($A616,Кат!$A:$A,0))</f>
        <v>БРТ</v>
      </c>
    </row>
    <row r="617" spans="1:15" ht="45" x14ac:dyDescent="0.25">
      <c r="A617" s="120">
        <v>223287</v>
      </c>
      <c r="B617" s="120">
        <v>20501</v>
      </c>
      <c r="C617" s="121" t="s">
        <v>191</v>
      </c>
      <c r="D617" s="121" t="s">
        <v>2414</v>
      </c>
      <c r="E617" s="121" t="s">
        <v>2253</v>
      </c>
      <c r="F617" s="121"/>
      <c r="G617" s="121" t="s">
        <v>2</v>
      </c>
      <c r="H617" s="122">
        <v>496</v>
      </c>
      <c r="I617" s="122">
        <v>889</v>
      </c>
      <c r="J617" s="121" t="s">
        <v>2283</v>
      </c>
      <c r="K617" s="121" t="s">
        <v>1</v>
      </c>
      <c r="L617" s="121" t="s">
        <v>1824</v>
      </c>
      <c r="M617" s="121"/>
      <c r="N617" s="103" t="str">
        <f t="shared" si="9"/>
        <v>1ск6</v>
      </c>
      <c r="O617" s="103" t="str">
        <f>INDEX(Кат!$I:$I,MATCH($A617,Кат!$A:$A,0))</f>
        <v>БРТ</v>
      </c>
    </row>
    <row r="618" spans="1:15" ht="45" x14ac:dyDescent="0.25">
      <c r="A618" s="120">
        <v>223288</v>
      </c>
      <c r="B618" s="120">
        <v>20496</v>
      </c>
      <c r="C618" s="121" t="s">
        <v>159</v>
      </c>
      <c r="D618" s="121" t="s">
        <v>2414</v>
      </c>
      <c r="E618" s="121" t="s">
        <v>2084</v>
      </c>
      <c r="F618" s="121"/>
      <c r="G618" s="121" t="s">
        <v>2</v>
      </c>
      <c r="H618" s="122">
        <v>520</v>
      </c>
      <c r="I618" s="122">
        <v>939</v>
      </c>
      <c r="J618" s="121" t="s">
        <v>2560</v>
      </c>
      <c r="K618" s="121" t="s">
        <v>1</v>
      </c>
      <c r="L618" s="121"/>
      <c r="M618" s="121"/>
      <c r="N618" s="103" t="str">
        <f t="shared" si="9"/>
        <v>1</v>
      </c>
      <c r="O618" s="103" t="str">
        <f>INDEX(Кат!$I:$I,MATCH($A618,Кат!$A:$A,0))</f>
        <v>БРТ</v>
      </c>
    </row>
    <row r="619" spans="1:15" ht="45" x14ac:dyDescent="0.25">
      <c r="A619" s="120">
        <v>223289</v>
      </c>
      <c r="B619" s="120">
        <v>20499</v>
      </c>
      <c r="C619" s="121" t="s">
        <v>175</v>
      </c>
      <c r="D619" s="121" t="s">
        <v>2414</v>
      </c>
      <c r="E619" s="121" t="s">
        <v>2252</v>
      </c>
      <c r="F619" s="121"/>
      <c r="G619" s="121" t="s">
        <v>2</v>
      </c>
      <c r="H619" s="122">
        <v>496</v>
      </c>
      <c r="I619" s="122">
        <v>939</v>
      </c>
      <c r="J619" s="121" t="s">
        <v>2279</v>
      </c>
      <c r="K619" s="121" t="s">
        <v>1</v>
      </c>
      <c r="L619" s="121" t="s">
        <v>1824</v>
      </c>
      <c r="M619" s="121"/>
      <c r="N619" s="103" t="str">
        <f t="shared" si="9"/>
        <v>1ск6</v>
      </c>
      <c r="O619" s="103" t="str">
        <f>INDEX(Кат!$I:$I,MATCH($A619,Кат!$A:$A,0))</f>
        <v>БРТ</v>
      </c>
    </row>
    <row r="620" spans="1:15" ht="45" x14ac:dyDescent="0.25">
      <c r="A620" s="120">
        <v>223290</v>
      </c>
      <c r="B620" s="120">
        <v>20494</v>
      </c>
      <c r="C620" s="121" t="s">
        <v>160</v>
      </c>
      <c r="D620" s="121" t="s">
        <v>2414</v>
      </c>
      <c r="E620" s="121" t="s">
        <v>2082</v>
      </c>
      <c r="F620" s="121"/>
      <c r="G620" s="121" t="s">
        <v>2</v>
      </c>
      <c r="H620" s="122">
        <v>520</v>
      </c>
      <c r="I620" s="122">
        <v>779</v>
      </c>
      <c r="J620" s="121" t="s">
        <v>2559</v>
      </c>
      <c r="K620" s="121" t="s">
        <v>1</v>
      </c>
      <c r="L620" s="121"/>
      <c r="M620" s="121"/>
      <c r="N620" s="103" t="str">
        <f t="shared" si="9"/>
        <v>1</v>
      </c>
      <c r="O620" s="103" t="str">
        <f>INDEX(Кат!$I:$I,MATCH($A620,Кат!$A:$A,0))</f>
        <v>БРТ</v>
      </c>
    </row>
    <row r="621" spans="1:15" ht="45" x14ac:dyDescent="0.25">
      <c r="A621" s="120">
        <v>223291</v>
      </c>
      <c r="B621" s="120">
        <v>16836</v>
      </c>
      <c r="C621" s="121" t="s">
        <v>2476</v>
      </c>
      <c r="D621" s="121" t="s">
        <v>2414</v>
      </c>
      <c r="E621" s="121"/>
      <c r="F621" s="121"/>
      <c r="G621" s="121" t="s">
        <v>2</v>
      </c>
      <c r="H621" s="122">
        <v>430</v>
      </c>
      <c r="I621" s="122">
        <v>649</v>
      </c>
      <c r="J621" s="121" t="s">
        <v>2513</v>
      </c>
      <c r="K621" s="121" t="s">
        <v>1</v>
      </c>
      <c r="L621" s="121" t="s">
        <v>1824</v>
      </c>
      <c r="M621" s="121"/>
      <c r="N621" s="103" t="str">
        <f t="shared" si="9"/>
        <v>1ск6</v>
      </c>
      <c r="O621" s="103" t="str">
        <f>INDEX(Кат!$I:$I,MATCH($A621,Кат!$A:$A,0))</f>
        <v>БРТ</v>
      </c>
    </row>
    <row r="622" spans="1:15" ht="45" x14ac:dyDescent="0.25">
      <c r="A622" s="120">
        <v>223292</v>
      </c>
      <c r="B622" s="120">
        <v>39026</v>
      </c>
      <c r="C622" s="121" t="s">
        <v>2166</v>
      </c>
      <c r="D622" s="121" t="s">
        <v>2414</v>
      </c>
      <c r="E622" s="121" t="s">
        <v>2167</v>
      </c>
      <c r="F622" s="121" t="s">
        <v>2167</v>
      </c>
      <c r="G622" s="121" t="s">
        <v>2</v>
      </c>
      <c r="H622" s="122">
        <v>160</v>
      </c>
      <c r="I622" s="122">
        <v>309</v>
      </c>
      <c r="J622" s="121" t="s">
        <v>2377</v>
      </c>
      <c r="K622" s="121" t="s">
        <v>1</v>
      </c>
      <c r="L622" s="121" t="s">
        <v>1824</v>
      </c>
      <c r="M622" s="121"/>
      <c r="N622" s="103" t="str">
        <f t="shared" si="9"/>
        <v>1ск6</v>
      </c>
      <c r="O622" s="103" t="str">
        <f>INDEX(Кат!$I:$I,MATCH($A622,Кат!$A:$A,0))</f>
        <v>БРТ</v>
      </c>
    </row>
    <row r="623" spans="1:15" ht="45" x14ac:dyDescent="0.25">
      <c r="A623" s="120">
        <v>223293</v>
      </c>
      <c r="B623" s="120">
        <v>4954</v>
      </c>
      <c r="C623" s="121" t="s">
        <v>2477</v>
      </c>
      <c r="D623" s="121" t="s">
        <v>2414</v>
      </c>
      <c r="E623" s="121"/>
      <c r="F623" s="121"/>
      <c r="G623" s="121" t="s">
        <v>2</v>
      </c>
      <c r="H623" s="122">
        <v>1128</v>
      </c>
      <c r="I623" s="122">
        <v>2790</v>
      </c>
      <c r="J623" s="121" t="s">
        <v>2500</v>
      </c>
      <c r="K623" s="121" t="s">
        <v>1</v>
      </c>
      <c r="L623" s="121"/>
      <c r="M623" s="121"/>
      <c r="N623" s="103" t="str">
        <f t="shared" si="9"/>
        <v>1</v>
      </c>
      <c r="O623" s="103" t="str">
        <f>INDEX(Кат!$I:$I,MATCH($A623,Кат!$A:$A,0))</f>
        <v>БРТ</v>
      </c>
    </row>
    <row r="624" spans="1:15" ht="30" x14ac:dyDescent="0.25">
      <c r="A624" s="120">
        <v>223294</v>
      </c>
      <c r="B624" s="120">
        <v>20460</v>
      </c>
      <c r="C624" s="121" t="s">
        <v>179</v>
      </c>
      <c r="D624" s="121" t="s">
        <v>2414</v>
      </c>
      <c r="E624" s="121" t="s">
        <v>2061</v>
      </c>
      <c r="F624" s="121"/>
      <c r="G624" s="121" t="s">
        <v>2</v>
      </c>
      <c r="H624" s="122">
        <v>1218</v>
      </c>
      <c r="I624" s="122">
        <v>1590</v>
      </c>
      <c r="J624" s="121"/>
      <c r="K624" s="121" t="s">
        <v>1</v>
      </c>
      <c r="L624" s="121" t="s">
        <v>1824</v>
      </c>
      <c r="M624" s="121"/>
      <c r="N624" s="103" t="str">
        <f t="shared" si="9"/>
        <v>1ск6</v>
      </c>
      <c r="O624" s="103" t="str">
        <f>INDEX(Кат!$I:$I,MATCH($A624,Кат!$A:$A,0))</f>
        <v>БРТ</v>
      </c>
    </row>
    <row r="625" spans="1:15" ht="45" x14ac:dyDescent="0.25">
      <c r="A625" s="120">
        <v>223295</v>
      </c>
      <c r="B625" s="120">
        <v>36980</v>
      </c>
      <c r="C625" s="121" t="s">
        <v>1728</v>
      </c>
      <c r="D625" s="121" t="s">
        <v>2414</v>
      </c>
      <c r="E625" s="121" t="s">
        <v>2733</v>
      </c>
      <c r="F625" s="121" t="s">
        <v>778</v>
      </c>
      <c r="G625" s="121" t="s">
        <v>2</v>
      </c>
      <c r="H625" s="122">
        <v>1400</v>
      </c>
      <c r="I625" s="122">
        <v>1890</v>
      </c>
      <c r="J625" s="121" t="s">
        <v>2529</v>
      </c>
      <c r="K625" s="121" t="s">
        <v>1</v>
      </c>
      <c r="L625" s="121"/>
      <c r="M625" s="121"/>
      <c r="N625" s="103" t="str">
        <f t="shared" si="9"/>
        <v>1</v>
      </c>
      <c r="O625" s="103" t="str">
        <f>INDEX(Кат!$I:$I,MATCH($A625,Кат!$A:$A,0))</f>
        <v>БРТ</v>
      </c>
    </row>
    <row r="626" spans="1:15" ht="45" x14ac:dyDescent="0.25">
      <c r="A626" s="120">
        <v>223296</v>
      </c>
      <c r="B626" s="120">
        <v>20489</v>
      </c>
      <c r="C626" s="121" t="s">
        <v>1478</v>
      </c>
      <c r="D626" s="121" t="s">
        <v>2414</v>
      </c>
      <c r="E626" s="121" t="s">
        <v>2079</v>
      </c>
      <c r="F626" s="121"/>
      <c r="G626" s="121" t="s">
        <v>2</v>
      </c>
      <c r="H626" s="122">
        <v>998</v>
      </c>
      <c r="I626" s="122">
        <v>1390</v>
      </c>
      <c r="J626" s="121" t="s">
        <v>2332</v>
      </c>
      <c r="K626" s="121" t="s">
        <v>1</v>
      </c>
      <c r="L626" s="121"/>
      <c r="M626" s="121"/>
      <c r="N626" s="103" t="str">
        <f t="shared" si="9"/>
        <v>1</v>
      </c>
      <c r="O626" s="103" t="str">
        <f>INDEX(Кат!$I:$I,MATCH($A626,Кат!$A:$A,0))</f>
        <v>БРТ</v>
      </c>
    </row>
    <row r="627" spans="1:15" ht="45" x14ac:dyDescent="0.25">
      <c r="A627" s="120">
        <v>223298</v>
      </c>
      <c r="B627" s="120">
        <v>20475</v>
      </c>
      <c r="C627" s="121" t="s">
        <v>209</v>
      </c>
      <c r="D627" s="121" t="s">
        <v>2414</v>
      </c>
      <c r="E627" s="121" t="s">
        <v>2073</v>
      </c>
      <c r="F627" s="121"/>
      <c r="G627" s="121" t="s">
        <v>2</v>
      </c>
      <c r="H627" s="122">
        <v>395</v>
      </c>
      <c r="I627" s="122">
        <v>649</v>
      </c>
      <c r="J627" s="121" t="s">
        <v>2374</v>
      </c>
      <c r="K627" s="121" t="s">
        <v>1</v>
      </c>
      <c r="L627" s="121"/>
      <c r="M627" s="121"/>
      <c r="N627" s="103" t="str">
        <f t="shared" si="9"/>
        <v>1</v>
      </c>
      <c r="O627" s="103" t="str">
        <f>INDEX(Кат!$I:$I,MATCH($A627,Кат!$A:$A,0))</f>
        <v>БРТ</v>
      </c>
    </row>
    <row r="628" spans="1:15" ht="60" x14ac:dyDescent="0.25">
      <c r="A628" s="120">
        <v>223302</v>
      </c>
      <c r="B628" s="120">
        <v>38675</v>
      </c>
      <c r="C628" s="121" t="s">
        <v>2164</v>
      </c>
      <c r="D628" s="121" t="s">
        <v>2414</v>
      </c>
      <c r="E628" s="121" t="s">
        <v>2165</v>
      </c>
      <c r="F628" s="121"/>
      <c r="G628" s="121" t="s">
        <v>2</v>
      </c>
      <c r="H628" s="122"/>
      <c r="I628" s="122">
        <v>79</v>
      </c>
      <c r="J628" s="121" t="s">
        <v>2376</v>
      </c>
      <c r="K628" s="121" t="s">
        <v>1</v>
      </c>
      <c r="L628" s="121" t="s">
        <v>1824</v>
      </c>
      <c r="M628" s="121"/>
      <c r="N628" s="103" t="str">
        <f t="shared" si="9"/>
        <v>1ск6</v>
      </c>
      <c r="O628" s="103" t="str">
        <f>INDEX(Кат!$I:$I,MATCH($A628,Кат!$A:$A,0))</f>
        <v>БРТ</v>
      </c>
    </row>
    <row r="629" spans="1:15" ht="60" x14ac:dyDescent="0.25">
      <c r="A629" s="120">
        <v>223303</v>
      </c>
      <c r="B629" s="120">
        <v>24867</v>
      </c>
      <c r="C629" s="121" t="s">
        <v>111</v>
      </c>
      <c r="D629" s="121" t="s">
        <v>2414</v>
      </c>
      <c r="E629" s="121" t="s">
        <v>636</v>
      </c>
      <c r="F629" s="121"/>
      <c r="G629" s="121" t="s">
        <v>2</v>
      </c>
      <c r="H629" s="122">
        <v>20</v>
      </c>
      <c r="I629" s="122">
        <v>69</v>
      </c>
      <c r="J629" s="121" t="s">
        <v>2294</v>
      </c>
      <c r="K629" s="121" t="s">
        <v>1</v>
      </c>
      <c r="L629" s="121" t="s">
        <v>1824</v>
      </c>
      <c r="M629" s="121"/>
      <c r="N629" s="103" t="str">
        <f t="shared" si="9"/>
        <v>1ск6</v>
      </c>
      <c r="O629" s="103" t="str">
        <f>INDEX(Кат!$I:$I,MATCH($A629,Кат!$A:$A,0))</f>
        <v>БРТ</v>
      </c>
    </row>
    <row r="630" spans="1:15" ht="30" x14ac:dyDescent="0.25">
      <c r="A630" s="120">
        <v>223705</v>
      </c>
      <c r="B630" s="120">
        <v>19798</v>
      </c>
      <c r="C630" s="121" t="s">
        <v>2764</v>
      </c>
      <c r="D630" s="121" t="s">
        <v>2467</v>
      </c>
      <c r="E630" s="121" t="s">
        <v>1894</v>
      </c>
      <c r="F630" s="121"/>
      <c r="G630" s="121" t="s">
        <v>2</v>
      </c>
      <c r="H630" s="122">
        <v>90</v>
      </c>
      <c r="I630" s="122">
        <v>199</v>
      </c>
      <c r="J630" s="121"/>
      <c r="K630" s="121" t="s">
        <v>1</v>
      </c>
      <c r="L630" s="121"/>
      <c r="M630" s="121"/>
      <c r="N630" s="103" t="str">
        <f t="shared" si="9"/>
        <v>1</v>
      </c>
      <c r="O630" s="103" t="str">
        <f>INDEX(Кат!$I:$I,MATCH($A630,Кат!$A:$A,0))</f>
        <v>БРТ</v>
      </c>
    </row>
    <row r="631" spans="1:15" ht="30" x14ac:dyDescent="0.25">
      <c r="A631" s="120">
        <v>223706</v>
      </c>
      <c r="B631" s="120">
        <v>19799</v>
      </c>
      <c r="C631" s="121" t="s">
        <v>2765</v>
      </c>
      <c r="D631" s="121" t="s">
        <v>2414</v>
      </c>
      <c r="E631" s="121" t="s">
        <v>288</v>
      </c>
      <c r="F631" s="121"/>
      <c r="G631" s="121" t="s">
        <v>2</v>
      </c>
      <c r="H631" s="122">
        <v>99</v>
      </c>
      <c r="I631" s="122">
        <v>219</v>
      </c>
      <c r="J631" s="121"/>
      <c r="K631" s="121" t="s">
        <v>1</v>
      </c>
      <c r="L631" s="121"/>
      <c r="M631" s="121"/>
      <c r="N631" s="103" t="str">
        <f t="shared" si="9"/>
        <v>1</v>
      </c>
      <c r="O631" s="103" t="str">
        <f>INDEX(Кат!$I:$I,MATCH($A631,Кат!$A:$A,0))</f>
        <v>БРТ</v>
      </c>
    </row>
    <row r="632" spans="1:15" ht="30" x14ac:dyDescent="0.25">
      <c r="A632" s="120">
        <v>224897</v>
      </c>
      <c r="B632" s="120">
        <v>35594</v>
      </c>
      <c r="C632" s="121" t="s">
        <v>1701</v>
      </c>
      <c r="D632" s="121" t="s">
        <v>2414</v>
      </c>
      <c r="E632" s="121" t="s">
        <v>1452</v>
      </c>
      <c r="F632" s="121" t="s">
        <v>1452</v>
      </c>
      <c r="G632" s="121" t="s">
        <v>2</v>
      </c>
      <c r="H632" s="122">
        <v>214</v>
      </c>
      <c r="I632" s="122">
        <v>369</v>
      </c>
      <c r="J632" s="121"/>
      <c r="K632" s="121" t="s">
        <v>1</v>
      </c>
      <c r="L632" s="121"/>
      <c r="M632" s="121"/>
      <c r="N632" s="103" t="str">
        <f t="shared" si="9"/>
        <v>1</v>
      </c>
      <c r="O632" s="103" t="str">
        <f>INDEX(Кат!$I:$I,MATCH($A632,Кат!$A:$A,0))</f>
        <v>БРТ</v>
      </c>
    </row>
    <row r="633" spans="1:15" ht="30" x14ac:dyDescent="0.25">
      <c r="A633" s="120">
        <v>224898</v>
      </c>
      <c r="B633" s="120">
        <v>35440</v>
      </c>
      <c r="C633" s="121" t="s">
        <v>1627</v>
      </c>
      <c r="D633" s="121" t="s">
        <v>2414</v>
      </c>
      <c r="E633" s="121" t="s">
        <v>497</v>
      </c>
      <c r="F633" s="121" t="s">
        <v>497</v>
      </c>
      <c r="G633" s="121" t="s">
        <v>2</v>
      </c>
      <c r="H633" s="122">
        <v>155</v>
      </c>
      <c r="I633" s="122">
        <v>269</v>
      </c>
      <c r="J633" s="121"/>
      <c r="K633" s="121" t="s">
        <v>1</v>
      </c>
      <c r="L633" s="121"/>
      <c r="M633" s="121"/>
      <c r="N633" s="103" t="str">
        <f t="shared" si="9"/>
        <v>1</v>
      </c>
      <c r="O633" s="103" t="str">
        <f>INDEX(Кат!$I:$I,MATCH($A633,Кат!$A:$A,0))</f>
        <v>БРТ</v>
      </c>
    </row>
    <row r="634" spans="1:15" ht="45" x14ac:dyDescent="0.25">
      <c r="A634" s="120">
        <v>224899</v>
      </c>
      <c r="B634" s="120">
        <v>35447</v>
      </c>
      <c r="C634" s="121" t="s">
        <v>1629</v>
      </c>
      <c r="D634" s="121" t="s">
        <v>2414</v>
      </c>
      <c r="E634" s="121" t="s">
        <v>498</v>
      </c>
      <c r="F634" s="121" t="s">
        <v>498</v>
      </c>
      <c r="G634" s="121" t="s">
        <v>2</v>
      </c>
      <c r="H634" s="122">
        <v>86</v>
      </c>
      <c r="I634" s="122">
        <v>189</v>
      </c>
      <c r="J634" s="121"/>
      <c r="K634" s="121" t="s">
        <v>1</v>
      </c>
      <c r="L634" s="121"/>
      <c r="M634" s="121"/>
      <c r="N634" s="103" t="str">
        <f t="shared" si="9"/>
        <v>1</v>
      </c>
      <c r="O634" s="103" t="str">
        <f>INDEX(Кат!$I:$I,MATCH($A634,Кат!$A:$A,0))</f>
        <v>БРТ</v>
      </c>
    </row>
    <row r="635" spans="1:15" ht="45" x14ac:dyDescent="0.25">
      <c r="A635" s="120">
        <v>224906</v>
      </c>
      <c r="B635" s="120">
        <v>20519</v>
      </c>
      <c r="C635" s="121" t="s">
        <v>190</v>
      </c>
      <c r="D635" s="121" t="s">
        <v>2414</v>
      </c>
      <c r="E635" s="121" t="s">
        <v>2734</v>
      </c>
      <c r="F635" s="121"/>
      <c r="G635" s="121" t="s">
        <v>2</v>
      </c>
      <c r="H635" s="122">
        <v>69</v>
      </c>
      <c r="I635" s="122">
        <v>309</v>
      </c>
      <c r="J635" s="121" t="s">
        <v>2639</v>
      </c>
      <c r="K635" s="121" t="s">
        <v>1</v>
      </c>
      <c r="L635" s="121"/>
      <c r="M635" s="121"/>
      <c r="N635" s="103" t="str">
        <f t="shared" si="9"/>
        <v>1</v>
      </c>
      <c r="O635" s="103" t="str">
        <f>INDEX(Кат!$I:$I,MATCH($A635,Кат!$A:$A,0))</f>
        <v>БРТ</v>
      </c>
    </row>
    <row r="636" spans="1:15" ht="45" x14ac:dyDescent="0.25">
      <c r="A636" s="120">
        <v>224907</v>
      </c>
      <c r="B636" s="120">
        <v>20520</v>
      </c>
      <c r="C636" s="121" t="s">
        <v>129</v>
      </c>
      <c r="D636" s="121" t="s">
        <v>2414</v>
      </c>
      <c r="E636" s="121" t="s">
        <v>2094</v>
      </c>
      <c r="F636" s="121"/>
      <c r="G636" s="121" t="s">
        <v>2</v>
      </c>
      <c r="H636" s="122">
        <v>149</v>
      </c>
      <c r="I636" s="122">
        <v>259</v>
      </c>
      <c r="J636" s="121" t="s">
        <v>2592</v>
      </c>
      <c r="K636" s="121" t="s">
        <v>1</v>
      </c>
      <c r="L636" s="121"/>
      <c r="M636" s="121"/>
      <c r="N636" s="103" t="str">
        <f t="shared" si="9"/>
        <v>1</v>
      </c>
      <c r="O636" s="103" t="str">
        <f>INDEX(Кат!$I:$I,MATCH($A636,Кат!$A:$A,0))</f>
        <v>БРТ</v>
      </c>
    </row>
    <row r="637" spans="1:15" ht="45" x14ac:dyDescent="0.25">
      <c r="A637" s="120">
        <v>224908</v>
      </c>
      <c r="B637" s="120">
        <v>20521</v>
      </c>
      <c r="C637" s="121" t="s">
        <v>85</v>
      </c>
      <c r="D637" s="121" t="s">
        <v>2414</v>
      </c>
      <c r="E637" s="121" t="s">
        <v>2735</v>
      </c>
      <c r="F637" s="121"/>
      <c r="G637" s="121" t="s">
        <v>2</v>
      </c>
      <c r="H637" s="122">
        <v>75</v>
      </c>
      <c r="I637" s="122">
        <v>159</v>
      </c>
      <c r="J637" s="121" t="s">
        <v>2643</v>
      </c>
      <c r="K637" s="121" t="s">
        <v>1</v>
      </c>
      <c r="L637" s="121"/>
      <c r="M637" s="121"/>
      <c r="N637" s="103" t="str">
        <f t="shared" si="9"/>
        <v>1</v>
      </c>
      <c r="O637" s="103" t="str">
        <f>INDEX(Кат!$I:$I,MATCH($A637,Кат!$A:$A,0))</f>
        <v>БРТ</v>
      </c>
    </row>
    <row r="638" spans="1:15" ht="75" x14ac:dyDescent="0.25">
      <c r="A638" s="120">
        <v>225055</v>
      </c>
      <c r="B638" s="120">
        <v>20291</v>
      </c>
      <c r="C638" s="121" t="s">
        <v>2736</v>
      </c>
      <c r="D638" s="121" t="s">
        <v>2414</v>
      </c>
      <c r="E638" s="121" t="s">
        <v>396</v>
      </c>
      <c r="F638" s="121"/>
      <c r="G638" s="121" t="s">
        <v>2</v>
      </c>
      <c r="H638" s="122">
        <v>78</v>
      </c>
      <c r="I638" s="122">
        <v>159</v>
      </c>
      <c r="J638" s="121" t="s">
        <v>2646</v>
      </c>
      <c r="K638" s="121" t="s">
        <v>1</v>
      </c>
      <c r="L638" s="121"/>
      <c r="M638" s="121"/>
      <c r="N638" s="103" t="str">
        <f t="shared" si="9"/>
        <v>1</v>
      </c>
      <c r="O638" s="103" t="str">
        <f>INDEX(Кат!$I:$I,MATCH($A638,Кат!$A:$A,0))</f>
        <v>БРТ</v>
      </c>
    </row>
    <row r="639" spans="1:15" ht="45" x14ac:dyDescent="0.25">
      <c r="A639" s="120">
        <v>225056</v>
      </c>
      <c r="B639" s="120">
        <v>20515</v>
      </c>
      <c r="C639" s="121" t="s">
        <v>2737</v>
      </c>
      <c r="D639" s="121" t="s">
        <v>2414</v>
      </c>
      <c r="E639" s="121" t="s">
        <v>2091</v>
      </c>
      <c r="F639" s="121"/>
      <c r="G639" s="121" t="s">
        <v>2</v>
      </c>
      <c r="H639" s="122">
        <v>362</v>
      </c>
      <c r="I639" s="122">
        <v>549</v>
      </c>
      <c r="J639" s="121" t="s">
        <v>2595</v>
      </c>
      <c r="K639" s="121" t="s">
        <v>1</v>
      </c>
      <c r="L639" s="121"/>
      <c r="M639" s="121"/>
      <c r="N639" s="103" t="str">
        <f t="shared" si="9"/>
        <v>1</v>
      </c>
      <c r="O639" s="103" t="str">
        <f>INDEX(Кат!$I:$I,MATCH($A639,Кат!$A:$A,0))</f>
        <v>БРТ</v>
      </c>
    </row>
    <row r="640" spans="1:15" ht="45" x14ac:dyDescent="0.25">
      <c r="A640" s="120">
        <v>225057</v>
      </c>
      <c r="B640" s="120">
        <v>20516</v>
      </c>
      <c r="C640" s="121" t="s">
        <v>128</v>
      </c>
      <c r="D640" s="121" t="s">
        <v>2414</v>
      </c>
      <c r="E640" s="121" t="s">
        <v>2092</v>
      </c>
      <c r="F640" s="121"/>
      <c r="G640" s="121" t="s">
        <v>2</v>
      </c>
      <c r="H640" s="122">
        <v>420</v>
      </c>
      <c r="I640" s="122">
        <v>639</v>
      </c>
      <c r="J640" s="121" t="s">
        <v>2569</v>
      </c>
      <c r="K640" s="121" t="s">
        <v>1</v>
      </c>
      <c r="L640" s="121"/>
      <c r="M640" s="121"/>
      <c r="N640" s="103" t="str">
        <f t="shared" si="9"/>
        <v>1</v>
      </c>
      <c r="O640" s="103" t="str">
        <f>INDEX(Кат!$I:$I,MATCH($A640,Кат!$A:$A,0))</f>
        <v>БРТ</v>
      </c>
    </row>
    <row r="641" spans="1:15" ht="60" x14ac:dyDescent="0.25">
      <c r="A641" s="120">
        <v>225058</v>
      </c>
      <c r="B641" s="120">
        <v>20334</v>
      </c>
      <c r="C641" s="121" t="s">
        <v>2738</v>
      </c>
      <c r="D641" s="121" t="s">
        <v>2414</v>
      </c>
      <c r="E641" s="121" t="s">
        <v>1998</v>
      </c>
      <c r="F641" s="121"/>
      <c r="G641" s="121" t="s">
        <v>2</v>
      </c>
      <c r="H641" s="122">
        <v>201</v>
      </c>
      <c r="I641" s="122">
        <v>349</v>
      </c>
      <c r="J641" s="121"/>
      <c r="K641" s="121" t="s">
        <v>1</v>
      </c>
      <c r="L641" s="121"/>
      <c r="M641" s="121"/>
      <c r="N641" s="103" t="str">
        <f t="shared" si="9"/>
        <v>1</v>
      </c>
      <c r="O641" s="103" t="str">
        <f>INDEX(Кат!$I:$I,MATCH($A641,Кат!$A:$A,0))</f>
        <v>БРТ</v>
      </c>
    </row>
    <row r="642" spans="1:15" ht="45" x14ac:dyDescent="0.25">
      <c r="A642" s="120">
        <v>225060</v>
      </c>
      <c r="B642" s="120">
        <v>20272</v>
      </c>
      <c r="C642" s="121" t="s">
        <v>37</v>
      </c>
      <c r="D642" s="121" t="s">
        <v>2414</v>
      </c>
      <c r="E642" s="121" t="s">
        <v>1965</v>
      </c>
      <c r="F642" s="121"/>
      <c r="G642" s="121" t="s">
        <v>2</v>
      </c>
      <c r="H642" s="122">
        <v>63</v>
      </c>
      <c r="I642" s="122">
        <v>159</v>
      </c>
      <c r="J642" s="121" t="s">
        <v>2632</v>
      </c>
      <c r="K642" s="121" t="s">
        <v>1</v>
      </c>
      <c r="L642" s="121"/>
      <c r="M642" s="121"/>
      <c r="N642" s="103" t="str">
        <f t="shared" si="9"/>
        <v>1</v>
      </c>
      <c r="O642" s="103" t="str">
        <f>INDEX(Кат!$I:$I,MATCH($A642,Кат!$A:$A,0))</f>
        <v>БРТ</v>
      </c>
    </row>
    <row r="643" spans="1:15" ht="45" x14ac:dyDescent="0.25">
      <c r="A643" s="120">
        <v>225360</v>
      </c>
      <c r="B643" s="120">
        <v>19715</v>
      </c>
      <c r="C643" s="121" t="s">
        <v>117</v>
      </c>
      <c r="D643" s="121" t="s">
        <v>2414</v>
      </c>
      <c r="E643" s="121" t="s">
        <v>358</v>
      </c>
      <c r="F643" s="121"/>
      <c r="G643" s="121" t="s">
        <v>2</v>
      </c>
      <c r="H643" s="122">
        <v>10</v>
      </c>
      <c r="I643" s="122">
        <v>29</v>
      </c>
      <c r="J643" s="121"/>
      <c r="K643" s="121" t="s">
        <v>1</v>
      </c>
      <c r="L643" s="121"/>
      <c r="M643" s="121"/>
      <c r="N643" s="103" t="str">
        <f t="shared" ref="N643:N702" si="10">_xlfn.CONCAT(K643,IF(L643&lt;&gt;"",_xlfn.CONCAT("ск",L643),""))</f>
        <v>1</v>
      </c>
      <c r="O643" s="103" t="str">
        <f>INDEX(Кат!$I:$I,MATCH($A643,Кат!$A:$A,0))</f>
        <v>БРТ</v>
      </c>
    </row>
    <row r="644" spans="1:15" ht="45" x14ac:dyDescent="0.25">
      <c r="A644" s="120">
        <v>225361</v>
      </c>
      <c r="B644" s="120">
        <v>20503</v>
      </c>
      <c r="C644" s="121" t="s">
        <v>130</v>
      </c>
      <c r="D644" s="121" t="s">
        <v>2414</v>
      </c>
      <c r="E644" s="121" t="s">
        <v>2088</v>
      </c>
      <c r="F644" s="121"/>
      <c r="G644" s="121" t="s">
        <v>2</v>
      </c>
      <c r="H644" s="122">
        <v>60</v>
      </c>
      <c r="I644" s="122">
        <v>129</v>
      </c>
      <c r="J644" s="121" t="s">
        <v>2636</v>
      </c>
      <c r="K644" s="121" t="s">
        <v>2418</v>
      </c>
      <c r="L644" s="121"/>
      <c r="M644" s="121"/>
      <c r="N644" s="103" t="str">
        <f t="shared" si="10"/>
        <v>0</v>
      </c>
      <c r="O644" s="103" t="str">
        <f>INDEX(Кат!$I:$I,MATCH($A644,Кат!$A:$A,0))</f>
        <v>БРТ</v>
      </c>
    </row>
    <row r="645" spans="1:15" ht="45" x14ac:dyDescent="0.25">
      <c r="A645" s="120">
        <v>225365</v>
      </c>
      <c r="B645" s="120">
        <v>20331</v>
      </c>
      <c r="C645" s="121" t="s">
        <v>49</v>
      </c>
      <c r="D645" s="121" t="s">
        <v>2414</v>
      </c>
      <c r="E645" s="121" t="s">
        <v>2739</v>
      </c>
      <c r="F645" s="121"/>
      <c r="G645" s="121" t="s">
        <v>2</v>
      </c>
      <c r="H645" s="122">
        <v>65</v>
      </c>
      <c r="I645" s="122">
        <v>159</v>
      </c>
      <c r="J645" s="121" t="s">
        <v>2637</v>
      </c>
      <c r="K645" s="121" t="s">
        <v>1</v>
      </c>
      <c r="L645" s="121"/>
      <c r="M645" s="121"/>
      <c r="N645" s="103" t="str">
        <f t="shared" si="10"/>
        <v>1</v>
      </c>
      <c r="O645" s="103" t="str">
        <f>INDEX(Кат!$I:$I,MATCH($A645,Кат!$A:$A,0))</f>
        <v>БРТ</v>
      </c>
    </row>
    <row r="646" spans="1:15" ht="45" x14ac:dyDescent="0.25">
      <c r="A646" s="120">
        <v>225366</v>
      </c>
      <c r="B646" s="120">
        <v>20332</v>
      </c>
      <c r="C646" s="121" t="s">
        <v>97</v>
      </c>
      <c r="D646" s="121" t="s">
        <v>2414</v>
      </c>
      <c r="E646" s="121" t="s">
        <v>2740</v>
      </c>
      <c r="F646" s="121"/>
      <c r="G646" s="121" t="s">
        <v>2</v>
      </c>
      <c r="H646" s="122">
        <v>174</v>
      </c>
      <c r="I646" s="122">
        <v>299</v>
      </c>
      <c r="J646" s="121"/>
      <c r="K646" s="121" t="s">
        <v>1</v>
      </c>
      <c r="L646" s="121"/>
      <c r="M646" s="121"/>
      <c r="N646" s="103" t="str">
        <f t="shared" si="10"/>
        <v>1</v>
      </c>
      <c r="O646" s="103" t="str">
        <f>INDEX(Кат!$I:$I,MATCH($A646,Кат!$A:$A,0))</f>
        <v>БРТ</v>
      </c>
    </row>
    <row r="647" spans="1:15" ht="45" x14ac:dyDescent="0.25">
      <c r="A647" s="120">
        <v>225370</v>
      </c>
      <c r="B647" s="120">
        <v>19622</v>
      </c>
      <c r="C647" s="121" t="s">
        <v>1887</v>
      </c>
      <c r="D647" s="121" t="s">
        <v>2414</v>
      </c>
      <c r="E647" s="121" t="s">
        <v>2741</v>
      </c>
      <c r="F647" s="121"/>
      <c r="G647" s="121" t="s">
        <v>2</v>
      </c>
      <c r="H647" s="122">
        <v>404</v>
      </c>
      <c r="I647" s="122">
        <v>609</v>
      </c>
      <c r="J647" s="121" t="s">
        <v>2572</v>
      </c>
      <c r="K647" s="121" t="s">
        <v>1</v>
      </c>
      <c r="L647" s="121"/>
      <c r="M647" s="121"/>
      <c r="N647" s="103" t="str">
        <f t="shared" si="10"/>
        <v>1</v>
      </c>
      <c r="O647" s="103" t="str">
        <f>INDEX(Кат!$I:$I,MATCH($A647,Кат!$A:$A,0))</f>
        <v>БРТ</v>
      </c>
    </row>
    <row r="648" spans="1:15" ht="45" x14ac:dyDescent="0.25">
      <c r="A648" s="120">
        <v>225389</v>
      </c>
      <c r="B648" s="120">
        <v>20517</v>
      </c>
      <c r="C648" s="121" t="s">
        <v>115</v>
      </c>
      <c r="D648" s="121" t="s">
        <v>2414</v>
      </c>
      <c r="E648" s="121" t="s">
        <v>2093</v>
      </c>
      <c r="F648" s="121"/>
      <c r="G648" s="121" t="s">
        <v>2</v>
      </c>
      <c r="H648" s="122">
        <v>123</v>
      </c>
      <c r="I648" s="122">
        <v>219</v>
      </c>
      <c r="J648" s="121"/>
      <c r="K648" s="121" t="s">
        <v>1</v>
      </c>
      <c r="L648" s="121"/>
      <c r="M648" s="121"/>
      <c r="N648" s="103" t="str">
        <f t="shared" si="10"/>
        <v>1</v>
      </c>
      <c r="O648" s="103" t="str">
        <f>INDEX(Кат!$I:$I,MATCH($A648,Кат!$A:$A,0))</f>
        <v>БРТ</v>
      </c>
    </row>
    <row r="649" spans="1:15" ht="30" x14ac:dyDescent="0.25">
      <c r="A649" s="120">
        <v>225392</v>
      </c>
      <c r="B649" s="120">
        <v>20317</v>
      </c>
      <c r="C649" s="121" t="s">
        <v>192</v>
      </c>
      <c r="D649" s="121" t="s">
        <v>2414</v>
      </c>
      <c r="E649" s="121" t="s">
        <v>1991</v>
      </c>
      <c r="F649" s="121"/>
      <c r="G649" s="121" t="s">
        <v>2</v>
      </c>
      <c r="H649" s="122">
        <v>175</v>
      </c>
      <c r="I649" s="122">
        <v>309</v>
      </c>
      <c r="J649" s="121"/>
      <c r="K649" s="121" t="s">
        <v>1</v>
      </c>
      <c r="L649" s="121"/>
      <c r="M649" s="121"/>
      <c r="N649" s="103" t="str">
        <f t="shared" si="10"/>
        <v>1</v>
      </c>
      <c r="O649" s="103" t="str">
        <f>INDEX(Кат!$I:$I,MATCH($A649,Кат!$A:$A,0))</f>
        <v>БРТ</v>
      </c>
    </row>
    <row r="650" spans="1:15" ht="45" x14ac:dyDescent="0.25">
      <c r="A650" s="120">
        <v>225393</v>
      </c>
      <c r="B650" s="120">
        <v>20319</v>
      </c>
      <c r="C650" s="121" t="s">
        <v>149</v>
      </c>
      <c r="D650" s="121" t="s">
        <v>2414</v>
      </c>
      <c r="E650" s="121" t="s">
        <v>1993</v>
      </c>
      <c r="F650" s="121"/>
      <c r="G650" s="121" t="s">
        <v>2</v>
      </c>
      <c r="H650" s="122">
        <v>249</v>
      </c>
      <c r="I650" s="122">
        <v>429</v>
      </c>
      <c r="J650" s="121"/>
      <c r="K650" s="121" t="s">
        <v>1</v>
      </c>
      <c r="L650" s="121"/>
      <c r="M650" s="121"/>
      <c r="N650" s="103" t="str">
        <f t="shared" si="10"/>
        <v>1</v>
      </c>
      <c r="O650" s="103" t="str">
        <f>INDEX(Кат!$I:$I,MATCH($A650,Кат!$A:$A,0))</f>
        <v>БРТ</v>
      </c>
    </row>
    <row r="651" spans="1:15" ht="30" x14ac:dyDescent="0.25">
      <c r="A651" s="120">
        <v>225395</v>
      </c>
      <c r="B651" s="120">
        <v>20321</v>
      </c>
      <c r="C651" s="121" t="s">
        <v>141</v>
      </c>
      <c r="D651" s="121" t="s">
        <v>2414</v>
      </c>
      <c r="E651" s="121" t="s">
        <v>1995</v>
      </c>
      <c r="F651" s="121"/>
      <c r="G651" s="121" t="s">
        <v>2</v>
      </c>
      <c r="H651" s="122">
        <v>81</v>
      </c>
      <c r="I651" s="122">
        <v>179</v>
      </c>
      <c r="J651" s="121"/>
      <c r="K651" s="121" t="s">
        <v>1</v>
      </c>
      <c r="L651" s="121"/>
      <c r="M651" s="121"/>
      <c r="N651" s="103" t="str">
        <f t="shared" si="10"/>
        <v>1</v>
      </c>
      <c r="O651" s="103" t="str">
        <f>INDEX(Кат!$I:$I,MATCH($A651,Кат!$A:$A,0))</f>
        <v>БРТ</v>
      </c>
    </row>
    <row r="652" spans="1:15" ht="30" x14ac:dyDescent="0.25">
      <c r="A652" s="120">
        <v>225396</v>
      </c>
      <c r="B652" s="120">
        <v>20320</v>
      </c>
      <c r="C652" s="121" t="s">
        <v>47</v>
      </c>
      <c r="D652" s="121" t="s">
        <v>2414</v>
      </c>
      <c r="E652" s="121" t="s">
        <v>1994</v>
      </c>
      <c r="F652" s="121"/>
      <c r="G652" s="121" t="s">
        <v>2</v>
      </c>
      <c r="H652" s="122">
        <v>138</v>
      </c>
      <c r="I652" s="122">
        <v>239</v>
      </c>
      <c r="J652" s="121"/>
      <c r="K652" s="121" t="s">
        <v>1</v>
      </c>
      <c r="L652" s="121"/>
      <c r="M652" s="121"/>
      <c r="N652" s="103" t="str">
        <f t="shared" si="10"/>
        <v>1</v>
      </c>
      <c r="O652" s="103" t="str">
        <f>INDEX(Кат!$I:$I,MATCH($A652,Кат!$A:$A,0))</f>
        <v>БРТ</v>
      </c>
    </row>
    <row r="653" spans="1:15" ht="30" x14ac:dyDescent="0.25">
      <c r="A653" s="120">
        <v>225397</v>
      </c>
      <c r="B653" s="120">
        <v>20314</v>
      </c>
      <c r="C653" s="121" t="s">
        <v>133</v>
      </c>
      <c r="D653" s="121" t="s">
        <v>2414</v>
      </c>
      <c r="E653" s="121" t="s">
        <v>1989</v>
      </c>
      <c r="F653" s="121"/>
      <c r="G653" s="121" t="s">
        <v>2</v>
      </c>
      <c r="H653" s="122">
        <v>101</v>
      </c>
      <c r="I653" s="122">
        <v>179</v>
      </c>
      <c r="J653" s="121"/>
      <c r="K653" s="121" t="s">
        <v>1</v>
      </c>
      <c r="L653" s="121"/>
      <c r="M653" s="121"/>
      <c r="N653" s="103" t="str">
        <f t="shared" si="10"/>
        <v>1</v>
      </c>
      <c r="O653" s="103" t="str">
        <f>INDEX(Кат!$I:$I,MATCH($A653,Кат!$A:$A,0))</f>
        <v>БРТ</v>
      </c>
    </row>
    <row r="654" spans="1:15" ht="30" x14ac:dyDescent="0.25">
      <c r="A654" s="120">
        <v>225400</v>
      </c>
      <c r="B654" s="120">
        <v>20298</v>
      </c>
      <c r="C654" s="121" t="s">
        <v>42</v>
      </c>
      <c r="D654" s="121" t="s">
        <v>2414</v>
      </c>
      <c r="E654" s="121" t="s">
        <v>1980</v>
      </c>
      <c r="F654" s="121"/>
      <c r="G654" s="121" t="s">
        <v>2</v>
      </c>
      <c r="H654" s="122">
        <v>220</v>
      </c>
      <c r="I654" s="122">
        <v>379</v>
      </c>
      <c r="J654" s="121"/>
      <c r="K654" s="121" t="s">
        <v>1</v>
      </c>
      <c r="L654" s="121"/>
      <c r="M654" s="121"/>
      <c r="N654" s="103" t="str">
        <f t="shared" si="10"/>
        <v>1</v>
      </c>
      <c r="O654" s="103" t="str">
        <f>INDEX(Кат!$I:$I,MATCH($A654,Кат!$A:$A,0))</f>
        <v>БРТ</v>
      </c>
    </row>
    <row r="655" spans="1:15" ht="45" x14ac:dyDescent="0.25">
      <c r="A655" s="120">
        <v>225402</v>
      </c>
      <c r="B655" s="120">
        <v>20297</v>
      </c>
      <c r="C655" s="121" t="s">
        <v>41</v>
      </c>
      <c r="D655" s="121" t="s">
        <v>2414</v>
      </c>
      <c r="E655" s="121" t="s">
        <v>1979</v>
      </c>
      <c r="F655" s="121"/>
      <c r="G655" s="121" t="s">
        <v>2</v>
      </c>
      <c r="H655" s="122">
        <v>220</v>
      </c>
      <c r="I655" s="122">
        <v>379</v>
      </c>
      <c r="J655" s="121"/>
      <c r="K655" s="121" t="s">
        <v>1</v>
      </c>
      <c r="L655" s="121"/>
      <c r="M655" s="121"/>
      <c r="N655" s="103" t="str">
        <f t="shared" si="10"/>
        <v>1</v>
      </c>
      <c r="O655" s="103" t="str">
        <f>INDEX(Кат!$I:$I,MATCH($A655,Кат!$A:$A,0))</f>
        <v>БРТ</v>
      </c>
    </row>
    <row r="656" spans="1:15" ht="30" x14ac:dyDescent="0.25">
      <c r="A656" s="120">
        <v>225423</v>
      </c>
      <c r="B656" s="120">
        <v>20305</v>
      </c>
      <c r="C656" s="121" t="s">
        <v>46</v>
      </c>
      <c r="D656" s="121" t="s">
        <v>2414</v>
      </c>
      <c r="E656" s="121" t="s">
        <v>1986</v>
      </c>
      <c r="F656" s="121"/>
      <c r="G656" s="121" t="s">
        <v>2</v>
      </c>
      <c r="H656" s="122">
        <v>267</v>
      </c>
      <c r="I656" s="122">
        <v>459</v>
      </c>
      <c r="J656" s="121"/>
      <c r="K656" s="121" t="s">
        <v>1</v>
      </c>
      <c r="L656" s="121"/>
      <c r="M656" s="121"/>
      <c r="N656" s="103" t="str">
        <f t="shared" si="10"/>
        <v>1</v>
      </c>
      <c r="O656" s="103" t="str">
        <f>INDEX(Кат!$I:$I,MATCH($A656,Кат!$A:$A,0))</f>
        <v>БРТ</v>
      </c>
    </row>
    <row r="657" spans="1:15" ht="30" x14ac:dyDescent="0.25">
      <c r="A657" s="120">
        <v>225426</v>
      </c>
      <c r="B657" s="120">
        <v>20304</v>
      </c>
      <c r="C657" s="121" t="s">
        <v>45</v>
      </c>
      <c r="D657" s="121" t="s">
        <v>2414</v>
      </c>
      <c r="E657" s="121" t="s">
        <v>1985</v>
      </c>
      <c r="F657" s="121"/>
      <c r="G657" s="121" t="s">
        <v>2</v>
      </c>
      <c r="H657" s="122">
        <v>110</v>
      </c>
      <c r="I657" s="122">
        <v>189</v>
      </c>
      <c r="J657" s="121"/>
      <c r="K657" s="121" t="s">
        <v>1</v>
      </c>
      <c r="L657" s="121"/>
      <c r="M657" s="121"/>
      <c r="N657" s="103" t="str">
        <f t="shared" si="10"/>
        <v>1</v>
      </c>
      <c r="O657" s="103" t="str">
        <f>INDEX(Кат!$I:$I,MATCH($A657,Кат!$A:$A,0))</f>
        <v>БРТ</v>
      </c>
    </row>
    <row r="658" spans="1:15" ht="30" x14ac:dyDescent="0.25">
      <c r="A658" s="120">
        <v>225427</v>
      </c>
      <c r="B658" s="120">
        <v>20306</v>
      </c>
      <c r="C658" s="121" t="s">
        <v>155</v>
      </c>
      <c r="D658" s="121" t="s">
        <v>2414</v>
      </c>
      <c r="E658" s="121" t="s">
        <v>1987</v>
      </c>
      <c r="F658" s="121"/>
      <c r="G658" s="121" t="s">
        <v>2</v>
      </c>
      <c r="H658" s="122">
        <v>305</v>
      </c>
      <c r="I658" s="122">
        <v>459</v>
      </c>
      <c r="J658" s="121"/>
      <c r="K658" s="121" t="s">
        <v>1</v>
      </c>
      <c r="L658" s="121"/>
      <c r="M658" s="121"/>
      <c r="N658" s="103" t="str">
        <f t="shared" si="10"/>
        <v>1</v>
      </c>
      <c r="O658" s="103" t="str">
        <f>INDEX(Кат!$I:$I,MATCH($A658,Кат!$A:$A,0))</f>
        <v>БРТ</v>
      </c>
    </row>
    <row r="659" spans="1:15" ht="45" x14ac:dyDescent="0.25">
      <c r="A659" s="120">
        <v>225912</v>
      </c>
      <c r="B659" s="120">
        <v>35368</v>
      </c>
      <c r="C659" s="121" t="s">
        <v>1586</v>
      </c>
      <c r="D659" s="121" t="s">
        <v>2414</v>
      </c>
      <c r="E659" s="121" t="s">
        <v>1587</v>
      </c>
      <c r="F659" s="121" t="s">
        <v>1587</v>
      </c>
      <c r="G659" s="121" t="s">
        <v>2</v>
      </c>
      <c r="H659" s="122">
        <v>30</v>
      </c>
      <c r="I659" s="122">
        <v>69</v>
      </c>
      <c r="J659" s="121"/>
      <c r="K659" s="121" t="s">
        <v>1</v>
      </c>
      <c r="L659" s="121"/>
      <c r="M659" s="121"/>
      <c r="N659" s="103" t="str">
        <f t="shared" si="10"/>
        <v>1</v>
      </c>
      <c r="O659" s="103" t="str">
        <f>INDEX(Кат!$I:$I,MATCH($A659,Кат!$A:$A,0))</f>
        <v>БРТ</v>
      </c>
    </row>
    <row r="660" spans="1:15" ht="45" x14ac:dyDescent="0.25">
      <c r="A660" s="120">
        <v>225913</v>
      </c>
      <c r="B660" s="120">
        <v>35328</v>
      </c>
      <c r="C660" s="121" t="s">
        <v>1566</v>
      </c>
      <c r="D660" s="121" t="s">
        <v>2414</v>
      </c>
      <c r="E660" s="121" t="s">
        <v>453</v>
      </c>
      <c r="F660" s="121" t="s">
        <v>453</v>
      </c>
      <c r="G660" s="121" t="s">
        <v>2</v>
      </c>
      <c r="H660" s="122">
        <v>363</v>
      </c>
      <c r="I660" s="122">
        <v>619</v>
      </c>
      <c r="J660" s="121" t="s">
        <v>2575</v>
      </c>
      <c r="K660" s="121" t="s">
        <v>1</v>
      </c>
      <c r="L660" s="121"/>
      <c r="M660" s="121"/>
      <c r="N660" s="103" t="str">
        <f t="shared" si="10"/>
        <v>1</v>
      </c>
      <c r="O660" s="103" t="str">
        <f>INDEX(Кат!$I:$I,MATCH($A660,Кат!$A:$A,0))</f>
        <v>БРТ</v>
      </c>
    </row>
    <row r="661" spans="1:15" ht="45" x14ac:dyDescent="0.25">
      <c r="A661" s="120">
        <v>225915</v>
      </c>
      <c r="B661" s="120">
        <v>35434</v>
      </c>
      <c r="C661" s="121" t="s">
        <v>1623</v>
      </c>
      <c r="D661" s="121" t="s">
        <v>2414</v>
      </c>
      <c r="E661" s="121" t="s">
        <v>481</v>
      </c>
      <c r="F661" s="121" t="s">
        <v>481</v>
      </c>
      <c r="G661" s="121" t="s">
        <v>2</v>
      </c>
      <c r="H661" s="122">
        <v>120</v>
      </c>
      <c r="I661" s="122">
        <v>199</v>
      </c>
      <c r="J661" s="121" t="s">
        <v>2368</v>
      </c>
      <c r="K661" s="121" t="s">
        <v>1</v>
      </c>
      <c r="L661" s="121"/>
      <c r="M661" s="121"/>
      <c r="N661" s="103" t="str">
        <f t="shared" si="10"/>
        <v>1</v>
      </c>
      <c r="O661" s="103" t="str">
        <f>INDEX(Кат!$I:$I,MATCH($A661,Кат!$A:$A,0))</f>
        <v>БРТ</v>
      </c>
    </row>
    <row r="662" spans="1:15" ht="45" x14ac:dyDescent="0.25">
      <c r="A662" s="120">
        <v>225916</v>
      </c>
      <c r="B662" s="120">
        <v>35336</v>
      </c>
      <c r="C662" s="121" t="s">
        <v>1572</v>
      </c>
      <c r="D662" s="121" t="s">
        <v>2414</v>
      </c>
      <c r="E662" s="121" t="s">
        <v>438</v>
      </c>
      <c r="F662" s="121" t="s">
        <v>438</v>
      </c>
      <c r="G662" s="121" t="s">
        <v>2</v>
      </c>
      <c r="H662" s="122">
        <v>105</v>
      </c>
      <c r="I662" s="122">
        <v>189</v>
      </c>
      <c r="J662" s="121"/>
      <c r="K662" s="121" t="s">
        <v>1</v>
      </c>
      <c r="L662" s="121"/>
      <c r="M662" s="121"/>
      <c r="N662" s="103" t="str">
        <f t="shared" si="10"/>
        <v>1</v>
      </c>
      <c r="O662" s="103" t="str">
        <f>INDEX(Кат!$I:$I,MATCH($A662,Кат!$A:$A,0))</f>
        <v>БРТ</v>
      </c>
    </row>
    <row r="663" spans="1:15" ht="30" x14ac:dyDescent="0.25">
      <c r="A663" s="120">
        <v>225917</v>
      </c>
      <c r="B663" s="120">
        <v>35582</v>
      </c>
      <c r="C663" s="121" t="s">
        <v>1695</v>
      </c>
      <c r="D663" s="121" t="s">
        <v>2414</v>
      </c>
      <c r="E663" s="121" t="s">
        <v>1435</v>
      </c>
      <c r="F663" s="121" t="s">
        <v>1435</v>
      </c>
      <c r="G663" s="121" t="s">
        <v>2</v>
      </c>
      <c r="H663" s="122">
        <v>70</v>
      </c>
      <c r="I663" s="122">
        <v>159</v>
      </c>
      <c r="J663" s="121"/>
      <c r="K663" s="121" t="s">
        <v>1</v>
      </c>
      <c r="L663" s="121"/>
      <c r="M663" s="121"/>
      <c r="N663" s="103" t="str">
        <f t="shared" si="10"/>
        <v>1</v>
      </c>
      <c r="O663" s="103" t="str">
        <f>INDEX(Кат!$I:$I,MATCH($A663,Кат!$A:$A,0))</f>
        <v>БРТ</v>
      </c>
    </row>
    <row r="664" spans="1:15" ht="45" x14ac:dyDescent="0.25">
      <c r="A664" s="120">
        <v>225918</v>
      </c>
      <c r="B664" s="120">
        <v>19800</v>
      </c>
      <c r="C664" s="121" t="s">
        <v>2478</v>
      </c>
      <c r="D664" s="121" t="s">
        <v>2414</v>
      </c>
      <c r="E664" s="121" t="s">
        <v>1895</v>
      </c>
      <c r="F664" s="121"/>
      <c r="G664" s="121" t="s">
        <v>2</v>
      </c>
      <c r="H664" s="122">
        <v>176</v>
      </c>
      <c r="I664" s="122">
        <v>309</v>
      </c>
      <c r="J664" s="121" t="s">
        <v>2361</v>
      </c>
      <c r="K664" s="121" t="s">
        <v>1</v>
      </c>
      <c r="L664" s="121"/>
      <c r="M664" s="121"/>
      <c r="N664" s="103" t="str">
        <f t="shared" si="10"/>
        <v>1</v>
      </c>
      <c r="O664" s="103" t="str">
        <f>INDEX(Кат!$I:$I,MATCH($A664,Кат!$A:$A,0))</f>
        <v>БРТ</v>
      </c>
    </row>
    <row r="665" spans="1:15" ht="45" x14ac:dyDescent="0.25">
      <c r="A665" s="120">
        <v>225919</v>
      </c>
      <c r="B665" s="120">
        <v>35365</v>
      </c>
      <c r="C665" s="121" t="s">
        <v>1585</v>
      </c>
      <c r="D665" s="121" t="s">
        <v>2414</v>
      </c>
      <c r="E665" s="121" t="s">
        <v>427</v>
      </c>
      <c r="F665" s="121" t="s">
        <v>427</v>
      </c>
      <c r="G665" s="121" t="s">
        <v>2</v>
      </c>
      <c r="H665" s="122">
        <v>72</v>
      </c>
      <c r="I665" s="122">
        <v>239</v>
      </c>
      <c r="J665" s="121" t="s">
        <v>2641</v>
      </c>
      <c r="K665" s="121" t="s">
        <v>1</v>
      </c>
      <c r="L665" s="121"/>
      <c r="M665" s="121"/>
      <c r="N665" s="103" t="str">
        <f t="shared" si="10"/>
        <v>1</v>
      </c>
      <c r="O665" s="103" t="str">
        <f>INDEX(Кат!$I:$I,MATCH($A665,Кат!$A:$A,0))</f>
        <v>БРТ</v>
      </c>
    </row>
    <row r="666" spans="1:15" ht="30" x14ac:dyDescent="0.25">
      <c r="A666" s="120">
        <v>225920</v>
      </c>
      <c r="B666" s="120">
        <v>35355</v>
      </c>
      <c r="C666" s="121" t="s">
        <v>1584</v>
      </c>
      <c r="D666" s="121" t="s">
        <v>2414</v>
      </c>
      <c r="E666" s="121" t="s">
        <v>328</v>
      </c>
      <c r="F666" s="121" t="s">
        <v>328</v>
      </c>
      <c r="G666" s="121" t="s">
        <v>2</v>
      </c>
      <c r="H666" s="122">
        <v>57</v>
      </c>
      <c r="I666" s="122">
        <v>129</v>
      </c>
      <c r="J666" s="121"/>
      <c r="K666" s="121" t="s">
        <v>1</v>
      </c>
      <c r="L666" s="121"/>
      <c r="M666" s="121"/>
      <c r="N666" s="103" t="str">
        <f t="shared" si="10"/>
        <v>1</v>
      </c>
      <c r="O666" s="103" t="str">
        <f>INDEX(Кат!$I:$I,MATCH($A666,Кат!$A:$A,0))</f>
        <v>БРТ</v>
      </c>
    </row>
    <row r="667" spans="1:15" ht="45" x14ac:dyDescent="0.25">
      <c r="A667" s="120">
        <v>225921</v>
      </c>
      <c r="B667" s="120">
        <v>35580</v>
      </c>
      <c r="C667" s="121" t="s">
        <v>1693</v>
      </c>
      <c r="D667" s="121" t="s">
        <v>2414</v>
      </c>
      <c r="E667" s="121" t="s">
        <v>595</v>
      </c>
      <c r="F667" s="121" t="s">
        <v>595</v>
      </c>
      <c r="G667" s="121" t="s">
        <v>2</v>
      </c>
      <c r="H667" s="122">
        <v>123</v>
      </c>
      <c r="I667" s="122">
        <v>219</v>
      </c>
      <c r="J667" s="121"/>
      <c r="K667" s="121" t="s">
        <v>1</v>
      </c>
      <c r="L667" s="121"/>
      <c r="M667" s="121"/>
      <c r="N667" s="103" t="str">
        <f t="shared" si="10"/>
        <v>1</v>
      </c>
      <c r="O667" s="103" t="str">
        <f>INDEX(Кат!$I:$I,MATCH($A667,Кат!$A:$A,0))</f>
        <v>БРТ</v>
      </c>
    </row>
    <row r="668" spans="1:15" ht="45" x14ac:dyDescent="0.25">
      <c r="A668" s="120">
        <v>225922</v>
      </c>
      <c r="B668" s="120">
        <v>35327</v>
      </c>
      <c r="C668" s="121" t="s">
        <v>1565</v>
      </c>
      <c r="D668" s="121" t="s">
        <v>2414</v>
      </c>
      <c r="E668" s="121" t="s">
        <v>387</v>
      </c>
      <c r="F668" s="121" t="s">
        <v>387</v>
      </c>
      <c r="G668" s="121" t="s">
        <v>2</v>
      </c>
      <c r="H668" s="122">
        <v>179</v>
      </c>
      <c r="I668" s="122">
        <v>309</v>
      </c>
      <c r="J668" s="121" t="s">
        <v>2360</v>
      </c>
      <c r="K668" s="121" t="s">
        <v>1</v>
      </c>
      <c r="L668" s="121"/>
      <c r="M668" s="121"/>
      <c r="N668" s="103" t="str">
        <f t="shared" si="10"/>
        <v>1</v>
      </c>
      <c r="O668" s="103" t="str">
        <f>INDEX(Кат!$I:$I,MATCH($A668,Кат!$A:$A,0))</f>
        <v>БРТ</v>
      </c>
    </row>
    <row r="669" spans="1:15" ht="45" x14ac:dyDescent="0.25">
      <c r="A669" s="120">
        <v>225923</v>
      </c>
      <c r="B669" s="120">
        <v>35330</v>
      </c>
      <c r="C669" s="121" t="s">
        <v>1567</v>
      </c>
      <c r="D669" s="121" t="s">
        <v>2414</v>
      </c>
      <c r="E669" s="121" t="s">
        <v>277</v>
      </c>
      <c r="F669" s="121" t="s">
        <v>277</v>
      </c>
      <c r="G669" s="121" t="s">
        <v>2</v>
      </c>
      <c r="H669" s="122">
        <v>246</v>
      </c>
      <c r="I669" s="122">
        <v>409</v>
      </c>
      <c r="J669" s="121" t="s">
        <v>2358</v>
      </c>
      <c r="K669" s="121" t="s">
        <v>1</v>
      </c>
      <c r="L669" s="121"/>
      <c r="M669" s="121"/>
      <c r="N669" s="103" t="str">
        <f t="shared" si="10"/>
        <v>1</v>
      </c>
      <c r="O669" s="103" t="str">
        <f>INDEX(Кат!$I:$I,MATCH($A669,Кат!$A:$A,0))</f>
        <v>БРТ</v>
      </c>
    </row>
    <row r="670" spans="1:15" ht="45" x14ac:dyDescent="0.25">
      <c r="A670" s="120">
        <v>225924</v>
      </c>
      <c r="B670" s="120">
        <v>35331</v>
      </c>
      <c r="C670" s="121" t="s">
        <v>1568</v>
      </c>
      <c r="D670" s="121" t="s">
        <v>2414</v>
      </c>
      <c r="E670" s="121" t="s">
        <v>356</v>
      </c>
      <c r="F670" s="121" t="s">
        <v>356</v>
      </c>
      <c r="G670" s="121" t="s">
        <v>2</v>
      </c>
      <c r="H670" s="122">
        <v>312</v>
      </c>
      <c r="I670" s="122">
        <v>619</v>
      </c>
      <c r="J670" s="121" t="s">
        <v>2354</v>
      </c>
      <c r="K670" s="121" t="s">
        <v>1</v>
      </c>
      <c r="L670" s="121"/>
      <c r="M670" s="121"/>
      <c r="N670" s="103" t="str">
        <f t="shared" si="10"/>
        <v>1</v>
      </c>
      <c r="O670" s="103" t="str">
        <f>INDEX(Кат!$I:$I,MATCH($A670,Кат!$A:$A,0))</f>
        <v>БРТ</v>
      </c>
    </row>
    <row r="671" spans="1:15" ht="45" x14ac:dyDescent="0.25">
      <c r="A671" s="120">
        <v>225925</v>
      </c>
      <c r="B671" s="120">
        <v>35335</v>
      </c>
      <c r="C671" s="121" t="s">
        <v>1571</v>
      </c>
      <c r="D671" s="121" t="s">
        <v>2414</v>
      </c>
      <c r="E671" s="121" t="s">
        <v>405</v>
      </c>
      <c r="F671" s="121" t="s">
        <v>405</v>
      </c>
      <c r="G671" s="121" t="s">
        <v>2</v>
      </c>
      <c r="H671" s="122">
        <v>370</v>
      </c>
      <c r="I671" s="122">
        <v>619</v>
      </c>
      <c r="J671" s="121" t="s">
        <v>2354</v>
      </c>
      <c r="K671" s="121" t="s">
        <v>1</v>
      </c>
      <c r="L671" s="121"/>
      <c r="M671" s="121"/>
      <c r="N671" s="103" t="str">
        <f t="shared" si="10"/>
        <v>1</v>
      </c>
      <c r="O671" s="103" t="str">
        <f>INDEX(Кат!$I:$I,MATCH($A671,Кат!$A:$A,0))</f>
        <v>БРТ</v>
      </c>
    </row>
    <row r="672" spans="1:15" ht="45" x14ac:dyDescent="0.25">
      <c r="A672" s="120">
        <v>225926</v>
      </c>
      <c r="B672" s="120">
        <v>35333</v>
      </c>
      <c r="C672" s="121" t="s">
        <v>1569</v>
      </c>
      <c r="D672" s="121" t="s">
        <v>2414</v>
      </c>
      <c r="E672" s="121" t="s">
        <v>451</v>
      </c>
      <c r="F672" s="121" t="s">
        <v>451</v>
      </c>
      <c r="G672" s="121" t="s">
        <v>2</v>
      </c>
      <c r="H672" s="122">
        <v>333</v>
      </c>
      <c r="I672" s="122">
        <v>619</v>
      </c>
      <c r="J672" s="121" t="s">
        <v>2357</v>
      </c>
      <c r="K672" s="121" t="s">
        <v>1</v>
      </c>
      <c r="L672" s="121"/>
      <c r="M672" s="121"/>
      <c r="N672" s="103" t="str">
        <f t="shared" si="10"/>
        <v>1</v>
      </c>
      <c r="O672" s="103" t="str">
        <f>INDEX(Кат!$I:$I,MATCH($A672,Кат!$A:$A,0))</f>
        <v>БРТ</v>
      </c>
    </row>
    <row r="673" spans="1:15" ht="45" x14ac:dyDescent="0.25">
      <c r="A673" s="120">
        <v>225927</v>
      </c>
      <c r="B673" s="120">
        <v>35334</v>
      </c>
      <c r="C673" s="121" t="s">
        <v>1570</v>
      </c>
      <c r="D673" s="121" t="s">
        <v>2414</v>
      </c>
      <c r="E673" s="121" t="s">
        <v>452</v>
      </c>
      <c r="F673" s="121" t="s">
        <v>452</v>
      </c>
      <c r="G673" s="121" t="s">
        <v>2</v>
      </c>
      <c r="H673" s="122">
        <v>317</v>
      </c>
      <c r="I673" s="122">
        <v>619</v>
      </c>
      <c r="J673" s="121" t="s">
        <v>2359</v>
      </c>
      <c r="K673" s="121" t="s">
        <v>1</v>
      </c>
      <c r="L673" s="121"/>
      <c r="M673" s="121"/>
      <c r="N673" s="103" t="str">
        <f t="shared" si="10"/>
        <v>1</v>
      </c>
      <c r="O673" s="103" t="str">
        <f>INDEX(Кат!$I:$I,MATCH($A673,Кат!$A:$A,0))</f>
        <v>БРТ</v>
      </c>
    </row>
    <row r="674" spans="1:15" ht="30" x14ac:dyDescent="0.25">
      <c r="A674" s="120">
        <v>225928</v>
      </c>
      <c r="B674" s="120">
        <v>35583</v>
      </c>
      <c r="C674" s="121" t="s">
        <v>1696</v>
      </c>
      <c r="D674" s="121" t="s">
        <v>2414</v>
      </c>
      <c r="E674" s="121" t="s">
        <v>3015</v>
      </c>
      <c r="F674" s="121" t="s">
        <v>1437</v>
      </c>
      <c r="G674" s="121" t="s">
        <v>2</v>
      </c>
      <c r="H674" s="122">
        <v>144</v>
      </c>
      <c r="I674" s="122">
        <v>249</v>
      </c>
      <c r="J674" s="121"/>
      <c r="K674" s="121" t="s">
        <v>1</v>
      </c>
      <c r="L674" s="121"/>
      <c r="M674" s="121"/>
      <c r="N674" s="103" t="str">
        <f t="shared" si="10"/>
        <v>1</v>
      </c>
      <c r="O674" s="103" t="str">
        <f>INDEX(Кат!$I:$I,MATCH($A674,Кат!$A:$A,0))</f>
        <v>БРТ</v>
      </c>
    </row>
    <row r="675" spans="1:15" ht="30" x14ac:dyDescent="0.25">
      <c r="A675" s="120">
        <v>225932</v>
      </c>
      <c r="B675" s="120">
        <v>19846</v>
      </c>
      <c r="C675" s="121" t="s">
        <v>2886</v>
      </c>
      <c r="D675" s="121" t="s">
        <v>2414</v>
      </c>
      <c r="E675" s="121" t="s">
        <v>572</v>
      </c>
      <c r="F675" s="121"/>
      <c r="G675" s="121" t="s">
        <v>2</v>
      </c>
      <c r="H675" s="122">
        <v>255</v>
      </c>
      <c r="I675" s="122">
        <v>439</v>
      </c>
      <c r="J675" s="121"/>
      <c r="K675" s="121" t="s">
        <v>1</v>
      </c>
      <c r="L675" s="121"/>
      <c r="M675" s="121"/>
      <c r="N675" s="103" t="str">
        <f t="shared" si="10"/>
        <v>1</v>
      </c>
      <c r="O675" s="103" t="str">
        <f>INDEX(Кат!$I:$I,MATCH($A675,Кат!$A:$A,0))</f>
        <v>БРТ</v>
      </c>
    </row>
    <row r="676" spans="1:15" ht="30" x14ac:dyDescent="0.25">
      <c r="A676" s="120">
        <v>225933</v>
      </c>
      <c r="B676" s="120">
        <v>19845</v>
      </c>
      <c r="C676" s="121" t="s">
        <v>2887</v>
      </c>
      <c r="D676" s="121" t="s">
        <v>2414</v>
      </c>
      <c r="E676" s="121" t="s">
        <v>1817</v>
      </c>
      <c r="F676" s="121"/>
      <c r="G676" s="121" t="s">
        <v>2</v>
      </c>
      <c r="H676" s="122">
        <v>390</v>
      </c>
      <c r="I676" s="122">
        <v>589</v>
      </c>
      <c r="J676" s="121"/>
      <c r="K676" s="121" t="s">
        <v>1</v>
      </c>
      <c r="L676" s="121"/>
      <c r="M676" s="121"/>
      <c r="N676" s="103" t="str">
        <f t="shared" si="10"/>
        <v>1</v>
      </c>
      <c r="O676" s="103" t="str">
        <f>INDEX(Кат!$I:$I,MATCH($A676,Кат!$A:$A,0))</f>
        <v>БРТ</v>
      </c>
    </row>
    <row r="677" spans="1:15" ht="45" x14ac:dyDescent="0.25">
      <c r="A677" s="120">
        <v>225940</v>
      </c>
      <c r="B677" s="120">
        <v>19950</v>
      </c>
      <c r="C677" s="121" t="s">
        <v>180</v>
      </c>
      <c r="D677" s="121" t="s">
        <v>2414</v>
      </c>
      <c r="E677" s="121" t="s">
        <v>1929</v>
      </c>
      <c r="F677" s="121"/>
      <c r="G677" s="121" t="s">
        <v>2</v>
      </c>
      <c r="H677" s="122">
        <v>276</v>
      </c>
      <c r="I677" s="122">
        <v>479</v>
      </c>
      <c r="J677" s="121"/>
      <c r="K677" s="121" t="s">
        <v>1</v>
      </c>
      <c r="L677" s="121"/>
      <c r="M677" s="121"/>
      <c r="N677" s="103" t="str">
        <f t="shared" si="10"/>
        <v>1</v>
      </c>
      <c r="O677" s="103" t="str">
        <f>INDEX(Кат!$I:$I,MATCH($A677,Кат!$A:$A,0))</f>
        <v>БРТ</v>
      </c>
    </row>
    <row r="678" spans="1:15" ht="45" x14ac:dyDescent="0.25">
      <c r="A678" s="120">
        <v>225941</v>
      </c>
      <c r="B678" s="120">
        <v>20424</v>
      </c>
      <c r="C678" s="121" t="s">
        <v>70</v>
      </c>
      <c r="D678" s="121" t="s">
        <v>2414</v>
      </c>
      <c r="E678" s="121" t="s">
        <v>2047</v>
      </c>
      <c r="F678" s="121"/>
      <c r="G678" s="121" t="s">
        <v>2</v>
      </c>
      <c r="H678" s="122">
        <v>417</v>
      </c>
      <c r="I678" s="122">
        <v>619</v>
      </c>
      <c r="J678" s="121" t="s">
        <v>2575</v>
      </c>
      <c r="K678" s="121" t="s">
        <v>1</v>
      </c>
      <c r="L678" s="121"/>
      <c r="M678" s="121"/>
      <c r="N678" s="103" t="str">
        <f t="shared" si="10"/>
        <v>1</v>
      </c>
      <c r="O678" s="103" t="str">
        <f>INDEX(Кат!$I:$I,MATCH($A678,Кат!$A:$A,0))</f>
        <v>БРТ</v>
      </c>
    </row>
    <row r="679" spans="1:15" ht="45" x14ac:dyDescent="0.25">
      <c r="A679" s="120">
        <v>225947</v>
      </c>
      <c r="B679" s="120">
        <v>20238</v>
      </c>
      <c r="C679" s="121" t="s">
        <v>198</v>
      </c>
      <c r="D679" s="121" t="s">
        <v>2414</v>
      </c>
      <c r="E679" s="121" t="s">
        <v>1950</v>
      </c>
      <c r="F679" s="121"/>
      <c r="G679" s="121" t="s">
        <v>2</v>
      </c>
      <c r="H679" s="122">
        <v>146</v>
      </c>
      <c r="I679" s="122">
        <v>259</v>
      </c>
      <c r="J679" s="121"/>
      <c r="K679" s="121" t="s">
        <v>1</v>
      </c>
      <c r="L679" s="121"/>
      <c r="M679" s="121"/>
      <c r="N679" s="103" t="str">
        <f t="shared" si="10"/>
        <v>1</v>
      </c>
      <c r="O679" s="103" t="str">
        <f>INDEX(Кат!$I:$I,MATCH($A679,Кат!$A:$A,0))</f>
        <v>БРТ</v>
      </c>
    </row>
    <row r="680" spans="1:15" ht="30" x14ac:dyDescent="0.25">
      <c r="A680" s="120">
        <v>225948</v>
      </c>
      <c r="B680" s="120">
        <v>20446</v>
      </c>
      <c r="C680" s="121" t="s">
        <v>169</v>
      </c>
      <c r="D680" s="121" t="s">
        <v>2414</v>
      </c>
      <c r="E680" s="121" t="s">
        <v>2058</v>
      </c>
      <c r="F680" s="121"/>
      <c r="G680" s="121" t="s">
        <v>2</v>
      </c>
      <c r="H680" s="122">
        <v>399</v>
      </c>
      <c r="I680" s="122">
        <v>609</v>
      </c>
      <c r="J680" s="121" t="s">
        <v>2315</v>
      </c>
      <c r="K680" s="121" t="s">
        <v>1</v>
      </c>
      <c r="L680" s="121"/>
      <c r="M680" s="121"/>
      <c r="N680" s="103" t="str">
        <f t="shared" si="10"/>
        <v>1</v>
      </c>
      <c r="O680" s="103" t="str">
        <f>INDEX(Кат!$I:$I,MATCH($A680,Кат!$A:$A,0))</f>
        <v>БРТ</v>
      </c>
    </row>
    <row r="681" spans="1:15" ht="45" x14ac:dyDescent="0.25">
      <c r="A681" s="120">
        <v>225951</v>
      </c>
      <c r="B681" s="120">
        <v>20445</v>
      </c>
      <c r="C681" s="121" t="s">
        <v>168</v>
      </c>
      <c r="D681" s="121" t="s">
        <v>2414</v>
      </c>
      <c r="E681" s="121" t="s">
        <v>2057</v>
      </c>
      <c r="F681" s="121"/>
      <c r="G681" s="121" t="s">
        <v>2</v>
      </c>
      <c r="H681" s="122">
        <v>392</v>
      </c>
      <c r="I681" s="122">
        <v>619</v>
      </c>
      <c r="J681" s="121" t="s">
        <v>2356</v>
      </c>
      <c r="K681" s="121" t="s">
        <v>1</v>
      </c>
      <c r="L681" s="121"/>
      <c r="M681" s="121"/>
      <c r="N681" s="103" t="str">
        <f t="shared" si="10"/>
        <v>1</v>
      </c>
      <c r="O681" s="103" t="str">
        <f>INDEX(Кат!$I:$I,MATCH($A681,Кат!$A:$A,0))</f>
        <v>БРТ</v>
      </c>
    </row>
    <row r="682" spans="1:15" ht="30" x14ac:dyDescent="0.25">
      <c r="A682" s="120">
        <v>225954</v>
      </c>
      <c r="B682" s="120">
        <v>19930</v>
      </c>
      <c r="C682" s="121" t="s">
        <v>164</v>
      </c>
      <c r="D682" s="121" t="s">
        <v>2414</v>
      </c>
      <c r="E682" s="121" t="s">
        <v>1913</v>
      </c>
      <c r="F682" s="121"/>
      <c r="G682" s="121" t="s">
        <v>2</v>
      </c>
      <c r="H682" s="122">
        <v>235</v>
      </c>
      <c r="I682" s="122">
        <v>409</v>
      </c>
      <c r="J682" s="121"/>
      <c r="K682" s="121" t="s">
        <v>1</v>
      </c>
      <c r="L682" s="121"/>
      <c r="M682" s="121"/>
      <c r="N682" s="103" t="str">
        <f t="shared" si="10"/>
        <v>1</v>
      </c>
      <c r="O682" s="103" t="str">
        <f>INDEX(Кат!$I:$I,MATCH($A682,Кат!$A:$A,0))</f>
        <v>БРТ</v>
      </c>
    </row>
    <row r="683" spans="1:15" ht="45" x14ac:dyDescent="0.25">
      <c r="A683" s="120">
        <v>225955</v>
      </c>
      <c r="B683" s="120">
        <v>20339</v>
      </c>
      <c r="C683" s="121" t="s">
        <v>51</v>
      </c>
      <c r="D683" s="121" t="s">
        <v>2414</v>
      </c>
      <c r="E683" s="121" t="s">
        <v>2001</v>
      </c>
      <c r="F683" s="121"/>
      <c r="G683" s="121" t="s">
        <v>2</v>
      </c>
      <c r="H683" s="122">
        <v>131</v>
      </c>
      <c r="I683" s="122">
        <v>239</v>
      </c>
      <c r="J683" s="121" t="s">
        <v>2367</v>
      </c>
      <c r="K683" s="121" t="s">
        <v>1</v>
      </c>
      <c r="L683" s="121"/>
      <c r="M683" s="121"/>
      <c r="N683" s="103" t="str">
        <f t="shared" si="10"/>
        <v>1</v>
      </c>
      <c r="O683" s="103" t="str">
        <f>INDEX(Кат!$I:$I,MATCH($A683,Кат!$A:$A,0))</f>
        <v>БРТ</v>
      </c>
    </row>
    <row r="684" spans="1:15" ht="45" x14ac:dyDescent="0.25">
      <c r="A684" s="120">
        <v>225956</v>
      </c>
      <c r="B684" s="120">
        <v>20340</v>
      </c>
      <c r="C684" s="121" t="s">
        <v>52</v>
      </c>
      <c r="D684" s="121" t="s">
        <v>2414</v>
      </c>
      <c r="E684" s="121" t="s">
        <v>2002</v>
      </c>
      <c r="F684" s="121"/>
      <c r="G684" s="121" t="s">
        <v>2</v>
      </c>
      <c r="H684" s="122">
        <v>166</v>
      </c>
      <c r="I684" s="122">
        <v>289</v>
      </c>
      <c r="J684" s="121" t="s">
        <v>2362</v>
      </c>
      <c r="K684" s="121" t="s">
        <v>1</v>
      </c>
      <c r="L684" s="121"/>
      <c r="M684" s="121"/>
      <c r="N684" s="103" t="str">
        <f t="shared" si="10"/>
        <v>1</v>
      </c>
      <c r="O684" s="103" t="str">
        <f>INDEX(Кат!$I:$I,MATCH($A684,Кат!$A:$A,0))</f>
        <v>БРТ</v>
      </c>
    </row>
    <row r="685" spans="1:15" ht="45" x14ac:dyDescent="0.25">
      <c r="A685" s="120">
        <v>225957</v>
      </c>
      <c r="B685" s="120">
        <v>20344</v>
      </c>
      <c r="C685" s="121" t="s">
        <v>56</v>
      </c>
      <c r="D685" s="121" t="s">
        <v>2414</v>
      </c>
      <c r="E685" s="121" t="s">
        <v>2006</v>
      </c>
      <c r="F685" s="121"/>
      <c r="G685" s="121" t="s">
        <v>2</v>
      </c>
      <c r="H685" s="122">
        <v>131</v>
      </c>
      <c r="I685" s="122">
        <v>239</v>
      </c>
      <c r="J685" s="121" t="s">
        <v>2367</v>
      </c>
      <c r="K685" s="121" t="s">
        <v>1</v>
      </c>
      <c r="L685" s="121"/>
      <c r="M685" s="121"/>
      <c r="N685" s="103" t="str">
        <f t="shared" si="10"/>
        <v>1</v>
      </c>
      <c r="O685" s="103" t="str">
        <f>INDEX(Кат!$I:$I,MATCH($A685,Кат!$A:$A,0))</f>
        <v>БРТ</v>
      </c>
    </row>
    <row r="686" spans="1:15" ht="45" x14ac:dyDescent="0.25">
      <c r="A686" s="120">
        <v>225958</v>
      </c>
      <c r="B686" s="120">
        <v>20338</v>
      </c>
      <c r="C686" s="121" t="s">
        <v>50</v>
      </c>
      <c r="D686" s="121" t="s">
        <v>2414</v>
      </c>
      <c r="E686" s="121" t="s">
        <v>2000</v>
      </c>
      <c r="F686" s="121"/>
      <c r="G686" s="121" t="s">
        <v>2</v>
      </c>
      <c r="H686" s="122">
        <v>165</v>
      </c>
      <c r="I686" s="122">
        <v>279</v>
      </c>
      <c r="J686" s="121" t="s">
        <v>2364</v>
      </c>
      <c r="K686" s="121" t="s">
        <v>1</v>
      </c>
      <c r="L686" s="121"/>
      <c r="M686" s="121"/>
      <c r="N686" s="103" t="str">
        <f t="shared" si="10"/>
        <v>1</v>
      </c>
      <c r="O686" s="103" t="str">
        <f>INDEX(Кат!$I:$I,MATCH($A686,Кат!$A:$A,0))</f>
        <v>БРТ</v>
      </c>
    </row>
    <row r="687" spans="1:15" ht="45" x14ac:dyDescent="0.25">
      <c r="A687" s="120">
        <v>225959</v>
      </c>
      <c r="B687" s="120">
        <v>20341</v>
      </c>
      <c r="C687" s="121" t="s">
        <v>53</v>
      </c>
      <c r="D687" s="121" t="s">
        <v>2414</v>
      </c>
      <c r="E687" s="121" t="s">
        <v>2003</v>
      </c>
      <c r="F687" s="121"/>
      <c r="G687" s="121" t="s">
        <v>2</v>
      </c>
      <c r="H687" s="122">
        <v>165</v>
      </c>
      <c r="I687" s="122">
        <v>279</v>
      </c>
      <c r="J687" s="121" t="s">
        <v>2363</v>
      </c>
      <c r="K687" s="121" t="s">
        <v>1</v>
      </c>
      <c r="L687" s="121"/>
      <c r="M687" s="121"/>
      <c r="N687" s="103" t="str">
        <f t="shared" si="10"/>
        <v>1</v>
      </c>
      <c r="O687" s="103" t="str">
        <f>INDEX(Кат!$I:$I,MATCH($A687,Кат!$A:$A,0))</f>
        <v>БРТ</v>
      </c>
    </row>
    <row r="688" spans="1:15" ht="30" x14ac:dyDescent="0.25">
      <c r="A688" s="120">
        <v>225960</v>
      </c>
      <c r="B688" s="120">
        <v>20342</v>
      </c>
      <c r="C688" s="121" t="s">
        <v>54</v>
      </c>
      <c r="D688" s="121" t="s">
        <v>2414</v>
      </c>
      <c r="E688" s="121" t="s">
        <v>2004</v>
      </c>
      <c r="F688" s="121"/>
      <c r="G688" s="121" t="s">
        <v>2</v>
      </c>
      <c r="H688" s="122">
        <v>196</v>
      </c>
      <c r="I688" s="122">
        <v>339</v>
      </c>
      <c r="J688" s="121"/>
      <c r="K688" s="121" t="s">
        <v>1</v>
      </c>
      <c r="L688" s="121"/>
      <c r="M688" s="121"/>
      <c r="N688" s="103" t="str">
        <f t="shared" si="10"/>
        <v>1</v>
      </c>
      <c r="O688" s="103" t="str">
        <f>INDEX(Кат!$I:$I,MATCH($A688,Кат!$A:$A,0))</f>
        <v>БРТ</v>
      </c>
    </row>
    <row r="689" spans="1:15" ht="45" x14ac:dyDescent="0.25">
      <c r="A689" s="120">
        <v>225961</v>
      </c>
      <c r="B689" s="120">
        <v>20343</v>
      </c>
      <c r="C689" s="121" t="s">
        <v>55</v>
      </c>
      <c r="D689" s="121" t="s">
        <v>2414</v>
      </c>
      <c r="E689" s="121" t="s">
        <v>2005</v>
      </c>
      <c r="F689" s="121"/>
      <c r="G689" s="121" t="s">
        <v>2</v>
      </c>
      <c r="H689" s="122">
        <v>165</v>
      </c>
      <c r="I689" s="122">
        <v>279</v>
      </c>
      <c r="J689" s="121" t="s">
        <v>2364</v>
      </c>
      <c r="K689" s="121" t="s">
        <v>1</v>
      </c>
      <c r="L689" s="121"/>
      <c r="M689" s="121"/>
      <c r="N689" s="103" t="str">
        <f t="shared" si="10"/>
        <v>1</v>
      </c>
      <c r="O689" s="103" t="str">
        <f>INDEX(Кат!$I:$I,MATCH($A689,Кат!$A:$A,0))</f>
        <v>БРТ</v>
      </c>
    </row>
    <row r="690" spans="1:15" ht="45" x14ac:dyDescent="0.25">
      <c r="A690" s="120">
        <v>225967</v>
      </c>
      <c r="B690" s="120">
        <v>17137</v>
      </c>
      <c r="C690" s="121" t="s">
        <v>2479</v>
      </c>
      <c r="D690" s="121" t="s">
        <v>2414</v>
      </c>
      <c r="E690" s="121" t="s">
        <v>2480</v>
      </c>
      <c r="F690" s="121"/>
      <c r="G690" s="121" t="s">
        <v>2</v>
      </c>
      <c r="H690" s="122">
        <v>429</v>
      </c>
      <c r="I690" s="122">
        <v>649</v>
      </c>
      <c r="J690" s="121" t="s">
        <v>2326</v>
      </c>
      <c r="K690" s="121" t="s">
        <v>1</v>
      </c>
      <c r="L690" s="121"/>
      <c r="M690" s="121"/>
      <c r="N690" s="103" t="str">
        <f t="shared" si="10"/>
        <v>1</v>
      </c>
      <c r="O690" s="103" t="str">
        <f>INDEX(Кат!$I:$I,MATCH($A690,Кат!$A:$A,0))</f>
        <v>БРТ</v>
      </c>
    </row>
    <row r="691" spans="1:15" ht="45" x14ac:dyDescent="0.25">
      <c r="A691" s="120">
        <v>225985</v>
      </c>
      <c r="B691" s="120">
        <v>36963</v>
      </c>
      <c r="C691" s="121" t="s">
        <v>2481</v>
      </c>
      <c r="D691" s="121" t="s">
        <v>2414</v>
      </c>
      <c r="E691" s="121" t="s">
        <v>492</v>
      </c>
      <c r="F691" s="121" t="s">
        <v>492</v>
      </c>
      <c r="G691" s="121" t="s">
        <v>2</v>
      </c>
      <c r="H691" s="122">
        <v>110</v>
      </c>
      <c r="I691" s="122">
        <v>189</v>
      </c>
      <c r="J691" s="121"/>
      <c r="K691" s="121" t="s">
        <v>1</v>
      </c>
      <c r="L691" s="121"/>
      <c r="M691" s="121"/>
      <c r="N691" s="103" t="str">
        <f t="shared" si="10"/>
        <v>1</v>
      </c>
      <c r="O691" s="103" t="str">
        <f>INDEX(Кат!$I:$I,MATCH($A691,Кат!$A:$A,0))</f>
        <v>БРТ</v>
      </c>
    </row>
    <row r="692" spans="1:15" ht="30" x14ac:dyDescent="0.25">
      <c r="A692" s="120">
        <v>225983</v>
      </c>
      <c r="B692" s="120">
        <v>20495</v>
      </c>
      <c r="C692" s="121" t="s">
        <v>82</v>
      </c>
      <c r="D692" s="121" t="s">
        <v>2414</v>
      </c>
      <c r="E692" s="121" t="s">
        <v>2083</v>
      </c>
      <c r="F692" s="121"/>
      <c r="G692" s="121" t="s">
        <v>2</v>
      </c>
      <c r="H692" s="122">
        <v>116</v>
      </c>
      <c r="I692" s="122">
        <v>199</v>
      </c>
      <c r="J692" s="121"/>
      <c r="K692" s="121" t="s">
        <v>1</v>
      </c>
      <c r="L692" s="121"/>
      <c r="M692" s="121"/>
      <c r="N692" s="103" t="str">
        <f t="shared" si="10"/>
        <v>1</v>
      </c>
      <c r="O692" s="103" t="str">
        <f>INDEX(Кат!$I:$I,MATCH($A692,Кат!$A:$A,0))</f>
        <v>БРТ</v>
      </c>
    </row>
    <row r="693" spans="1:15" ht="45" x14ac:dyDescent="0.25">
      <c r="A693" s="120">
        <v>226007</v>
      </c>
      <c r="B693" s="120">
        <v>20426</v>
      </c>
      <c r="C693" s="121" t="s">
        <v>2482</v>
      </c>
      <c r="D693" s="121" t="s">
        <v>2414</v>
      </c>
      <c r="E693" s="121" t="s">
        <v>2048</v>
      </c>
      <c r="F693" s="121"/>
      <c r="G693" s="121" t="s">
        <v>2</v>
      </c>
      <c r="H693" s="122">
        <v>970</v>
      </c>
      <c r="I693" s="122">
        <v>1390</v>
      </c>
      <c r="J693" s="121"/>
      <c r="K693" s="121" t="s">
        <v>1</v>
      </c>
      <c r="L693" s="121"/>
      <c r="M693" s="121"/>
      <c r="N693" s="103" t="str">
        <f t="shared" si="10"/>
        <v>1</v>
      </c>
      <c r="O693" s="103" t="str">
        <f>INDEX(Кат!$I:$I,MATCH($A693,Кат!$A:$A,0))</f>
        <v>БРТ</v>
      </c>
    </row>
    <row r="694" spans="1:15" ht="45" x14ac:dyDescent="0.25">
      <c r="A694" s="120">
        <v>226006</v>
      </c>
      <c r="B694" s="120">
        <v>20427</v>
      </c>
      <c r="C694" s="121" t="s">
        <v>2483</v>
      </c>
      <c r="D694" s="121" t="s">
        <v>2414</v>
      </c>
      <c r="E694" s="121" t="s">
        <v>2049</v>
      </c>
      <c r="F694" s="121"/>
      <c r="G694" s="121" t="s">
        <v>2</v>
      </c>
      <c r="H694" s="122">
        <v>104</v>
      </c>
      <c r="I694" s="122">
        <v>179</v>
      </c>
      <c r="J694" s="121"/>
      <c r="K694" s="121" t="s">
        <v>1</v>
      </c>
      <c r="L694" s="121"/>
      <c r="M694" s="121"/>
      <c r="N694" s="103" t="str">
        <f t="shared" si="10"/>
        <v>1</v>
      </c>
      <c r="O694" s="103" t="str">
        <f>INDEX(Кат!$I:$I,MATCH($A694,Кат!$A:$A,0))</f>
        <v>БРТ</v>
      </c>
    </row>
    <row r="695" spans="1:15" ht="45" x14ac:dyDescent="0.25">
      <c r="A695" s="120">
        <v>225953</v>
      </c>
      <c r="B695" s="120">
        <v>19945</v>
      </c>
      <c r="C695" s="121" t="s">
        <v>2484</v>
      </c>
      <c r="D695" s="121" t="s">
        <v>2414</v>
      </c>
      <c r="E695" s="121" t="s">
        <v>1924</v>
      </c>
      <c r="F695" s="121"/>
      <c r="G695" s="121" t="s">
        <v>2</v>
      </c>
      <c r="H695" s="122">
        <v>310</v>
      </c>
      <c r="I695" s="122">
        <v>469</v>
      </c>
      <c r="J695" s="121" t="s">
        <v>2355</v>
      </c>
      <c r="K695" s="121" t="s">
        <v>1</v>
      </c>
      <c r="L695" s="121"/>
      <c r="M695" s="121"/>
      <c r="N695" s="103" t="str">
        <f t="shared" si="10"/>
        <v>1</v>
      </c>
      <c r="O695" s="103" t="str">
        <f>INDEX(Кат!$I:$I,MATCH($A695,Кат!$A:$A,0))</f>
        <v>БРТ</v>
      </c>
    </row>
    <row r="696" spans="1:15" ht="30" x14ac:dyDescent="0.25">
      <c r="A696" s="120">
        <v>225949</v>
      </c>
      <c r="B696" s="120">
        <v>19815</v>
      </c>
      <c r="C696" s="121" t="s">
        <v>2485</v>
      </c>
      <c r="D696" s="121" t="s">
        <v>2414</v>
      </c>
      <c r="E696" s="121" t="s">
        <v>1904</v>
      </c>
      <c r="F696" s="121"/>
      <c r="G696" s="121" t="s">
        <v>2</v>
      </c>
      <c r="H696" s="122">
        <v>217</v>
      </c>
      <c r="I696" s="122">
        <v>379</v>
      </c>
      <c r="J696" s="121"/>
      <c r="K696" s="121" t="s">
        <v>1</v>
      </c>
      <c r="L696" s="121"/>
      <c r="M696" s="121"/>
      <c r="N696" s="103" t="str">
        <f t="shared" si="10"/>
        <v>1</v>
      </c>
      <c r="O696" s="103" t="str">
        <f>INDEX(Кат!$I:$I,MATCH($A696,Кат!$A:$A,0))</f>
        <v>БРТ</v>
      </c>
    </row>
    <row r="697" spans="1:15" ht="45" x14ac:dyDescent="0.25">
      <c r="A697" s="120">
        <v>225950</v>
      </c>
      <c r="B697" s="120">
        <v>19816</v>
      </c>
      <c r="C697" s="121" t="s">
        <v>2486</v>
      </c>
      <c r="D697" s="121" t="s">
        <v>2414</v>
      </c>
      <c r="E697" s="121" t="s">
        <v>469</v>
      </c>
      <c r="F697" s="121"/>
      <c r="G697" s="121" t="s">
        <v>2</v>
      </c>
      <c r="H697" s="122">
        <v>143</v>
      </c>
      <c r="I697" s="122">
        <v>309</v>
      </c>
      <c r="J697" s="121" t="s">
        <v>2366</v>
      </c>
      <c r="K697" s="121" t="s">
        <v>1</v>
      </c>
      <c r="L697" s="121"/>
      <c r="M697" s="121"/>
      <c r="N697" s="103" t="str">
        <f t="shared" si="10"/>
        <v>1</v>
      </c>
      <c r="O697" s="103" t="str">
        <f>INDEX(Кат!$I:$I,MATCH($A697,Кат!$A:$A,0))</f>
        <v>БРТ</v>
      </c>
    </row>
    <row r="698" spans="1:15" ht="45" x14ac:dyDescent="0.25">
      <c r="A698" s="120">
        <v>226091</v>
      </c>
      <c r="B698" s="120">
        <v>19853</v>
      </c>
      <c r="C698" s="121" t="s">
        <v>14</v>
      </c>
      <c r="D698" s="121" t="s">
        <v>2414</v>
      </c>
      <c r="E698" s="121" t="s">
        <v>582</v>
      </c>
      <c r="F698" s="121"/>
      <c r="G698" s="121" t="s">
        <v>2</v>
      </c>
      <c r="H698" s="122">
        <v>166</v>
      </c>
      <c r="I698" s="122">
        <v>289</v>
      </c>
      <c r="J698" s="121" t="s">
        <v>2362</v>
      </c>
      <c r="K698" s="121" t="s">
        <v>1</v>
      </c>
      <c r="L698" s="121"/>
      <c r="M698" s="121"/>
      <c r="N698" s="103" t="str">
        <f t="shared" si="10"/>
        <v>1</v>
      </c>
      <c r="O698" s="103" t="str">
        <f>INDEX(Кат!$I:$I,MATCH($A698,Кат!$A:$A,0))</f>
        <v>БРТ</v>
      </c>
    </row>
    <row r="699" spans="1:15" ht="60" x14ac:dyDescent="0.25">
      <c r="A699" s="120">
        <v>226092</v>
      </c>
      <c r="B699" s="120">
        <v>32355</v>
      </c>
      <c r="C699" s="121" t="s">
        <v>1477</v>
      </c>
      <c r="D699" s="121" t="s">
        <v>2414</v>
      </c>
      <c r="E699" s="121" t="s">
        <v>2143</v>
      </c>
      <c r="F699" s="121"/>
      <c r="G699" s="121" t="s">
        <v>2</v>
      </c>
      <c r="H699" s="122">
        <v>218</v>
      </c>
      <c r="I699" s="122">
        <v>379</v>
      </c>
      <c r="J699" s="121"/>
      <c r="K699" s="121" t="s">
        <v>1</v>
      </c>
      <c r="L699" s="121"/>
      <c r="M699" s="121"/>
      <c r="N699" s="103" t="str">
        <f t="shared" si="10"/>
        <v>1</v>
      </c>
      <c r="O699" s="103" t="str">
        <f>INDEX(Кат!$I:$I,MATCH($A699,Кат!$A:$A,0))</f>
        <v>БРТ</v>
      </c>
    </row>
    <row r="700" spans="1:15" ht="45" x14ac:dyDescent="0.25">
      <c r="A700" s="120">
        <v>226093</v>
      </c>
      <c r="B700" s="120">
        <v>19852</v>
      </c>
      <c r="C700" s="121" t="s">
        <v>13</v>
      </c>
      <c r="D700" s="121" t="s">
        <v>2414</v>
      </c>
      <c r="E700" s="121" t="s">
        <v>581</v>
      </c>
      <c r="F700" s="121"/>
      <c r="G700" s="121" t="s">
        <v>2</v>
      </c>
      <c r="H700" s="122">
        <v>165</v>
      </c>
      <c r="I700" s="122">
        <v>279</v>
      </c>
      <c r="J700" s="121" t="s">
        <v>2363</v>
      </c>
      <c r="K700" s="121" t="s">
        <v>1</v>
      </c>
      <c r="L700" s="121"/>
      <c r="M700" s="121"/>
      <c r="N700" s="103" t="str">
        <f t="shared" si="10"/>
        <v>1</v>
      </c>
      <c r="O700" s="103" t="str">
        <f>INDEX(Кат!$I:$I,MATCH($A700,Кат!$A:$A,0))</f>
        <v>БРТ</v>
      </c>
    </row>
    <row r="701" spans="1:15" ht="30" x14ac:dyDescent="0.25">
      <c r="A701" s="120">
        <v>226094</v>
      </c>
      <c r="B701" s="120">
        <v>33913</v>
      </c>
      <c r="C701" s="121" t="s">
        <v>1476</v>
      </c>
      <c r="D701" s="121" t="s">
        <v>2414</v>
      </c>
      <c r="E701" s="121" t="s">
        <v>1475</v>
      </c>
      <c r="F701" s="121" t="s">
        <v>1475</v>
      </c>
      <c r="G701" s="121" t="s">
        <v>2</v>
      </c>
      <c r="H701" s="122">
        <v>305</v>
      </c>
      <c r="I701" s="122">
        <v>459</v>
      </c>
      <c r="J701" s="121"/>
      <c r="K701" s="121" t="s">
        <v>1</v>
      </c>
      <c r="L701" s="121"/>
      <c r="M701" s="121"/>
      <c r="N701" s="103" t="str">
        <f t="shared" si="10"/>
        <v>1</v>
      </c>
      <c r="O701" s="103" t="str">
        <f>INDEX(Кат!$I:$I,MATCH($A701,Кат!$A:$A,0))</f>
        <v>БРТ</v>
      </c>
    </row>
    <row r="702" spans="1:15" ht="60" x14ac:dyDescent="0.25">
      <c r="A702" s="120">
        <v>226115</v>
      </c>
      <c r="B702" s="120">
        <v>19633</v>
      </c>
      <c r="C702" s="121" t="s">
        <v>2487</v>
      </c>
      <c r="D702" s="121" t="s">
        <v>2414</v>
      </c>
      <c r="E702" s="121" t="s">
        <v>2888</v>
      </c>
      <c r="F702" s="121"/>
      <c r="G702" s="121" t="s">
        <v>2</v>
      </c>
      <c r="H702" s="122">
        <v>740</v>
      </c>
      <c r="I702" s="122">
        <v>1090</v>
      </c>
      <c r="J702" s="121"/>
      <c r="K702" s="121" t="s">
        <v>1</v>
      </c>
      <c r="L702" s="121"/>
      <c r="M702" s="121"/>
      <c r="N702" s="103" t="str">
        <f t="shared" si="10"/>
        <v>1</v>
      </c>
      <c r="O702" s="103" t="str">
        <f>INDEX(Кат!$I:$I,MATCH($A702,Кат!$A:$A,0))</f>
        <v>БРТ</v>
      </c>
    </row>
    <row r="703" spans="1:15" ht="60" x14ac:dyDescent="0.25">
      <c r="A703" s="120">
        <v>226116</v>
      </c>
      <c r="B703" s="120">
        <v>19634</v>
      </c>
      <c r="C703" s="121" t="s">
        <v>2889</v>
      </c>
      <c r="D703" s="121" t="s">
        <v>2414</v>
      </c>
      <c r="E703" s="121" t="s">
        <v>2890</v>
      </c>
      <c r="F703" s="121"/>
      <c r="G703" s="121" t="s">
        <v>2</v>
      </c>
      <c r="H703" s="122">
        <v>892</v>
      </c>
      <c r="I703" s="122">
        <v>1290</v>
      </c>
      <c r="J703" s="121"/>
      <c r="K703" s="121" t="s">
        <v>1</v>
      </c>
      <c r="L703" s="121"/>
      <c r="M703" s="121"/>
      <c r="N703" s="103" t="str">
        <f t="shared" ref="N703" si="11">_xlfn.CONCAT(K703,IF(L703&lt;&gt;"",_xlfn.CONCAT("ск",L703),""))</f>
        <v>1</v>
      </c>
      <c r="O703" s="103" t="str">
        <f>INDEX(Кат!$I:$I,MATCH($A703,Кат!$A:$A,0))</f>
        <v>БРТ</v>
      </c>
    </row>
  </sheetData>
  <autoFilter ref="A1:O703" xr:uid="{DFC408F4-DA9A-4A9F-99A1-5E322280170D}"/>
  <pageMargins left="0.75" right="0.75" top="1" bottom="1" header="0.5" footer="0.5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A62E1-7D3F-4B65-BB8D-5680948B6AD7}">
  <sheetPr codeName="Лист61">
    <tabColor rgb="FF92D050"/>
  </sheetPr>
  <dimension ref="A1:E718"/>
  <sheetViews>
    <sheetView topLeftCell="A688" workbookViewId="0">
      <selection activeCell="B720" sqref="B720"/>
    </sheetView>
  </sheetViews>
  <sheetFormatPr defaultRowHeight="15" outlineLevelCol="1" x14ac:dyDescent="0.25"/>
  <cols>
    <col min="1" max="1" width="7" style="5" customWidth="1"/>
    <col min="2" max="2" width="9.7109375" style="124" customWidth="1" outlineLevel="1"/>
    <col min="3" max="3" width="9.140625" style="124"/>
    <col min="4" max="4" width="9.140625" style="124" outlineLevel="1"/>
    <col min="5" max="5" width="9.140625" style="124"/>
  </cols>
  <sheetData>
    <row r="1" spans="1:5" x14ac:dyDescent="0.25">
      <c r="D1" s="5"/>
      <c r="E1" s="5"/>
    </row>
    <row r="2" spans="1:5" x14ac:dyDescent="0.25">
      <c r="A2" s="4" t="s">
        <v>0</v>
      </c>
      <c r="B2" s="131" t="s">
        <v>2491</v>
      </c>
      <c r="C2" s="131" t="s">
        <v>2491</v>
      </c>
      <c r="D2" s="116" t="s">
        <v>2969</v>
      </c>
      <c r="E2" s="116" t="s">
        <v>2969</v>
      </c>
    </row>
    <row r="3" spans="1:5" x14ac:dyDescent="0.25">
      <c r="A3" s="132">
        <v>186830</v>
      </c>
      <c r="B3" s="45" t="s">
        <v>1821</v>
      </c>
      <c r="D3" s="115"/>
      <c r="E3" s="5"/>
    </row>
    <row r="4" spans="1:5" x14ac:dyDescent="0.25">
      <c r="A4" s="132">
        <v>180517</v>
      </c>
      <c r="B4" s="45" t="s">
        <v>1821</v>
      </c>
      <c r="D4" s="115"/>
      <c r="E4" s="5"/>
    </row>
    <row r="5" spans="1:5" ht="15.75" thickBot="1" x14ac:dyDescent="0.3">
      <c r="A5" s="132">
        <v>138872</v>
      </c>
      <c r="B5" s="136">
        <v>29</v>
      </c>
      <c r="C5" s="124" t="s">
        <v>2578</v>
      </c>
      <c r="D5" s="115"/>
      <c r="E5" s="5"/>
    </row>
    <row r="6" spans="1:5" ht="16.5" thickTop="1" thickBot="1" x14ac:dyDescent="0.3">
      <c r="A6" s="132">
        <v>201336</v>
      </c>
      <c r="B6" s="137" t="s">
        <v>1821</v>
      </c>
      <c r="C6" s="129"/>
      <c r="D6" s="115"/>
      <c r="E6" s="5"/>
    </row>
    <row r="7" spans="1:5" ht="15.75" thickTop="1" x14ac:dyDescent="0.25">
      <c r="A7" s="132">
        <v>225360</v>
      </c>
      <c r="B7" s="45">
        <v>49</v>
      </c>
      <c r="C7" s="124" t="s">
        <v>2766</v>
      </c>
      <c r="D7" s="115"/>
      <c r="E7" s="5"/>
    </row>
    <row r="8" spans="1:5" ht="15.75" thickBot="1" x14ac:dyDescent="0.3">
      <c r="A8" s="132">
        <v>201463</v>
      </c>
      <c r="B8" s="137" t="s">
        <v>1821</v>
      </c>
      <c r="C8" s="129"/>
      <c r="D8" s="115"/>
      <c r="E8" s="5"/>
    </row>
    <row r="9" spans="1:5" ht="15.75" thickTop="1" x14ac:dyDescent="0.25">
      <c r="A9" s="132">
        <v>141791</v>
      </c>
      <c r="B9" s="45" t="s">
        <v>1821</v>
      </c>
      <c r="D9" s="115"/>
      <c r="E9" s="5"/>
    </row>
    <row r="10" spans="1:5" ht="15.75" thickBot="1" x14ac:dyDescent="0.3">
      <c r="A10" s="132">
        <v>201462</v>
      </c>
      <c r="B10" s="137" t="s">
        <v>1821</v>
      </c>
      <c r="C10" s="129"/>
      <c r="D10" s="115"/>
      <c r="E10" s="5"/>
    </row>
    <row r="11" spans="1:5" ht="16.5" thickTop="1" thickBot="1" x14ac:dyDescent="0.3">
      <c r="A11" s="132">
        <v>138871</v>
      </c>
      <c r="B11" s="137" t="s">
        <v>1821</v>
      </c>
      <c r="C11" s="129"/>
      <c r="D11" s="115"/>
      <c r="E11" s="5"/>
    </row>
    <row r="12" spans="1:5" ht="15.75" thickTop="1" x14ac:dyDescent="0.25">
      <c r="A12" s="132">
        <v>139794</v>
      </c>
      <c r="B12" s="45" t="s">
        <v>1821</v>
      </c>
      <c r="D12" s="115">
        <v>25</v>
      </c>
      <c r="E12" s="5" t="s">
        <v>2767</v>
      </c>
    </row>
    <row r="13" spans="1:5" ht="15.75" thickBot="1" x14ac:dyDescent="0.3">
      <c r="A13" s="132">
        <v>201510</v>
      </c>
      <c r="B13" s="137" t="s">
        <v>1821</v>
      </c>
      <c r="C13" s="129"/>
      <c r="D13" s="115"/>
      <c r="E13" s="5"/>
    </row>
    <row r="14" spans="1:5" ht="16.5" thickTop="1" thickBot="1" x14ac:dyDescent="0.3">
      <c r="A14" s="132">
        <v>202083</v>
      </c>
      <c r="B14" s="136">
        <v>149</v>
      </c>
      <c r="C14" s="124" t="s">
        <v>2579</v>
      </c>
      <c r="D14" s="115"/>
      <c r="E14" s="5"/>
    </row>
    <row r="15" spans="1:5" ht="16.5" thickTop="1" thickBot="1" x14ac:dyDescent="0.3">
      <c r="A15" s="132">
        <v>194565</v>
      </c>
      <c r="B15" s="136">
        <v>69</v>
      </c>
      <c r="C15" s="124" t="s">
        <v>2580</v>
      </c>
      <c r="D15" s="115"/>
      <c r="E15" s="5"/>
    </row>
    <row r="16" spans="1:5" ht="16.5" thickTop="1" thickBot="1" x14ac:dyDescent="0.3">
      <c r="A16" s="132">
        <v>194610</v>
      </c>
      <c r="B16" s="136">
        <v>69</v>
      </c>
      <c r="C16" s="124" t="s">
        <v>2580</v>
      </c>
      <c r="D16" s="115"/>
      <c r="E16" s="5"/>
    </row>
    <row r="17" spans="1:5" ht="16.5" thickTop="1" thickBot="1" x14ac:dyDescent="0.3">
      <c r="A17" s="132">
        <v>201333</v>
      </c>
      <c r="B17" s="137" t="s">
        <v>1821</v>
      </c>
      <c r="C17" s="129"/>
      <c r="D17" s="115"/>
      <c r="E17" s="5"/>
    </row>
    <row r="18" spans="1:5" ht="16.5" thickTop="1" thickBot="1" x14ac:dyDescent="0.3">
      <c r="A18" s="132">
        <v>139793</v>
      </c>
      <c r="B18" s="136">
        <v>129</v>
      </c>
      <c r="C18" s="124" t="s">
        <v>2581</v>
      </c>
      <c r="D18" s="115"/>
      <c r="E18" s="5"/>
    </row>
    <row r="19" spans="1:5" ht="16.5" thickTop="1" thickBot="1" x14ac:dyDescent="0.3">
      <c r="A19" s="132">
        <v>223270</v>
      </c>
      <c r="B19" s="138">
        <v>89</v>
      </c>
      <c r="C19" s="124" t="s">
        <v>2295</v>
      </c>
      <c r="D19" s="115"/>
      <c r="E19" s="5"/>
    </row>
    <row r="20" spans="1:5" ht="16.5" thickTop="1" thickBot="1" x14ac:dyDescent="0.3">
      <c r="A20" s="132">
        <v>223303</v>
      </c>
      <c r="B20" s="138">
        <v>69</v>
      </c>
      <c r="C20" s="124" t="s">
        <v>2294</v>
      </c>
      <c r="D20" s="115"/>
      <c r="E20" s="5"/>
    </row>
    <row r="21" spans="1:5" ht="16.5" thickTop="1" thickBot="1" x14ac:dyDescent="0.3">
      <c r="A21" s="132">
        <v>213314</v>
      </c>
      <c r="B21" s="136">
        <v>129</v>
      </c>
      <c r="C21" s="124" t="s">
        <v>2582</v>
      </c>
      <c r="D21" s="115"/>
      <c r="E21" s="5"/>
    </row>
    <row r="22" spans="1:5" ht="15.75" thickTop="1" x14ac:dyDescent="0.25">
      <c r="A22" s="132">
        <v>181551</v>
      </c>
      <c r="B22" s="45" t="s">
        <v>1821</v>
      </c>
      <c r="D22" s="115"/>
      <c r="E22" s="5"/>
    </row>
    <row r="23" spans="1:5" x14ac:dyDescent="0.25">
      <c r="A23" s="132">
        <v>194617</v>
      </c>
      <c r="B23" s="45" t="s">
        <v>1821</v>
      </c>
      <c r="D23" s="115"/>
      <c r="E23" s="5"/>
    </row>
    <row r="24" spans="1:5" ht="15.75" thickBot="1" x14ac:dyDescent="0.3">
      <c r="A24" s="132">
        <v>201432</v>
      </c>
      <c r="B24" s="138">
        <v>129</v>
      </c>
      <c r="C24" s="124" t="s">
        <v>2346</v>
      </c>
      <c r="D24" s="115"/>
      <c r="E24" s="5"/>
    </row>
    <row r="25" spans="1:5" ht="15.75" thickTop="1" x14ac:dyDescent="0.25">
      <c r="A25" s="132">
        <v>213291</v>
      </c>
      <c r="B25" s="45" t="s">
        <v>1821</v>
      </c>
      <c r="D25" s="115">
        <v>65</v>
      </c>
      <c r="E25" s="5" t="s">
        <v>2768</v>
      </c>
    </row>
    <row r="26" spans="1:5" ht="15.75" thickBot="1" x14ac:dyDescent="0.3">
      <c r="A26" s="132">
        <v>225912</v>
      </c>
      <c r="B26" s="137" t="s">
        <v>1821</v>
      </c>
      <c r="C26" s="129"/>
      <c r="D26" s="115"/>
      <c r="E26" s="5"/>
    </row>
    <row r="27" spans="1:5" ht="16.5" thickTop="1" thickBot="1" x14ac:dyDescent="0.3">
      <c r="A27" s="132">
        <v>162924</v>
      </c>
      <c r="B27" s="137" t="s">
        <v>1821</v>
      </c>
      <c r="C27" s="129"/>
      <c r="D27" s="115"/>
      <c r="E27" s="5"/>
    </row>
    <row r="28" spans="1:5" ht="15.75" thickTop="1" x14ac:dyDescent="0.25">
      <c r="A28" s="132">
        <v>213290</v>
      </c>
      <c r="B28" s="45" t="s">
        <v>1821</v>
      </c>
      <c r="D28" s="115">
        <v>60</v>
      </c>
      <c r="E28" s="5" t="s">
        <v>2769</v>
      </c>
    </row>
    <row r="29" spans="1:5" ht="15.75" thickBot="1" x14ac:dyDescent="0.3">
      <c r="A29" s="132">
        <v>194573</v>
      </c>
      <c r="B29" s="136">
        <v>89</v>
      </c>
      <c r="C29" s="124" t="s">
        <v>2587</v>
      </c>
      <c r="D29" s="115"/>
      <c r="E29" s="5"/>
    </row>
    <row r="30" spans="1:5" ht="16.5" thickTop="1" thickBot="1" x14ac:dyDescent="0.3">
      <c r="A30" s="132">
        <v>223212</v>
      </c>
      <c r="B30" s="137" t="s">
        <v>1821</v>
      </c>
      <c r="C30" s="129"/>
      <c r="D30" s="115"/>
      <c r="E30" s="5"/>
    </row>
    <row r="31" spans="1:5" ht="15.75" thickTop="1" x14ac:dyDescent="0.25">
      <c r="A31" s="132">
        <v>213299</v>
      </c>
      <c r="B31" s="45" t="s">
        <v>1821</v>
      </c>
      <c r="D31" s="115"/>
      <c r="E31" s="5"/>
    </row>
    <row r="32" spans="1:5" ht="15.75" thickBot="1" x14ac:dyDescent="0.3">
      <c r="A32" s="132">
        <v>213313</v>
      </c>
      <c r="B32" s="136">
        <v>129</v>
      </c>
      <c r="C32" s="124" t="s">
        <v>2583</v>
      </c>
      <c r="D32" s="115"/>
      <c r="E32" s="5"/>
    </row>
    <row r="33" spans="1:5" ht="15.75" thickTop="1" x14ac:dyDescent="0.25">
      <c r="A33" s="132">
        <v>141794</v>
      </c>
      <c r="B33" s="45" t="s">
        <v>1821</v>
      </c>
      <c r="D33" s="115"/>
      <c r="E33" s="5"/>
    </row>
    <row r="34" spans="1:5" ht="15.75" thickBot="1" x14ac:dyDescent="0.3">
      <c r="A34" s="132">
        <v>213366</v>
      </c>
      <c r="B34" s="136">
        <v>129</v>
      </c>
      <c r="C34" s="124" t="s">
        <v>2344</v>
      </c>
      <c r="D34" s="115"/>
      <c r="E34" s="5"/>
    </row>
    <row r="35" spans="1:5" ht="16.5" thickTop="1" thickBot="1" x14ac:dyDescent="0.3">
      <c r="A35" s="132">
        <v>213367</v>
      </c>
      <c r="B35" s="138">
        <v>129</v>
      </c>
      <c r="C35" s="124" t="s">
        <v>2344</v>
      </c>
      <c r="D35" s="115"/>
      <c r="E35" s="5"/>
    </row>
    <row r="36" spans="1:5" ht="16.5" thickTop="1" thickBot="1" x14ac:dyDescent="0.3">
      <c r="A36" s="132">
        <v>194574</v>
      </c>
      <c r="B36" s="136">
        <v>149</v>
      </c>
      <c r="C36" s="124" t="s">
        <v>2584</v>
      </c>
      <c r="D36" s="115"/>
      <c r="E36" s="5"/>
    </row>
    <row r="37" spans="1:5" ht="15.75" thickTop="1" x14ac:dyDescent="0.25">
      <c r="A37" s="132">
        <v>223253</v>
      </c>
      <c r="B37" s="45" t="s">
        <v>1821</v>
      </c>
      <c r="D37" s="115"/>
      <c r="E37" s="5"/>
    </row>
    <row r="38" spans="1:5" x14ac:dyDescent="0.25">
      <c r="A38" s="132">
        <v>213306</v>
      </c>
      <c r="B38" s="45" t="s">
        <v>1821</v>
      </c>
      <c r="D38" s="115"/>
      <c r="E38" s="5"/>
    </row>
    <row r="39" spans="1:5" x14ac:dyDescent="0.25">
      <c r="A39" s="132">
        <v>213304</v>
      </c>
      <c r="B39" s="45" t="s">
        <v>1821</v>
      </c>
      <c r="D39" s="115">
        <v>70</v>
      </c>
      <c r="E39" s="5" t="s">
        <v>2770</v>
      </c>
    </row>
    <row r="40" spans="1:5" x14ac:dyDescent="0.25">
      <c r="A40" s="132">
        <v>213305</v>
      </c>
      <c r="B40" s="45" t="s">
        <v>1821</v>
      </c>
      <c r="D40" s="115">
        <v>67</v>
      </c>
      <c r="E40" s="5" t="s">
        <v>2771</v>
      </c>
    </row>
    <row r="41" spans="1:5" ht="15.75" thickBot="1" x14ac:dyDescent="0.3">
      <c r="A41" s="132">
        <v>213389</v>
      </c>
      <c r="B41" s="136">
        <v>129</v>
      </c>
      <c r="C41" s="124" t="s">
        <v>2585</v>
      </c>
      <c r="D41" s="115"/>
      <c r="E41" s="5"/>
    </row>
    <row r="42" spans="1:5" ht="16.5" thickTop="1" thickBot="1" x14ac:dyDescent="0.3">
      <c r="A42" s="132">
        <v>213387</v>
      </c>
      <c r="B42" s="136">
        <v>129</v>
      </c>
      <c r="C42" s="124" t="s">
        <v>2586</v>
      </c>
      <c r="D42" s="115"/>
      <c r="E42" s="5"/>
    </row>
    <row r="43" spans="1:5" ht="16.5" thickTop="1" thickBot="1" x14ac:dyDescent="0.3">
      <c r="A43" s="132">
        <v>194572</v>
      </c>
      <c r="B43" s="136">
        <v>129</v>
      </c>
      <c r="C43" s="124" t="s">
        <v>2553</v>
      </c>
      <c r="D43" s="115"/>
      <c r="E43" s="5"/>
    </row>
    <row r="44" spans="1:5" ht="15.75" thickTop="1" x14ac:dyDescent="0.25">
      <c r="A44" s="132">
        <v>194874</v>
      </c>
      <c r="B44" s="139">
        <v>129</v>
      </c>
      <c r="C44" s="124" t="s">
        <v>2774</v>
      </c>
      <c r="D44" s="115">
        <v>80</v>
      </c>
      <c r="E44" s="5" t="s">
        <v>2773</v>
      </c>
    </row>
    <row r="45" spans="1:5" x14ac:dyDescent="0.25">
      <c r="A45" s="132">
        <v>141790</v>
      </c>
      <c r="B45" s="45" t="s">
        <v>1821</v>
      </c>
      <c r="D45" s="115"/>
      <c r="E45" s="5"/>
    </row>
    <row r="46" spans="1:5" ht="15.75" thickBot="1" x14ac:dyDescent="0.3">
      <c r="A46" s="132">
        <v>213373</v>
      </c>
      <c r="B46" s="138">
        <v>129</v>
      </c>
      <c r="C46" s="124" t="s">
        <v>2345</v>
      </c>
      <c r="D46" s="115"/>
      <c r="E46" s="5"/>
    </row>
    <row r="47" spans="1:5" ht="15.75" thickTop="1" x14ac:dyDescent="0.25">
      <c r="A47" s="132">
        <v>202084</v>
      </c>
      <c r="B47" s="139">
        <v>89</v>
      </c>
      <c r="C47" s="124" t="s">
        <v>2776</v>
      </c>
      <c r="D47" s="115"/>
      <c r="E47" s="5"/>
    </row>
    <row r="48" spans="1:5" x14ac:dyDescent="0.25">
      <c r="A48" s="132">
        <v>194575</v>
      </c>
      <c r="B48" s="139">
        <v>149</v>
      </c>
      <c r="C48" s="124" t="s">
        <v>2772</v>
      </c>
      <c r="D48" s="115"/>
      <c r="E48" s="5"/>
    </row>
    <row r="49" spans="1:5" ht="30" x14ac:dyDescent="0.25">
      <c r="A49" s="132">
        <v>194873</v>
      </c>
      <c r="B49" s="139" t="s">
        <v>2777</v>
      </c>
      <c r="C49" s="124" t="s">
        <v>2774</v>
      </c>
      <c r="D49" s="115"/>
      <c r="E49" s="5"/>
    </row>
    <row r="50" spans="1:5" x14ac:dyDescent="0.25">
      <c r="A50" s="132">
        <v>141795</v>
      </c>
      <c r="B50" s="45" t="s">
        <v>1821</v>
      </c>
      <c r="D50" s="115"/>
      <c r="E50" s="5"/>
    </row>
    <row r="51" spans="1:5" x14ac:dyDescent="0.25">
      <c r="A51" s="132">
        <v>141808</v>
      </c>
      <c r="B51" s="139">
        <v>149</v>
      </c>
      <c r="C51" s="124" t="s">
        <v>2775</v>
      </c>
      <c r="D51" s="115"/>
      <c r="E51" s="5"/>
    </row>
    <row r="52" spans="1:5" x14ac:dyDescent="0.25">
      <c r="A52" s="132">
        <v>202115</v>
      </c>
      <c r="B52" s="45" t="s">
        <v>1821</v>
      </c>
      <c r="D52" s="115"/>
      <c r="E52" s="5"/>
    </row>
    <row r="53" spans="1:5" x14ac:dyDescent="0.25">
      <c r="A53" s="132">
        <v>181647</v>
      </c>
      <c r="B53" s="139">
        <v>159</v>
      </c>
      <c r="C53" s="124" t="s">
        <v>2778</v>
      </c>
      <c r="D53" s="115"/>
      <c r="E53" s="5"/>
    </row>
    <row r="54" spans="1:5" x14ac:dyDescent="0.25">
      <c r="A54" s="132">
        <v>194569</v>
      </c>
      <c r="B54" s="139">
        <v>129</v>
      </c>
      <c r="C54" s="124" t="s">
        <v>2779</v>
      </c>
      <c r="D54" s="115"/>
      <c r="E54" s="5"/>
    </row>
    <row r="55" spans="1:5" x14ac:dyDescent="0.25">
      <c r="A55" s="132">
        <v>194568</v>
      </c>
      <c r="B55" s="139">
        <v>129</v>
      </c>
      <c r="C55" s="124" t="s">
        <v>2780</v>
      </c>
      <c r="D55" s="115"/>
      <c r="E55" s="5"/>
    </row>
    <row r="56" spans="1:5" ht="45" x14ac:dyDescent="0.25">
      <c r="A56" s="132">
        <v>213295</v>
      </c>
      <c r="B56" s="139" t="s">
        <v>2782</v>
      </c>
      <c r="C56" s="124" t="s">
        <v>2781</v>
      </c>
      <c r="D56" s="115"/>
      <c r="E56" s="5"/>
    </row>
    <row r="57" spans="1:5" x14ac:dyDescent="0.25">
      <c r="A57" s="132">
        <v>213294</v>
      </c>
      <c r="B57" s="139">
        <v>129</v>
      </c>
      <c r="C57" s="124" t="s">
        <v>2781</v>
      </c>
      <c r="D57" s="115"/>
      <c r="E57" s="5"/>
    </row>
    <row r="58" spans="1:5" x14ac:dyDescent="0.25">
      <c r="A58" s="132">
        <v>213302</v>
      </c>
      <c r="B58" s="45" t="s">
        <v>1821</v>
      </c>
      <c r="D58" s="115">
        <v>85</v>
      </c>
      <c r="E58" s="5" t="s">
        <v>2784</v>
      </c>
    </row>
    <row r="59" spans="1:5" x14ac:dyDescent="0.25">
      <c r="A59" s="132">
        <v>213303</v>
      </c>
      <c r="B59" s="45" t="s">
        <v>1821</v>
      </c>
      <c r="D59" s="115">
        <v>85</v>
      </c>
      <c r="E59" s="5" t="s">
        <v>2783</v>
      </c>
    </row>
    <row r="60" spans="1:5" x14ac:dyDescent="0.25">
      <c r="A60" s="132">
        <v>213315</v>
      </c>
      <c r="B60" s="45" t="s">
        <v>1821</v>
      </c>
      <c r="D60" s="115"/>
      <c r="E60" s="5"/>
    </row>
    <row r="61" spans="1:5" x14ac:dyDescent="0.25">
      <c r="A61" s="132">
        <v>223221</v>
      </c>
      <c r="B61" s="45" t="s">
        <v>1821</v>
      </c>
      <c r="D61" s="115"/>
      <c r="E61" s="5"/>
    </row>
    <row r="62" spans="1:5" x14ac:dyDescent="0.25">
      <c r="A62" s="132">
        <v>202140</v>
      </c>
      <c r="B62" s="139">
        <v>189</v>
      </c>
      <c r="C62" s="124" t="s">
        <v>2785</v>
      </c>
      <c r="D62" s="115"/>
      <c r="E62" s="5"/>
    </row>
    <row r="63" spans="1:5" ht="45" x14ac:dyDescent="0.25">
      <c r="A63" s="132">
        <v>213300</v>
      </c>
      <c r="B63" s="139" t="s">
        <v>2787</v>
      </c>
      <c r="C63" s="124" t="s">
        <v>2786</v>
      </c>
      <c r="D63" s="115"/>
      <c r="E63" s="5"/>
    </row>
    <row r="64" spans="1:5" x14ac:dyDescent="0.25">
      <c r="A64" s="132">
        <v>213301</v>
      </c>
      <c r="B64" s="139">
        <v>149</v>
      </c>
      <c r="C64" s="124" t="s">
        <v>2786</v>
      </c>
      <c r="D64" s="115"/>
      <c r="E64" s="5"/>
    </row>
    <row r="65" spans="1:5" x14ac:dyDescent="0.25">
      <c r="A65" s="132">
        <v>204517</v>
      </c>
      <c r="B65" s="139">
        <v>169</v>
      </c>
      <c r="C65" s="124" t="s">
        <v>2788</v>
      </c>
      <c r="D65" s="115"/>
      <c r="E65" s="5"/>
    </row>
    <row r="66" spans="1:5" x14ac:dyDescent="0.25">
      <c r="A66" s="132">
        <v>141807</v>
      </c>
      <c r="B66" s="45" t="s">
        <v>1821</v>
      </c>
      <c r="D66" s="115"/>
      <c r="E66" s="5"/>
    </row>
    <row r="67" spans="1:5" x14ac:dyDescent="0.25">
      <c r="A67" s="132">
        <v>223254</v>
      </c>
      <c r="B67" s="45" t="s">
        <v>1821</v>
      </c>
      <c r="D67" s="115"/>
      <c r="E67" s="5"/>
    </row>
    <row r="68" spans="1:5" x14ac:dyDescent="0.25">
      <c r="A68" s="132">
        <v>213308</v>
      </c>
      <c r="B68" s="45" t="s">
        <v>1821</v>
      </c>
      <c r="D68" s="115"/>
      <c r="E68" s="5"/>
    </row>
    <row r="69" spans="1:5" x14ac:dyDescent="0.25">
      <c r="A69" s="132">
        <v>213310</v>
      </c>
      <c r="B69" s="45" t="s">
        <v>1821</v>
      </c>
      <c r="D69" s="115"/>
      <c r="E69" s="5"/>
    </row>
    <row r="70" spans="1:5" x14ac:dyDescent="0.25">
      <c r="A70" s="132">
        <v>181552</v>
      </c>
      <c r="B70" s="45" t="s">
        <v>1821</v>
      </c>
      <c r="D70" s="115"/>
      <c r="E70" s="5"/>
    </row>
    <row r="71" spans="1:5" x14ac:dyDescent="0.25">
      <c r="A71" s="132">
        <v>194865</v>
      </c>
      <c r="B71" s="139">
        <v>109</v>
      </c>
      <c r="C71" s="124" t="s">
        <v>2789</v>
      </c>
      <c r="D71" s="115"/>
      <c r="E71" s="5"/>
    </row>
    <row r="72" spans="1:5" x14ac:dyDescent="0.25">
      <c r="A72" s="132">
        <v>201331</v>
      </c>
      <c r="B72" s="139">
        <v>169</v>
      </c>
      <c r="C72" s="124" t="s">
        <v>2790</v>
      </c>
      <c r="D72" s="115"/>
      <c r="E72" s="5"/>
    </row>
    <row r="73" spans="1:5" ht="15.75" thickBot="1" x14ac:dyDescent="0.3">
      <c r="A73" s="132">
        <v>186680</v>
      </c>
      <c r="B73" s="136">
        <v>149</v>
      </c>
      <c r="C73" s="124" t="s">
        <v>2652</v>
      </c>
      <c r="D73" s="115"/>
      <c r="E73" s="5"/>
    </row>
    <row r="74" spans="1:5" ht="15.75" thickTop="1" x14ac:dyDescent="0.25">
      <c r="A74" s="132">
        <v>158105</v>
      </c>
      <c r="B74" s="139">
        <v>159</v>
      </c>
      <c r="C74" s="124" t="s">
        <v>2791</v>
      </c>
      <c r="D74" s="115"/>
      <c r="E74" s="5"/>
    </row>
    <row r="75" spans="1:5" x14ac:dyDescent="0.25">
      <c r="A75" s="132">
        <v>162925</v>
      </c>
      <c r="B75" s="45" t="s">
        <v>1821</v>
      </c>
      <c r="D75" s="115"/>
      <c r="E75" s="5"/>
    </row>
    <row r="76" spans="1:5" x14ac:dyDescent="0.25">
      <c r="A76" s="132">
        <v>141793</v>
      </c>
      <c r="B76" s="45" t="s">
        <v>1821</v>
      </c>
      <c r="D76" s="115"/>
      <c r="E76" s="5"/>
    </row>
    <row r="77" spans="1:5" x14ac:dyDescent="0.25">
      <c r="A77" s="132">
        <v>141810</v>
      </c>
      <c r="B77" s="45" t="s">
        <v>1821</v>
      </c>
      <c r="D77" s="115">
        <v>130</v>
      </c>
      <c r="E77" s="5" t="s">
        <v>2792</v>
      </c>
    </row>
    <row r="78" spans="1:5" x14ac:dyDescent="0.25">
      <c r="A78" s="132">
        <v>141789</v>
      </c>
      <c r="B78" s="45" t="s">
        <v>1821</v>
      </c>
      <c r="D78" s="115"/>
      <c r="E78" s="5"/>
    </row>
    <row r="79" spans="1:5" ht="15.75" thickBot="1" x14ac:dyDescent="0.3">
      <c r="A79" s="132">
        <v>186845</v>
      </c>
      <c r="B79" s="140" t="s">
        <v>1821</v>
      </c>
      <c r="C79" s="129"/>
      <c r="D79" s="115"/>
      <c r="E79" s="5"/>
    </row>
    <row r="80" spans="1:5" ht="15.75" thickTop="1" x14ac:dyDescent="0.25">
      <c r="A80" s="132">
        <v>213311</v>
      </c>
      <c r="B80" s="45" t="s">
        <v>1821</v>
      </c>
      <c r="D80" s="115"/>
      <c r="E80" s="5"/>
    </row>
    <row r="81" spans="1:5" x14ac:dyDescent="0.25">
      <c r="A81" s="132">
        <v>213312</v>
      </c>
      <c r="B81" s="139">
        <v>149</v>
      </c>
      <c r="C81" s="124" t="s">
        <v>2793</v>
      </c>
      <c r="D81" s="115"/>
      <c r="E81" s="5"/>
    </row>
    <row r="82" spans="1:5" ht="15.75" thickBot="1" x14ac:dyDescent="0.3">
      <c r="A82" s="132">
        <v>164751</v>
      </c>
      <c r="B82" s="136">
        <v>149</v>
      </c>
      <c r="C82" s="124" t="s">
        <v>2630</v>
      </c>
      <c r="D82" s="115"/>
      <c r="E82" s="5"/>
    </row>
    <row r="83" spans="1:5" ht="15.75" thickTop="1" x14ac:dyDescent="0.25">
      <c r="A83" s="132">
        <v>225920</v>
      </c>
      <c r="B83" s="139">
        <v>189</v>
      </c>
      <c r="C83" s="124" t="s">
        <v>2794</v>
      </c>
      <c r="D83" s="115"/>
      <c r="E83" s="5"/>
    </row>
    <row r="84" spans="1:5" x14ac:dyDescent="0.25">
      <c r="A84" s="132">
        <v>138896</v>
      </c>
      <c r="B84" s="45" t="s">
        <v>1821</v>
      </c>
      <c r="D84" s="115"/>
      <c r="E84" s="5"/>
    </row>
    <row r="85" spans="1:5" ht="15.75" thickBot="1" x14ac:dyDescent="0.3">
      <c r="A85" s="132">
        <v>194864</v>
      </c>
      <c r="B85" s="136">
        <v>129</v>
      </c>
      <c r="C85" s="124" t="s">
        <v>2631</v>
      </c>
      <c r="D85" s="115"/>
      <c r="E85" s="5"/>
    </row>
    <row r="86" spans="1:5" ht="16.5" thickTop="1" thickBot="1" x14ac:dyDescent="0.3">
      <c r="A86" s="132">
        <v>186679</v>
      </c>
      <c r="B86" s="140" t="s">
        <v>1821</v>
      </c>
      <c r="C86" s="129"/>
      <c r="D86" s="115"/>
      <c r="E86" s="5"/>
    </row>
    <row r="87" spans="1:5" ht="15.75" thickTop="1" x14ac:dyDescent="0.25">
      <c r="A87" s="132">
        <v>213386</v>
      </c>
      <c r="B87" s="139">
        <v>129</v>
      </c>
      <c r="C87" s="124" t="s">
        <v>2586</v>
      </c>
      <c r="D87" s="115"/>
      <c r="E87" s="5"/>
    </row>
    <row r="88" spans="1:5" x14ac:dyDescent="0.25">
      <c r="A88" s="132">
        <v>213388</v>
      </c>
      <c r="B88" s="139">
        <v>129</v>
      </c>
      <c r="C88" s="124" t="s">
        <v>2585</v>
      </c>
      <c r="D88" s="115"/>
      <c r="E88" s="5"/>
    </row>
    <row r="89" spans="1:5" x14ac:dyDescent="0.25">
      <c r="A89" s="132">
        <v>139834</v>
      </c>
      <c r="B89" s="45" t="s">
        <v>1821</v>
      </c>
      <c r="D89" s="115">
        <v>90</v>
      </c>
      <c r="E89" s="5" t="s">
        <v>2795</v>
      </c>
    </row>
    <row r="90" spans="1:5" x14ac:dyDescent="0.25">
      <c r="A90" s="132">
        <v>223215</v>
      </c>
      <c r="B90" s="45" t="s">
        <v>1821</v>
      </c>
      <c r="D90" s="115"/>
      <c r="E90" s="5"/>
    </row>
    <row r="91" spans="1:5" ht="15.75" thickBot="1" x14ac:dyDescent="0.3">
      <c r="A91" s="132">
        <v>186655</v>
      </c>
      <c r="B91" s="136">
        <v>149</v>
      </c>
      <c r="C91" s="124" t="s">
        <v>2340</v>
      </c>
      <c r="D91" s="115"/>
      <c r="E91" s="5"/>
    </row>
    <row r="92" spans="1:5" ht="15.75" thickTop="1" x14ac:dyDescent="0.25">
      <c r="A92" s="132">
        <v>141809</v>
      </c>
      <c r="B92" s="45">
        <v>189</v>
      </c>
      <c r="C92" s="124" t="s">
        <v>2796</v>
      </c>
      <c r="D92" s="115"/>
      <c r="E92" s="5"/>
    </row>
    <row r="93" spans="1:5" x14ac:dyDescent="0.25">
      <c r="A93" s="132">
        <v>141812</v>
      </c>
      <c r="B93" s="45" t="s">
        <v>1821</v>
      </c>
      <c r="D93" s="115"/>
      <c r="E93" s="5"/>
    </row>
    <row r="94" spans="1:5" ht="15.75" thickBot="1" x14ac:dyDescent="0.3">
      <c r="A94" s="132">
        <v>225060</v>
      </c>
      <c r="B94" s="136">
        <v>149</v>
      </c>
      <c r="C94" s="124" t="s">
        <v>2632</v>
      </c>
      <c r="D94" s="115"/>
      <c r="E94" s="5"/>
    </row>
    <row r="95" spans="1:5" ht="16.5" thickTop="1" thickBot="1" x14ac:dyDescent="0.3">
      <c r="A95" s="132">
        <v>186598</v>
      </c>
      <c r="B95" s="136">
        <v>149</v>
      </c>
      <c r="C95" s="124" t="s">
        <v>2633</v>
      </c>
      <c r="D95" s="115"/>
      <c r="E95" s="5"/>
    </row>
    <row r="96" spans="1:5" ht="16.5" thickTop="1" thickBot="1" x14ac:dyDescent="0.3">
      <c r="A96" s="132">
        <v>139797</v>
      </c>
      <c r="B96" s="136">
        <v>149</v>
      </c>
      <c r="C96" s="124" t="s">
        <v>2634</v>
      </c>
      <c r="D96" s="115"/>
      <c r="E96" s="5"/>
    </row>
    <row r="97" spans="1:5" ht="16.5" thickTop="1" thickBot="1" x14ac:dyDescent="0.3">
      <c r="A97" s="132">
        <v>158181</v>
      </c>
      <c r="B97" s="138">
        <v>129</v>
      </c>
      <c r="C97" s="124" t="s">
        <v>2296</v>
      </c>
      <c r="D97" s="115"/>
      <c r="E97" s="5"/>
    </row>
    <row r="98" spans="1:5" ht="16.5" thickTop="1" thickBot="1" x14ac:dyDescent="0.3">
      <c r="A98" s="132">
        <v>181311</v>
      </c>
      <c r="B98" s="136">
        <v>229</v>
      </c>
      <c r="C98" s="124" t="s">
        <v>2635</v>
      </c>
      <c r="D98" s="115"/>
      <c r="E98" s="5"/>
    </row>
    <row r="99" spans="1:5" ht="15.75" thickTop="1" x14ac:dyDescent="0.25">
      <c r="A99" s="132">
        <v>223256</v>
      </c>
      <c r="B99" s="45" t="s">
        <v>1821</v>
      </c>
      <c r="D99" s="115"/>
      <c r="E99" s="5"/>
    </row>
    <row r="100" spans="1:5" ht="15.75" thickBot="1" x14ac:dyDescent="0.3">
      <c r="A100" s="132">
        <v>223304</v>
      </c>
      <c r="B100" s="138">
        <v>169</v>
      </c>
      <c r="C100" s="124" t="s">
        <v>2297</v>
      </c>
      <c r="D100" s="115"/>
      <c r="E100" s="5"/>
    </row>
    <row r="101" spans="1:5" ht="16.5" thickTop="1" thickBot="1" x14ac:dyDescent="0.3">
      <c r="A101" s="132">
        <v>225361</v>
      </c>
      <c r="B101" s="136">
        <v>59</v>
      </c>
      <c r="C101" s="124" t="s">
        <v>2636</v>
      </c>
      <c r="D101" s="115"/>
      <c r="E101" s="5"/>
    </row>
    <row r="102" spans="1:5" ht="16.5" thickTop="1" thickBot="1" x14ac:dyDescent="0.3">
      <c r="A102" s="132">
        <v>186847</v>
      </c>
      <c r="B102" s="140" t="s">
        <v>1821</v>
      </c>
      <c r="C102" s="129"/>
      <c r="D102" s="115"/>
      <c r="E102" s="5"/>
    </row>
    <row r="103" spans="1:5" ht="16.5" thickTop="1" thickBot="1" x14ac:dyDescent="0.3">
      <c r="A103" s="132">
        <v>225365</v>
      </c>
      <c r="B103" s="136">
        <v>149</v>
      </c>
      <c r="C103" s="124" t="s">
        <v>2637</v>
      </c>
      <c r="D103" s="115"/>
      <c r="E103" s="5"/>
    </row>
    <row r="104" spans="1:5" ht="16.5" thickTop="1" thickBot="1" x14ac:dyDescent="0.3">
      <c r="A104" s="132">
        <v>145220</v>
      </c>
      <c r="B104" s="138">
        <v>189</v>
      </c>
      <c r="C104" s="124" t="s">
        <v>2638</v>
      </c>
      <c r="D104" s="115"/>
      <c r="E104" s="5"/>
    </row>
    <row r="105" spans="1:5" ht="16.5" thickTop="1" thickBot="1" x14ac:dyDescent="0.3">
      <c r="A105" s="132">
        <v>224906</v>
      </c>
      <c r="B105" s="136">
        <v>290</v>
      </c>
      <c r="C105" s="124" t="s">
        <v>2639</v>
      </c>
      <c r="D105" s="115"/>
      <c r="E105" s="5"/>
    </row>
    <row r="106" spans="1:5" ht="16.5" thickTop="1" thickBot="1" x14ac:dyDescent="0.3">
      <c r="A106" s="132">
        <v>186656</v>
      </c>
      <c r="B106" s="136">
        <v>169</v>
      </c>
      <c r="C106" s="124" t="s">
        <v>2640</v>
      </c>
      <c r="D106" s="115"/>
      <c r="E106" s="5"/>
    </row>
    <row r="107" spans="1:5" ht="15.75" thickTop="1" x14ac:dyDescent="0.25">
      <c r="A107" s="132">
        <v>213296</v>
      </c>
      <c r="B107" s="45" t="s">
        <v>1821</v>
      </c>
      <c r="D107" s="115"/>
      <c r="E107" s="5"/>
    </row>
    <row r="108" spans="1:5" ht="15.75" thickBot="1" x14ac:dyDescent="0.3">
      <c r="A108" s="132">
        <v>202116</v>
      </c>
      <c r="B108" s="140" t="s">
        <v>2493</v>
      </c>
      <c r="C108" s="129"/>
      <c r="D108" s="115"/>
      <c r="E108" s="5"/>
    </row>
    <row r="109" spans="1:5" ht="16.5" thickTop="1" thickBot="1" x14ac:dyDescent="0.3">
      <c r="A109" s="132">
        <v>213298</v>
      </c>
      <c r="B109" s="136">
        <v>169</v>
      </c>
      <c r="C109" s="124" t="s">
        <v>2514</v>
      </c>
      <c r="D109" s="115"/>
      <c r="E109" s="5"/>
    </row>
    <row r="110" spans="1:5" ht="16.5" thickTop="1" thickBot="1" x14ac:dyDescent="0.3">
      <c r="A110" s="132">
        <v>186676</v>
      </c>
      <c r="B110" s="140" t="s">
        <v>1821</v>
      </c>
      <c r="C110" s="129"/>
      <c r="D110" s="115"/>
      <c r="E110" s="5"/>
    </row>
    <row r="111" spans="1:5" ht="16.5" thickTop="1" thickBot="1" x14ac:dyDescent="0.3">
      <c r="A111" s="132">
        <v>225919</v>
      </c>
      <c r="B111" s="136">
        <v>229</v>
      </c>
      <c r="C111" s="124" t="s">
        <v>2641</v>
      </c>
      <c r="D111" s="115"/>
      <c r="E111" s="5"/>
    </row>
    <row r="112" spans="1:5" ht="16.5" thickTop="1" thickBot="1" x14ac:dyDescent="0.3">
      <c r="A112" s="132">
        <v>181547</v>
      </c>
      <c r="B112" s="136">
        <v>89</v>
      </c>
      <c r="C112" s="124" t="s">
        <v>2642</v>
      </c>
      <c r="D112" s="115"/>
      <c r="E112" s="5"/>
    </row>
    <row r="113" spans="1:5" ht="16.5" thickTop="1" thickBot="1" x14ac:dyDescent="0.3">
      <c r="A113" s="132">
        <v>141826</v>
      </c>
      <c r="B113" s="138">
        <v>290</v>
      </c>
      <c r="C113" s="124" t="s">
        <v>2341</v>
      </c>
      <c r="D113" s="115"/>
      <c r="E113" s="5"/>
    </row>
    <row r="114" spans="1:5" ht="16.5" thickTop="1" thickBot="1" x14ac:dyDescent="0.3">
      <c r="A114" s="132">
        <v>141827</v>
      </c>
      <c r="B114" s="138">
        <v>329</v>
      </c>
      <c r="C114" s="124" t="s">
        <v>2342</v>
      </c>
      <c r="D114" s="115"/>
      <c r="E114" s="5"/>
    </row>
    <row r="115" spans="1:5" ht="15.75" thickTop="1" x14ac:dyDescent="0.25">
      <c r="A115" s="132">
        <v>186591</v>
      </c>
      <c r="B115" s="45" t="s">
        <v>1821</v>
      </c>
      <c r="D115" s="115"/>
      <c r="E115" s="5"/>
    </row>
    <row r="116" spans="1:5" ht="15.75" thickBot="1" x14ac:dyDescent="0.3">
      <c r="A116" s="132">
        <v>224908</v>
      </c>
      <c r="B116" s="136">
        <v>149</v>
      </c>
      <c r="C116" s="124" t="s">
        <v>2643</v>
      </c>
      <c r="D116" s="115"/>
      <c r="E116" s="5"/>
    </row>
    <row r="117" spans="1:5" ht="16.5" thickTop="1" thickBot="1" x14ac:dyDescent="0.3">
      <c r="A117" s="132">
        <v>194567</v>
      </c>
      <c r="B117" s="136">
        <v>129</v>
      </c>
      <c r="C117" s="124" t="s">
        <v>2644</v>
      </c>
      <c r="D117" s="115"/>
      <c r="E117" s="5"/>
    </row>
    <row r="118" spans="1:5" ht="16.5" thickTop="1" thickBot="1" x14ac:dyDescent="0.3">
      <c r="A118" s="132">
        <v>202108</v>
      </c>
      <c r="B118" s="136">
        <v>189</v>
      </c>
      <c r="C118" s="124" t="s">
        <v>2645</v>
      </c>
      <c r="D118" s="115"/>
      <c r="E118" s="5"/>
    </row>
    <row r="119" spans="1:5" ht="16.5" thickTop="1" thickBot="1" x14ac:dyDescent="0.3">
      <c r="A119" s="132">
        <v>186696</v>
      </c>
      <c r="B119" s="140" t="s">
        <v>1821</v>
      </c>
      <c r="C119" s="129"/>
      <c r="D119" s="115"/>
      <c r="E119" s="5"/>
    </row>
    <row r="120" spans="1:5" ht="15.75" thickTop="1" x14ac:dyDescent="0.25">
      <c r="A120" s="132">
        <v>213136</v>
      </c>
      <c r="B120" s="139">
        <v>149</v>
      </c>
      <c r="C120" s="124" t="s">
        <v>2798</v>
      </c>
      <c r="D120" s="115"/>
      <c r="E120" s="5"/>
    </row>
    <row r="121" spans="1:5" ht="15.75" thickBot="1" x14ac:dyDescent="0.3">
      <c r="A121" s="132">
        <v>153070</v>
      </c>
      <c r="B121" s="136">
        <v>169</v>
      </c>
      <c r="C121" s="124" t="s">
        <v>2349</v>
      </c>
      <c r="D121" s="115"/>
      <c r="E121" s="5"/>
    </row>
    <row r="122" spans="1:5" ht="16.5" thickTop="1" thickBot="1" x14ac:dyDescent="0.3">
      <c r="A122" s="132">
        <v>186701</v>
      </c>
      <c r="B122" s="140" t="s">
        <v>1821</v>
      </c>
      <c r="C122" s="129"/>
      <c r="D122" s="115"/>
      <c r="E122" s="5"/>
    </row>
    <row r="123" spans="1:5" ht="16.5" thickTop="1" thickBot="1" x14ac:dyDescent="0.3">
      <c r="A123" s="132">
        <v>225055</v>
      </c>
      <c r="B123" s="136">
        <v>149</v>
      </c>
      <c r="C123" s="124" t="s">
        <v>2646</v>
      </c>
      <c r="D123" s="115"/>
      <c r="E123" s="5"/>
    </row>
    <row r="124" spans="1:5" ht="15.75" thickTop="1" x14ac:dyDescent="0.25">
      <c r="A124" s="132">
        <v>225917</v>
      </c>
      <c r="B124" s="139">
        <v>369</v>
      </c>
      <c r="C124" s="124" t="s">
        <v>2797</v>
      </c>
      <c r="D124" s="115"/>
      <c r="E124" s="5"/>
    </row>
    <row r="125" spans="1:5" ht="15.75" thickBot="1" x14ac:dyDescent="0.3">
      <c r="A125" s="132">
        <v>204299</v>
      </c>
      <c r="B125" s="136">
        <v>199</v>
      </c>
      <c r="C125" s="124" t="s">
        <v>2647</v>
      </c>
      <c r="D125" s="115"/>
      <c r="E125" s="5"/>
    </row>
    <row r="126" spans="1:5" ht="16.5" thickTop="1" thickBot="1" x14ac:dyDescent="0.3">
      <c r="A126" s="132">
        <v>186771</v>
      </c>
      <c r="B126" s="136">
        <v>169</v>
      </c>
      <c r="C126" s="124" t="s">
        <v>2648</v>
      </c>
      <c r="D126" s="115"/>
      <c r="E126" s="5"/>
    </row>
    <row r="127" spans="1:5" ht="16.5" thickTop="1" thickBot="1" x14ac:dyDescent="0.3">
      <c r="A127" s="132">
        <v>186686</v>
      </c>
      <c r="B127" s="140" t="s">
        <v>2494</v>
      </c>
      <c r="C127" s="129"/>
      <c r="D127" s="115"/>
      <c r="E127" s="5"/>
    </row>
    <row r="128" spans="1:5" ht="16.5" thickTop="1" thickBot="1" x14ac:dyDescent="0.3">
      <c r="A128" s="132">
        <v>186687</v>
      </c>
      <c r="B128" s="136">
        <v>169</v>
      </c>
      <c r="C128" s="124" t="s">
        <v>2649</v>
      </c>
      <c r="D128" s="115"/>
      <c r="E128" s="5"/>
    </row>
    <row r="129" spans="1:5" ht="15.75" thickTop="1" x14ac:dyDescent="0.25">
      <c r="A129" s="132">
        <v>225395</v>
      </c>
      <c r="B129" s="139">
        <v>199</v>
      </c>
      <c r="C129" s="124" t="s">
        <v>2799</v>
      </c>
      <c r="D129" s="115"/>
      <c r="E129" s="5"/>
    </row>
    <row r="130" spans="1:5" ht="15.75" thickBot="1" x14ac:dyDescent="0.3">
      <c r="A130" s="132">
        <v>186682</v>
      </c>
      <c r="B130" s="136">
        <v>89</v>
      </c>
      <c r="C130" s="124" t="s">
        <v>2650</v>
      </c>
      <c r="D130" s="115"/>
      <c r="E130" s="5"/>
    </row>
    <row r="131" spans="1:5" ht="16.5" thickTop="1" thickBot="1" x14ac:dyDescent="0.3">
      <c r="A131" s="132">
        <v>186555</v>
      </c>
      <c r="B131" s="136">
        <v>349</v>
      </c>
      <c r="C131" s="124" t="s">
        <v>2651</v>
      </c>
      <c r="D131" s="115"/>
      <c r="E131" s="5"/>
    </row>
    <row r="132" spans="1:5" ht="16.5" thickTop="1" thickBot="1" x14ac:dyDescent="0.3">
      <c r="A132" s="132">
        <v>186688</v>
      </c>
      <c r="B132" s="140" t="s">
        <v>1821</v>
      </c>
      <c r="C132" s="129"/>
      <c r="D132" s="115"/>
      <c r="E132" s="5"/>
    </row>
    <row r="133" spans="1:5" ht="16.5" thickTop="1" thickBot="1" x14ac:dyDescent="0.3">
      <c r="A133" s="132">
        <v>158351</v>
      </c>
      <c r="B133" s="138">
        <v>398</v>
      </c>
      <c r="C133" s="124" t="s">
        <v>2620</v>
      </c>
      <c r="D133" s="115"/>
      <c r="E133" s="5"/>
    </row>
    <row r="134" spans="1:5" ht="15.75" thickTop="1" x14ac:dyDescent="0.25">
      <c r="A134" s="132">
        <v>153071</v>
      </c>
      <c r="B134" s="139"/>
      <c r="D134" s="115"/>
      <c r="E134" s="5"/>
    </row>
    <row r="135" spans="1:5" x14ac:dyDescent="0.25">
      <c r="A135" s="132">
        <v>186567</v>
      </c>
      <c r="B135" s="139">
        <v>229</v>
      </c>
      <c r="C135" s="124" t="s">
        <v>2800</v>
      </c>
      <c r="D135" s="115"/>
      <c r="E135" s="5"/>
    </row>
    <row r="136" spans="1:5" x14ac:dyDescent="0.25">
      <c r="A136" s="132">
        <v>186566</v>
      </c>
      <c r="B136" s="139">
        <v>229</v>
      </c>
      <c r="C136" s="124" t="s">
        <v>2800</v>
      </c>
      <c r="D136" s="115"/>
      <c r="E136" s="5"/>
    </row>
    <row r="137" spans="1:5" ht="15.75" thickBot="1" x14ac:dyDescent="0.3">
      <c r="A137" s="132">
        <v>186689</v>
      </c>
      <c r="B137" s="140" t="s">
        <v>1821</v>
      </c>
      <c r="C137" s="129"/>
      <c r="D137" s="115"/>
      <c r="E137" s="5"/>
    </row>
    <row r="138" spans="1:5" ht="15.75" thickTop="1" x14ac:dyDescent="0.25">
      <c r="A138" s="132">
        <v>186563</v>
      </c>
      <c r="B138" s="139">
        <v>229</v>
      </c>
      <c r="C138" s="124" t="s">
        <v>2801</v>
      </c>
      <c r="D138" s="115"/>
      <c r="E138" s="5"/>
    </row>
    <row r="139" spans="1:5" ht="15.75" thickBot="1" x14ac:dyDescent="0.3">
      <c r="A139" s="132">
        <v>138833</v>
      </c>
      <c r="B139" s="136">
        <v>389</v>
      </c>
      <c r="C139" s="124" t="s">
        <v>2622</v>
      </c>
      <c r="D139" s="115"/>
      <c r="E139" s="5"/>
    </row>
    <row r="140" spans="1:5" ht="15.75" thickTop="1" x14ac:dyDescent="0.25">
      <c r="A140" s="132">
        <v>213289</v>
      </c>
      <c r="B140" s="45" t="s">
        <v>1821</v>
      </c>
      <c r="D140" s="115"/>
      <c r="E140" s="5"/>
    </row>
    <row r="141" spans="1:5" x14ac:dyDescent="0.25">
      <c r="A141" s="132">
        <v>213292</v>
      </c>
      <c r="B141" s="139">
        <v>169</v>
      </c>
      <c r="C141" s="124" t="s">
        <v>2802</v>
      </c>
      <c r="D141" s="115"/>
      <c r="E141" s="5"/>
    </row>
    <row r="142" spans="1:5" ht="15.75" thickBot="1" x14ac:dyDescent="0.3">
      <c r="A142" s="132">
        <v>186677</v>
      </c>
      <c r="B142" s="136">
        <v>299</v>
      </c>
      <c r="C142" s="124" t="s">
        <v>2675</v>
      </c>
      <c r="D142" s="115"/>
      <c r="E142" s="5"/>
    </row>
    <row r="143" spans="1:5" ht="15.75" thickTop="1" x14ac:dyDescent="0.25">
      <c r="A143" s="132">
        <v>224899</v>
      </c>
      <c r="B143" s="45">
        <v>169</v>
      </c>
      <c r="C143" s="124" t="s">
        <v>2804</v>
      </c>
      <c r="D143" s="115">
        <v>180</v>
      </c>
      <c r="E143" s="5" t="s">
        <v>2803</v>
      </c>
    </row>
    <row r="144" spans="1:5" x14ac:dyDescent="0.25">
      <c r="A144" s="132">
        <v>141813</v>
      </c>
      <c r="B144" s="139">
        <v>219</v>
      </c>
      <c r="C144" s="124" t="s">
        <v>2805</v>
      </c>
      <c r="D144" s="115"/>
      <c r="E144" s="5"/>
    </row>
    <row r="145" spans="1:5" x14ac:dyDescent="0.25">
      <c r="A145" s="132">
        <v>202109</v>
      </c>
      <c r="B145" s="139">
        <v>189</v>
      </c>
      <c r="C145" s="124" t="s">
        <v>2645</v>
      </c>
      <c r="D145" s="115"/>
      <c r="E145" s="5"/>
    </row>
    <row r="146" spans="1:5" x14ac:dyDescent="0.25">
      <c r="A146" s="132">
        <v>186564</v>
      </c>
      <c r="B146" s="139">
        <v>190</v>
      </c>
      <c r="C146" s="124" t="s">
        <v>2806</v>
      </c>
      <c r="D146" s="115"/>
      <c r="E146" s="5"/>
    </row>
    <row r="147" spans="1:5" x14ac:dyDescent="0.25">
      <c r="A147" s="132">
        <v>223705</v>
      </c>
      <c r="B147" s="139">
        <v>229</v>
      </c>
      <c r="C147" s="124" t="s">
        <v>2807</v>
      </c>
      <c r="D147" s="115"/>
      <c r="E147" s="5"/>
    </row>
    <row r="148" spans="1:5" x14ac:dyDescent="0.25">
      <c r="A148" s="132">
        <v>186569</v>
      </c>
      <c r="B148" s="45" t="s">
        <v>1821</v>
      </c>
      <c r="D148" s="115"/>
      <c r="E148" s="5"/>
    </row>
    <row r="149" spans="1:5" x14ac:dyDescent="0.25">
      <c r="A149" s="132">
        <v>180670</v>
      </c>
      <c r="B149" s="139">
        <v>590</v>
      </c>
      <c r="C149" s="124" t="s">
        <v>2616</v>
      </c>
      <c r="D149" s="115"/>
      <c r="E149" s="5"/>
    </row>
    <row r="150" spans="1:5" ht="15.75" thickBot="1" x14ac:dyDescent="0.3">
      <c r="A150" s="132">
        <v>186694</v>
      </c>
      <c r="B150" s="136">
        <v>159</v>
      </c>
      <c r="C150" s="124" t="s">
        <v>2654</v>
      </c>
      <c r="D150" s="115"/>
      <c r="E150" s="5"/>
    </row>
    <row r="151" spans="1:5" ht="16.5" thickTop="1" thickBot="1" x14ac:dyDescent="0.3">
      <c r="A151" s="132">
        <v>186695</v>
      </c>
      <c r="B151" s="140" t="s">
        <v>2494</v>
      </c>
      <c r="C151" s="129"/>
      <c r="D151" s="115"/>
      <c r="E151" s="5"/>
    </row>
    <row r="152" spans="1:5" ht="15.75" thickTop="1" x14ac:dyDescent="0.25">
      <c r="A152" s="132">
        <v>186586</v>
      </c>
      <c r="B152" s="139">
        <v>129</v>
      </c>
      <c r="C152" s="124" t="s">
        <v>2808</v>
      </c>
      <c r="D152" s="115"/>
      <c r="E152" s="5"/>
    </row>
    <row r="153" spans="1:5" x14ac:dyDescent="0.25">
      <c r="A153" s="132">
        <v>186587</v>
      </c>
      <c r="B153" s="139">
        <v>179</v>
      </c>
      <c r="C153" s="124" t="s">
        <v>2809</v>
      </c>
      <c r="D153" s="115"/>
      <c r="E153" s="5"/>
    </row>
    <row r="154" spans="1:5" x14ac:dyDescent="0.25">
      <c r="A154" s="132">
        <v>186589</v>
      </c>
      <c r="B154" s="139">
        <v>129</v>
      </c>
      <c r="C154" s="124" t="s">
        <v>2808</v>
      </c>
      <c r="D154" s="115"/>
      <c r="E154" s="5"/>
    </row>
    <row r="155" spans="1:5" x14ac:dyDescent="0.25">
      <c r="A155" s="132">
        <v>186565</v>
      </c>
      <c r="B155" s="45" t="s">
        <v>1821</v>
      </c>
      <c r="D155" s="115"/>
      <c r="E155" s="5"/>
    </row>
    <row r="156" spans="1:5" x14ac:dyDescent="0.25">
      <c r="A156" s="132">
        <v>186571</v>
      </c>
      <c r="B156" s="139">
        <v>190</v>
      </c>
      <c r="C156" s="124" t="s">
        <v>2810</v>
      </c>
      <c r="D156" s="115"/>
      <c r="E156" s="5"/>
    </row>
    <row r="157" spans="1:5" x14ac:dyDescent="0.25">
      <c r="A157" s="132">
        <v>204180</v>
      </c>
      <c r="B157" s="45" t="s">
        <v>1821</v>
      </c>
      <c r="D157" s="115"/>
      <c r="E157" s="5"/>
    </row>
    <row r="158" spans="1:5" x14ac:dyDescent="0.25">
      <c r="A158" s="132">
        <v>204183</v>
      </c>
      <c r="B158" s="45" t="s">
        <v>1821</v>
      </c>
      <c r="D158" s="115"/>
      <c r="E158" s="5"/>
    </row>
    <row r="159" spans="1:5" ht="15.75" thickBot="1" x14ac:dyDescent="0.3">
      <c r="A159" s="132">
        <v>158273</v>
      </c>
      <c r="B159" s="138">
        <v>380</v>
      </c>
      <c r="C159" s="124" t="s">
        <v>2621</v>
      </c>
      <c r="D159" s="115"/>
      <c r="E159" s="5"/>
    </row>
    <row r="160" spans="1:5" ht="15.75" thickTop="1" x14ac:dyDescent="0.25">
      <c r="A160" s="132">
        <v>139796</v>
      </c>
      <c r="B160" s="139">
        <v>149</v>
      </c>
      <c r="C160" s="124" t="s">
        <v>2811</v>
      </c>
      <c r="D160" s="115"/>
      <c r="E160" s="5"/>
    </row>
    <row r="161" spans="1:5" x14ac:dyDescent="0.25">
      <c r="A161" s="132">
        <v>181646</v>
      </c>
      <c r="B161" s="139">
        <v>249</v>
      </c>
      <c r="C161" s="124" t="s">
        <v>2813</v>
      </c>
      <c r="D161" s="115"/>
      <c r="E161" s="5"/>
    </row>
    <row r="162" spans="1:5" x14ac:dyDescent="0.25">
      <c r="A162" s="132">
        <v>223706</v>
      </c>
      <c r="B162" s="139">
        <v>229</v>
      </c>
      <c r="C162" s="124" t="s">
        <v>2807</v>
      </c>
      <c r="D162" s="115"/>
      <c r="E162" s="5"/>
    </row>
    <row r="163" spans="1:5" x14ac:dyDescent="0.25">
      <c r="A163" s="132">
        <v>186590</v>
      </c>
      <c r="B163" s="139">
        <v>190</v>
      </c>
      <c r="C163" s="124" t="s">
        <v>2814</v>
      </c>
      <c r="D163" s="115"/>
      <c r="E163" s="5"/>
    </row>
    <row r="164" spans="1:5" x14ac:dyDescent="0.25">
      <c r="A164" s="132">
        <v>159546</v>
      </c>
      <c r="B164" s="45" t="s">
        <v>1821</v>
      </c>
      <c r="D164" s="115"/>
      <c r="E164" s="5"/>
    </row>
    <row r="165" spans="1:5" x14ac:dyDescent="0.25">
      <c r="A165" s="132">
        <v>225397</v>
      </c>
      <c r="B165" s="139">
        <v>199</v>
      </c>
      <c r="C165" s="124" t="s">
        <v>2816</v>
      </c>
      <c r="D165" s="115"/>
      <c r="E165" s="5"/>
    </row>
    <row r="166" spans="1:5" x14ac:dyDescent="0.25">
      <c r="A166" s="132">
        <v>139798</v>
      </c>
      <c r="B166" s="139">
        <v>149</v>
      </c>
      <c r="C166" s="124" t="s">
        <v>2812</v>
      </c>
      <c r="D166" s="115"/>
      <c r="E166" s="5"/>
    </row>
    <row r="167" spans="1:5" x14ac:dyDescent="0.25">
      <c r="A167" s="132">
        <v>225916</v>
      </c>
      <c r="B167" s="139">
        <v>190</v>
      </c>
      <c r="C167" s="124" t="s">
        <v>2815</v>
      </c>
      <c r="D167" s="115"/>
      <c r="E167" s="5"/>
    </row>
    <row r="168" spans="1:5" ht="15.75" thickBot="1" x14ac:dyDescent="0.3">
      <c r="A168" s="132">
        <v>186557</v>
      </c>
      <c r="B168" s="136">
        <v>269</v>
      </c>
      <c r="C168" s="124" t="s">
        <v>2661</v>
      </c>
      <c r="D168" s="115"/>
      <c r="E168" s="5"/>
    </row>
    <row r="169" spans="1:5" ht="15.75" thickTop="1" x14ac:dyDescent="0.25">
      <c r="A169" s="132">
        <v>186568</v>
      </c>
      <c r="B169" s="139">
        <v>290</v>
      </c>
      <c r="C169" s="124" t="s">
        <v>2817</v>
      </c>
      <c r="D169" s="115"/>
      <c r="E169" s="5"/>
    </row>
    <row r="170" spans="1:5" x14ac:dyDescent="0.25">
      <c r="A170" s="132">
        <v>186588</v>
      </c>
      <c r="B170" s="139">
        <v>190</v>
      </c>
      <c r="C170" s="124" t="s">
        <v>2818</v>
      </c>
      <c r="D170" s="115"/>
      <c r="E170" s="5"/>
    </row>
    <row r="171" spans="1:5" x14ac:dyDescent="0.25">
      <c r="A171" s="132">
        <v>186668</v>
      </c>
      <c r="B171" s="139">
        <v>190</v>
      </c>
      <c r="C171" s="124" t="s">
        <v>2818</v>
      </c>
      <c r="D171" s="115"/>
      <c r="E171" s="5"/>
    </row>
    <row r="172" spans="1:5" x14ac:dyDescent="0.25">
      <c r="A172" s="132">
        <v>204301</v>
      </c>
      <c r="B172" s="139">
        <v>199</v>
      </c>
      <c r="C172" s="124" t="s">
        <v>2647</v>
      </c>
      <c r="D172" s="115"/>
      <c r="E172" s="5"/>
    </row>
    <row r="173" spans="1:5" x14ac:dyDescent="0.25">
      <c r="A173" s="132">
        <v>225985</v>
      </c>
      <c r="B173" s="139">
        <v>229</v>
      </c>
      <c r="C173" s="124" t="s">
        <v>2819</v>
      </c>
      <c r="D173" s="115"/>
      <c r="E173" s="5"/>
    </row>
    <row r="174" spans="1:5" ht="15.75" thickBot="1" x14ac:dyDescent="0.3">
      <c r="A174" s="132">
        <v>202111</v>
      </c>
      <c r="B174" s="138">
        <v>229</v>
      </c>
      <c r="C174" s="124" t="s">
        <v>2820</v>
      </c>
      <c r="D174" s="115"/>
      <c r="E174" s="5"/>
    </row>
    <row r="175" spans="1:5" ht="15.75" thickTop="1" x14ac:dyDescent="0.25">
      <c r="A175" s="132">
        <v>202110</v>
      </c>
      <c r="B175" s="45" t="s">
        <v>1821</v>
      </c>
      <c r="D175" s="115"/>
      <c r="E175" s="5"/>
    </row>
    <row r="176" spans="1:5" x14ac:dyDescent="0.25">
      <c r="A176" s="132">
        <v>139792</v>
      </c>
      <c r="B176" s="139">
        <v>290</v>
      </c>
      <c r="C176" s="124" t="s">
        <v>2821</v>
      </c>
      <c r="D176" s="115"/>
      <c r="E176" s="5"/>
    </row>
    <row r="177" spans="1:5" x14ac:dyDescent="0.25">
      <c r="A177" s="132">
        <v>186831</v>
      </c>
      <c r="B177" s="139">
        <v>290</v>
      </c>
      <c r="C177" s="124" t="s">
        <v>2822</v>
      </c>
      <c r="D177" s="115"/>
      <c r="E177" s="5"/>
    </row>
    <row r="178" spans="1:5" x14ac:dyDescent="0.25">
      <c r="A178" s="132">
        <v>213309</v>
      </c>
      <c r="B178" s="45" t="s">
        <v>1821</v>
      </c>
      <c r="D178" s="115"/>
      <c r="E178" s="5"/>
    </row>
    <row r="179" spans="1:5" x14ac:dyDescent="0.25">
      <c r="A179" s="132">
        <v>202085</v>
      </c>
      <c r="B179" s="139">
        <v>190</v>
      </c>
      <c r="C179" s="124" t="s">
        <v>2824</v>
      </c>
      <c r="D179" s="115"/>
      <c r="E179" s="5"/>
    </row>
    <row r="180" spans="1:5" ht="15.75" thickBot="1" x14ac:dyDescent="0.3">
      <c r="A180" s="132">
        <v>138805</v>
      </c>
      <c r="B180" s="136">
        <v>490</v>
      </c>
      <c r="C180" s="124" t="s">
        <v>2623</v>
      </c>
      <c r="D180" s="115"/>
      <c r="E180" s="5"/>
    </row>
    <row r="181" spans="1:5" ht="16.5" thickTop="1" thickBot="1" x14ac:dyDescent="0.3">
      <c r="A181" s="132">
        <v>138804</v>
      </c>
      <c r="B181" s="136">
        <v>490</v>
      </c>
      <c r="C181" s="124" t="s">
        <v>2623</v>
      </c>
      <c r="D181" s="115"/>
      <c r="E181" s="5"/>
    </row>
    <row r="182" spans="1:5" ht="15.75" thickTop="1" x14ac:dyDescent="0.25">
      <c r="A182" s="132">
        <v>186581</v>
      </c>
      <c r="B182" s="139">
        <v>179</v>
      </c>
      <c r="C182" s="124" t="s">
        <v>2809</v>
      </c>
      <c r="D182" s="115"/>
      <c r="E182" s="5"/>
    </row>
    <row r="183" spans="1:5" ht="15.75" thickBot="1" x14ac:dyDescent="0.3">
      <c r="A183" s="132">
        <v>186553</v>
      </c>
      <c r="B183" s="136">
        <v>269</v>
      </c>
      <c r="C183" s="124" t="s">
        <v>2676</v>
      </c>
      <c r="D183" s="115"/>
      <c r="E183" s="5"/>
    </row>
    <row r="184" spans="1:5" ht="16.5" thickTop="1" thickBot="1" x14ac:dyDescent="0.3">
      <c r="A184" s="132">
        <v>186554</v>
      </c>
      <c r="B184" s="140" t="s">
        <v>1821</v>
      </c>
      <c r="C184" s="129"/>
      <c r="D184" s="115"/>
      <c r="E184" s="5"/>
    </row>
    <row r="185" spans="1:5" ht="15.75" thickTop="1" x14ac:dyDescent="0.25">
      <c r="A185" s="132">
        <v>204352</v>
      </c>
      <c r="B185" s="139">
        <v>258</v>
      </c>
      <c r="C185" s="124" t="s">
        <v>2825</v>
      </c>
      <c r="D185" s="115"/>
      <c r="E185" s="5"/>
    </row>
    <row r="186" spans="1:5" x14ac:dyDescent="0.25">
      <c r="A186" s="132">
        <v>226006</v>
      </c>
      <c r="B186" s="139">
        <v>179</v>
      </c>
      <c r="C186" s="124" t="s">
        <v>2543</v>
      </c>
      <c r="D186" s="115"/>
      <c r="E186" s="5"/>
    </row>
    <row r="187" spans="1:5" ht="15.75" thickBot="1" x14ac:dyDescent="0.3">
      <c r="A187" s="132">
        <v>153068</v>
      </c>
      <c r="B187" s="138">
        <v>149</v>
      </c>
      <c r="C187" s="124" t="s">
        <v>2347</v>
      </c>
      <c r="D187" s="115"/>
      <c r="E187" s="5"/>
    </row>
    <row r="188" spans="1:5" ht="15.75" thickTop="1" x14ac:dyDescent="0.25">
      <c r="A188" s="132">
        <v>202167</v>
      </c>
      <c r="B188" s="45" t="s">
        <v>1821</v>
      </c>
      <c r="D188" s="115"/>
      <c r="E188" s="5"/>
    </row>
    <row r="189" spans="1:5" x14ac:dyDescent="0.25">
      <c r="A189" s="132">
        <v>202114</v>
      </c>
      <c r="B189" s="139">
        <v>249</v>
      </c>
      <c r="C189" s="124" t="s">
        <v>2823</v>
      </c>
      <c r="D189" s="115"/>
      <c r="E189" s="5"/>
    </row>
    <row r="190" spans="1:5" ht="15.75" thickBot="1" x14ac:dyDescent="0.3">
      <c r="A190" s="132">
        <v>225915</v>
      </c>
      <c r="B190" s="138">
        <v>190</v>
      </c>
      <c r="C190" s="124" t="s">
        <v>2368</v>
      </c>
      <c r="D190" s="115"/>
      <c r="E190" s="5"/>
    </row>
    <row r="191" spans="1:5" ht="16.5" thickTop="1" thickBot="1" x14ac:dyDescent="0.3">
      <c r="A191" s="132">
        <v>201330</v>
      </c>
      <c r="B191" s="138">
        <v>290</v>
      </c>
      <c r="C191" s="124" t="s">
        <v>2348</v>
      </c>
      <c r="D191" s="115"/>
      <c r="E191" s="5"/>
    </row>
    <row r="192" spans="1:5" ht="16.5" thickTop="1" thickBot="1" x14ac:dyDescent="0.3">
      <c r="A192" s="132">
        <v>186556</v>
      </c>
      <c r="B192" s="140" t="s">
        <v>1821</v>
      </c>
      <c r="C192" s="129"/>
      <c r="D192" s="115"/>
      <c r="E192" s="5"/>
    </row>
    <row r="193" spans="1:5" ht="15.75" thickTop="1" x14ac:dyDescent="0.25">
      <c r="A193" s="132">
        <v>225426</v>
      </c>
      <c r="B193" s="139">
        <v>590</v>
      </c>
      <c r="C193" s="124" t="s">
        <v>2826</v>
      </c>
      <c r="D193" s="115"/>
      <c r="E193" s="5"/>
    </row>
    <row r="194" spans="1:5" ht="15.75" thickBot="1" x14ac:dyDescent="0.3">
      <c r="A194" s="132">
        <v>153072</v>
      </c>
      <c r="B194" s="138">
        <v>169</v>
      </c>
      <c r="C194" s="124" t="s">
        <v>2349</v>
      </c>
      <c r="D194" s="115"/>
      <c r="E194" s="5"/>
    </row>
    <row r="195" spans="1:5" ht="15.75" thickTop="1" x14ac:dyDescent="0.25">
      <c r="A195" s="132">
        <v>225389</v>
      </c>
      <c r="B195" s="139">
        <v>169</v>
      </c>
      <c r="C195" s="124" t="s">
        <v>2827</v>
      </c>
      <c r="D195" s="115"/>
      <c r="E195" s="5"/>
    </row>
    <row r="196" spans="1:5" ht="15.75" thickBot="1" x14ac:dyDescent="0.3">
      <c r="A196" s="132">
        <v>186685</v>
      </c>
      <c r="B196" s="140" t="s">
        <v>1821</v>
      </c>
      <c r="C196" s="129"/>
      <c r="D196" s="115"/>
      <c r="E196" s="5"/>
    </row>
    <row r="197" spans="1:5" ht="16.5" thickTop="1" thickBot="1" x14ac:dyDescent="0.3">
      <c r="A197" s="132">
        <v>186657</v>
      </c>
      <c r="B197" s="138">
        <v>299</v>
      </c>
      <c r="C197" s="124" t="s">
        <v>2653</v>
      </c>
      <c r="D197" s="115"/>
      <c r="E197" s="5"/>
    </row>
    <row r="198" spans="1:5" ht="16.5" thickTop="1" thickBot="1" x14ac:dyDescent="0.3">
      <c r="A198" s="132">
        <v>186658</v>
      </c>
      <c r="B198" s="138">
        <v>299</v>
      </c>
      <c r="C198" s="124" t="s">
        <v>2653</v>
      </c>
      <c r="D198" s="115"/>
      <c r="E198" s="5"/>
    </row>
    <row r="199" spans="1:5" ht="15.75" thickTop="1" x14ac:dyDescent="0.25">
      <c r="A199" s="132">
        <v>213159</v>
      </c>
      <c r="B199" s="139">
        <v>229</v>
      </c>
      <c r="C199" s="124" t="s">
        <v>2828</v>
      </c>
      <c r="D199" s="115"/>
      <c r="E199" s="5"/>
    </row>
    <row r="200" spans="1:5" ht="15.75" thickBot="1" x14ac:dyDescent="0.3">
      <c r="A200" s="132">
        <v>186684</v>
      </c>
      <c r="B200" s="136">
        <v>169</v>
      </c>
      <c r="C200" s="124" t="s">
        <v>2655</v>
      </c>
      <c r="D200" s="115"/>
      <c r="E200" s="5"/>
    </row>
    <row r="201" spans="1:5" ht="16.5" thickTop="1" thickBot="1" x14ac:dyDescent="0.3">
      <c r="A201" s="132">
        <v>158294</v>
      </c>
      <c r="B201" s="136">
        <v>390</v>
      </c>
      <c r="C201" s="124" t="s">
        <v>2624</v>
      </c>
      <c r="D201" s="115"/>
      <c r="E201" s="5"/>
    </row>
    <row r="202" spans="1:5" ht="15.75" thickTop="1" x14ac:dyDescent="0.25">
      <c r="A202" s="132">
        <v>204308</v>
      </c>
      <c r="B202" s="139">
        <v>229</v>
      </c>
      <c r="C202" s="124" t="s">
        <v>2829</v>
      </c>
      <c r="D202" s="115"/>
      <c r="E202" s="5"/>
    </row>
    <row r="203" spans="1:5" x14ac:dyDescent="0.25">
      <c r="A203" s="132">
        <v>180515</v>
      </c>
      <c r="B203" s="45" t="s">
        <v>1821</v>
      </c>
      <c r="D203" s="115"/>
      <c r="E203" s="5"/>
    </row>
    <row r="204" spans="1:5" x14ac:dyDescent="0.25">
      <c r="A204" s="132">
        <v>225983</v>
      </c>
      <c r="B204" s="45" t="s">
        <v>1821</v>
      </c>
      <c r="D204" s="115"/>
      <c r="E204" s="5"/>
    </row>
    <row r="205" spans="1:5" x14ac:dyDescent="0.25">
      <c r="A205" s="132">
        <v>201334</v>
      </c>
      <c r="B205" s="139">
        <v>169</v>
      </c>
      <c r="C205" s="124" t="s">
        <v>2830</v>
      </c>
      <c r="D205" s="115"/>
      <c r="E205" s="5"/>
    </row>
    <row r="206" spans="1:5" ht="15.75" thickBot="1" x14ac:dyDescent="0.3">
      <c r="A206" s="132">
        <v>201443</v>
      </c>
      <c r="B206" s="138">
        <v>290</v>
      </c>
      <c r="C206" s="124" t="s">
        <v>2350</v>
      </c>
      <c r="D206" s="115"/>
      <c r="E206" s="5"/>
    </row>
    <row r="207" spans="1:5" ht="16.5" thickTop="1" thickBot="1" x14ac:dyDescent="0.3">
      <c r="A207" s="132">
        <v>186683</v>
      </c>
      <c r="B207" s="136">
        <v>229</v>
      </c>
      <c r="C207" s="124" t="s">
        <v>2663</v>
      </c>
      <c r="D207" s="115"/>
      <c r="E207" s="5"/>
    </row>
    <row r="208" spans="1:5" ht="16.5" thickTop="1" thickBot="1" x14ac:dyDescent="0.3">
      <c r="A208" s="132">
        <v>186772</v>
      </c>
      <c r="B208" s="136">
        <v>269</v>
      </c>
      <c r="C208" s="124" t="s">
        <v>2658</v>
      </c>
      <c r="D208" s="115"/>
      <c r="E208" s="5"/>
    </row>
    <row r="209" spans="1:5" ht="15.75" thickTop="1" x14ac:dyDescent="0.25">
      <c r="A209" s="132">
        <v>204321</v>
      </c>
      <c r="B209" s="45" t="s">
        <v>1821</v>
      </c>
      <c r="D209" s="115"/>
      <c r="E209" s="5"/>
    </row>
    <row r="210" spans="1:5" x14ac:dyDescent="0.25">
      <c r="A210" s="132">
        <v>136653</v>
      </c>
      <c r="B210" s="139">
        <v>249</v>
      </c>
      <c r="C210" s="124" t="s">
        <v>2831</v>
      </c>
      <c r="D210" s="115"/>
      <c r="E210" s="5"/>
    </row>
    <row r="211" spans="1:5" x14ac:dyDescent="0.25">
      <c r="A211" s="132">
        <v>158112</v>
      </c>
      <c r="B211" s="45" t="s">
        <v>1821</v>
      </c>
      <c r="D211" s="115"/>
      <c r="E211" s="5"/>
    </row>
    <row r="212" spans="1:5" x14ac:dyDescent="0.25">
      <c r="A212" s="132">
        <v>204300</v>
      </c>
      <c r="B212" s="139" t="s">
        <v>2494</v>
      </c>
      <c r="D212" s="115"/>
      <c r="E212" s="5"/>
    </row>
    <row r="213" spans="1:5" ht="30" x14ac:dyDescent="0.25">
      <c r="A213" s="132">
        <v>186760</v>
      </c>
      <c r="B213" s="139" t="s">
        <v>2833</v>
      </c>
      <c r="C213" s="124" t="s">
        <v>2832</v>
      </c>
      <c r="D213" s="115"/>
      <c r="E213" s="5"/>
    </row>
    <row r="214" spans="1:5" x14ac:dyDescent="0.25">
      <c r="A214" s="132">
        <v>180516</v>
      </c>
      <c r="B214" s="45" t="s">
        <v>1821</v>
      </c>
      <c r="D214" s="115"/>
      <c r="E214" s="5"/>
    </row>
    <row r="215" spans="1:5" ht="15.75" thickBot="1" x14ac:dyDescent="0.3">
      <c r="A215" s="132">
        <v>186763</v>
      </c>
      <c r="B215" s="136">
        <v>290</v>
      </c>
      <c r="C215" s="124" t="s">
        <v>2588</v>
      </c>
      <c r="D215" s="115"/>
      <c r="E215" s="5"/>
    </row>
    <row r="216" spans="1:5" ht="16.5" thickTop="1" thickBot="1" x14ac:dyDescent="0.3">
      <c r="A216" s="132">
        <v>225957</v>
      </c>
      <c r="B216" s="138">
        <v>229</v>
      </c>
      <c r="C216" s="124" t="s">
        <v>2367</v>
      </c>
      <c r="D216" s="115"/>
      <c r="E216" s="5"/>
    </row>
    <row r="217" spans="1:5" ht="16.5" thickTop="1" thickBot="1" x14ac:dyDescent="0.3">
      <c r="A217" s="132">
        <v>225955</v>
      </c>
      <c r="B217" s="138">
        <v>229</v>
      </c>
      <c r="C217" s="124" t="s">
        <v>2367</v>
      </c>
      <c r="D217" s="115"/>
      <c r="E217" s="5"/>
    </row>
    <row r="218" spans="1:5" ht="15.75" thickTop="1" x14ac:dyDescent="0.25">
      <c r="A218" s="132">
        <v>225921</v>
      </c>
      <c r="B218" s="45" t="s">
        <v>1821</v>
      </c>
      <c r="D218" s="115"/>
      <c r="E218" s="5"/>
    </row>
    <row r="219" spans="1:5" x14ac:dyDescent="0.25">
      <c r="A219" s="132">
        <v>213137</v>
      </c>
      <c r="B219" s="139">
        <v>290</v>
      </c>
      <c r="C219" s="124" t="s">
        <v>2834</v>
      </c>
      <c r="D219" s="115"/>
      <c r="E219" s="5"/>
    </row>
    <row r="220" spans="1:5" ht="15.75" thickBot="1" x14ac:dyDescent="0.3">
      <c r="A220" s="132">
        <v>186762</v>
      </c>
      <c r="B220" s="136">
        <v>190</v>
      </c>
      <c r="C220" s="124" t="s">
        <v>2565</v>
      </c>
      <c r="D220" s="115"/>
      <c r="E220" s="5"/>
    </row>
    <row r="221" spans="1:5" ht="16.5" thickTop="1" thickBot="1" x14ac:dyDescent="0.3">
      <c r="A221" s="132">
        <v>186681</v>
      </c>
      <c r="B221" s="136">
        <v>259</v>
      </c>
      <c r="C221" s="124" t="s">
        <v>2666</v>
      </c>
      <c r="D221" s="115"/>
      <c r="E221" s="5"/>
    </row>
    <row r="222" spans="1:5" ht="16.5" thickTop="1" thickBot="1" x14ac:dyDescent="0.3">
      <c r="A222" s="132">
        <v>186844</v>
      </c>
      <c r="B222" s="136">
        <v>229</v>
      </c>
      <c r="C222" s="124" t="s">
        <v>2589</v>
      </c>
      <c r="D222" s="115"/>
      <c r="E222" s="5"/>
    </row>
    <row r="223" spans="1:5" ht="16.5" thickTop="1" thickBot="1" x14ac:dyDescent="0.3">
      <c r="A223" s="132">
        <v>186843</v>
      </c>
      <c r="B223" s="136">
        <v>229</v>
      </c>
      <c r="C223" s="124" t="s">
        <v>2589</v>
      </c>
      <c r="D223" s="115"/>
      <c r="E223" s="5"/>
    </row>
    <row r="224" spans="1:5" ht="16.5" thickTop="1" thickBot="1" x14ac:dyDescent="0.3">
      <c r="A224" s="132">
        <v>186775</v>
      </c>
      <c r="B224" s="136">
        <v>290</v>
      </c>
      <c r="C224" s="124" t="s">
        <v>2667</v>
      </c>
      <c r="D224" s="115"/>
      <c r="E224" s="5"/>
    </row>
    <row r="225" spans="1:5" ht="16.5" thickTop="1" thickBot="1" x14ac:dyDescent="0.3">
      <c r="A225" s="132">
        <v>225950</v>
      </c>
      <c r="B225" s="138">
        <v>349</v>
      </c>
      <c r="C225" s="124" t="s">
        <v>2366</v>
      </c>
      <c r="D225" s="115"/>
      <c r="E225" s="5"/>
    </row>
    <row r="226" spans="1:5" ht="16.5" thickTop="1" thickBot="1" x14ac:dyDescent="0.3">
      <c r="A226" s="132">
        <v>186846</v>
      </c>
      <c r="B226" s="136">
        <v>549</v>
      </c>
      <c r="C226" s="124" t="s">
        <v>2590</v>
      </c>
      <c r="D226" s="115"/>
      <c r="E226" s="5"/>
    </row>
    <row r="227" spans="1:5" ht="16.5" thickTop="1" thickBot="1" x14ac:dyDescent="0.3">
      <c r="A227" s="132">
        <v>201422</v>
      </c>
      <c r="B227" s="138">
        <v>290</v>
      </c>
      <c r="C227" s="124" t="s">
        <v>2351</v>
      </c>
      <c r="D227" s="115"/>
      <c r="E227" s="5"/>
    </row>
    <row r="228" spans="1:5" ht="15.75" thickTop="1" x14ac:dyDescent="0.25">
      <c r="A228" s="132">
        <v>204213</v>
      </c>
      <c r="B228" s="139">
        <v>369</v>
      </c>
      <c r="C228" s="124" t="s">
        <v>2966</v>
      </c>
      <c r="D228" s="115"/>
      <c r="E228" s="5"/>
    </row>
    <row r="229" spans="1:5" x14ac:dyDescent="0.25">
      <c r="A229" s="132">
        <v>225947</v>
      </c>
      <c r="B229" s="139">
        <v>269</v>
      </c>
      <c r="C229" s="124" t="s">
        <v>2965</v>
      </c>
      <c r="D229" s="115"/>
      <c r="E229" s="5"/>
    </row>
    <row r="230" spans="1:5" ht="15.75" thickBot="1" x14ac:dyDescent="0.3">
      <c r="A230" s="132">
        <v>225994</v>
      </c>
      <c r="B230" s="138">
        <v>390</v>
      </c>
      <c r="C230" s="124" t="s">
        <v>2365</v>
      </c>
      <c r="D230" s="115"/>
      <c r="E230" s="5"/>
    </row>
    <row r="231" spans="1:5" ht="16.5" thickTop="1" thickBot="1" x14ac:dyDescent="0.3">
      <c r="A231" s="132">
        <v>186559</v>
      </c>
      <c r="B231" s="136">
        <v>369</v>
      </c>
      <c r="C231" s="124" t="s">
        <v>2591</v>
      </c>
      <c r="D231" s="115"/>
      <c r="E231" s="5"/>
    </row>
    <row r="232" spans="1:5" ht="16.5" thickTop="1" thickBot="1" x14ac:dyDescent="0.3">
      <c r="A232" s="132">
        <v>158111</v>
      </c>
      <c r="B232" s="138">
        <v>189</v>
      </c>
      <c r="C232" s="124" t="s">
        <v>2336</v>
      </c>
      <c r="D232" s="115"/>
      <c r="E232" s="5"/>
    </row>
    <row r="233" spans="1:5" ht="15.75" thickTop="1" x14ac:dyDescent="0.25">
      <c r="A233" s="132">
        <v>141792</v>
      </c>
      <c r="B233" s="139">
        <v>290</v>
      </c>
      <c r="C233" s="124" t="s">
        <v>2964</v>
      </c>
      <c r="D233" s="115"/>
      <c r="E233" s="5"/>
    </row>
    <row r="234" spans="1:5" ht="15.75" thickBot="1" x14ac:dyDescent="0.3">
      <c r="A234" s="132">
        <v>201332</v>
      </c>
      <c r="B234" s="140" t="s">
        <v>1821</v>
      </c>
      <c r="C234" s="129"/>
      <c r="D234" s="115"/>
      <c r="E234" s="5"/>
    </row>
    <row r="235" spans="1:5" ht="15.75" thickTop="1" x14ac:dyDescent="0.25">
      <c r="A235" s="132">
        <v>213345</v>
      </c>
      <c r="B235" s="139">
        <v>290</v>
      </c>
      <c r="C235" s="124" t="s">
        <v>2380</v>
      </c>
      <c r="D235" s="115"/>
      <c r="E235" s="5"/>
    </row>
    <row r="236" spans="1:5" x14ac:dyDescent="0.25">
      <c r="A236" s="132">
        <v>213336</v>
      </c>
      <c r="B236" s="139" t="s">
        <v>2895</v>
      </c>
      <c r="D236" s="115"/>
      <c r="E236" s="5"/>
    </row>
    <row r="237" spans="1:5" x14ac:dyDescent="0.25">
      <c r="A237" s="132">
        <v>213335</v>
      </c>
      <c r="B237" s="139">
        <v>290</v>
      </c>
      <c r="C237" s="124" t="s">
        <v>2380</v>
      </c>
      <c r="D237" s="115"/>
      <c r="E237" s="5"/>
    </row>
    <row r="238" spans="1:5" ht="15.75" thickBot="1" x14ac:dyDescent="0.3">
      <c r="A238" s="132">
        <v>224907</v>
      </c>
      <c r="B238" s="136">
        <v>249</v>
      </c>
      <c r="C238" s="124" t="s">
        <v>2592</v>
      </c>
      <c r="D238" s="115"/>
      <c r="E238" s="5"/>
    </row>
    <row r="239" spans="1:5" ht="15.75" thickTop="1" x14ac:dyDescent="0.25">
      <c r="A239" s="132">
        <v>225396</v>
      </c>
      <c r="B239" s="139">
        <v>190</v>
      </c>
      <c r="C239" s="124" t="s">
        <v>2815</v>
      </c>
      <c r="D239" s="115"/>
      <c r="E239" s="5"/>
    </row>
    <row r="240" spans="1:5" ht="15.75" thickBot="1" x14ac:dyDescent="0.3">
      <c r="A240" s="132">
        <v>186764</v>
      </c>
      <c r="B240" s="140" t="s">
        <v>2494</v>
      </c>
      <c r="C240" s="129"/>
      <c r="D240" s="115"/>
      <c r="E240" s="5"/>
    </row>
    <row r="241" spans="1:5" ht="16.5" thickTop="1" thickBot="1" x14ac:dyDescent="0.3">
      <c r="A241" s="132">
        <v>186731</v>
      </c>
      <c r="B241" s="140" t="s">
        <v>1821</v>
      </c>
      <c r="C241" s="129"/>
      <c r="D241" s="115"/>
      <c r="E241" s="5"/>
    </row>
    <row r="242" spans="1:5" ht="16.5" thickTop="1" thickBot="1" x14ac:dyDescent="0.3">
      <c r="A242" s="132">
        <v>186730</v>
      </c>
      <c r="B242" s="140" t="s">
        <v>1821</v>
      </c>
      <c r="C242" s="129"/>
      <c r="D242" s="115"/>
      <c r="E242" s="5"/>
    </row>
    <row r="243" spans="1:5" ht="16.5" thickTop="1" thickBot="1" x14ac:dyDescent="0.3">
      <c r="A243" s="132">
        <v>158281</v>
      </c>
      <c r="B243" s="136">
        <v>490</v>
      </c>
      <c r="C243" s="124" t="s">
        <v>2623</v>
      </c>
      <c r="D243" s="115"/>
      <c r="E243" s="5"/>
    </row>
    <row r="244" spans="1:5" ht="16.5" thickTop="1" thickBot="1" x14ac:dyDescent="0.3">
      <c r="A244" s="132">
        <v>219975</v>
      </c>
      <c r="B244" s="138">
        <v>189</v>
      </c>
      <c r="C244" s="124" t="s">
        <v>2338</v>
      </c>
      <c r="D244" s="115"/>
      <c r="E244" s="5"/>
    </row>
    <row r="245" spans="1:5" ht="15.75" thickTop="1" x14ac:dyDescent="0.25">
      <c r="A245" s="132">
        <v>213437</v>
      </c>
      <c r="B245" s="139" t="s">
        <v>1821</v>
      </c>
      <c r="D245" s="115"/>
      <c r="E245" s="5"/>
    </row>
    <row r="246" spans="1:5" ht="15.75" thickBot="1" x14ac:dyDescent="0.3">
      <c r="A246" s="132">
        <v>186690</v>
      </c>
      <c r="B246" s="140" t="s">
        <v>1821</v>
      </c>
      <c r="C246" s="129"/>
      <c r="D246" s="115"/>
      <c r="E246" s="5"/>
    </row>
    <row r="247" spans="1:5" ht="16.5" thickTop="1" thickBot="1" x14ac:dyDescent="0.3">
      <c r="A247" s="132">
        <v>186698</v>
      </c>
      <c r="B247" s="136">
        <v>329</v>
      </c>
      <c r="C247" s="124" t="s">
        <v>2662</v>
      </c>
      <c r="D247" s="115"/>
      <c r="E247" s="5"/>
    </row>
    <row r="248" spans="1:5" ht="16.5" thickTop="1" thickBot="1" x14ac:dyDescent="0.3">
      <c r="A248" s="132">
        <v>201449</v>
      </c>
      <c r="B248" s="138">
        <v>229</v>
      </c>
      <c r="C248" s="124" t="s">
        <v>2352</v>
      </c>
      <c r="D248" s="115"/>
      <c r="E248" s="5"/>
    </row>
    <row r="249" spans="1:5" ht="15.75" thickTop="1" x14ac:dyDescent="0.25">
      <c r="A249" s="132">
        <v>213358</v>
      </c>
      <c r="B249" s="139">
        <v>349</v>
      </c>
      <c r="C249" s="124" t="s">
        <v>2963</v>
      </c>
      <c r="D249" s="115"/>
      <c r="E249" s="5"/>
    </row>
    <row r="250" spans="1:5" x14ac:dyDescent="0.25">
      <c r="A250" s="132">
        <v>213359</v>
      </c>
      <c r="B250" s="139" t="s">
        <v>2962</v>
      </c>
      <c r="C250" s="124" t="s">
        <v>2961</v>
      </c>
      <c r="D250" s="115"/>
      <c r="E250" s="5"/>
    </row>
    <row r="251" spans="1:5" ht="15.75" thickBot="1" x14ac:dyDescent="0.3">
      <c r="A251" s="132">
        <v>201444</v>
      </c>
      <c r="B251" s="138">
        <v>169</v>
      </c>
      <c r="C251" s="124" t="s">
        <v>2353</v>
      </c>
      <c r="D251" s="115"/>
      <c r="E251" s="5"/>
    </row>
    <row r="252" spans="1:5" ht="16.5" thickTop="1" thickBot="1" x14ac:dyDescent="0.3">
      <c r="A252" s="132">
        <v>186576</v>
      </c>
      <c r="B252" s="136">
        <v>189</v>
      </c>
      <c r="C252" s="124" t="s">
        <v>2338</v>
      </c>
      <c r="D252" s="115"/>
      <c r="E252" s="5"/>
    </row>
    <row r="253" spans="1:5" ht="16.5" thickTop="1" thickBot="1" x14ac:dyDescent="0.3">
      <c r="A253" s="132">
        <v>158108</v>
      </c>
      <c r="B253" s="138">
        <v>92.25</v>
      </c>
      <c r="C253" s="124" t="s">
        <v>2337</v>
      </c>
      <c r="D253" s="115"/>
      <c r="E253" s="5"/>
    </row>
    <row r="254" spans="1:5" ht="15.75" thickTop="1" x14ac:dyDescent="0.25">
      <c r="A254" s="132">
        <v>186560</v>
      </c>
      <c r="B254" s="139">
        <v>269</v>
      </c>
      <c r="C254" s="124" t="s">
        <v>2959</v>
      </c>
      <c r="D254" s="115">
        <v>250</v>
      </c>
      <c r="E254" s="5" t="s">
        <v>2960</v>
      </c>
    </row>
    <row r="255" spans="1:5" ht="30" x14ac:dyDescent="0.25">
      <c r="A255" s="132">
        <v>204351</v>
      </c>
      <c r="B255" s="139" t="s">
        <v>2958</v>
      </c>
      <c r="C255" s="124" t="s">
        <v>2957</v>
      </c>
      <c r="D255" s="115"/>
      <c r="E255" s="5"/>
    </row>
    <row r="256" spans="1:5" x14ac:dyDescent="0.25">
      <c r="A256" s="132">
        <v>225928</v>
      </c>
      <c r="B256" s="139">
        <v>690</v>
      </c>
      <c r="C256" s="124" t="s">
        <v>2910</v>
      </c>
      <c r="D256" s="115"/>
      <c r="E256" s="5"/>
    </row>
    <row r="257" spans="1:5" ht="15.75" thickBot="1" x14ac:dyDescent="0.3">
      <c r="A257" s="132">
        <v>225952</v>
      </c>
      <c r="B257" s="136">
        <v>149</v>
      </c>
      <c r="C257" s="124" t="s">
        <v>2659</v>
      </c>
      <c r="D257" s="115"/>
      <c r="E257" s="5"/>
    </row>
    <row r="258" spans="1:5" ht="16.5" thickTop="1" thickBot="1" x14ac:dyDescent="0.3">
      <c r="A258" s="132">
        <v>186700</v>
      </c>
      <c r="B258" s="136">
        <v>149</v>
      </c>
      <c r="C258" s="124" t="s">
        <v>2659</v>
      </c>
      <c r="D258" s="115"/>
      <c r="E258" s="5"/>
    </row>
    <row r="259" spans="1:5" ht="15.75" thickTop="1" x14ac:dyDescent="0.25">
      <c r="A259" s="132">
        <v>224898</v>
      </c>
      <c r="B259" s="139">
        <v>329</v>
      </c>
      <c r="C259" s="124" t="s">
        <v>2954</v>
      </c>
      <c r="D259" s="115">
        <v>310</v>
      </c>
      <c r="E259" s="5" t="s">
        <v>2955</v>
      </c>
    </row>
    <row r="260" spans="1:5" x14ac:dyDescent="0.25">
      <c r="A260" s="132">
        <v>204185</v>
      </c>
      <c r="B260" s="139" t="s">
        <v>1821</v>
      </c>
      <c r="D260" s="115"/>
      <c r="E260" s="5"/>
    </row>
    <row r="261" spans="1:5" ht="15.75" thickBot="1" x14ac:dyDescent="0.3">
      <c r="A261" s="132">
        <v>223214</v>
      </c>
      <c r="B261" s="138">
        <v>490</v>
      </c>
      <c r="C261" s="124" t="s">
        <v>2293</v>
      </c>
      <c r="D261" s="115"/>
      <c r="E261" s="5"/>
    </row>
    <row r="262" spans="1:5" ht="16.5" thickTop="1" thickBot="1" x14ac:dyDescent="0.3">
      <c r="A262" s="132">
        <v>158293</v>
      </c>
      <c r="B262" s="136">
        <v>359</v>
      </c>
      <c r="C262" s="124" t="s">
        <v>2625</v>
      </c>
      <c r="D262" s="115"/>
      <c r="E262" s="5"/>
    </row>
    <row r="263" spans="1:5" ht="15.75" thickTop="1" x14ac:dyDescent="0.25">
      <c r="A263" s="132">
        <v>204354</v>
      </c>
      <c r="B263" s="139" t="s">
        <v>1821</v>
      </c>
      <c r="D263" s="115"/>
      <c r="E263" s="5"/>
    </row>
    <row r="264" spans="1:5" x14ac:dyDescent="0.25">
      <c r="A264" s="132">
        <v>201513</v>
      </c>
      <c r="B264" s="139">
        <v>129</v>
      </c>
      <c r="C264" s="124" t="s">
        <v>2952</v>
      </c>
      <c r="D264" s="115">
        <v>270</v>
      </c>
      <c r="E264" s="5" t="s">
        <v>2953</v>
      </c>
    </row>
    <row r="265" spans="1:5" ht="15.75" thickBot="1" x14ac:dyDescent="0.3">
      <c r="A265" s="132">
        <v>225961</v>
      </c>
      <c r="B265" s="138">
        <v>269</v>
      </c>
      <c r="C265" s="124" t="s">
        <v>2364</v>
      </c>
      <c r="D265" s="115"/>
      <c r="E265" s="5"/>
    </row>
    <row r="266" spans="1:5" ht="16.5" thickTop="1" thickBot="1" x14ac:dyDescent="0.3">
      <c r="A266" s="132">
        <v>225958</v>
      </c>
      <c r="B266" s="138">
        <v>269</v>
      </c>
      <c r="C266" s="124" t="s">
        <v>2364</v>
      </c>
      <c r="D266" s="115"/>
      <c r="E266" s="5"/>
    </row>
    <row r="267" spans="1:5" ht="16.5" thickTop="1" thickBot="1" x14ac:dyDescent="0.3">
      <c r="A267" s="132">
        <v>226091</v>
      </c>
      <c r="B267" s="138">
        <v>149</v>
      </c>
      <c r="C267" s="124" t="s">
        <v>2362</v>
      </c>
      <c r="D267" s="115"/>
      <c r="E267" s="5"/>
    </row>
    <row r="268" spans="1:5" ht="16.5" thickTop="1" thickBot="1" x14ac:dyDescent="0.3">
      <c r="A268" s="132">
        <v>226093</v>
      </c>
      <c r="B268" s="138">
        <v>269</v>
      </c>
      <c r="C268" s="124" t="s">
        <v>2363</v>
      </c>
      <c r="D268" s="115"/>
      <c r="E268" s="5"/>
    </row>
    <row r="269" spans="1:5" ht="16.5" thickTop="1" thickBot="1" x14ac:dyDescent="0.3">
      <c r="A269" s="132">
        <v>186699</v>
      </c>
      <c r="B269" s="136">
        <v>269</v>
      </c>
      <c r="C269" s="124" t="s">
        <v>2677</v>
      </c>
      <c r="D269" s="115"/>
      <c r="E269" s="5"/>
    </row>
    <row r="270" spans="1:5" ht="15.75" thickTop="1" x14ac:dyDescent="0.25">
      <c r="A270" s="132">
        <v>202113</v>
      </c>
      <c r="B270" s="139">
        <v>149</v>
      </c>
      <c r="C270" s="124" t="s">
        <v>2951</v>
      </c>
      <c r="D270" s="115"/>
      <c r="E270" s="5"/>
    </row>
    <row r="271" spans="1:5" ht="15.75" thickBot="1" x14ac:dyDescent="0.3">
      <c r="A271" s="132">
        <v>225959</v>
      </c>
      <c r="B271" s="138">
        <v>269</v>
      </c>
      <c r="C271" s="124" t="s">
        <v>2363</v>
      </c>
      <c r="D271" s="115"/>
      <c r="E271" s="5"/>
    </row>
    <row r="272" spans="1:5" ht="16.5" thickTop="1" thickBot="1" x14ac:dyDescent="0.3">
      <c r="A272" s="132">
        <v>225956</v>
      </c>
      <c r="B272" s="138">
        <v>149</v>
      </c>
      <c r="C272" s="124" t="s">
        <v>2362</v>
      </c>
      <c r="D272" s="115"/>
      <c r="E272" s="5"/>
    </row>
    <row r="273" spans="1:5" ht="15.75" thickTop="1" x14ac:dyDescent="0.25">
      <c r="A273" s="132">
        <v>225932</v>
      </c>
      <c r="B273" s="139">
        <v>249</v>
      </c>
      <c r="C273" s="124" t="s">
        <v>2950</v>
      </c>
      <c r="D273" s="115"/>
      <c r="E273" s="5"/>
    </row>
    <row r="274" spans="1:5" ht="15.75" thickBot="1" x14ac:dyDescent="0.3">
      <c r="A274" s="132">
        <v>186561</v>
      </c>
      <c r="B274" s="136">
        <v>390</v>
      </c>
      <c r="C274" s="124" t="s">
        <v>2671</v>
      </c>
      <c r="D274" s="115"/>
      <c r="E274" s="5"/>
    </row>
    <row r="275" spans="1:5" ht="15.75" thickTop="1" x14ac:dyDescent="0.25">
      <c r="A275" s="132">
        <v>186761</v>
      </c>
      <c r="B275" s="139">
        <v>190</v>
      </c>
      <c r="C275" s="124" t="s">
        <v>2565</v>
      </c>
      <c r="D275" s="115">
        <v>270</v>
      </c>
      <c r="E275" s="5" t="s">
        <v>2949</v>
      </c>
    </row>
    <row r="276" spans="1:5" x14ac:dyDescent="0.25">
      <c r="A276" s="132">
        <v>202088</v>
      </c>
      <c r="B276" s="139">
        <v>199</v>
      </c>
      <c r="C276" s="124" t="s">
        <v>2947</v>
      </c>
      <c r="D276" s="115">
        <v>250</v>
      </c>
      <c r="E276" s="5" t="s">
        <v>2948</v>
      </c>
    </row>
    <row r="277" spans="1:5" ht="15.75" thickBot="1" x14ac:dyDescent="0.3">
      <c r="A277" s="132">
        <v>186842</v>
      </c>
      <c r="B277" s="140" t="s">
        <v>1821</v>
      </c>
      <c r="C277" s="129"/>
      <c r="D277" s="115"/>
      <c r="E277" s="5"/>
    </row>
    <row r="278" spans="1:5" ht="16.5" thickTop="1" thickBot="1" x14ac:dyDescent="0.3">
      <c r="A278" s="132">
        <v>186848</v>
      </c>
      <c r="B278" s="140" t="s">
        <v>1821</v>
      </c>
      <c r="C278" s="129"/>
      <c r="D278" s="115"/>
      <c r="E278" s="5"/>
    </row>
    <row r="279" spans="1:5" ht="16.5" thickTop="1" thickBot="1" x14ac:dyDescent="0.3">
      <c r="A279" s="132">
        <v>185273</v>
      </c>
      <c r="B279" s="140" t="s">
        <v>1821</v>
      </c>
      <c r="C279" s="129"/>
      <c r="D279" s="115"/>
      <c r="E279" s="5"/>
    </row>
    <row r="280" spans="1:5" ht="15.75" thickTop="1" x14ac:dyDescent="0.25">
      <c r="A280" s="132">
        <v>194566</v>
      </c>
      <c r="B280" s="139">
        <v>149</v>
      </c>
      <c r="C280" s="124" t="s">
        <v>2945</v>
      </c>
      <c r="D280" s="115">
        <v>280</v>
      </c>
      <c r="E280" s="5" t="s">
        <v>2946</v>
      </c>
    </row>
    <row r="281" spans="1:5" x14ac:dyDescent="0.25">
      <c r="A281" s="132">
        <v>204212</v>
      </c>
      <c r="B281" s="139" t="s">
        <v>1821</v>
      </c>
      <c r="D281" s="115"/>
      <c r="E281" s="5"/>
    </row>
    <row r="282" spans="1:5" ht="15.75" thickBot="1" x14ac:dyDescent="0.3">
      <c r="A282" s="132">
        <v>186558</v>
      </c>
      <c r="B282" s="140" t="s">
        <v>1821</v>
      </c>
      <c r="C282" s="129"/>
      <c r="D282" s="115"/>
      <c r="E282" s="5"/>
    </row>
    <row r="283" spans="1:5" ht="16.5" thickTop="1" thickBot="1" x14ac:dyDescent="0.3">
      <c r="A283" s="132">
        <v>186773</v>
      </c>
      <c r="B283" s="136">
        <v>390</v>
      </c>
      <c r="C283" s="124" t="s">
        <v>2679</v>
      </c>
      <c r="D283" s="115"/>
      <c r="E283" s="5"/>
    </row>
    <row r="284" spans="1:5" ht="16.5" thickTop="1" thickBot="1" x14ac:dyDescent="0.3">
      <c r="A284" s="132">
        <v>225918</v>
      </c>
      <c r="B284" s="138">
        <v>189</v>
      </c>
      <c r="C284" s="124" t="s">
        <v>2361</v>
      </c>
      <c r="D284" s="115"/>
      <c r="E284" s="5"/>
    </row>
    <row r="285" spans="1:5" ht="15.75" thickTop="1" x14ac:dyDescent="0.25">
      <c r="A285" s="132">
        <v>225392</v>
      </c>
      <c r="B285" s="139">
        <v>290</v>
      </c>
      <c r="C285" s="124" t="s">
        <v>2943</v>
      </c>
      <c r="D285" s="115">
        <v>280</v>
      </c>
      <c r="E285" s="5" t="s">
        <v>2944</v>
      </c>
    </row>
    <row r="286" spans="1:5" x14ac:dyDescent="0.25">
      <c r="A286" s="132">
        <v>194607</v>
      </c>
      <c r="B286" s="139" t="s">
        <v>1821</v>
      </c>
      <c r="D286" s="115"/>
      <c r="E286" s="5"/>
    </row>
    <row r="287" spans="1:5" ht="15.75" thickBot="1" x14ac:dyDescent="0.3">
      <c r="A287" s="132">
        <v>225922</v>
      </c>
      <c r="B287" s="138">
        <v>219</v>
      </c>
      <c r="C287" s="124" t="s">
        <v>2360</v>
      </c>
      <c r="D287" s="115"/>
      <c r="E287" s="5"/>
    </row>
    <row r="288" spans="1:5" ht="15.75" thickTop="1" x14ac:dyDescent="0.25">
      <c r="A288" s="132">
        <v>139802</v>
      </c>
      <c r="B288" s="139">
        <v>290</v>
      </c>
      <c r="C288" s="124" t="s">
        <v>2941</v>
      </c>
      <c r="D288" s="115">
        <v>220</v>
      </c>
      <c r="E288" s="5" t="s">
        <v>2942</v>
      </c>
    </row>
    <row r="289" spans="1:5" x14ac:dyDescent="0.25">
      <c r="A289" s="132">
        <v>225366</v>
      </c>
      <c r="B289" s="139">
        <v>190</v>
      </c>
      <c r="C289" s="124" t="s">
        <v>2939</v>
      </c>
      <c r="D289" s="115">
        <v>290</v>
      </c>
      <c r="E289" s="5" t="s">
        <v>2940</v>
      </c>
    </row>
    <row r="290" spans="1:5" ht="15.75" thickBot="1" x14ac:dyDescent="0.3">
      <c r="A290" s="132">
        <v>186693</v>
      </c>
      <c r="B290" s="140" t="s">
        <v>1821</v>
      </c>
      <c r="C290" s="129"/>
      <c r="D290" s="115"/>
      <c r="E290" s="5"/>
    </row>
    <row r="291" spans="1:5" ht="16.5" thickTop="1" thickBot="1" x14ac:dyDescent="0.3">
      <c r="A291" s="132">
        <v>186692</v>
      </c>
      <c r="B291" s="136">
        <v>229</v>
      </c>
      <c r="C291" s="124" t="s">
        <v>2656</v>
      </c>
      <c r="D291" s="115"/>
      <c r="E291" s="5"/>
    </row>
    <row r="292" spans="1:5" ht="15.75" thickTop="1" x14ac:dyDescent="0.25">
      <c r="A292" s="132">
        <v>213293</v>
      </c>
      <c r="B292" s="139" t="s">
        <v>1821</v>
      </c>
      <c r="D292" s="115">
        <v>100</v>
      </c>
      <c r="E292" s="5" t="s">
        <v>2937</v>
      </c>
    </row>
    <row r="293" spans="1:5" x14ac:dyDescent="0.25">
      <c r="A293" s="132">
        <v>153069</v>
      </c>
      <c r="B293" s="139">
        <v>290</v>
      </c>
      <c r="C293" s="124" t="s">
        <v>2935</v>
      </c>
      <c r="D293" s="115">
        <v>290</v>
      </c>
      <c r="E293" s="5" t="s">
        <v>2936</v>
      </c>
    </row>
    <row r="294" spans="1:5" ht="15.75" thickBot="1" x14ac:dyDescent="0.3">
      <c r="A294" s="132">
        <v>201421</v>
      </c>
      <c r="B294" s="138">
        <v>290</v>
      </c>
      <c r="C294" s="124" t="s">
        <v>2351</v>
      </c>
      <c r="D294" s="115"/>
      <c r="E294" s="5"/>
    </row>
    <row r="295" spans="1:5" ht="15.75" thickTop="1" x14ac:dyDescent="0.25">
      <c r="A295" s="132">
        <v>204307</v>
      </c>
      <c r="B295" s="139" t="s">
        <v>1821</v>
      </c>
      <c r="D295" s="115"/>
      <c r="E295" s="5"/>
    </row>
    <row r="296" spans="1:5" x14ac:dyDescent="0.25">
      <c r="A296" s="132">
        <v>226092</v>
      </c>
      <c r="B296" s="139">
        <v>290</v>
      </c>
      <c r="C296" s="124" t="s">
        <v>2933</v>
      </c>
      <c r="D296" s="115">
        <v>350</v>
      </c>
      <c r="E296" s="5" t="s">
        <v>2934</v>
      </c>
    </row>
    <row r="297" spans="1:5" x14ac:dyDescent="0.25">
      <c r="A297" s="132">
        <v>202090</v>
      </c>
      <c r="B297" s="139">
        <v>369</v>
      </c>
      <c r="C297" s="124" t="s">
        <v>2920</v>
      </c>
      <c r="D297" s="115"/>
      <c r="E297" s="5"/>
    </row>
    <row r="298" spans="1:5" x14ac:dyDescent="0.25">
      <c r="A298" s="132">
        <v>164206</v>
      </c>
      <c r="B298" s="139" t="s">
        <v>1821</v>
      </c>
      <c r="D298" s="115"/>
      <c r="E298" s="5"/>
    </row>
    <row r="299" spans="1:5" ht="30" x14ac:dyDescent="0.25">
      <c r="A299" s="132">
        <v>204347</v>
      </c>
      <c r="B299" s="139" t="s">
        <v>2932</v>
      </c>
      <c r="C299" s="124" t="s">
        <v>2931</v>
      </c>
      <c r="D299" s="115"/>
      <c r="E299" s="5"/>
    </row>
    <row r="300" spans="1:5" ht="15.75" thickBot="1" x14ac:dyDescent="0.3">
      <c r="A300" s="132">
        <v>186678</v>
      </c>
      <c r="B300" s="136">
        <v>359</v>
      </c>
      <c r="C300" s="124" t="s">
        <v>2668</v>
      </c>
      <c r="D300" s="115"/>
      <c r="E300" s="5"/>
    </row>
    <row r="301" spans="1:5" ht="15.75" thickTop="1" x14ac:dyDescent="0.25">
      <c r="A301" s="132">
        <v>202086</v>
      </c>
      <c r="B301" s="139">
        <v>169</v>
      </c>
      <c r="C301" s="124" t="s">
        <v>2930</v>
      </c>
      <c r="D301" s="115"/>
      <c r="E301" s="5"/>
    </row>
    <row r="302" spans="1:5" ht="15.75" thickBot="1" x14ac:dyDescent="0.3">
      <c r="A302" s="132">
        <v>186570</v>
      </c>
      <c r="B302" s="136">
        <v>290</v>
      </c>
      <c r="C302" s="124" t="s">
        <v>2672</v>
      </c>
      <c r="D302" s="115"/>
      <c r="E302" s="5"/>
    </row>
    <row r="303" spans="1:5" ht="15.75" thickTop="1" x14ac:dyDescent="0.25">
      <c r="A303" s="132">
        <v>194606</v>
      </c>
      <c r="B303" s="139">
        <v>490</v>
      </c>
      <c r="C303" s="124" t="s">
        <v>2929</v>
      </c>
      <c r="D303" s="115"/>
      <c r="E303" s="5"/>
    </row>
    <row r="304" spans="1:5" x14ac:dyDescent="0.25">
      <c r="A304" s="132">
        <v>158290</v>
      </c>
      <c r="B304" s="139" t="s">
        <v>1821</v>
      </c>
      <c r="D304" s="115"/>
      <c r="E304" s="5"/>
    </row>
    <row r="305" spans="1:5" ht="15.75" thickBot="1" x14ac:dyDescent="0.3">
      <c r="A305" s="132">
        <v>186691</v>
      </c>
      <c r="B305" s="136">
        <v>329</v>
      </c>
      <c r="C305" s="124" t="s">
        <v>2664</v>
      </c>
      <c r="D305" s="115"/>
      <c r="E305" s="5"/>
    </row>
    <row r="306" spans="1:5" ht="15.75" thickTop="1" x14ac:dyDescent="0.25">
      <c r="A306" s="132">
        <v>141796</v>
      </c>
      <c r="B306" s="139" t="s">
        <v>1821</v>
      </c>
      <c r="D306" s="115"/>
      <c r="E306" s="5"/>
    </row>
    <row r="307" spans="1:5" x14ac:dyDescent="0.25">
      <c r="A307" s="132">
        <v>202089</v>
      </c>
      <c r="B307" s="139">
        <v>290</v>
      </c>
      <c r="C307" s="124" t="s">
        <v>2928</v>
      </c>
      <c r="D307" s="115"/>
      <c r="E307" s="5"/>
    </row>
    <row r="308" spans="1:5" ht="15.75" thickBot="1" x14ac:dyDescent="0.3">
      <c r="A308" s="132">
        <v>186774</v>
      </c>
      <c r="B308" s="136">
        <v>329</v>
      </c>
      <c r="C308" s="124" t="s">
        <v>2657</v>
      </c>
      <c r="D308" s="115"/>
      <c r="E308" s="5"/>
    </row>
    <row r="309" spans="1:5" ht="15.75" thickTop="1" x14ac:dyDescent="0.25">
      <c r="A309" s="132">
        <v>181698</v>
      </c>
      <c r="B309" s="139">
        <v>149</v>
      </c>
      <c r="C309" s="124" t="s">
        <v>2927</v>
      </c>
      <c r="D309" s="115"/>
      <c r="E309" s="5"/>
    </row>
    <row r="310" spans="1:5" x14ac:dyDescent="0.25">
      <c r="A310" s="132">
        <v>204314</v>
      </c>
      <c r="B310" s="139">
        <v>590</v>
      </c>
      <c r="C310" s="124" t="s">
        <v>2925</v>
      </c>
      <c r="D310" s="115">
        <v>305</v>
      </c>
      <c r="E310" s="5" t="s">
        <v>2926</v>
      </c>
    </row>
    <row r="311" spans="1:5" ht="15.75" thickBot="1" x14ac:dyDescent="0.3">
      <c r="A311" s="132">
        <v>186634</v>
      </c>
      <c r="B311" s="136">
        <v>629</v>
      </c>
      <c r="C311" s="124" t="s">
        <v>2601</v>
      </c>
      <c r="D311" s="115"/>
      <c r="E311" s="5"/>
    </row>
    <row r="312" spans="1:5" ht="30.75" thickTop="1" x14ac:dyDescent="0.25">
      <c r="A312" s="132">
        <v>204348</v>
      </c>
      <c r="B312" s="139" t="s">
        <v>2924</v>
      </c>
      <c r="C312" s="124" t="s">
        <v>2923</v>
      </c>
      <c r="D312" s="115"/>
      <c r="E312" s="5"/>
    </row>
    <row r="313" spans="1:5" x14ac:dyDescent="0.25">
      <c r="A313" s="132">
        <v>158297</v>
      </c>
      <c r="B313" s="139" t="s">
        <v>1821</v>
      </c>
      <c r="D313" s="115">
        <v>1060</v>
      </c>
      <c r="E313" s="5" t="s">
        <v>2922</v>
      </c>
    </row>
    <row r="314" spans="1:5" ht="15.75" thickBot="1" x14ac:dyDescent="0.3">
      <c r="A314" s="132">
        <v>223216</v>
      </c>
      <c r="B314" s="138">
        <v>529</v>
      </c>
      <c r="C314" s="124" t="s">
        <v>2290</v>
      </c>
      <c r="D314" s="115"/>
      <c r="E314" s="5"/>
    </row>
    <row r="315" spans="1:5" ht="15.75" thickTop="1" x14ac:dyDescent="0.25">
      <c r="A315" s="132">
        <v>202117</v>
      </c>
      <c r="B315" s="139">
        <v>369</v>
      </c>
      <c r="C315" s="124" t="s">
        <v>2920</v>
      </c>
      <c r="D315" s="115">
        <v>300</v>
      </c>
      <c r="E315" s="5" t="s">
        <v>2921</v>
      </c>
    </row>
    <row r="316" spans="1:5" ht="15.75" thickBot="1" x14ac:dyDescent="0.3">
      <c r="A316" s="132">
        <v>186562</v>
      </c>
      <c r="B316" s="136">
        <v>690</v>
      </c>
      <c r="C316" s="124" t="s">
        <v>2673</v>
      </c>
      <c r="D316" s="115"/>
      <c r="E316" s="5"/>
    </row>
    <row r="317" spans="1:5" ht="16.5" thickTop="1" thickBot="1" x14ac:dyDescent="0.3">
      <c r="A317" s="132">
        <v>186838</v>
      </c>
      <c r="B317" s="140" t="s">
        <v>1821</v>
      </c>
      <c r="C317" s="129"/>
      <c r="D317" s="115"/>
      <c r="E317" s="5"/>
    </row>
    <row r="318" spans="1:5" ht="16.5" thickTop="1" thickBot="1" x14ac:dyDescent="0.3">
      <c r="A318" s="132">
        <v>186729</v>
      </c>
      <c r="B318" s="136">
        <v>349</v>
      </c>
      <c r="C318" s="124" t="s">
        <v>2678</v>
      </c>
      <c r="D318" s="115"/>
      <c r="E318" s="5"/>
    </row>
    <row r="319" spans="1:5" ht="15.75" thickTop="1" x14ac:dyDescent="0.25">
      <c r="A319" s="132">
        <v>225058</v>
      </c>
      <c r="B319" s="139">
        <v>149</v>
      </c>
      <c r="C319" s="124" t="s">
        <v>2918</v>
      </c>
      <c r="D319" s="115">
        <v>310</v>
      </c>
      <c r="E319" s="5" t="s">
        <v>2919</v>
      </c>
    </row>
    <row r="320" spans="1:5" x14ac:dyDescent="0.25">
      <c r="A320" s="132">
        <v>194859</v>
      </c>
      <c r="B320" s="139">
        <v>469</v>
      </c>
      <c r="C320" s="124" t="s">
        <v>2916</v>
      </c>
      <c r="D320" s="115">
        <v>310</v>
      </c>
      <c r="E320" s="5" t="s">
        <v>2917</v>
      </c>
    </row>
    <row r="321" spans="1:5" ht="15.75" thickBot="1" x14ac:dyDescent="0.3">
      <c r="A321" s="132">
        <v>186596</v>
      </c>
      <c r="B321" s="136">
        <v>549</v>
      </c>
      <c r="C321" s="124" t="s">
        <v>2665</v>
      </c>
      <c r="D321" s="115"/>
      <c r="E321" s="5"/>
    </row>
    <row r="322" spans="1:5" ht="30.75" thickTop="1" x14ac:dyDescent="0.25">
      <c r="A322" s="132">
        <v>225949</v>
      </c>
      <c r="B322" s="139" t="s">
        <v>2915</v>
      </c>
      <c r="C322" s="124" t="s">
        <v>2914</v>
      </c>
      <c r="D322" s="115"/>
      <c r="E322" s="5"/>
    </row>
    <row r="323" spans="1:5" ht="15.75" thickBot="1" x14ac:dyDescent="0.3">
      <c r="A323" s="132">
        <v>186732</v>
      </c>
      <c r="B323" s="136">
        <v>649</v>
      </c>
      <c r="C323" s="124" t="s">
        <v>2669</v>
      </c>
      <c r="D323" s="115"/>
      <c r="E323" s="5"/>
    </row>
    <row r="324" spans="1:5" ht="15.75" thickTop="1" x14ac:dyDescent="0.25">
      <c r="A324" s="132">
        <v>158160</v>
      </c>
      <c r="B324" s="139" t="s">
        <v>1821</v>
      </c>
      <c r="D324" s="115">
        <v>320</v>
      </c>
      <c r="E324" s="5" t="s">
        <v>2913</v>
      </c>
    </row>
    <row r="325" spans="1:5" x14ac:dyDescent="0.25">
      <c r="A325" s="132">
        <v>158280</v>
      </c>
      <c r="B325" s="139" t="s">
        <v>1821</v>
      </c>
      <c r="D325" s="115"/>
      <c r="E325" s="5"/>
    </row>
    <row r="326" spans="1:5" ht="15.75" thickBot="1" x14ac:dyDescent="0.3">
      <c r="A326" s="132">
        <v>158276</v>
      </c>
      <c r="B326" s="136">
        <v>390</v>
      </c>
      <c r="C326" s="124" t="s">
        <v>2626</v>
      </c>
      <c r="D326" s="115"/>
      <c r="E326" s="5"/>
    </row>
    <row r="327" spans="1:5" ht="15.75" thickTop="1" x14ac:dyDescent="0.25">
      <c r="A327" s="132">
        <v>204353</v>
      </c>
      <c r="B327" s="139">
        <v>189</v>
      </c>
      <c r="C327" s="124" t="s">
        <v>2912</v>
      </c>
      <c r="D327" s="115"/>
      <c r="E327" s="5"/>
    </row>
    <row r="328" spans="1:5" x14ac:dyDescent="0.25">
      <c r="A328" s="132">
        <v>225954</v>
      </c>
      <c r="B328" s="139">
        <v>414.5</v>
      </c>
      <c r="C328" s="124" t="s">
        <v>2911</v>
      </c>
      <c r="D328" s="115"/>
      <c r="E328" s="5"/>
    </row>
    <row r="329" spans="1:5" x14ac:dyDescent="0.25">
      <c r="A329" s="132">
        <v>225960</v>
      </c>
      <c r="B329" s="139" t="s">
        <v>1821</v>
      </c>
      <c r="D329" s="115">
        <v>340</v>
      </c>
      <c r="E329" s="5" t="s">
        <v>2956</v>
      </c>
    </row>
    <row r="330" spans="1:5" x14ac:dyDescent="0.25">
      <c r="A330" s="132">
        <v>155852</v>
      </c>
      <c r="B330" s="139" t="s">
        <v>1821</v>
      </c>
      <c r="D330" s="115"/>
      <c r="E330" s="5"/>
    </row>
    <row r="331" spans="1:5" x14ac:dyDescent="0.25">
      <c r="A331" s="132">
        <v>180671</v>
      </c>
      <c r="B331" s="139">
        <v>480</v>
      </c>
      <c r="C331" s="124" t="s">
        <v>2909</v>
      </c>
      <c r="D331" s="115"/>
      <c r="E331" s="5"/>
    </row>
    <row r="332" spans="1:5" ht="15.75" thickBot="1" x14ac:dyDescent="0.3">
      <c r="A332" s="132">
        <v>158277</v>
      </c>
      <c r="B332" s="136">
        <v>729</v>
      </c>
      <c r="C332" s="124" t="s">
        <v>2619</v>
      </c>
      <c r="D332" s="115"/>
      <c r="E332" s="5"/>
    </row>
    <row r="333" spans="1:5" ht="16.5" thickTop="1" thickBot="1" x14ac:dyDescent="0.3">
      <c r="A333" s="132">
        <v>158287</v>
      </c>
      <c r="B333" s="136">
        <v>390</v>
      </c>
      <c r="C333" s="124" t="s">
        <v>2627</v>
      </c>
      <c r="D333" s="115"/>
      <c r="E333" s="5"/>
    </row>
    <row r="334" spans="1:5" ht="15.75" thickTop="1" x14ac:dyDescent="0.25">
      <c r="A334" s="132">
        <v>204304</v>
      </c>
      <c r="B334" s="139" t="s">
        <v>1821</v>
      </c>
      <c r="D334" s="115"/>
      <c r="E334" s="5"/>
    </row>
    <row r="335" spans="1:5" x14ac:dyDescent="0.25">
      <c r="A335" s="132">
        <v>186635</v>
      </c>
      <c r="B335" s="139">
        <v>324.5</v>
      </c>
      <c r="C335" s="124" t="s">
        <v>2908</v>
      </c>
      <c r="D335" s="115"/>
      <c r="E335" s="5"/>
    </row>
    <row r="336" spans="1:5" x14ac:dyDescent="0.25">
      <c r="A336" s="132">
        <v>186670</v>
      </c>
      <c r="B336" s="139">
        <v>324.5</v>
      </c>
      <c r="C336" s="124" t="s">
        <v>2908</v>
      </c>
      <c r="D336" s="115"/>
      <c r="E336" s="5"/>
    </row>
    <row r="337" spans="1:5" x14ac:dyDescent="0.25">
      <c r="A337" s="132">
        <v>204187</v>
      </c>
      <c r="B337" s="139">
        <v>490</v>
      </c>
      <c r="C337" s="124" t="s">
        <v>2907</v>
      </c>
      <c r="D337" s="115"/>
      <c r="E337" s="5"/>
    </row>
    <row r="338" spans="1:5" x14ac:dyDescent="0.25">
      <c r="A338" s="132">
        <v>204345</v>
      </c>
      <c r="B338" s="139" t="s">
        <v>2895</v>
      </c>
      <c r="D338" s="115"/>
      <c r="E338" s="5"/>
    </row>
    <row r="339" spans="1:5" ht="15.75" thickBot="1" x14ac:dyDescent="0.3">
      <c r="A339" s="132">
        <v>223263</v>
      </c>
      <c r="B339" s="138">
        <v>590</v>
      </c>
      <c r="C339" s="124" t="s">
        <v>2314</v>
      </c>
      <c r="D339" s="115"/>
      <c r="E339" s="5"/>
    </row>
    <row r="340" spans="1:5" ht="15.75" thickTop="1" x14ac:dyDescent="0.25">
      <c r="A340" s="132">
        <v>202087</v>
      </c>
      <c r="B340" s="139">
        <v>349</v>
      </c>
      <c r="C340" s="124" t="s">
        <v>2905</v>
      </c>
      <c r="D340" s="115">
        <v>320</v>
      </c>
      <c r="E340" s="5" t="s">
        <v>2906</v>
      </c>
    </row>
    <row r="341" spans="1:5" ht="15.75" thickBot="1" x14ac:dyDescent="0.3">
      <c r="A341" s="132">
        <v>225923</v>
      </c>
      <c r="B341" s="138">
        <v>390</v>
      </c>
      <c r="C341" s="124" t="s">
        <v>2358</v>
      </c>
      <c r="D341" s="115"/>
      <c r="E341" s="5"/>
    </row>
    <row r="342" spans="1:5" ht="15.75" thickTop="1" x14ac:dyDescent="0.25">
      <c r="A342" s="132">
        <v>201335</v>
      </c>
      <c r="B342" s="139" t="s">
        <v>1821</v>
      </c>
      <c r="D342" s="115">
        <v>360</v>
      </c>
      <c r="E342" s="5" t="s">
        <v>2904</v>
      </c>
    </row>
    <row r="343" spans="1:5" x14ac:dyDescent="0.25">
      <c r="A343" s="132">
        <v>224897</v>
      </c>
      <c r="B343" s="139" t="s">
        <v>2895</v>
      </c>
      <c r="D343" s="115"/>
      <c r="E343" s="5"/>
    </row>
    <row r="344" spans="1:5" x14ac:dyDescent="0.25">
      <c r="A344" s="132">
        <v>186574</v>
      </c>
      <c r="B344" s="139" t="s">
        <v>1821</v>
      </c>
      <c r="D344" s="115">
        <v>510</v>
      </c>
      <c r="E344" s="5" t="s">
        <v>2903</v>
      </c>
    </row>
    <row r="345" spans="1:5" x14ac:dyDescent="0.25">
      <c r="A345" s="132">
        <v>186583</v>
      </c>
      <c r="B345" s="139" t="s">
        <v>1821</v>
      </c>
      <c r="D345" s="115">
        <v>510</v>
      </c>
      <c r="E345" s="5" t="s">
        <v>2903</v>
      </c>
    </row>
    <row r="346" spans="1:5" x14ac:dyDescent="0.25">
      <c r="A346" s="132">
        <v>138756</v>
      </c>
      <c r="B346" s="139" t="s">
        <v>1821</v>
      </c>
      <c r="D346" s="115"/>
      <c r="E346" s="5"/>
    </row>
    <row r="347" spans="1:5" x14ac:dyDescent="0.25">
      <c r="A347" s="132">
        <v>204186</v>
      </c>
      <c r="B347" s="139" t="s">
        <v>1821</v>
      </c>
      <c r="D347" s="115"/>
      <c r="E347" s="5"/>
    </row>
    <row r="348" spans="1:5" x14ac:dyDescent="0.25">
      <c r="A348" s="132">
        <v>186579</v>
      </c>
      <c r="B348" s="139">
        <v>449</v>
      </c>
      <c r="C348" s="124" t="s">
        <v>2902</v>
      </c>
      <c r="D348" s="115">
        <v>450</v>
      </c>
      <c r="E348" s="5" t="s">
        <v>2901</v>
      </c>
    </row>
    <row r="349" spans="1:5" x14ac:dyDescent="0.25">
      <c r="A349" s="132">
        <v>186584</v>
      </c>
      <c r="B349" s="139">
        <v>449</v>
      </c>
      <c r="C349" s="124" t="s">
        <v>2902</v>
      </c>
      <c r="D349" s="115">
        <v>450</v>
      </c>
      <c r="E349" s="5" t="s">
        <v>2901</v>
      </c>
    </row>
    <row r="350" spans="1:5" ht="15.75" thickBot="1" x14ac:dyDescent="0.3">
      <c r="A350" s="132">
        <v>138757</v>
      </c>
      <c r="B350" s="136">
        <v>490</v>
      </c>
      <c r="C350" s="124" t="s">
        <v>2607</v>
      </c>
      <c r="D350" s="115"/>
      <c r="E350" s="5"/>
    </row>
    <row r="351" spans="1:5" ht="15.75" thickTop="1" x14ac:dyDescent="0.25">
      <c r="A351" s="132">
        <v>225400</v>
      </c>
      <c r="B351" s="139">
        <v>390</v>
      </c>
      <c r="C351" s="124" t="s">
        <v>2900</v>
      </c>
      <c r="D351" s="115"/>
      <c r="E351" s="5"/>
    </row>
    <row r="352" spans="1:5" x14ac:dyDescent="0.25">
      <c r="A352" s="132">
        <v>225402</v>
      </c>
      <c r="B352" s="139">
        <v>290</v>
      </c>
      <c r="C352" s="124" t="s">
        <v>2899</v>
      </c>
      <c r="D352" s="115"/>
      <c r="E352" s="5"/>
    </row>
    <row r="353" spans="1:5" x14ac:dyDescent="0.25">
      <c r="A353" s="132">
        <v>225393</v>
      </c>
      <c r="B353" s="139">
        <v>469</v>
      </c>
      <c r="C353" s="124" t="s">
        <v>2898</v>
      </c>
      <c r="D353" s="115"/>
      <c r="E353" s="5"/>
    </row>
    <row r="354" spans="1:5" x14ac:dyDescent="0.25">
      <c r="A354" s="132">
        <v>157737</v>
      </c>
      <c r="B354" s="139">
        <v>134.5</v>
      </c>
      <c r="C354" s="124" t="s">
        <v>2897</v>
      </c>
      <c r="D354" s="115"/>
      <c r="E354" s="5"/>
    </row>
    <row r="355" spans="1:5" x14ac:dyDescent="0.25">
      <c r="A355" s="132">
        <v>202126</v>
      </c>
      <c r="B355" s="139">
        <v>134.5</v>
      </c>
      <c r="C355" s="124" t="s">
        <v>2897</v>
      </c>
      <c r="D355" s="115"/>
      <c r="E355" s="5"/>
    </row>
    <row r="356" spans="1:5" x14ac:dyDescent="0.25">
      <c r="A356" s="132">
        <v>186577</v>
      </c>
      <c r="B356" s="139" t="s">
        <v>1821</v>
      </c>
      <c r="D356" s="115"/>
      <c r="E356" s="5"/>
    </row>
    <row r="357" spans="1:5" x14ac:dyDescent="0.25">
      <c r="A357" s="132">
        <v>186585</v>
      </c>
      <c r="B357" s="139" t="s">
        <v>1821</v>
      </c>
      <c r="D357" s="115"/>
      <c r="E357" s="5"/>
    </row>
    <row r="358" spans="1:5" x14ac:dyDescent="0.25">
      <c r="A358" s="132">
        <v>181550</v>
      </c>
      <c r="B358" s="139">
        <v>490</v>
      </c>
      <c r="C358" s="124" t="s">
        <v>2896</v>
      </c>
      <c r="D358" s="115"/>
      <c r="E358" s="5"/>
    </row>
    <row r="359" spans="1:5" ht="15.75" thickBot="1" x14ac:dyDescent="0.3">
      <c r="A359" s="132">
        <v>186669</v>
      </c>
      <c r="B359" s="140" t="s">
        <v>2494</v>
      </c>
      <c r="C359" s="129"/>
      <c r="D359" s="115"/>
      <c r="E359" s="5"/>
    </row>
    <row r="360" spans="1:5" ht="16.5" thickTop="1" thickBot="1" x14ac:dyDescent="0.3">
      <c r="A360" s="132">
        <v>186725</v>
      </c>
      <c r="B360" s="136">
        <v>139</v>
      </c>
      <c r="C360" s="124" t="s">
        <v>2660</v>
      </c>
      <c r="D360" s="115"/>
      <c r="E360" s="5"/>
    </row>
    <row r="361" spans="1:5" ht="15.75" thickTop="1" x14ac:dyDescent="0.25">
      <c r="A361" s="132">
        <v>138827</v>
      </c>
      <c r="B361" s="139" t="s">
        <v>2895</v>
      </c>
      <c r="D361" s="115"/>
      <c r="E361" s="5"/>
    </row>
    <row r="362" spans="1:5" x14ac:dyDescent="0.25">
      <c r="A362" s="132">
        <v>213297</v>
      </c>
      <c r="B362" s="139">
        <v>369</v>
      </c>
      <c r="C362" s="124" t="s">
        <v>2968</v>
      </c>
      <c r="D362" s="115"/>
      <c r="E362" s="5"/>
    </row>
    <row r="363" spans="1:5" x14ac:dyDescent="0.25">
      <c r="A363" s="132">
        <v>136654</v>
      </c>
      <c r="B363" s="139">
        <v>469</v>
      </c>
      <c r="C363" s="124" t="s">
        <v>2894</v>
      </c>
      <c r="D363" s="115"/>
      <c r="E363" s="5"/>
    </row>
    <row r="364" spans="1:5" ht="15.75" thickBot="1" x14ac:dyDescent="0.3">
      <c r="A364" s="132">
        <v>158282</v>
      </c>
      <c r="B364" s="136" t="s">
        <v>2997</v>
      </c>
      <c r="C364" s="124" t="s">
        <v>2564</v>
      </c>
      <c r="D364" s="115"/>
      <c r="E364" s="5"/>
    </row>
    <row r="365" spans="1:5" ht="15.75" thickTop="1" x14ac:dyDescent="0.25">
      <c r="A365" s="132">
        <v>186705</v>
      </c>
      <c r="B365" s="139">
        <v>449</v>
      </c>
      <c r="C365" s="124" t="s">
        <v>2893</v>
      </c>
      <c r="D365" s="115"/>
      <c r="E365" s="5"/>
    </row>
    <row r="366" spans="1:5" ht="15.75" thickBot="1" x14ac:dyDescent="0.3">
      <c r="A366" s="132">
        <v>223238</v>
      </c>
      <c r="B366" s="138">
        <v>890</v>
      </c>
      <c r="C366" s="124" t="s">
        <v>2298</v>
      </c>
      <c r="D366" s="115"/>
      <c r="E366" s="5"/>
    </row>
    <row r="367" spans="1:5" ht="16.5" thickTop="1" thickBot="1" x14ac:dyDescent="0.3">
      <c r="A367" s="132">
        <v>223235</v>
      </c>
      <c r="B367" s="138">
        <v>890</v>
      </c>
      <c r="C367" s="124" t="s">
        <v>2299</v>
      </c>
      <c r="D367" s="115"/>
      <c r="E367" s="5"/>
    </row>
    <row r="368" spans="1:5" ht="16.5" thickTop="1" thickBot="1" x14ac:dyDescent="0.3">
      <c r="A368" s="132">
        <v>158291</v>
      </c>
      <c r="B368" s="136">
        <v>569</v>
      </c>
      <c r="C368" s="124" t="s">
        <v>2618</v>
      </c>
      <c r="D368" s="115"/>
      <c r="E368" s="5"/>
    </row>
    <row r="369" spans="1:5" ht="16.5" thickTop="1" thickBot="1" x14ac:dyDescent="0.3">
      <c r="A369" s="132">
        <v>186765</v>
      </c>
      <c r="B369" s="136">
        <v>669</v>
      </c>
      <c r="C369" s="124" t="s">
        <v>2617</v>
      </c>
      <c r="D369" s="115"/>
      <c r="E369" s="5"/>
    </row>
    <row r="370" spans="1:5" ht="16.5" thickTop="1" thickBot="1" x14ac:dyDescent="0.3">
      <c r="A370" s="132">
        <v>186726</v>
      </c>
      <c r="B370" s="140" t="s">
        <v>1821</v>
      </c>
      <c r="C370" s="129"/>
      <c r="D370" s="115"/>
      <c r="E370" s="5"/>
    </row>
    <row r="371" spans="1:5" ht="16.5" thickTop="1" thickBot="1" x14ac:dyDescent="0.3">
      <c r="A371" s="132">
        <v>180669</v>
      </c>
      <c r="B371" s="136">
        <v>590</v>
      </c>
      <c r="C371" s="124" t="s">
        <v>2616</v>
      </c>
      <c r="D371" s="115"/>
      <c r="E371" s="5"/>
    </row>
    <row r="372" spans="1:5" ht="16.5" thickTop="1" thickBot="1" x14ac:dyDescent="0.3">
      <c r="A372" s="132">
        <v>158279</v>
      </c>
      <c r="B372" s="136">
        <v>390</v>
      </c>
      <c r="C372" s="124" t="s">
        <v>2615</v>
      </c>
      <c r="D372" s="115"/>
      <c r="E372" s="5"/>
    </row>
    <row r="373" spans="1:5" ht="16.5" thickTop="1" thickBot="1" x14ac:dyDescent="0.3">
      <c r="A373" s="132">
        <v>218424</v>
      </c>
      <c r="B373" s="136">
        <v>590</v>
      </c>
      <c r="C373" s="124" t="s">
        <v>2525</v>
      </c>
      <c r="D373" s="115"/>
      <c r="E373" s="5"/>
    </row>
    <row r="374" spans="1:5" ht="15.75" thickTop="1" x14ac:dyDescent="0.25">
      <c r="A374" s="132">
        <v>225940</v>
      </c>
      <c r="B374" s="139">
        <v>590</v>
      </c>
      <c r="C374" s="124" t="s">
        <v>2575</v>
      </c>
      <c r="D374" s="115"/>
      <c r="E374" s="5"/>
    </row>
    <row r="375" spans="1:5" x14ac:dyDescent="0.25">
      <c r="A375" s="132">
        <v>213354</v>
      </c>
      <c r="B375" s="139">
        <v>229</v>
      </c>
      <c r="C375" s="124" t="s">
        <v>2967</v>
      </c>
      <c r="D375" s="115"/>
      <c r="E375" s="5"/>
    </row>
    <row r="376" spans="1:5" x14ac:dyDescent="0.25">
      <c r="A376" s="132">
        <v>213353</v>
      </c>
      <c r="B376" s="139">
        <v>229</v>
      </c>
      <c r="C376" s="124" t="s">
        <v>2967</v>
      </c>
      <c r="D376" s="115"/>
      <c r="E376" s="5"/>
    </row>
    <row r="377" spans="1:5" x14ac:dyDescent="0.25">
      <c r="A377" s="132">
        <v>202112</v>
      </c>
      <c r="B377" s="139" t="s">
        <v>1821</v>
      </c>
      <c r="D377" s="115"/>
      <c r="E377" s="5"/>
    </row>
    <row r="378" spans="1:5" x14ac:dyDescent="0.25">
      <c r="A378" s="132">
        <v>204184</v>
      </c>
      <c r="B378" s="143" t="s">
        <v>1821</v>
      </c>
      <c r="D378" s="115"/>
      <c r="E378" s="5"/>
    </row>
    <row r="379" spans="1:5" x14ac:dyDescent="0.25">
      <c r="A379" s="132">
        <v>225423</v>
      </c>
      <c r="B379" s="139" t="s">
        <v>1821</v>
      </c>
      <c r="D379" s="115"/>
      <c r="E379" s="5"/>
    </row>
    <row r="380" spans="1:5" ht="15.75" thickBot="1" x14ac:dyDescent="0.3">
      <c r="A380" s="132">
        <v>223217</v>
      </c>
      <c r="B380" s="138">
        <v>769</v>
      </c>
      <c r="C380" s="124" t="s">
        <v>2289</v>
      </c>
      <c r="D380" s="115"/>
      <c r="E380" s="5"/>
    </row>
    <row r="381" spans="1:5" ht="15.75" thickTop="1" x14ac:dyDescent="0.25">
      <c r="A381" s="132">
        <v>194570</v>
      </c>
      <c r="B381" s="139" t="s">
        <v>1821</v>
      </c>
      <c r="D381" s="115"/>
      <c r="E381" s="5"/>
    </row>
    <row r="382" spans="1:5" ht="15.75" thickBot="1" x14ac:dyDescent="0.3">
      <c r="A382" s="132">
        <v>223269</v>
      </c>
      <c r="B382" s="138">
        <v>449</v>
      </c>
      <c r="C382" s="124" t="s">
        <v>2300</v>
      </c>
      <c r="D382" s="115"/>
      <c r="E382" s="5"/>
    </row>
    <row r="383" spans="1:5" ht="16.5" thickTop="1" thickBot="1" x14ac:dyDescent="0.3">
      <c r="A383" s="132">
        <v>223234</v>
      </c>
      <c r="B383" s="138">
        <v>1090</v>
      </c>
      <c r="C383" s="124" t="s">
        <v>2286</v>
      </c>
      <c r="D383" s="115"/>
      <c r="E383" s="5"/>
    </row>
    <row r="384" spans="1:5" ht="16.5" thickTop="1" thickBot="1" x14ac:dyDescent="0.3">
      <c r="A384" s="132">
        <v>223237</v>
      </c>
      <c r="B384" s="138">
        <v>1090</v>
      </c>
      <c r="C384" s="124" t="s">
        <v>2286</v>
      </c>
      <c r="D384" s="115"/>
      <c r="E384" s="5"/>
    </row>
    <row r="385" spans="1:5" ht="16.5" thickTop="1" thickBot="1" x14ac:dyDescent="0.3">
      <c r="A385" s="132">
        <v>186672</v>
      </c>
      <c r="B385" s="136">
        <v>649</v>
      </c>
      <c r="C385" s="124" t="s">
        <v>2614</v>
      </c>
      <c r="D385" s="115"/>
      <c r="E385" s="5"/>
    </row>
    <row r="386" spans="1:5" ht="16.5" thickTop="1" thickBot="1" x14ac:dyDescent="0.3">
      <c r="A386" s="132">
        <v>225924</v>
      </c>
      <c r="B386" s="138">
        <v>590</v>
      </c>
      <c r="C386" s="124" t="s">
        <v>2354</v>
      </c>
      <c r="D386" s="115"/>
      <c r="E386" s="5"/>
    </row>
    <row r="387" spans="1:5" ht="15.75" thickTop="1" x14ac:dyDescent="0.25">
      <c r="A387" s="132">
        <v>226094</v>
      </c>
      <c r="B387" s="139" t="s">
        <v>2494</v>
      </c>
      <c r="D387" s="115"/>
      <c r="E387" s="5"/>
    </row>
    <row r="388" spans="1:5" ht="15.75" thickBot="1" x14ac:dyDescent="0.3">
      <c r="A388" s="132">
        <v>225927</v>
      </c>
      <c r="B388" s="138">
        <v>590</v>
      </c>
      <c r="C388" s="124" t="s">
        <v>2359</v>
      </c>
      <c r="D388" s="115"/>
      <c r="E388" s="5"/>
    </row>
    <row r="389" spans="1:5" ht="16.5" thickTop="1" thickBot="1" x14ac:dyDescent="0.3">
      <c r="A389" s="132">
        <v>167286</v>
      </c>
      <c r="B389" s="136">
        <v>529</v>
      </c>
      <c r="C389" s="124" t="s">
        <v>2613</v>
      </c>
      <c r="D389" s="115"/>
      <c r="E389" s="5"/>
    </row>
    <row r="390" spans="1:5" ht="16.5" thickTop="1" thickBot="1" x14ac:dyDescent="0.3">
      <c r="A390" s="132">
        <v>158295</v>
      </c>
      <c r="B390" s="136">
        <v>590</v>
      </c>
      <c r="C390" s="124" t="s">
        <v>2612</v>
      </c>
      <c r="D390" s="115"/>
      <c r="E390" s="5"/>
    </row>
    <row r="391" spans="1:5" ht="16.5" thickTop="1" thickBot="1" x14ac:dyDescent="0.3">
      <c r="A391" s="132">
        <v>225926</v>
      </c>
      <c r="B391" s="138">
        <v>590</v>
      </c>
      <c r="C391" s="124" t="s">
        <v>2357</v>
      </c>
      <c r="D391" s="115"/>
      <c r="E391" s="5"/>
    </row>
    <row r="392" spans="1:5" ht="16.5" thickTop="1" thickBot="1" x14ac:dyDescent="0.3">
      <c r="A392" s="132">
        <v>158296</v>
      </c>
      <c r="B392" s="136">
        <v>1390</v>
      </c>
      <c r="C392" s="124" t="s">
        <v>2508</v>
      </c>
      <c r="D392" s="115"/>
      <c r="E392" s="5"/>
    </row>
    <row r="393" spans="1:5" ht="16.5" thickTop="1" thickBot="1" x14ac:dyDescent="0.3">
      <c r="A393" s="132">
        <v>225953</v>
      </c>
      <c r="B393" s="138">
        <v>590</v>
      </c>
      <c r="C393" s="124" t="s">
        <v>2355</v>
      </c>
      <c r="D393" s="115"/>
      <c r="E393" s="5"/>
    </row>
    <row r="394" spans="1:5" ht="16.5" thickTop="1" thickBot="1" x14ac:dyDescent="0.3">
      <c r="A394" s="132">
        <v>186724</v>
      </c>
      <c r="B394" s="140" t="s">
        <v>2494</v>
      </c>
      <c r="C394" s="129"/>
      <c r="D394" s="115"/>
      <c r="E394" s="5"/>
    </row>
    <row r="395" spans="1:5" ht="15.75" thickTop="1" x14ac:dyDescent="0.25">
      <c r="A395" s="132">
        <v>186575</v>
      </c>
      <c r="B395" s="139">
        <v>590</v>
      </c>
      <c r="C395" s="124" t="s">
        <v>2892</v>
      </c>
      <c r="D395" s="115"/>
      <c r="E395" s="5"/>
    </row>
    <row r="396" spans="1:5" x14ac:dyDescent="0.25">
      <c r="A396" s="132">
        <v>186582</v>
      </c>
      <c r="B396" s="139">
        <v>590</v>
      </c>
      <c r="C396" s="124" t="s">
        <v>2892</v>
      </c>
      <c r="D396" s="115"/>
      <c r="E396" s="5"/>
    </row>
    <row r="397" spans="1:5" ht="15.75" thickBot="1" x14ac:dyDescent="0.3">
      <c r="A397" s="132">
        <v>160570</v>
      </c>
      <c r="B397" s="136">
        <v>590</v>
      </c>
      <c r="C397" s="124" t="s">
        <v>2611</v>
      </c>
      <c r="D397" s="115"/>
      <c r="E397" s="5"/>
    </row>
    <row r="398" spans="1:5" ht="16.5" thickTop="1" thickBot="1" x14ac:dyDescent="0.3">
      <c r="A398" s="132">
        <v>186728</v>
      </c>
      <c r="B398" s="138">
        <v>249</v>
      </c>
      <c r="C398" s="124" t="s">
        <v>2339</v>
      </c>
      <c r="D398" s="115"/>
      <c r="E398" s="5"/>
    </row>
    <row r="399" spans="1:5" ht="16.5" thickTop="1" thickBot="1" x14ac:dyDescent="0.3">
      <c r="A399" s="132">
        <v>181310</v>
      </c>
      <c r="B399" s="138">
        <v>849</v>
      </c>
      <c r="C399" s="124" t="s">
        <v>2610</v>
      </c>
      <c r="D399" s="115"/>
      <c r="E399" s="5"/>
    </row>
    <row r="400" spans="1:5" ht="15.75" thickTop="1" x14ac:dyDescent="0.25">
      <c r="A400" s="132">
        <v>204181</v>
      </c>
      <c r="B400" s="143" t="s">
        <v>1821</v>
      </c>
      <c r="D400" s="115"/>
      <c r="E400" s="5"/>
    </row>
    <row r="401" spans="1:5" ht="15.75" thickBot="1" x14ac:dyDescent="0.3">
      <c r="A401" s="132">
        <v>186723</v>
      </c>
      <c r="B401" s="136">
        <v>529</v>
      </c>
      <c r="C401" s="124" t="s">
        <v>2609</v>
      </c>
      <c r="D401" s="115"/>
      <c r="E401" s="5"/>
    </row>
    <row r="402" spans="1:5" ht="16.5" thickTop="1" thickBot="1" x14ac:dyDescent="0.3">
      <c r="A402" s="132">
        <v>223229</v>
      </c>
      <c r="B402" s="138">
        <v>222.5</v>
      </c>
      <c r="C402" s="124" t="s">
        <v>2532</v>
      </c>
      <c r="D402" s="115"/>
      <c r="E402" s="5"/>
    </row>
    <row r="403" spans="1:5" ht="15.75" thickTop="1" x14ac:dyDescent="0.25">
      <c r="A403" s="132">
        <v>194866</v>
      </c>
      <c r="B403" s="143" t="s">
        <v>1821</v>
      </c>
      <c r="D403" s="115"/>
      <c r="E403" s="5"/>
    </row>
    <row r="404" spans="1:5" ht="15.75" thickBot="1" x14ac:dyDescent="0.3">
      <c r="A404" s="132">
        <v>186745</v>
      </c>
      <c r="B404" s="136">
        <v>529</v>
      </c>
      <c r="C404" s="124" t="s">
        <v>2608</v>
      </c>
      <c r="D404" s="115"/>
      <c r="E404" s="5"/>
    </row>
    <row r="405" spans="1:5" ht="16.5" thickTop="1" thickBot="1" x14ac:dyDescent="0.3">
      <c r="A405" s="132">
        <v>186744</v>
      </c>
      <c r="B405" s="140" t="s">
        <v>1821</v>
      </c>
      <c r="C405" s="129"/>
      <c r="D405" s="115"/>
      <c r="E405" s="5"/>
    </row>
    <row r="406" spans="1:5" ht="16.5" thickTop="1" thickBot="1" x14ac:dyDescent="0.3">
      <c r="A406" s="132">
        <v>186837</v>
      </c>
      <c r="B406" s="140" t="s">
        <v>1821</v>
      </c>
      <c r="C406" s="129"/>
      <c r="D406" s="115"/>
      <c r="E406" s="5"/>
    </row>
    <row r="407" spans="1:5" ht="16.5" thickTop="1" thickBot="1" x14ac:dyDescent="0.3">
      <c r="A407" s="132">
        <v>138758</v>
      </c>
      <c r="B407" s="136">
        <v>490</v>
      </c>
      <c r="C407" s="124" t="s">
        <v>2607</v>
      </c>
      <c r="D407" s="115"/>
      <c r="E407" s="5"/>
    </row>
    <row r="408" spans="1:5" ht="16.5" thickTop="1" thickBot="1" x14ac:dyDescent="0.3">
      <c r="A408" s="132">
        <v>181548</v>
      </c>
      <c r="B408" s="136">
        <v>690</v>
      </c>
      <c r="C408" s="124" t="s">
        <v>2552</v>
      </c>
      <c r="D408" s="115"/>
      <c r="E408" s="5"/>
    </row>
    <row r="409" spans="1:5" ht="15.75" thickTop="1" x14ac:dyDescent="0.25">
      <c r="A409" s="132">
        <v>223257</v>
      </c>
      <c r="B409" s="139"/>
      <c r="D409" s="115"/>
      <c r="E409" s="5"/>
    </row>
    <row r="410" spans="1:5" ht="15.75" thickBot="1" x14ac:dyDescent="0.3">
      <c r="A410" s="132">
        <v>186738</v>
      </c>
      <c r="B410" s="140" t="s">
        <v>1821</v>
      </c>
      <c r="C410" s="129"/>
      <c r="D410" s="115"/>
      <c r="E410" s="5"/>
    </row>
    <row r="411" spans="1:5" ht="16.5" thickTop="1" thickBot="1" x14ac:dyDescent="0.3">
      <c r="A411" s="132">
        <v>186704</v>
      </c>
      <c r="B411" s="136">
        <v>569</v>
      </c>
      <c r="C411" s="124" t="s">
        <v>2606</v>
      </c>
      <c r="D411" s="115"/>
      <c r="E411" s="5"/>
    </row>
    <row r="412" spans="1:5" ht="16.5" thickTop="1" thickBot="1" x14ac:dyDescent="0.3">
      <c r="A412" s="132">
        <v>186743</v>
      </c>
      <c r="B412" s="136">
        <v>349</v>
      </c>
      <c r="C412" s="124" t="s">
        <v>2605</v>
      </c>
      <c r="D412" s="115"/>
      <c r="E412" s="5"/>
    </row>
    <row r="413" spans="1:5" ht="16.5" thickTop="1" thickBot="1" x14ac:dyDescent="0.3">
      <c r="A413" s="132">
        <v>186739</v>
      </c>
      <c r="B413" s="136">
        <v>299</v>
      </c>
      <c r="C413" s="124" t="s">
        <v>2571</v>
      </c>
      <c r="D413" s="115"/>
      <c r="E413" s="5"/>
    </row>
    <row r="414" spans="1:5" ht="16.5" thickTop="1" thickBot="1" x14ac:dyDescent="0.3">
      <c r="A414" s="132">
        <v>223228</v>
      </c>
      <c r="B414" s="138">
        <v>222.5</v>
      </c>
      <c r="C414" s="124" t="s">
        <v>2532</v>
      </c>
      <c r="D414" s="115"/>
      <c r="E414" s="5"/>
    </row>
    <row r="415" spans="1:5" ht="16.5" thickTop="1" thickBot="1" x14ac:dyDescent="0.3">
      <c r="A415" s="132">
        <v>223239</v>
      </c>
      <c r="B415" s="138">
        <v>629</v>
      </c>
      <c r="C415" s="124" t="s">
        <v>2335</v>
      </c>
      <c r="D415" s="115"/>
      <c r="E415" s="5"/>
    </row>
    <row r="416" spans="1:5" ht="16.5" thickTop="1" thickBot="1" x14ac:dyDescent="0.3">
      <c r="A416" s="132">
        <v>218423</v>
      </c>
      <c r="B416" s="136">
        <v>590</v>
      </c>
      <c r="C416" s="124" t="s">
        <v>2525</v>
      </c>
      <c r="D416" s="115"/>
      <c r="E416" s="5"/>
    </row>
    <row r="417" spans="1:5" ht="16.5" thickTop="1" thickBot="1" x14ac:dyDescent="0.3">
      <c r="A417" s="132">
        <v>225925</v>
      </c>
      <c r="B417" s="138">
        <v>590</v>
      </c>
      <c r="C417" s="124" t="s">
        <v>2354</v>
      </c>
      <c r="D417" s="115"/>
      <c r="E417" s="5"/>
    </row>
    <row r="418" spans="1:5" ht="16.5" thickTop="1" thickBot="1" x14ac:dyDescent="0.3">
      <c r="A418" s="132">
        <v>223262</v>
      </c>
      <c r="B418" s="138">
        <v>490</v>
      </c>
      <c r="C418" s="124" t="s">
        <v>2288</v>
      </c>
      <c r="D418" s="115"/>
      <c r="E418" s="5"/>
    </row>
    <row r="419" spans="1:5" ht="16.5" thickTop="1" thickBot="1" x14ac:dyDescent="0.3">
      <c r="A419" s="132">
        <v>186736</v>
      </c>
      <c r="B419" s="140" t="s">
        <v>1821</v>
      </c>
      <c r="C419" s="129"/>
      <c r="D419" s="115"/>
      <c r="E419" s="5"/>
    </row>
    <row r="420" spans="1:5" ht="16.5" thickTop="1" thickBot="1" x14ac:dyDescent="0.3">
      <c r="A420" s="132">
        <v>186734</v>
      </c>
      <c r="B420" s="136">
        <v>329</v>
      </c>
      <c r="C420" s="124" t="s">
        <v>2674</v>
      </c>
      <c r="D420" s="115"/>
      <c r="E420" s="5"/>
    </row>
    <row r="421" spans="1:5" ht="16.5" thickTop="1" thickBot="1" x14ac:dyDescent="0.3">
      <c r="A421" s="132">
        <v>186733</v>
      </c>
      <c r="B421" s="136">
        <v>549</v>
      </c>
      <c r="C421" s="124" t="s">
        <v>2604</v>
      </c>
      <c r="D421" s="115"/>
      <c r="E421" s="5"/>
    </row>
    <row r="422" spans="1:5" ht="16.5" thickTop="1" thickBot="1" x14ac:dyDescent="0.3">
      <c r="A422" s="132">
        <v>158289</v>
      </c>
      <c r="B422" s="138">
        <v>759</v>
      </c>
      <c r="C422" s="124" t="s">
        <v>2603</v>
      </c>
      <c r="D422" s="115"/>
      <c r="E422" s="5"/>
    </row>
    <row r="423" spans="1:5" ht="16.5" thickTop="1" thickBot="1" x14ac:dyDescent="0.3">
      <c r="A423" s="132">
        <v>223241</v>
      </c>
      <c r="B423" s="138">
        <v>590</v>
      </c>
      <c r="C423" s="124" t="s">
        <v>2334</v>
      </c>
      <c r="D423" s="115"/>
      <c r="E423" s="5"/>
    </row>
    <row r="424" spans="1:5" ht="15.75" thickTop="1" x14ac:dyDescent="0.25">
      <c r="A424" s="132">
        <v>213135</v>
      </c>
      <c r="B424" s="139" t="s">
        <v>1821</v>
      </c>
      <c r="D424" s="115"/>
      <c r="E424" s="5"/>
    </row>
    <row r="425" spans="1:5" x14ac:dyDescent="0.25">
      <c r="A425" s="132">
        <v>225427</v>
      </c>
      <c r="B425" s="139" t="s">
        <v>1821</v>
      </c>
      <c r="D425" s="115"/>
      <c r="E425" s="5"/>
    </row>
    <row r="426" spans="1:5" ht="15.75" thickBot="1" x14ac:dyDescent="0.3">
      <c r="A426" s="132">
        <v>202257</v>
      </c>
      <c r="B426" s="138">
        <v>490</v>
      </c>
      <c r="C426" s="124" t="s">
        <v>2328</v>
      </c>
      <c r="D426" s="115"/>
      <c r="E426" s="5"/>
    </row>
    <row r="427" spans="1:5" ht="16.5" thickTop="1" thickBot="1" x14ac:dyDescent="0.3">
      <c r="A427" s="132">
        <v>223231</v>
      </c>
      <c r="B427" s="138">
        <v>422.5</v>
      </c>
      <c r="C427" s="124" t="s">
        <v>2680</v>
      </c>
      <c r="D427" s="115"/>
      <c r="E427" s="5"/>
    </row>
    <row r="428" spans="1:5" ht="16.5" thickTop="1" thickBot="1" x14ac:dyDescent="0.3">
      <c r="A428" s="132">
        <v>157738</v>
      </c>
      <c r="B428" s="136">
        <v>569</v>
      </c>
      <c r="C428" s="124" t="s">
        <v>2602</v>
      </c>
      <c r="D428" s="115"/>
      <c r="E428" s="5"/>
    </row>
    <row r="429" spans="1:5" ht="16.5" thickTop="1" thickBot="1" x14ac:dyDescent="0.3">
      <c r="A429" s="132">
        <v>185461</v>
      </c>
      <c r="B429" s="138">
        <v>284.5</v>
      </c>
      <c r="C429" s="124" t="s">
        <v>2602</v>
      </c>
      <c r="D429" s="115"/>
      <c r="E429" s="5"/>
    </row>
    <row r="430" spans="1:5" ht="16.5" thickTop="1" thickBot="1" x14ac:dyDescent="0.3">
      <c r="A430" s="132">
        <v>186671</v>
      </c>
      <c r="B430" s="136">
        <v>549</v>
      </c>
      <c r="C430" s="124" t="s">
        <v>2600</v>
      </c>
      <c r="D430" s="115"/>
      <c r="E430" s="5"/>
    </row>
    <row r="431" spans="1:5" ht="16.5" thickTop="1" thickBot="1" x14ac:dyDescent="0.3">
      <c r="A431" s="132">
        <v>223219</v>
      </c>
      <c r="B431" s="138">
        <v>969</v>
      </c>
      <c r="C431" s="124" t="s">
        <v>2292</v>
      </c>
      <c r="D431" s="115"/>
      <c r="E431" s="5"/>
    </row>
    <row r="432" spans="1:5" ht="15.75" thickTop="1" x14ac:dyDescent="0.25">
      <c r="A432" s="132">
        <v>194600</v>
      </c>
      <c r="B432" s="139" t="s">
        <v>2891</v>
      </c>
      <c r="D432" s="115"/>
      <c r="E432" s="5"/>
    </row>
    <row r="433" spans="1:5" ht="15.75" thickBot="1" x14ac:dyDescent="0.3">
      <c r="A433" s="132">
        <v>181610</v>
      </c>
      <c r="B433" s="138">
        <v>1190</v>
      </c>
      <c r="C433" s="124" t="s">
        <v>2369</v>
      </c>
      <c r="D433" s="115"/>
      <c r="E433" s="5"/>
    </row>
    <row r="434" spans="1:5" ht="15.75" thickTop="1" x14ac:dyDescent="0.25">
      <c r="A434" s="132">
        <v>181553</v>
      </c>
      <c r="B434" s="139" t="s">
        <v>1821</v>
      </c>
      <c r="D434" s="115"/>
      <c r="E434" s="5"/>
    </row>
    <row r="435" spans="1:5" ht="15.75" thickBot="1" x14ac:dyDescent="0.3">
      <c r="A435" s="132">
        <v>186727</v>
      </c>
      <c r="B435" s="140" t="s">
        <v>1821</v>
      </c>
      <c r="C435" s="129"/>
      <c r="D435" s="115"/>
      <c r="E435" s="5"/>
    </row>
    <row r="436" spans="1:5" ht="16.5" thickTop="1" thickBot="1" x14ac:dyDescent="0.3">
      <c r="A436" s="132">
        <v>186737</v>
      </c>
      <c r="B436" s="136">
        <v>390</v>
      </c>
      <c r="C436" s="124" t="s">
        <v>2599</v>
      </c>
      <c r="D436" s="115"/>
      <c r="E436" s="5"/>
    </row>
    <row r="437" spans="1:5" ht="16.5" thickTop="1" thickBot="1" x14ac:dyDescent="0.3">
      <c r="A437" s="132">
        <v>225913</v>
      </c>
      <c r="B437" s="136">
        <v>590</v>
      </c>
      <c r="C437" s="124" t="s">
        <v>2575</v>
      </c>
      <c r="D437" s="115"/>
      <c r="E437" s="5"/>
    </row>
    <row r="438" spans="1:5" ht="16.5" thickTop="1" thickBot="1" x14ac:dyDescent="0.3">
      <c r="A438" s="132">
        <v>186742</v>
      </c>
      <c r="B438" s="136">
        <v>590</v>
      </c>
      <c r="C438" s="124" t="s">
        <v>2670</v>
      </c>
      <c r="D438" s="115"/>
      <c r="E438" s="5"/>
    </row>
    <row r="439" spans="1:5" ht="16.5" thickTop="1" thickBot="1" x14ac:dyDescent="0.3">
      <c r="A439" s="132">
        <v>158274</v>
      </c>
      <c r="B439" s="138">
        <v>538</v>
      </c>
      <c r="C439" s="124" t="s">
        <v>2598</v>
      </c>
      <c r="D439" s="115"/>
      <c r="E439" s="5"/>
    </row>
    <row r="440" spans="1:5" ht="16.5" thickTop="1" thickBot="1" x14ac:dyDescent="0.3">
      <c r="A440" s="132">
        <v>158288</v>
      </c>
      <c r="B440" s="138">
        <v>718</v>
      </c>
      <c r="C440" s="124" t="s">
        <v>2597</v>
      </c>
      <c r="D440" s="115"/>
      <c r="E440" s="5"/>
    </row>
    <row r="441" spans="1:5" ht="16.5" thickTop="1" thickBot="1" x14ac:dyDescent="0.3">
      <c r="A441" s="132">
        <v>223205</v>
      </c>
      <c r="B441" s="136">
        <v>990</v>
      </c>
      <c r="C441" s="124" t="s">
        <v>2596</v>
      </c>
      <c r="D441" s="115"/>
      <c r="E441" s="5"/>
    </row>
    <row r="442" spans="1:5" ht="16.5" thickTop="1" thickBot="1" x14ac:dyDescent="0.3">
      <c r="A442" s="132">
        <v>225056</v>
      </c>
      <c r="B442" s="136">
        <v>290</v>
      </c>
      <c r="C442" s="124" t="s">
        <v>2595</v>
      </c>
      <c r="D442" s="115"/>
      <c r="E442" s="5"/>
    </row>
    <row r="443" spans="1:5" ht="15.75" thickTop="1" x14ac:dyDescent="0.25">
      <c r="A443" s="132">
        <v>204182</v>
      </c>
      <c r="B443" s="139" t="s">
        <v>1821</v>
      </c>
      <c r="D443" s="115"/>
      <c r="E443" s="5"/>
    </row>
    <row r="444" spans="1:5" ht="15.75" thickBot="1" x14ac:dyDescent="0.3">
      <c r="A444" s="132">
        <v>181546</v>
      </c>
      <c r="B444" s="136">
        <v>590</v>
      </c>
      <c r="C444" s="124" t="s">
        <v>2594</v>
      </c>
      <c r="D444" s="115"/>
      <c r="E444" s="5"/>
    </row>
    <row r="445" spans="1:5" ht="15.75" thickTop="1" x14ac:dyDescent="0.25">
      <c r="A445" s="132">
        <v>223243</v>
      </c>
      <c r="B445" s="139" t="s">
        <v>1821</v>
      </c>
      <c r="D445" s="115"/>
      <c r="E445" s="5"/>
    </row>
    <row r="446" spans="1:5" x14ac:dyDescent="0.25">
      <c r="A446" s="132">
        <v>223258</v>
      </c>
      <c r="B446" s="139" t="s">
        <v>1821</v>
      </c>
      <c r="D446" s="115"/>
      <c r="E446" s="5"/>
    </row>
    <row r="447" spans="1:5" x14ac:dyDescent="0.25">
      <c r="A447" s="132">
        <v>223251</v>
      </c>
      <c r="B447" s="139" t="s">
        <v>1821</v>
      </c>
      <c r="D447" s="115"/>
      <c r="E447" s="5"/>
    </row>
    <row r="448" spans="1:5" ht="15.75" thickBot="1" x14ac:dyDescent="0.3">
      <c r="A448" s="132">
        <v>223230</v>
      </c>
      <c r="B448" s="138">
        <v>422.5</v>
      </c>
      <c r="C448" s="124" t="s">
        <v>2680</v>
      </c>
      <c r="D448" s="115"/>
      <c r="E448" s="5"/>
    </row>
    <row r="449" spans="1:5" ht="15.75" thickTop="1" x14ac:dyDescent="0.25">
      <c r="A449" s="132">
        <v>223282</v>
      </c>
      <c r="B449" s="139" t="s">
        <v>1821</v>
      </c>
      <c r="D449" s="115"/>
      <c r="E449" s="5"/>
    </row>
    <row r="450" spans="1:5" ht="15.75" thickBot="1" x14ac:dyDescent="0.3">
      <c r="A450" s="132">
        <v>225951</v>
      </c>
      <c r="B450" s="138">
        <v>590</v>
      </c>
      <c r="C450" s="124" t="s">
        <v>2356</v>
      </c>
      <c r="D450" s="115"/>
      <c r="E450" s="5"/>
    </row>
    <row r="451" spans="1:5" ht="16.5" thickTop="1" thickBot="1" x14ac:dyDescent="0.3">
      <c r="A451" s="132">
        <v>186735</v>
      </c>
      <c r="B451" s="136">
        <v>590</v>
      </c>
      <c r="C451" s="124" t="s">
        <v>2593</v>
      </c>
      <c r="D451" s="115"/>
      <c r="E451" s="5"/>
    </row>
    <row r="452" spans="1:5" ht="16.5" thickTop="1" thickBot="1" x14ac:dyDescent="0.3">
      <c r="A452" s="132">
        <v>223285</v>
      </c>
      <c r="B452" s="136">
        <v>790</v>
      </c>
      <c r="C452" s="124" t="s">
        <v>2291</v>
      </c>
      <c r="D452" s="115"/>
      <c r="E452" s="5"/>
    </row>
    <row r="453" spans="1:5" ht="16.5" thickTop="1" thickBot="1" x14ac:dyDescent="0.3">
      <c r="A453" s="132">
        <v>186580</v>
      </c>
      <c r="B453" s="136">
        <v>729</v>
      </c>
      <c r="C453" s="124" t="s">
        <v>2492</v>
      </c>
      <c r="D453" s="115"/>
      <c r="E453" s="5"/>
    </row>
    <row r="454" spans="1:5" ht="15.75" thickTop="1" x14ac:dyDescent="0.25">
      <c r="A454" s="132">
        <v>204280</v>
      </c>
      <c r="B454" s="139" t="s">
        <v>1821</v>
      </c>
      <c r="D454" s="115"/>
      <c r="E454" s="5"/>
    </row>
    <row r="455" spans="1:5" ht="15.75" thickBot="1" x14ac:dyDescent="0.3">
      <c r="A455" s="132">
        <v>186573</v>
      </c>
      <c r="B455" s="136">
        <v>729</v>
      </c>
      <c r="C455" s="124" t="s">
        <v>2577</v>
      </c>
      <c r="D455" s="115"/>
      <c r="E455" s="5"/>
    </row>
    <row r="456" spans="1:5" ht="16.5" thickTop="1" thickBot="1" x14ac:dyDescent="0.3">
      <c r="A456" s="132">
        <v>194571</v>
      </c>
      <c r="B456" s="136">
        <v>590</v>
      </c>
      <c r="C456" s="124" t="s">
        <v>2576</v>
      </c>
      <c r="D456" s="115"/>
      <c r="E456" s="5"/>
    </row>
    <row r="457" spans="1:5" ht="16.5" thickTop="1" thickBot="1" x14ac:dyDescent="0.3">
      <c r="A457" s="132">
        <v>223298</v>
      </c>
      <c r="B457" s="138">
        <v>622.5</v>
      </c>
      <c r="C457" s="124" t="s">
        <v>2374</v>
      </c>
      <c r="D457" s="115"/>
      <c r="E457" s="5"/>
    </row>
    <row r="458" spans="1:5" ht="16.5" thickTop="1" thickBot="1" x14ac:dyDescent="0.3">
      <c r="A458" s="132">
        <v>223240</v>
      </c>
      <c r="B458" s="138">
        <v>790</v>
      </c>
      <c r="C458" s="124" t="s">
        <v>2331</v>
      </c>
      <c r="D458" s="115"/>
      <c r="E458" s="5"/>
    </row>
    <row r="459" spans="1:5" ht="16.5" thickTop="1" thickBot="1" x14ac:dyDescent="0.3">
      <c r="A459" s="132">
        <v>223287</v>
      </c>
      <c r="B459" s="138">
        <v>849</v>
      </c>
      <c r="C459" s="124" t="s">
        <v>2283</v>
      </c>
      <c r="D459" s="115"/>
      <c r="E459" s="5"/>
    </row>
    <row r="460" spans="1:5" ht="16.5" thickTop="1" thickBot="1" x14ac:dyDescent="0.3">
      <c r="A460" s="132">
        <v>223289</v>
      </c>
      <c r="B460" s="138">
        <v>897.5</v>
      </c>
      <c r="C460" s="124" t="s">
        <v>2279</v>
      </c>
      <c r="D460" s="115"/>
      <c r="E460" s="5"/>
    </row>
    <row r="461" spans="1:5" ht="16.5" thickTop="1" thickBot="1" x14ac:dyDescent="0.3">
      <c r="A461" s="132">
        <v>225948</v>
      </c>
      <c r="B461" s="138">
        <v>369</v>
      </c>
      <c r="C461" s="124" t="s">
        <v>2315</v>
      </c>
      <c r="D461" s="115"/>
      <c r="E461" s="5"/>
    </row>
    <row r="462" spans="1:5" ht="16.5" thickTop="1" thickBot="1" x14ac:dyDescent="0.3">
      <c r="A462" s="132">
        <v>223233</v>
      </c>
      <c r="B462" s="138">
        <v>790</v>
      </c>
      <c r="C462" s="124" t="s">
        <v>2287</v>
      </c>
      <c r="D462" s="115"/>
      <c r="E462" s="5"/>
    </row>
    <row r="463" spans="1:5" ht="16.5" thickTop="1" thickBot="1" x14ac:dyDescent="0.3">
      <c r="A463" s="132">
        <v>225941</v>
      </c>
      <c r="B463" s="136">
        <v>590</v>
      </c>
      <c r="C463" s="124" t="s">
        <v>2575</v>
      </c>
      <c r="D463" s="115"/>
      <c r="E463" s="5"/>
    </row>
    <row r="464" spans="1:5" ht="16.5" thickTop="1" thickBot="1" x14ac:dyDescent="0.3">
      <c r="A464" s="132">
        <v>202258</v>
      </c>
      <c r="B464" s="136">
        <v>490</v>
      </c>
      <c r="C464" s="124" t="s">
        <v>2574</v>
      </c>
      <c r="D464" s="115"/>
      <c r="E464" s="5"/>
    </row>
    <row r="465" spans="1:5" ht="16.5" thickTop="1" thickBot="1" x14ac:dyDescent="0.3">
      <c r="A465" s="132">
        <v>202249</v>
      </c>
      <c r="B465" s="136">
        <v>490</v>
      </c>
      <c r="C465" s="124" t="s">
        <v>2573</v>
      </c>
      <c r="D465" s="115"/>
      <c r="E465" s="5"/>
    </row>
    <row r="466" spans="1:5" ht="15.75" thickTop="1" x14ac:dyDescent="0.25">
      <c r="A466" s="132">
        <v>223247</v>
      </c>
      <c r="B466" s="139" t="s">
        <v>1821</v>
      </c>
      <c r="D466" s="115"/>
      <c r="E466" s="5"/>
    </row>
    <row r="467" spans="1:5" ht="15.75" thickBot="1" x14ac:dyDescent="0.3">
      <c r="A467" s="132">
        <v>225370</v>
      </c>
      <c r="B467" s="138">
        <v>290</v>
      </c>
      <c r="C467" s="124" t="s">
        <v>2572</v>
      </c>
      <c r="D467" s="115"/>
      <c r="E467" s="5"/>
    </row>
    <row r="468" spans="1:5" ht="16.5" thickTop="1" thickBot="1" x14ac:dyDescent="0.3">
      <c r="A468" s="132">
        <v>186832</v>
      </c>
      <c r="B468" s="140" t="s">
        <v>1821</v>
      </c>
      <c r="C468" s="129"/>
      <c r="D468" s="115"/>
      <c r="E468" s="5"/>
    </row>
    <row r="469" spans="1:5" ht="16.5" thickTop="1" thickBot="1" x14ac:dyDescent="0.3">
      <c r="A469" s="132">
        <v>225967</v>
      </c>
      <c r="B469" s="136">
        <v>429</v>
      </c>
      <c r="C469" s="124" t="s">
        <v>2326</v>
      </c>
      <c r="D469" s="115"/>
      <c r="E469" s="5"/>
    </row>
    <row r="470" spans="1:5" ht="16.5" thickTop="1" thickBot="1" x14ac:dyDescent="0.3">
      <c r="A470" s="132">
        <v>186741</v>
      </c>
      <c r="B470" s="136">
        <v>579</v>
      </c>
      <c r="C470" s="124" t="s">
        <v>2570</v>
      </c>
      <c r="D470" s="115"/>
      <c r="E470" s="5"/>
    </row>
    <row r="471" spans="1:5" ht="16.5" thickTop="1" thickBot="1" x14ac:dyDescent="0.3">
      <c r="A471" s="132">
        <v>186740</v>
      </c>
      <c r="B471" s="136">
        <v>299</v>
      </c>
      <c r="C471" s="124" t="s">
        <v>2571</v>
      </c>
      <c r="D471" s="115"/>
      <c r="E471" s="5"/>
    </row>
    <row r="472" spans="1:5" ht="16.5" thickTop="1" thickBot="1" x14ac:dyDescent="0.3">
      <c r="A472" s="132">
        <v>225057</v>
      </c>
      <c r="B472" s="138">
        <v>449</v>
      </c>
      <c r="C472" s="124" t="s">
        <v>2569</v>
      </c>
      <c r="D472" s="115"/>
      <c r="E472" s="5"/>
    </row>
    <row r="473" spans="1:5" ht="16.5" thickTop="1" thickBot="1" x14ac:dyDescent="0.3">
      <c r="A473" s="132">
        <v>223207</v>
      </c>
      <c r="B473" s="138">
        <v>649</v>
      </c>
      <c r="C473" s="124" t="s">
        <v>2333</v>
      </c>
      <c r="D473" s="115"/>
      <c r="E473" s="5"/>
    </row>
    <row r="474" spans="1:5" ht="16.5" thickTop="1" thickBot="1" x14ac:dyDescent="0.3">
      <c r="A474" s="132">
        <v>160773</v>
      </c>
      <c r="B474" s="136">
        <v>649</v>
      </c>
      <c r="C474" s="124" t="s">
        <v>2568</v>
      </c>
      <c r="D474" s="115"/>
      <c r="E474" s="5"/>
    </row>
    <row r="475" spans="1:5" ht="15.75" thickTop="1" x14ac:dyDescent="0.25">
      <c r="A475" s="132">
        <v>225933</v>
      </c>
      <c r="B475" s="139" t="s">
        <v>1821</v>
      </c>
      <c r="D475" s="115"/>
      <c r="E475" s="5"/>
    </row>
    <row r="476" spans="1:5" ht="15.75" thickBot="1" x14ac:dyDescent="0.3">
      <c r="A476" s="132">
        <v>194597</v>
      </c>
      <c r="B476" s="138">
        <v>649</v>
      </c>
      <c r="C476" s="124" t="s">
        <v>2272</v>
      </c>
      <c r="D476" s="115"/>
      <c r="E476" s="5"/>
    </row>
    <row r="477" spans="1:5" ht="16.5" thickTop="1" thickBot="1" x14ac:dyDescent="0.3">
      <c r="A477" s="132">
        <v>138874</v>
      </c>
      <c r="B477" s="136">
        <v>369</v>
      </c>
      <c r="C477" s="124" t="s">
        <v>2567</v>
      </c>
      <c r="D477" s="115"/>
      <c r="E477" s="5"/>
    </row>
    <row r="478" spans="1:5" ht="16.5" thickTop="1" thickBot="1" x14ac:dyDescent="0.3">
      <c r="A478" s="132">
        <v>138875</v>
      </c>
      <c r="B478" s="136">
        <v>369</v>
      </c>
      <c r="C478" s="124" t="s">
        <v>2567</v>
      </c>
      <c r="D478" s="115"/>
      <c r="E478" s="5"/>
    </row>
    <row r="479" spans="1:5" ht="16.5" thickTop="1" thickBot="1" x14ac:dyDescent="0.3">
      <c r="A479" s="132">
        <v>158275</v>
      </c>
      <c r="B479" s="136">
        <v>629</v>
      </c>
      <c r="C479" s="124" t="s">
        <v>2566</v>
      </c>
      <c r="D479" s="115"/>
      <c r="E479" s="5"/>
    </row>
    <row r="480" spans="1:5" ht="16.5" thickTop="1" thickBot="1" x14ac:dyDescent="0.3">
      <c r="A480" s="132">
        <v>186552</v>
      </c>
      <c r="B480" s="136">
        <v>190</v>
      </c>
      <c r="C480" s="124" t="s">
        <v>2565</v>
      </c>
      <c r="D480" s="115"/>
      <c r="E480" s="5"/>
    </row>
    <row r="481" spans="1:5" ht="15.75" thickTop="1" x14ac:dyDescent="0.25">
      <c r="A481" s="132">
        <v>159547</v>
      </c>
      <c r="B481" s="139" t="s">
        <v>1821</v>
      </c>
      <c r="D481" s="115"/>
      <c r="E481" s="5"/>
    </row>
    <row r="482" spans="1:5" x14ac:dyDescent="0.25">
      <c r="A482" s="132">
        <v>181599</v>
      </c>
      <c r="B482" s="139">
        <v>590</v>
      </c>
      <c r="C482" s="124" t="s">
        <v>2841</v>
      </c>
      <c r="D482" s="115"/>
      <c r="E482" s="5"/>
    </row>
    <row r="483" spans="1:5" x14ac:dyDescent="0.25">
      <c r="A483" s="132">
        <v>223232</v>
      </c>
      <c r="B483" s="139" t="s">
        <v>1821</v>
      </c>
      <c r="D483" s="115"/>
      <c r="E483" s="5"/>
    </row>
    <row r="484" spans="1:5" ht="15.75" thickBot="1" x14ac:dyDescent="0.3">
      <c r="A484" s="132">
        <v>186578</v>
      </c>
      <c r="B484" s="140" t="s">
        <v>1821</v>
      </c>
      <c r="C484" s="129"/>
      <c r="D484" s="115"/>
      <c r="E484" s="5"/>
    </row>
    <row r="485" spans="1:5" ht="16.5" thickTop="1" thickBot="1" x14ac:dyDescent="0.3">
      <c r="A485" s="132">
        <v>186572</v>
      </c>
      <c r="B485" s="140" t="s">
        <v>1821</v>
      </c>
      <c r="C485" s="129"/>
      <c r="D485" s="115"/>
      <c r="E485" s="5"/>
    </row>
    <row r="486" spans="1:5" ht="16.5" thickTop="1" thickBot="1" x14ac:dyDescent="0.3">
      <c r="A486" s="132">
        <v>138720</v>
      </c>
      <c r="B486" s="138">
        <v>790</v>
      </c>
      <c r="C486" s="124" t="s">
        <v>2563</v>
      </c>
      <c r="D486" s="115"/>
      <c r="E486" s="5"/>
    </row>
    <row r="487" spans="1:5" ht="16.5" thickTop="1" thickBot="1" x14ac:dyDescent="0.3">
      <c r="A487" s="132">
        <v>138721</v>
      </c>
      <c r="B487" s="136">
        <v>490</v>
      </c>
      <c r="C487" s="124" t="s">
        <v>2564</v>
      </c>
      <c r="D487" s="115"/>
      <c r="E487" s="5"/>
    </row>
    <row r="488" spans="1:5" ht="15.75" thickTop="1" x14ac:dyDescent="0.25">
      <c r="A488" s="132">
        <v>138808</v>
      </c>
      <c r="B488" s="139" t="s">
        <v>1821</v>
      </c>
      <c r="D488" s="115"/>
      <c r="E488" s="5"/>
    </row>
    <row r="489" spans="1:5" ht="15.75" thickBot="1" x14ac:dyDescent="0.3">
      <c r="A489" s="132">
        <v>223236</v>
      </c>
      <c r="B489" s="138">
        <v>1190</v>
      </c>
      <c r="C489" s="124" t="s">
        <v>2330</v>
      </c>
      <c r="D489" s="115"/>
      <c r="E489" s="5"/>
    </row>
    <row r="490" spans="1:5" ht="16.5" thickTop="1" thickBot="1" x14ac:dyDescent="0.3">
      <c r="A490" s="132">
        <v>223283</v>
      </c>
      <c r="B490" s="138">
        <v>849</v>
      </c>
      <c r="C490" s="124" t="s">
        <v>2274</v>
      </c>
      <c r="D490" s="115"/>
      <c r="E490" s="5"/>
    </row>
    <row r="491" spans="1:5" ht="16.5" thickTop="1" thickBot="1" x14ac:dyDescent="0.3">
      <c r="A491" s="132">
        <v>223218</v>
      </c>
      <c r="B491" s="138">
        <v>790</v>
      </c>
      <c r="C491" s="124" t="s">
        <v>2291</v>
      </c>
      <c r="D491" s="115"/>
      <c r="E491" s="5"/>
    </row>
    <row r="492" spans="1:5" ht="15.75" thickTop="1" x14ac:dyDescent="0.25">
      <c r="A492" s="132">
        <v>181576</v>
      </c>
      <c r="B492" s="139" t="s">
        <v>2494</v>
      </c>
      <c r="D492" s="115"/>
      <c r="E492" s="5"/>
    </row>
    <row r="493" spans="1:5" ht="15.75" thickBot="1" x14ac:dyDescent="0.3">
      <c r="A493" s="132">
        <v>160772</v>
      </c>
      <c r="B493" s="136">
        <v>669</v>
      </c>
      <c r="C493" s="124" t="s">
        <v>2562</v>
      </c>
      <c r="D493" s="115"/>
      <c r="E493" s="5"/>
    </row>
    <row r="494" spans="1:5" ht="16.5" thickTop="1" thickBot="1" x14ac:dyDescent="0.3">
      <c r="A494" s="132">
        <v>181661</v>
      </c>
      <c r="B494" s="136">
        <v>659</v>
      </c>
      <c r="C494" s="124" t="s">
        <v>2561</v>
      </c>
      <c r="D494" s="115"/>
      <c r="E494" s="5"/>
    </row>
    <row r="495" spans="1:5" ht="16.5" thickTop="1" thickBot="1" x14ac:dyDescent="0.3">
      <c r="A495" s="132">
        <v>186675</v>
      </c>
      <c r="B495" s="140" t="s">
        <v>1821</v>
      </c>
      <c r="C495" s="129"/>
      <c r="D495" s="115"/>
      <c r="E495" s="5"/>
    </row>
    <row r="496" spans="1:5" ht="15.75" thickTop="1" x14ac:dyDescent="0.25">
      <c r="A496" s="132">
        <v>213161</v>
      </c>
      <c r="B496" s="139" t="s">
        <v>1821</v>
      </c>
      <c r="D496" s="115"/>
      <c r="E496" s="5"/>
    </row>
    <row r="497" spans="1:5" ht="15.75" thickBot="1" x14ac:dyDescent="0.3">
      <c r="A497" s="132">
        <v>223288</v>
      </c>
      <c r="B497" s="138">
        <v>897.5</v>
      </c>
      <c r="C497" s="124" t="s">
        <v>2560</v>
      </c>
      <c r="D497" s="115"/>
      <c r="E497" s="5"/>
    </row>
    <row r="498" spans="1:5" ht="16.5" thickTop="1" thickBot="1" x14ac:dyDescent="0.3">
      <c r="A498" s="132">
        <v>223290</v>
      </c>
      <c r="B498" s="138">
        <v>745</v>
      </c>
      <c r="C498" s="124" t="s">
        <v>2559</v>
      </c>
      <c r="D498" s="115"/>
      <c r="E498" s="5"/>
    </row>
    <row r="499" spans="1:5" ht="16.5" thickTop="1" thickBot="1" x14ac:dyDescent="0.3">
      <c r="A499" s="132">
        <v>160714</v>
      </c>
      <c r="B499" s="136">
        <v>649</v>
      </c>
      <c r="C499" s="124" t="s">
        <v>2558</v>
      </c>
      <c r="D499" s="115"/>
      <c r="E499" s="5"/>
    </row>
    <row r="500" spans="1:5" ht="16.5" thickTop="1" thickBot="1" x14ac:dyDescent="0.3">
      <c r="A500" s="132">
        <v>194599</v>
      </c>
      <c r="B500" s="138">
        <v>590</v>
      </c>
      <c r="C500" s="124" t="s">
        <v>2497</v>
      </c>
      <c r="D500" s="115"/>
      <c r="E500" s="5"/>
    </row>
    <row r="501" spans="1:5" ht="15.75" thickTop="1" x14ac:dyDescent="0.25">
      <c r="A501" s="132">
        <v>181602</v>
      </c>
      <c r="B501" s="139"/>
      <c r="D501" s="115"/>
      <c r="E501" s="5"/>
    </row>
    <row r="502" spans="1:5" x14ac:dyDescent="0.25">
      <c r="A502" s="132">
        <v>181600</v>
      </c>
      <c r="B502" s="139"/>
      <c r="D502" s="115"/>
      <c r="E502" s="5"/>
    </row>
    <row r="503" spans="1:5" ht="15.75" thickBot="1" x14ac:dyDescent="0.3">
      <c r="A503" s="132">
        <v>223162</v>
      </c>
      <c r="B503" s="138">
        <v>890</v>
      </c>
      <c r="C503" s="124" t="s">
        <v>2316</v>
      </c>
      <c r="D503" s="115"/>
      <c r="E503" s="5"/>
    </row>
    <row r="504" spans="1:5" ht="16.5" thickTop="1" thickBot="1" x14ac:dyDescent="0.3">
      <c r="A504" s="132">
        <v>223151</v>
      </c>
      <c r="B504" s="138">
        <v>890</v>
      </c>
      <c r="C504" s="124" t="s">
        <v>2316</v>
      </c>
      <c r="D504" s="115"/>
      <c r="E504" s="5"/>
    </row>
    <row r="505" spans="1:5" ht="16.5" thickTop="1" thickBot="1" x14ac:dyDescent="0.3">
      <c r="A505" s="132">
        <v>223286</v>
      </c>
      <c r="B505" s="138">
        <v>990</v>
      </c>
      <c r="C505" s="124" t="s">
        <v>2329</v>
      </c>
      <c r="D505" s="115"/>
      <c r="E505" s="5"/>
    </row>
    <row r="506" spans="1:5" ht="16.5" thickTop="1" thickBot="1" x14ac:dyDescent="0.3">
      <c r="A506" s="132">
        <v>186834</v>
      </c>
      <c r="B506" s="136">
        <v>890</v>
      </c>
      <c r="C506" s="124" t="s">
        <v>2557</v>
      </c>
      <c r="D506" s="115"/>
      <c r="E506" s="5"/>
    </row>
    <row r="507" spans="1:5" ht="16.5" thickTop="1" thickBot="1" x14ac:dyDescent="0.3">
      <c r="A507" s="132">
        <v>158848</v>
      </c>
      <c r="B507" s="138">
        <v>1480</v>
      </c>
      <c r="C507" s="124" t="s">
        <v>2556</v>
      </c>
      <c r="D507" s="115"/>
      <c r="E507" s="5"/>
    </row>
    <row r="508" spans="1:5" ht="16.5" thickTop="1" thickBot="1" x14ac:dyDescent="0.3">
      <c r="A508" s="132">
        <v>223148</v>
      </c>
      <c r="B508" s="136">
        <v>1090</v>
      </c>
      <c r="C508" s="124" t="s">
        <v>2555</v>
      </c>
      <c r="D508" s="115"/>
      <c r="E508" s="5"/>
    </row>
    <row r="509" spans="1:5" ht="16.5" thickTop="1" thickBot="1" x14ac:dyDescent="0.3">
      <c r="A509" s="132">
        <v>186593</v>
      </c>
      <c r="B509" s="136">
        <v>379</v>
      </c>
      <c r="C509" s="124" t="s">
        <v>2554</v>
      </c>
      <c r="D509" s="115"/>
      <c r="E509" s="5"/>
    </row>
    <row r="510" spans="1:5" ht="16.5" thickTop="1" thickBot="1" x14ac:dyDescent="0.3">
      <c r="A510" s="132">
        <v>158278</v>
      </c>
      <c r="B510" s="136">
        <v>1690</v>
      </c>
      <c r="C510" s="124" t="s">
        <v>2629</v>
      </c>
      <c r="D510" s="115"/>
      <c r="E510" s="5"/>
    </row>
    <row r="511" spans="1:5" ht="16.5" thickTop="1" thickBot="1" x14ac:dyDescent="0.3">
      <c r="A511" s="132">
        <v>223156</v>
      </c>
      <c r="B511" s="138">
        <v>1090</v>
      </c>
      <c r="C511" s="124" t="s">
        <v>2286</v>
      </c>
      <c r="D511" s="115"/>
      <c r="E511" s="5"/>
    </row>
    <row r="512" spans="1:5" ht="16.5" thickTop="1" thickBot="1" x14ac:dyDescent="0.3">
      <c r="A512" s="132">
        <v>223157</v>
      </c>
      <c r="B512" s="138">
        <v>1090</v>
      </c>
      <c r="C512" s="124" t="s">
        <v>2286</v>
      </c>
      <c r="D512" s="115"/>
      <c r="E512" s="5"/>
    </row>
    <row r="513" spans="1:5" ht="16.5" thickTop="1" thickBot="1" x14ac:dyDescent="0.3">
      <c r="A513" s="132">
        <v>204346</v>
      </c>
      <c r="B513" s="138">
        <v>614</v>
      </c>
      <c r="C513" s="124" t="s">
        <v>2553</v>
      </c>
      <c r="D513" s="115"/>
      <c r="E513" s="5"/>
    </row>
    <row r="514" spans="1:5" ht="16.5" thickTop="1" thickBot="1" x14ac:dyDescent="0.3">
      <c r="A514" s="132">
        <v>164793</v>
      </c>
      <c r="B514" s="138">
        <v>929</v>
      </c>
      <c r="C514" s="124" t="s">
        <v>2512</v>
      </c>
      <c r="D514" s="115"/>
      <c r="E514" s="5"/>
    </row>
    <row r="515" spans="1:5" ht="16.5" thickTop="1" thickBot="1" x14ac:dyDescent="0.3">
      <c r="A515" s="132">
        <v>204285</v>
      </c>
      <c r="B515" s="140" t="s">
        <v>1821</v>
      </c>
      <c r="C515" s="129"/>
      <c r="D515" s="115"/>
      <c r="E515" s="5"/>
    </row>
    <row r="516" spans="1:5" ht="16.5" thickTop="1" thickBot="1" x14ac:dyDescent="0.3">
      <c r="A516" s="132">
        <v>139155</v>
      </c>
      <c r="B516" s="138">
        <v>990</v>
      </c>
      <c r="C516" s="124" t="s">
        <v>2313</v>
      </c>
      <c r="D516" s="115"/>
      <c r="E516" s="5"/>
    </row>
    <row r="517" spans="1:5" ht="16.5" thickTop="1" thickBot="1" x14ac:dyDescent="0.3">
      <c r="A517" s="132">
        <v>181549</v>
      </c>
      <c r="B517" s="136">
        <v>1390</v>
      </c>
      <c r="C517" s="124" t="s">
        <v>2503</v>
      </c>
      <c r="D517" s="115"/>
      <c r="E517" s="5"/>
    </row>
    <row r="518" spans="1:5" ht="30.75" thickTop="1" x14ac:dyDescent="0.25">
      <c r="A518" s="132">
        <v>158864</v>
      </c>
      <c r="B518" s="139" t="s">
        <v>2840</v>
      </c>
      <c r="C518" s="124" t="s">
        <v>2839</v>
      </c>
      <c r="D518" s="115"/>
      <c r="E518" s="5"/>
    </row>
    <row r="519" spans="1:5" x14ac:dyDescent="0.25">
      <c r="A519" s="132">
        <v>186534</v>
      </c>
      <c r="B519" s="139" t="s">
        <v>1821</v>
      </c>
      <c r="D519" s="115"/>
      <c r="E519" s="5"/>
    </row>
    <row r="520" spans="1:5" x14ac:dyDescent="0.25">
      <c r="A520" s="132">
        <v>186510</v>
      </c>
      <c r="B520" s="139" t="s">
        <v>1821</v>
      </c>
      <c r="D520" s="115"/>
      <c r="E520" s="5"/>
    </row>
    <row r="521" spans="1:5" ht="15.75" thickBot="1" x14ac:dyDescent="0.3">
      <c r="A521" s="132">
        <v>223160</v>
      </c>
      <c r="B521" s="138">
        <v>990</v>
      </c>
      <c r="C521" s="124" t="s">
        <v>2510</v>
      </c>
      <c r="D521" s="115"/>
      <c r="E521" s="5"/>
    </row>
    <row r="522" spans="1:5" ht="16.5" thickTop="1" thickBot="1" x14ac:dyDescent="0.3">
      <c r="A522" s="132">
        <v>181332</v>
      </c>
      <c r="B522" s="138">
        <v>1190</v>
      </c>
      <c r="C522" s="124" t="s">
        <v>2511</v>
      </c>
      <c r="D522" s="115"/>
      <c r="E522" s="5"/>
    </row>
    <row r="523" spans="1:5" ht="15.75" thickTop="1" x14ac:dyDescent="0.25">
      <c r="A523" s="132">
        <v>160771</v>
      </c>
      <c r="B523" s="139" t="s">
        <v>1821</v>
      </c>
      <c r="D523" s="115"/>
      <c r="E523" s="5"/>
    </row>
    <row r="524" spans="1:5" ht="15.75" thickBot="1" x14ac:dyDescent="0.3">
      <c r="A524" s="132">
        <v>181700</v>
      </c>
      <c r="B524" s="136">
        <v>690</v>
      </c>
      <c r="C524" s="124" t="s">
        <v>2552</v>
      </c>
      <c r="D524" s="115"/>
      <c r="E524" s="5"/>
    </row>
    <row r="525" spans="1:5" ht="16.5" thickTop="1" thickBot="1" x14ac:dyDescent="0.3">
      <c r="A525" s="132">
        <v>223150</v>
      </c>
      <c r="B525" s="138">
        <v>1390</v>
      </c>
      <c r="C525" s="124" t="s">
        <v>2317</v>
      </c>
      <c r="D525" s="115"/>
      <c r="E525" s="5"/>
    </row>
    <row r="526" spans="1:5" ht="15.75" thickTop="1" x14ac:dyDescent="0.25">
      <c r="A526" s="132">
        <v>223159</v>
      </c>
      <c r="B526" s="139" t="s">
        <v>1821</v>
      </c>
      <c r="D526" s="115"/>
      <c r="E526" s="5"/>
    </row>
    <row r="527" spans="1:5" x14ac:dyDescent="0.25">
      <c r="A527" s="132">
        <v>223146</v>
      </c>
      <c r="B527" s="139" t="s">
        <v>1821</v>
      </c>
      <c r="D527" s="115"/>
      <c r="E527" s="5"/>
    </row>
    <row r="528" spans="1:5" ht="15.75" thickBot="1" x14ac:dyDescent="0.3">
      <c r="A528" s="132">
        <v>181603</v>
      </c>
      <c r="B528" s="136">
        <v>890</v>
      </c>
      <c r="C528" s="124" t="s">
        <v>2278</v>
      </c>
      <c r="D528" s="115"/>
      <c r="E528" s="5"/>
    </row>
    <row r="529" spans="1:5" ht="16.5" thickTop="1" thickBot="1" x14ac:dyDescent="0.3">
      <c r="A529" s="132">
        <v>181601</v>
      </c>
      <c r="B529" s="138">
        <v>890</v>
      </c>
      <c r="C529" s="124" t="s">
        <v>2278</v>
      </c>
      <c r="D529" s="115"/>
      <c r="E529" s="5"/>
    </row>
    <row r="530" spans="1:5" ht="15.75" thickTop="1" x14ac:dyDescent="0.25">
      <c r="A530" s="132">
        <v>204295</v>
      </c>
      <c r="B530" s="139" t="s">
        <v>1821</v>
      </c>
      <c r="D530" s="115">
        <v>925</v>
      </c>
      <c r="E530" s="5" t="s">
        <v>2838</v>
      </c>
    </row>
    <row r="531" spans="1:5" ht="15.75" thickBot="1" x14ac:dyDescent="0.3">
      <c r="A531" s="132">
        <v>204278</v>
      </c>
      <c r="B531" s="140" t="s">
        <v>1821</v>
      </c>
      <c r="C531" s="129"/>
      <c r="D531" s="115"/>
      <c r="E531" s="5"/>
    </row>
    <row r="532" spans="1:5" ht="16.5" thickTop="1" thickBot="1" x14ac:dyDescent="0.3">
      <c r="A532" s="132">
        <v>204313</v>
      </c>
      <c r="B532" s="140" t="s">
        <v>1821</v>
      </c>
      <c r="C532" s="129"/>
      <c r="D532" s="115"/>
      <c r="E532" s="5"/>
    </row>
    <row r="533" spans="1:5" ht="16.5" thickTop="1" thickBot="1" x14ac:dyDescent="0.3">
      <c r="A533" s="132">
        <v>223180</v>
      </c>
      <c r="B533" s="138">
        <v>1290</v>
      </c>
      <c r="C533" s="124" t="s">
        <v>2285</v>
      </c>
      <c r="D533" s="115"/>
      <c r="E533" s="5"/>
    </row>
    <row r="534" spans="1:5" ht="16.5" thickTop="1" thickBot="1" x14ac:dyDescent="0.3">
      <c r="A534" s="132">
        <v>186833</v>
      </c>
      <c r="B534" s="140" t="s">
        <v>1821</v>
      </c>
      <c r="C534" s="129"/>
      <c r="D534" s="115"/>
      <c r="E534" s="5"/>
    </row>
    <row r="535" spans="1:5" ht="16.5" thickTop="1" thickBot="1" x14ac:dyDescent="0.3">
      <c r="A535" s="132">
        <v>186594</v>
      </c>
      <c r="B535" s="136">
        <v>729</v>
      </c>
      <c r="C535" s="124" t="s">
        <v>2551</v>
      </c>
      <c r="D535" s="115"/>
      <c r="E535" s="5"/>
    </row>
    <row r="536" spans="1:5" ht="16.5" thickTop="1" thickBot="1" x14ac:dyDescent="0.3">
      <c r="A536" s="132">
        <v>223211</v>
      </c>
      <c r="B536" s="138">
        <v>1190</v>
      </c>
      <c r="C536" s="124" t="s">
        <v>2312</v>
      </c>
      <c r="D536" s="115"/>
      <c r="E536" s="5"/>
    </row>
    <row r="537" spans="1:5" ht="16.5" thickTop="1" thickBot="1" x14ac:dyDescent="0.3">
      <c r="A537" s="132">
        <v>223163</v>
      </c>
      <c r="B537" s="138">
        <v>969</v>
      </c>
      <c r="C537" s="124" t="s">
        <v>2273</v>
      </c>
      <c r="D537" s="115"/>
      <c r="E537" s="5"/>
    </row>
    <row r="538" spans="1:5" ht="16.5" thickTop="1" thickBot="1" x14ac:dyDescent="0.3">
      <c r="A538" s="132">
        <v>223152</v>
      </c>
      <c r="B538" s="138">
        <v>969</v>
      </c>
      <c r="C538" s="124" t="s">
        <v>2273</v>
      </c>
      <c r="D538" s="115"/>
      <c r="E538" s="5"/>
    </row>
    <row r="539" spans="1:5" ht="16.5" thickTop="1" thickBot="1" x14ac:dyDescent="0.3">
      <c r="A539" s="132">
        <v>204188</v>
      </c>
      <c r="B539" s="140" t="s">
        <v>1821</v>
      </c>
      <c r="C539" s="129"/>
      <c r="D539" s="115"/>
      <c r="E539" s="5"/>
    </row>
    <row r="540" spans="1:5" ht="16.5" thickTop="1" thickBot="1" x14ac:dyDescent="0.3">
      <c r="A540" s="132">
        <v>158364</v>
      </c>
      <c r="B540" s="136">
        <v>929</v>
      </c>
      <c r="C540" s="124" t="s">
        <v>2549</v>
      </c>
      <c r="D540" s="115"/>
      <c r="E540" s="5"/>
    </row>
    <row r="541" spans="1:5" ht="16.5" thickTop="1" thickBot="1" x14ac:dyDescent="0.3">
      <c r="A541" s="132">
        <v>158365</v>
      </c>
      <c r="B541" s="136">
        <v>949</v>
      </c>
      <c r="C541" s="124" t="s">
        <v>2547</v>
      </c>
      <c r="D541" s="115"/>
      <c r="E541" s="5"/>
    </row>
    <row r="542" spans="1:5" ht="16.5" thickTop="1" thickBot="1" x14ac:dyDescent="0.3">
      <c r="A542" s="132">
        <v>158362</v>
      </c>
      <c r="B542" s="136">
        <v>949</v>
      </c>
      <c r="C542" s="124" t="s">
        <v>2550</v>
      </c>
      <c r="D542" s="115"/>
      <c r="E542" s="5"/>
    </row>
    <row r="543" spans="1:5" ht="16.5" thickTop="1" thickBot="1" x14ac:dyDescent="0.3">
      <c r="A543" s="132">
        <v>158748</v>
      </c>
      <c r="B543" s="136">
        <v>890</v>
      </c>
      <c r="C543" s="124" t="s">
        <v>2548</v>
      </c>
      <c r="D543" s="115"/>
      <c r="E543" s="5"/>
    </row>
    <row r="544" spans="1:5" ht="16.5" thickTop="1" thickBot="1" x14ac:dyDescent="0.3">
      <c r="A544" s="132">
        <v>136586</v>
      </c>
      <c r="B544" s="136">
        <v>990</v>
      </c>
      <c r="C544" s="124" t="s">
        <v>2546</v>
      </c>
      <c r="D544" s="115"/>
      <c r="E544" s="5"/>
    </row>
    <row r="545" spans="1:5" ht="16.5" thickTop="1" thickBot="1" x14ac:dyDescent="0.3">
      <c r="A545" s="132">
        <v>160750</v>
      </c>
      <c r="B545" s="138">
        <v>590</v>
      </c>
      <c r="C545" s="124" t="s">
        <v>2276</v>
      </c>
      <c r="D545" s="115"/>
      <c r="E545" s="5"/>
    </row>
    <row r="546" spans="1:5" ht="15.75" thickTop="1" x14ac:dyDescent="0.25">
      <c r="A546" s="132">
        <v>226115</v>
      </c>
      <c r="B546" s="139" t="s">
        <v>1821</v>
      </c>
      <c r="D546" s="115"/>
      <c r="E546" s="5"/>
    </row>
    <row r="547" spans="1:5" ht="15.75" thickBot="1" x14ac:dyDescent="0.3">
      <c r="A547" s="132">
        <v>160641</v>
      </c>
      <c r="B547" s="136">
        <v>990</v>
      </c>
      <c r="C547" s="124" t="s">
        <v>2545</v>
      </c>
      <c r="D547" s="115"/>
      <c r="E547" s="5"/>
    </row>
    <row r="548" spans="1:5" ht="16.5" thickTop="1" thickBot="1" x14ac:dyDescent="0.3">
      <c r="A548" s="132">
        <v>204309</v>
      </c>
      <c r="B548" s="138">
        <v>969</v>
      </c>
      <c r="C548" s="124" t="s">
        <v>2277</v>
      </c>
      <c r="D548" s="115"/>
      <c r="E548" s="5"/>
    </row>
    <row r="549" spans="1:5" ht="16.5" thickTop="1" thickBot="1" x14ac:dyDescent="0.3">
      <c r="A549" s="132">
        <v>158299</v>
      </c>
      <c r="B549" s="138">
        <v>1390</v>
      </c>
      <c r="C549" s="124" t="s">
        <v>2284</v>
      </c>
      <c r="D549" s="115"/>
      <c r="E549" s="5"/>
    </row>
    <row r="550" spans="1:5" ht="16.5" thickTop="1" thickBot="1" x14ac:dyDescent="0.3">
      <c r="A550" s="132">
        <v>223210</v>
      </c>
      <c r="B550" s="138">
        <v>1190</v>
      </c>
      <c r="C550" s="124" t="s">
        <v>2312</v>
      </c>
      <c r="D550" s="115"/>
      <c r="E550" s="5"/>
    </row>
    <row r="551" spans="1:5" ht="16.5" thickTop="1" thickBot="1" x14ac:dyDescent="0.3">
      <c r="A551" s="132">
        <v>186836</v>
      </c>
      <c r="B551" s="136">
        <v>969</v>
      </c>
      <c r="C551" s="124" t="s">
        <v>2544</v>
      </c>
      <c r="D551" s="115"/>
      <c r="E551" s="5"/>
    </row>
    <row r="552" spans="1:5" ht="16.5" thickTop="1" thickBot="1" x14ac:dyDescent="0.3">
      <c r="A552" s="132">
        <v>186835</v>
      </c>
      <c r="B552" s="136">
        <v>179</v>
      </c>
      <c r="C552" s="124" t="s">
        <v>2543</v>
      </c>
      <c r="D552" s="115"/>
      <c r="E552" s="5"/>
    </row>
    <row r="553" spans="1:5" ht="16.5" thickTop="1" thickBot="1" x14ac:dyDescent="0.3">
      <c r="A553" s="132">
        <v>223161</v>
      </c>
      <c r="B553" s="136">
        <v>890</v>
      </c>
      <c r="C553" s="124" t="s">
        <v>2542</v>
      </c>
      <c r="D553" s="115"/>
      <c r="E553" s="5"/>
    </row>
    <row r="554" spans="1:5" ht="16.5" thickTop="1" thickBot="1" x14ac:dyDescent="0.3">
      <c r="A554" s="132">
        <v>158271</v>
      </c>
      <c r="B554" s="136">
        <v>1190</v>
      </c>
      <c r="C554" s="124" t="s">
        <v>2507</v>
      </c>
      <c r="D554" s="115"/>
      <c r="E554" s="5"/>
    </row>
    <row r="555" spans="1:5" ht="16.5" thickTop="1" thickBot="1" x14ac:dyDescent="0.3">
      <c r="A555" s="132">
        <v>223181</v>
      </c>
      <c r="B555" s="136">
        <v>1245</v>
      </c>
      <c r="C555" s="124" t="s">
        <v>2374</v>
      </c>
      <c r="D555" s="115"/>
      <c r="E555" s="5"/>
    </row>
    <row r="556" spans="1:5" ht="16.5" thickTop="1" thickBot="1" x14ac:dyDescent="0.3">
      <c r="A556" s="132">
        <v>223177</v>
      </c>
      <c r="B556" s="138">
        <v>849</v>
      </c>
      <c r="C556" s="124" t="s">
        <v>2283</v>
      </c>
      <c r="D556" s="115"/>
      <c r="E556" s="5"/>
    </row>
    <row r="557" spans="1:5" ht="16.5" thickTop="1" thickBot="1" x14ac:dyDescent="0.3">
      <c r="A557" s="132">
        <v>204306</v>
      </c>
      <c r="B557" s="138">
        <v>969</v>
      </c>
      <c r="C557" s="124" t="s">
        <v>2509</v>
      </c>
      <c r="D557" s="115"/>
      <c r="E557" s="5"/>
    </row>
    <row r="558" spans="1:5" ht="16.5" thickTop="1" thickBot="1" x14ac:dyDescent="0.3">
      <c r="A558" s="132">
        <v>158286</v>
      </c>
      <c r="B558" s="138">
        <v>1390</v>
      </c>
      <c r="C558" s="124" t="s">
        <v>2508</v>
      </c>
      <c r="D558" s="115"/>
      <c r="E558" s="5"/>
    </row>
    <row r="559" spans="1:5" ht="16.5" thickTop="1" thickBot="1" x14ac:dyDescent="0.3">
      <c r="A559" s="132">
        <v>194598</v>
      </c>
      <c r="B559" s="136">
        <v>829</v>
      </c>
      <c r="C559" s="124" t="s">
        <v>2541</v>
      </c>
      <c r="D559" s="115"/>
      <c r="E559" s="5"/>
    </row>
    <row r="560" spans="1:5" ht="16.5" thickTop="1" thickBot="1" x14ac:dyDescent="0.3">
      <c r="A560" s="132">
        <v>158283</v>
      </c>
      <c r="B560" s="138">
        <v>1190</v>
      </c>
      <c r="C560" s="124" t="s">
        <v>2507</v>
      </c>
      <c r="D560" s="115"/>
      <c r="E560" s="5"/>
    </row>
    <row r="561" spans="1:5" ht="16.5" thickTop="1" thickBot="1" x14ac:dyDescent="0.3">
      <c r="A561" s="132">
        <v>186595</v>
      </c>
      <c r="B561" s="136">
        <v>590</v>
      </c>
      <c r="C561" s="124" t="s">
        <v>2540</v>
      </c>
      <c r="D561" s="115"/>
      <c r="E561" s="5"/>
    </row>
    <row r="562" spans="1:5" ht="15.75" thickTop="1" x14ac:dyDescent="0.25">
      <c r="A562" s="132">
        <v>186395</v>
      </c>
      <c r="B562" s="139" t="s">
        <v>1821</v>
      </c>
      <c r="D562" s="115"/>
      <c r="E562" s="5"/>
    </row>
    <row r="563" spans="1:5" ht="15.75" thickBot="1" x14ac:dyDescent="0.3">
      <c r="A563" s="132">
        <v>223176</v>
      </c>
      <c r="B563" s="138">
        <v>1290</v>
      </c>
      <c r="C563" s="124" t="s">
        <v>2321</v>
      </c>
      <c r="D563" s="115"/>
      <c r="E563" s="5"/>
    </row>
    <row r="564" spans="1:5" ht="16.5" thickTop="1" thickBot="1" x14ac:dyDescent="0.3">
      <c r="A564" s="132">
        <v>223284</v>
      </c>
      <c r="B564" s="138">
        <v>1290</v>
      </c>
      <c r="C564" s="124" t="s">
        <v>2321</v>
      </c>
      <c r="D564" s="115"/>
      <c r="E564" s="5"/>
    </row>
    <row r="565" spans="1:5" ht="16.5" thickTop="1" thickBot="1" x14ac:dyDescent="0.3">
      <c r="A565" s="132">
        <v>204310</v>
      </c>
      <c r="B565" s="136">
        <v>1190</v>
      </c>
      <c r="C565" s="124" t="s">
        <v>2539</v>
      </c>
      <c r="D565" s="115"/>
      <c r="E565" s="5"/>
    </row>
    <row r="566" spans="1:5" ht="15.75" thickTop="1" x14ac:dyDescent="0.25">
      <c r="A566" s="132">
        <v>204281</v>
      </c>
      <c r="B566" s="139" t="s">
        <v>1821</v>
      </c>
      <c r="D566" s="115"/>
      <c r="E566" s="5"/>
    </row>
    <row r="567" spans="1:5" ht="30" x14ac:dyDescent="0.25">
      <c r="A567" s="132">
        <v>186397</v>
      </c>
      <c r="B567" s="139" t="s">
        <v>2837</v>
      </c>
      <c r="C567" s="124" t="s">
        <v>2836</v>
      </c>
      <c r="D567" s="115"/>
      <c r="E567" s="5"/>
    </row>
    <row r="568" spans="1:5" ht="15.75" thickBot="1" x14ac:dyDescent="0.3">
      <c r="A568" s="132">
        <v>186396</v>
      </c>
      <c r="B568" s="136">
        <v>1490</v>
      </c>
      <c r="C568" s="124" t="s">
        <v>2538</v>
      </c>
      <c r="D568" s="115"/>
      <c r="E568" s="5"/>
    </row>
    <row r="569" spans="1:5" ht="16.5" thickTop="1" thickBot="1" x14ac:dyDescent="0.3">
      <c r="A569" s="132">
        <v>158292</v>
      </c>
      <c r="B569" s="136">
        <v>1690</v>
      </c>
      <c r="C569" s="124" t="s">
        <v>2628</v>
      </c>
      <c r="D569" s="115"/>
      <c r="E569" s="5"/>
    </row>
    <row r="570" spans="1:5" ht="16.5" thickTop="1" thickBot="1" x14ac:dyDescent="0.3">
      <c r="A570" s="132">
        <v>158272</v>
      </c>
      <c r="B570" s="136">
        <v>1390</v>
      </c>
      <c r="C570" s="124" t="s">
        <v>2508</v>
      </c>
      <c r="D570" s="115"/>
      <c r="E570" s="5"/>
    </row>
    <row r="571" spans="1:5" ht="16.5" thickTop="1" thickBot="1" x14ac:dyDescent="0.3">
      <c r="A571" s="132">
        <v>136585</v>
      </c>
      <c r="B571" s="138">
        <v>1290</v>
      </c>
      <c r="C571" s="124" t="s">
        <v>2506</v>
      </c>
      <c r="D571" s="115"/>
      <c r="E571" s="5"/>
    </row>
    <row r="572" spans="1:5" ht="16.5" thickTop="1" thickBot="1" x14ac:dyDescent="0.3">
      <c r="A572" s="132">
        <v>181653</v>
      </c>
      <c r="B572" s="138">
        <v>990</v>
      </c>
      <c r="C572" s="124" t="s">
        <v>2381</v>
      </c>
      <c r="D572" s="115"/>
      <c r="E572" s="5"/>
    </row>
    <row r="573" spans="1:5" ht="15.75" thickTop="1" x14ac:dyDescent="0.25">
      <c r="A573" s="132">
        <v>226116</v>
      </c>
      <c r="B573" s="139" t="s">
        <v>1821</v>
      </c>
      <c r="D573" s="115"/>
      <c r="E573" s="5"/>
    </row>
    <row r="574" spans="1:5" ht="15.75" thickBot="1" x14ac:dyDescent="0.3">
      <c r="A574" s="132">
        <v>181333</v>
      </c>
      <c r="B574" s="138">
        <v>1390</v>
      </c>
      <c r="C574" s="124" t="s">
        <v>2505</v>
      </c>
      <c r="D574" s="115"/>
      <c r="E574" s="5"/>
    </row>
    <row r="575" spans="1:5" ht="16.5" thickTop="1" thickBot="1" x14ac:dyDescent="0.3">
      <c r="A575" s="132">
        <v>223220</v>
      </c>
      <c r="B575" s="136">
        <v>1390</v>
      </c>
      <c r="C575" s="124" t="s">
        <v>2537</v>
      </c>
      <c r="D575" s="115"/>
      <c r="E575" s="5"/>
    </row>
    <row r="576" spans="1:5" ht="15.75" thickTop="1" x14ac:dyDescent="0.25">
      <c r="A576" s="132">
        <v>223147</v>
      </c>
      <c r="B576" s="139" t="s">
        <v>1821</v>
      </c>
      <c r="D576" s="115"/>
      <c r="E576" s="5"/>
    </row>
    <row r="577" spans="1:5" ht="15.75" thickBot="1" x14ac:dyDescent="0.3">
      <c r="A577" s="132">
        <v>139158</v>
      </c>
      <c r="B577" s="138">
        <v>1290</v>
      </c>
      <c r="C577" s="124" t="s">
        <v>2319</v>
      </c>
      <c r="D577" s="115"/>
      <c r="E577" s="5"/>
    </row>
    <row r="578" spans="1:5" ht="16.5" thickTop="1" thickBot="1" x14ac:dyDescent="0.3">
      <c r="A578" s="132">
        <v>223213</v>
      </c>
      <c r="B578" s="138">
        <v>1790</v>
      </c>
      <c r="C578" s="124" t="s">
        <v>2310</v>
      </c>
      <c r="D578" s="115"/>
      <c r="E578" s="5"/>
    </row>
    <row r="579" spans="1:5" ht="16.5" thickTop="1" thickBot="1" x14ac:dyDescent="0.3">
      <c r="A579" s="132">
        <v>223277</v>
      </c>
      <c r="B579" s="138">
        <v>1790</v>
      </c>
      <c r="C579" s="124" t="s">
        <v>2310</v>
      </c>
      <c r="D579" s="115"/>
      <c r="E579" s="5"/>
    </row>
    <row r="580" spans="1:5" ht="16.5" thickTop="1" thickBot="1" x14ac:dyDescent="0.3">
      <c r="A580" s="132">
        <v>204284</v>
      </c>
      <c r="B580" s="138">
        <v>1390</v>
      </c>
      <c r="C580" s="124" t="s">
        <v>2318</v>
      </c>
      <c r="D580" s="115"/>
      <c r="E580" s="5"/>
    </row>
    <row r="581" spans="1:5" ht="16.5" thickTop="1" thickBot="1" x14ac:dyDescent="0.3">
      <c r="A581" s="132">
        <v>223296</v>
      </c>
      <c r="B581" s="138">
        <v>1490</v>
      </c>
      <c r="C581" s="124" t="s">
        <v>2332</v>
      </c>
      <c r="D581" s="115"/>
      <c r="E581" s="5"/>
    </row>
    <row r="582" spans="1:5" ht="16.5" thickTop="1" thickBot="1" x14ac:dyDescent="0.3">
      <c r="A582" s="132">
        <v>186592</v>
      </c>
      <c r="B582" s="140">
        <v>979</v>
      </c>
      <c r="C582" s="124" t="s">
        <v>2745</v>
      </c>
      <c r="D582" s="115"/>
      <c r="E582" s="5"/>
    </row>
    <row r="583" spans="1:5" ht="15.75" thickTop="1" x14ac:dyDescent="0.25">
      <c r="A583" s="132">
        <v>204350</v>
      </c>
      <c r="B583" s="139" t="s">
        <v>1821</v>
      </c>
      <c r="D583" s="115"/>
      <c r="E583" s="5"/>
    </row>
    <row r="584" spans="1:5" ht="15.75" thickBot="1" x14ac:dyDescent="0.3">
      <c r="A584" s="132">
        <v>160729</v>
      </c>
      <c r="B584" s="138">
        <v>1290</v>
      </c>
      <c r="C584" s="124" t="s">
        <v>2504</v>
      </c>
      <c r="D584" s="115"/>
      <c r="E584" s="5"/>
    </row>
    <row r="585" spans="1:5" ht="16.5" thickTop="1" thickBot="1" x14ac:dyDescent="0.3">
      <c r="A585" s="132">
        <v>139159</v>
      </c>
      <c r="B585" s="138">
        <v>1390</v>
      </c>
      <c r="C585" s="124" t="s">
        <v>2311</v>
      </c>
      <c r="D585" s="115"/>
      <c r="E585" s="5"/>
    </row>
    <row r="586" spans="1:5" ht="15.75" thickTop="1" x14ac:dyDescent="0.25">
      <c r="A586" s="132">
        <v>223149</v>
      </c>
      <c r="B586" s="139" t="s">
        <v>1821</v>
      </c>
      <c r="D586" s="115"/>
      <c r="E586" s="5"/>
    </row>
    <row r="587" spans="1:5" ht="15.75" thickBot="1" x14ac:dyDescent="0.3">
      <c r="A587" s="132">
        <v>158300</v>
      </c>
      <c r="B587" s="138">
        <v>1790</v>
      </c>
      <c r="C587" s="124" t="s">
        <v>2280</v>
      </c>
      <c r="D587" s="115"/>
      <c r="E587" s="5"/>
    </row>
    <row r="588" spans="1:5" ht="16.5" thickTop="1" thickBot="1" x14ac:dyDescent="0.3">
      <c r="A588" s="132">
        <v>180978</v>
      </c>
      <c r="B588" s="138">
        <v>1390</v>
      </c>
      <c r="C588" s="124" t="s">
        <v>2503</v>
      </c>
      <c r="D588" s="115"/>
      <c r="E588" s="5"/>
    </row>
    <row r="589" spans="1:5" ht="15.75" thickTop="1" x14ac:dyDescent="0.25">
      <c r="A589" s="132">
        <v>226007</v>
      </c>
      <c r="B589" s="139" t="s">
        <v>1821</v>
      </c>
      <c r="D589" s="115"/>
      <c r="E589" s="5"/>
    </row>
    <row r="590" spans="1:5" ht="15.75" thickBot="1" x14ac:dyDescent="0.3">
      <c r="A590" s="132">
        <v>186597</v>
      </c>
      <c r="B590" s="136">
        <v>790</v>
      </c>
      <c r="C590" s="124" t="s">
        <v>2536</v>
      </c>
      <c r="D590" s="115"/>
      <c r="E590" s="5"/>
    </row>
    <row r="591" spans="1:5" ht="16.5" thickTop="1" thickBot="1" x14ac:dyDescent="0.3">
      <c r="A591" s="132">
        <v>223225</v>
      </c>
      <c r="B591" s="138">
        <v>2290</v>
      </c>
      <c r="C591" s="124" t="s">
        <v>2282</v>
      </c>
      <c r="D591" s="115"/>
      <c r="E591" s="5"/>
    </row>
    <row r="592" spans="1:5" ht="16.5" thickTop="1" thickBot="1" x14ac:dyDescent="0.3">
      <c r="A592" s="132">
        <v>223226</v>
      </c>
      <c r="B592" s="138">
        <v>2290</v>
      </c>
      <c r="C592" s="124" t="s">
        <v>2281</v>
      </c>
      <c r="D592" s="115"/>
      <c r="E592" s="5"/>
    </row>
    <row r="593" spans="1:5" ht="16.5" thickTop="1" thickBot="1" x14ac:dyDescent="0.3">
      <c r="A593" s="132">
        <v>223224</v>
      </c>
      <c r="B593" s="138">
        <v>2290</v>
      </c>
      <c r="C593" s="124" t="s">
        <v>2282</v>
      </c>
      <c r="D593" s="115"/>
      <c r="E593" s="5"/>
    </row>
    <row r="594" spans="1:5" ht="16.5" thickTop="1" thickBot="1" x14ac:dyDescent="0.3">
      <c r="A594" s="132">
        <v>223279</v>
      </c>
      <c r="B594" s="138">
        <v>2290</v>
      </c>
      <c r="C594" s="124" t="s">
        <v>2281</v>
      </c>
      <c r="D594" s="115"/>
      <c r="E594" s="5"/>
    </row>
    <row r="595" spans="1:5" ht="16.5" thickTop="1" thickBot="1" x14ac:dyDescent="0.3">
      <c r="A595" s="132">
        <v>204215</v>
      </c>
      <c r="B595" s="138">
        <v>2390</v>
      </c>
      <c r="C595" s="124" t="s">
        <v>2502</v>
      </c>
      <c r="D595" s="115"/>
      <c r="E595" s="5"/>
    </row>
    <row r="596" spans="1:5" ht="16.5" thickTop="1" thickBot="1" x14ac:dyDescent="0.3">
      <c r="A596" s="132">
        <v>194595</v>
      </c>
      <c r="B596" s="138">
        <v>1790</v>
      </c>
      <c r="C596" s="124" t="s">
        <v>2496</v>
      </c>
      <c r="D596" s="115"/>
      <c r="E596" s="5"/>
    </row>
    <row r="597" spans="1:5" ht="16.5" thickTop="1" thickBot="1" x14ac:dyDescent="0.3">
      <c r="A597" s="132">
        <v>204414</v>
      </c>
      <c r="B597" s="136">
        <v>1790</v>
      </c>
      <c r="C597" s="124" t="s">
        <v>2535</v>
      </c>
      <c r="D597" s="115"/>
      <c r="E597" s="5"/>
    </row>
    <row r="598" spans="1:5" ht="16.5" thickTop="1" thickBot="1" x14ac:dyDescent="0.3">
      <c r="A598" s="132">
        <v>223158</v>
      </c>
      <c r="B598" s="136">
        <v>1790</v>
      </c>
      <c r="C598" s="124" t="s">
        <v>2535</v>
      </c>
      <c r="D598" s="115"/>
      <c r="E598" s="5"/>
    </row>
    <row r="599" spans="1:5" ht="16.5" thickTop="1" thickBot="1" x14ac:dyDescent="0.3">
      <c r="A599" s="132">
        <v>223293</v>
      </c>
      <c r="B599" s="138">
        <v>2690</v>
      </c>
      <c r="C599" s="124" t="s">
        <v>2500</v>
      </c>
      <c r="D599" s="115"/>
      <c r="E599" s="5"/>
    </row>
    <row r="600" spans="1:5" ht="16.5" thickTop="1" thickBot="1" x14ac:dyDescent="0.3">
      <c r="A600" s="132">
        <v>181597</v>
      </c>
      <c r="B600" s="138">
        <v>1790</v>
      </c>
      <c r="C600" s="124" t="s">
        <v>2275</v>
      </c>
      <c r="D600" s="115"/>
      <c r="E600" s="5"/>
    </row>
    <row r="601" spans="1:5" ht="16.5" thickTop="1" thickBot="1" x14ac:dyDescent="0.3">
      <c r="A601" s="132">
        <v>204305</v>
      </c>
      <c r="B601" s="138">
        <v>1390</v>
      </c>
      <c r="C601" s="124" t="s">
        <v>2501</v>
      </c>
      <c r="D601" s="115"/>
      <c r="E601" s="5"/>
    </row>
    <row r="602" spans="1:5" ht="16.5" thickTop="1" thickBot="1" x14ac:dyDescent="0.3">
      <c r="A602" s="132">
        <v>158269</v>
      </c>
      <c r="B602" s="138">
        <v>1990</v>
      </c>
      <c r="C602" s="124" t="s">
        <v>2320</v>
      </c>
      <c r="D602" s="115"/>
      <c r="E602" s="5"/>
    </row>
    <row r="603" spans="1:5" ht="16.5" thickTop="1" thickBot="1" x14ac:dyDescent="0.3">
      <c r="A603" s="132">
        <v>158298</v>
      </c>
      <c r="B603" s="136">
        <v>1490</v>
      </c>
      <c r="C603" s="124" t="s">
        <v>2534</v>
      </c>
      <c r="D603" s="115"/>
      <c r="E603" s="5"/>
    </row>
    <row r="604" spans="1:5" ht="16.5" thickTop="1" thickBot="1" x14ac:dyDescent="0.3">
      <c r="A604" s="132">
        <v>223276</v>
      </c>
      <c r="B604" s="138">
        <v>1790</v>
      </c>
      <c r="C604" s="124" t="s">
        <v>2310</v>
      </c>
      <c r="D604" s="115"/>
      <c r="E604" s="5"/>
    </row>
    <row r="605" spans="1:5" ht="16.5" thickTop="1" thickBot="1" x14ac:dyDescent="0.3">
      <c r="A605" s="132">
        <v>223255</v>
      </c>
      <c r="B605" s="140" t="s">
        <v>1821</v>
      </c>
      <c r="C605" s="129"/>
      <c r="D605" s="115"/>
      <c r="E605" s="5"/>
    </row>
    <row r="606" spans="1:5" ht="16.5" thickTop="1" thickBot="1" x14ac:dyDescent="0.3">
      <c r="A606" s="132">
        <v>223294</v>
      </c>
      <c r="B606" s="140" t="s">
        <v>1821</v>
      </c>
      <c r="C606" s="129"/>
      <c r="D606" s="115"/>
      <c r="E606" s="5"/>
    </row>
    <row r="607" spans="1:5" ht="16.5" thickTop="1" thickBot="1" x14ac:dyDescent="0.3">
      <c r="A607" s="132">
        <v>204312</v>
      </c>
      <c r="B607" s="136">
        <v>1590</v>
      </c>
      <c r="C607" s="124" t="s">
        <v>2533</v>
      </c>
      <c r="D607" s="115"/>
      <c r="E607" s="5"/>
    </row>
    <row r="608" spans="1:5" ht="16.5" thickTop="1" thickBot="1" x14ac:dyDescent="0.3">
      <c r="A608" s="132">
        <v>181577</v>
      </c>
      <c r="B608" s="140" t="s">
        <v>1821</v>
      </c>
      <c r="C608" s="129"/>
      <c r="D608" s="115"/>
      <c r="E608" s="5"/>
    </row>
    <row r="609" spans="1:5" ht="16.5" thickTop="1" thickBot="1" x14ac:dyDescent="0.3">
      <c r="A609" s="132">
        <v>223244</v>
      </c>
      <c r="B609" s="140" t="s">
        <v>1821</v>
      </c>
      <c r="C609" s="129"/>
      <c r="D609" s="115"/>
      <c r="E609" s="5"/>
    </row>
    <row r="610" spans="1:5" ht="16.5" thickTop="1" thickBot="1" x14ac:dyDescent="0.3">
      <c r="A610" s="132">
        <v>204286</v>
      </c>
      <c r="B610" s="140" t="s">
        <v>1821</v>
      </c>
      <c r="C610" s="129"/>
      <c r="D610" s="115"/>
      <c r="E610" s="5"/>
    </row>
    <row r="611" spans="1:5" ht="16.5" thickTop="1" thickBot="1" x14ac:dyDescent="0.3">
      <c r="A611" s="132">
        <v>136589</v>
      </c>
      <c r="B611" s="136">
        <v>890</v>
      </c>
      <c r="C611" s="124" t="s">
        <v>2531</v>
      </c>
      <c r="D611" s="115"/>
      <c r="E611" s="5"/>
    </row>
    <row r="612" spans="1:5" ht="16.5" thickTop="1" thickBot="1" x14ac:dyDescent="0.3">
      <c r="A612" s="132">
        <v>136588</v>
      </c>
      <c r="B612" s="136">
        <v>890</v>
      </c>
      <c r="C612" s="124" t="s">
        <v>2532</v>
      </c>
      <c r="D612" s="115"/>
      <c r="E612" s="5"/>
    </row>
    <row r="613" spans="1:5" ht="15.75" thickTop="1" x14ac:dyDescent="0.25">
      <c r="A613" s="132">
        <v>181560</v>
      </c>
      <c r="B613" s="139" t="s">
        <v>1821</v>
      </c>
      <c r="D613" s="115"/>
      <c r="E613" s="5"/>
    </row>
    <row r="614" spans="1:5" ht="15.75" thickBot="1" x14ac:dyDescent="0.3">
      <c r="A614" s="132">
        <v>204322</v>
      </c>
      <c r="B614" s="136">
        <v>1890</v>
      </c>
      <c r="C614" s="124" t="s">
        <v>2530</v>
      </c>
      <c r="D614" s="115"/>
      <c r="E614" s="5"/>
    </row>
    <row r="615" spans="1:5" ht="16.5" thickTop="1" thickBot="1" x14ac:dyDescent="0.3">
      <c r="A615" s="132">
        <v>223295</v>
      </c>
      <c r="B615" s="138">
        <v>1319</v>
      </c>
      <c r="C615" s="124" t="s">
        <v>2529</v>
      </c>
      <c r="D615" s="115"/>
      <c r="E615" s="5"/>
    </row>
    <row r="616" spans="1:5" ht="15.75" thickTop="1" x14ac:dyDescent="0.25">
      <c r="A616" s="132">
        <v>204283</v>
      </c>
      <c r="B616" s="139">
        <v>1590</v>
      </c>
      <c r="C616" s="124" t="s">
        <v>2835</v>
      </c>
      <c r="D616" s="115"/>
      <c r="E616" s="5"/>
    </row>
    <row r="617" spans="1:5" ht="15.75" thickBot="1" x14ac:dyDescent="0.3">
      <c r="A617" s="132">
        <v>164794</v>
      </c>
      <c r="B617" s="136">
        <v>1290</v>
      </c>
      <c r="C617" s="124" t="s">
        <v>2528</v>
      </c>
      <c r="D617" s="115"/>
      <c r="E617" s="5"/>
    </row>
    <row r="618" spans="1:5" ht="16.5" thickTop="1" thickBot="1" x14ac:dyDescent="0.3">
      <c r="A618" s="132">
        <v>181559</v>
      </c>
      <c r="B618" s="136">
        <v>1390</v>
      </c>
      <c r="C618" s="124" t="s">
        <v>2527</v>
      </c>
      <c r="D618" s="115"/>
      <c r="E618" s="5"/>
    </row>
    <row r="619" spans="1:5" ht="16.5" thickTop="1" thickBot="1" x14ac:dyDescent="0.3">
      <c r="A619" s="132">
        <v>181756</v>
      </c>
      <c r="B619" s="136">
        <v>1390</v>
      </c>
      <c r="C619" s="124" t="s">
        <v>2527</v>
      </c>
      <c r="D619" s="115"/>
      <c r="E619" s="5"/>
    </row>
    <row r="620" spans="1:5" ht="16.5" thickTop="1" thickBot="1" x14ac:dyDescent="0.3">
      <c r="A620" s="132">
        <v>139156</v>
      </c>
      <c r="B620" s="138">
        <v>1790</v>
      </c>
      <c r="C620" s="124" t="s">
        <v>2308</v>
      </c>
      <c r="D620" s="115"/>
      <c r="E620" s="5"/>
    </row>
    <row r="621" spans="1:5" ht="16.5" thickTop="1" thickBot="1" x14ac:dyDescent="0.3">
      <c r="A621" s="132">
        <v>139157</v>
      </c>
      <c r="B621" s="138">
        <v>1890</v>
      </c>
      <c r="C621" s="124" t="s">
        <v>2309</v>
      </c>
      <c r="D621" s="115"/>
      <c r="E621" s="5"/>
    </row>
    <row r="622" spans="1:5" ht="16.5" thickTop="1" thickBot="1" x14ac:dyDescent="0.3">
      <c r="A622" s="132">
        <v>136591</v>
      </c>
      <c r="B622" s="138">
        <v>1790</v>
      </c>
      <c r="C622" s="124" t="s">
        <v>2268</v>
      </c>
      <c r="D622" s="115"/>
      <c r="E622" s="5"/>
    </row>
    <row r="623" spans="1:5" ht="15.75" thickTop="1" x14ac:dyDescent="0.25">
      <c r="A623" s="132">
        <v>136590</v>
      </c>
      <c r="B623" s="139">
        <v>1690</v>
      </c>
      <c r="C623" s="124" t="s">
        <v>2680</v>
      </c>
      <c r="D623" s="115"/>
      <c r="E623" s="5"/>
    </row>
    <row r="624" spans="1:5" ht="15.75" thickBot="1" x14ac:dyDescent="0.3">
      <c r="A624" s="132">
        <v>223222</v>
      </c>
      <c r="B624" s="140" t="s">
        <v>1821</v>
      </c>
      <c r="C624" s="129"/>
      <c r="D624" s="115"/>
      <c r="E624" s="5"/>
    </row>
    <row r="625" spans="1:5" ht="16.5" thickTop="1" thickBot="1" x14ac:dyDescent="0.3">
      <c r="A625" s="132">
        <v>181561</v>
      </c>
      <c r="B625" s="138">
        <v>1590</v>
      </c>
      <c r="C625" s="124" t="s">
        <v>2269</v>
      </c>
      <c r="D625" s="115"/>
      <c r="E625" s="5"/>
    </row>
    <row r="626" spans="1:5" ht="16.5" thickTop="1" thickBot="1" x14ac:dyDescent="0.3">
      <c r="A626" s="132">
        <v>181724</v>
      </c>
      <c r="B626" s="140" t="s">
        <v>1821</v>
      </c>
      <c r="C626" s="129"/>
      <c r="D626" s="115"/>
      <c r="E626" s="5"/>
    </row>
    <row r="627" spans="1:5" ht="16.5" thickTop="1" thickBot="1" x14ac:dyDescent="0.3">
      <c r="A627" s="132">
        <v>181723</v>
      </c>
      <c r="B627" s="140" t="s">
        <v>1821</v>
      </c>
      <c r="C627" s="129"/>
      <c r="D627" s="115"/>
      <c r="E627" s="5"/>
    </row>
    <row r="628" spans="1:5" ht="16.5" thickTop="1" thickBot="1" x14ac:dyDescent="0.3">
      <c r="A628" s="132">
        <v>223252</v>
      </c>
      <c r="B628" s="138">
        <v>1990</v>
      </c>
      <c r="C628" s="124" t="s">
        <v>2322</v>
      </c>
      <c r="D628" s="115"/>
      <c r="E628" s="5"/>
    </row>
    <row r="629" spans="1:5" ht="16.5" thickTop="1" thickBot="1" x14ac:dyDescent="0.3">
      <c r="A629" s="132">
        <v>223172</v>
      </c>
      <c r="B629" s="138">
        <v>2390</v>
      </c>
      <c r="C629" s="124" t="s">
        <v>2305</v>
      </c>
      <c r="D629" s="115"/>
      <c r="E629" s="5"/>
    </row>
    <row r="630" spans="1:5" ht="16.5" thickTop="1" thickBot="1" x14ac:dyDescent="0.3">
      <c r="A630" s="132">
        <v>159929</v>
      </c>
      <c r="B630" s="138">
        <v>1890</v>
      </c>
      <c r="C630" s="124" t="s">
        <v>2306</v>
      </c>
      <c r="D630" s="115"/>
      <c r="E630" s="5"/>
    </row>
    <row r="631" spans="1:5" ht="16.5" thickTop="1" thickBot="1" x14ac:dyDescent="0.3">
      <c r="A631" s="132">
        <v>223174</v>
      </c>
      <c r="B631" s="136">
        <v>1890</v>
      </c>
      <c r="C631" s="124" t="s">
        <v>2306</v>
      </c>
      <c r="D631" s="115"/>
      <c r="E631" s="5"/>
    </row>
    <row r="632" spans="1:5" ht="16.5" thickTop="1" thickBot="1" x14ac:dyDescent="0.3">
      <c r="A632" s="132">
        <v>158284</v>
      </c>
      <c r="B632" s="138">
        <v>2690</v>
      </c>
      <c r="C632" s="124" t="s">
        <v>2307</v>
      </c>
      <c r="D632" s="115"/>
      <c r="E632" s="5"/>
    </row>
    <row r="633" spans="1:5" ht="16.5" thickTop="1" thickBot="1" x14ac:dyDescent="0.3">
      <c r="A633" s="132">
        <v>223204</v>
      </c>
      <c r="B633" s="138">
        <v>2290</v>
      </c>
      <c r="C633" s="124" t="s">
        <v>2323</v>
      </c>
      <c r="D633" s="115"/>
      <c r="E633" s="5"/>
    </row>
    <row r="634" spans="1:5" ht="16.5" thickTop="1" thickBot="1" x14ac:dyDescent="0.3">
      <c r="A634" s="132">
        <v>186718</v>
      </c>
      <c r="B634" s="138">
        <v>2190</v>
      </c>
      <c r="C634" s="124" t="s">
        <v>2382</v>
      </c>
      <c r="D634" s="115"/>
      <c r="E634" s="5"/>
    </row>
    <row r="635" spans="1:5" ht="15.75" thickTop="1" x14ac:dyDescent="0.25">
      <c r="A635" s="132">
        <v>223227</v>
      </c>
      <c r="B635" s="139" t="s">
        <v>1821</v>
      </c>
      <c r="D635" s="115"/>
      <c r="E635" s="5"/>
    </row>
    <row r="636" spans="1:5" ht="15.75" thickBot="1" x14ac:dyDescent="0.3">
      <c r="A636" s="132">
        <v>223242</v>
      </c>
      <c r="B636" s="138">
        <v>1490</v>
      </c>
      <c r="C636" s="124" t="s">
        <v>2332</v>
      </c>
      <c r="D636" s="115"/>
      <c r="E636" s="5"/>
    </row>
    <row r="637" spans="1:5" ht="16.5" thickTop="1" thickBot="1" x14ac:dyDescent="0.3">
      <c r="A637" s="132">
        <v>213148</v>
      </c>
      <c r="B637" s="138">
        <v>2190</v>
      </c>
      <c r="C637" s="124" t="s">
        <v>2526</v>
      </c>
      <c r="D637" s="115"/>
      <c r="E637" s="5"/>
    </row>
    <row r="638" spans="1:5" ht="16.5" thickTop="1" thickBot="1" x14ac:dyDescent="0.3">
      <c r="A638" s="132">
        <v>213149</v>
      </c>
      <c r="B638" s="138">
        <v>2190</v>
      </c>
      <c r="C638" s="124" t="s">
        <v>2526</v>
      </c>
      <c r="D638" s="115"/>
      <c r="E638" s="5"/>
    </row>
    <row r="639" spans="1:5" ht="16.5" thickTop="1" thickBot="1" x14ac:dyDescent="0.3">
      <c r="A639" s="132">
        <v>223223</v>
      </c>
      <c r="B639" s="140" t="s">
        <v>1821</v>
      </c>
      <c r="C639" s="129"/>
      <c r="D639" s="115"/>
      <c r="E639" s="5"/>
    </row>
    <row r="640" spans="1:5" ht="16.5" thickTop="1" thickBot="1" x14ac:dyDescent="0.3">
      <c r="A640" s="132">
        <v>223153</v>
      </c>
      <c r="B640" s="138">
        <v>3590</v>
      </c>
      <c r="C640" s="124" t="s">
        <v>2303</v>
      </c>
      <c r="D640" s="115"/>
      <c r="E640" s="5"/>
    </row>
    <row r="641" spans="1:5" ht="16.5" thickTop="1" thickBot="1" x14ac:dyDescent="0.3">
      <c r="A641" s="132">
        <v>223155</v>
      </c>
      <c r="B641" s="136">
        <v>2841</v>
      </c>
      <c r="C641" s="124" t="s">
        <v>2304</v>
      </c>
      <c r="D641" s="115"/>
      <c r="E641" s="5"/>
    </row>
    <row r="642" spans="1:5" ht="16.5" thickTop="1" thickBot="1" x14ac:dyDescent="0.3">
      <c r="A642" s="132">
        <v>204020</v>
      </c>
      <c r="B642" s="140" t="s">
        <v>1821</v>
      </c>
      <c r="C642" s="129"/>
      <c r="D642" s="115"/>
      <c r="E642" s="5"/>
    </row>
    <row r="643" spans="1:5" ht="16.5" thickTop="1" thickBot="1" x14ac:dyDescent="0.3">
      <c r="A643" s="132">
        <v>223179</v>
      </c>
      <c r="B643" s="138">
        <v>3590</v>
      </c>
      <c r="C643" s="124" t="s">
        <v>2279</v>
      </c>
      <c r="D643" s="115"/>
      <c r="E643" s="5"/>
    </row>
    <row r="644" spans="1:5" ht="16.5" thickTop="1" thickBot="1" x14ac:dyDescent="0.3">
      <c r="A644" s="132">
        <v>204349</v>
      </c>
      <c r="B644" s="140" t="s">
        <v>1821</v>
      </c>
      <c r="C644" s="129"/>
      <c r="D644" s="115"/>
      <c r="E644" s="5"/>
    </row>
    <row r="645" spans="1:5" ht="16.5" thickTop="1" thickBot="1" x14ac:dyDescent="0.3">
      <c r="A645" s="132">
        <v>159930</v>
      </c>
      <c r="B645" s="140" t="s">
        <v>1821</v>
      </c>
      <c r="C645" s="129"/>
      <c r="D645" s="115"/>
      <c r="E645" s="5"/>
    </row>
    <row r="646" spans="1:5" ht="16.5" thickTop="1" thickBot="1" x14ac:dyDescent="0.3">
      <c r="A646" s="132">
        <v>158838</v>
      </c>
      <c r="B646" s="138">
        <v>4790</v>
      </c>
      <c r="C646" s="124" t="s">
        <v>2271</v>
      </c>
      <c r="D646" s="115"/>
      <c r="E646" s="5"/>
    </row>
    <row r="647" spans="1:5" ht="16.5" thickTop="1" thickBot="1" x14ac:dyDescent="0.3">
      <c r="A647" s="132">
        <v>158837</v>
      </c>
      <c r="B647" s="138">
        <v>4190</v>
      </c>
      <c r="C647" s="124" t="s">
        <v>2324</v>
      </c>
      <c r="D647" s="115"/>
      <c r="E647" s="5"/>
    </row>
    <row r="648" spans="1:5" ht="16.5" thickTop="1" thickBot="1" x14ac:dyDescent="0.3">
      <c r="A648" s="132">
        <v>136587</v>
      </c>
      <c r="B648" s="138">
        <v>3990</v>
      </c>
      <c r="C648" s="124" t="s">
        <v>2325</v>
      </c>
      <c r="D648" s="115"/>
      <c r="E648" s="5"/>
    </row>
    <row r="649" spans="1:5" ht="16.5" thickTop="1" thickBot="1" x14ac:dyDescent="0.3">
      <c r="A649" s="132">
        <v>158285</v>
      </c>
      <c r="B649" s="138">
        <v>4290</v>
      </c>
      <c r="C649" s="124" t="s">
        <v>2302</v>
      </c>
      <c r="D649" s="115"/>
      <c r="E649" s="5"/>
    </row>
    <row r="650" spans="1:5" ht="16.5" thickTop="1" thickBot="1" x14ac:dyDescent="0.3">
      <c r="A650" s="132">
        <v>223170</v>
      </c>
      <c r="B650" s="138">
        <v>4590</v>
      </c>
      <c r="C650" s="124" t="s">
        <v>2301</v>
      </c>
      <c r="D650" s="115"/>
      <c r="E650" s="5"/>
    </row>
    <row r="651" spans="1:5" ht="16.5" thickTop="1" thickBot="1" x14ac:dyDescent="0.3">
      <c r="A651" s="132">
        <v>223171</v>
      </c>
      <c r="B651" s="138">
        <v>4790</v>
      </c>
      <c r="C651" s="124" t="s">
        <v>2271</v>
      </c>
      <c r="D651" s="115"/>
      <c r="E651" s="5"/>
    </row>
    <row r="652" spans="1:5" ht="16.5" thickTop="1" thickBot="1" x14ac:dyDescent="0.3">
      <c r="A652" s="132">
        <v>158270</v>
      </c>
      <c r="B652" s="138">
        <v>4890</v>
      </c>
      <c r="C652" s="124" t="s">
        <v>2270</v>
      </c>
      <c r="D652" s="115"/>
      <c r="E652" s="5"/>
    </row>
    <row r="653" spans="1:5" ht="16.5" thickTop="1" thickBot="1" x14ac:dyDescent="0.3">
      <c r="A653" s="132">
        <v>202250</v>
      </c>
      <c r="B653" s="138">
        <v>490</v>
      </c>
      <c r="C653" s="124" t="s">
        <v>2370</v>
      </c>
      <c r="D653" s="115"/>
      <c r="E653" s="5"/>
    </row>
    <row r="654" spans="1:5" ht="16.5" thickTop="1" thickBot="1" x14ac:dyDescent="0.3">
      <c r="A654" s="132">
        <v>202244</v>
      </c>
      <c r="B654" s="138">
        <v>189</v>
      </c>
      <c r="C654" s="124" t="s">
        <v>2371</v>
      </c>
      <c r="D654" s="115"/>
      <c r="E654" s="5"/>
    </row>
    <row r="655" spans="1:5" ht="16.5" thickTop="1" thickBot="1" x14ac:dyDescent="0.3">
      <c r="A655" s="132">
        <v>159495</v>
      </c>
      <c r="B655" s="140" t="s">
        <v>1821</v>
      </c>
      <c r="C655" s="129"/>
      <c r="D655" s="115"/>
      <c r="E655" s="5"/>
    </row>
    <row r="656" spans="1:5" ht="16.5" thickTop="1" thickBot="1" x14ac:dyDescent="0.3">
      <c r="A656" s="132">
        <v>158182</v>
      </c>
      <c r="B656" s="140" t="s">
        <v>1821</v>
      </c>
      <c r="C656" s="129"/>
      <c r="D656" s="115"/>
      <c r="E656" s="5"/>
    </row>
    <row r="657" spans="1:5" ht="16.5" thickTop="1" thickBot="1" x14ac:dyDescent="0.3">
      <c r="A657" s="132">
        <v>158183</v>
      </c>
      <c r="B657" s="140" t="s">
        <v>1821</v>
      </c>
      <c r="C657" s="129"/>
      <c r="D657" s="115"/>
      <c r="E657" s="5"/>
    </row>
    <row r="658" spans="1:5" ht="16.5" thickTop="1" thickBot="1" x14ac:dyDescent="0.3">
      <c r="A658" s="132">
        <v>158185</v>
      </c>
      <c r="B658" s="140" t="s">
        <v>1821</v>
      </c>
      <c r="C658" s="129"/>
      <c r="D658" s="115"/>
      <c r="E658" s="5"/>
    </row>
    <row r="659" spans="1:5" ht="16.5" thickTop="1" thickBot="1" x14ac:dyDescent="0.3">
      <c r="A659" s="132">
        <v>152839</v>
      </c>
      <c r="B659" s="138">
        <v>329</v>
      </c>
      <c r="C659" s="124" t="s">
        <v>2372</v>
      </c>
      <c r="D659" s="115"/>
      <c r="E659" s="5"/>
    </row>
    <row r="660" spans="1:5" ht="16.5" thickTop="1" thickBot="1" x14ac:dyDescent="0.3">
      <c r="A660" s="132">
        <v>141824</v>
      </c>
      <c r="B660" s="138">
        <v>329</v>
      </c>
      <c r="C660" s="124" t="s">
        <v>2373</v>
      </c>
      <c r="D660" s="115"/>
      <c r="E660" s="5"/>
    </row>
    <row r="661" spans="1:5" ht="16.5" thickTop="1" thickBot="1" x14ac:dyDescent="0.3">
      <c r="A661" s="132">
        <v>181721</v>
      </c>
      <c r="B661" s="140" t="s">
        <v>1821</v>
      </c>
      <c r="C661" s="129"/>
      <c r="D661" s="115"/>
      <c r="E661" s="5"/>
    </row>
    <row r="662" spans="1:5" ht="16.5" thickTop="1" thickBot="1" x14ac:dyDescent="0.3">
      <c r="A662" s="132">
        <v>223154</v>
      </c>
      <c r="B662" s="138">
        <v>2490</v>
      </c>
      <c r="C662" s="124" t="s">
        <v>2374</v>
      </c>
      <c r="D662" s="115"/>
      <c r="E662" s="5"/>
    </row>
    <row r="663" spans="1:5" ht="16.5" thickTop="1" thickBot="1" x14ac:dyDescent="0.3">
      <c r="A663" s="132">
        <v>201489</v>
      </c>
      <c r="B663" s="138">
        <v>169</v>
      </c>
      <c r="C663" s="124" t="s">
        <v>2375</v>
      </c>
      <c r="D663" s="115"/>
      <c r="E663" s="5"/>
    </row>
    <row r="664" spans="1:5" ht="16.5" thickTop="1" thickBot="1" x14ac:dyDescent="0.3">
      <c r="A664" s="132">
        <v>223302</v>
      </c>
      <c r="B664" s="138">
        <v>79</v>
      </c>
      <c r="C664" s="124" t="s">
        <v>2376</v>
      </c>
      <c r="D664" s="115"/>
      <c r="E664" s="5"/>
    </row>
    <row r="665" spans="1:5" ht="16.5" thickTop="1" thickBot="1" x14ac:dyDescent="0.3">
      <c r="A665" s="132">
        <v>223292</v>
      </c>
      <c r="B665" s="138">
        <v>290</v>
      </c>
      <c r="C665" s="124" t="s">
        <v>2377</v>
      </c>
      <c r="D665" s="115"/>
      <c r="E665" s="5"/>
    </row>
    <row r="666" spans="1:5" ht="16.5" thickTop="1" thickBot="1" x14ac:dyDescent="0.3">
      <c r="A666" s="132">
        <v>138870</v>
      </c>
      <c r="B666" s="138">
        <v>149</v>
      </c>
      <c r="C666" s="124" t="s">
        <v>2378</v>
      </c>
      <c r="D666" s="115"/>
      <c r="E666" s="5"/>
    </row>
    <row r="667" spans="1:5" ht="16.5" thickTop="1" thickBot="1" x14ac:dyDescent="0.3">
      <c r="A667" s="132">
        <v>138873</v>
      </c>
      <c r="B667" s="138">
        <v>149</v>
      </c>
      <c r="C667" s="124" t="s">
        <v>2379</v>
      </c>
      <c r="D667" s="115"/>
      <c r="E667" s="5"/>
    </row>
    <row r="668" spans="1:5" ht="15.75" thickTop="1" x14ac:dyDescent="0.25">
      <c r="A668" s="132">
        <v>201531</v>
      </c>
      <c r="B668" s="139" t="s">
        <v>1821</v>
      </c>
      <c r="D668" s="115"/>
      <c r="E668" s="5"/>
    </row>
    <row r="669" spans="1:5" x14ac:dyDescent="0.25">
      <c r="A669" s="132">
        <v>201459</v>
      </c>
      <c r="B669" s="139" t="s">
        <v>1821</v>
      </c>
      <c r="D669" s="115"/>
      <c r="E669" s="5"/>
    </row>
    <row r="670" spans="1:5" ht="15.75" thickBot="1" x14ac:dyDescent="0.3">
      <c r="A670" s="132">
        <v>201461</v>
      </c>
      <c r="B670" s="136">
        <v>169</v>
      </c>
      <c r="C670" s="124" t="s">
        <v>2498</v>
      </c>
      <c r="D670" s="115"/>
      <c r="E670" s="5"/>
    </row>
    <row r="671" spans="1:5" ht="16.5" thickTop="1" thickBot="1" x14ac:dyDescent="0.3">
      <c r="A671" s="132">
        <v>201460</v>
      </c>
      <c r="B671" s="136">
        <v>169</v>
      </c>
      <c r="C671" s="124" t="s">
        <v>2498</v>
      </c>
      <c r="D671" s="115"/>
      <c r="E671" s="5"/>
    </row>
    <row r="672" spans="1:5" ht="16.5" thickTop="1" thickBot="1" x14ac:dyDescent="0.3">
      <c r="A672" s="132">
        <v>165493</v>
      </c>
      <c r="B672" s="140" t="s">
        <v>1821</v>
      </c>
      <c r="C672" s="129"/>
      <c r="D672" s="115"/>
      <c r="E672" s="5"/>
    </row>
    <row r="673" spans="1:5" ht="16.5" thickTop="1" thickBot="1" x14ac:dyDescent="0.3">
      <c r="A673" s="132">
        <v>165492</v>
      </c>
      <c r="B673" s="138">
        <v>129</v>
      </c>
      <c r="C673" s="124" t="s">
        <v>2499</v>
      </c>
      <c r="D673" s="115"/>
      <c r="E673" s="5"/>
    </row>
    <row r="674" spans="1:5" ht="16.5" thickTop="1" thickBot="1" x14ac:dyDescent="0.3">
      <c r="A674" s="132">
        <v>213307</v>
      </c>
      <c r="B674" s="140" t="s">
        <v>1821</v>
      </c>
      <c r="C674" s="129"/>
      <c r="D674" s="115"/>
      <c r="E674" s="5"/>
    </row>
    <row r="675" spans="1:5" ht="16.5" thickTop="1" thickBot="1" x14ac:dyDescent="0.3">
      <c r="A675" s="132">
        <v>213400</v>
      </c>
      <c r="B675" s="138">
        <v>290</v>
      </c>
      <c r="C675" s="124" t="s">
        <v>2380</v>
      </c>
      <c r="D675" s="115"/>
      <c r="E675" s="5"/>
    </row>
    <row r="676" spans="1:5" ht="16.5" thickTop="1" thickBot="1" x14ac:dyDescent="0.3">
      <c r="A676" s="132">
        <v>213169</v>
      </c>
      <c r="B676" s="140" t="s">
        <v>1821</v>
      </c>
      <c r="C676" s="129"/>
      <c r="D676" s="115"/>
      <c r="E676" s="5"/>
    </row>
    <row r="677" spans="1:5" ht="16.5" thickTop="1" thickBot="1" x14ac:dyDescent="0.3">
      <c r="A677" s="132">
        <v>218422</v>
      </c>
      <c r="B677" s="136">
        <v>590</v>
      </c>
      <c r="C677" s="124" t="s">
        <v>2525</v>
      </c>
      <c r="D677" s="115"/>
      <c r="E677" s="5"/>
    </row>
    <row r="678" spans="1:5" ht="16.5" thickTop="1" thickBot="1" x14ac:dyDescent="0.3">
      <c r="A678" s="132">
        <v>141797</v>
      </c>
      <c r="B678" s="136">
        <v>199</v>
      </c>
      <c r="C678" s="124" t="s">
        <v>2524</v>
      </c>
      <c r="D678" s="115"/>
      <c r="E678" s="5"/>
    </row>
    <row r="679" spans="1:5" ht="16.5" thickTop="1" thickBot="1" x14ac:dyDescent="0.3">
      <c r="A679" s="132">
        <v>223248</v>
      </c>
      <c r="B679" s="136">
        <v>590</v>
      </c>
      <c r="C679" s="124" t="s">
        <v>2495</v>
      </c>
      <c r="D679" s="115"/>
      <c r="E679" s="5"/>
    </row>
    <row r="680" spans="1:5" ht="15.75" thickTop="1" x14ac:dyDescent="0.25">
      <c r="A680" s="132">
        <v>202245</v>
      </c>
      <c r="B680" s="139">
        <v>189</v>
      </c>
      <c r="C680" s="124" t="s">
        <v>2371</v>
      </c>
      <c r="D680" s="115"/>
      <c r="E680" s="5"/>
    </row>
    <row r="681" spans="1:5" x14ac:dyDescent="0.25">
      <c r="A681" s="132">
        <v>243564</v>
      </c>
      <c r="B681" s="139" t="s">
        <v>1821</v>
      </c>
      <c r="D681" s="115">
        <v>55</v>
      </c>
      <c r="E681" s="5" t="s">
        <v>3005</v>
      </c>
    </row>
    <row r="682" spans="1:5" x14ac:dyDescent="0.25">
      <c r="A682" s="132">
        <v>138980</v>
      </c>
      <c r="B682" s="139"/>
      <c r="D682" s="115">
        <v>90</v>
      </c>
      <c r="E682" s="5" t="s">
        <v>3004</v>
      </c>
    </row>
    <row r="683" spans="1:5" ht="15.75" thickBot="1" x14ac:dyDescent="0.3">
      <c r="A683" s="132">
        <v>274398</v>
      </c>
      <c r="B683" s="140" t="s">
        <v>1821</v>
      </c>
      <c r="C683" s="129"/>
      <c r="D683" s="115"/>
      <c r="E683" s="5"/>
    </row>
    <row r="684" spans="1:5" ht="16.5" thickTop="1" thickBot="1" x14ac:dyDescent="0.3">
      <c r="A684" s="132">
        <v>158857</v>
      </c>
      <c r="B684" s="136">
        <v>3590</v>
      </c>
      <c r="C684" s="124" t="s">
        <v>2523</v>
      </c>
      <c r="D684" s="115"/>
      <c r="E684" s="5"/>
    </row>
    <row r="685" spans="1:5" ht="16.5" thickTop="1" thickBot="1" x14ac:dyDescent="0.3">
      <c r="A685" s="132">
        <v>158859</v>
      </c>
      <c r="B685" s="140" t="s">
        <v>1821</v>
      </c>
      <c r="C685" s="129"/>
      <c r="D685" s="115"/>
      <c r="E685" s="5"/>
    </row>
    <row r="686" spans="1:5" ht="16.5" thickTop="1" thickBot="1" x14ac:dyDescent="0.3">
      <c r="A686" s="132">
        <v>158860</v>
      </c>
      <c r="B686" s="136">
        <v>3190</v>
      </c>
      <c r="C686" s="124" t="s">
        <v>2522</v>
      </c>
      <c r="D686" s="115"/>
      <c r="E686" s="5"/>
    </row>
    <row r="687" spans="1:5" ht="16.5" thickTop="1" thickBot="1" x14ac:dyDescent="0.3">
      <c r="A687" s="132">
        <v>167251</v>
      </c>
      <c r="B687" s="140" t="s">
        <v>1821</v>
      </c>
      <c r="C687" s="129"/>
      <c r="D687" s="115">
        <v>35</v>
      </c>
      <c r="E687" s="5" t="s">
        <v>3003</v>
      </c>
    </row>
    <row r="688" spans="1:5" ht="16.5" thickTop="1" thickBot="1" x14ac:dyDescent="0.3">
      <c r="A688" s="132">
        <v>167460</v>
      </c>
      <c r="B688" s="140" t="s">
        <v>1821</v>
      </c>
      <c r="C688" s="129"/>
      <c r="D688" s="115">
        <v>25</v>
      </c>
      <c r="E688" s="5" t="s">
        <v>3002</v>
      </c>
    </row>
    <row r="689" spans="1:5" ht="16.5" thickTop="1" thickBot="1" x14ac:dyDescent="0.3">
      <c r="A689" s="132">
        <v>171772</v>
      </c>
      <c r="B689" s="136">
        <v>3190</v>
      </c>
      <c r="C689" s="124" t="s">
        <v>2518</v>
      </c>
      <c r="D689" s="115"/>
      <c r="E689" s="5"/>
    </row>
    <row r="690" spans="1:5" ht="16.5" thickTop="1" thickBot="1" x14ac:dyDescent="0.3">
      <c r="A690" s="132">
        <v>171773</v>
      </c>
      <c r="B690" s="136">
        <v>3890</v>
      </c>
      <c r="C690" s="124" t="s">
        <v>2517</v>
      </c>
      <c r="D690" s="115"/>
      <c r="E690" s="5"/>
    </row>
    <row r="691" spans="1:5" ht="16.5" thickTop="1" thickBot="1" x14ac:dyDescent="0.3">
      <c r="A691" s="132">
        <v>268256</v>
      </c>
      <c r="B691" s="136">
        <v>1090</v>
      </c>
      <c r="C691" s="124" t="s">
        <v>2516</v>
      </c>
      <c r="D691" s="115"/>
      <c r="E691" s="5"/>
    </row>
    <row r="692" spans="1:5" ht="16.5" thickTop="1" thickBot="1" x14ac:dyDescent="0.3">
      <c r="A692" s="132">
        <v>194114</v>
      </c>
      <c r="B692" s="138">
        <v>199</v>
      </c>
      <c r="C692" s="124" t="s">
        <v>2515</v>
      </c>
      <c r="D692" s="115">
        <v>160</v>
      </c>
      <c r="E692" s="5" t="s">
        <v>3001</v>
      </c>
    </row>
    <row r="693" spans="1:5" ht="16.5" thickTop="1" thickBot="1" x14ac:dyDescent="0.3">
      <c r="A693" s="132">
        <v>251649</v>
      </c>
      <c r="B693" s="140" t="s">
        <v>1821</v>
      </c>
      <c r="C693" s="129"/>
      <c r="D693" s="115"/>
      <c r="E693" s="5"/>
    </row>
    <row r="694" spans="1:5" ht="16.5" thickTop="1" thickBot="1" x14ac:dyDescent="0.3">
      <c r="A694" s="132">
        <v>331794</v>
      </c>
      <c r="B694" s="140" t="s">
        <v>1821</v>
      </c>
      <c r="C694" s="129"/>
      <c r="D694" s="115">
        <v>190</v>
      </c>
      <c r="E694" s="5" t="s">
        <v>3000</v>
      </c>
    </row>
    <row r="695" spans="1:5" ht="16.5" thickTop="1" thickBot="1" x14ac:dyDescent="0.3">
      <c r="A695" s="132">
        <v>202197</v>
      </c>
      <c r="B695" s="136">
        <v>290</v>
      </c>
      <c r="C695" s="124" t="s">
        <v>2519</v>
      </c>
      <c r="D695" s="115"/>
      <c r="E695" s="5"/>
    </row>
    <row r="696" spans="1:5" ht="16.5" thickTop="1" thickBot="1" x14ac:dyDescent="0.3">
      <c r="A696" s="132">
        <v>202097</v>
      </c>
      <c r="B696" s="136">
        <v>290</v>
      </c>
      <c r="C696" s="124" t="s">
        <v>2521</v>
      </c>
      <c r="D696" s="115"/>
      <c r="E696" s="5"/>
    </row>
    <row r="697" spans="1:5" ht="16.5" thickTop="1" thickBot="1" x14ac:dyDescent="0.3">
      <c r="A697" s="132">
        <v>202099</v>
      </c>
      <c r="B697" s="136">
        <v>329</v>
      </c>
      <c r="C697" s="124" t="s">
        <v>2520</v>
      </c>
      <c r="D697" s="115"/>
      <c r="E697" s="5"/>
    </row>
    <row r="698" spans="1:5" ht="16.5" thickTop="1" thickBot="1" x14ac:dyDescent="0.3">
      <c r="A698" s="132">
        <v>329100</v>
      </c>
      <c r="B698" s="136">
        <v>169</v>
      </c>
      <c r="C698" s="124" t="s">
        <v>2514</v>
      </c>
      <c r="D698" s="115">
        <v>105</v>
      </c>
      <c r="E698" s="5" t="s">
        <v>2999</v>
      </c>
    </row>
    <row r="699" spans="1:5" ht="16.5" thickTop="1" thickBot="1" x14ac:dyDescent="0.3">
      <c r="A699" s="132">
        <v>223291</v>
      </c>
      <c r="B699" s="136">
        <v>490</v>
      </c>
      <c r="C699" s="124" t="s">
        <v>2513</v>
      </c>
      <c r="D699" s="115"/>
      <c r="E699" s="5"/>
    </row>
    <row r="700" spans="1:5" ht="16.5" thickTop="1" thickBot="1" x14ac:dyDescent="0.3">
      <c r="A700" s="132">
        <v>346754</v>
      </c>
      <c r="B700" s="140">
        <v>129</v>
      </c>
      <c r="C700" s="124" t="s">
        <v>2744</v>
      </c>
      <c r="D700" s="115">
        <v>50</v>
      </c>
      <c r="E700" s="5" t="s">
        <v>2998</v>
      </c>
    </row>
    <row r="701" spans="1:5" ht="15.75" thickTop="1" x14ac:dyDescent="0.25">
      <c r="A701" s="132">
        <v>186398</v>
      </c>
      <c r="B701" s="139" t="s">
        <v>1821</v>
      </c>
      <c r="D701" s="115"/>
      <c r="E701" s="5"/>
    </row>
    <row r="702" spans="1:5" x14ac:dyDescent="0.25">
      <c r="A702" s="132"/>
      <c r="B702" s="139" t="s">
        <v>2207</v>
      </c>
      <c r="D702" s="115"/>
      <c r="E702" s="5"/>
    </row>
    <row r="703" spans="1:5" x14ac:dyDescent="0.25">
      <c r="A703" s="132"/>
      <c r="B703" s="139" t="s">
        <v>2207</v>
      </c>
      <c r="D703" s="115"/>
      <c r="E703" s="5"/>
    </row>
    <row r="704" spans="1:5" x14ac:dyDescent="0.25">
      <c r="A704" s="132"/>
      <c r="B704" s="139" t="s">
        <v>2207</v>
      </c>
      <c r="D704" s="115"/>
      <c r="E704" s="5"/>
    </row>
    <row r="705" spans="1:5" x14ac:dyDescent="0.25">
      <c r="A705" s="132"/>
      <c r="B705" s="139" t="s">
        <v>2207</v>
      </c>
      <c r="D705" s="115"/>
      <c r="E705" s="5"/>
    </row>
    <row r="706" spans="1:5" ht="15.75" thickBot="1" x14ac:dyDescent="0.3">
      <c r="A706" s="132">
        <v>186524</v>
      </c>
      <c r="B706" s="138">
        <v>849</v>
      </c>
      <c r="C706" s="124" t="s">
        <v>2343</v>
      </c>
      <c r="D706" s="115"/>
      <c r="E706" s="5"/>
    </row>
    <row r="707" spans="1:5" ht="15.75" thickTop="1" x14ac:dyDescent="0.25">
      <c r="A707" s="132"/>
      <c r="B707" s="139" t="s">
        <v>2207</v>
      </c>
      <c r="D707" s="115"/>
      <c r="E707" s="5"/>
    </row>
    <row r="708" spans="1:5" x14ac:dyDescent="0.25">
      <c r="A708" s="132"/>
      <c r="B708" s="139" t="s">
        <v>2207</v>
      </c>
      <c r="D708" s="115"/>
      <c r="E708" s="5"/>
    </row>
    <row r="709" spans="1:5" x14ac:dyDescent="0.25">
      <c r="A709" s="132"/>
      <c r="B709" s="139" t="s">
        <v>2207</v>
      </c>
      <c r="D709" s="115"/>
      <c r="E709" s="5"/>
    </row>
    <row r="710" spans="1:5" x14ac:dyDescent="0.25">
      <c r="A710" s="132"/>
      <c r="B710" s="139" t="s">
        <v>2207</v>
      </c>
      <c r="D710" s="115"/>
      <c r="E710" s="5"/>
    </row>
    <row r="711" spans="1:5" x14ac:dyDescent="0.25">
      <c r="A711" s="132">
        <v>186533</v>
      </c>
      <c r="B711" s="139" t="s">
        <v>1821</v>
      </c>
      <c r="D711" s="115"/>
      <c r="E711" s="5"/>
    </row>
    <row r="712" spans="1:5" x14ac:dyDescent="0.25">
      <c r="A712" s="132"/>
      <c r="B712" s="139" t="s">
        <v>2207</v>
      </c>
      <c r="D712" s="115"/>
      <c r="E712" s="5"/>
    </row>
    <row r="713" spans="1:5" x14ac:dyDescent="0.25">
      <c r="A713" s="132"/>
      <c r="B713" s="139">
        <v>390</v>
      </c>
      <c r="C713" s="124" t="s">
        <v>2599</v>
      </c>
      <c r="D713" s="115"/>
      <c r="E713" s="5"/>
    </row>
    <row r="714" spans="1:5" x14ac:dyDescent="0.25">
      <c r="A714" s="132"/>
      <c r="B714" s="139">
        <v>290</v>
      </c>
      <c r="C714" s="124" t="s">
        <v>2822</v>
      </c>
      <c r="D714" s="115"/>
      <c r="E714" s="5"/>
    </row>
    <row r="715" spans="1:5" ht="15.75" thickBot="1" x14ac:dyDescent="0.3">
      <c r="A715" s="132">
        <v>158348</v>
      </c>
      <c r="B715" s="138">
        <v>3490</v>
      </c>
      <c r="C715" s="124" t="s">
        <v>2327</v>
      </c>
      <c r="D715" s="115"/>
      <c r="E715" s="5"/>
    </row>
    <row r="716" spans="1:5" ht="15.75" thickTop="1" x14ac:dyDescent="0.25">
      <c r="A716" s="132"/>
      <c r="B716" s="139" t="s">
        <v>2207</v>
      </c>
      <c r="D716" s="115"/>
      <c r="E716" s="5"/>
    </row>
    <row r="717" spans="1:5" x14ac:dyDescent="0.25">
      <c r="A717" s="132"/>
      <c r="B717" s="139" t="s">
        <v>2207</v>
      </c>
      <c r="D717" s="115"/>
      <c r="E717" s="5"/>
    </row>
    <row r="718" spans="1:5" x14ac:dyDescent="0.25">
      <c r="A718" s="132"/>
      <c r="B718" s="139" t="s">
        <v>2207</v>
      </c>
      <c r="D718" s="115"/>
      <c r="E718" s="5"/>
    </row>
  </sheetData>
  <conditionalFormatting sqref="A4:A718">
    <cfRule type="expression" dxfId="1" priority="2">
      <formula>AND($Q4=0,$R4=0)</formula>
    </cfRule>
  </conditionalFormatting>
  <conditionalFormatting sqref="A3:A718">
    <cfRule type="expression" dxfId="0" priority="1">
      <formula>AND(ROUNDDOWN($Q3,0)=0,ROUNDDOWN($R3,0)=0)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r:id="rId5">
            <anchor moveWithCells="1">
              <from>
                <xdr:col>8</xdr:col>
                <xdr:colOff>457200</xdr:colOff>
                <xdr:row>4</xdr:row>
                <xdr:rowOff>152400</xdr:rowOff>
              </from>
              <to>
                <xdr:col>11</xdr:col>
                <xdr:colOff>590550</xdr:colOff>
                <xdr:row>8</xdr:row>
                <xdr:rowOff>0</xdr:rowOff>
              </to>
            </anchor>
          </controlPr>
        </control>
      </mc:Choice>
      <mc:Fallback>
        <control shapeId="7169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95DF4-79B2-4F41-A234-AA7B1B24439B}">
  <sheetPr codeName="Лист2">
    <tabColor rgb="FF92D050"/>
  </sheetPr>
  <dimension ref="A1:S1002"/>
  <sheetViews>
    <sheetView workbookViewId="0">
      <selection activeCell="H10" sqref="H10"/>
    </sheetView>
  </sheetViews>
  <sheetFormatPr defaultRowHeight="15" x14ac:dyDescent="0.25"/>
  <cols>
    <col min="1" max="3" width="11.140625" bestFit="1" customWidth="1"/>
    <col min="4" max="4" width="81.140625" bestFit="1" customWidth="1"/>
    <col min="5" max="5" width="28.28515625" bestFit="1" customWidth="1"/>
    <col min="6" max="6" width="81.140625" bestFit="1" customWidth="1"/>
    <col min="7" max="9" width="11.140625" bestFit="1" customWidth="1"/>
    <col min="10" max="19" width="12.140625" bestFit="1" customWidth="1"/>
  </cols>
  <sheetData>
    <row r="1" spans="1:19" x14ac:dyDescent="0.25">
      <c r="A1" t="s">
        <v>2383</v>
      </c>
      <c r="B1" t="s">
        <v>2384</v>
      </c>
      <c r="C1" t="s">
        <v>2681</v>
      </c>
      <c r="D1" t="s">
        <v>2682</v>
      </c>
      <c r="E1" t="s">
        <v>2683</v>
      </c>
      <c r="F1" t="s">
        <v>2387</v>
      </c>
      <c r="G1" t="s">
        <v>2388</v>
      </c>
      <c r="H1" t="s">
        <v>2389</v>
      </c>
      <c r="I1" t="s">
        <v>2390</v>
      </c>
      <c r="J1" t="s">
        <v>2391</v>
      </c>
      <c r="K1" t="s">
        <v>2392</v>
      </c>
      <c r="L1" t="s">
        <v>2393</v>
      </c>
      <c r="M1" t="s">
        <v>2394</v>
      </c>
      <c r="N1" t="s">
        <v>2395</v>
      </c>
      <c r="O1" t="s">
        <v>2396</v>
      </c>
      <c r="P1" t="s">
        <v>2397</v>
      </c>
      <c r="Q1" t="s">
        <v>2398</v>
      </c>
      <c r="R1" t="s">
        <v>2399</v>
      </c>
      <c r="S1" t="s">
        <v>2684</v>
      </c>
    </row>
    <row r="2" spans="1:19" x14ac:dyDescent="0.25">
      <c r="A2" s="47"/>
      <c r="D2" s="47"/>
      <c r="E2" s="47" t="s">
        <v>2400</v>
      </c>
      <c r="F2" t="s">
        <v>2400</v>
      </c>
    </row>
    <row r="3" spans="1:19" x14ac:dyDescent="0.25">
      <c r="A3" s="47" t="s">
        <v>2742</v>
      </c>
      <c r="B3" t="s">
        <v>2743</v>
      </c>
      <c r="D3" s="47" t="s">
        <v>2685</v>
      </c>
      <c r="E3" s="47" t="s">
        <v>2385</v>
      </c>
      <c r="F3" t="s">
        <v>2386</v>
      </c>
    </row>
    <row r="4" spans="1:19" x14ac:dyDescent="0.25">
      <c r="A4" s="47"/>
      <c r="B4" t="s">
        <v>0</v>
      </c>
      <c r="D4" s="47" t="s">
        <v>2491</v>
      </c>
      <c r="E4" s="47" t="s">
        <v>2969</v>
      </c>
      <c r="F4" t="s">
        <v>2969</v>
      </c>
      <c r="G4" t="s">
        <v>2491</v>
      </c>
      <c r="H4" t="s">
        <v>2969</v>
      </c>
    </row>
    <row r="5" spans="1:19" x14ac:dyDescent="0.25">
      <c r="A5" s="47" t="s">
        <v>2</v>
      </c>
      <c r="B5">
        <v>186830</v>
      </c>
      <c r="D5" s="47"/>
      <c r="E5" s="47"/>
      <c r="G5" t="s">
        <v>2686</v>
      </c>
      <c r="H5" t="s">
        <v>2686</v>
      </c>
    </row>
    <row r="6" spans="1:19" x14ac:dyDescent="0.25">
      <c r="A6" s="47" t="s">
        <v>2</v>
      </c>
      <c r="B6">
        <v>180517</v>
      </c>
      <c r="D6" s="47"/>
      <c r="E6" s="47"/>
      <c r="G6" t="s">
        <v>2686</v>
      </c>
      <c r="H6" t="s">
        <v>2686</v>
      </c>
    </row>
    <row r="7" spans="1:19" x14ac:dyDescent="0.25">
      <c r="A7" s="47" t="s">
        <v>2</v>
      </c>
      <c r="B7">
        <v>138872</v>
      </c>
      <c r="C7">
        <v>29</v>
      </c>
      <c r="D7" s="47" t="s">
        <v>2578</v>
      </c>
      <c r="E7" s="47"/>
      <c r="G7">
        <v>29</v>
      </c>
      <c r="H7" t="s">
        <v>2686</v>
      </c>
    </row>
    <row r="8" spans="1:19" x14ac:dyDescent="0.25">
      <c r="A8" s="47" t="s">
        <v>2</v>
      </c>
      <c r="B8">
        <v>201336</v>
      </c>
      <c r="D8" s="47"/>
      <c r="E8" s="47"/>
      <c r="G8" t="s">
        <v>2686</v>
      </c>
      <c r="H8" t="s">
        <v>2686</v>
      </c>
    </row>
    <row r="9" spans="1:19" x14ac:dyDescent="0.25">
      <c r="A9" s="47" t="s">
        <v>2</v>
      </c>
      <c r="B9">
        <v>225360</v>
      </c>
      <c r="C9">
        <v>49</v>
      </c>
      <c r="D9" s="47" t="s">
        <v>2766</v>
      </c>
      <c r="E9" s="47"/>
      <c r="G9">
        <v>49</v>
      </c>
      <c r="H9" t="s">
        <v>2686</v>
      </c>
    </row>
    <row r="10" spans="1:19" x14ac:dyDescent="0.25">
      <c r="A10" s="47" t="s">
        <v>2</v>
      </c>
      <c r="B10">
        <v>201463</v>
      </c>
      <c r="D10" s="47"/>
      <c r="E10" s="47"/>
      <c r="G10" t="s">
        <v>2686</v>
      </c>
      <c r="H10" t="s">
        <v>2686</v>
      </c>
    </row>
    <row r="11" spans="1:19" x14ac:dyDescent="0.25">
      <c r="A11" s="47" t="s">
        <v>2</v>
      </c>
      <c r="B11">
        <v>141791</v>
      </c>
      <c r="D11" s="47"/>
      <c r="E11" s="47"/>
      <c r="G11" t="s">
        <v>2686</v>
      </c>
      <c r="H11" t="s">
        <v>2686</v>
      </c>
    </row>
    <row r="12" spans="1:19" x14ac:dyDescent="0.25">
      <c r="A12" s="47" t="s">
        <v>2</v>
      </c>
      <c r="B12">
        <v>201462</v>
      </c>
      <c r="D12" s="47"/>
      <c r="E12" s="47"/>
      <c r="G12" t="s">
        <v>2686</v>
      </c>
      <c r="H12" t="s">
        <v>2686</v>
      </c>
    </row>
    <row r="13" spans="1:19" x14ac:dyDescent="0.25">
      <c r="A13" s="47" t="s">
        <v>2</v>
      </c>
      <c r="B13">
        <v>138871</v>
      </c>
      <c r="D13" s="47"/>
      <c r="E13" s="47"/>
      <c r="G13" t="s">
        <v>2686</v>
      </c>
      <c r="H13" t="s">
        <v>2686</v>
      </c>
    </row>
    <row r="14" spans="1:19" x14ac:dyDescent="0.25">
      <c r="A14" s="47" t="s">
        <v>2</v>
      </c>
      <c r="B14">
        <v>139794</v>
      </c>
      <c r="D14" s="47"/>
      <c r="E14" s="47" t="s">
        <v>2970</v>
      </c>
      <c r="F14" t="s">
        <v>2767</v>
      </c>
      <c r="G14" t="s">
        <v>2686</v>
      </c>
      <c r="H14">
        <v>25</v>
      </c>
    </row>
    <row r="15" spans="1:19" x14ac:dyDescent="0.25">
      <c r="A15" s="47" t="s">
        <v>2</v>
      </c>
      <c r="B15">
        <v>201510</v>
      </c>
      <c r="D15" s="47"/>
      <c r="E15" s="47"/>
      <c r="G15" t="s">
        <v>2686</v>
      </c>
      <c r="H15" t="s">
        <v>2686</v>
      </c>
    </row>
    <row r="16" spans="1:19" x14ac:dyDescent="0.25">
      <c r="A16" s="47" t="s">
        <v>2</v>
      </c>
      <c r="B16">
        <v>202083</v>
      </c>
      <c r="C16">
        <v>149</v>
      </c>
      <c r="D16" s="47" t="s">
        <v>2579</v>
      </c>
      <c r="E16" s="47"/>
      <c r="G16">
        <v>149</v>
      </c>
      <c r="H16" t="s">
        <v>2686</v>
      </c>
    </row>
    <row r="17" spans="1:8" x14ac:dyDescent="0.25">
      <c r="A17" s="47" t="s">
        <v>2</v>
      </c>
      <c r="B17">
        <v>194565</v>
      </c>
      <c r="C17">
        <v>69</v>
      </c>
      <c r="D17" s="47" t="s">
        <v>2580</v>
      </c>
      <c r="E17" s="47"/>
      <c r="G17">
        <v>69</v>
      </c>
      <c r="H17" t="s">
        <v>2686</v>
      </c>
    </row>
    <row r="18" spans="1:8" x14ac:dyDescent="0.25">
      <c r="A18" s="47" t="s">
        <v>2</v>
      </c>
      <c r="B18">
        <v>194610</v>
      </c>
      <c r="C18">
        <v>69</v>
      </c>
      <c r="D18" s="47" t="s">
        <v>2580</v>
      </c>
      <c r="E18" s="47"/>
      <c r="G18">
        <v>69</v>
      </c>
      <c r="H18" t="s">
        <v>2686</v>
      </c>
    </row>
    <row r="19" spans="1:8" x14ac:dyDescent="0.25">
      <c r="A19" s="47" t="s">
        <v>2</v>
      </c>
      <c r="B19">
        <v>201333</v>
      </c>
      <c r="D19" s="47"/>
      <c r="E19" s="47"/>
      <c r="G19" t="s">
        <v>2686</v>
      </c>
      <c r="H19" t="s">
        <v>2686</v>
      </c>
    </row>
    <row r="20" spans="1:8" x14ac:dyDescent="0.25">
      <c r="A20" s="47" t="s">
        <v>2</v>
      </c>
      <c r="B20">
        <v>139793</v>
      </c>
      <c r="C20">
        <v>129</v>
      </c>
      <c r="D20" s="47" t="s">
        <v>2581</v>
      </c>
      <c r="E20" s="47"/>
      <c r="G20">
        <v>129</v>
      </c>
      <c r="H20" t="s">
        <v>2686</v>
      </c>
    </row>
    <row r="21" spans="1:8" x14ac:dyDescent="0.25">
      <c r="A21" s="47" t="s">
        <v>2</v>
      </c>
      <c r="B21">
        <v>223270</v>
      </c>
      <c r="C21">
        <v>89</v>
      </c>
      <c r="D21" s="47" t="s">
        <v>2295</v>
      </c>
      <c r="E21" s="47"/>
      <c r="G21">
        <v>89</v>
      </c>
      <c r="H21" t="s">
        <v>2686</v>
      </c>
    </row>
    <row r="22" spans="1:8" x14ac:dyDescent="0.25">
      <c r="A22" s="47" t="s">
        <v>2</v>
      </c>
      <c r="B22">
        <v>223303</v>
      </c>
      <c r="C22">
        <v>69</v>
      </c>
      <c r="D22" s="47" t="s">
        <v>2294</v>
      </c>
      <c r="E22" s="47"/>
      <c r="G22">
        <v>69</v>
      </c>
      <c r="H22" t="s">
        <v>2686</v>
      </c>
    </row>
    <row r="23" spans="1:8" x14ac:dyDescent="0.25">
      <c r="A23" s="47" t="s">
        <v>2</v>
      </c>
      <c r="B23">
        <v>213314</v>
      </c>
      <c r="C23">
        <v>129</v>
      </c>
      <c r="D23" s="47" t="s">
        <v>2582</v>
      </c>
      <c r="E23" s="47"/>
      <c r="G23">
        <v>129</v>
      </c>
      <c r="H23" t="s">
        <v>2686</v>
      </c>
    </row>
    <row r="24" spans="1:8" x14ac:dyDescent="0.25">
      <c r="A24" s="47" t="s">
        <v>2</v>
      </c>
      <c r="B24">
        <v>181551</v>
      </c>
      <c r="D24" s="47"/>
      <c r="E24" s="47"/>
      <c r="G24" t="s">
        <v>2686</v>
      </c>
      <c r="H24" t="s">
        <v>2686</v>
      </c>
    </row>
    <row r="25" spans="1:8" x14ac:dyDescent="0.25">
      <c r="A25" s="47" t="s">
        <v>2</v>
      </c>
      <c r="B25">
        <v>194617</v>
      </c>
      <c r="D25" s="47"/>
      <c r="E25" s="47"/>
      <c r="G25" t="s">
        <v>2686</v>
      </c>
      <c r="H25" t="s">
        <v>2686</v>
      </c>
    </row>
    <row r="26" spans="1:8" x14ac:dyDescent="0.25">
      <c r="A26" s="47" t="s">
        <v>2</v>
      </c>
      <c r="B26">
        <v>201432</v>
      </c>
      <c r="C26">
        <v>129</v>
      </c>
      <c r="D26" s="47" t="s">
        <v>2346</v>
      </c>
      <c r="E26" s="47"/>
      <c r="G26">
        <v>129</v>
      </c>
      <c r="H26" t="s">
        <v>2686</v>
      </c>
    </row>
    <row r="27" spans="1:8" x14ac:dyDescent="0.25">
      <c r="A27" s="47" t="s">
        <v>2</v>
      </c>
      <c r="B27">
        <v>213291</v>
      </c>
      <c r="D27" s="47"/>
      <c r="E27" s="47" t="s">
        <v>2971</v>
      </c>
      <c r="F27" t="s">
        <v>2768</v>
      </c>
      <c r="G27" t="s">
        <v>2686</v>
      </c>
      <c r="H27">
        <v>65</v>
      </c>
    </row>
    <row r="28" spans="1:8" x14ac:dyDescent="0.25">
      <c r="A28" s="47" t="s">
        <v>2</v>
      </c>
      <c r="B28">
        <v>225912</v>
      </c>
      <c r="D28" s="47"/>
      <c r="E28" s="47"/>
      <c r="G28" t="s">
        <v>2686</v>
      </c>
      <c r="H28" t="s">
        <v>2686</v>
      </c>
    </row>
    <row r="29" spans="1:8" x14ac:dyDescent="0.25">
      <c r="A29" s="47" t="s">
        <v>2</v>
      </c>
      <c r="B29">
        <v>162924</v>
      </c>
      <c r="D29" s="47"/>
      <c r="E29" s="47"/>
      <c r="G29" t="s">
        <v>2686</v>
      </c>
      <c r="H29" t="s">
        <v>2686</v>
      </c>
    </row>
    <row r="30" spans="1:8" x14ac:dyDescent="0.25">
      <c r="A30" s="47" t="s">
        <v>2</v>
      </c>
      <c r="B30">
        <v>213290</v>
      </c>
      <c r="D30" s="47"/>
      <c r="E30" s="47" t="s">
        <v>2972</v>
      </c>
      <c r="F30" t="s">
        <v>2769</v>
      </c>
      <c r="G30" t="s">
        <v>2686</v>
      </c>
      <c r="H30">
        <v>60</v>
      </c>
    </row>
    <row r="31" spans="1:8" x14ac:dyDescent="0.25">
      <c r="A31" s="47" t="s">
        <v>2</v>
      </c>
      <c r="B31">
        <v>194573</v>
      </c>
      <c r="C31">
        <v>89</v>
      </c>
      <c r="D31" s="47" t="s">
        <v>2587</v>
      </c>
      <c r="E31" s="47"/>
      <c r="G31">
        <v>89</v>
      </c>
      <c r="H31" t="s">
        <v>2686</v>
      </c>
    </row>
    <row r="32" spans="1:8" x14ac:dyDescent="0.25">
      <c r="A32" s="47" t="s">
        <v>2</v>
      </c>
      <c r="B32">
        <v>223212</v>
      </c>
      <c r="D32" s="47"/>
      <c r="E32" s="47"/>
      <c r="G32" t="s">
        <v>2686</v>
      </c>
      <c r="H32" t="s">
        <v>2686</v>
      </c>
    </row>
    <row r="33" spans="1:8" x14ac:dyDescent="0.25">
      <c r="A33" s="47" t="s">
        <v>2</v>
      </c>
      <c r="B33">
        <v>213299</v>
      </c>
      <c r="D33" s="47"/>
      <c r="E33" s="47"/>
      <c r="G33" t="s">
        <v>2686</v>
      </c>
      <c r="H33" t="s">
        <v>2686</v>
      </c>
    </row>
    <row r="34" spans="1:8" x14ac:dyDescent="0.25">
      <c r="A34" s="47" t="s">
        <v>2</v>
      </c>
      <c r="B34">
        <v>213313</v>
      </c>
      <c r="C34">
        <v>129</v>
      </c>
      <c r="D34" s="47" t="s">
        <v>2583</v>
      </c>
      <c r="E34" s="47"/>
      <c r="G34">
        <v>129</v>
      </c>
      <c r="H34" t="s">
        <v>2686</v>
      </c>
    </row>
    <row r="35" spans="1:8" x14ac:dyDescent="0.25">
      <c r="A35" s="47" t="s">
        <v>2</v>
      </c>
      <c r="B35">
        <v>141794</v>
      </c>
      <c r="D35" s="47"/>
      <c r="E35" s="47"/>
      <c r="G35" t="s">
        <v>2686</v>
      </c>
      <c r="H35" t="s">
        <v>2686</v>
      </c>
    </row>
    <row r="36" spans="1:8" x14ac:dyDescent="0.25">
      <c r="A36" s="47" t="s">
        <v>2</v>
      </c>
      <c r="B36">
        <v>213366</v>
      </c>
      <c r="C36">
        <v>129</v>
      </c>
      <c r="D36" s="47" t="s">
        <v>2344</v>
      </c>
      <c r="E36" s="47"/>
      <c r="G36">
        <v>129</v>
      </c>
      <c r="H36" t="s">
        <v>2686</v>
      </c>
    </row>
    <row r="37" spans="1:8" x14ac:dyDescent="0.25">
      <c r="A37" s="47" t="s">
        <v>2</v>
      </c>
      <c r="B37">
        <v>213367</v>
      </c>
      <c r="C37">
        <v>129</v>
      </c>
      <c r="D37" s="47" t="s">
        <v>2344</v>
      </c>
      <c r="E37" s="47"/>
      <c r="G37">
        <v>129</v>
      </c>
      <c r="H37" t="s">
        <v>2686</v>
      </c>
    </row>
    <row r="38" spans="1:8" x14ac:dyDescent="0.25">
      <c r="A38" s="47" t="s">
        <v>2</v>
      </c>
      <c r="B38">
        <v>194574</v>
      </c>
      <c r="C38">
        <v>149</v>
      </c>
      <c r="D38" s="47" t="s">
        <v>2584</v>
      </c>
      <c r="E38" s="47"/>
      <c r="G38">
        <v>149</v>
      </c>
      <c r="H38" t="s">
        <v>2686</v>
      </c>
    </row>
    <row r="39" spans="1:8" x14ac:dyDescent="0.25">
      <c r="A39" s="47" t="s">
        <v>2</v>
      </c>
      <c r="B39">
        <v>223253</v>
      </c>
      <c r="D39" s="47"/>
      <c r="E39" s="47"/>
      <c r="G39" t="s">
        <v>2686</v>
      </c>
      <c r="H39" t="s">
        <v>2686</v>
      </c>
    </row>
    <row r="40" spans="1:8" x14ac:dyDescent="0.25">
      <c r="A40" s="47" t="s">
        <v>2</v>
      </c>
      <c r="B40">
        <v>213306</v>
      </c>
      <c r="D40" s="47"/>
      <c r="E40" s="47"/>
      <c r="G40" t="s">
        <v>2686</v>
      </c>
      <c r="H40" t="s">
        <v>2686</v>
      </c>
    </row>
    <row r="41" spans="1:8" x14ac:dyDescent="0.25">
      <c r="A41" s="47" t="s">
        <v>2</v>
      </c>
      <c r="B41">
        <v>213304</v>
      </c>
      <c r="D41" s="47"/>
      <c r="E41" s="47" t="s">
        <v>2973</v>
      </c>
      <c r="F41" t="s">
        <v>2770</v>
      </c>
      <c r="G41" t="s">
        <v>2686</v>
      </c>
      <c r="H41">
        <v>70</v>
      </c>
    </row>
    <row r="42" spans="1:8" x14ac:dyDescent="0.25">
      <c r="A42" s="47" t="s">
        <v>2</v>
      </c>
      <c r="B42">
        <v>213305</v>
      </c>
      <c r="D42" s="47"/>
      <c r="E42" s="47" t="s">
        <v>2974</v>
      </c>
      <c r="F42" t="s">
        <v>2771</v>
      </c>
      <c r="G42" t="s">
        <v>2686</v>
      </c>
      <c r="H42">
        <v>67</v>
      </c>
    </row>
    <row r="43" spans="1:8" x14ac:dyDescent="0.25">
      <c r="A43" s="47" t="s">
        <v>2</v>
      </c>
      <c r="B43">
        <v>213389</v>
      </c>
      <c r="C43">
        <v>129</v>
      </c>
      <c r="D43" s="47" t="s">
        <v>2585</v>
      </c>
      <c r="E43" s="47"/>
      <c r="G43">
        <v>129</v>
      </c>
      <c r="H43" t="s">
        <v>2686</v>
      </c>
    </row>
    <row r="44" spans="1:8" x14ac:dyDescent="0.25">
      <c r="A44" s="47" t="s">
        <v>2</v>
      </c>
      <c r="B44">
        <v>213387</v>
      </c>
      <c r="C44">
        <v>129</v>
      </c>
      <c r="D44" s="47" t="s">
        <v>2586</v>
      </c>
      <c r="E44" s="47"/>
      <c r="G44">
        <v>129</v>
      </c>
      <c r="H44" t="s">
        <v>2686</v>
      </c>
    </row>
    <row r="45" spans="1:8" x14ac:dyDescent="0.25">
      <c r="A45" s="47" t="s">
        <v>2</v>
      </c>
      <c r="B45">
        <v>194572</v>
      </c>
      <c r="C45">
        <v>129</v>
      </c>
      <c r="D45" s="47" t="s">
        <v>2553</v>
      </c>
      <c r="E45" s="47"/>
      <c r="G45">
        <v>129</v>
      </c>
      <c r="H45" t="s">
        <v>2686</v>
      </c>
    </row>
    <row r="46" spans="1:8" x14ac:dyDescent="0.25">
      <c r="A46" s="47" t="s">
        <v>2</v>
      </c>
      <c r="B46">
        <v>194874</v>
      </c>
      <c r="C46">
        <v>129</v>
      </c>
      <c r="D46" s="47" t="s">
        <v>2774</v>
      </c>
      <c r="E46" s="47" t="s">
        <v>2975</v>
      </c>
      <c r="F46" t="s">
        <v>2773</v>
      </c>
      <c r="G46">
        <v>129</v>
      </c>
      <c r="H46">
        <v>80</v>
      </c>
    </row>
    <row r="47" spans="1:8" x14ac:dyDescent="0.25">
      <c r="A47" s="47" t="s">
        <v>2</v>
      </c>
      <c r="B47">
        <v>141790</v>
      </c>
      <c r="D47" s="47"/>
      <c r="E47" s="47"/>
      <c r="G47" t="s">
        <v>2686</v>
      </c>
      <c r="H47" t="s">
        <v>2686</v>
      </c>
    </row>
    <row r="48" spans="1:8" x14ac:dyDescent="0.25">
      <c r="A48" s="47" t="s">
        <v>2</v>
      </c>
      <c r="B48">
        <v>213373</v>
      </c>
      <c r="C48">
        <v>129</v>
      </c>
      <c r="D48" s="47" t="s">
        <v>2345</v>
      </c>
      <c r="E48" s="47"/>
      <c r="G48">
        <v>129</v>
      </c>
      <c r="H48" t="s">
        <v>2686</v>
      </c>
    </row>
    <row r="49" spans="1:8" x14ac:dyDescent="0.25">
      <c r="A49" s="47" t="s">
        <v>2</v>
      </c>
      <c r="B49">
        <v>202084</v>
      </c>
      <c r="C49">
        <v>89</v>
      </c>
      <c r="D49" s="47" t="s">
        <v>2776</v>
      </c>
      <c r="E49" s="47"/>
      <c r="G49">
        <v>89</v>
      </c>
      <c r="H49" t="s">
        <v>2686</v>
      </c>
    </row>
    <row r="50" spans="1:8" x14ac:dyDescent="0.25">
      <c r="A50" s="47" t="s">
        <v>2</v>
      </c>
      <c r="B50">
        <v>194575</v>
      </c>
      <c r="C50">
        <v>149</v>
      </c>
      <c r="D50" s="47" t="s">
        <v>2772</v>
      </c>
      <c r="E50" s="47"/>
      <c r="G50">
        <v>149</v>
      </c>
      <c r="H50" t="s">
        <v>2686</v>
      </c>
    </row>
    <row r="51" spans="1:8" x14ac:dyDescent="0.25">
      <c r="A51" s="47" t="s">
        <v>2</v>
      </c>
      <c r="B51">
        <v>194873</v>
      </c>
      <c r="D51" s="47" t="s">
        <v>2774</v>
      </c>
      <c r="E51" s="47"/>
      <c r="G51">
        <v>129</v>
      </c>
      <c r="H51" t="s">
        <v>2686</v>
      </c>
    </row>
    <row r="52" spans="1:8" x14ac:dyDescent="0.25">
      <c r="A52" s="47" t="s">
        <v>2</v>
      </c>
      <c r="B52">
        <v>141795</v>
      </c>
      <c r="D52" s="47"/>
      <c r="E52" s="47"/>
      <c r="G52" t="s">
        <v>2686</v>
      </c>
      <c r="H52" t="s">
        <v>2686</v>
      </c>
    </row>
    <row r="53" spans="1:8" x14ac:dyDescent="0.25">
      <c r="A53" s="47" t="s">
        <v>2</v>
      </c>
      <c r="B53">
        <v>141808</v>
      </c>
      <c r="C53">
        <v>149</v>
      </c>
      <c r="D53" s="47" t="s">
        <v>2775</v>
      </c>
      <c r="E53" s="47"/>
      <c r="G53">
        <v>149</v>
      </c>
      <c r="H53" t="s">
        <v>2686</v>
      </c>
    </row>
    <row r="54" spans="1:8" x14ac:dyDescent="0.25">
      <c r="A54" s="47" t="s">
        <v>2</v>
      </c>
      <c r="B54">
        <v>202115</v>
      </c>
      <c r="D54" s="47"/>
      <c r="E54" s="47"/>
      <c r="G54" t="s">
        <v>2686</v>
      </c>
      <c r="H54" t="s">
        <v>2686</v>
      </c>
    </row>
    <row r="55" spans="1:8" x14ac:dyDescent="0.25">
      <c r="A55" s="47" t="s">
        <v>2</v>
      </c>
      <c r="B55">
        <v>181647</v>
      </c>
      <c r="C55">
        <v>159</v>
      </c>
      <c r="D55" s="47" t="s">
        <v>2778</v>
      </c>
      <c r="E55" s="47"/>
      <c r="G55">
        <v>159</v>
      </c>
      <c r="H55" t="s">
        <v>2686</v>
      </c>
    </row>
    <row r="56" spans="1:8" x14ac:dyDescent="0.25">
      <c r="A56" s="47" t="s">
        <v>2</v>
      </c>
      <c r="B56">
        <v>194569</v>
      </c>
      <c r="C56">
        <v>129</v>
      </c>
      <c r="D56" s="47" t="s">
        <v>2779</v>
      </c>
      <c r="E56" s="47"/>
      <c r="G56">
        <v>129</v>
      </c>
      <c r="H56" t="s">
        <v>2686</v>
      </c>
    </row>
    <row r="57" spans="1:8" x14ac:dyDescent="0.25">
      <c r="A57" s="47" t="s">
        <v>2</v>
      </c>
      <c r="B57">
        <v>194568</v>
      </c>
      <c r="C57">
        <v>129</v>
      </c>
      <c r="D57" s="47" t="s">
        <v>2780</v>
      </c>
      <c r="E57" s="47"/>
      <c r="G57">
        <v>129</v>
      </c>
      <c r="H57" t="s">
        <v>2686</v>
      </c>
    </row>
    <row r="58" spans="1:8" x14ac:dyDescent="0.25">
      <c r="A58" s="47" t="s">
        <v>2</v>
      </c>
      <c r="B58">
        <v>213295</v>
      </c>
      <c r="D58" s="47" t="s">
        <v>2781</v>
      </c>
      <c r="E58" s="47"/>
      <c r="G58">
        <v>129</v>
      </c>
      <c r="H58" t="s">
        <v>2686</v>
      </c>
    </row>
    <row r="59" spans="1:8" x14ac:dyDescent="0.25">
      <c r="A59" s="47" t="s">
        <v>2</v>
      </c>
      <c r="B59">
        <v>213294</v>
      </c>
      <c r="C59">
        <v>129</v>
      </c>
      <c r="D59" s="47" t="s">
        <v>2781</v>
      </c>
      <c r="E59" s="47"/>
      <c r="G59">
        <v>129</v>
      </c>
      <c r="H59" t="s">
        <v>2686</v>
      </c>
    </row>
    <row r="60" spans="1:8" x14ac:dyDescent="0.25">
      <c r="A60" s="47" t="s">
        <v>2</v>
      </c>
      <c r="B60">
        <v>213302</v>
      </c>
      <c r="D60" s="47"/>
      <c r="E60" s="47" t="s">
        <v>2976</v>
      </c>
      <c r="F60" t="s">
        <v>2784</v>
      </c>
      <c r="G60" t="s">
        <v>2686</v>
      </c>
      <c r="H60">
        <v>85</v>
      </c>
    </row>
    <row r="61" spans="1:8" x14ac:dyDescent="0.25">
      <c r="A61" s="47" t="s">
        <v>2</v>
      </c>
      <c r="B61">
        <v>213303</v>
      </c>
      <c r="D61" s="47"/>
      <c r="E61" s="47" t="s">
        <v>2976</v>
      </c>
      <c r="F61" t="s">
        <v>2783</v>
      </c>
      <c r="G61" t="s">
        <v>2686</v>
      </c>
      <c r="H61">
        <v>85</v>
      </c>
    </row>
    <row r="62" spans="1:8" x14ac:dyDescent="0.25">
      <c r="A62" s="47" t="s">
        <v>2</v>
      </c>
      <c r="B62">
        <v>213315</v>
      </c>
      <c r="D62" s="47"/>
      <c r="E62" s="47"/>
      <c r="G62" t="s">
        <v>2686</v>
      </c>
      <c r="H62" t="s">
        <v>2686</v>
      </c>
    </row>
    <row r="63" spans="1:8" x14ac:dyDescent="0.25">
      <c r="A63" s="47" t="s">
        <v>2</v>
      </c>
      <c r="B63">
        <v>223221</v>
      </c>
      <c r="D63" s="47"/>
      <c r="E63" s="47"/>
      <c r="G63" t="s">
        <v>2686</v>
      </c>
      <c r="H63" t="s">
        <v>2686</v>
      </c>
    </row>
    <row r="64" spans="1:8" x14ac:dyDescent="0.25">
      <c r="A64" s="47" t="s">
        <v>2</v>
      </c>
      <c r="B64">
        <v>202140</v>
      </c>
      <c r="C64">
        <v>189</v>
      </c>
      <c r="D64" s="47" t="s">
        <v>2785</v>
      </c>
      <c r="E64" s="47"/>
      <c r="G64">
        <v>189</v>
      </c>
      <c r="H64" t="s">
        <v>2686</v>
      </c>
    </row>
    <row r="65" spans="1:8" x14ac:dyDescent="0.25">
      <c r="A65" s="47" t="s">
        <v>2</v>
      </c>
      <c r="B65">
        <v>213300</v>
      </c>
      <c r="D65" s="47" t="s">
        <v>2786</v>
      </c>
      <c r="E65" s="47"/>
      <c r="G65">
        <v>149</v>
      </c>
      <c r="H65" t="s">
        <v>2686</v>
      </c>
    </row>
    <row r="66" spans="1:8" x14ac:dyDescent="0.25">
      <c r="A66" s="47" t="s">
        <v>2</v>
      </c>
      <c r="B66">
        <v>213301</v>
      </c>
      <c r="C66">
        <v>149</v>
      </c>
      <c r="D66" s="47" t="s">
        <v>2786</v>
      </c>
      <c r="E66" s="47"/>
      <c r="G66">
        <v>149</v>
      </c>
      <c r="H66" t="s">
        <v>2686</v>
      </c>
    </row>
    <row r="67" spans="1:8" x14ac:dyDescent="0.25">
      <c r="A67" s="47" t="s">
        <v>2</v>
      </c>
      <c r="B67">
        <v>204517</v>
      </c>
      <c r="C67">
        <v>169</v>
      </c>
      <c r="D67" s="47" t="s">
        <v>2788</v>
      </c>
      <c r="E67" s="47"/>
      <c r="G67">
        <v>169</v>
      </c>
      <c r="H67" t="s">
        <v>2686</v>
      </c>
    </row>
    <row r="68" spans="1:8" x14ac:dyDescent="0.25">
      <c r="A68" s="47" t="s">
        <v>2</v>
      </c>
      <c r="B68">
        <v>141807</v>
      </c>
      <c r="D68" s="47"/>
      <c r="E68" s="47"/>
      <c r="G68" t="s">
        <v>2686</v>
      </c>
      <c r="H68" t="s">
        <v>2686</v>
      </c>
    </row>
    <row r="69" spans="1:8" x14ac:dyDescent="0.25">
      <c r="A69" s="47" t="s">
        <v>2</v>
      </c>
      <c r="B69">
        <v>223254</v>
      </c>
      <c r="D69" s="47"/>
      <c r="E69" s="47"/>
      <c r="G69" t="s">
        <v>2686</v>
      </c>
      <c r="H69" t="s">
        <v>2686</v>
      </c>
    </row>
    <row r="70" spans="1:8" x14ac:dyDescent="0.25">
      <c r="A70" s="47" t="s">
        <v>2</v>
      </c>
      <c r="B70">
        <v>213308</v>
      </c>
      <c r="D70" s="47"/>
      <c r="E70" s="47"/>
      <c r="G70" t="s">
        <v>2686</v>
      </c>
      <c r="H70" t="s">
        <v>2686</v>
      </c>
    </row>
    <row r="71" spans="1:8" x14ac:dyDescent="0.25">
      <c r="A71" s="47" t="s">
        <v>2</v>
      </c>
      <c r="B71">
        <v>213310</v>
      </c>
      <c r="D71" s="47"/>
      <c r="E71" s="47"/>
      <c r="G71" t="s">
        <v>2686</v>
      </c>
      <c r="H71" t="s">
        <v>2686</v>
      </c>
    </row>
    <row r="72" spans="1:8" x14ac:dyDescent="0.25">
      <c r="A72" s="47" t="s">
        <v>2</v>
      </c>
      <c r="B72">
        <v>181552</v>
      </c>
      <c r="D72" s="47"/>
      <c r="E72" s="47"/>
      <c r="G72" t="s">
        <v>2686</v>
      </c>
      <c r="H72" t="s">
        <v>2686</v>
      </c>
    </row>
    <row r="73" spans="1:8" x14ac:dyDescent="0.25">
      <c r="A73" s="47" t="s">
        <v>2</v>
      </c>
      <c r="B73">
        <v>194865</v>
      </c>
      <c r="C73">
        <v>109</v>
      </c>
      <c r="D73" s="47" t="s">
        <v>2789</v>
      </c>
      <c r="E73" s="47"/>
      <c r="G73">
        <v>109</v>
      </c>
      <c r="H73" t="s">
        <v>2686</v>
      </c>
    </row>
    <row r="74" spans="1:8" x14ac:dyDescent="0.25">
      <c r="A74" s="47" t="s">
        <v>2</v>
      </c>
      <c r="B74">
        <v>201331</v>
      </c>
      <c r="C74">
        <v>169</v>
      </c>
      <c r="D74" s="47" t="s">
        <v>2790</v>
      </c>
      <c r="E74" s="47"/>
      <c r="G74">
        <v>169</v>
      </c>
      <c r="H74" t="s">
        <v>2686</v>
      </c>
    </row>
    <row r="75" spans="1:8" x14ac:dyDescent="0.25">
      <c r="A75" s="47" t="s">
        <v>2</v>
      </c>
      <c r="B75">
        <v>186680</v>
      </c>
      <c r="C75">
        <v>149</v>
      </c>
      <c r="D75" s="47" t="s">
        <v>2652</v>
      </c>
      <c r="E75" s="47"/>
      <c r="G75">
        <v>149</v>
      </c>
      <c r="H75" t="s">
        <v>2686</v>
      </c>
    </row>
    <row r="76" spans="1:8" x14ac:dyDescent="0.25">
      <c r="A76" s="47" t="s">
        <v>2</v>
      </c>
      <c r="B76">
        <v>158105</v>
      </c>
      <c r="C76">
        <v>159</v>
      </c>
      <c r="D76" s="47" t="s">
        <v>2791</v>
      </c>
      <c r="E76" s="47"/>
      <c r="G76">
        <v>159</v>
      </c>
      <c r="H76" t="s">
        <v>2686</v>
      </c>
    </row>
    <row r="77" spans="1:8" x14ac:dyDescent="0.25">
      <c r="A77" s="47" t="s">
        <v>2</v>
      </c>
      <c r="B77">
        <v>162925</v>
      </c>
      <c r="D77" s="47"/>
      <c r="E77" s="47"/>
      <c r="G77" t="s">
        <v>2686</v>
      </c>
      <c r="H77" t="s">
        <v>2686</v>
      </c>
    </row>
    <row r="78" spans="1:8" x14ac:dyDescent="0.25">
      <c r="A78" s="47" t="s">
        <v>2</v>
      </c>
      <c r="B78">
        <v>141793</v>
      </c>
      <c r="D78" s="47"/>
      <c r="E78" s="47"/>
      <c r="G78" t="s">
        <v>2686</v>
      </c>
      <c r="H78" t="s">
        <v>2686</v>
      </c>
    </row>
    <row r="79" spans="1:8" x14ac:dyDescent="0.25">
      <c r="A79" s="47" t="s">
        <v>2</v>
      </c>
      <c r="B79">
        <v>141810</v>
      </c>
      <c r="D79" s="47"/>
      <c r="E79" s="47" t="s">
        <v>2977</v>
      </c>
      <c r="F79" t="s">
        <v>2792</v>
      </c>
      <c r="G79" t="s">
        <v>2686</v>
      </c>
      <c r="H79" t="s">
        <v>2686</v>
      </c>
    </row>
    <row r="80" spans="1:8" x14ac:dyDescent="0.25">
      <c r="A80" s="47" t="s">
        <v>2</v>
      </c>
      <c r="B80">
        <v>141789</v>
      </c>
      <c r="D80" s="47"/>
      <c r="E80" s="47"/>
      <c r="G80" t="s">
        <v>2686</v>
      </c>
      <c r="H80" t="s">
        <v>2686</v>
      </c>
    </row>
    <row r="81" spans="1:8" x14ac:dyDescent="0.25">
      <c r="A81" s="47" t="s">
        <v>2</v>
      </c>
      <c r="B81">
        <v>186845</v>
      </c>
      <c r="D81" s="47"/>
      <c r="E81" s="47"/>
      <c r="G81" t="s">
        <v>2686</v>
      </c>
      <c r="H81" t="s">
        <v>2686</v>
      </c>
    </row>
    <row r="82" spans="1:8" x14ac:dyDescent="0.25">
      <c r="A82" s="47" t="s">
        <v>2</v>
      </c>
      <c r="B82">
        <v>213311</v>
      </c>
      <c r="D82" s="47"/>
      <c r="E82" s="47"/>
      <c r="G82" t="s">
        <v>2686</v>
      </c>
      <c r="H82" t="s">
        <v>2686</v>
      </c>
    </row>
    <row r="83" spans="1:8" x14ac:dyDescent="0.25">
      <c r="A83" s="47" t="s">
        <v>2</v>
      </c>
      <c r="B83">
        <v>213312</v>
      </c>
      <c r="C83">
        <v>149</v>
      </c>
      <c r="D83" s="47" t="s">
        <v>2793</v>
      </c>
      <c r="E83" s="47"/>
      <c r="G83">
        <v>149</v>
      </c>
      <c r="H83" t="s">
        <v>2686</v>
      </c>
    </row>
    <row r="84" spans="1:8" x14ac:dyDescent="0.25">
      <c r="A84" s="47" t="s">
        <v>2</v>
      </c>
      <c r="B84">
        <v>164751</v>
      </c>
      <c r="C84">
        <v>149</v>
      </c>
      <c r="D84" s="47" t="s">
        <v>2630</v>
      </c>
      <c r="E84" s="47"/>
      <c r="G84">
        <v>149</v>
      </c>
      <c r="H84" t="s">
        <v>2686</v>
      </c>
    </row>
    <row r="85" spans="1:8" x14ac:dyDescent="0.25">
      <c r="A85" s="47" t="s">
        <v>2</v>
      </c>
      <c r="B85">
        <v>225920</v>
      </c>
      <c r="C85">
        <v>189</v>
      </c>
      <c r="D85" s="47" t="s">
        <v>2794</v>
      </c>
      <c r="E85" s="47"/>
      <c r="G85">
        <v>189</v>
      </c>
      <c r="H85" t="s">
        <v>2686</v>
      </c>
    </row>
    <row r="86" spans="1:8" x14ac:dyDescent="0.25">
      <c r="A86" s="47" t="s">
        <v>2</v>
      </c>
      <c r="B86">
        <v>138896</v>
      </c>
      <c r="D86" s="47"/>
      <c r="E86" s="47"/>
      <c r="G86" t="s">
        <v>2686</v>
      </c>
      <c r="H86" t="s">
        <v>2686</v>
      </c>
    </row>
    <row r="87" spans="1:8" x14ac:dyDescent="0.25">
      <c r="A87" s="47" t="s">
        <v>2</v>
      </c>
      <c r="B87">
        <v>194864</v>
      </c>
      <c r="C87">
        <v>129</v>
      </c>
      <c r="D87" s="47" t="s">
        <v>2631</v>
      </c>
      <c r="E87" s="47"/>
      <c r="G87">
        <v>129</v>
      </c>
      <c r="H87" t="s">
        <v>2686</v>
      </c>
    </row>
    <row r="88" spans="1:8" x14ac:dyDescent="0.25">
      <c r="A88" s="47" t="s">
        <v>2</v>
      </c>
      <c r="B88">
        <v>186679</v>
      </c>
      <c r="D88" s="47"/>
      <c r="E88" s="47"/>
      <c r="G88" t="s">
        <v>2686</v>
      </c>
      <c r="H88" t="s">
        <v>2686</v>
      </c>
    </row>
    <row r="89" spans="1:8" x14ac:dyDescent="0.25">
      <c r="A89" s="47" t="s">
        <v>2</v>
      </c>
      <c r="B89">
        <v>213386</v>
      </c>
      <c r="C89">
        <v>129</v>
      </c>
      <c r="D89" s="47" t="s">
        <v>2586</v>
      </c>
      <c r="E89" s="47"/>
      <c r="G89">
        <v>129</v>
      </c>
      <c r="H89" t="s">
        <v>2686</v>
      </c>
    </row>
    <row r="90" spans="1:8" x14ac:dyDescent="0.25">
      <c r="A90" s="47" t="s">
        <v>2</v>
      </c>
      <c r="B90">
        <v>213388</v>
      </c>
      <c r="C90">
        <v>129</v>
      </c>
      <c r="D90" s="47" t="s">
        <v>2585</v>
      </c>
      <c r="E90" s="47"/>
      <c r="G90">
        <v>129</v>
      </c>
      <c r="H90" t="s">
        <v>2686</v>
      </c>
    </row>
    <row r="91" spans="1:8" x14ac:dyDescent="0.25">
      <c r="A91" s="47" t="s">
        <v>2</v>
      </c>
      <c r="B91">
        <v>139834</v>
      </c>
      <c r="D91" s="47"/>
      <c r="E91" s="47" t="s">
        <v>2978</v>
      </c>
      <c r="F91" t="s">
        <v>2795</v>
      </c>
      <c r="G91" t="s">
        <v>2686</v>
      </c>
      <c r="H91" t="s">
        <v>2686</v>
      </c>
    </row>
    <row r="92" spans="1:8" x14ac:dyDescent="0.25">
      <c r="A92" s="47" t="s">
        <v>2</v>
      </c>
      <c r="B92">
        <v>223215</v>
      </c>
      <c r="D92" s="47"/>
      <c r="E92" s="47"/>
      <c r="G92" t="s">
        <v>2686</v>
      </c>
      <c r="H92" t="s">
        <v>2686</v>
      </c>
    </row>
    <row r="93" spans="1:8" x14ac:dyDescent="0.25">
      <c r="A93" s="47" t="s">
        <v>2</v>
      </c>
      <c r="B93">
        <v>186655</v>
      </c>
      <c r="C93">
        <v>149</v>
      </c>
      <c r="D93" s="47" t="s">
        <v>2340</v>
      </c>
      <c r="E93" s="47"/>
      <c r="G93">
        <v>149</v>
      </c>
      <c r="H93" t="s">
        <v>2686</v>
      </c>
    </row>
    <row r="94" spans="1:8" x14ac:dyDescent="0.25">
      <c r="A94" s="47" t="s">
        <v>2</v>
      </c>
      <c r="B94">
        <v>141809</v>
      </c>
      <c r="C94">
        <v>189</v>
      </c>
      <c r="D94" s="47" t="s">
        <v>2796</v>
      </c>
      <c r="E94" s="47"/>
      <c r="G94">
        <v>189</v>
      </c>
      <c r="H94" t="s">
        <v>2686</v>
      </c>
    </row>
    <row r="95" spans="1:8" x14ac:dyDescent="0.25">
      <c r="A95" s="47" t="s">
        <v>2</v>
      </c>
      <c r="B95">
        <v>141812</v>
      </c>
      <c r="D95" s="47"/>
      <c r="E95" s="47"/>
      <c r="G95" t="s">
        <v>2686</v>
      </c>
      <c r="H95" t="s">
        <v>2686</v>
      </c>
    </row>
    <row r="96" spans="1:8" x14ac:dyDescent="0.25">
      <c r="A96" s="47" t="s">
        <v>2</v>
      </c>
      <c r="B96">
        <v>225060</v>
      </c>
      <c r="C96">
        <v>149</v>
      </c>
      <c r="D96" s="47" t="s">
        <v>2632</v>
      </c>
      <c r="E96" s="47"/>
      <c r="G96">
        <v>149</v>
      </c>
      <c r="H96" t="s">
        <v>2686</v>
      </c>
    </row>
    <row r="97" spans="1:8" x14ac:dyDescent="0.25">
      <c r="A97" s="47" t="s">
        <v>2</v>
      </c>
      <c r="B97">
        <v>186598</v>
      </c>
      <c r="C97">
        <v>149</v>
      </c>
      <c r="D97" s="47" t="s">
        <v>2633</v>
      </c>
      <c r="E97" s="47"/>
      <c r="G97">
        <v>149</v>
      </c>
      <c r="H97" t="s">
        <v>2686</v>
      </c>
    </row>
    <row r="98" spans="1:8" x14ac:dyDescent="0.25">
      <c r="A98" s="47" t="s">
        <v>2</v>
      </c>
      <c r="B98">
        <v>139797</v>
      </c>
      <c r="C98">
        <v>149</v>
      </c>
      <c r="D98" s="47" t="s">
        <v>2634</v>
      </c>
      <c r="E98" s="47"/>
      <c r="G98">
        <v>149</v>
      </c>
      <c r="H98" t="s">
        <v>2686</v>
      </c>
    </row>
    <row r="99" spans="1:8" x14ac:dyDescent="0.25">
      <c r="A99" s="47" t="s">
        <v>2</v>
      </c>
      <c r="B99">
        <v>158181</v>
      </c>
      <c r="C99">
        <v>129</v>
      </c>
      <c r="D99" s="47" t="s">
        <v>2296</v>
      </c>
      <c r="E99" s="47"/>
      <c r="G99">
        <v>129</v>
      </c>
      <c r="H99" t="s">
        <v>2686</v>
      </c>
    </row>
    <row r="100" spans="1:8" x14ac:dyDescent="0.25">
      <c r="A100" s="47" t="s">
        <v>2</v>
      </c>
      <c r="B100">
        <v>181311</v>
      </c>
      <c r="C100">
        <v>229</v>
      </c>
      <c r="D100" s="47" t="s">
        <v>2635</v>
      </c>
      <c r="E100" s="47"/>
      <c r="G100">
        <v>249</v>
      </c>
      <c r="H100" t="s">
        <v>2686</v>
      </c>
    </row>
    <row r="101" spans="1:8" x14ac:dyDescent="0.25">
      <c r="A101" s="47" t="s">
        <v>2</v>
      </c>
      <c r="B101">
        <v>223256</v>
      </c>
      <c r="D101" s="47"/>
      <c r="E101" s="47"/>
      <c r="G101" t="s">
        <v>2686</v>
      </c>
      <c r="H101" t="s">
        <v>2686</v>
      </c>
    </row>
    <row r="102" spans="1:8" x14ac:dyDescent="0.25">
      <c r="A102" s="47" t="s">
        <v>2</v>
      </c>
      <c r="B102">
        <v>223304</v>
      </c>
      <c r="C102">
        <v>169</v>
      </c>
      <c r="D102" s="47" t="s">
        <v>2297</v>
      </c>
      <c r="E102" s="47"/>
      <c r="G102">
        <v>169</v>
      </c>
      <c r="H102" t="s">
        <v>2686</v>
      </c>
    </row>
    <row r="103" spans="1:8" x14ac:dyDescent="0.25">
      <c r="A103" s="47" t="s">
        <v>2</v>
      </c>
      <c r="B103">
        <v>225361</v>
      </c>
      <c r="C103">
        <v>59</v>
      </c>
      <c r="D103" s="47" t="s">
        <v>2636</v>
      </c>
      <c r="E103" s="47"/>
      <c r="G103">
        <v>59</v>
      </c>
      <c r="H103" t="s">
        <v>2686</v>
      </c>
    </row>
    <row r="104" spans="1:8" x14ac:dyDescent="0.25">
      <c r="A104" s="47" t="s">
        <v>2</v>
      </c>
      <c r="B104">
        <v>186847</v>
      </c>
      <c r="D104" s="47"/>
      <c r="E104" s="47"/>
      <c r="G104" t="s">
        <v>2686</v>
      </c>
      <c r="H104" t="s">
        <v>2686</v>
      </c>
    </row>
    <row r="105" spans="1:8" x14ac:dyDescent="0.25">
      <c r="A105" s="47" t="s">
        <v>2</v>
      </c>
      <c r="B105">
        <v>225365</v>
      </c>
      <c r="C105">
        <v>149</v>
      </c>
      <c r="D105" s="47" t="s">
        <v>2637</v>
      </c>
      <c r="E105" s="47"/>
      <c r="G105">
        <v>149</v>
      </c>
      <c r="H105" t="s">
        <v>2686</v>
      </c>
    </row>
    <row r="106" spans="1:8" x14ac:dyDescent="0.25">
      <c r="A106" s="47" t="s">
        <v>2</v>
      </c>
      <c r="B106">
        <v>145220</v>
      </c>
      <c r="C106">
        <v>189</v>
      </c>
      <c r="D106" s="47" t="s">
        <v>2638</v>
      </c>
      <c r="E106" s="47"/>
      <c r="G106">
        <v>189</v>
      </c>
      <c r="H106" t="s">
        <v>2686</v>
      </c>
    </row>
    <row r="107" spans="1:8" x14ac:dyDescent="0.25">
      <c r="A107" s="47" t="s">
        <v>2</v>
      </c>
      <c r="B107">
        <v>224906</v>
      </c>
      <c r="C107">
        <v>290</v>
      </c>
      <c r="D107" s="47" t="s">
        <v>2639</v>
      </c>
      <c r="E107" s="47"/>
      <c r="G107">
        <v>290</v>
      </c>
      <c r="H107" t="s">
        <v>2686</v>
      </c>
    </row>
    <row r="108" spans="1:8" x14ac:dyDescent="0.25">
      <c r="A108" s="47" t="s">
        <v>2</v>
      </c>
      <c r="B108">
        <v>186656</v>
      </c>
      <c r="C108">
        <v>169</v>
      </c>
      <c r="D108" s="47" t="s">
        <v>2640</v>
      </c>
      <c r="E108" s="47"/>
      <c r="G108">
        <v>169</v>
      </c>
      <c r="H108" t="s">
        <v>2686</v>
      </c>
    </row>
    <row r="109" spans="1:8" x14ac:dyDescent="0.25">
      <c r="A109" s="47" t="s">
        <v>2</v>
      </c>
      <c r="B109">
        <v>213296</v>
      </c>
      <c r="D109" s="47"/>
      <c r="E109" s="47"/>
      <c r="G109" t="s">
        <v>2686</v>
      </c>
      <c r="H109" t="s">
        <v>2686</v>
      </c>
    </row>
    <row r="110" spans="1:8" x14ac:dyDescent="0.25">
      <c r="A110" s="47" t="s">
        <v>2</v>
      </c>
      <c r="B110">
        <v>202116</v>
      </c>
      <c r="D110" s="47"/>
      <c r="E110" s="47"/>
      <c r="G110" t="s">
        <v>2686</v>
      </c>
      <c r="H110" t="s">
        <v>2686</v>
      </c>
    </row>
    <row r="111" spans="1:8" x14ac:dyDescent="0.25">
      <c r="A111" s="47" t="s">
        <v>2</v>
      </c>
      <c r="B111">
        <v>213298</v>
      </c>
      <c r="C111">
        <v>169</v>
      </c>
      <c r="D111" s="47" t="s">
        <v>2514</v>
      </c>
      <c r="E111" s="47"/>
      <c r="G111">
        <v>169</v>
      </c>
      <c r="H111" t="s">
        <v>2686</v>
      </c>
    </row>
    <row r="112" spans="1:8" x14ac:dyDescent="0.25">
      <c r="A112" s="47" t="s">
        <v>2</v>
      </c>
      <c r="B112">
        <v>186676</v>
      </c>
      <c r="D112" s="47"/>
      <c r="E112" s="47"/>
      <c r="G112" t="s">
        <v>2686</v>
      </c>
      <c r="H112" t="s">
        <v>2686</v>
      </c>
    </row>
    <row r="113" spans="1:8" x14ac:dyDescent="0.25">
      <c r="A113" s="47" t="s">
        <v>2</v>
      </c>
      <c r="B113">
        <v>225919</v>
      </c>
      <c r="C113">
        <v>229</v>
      </c>
      <c r="D113" s="47" t="s">
        <v>2641</v>
      </c>
      <c r="E113" s="47"/>
      <c r="G113">
        <v>229</v>
      </c>
      <c r="H113" t="s">
        <v>2686</v>
      </c>
    </row>
    <row r="114" spans="1:8" x14ac:dyDescent="0.25">
      <c r="A114" s="47" t="s">
        <v>2</v>
      </c>
      <c r="B114">
        <v>181547</v>
      </c>
      <c r="C114">
        <v>89</v>
      </c>
      <c r="D114" s="47" t="s">
        <v>2642</v>
      </c>
      <c r="E114" s="47"/>
      <c r="G114">
        <v>89</v>
      </c>
      <c r="H114" t="s">
        <v>2686</v>
      </c>
    </row>
    <row r="115" spans="1:8" x14ac:dyDescent="0.25">
      <c r="A115" s="47" t="s">
        <v>2</v>
      </c>
      <c r="B115">
        <v>141826</v>
      </c>
      <c r="C115">
        <v>290</v>
      </c>
      <c r="D115" s="47" t="s">
        <v>2341</v>
      </c>
      <c r="E115" s="47"/>
      <c r="G115">
        <v>290</v>
      </c>
      <c r="H115" t="s">
        <v>2686</v>
      </c>
    </row>
    <row r="116" spans="1:8" x14ac:dyDescent="0.25">
      <c r="A116" s="47" t="s">
        <v>2</v>
      </c>
      <c r="B116">
        <v>141827</v>
      </c>
      <c r="C116">
        <v>329</v>
      </c>
      <c r="D116" s="47" t="s">
        <v>2342</v>
      </c>
      <c r="E116" s="47"/>
      <c r="G116">
        <v>329</v>
      </c>
      <c r="H116" t="s">
        <v>2686</v>
      </c>
    </row>
    <row r="117" spans="1:8" x14ac:dyDescent="0.25">
      <c r="A117" s="47" t="s">
        <v>2</v>
      </c>
      <c r="B117">
        <v>186591</v>
      </c>
      <c r="D117" s="47"/>
      <c r="E117" s="47"/>
      <c r="G117" t="s">
        <v>2686</v>
      </c>
      <c r="H117" t="s">
        <v>2686</v>
      </c>
    </row>
    <row r="118" spans="1:8" x14ac:dyDescent="0.25">
      <c r="A118" s="47" t="s">
        <v>2</v>
      </c>
      <c r="B118">
        <v>224908</v>
      </c>
      <c r="C118">
        <v>149</v>
      </c>
      <c r="D118" s="47" t="s">
        <v>2643</v>
      </c>
      <c r="E118" s="47"/>
      <c r="G118">
        <v>149</v>
      </c>
      <c r="H118" t="s">
        <v>2686</v>
      </c>
    </row>
    <row r="119" spans="1:8" x14ac:dyDescent="0.25">
      <c r="A119" s="47" t="s">
        <v>2</v>
      </c>
      <c r="B119">
        <v>194567</v>
      </c>
      <c r="C119">
        <v>129</v>
      </c>
      <c r="D119" s="47" t="s">
        <v>2644</v>
      </c>
      <c r="E119" s="47"/>
      <c r="G119">
        <v>129</v>
      </c>
      <c r="H119" t="s">
        <v>2686</v>
      </c>
    </row>
    <row r="120" spans="1:8" x14ac:dyDescent="0.25">
      <c r="A120" s="47" t="s">
        <v>2</v>
      </c>
      <c r="B120">
        <v>202108</v>
      </c>
      <c r="C120">
        <v>189</v>
      </c>
      <c r="D120" s="47" t="s">
        <v>2645</v>
      </c>
      <c r="E120" s="47"/>
      <c r="G120">
        <v>189</v>
      </c>
      <c r="H120" t="s">
        <v>2686</v>
      </c>
    </row>
    <row r="121" spans="1:8" x14ac:dyDescent="0.25">
      <c r="A121" s="47" t="s">
        <v>2</v>
      </c>
      <c r="B121">
        <v>186696</v>
      </c>
      <c r="D121" s="47"/>
      <c r="E121" s="47"/>
      <c r="G121" t="s">
        <v>2686</v>
      </c>
      <c r="H121" t="s">
        <v>2686</v>
      </c>
    </row>
    <row r="122" spans="1:8" x14ac:dyDescent="0.25">
      <c r="A122" s="47" t="s">
        <v>2</v>
      </c>
      <c r="B122">
        <v>213136</v>
      </c>
      <c r="C122">
        <v>149</v>
      </c>
      <c r="D122" s="47" t="s">
        <v>2798</v>
      </c>
      <c r="E122" s="47"/>
      <c r="G122">
        <v>149</v>
      </c>
      <c r="H122" t="s">
        <v>2686</v>
      </c>
    </row>
    <row r="123" spans="1:8" x14ac:dyDescent="0.25">
      <c r="A123" s="47" t="s">
        <v>2</v>
      </c>
      <c r="B123">
        <v>153070</v>
      </c>
      <c r="C123">
        <v>169</v>
      </c>
      <c r="D123" s="47" t="s">
        <v>2349</v>
      </c>
      <c r="E123" s="47"/>
      <c r="G123">
        <v>169</v>
      </c>
      <c r="H123" t="s">
        <v>2686</v>
      </c>
    </row>
    <row r="124" spans="1:8" x14ac:dyDescent="0.25">
      <c r="A124" s="47" t="s">
        <v>2</v>
      </c>
      <c r="B124">
        <v>186701</v>
      </c>
      <c r="D124" s="47"/>
      <c r="E124" s="47"/>
      <c r="G124" t="s">
        <v>2686</v>
      </c>
      <c r="H124" t="s">
        <v>2686</v>
      </c>
    </row>
    <row r="125" spans="1:8" x14ac:dyDescent="0.25">
      <c r="A125" s="47" t="s">
        <v>2</v>
      </c>
      <c r="B125">
        <v>225055</v>
      </c>
      <c r="C125">
        <v>149</v>
      </c>
      <c r="D125" s="47" t="s">
        <v>2646</v>
      </c>
      <c r="E125" s="47"/>
      <c r="G125">
        <v>149</v>
      </c>
      <c r="H125" t="s">
        <v>2686</v>
      </c>
    </row>
    <row r="126" spans="1:8" x14ac:dyDescent="0.25">
      <c r="A126" s="47" t="s">
        <v>2</v>
      </c>
      <c r="B126">
        <v>225917</v>
      </c>
      <c r="C126">
        <v>369</v>
      </c>
      <c r="D126" s="47" t="s">
        <v>2797</v>
      </c>
      <c r="E126" s="47"/>
      <c r="G126">
        <v>369</v>
      </c>
      <c r="H126" t="s">
        <v>2686</v>
      </c>
    </row>
    <row r="127" spans="1:8" x14ac:dyDescent="0.25">
      <c r="A127" s="47" t="s">
        <v>2</v>
      </c>
      <c r="B127">
        <v>204299</v>
      </c>
      <c r="C127">
        <v>199</v>
      </c>
      <c r="D127" s="47" t="s">
        <v>2647</v>
      </c>
      <c r="E127" s="47"/>
      <c r="G127">
        <v>199</v>
      </c>
      <c r="H127" t="s">
        <v>2686</v>
      </c>
    </row>
    <row r="128" spans="1:8" x14ac:dyDescent="0.25">
      <c r="A128" s="47" t="s">
        <v>2</v>
      </c>
      <c r="B128">
        <v>186771</v>
      </c>
      <c r="C128">
        <v>169</v>
      </c>
      <c r="D128" s="47" t="s">
        <v>2648</v>
      </c>
      <c r="E128" s="47"/>
      <c r="G128">
        <v>169</v>
      </c>
      <c r="H128" t="s">
        <v>2686</v>
      </c>
    </row>
    <row r="129" spans="1:8" x14ac:dyDescent="0.25">
      <c r="A129" s="47" t="s">
        <v>2</v>
      </c>
      <c r="B129">
        <v>186686</v>
      </c>
      <c r="D129" s="47"/>
      <c r="E129" s="47"/>
      <c r="G129" t="s">
        <v>2686</v>
      </c>
      <c r="H129" t="s">
        <v>2686</v>
      </c>
    </row>
    <row r="130" spans="1:8" x14ac:dyDescent="0.25">
      <c r="A130" s="47" t="s">
        <v>2</v>
      </c>
      <c r="B130">
        <v>186687</v>
      </c>
      <c r="C130">
        <v>169</v>
      </c>
      <c r="D130" s="47" t="s">
        <v>2649</v>
      </c>
      <c r="E130" s="47"/>
      <c r="G130">
        <v>169</v>
      </c>
      <c r="H130" t="s">
        <v>2686</v>
      </c>
    </row>
    <row r="131" spans="1:8" x14ac:dyDescent="0.25">
      <c r="A131" s="47" t="s">
        <v>2</v>
      </c>
      <c r="B131">
        <v>225395</v>
      </c>
      <c r="C131">
        <v>199</v>
      </c>
      <c r="D131" s="47" t="s">
        <v>2799</v>
      </c>
      <c r="E131" s="47"/>
      <c r="G131">
        <v>199</v>
      </c>
      <c r="H131" t="s">
        <v>2686</v>
      </c>
    </row>
    <row r="132" spans="1:8" x14ac:dyDescent="0.25">
      <c r="A132" s="47" t="s">
        <v>2</v>
      </c>
      <c r="B132">
        <v>186682</v>
      </c>
      <c r="C132">
        <v>89</v>
      </c>
      <c r="D132" s="47" t="s">
        <v>2650</v>
      </c>
      <c r="E132" s="47"/>
      <c r="G132">
        <v>89</v>
      </c>
      <c r="H132" t="s">
        <v>2686</v>
      </c>
    </row>
    <row r="133" spans="1:8" x14ac:dyDescent="0.25">
      <c r="A133" s="47" t="s">
        <v>2</v>
      </c>
      <c r="B133">
        <v>186555</v>
      </c>
      <c r="C133">
        <v>349</v>
      </c>
      <c r="D133" s="47" t="s">
        <v>2651</v>
      </c>
      <c r="E133" s="47"/>
      <c r="G133">
        <v>349</v>
      </c>
      <c r="H133" t="s">
        <v>2686</v>
      </c>
    </row>
    <row r="134" spans="1:8" x14ac:dyDescent="0.25">
      <c r="A134" s="47" t="s">
        <v>2</v>
      </c>
      <c r="B134">
        <v>186688</v>
      </c>
      <c r="D134" s="47"/>
      <c r="E134" s="47"/>
      <c r="G134" t="s">
        <v>2686</v>
      </c>
      <c r="H134" t="s">
        <v>2686</v>
      </c>
    </row>
    <row r="135" spans="1:8" x14ac:dyDescent="0.25">
      <c r="A135" s="47" t="s">
        <v>2</v>
      </c>
      <c r="B135">
        <v>158351</v>
      </c>
      <c r="C135">
        <v>398</v>
      </c>
      <c r="D135" s="47" t="s">
        <v>2620</v>
      </c>
      <c r="E135" s="47"/>
      <c r="G135">
        <v>199</v>
      </c>
      <c r="H135" t="s">
        <v>2686</v>
      </c>
    </row>
    <row r="136" spans="1:8" x14ac:dyDescent="0.25">
      <c r="A136" s="47" t="s">
        <v>2</v>
      </c>
      <c r="B136">
        <v>153071</v>
      </c>
      <c r="D136" s="47"/>
      <c r="E136" s="47"/>
      <c r="G136" t="s">
        <v>2686</v>
      </c>
      <c r="H136" t="s">
        <v>2686</v>
      </c>
    </row>
    <row r="137" spans="1:8" x14ac:dyDescent="0.25">
      <c r="A137" s="47" t="s">
        <v>2</v>
      </c>
      <c r="B137">
        <v>186567</v>
      </c>
      <c r="C137">
        <v>229</v>
      </c>
      <c r="D137" s="47" t="s">
        <v>2800</v>
      </c>
      <c r="E137" s="47"/>
      <c r="G137">
        <v>229</v>
      </c>
      <c r="H137" t="s">
        <v>2686</v>
      </c>
    </row>
    <row r="138" spans="1:8" x14ac:dyDescent="0.25">
      <c r="A138" s="47" t="s">
        <v>2</v>
      </c>
      <c r="B138">
        <v>186566</v>
      </c>
      <c r="C138">
        <v>229</v>
      </c>
      <c r="D138" s="47" t="s">
        <v>2800</v>
      </c>
      <c r="E138" s="47"/>
      <c r="G138">
        <v>229</v>
      </c>
      <c r="H138" t="s">
        <v>2686</v>
      </c>
    </row>
    <row r="139" spans="1:8" x14ac:dyDescent="0.25">
      <c r="A139" s="47" t="s">
        <v>2</v>
      </c>
      <c r="B139">
        <v>186689</v>
      </c>
      <c r="D139" s="47"/>
      <c r="E139" s="47"/>
      <c r="G139" t="s">
        <v>2686</v>
      </c>
      <c r="H139" t="s">
        <v>2686</v>
      </c>
    </row>
    <row r="140" spans="1:8" x14ac:dyDescent="0.25">
      <c r="A140" s="47" t="s">
        <v>2</v>
      </c>
      <c r="B140">
        <v>186563</v>
      </c>
      <c r="C140">
        <v>229</v>
      </c>
      <c r="D140" s="47" t="s">
        <v>2801</v>
      </c>
      <c r="E140" s="47"/>
      <c r="G140">
        <v>229</v>
      </c>
      <c r="H140" t="s">
        <v>2686</v>
      </c>
    </row>
    <row r="141" spans="1:8" x14ac:dyDescent="0.25">
      <c r="A141" s="47" t="s">
        <v>2</v>
      </c>
      <c r="B141">
        <v>138833</v>
      </c>
      <c r="C141">
        <v>389</v>
      </c>
      <c r="D141" s="47" t="s">
        <v>2622</v>
      </c>
      <c r="E141" s="47"/>
      <c r="G141">
        <v>389</v>
      </c>
      <c r="H141" t="s">
        <v>2686</v>
      </c>
    </row>
    <row r="142" spans="1:8" x14ac:dyDescent="0.25">
      <c r="A142" s="47" t="s">
        <v>2</v>
      </c>
      <c r="B142">
        <v>213289</v>
      </c>
      <c r="D142" s="47"/>
      <c r="E142" s="47"/>
      <c r="G142" t="s">
        <v>2686</v>
      </c>
      <c r="H142" t="s">
        <v>2686</v>
      </c>
    </row>
    <row r="143" spans="1:8" x14ac:dyDescent="0.25">
      <c r="A143" s="47" t="s">
        <v>2</v>
      </c>
      <c r="B143">
        <v>213292</v>
      </c>
      <c r="C143">
        <v>169</v>
      </c>
      <c r="D143" s="47" t="s">
        <v>2802</v>
      </c>
      <c r="E143" s="47"/>
      <c r="G143">
        <v>169</v>
      </c>
      <c r="H143" t="s">
        <v>2686</v>
      </c>
    </row>
    <row r="144" spans="1:8" x14ac:dyDescent="0.25">
      <c r="A144" s="47" t="s">
        <v>2</v>
      </c>
      <c r="B144">
        <v>186677</v>
      </c>
      <c r="C144">
        <v>299</v>
      </c>
      <c r="D144" s="47" t="s">
        <v>2675</v>
      </c>
      <c r="E144" s="47"/>
      <c r="G144">
        <v>299</v>
      </c>
      <c r="H144" t="s">
        <v>2686</v>
      </c>
    </row>
    <row r="145" spans="1:8" x14ac:dyDescent="0.25">
      <c r="A145" s="47" t="s">
        <v>2</v>
      </c>
      <c r="B145">
        <v>224899</v>
      </c>
      <c r="C145">
        <v>169</v>
      </c>
      <c r="D145" s="47" t="s">
        <v>2804</v>
      </c>
      <c r="E145" s="47" t="s">
        <v>2979</v>
      </c>
      <c r="F145" t="s">
        <v>2803</v>
      </c>
      <c r="G145">
        <v>169</v>
      </c>
      <c r="H145">
        <v>180</v>
      </c>
    </row>
    <row r="146" spans="1:8" x14ac:dyDescent="0.25">
      <c r="A146" s="47" t="s">
        <v>2</v>
      </c>
      <c r="B146">
        <v>141813</v>
      </c>
      <c r="C146">
        <v>219</v>
      </c>
      <c r="D146" s="47" t="s">
        <v>2805</v>
      </c>
      <c r="E146" s="47"/>
      <c r="G146">
        <v>219</v>
      </c>
      <c r="H146" t="s">
        <v>2686</v>
      </c>
    </row>
    <row r="147" spans="1:8" x14ac:dyDescent="0.25">
      <c r="A147" s="47" t="s">
        <v>2</v>
      </c>
      <c r="B147">
        <v>202109</v>
      </c>
      <c r="C147">
        <v>189</v>
      </c>
      <c r="D147" s="47" t="s">
        <v>2645</v>
      </c>
      <c r="E147" s="47"/>
      <c r="G147">
        <v>189</v>
      </c>
      <c r="H147" t="s">
        <v>2686</v>
      </c>
    </row>
    <row r="148" spans="1:8" x14ac:dyDescent="0.25">
      <c r="A148" s="47" t="s">
        <v>2</v>
      </c>
      <c r="B148">
        <v>186564</v>
      </c>
      <c r="C148">
        <v>190</v>
      </c>
      <c r="D148" s="47" t="s">
        <v>2806</v>
      </c>
      <c r="E148" s="47"/>
      <c r="G148">
        <v>190</v>
      </c>
      <c r="H148" t="s">
        <v>2686</v>
      </c>
    </row>
    <row r="149" spans="1:8" x14ac:dyDescent="0.25">
      <c r="A149" s="47" t="s">
        <v>2</v>
      </c>
      <c r="B149">
        <v>223705</v>
      </c>
      <c r="C149">
        <v>229</v>
      </c>
      <c r="D149" s="47" t="s">
        <v>2807</v>
      </c>
      <c r="E149" s="47"/>
      <c r="G149">
        <v>229</v>
      </c>
      <c r="H149" t="s">
        <v>2686</v>
      </c>
    </row>
    <row r="150" spans="1:8" x14ac:dyDescent="0.25">
      <c r="A150" s="47" t="s">
        <v>2</v>
      </c>
      <c r="B150">
        <v>186569</v>
      </c>
      <c r="D150" s="47"/>
      <c r="E150" s="47"/>
      <c r="G150" t="s">
        <v>2686</v>
      </c>
      <c r="H150" t="s">
        <v>2686</v>
      </c>
    </row>
    <row r="151" spans="1:8" x14ac:dyDescent="0.25">
      <c r="A151" s="47" t="s">
        <v>2</v>
      </c>
      <c r="B151">
        <v>180670</v>
      </c>
      <c r="C151">
        <v>590</v>
      </c>
      <c r="D151" s="47" t="s">
        <v>2616</v>
      </c>
      <c r="E151" s="47"/>
      <c r="G151">
        <v>590</v>
      </c>
      <c r="H151" t="s">
        <v>2686</v>
      </c>
    </row>
    <row r="152" spans="1:8" x14ac:dyDescent="0.25">
      <c r="A152" s="47" t="s">
        <v>2</v>
      </c>
      <c r="B152">
        <v>186694</v>
      </c>
      <c r="C152">
        <v>159</v>
      </c>
      <c r="D152" s="47" t="s">
        <v>2654</v>
      </c>
      <c r="E152" s="47"/>
      <c r="G152">
        <v>159</v>
      </c>
      <c r="H152" t="s">
        <v>2686</v>
      </c>
    </row>
    <row r="153" spans="1:8" x14ac:dyDescent="0.25">
      <c r="A153" s="47" t="s">
        <v>2</v>
      </c>
      <c r="B153">
        <v>186695</v>
      </c>
      <c r="D153" s="47"/>
      <c r="E153" s="47"/>
      <c r="G153" t="s">
        <v>2686</v>
      </c>
      <c r="H153" t="s">
        <v>2686</v>
      </c>
    </row>
    <row r="154" spans="1:8" x14ac:dyDescent="0.25">
      <c r="A154" s="47" t="s">
        <v>2</v>
      </c>
      <c r="B154">
        <v>186586</v>
      </c>
      <c r="C154">
        <v>129</v>
      </c>
      <c r="D154" s="47" t="s">
        <v>2808</v>
      </c>
      <c r="E154" s="47"/>
      <c r="G154">
        <v>129</v>
      </c>
      <c r="H154" t="s">
        <v>2686</v>
      </c>
    </row>
    <row r="155" spans="1:8" x14ac:dyDescent="0.25">
      <c r="A155" s="47" t="s">
        <v>2</v>
      </c>
      <c r="B155">
        <v>186587</v>
      </c>
      <c r="C155">
        <v>179</v>
      </c>
      <c r="D155" s="47" t="s">
        <v>2809</v>
      </c>
      <c r="E155" s="47"/>
      <c r="G155">
        <v>179</v>
      </c>
      <c r="H155" t="s">
        <v>2686</v>
      </c>
    </row>
    <row r="156" spans="1:8" x14ac:dyDescent="0.25">
      <c r="A156" s="47" t="s">
        <v>2</v>
      </c>
      <c r="B156">
        <v>186589</v>
      </c>
      <c r="C156">
        <v>129</v>
      </c>
      <c r="D156" s="47" t="s">
        <v>2808</v>
      </c>
      <c r="E156" s="47"/>
      <c r="G156">
        <v>129</v>
      </c>
      <c r="H156" t="s">
        <v>2686</v>
      </c>
    </row>
    <row r="157" spans="1:8" x14ac:dyDescent="0.25">
      <c r="A157" s="47" t="s">
        <v>2</v>
      </c>
      <c r="B157">
        <v>186565</v>
      </c>
      <c r="D157" s="47"/>
      <c r="E157" s="47"/>
      <c r="G157" t="s">
        <v>2686</v>
      </c>
      <c r="H157" t="s">
        <v>2686</v>
      </c>
    </row>
    <row r="158" spans="1:8" x14ac:dyDescent="0.25">
      <c r="A158" s="47" t="s">
        <v>2</v>
      </c>
      <c r="B158">
        <v>186571</v>
      </c>
      <c r="C158">
        <v>190</v>
      </c>
      <c r="D158" s="47" t="s">
        <v>2810</v>
      </c>
      <c r="E158" s="47"/>
      <c r="G158">
        <v>190</v>
      </c>
      <c r="H158" t="s">
        <v>2686</v>
      </c>
    </row>
    <row r="159" spans="1:8" x14ac:dyDescent="0.25">
      <c r="A159" s="47" t="s">
        <v>2</v>
      </c>
      <c r="B159">
        <v>204180</v>
      </c>
      <c r="D159" s="47"/>
      <c r="E159" s="47"/>
      <c r="G159" t="s">
        <v>2686</v>
      </c>
      <c r="H159" t="s">
        <v>2686</v>
      </c>
    </row>
    <row r="160" spans="1:8" x14ac:dyDescent="0.25">
      <c r="A160" s="47" t="s">
        <v>2</v>
      </c>
      <c r="B160">
        <v>204183</v>
      </c>
      <c r="D160" s="47"/>
      <c r="E160" s="47"/>
      <c r="G160" t="s">
        <v>2686</v>
      </c>
      <c r="H160" t="s">
        <v>2686</v>
      </c>
    </row>
    <row r="161" spans="1:8" x14ac:dyDescent="0.25">
      <c r="A161" s="47" t="s">
        <v>2</v>
      </c>
      <c r="B161">
        <v>158273</v>
      </c>
      <c r="C161">
        <v>380</v>
      </c>
      <c r="D161" s="47" t="s">
        <v>2621</v>
      </c>
      <c r="E161" s="47"/>
      <c r="G161">
        <v>190</v>
      </c>
      <c r="H161" t="s">
        <v>2686</v>
      </c>
    </row>
    <row r="162" spans="1:8" x14ac:dyDescent="0.25">
      <c r="A162" s="47" t="s">
        <v>2</v>
      </c>
      <c r="B162">
        <v>139796</v>
      </c>
      <c r="C162">
        <v>149</v>
      </c>
      <c r="D162" s="47" t="s">
        <v>2811</v>
      </c>
      <c r="E162" s="47"/>
      <c r="G162">
        <v>149</v>
      </c>
      <c r="H162" t="s">
        <v>2686</v>
      </c>
    </row>
    <row r="163" spans="1:8" x14ac:dyDescent="0.25">
      <c r="A163" s="47" t="s">
        <v>2</v>
      </c>
      <c r="B163">
        <v>181646</v>
      </c>
      <c r="C163">
        <v>249</v>
      </c>
      <c r="D163" s="47" t="s">
        <v>2813</v>
      </c>
      <c r="E163" s="47"/>
      <c r="G163">
        <v>249</v>
      </c>
      <c r="H163" t="s">
        <v>2686</v>
      </c>
    </row>
    <row r="164" spans="1:8" x14ac:dyDescent="0.25">
      <c r="A164" s="47" t="s">
        <v>2</v>
      </c>
      <c r="B164">
        <v>223706</v>
      </c>
      <c r="C164">
        <v>229</v>
      </c>
      <c r="D164" s="47" t="s">
        <v>2807</v>
      </c>
      <c r="E164" s="47"/>
      <c r="G164">
        <v>229</v>
      </c>
      <c r="H164" t="s">
        <v>2686</v>
      </c>
    </row>
    <row r="165" spans="1:8" x14ac:dyDescent="0.25">
      <c r="A165" s="47" t="s">
        <v>2</v>
      </c>
      <c r="B165">
        <v>186590</v>
      </c>
      <c r="C165">
        <v>190</v>
      </c>
      <c r="D165" s="47" t="s">
        <v>2814</v>
      </c>
      <c r="E165" s="47"/>
      <c r="G165">
        <v>190</v>
      </c>
      <c r="H165" t="s">
        <v>2686</v>
      </c>
    </row>
    <row r="166" spans="1:8" x14ac:dyDescent="0.25">
      <c r="A166" s="47" t="s">
        <v>2</v>
      </c>
      <c r="B166">
        <v>159546</v>
      </c>
      <c r="D166" s="47"/>
      <c r="E166" s="47"/>
      <c r="G166" t="s">
        <v>2686</v>
      </c>
      <c r="H166" t="s">
        <v>2686</v>
      </c>
    </row>
    <row r="167" spans="1:8" x14ac:dyDescent="0.25">
      <c r="A167" s="47" t="s">
        <v>2</v>
      </c>
      <c r="B167">
        <v>225397</v>
      </c>
      <c r="C167">
        <v>199</v>
      </c>
      <c r="D167" s="47" t="s">
        <v>2816</v>
      </c>
      <c r="E167" s="47"/>
      <c r="G167">
        <v>199</v>
      </c>
      <c r="H167" t="s">
        <v>2686</v>
      </c>
    </row>
    <row r="168" spans="1:8" x14ac:dyDescent="0.25">
      <c r="A168" s="47" t="s">
        <v>2</v>
      </c>
      <c r="B168">
        <v>139798</v>
      </c>
      <c r="C168">
        <v>149</v>
      </c>
      <c r="D168" s="47" t="s">
        <v>2812</v>
      </c>
      <c r="E168" s="47"/>
      <c r="G168">
        <v>149</v>
      </c>
      <c r="H168" t="s">
        <v>2686</v>
      </c>
    </row>
    <row r="169" spans="1:8" x14ac:dyDescent="0.25">
      <c r="A169" s="47" t="s">
        <v>2</v>
      </c>
      <c r="B169">
        <v>225916</v>
      </c>
      <c r="C169">
        <v>190</v>
      </c>
      <c r="D169" s="47" t="s">
        <v>2815</v>
      </c>
      <c r="E169" s="47"/>
      <c r="G169">
        <v>190</v>
      </c>
      <c r="H169" t="s">
        <v>2686</v>
      </c>
    </row>
    <row r="170" spans="1:8" x14ac:dyDescent="0.25">
      <c r="A170" s="47" t="s">
        <v>2</v>
      </c>
      <c r="B170">
        <v>186557</v>
      </c>
      <c r="C170">
        <v>269</v>
      </c>
      <c r="D170" s="47" t="s">
        <v>2661</v>
      </c>
      <c r="E170" s="47"/>
      <c r="G170">
        <v>269</v>
      </c>
      <c r="H170" t="s">
        <v>2686</v>
      </c>
    </row>
    <row r="171" spans="1:8" x14ac:dyDescent="0.25">
      <c r="A171" s="47" t="s">
        <v>2</v>
      </c>
      <c r="B171">
        <v>186568</v>
      </c>
      <c r="C171">
        <v>290</v>
      </c>
      <c r="D171" s="47" t="s">
        <v>2817</v>
      </c>
      <c r="E171" s="47"/>
      <c r="G171">
        <v>290</v>
      </c>
      <c r="H171" t="s">
        <v>2686</v>
      </c>
    </row>
    <row r="172" spans="1:8" x14ac:dyDescent="0.25">
      <c r="A172" s="47" t="s">
        <v>2</v>
      </c>
      <c r="B172">
        <v>186588</v>
      </c>
      <c r="C172">
        <v>190</v>
      </c>
      <c r="D172" s="47" t="s">
        <v>2818</v>
      </c>
      <c r="E172" s="47"/>
      <c r="G172">
        <v>190</v>
      </c>
      <c r="H172" t="s">
        <v>2686</v>
      </c>
    </row>
    <row r="173" spans="1:8" x14ac:dyDescent="0.25">
      <c r="A173" s="47" t="s">
        <v>2</v>
      </c>
      <c r="B173">
        <v>186668</v>
      </c>
      <c r="C173">
        <v>190</v>
      </c>
      <c r="D173" s="47" t="s">
        <v>2818</v>
      </c>
      <c r="E173" s="47"/>
      <c r="G173">
        <v>190</v>
      </c>
      <c r="H173" t="s">
        <v>2686</v>
      </c>
    </row>
    <row r="174" spans="1:8" x14ac:dyDescent="0.25">
      <c r="A174" s="47" t="s">
        <v>2</v>
      </c>
      <c r="B174">
        <v>204301</v>
      </c>
      <c r="C174">
        <v>199</v>
      </c>
      <c r="D174" s="47" t="s">
        <v>2647</v>
      </c>
      <c r="E174" s="47"/>
      <c r="G174">
        <v>199</v>
      </c>
      <c r="H174" t="s">
        <v>2686</v>
      </c>
    </row>
    <row r="175" spans="1:8" x14ac:dyDescent="0.25">
      <c r="A175" s="47" t="s">
        <v>2</v>
      </c>
      <c r="B175">
        <v>225985</v>
      </c>
      <c r="C175">
        <v>229</v>
      </c>
      <c r="D175" s="47" t="s">
        <v>2819</v>
      </c>
      <c r="E175" s="47"/>
      <c r="G175">
        <v>229</v>
      </c>
      <c r="H175" t="s">
        <v>2686</v>
      </c>
    </row>
    <row r="176" spans="1:8" x14ac:dyDescent="0.25">
      <c r="A176" s="47" t="s">
        <v>2</v>
      </c>
      <c r="B176">
        <v>202111</v>
      </c>
      <c r="C176">
        <v>229</v>
      </c>
      <c r="D176" s="47" t="s">
        <v>2820</v>
      </c>
      <c r="E176" s="47"/>
      <c r="G176">
        <v>229</v>
      </c>
      <c r="H176" t="s">
        <v>2686</v>
      </c>
    </row>
    <row r="177" spans="1:8" x14ac:dyDescent="0.25">
      <c r="A177" s="47" t="s">
        <v>2</v>
      </c>
      <c r="B177">
        <v>202110</v>
      </c>
      <c r="D177" s="47"/>
      <c r="E177" s="47"/>
      <c r="G177" t="s">
        <v>2686</v>
      </c>
      <c r="H177" t="s">
        <v>2686</v>
      </c>
    </row>
    <row r="178" spans="1:8" x14ac:dyDescent="0.25">
      <c r="A178" s="47" t="s">
        <v>2</v>
      </c>
      <c r="B178">
        <v>139792</v>
      </c>
      <c r="C178">
        <v>290</v>
      </c>
      <c r="D178" s="47" t="s">
        <v>2821</v>
      </c>
      <c r="E178" s="47"/>
      <c r="G178">
        <v>290</v>
      </c>
      <c r="H178" t="s">
        <v>2686</v>
      </c>
    </row>
    <row r="179" spans="1:8" x14ac:dyDescent="0.25">
      <c r="A179" s="47" t="s">
        <v>2</v>
      </c>
      <c r="B179">
        <v>186831</v>
      </c>
      <c r="C179">
        <v>290</v>
      </c>
      <c r="D179" s="47" t="s">
        <v>2822</v>
      </c>
      <c r="E179" s="47"/>
      <c r="G179">
        <v>290</v>
      </c>
      <c r="H179" t="s">
        <v>2686</v>
      </c>
    </row>
    <row r="180" spans="1:8" x14ac:dyDescent="0.25">
      <c r="A180" s="47" t="s">
        <v>2</v>
      </c>
      <c r="B180">
        <v>213309</v>
      </c>
      <c r="D180" s="47"/>
      <c r="E180" s="47"/>
      <c r="G180" t="s">
        <v>2686</v>
      </c>
      <c r="H180" t="s">
        <v>2686</v>
      </c>
    </row>
    <row r="181" spans="1:8" x14ac:dyDescent="0.25">
      <c r="A181" s="47" t="s">
        <v>2</v>
      </c>
      <c r="B181">
        <v>202085</v>
      </c>
      <c r="C181">
        <v>190</v>
      </c>
      <c r="D181" s="47" t="s">
        <v>2824</v>
      </c>
      <c r="E181" s="47"/>
      <c r="G181">
        <v>190</v>
      </c>
      <c r="H181" t="s">
        <v>2686</v>
      </c>
    </row>
    <row r="182" spans="1:8" x14ac:dyDescent="0.25">
      <c r="A182" s="47" t="s">
        <v>2</v>
      </c>
      <c r="B182">
        <v>138805</v>
      </c>
      <c r="C182">
        <v>490</v>
      </c>
      <c r="D182" s="47" t="s">
        <v>2623</v>
      </c>
      <c r="E182" s="47"/>
      <c r="G182">
        <v>490</v>
      </c>
      <c r="H182" t="s">
        <v>2686</v>
      </c>
    </row>
    <row r="183" spans="1:8" x14ac:dyDescent="0.25">
      <c r="A183" s="47" t="s">
        <v>2</v>
      </c>
      <c r="B183">
        <v>138804</v>
      </c>
      <c r="C183">
        <v>490</v>
      </c>
      <c r="D183" s="47" t="s">
        <v>2623</v>
      </c>
      <c r="E183" s="47"/>
      <c r="G183">
        <v>490</v>
      </c>
      <c r="H183" t="s">
        <v>2686</v>
      </c>
    </row>
    <row r="184" spans="1:8" x14ac:dyDescent="0.25">
      <c r="A184" s="47" t="s">
        <v>2</v>
      </c>
      <c r="B184">
        <v>186581</v>
      </c>
      <c r="C184">
        <v>179</v>
      </c>
      <c r="D184" s="47" t="s">
        <v>2809</v>
      </c>
      <c r="E184" s="47"/>
      <c r="G184">
        <v>179</v>
      </c>
      <c r="H184" t="s">
        <v>2686</v>
      </c>
    </row>
    <row r="185" spans="1:8" x14ac:dyDescent="0.25">
      <c r="A185" s="47" t="s">
        <v>2</v>
      </c>
      <c r="B185">
        <v>186553</v>
      </c>
      <c r="C185">
        <v>269</v>
      </c>
      <c r="D185" s="47" t="s">
        <v>2676</v>
      </c>
      <c r="E185" s="47"/>
      <c r="G185">
        <v>269</v>
      </c>
      <c r="H185" t="s">
        <v>2686</v>
      </c>
    </row>
    <row r="186" spans="1:8" x14ac:dyDescent="0.25">
      <c r="A186" s="47" t="s">
        <v>2</v>
      </c>
      <c r="B186">
        <v>186554</v>
      </c>
      <c r="D186" s="47"/>
      <c r="E186" s="47"/>
      <c r="G186" t="s">
        <v>2686</v>
      </c>
      <c r="H186" t="s">
        <v>2686</v>
      </c>
    </row>
    <row r="187" spans="1:8" x14ac:dyDescent="0.25">
      <c r="A187" s="47" t="s">
        <v>2</v>
      </c>
      <c r="B187">
        <v>204352</v>
      </c>
      <c r="C187">
        <v>258</v>
      </c>
      <c r="D187" s="47" t="s">
        <v>2825</v>
      </c>
      <c r="E187" s="47"/>
      <c r="G187">
        <v>129</v>
      </c>
      <c r="H187" t="s">
        <v>2686</v>
      </c>
    </row>
    <row r="188" spans="1:8" x14ac:dyDescent="0.25">
      <c r="A188" s="47" t="s">
        <v>2</v>
      </c>
      <c r="B188">
        <v>226006</v>
      </c>
      <c r="C188">
        <v>179</v>
      </c>
      <c r="D188" s="47" t="s">
        <v>2543</v>
      </c>
      <c r="E188" s="47"/>
      <c r="G188">
        <v>179</v>
      </c>
      <c r="H188" t="s">
        <v>2686</v>
      </c>
    </row>
    <row r="189" spans="1:8" x14ac:dyDescent="0.25">
      <c r="A189" s="47" t="s">
        <v>2</v>
      </c>
      <c r="B189">
        <v>153068</v>
      </c>
      <c r="C189">
        <v>149</v>
      </c>
      <c r="D189" s="47" t="s">
        <v>2347</v>
      </c>
      <c r="E189" s="47"/>
      <c r="G189">
        <v>149</v>
      </c>
      <c r="H189" t="s">
        <v>2686</v>
      </c>
    </row>
    <row r="190" spans="1:8" x14ac:dyDescent="0.25">
      <c r="A190" s="47" t="s">
        <v>2</v>
      </c>
      <c r="B190">
        <v>202167</v>
      </c>
      <c r="D190" s="47"/>
      <c r="E190" s="47"/>
      <c r="G190" t="s">
        <v>2686</v>
      </c>
      <c r="H190" t="s">
        <v>2686</v>
      </c>
    </row>
    <row r="191" spans="1:8" x14ac:dyDescent="0.25">
      <c r="A191" s="47" t="s">
        <v>2</v>
      </c>
      <c r="B191">
        <v>202114</v>
      </c>
      <c r="C191">
        <v>249</v>
      </c>
      <c r="D191" s="47" t="s">
        <v>2823</v>
      </c>
      <c r="E191" s="47"/>
      <c r="G191">
        <v>249</v>
      </c>
      <c r="H191" t="s">
        <v>2686</v>
      </c>
    </row>
    <row r="192" spans="1:8" x14ac:dyDescent="0.25">
      <c r="A192" s="47" t="s">
        <v>2</v>
      </c>
      <c r="B192">
        <v>225915</v>
      </c>
      <c r="C192">
        <v>190</v>
      </c>
      <c r="D192" s="47" t="s">
        <v>2368</v>
      </c>
      <c r="E192" s="47"/>
      <c r="G192">
        <v>190</v>
      </c>
      <c r="H192" t="s">
        <v>2686</v>
      </c>
    </row>
    <row r="193" spans="1:8" x14ac:dyDescent="0.25">
      <c r="A193" s="47" t="s">
        <v>2</v>
      </c>
      <c r="B193">
        <v>201330</v>
      </c>
      <c r="C193">
        <v>290</v>
      </c>
      <c r="D193" s="47" t="s">
        <v>2348</v>
      </c>
      <c r="E193" s="47"/>
      <c r="G193">
        <v>290</v>
      </c>
      <c r="H193" t="s">
        <v>2686</v>
      </c>
    </row>
    <row r="194" spans="1:8" x14ac:dyDescent="0.25">
      <c r="A194" s="47" t="s">
        <v>2</v>
      </c>
      <c r="B194">
        <v>186556</v>
      </c>
      <c r="D194" s="47"/>
      <c r="E194" s="47"/>
      <c r="G194" t="s">
        <v>2686</v>
      </c>
      <c r="H194" t="s">
        <v>2686</v>
      </c>
    </row>
    <row r="195" spans="1:8" x14ac:dyDescent="0.25">
      <c r="A195" s="47" t="s">
        <v>2</v>
      </c>
      <c r="B195">
        <v>225426</v>
      </c>
      <c r="C195">
        <v>590</v>
      </c>
      <c r="D195" s="47" t="s">
        <v>2826</v>
      </c>
      <c r="E195" s="47"/>
      <c r="G195">
        <v>590</v>
      </c>
      <c r="H195" t="s">
        <v>2686</v>
      </c>
    </row>
    <row r="196" spans="1:8" x14ac:dyDescent="0.25">
      <c r="A196" s="47" t="s">
        <v>2</v>
      </c>
      <c r="B196">
        <v>153072</v>
      </c>
      <c r="C196">
        <v>169</v>
      </c>
      <c r="D196" s="47" t="s">
        <v>2349</v>
      </c>
      <c r="E196" s="47"/>
      <c r="G196">
        <v>169</v>
      </c>
      <c r="H196" t="s">
        <v>2686</v>
      </c>
    </row>
    <row r="197" spans="1:8" x14ac:dyDescent="0.25">
      <c r="A197" s="47" t="s">
        <v>2</v>
      </c>
      <c r="B197">
        <v>225389</v>
      </c>
      <c r="C197">
        <v>169</v>
      </c>
      <c r="D197" s="47" t="s">
        <v>2827</v>
      </c>
      <c r="E197" s="47"/>
      <c r="G197">
        <v>169</v>
      </c>
      <c r="H197" t="s">
        <v>2686</v>
      </c>
    </row>
    <row r="198" spans="1:8" x14ac:dyDescent="0.25">
      <c r="A198" s="47" t="s">
        <v>2</v>
      </c>
      <c r="B198">
        <v>186685</v>
      </c>
      <c r="D198" s="47"/>
      <c r="E198" s="47"/>
      <c r="G198" t="s">
        <v>2686</v>
      </c>
      <c r="H198" t="s">
        <v>2686</v>
      </c>
    </row>
    <row r="199" spans="1:8" x14ac:dyDescent="0.25">
      <c r="A199" s="47" t="s">
        <v>2</v>
      </c>
      <c r="B199">
        <v>186657</v>
      </c>
      <c r="C199">
        <v>299</v>
      </c>
      <c r="D199" s="47" t="s">
        <v>2653</v>
      </c>
      <c r="E199" s="47"/>
      <c r="G199">
        <v>299</v>
      </c>
      <c r="H199" t="s">
        <v>2686</v>
      </c>
    </row>
    <row r="200" spans="1:8" x14ac:dyDescent="0.25">
      <c r="A200" s="47" t="s">
        <v>2</v>
      </c>
      <c r="B200">
        <v>186658</v>
      </c>
      <c r="C200">
        <v>299</v>
      </c>
      <c r="D200" s="47" t="s">
        <v>2653</v>
      </c>
      <c r="E200" s="47"/>
      <c r="G200">
        <v>299</v>
      </c>
      <c r="H200" t="s">
        <v>2686</v>
      </c>
    </row>
    <row r="201" spans="1:8" x14ac:dyDescent="0.25">
      <c r="A201" s="47" t="s">
        <v>2</v>
      </c>
      <c r="B201">
        <v>213159</v>
      </c>
      <c r="C201">
        <v>229</v>
      </c>
      <c r="D201" s="47" t="s">
        <v>2828</v>
      </c>
      <c r="E201" s="47"/>
      <c r="G201">
        <v>229</v>
      </c>
      <c r="H201" t="s">
        <v>2686</v>
      </c>
    </row>
    <row r="202" spans="1:8" x14ac:dyDescent="0.25">
      <c r="A202" s="47" t="s">
        <v>2</v>
      </c>
      <c r="B202">
        <v>186684</v>
      </c>
      <c r="C202">
        <v>169</v>
      </c>
      <c r="D202" s="47" t="s">
        <v>2655</v>
      </c>
      <c r="E202" s="47"/>
      <c r="G202">
        <v>169</v>
      </c>
      <c r="H202" t="s">
        <v>2686</v>
      </c>
    </row>
    <row r="203" spans="1:8" x14ac:dyDescent="0.25">
      <c r="A203" s="47" t="s">
        <v>2</v>
      </c>
      <c r="B203">
        <v>158294</v>
      </c>
      <c r="C203">
        <v>390</v>
      </c>
      <c r="D203" s="47" t="s">
        <v>2624</v>
      </c>
      <c r="E203" s="47"/>
      <c r="G203">
        <v>390</v>
      </c>
      <c r="H203" t="s">
        <v>2686</v>
      </c>
    </row>
    <row r="204" spans="1:8" x14ac:dyDescent="0.25">
      <c r="A204" s="47" t="s">
        <v>2</v>
      </c>
      <c r="B204">
        <v>204308</v>
      </c>
      <c r="C204">
        <v>229</v>
      </c>
      <c r="D204" s="47" t="s">
        <v>2829</v>
      </c>
      <c r="E204" s="47"/>
      <c r="G204">
        <v>229</v>
      </c>
      <c r="H204" t="s">
        <v>2686</v>
      </c>
    </row>
    <row r="205" spans="1:8" x14ac:dyDescent="0.25">
      <c r="A205" s="47" t="s">
        <v>2</v>
      </c>
      <c r="B205">
        <v>180515</v>
      </c>
      <c r="D205" s="47"/>
      <c r="E205" s="47"/>
      <c r="G205" t="s">
        <v>2686</v>
      </c>
      <c r="H205" t="s">
        <v>2686</v>
      </c>
    </row>
    <row r="206" spans="1:8" x14ac:dyDescent="0.25">
      <c r="A206" s="47" t="s">
        <v>2</v>
      </c>
      <c r="B206">
        <v>225983</v>
      </c>
      <c r="D206" s="47"/>
      <c r="E206" s="47"/>
      <c r="G206" t="s">
        <v>2686</v>
      </c>
      <c r="H206" t="s">
        <v>2686</v>
      </c>
    </row>
    <row r="207" spans="1:8" x14ac:dyDescent="0.25">
      <c r="A207" s="47" t="s">
        <v>2</v>
      </c>
      <c r="B207">
        <v>201334</v>
      </c>
      <c r="C207">
        <v>169</v>
      </c>
      <c r="D207" s="47" t="s">
        <v>2830</v>
      </c>
      <c r="E207" s="47"/>
      <c r="G207">
        <v>169</v>
      </c>
      <c r="H207" t="s">
        <v>2686</v>
      </c>
    </row>
    <row r="208" spans="1:8" x14ac:dyDescent="0.25">
      <c r="A208" s="47" t="s">
        <v>2</v>
      </c>
      <c r="B208">
        <v>201443</v>
      </c>
      <c r="C208">
        <v>290</v>
      </c>
      <c r="D208" s="47" t="s">
        <v>2350</v>
      </c>
      <c r="E208" s="47"/>
      <c r="G208">
        <v>290</v>
      </c>
      <c r="H208" t="s">
        <v>2686</v>
      </c>
    </row>
    <row r="209" spans="1:8" x14ac:dyDescent="0.25">
      <c r="A209" s="47" t="s">
        <v>2</v>
      </c>
      <c r="B209">
        <v>186683</v>
      </c>
      <c r="C209">
        <v>229</v>
      </c>
      <c r="D209" s="47" t="s">
        <v>2663</v>
      </c>
      <c r="E209" s="47"/>
      <c r="G209">
        <v>229</v>
      </c>
      <c r="H209" t="s">
        <v>2686</v>
      </c>
    </row>
    <row r="210" spans="1:8" x14ac:dyDescent="0.25">
      <c r="A210" s="47" t="s">
        <v>2</v>
      </c>
      <c r="B210">
        <v>186772</v>
      </c>
      <c r="C210">
        <v>269</v>
      </c>
      <c r="D210" s="47" t="s">
        <v>2658</v>
      </c>
      <c r="E210" s="47"/>
      <c r="G210">
        <v>269</v>
      </c>
      <c r="H210" t="s">
        <v>2686</v>
      </c>
    </row>
    <row r="211" spans="1:8" x14ac:dyDescent="0.25">
      <c r="A211" s="47" t="s">
        <v>2</v>
      </c>
      <c r="B211">
        <v>204321</v>
      </c>
      <c r="D211" s="47"/>
      <c r="E211" s="47"/>
      <c r="G211" t="s">
        <v>2686</v>
      </c>
      <c r="H211" t="s">
        <v>2686</v>
      </c>
    </row>
    <row r="212" spans="1:8" x14ac:dyDescent="0.25">
      <c r="A212" s="47" t="s">
        <v>2</v>
      </c>
      <c r="B212">
        <v>136653</v>
      </c>
      <c r="C212">
        <v>249</v>
      </c>
      <c r="D212" s="47" t="s">
        <v>2831</v>
      </c>
      <c r="E212" s="47"/>
      <c r="G212">
        <v>249</v>
      </c>
      <c r="H212" t="s">
        <v>2686</v>
      </c>
    </row>
    <row r="213" spans="1:8" x14ac:dyDescent="0.25">
      <c r="A213" s="47" t="s">
        <v>2</v>
      </c>
      <c r="B213">
        <v>158112</v>
      </c>
      <c r="D213" s="47"/>
      <c r="E213" s="47"/>
      <c r="G213" t="s">
        <v>2686</v>
      </c>
      <c r="H213" t="s">
        <v>2686</v>
      </c>
    </row>
    <row r="214" spans="1:8" x14ac:dyDescent="0.25">
      <c r="A214" s="47" t="s">
        <v>2</v>
      </c>
      <c r="B214">
        <v>204300</v>
      </c>
      <c r="D214" s="47"/>
      <c r="E214" s="47"/>
      <c r="G214" t="s">
        <v>2686</v>
      </c>
      <c r="H214" t="s">
        <v>2686</v>
      </c>
    </row>
    <row r="215" spans="1:8" x14ac:dyDescent="0.25">
      <c r="A215" s="47" t="s">
        <v>2</v>
      </c>
      <c r="B215">
        <v>186760</v>
      </c>
      <c r="D215" s="47" t="s">
        <v>2832</v>
      </c>
      <c r="E215" s="47"/>
      <c r="G215">
        <v>1019</v>
      </c>
      <c r="H215" t="s">
        <v>2686</v>
      </c>
    </row>
    <row r="216" spans="1:8" x14ac:dyDescent="0.25">
      <c r="A216" s="47" t="s">
        <v>2</v>
      </c>
      <c r="B216">
        <v>180516</v>
      </c>
      <c r="D216" s="47"/>
      <c r="E216" s="47"/>
      <c r="G216" t="s">
        <v>2686</v>
      </c>
      <c r="H216" t="s">
        <v>2686</v>
      </c>
    </row>
    <row r="217" spans="1:8" x14ac:dyDescent="0.25">
      <c r="A217" s="47" t="s">
        <v>2</v>
      </c>
      <c r="B217">
        <v>186763</v>
      </c>
      <c r="C217">
        <v>290</v>
      </c>
      <c r="D217" s="47" t="s">
        <v>2588</v>
      </c>
      <c r="E217" s="47"/>
      <c r="G217">
        <v>290</v>
      </c>
      <c r="H217" t="s">
        <v>2686</v>
      </c>
    </row>
    <row r="218" spans="1:8" x14ac:dyDescent="0.25">
      <c r="A218" s="47" t="s">
        <v>2</v>
      </c>
      <c r="B218">
        <v>225957</v>
      </c>
      <c r="C218">
        <v>229</v>
      </c>
      <c r="D218" s="47" t="s">
        <v>2367</v>
      </c>
      <c r="E218" s="47"/>
      <c r="G218">
        <v>229</v>
      </c>
      <c r="H218" t="s">
        <v>2686</v>
      </c>
    </row>
    <row r="219" spans="1:8" x14ac:dyDescent="0.25">
      <c r="A219" s="47" t="s">
        <v>2</v>
      </c>
      <c r="B219">
        <v>225955</v>
      </c>
      <c r="C219">
        <v>229</v>
      </c>
      <c r="D219" s="47" t="s">
        <v>2367</v>
      </c>
      <c r="E219" s="47"/>
      <c r="G219">
        <v>229</v>
      </c>
      <c r="H219" t="s">
        <v>2686</v>
      </c>
    </row>
    <row r="220" spans="1:8" x14ac:dyDescent="0.25">
      <c r="A220" s="47" t="s">
        <v>2</v>
      </c>
      <c r="B220">
        <v>225921</v>
      </c>
      <c r="D220" s="47"/>
      <c r="E220" s="47"/>
      <c r="G220" t="s">
        <v>2686</v>
      </c>
      <c r="H220" t="s">
        <v>2686</v>
      </c>
    </row>
    <row r="221" spans="1:8" x14ac:dyDescent="0.25">
      <c r="A221" s="47" t="s">
        <v>2</v>
      </c>
      <c r="B221">
        <v>213137</v>
      </c>
      <c r="C221">
        <v>290</v>
      </c>
      <c r="D221" s="47" t="s">
        <v>2834</v>
      </c>
      <c r="E221" s="47"/>
      <c r="G221">
        <v>290</v>
      </c>
      <c r="H221" t="s">
        <v>2686</v>
      </c>
    </row>
    <row r="222" spans="1:8" x14ac:dyDescent="0.25">
      <c r="A222" s="47" t="s">
        <v>2</v>
      </c>
      <c r="B222">
        <v>186762</v>
      </c>
      <c r="C222">
        <v>190</v>
      </c>
      <c r="D222" s="47" t="s">
        <v>2565</v>
      </c>
      <c r="E222" s="47"/>
      <c r="G222">
        <v>190</v>
      </c>
      <c r="H222" t="s">
        <v>2686</v>
      </c>
    </row>
    <row r="223" spans="1:8" x14ac:dyDescent="0.25">
      <c r="A223" s="47" t="s">
        <v>2</v>
      </c>
      <c r="B223">
        <v>186681</v>
      </c>
      <c r="C223">
        <v>259</v>
      </c>
      <c r="D223" s="47" t="s">
        <v>2666</v>
      </c>
      <c r="E223" s="47"/>
      <c r="G223">
        <v>259</v>
      </c>
      <c r="H223" t="s">
        <v>2686</v>
      </c>
    </row>
    <row r="224" spans="1:8" x14ac:dyDescent="0.25">
      <c r="A224" s="47" t="s">
        <v>2</v>
      </c>
      <c r="B224">
        <v>186844</v>
      </c>
      <c r="C224">
        <v>229</v>
      </c>
      <c r="D224" s="47" t="s">
        <v>2589</v>
      </c>
      <c r="E224" s="47"/>
      <c r="G224">
        <v>229</v>
      </c>
      <c r="H224" t="s">
        <v>2686</v>
      </c>
    </row>
    <row r="225" spans="1:8" x14ac:dyDescent="0.25">
      <c r="A225" s="47" t="s">
        <v>2</v>
      </c>
      <c r="B225">
        <v>186843</v>
      </c>
      <c r="C225">
        <v>229</v>
      </c>
      <c r="D225" s="47" t="s">
        <v>2589</v>
      </c>
      <c r="E225" s="47"/>
      <c r="G225">
        <v>229</v>
      </c>
      <c r="H225" t="s">
        <v>2686</v>
      </c>
    </row>
    <row r="226" spans="1:8" x14ac:dyDescent="0.25">
      <c r="A226" s="47" t="s">
        <v>2</v>
      </c>
      <c r="B226">
        <v>186775</v>
      </c>
      <c r="C226">
        <v>290</v>
      </c>
      <c r="D226" s="47" t="s">
        <v>2667</v>
      </c>
      <c r="E226" s="47"/>
      <c r="G226">
        <v>290</v>
      </c>
      <c r="H226" t="s">
        <v>2686</v>
      </c>
    </row>
    <row r="227" spans="1:8" x14ac:dyDescent="0.25">
      <c r="A227" s="47" t="s">
        <v>2</v>
      </c>
      <c r="B227">
        <v>225950</v>
      </c>
      <c r="C227">
        <v>349</v>
      </c>
      <c r="D227" s="47" t="s">
        <v>2366</v>
      </c>
      <c r="E227" s="47"/>
      <c r="G227">
        <v>349</v>
      </c>
      <c r="H227" t="s">
        <v>2686</v>
      </c>
    </row>
    <row r="228" spans="1:8" x14ac:dyDescent="0.25">
      <c r="A228" s="47" t="s">
        <v>2</v>
      </c>
      <c r="B228">
        <v>186846</v>
      </c>
      <c r="C228">
        <v>549</v>
      </c>
      <c r="D228" s="47" t="s">
        <v>2590</v>
      </c>
      <c r="E228" s="47"/>
      <c r="G228">
        <v>549</v>
      </c>
      <c r="H228" t="s">
        <v>2686</v>
      </c>
    </row>
    <row r="229" spans="1:8" x14ac:dyDescent="0.25">
      <c r="A229" s="47" t="s">
        <v>2</v>
      </c>
      <c r="B229">
        <v>201422</v>
      </c>
      <c r="C229">
        <v>290</v>
      </c>
      <c r="D229" s="47" t="s">
        <v>2351</v>
      </c>
      <c r="E229" s="47"/>
      <c r="G229">
        <v>290</v>
      </c>
      <c r="H229" t="s">
        <v>2686</v>
      </c>
    </row>
    <row r="230" spans="1:8" x14ac:dyDescent="0.25">
      <c r="A230" s="47" t="s">
        <v>2</v>
      </c>
      <c r="B230">
        <v>204213</v>
      </c>
      <c r="C230">
        <v>369</v>
      </c>
      <c r="D230" s="47" t="s">
        <v>2966</v>
      </c>
      <c r="E230" s="47"/>
      <c r="G230">
        <v>369</v>
      </c>
      <c r="H230" t="s">
        <v>2686</v>
      </c>
    </row>
    <row r="231" spans="1:8" x14ac:dyDescent="0.25">
      <c r="A231" s="47" t="s">
        <v>2</v>
      </c>
      <c r="B231">
        <v>225947</v>
      </c>
      <c r="C231">
        <v>269</v>
      </c>
      <c r="D231" s="47" t="s">
        <v>2965</v>
      </c>
      <c r="E231" s="47"/>
      <c r="G231">
        <v>269</v>
      </c>
      <c r="H231" t="s">
        <v>2686</v>
      </c>
    </row>
    <row r="232" spans="1:8" x14ac:dyDescent="0.25">
      <c r="A232" s="47" t="s">
        <v>2</v>
      </c>
      <c r="B232">
        <v>225994</v>
      </c>
      <c r="C232">
        <v>390</v>
      </c>
      <c r="D232" s="47" t="s">
        <v>2365</v>
      </c>
      <c r="E232" s="47"/>
      <c r="G232">
        <v>390</v>
      </c>
      <c r="H232" t="s">
        <v>2686</v>
      </c>
    </row>
    <row r="233" spans="1:8" x14ac:dyDescent="0.25">
      <c r="A233" s="47" t="s">
        <v>2</v>
      </c>
      <c r="B233">
        <v>186559</v>
      </c>
      <c r="C233">
        <v>369</v>
      </c>
      <c r="D233" s="47" t="s">
        <v>2591</v>
      </c>
      <c r="E233" s="47"/>
      <c r="G233">
        <v>369</v>
      </c>
      <c r="H233" t="s">
        <v>2686</v>
      </c>
    </row>
    <row r="234" spans="1:8" x14ac:dyDescent="0.25">
      <c r="A234" s="47" t="s">
        <v>2</v>
      </c>
      <c r="B234">
        <v>158111</v>
      </c>
      <c r="C234">
        <v>189</v>
      </c>
      <c r="D234" s="47" t="s">
        <v>2336</v>
      </c>
      <c r="E234" s="47"/>
      <c r="G234">
        <v>189</v>
      </c>
      <c r="H234" t="s">
        <v>2686</v>
      </c>
    </row>
    <row r="235" spans="1:8" x14ac:dyDescent="0.25">
      <c r="A235" s="47" t="s">
        <v>2</v>
      </c>
      <c r="B235">
        <v>141792</v>
      </c>
      <c r="C235">
        <v>290</v>
      </c>
      <c r="D235" s="47" t="s">
        <v>2964</v>
      </c>
      <c r="E235" s="47"/>
      <c r="G235">
        <v>290</v>
      </c>
      <c r="H235" t="s">
        <v>2686</v>
      </c>
    </row>
    <row r="236" spans="1:8" x14ac:dyDescent="0.25">
      <c r="A236" s="47" t="s">
        <v>2</v>
      </c>
      <c r="B236">
        <v>201332</v>
      </c>
      <c r="D236" s="47"/>
      <c r="E236" s="47"/>
      <c r="G236" t="s">
        <v>2686</v>
      </c>
      <c r="H236" t="s">
        <v>2686</v>
      </c>
    </row>
    <row r="237" spans="1:8" x14ac:dyDescent="0.25">
      <c r="A237" s="47" t="s">
        <v>2</v>
      </c>
      <c r="B237">
        <v>213345</v>
      </c>
      <c r="C237">
        <v>290</v>
      </c>
      <c r="D237" s="47" t="s">
        <v>2380</v>
      </c>
      <c r="E237" s="47"/>
      <c r="G237">
        <v>290</v>
      </c>
      <c r="H237" t="s">
        <v>2686</v>
      </c>
    </row>
    <row r="238" spans="1:8" x14ac:dyDescent="0.25">
      <c r="A238" s="47" t="s">
        <v>2</v>
      </c>
      <c r="B238">
        <v>213336</v>
      </c>
      <c r="D238" s="47"/>
      <c r="E238" s="47"/>
      <c r="G238" t="s">
        <v>2686</v>
      </c>
      <c r="H238" t="s">
        <v>2686</v>
      </c>
    </row>
    <row r="239" spans="1:8" x14ac:dyDescent="0.25">
      <c r="A239" s="47" t="s">
        <v>2</v>
      </c>
      <c r="B239">
        <v>213335</v>
      </c>
      <c r="C239">
        <v>290</v>
      </c>
      <c r="D239" s="47" t="s">
        <v>2380</v>
      </c>
      <c r="E239" s="47"/>
      <c r="G239">
        <v>290</v>
      </c>
      <c r="H239" t="s">
        <v>2686</v>
      </c>
    </row>
    <row r="240" spans="1:8" x14ac:dyDescent="0.25">
      <c r="A240" s="47" t="s">
        <v>2</v>
      </c>
      <c r="B240">
        <v>224907</v>
      </c>
      <c r="C240">
        <v>249</v>
      </c>
      <c r="D240" s="47" t="s">
        <v>2592</v>
      </c>
      <c r="E240" s="47"/>
      <c r="G240">
        <v>249</v>
      </c>
      <c r="H240" t="s">
        <v>2686</v>
      </c>
    </row>
    <row r="241" spans="1:8" x14ac:dyDescent="0.25">
      <c r="A241" s="47" t="s">
        <v>2</v>
      </c>
      <c r="B241">
        <v>225396</v>
      </c>
      <c r="C241">
        <v>190</v>
      </c>
      <c r="D241" s="47" t="s">
        <v>2815</v>
      </c>
      <c r="E241" s="47"/>
      <c r="G241">
        <v>190</v>
      </c>
      <c r="H241" t="s">
        <v>2686</v>
      </c>
    </row>
    <row r="242" spans="1:8" x14ac:dyDescent="0.25">
      <c r="A242" s="47" t="s">
        <v>2</v>
      </c>
      <c r="B242">
        <v>186764</v>
      </c>
      <c r="D242" s="47"/>
      <c r="E242" s="47"/>
      <c r="G242" t="s">
        <v>2686</v>
      </c>
      <c r="H242" t="s">
        <v>2686</v>
      </c>
    </row>
    <row r="243" spans="1:8" x14ac:dyDescent="0.25">
      <c r="A243" s="47" t="s">
        <v>2</v>
      </c>
      <c r="B243">
        <v>186731</v>
      </c>
      <c r="D243" s="47"/>
      <c r="E243" s="47"/>
      <c r="G243" t="s">
        <v>2686</v>
      </c>
      <c r="H243" t="s">
        <v>2686</v>
      </c>
    </row>
    <row r="244" spans="1:8" x14ac:dyDescent="0.25">
      <c r="A244" s="47" t="s">
        <v>2</v>
      </c>
      <c r="B244">
        <v>186730</v>
      </c>
      <c r="D244" s="47"/>
      <c r="E244" s="47"/>
      <c r="G244" t="s">
        <v>2686</v>
      </c>
      <c r="H244" t="s">
        <v>2686</v>
      </c>
    </row>
    <row r="245" spans="1:8" x14ac:dyDescent="0.25">
      <c r="A245" s="47" t="s">
        <v>2</v>
      </c>
      <c r="B245">
        <v>158281</v>
      </c>
      <c r="C245">
        <v>490</v>
      </c>
      <c r="D245" s="47" t="s">
        <v>2623</v>
      </c>
      <c r="E245" s="47"/>
      <c r="G245">
        <v>490</v>
      </c>
      <c r="H245" t="s">
        <v>2686</v>
      </c>
    </row>
    <row r="246" spans="1:8" x14ac:dyDescent="0.25">
      <c r="A246" s="47" t="s">
        <v>2</v>
      </c>
      <c r="B246">
        <v>219975</v>
      </c>
      <c r="C246">
        <v>189</v>
      </c>
      <c r="D246" s="47" t="s">
        <v>2338</v>
      </c>
      <c r="E246" s="47"/>
      <c r="G246">
        <v>189</v>
      </c>
      <c r="H246" t="s">
        <v>2686</v>
      </c>
    </row>
    <row r="247" spans="1:8" x14ac:dyDescent="0.25">
      <c r="A247" s="47" t="s">
        <v>2</v>
      </c>
      <c r="B247">
        <v>213437</v>
      </c>
      <c r="D247" s="47"/>
      <c r="E247" s="47"/>
      <c r="G247" t="s">
        <v>2686</v>
      </c>
      <c r="H247" t="s">
        <v>2686</v>
      </c>
    </row>
    <row r="248" spans="1:8" x14ac:dyDescent="0.25">
      <c r="A248" s="47" t="s">
        <v>2</v>
      </c>
      <c r="B248">
        <v>186690</v>
      </c>
      <c r="D248" s="47"/>
      <c r="E248" s="47"/>
      <c r="G248" t="s">
        <v>2686</v>
      </c>
      <c r="H248" t="s">
        <v>2686</v>
      </c>
    </row>
    <row r="249" spans="1:8" x14ac:dyDescent="0.25">
      <c r="A249" s="47" t="s">
        <v>2</v>
      </c>
      <c r="B249">
        <v>186698</v>
      </c>
      <c r="C249">
        <v>329</v>
      </c>
      <c r="D249" s="47" t="s">
        <v>2662</v>
      </c>
      <c r="E249" s="47"/>
      <c r="G249">
        <v>329</v>
      </c>
      <c r="H249" t="s">
        <v>2686</v>
      </c>
    </row>
    <row r="250" spans="1:8" x14ac:dyDescent="0.25">
      <c r="A250" s="47" t="s">
        <v>2</v>
      </c>
      <c r="B250">
        <v>201449</v>
      </c>
      <c r="C250">
        <v>229</v>
      </c>
      <c r="D250" s="47" t="s">
        <v>2352</v>
      </c>
      <c r="E250" s="47"/>
      <c r="G250">
        <v>229</v>
      </c>
      <c r="H250" t="s">
        <v>2686</v>
      </c>
    </row>
    <row r="251" spans="1:8" x14ac:dyDescent="0.25">
      <c r="A251" s="47" t="s">
        <v>2</v>
      </c>
      <c r="B251">
        <v>213358</v>
      </c>
      <c r="C251">
        <v>349</v>
      </c>
      <c r="D251" s="47" t="s">
        <v>2963</v>
      </c>
      <c r="E251" s="47"/>
      <c r="G251">
        <v>349</v>
      </c>
      <c r="H251" t="s">
        <v>2686</v>
      </c>
    </row>
    <row r="252" spans="1:8" x14ac:dyDescent="0.25">
      <c r="A252" s="47" t="s">
        <v>2</v>
      </c>
      <c r="B252">
        <v>213359</v>
      </c>
      <c r="D252" s="47" t="s">
        <v>2961</v>
      </c>
      <c r="E252" s="47"/>
      <c r="G252">
        <v>249</v>
      </c>
      <c r="H252" t="s">
        <v>2686</v>
      </c>
    </row>
    <row r="253" spans="1:8" x14ac:dyDescent="0.25">
      <c r="A253" s="47" t="s">
        <v>2</v>
      </c>
      <c r="B253">
        <v>201444</v>
      </c>
      <c r="C253">
        <v>169</v>
      </c>
      <c r="D253" s="47" t="s">
        <v>2353</v>
      </c>
      <c r="E253" s="47"/>
      <c r="G253">
        <v>169</v>
      </c>
      <c r="H253" t="s">
        <v>2686</v>
      </c>
    </row>
    <row r="254" spans="1:8" x14ac:dyDescent="0.25">
      <c r="A254" s="47" t="s">
        <v>2</v>
      </c>
      <c r="B254">
        <v>186576</v>
      </c>
      <c r="C254">
        <v>189</v>
      </c>
      <c r="D254" s="47" t="s">
        <v>2338</v>
      </c>
      <c r="E254" s="47"/>
      <c r="G254">
        <v>189</v>
      </c>
      <c r="H254" t="s">
        <v>2686</v>
      </c>
    </row>
    <row r="255" spans="1:8" x14ac:dyDescent="0.25">
      <c r="A255" s="47" t="s">
        <v>2</v>
      </c>
      <c r="B255">
        <v>158108</v>
      </c>
      <c r="C255">
        <v>92</v>
      </c>
      <c r="D255" s="47" t="s">
        <v>2337</v>
      </c>
      <c r="E255" s="47"/>
      <c r="G255">
        <v>369</v>
      </c>
      <c r="H255" t="s">
        <v>2686</v>
      </c>
    </row>
    <row r="256" spans="1:8" x14ac:dyDescent="0.25">
      <c r="A256" s="47" t="s">
        <v>2</v>
      </c>
      <c r="B256">
        <v>186560</v>
      </c>
      <c r="C256">
        <v>269</v>
      </c>
      <c r="D256" s="47" t="s">
        <v>2959</v>
      </c>
      <c r="E256" s="47" t="s">
        <v>2980</v>
      </c>
      <c r="F256" t="s">
        <v>2960</v>
      </c>
      <c r="G256">
        <v>269</v>
      </c>
      <c r="H256">
        <v>250</v>
      </c>
    </row>
    <row r="257" spans="1:8" x14ac:dyDescent="0.25">
      <c r="A257" s="47" t="s">
        <v>2</v>
      </c>
      <c r="B257">
        <v>204351</v>
      </c>
      <c r="D257" s="47" t="s">
        <v>2957</v>
      </c>
      <c r="E257" s="47"/>
      <c r="G257">
        <v>199</v>
      </c>
      <c r="H257" t="s">
        <v>2686</v>
      </c>
    </row>
    <row r="258" spans="1:8" x14ac:dyDescent="0.25">
      <c r="A258" s="47" t="s">
        <v>2</v>
      </c>
      <c r="B258">
        <v>225928</v>
      </c>
      <c r="C258">
        <v>690</v>
      </c>
      <c r="D258" s="47" t="s">
        <v>2910</v>
      </c>
      <c r="E258" s="47"/>
      <c r="G258">
        <v>690</v>
      </c>
      <c r="H258" t="s">
        <v>2686</v>
      </c>
    </row>
    <row r="259" spans="1:8" x14ac:dyDescent="0.25">
      <c r="A259" s="47" t="s">
        <v>2</v>
      </c>
      <c r="B259">
        <v>225952</v>
      </c>
      <c r="C259">
        <v>149</v>
      </c>
      <c r="D259" s="47" t="s">
        <v>2659</v>
      </c>
      <c r="E259" s="47"/>
      <c r="G259">
        <v>149</v>
      </c>
      <c r="H259" t="s">
        <v>2686</v>
      </c>
    </row>
    <row r="260" spans="1:8" x14ac:dyDescent="0.25">
      <c r="A260" s="47" t="s">
        <v>2</v>
      </c>
      <c r="B260">
        <v>186700</v>
      </c>
      <c r="C260">
        <v>149</v>
      </c>
      <c r="D260" s="47" t="s">
        <v>2659</v>
      </c>
      <c r="E260" s="47"/>
      <c r="G260">
        <v>149</v>
      </c>
      <c r="H260" t="s">
        <v>2686</v>
      </c>
    </row>
    <row r="261" spans="1:8" x14ac:dyDescent="0.25">
      <c r="A261" s="47" t="s">
        <v>2</v>
      </c>
      <c r="B261">
        <v>224898</v>
      </c>
      <c r="C261">
        <v>329</v>
      </c>
      <c r="D261" s="47" t="s">
        <v>2954</v>
      </c>
      <c r="E261" s="47" t="s">
        <v>2981</v>
      </c>
      <c r="F261" t="s">
        <v>2955</v>
      </c>
      <c r="G261">
        <v>329</v>
      </c>
      <c r="H261">
        <v>310</v>
      </c>
    </row>
    <row r="262" spans="1:8" x14ac:dyDescent="0.25">
      <c r="A262" s="47" t="s">
        <v>2</v>
      </c>
      <c r="B262">
        <v>204185</v>
      </c>
      <c r="D262" s="47"/>
      <c r="E262" s="47"/>
      <c r="G262" t="s">
        <v>2686</v>
      </c>
      <c r="H262" t="s">
        <v>2686</v>
      </c>
    </row>
    <row r="263" spans="1:8" x14ac:dyDescent="0.25">
      <c r="A263" s="47" t="s">
        <v>2</v>
      </c>
      <c r="B263">
        <v>223214</v>
      </c>
      <c r="C263">
        <v>490</v>
      </c>
      <c r="D263" s="47" t="s">
        <v>2293</v>
      </c>
      <c r="E263" s="47"/>
      <c r="G263">
        <v>490</v>
      </c>
      <c r="H263" t="s">
        <v>2686</v>
      </c>
    </row>
    <row r="264" spans="1:8" x14ac:dyDescent="0.25">
      <c r="A264" s="47" t="s">
        <v>2</v>
      </c>
      <c r="B264">
        <v>158293</v>
      </c>
      <c r="C264">
        <v>359</v>
      </c>
      <c r="D264" s="47" t="s">
        <v>2625</v>
      </c>
      <c r="E264" s="47"/>
      <c r="G264">
        <v>359</v>
      </c>
      <c r="H264" t="s">
        <v>2686</v>
      </c>
    </row>
    <row r="265" spans="1:8" x14ac:dyDescent="0.25">
      <c r="A265" s="47" t="s">
        <v>2</v>
      </c>
      <c r="B265">
        <v>204354</v>
      </c>
      <c r="D265" s="47"/>
      <c r="E265" s="47"/>
      <c r="G265" t="s">
        <v>2686</v>
      </c>
      <c r="H265" t="s">
        <v>2686</v>
      </c>
    </row>
    <row r="266" spans="1:8" x14ac:dyDescent="0.25">
      <c r="A266" s="47" t="s">
        <v>2</v>
      </c>
      <c r="B266">
        <v>201513</v>
      </c>
      <c r="C266">
        <v>129</v>
      </c>
      <c r="D266" s="47" t="s">
        <v>2952</v>
      </c>
      <c r="E266" s="47" t="s">
        <v>2982</v>
      </c>
      <c r="F266" t="s">
        <v>2953</v>
      </c>
      <c r="G266">
        <v>129</v>
      </c>
      <c r="H266">
        <v>270</v>
      </c>
    </row>
    <row r="267" spans="1:8" x14ac:dyDescent="0.25">
      <c r="A267" s="47" t="s">
        <v>2</v>
      </c>
      <c r="B267">
        <v>225961</v>
      </c>
      <c r="C267">
        <v>269</v>
      </c>
      <c r="D267" s="47" t="s">
        <v>2364</v>
      </c>
      <c r="E267" s="47"/>
      <c r="G267">
        <v>269</v>
      </c>
      <c r="H267" t="s">
        <v>2686</v>
      </c>
    </row>
    <row r="268" spans="1:8" x14ac:dyDescent="0.25">
      <c r="A268" s="47" t="s">
        <v>2</v>
      </c>
      <c r="B268">
        <v>225958</v>
      </c>
      <c r="C268">
        <v>269</v>
      </c>
      <c r="D268" s="47" t="s">
        <v>2364</v>
      </c>
      <c r="E268" s="47"/>
      <c r="G268">
        <v>269</v>
      </c>
      <c r="H268" t="s">
        <v>2686</v>
      </c>
    </row>
    <row r="269" spans="1:8" x14ac:dyDescent="0.25">
      <c r="A269" s="47" t="s">
        <v>2</v>
      </c>
      <c r="B269">
        <v>226091</v>
      </c>
      <c r="C269">
        <v>149</v>
      </c>
      <c r="D269" s="47" t="s">
        <v>2362</v>
      </c>
      <c r="E269" s="47"/>
      <c r="G269">
        <v>149</v>
      </c>
      <c r="H269" t="s">
        <v>2686</v>
      </c>
    </row>
    <row r="270" spans="1:8" x14ac:dyDescent="0.25">
      <c r="A270" s="47" t="s">
        <v>2</v>
      </c>
      <c r="B270">
        <v>226093</v>
      </c>
      <c r="C270">
        <v>269</v>
      </c>
      <c r="D270" s="47" t="s">
        <v>2363</v>
      </c>
      <c r="E270" s="47"/>
      <c r="G270">
        <v>269</v>
      </c>
      <c r="H270" t="s">
        <v>2686</v>
      </c>
    </row>
    <row r="271" spans="1:8" x14ac:dyDescent="0.25">
      <c r="A271" s="47" t="s">
        <v>2</v>
      </c>
      <c r="B271">
        <v>186699</v>
      </c>
      <c r="C271">
        <v>269</v>
      </c>
      <c r="D271" s="47" t="s">
        <v>2677</v>
      </c>
      <c r="E271" s="47"/>
      <c r="G271">
        <v>269</v>
      </c>
      <c r="H271" t="s">
        <v>2686</v>
      </c>
    </row>
    <row r="272" spans="1:8" x14ac:dyDescent="0.25">
      <c r="A272" s="47" t="s">
        <v>2</v>
      </c>
      <c r="B272">
        <v>202113</v>
      </c>
      <c r="C272">
        <v>149</v>
      </c>
      <c r="D272" s="47" t="s">
        <v>2951</v>
      </c>
      <c r="E272" s="47"/>
      <c r="G272">
        <v>149</v>
      </c>
      <c r="H272" t="s">
        <v>2686</v>
      </c>
    </row>
    <row r="273" spans="1:8" x14ac:dyDescent="0.25">
      <c r="A273" s="47" t="s">
        <v>2</v>
      </c>
      <c r="B273">
        <v>225959</v>
      </c>
      <c r="C273">
        <v>269</v>
      </c>
      <c r="D273" s="47" t="s">
        <v>2363</v>
      </c>
      <c r="E273" s="47"/>
      <c r="G273">
        <v>269</v>
      </c>
      <c r="H273" t="s">
        <v>2686</v>
      </c>
    </row>
    <row r="274" spans="1:8" x14ac:dyDescent="0.25">
      <c r="A274" s="47" t="s">
        <v>2</v>
      </c>
      <c r="B274">
        <v>225956</v>
      </c>
      <c r="C274">
        <v>149</v>
      </c>
      <c r="D274" s="47" t="s">
        <v>2362</v>
      </c>
      <c r="E274" s="47"/>
      <c r="G274">
        <v>149</v>
      </c>
      <c r="H274" t="s">
        <v>2686</v>
      </c>
    </row>
    <row r="275" spans="1:8" x14ac:dyDescent="0.25">
      <c r="A275" s="47" t="s">
        <v>2</v>
      </c>
      <c r="B275">
        <v>225932</v>
      </c>
      <c r="C275">
        <v>249</v>
      </c>
      <c r="D275" s="47" t="s">
        <v>2950</v>
      </c>
      <c r="E275" s="47"/>
      <c r="G275">
        <v>249</v>
      </c>
      <c r="H275" t="s">
        <v>2686</v>
      </c>
    </row>
    <row r="276" spans="1:8" x14ac:dyDescent="0.25">
      <c r="A276" s="47" t="s">
        <v>2</v>
      </c>
      <c r="B276">
        <v>186561</v>
      </c>
      <c r="C276">
        <v>390</v>
      </c>
      <c r="D276" s="47" t="s">
        <v>2671</v>
      </c>
      <c r="E276" s="47"/>
      <c r="G276">
        <v>390</v>
      </c>
      <c r="H276" t="s">
        <v>2686</v>
      </c>
    </row>
    <row r="277" spans="1:8" x14ac:dyDescent="0.25">
      <c r="A277" s="47" t="s">
        <v>2</v>
      </c>
      <c r="B277">
        <v>186761</v>
      </c>
      <c r="C277">
        <v>190</v>
      </c>
      <c r="D277" s="47" t="s">
        <v>2565</v>
      </c>
      <c r="E277" s="47" t="s">
        <v>2982</v>
      </c>
      <c r="F277" t="s">
        <v>2949</v>
      </c>
      <c r="G277">
        <v>190</v>
      </c>
      <c r="H277">
        <v>270</v>
      </c>
    </row>
    <row r="278" spans="1:8" x14ac:dyDescent="0.25">
      <c r="A278" s="47" t="s">
        <v>2</v>
      </c>
      <c r="B278">
        <v>202088</v>
      </c>
      <c r="C278">
        <v>199</v>
      </c>
      <c r="D278" s="47" t="s">
        <v>2947</v>
      </c>
      <c r="E278" s="47" t="s">
        <v>2980</v>
      </c>
      <c r="F278" t="s">
        <v>2948</v>
      </c>
      <c r="G278">
        <v>199</v>
      </c>
      <c r="H278">
        <v>250</v>
      </c>
    </row>
    <row r="279" spans="1:8" x14ac:dyDescent="0.25">
      <c r="A279" s="47" t="s">
        <v>2</v>
      </c>
      <c r="B279">
        <v>186842</v>
      </c>
      <c r="D279" s="47"/>
      <c r="E279" s="47"/>
      <c r="G279" t="s">
        <v>2686</v>
      </c>
      <c r="H279" t="s">
        <v>2686</v>
      </c>
    </row>
    <row r="280" spans="1:8" x14ac:dyDescent="0.25">
      <c r="A280" s="47" t="s">
        <v>2</v>
      </c>
      <c r="B280">
        <v>186848</v>
      </c>
      <c r="D280" s="47"/>
      <c r="E280" s="47"/>
      <c r="G280" t="s">
        <v>2686</v>
      </c>
      <c r="H280" t="s">
        <v>2686</v>
      </c>
    </row>
    <row r="281" spans="1:8" x14ac:dyDescent="0.25">
      <c r="A281" s="47" t="s">
        <v>2</v>
      </c>
      <c r="B281">
        <v>185273</v>
      </c>
      <c r="D281" s="47"/>
      <c r="E281" s="47"/>
      <c r="G281" t="s">
        <v>2686</v>
      </c>
      <c r="H281" t="s">
        <v>2686</v>
      </c>
    </row>
    <row r="282" spans="1:8" x14ac:dyDescent="0.25">
      <c r="A282" s="47" t="s">
        <v>2</v>
      </c>
      <c r="B282">
        <v>194566</v>
      </c>
      <c r="C282">
        <v>149</v>
      </c>
      <c r="D282" s="47" t="s">
        <v>2945</v>
      </c>
      <c r="E282" s="47" t="s">
        <v>2983</v>
      </c>
      <c r="F282" t="s">
        <v>2946</v>
      </c>
      <c r="G282">
        <v>149</v>
      </c>
      <c r="H282">
        <v>280</v>
      </c>
    </row>
    <row r="283" spans="1:8" x14ac:dyDescent="0.25">
      <c r="A283" s="47" t="s">
        <v>2</v>
      </c>
      <c r="B283">
        <v>204212</v>
      </c>
      <c r="D283" s="47"/>
      <c r="E283" s="47"/>
      <c r="G283" t="s">
        <v>2686</v>
      </c>
      <c r="H283" t="s">
        <v>2686</v>
      </c>
    </row>
    <row r="284" spans="1:8" x14ac:dyDescent="0.25">
      <c r="A284" s="47" t="s">
        <v>2</v>
      </c>
      <c r="B284">
        <v>186558</v>
      </c>
      <c r="D284" s="47"/>
      <c r="E284" s="47"/>
      <c r="G284" t="s">
        <v>2686</v>
      </c>
      <c r="H284" t="s">
        <v>2686</v>
      </c>
    </row>
    <row r="285" spans="1:8" x14ac:dyDescent="0.25">
      <c r="A285" s="47" t="s">
        <v>2</v>
      </c>
      <c r="B285">
        <v>186773</v>
      </c>
      <c r="C285">
        <v>390</v>
      </c>
      <c r="D285" s="47" t="s">
        <v>2679</v>
      </c>
      <c r="E285" s="47"/>
      <c r="G285">
        <v>390</v>
      </c>
      <c r="H285" t="s">
        <v>2686</v>
      </c>
    </row>
    <row r="286" spans="1:8" x14ac:dyDescent="0.25">
      <c r="A286" s="47" t="s">
        <v>2</v>
      </c>
      <c r="B286">
        <v>225918</v>
      </c>
      <c r="C286">
        <v>189</v>
      </c>
      <c r="D286" s="47" t="s">
        <v>2361</v>
      </c>
      <c r="E286" s="47"/>
      <c r="G286">
        <v>189</v>
      </c>
      <c r="H286" t="s">
        <v>2686</v>
      </c>
    </row>
    <row r="287" spans="1:8" x14ac:dyDescent="0.25">
      <c r="A287" s="47" t="s">
        <v>2</v>
      </c>
      <c r="B287">
        <v>225392</v>
      </c>
      <c r="C287">
        <v>290</v>
      </c>
      <c r="D287" s="47" t="s">
        <v>2943</v>
      </c>
      <c r="E287" s="47" t="s">
        <v>2983</v>
      </c>
      <c r="F287" t="s">
        <v>2944</v>
      </c>
      <c r="G287">
        <v>290</v>
      </c>
      <c r="H287">
        <v>280</v>
      </c>
    </row>
    <row r="288" spans="1:8" x14ac:dyDescent="0.25">
      <c r="A288" s="47" t="s">
        <v>2</v>
      </c>
      <c r="B288">
        <v>194607</v>
      </c>
      <c r="D288" s="47"/>
      <c r="E288" s="47"/>
      <c r="G288" t="s">
        <v>2686</v>
      </c>
      <c r="H288" t="s">
        <v>2686</v>
      </c>
    </row>
    <row r="289" spans="1:8" x14ac:dyDescent="0.25">
      <c r="A289" s="47" t="s">
        <v>2</v>
      </c>
      <c r="B289">
        <v>225922</v>
      </c>
      <c r="C289">
        <v>219</v>
      </c>
      <c r="D289" s="47" t="s">
        <v>2360</v>
      </c>
      <c r="E289" s="47"/>
      <c r="G289">
        <v>219</v>
      </c>
      <c r="H289" t="s">
        <v>2686</v>
      </c>
    </row>
    <row r="290" spans="1:8" x14ac:dyDescent="0.25">
      <c r="A290" s="47" t="s">
        <v>2</v>
      </c>
      <c r="B290">
        <v>139802</v>
      </c>
      <c r="C290">
        <v>290</v>
      </c>
      <c r="D290" s="47" t="s">
        <v>2941</v>
      </c>
      <c r="E290" s="47" t="s">
        <v>2984</v>
      </c>
      <c r="F290" t="s">
        <v>2942</v>
      </c>
      <c r="G290">
        <v>290</v>
      </c>
      <c r="H290">
        <v>220</v>
      </c>
    </row>
    <row r="291" spans="1:8" x14ac:dyDescent="0.25">
      <c r="A291" s="47" t="s">
        <v>2</v>
      </c>
      <c r="B291">
        <v>225366</v>
      </c>
      <c r="C291">
        <v>190</v>
      </c>
      <c r="D291" s="47" t="s">
        <v>2939</v>
      </c>
      <c r="E291" s="47" t="s">
        <v>2985</v>
      </c>
      <c r="F291" t="s">
        <v>2940</v>
      </c>
      <c r="G291">
        <v>190</v>
      </c>
      <c r="H291">
        <v>290</v>
      </c>
    </row>
    <row r="292" spans="1:8" x14ac:dyDescent="0.25">
      <c r="A292" s="47" t="s">
        <v>2</v>
      </c>
      <c r="B292">
        <v>186693</v>
      </c>
      <c r="D292" s="47"/>
      <c r="E292" s="47"/>
      <c r="G292" t="s">
        <v>2686</v>
      </c>
      <c r="H292" t="s">
        <v>2686</v>
      </c>
    </row>
    <row r="293" spans="1:8" x14ac:dyDescent="0.25">
      <c r="A293" s="47" t="s">
        <v>2</v>
      </c>
      <c r="B293">
        <v>186692</v>
      </c>
      <c r="C293">
        <v>229</v>
      </c>
      <c r="D293" s="47" t="s">
        <v>2656</v>
      </c>
      <c r="E293" s="47"/>
      <c r="G293">
        <v>229</v>
      </c>
      <c r="H293" t="s">
        <v>2686</v>
      </c>
    </row>
    <row r="294" spans="1:8" x14ac:dyDescent="0.25">
      <c r="A294" s="47" t="s">
        <v>2</v>
      </c>
      <c r="B294">
        <v>213293</v>
      </c>
      <c r="D294" s="47"/>
      <c r="E294" s="47" t="s">
        <v>2986</v>
      </c>
      <c r="F294" t="s">
        <v>2937</v>
      </c>
      <c r="G294" t="s">
        <v>2686</v>
      </c>
      <c r="H294">
        <v>100</v>
      </c>
    </row>
    <row r="295" spans="1:8" x14ac:dyDescent="0.25">
      <c r="A295" s="47" t="s">
        <v>2</v>
      </c>
      <c r="B295">
        <v>153069</v>
      </c>
      <c r="C295">
        <v>290</v>
      </c>
      <c r="D295" s="47" t="s">
        <v>2935</v>
      </c>
      <c r="E295" s="47" t="s">
        <v>2985</v>
      </c>
      <c r="F295" t="s">
        <v>2936</v>
      </c>
      <c r="G295">
        <v>290</v>
      </c>
      <c r="H295">
        <v>290</v>
      </c>
    </row>
    <row r="296" spans="1:8" x14ac:dyDescent="0.25">
      <c r="A296" s="47" t="s">
        <v>2</v>
      </c>
      <c r="B296">
        <v>201421</v>
      </c>
      <c r="C296">
        <v>290</v>
      </c>
      <c r="D296" s="47" t="s">
        <v>2351</v>
      </c>
      <c r="E296" s="47"/>
      <c r="G296">
        <v>290</v>
      </c>
      <c r="H296" t="s">
        <v>2686</v>
      </c>
    </row>
    <row r="297" spans="1:8" x14ac:dyDescent="0.25">
      <c r="A297" s="47" t="s">
        <v>2</v>
      </c>
      <c r="B297">
        <v>204307</v>
      </c>
      <c r="D297" s="47"/>
      <c r="E297" s="47"/>
      <c r="G297" t="s">
        <v>2686</v>
      </c>
      <c r="H297" t="s">
        <v>2686</v>
      </c>
    </row>
    <row r="298" spans="1:8" x14ac:dyDescent="0.25">
      <c r="A298" s="47" t="s">
        <v>2</v>
      </c>
      <c r="B298">
        <v>226092</v>
      </c>
      <c r="C298">
        <v>290</v>
      </c>
      <c r="D298" s="47" t="s">
        <v>2933</v>
      </c>
      <c r="E298" s="47" t="s">
        <v>2987</v>
      </c>
      <c r="F298" t="s">
        <v>2934</v>
      </c>
      <c r="G298">
        <v>290</v>
      </c>
      <c r="H298">
        <v>350</v>
      </c>
    </row>
    <row r="299" spans="1:8" x14ac:dyDescent="0.25">
      <c r="A299" s="47" t="s">
        <v>2</v>
      </c>
      <c r="B299">
        <v>202090</v>
      </c>
      <c r="C299">
        <v>369</v>
      </c>
      <c r="D299" s="47" t="s">
        <v>2920</v>
      </c>
      <c r="E299" s="47"/>
      <c r="G299">
        <v>369</v>
      </c>
      <c r="H299" t="s">
        <v>2686</v>
      </c>
    </row>
    <row r="300" spans="1:8" x14ac:dyDescent="0.25">
      <c r="A300" s="47" t="s">
        <v>2</v>
      </c>
      <c r="B300">
        <v>164206</v>
      </c>
      <c r="D300" s="47"/>
      <c r="E300" s="47"/>
      <c r="G300" t="s">
        <v>2686</v>
      </c>
      <c r="H300" t="s">
        <v>2686</v>
      </c>
    </row>
    <row r="301" spans="1:8" x14ac:dyDescent="0.25">
      <c r="A301" s="47" t="s">
        <v>2</v>
      </c>
      <c r="B301">
        <v>204347</v>
      </c>
      <c r="D301" s="47" t="s">
        <v>2931</v>
      </c>
      <c r="E301" s="47"/>
      <c r="G301">
        <v>490</v>
      </c>
      <c r="H301" t="s">
        <v>2686</v>
      </c>
    </row>
    <row r="302" spans="1:8" x14ac:dyDescent="0.25">
      <c r="A302" s="47" t="s">
        <v>2</v>
      </c>
      <c r="B302">
        <v>186678</v>
      </c>
      <c r="C302">
        <v>359</v>
      </c>
      <c r="D302" s="47" t="s">
        <v>2668</v>
      </c>
      <c r="E302" s="47"/>
      <c r="G302">
        <v>359</v>
      </c>
      <c r="H302" t="s">
        <v>2686</v>
      </c>
    </row>
    <row r="303" spans="1:8" x14ac:dyDescent="0.25">
      <c r="A303" s="47" t="s">
        <v>2</v>
      </c>
      <c r="B303">
        <v>202086</v>
      </c>
      <c r="C303">
        <v>169</v>
      </c>
      <c r="D303" s="47" t="s">
        <v>2930</v>
      </c>
      <c r="E303" s="47"/>
      <c r="G303">
        <v>169</v>
      </c>
      <c r="H303" t="s">
        <v>2686</v>
      </c>
    </row>
    <row r="304" spans="1:8" x14ac:dyDescent="0.25">
      <c r="A304" s="47" t="s">
        <v>2</v>
      </c>
      <c r="B304">
        <v>186570</v>
      </c>
      <c r="C304">
        <v>290</v>
      </c>
      <c r="D304" s="47" t="s">
        <v>2672</v>
      </c>
      <c r="E304" s="47"/>
      <c r="G304">
        <v>290</v>
      </c>
      <c r="H304" t="s">
        <v>2686</v>
      </c>
    </row>
    <row r="305" spans="1:8" x14ac:dyDescent="0.25">
      <c r="A305" s="47" t="s">
        <v>2</v>
      </c>
      <c r="B305">
        <v>194606</v>
      </c>
      <c r="C305">
        <v>490</v>
      </c>
      <c r="D305" s="47" t="s">
        <v>2929</v>
      </c>
      <c r="E305" s="47"/>
      <c r="G305">
        <v>490</v>
      </c>
      <c r="H305" t="s">
        <v>2686</v>
      </c>
    </row>
    <row r="306" spans="1:8" x14ac:dyDescent="0.25">
      <c r="A306" s="47" t="s">
        <v>2</v>
      </c>
      <c r="B306">
        <v>158290</v>
      </c>
      <c r="D306" s="47"/>
      <c r="E306" s="47"/>
      <c r="G306" t="s">
        <v>2686</v>
      </c>
      <c r="H306" t="s">
        <v>2686</v>
      </c>
    </row>
    <row r="307" spans="1:8" x14ac:dyDescent="0.25">
      <c r="A307" s="47" t="s">
        <v>2</v>
      </c>
      <c r="B307">
        <v>186691</v>
      </c>
      <c r="C307">
        <v>329</v>
      </c>
      <c r="D307" s="47" t="s">
        <v>2664</v>
      </c>
      <c r="E307" s="47"/>
      <c r="G307">
        <v>329</v>
      </c>
      <c r="H307" t="s">
        <v>2686</v>
      </c>
    </row>
    <row r="308" spans="1:8" x14ac:dyDescent="0.25">
      <c r="A308" s="47" t="s">
        <v>2</v>
      </c>
      <c r="B308">
        <v>141796</v>
      </c>
      <c r="D308" s="47"/>
      <c r="E308" s="47"/>
      <c r="G308" t="s">
        <v>2686</v>
      </c>
      <c r="H308" t="s">
        <v>2686</v>
      </c>
    </row>
    <row r="309" spans="1:8" x14ac:dyDescent="0.25">
      <c r="A309" s="47" t="s">
        <v>2</v>
      </c>
      <c r="B309">
        <v>202089</v>
      </c>
      <c r="C309">
        <v>290</v>
      </c>
      <c r="D309" s="47" t="s">
        <v>2928</v>
      </c>
      <c r="E309" s="47"/>
      <c r="G309">
        <v>290</v>
      </c>
      <c r="H309" t="s">
        <v>2686</v>
      </c>
    </row>
    <row r="310" spans="1:8" x14ac:dyDescent="0.25">
      <c r="A310" s="47" t="s">
        <v>2</v>
      </c>
      <c r="B310">
        <v>186774</v>
      </c>
      <c r="C310">
        <v>329</v>
      </c>
      <c r="D310" s="47" t="s">
        <v>2657</v>
      </c>
      <c r="E310" s="47"/>
      <c r="G310">
        <v>329</v>
      </c>
      <c r="H310" t="s">
        <v>2686</v>
      </c>
    </row>
    <row r="311" spans="1:8" x14ac:dyDescent="0.25">
      <c r="A311" s="47" t="s">
        <v>2</v>
      </c>
      <c r="B311">
        <v>181698</v>
      </c>
      <c r="C311">
        <v>149</v>
      </c>
      <c r="D311" s="47" t="s">
        <v>2927</v>
      </c>
      <c r="E311" s="47"/>
      <c r="G311">
        <v>149</v>
      </c>
      <c r="H311" t="s">
        <v>2686</v>
      </c>
    </row>
    <row r="312" spans="1:8" x14ac:dyDescent="0.25">
      <c r="A312" s="47" t="s">
        <v>2</v>
      </c>
      <c r="B312">
        <v>204314</v>
      </c>
      <c r="C312">
        <v>590</v>
      </c>
      <c r="D312" s="47" t="s">
        <v>2925</v>
      </c>
      <c r="E312" s="47" t="s">
        <v>2988</v>
      </c>
      <c r="F312" t="s">
        <v>2926</v>
      </c>
      <c r="G312">
        <v>590</v>
      </c>
      <c r="H312" t="s">
        <v>2686</v>
      </c>
    </row>
    <row r="313" spans="1:8" x14ac:dyDescent="0.25">
      <c r="A313" s="47" t="s">
        <v>2</v>
      </c>
      <c r="B313">
        <v>186634</v>
      </c>
      <c r="C313">
        <v>629</v>
      </c>
      <c r="D313" s="47" t="s">
        <v>2601</v>
      </c>
      <c r="E313" s="47"/>
      <c r="G313">
        <v>629</v>
      </c>
      <c r="H313" t="s">
        <v>2686</v>
      </c>
    </row>
    <row r="314" spans="1:8" x14ac:dyDescent="0.25">
      <c r="A314" s="47" t="s">
        <v>2</v>
      </c>
      <c r="B314">
        <v>204348</v>
      </c>
      <c r="D314" s="47" t="s">
        <v>2923</v>
      </c>
      <c r="E314" s="47"/>
      <c r="G314">
        <v>369</v>
      </c>
      <c r="H314" t="s">
        <v>2686</v>
      </c>
    </row>
    <row r="315" spans="1:8" x14ac:dyDescent="0.25">
      <c r="A315" s="47" t="s">
        <v>2</v>
      </c>
      <c r="B315">
        <v>158297</v>
      </c>
      <c r="D315" s="47"/>
      <c r="E315" s="47" t="s">
        <v>2989</v>
      </c>
      <c r="F315" t="s">
        <v>2922</v>
      </c>
      <c r="G315" t="s">
        <v>2686</v>
      </c>
      <c r="H315">
        <v>1060</v>
      </c>
    </row>
    <row r="316" spans="1:8" x14ac:dyDescent="0.25">
      <c r="A316" s="47" t="s">
        <v>2</v>
      </c>
      <c r="B316">
        <v>223216</v>
      </c>
      <c r="C316">
        <v>529</v>
      </c>
      <c r="D316" s="47" t="s">
        <v>2290</v>
      </c>
      <c r="E316" s="47"/>
      <c r="G316">
        <v>529</v>
      </c>
      <c r="H316" t="s">
        <v>2686</v>
      </c>
    </row>
    <row r="317" spans="1:8" x14ac:dyDescent="0.25">
      <c r="A317" s="47" t="s">
        <v>2</v>
      </c>
      <c r="B317">
        <v>202117</v>
      </c>
      <c r="C317">
        <v>369</v>
      </c>
      <c r="D317" s="47" t="s">
        <v>2920</v>
      </c>
      <c r="E317" s="47" t="s">
        <v>2990</v>
      </c>
      <c r="F317" t="s">
        <v>2921</v>
      </c>
      <c r="G317">
        <v>369</v>
      </c>
      <c r="H317">
        <v>300</v>
      </c>
    </row>
    <row r="318" spans="1:8" x14ac:dyDescent="0.25">
      <c r="A318" s="47" t="s">
        <v>2</v>
      </c>
      <c r="B318">
        <v>186562</v>
      </c>
      <c r="C318">
        <v>690</v>
      </c>
      <c r="D318" s="47" t="s">
        <v>2673</v>
      </c>
      <c r="E318" s="47"/>
      <c r="G318">
        <v>690</v>
      </c>
      <c r="H318" t="s">
        <v>2686</v>
      </c>
    </row>
    <row r="319" spans="1:8" x14ac:dyDescent="0.25">
      <c r="A319" s="47" t="s">
        <v>2</v>
      </c>
      <c r="B319">
        <v>186838</v>
      </c>
      <c r="D319" s="47"/>
      <c r="E319" s="47"/>
      <c r="G319" t="s">
        <v>2686</v>
      </c>
      <c r="H319" t="s">
        <v>2686</v>
      </c>
    </row>
    <row r="320" spans="1:8" x14ac:dyDescent="0.25">
      <c r="A320" s="47" t="s">
        <v>2</v>
      </c>
      <c r="B320">
        <v>186729</v>
      </c>
      <c r="C320">
        <v>349</v>
      </c>
      <c r="D320" s="47" t="s">
        <v>2678</v>
      </c>
      <c r="E320" s="47"/>
      <c r="G320">
        <v>349</v>
      </c>
      <c r="H320" t="s">
        <v>2686</v>
      </c>
    </row>
    <row r="321" spans="1:8" x14ac:dyDescent="0.25">
      <c r="A321" s="47" t="s">
        <v>2</v>
      </c>
      <c r="B321">
        <v>225058</v>
      </c>
      <c r="C321">
        <v>149</v>
      </c>
      <c r="D321" s="47" t="s">
        <v>2918</v>
      </c>
      <c r="E321" s="47" t="s">
        <v>2981</v>
      </c>
      <c r="F321" t="s">
        <v>2919</v>
      </c>
      <c r="G321" t="s">
        <v>2686</v>
      </c>
      <c r="H321">
        <v>310</v>
      </c>
    </row>
    <row r="322" spans="1:8" x14ac:dyDescent="0.25">
      <c r="A322" s="47" t="s">
        <v>2</v>
      </c>
      <c r="B322">
        <v>194859</v>
      </c>
      <c r="C322">
        <v>469</v>
      </c>
      <c r="D322" s="47" t="s">
        <v>2916</v>
      </c>
      <c r="E322" s="47" t="s">
        <v>2981</v>
      </c>
      <c r="F322" t="s">
        <v>2917</v>
      </c>
      <c r="G322">
        <v>469</v>
      </c>
      <c r="H322">
        <v>310</v>
      </c>
    </row>
    <row r="323" spans="1:8" x14ac:dyDescent="0.25">
      <c r="A323" s="47" t="s">
        <v>2</v>
      </c>
      <c r="B323">
        <v>186596</v>
      </c>
      <c r="C323">
        <v>549</v>
      </c>
      <c r="D323" s="47" t="s">
        <v>2665</v>
      </c>
      <c r="E323" s="47"/>
      <c r="G323">
        <v>549</v>
      </c>
      <c r="H323" t="s">
        <v>2686</v>
      </c>
    </row>
    <row r="324" spans="1:8" x14ac:dyDescent="0.25">
      <c r="A324" s="47" t="s">
        <v>2</v>
      </c>
      <c r="B324">
        <v>225949</v>
      </c>
      <c r="D324" s="47" t="s">
        <v>2914</v>
      </c>
      <c r="E324" s="47"/>
      <c r="G324">
        <v>349</v>
      </c>
      <c r="H324" t="s">
        <v>2686</v>
      </c>
    </row>
    <row r="325" spans="1:8" x14ac:dyDescent="0.25">
      <c r="A325" s="47" t="s">
        <v>2</v>
      </c>
      <c r="B325">
        <v>186732</v>
      </c>
      <c r="C325">
        <v>649</v>
      </c>
      <c r="D325" s="47" t="s">
        <v>2669</v>
      </c>
      <c r="E325" s="47"/>
      <c r="G325">
        <v>649</v>
      </c>
      <c r="H325" t="s">
        <v>2686</v>
      </c>
    </row>
    <row r="326" spans="1:8" x14ac:dyDescent="0.25">
      <c r="A326" s="47" t="s">
        <v>2</v>
      </c>
      <c r="B326">
        <v>158160</v>
      </c>
      <c r="D326" s="47"/>
      <c r="E326" s="47" t="s">
        <v>2991</v>
      </c>
      <c r="F326" t="s">
        <v>2913</v>
      </c>
      <c r="G326" t="s">
        <v>2686</v>
      </c>
      <c r="H326">
        <v>320</v>
      </c>
    </row>
    <row r="327" spans="1:8" x14ac:dyDescent="0.25">
      <c r="A327" s="47" t="s">
        <v>2</v>
      </c>
      <c r="B327">
        <v>158280</v>
      </c>
      <c r="D327" s="47"/>
      <c r="E327" s="47"/>
      <c r="G327" t="s">
        <v>2686</v>
      </c>
      <c r="H327" t="s">
        <v>2686</v>
      </c>
    </row>
    <row r="328" spans="1:8" x14ac:dyDescent="0.25">
      <c r="A328" s="47" t="s">
        <v>2</v>
      </c>
      <c r="B328">
        <v>158276</v>
      </c>
      <c r="C328">
        <v>390</v>
      </c>
      <c r="D328" s="47" t="s">
        <v>2626</v>
      </c>
      <c r="E328" s="47"/>
      <c r="G328">
        <v>390</v>
      </c>
      <c r="H328" t="s">
        <v>2686</v>
      </c>
    </row>
    <row r="329" spans="1:8" x14ac:dyDescent="0.25">
      <c r="A329" s="47" t="s">
        <v>2</v>
      </c>
      <c r="B329">
        <v>204353</v>
      </c>
      <c r="C329">
        <v>189</v>
      </c>
      <c r="D329" s="47" t="s">
        <v>2912</v>
      </c>
      <c r="E329" s="47"/>
      <c r="G329">
        <v>189</v>
      </c>
      <c r="H329" t="s">
        <v>2686</v>
      </c>
    </row>
    <row r="330" spans="1:8" x14ac:dyDescent="0.25">
      <c r="A330" s="47" t="s">
        <v>2</v>
      </c>
      <c r="B330">
        <v>225954</v>
      </c>
      <c r="C330">
        <v>415</v>
      </c>
      <c r="D330" s="47" t="s">
        <v>2911</v>
      </c>
      <c r="E330" s="47"/>
      <c r="G330">
        <v>829</v>
      </c>
      <c r="H330" t="s">
        <v>2686</v>
      </c>
    </row>
    <row r="331" spans="1:8" x14ac:dyDescent="0.25">
      <c r="A331" s="47" t="s">
        <v>2</v>
      </c>
      <c r="B331">
        <v>225960</v>
      </c>
      <c r="D331" s="47"/>
      <c r="E331" s="47" t="s">
        <v>2992</v>
      </c>
      <c r="F331" t="s">
        <v>2956</v>
      </c>
      <c r="G331" t="s">
        <v>2686</v>
      </c>
      <c r="H331" t="s">
        <v>2686</v>
      </c>
    </row>
    <row r="332" spans="1:8" x14ac:dyDescent="0.25">
      <c r="A332" s="47" t="s">
        <v>2</v>
      </c>
      <c r="B332">
        <v>155852</v>
      </c>
      <c r="D332" s="47"/>
      <c r="E332" s="47"/>
      <c r="G332" t="s">
        <v>2686</v>
      </c>
      <c r="H332" t="s">
        <v>2686</v>
      </c>
    </row>
    <row r="333" spans="1:8" x14ac:dyDescent="0.25">
      <c r="A333" s="47" t="s">
        <v>2</v>
      </c>
      <c r="B333">
        <v>180671</v>
      </c>
      <c r="C333">
        <v>480</v>
      </c>
      <c r="D333" s="47" t="s">
        <v>2909</v>
      </c>
      <c r="E333" s="47"/>
      <c r="G333">
        <v>469</v>
      </c>
      <c r="H333" t="s">
        <v>2686</v>
      </c>
    </row>
    <row r="334" spans="1:8" x14ac:dyDescent="0.25">
      <c r="A334" s="47" t="s">
        <v>2</v>
      </c>
      <c r="B334">
        <v>158277</v>
      </c>
      <c r="C334">
        <v>729</v>
      </c>
      <c r="D334" s="47" t="s">
        <v>2619</v>
      </c>
      <c r="E334" s="47"/>
      <c r="G334">
        <v>729</v>
      </c>
      <c r="H334" t="s">
        <v>2686</v>
      </c>
    </row>
    <row r="335" spans="1:8" x14ac:dyDescent="0.25">
      <c r="A335" s="47" t="s">
        <v>2</v>
      </c>
      <c r="B335">
        <v>158287</v>
      </c>
      <c r="C335">
        <v>390</v>
      </c>
      <c r="D335" s="47" t="s">
        <v>2627</v>
      </c>
      <c r="E335" s="47"/>
      <c r="G335">
        <v>390</v>
      </c>
      <c r="H335" t="s">
        <v>2686</v>
      </c>
    </row>
    <row r="336" spans="1:8" x14ac:dyDescent="0.25">
      <c r="A336" s="47" t="s">
        <v>2</v>
      </c>
      <c r="B336">
        <v>204304</v>
      </c>
      <c r="D336" s="47"/>
      <c r="E336" s="47"/>
      <c r="G336" t="s">
        <v>2686</v>
      </c>
      <c r="H336" t="s">
        <v>2686</v>
      </c>
    </row>
    <row r="337" spans="1:8" x14ac:dyDescent="0.25">
      <c r="A337" s="47" t="s">
        <v>2</v>
      </c>
      <c r="B337">
        <v>186635</v>
      </c>
      <c r="C337">
        <v>325</v>
      </c>
      <c r="D337" s="47" t="s">
        <v>2908</v>
      </c>
      <c r="E337" s="47"/>
      <c r="G337">
        <v>649</v>
      </c>
      <c r="H337" t="s">
        <v>2686</v>
      </c>
    </row>
    <row r="338" spans="1:8" x14ac:dyDescent="0.25">
      <c r="A338" s="47" t="s">
        <v>2</v>
      </c>
      <c r="B338">
        <v>186670</v>
      </c>
      <c r="C338">
        <v>325</v>
      </c>
      <c r="D338" s="47" t="s">
        <v>2908</v>
      </c>
      <c r="E338" s="47"/>
      <c r="G338">
        <v>649</v>
      </c>
      <c r="H338" t="s">
        <v>2686</v>
      </c>
    </row>
    <row r="339" spans="1:8" x14ac:dyDescent="0.25">
      <c r="A339" s="47" t="s">
        <v>2</v>
      </c>
      <c r="B339">
        <v>204187</v>
      </c>
      <c r="C339">
        <v>490</v>
      </c>
      <c r="D339" s="47" t="s">
        <v>2907</v>
      </c>
      <c r="E339" s="47"/>
      <c r="G339">
        <v>490</v>
      </c>
      <c r="H339" t="s">
        <v>2686</v>
      </c>
    </row>
    <row r="340" spans="1:8" x14ac:dyDescent="0.25">
      <c r="A340" s="47" t="s">
        <v>2</v>
      </c>
      <c r="B340">
        <v>204345</v>
      </c>
      <c r="D340" s="47"/>
      <c r="E340" s="47"/>
      <c r="G340" t="s">
        <v>2686</v>
      </c>
      <c r="H340" t="s">
        <v>2686</v>
      </c>
    </row>
    <row r="341" spans="1:8" x14ac:dyDescent="0.25">
      <c r="A341" s="47" t="s">
        <v>2</v>
      </c>
      <c r="B341">
        <v>223263</v>
      </c>
      <c r="C341">
        <v>590</v>
      </c>
      <c r="D341" s="47" t="s">
        <v>2314</v>
      </c>
      <c r="E341" s="47"/>
      <c r="G341">
        <v>590</v>
      </c>
      <c r="H341" t="s">
        <v>2686</v>
      </c>
    </row>
    <row r="342" spans="1:8" x14ac:dyDescent="0.25">
      <c r="A342" s="47" t="s">
        <v>2</v>
      </c>
      <c r="B342">
        <v>202087</v>
      </c>
      <c r="C342">
        <v>349</v>
      </c>
      <c r="D342" s="47" t="s">
        <v>2905</v>
      </c>
      <c r="E342" s="47" t="s">
        <v>2991</v>
      </c>
      <c r="F342" t="s">
        <v>2906</v>
      </c>
      <c r="G342">
        <v>349</v>
      </c>
      <c r="H342">
        <v>320</v>
      </c>
    </row>
    <row r="343" spans="1:8" x14ac:dyDescent="0.25">
      <c r="A343" s="47" t="s">
        <v>2</v>
      </c>
      <c r="B343">
        <v>225923</v>
      </c>
      <c r="C343">
        <v>390</v>
      </c>
      <c r="D343" s="47" t="s">
        <v>2358</v>
      </c>
      <c r="E343" s="47"/>
      <c r="G343">
        <v>390</v>
      </c>
      <c r="H343" t="s">
        <v>2686</v>
      </c>
    </row>
    <row r="344" spans="1:8" x14ac:dyDescent="0.25">
      <c r="A344" s="47" t="s">
        <v>2</v>
      </c>
      <c r="B344">
        <v>201335</v>
      </c>
      <c r="D344" s="47"/>
      <c r="E344" s="47" t="s">
        <v>2993</v>
      </c>
      <c r="F344" t="s">
        <v>2904</v>
      </c>
      <c r="G344" t="s">
        <v>2686</v>
      </c>
      <c r="H344">
        <v>360</v>
      </c>
    </row>
    <row r="345" spans="1:8" x14ac:dyDescent="0.25">
      <c r="A345" s="47" t="s">
        <v>2</v>
      </c>
      <c r="B345">
        <v>224897</v>
      </c>
      <c r="D345" s="47"/>
      <c r="E345" s="47"/>
      <c r="G345" t="s">
        <v>2686</v>
      </c>
      <c r="H345" t="s">
        <v>2686</v>
      </c>
    </row>
    <row r="346" spans="1:8" x14ac:dyDescent="0.25">
      <c r="A346" s="47" t="s">
        <v>2</v>
      </c>
      <c r="B346">
        <v>186574</v>
      </c>
      <c r="D346" s="47"/>
      <c r="E346" s="47" t="s">
        <v>2994</v>
      </c>
      <c r="F346" t="s">
        <v>2903</v>
      </c>
      <c r="G346" t="s">
        <v>2686</v>
      </c>
      <c r="H346">
        <v>510</v>
      </c>
    </row>
    <row r="347" spans="1:8" x14ac:dyDescent="0.25">
      <c r="A347" s="47" t="s">
        <v>2</v>
      </c>
      <c r="B347">
        <v>186583</v>
      </c>
      <c r="D347" s="47"/>
      <c r="E347" s="47" t="s">
        <v>2994</v>
      </c>
      <c r="F347" t="s">
        <v>2903</v>
      </c>
      <c r="G347" t="s">
        <v>2686</v>
      </c>
      <c r="H347">
        <v>510</v>
      </c>
    </row>
    <row r="348" spans="1:8" x14ac:dyDescent="0.25">
      <c r="A348" s="47" t="s">
        <v>2</v>
      </c>
      <c r="B348">
        <v>138756</v>
      </c>
      <c r="D348" s="47"/>
      <c r="E348" s="47"/>
      <c r="G348" t="s">
        <v>2686</v>
      </c>
      <c r="H348" t="s">
        <v>2686</v>
      </c>
    </row>
    <row r="349" spans="1:8" x14ac:dyDescent="0.25">
      <c r="A349" s="47" t="s">
        <v>2</v>
      </c>
      <c r="B349">
        <v>204186</v>
      </c>
      <c r="D349" s="47"/>
      <c r="E349" s="47"/>
      <c r="G349" t="s">
        <v>2686</v>
      </c>
      <c r="H349" t="s">
        <v>2686</v>
      </c>
    </row>
    <row r="350" spans="1:8" x14ac:dyDescent="0.25">
      <c r="A350" s="47" t="s">
        <v>2</v>
      </c>
      <c r="B350">
        <v>186579</v>
      </c>
      <c r="C350">
        <v>449</v>
      </c>
      <c r="D350" s="47" t="s">
        <v>2902</v>
      </c>
      <c r="E350" s="47" t="s">
        <v>2995</v>
      </c>
      <c r="F350" t="s">
        <v>2901</v>
      </c>
      <c r="G350">
        <v>449</v>
      </c>
      <c r="H350">
        <v>450</v>
      </c>
    </row>
    <row r="351" spans="1:8" x14ac:dyDescent="0.25">
      <c r="A351" s="47" t="s">
        <v>2</v>
      </c>
      <c r="B351">
        <v>186584</v>
      </c>
      <c r="C351">
        <v>449</v>
      </c>
      <c r="D351" s="47" t="s">
        <v>2902</v>
      </c>
      <c r="E351" s="47" t="s">
        <v>2995</v>
      </c>
      <c r="F351" t="s">
        <v>2901</v>
      </c>
      <c r="G351">
        <v>449</v>
      </c>
      <c r="H351">
        <v>450</v>
      </c>
    </row>
    <row r="352" spans="1:8" x14ac:dyDescent="0.25">
      <c r="A352" s="47" t="s">
        <v>2</v>
      </c>
      <c r="B352">
        <v>138757</v>
      </c>
      <c r="C352">
        <v>490</v>
      </c>
      <c r="D352" s="47" t="s">
        <v>2607</v>
      </c>
      <c r="E352" s="47"/>
      <c r="G352">
        <v>490</v>
      </c>
      <c r="H352" t="s">
        <v>2686</v>
      </c>
    </row>
    <row r="353" spans="1:8" x14ac:dyDescent="0.25">
      <c r="A353" s="47" t="s">
        <v>2</v>
      </c>
      <c r="B353">
        <v>225400</v>
      </c>
      <c r="C353">
        <v>390</v>
      </c>
      <c r="D353" s="47" t="s">
        <v>2900</v>
      </c>
      <c r="E353" s="47"/>
      <c r="G353">
        <v>390</v>
      </c>
      <c r="H353" t="s">
        <v>2686</v>
      </c>
    </row>
    <row r="354" spans="1:8" x14ac:dyDescent="0.25">
      <c r="A354" s="47" t="s">
        <v>2</v>
      </c>
      <c r="B354">
        <v>225402</v>
      </c>
      <c r="C354">
        <v>290</v>
      </c>
      <c r="D354" s="47" t="s">
        <v>2899</v>
      </c>
      <c r="E354" s="47"/>
      <c r="G354">
        <v>290</v>
      </c>
      <c r="H354" t="s">
        <v>2686</v>
      </c>
    </row>
    <row r="355" spans="1:8" x14ac:dyDescent="0.25">
      <c r="A355" s="47" t="s">
        <v>2</v>
      </c>
      <c r="B355">
        <v>225393</v>
      </c>
      <c r="C355">
        <v>469</v>
      </c>
      <c r="D355" s="47" t="s">
        <v>2898</v>
      </c>
      <c r="E355" s="47"/>
      <c r="G355">
        <v>469</v>
      </c>
      <c r="H355" t="s">
        <v>2686</v>
      </c>
    </row>
    <row r="356" spans="1:8" x14ac:dyDescent="0.25">
      <c r="A356" s="47" t="s">
        <v>2</v>
      </c>
      <c r="B356">
        <v>157737</v>
      </c>
      <c r="C356">
        <v>135</v>
      </c>
      <c r="D356" s="47" t="s">
        <v>2897</v>
      </c>
      <c r="E356" s="47"/>
      <c r="G356">
        <v>269</v>
      </c>
      <c r="H356" t="s">
        <v>2686</v>
      </c>
    </row>
    <row r="357" spans="1:8" x14ac:dyDescent="0.25">
      <c r="A357" s="47" t="s">
        <v>2</v>
      </c>
      <c r="B357">
        <v>202126</v>
      </c>
      <c r="C357">
        <v>135</v>
      </c>
      <c r="D357" s="47" t="s">
        <v>2897</v>
      </c>
      <c r="E357" s="47"/>
      <c r="G357">
        <v>269</v>
      </c>
      <c r="H357" t="s">
        <v>2686</v>
      </c>
    </row>
    <row r="358" spans="1:8" x14ac:dyDescent="0.25">
      <c r="A358" s="47" t="s">
        <v>2</v>
      </c>
      <c r="B358">
        <v>186577</v>
      </c>
      <c r="D358" s="47"/>
      <c r="E358" s="47"/>
      <c r="G358" t="s">
        <v>2686</v>
      </c>
      <c r="H358" t="s">
        <v>2686</v>
      </c>
    </row>
    <row r="359" spans="1:8" x14ac:dyDescent="0.25">
      <c r="A359" s="47" t="s">
        <v>2</v>
      </c>
      <c r="B359">
        <v>186585</v>
      </c>
      <c r="D359" s="47"/>
      <c r="E359" s="47"/>
      <c r="G359" t="s">
        <v>2686</v>
      </c>
      <c r="H359" t="s">
        <v>2686</v>
      </c>
    </row>
    <row r="360" spans="1:8" x14ac:dyDescent="0.25">
      <c r="A360" s="47" t="s">
        <v>2</v>
      </c>
      <c r="B360">
        <v>181550</v>
      </c>
      <c r="C360">
        <v>490</v>
      </c>
      <c r="D360" s="47" t="s">
        <v>2896</v>
      </c>
      <c r="E360" s="47"/>
      <c r="G360">
        <v>569</v>
      </c>
      <c r="H360" t="s">
        <v>2686</v>
      </c>
    </row>
    <row r="361" spans="1:8" x14ac:dyDescent="0.25">
      <c r="A361" s="47" t="s">
        <v>2</v>
      </c>
      <c r="B361">
        <v>186669</v>
      </c>
      <c r="D361" s="47"/>
      <c r="E361" s="47"/>
      <c r="G361" t="s">
        <v>2686</v>
      </c>
      <c r="H361" t="s">
        <v>2686</v>
      </c>
    </row>
    <row r="362" spans="1:8" x14ac:dyDescent="0.25">
      <c r="A362" s="47" t="s">
        <v>2</v>
      </c>
      <c r="B362">
        <v>186725</v>
      </c>
      <c r="C362">
        <v>139</v>
      </c>
      <c r="D362" s="47" t="s">
        <v>2660</v>
      </c>
      <c r="E362" s="47"/>
      <c r="G362">
        <v>139</v>
      </c>
      <c r="H362" t="s">
        <v>2686</v>
      </c>
    </row>
    <row r="363" spans="1:8" x14ac:dyDescent="0.25">
      <c r="A363" s="47" t="s">
        <v>2</v>
      </c>
      <c r="B363">
        <v>138827</v>
      </c>
      <c r="D363" s="47"/>
      <c r="E363" s="47"/>
      <c r="G363" t="s">
        <v>2686</v>
      </c>
      <c r="H363" t="s">
        <v>2686</v>
      </c>
    </row>
    <row r="364" spans="1:8" x14ac:dyDescent="0.25">
      <c r="A364" s="47" t="s">
        <v>2</v>
      </c>
      <c r="B364">
        <v>213297</v>
      </c>
      <c r="C364">
        <v>369</v>
      </c>
      <c r="D364" s="47" t="s">
        <v>2968</v>
      </c>
      <c r="E364" s="47"/>
      <c r="G364">
        <v>369</v>
      </c>
      <c r="H364" t="s">
        <v>2686</v>
      </c>
    </row>
    <row r="365" spans="1:8" x14ac:dyDescent="0.25">
      <c r="A365" s="47" t="s">
        <v>2</v>
      </c>
      <c r="B365">
        <v>136654</v>
      </c>
      <c r="C365">
        <v>469</v>
      </c>
      <c r="D365" s="47" t="s">
        <v>2894</v>
      </c>
      <c r="E365" s="47"/>
      <c r="G365">
        <v>469</v>
      </c>
      <c r="H365" t="s">
        <v>2686</v>
      </c>
    </row>
    <row r="366" spans="1:8" x14ac:dyDescent="0.25">
      <c r="A366" s="47" t="s">
        <v>2</v>
      </c>
      <c r="B366">
        <v>158282</v>
      </c>
      <c r="D366" s="47" t="s">
        <v>2564</v>
      </c>
      <c r="E366" s="47"/>
      <c r="G366" t="s">
        <v>2686</v>
      </c>
      <c r="H366" t="s">
        <v>2686</v>
      </c>
    </row>
    <row r="367" spans="1:8" x14ac:dyDescent="0.25">
      <c r="A367" s="47" t="s">
        <v>2</v>
      </c>
      <c r="B367">
        <v>186705</v>
      </c>
      <c r="C367">
        <v>449</v>
      </c>
      <c r="D367" s="47" t="s">
        <v>2893</v>
      </c>
      <c r="E367" s="47"/>
      <c r="G367">
        <v>449</v>
      </c>
      <c r="H367" t="s">
        <v>2686</v>
      </c>
    </row>
    <row r="368" spans="1:8" x14ac:dyDescent="0.25">
      <c r="A368" s="47" t="s">
        <v>2</v>
      </c>
      <c r="B368">
        <v>223238</v>
      </c>
      <c r="C368">
        <v>890</v>
      </c>
      <c r="D368" s="47" t="s">
        <v>2298</v>
      </c>
      <c r="E368" s="47"/>
      <c r="G368">
        <v>890</v>
      </c>
      <c r="H368" t="s">
        <v>2686</v>
      </c>
    </row>
    <row r="369" spans="1:8" x14ac:dyDescent="0.25">
      <c r="A369" s="47" t="s">
        <v>2</v>
      </c>
      <c r="B369">
        <v>223235</v>
      </c>
      <c r="C369">
        <v>890</v>
      </c>
      <c r="D369" s="47" t="s">
        <v>2299</v>
      </c>
      <c r="E369" s="47"/>
      <c r="G369">
        <v>890</v>
      </c>
      <c r="H369" t="s">
        <v>2686</v>
      </c>
    </row>
    <row r="370" spans="1:8" x14ac:dyDescent="0.25">
      <c r="A370" s="47" t="s">
        <v>2</v>
      </c>
      <c r="B370">
        <v>158291</v>
      </c>
      <c r="C370">
        <v>569</v>
      </c>
      <c r="D370" s="47" t="s">
        <v>2618</v>
      </c>
      <c r="E370" s="47"/>
      <c r="G370">
        <v>569</v>
      </c>
      <c r="H370" t="s">
        <v>2686</v>
      </c>
    </row>
    <row r="371" spans="1:8" x14ac:dyDescent="0.25">
      <c r="A371" s="47" t="s">
        <v>2</v>
      </c>
      <c r="B371">
        <v>186765</v>
      </c>
      <c r="C371">
        <v>669</v>
      </c>
      <c r="D371" s="47" t="s">
        <v>2617</v>
      </c>
      <c r="E371" s="47"/>
      <c r="G371">
        <v>669</v>
      </c>
      <c r="H371" t="s">
        <v>2686</v>
      </c>
    </row>
    <row r="372" spans="1:8" x14ac:dyDescent="0.25">
      <c r="A372" s="47" t="s">
        <v>2</v>
      </c>
      <c r="B372">
        <v>186726</v>
      </c>
      <c r="D372" s="47"/>
      <c r="E372" s="47"/>
      <c r="G372" t="s">
        <v>2686</v>
      </c>
      <c r="H372" t="s">
        <v>2686</v>
      </c>
    </row>
    <row r="373" spans="1:8" x14ac:dyDescent="0.25">
      <c r="A373" s="47" t="s">
        <v>2</v>
      </c>
      <c r="B373">
        <v>180669</v>
      </c>
      <c r="C373">
        <v>590</v>
      </c>
      <c r="D373" s="47" t="s">
        <v>2616</v>
      </c>
      <c r="E373" s="47"/>
      <c r="G373">
        <v>590</v>
      </c>
      <c r="H373" t="s">
        <v>2686</v>
      </c>
    </row>
    <row r="374" spans="1:8" x14ac:dyDescent="0.25">
      <c r="A374" s="47" t="s">
        <v>2</v>
      </c>
      <c r="B374">
        <v>158279</v>
      </c>
      <c r="C374">
        <v>390</v>
      </c>
      <c r="D374" s="47" t="s">
        <v>2615</v>
      </c>
      <c r="E374" s="47"/>
      <c r="G374">
        <v>390</v>
      </c>
      <c r="H374" t="s">
        <v>2686</v>
      </c>
    </row>
    <row r="375" spans="1:8" x14ac:dyDescent="0.25">
      <c r="A375" s="47" t="s">
        <v>2</v>
      </c>
      <c r="B375">
        <v>218424</v>
      </c>
      <c r="C375">
        <v>590</v>
      </c>
      <c r="D375" s="47" t="s">
        <v>2525</v>
      </c>
      <c r="E375" s="47"/>
      <c r="G375">
        <v>590</v>
      </c>
      <c r="H375" t="s">
        <v>2686</v>
      </c>
    </row>
    <row r="376" spans="1:8" x14ac:dyDescent="0.25">
      <c r="A376" s="47" t="s">
        <v>2</v>
      </c>
      <c r="B376">
        <v>225940</v>
      </c>
      <c r="C376">
        <v>590</v>
      </c>
      <c r="D376" s="47" t="s">
        <v>2575</v>
      </c>
      <c r="E376" s="47"/>
      <c r="G376">
        <v>590</v>
      </c>
      <c r="H376" t="s">
        <v>2686</v>
      </c>
    </row>
    <row r="377" spans="1:8" x14ac:dyDescent="0.25">
      <c r="A377" s="47" t="s">
        <v>2</v>
      </c>
      <c r="B377">
        <v>213354</v>
      </c>
      <c r="C377">
        <v>229</v>
      </c>
      <c r="D377" s="47" t="s">
        <v>2967</v>
      </c>
      <c r="E377" s="47"/>
      <c r="G377">
        <v>229</v>
      </c>
      <c r="H377" t="s">
        <v>2686</v>
      </c>
    </row>
    <row r="378" spans="1:8" x14ac:dyDescent="0.25">
      <c r="A378" s="47" t="s">
        <v>2</v>
      </c>
      <c r="B378">
        <v>213353</v>
      </c>
      <c r="C378">
        <v>229</v>
      </c>
      <c r="D378" s="47" t="s">
        <v>2967</v>
      </c>
      <c r="E378" s="47"/>
      <c r="G378">
        <v>229</v>
      </c>
      <c r="H378" t="s">
        <v>2686</v>
      </c>
    </row>
    <row r="379" spans="1:8" x14ac:dyDescent="0.25">
      <c r="A379" s="47" t="s">
        <v>2</v>
      </c>
      <c r="B379">
        <v>202112</v>
      </c>
      <c r="D379" s="47"/>
      <c r="E379" s="47"/>
      <c r="G379" t="s">
        <v>2686</v>
      </c>
      <c r="H379" t="s">
        <v>2686</v>
      </c>
    </row>
    <row r="380" spans="1:8" x14ac:dyDescent="0.25">
      <c r="A380" s="47" t="s">
        <v>2</v>
      </c>
      <c r="B380">
        <v>204184</v>
      </c>
      <c r="D380" s="47"/>
      <c r="E380" s="47"/>
      <c r="G380" t="s">
        <v>2686</v>
      </c>
      <c r="H380" t="s">
        <v>2686</v>
      </c>
    </row>
    <row r="381" spans="1:8" x14ac:dyDescent="0.25">
      <c r="A381" s="47" t="s">
        <v>2</v>
      </c>
      <c r="B381">
        <v>225423</v>
      </c>
      <c r="D381" s="47"/>
      <c r="E381" s="47"/>
      <c r="G381" t="s">
        <v>2686</v>
      </c>
      <c r="H381" t="s">
        <v>2686</v>
      </c>
    </row>
    <row r="382" spans="1:8" x14ac:dyDescent="0.25">
      <c r="A382" s="47" t="s">
        <v>2</v>
      </c>
      <c r="B382">
        <v>223217</v>
      </c>
      <c r="C382">
        <v>769</v>
      </c>
      <c r="D382" s="47" t="s">
        <v>2289</v>
      </c>
      <c r="E382" s="47"/>
      <c r="G382">
        <v>790</v>
      </c>
      <c r="H382" t="s">
        <v>2686</v>
      </c>
    </row>
    <row r="383" spans="1:8" x14ac:dyDescent="0.25">
      <c r="A383" s="47" t="s">
        <v>2</v>
      </c>
      <c r="B383">
        <v>194570</v>
      </c>
      <c r="D383" s="47"/>
      <c r="E383" s="47"/>
      <c r="G383" t="s">
        <v>2686</v>
      </c>
      <c r="H383" t="s">
        <v>2686</v>
      </c>
    </row>
    <row r="384" spans="1:8" x14ac:dyDescent="0.25">
      <c r="A384" s="47" t="s">
        <v>2</v>
      </c>
      <c r="B384">
        <v>223269</v>
      </c>
      <c r="C384">
        <v>449</v>
      </c>
      <c r="D384" s="47" t="s">
        <v>2300</v>
      </c>
      <c r="E384" s="47"/>
      <c r="G384">
        <v>449</v>
      </c>
      <c r="H384" t="s">
        <v>2686</v>
      </c>
    </row>
    <row r="385" spans="1:8" x14ac:dyDescent="0.25">
      <c r="A385" s="47" t="s">
        <v>2</v>
      </c>
      <c r="B385">
        <v>223234</v>
      </c>
      <c r="C385">
        <v>1090</v>
      </c>
      <c r="D385" s="47" t="s">
        <v>2286</v>
      </c>
      <c r="E385" s="47"/>
      <c r="G385">
        <v>1090</v>
      </c>
      <c r="H385" t="s">
        <v>2686</v>
      </c>
    </row>
    <row r="386" spans="1:8" x14ac:dyDescent="0.25">
      <c r="A386" s="47" t="s">
        <v>2</v>
      </c>
      <c r="B386">
        <v>223237</v>
      </c>
      <c r="C386">
        <v>1090</v>
      </c>
      <c r="D386" s="47" t="s">
        <v>2286</v>
      </c>
      <c r="E386" s="47"/>
      <c r="G386">
        <v>1090</v>
      </c>
      <c r="H386" t="s">
        <v>2686</v>
      </c>
    </row>
    <row r="387" spans="1:8" x14ac:dyDescent="0.25">
      <c r="A387" s="47" t="s">
        <v>2</v>
      </c>
      <c r="B387">
        <v>186672</v>
      </c>
      <c r="C387">
        <v>649</v>
      </c>
      <c r="D387" s="47" t="s">
        <v>2614</v>
      </c>
      <c r="E387" s="47"/>
      <c r="G387">
        <v>649</v>
      </c>
      <c r="H387" t="s">
        <v>2686</v>
      </c>
    </row>
    <row r="388" spans="1:8" x14ac:dyDescent="0.25">
      <c r="A388" s="47" t="s">
        <v>2</v>
      </c>
      <c r="B388">
        <v>225924</v>
      </c>
      <c r="C388">
        <v>590</v>
      </c>
      <c r="D388" s="47" t="s">
        <v>2354</v>
      </c>
      <c r="E388" s="47"/>
      <c r="G388">
        <v>590</v>
      </c>
      <c r="H388" t="s">
        <v>2686</v>
      </c>
    </row>
    <row r="389" spans="1:8" x14ac:dyDescent="0.25">
      <c r="A389" s="47" t="s">
        <v>2</v>
      </c>
      <c r="B389">
        <v>226094</v>
      </c>
      <c r="D389" s="47"/>
      <c r="E389" s="47"/>
      <c r="G389" t="s">
        <v>2686</v>
      </c>
      <c r="H389" t="s">
        <v>2686</v>
      </c>
    </row>
    <row r="390" spans="1:8" x14ac:dyDescent="0.25">
      <c r="A390" s="47" t="s">
        <v>2</v>
      </c>
      <c r="B390">
        <v>225927</v>
      </c>
      <c r="C390">
        <v>590</v>
      </c>
      <c r="D390" s="47" t="s">
        <v>2359</v>
      </c>
      <c r="E390" s="47"/>
      <c r="G390">
        <v>590</v>
      </c>
      <c r="H390" t="s">
        <v>2686</v>
      </c>
    </row>
    <row r="391" spans="1:8" x14ac:dyDescent="0.25">
      <c r="A391" s="47" t="s">
        <v>2</v>
      </c>
      <c r="B391">
        <v>167286</v>
      </c>
      <c r="C391">
        <v>529</v>
      </c>
      <c r="D391" s="47" t="s">
        <v>2613</v>
      </c>
      <c r="E391" s="47"/>
      <c r="G391">
        <v>529</v>
      </c>
      <c r="H391" t="s">
        <v>2686</v>
      </c>
    </row>
    <row r="392" spans="1:8" x14ac:dyDescent="0.25">
      <c r="A392" s="47" t="s">
        <v>2</v>
      </c>
      <c r="B392">
        <v>158295</v>
      </c>
      <c r="C392">
        <v>590</v>
      </c>
      <c r="D392" s="47" t="s">
        <v>2612</v>
      </c>
      <c r="E392" s="47"/>
      <c r="G392">
        <v>590</v>
      </c>
      <c r="H392" t="s">
        <v>2686</v>
      </c>
    </row>
    <row r="393" spans="1:8" x14ac:dyDescent="0.25">
      <c r="A393" s="47" t="s">
        <v>2</v>
      </c>
      <c r="B393">
        <v>225926</v>
      </c>
      <c r="C393">
        <v>590</v>
      </c>
      <c r="D393" s="47" t="s">
        <v>2357</v>
      </c>
      <c r="E393" s="47"/>
      <c r="G393">
        <v>590</v>
      </c>
      <c r="H393" t="s">
        <v>2686</v>
      </c>
    </row>
    <row r="394" spans="1:8" x14ac:dyDescent="0.25">
      <c r="A394" s="47" t="s">
        <v>2</v>
      </c>
      <c r="B394">
        <v>158296</v>
      </c>
      <c r="C394">
        <v>1390</v>
      </c>
      <c r="D394" s="47" t="s">
        <v>2508</v>
      </c>
      <c r="E394" s="47"/>
      <c r="G394">
        <v>1390</v>
      </c>
      <c r="H394" t="s">
        <v>2686</v>
      </c>
    </row>
    <row r="395" spans="1:8" x14ac:dyDescent="0.25">
      <c r="A395" s="47" t="s">
        <v>2</v>
      </c>
      <c r="B395">
        <v>225953</v>
      </c>
      <c r="C395">
        <v>590</v>
      </c>
      <c r="D395" s="47" t="s">
        <v>2355</v>
      </c>
      <c r="E395" s="47"/>
      <c r="G395">
        <v>590</v>
      </c>
      <c r="H395" t="s">
        <v>2686</v>
      </c>
    </row>
    <row r="396" spans="1:8" x14ac:dyDescent="0.25">
      <c r="A396" s="47" t="s">
        <v>2</v>
      </c>
      <c r="B396">
        <v>186724</v>
      </c>
      <c r="D396" s="47"/>
      <c r="E396" s="47"/>
      <c r="G396" t="s">
        <v>2686</v>
      </c>
      <c r="H396" t="s">
        <v>2686</v>
      </c>
    </row>
    <row r="397" spans="1:8" x14ac:dyDescent="0.25">
      <c r="A397" s="47" t="s">
        <v>2</v>
      </c>
      <c r="B397">
        <v>186575</v>
      </c>
      <c r="C397">
        <v>590</v>
      </c>
      <c r="D397" s="47" t="s">
        <v>2892</v>
      </c>
      <c r="E397" s="47"/>
      <c r="G397">
        <v>590</v>
      </c>
      <c r="H397" t="s">
        <v>2686</v>
      </c>
    </row>
    <row r="398" spans="1:8" x14ac:dyDescent="0.25">
      <c r="A398" s="47" t="s">
        <v>2</v>
      </c>
      <c r="B398">
        <v>186582</v>
      </c>
      <c r="C398">
        <v>590</v>
      </c>
      <c r="D398" s="47" t="s">
        <v>2892</v>
      </c>
      <c r="E398" s="47"/>
      <c r="G398">
        <v>590</v>
      </c>
      <c r="H398" t="s">
        <v>2686</v>
      </c>
    </row>
    <row r="399" spans="1:8" x14ac:dyDescent="0.25">
      <c r="A399" s="47" t="s">
        <v>2</v>
      </c>
      <c r="B399">
        <v>160570</v>
      </c>
      <c r="C399">
        <v>590</v>
      </c>
      <c r="D399" s="47" t="s">
        <v>2611</v>
      </c>
      <c r="E399" s="47"/>
      <c r="G399">
        <v>590</v>
      </c>
      <c r="H399" t="s">
        <v>2686</v>
      </c>
    </row>
    <row r="400" spans="1:8" x14ac:dyDescent="0.25">
      <c r="A400" s="47" t="s">
        <v>2</v>
      </c>
      <c r="B400">
        <v>186728</v>
      </c>
      <c r="C400">
        <v>249</v>
      </c>
      <c r="D400" s="47" t="s">
        <v>2339</v>
      </c>
      <c r="E400" s="47"/>
      <c r="G400">
        <v>249</v>
      </c>
      <c r="H400" t="s">
        <v>2686</v>
      </c>
    </row>
    <row r="401" spans="1:8" x14ac:dyDescent="0.25">
      <c r="A401" s="47" t="s">
        <v>2</v>
      </c>
      <c r="B401">
        <v>181310</v>
      </c>
      <c r="C401">
        <v>849</v>
      </c>
      <c r="D401" s="47" t="s">
        <v>2610</v>
      </c>
      <c r="E401" s="47"/>
      <c r="G401">
        <v>849</v>
      </c>
      <c r="H401" t="s">
        <v>2686</v>
      </c>
    </row>
    <row r="402" spans="1:8" x14ac:dyDescent="0.25">
      <c r="A402" s="47" t="s">
        <v>2</v>
      </c>
      <c r="B402">
        <v>204181</v>
      </c>
      <c r="D402" s="47"/>
      <c r="E402" s="47"/>
      <c r="G402" t="s">
        <v>2686</v>
      </c>
      <c r="H402" t="s">
        <v>2686</v>
      </c>
    </row>
    <row r="403" spans="1:8" x14ac:dyDescent="0.25">
      <c r="A403" s="47" t="s">
        <v>2</v>
      </c>
      <c r="B403">
        <v>186723</v>
      </c>
      <c r="C403">
        <v>529</v>
      </c>
      <c r="D403" s="47" t="s">
        <v>2609</v>
      </c>
      <c r="E403" s="47"/>
      <c r="G403">
        <v>529</v>
      </c>
      <c r="H403" t="s">
        <v>2686</v>
      </c>
    </row>
    <row r="404" spans="1:8" x14ac:dyDescent="0.25">
      <c r="A404" s="47" t="s">
        <v>2</v>
      </c>
      <c r="B404">
        <v>223229</v>
      </c>
      <c r="C404">
        <v>223</v>
      </c>
      <c r="D404" s="47" t="s">
        <v>2532</v>
      </c>
      <c r="E404" s="47"/>
      <c r="G404">
        <v>890</v>
      </c>
      <c r="H404" t="s">
        <v>2686</v>
      </c>
    </row>
    <row r="405" spans="1:8" x14ac:dyDescent="0.25">
      <c r="A405" s="47" t="s">
        <v>2</v>
      </c>
      <c r="B405">
        <v>194866</v>
      </c>
      <c r="D405" s="47"/>
      <c r="E405" s="47"/>
      <c r="G405" t="s">
        <v>2686</v>
      </c>
      <c r="H405" t="s">
        <v>2686</v>
      </c>
    </row>
    <row r="406" spans="1:8" x14ac:dyDescent="0.25">
      <c r="A406" s="47" t="s">
        <v>2</v>
      </c>
      <c r="B406">
        <v>186745</v>
      </c>
      <c r="C406">
        <v>529</v>
      </c>
      <c r="D406" s="47" t="s">
        <v>2608</v>
      </c>
      <c r="E406" s="47"/>
      <c r="G406">
        <v>529</v>
      </c>
      <c r="H406" t="s">
        <v>2686</v>
      </c>
    </row>
    <row r="407" spans="1:8" x14ac:dyDescent="0.25">
      <c r="A407" s="47" t="s">
        <v>2</v>
      </c>
      <c r="B407">
        <v>186744</v>
      </c>
      <c r="D407" s="47"/>
      <c r="E407" s="47"/>
      <c r="G407" t="s">
        <v>2686</v>
      </c>
      <c r="H407" t="s">
        <v>2686</v>
      </c>
    </row>
    <row r="408" spans="1:8" x14ac:dyDescent="0.25">
      <c r="A408" s="47" t="s">
        <v>2</v>
      </c>
      <c r="B408">
        <v>186837</v>
      </c>
      <c r="D408" s="47"/>
      <c r="E408" s="47"/>
      <c r="G408" t="s">
        <v>2686</v>
      </c>
      <c r="H408" t="s">
        <v>2686</v>
      </c>
    </row>
    <row r="409" spans="1:8" x14ac:dyDescent="0.25">
      <c r="A409" s="47" t="s">
        <v>2</v>
      </c>
      <c r="B409">
        <v>138758</v>
      </c>
      <c r="C409">
        <v>490</v>
      </c>
      <c r="D409" s="47" t="s">
        <v>2607</v>
      </c>
      <c r="E409" s="47"/>
      <c r="G409">
        <v>490</v>
      </c>
      <c r="H409" t="s">
        <v>2686</v>
      </c>
    </row>
    <row r="410" spans="1:8" x14ac:dyDescent="0.25">
      <c r="A410" s="47" t="s">
        <v>2</v>
      </c>
      <c r="B410">
        <v>181548</v>
      </c>
      <c r="C410">
        <v>690</v>
      </c>
      <c r="D410" s="47" t="s">
        <v>2552</v>
      </c>
      <c r="E410" s="47"/>
      <c r="G410">
        <v>690</v>
      </c>
      <c r="H410" t="s">
        <v>2686</v>
      </c>
    </row>
    <row r="411" spans="1:8" x14ac:dyDescent="0.25">
      <c r="A411" s="47" t="s">
        <v>2</v>
      </c>
      <c r="B411">
        <v>223257</v>
      </c>
      <c r="D411" s="47"/>
      <c r="E411" s="47"/>
      <c r="G411" t="s">
        <v>2686</v>
      </c>
      <c r="H411" t="s">
        <v>2686</v>
      </c>
    </row>
    <row r="412" spans="1:8" x14ac:dyDescent="0.25">
      <c r="A412" s="47" t="s">
        <v>2</v>
      </c>
      <c r="B412">
        <v>186738</v>
      </c>
      <c r="D412" s="47"/>
      <c r="E412" s="47"/>
      <c r="G412" t="s">
        <v>2686</v>
      </c>
      <c r="H412" t="s">
        <v>2686</v>
      </c>
    </row>
    <row r="413" spans="1:8" x14ac:dyDescent="0.25">
      <c r="A413" s="47" t="s">
        <v>2</v>
      </c>
      <c r="B413">
        <v>186704</v>
      </c>
      <c r="C413">
        <v>569</v>
      </c>
      <c r="D413" s="47" t="s">
        <v>2606</v>
      </c>
      <c r="E413" s="47"/>
      <c r="G413">
        <v>569</v>
      </c>
      <c r="H413" t="s">
        <v>2686</v>
      </c>
    </row>
    <row r="414" spans="1:8" x14ac:dyDescent="0.25">
      <c r="A414" s="47" t="s">
        <v>2</v>
      </c>
      <c r="B414">
        <v>186743</v>
      </c>
      <c r="C414">
        <v>349</v>
      </c>
      <c r="D414" s="47" t="s">
        <v>2605</v>
      </c>
      <c r="E414" s="47"/>
      <c r="G414">
        <v>349</v>
      </c>
      <c r="H414" t="s">
        <v>2686</v>
      </c>
    </row>
    <row r="415" spans="1:8" x14ac:dyDescent="0.25">
      <c r="A415" s="47" t="s">
        <v>2</v>
      </c>
      <c r="B415">
        <v>186739</v>
      </c>
      <c r="C415">
        <v>299</v>
      </c>
      <c r="D415" s="47" t="s">
        <v>2571</v>
      </c>
      <c r="E415" s="47"/>
      <c r="G415">
        <v>299</v>
      </c>
      <c r="H415" t="s">
        <v>2686</v>
      </c>
    </row>
    <row r="416" spans="1:8" x14ac:dyDescent="0.25">
      <c r="A416" s="47" t="s">
        <v>2</v>
      </c>
      <c r="B416">
        <v>223228</v>
      </c>
      <c r="C416">
        <v>223</v>
      </c>
      <c r="D416" s="47" t="s">
        <v>2532</v>
      </c>
      <c r="E416" s="47"/>
      <c r="G416">
        <v>890</v>
      </c>
      <c r="H416" t="s">
        <v>2686</v>
      </c>
    </row>
    <row r="417" spans="1:8" x14ac:dyDescent="0.25">
      <c r="A417" s="47" t="s">
        <v>2</v>
      </c>
      <c r="B417">
        <v>223239</v>
      </c>
      <c r="C417">
        <v>629</v>
      </c>
      <c r="D417" s="47" t="s">
        <v>2335</v>
      </c>
      <c r="E417" s="47"/>
      <c r="G417">
        <v>629</v>
      </c>
      <c r="H417" t="s">
        <v>2686</v>
      </c>
    </row>
    <row r="418" spans="1:8" x14ac:dyDescent="0.25">
      <c r="A418" s="47" t="s">
        <v>2</v>
      </c>
      <c r="B418">
        <v>218423</v>
      </c>
      <c r="C418">
        <v>590</v>
      </c>
      <c r="D418" s="47" t="s">
        <v>2525</v>
      </c>
      <c r="E418" s="47"/>
      <c r="G418">
        <v>590</v>
      </c>
      <c r="H418" t="s">
        <v>2686</v>
      </c>
    </row>
    <row r="419" spans="1:8" x14ac:dyDescent="0.25">
      <c r="A419" s="47" t="s">
        <v>2</v>
      </c>
      <c r="B419">
        <v>225925</v>
      </c>
      <c r="C419">
        <v>590</v>
      </c>
      <c r="D419" s="47" t="s">
        <v>2354</v>
      </c>
      <c r="E419" s="47"/>
      <c r="G419">
        <v>590</v>
      </c>
      <c r="H419" t="s">
        <v>2686</v>
      </c>
    </row>
    <row r="420" spans="1:8" x14ac:dyDescent="0.25">
      <c r="A420" s="47" t="s">
        <v>2</v>
      </c>
      <c r="B420">
        <v>223262</v>
      </c>
      <c r="C420">
        <v>490</v>
      </c>
      <c r="D420" s="47" t="s">
        <v>2288</v>
      </c>
      <c r="E420" s="47"/>
      <c r="G420">
        <v>490</v>
      </c>
      <c r="H420" t="s">
        <v>2686</v>
      </c>
    </row>
    <row r="421" spans="1:8" x14ac:dyDescent="0.25">
      <c r="A421" s="47" t="s">
        <v>2</v>
      </c>
      <c r="B421">
        <v>186736</v>
      </c>
      <c r="D421" s="47"/>
      <c r="E421" s="47"/>
      <c r="G421" t="s">
        <v>2686</v>
      </c>
      <c r="H421" t="s">
        <v>2686</v>
      </c>
    </row>
    <row r="422" spans="1:8" x14ac:dyDescent="0.25">
      <c r="A422" s="47" t="s">
        <v>2</v>
      </c>
      <c r="B422">
        <v>186734</v>
      </c>
      <c r="C422">
        <v>329</v>
      </c>
      <c r="D422" s="47" t="s">
        <v>2674</v>
      </c>
      <c r="E422" s="47"/>
      <c r="G422">
        <v>329</v>
      </c>
      <c r="H422" t="s">
        <v>2686</v>
      </c>
    </row>
    <row r="423" spans="1:8" x14ac:dyDescent="0.25">
      <c r="A423" s="47" t="s">
        <v>2</v>
      </c>
      <c r="B423">
        <v>186733</v>
      </c>
      <c r="C423">
        <v>549</v>
      </c>
      <c r="D423" s="47" t="s">
        <v>2604</v>
      </c>
      <c r="E423" s="47"/>
      <c r="G423">
        <v>549</v>
      </c>
      <c r="H423" t="s">
        <v>2686</v>
      </c>
    </row>
    <row r="424" spans="1:8" x14ac:dyDescent="0.25">
      <c r="A424" s="47" t="s">
        <v>2</v>
      </c>
      <c r="B424">
        <v>158289</v>
      </c>
      <c r="C424">
        <v>759</v>
      </c>
      <c r="D424" s="47" t="s">
        <v>2603</v>
      </c>
      <c r="E424" s="47"/>
      <c r="G424">
        <v>390</v>
      </c>
      <c r="H424" t="s">
        <v>2686</v>
      </c>
    </row>
    <row r="425" spans="1:8" x14ac:dyDescent="0.25">
      <c r="A425" s="47" t="s">
        <v>2</v>
      </c>
      <c r="B425">
        <v>223241</v>
      </c>
      <c r="C425">
        <v>590</v>
      </c>
      <c r="D425" s="47" t="s">
        <v>2334</v>
      </c>
      <c r="E425" s="47"/>
      <c r="G425">
        <v>590</v>
      </c>
      <c r="H425" t="s">
        <v>2686</v>
      </c>
    </row>
    <row r="426" spans="1:8" x14ac:dyDescent="0.25">
      <c r="A426" s="47" t="s">
        <v>2</v>
      </c>
      <c r="B426">
        <v>213135</v>
      </c>
      <c r="D426" s="47"/>
      <c r="E426" s="47"/>
      <c r="G426" t="s">
        <v>2686</v>
      </c>
      <c r="H426" t="s">
        <v>2686</v>
      </c>
    </row>
    <row r="427" spans="1:8" x14ac:dyDescent="0.25">
      <c r="A427" s="47" t="s">
        <v>2</v>
      </c>
      <c r="B427">
        <v>225427</v>
      </c>
      <c r="D427" s="47"/>
      <c r="E427" s="47"/>
      <c r="G427" t="s">
        <v>2686</v>
      </c>
      <c r="H427" t="s">
        <v>2686</v>
      </c>
    </row>
    <row r="428" spans="1:8" x14ac:dyDescent="0.25">
      <c r="A428" s="47" t="s">
        <v>2</v>
      </c>
      <c r="B428">
        <v>202257</v>
      </c>
      <c r="C428">
        <v>490</v>
      </c>
      <c r="D428" s="47" t="s">
        <v>2328</v>
      </c>
      <c r="E428" s="47"/>
      <c r="G428">
        <v>490</v>
      </c>
      <c r="H428" t="s">
        <v>2686</v>
      </c>
    </row>
    <row r="429" spans="1:8" x14ac:dyDescent="0.25">
      <c r="A429" s="47" t="s">
        <v>2</v>
      </c>
      <c r="B429">
        <v>223231</v>
      </c>
      <c r="C429">
        <v>423</v>
      </c>
      <c r="D429" s="47" t="s">
        <v>2680</v>
      </c>
      <c r="E429" s="47"/>
      <c r="G429">
        <v>1690</v>
      </c>
      <c r="H429" t="s">
        <v>2686</v>
      </c>
    </row>
    <row r="430" spans="1:8" x14ac:dyDescent="0.25">
      <c r="A430" s="47" t="s">
        <v>2</v>
      </c>
      <c r="B430">
        <v>157738</v>
      </c>
      <c r="C430">
        <v>569</v>
      </c>
      <c r="D430" s="47" t="s">
        <v>2602</v>
      </c>
      <c r="E430" s="47"/>
      <c r="G430">
        <v>569</v>
      </c>
      <c r="H430" t="s">
        <v>2686</v>
      </c>
    </row>
    <row r="431" spans="1:8" x14ac:dyDescent="0.25">
      <c r="A431" s="47" t="s">
        <v>2</v>
      </c>
      <c r="B431">
        <v>185461</v>
      </c>
      <c r="C431">
        <v>285</v>
      </c>
      <c r="D431" s="47" t="s">
        <v>2602</v>
      </c>
      <c r="E431" s="47"/>
      <c r="G431">
        <v>569</v>
      </c>
      <c r="H431" t="s">
        <v>2686</v>
      </c>
    </row>
    <row r="432" spans="1:8" x14ac:dyDescent="0.25">
      <c r="A432" s="47" t="s">
        <v>2</v>
      </c>
      <c r="B432">
        <v>186671</v>
      </c>
      <c r="C432">
        <v>549</v>
      </c>
      <c r="D432" s="47" t="s">
        <v>2600</v>
      </c>
      <c r="E432" s="47"/>
      <c r="G432">
        <v>549</v>
      </c>
      <c r="H432" t="s">
        <v>2686</v>
      </c>
    </row>
    <row r="433" spans="1:8" x14ac:dyDescent="0.25">
      <c r="A433" s="47" t="s">
        <v>2</v>
      </c>
      <c r="B433">
        <v>223219</v>
      </c>
      <c r="C433">
        <v>969</v>
      </c>
      <c r="D433" s="47" t="s">
        <v>2292</v>
      </c>
      <c r="E433" s="47"/>
      <c r="G433">
        <v>969</v>
      </c>
      <c r="H433" t="s">
        <v>2686</v>
      </c>
    </row>
    <row r="434" spans="1:8" x14ac:dyDescent="0.25">
      <c r="A434" s="47" t="s">
        <v>2</v>
      </c>
      <c r="B434">
        <v>194600</v>
      </c>
      <c r="D434" s="47"/>
      <c r="E434" s="47"/>
      <c r="G434" t="s">
        <v>2686</v>
      </c>
      <c r="H434" t="s">
        <v>2686</v>
      </c>
    </row>
    <row r="435" spans="1:8" x14ac:dyDescent="0.25">
      <c r="A435" s="47" t="s">
        <v>2</v>
      </c>
      <c r="B435">
        <v>181610</v>
      </c>
      <c r="C435">
        <v>1190</v>
      </c>
      <c r="D435" s="47" t="s">
        <v>2369</v>
      </c>
      <c r="E435" s="47"/>
      <c r="G435">
        <v>1190</v>
      </c>
      <c r="H435" t="s">
        <v>2686</v>
      </c>
    </row>
    <row r="436" spans="1:8" x14ac:dyDescent="0.25">
      <c r="A436" s="47" t="s">
        <v>2</v>
      </c>
      <c r="B436">
        <v>181553</v>
      </c>
      <c r="D436" s="47"/>
      <c r="E436" s="47"/>
      <c r="G436" t="s">
        <v>2686</v>
      </c>
      <c r="H436" t="s">
        <v>2686</v>
      </c>
    </row>
    <row r="437" spans="1:8" x14ac:dyDescent="0.25">
      <c r="A437" s="47" t="s">
        <v>2</v>
      </c>
      <c r="B437">
        <v>186727</v>
      </c>
      <c r="D437" s="47"/>
      <c r="E437" s="47"/>
      <c r="G437" t="s">
        <v>2686</v>
      </c>
      <c r="H437" t="s">
        <v>2686</v>
      </c>
    </row>
    <row r="438" spans="1:8" x14ac:dyDescent="0.25">
      <c r="A438" s="47" t="s">
        <v>2</v>
      </c>
      <c r="B438">
        <v>186737</v>
      </c>
      <c r="C438">
        <v>390</v>
      </c>
      <c r="D438" s="47" t="s">
        <v>2599</v>
      </c>
      <c r="E438" s="47"/>
      <c r="G438">
        <v>390</v>
      </c>
      <c r="H438" t="s">
        <v>2686</v>
      </c>
    </row>
    <row r="439" spans="1:8" x14ac:dyDescent="0.25">
      <c r="A439" s="47" t="s">
        <v>2</v>
      </c>
      <c r="B439">
        <v>225913</v>
      </c>
      <c r="C439">
        <v>590</v>
      </c>
      <c r="D439" s="47" t="s">
        <v>2575</v>
      </c>
      <c r="E439" s="47"/>
      <c r="G439">
        <v>590</v>
      </c>
      <c r="H439" t="s">
        <v>2686</v>
      </c>
    </row>
    <row r="440" spans="1:8" x14ac:dyDescent="0.25">
      <c r="A440" s="47" t="s">
        <v>2</v>
      </c>
      <c r="B440">
        <v>186742</v>
      </c>
      <c r="C440">
        <v>590</v>
      </c>
      <c r="D440" s="47" t="s">
        <v>2670</v>
      </c>
      <c r="E440" s="47"/>
      <c r="G440">
        <v>590</v>
      </c>
      <c r="H440" t="s">
        <v>2686</v>
      </c>
    </row>
    <row r="441" spans="1:8" x14ac:dyDescent="0.25">
      <c r="A441" s="47" t="s">
        <v>2</v>
      </c>
      <c r="B441">
        <v>158274</v>
      </c>
      <c r="C441">
        <v>538</v>
      </c>
      <c r="D441" s="47" t="s">
        <v>2598</v>
      </c>
      <c r="E441" s="47"/>
      <c r="G441">
        <v>269</v>
      </c>
      <c r="H441" t="s">
        <v>2686</v>
      </c>
    </row>
    <row r="442" spans="1:8" x14ac:dyDescent="0.25">
      <c r="A442" s="47" t="s">
        <v>2</v>
      </c>
      <c r="B442">
        <v>158288</v>
      </c>
      <c r="C442">
        <v>718</v>
      </c>
      <c r="D442" s="47" t="s">
        <v>2597</v>
      </c>
      <c r="E442" s="47"/>
      <c r="G442">
        <v>349</v>
      </c>
      <c r="H442" t="s">
        <v>2686</v>
      </c>
    </row>
    <row r="443" spans="1:8" x14ac:dyDescent="0.25">
      <c r="A443" s="47" t="s">
        <v>2</v>
      </c>
      <c r="B443">
        <v>223205</v>
      </c>
      <c r="C443">
        <v>990</v>
      </c>
      <c r="D443" s="47" t="s">
        <v>2596</v>
      </c>
      <c r="E443" s="47"/>
      <c r="G443">
        <v>990</v>
      </c>
      <c r="H443" t="s">
        <v>2686</v>
      </c>
    </row>
    <row r="444" spans="1:8" x14ac:dyDescent="0.25">
      <c r="A444" s="47" t="s">
        <v>2</v>
      </c>
      <c r="B444">
        <v>225056</v>
      </c>
      <c r="C444">
        <v>290</v>
      </c>
      <c r="D444" s="47" t="s">
        <v>2595</v>
      </c>
      <c r="E444" s="47"/>
      <c r="G444">
        <v>290</v>
      </c>
      <c r="H444" t="s">
        <v>2686</v>
      </c>
    </row>
    <row r="445" spans="1:8" x14ac:dyDescent="0.25">
      <c r="A445" s="47" t="s">
        <v>2</v>
      </c>
      <c r="B445">
        <v>204182</v>
      </c>
      <c r="D445" s="47"/>
      <c r="E445" s="47"/>
      <c r="G445" t="s">
        <v>2686</v>
      </c>
      <c r="H445" t="s">
        <v>2686</v>
      </c>
    </row>
    <row r="446" spans="1:8" x14ac:dyDescent="0.25">
      <c r="A446" s="47" t="s">
        <v>2</v>
      </c>
      <c r="B446">
        <v>181546</v>
      </c>
      <c r="C446">
        <v>590</v>
      </c>
      <c r="D446" s="47" t="s">
        <v>2594</v>
      </c>
      <c r="E446" s="47"/>
      <c r="G446">
        <v>629</v>
      </c>
      <c r="H446" t="s">
        <v>2686</v>
      </c>
    </row>
    <row r="447" spans="1:8" x14ac:dyDescent="0.25">
      <c r="A447" s="47" t="s">
        <v>2</v>
      </c>
      <c r="B447">
        <v>223243</v>
      </c>
      <c r="D447" s="47"/>
      <c r="E447" s="47"/>
      <c r="G447" t="s">
        <v>2686</v>
      </c>
      <c r="H447" t="s">
        <v>2686</v>
      </c>
    </row>
    <row r="448" spans="1:8" x14ac:dyDescent="0.25">
      <c r="A448" s="47" t="s">
        <v>2</v>
      </c>
      <c r="B448">
        <v>223258</v>
      </c>
      <c r="D448" s="47"/>
      <c r="E448" s="47"/>
      <c r="G448" t="s">
        <v>2686</v>
      </c>
      <c r="H448" t="s">
        <v>2686</v>
      </c>
    </row>
    <row r="449" spans="1:8" x14ac:dyDescent="0.25">
      <c r="A449" s="47" t="s">
        <v>2</v>
      </c>
      <c r="B449">
        <v>223251</v>
      </c>
      <c r="D449" s="47"/>
      <c r="E449" s="47"/>
      <c r="G449" t="s">
        <v>2686</v>
      </c>
      <c r="H449" t="s">
        <v>2686</v>
      </c>
    </row>
    <row r="450" spans="1:8" x14ac:dyDescent="0.25">
      <c r="A450" s="47" t="s">
        <v>2</v>
      </c>
      <c r="B450">
        <v>223230</v>
      </c>
      <c r="C450">
        <v>423</v>
      </c>
      <c r="D450" s="47" t="s">
        <v>2680</v>
      </c>
      <c r="E450" s="47"/>
      <c r="G450">
        <v>1690</v>
      </c>
      <c r="H450" t="s">
        <v>2686</v>
      </c>
    </row>
    <row r="451" spans="1:8" x14ac:dyDescent="0.25">
      <c r="A451" s="47" t="s">
        <v>2</v>
      </c>
      <c r="B451">
        <v>223282</v>
      </c>
      <c r="D451" s="47"/>
      <c r="E451" s="47"/>
      <c r="G451" t="s">
        <v>2686</v>
      </c>
      <c r="H451" t="s">
        <v>2686</v>
      </c>
    </row>
    <row r="452" spans="1:8" x14ac:dyDescent="0.25">
      <c r="A452" s="47" t="s">
        <v>2</v>
      </c>
      <c r="B452">
        <v>225951</v>
      </c>
      <c r="C452">
        <v>590</v>
      </c>
      <c r="D452" s="47" t="s">
        <v>2356</v>
      </c>
      <c r="E452" s="47"/>
      <c r="G452">
        <v>590</v>
      </c>
      <c r="H452" t="s">
        <v>2686</v>
      </c>
    </row>
    <row r="453" spans="1:8" x14ac:dyDescent="0.25">
      <c r="A453" s="47" t="s">
        <v>2</v>
      </c>
      <c r="B453">
        <v>186735</v>
      </c>
      <c r="C453">
        <v>590</v>
      </c>
      <c r="D453" s="47" t="s">
        <v>2593</v>
      </c>
      <c r="E453" s="47"/>
      <c r="G453">
        <v>590</v>
      </c>
      <c r="H453" t="s">
        <v>2686</v>
      </c>
    </row>
    <row r="454" spans="1:8" x14ac:dyDescent="0.25">
      <c r="A454" s="47" t="s">
        <v>2</v>
      </c>
      <c r="B454">
        <v>223285</v>
      </c>
      <c r="C454">
        <v>790</v>
      </c>
      <c r="D454" s="47" t="s">
        <v>2291</v>
      </c>
      <c r="E454" s="47"/>
      <c r="G454">
        <v>790</v>
      </c>
      <c r="H454" t="s">
        <v>2686</v>
      </c>
    </row>
    <row r="455" spans="1:8" x14ac:dyDescent="0.25">
      <c r="A455" s="47" t="s">
        <v>2</v>
      </c>
      <c r="B455">
        <v>186580</v>
      </c>
      <c r="C455">
        <v>729</v>
      </c>
      <c r="D455" s="47" t="s">
        <v>2492</v>
      </c>
      <c r="E455" s="47"/>
      <c r="G455">
        <v>729</v>
      </c>
      <c r="H455" t="s">
        <v>2686</v>
      </c>
    </row>
    <row r="456" spans="1:8" x14ac:dyDescent="0.25">
      <c r="A456" s="47" t="s">
        <v>2</v>
      </c>
      <c r="B456">
        <v>204280</v>
      </c>
      <c r="D456" s="47"/>
      <c r="E456" s="47"/>
      <c r="G456" t="s">
        <v>2686</v>
      </c>
      <c r="H456" t="s">
        <v>2686</v>
      </c>
    </row>
    <row r="457" spans="1:8" x14ac:dyDescent="0.25">
      <c r="A457" s="47" t="s">
        <v>2</v>
      </c>
      <c r="B457">
        <v>186573</v>
      </c>
      <c r="C457">
        <v>729</v>
      </c>
      <c r="D457" s="47" t="s">
        <v>2577</v>
      </c>
      <c r="E457" s="47"/>
      <c r="G457">
        <v>729</v>
      </c>
      <c r="H457" t="s">
        <v>2686</v>
      </c>
    </row>
    <row r="458" spans="1:8" x14ac:dyDescent="0.25">
      <c r="A458" s="47" t="s">
        <v>2</v>
      </c>
      <c r="B458">
        <v>194571</v>
      </c>
      <c r="C458">
        <v>590</v>
      </c>
      <c r="D458" s="47" t="s">
        <v>2576</v>
      </c>
      <c r="E458" s="47"/>
      <c r="G458">
        <v>449</v>
      </c>
      <c r="H458" t="s">
        <v>2686</v>
      </c>
    </row>
    <row r="459" spans="1:8" x14ac:dyDescent="0.25">
      <c r="A459" s="47" t="s">
        <v>2</v>
      </c>
      <c r="B459">
        <v>223298</v>
      </c>
      <c r="C459">
        <v>623</v>
      </c>
      <c r="D459" s="47" t="s">
        <v>2374</v>
      </c>
      <c r="E459" s="47"/>
      <c r="G459">
        <v>2490</v>
      </c>
      <c r="H459" t="s">
        <v>2686</v>
      </c>
    </row>
    <row r="460" spans="1:8" x14ac:dyDescent="0.25">
      <c r="A460" s="47" t="s">
        <v>2</v>
      </c>
      <c r="B460">
        <v>223240</v>
      </c>
      <c r="C460">
        <v>790</v>
      </c>
      <c r="D460" s="47" t="s">
        <v>2331</v>
      </c>
      <c r="E460" s="47"/>
      <c r="G460">
        <v>790</v>
      </c>
      <c r="H460" t="s">
        <v>2686</v>
      </c>
    </row>
    <row r="461" spans="1:8" x14ac:dyDescent="0.25">
      <c r="A461" s="47" t="s">
        <v>2</v>
      </c>
      <c r="B461">
        <v>223287</v>
      </c>
      <c r="C461">
        <v>849</v>
      </c>
      <c r="D461" s="47" t="s">
        <v>2283</v>
      </c>
      <c r="E461" s="47"/>
      <c r="G461">
        <v>849</v>
      </c>
      <c r="H461" t="s">
        <v>2686</v>
      </c>
    </row>
    <row r="462" spans="1:8" x14ac:dyDescent="0.25">
      <c r="A462" s="47" t="s">
        <v>2</v>
      </c>
      <c r="B462">
        <v>223289</v>
      </c>
      <c r="C462">
        <v>898</v>
      </c>
      <c r="D462" s="47" t="s">
        <v>2279</v>
      </c>
      <c r="E462" s="47"/>
      <c r="G462">
        <v>3590</v>
      </c>
      <c r="H462" t="s">
        <v>2686</v>
      </c>
    </row>
    <row r="463" spans="1:8" x14ac:dyDescent="0.25">
      <c r="A463" s="47" t="s">
        <v>2</v>
      </c>
      <c r="B463">
        <v>225948</v>
      </c>
      <c r="C463">
        <v>369</v>
      </c>
      <c r="D463" s="47" t="s">
        <v>2315</v>
      </c>
      <c r="E463" s="47"/>
      <c r="G463">
        <v>369</v>
      </c>
      <c r="H463" t="s">
        <v>2686</v>
      </c>
    </row>
    <row r="464" spans="1:8" x14ac:dyDescent="0.25">
      <c r="A464" s="47" t="s">
        <v>2</v>
      </c>
      <c r="B464">
        <v>223233</v>
      </c>
      <c r="C464">
        <v>790</v>
      </c>
      <c r="D464" s="47" t="s">
        <v>2287</v>
      </c>
      <c r="E464" s="47"/>
      <c r="G464">
        <v>790</v>
      </c>
      <c r="H464" t="s">
        <v>2686</v>
      </c>
    </row>
    <row r="465" spans="1:8" x14ac:dyDescent="0.25">
      <c r="A465" s="47" t="s">
        <v>2</v>
      </c>
      <c r="B465">
        <v>225941</v>
      </c>
      <c r="C465">
        <v>590</v>
      </c>
      <c r="D465" s="47" t="s">
        <v>2575</v>
      </c>
      <c r="E465" s="47"/>
      <c r="G465">
        <v>590</v>
      </c>
      <c r="H465" t="s">
        <v>2686</v>
      </c>
    </row>
    <row r="466" spans="1:8" x14ac:dyDescent="0.25">
      <c r="A466" s="47" t="s">
        <v>2</v>
      </c>
      <c r="B466">
        <v>202258</v>
      </c>
      <c r="C466">
        <v>490</v>
      </c>
      <c r="D466" s="47" t="s">
        <v>2574</v>
      </c>
      <c r="E466" s="47"/>
      <c r="G466">
        <v>490</v>
      </c>
      <c r="H466" t="s">
        <v>2686</v>
      </c>
    </row>
    <row r="467" spans="1:8" x14ac:dyDescent="0.25">
      <c r="A467" s="47" t="s">
        <v>2</v>
      </c>
      <c r="B467">
        <v>202249</v>
      </c>
      <c r="C467">
        <v>490</v>
      </c>
      <c r="D467" s="47" t="s">
        <v>2573</v>
      </c>
      <c r="E467" s="47"/>
      <c r="G467">
        <v>490</v>
      </c>
      <c r="H467" t="s">
        <v>2686</v>
      </c>
    </row>
    <row r="468" spans="1:8" x14ac:dyDescent="0.25">
      <c r="A468" s="47" t="s">
        <v>2</v>
      </c>
      <c r="B468">
        <v>223247</v>
      </c>
      <c r="D468" s="47"/>
      <c r="E468" s="47"/>
      <c r="G468" t="s">
        <v>2686</v>
      </c>
      <c r="H468" t="s">
        <v>2686</v>
      </c>
    </row>
    <row r="469" spans="1:8" x14ac:dyDescent="0.25">
      <c r="A469" s="47" t="s">
        <v>2</v>
      </c>
      <c r="B469">
        <v>225370</v>
      </c>
      <c r="C469">
        <v>290</v>
      </c>
      <c r="D469" s="47" t="s">
        <v>2572</v>
      </c>
      <c r="E469" s="47"/>
      <c r="G469">
        <v>290</v>
      </c>
      <c r="H469" t="s">
        <v>2686</v>
      </c>
    </row>
    <row r="470" spans="1:8" x14ac:dyDescent="0.25">
      <c r="A470" s="47" t="s">
        <v>2</v>
      </c>
      <c r="B470">
        <v>186832</v>
      </c>
      <c r="D470" s="47"/>
      <c r="E470" s="47"/>
      <c r="G470" t="s">
        <v>2686</v>
      </c>
      <c r="H470" t="s">
        <v>2686</v>
      </c>
    </row>
    <row r="471" spans="1:8" x14ac:dyDescent="0.25">
      <c r="A471" s="47" t="s">
        <v>2</v>
      </c>
      <c r="B471">
        <v>225967</v>
      </c>
      <c r="C471">
        <v>429</v>
      </c>
      <c r="D471" s="47" t="s">
        <v>2326</v>
      </c>
      <c r="E471" s="47"/>
      <c r="G471">
        <v>429</v>
      </c>
      <c r="H471" t="s">
        <v>2686</v>
      </c>
    </row>
    <row r="472" spans="1:8" x14ac:dyDescent="0.25">
      <c r="A472" s="47" t="s">
        <v>2</v>
      </c>
      <c r="B472">
        <v>186741</v>
      </c>
      <c r="C472">
        <v>579</v>
      </c>
      <c r="D472" s="47" t="s">
        <v>2570</v>
      </c>
      <c r="E472" s="47"/>
      <c r="G472">
        <v>579</v>
      </c>
      <c r="H472" t="s">
        <v>2686</v>
      </c>
    </row>
    <row r="473" spans="1:8" x14ac:dyDescent="0.25">
      <c r="A473" s="47" t="s">
        <v>2</v>
      </c>
      <c r="B473">
        <v>186740</v>
      </c>
      <c r="C473">
        <v>299</v>
      </c>
      <c r="D473" s="47" t="s">
        <v>2571</v>
      </c>
      <c r="E473" s="47"/>
      <c r="G473">
        <v>299</v>
      </c>
      <c r="H473" t="s">
        <v>2686</v>
      </c>
    </row>
    <row r="474" spans="1:8" x14ac:dyDescent="0.25">
      <c r="A474" s="47" t="s">
        <v>2</v>
      </c>
      <c r="B474">
        <v>225057</v>
      </c>
      <c r="C474">
        <v>449</v>
      </c>
      <c r="D474" s="47" t="s">
        <v>2569</v>
      </c>
      <c r="E474" s="47"/>
      <c r="G474">
        <v>449</v>
      </c>
      <c r="H474" t="s">
        <v>2686</v>
      </c>
    </row>
    <row r="475" spans="1:8" x14ac:dyDescent="0.25">
      <c r="A475" s="47" t="s">
        <v>2</v>
      </c>
      <c r="B475">
        <v>223207</v>
      </c>
      <c r="C475">
        <v>649</v>
      </c>
      <c r="D475" s="47" t="s">
        <v>2333</v>
      </c>
      <c r="E475" s="47"/>
      <c r="G475">
        <v>649</v>
      </c>
      <c r="H475" t="s">
        <v>2686</v>
      </c>
    </row>
    <row r="476" spans="1:8" x14ac:dyDescent="0.25">
      <c r="A476" s="47" t="s">
        <v>2</v>
      </c>
      <c r="B476">
        <v>160773</v>
      </c>
      <c r="C476">
        <v>649</v>
      </c>
      <c r="D476" s="47" t="s">
        <v>2568</v>
      </c>
      <c r="E476" s="47"/>
      <c r="G476">
        <v>649</v>
      </c>
      <c r="H476" t="s">
        <v>2686</v>
      </c>
    </row>
    <row r="477" spans="1:8" x14ac:dyDescent="0.25">
      <c r="A477" s="47" t="s">
        <v>2</v>
      </c>
      <c r="B477">
        <v>225933</v>
      </c>
      <c r="D477" s="47"/>
      <c r="E477" s="47"/>
      <c r="G477" t="s">
        <v>2686</v>
      </c>
      <c r="H477" t="s">
        <v>2686</v>
      </c>
    </row>
    <row r="478" spans="1:8" x14ac:dyDescent="0.25">
      <c r="A478" s="47" t="s">
        <v>2</v>
      </c>
      <c r="B478">
        <v>194597</v>
      </c>
      <c r="C478">
        <v>649</v>
      </c>
      <c r="D478" s="47" t="s">
        <v>2272</v>
      </c>
      <c r="E478" s="47"/>
      <c r="G478">
        <v>649</v>
      </c>
      <c r="H478" t="s">
        <v>2686</v>
      </c>
    </row>
    <row r="479" spans="1:8" x14ac:dyDescent="0.25">
      <c r="A479" s="47" t="s">
        <v>2</v>
      </c>
      <c r="B479">
        <v>138874</v>
      </c>
      <c r="C479">
        <v>369</v>
      </c>
      <c r="D479" s="47" t="s">
        <v>2567</v>
      </c>
      <c r="E479" s="47"/>
      <c r="G479">
        <v>369</v>
      </c>
      <c r="H479" t="s">
        <v>2686</v>
      </c>
    </row>
    <row r="480" spans="1:8" x14ac:dyDescent="0.25">
      <c r="A480" s="47" t="s">
        <v>2</v>
      </c>
      <c r="B480">
        <v>138875</v>
      </c>
      <c r="C480">
        <v>369</v>
      </c>
      <c r="D480" s="47" t="s">
        <v>2567</v>
      </c>
      <c r="E480" s="47"/>
      <c r="G480">
        <v>369</v>
      </c>
      <c r="H480" t="s">
        <v>2686</v>
      </c>
    </row>
    <row r="481" spans="1:8" x14ac:dyDescent="0.25">
      <c r="A481" s="47" t="s">
        <v>2</v>
      </c>
      <c r="B481">
        <v>158275</v>
      </c>
      <c r="C481">
        <v>629</v>
      </c>
      <c r="D481" s="47" t="s">
        <v>2566</v>
      </c>
      <c r="E481" s="47"/>
      <c r="G481">
        <v>629</v>
      </c>
      <c r="H481" t="s">
        <v>2686</v>
      </c>
    </row>
    <row r="482" spans="1:8" x14ac:dyDescent="0.25">
      <c r="A482" s="47" t="s">
        <v>2</v>
      </c>
      <c r="B482">
        <v>186552</v>
      </c>
      <c r="C482">
        <v>190</v>
      </c>
      <c r="D482" s="47" t="s">
        <v>2565</v>
      </c>
      <c r="E482" s="47"/>
      <c r="G482">
        <v>190</v>
      </c>
      <c r="H482" t="s">
        <v>2686</v>
      </c>
    </row>
    <row r="483" spans="1:8" x14ac:dyDescent="0.25">
      <c r="A483" s="47" t="s">
        <v>2</v>
      </c>
      <c r="B483">
        <v>159547</v>
      </c>
      <c r="D483" s="47"/>
      <c r="E483" s="47"/>
      <c r="G483" t="s">
        <v>2686</v>
      </c>
      <c r="H483" t="s">
        <v>2686</v>
      </c>
    </row>
    <row r="484" spans="1:8" x14ac:dyDescent="0.25">
      <c r="A484" s="47" t="s">
        <v>2</v>
      </c>
      <c r="B484">
        <v>181599</v>
      </c>
      <c r="C484">
        <v>590</v>
      </c>
      <c r="D484" s="47" t="s">
        <v>2841</v>
      </c>
      <c r="E484" s="47"/>
      <c r="G484">
        <v>590</v>
      </c>
      <c r="H484" t="s">
        <v>2686</v>
      </c>
    </row>
    <row r="485" spans="1:8" x14ac:dyDescent="0.25">
      <c r="A485" s="47" t="s">
        <v>2</v>
      </c>
      <c r="B485">
        <v>223232</v>
      </c>
      <c r="D485" s="47"/>
      <c r="E485" s="47"/>
      <c r="G485" t="s">
        <v>2686</v>
      </c>
      <c r="H485" t="s">
        <v>2686</v>
      </c>
    </row>
    <row r="486" spans="1:8" x14ac:dyDescent="0.25">
      <c r="A486" s="47" t="s">
        <v>2</v>
      </c>
      <c r="B486">
        <v>186578</v>
      </c>
      <c r="D486" s="47"/>
      <c r="E486" s="47"/>
      <c r="G486" t="s">
        <v>2686</v>
      </c>
      <c r="H486" t="s">
        <v>2686</v>
      </c>
    </row>
    <row r="487" spans="1:8" x14ac:dyDescent="0.25">
      <c r="A487" s="47" t="s">
        <v>2</v>
      </c>
      <c r="B487">
        <v>186572</v>
      </c>
      <c r="D487" s="47"/>
      <c r="E487" s="47"/>
      <c r="G487" t="s">
        <v>2686</v>
      </c>
      <c r="H487" t="s">
        <v>2686</v>
      </c>
    </row>
    <row r="488" spans="1:8" x14ac:dyDescent="0.25">
      <c r="A488" s="47" t="s">
        <v>2</v>
      </c>
      <c r="B488">
        <v>138720</v>
      </c>
      <c r="C488">
        <v>790</v>
      </c>
      <c r="D488" s="47" t="s">
        <v>2563</v>
      </c>
      <c r="E488" s="47"/>
      <c r="G488">
        <v>790</v>
      </c>
      <c r="H488" t="s">
        <v>2686</v>
      </c>
    </row>
    <row r="489" spans="1:8" x14ac:dyDescent="0.25">
      <c r="A489" s="47" t="s">
        <v>2</v>
      </c>
      <c r="B489">
        <v>138721</v>
      </c>
      <c r="C489">
        <v>490</v>
      </c>
      <c r="D489" s="47" t="s">
        <v>2564</v>
      </c>
      <c r="E489" s="47"/>
      <c r="G489" t="s">
        <v>2686</v>
      </c>
      <c r="H489" t="s">
        <v>2686</v>
      </c>
    </row>
    <row r="490" spans="1:8" x14ac:dyDescent="0.25">
      <c r="A490" s="47" t="s">
        <v>2</v>
      </c>
      <c r="B490">
        <v>138808</v>
      </c>
      <c r="D490" s="47"/>
      <c r="E490" s="47"/>
      <c r="G490" t="s">
        <v>2686</v>
      </c>
      <c r="H490" t="s">
        <v>2686</v>
      </c>
    </row>
    <row r="491" spans="1:8" x14ac:dyDescent="0.25">
      <c r="A491" s="47" t="s">
        <v>2</v>
      </c>
      <c r="B491">
        <v>223236</v>
      </c>
      <c r="C491">
        <v>1190</v>
      </c>
      <c r="D491" s="47" t="s">
        <v>2330</v>
      </c>
      <c r="E491" s="47"/>
      <c r="G491">
        <v>1190</v>
      </c>
      <c r="H491" t="s">
        <v>2686</v>
      </c>
    </row>
    <row r="492" spans="1:8" x14ac:dyDescent="0.25">
      <c r="A492" s="47" t="s">
        <v>2</v>
      </c>
      <c r="B492">
        <v>223283</v>
      </c>
      <c r="C492">
        <v>849</v>
      </c>
      <c r="D492" s="47" t="s">
        <v>2274</v>
      </c>
      <c r="E492" s="47"/>
      <c r="G492">
        <v>849</v>
      </c>
      <c r="H492" t="s">
        <v>2686</v>
      </c>
    </row>
    <row r="493" spans="1:8" x14ac:dyDescent="0.25">
      <c r="A493" s="47" t="s">
        <v>2</v>
      </c>
      <c r="B493">
        <v>223218</v>
      </c>
      <c r="C493">
        <v>790</v>
      </c>
      <c r="D493" s="47" t="s">
        <v>2291</v>
      </c>
      <c r="E493" s="47"/>
      <c r="G493">
        <v>790</v>
      </c>
      <c r="H493" t="s">
        <v>2686</v>
      </c>
    </row>
    <row r="494" spans="1:8" x14ac:dyDescent="0.25">
      <c r="A494" s="47" t="s">
        <v>2</v>
      </c>
      <c r="B494">
        <v>181576</v>
      </c>
      <c r="D494" s="47"/>
      <c r="E494" s="47"/>
      <c r="G494" t="s">
        <v>2686</v>
      </c>
      <c r="H494" t="s">
        <v>2686</v>
      </c>
    </row>
    <row r="495" spans="1:8" x14ac:dyDescent="0.25">
      <c r="A495" s="47" t="s">
        <v>2</v>
      </c>
      <c r="B495">
        <v>160772</v>
      </c>
      <c r="C495">
        <v>669</v>
      </c>
      <c r="D495" s="47" t="s">
        <v>2562</v>
      </c>
      <c r="E495" s="47"/>
      <c r="G495">
        <v>669</v>
      </c>
      <c r="H495" t="s">
        <v>2686</v>
      </c>
    </row>
    <row r="496" spans="1:8" x14ac:dyDescent="0.25">
      <c r="A496" s="47" t="s">
        <v>2</v>
      </c>
      <c r="B496">
        <v>181661</v>
      </c>
      <c r="C496">
        <v>659</v>
      </c>
      <c r="D496" s="47" t="s">
        <v>2561</v>
      </c>
      <c r="E496" s="47"/>
      <c r="G496">
        <v>659</v>
      </c>
      <c r="H496" t="s">
        <v>2686</v>
      </c>
    </row>
    <row r="497" spans="1:8" x14ac:dyDescent="0.25">
      <c r="A497" s="47" t="s">
        <v>2</v>
      </c>
      <c r="B497">
        <v>186675</v>
      </c>
      <c r="D497" s="47"/>
      <c r="E497" s="47"/>
      <c r="G497" t="s">
        <v>2686</v>
      </c>
      <c r="H497" t="s">
        <v>2686</v>
      </c>
    </row>
    <row r="498" spans="1:8" x14ac:dyDescent="0.25">
      <c r="A498" s="47" t="s">
        <v>2</v>
      </c>
      <c r="B498">
        <v>213161</v>
      </c>
      <c r="D498" s="47"/>
      <c r="E498" s="47"/>
      <c r="G498" t="s">
        <v>2686</v>
      </c>
      <c r="H498" t="s">
        <v>2686</v>
      </c>
    </row>
    <row r="499" spans="1:8" x14ac:dyDescent="0.25">
      <c r="A499" s="47" t="s">
        <v>2</v>
      </c>
      <c r="B499">
        <v>223288</v>
      </c>
      <c r="C499">
        <v>898</v>
      </c>
      <c r="D499" s="47" t="s">
        <v>2560</v>
      </c>
      <c r="E499" s="47"/>
      <c r="G499">
        <v>3590</v>
      </c>
      <c r="H499" t="s">
        <v>2686</v>
      </c>
    </row>
    <row r="500" spans="1:8" x14ac:dyDescent="0.25">
      <c r="A500" s="47" t="s">
        <v>2</v>
      </c>
      <c r="B500">
        <v>223290</v>
      </c>
      <c r="C500">
        <v>745</v>
      </c>
      <c r="D500" s="47" t="s">
        <v>2559</v>
      </c>
      <c r="E500" s="47"/>
      <c r="G500">
        <v>1490</v>
      </c>
      <c r="H500" t="s">
        <v>2686</v>
      </c>
    </row>
    <row r="501" spans="1:8" x14ac:dyDescent="0.25">
      <c r="A501" s="47" t="s">
        <v>2</v>
      </c>
      <c r="B501">
        <v>160714</v>
      </c>
      <c r="C501">
        <v>649</v>
      </c>
      <c r="D501" s="47" t="s">
        <v>2558</v>
      </c>
      <c r="E501" s="47"/>
      <c r="G501">
        <v>649</v>
      </c>
      <c r="H501" t="s">
        <v>2686</v>
      </c>
    </row>
    <row r="502" spans="1:8" x14ac:dyDescent="0.25">
      <c r="A502" s="47" t="s">
        <v>2</v>
      </c>
      <c r="B502">
        <v>194599</v>
      </c>
      <c r="C502">
        <v>590</v>
      </c>
      <c r="D502" s="47" t="s">
        <v>2497</v>
      </c>
      <c r="E502" s="47"/>
      <c r="G502">
        <v>590</v>
      </c>
      <c r="H502" t="s">
        <v>2686</v>
      </c>
    </row>
    <row r="503" spans="1:8" x14ac:dyDescent="0.25">
      <c r="A503" s="47" t="s">
        <v>2</v>
      </c>
      <c r="B503">
        <v>181602</v>
      </c>
      <c r="D503" s="47"/>
      <c r="E503" s="47"/>
      <c r="G503" t="s">
        <v>2686</v>
      </c>
      <c r="H503" t="s">
        <v>2686</v>
      </c>
    </row>
    <row r="504" spans="1:8" x14ac:dyDescent="0.25">
      <c r="A504" s="47" t="s">
        <v>2</v>
      </c>
      <c r="B504">
        <v>181600</v>
      </c>
      <c r="D504" s="47"/>
      <c r="E504" s="47"/>
      <c r="G504" t="s">
        <v>2686</v>
      </c>
      <c r="H504" t="s">
        <v>2686</v>
      </c>
    </row>
    <row r="505" spans="1:8" x14ac:dyDescent="0.25">
      <c r="A505" s="47" t="s">
        <v>2</v>
      </c>
      <c r="B505">
        <v>223162</v>
      </c>
      <c r="C505">
        <v>890</v>
      </c>
      <c r="D505" s="47" t="s">
        <v>2316</v>
      </c>
      <c r="E505" s="47"/>
      <c r="G505">
        <v>890</v>
      </c>
      <c r="H505" t="s">
        <v>2686</v>
      </c>
    </row>
    <row r="506" spans="1:8" x14ac:dyDescent="0.25">
      <c r="A506" s="47" t="s">
        <v>2</v>
      </c>
      <c r="B506">
        <v>223151</v>
      </c>
      <c r="C506">
        <v>890</v>
      </c>
      <c r="D506" s="47" t="s">
        <v>2316</v>
      </c>
      <c r="E506" s="47"/>
      <c r="G506">
        <v>890</v>
      </c>
      <c r="H506" t="s">
        <v>2686</v>
      </c>
    </row>
    <row r="507" spans="1:8" x14ac:dyDescent="0.25">
      <c r="A507" s="47" t="s">
        <v>2</v>
      </c>
      <c r="B507">
        <v>223286</v>
      </c>
      <c r="C507">
        <v>990</v>
      </c>
      <c r="D507" s="47" t="s">
        <v>2329</v>
      </c>
      <c r="E507" s="47"/>
      <c r="G507">
        <v>990</v>
      </c>
      <c r="H507" t="s">
        <v>2686</v>
      </c>
    </row>
    <row r="508" spans="1:8" x14ac:dyDescent="0.25">
      <c r="A508" s="47" t="s">
        <v>2</v>
      </c>
      <c r="B508">
        <v>186834</v>
      </c>
      <c r="C508">
        <v>890</v>
      </c>
      <c r="D508" s="47" t="s">
        <v>2557</v>
      </c>
      <c r="E508" s="47"/>
      <c r="G508">
        <v>890</v>
      </c>
      <c r="H508" t="s">
        <v>2686</v>
      </c>
    </row>
    <row r="509" spans="1:8" x14ac:dyDescent="0.25">
      <c r="A509" s="47" t="s">
        <v>2</v>
      </c>
      <c r="B509">
        <v>158848</v>
      </c>
      <c r="C509">
        <v>1480</v>
      </c>
      <c r="D509" s="47" t="s">
        <v>2556</v>
      </c>
      <c r="E509" s="47"/>
      <c r="G509">
        <v>990</v>
      </c>
      <c r="H509" t="s">
        <v>2686</v>
      </c>
    </row>
    <row r="510" spans="1:8" x14ac:dyDescent="0.25">
      <c r="A510" s="47" t="s">
        <v>2</v>
      </c>
      <c r="B510">
        <v>223148</v>
      </c>
      <c r="C510">
        <v>1090</v>
      </c>
      <c r="D510" s="47" t="s">
        <v>2555</v>
      </c>
      <c r="E510" s="47"/>
      <c r="G510">
        <v>1090</v>
      </c>
      <c r="H510" t="s">
        <v>2686</v>
      </c>
    </row>
    <row r="511" spans="1:8" x14ac:dyDescent="0.25">
      <c r="A511" s="47" t="s">
        <v>2</v>
      </c>
      <c r="B511">
        <v>186593</v>
      </c>
      <c r="C511">
        <v>379</v>
      </c>
      <c r="D511" s="47" t="s">
        <v>2554</v>
      </c>
      <c r="E511" s="47"/>
      <c r="G511">
        <v>379</v>
      </c>
      <c r="H511" t="s">
        <v>2686</v>
      </c>
    </row>
    <row r="512" spans="1:8" x14ac:dyDescent="0.25">
      <c r="A512" s="47" t="s">
        <v>2</v>
      </c>
      <c r="B512">
        <v>158278</v>
      </c>
      <c r="C512">
        <v>1690</v>
      </c>
      <c r="D512" s="47" t="s">
        <v>2629</v>
      </c>
      <c r="E512" s="47"/>
      <c r="G512">
        <v>1690</v>
      </c>
      <c r="H512" t="s">
        <v>2686</v>
      </c>
    </row>
    <row r="513" spans="1:8" x14ac:dyDescent="0.25">
      <c r="A513" s="47" t="s">
        <v>2</v>
      </c>
      <c r="B513">
        <v>223156</v>
      </c>
      <c r="C513">
        <v>1090</v>
      </c>
      <c r="D513" s="47" t="s">
        <v>2286</v>
      </c>
      <c r="E513" s="47"/>
      <c r="G513">
        <v>1090</v>
      </c>
      <c r="H513" t="s">
        <v>2686</v>
      </c>
    </row>
    <row r="514" spans="1:8" x14ac:dyDescent="0.25">
      <c r="A514" s="47" t="s">
        <v>2</v>
      </c>
      <c r="B514">
        <v>223157</v>
      </c>
      <c r="C514">
        <v>1090</v>
      </c>
      <c r="D514" s="47" t="s">
        <v>2286</v>
      </c>
      <c r="E514" s="47"/>
      <c r="G514">
        <v>1090</v>
      </c>
      <c r="H514" t="s">
        <v>2686</v>
      </c>
    </row>
    <row r="515" spans="1:8" x14ac:dyDescent="0.25">
      <c r="A515" s="47" t="s">
        <v>2</v>
      </c>
      <c r="B515">
        <v>204346</v>
      </c>
      <c r="C515">
        <v>614</v>
      </c>
      <c r="D515" s="47" t="s">
        <v>2553</v>
      </c>
      <c r="E515" s="47"/>
      <c r="G515">
        <v>129</v>
      </c>
      <c r="H515" t="s">
        <v>2686</v>
      </c>
    </row>
    <row r="516" spans="1:8" x14ac:dyDescent="0.25">
      <c r="A516" s="47" t="s">
        <v>2</v>
      </c>
      <c r="B516">
        <v>164793</v>
      </c>
      <c r="C516">
        <v>929</v>
      </c>
      <c r="D516" s="47" t="s">
        <v>2512</v>
      </c>
      <c r="E516" s="47"/>
      <c r="G516">
        <v>929</v>
      </c>
      <c r="H516" t="s">
        <v>2686</v>
      </c>
    </row>
    <row r="517" spans="1:8" x14ac:dyDescent="0.25">
      <c r="A517" s="47" t="s">
        <v>2</v>
      </c>
      <c r="B517">
        <v>204285</v>
      </c>
      <c r="D517" s="47"/>
      <c r="E517" s="47"/>
      <c r="G517" t="s">
        <v>2686</v>
      </c>
      <c r="H517" t="s">
        <v>2686</v>
      </c>
    </row>
    <row r="518" spans="1:8" x14ac:dyDescent="0.25">
      <c r="A518" s="47" t="s">
        <v>2</v>
      </c>
      <c r="B518">
        <v>139155</v>
      </c>
      <c r="C518">
        <v>990</v>
      </c>
      <c r="D518" s="47" t="s">
        <v>2313</v>
      </c>
      <c r="E518" s="47"/>
      <c r="G518">
        <v>990</v>
      </c>
      <c r="H518" t="s">
        <v>2686</v>
      </c>
    </row>
    <row r="519" spans="1:8" x14ac:dyDescent="0.25">
      <c r="A519" s="47" t="s">
        <v>2</v>
      </c>
      <c r="B519">
        <v>181549</v>
      </c>
      <c r="C519">
        <v>1390</v>
      </c>
      <c r="D519" s="47" t="s">
        <v>2503</v>
      </c>
      <c r="E519" s="47"/>
      <c r="G519">
        <v>1390</v>
      </c>
      <c r="H519" t="s">
        <v>2686</v>
      </c>
    </row>
    <row r="520" spans="1:8" x14ac:dyDescent="0.25">
      <c r="A520" s="47" t="s">
        <v>2</v>
      </c>
      <c r="B520">
        <v>158864</v>
      </c>
      <c r="D520" s="47" t="s">
        <v>2839</v>
      </c>
      <c r="E520" s="47"/>
      <c r="G520">
        <v>590</v>
      </c>
      <c r="H520" t="s">
        <v>2686</v>
      </c>
    </row>
    <row r="521" spans="1:8" x14ac:dyDescent="0.25">
      <c r="A521" s="47" t="s">
        <v>2</v>
      </c>
      <c r="B521">
        <v>186534</v>
      </c>
      <c r="D521" s="47"/>
      <c r="E521" s="47"/>
      <c r="G521" t="s">
        <v>2686</v>
      </c>
      <c r="H521" t="s">
        <v>2686</v>
      </c>
    </row>
    <row r="522" spans="1:8" x14ac:dyDescent="0.25">
      <c r="A522" s="47" t="s">
        <v>2</v>
      </c>
      <c r="B522">
        <v>186510</v>
      </c>
      <c r="D522" s="47"/>
      <c r="E522" s="47"/>
      <c r="G522" t="s">
        <v>2686</v>
      </c>
      <c r="H522" t="s">
        <v>2686</v>
      </c>
    </row>
    <row r="523" spans="1:8" x14ac:dyDescent="0.25">
      <c r="A523" s="47" t="s">
        <v>2</v>
      </c>
      <c r="B523">
        <v>223160</v>
      </c>
      <c r="C523">
        <v>990</v>
      </c>
      <c r="D523" s="47" t="s">
        <v>2510</v>
      </c>
      <c r="E523" s="47"/>
      <c r="G523">
        <v>990</v>
      </c>
      <c r="H523" t="s">
        <v>2686</v>
      </c>
    </row>
    <row r="524" spans="1:8" x14ac:dyDescent="0.25">
      <c r="A524" s="47" t="s">
        <v>2</v>
      </c>
      <c r="B524">
        <v>181332</v>
      </c>
      <c r="C524">
        <v>1190</v>
      </c>
      <c r="D524" s="47" t="s">
        <v>2511</v>
      </c>
      <c r="E524" s="47"/>
      <c r="G524">
        <v>1190</v>
      </c>
      <c r="H524" t="s">
        <v>2686</v>
      </c>
    </row>
    <row r="525" spans="1:8" x14ac:dyDescent="0.25">
      <c r="A525" s="47" t="s">
        <v>2</v>
      </c>
      <c r="B525">
        <v>160771</v>
      </c>
      <c r="D525" s="47"/>
      <c r="E525" s="47"/>
      <c r="G525" t="s">
        <v>2686</v>
      </c>
      <c r="H525" t="s">
        <v>2686</v>
      </c>
    </row>
    <row r="526" spans="1:8" x14ac:dyDescent="0.25">
      <c r="A526" s="47" t="s">
        <v>2</v>
      </c>
      <c r="B526">
        <v>181700</v>
      </c>
      <c r="C526">
        <v>690</v>
      </c>
      <c r="D526" s="47" t="s">
        <v>2552</v>
      </c>
      <c r="E526" s="47"/>
      <c r="G526">
        <v>690</v>
      </c>
      <c r="H526" t="s">
        <v>2686</v>
      </c>
    </row>
    <row r="527" spans="1:8" x14ac:dyDescent="0.25">
      <c r="A527" s="47" t="s">
        <v>2</v>
      </c>
      <c r="B527">
        <v>223150</v>
      </c>
      <c r="C527">
        <v>1390</v>
      </c>
      <c r="D527" s="47" t="s">
        <v>2317</v>
      </c>
      <c r="E527" s="47"/>
      <c r="G527">
        <v>1390</v>
      </c>
      <c r="H527" t="s">
        <v>2686</v>
      </c>
    </row>
    <row r="528" spans="1:8" x14ac:dyDescent="0.25">
      <c r="A528" s="47" t="s">
        <v>2</v>
      </c>
      <c r="B528">
        <v>223159</v>
      </c>
      <c r="D528" s="47"/>
      <c r="E528" s="47"/>
      <c r="G528" t="s">
        <v>2686</v>
      </c>
      <c r="H528" t="s">
        <v>2686</v>
      </c>
    </row>
    <row r="529" spans="1:8" x14ac:dyDescent="0.25">
      <c r="A529" s="47" t="s">
        <v>2</v>
      </c>
      <c r="B529">
        <v>223146</v>
      </c>
      <c r="D529" s="47"/>
      <c r="E529" s="47"/>
      <c r="G529" t="s">
        <v>2686</v>
      </c>
      <c r="H529" t="s">
        <v>2686</v>
      </c>
    </row>
    <row r="530" spans="1:8" x14ac:dyDescent="0.25">
      <c r="A530" s="47" t="s">
        <v>2</v>
      </c>
      <c r="B530">
        <v>181603</v>
      </c>
      <c r="C530">
        <v>890</v>
      </c>
      <c r="D530" s="47" t="s">
        <v>2278</v>
      </c>
      <c r="E530" s="47"/>
      <c r="G530">
        <v>890</v>
      </c>
      <c r="H530" t="s">
        <v>2686</v>
      </c>
    </row>
    <row r="531" spans="1:8" x14ac:dyDescent="0.25">
      <c r="A531" s="47" t="s">
        <v>2</v>
      </c>
      <c r="B531">
        <v>181601</v>
      </c>
      <c r="C531">
        <v>890</v>
      </c>
      <c r="D531" s="47" t="s">
        <v>2278</v>
      </c>
      <c r="E531" s="47"/>
      <c r="G531">
        <v>890</v>
      </c>
      <c r="H531" t="s">
        <v>2686</v>
      </c>
    </row>
    <row r="532" spans="1:8" x14ac:dyDescent="0.25">
      <c r="A532" s="47" t="s">
        <v>2</v>
      </c>
      <c r="B532">
        <v>204295</v>
      </c>
      <c r="D532" s="47"/>
      <c r="E532" s="47" t="s">
        <v>2996</v>
      </c>
      <c r="F532" t="s">
        <v>2838</v>
      </c>
      <c r="G532" t="s">
        <v>2686</v>
      </c>
      <c r="H532">
        <v>925</v>
      </c>
    </row>
    <row r="533" spans="1:8" x14ac:dyDescent="0.25">
      <c r="A533" s="47" t="s">
        <v>2</v>
      </c>
      <c r="B533">
        <v>204278</v>
      </c>
      <c r="D533" s="47"/>
      <c r="E533" s="47"/>
      <c r="G533" t="s">
        <v>2686</v>
      </c>
      <c r="H533" t="s">
        <v>2686</v>
      </c>
    </row>
    <row r="534" spans="1:8" x14ac:dyDescent="0.25">
      <c r="A534" s="47" t="s">
        <v>2</v>
      </c>
      <c r="B534">
        <v>204313</v>
      </c>
      <c r="D534" s="47"/>
      <c r="E534" s="47"/>
      <c r="G534" t="s">
        <v>2686</v>
      </c>
      <c r="H534" t="s">
        <v>2686</v>
      </c>
    </row>
    <row r="535" spans="1:8" x14ac:dyDescent="0.25">
      <c r="A535" s="47" t="s">
        <v>2</v>
      </c>
      <c r="B535">
        <v>223180</v>
      </c>
      <c r="C535">
        <v>1290</v>
      </c>
      <c r="D535" s="47" t="s">
        <v>2285</v>
      </c>
      <c r="E535" s="47"/>
      <c r="G535">
        <v>1290</v>
      </c>
      <c r="H535" t="s">
        <v>2686</v>
      </c>
    </row>
    <row r="536" spans="1:8" x14ac:dyDescent="0.25">
      <c r="A536" s="47" t="s">
        <v>2</v>
      </c>
      <c r="B536">
        <v>186833</v>
      </c>
      <c r="D536" s="47"/>
      <c r="E536" s="47"/>
      <c r="G536" t="s">
        <v>2686</v>
      </c>
      <c r="H536" t="s">
        <v>2686</v>
      </c>
    </row>
    <row r="537" spans="1:8" x14ac:dyDescent="0.25">
      <c r="A537" s="47" t="s">
        <v>2</v>
      </c>
      <c r="B537">
        <v>186594</v>
      </c>
      <c r="C537">
        <v>729</v>
      </c>
      <c r="D537" s="47" t="s">
        <v>2551</v>
      </c>
      <c r="E537" s="47"/>
      <c r="G537">
        <v>729</v>
      </c>
      <c r="H537" t="s">
        <v>2686</v>
      </c>
    </row>
    <row r="538" spans="1:8" x14ac:dyDescent="0.25">
      <c r="A538" s="47" t="s">
        <v>2</v>
      </c>
      <c r="B538">
        <v>223211</v>
      </c>
      <c r="C538">
        <v>1190</v>
      </c>
      <c r="D538" s="47" t="s">
        <v>2312</v>
      </c>
      <c r="E538" s="47"/>
      <c r="G538">
        <v>1190</v>
      </c>
      <c r="H538" t="s">
        <v>2686</v>
      </c>
    </row>
    <row r="539" spans="1:8" x14ac:dyDescent="0.25">
      <c r="A539" s="47" t="s">
        <v>2</v>
      </c>
      <c r="B539">
        <v>223163</v>
      </c>
      <c r="C539">
        <v>969</v>
      </c>
      <c r="D539" s="47" t="s">
        <v>2273</v>
      </c>
      <c r="E539" s="47"/>
      <c r="G539">
        <v>969</v>
      </c>
      <c r="H539" t="s">
        <v>2686</v>
      </c>
    </row>
    <row r="540" spans="1:8" x14ac:dyDescent="0.25">
      <c r="A540" s="47" t="s">
        <v>2</v>
      </c>
      <c r="B540">
        <v>223152</v>
      </c>
      <c r="C540">
        <v>969</v>
      </c>
      <c r="D540" s="47" t="s">
        <v>2273</v>
      </c>
      <c r="E540" s="47"/>
      <c r="G540">
        <v>969</v>
      </c>
      <c r="H540" t="s">
        <v>2686</v>
      </c>
    </row>
    <row r="541" spans="1:8" x14ac:dyDescent="0.25">
      <c r="A541" s="47" t="s">
        <v>2</v>
      </c>
      <c r="B541">
        <v>204188</v>
      </c>
      <c r="D541" s="47"/>
      <c r="E541" s="47"/>
      <c r="G541" t="s">
        <v>2686</v>
      </c>
      <c r="H541" t="s">
        <v>2686</v>
      </c>
    </row>
    <row r="542" spans="1:8" x14ac:dyDescent="0.25">
      <c r="A542" s="47" t="s">
        <v>2</v>
      </c>
      <c r="B542">
        <v>158364</v>
      </c>
      <c r="C542">
        <v>929</v>
      </c>
      <c r="D542" s="47" t="s">
        <v>2549</v>
      </c>
      <c r="E542" s="47"/>
      <c r="G542">
        <v>929</v>
      </c>
      <c r="H542" t="s">
        <v>2686</v>
      </c>
    </row>
    <row r="543" spans="1:8" x14ac:dyDescent="0.25">
      <c r="A543" s="47" t="s">
        <v>2</v>
      </c>
      <c r="B543">
        <v>158365</v>
      </c>
      <c r="C543">
        <v>949</v>
      </c>
      <c r="D543" s="47" t="s">
        <v>2547</v>
      </c>
      <c r="E543" s="47"/>
      <c r="G543">
        <v>949</v>
      </c>
      <c r="H543" t="s">
        <v>2686</v>
      </c>
    </row>
    <row r="544" spans="1:8" x14ac:dyDescent="0.25">
      <c r="A544" s="47" t="s">
        <v>2</v>
      </c>
      <c r="B544">
        <v>158362</v>
      </c>
      <c r="C544">
        <v>949</v>
      </c>
      <c r="D544" s="47" t="s">
        <v>2550</v>
      </c>
      <c r="E544" s="47"/>
      <c r="G544">
        <v>949</v>
      </c>
      <c r="H544" t="s">
        <v>2686</v>
      </c>
    </row>
    <row r="545" spans="1:8" x14ac:dyDescent="0.25">
      <c r="A545" s="47" t="s">
        <v>2</v>
      </c>
      <c r="B545">
        <v>158748</v>
      </c>
      <c r="C545">
        <v>890</v>
      </c>
      <c r="D545" s="47" t="s">
        <v>2548</v>
      </c>
      <c r="E545" s="47"/>
      <c r="G545">
        <v>890</v>
      </c>
      <c r="H545" t="s">
        <v>2686</v>
      </c>
    </row>
    <row r="546" spans="1:8" x14ac:dyDescent="0.25">
      <c r="A546" s="47" t="s">
        <v>2</v>
      </c>
      <c r="B546">
        <v>136586</v>
      </c>
      <c r="C546">
        <v>990</v>
      </c>
      <c r="D546" s="47" t="s">
        <v>2546</v>
      </c>
      <c r="E546" s="47"/>
      <c r="G546">
        <v>990</v>
      </c>
      <c r="H546" t="s">
        <v>2686</v>
      </c>
    </row>
    <row r="547" spans="1:8" x14ac:dyDescent="0.25">
      <c r="A547" s="47" t="s">
        <v>2</v>
      </c>
      <c r="B547">
        <v>160750</v>
      </c>
      <c r="C547">
        <v>590</v>
      </c>
      <c r="D547" s="47" t="s">
        <v>2276</v>
      </c>
      <c r="E547" s="47"/>
      <c r="G547">
        <v>590</v>
      </c>
      <c r="H547" t="s">
        <v>2686</v>
      </c>
    </row>
    <row r="548" spans="1:8" x14ac:dyDescent="0.25">
      <c r="A548" s="47" t="s">
        <v>2</v>
      </c>
      <c r="B548">
        <v>226115</v>
      </c>
      <c r="D548" s="47"/>
      <c r="E548" s="47"/>
      <c r="G548" t="s">
        <v>2686</v>
      </c>
      <c r="H548" t="s">
        <v>2686</v>
      </c>
    </row>
    <row r="549" spans="1:8" x14ac:dyDescent="0.25">
      <c r="A549" s="47" t="s">
        <v>2</v>
      </c>
      <c r="B549">
        <v>160641</v>
      </c>
      <c r="C549">
        <v>990</v>
      </c>
      <c r="D549" s="47" t="s">
        <v>2545</v>
      </c>
      <c r="E549" s="47"/>
      <c r="G549">
        <v>990</v>
      </c>
      <c r="H549" t="s">
        <v>2686</v>
      </c>
    </row>
    <row r="550" spans="1:8" x14ac:dyDescent="0.25">
      <c r="A550" s="47" t="s">
        <v>2</v>
      </c>
      <c r="B550">
        <v>204309</v>
      </c>
      <c r="C550">
        <v>969</v>
      </c>
      <c r="D550" s="47" t="s">
        <v>2277</v>
      </c>
      <c r="E550" s="47"/>
      <c r="G550">
        <v>969</v>
      </c>
      <c r="H550" t="s">
        <v>2686</v>
      </c>
    </row>
    <row r="551" spans="1:8" x14ac:dyDescent="0.25">
      <c r="A551" s="47" t="s">
        <v>2</v>
      </c>
      <c r="B551">
        <v>158299</v>
      </c>
      <c r="C551">
        <v>1390</v>
      </c>
      <c r="D551" s="47" t="s">
        <v>2284</v>
      </c>
      <c r="E551" s="47"/>
      <c r="G551">
        <v>1390</v>
      </c>
      <c r="H551" t="s">
        <v>2686</v>
      </c>
    </row>
    <row r="552" spans="1:8" x14ac:dyDescent="0.25">
      <c r="A552" s="47" t="s">
        <v>2</v>
      </c>
      <c r="B552">
        <v>223210</v>
      </c>
      <c r="C552">
        <v>1190</v>
      </c>
      <c r="D552" s="47" t="s">
        <v>2312</v>
      </c>
      <c r="E552" s="47"/>
      <c r="G552">
        <v>1190</v>
      </c>
      <c r="H552" t="s">
        <v>2686</v>
      </c>
    </row>
    <row r="553" spans="1:8" x14ac:dyDescent="0.25">
      <c r="A553" s="47" t="s">
        <v>2</v>
      </c>
      <c r="B553">
        <v>186836</v>
      </c>
      <c r="C553">
        <v>969</v>
      </c>
      <c r="D553" s="47" t="s">
        <v>2544</v>
      </c>
      <c r="E553" s="47"/>
      <c r="G553">
        <v>969</v>
      </c>
      <c r="H553" t="s">
        <v>2686</v>
      </c>
    </row>
    <row r="554" spans="1:8" x14ac:dyDescent="0.25">
      <c r="A554" s="47" t="s">
        <v>2</v>
      </c>
      <c r="B554">
        <v>186835</v>
      </c>
      <c r="C554">
        <v>179</v>
      </c>
      <c r="D554" s="47" t="s">
        <v>2543</v>
      </c>
      <c r="E554" s="47"/>
      <c r="G554">
        <v>179</v>
      </c>
      <c r="H554" t="s">
        <v>2686</v>
      </c>
    </row>
    <row r="555" spans="1:8" x14ac:dyDescent="0.25">
      <c r="A555" s="47" t="s">
        <v>2</v>
      </c>
      <c r="B555">
        <v>223161</v>
      </c>
      <c r="C555">
        <v>890</v>
      </c>
      <c r="D555" s="47" t="s">
        <v>2542</v>
      </c>
      <c r="E555" s="47"/>
      <c r="G555">
        <v>890</v>
      </c>
      <c r="H555" t="s">
        <v>2686</v>
      </c>
    </row>
    <row r="556" spans="1:8" x14ac:dyDescent="0.25">
      <c r="A556" s="47" t="s">
        <v>2</v>
      </c>
      <c r="B556">
        <v>158271</v>
      </c>
      <c r="C556">
        <v>1190</v>
      </c>
      <c r="D556" s="47" t="s">
        <v>2507</v>
      </c>
      <c r="E556" s="47"/>
      <c r="G556">
        <v>1190</v>
      </c>
      <c r="H556" t="s">
        <v>2686</v>
      </c>
    </row>
    <row r="557" spans="1:8" x14ac:dyDescent="0.25">
      <c r="A557" s="47" t="s">
        <v>2</v>
      </c>
      <c r="B557">
        <v>223181</v>
      </c>
      <c r="C557">
        <v>1245</v>
      </c>
      <c r="D557" s="47" t="s">
        <v>2374</v>
      </c>
      <c r="E557" s="47"/>
      <c r="G557">
        <v>2490</v>
      </c>
      <c r="H557" t="s">
        <v>2686</v>
      </c>
    </row>
    <row r="558" spans="1:8" x14ac:dyDescent="0.25">
      <c r="A558" s="47" t="s">
        <v>2</v>
      </c>
      <c r="B558">
        <v>223177</v>
      </c>
      <c r="C558">
        <v>849</v>
      </c>
      <c r="D558" s="47" t="s">
        <v>2283</v>
      </c>
      <c r="E558" s="47"/>
      <c r="G558">
        <v>849</v>
      </c>
      <c r="H558" t="s">
        <v>2686</v>
      </c>
    </row>
    <row r="559" spans="1:8" x14ac:dyDescent="0.25">
      <c r="A559" s="47" t="s">
        <v>2</v>
      </c>
      <c r="B559">
        <v>204306</v>
      </c>
      <c r="C559">
        <v>969</v>
      </c>
      <c r="D559" s="47" t="s">
        <v>2509</v>
      </c>
      <c r="E559" s="47"/>
      <c r="G559">
        <v>969</v>
      </c>
      <c r="H559" t="s">
        <v>2686</v>
      </c>
    </row>
    <row r="560" spans="1:8" x14ac:dyDescent="0.25">
      <c r="A560" s="47" t="s">
        <v>2</v>
      </c>
      <c r="B560">
        <v>158286</v>
      </c>
      <c r="C560">
        <v>1390</v>
      </c>
      <c r="D560" s="47" t="s">
        <v>2508</v>
      </c>
      <c r="E560" s="47"/>
      <c r="G560">
        <v>1390</v>
      </c>
      <c r="H560" t="s">
        <v>2686</v>
      </c>
    </row>
    <row r="561" spans="1:8" x14ac:dyDescent="0.25">
      <c r="A561" s="47" t="s">
        <v>2</v>
      </c>
      <c r="B561">
        <v>194598</v>
      </c>
      <c r="C561">
        <v>829</v>
      </c>
      <c r="D561" s="47" t="s">
        <v>2541</v>
      </c>
      <c r="E561" s="47"/>
      <c r="G561">
        <v>829</v>
      </c>
      <c r="H561" t="s">
        <v>2686</v>
      </c>
    </row>
    <row r="562" spans="1:8" x14ac:dyDescent="0.25">
      <c r="A562" s="47" t="s">
        <v>2</v>
      </c>
      <c r="B562">
        <v>158283</v>
      </c>
      <c r="C562">
        <v>1190</v>
      </c>
      <c r="D562" s="47" t="s">
        <v>2507</v>
      </c>
      <c r="E562" s="47"/>
      <c r="G562">
        <v>1190</v>
      </c>
      <c r="H562" t="s">
        <v>2686</v>
      </c>
    </row>
    <row r="563" spans="1:8" x14ac:dyDescent="0.25">
      <c r="A563" s="47" t="s">
        <v>2</v>
      </c>
      <c r="B563">
        <v>186595</v>
      </c>
      <c r="C563">
        <v>590</v>
      </c>
      <c r="D563" s="47" t="s">
        <v>2540</v>
      </c>
      <c r="E563" s="47"/>
      <c r="G563">
        <v>590</v>
      </c>
      <c r="H563" t="s">
        <v>2686</v>
      </c>
    </row>
    <row r="564" spans="1:8" x14ac:dyDescent="0.25">
      <c r="A564" s="47" t="s">
        <v>2</v>
      </c>
      <c r="B564">
        <v>186395</v>
      </c>
      <c r="D564" s="47"/>
      <c r="E564" s="47"/>
      <c r="G564" t="s">
        <v>2686</v>
      </c>
      <c r="H564" t="s">
        <v>2686</v>
      </c>
    </row>
    <row r="565" spans="1:8" x14ac:dyDescent="0.25">
      <c r="A565" s="47" t="s">
        <v>2</v>
      </c>
      <c r="B565">
        <v>223176</v>
      </c>
      <c r="C565">
        <v>1290</v>
      </c>
      <c r="D565" s="47" t="s">
        <v>2321</v>
      </c>
      <c r="E565" s="47"/>
      <c r="G565">
        <v>1290</v>
      </c>
      <c r="H565" t="s">
        <v>2686</v>
      </c>
    </row>
    <row r="566" spans="1:8" x14ac:dyDescent="0.25">
      <c r="A566" s="47" t="s">
        <v>2</v>
      </c>
      <c r="B566">
        <v>223284</v>
      </c>
      <c r="C566">
        <v>1290</v>
      </c>
      <c r="D566" s="47" t="s">
        <v>2321</v>
      </c>
      <c r="E566" s="47"/>
      <c r="G566">
        <v>1290</v>
      </c>
      <c r="H566" t="s">
        <v>2686</v>
      </c>
    </row>
    <row r="567" spans="1:8" x14ac:dyDescent="0.25">
      <c r="A567" s="47" t="s">
        <v>2</v>
      </c>
      <c r="B567">
        <v>204310</v>
      </c>
      <c r="C567">
        <v>1190</v>
      </c>
      <c r="D567" s="47" t="s">
        <v>2539</v>
      </c>
      <c r="E567" s="47"/>
      <c r="G567">
        <v>1190</v>
      </c>
      <c r="H567" t="s">
        <v>2686</v>
      </c>
    </row>
    <row r="568" spans="1:8" x14ac:dyDescent="0.25">
      <c r="A568" s="47" t="s">
        <v>2</v>
      </c>
      <c r="B568">
        <v>204281</v>
      </c>
      <c r="D568" s="47"/>
      <c r="E568" s="47"/>
      <c r="G568" t="s">
        <v>2686</v>
      </c>
      <c r="H568" t="s">
        <v>2686</v>
      </c>
    </row>
    <row r="569" spans="1:8" x14ac:dyDescent="0.25">
      <c r="A569" s="47" t="s">
        <v>2</v>
      </c>
      <c r="B569">
        <v>186397</v>
      </c>
      <c r="D569" s="47" t="s">
        <v>2836</v>
      </c>
      <c r="E569" s="47"/>
      <c r="G569">
        <v>1190</v>
      </c>
      <c r="H569" t="s">
        <v>2686</v>
      </c>
    </row>
    <row r="570" spans="1:8" x14ac:dyDescent="0.25">
      <c r="A570" s="47" t="s">
        <v>2</v>
      </c>
      <c r="B570">
        <v>186396</v>
      </c>
      <c r="C570">
        <v>1490</v>
      </c>
      <c r="D570" s="47" t="s">
        <v>2538</v>
      </c>
      <c r="E570" s="47"/>
      <c r="G570">
        <v>1490</v>
      </c>
      <c r="H570" t="s">
        <v>2686</v>
      </c>
    </row>
    <row r="571" spans="1:8" x14ac:dyDescent="0.25">
      <c r="A571" s="47" t="s">
        <v>2</v>
      </c>
      <c r="B571">
        <v>158292</v>
      </c>
      <c r="C571">
        <v>1690</v>
      </c>
      <c r="D571" s="47" t="s">
        <v>2628</v>
      </c>
      <c r="E571" s="47"/>
      <c r="G571">
        <v>1690</v>
      </c>
      <c r="H571" t="s">
        <v>2686</v>
      </c>
    </row>
    <row r="572" spans="1:8" x14ac:dyDescent="0.25">
      <c r="A572" s="47" t="s">
        <v>2</v>
      </c>
      <c r="B572">
        <v>158272</v>
      </c>
      <c r="C572">
        <v>1390</v>
      </c>
      <c r="D572" s="47" t="s">
        <v>2508</v>
      </c>
      <c r="E572" s="47"/>
      <c r="G572">
        <v>1390</v>
      </c>
      <c r="H572" t="s">
        <v>2686</v>
      </c>
    </row>
    <row r="573" spans="1:8" x14ac:dyDescent="0.25">
      <c r="A573" s="47" t="s">
        <v>2</v>
      </c>
      <c r="B573">
        <v>136585</v>
      </c>
      <c r="C573">
        <v>1290</v>
      </c>
      <c r="D573" s="47" t="s">
        <v>2506</v>
      </c>
      <c r="E573" s="47"/>
      <c r="G573">
        <v>1290</v>
      </c>
      <c r="H573" t="s">
        <v>2686</v>
      </c>
    </row>
    <row r="574" spans="1:8" x14ac:dyDescent="0.25">
      <c r="A574" s="47" t="s">
        <v>2</v>
      </c>
      <c r="B574">
        <v>181653</v>
      </c>
      <c r="C574">
        <v>990</v>
      </c>
      <c r="D574" s="47" t="s">
        <v>2381</v>
      </c>
      <c r="E574" s="47"/>
      <c r="G574">
        <v>990</v>
      </c>
      <c r="H574" t="s">
        <v>2686</v>
      </c>
    </row>
    <row r="575" spans="1:8" x14ac:dyDescent="0.25">
      <c r="A575" s="47" t="s">
        <v>2</v>
      </c>
      <c r="B575">
        <v>226116</v>
      </c>
      <c r="D575" s="47"/>
      <c r="E575" s="47"/>
      <c r="G575" t="s">
        <v>2686</v>
      </c>
      <c r="H575" t="s">
        <v>2686</v>
      </c>
    </row>
    <row r="576" spans="1:8" x14ac:dyDescent="0.25">
      <c r="A576" s="47" t="s">
        <v>2</v>
      </c>
      <c r="B576">
        <v>181333</v>
      </c>
      <c r="C576">
        <v>1390</v>
      </c>
      <c r="D576" s="47" t="s">
        <v>2505</v>
      </c>
      <c r="E576" s="47"/>
      <c r="G576">
        <v>1390</v>
      </c>
      <c r="H576" t="s">
        <v>2686</v>
      </c>
    </row>
    <row r="577" spans="1:8" x14ac:dyDescent="0.25">
      <c r="A577" s="47" t="s">
        <v>2</v>
      </c>
      <c r="B577">
        <v>223220</v>
      </c>
      <c r="C577">
        <v>1390</v>
      </c>
      <c r="D577" s="47" t="s">
        <v>2537</v>
      </c>
      <c r="E577" s="47"/>
      <c r="G577">
        <v>1390</v>
      </c>
      <c r="H577" t="s">
        <v>2686</v>
      </c>
    </row>
    <row r="578" spans="1:8" x14ac:dyDescent="0.25">
      <c r="A578" s="47" t="s">
        <v>2</v>
      </c>
      <c r="B578">
        <v>223147</v>
      </c>
      <c r="D578" s="47"/>
      <c r="E578" s="47"/>
      <c r="G578" t="s">
        <v>2686</v>
      </c>
      <c r="H578" t="s">
        <v>2686</v>
      </c>
    </row>
    <row r="579" spans="1:8" x14ac:dyDescent="0.25">
      <c r="A579" s="47" t="s">
        <v>2</v>
      </c>
      <c r="B579">
        <v>139158</v>
      </c>
      <c r="C579">
        <v>1290</v>
      </c>
      <c r="D579" s="47" t="s">
        <v>2319</v>
      </c>
      <c r="E579" s="47"/>
      <c r="G579">
        <v>1290</v>
      </c>
      <c r="H579" t="s">
        <v>2686</v>
      </c>
    </row>
    <row r="580" spans="1:8" x14ac:dyDescent="0.25">
      <c r="A580" s="47" t="s">
        <v>2</v>
      </c>
      <c r="B580">
        <v>223213</v>
      </c>
      <c r="C580">
        <v>1790</v>
      </c>
      <c r="D580" s="47" t="s">
        <v>2310</v>
      </c>
      <c r="E580" s="47"/>
      <c r="G580">
        <v>1790</v>
      </c>
      <c r="H580" t="s">
        <v>2686</v>
      </c>
    </row>
    <row r="581" spans="1:8" x14ac:dyDescent="0.25">
      <c r="A581" s="47" t="s">
        <v>2</v>
      </c>
      <c r="B581">
        <v>223277</v>
      </c>
      <c r="C581">
        <v>1790</v>
      </c>
      <c r="D581" s="47" t="s">
        <v>2310</v>
      </c>
      <c r="E581" s="47"/>
      <c r="G581">
        <v>1790</v>
      </c>
      <c r="H581" t="s">
        <v>2686</v>
      </c>
    </row>
    <row r="582" spans="1:8" x14ac:dyDescent="0.25">
      <c r="A582" s="47" t="s">
        <v>2</v>
      </c>
      <c r="B582">
        <v>204284</v>
      </c>
      <c r="C582">
        <v>1390</v>
      </c>
      <c r="D582" s="47" t="s">
        <v>2318</v>
      </c>
      <c r="E582" s="47"/>
      <c r="G582">
        <v>1390</v>
      </c>
      <c r="H582" t="s">
        <v>2686</v>
      </c>
    </row>
    <row r="583" spans="1:8" x14ac:dyDescent="0.25">
      <c r="A583" s="47" t="s">
        <v>2</v>
      </c>
      <c r="B583">
        <v>223296</v>
      </c>
      <c r="C583">
        <v>1490</v>
      </c>
      <c r="D583" s="47" t="s">
        <v>2332</v>
      </c>
      <c r="E583" s="47"/>
      <c r="G583">
        <v>1490</v>
      </c>
      <c r="H583" t="s">
        <v>2686</v>
      </c>
    </row>
    <row r="584" spans="1:8" x14ac:dyDescent="0.25">
      <c r="A584" s="47" t="s">
        <v>2</v>
      </c>
      <c r="B584">
        <v>186592</v>
      </c>
      <c r="C584">
        <v>979</v>
      </c>
      <c r="D584" s="47" t="s">
        <v>2745</v>
      </c>
      <c r="E584" s="47"/>
      <c r="G584">
        <v>979</v>
      </c>
      <c r="H584" t="s">
        <v>2686</v>
      </c>
    </row>
    <row r="585" spans="1:8" x14ac:dyDescent="0.25">
      <c r="A585" s="47" t="s">
        <v>2</v>
      </c>
      <c r="B585">
        <v>204350</v>
      </c>
      <c r="D585" s="47"/>
      <c r="E585" s="47"/>
      <c r="G585" t="s">
        <v>2686</v>
      </c>
      <c r="H585" t="s">
        <v>2686</v>
      </c>
    </row>
    <row r="586" spans="1:8" x14ac:dyDescent="0.25">
      <c r="A586" s="47" t="s">
        <v>2</v>
      </c>
      <c r="B586">
        <v>160729</v>
      </c>
      <c r="C586">
        <v>1290</v>
      </c>
      <c r="D586" s="47" t="s">
        <v>2504</v>
      </c>
      <c r="E586" s="47"/>
      <c r="G586">
        <v>1290</v>
      </c>
      <c r="H586" t="s">
        <v>2686</v>
      </c>
    </row>
    <row r="587" spans="1:8" x14ac:dyDescent="0.25">
      <c r="A587" s="47" t="s">
        <v>2</v>
      </c>
      <c r="B587">
        <v>139159</v>
      </c>
      <c r="C587">
        <v>1390</v>
      </c>
      <c r="D587" s="47" t="s">
        <v>2311</v>
      </c>
      <c r="E587" s="47"/>
      <c r="G587">
        <v>1390</v>
      </c>
      <c r="H587" t="s">
        <v>2686</v>
      </c>
    </row>
    <row r="588" spans="1:8" x14ac:dyDescent="0.25">
      <c r="A588" s="47" t="s">
        <v>2</v>
      </c>
      <c r="B588">
        <v>223149</v>
      </c>
      <c r="D588" s="47"/>
      <c r="E588" s="47"/>
      <c r="G588" t="s">
        <v>2686</v>
      </c>
      <c r="H588" t="s">
        <v>2686</v>
      </c>
    </row>
    <row r="589" spans="1:8" x14ac:dyDescent="0.25">
      <c r="A589" s="47" t="s">
        <v>2</v>
      </c>
      <c r="B589">
        <v>158300</v>
      </c>
      <c r="C589">
        <v>1790</v>
      </c>
      <c r="D589" s="47" t="s">
        <v>2280</v>
      </c>
      <c r="E589" s="47"/>
      <c r="G589">
        <v>1790</v>
      </c>
      <c r="H589" t="s">
        <v>2686</v>
      </c>
    </row>
    <row r="590" spans="1:8" x14ac:dyDescent="0.25">
      <c r="A590" s="47" t="s">
        <v>2</v>
      </c>
      <c r="B590">
        <v>180978</v>
      </c>
      <c r="C590">
        <v>1390</v>
      </c>
      <c r="D590" s="47" t="s">
        <v>2503</v>
      </c>
      <c r="E590" s="47"/>
      <c r="G590">
        <v>1390</v>
      </c>
      <c r="H590" t="s">
        <v>2686</v>
      </c>
    </row>
    <row r="591" spans="1:8" x14ac:dyDescent="0.25">
      <c r="A591" s="47" t="s">
        <v>2</v>
      </c>
      <c r="B591">
        <v>226007</v>
      </c>
      <c r="D591" s="47"/>
      <c r="E591" s="47"/>
      <c r="G591" t="s">
        <v>2686</v>
      </c>
      <c r="H591" t="s">
        <v>2686</v>
      </c>
    </row>
    <row r="592" spans="1:8" x14ac:dyDescent="0.25">
      <c r="A592" s="47" t="s">
        <v>2</v>
      </c>
      <c r="B592">
        <v>186597</v>
      </c>
      <c r="C592">
        <v>790</v>
      </c>
      <c r="D592" s="47" t="s">
        <v>2536</v>
      </c>
      <c r="E592" s="47"/>
      <c r="G592">
        <v>790</v>
      </c>
      <c r="H592" t="s">
        <v>2686</v>
      </c>
    </row>
    <row r="593" spans="1:8" x14ac:dyDescent="0.25">
      <c r="A593" s="47" t="s">
        <v>2</v>
      </c>
      <c r="B593">
        <v>223225</v>
      </c>
      <c r="C593">
        <v>2290</v>
      </c>
      <c r="D593" s="47" t="s">
        <v>2282</v>
      </c>
      <c r="E593" s="47"/>
      <c r="G593">
        <v>2290</v>
      </c>
      <c r="H593" t="s">
        <v>2686</v>
      </c>
    </row>
    <row r="594" spans="1:8" x14ac:dyDescent="0.25">
      <c r="A594" s="47" t="s">
        <v>2</v>
      </c>
      <c r="B594">
        <v>223226</v>
      </c>
      <c r="C594">
        <v>2290</v>
      </c>
      <c r="D594" s="47" t="s">
        <v>2281</v>
      </c>
      <c r="E594" s="47"/>
      <c r="G594">
        <v>2290</v>
      </c>
      <c r="H594" t="s">
        <v>2686</v>
      </c>
    </row>
    <row r="595" spans="1:8" x14ac:dyDescent="0.25">
      <c r="A595" s="47" t="s">
        <v>2</v>
      </c>
      <c r="B595">
        <v>223224</v>
      </c>
      <c r="C595">
        <v>2290</v>
      </c>
      <c r="D595" s="47" t="s">
        <v>2282</v>
      </c>
      <c r="E595" s="47"/>
      <c r="G595">
        <v>2290</v>
      </c>
      <c r="H595" t="s">
        <v>2686</v>
      </c>
    </row>
    <row r="596" spans="1:8" x14ac:dyDescent="0.25">
      <c r="A596" s="47" t="s">
        <v>2</v>
      </c>
      <c r="B596">
        <v>223279</v>
      </c>
      <c r="C596">
        <v>2290</v>
      </c>
      <c r="D596" s="47" t="s">
        <v>2281</v>
      </c>
      <c r="E596" s="47"/>
      <c r="G596">
        <v>2290</v>
      </c>
      <c r="H596" t="s">
        <v>2686</v>
      </c>
    </row>
    <row r="597" spans="1:8" x14ac:dyDescent="0.25">
      <c r="A597" s="47" t="s">
        <v>2</v>
      </c>
      <c r="B597">
        <v>204215</v>
      </c>
      <c r="C597">
        <v>2390</v>
      </c>
      <c r="D597" s="47" t="s">
        <v>2502</v>
      </c>
      <c r="E597" s="47"/>
      <c r="G597">
        <v>2390</v>
      </c>
      <c r="H597" t="s">
        <v>2686</v>
      </c>
    </row>
    <row r="598" spans="1:8" x14ac:dyDescent="0.25">
      <c r="A598" s="47" t="s">
        <v>2</v>
      </c>
      <c r="B598">
        <v>194595</v>
      </c>
      <c r="C598">
        <v>1790</v>
      </c>
      <c r="D598" s="47" t="s">
        <v>2496</v>
      </c>
      <c r="E598" s="47"/>
      <c r="G598">
        <v>1790</v>
      </c>
      <c r="H598" t="s">
        <v>2686</v>
      </c>
    </row>
    <row r="599" spans="1:8" x14ac:dyDescent="0.25">
      <c r="A599" s="47" t="s">
        <v>2</v>
      </c>
      <c r="B599">
        <v>204414</v>
      </c>
      <c r="C599">
        <v>1790</v>
      </c>
      <c r="D599" s="47" t="s">
        <v>2535</v>
      </c>
      <c r="E599" s="47"/>
      <c r="G599">
        <v>1790</v>
      </c>
      <c r="H599" t="s">
        <v>2686</v>
      </c>
    </row>
    <row r="600" spans="1:8" x14ac:dyDescent="0.25">
      <c r="A600" s="47" t="s">
        <v>2</v>
      </c>
      <c r="B600">
        <v>223158</v>
      </c>
      <c r="C600">
        <v>1790</v>
      </c>
      <c r="D600" s="47" t="s">
        <v>2535</v>
      </c>
      <c r="E600" s="47"/>
      <c r="G600">
        <v>1790</v>
      </c>
      <c r="H600" t="s">
        <v>2686</v>
      </c>
    </row>
    <row r="601" spans="1:8" x14ac:dyDescent="0.25">
      <c r="A601" s="47" t="s">
        <v>2</v>
      </c>
      <c r="B601">
        <v>223293</v>
      </c>
      <c r="C601">
        <v>2690</v>
      </c>
      <c r="D601" s="47" t="s">
        <v>2500</v>
      </c>
      <c r="E601" s="47"/>
      <c r="G601">
        <v>2690</v>
      </c>
      <c r="H601" t="s">
        <v>2686</v>
      </c>
    </row>
    <row r="602" spans="1:8" x14ac:dyDescent="0.25">
      <c r="A602" s="47" t="s">
        <v>2</v>
      </c>
      <c r="B602">
        <v>181597</v>
      </c>
      <c r="C602">
        <v>1790</v>
      </c>
      <c r="D602" s="47" t="s">
        <v>2275</v>
      </c>
      <c r="E602" s="47"/>
      <c r="G602">
        <v>1790</v>
      </c>
      <c r="H602" t="s">
        <v>2686</v>
      </c>
    </row>
    <row r="603" spans="1:8" x14ac:dyDescent="0.25">
      <c r="A603" s="47" t="s">
        <v>2</v>
      </c>
      <c r="B603">
        <v>204305</v>
      </c>
      <c r="C603">
        <v>1390</v>
      </c>
      <c r="D603" s="47" t="s">
        <v>2501</v>
      </c>
      <c r="E603" s="47"/>
      <c r="G603">
        <v>1390</v>
      </c>
      <c r="H603" t="s">
        <v>2686</v>
      </c>
    </row>
    <row r="604" spans="1:8" x14ac:dyDescent="0.25">
      <c r="A604" s="47" t="s">
        <v>2</v>
      </c>
      <c r="B604">
        <v>158269</v>
      </c>
      <c r="C604">
        <v>1990</v>
      </c>
      <c r="D604" s="47" t="s">
        <v>2320</v>
      </c>
      <c r="E604" s="47"/>
      <c r="G604">
        <v>1990</v>
      </c>
      <c r="H604" t="s">
        <v>2686</v>
      </c>
    </row>
    <row r="605" spans="1:8" x14ac:dyDescent="0.25">
      <c r="A605" s="47" t="s">
        <v>2</v>
      </c>
      <c r="B605">
        <v>158298</v>
      </c>
      <c r="C605">
        <v>1490</v>
      </c>
      <c r="D605" s="47" t="s">
        <v>2534</v>
      </c>
      <c r="E605" s="47"/>
      <c r="G605">
        <v>1490</v>
      </c>
      <c r="H605" t="s">
        <v>2686</v>
      </c>
    </row>
    <row r="606" spans="1:8" x14ac:dyDescent="0.25">
      <c r="A606" s="47" t="s">
        <v>2</v>
      </c>
      <c r="B606">
        <v>223276</v>
      </c>
      <c r="C606">
        <v>1790</v>
      </c>
      <c r="D606" s="47" t="s">
        <v>2310</v>
      </c>
      <c r="E606" s="47"/>
      <c r="G606">
        <v>1790</v>
      </c>
      <c r="H606" t="s">
        <v>2686</v>
      </c>
    </row>
    <row r="607" spans="1:8" x14ac:dyDescent="0.25">
      <c r="A607" s="47" t="s">
        <v>2</v>
      </c>
      <c r="B607">
        <v>223255</v>
      </c>
      <c r="D607" s="47"/>
      <c r="E607" s="47"/>
      <c r="G607" t="s">
        <v>2686</v>
      </c>
      <c r="H607" t="s">
        <v>2686</v>
      </c>
    </row>
    <row r="608" spans="1:8" x14ac:dyDescent="0.25">
      <c r="A608" s="47" t="s">
        <v>2</v>
      </c>
      <c r="B608">
        <v>223294</v>
      </c>
      <c r="D608" s="47"/>
      <c r="E608" s="47"/>
      <c r="G608" t="s">
        <v>2686</v>
      </c>
      <c r="H608" t="s">
        <v>2686</v>
      </c>
    </row>
    <row r="609" spans="1:8" x14ac:dyDescent="0.25">
      <c r="A609" s="47" t="s">
        <v>2</v>
      </c>
      <c r="B609">
        <v>204312</v>
      </c>
      <c r="C609">
        <v>1590</v>
      </c>
      <c r="D609" s="47" t="s">
        <v>2533</v>
      </c>
      <c r="E609" s="47"/>
      <c r="G609">
        <v>1590</v>
      </c>
      <c r="H609" t="s">
        <v>2686</v>
      </c>
    </row>
    <row r="610" spans="1:8" x14ac:dyDescent="0.25">
      <c r="A610" s="47" t="s">
        <v>2</v>
      </c>
      <c r="B610">
        <v>181577</v>
      </c>
      <c r="D610" s="47"/>
      <c r="E610" s="47"/>
      <c r="G610" t="s">
        <v>2686</v>
      </c>
      <c r="H610" t="s">
        <v>2686</v>
      </c>
    </row>
    <row r="611" spans="1:8" x14ac:dyDescent="0.25">
      <c r="A611" s="47" t="s">
        <v>2</v>
      </c>
      <c r="B611">
        <v>223244</v>
      </c>
      <c r="D611" s="47"/>
      <c r="E611" s="47"/>
      <c r="G611" t="s">
        <v>2686</v>
      </c>
      <c r="H611" t="s">
        <v>2686</v>
      </c>
    </row>
    <row r="612" spans="1:8" x14ac:dyDescent="0.25">
      <c r="A612" s="47" t="s">
        <v>2</v>
      </c>
      <c r="B612">
        <v>204286</v>
      </c>
      <c r="D612" s="47"/>
      <c r="E612" s="47"/>
      <c r="G612" t="s">
        <v>2686</v>
      </c>
      <c r="H612" t="s">
        <v>2686</v>
      </c>
    </row>
    <row r="613" spans="1:8" x14ac:dyDescent="0.25">
      <c r="A613" s="47" t="s">
        <v>2</v>
      </c>
      <c r="B613">
        <v>136589</v>
      </c>
      <c r="C613">
        <v>890</v>
      </c>
      <c r="D613" s="47" t="s">
        <v>2531</v>
      </c>
      <c r="E613" s="47"/>
      <c r="G613">
        <v>890</v>
      </c>
      <c r="H613" t="s">
        <v>2686</v>
      </c>
    </row>
    <row r="614" spans="1:8" x14ac:dyDescent="0.25">
      <c r="A614" s="47" t="s">
        <v>2</v>
      </c>
      <c r="B614">
        <v>136588</v>
      </c>
      <c r="C614">
        <v>890</v>
      </c>
      <c r="D614" s="47" t="s">
        <v>2532</v>
      </c>
      <c r="E614" s="47"/>
      <c r="G614">
        <v>890</v>
      </c>
      <c r="H614" t="s">
        <v>2686</v>
      </c>
    </row>
    <row r="615" spans="1:8" x14ac:dyDescent="0.25">
      <c r="A615" s="47" t="s">
        <v>2</v>
      </c>
      <c r="B615">
        <v>181560</v>
      </c>
      <c r="D615" s="47"/>
      <c r="E615" s="47"/>
      <c r="G615" t="s">
        <v>2686</v>
      </c>
      <c r="H615" t="s">
        <v>2686</v>
      </c>
    </row>
    <row r="616" spans="1:8" x14ac:dyDescent="0.25">
      <c r="A616" s="47" t="s">
        <v>2</v>
      </c>
      <c r="B616">
        <v>204322</v>
      </c>
      <c r="C616">
        <v>1890</v>
      </c>
      <c r="D616" s="47" t="s">
        <v>2530</v>
      </c>
      <c r="E616" s="47"/>
      <c r="G616">
        <v>1890</v>
      </c>
      <c r="H616" t="s">
        <v>2686</v>
      </c>
    </row>
    <row r="617" spans="1:8" x14ac:dyDescent="0.25">
      <c r="A617" s="47" t="s">
        <v>2</v>
      </c>
      <c r="B617">
        <v>223295</v>
      </c>
      <c r="C617">
        <v>1319</v>
      </c>
      <c r="D617" s="47" t="s">
        <v>2529</v>
      </c>
      <c r="E617" s="47"/>
      <c r="G617">
        <v>990</v>
      </c>
      <c r="H617" t="s">
        <v>2686</v>
      </c>
    </row>
    <row r="618" spans="1:8" x14ac:dyDescent="0.25">
      <c r="A618" s="47" t="s">
        <v>2</v>
      </c>
      <c r="B618">
        <v>204283</v>
      </c>
      <c r="C618">
        <v>1590</v>
      </c>
      <c r="D618" s="47" t="s">
        <v>2835</v>
      </c>
      <c r="E618" s="47"/>
      <c r="G618">
        <v>1590</v>
      </c>
      <c r="H618" t="s">
        <v>2686</v>
      </c>
    </row>
    <row r="619" spans="1:8" x14ac:dyDescent="0.25">
      <c r="A619" s="47" t="s">
        <v>2</v>
      </c>
      <c r="B619">
        <v>164794</v>
      </c>
      <c r="C619">
        <v>1290</v>
      </c>
      <c r="D619" s="47" t="s">
        <v>2528</v>
      </c>
      <c r="E619" s="47"/>
      <c r="G619">
        <v>1290</v>
      </c>
      <c r="H619" t="s">
        <v>2686</v>
      </c>
    </row>
    <row r="620" spans="1:8" x14ac:dyDescent="0.25">
      <c r="A620" s="47" t="s">
        <v>2</v>
      </c>
      <c r="B620">
        <v>181559</v>
      </c>
      <c r="C620">
        <v>1390</v>
      </c>
      <c r="D620" s="47" t="s">
        <v>2527</v>
      </c>
      <c r="E620" s="47"/>
      <c r="G620">
        <v>1390</v>
      </c>
      <c r="H620" t="s">
        <v>2686</v>
      </c>
    </row>
    <row r="621" spans="1:8" x14ac:dyDescent="0.25">
      <c r="A621" s="47" t="s">
        <v>2</v>
      </c>
      <c r="B621">
        <v>181756</v>
      </c>
      <c r="C621">
        <v>1390</v>
      </c>
      <c r="D621" s="47" t="s">
        <v>2527</v>
      </c>
      <c r="E621" s="47"/>
      <c r="G621">
        <v>1390</v>
      </c>
      <c r="H621" t="s">
        <v>2686</v>
      </c>
    </row>
    <row r="622" spans="1:8" x14ac:dyDescent="0.25">
      <c r="A622" s="47" t="s">
        <v>2</v>
      </c>
      <c r="B622">
        <v>139156</v>
      </c>
      <c r="C622">
        <v>1790</v>
      </c>
      <c r="D622" s="47" t="s">
        <v>2308</v>
      </c>
      <c r="E622" s="47"/>
      <c r="G622">
        <v>1790</v>
      </c>
      <c r="H622" t="s">
        <v>2686</v>
      </c>
    </row>
    <row r="623" spans="1:8" x14ac:dyDescent="0.25">
      <c r="A623" s="47" t="s">
        <v>2</v>
      </c>
      <c r="B623">
        <v>139157</v>
      </c>
      <c r="C623">
        <v>1890</v>
      </c>
      <c r="D623" s="47" t="s">
        <v>2309</v>
      </c>
      <c r="E623" s="47"/>
      <c r="G623">
        <v>1890</v>
      </c>
      <c r="H623" t="s">
        <v>2686</v>
      </c>
    </row>
    <row r="624" spans="1:8" x14ac:dyDescent="0.25">
      <c r="A624" s="47" t="s">
        <v>2</v>
      </c>
      <c r="B624">
        <v>136591</v>
      </c>
      <c r="C624">
        <v>1790</v>
      </c>
      <c r="D624" s="47" t="s">
        <v>2268</v>
      </c>
      <c r="E624" s="47"/>
      <c r="G624">
        <v>1790</v>
      </c>
      <c r="H624" t="s">
        <v>2686</v>
      </c>
    </row>
    <row r="625" spans="1:8" x14ac:dyDescent="0.25">
      <c r="A625" s="47" t="s">
        <v>2</v>
      </c>
      <c r="B625">
        <v>136590</v>
      </c>
      <c r="C625">
        <v>1690</v>
      </c>
      <c r="D625" s="47" t="s">
        <v>2680</v>
      </c>
      <c r="E625" s="47"/>
      <c r="G625">
        <v>1690</v>
      </c>
      <c r="H625" t="s">
        <v>2686</v>
      </c>
    </row>
    <row r="626" spans="1:8" x14ac:dyDescent="0.25">
      <c r="A626" s="47" t="s">
        <v>2</v>
      </c>
      <c r="B626">
        <v>223222</v>
      </c>
      <c r="D626" s="47"/>
      <c r="E626" s="47"/>
      <c r="G626" t="s">
        <v>2686</v>
      </c>
      <c r="H626" t="s">
        <v>2686</v>
      </c>
    </row>
    <row r="627" spans="1:8" x14ac:dyDescent="0.25">
      <c r="A627" s="47" t="s">
        <v>2</v>
      </c>
      <c r="B627">
        <v>181561</v>
      </c>
      <c r="C627">
        <v>1590</v>
      </c>
      <c r="D627" s="47" t="s">
        <v>2269</v>
      </c>
      <c r="E627" s="47"/>
      <c r="G627">
        <v>1590</v>
      </c>
      <c r="H627" t="s">
        <v>2686</v>
      </c>
    </row>
    <row r="628" spans="1:8" x14ac:dyDescent="0.25">
      <c r="A628" s="47" t="s">
        <v>2</v>
      </c>
      <c r="B628">
        <v>181724</v>
      </c>
      <c r="D628" s="47"/>
      <c r="E628" s="47"/>
      <c r="G628" t="s">
        <v>2686</v>
      </c>
      <c r="H628" t="s">
        <v>2686</v>
      </c>
    </row>
    <row r="629" spans="1:8" x14ac:dyDescent="0.25">
      <c r="A629" s="47" t="s">
        <v>2</v>
      </c>
      <c r="B629">
        <v>181723</v>
      </c>
      <c r="D629" s="47"/>
      <c r="E629" s="47"/>
      <c r="G629" t="s">
        <v>2686</v>
      </c>
      <c r="H629" t="s">
        <v>2686</v>
      </c>
    </row>
    <row r="630" spans="1:8" x14ac:dyDescent="0.25">
      <c r="A630" s="47" t="s">
        <v>2</v>
      </c>
      <c r="B630">
        <v>223252</v>
      </c>
      <c r="C630">
        <v>1990</v>
      </c>
      <c r="D630" s="47" t="s">
        <v>2322</v>
      </c>
      <c r="E630" s="47"/>
      <c r="G630">
        <v>1990</v>
      </c>
      <c r="H630" t="s">
        <v>2686</v>
      </c>
    </row>
    <row r="631" spans="1:8" x14ac:dyDescent="0.25">
      <c r="A631" s="47" t="s">
        <v>2</v>
      </c>
      <c r="B631">
        <v>223172</v>
      </c>
      <c r="C631">
        <v>2390</v>
      </c>
      <c r="D631" s="47" t="s">
        <v>2305</v>
      </c>
      <c r="E631" s="47"/>
      <c r="G631">
        <v>2390</v>
      </c>
      <c r="H631" t="s">
        <v>2686</v>
      </c>
    </row>
    <row r="632" spans="1:8" x14ac:dyDescent="0.25">
      <c r="A632" s="47" t="s">
        <v>2</v>
      </c>
      <c r="B632">
        <v>159929</v>
      </c>
      <c r="C632">
        <v>1890</v>
      </c>
      <c r="D632" s="47" t="s">
        <v>2306</v>
      </c>
      <c r="E632" s="47"/>
      <c r="G632">
        <v>1890</v>
      </c>
      <c r="H632" t="s">
        <v>2686</v>
      </c>
    </row>
    <row r="633" spans="1:8" x14ac:dyDescent="0.25">
      <c r="A633" s="47" t="s">
        <v>2</v>
      </c>
      <c r="B633">
        <v>223174</v>
      </c>
      <c r="C633">
        <v>1890</v>
      </c>
      <c r="D633" s="47" t="s">
        <v>2306</v>
      </c>
      <c r="E633" s="47"/>
      <c r="G633">
        <v>1890</v>
      </c>
      <c r="H633" t="s">
        <v>2686</v>
      </c>
    </row>
    <row r="634" spans="1:8" x14ac:dyDescent="0.25">
      <c r="A634" s="47" t="s">
        <v>2</v>
      </c>
      <c r="B634">
        <v>158284</v>
      </c>
      <c r="C634">
        <v>2690</v>
      </c>
      <c r="D634" s="47" t="s">
        <v>2307</v>
      </c>
      <c r="E634" s="47"/>
      <c r="G634">
        <v>2690</v>
      </c>
      <c r="H634" t="s">
        <v>2686</v>
      </c>
    </row>
    <row r="635" spans="1:8" x14ac:dyDescent="0.25">
      <c r="A635" s="47" t="s">
        <v>2</v>
      </c>
      <c r="B635">
        <v>223204</v>
      </c>
      <c r="C635">
        <v>2290</v>
      </c>
      <c r="D635" s="47" t="s">
        <v>2323</v>
      </c>
      <c r="E635" s="47"/>
      <c r="G635">
        <v>2290</v>
      </c>
      <c r="H635" t="s">
        <v>2686</v>
      </c>
    </row>
    <row r="636" spans="1:8" x14ac:dyDescent="0.25">
      <c r="A636" s="47" t="s">
        <v>2</v>
      </c>
      <c r="B636">
        <v>186718</v>
      </c>
      <c r="C636">
        <v>2190</v>
      </c>
      <c r="D636" s="47" t="s">
        <v>2382</v>
      </c>
      <c r="E636" s="47"/>
      <c r="G636">
        <v>2190</v>
      </c>
      <c r="H636" t="s">
        <v>2686</v>
      </c>
    </row>
    <row r="637" spans="1:8" x14ac:dyDescent="0.25">
      <c r="A637" s="47" t="s">
        <v>2</v>
      </c>
      <c r="B637">
        <v>223227</v>
      </c>
      <c r="D637" s="47"/>
      <c r="E637" s="47"/>
      <c r="G637" t="s">
        <v>2686</v>
      </c>
      <c r="H637" t="s">
        <v>2686</v>
      </c>
    </row>
    <row r="638" spans="1:8" x14ac:dyDescent="0.25">
      <c r="A638" s="47" t="s">
        <v>2</v>
      </c>
      <c r="B638">
        <v>223242</v>
      </c>
      <c r="C638">
        <v>1490</v>
      </c>
      <c r="D638" s="47" t="s">
        <v>2332</v>
      </c>
      <c r="E638" s="47"/>
      <c r="G638">
        <v>1490</v>
      </c>
      <c r="H638" t="s">
        <v>2686</v>
      </c>
    </row>
    <row r="639" spans="1:8" x14ac:dyDescent="0.25">
      <c r="A639" s="47" t="s">
        <v>2</v>
      </c>
      <c r="B639">
        <v>213148</v>
      </c>
      <c r="C639">
        <v>2190</v>
      </c>
      <c r="D639" s="47" t="s">
        <v>2526</v>
      </c>
      <c r="E639" s="47"/>
      <c r="G639">
        <v>2190</v>
      </c>
      <c r="H639" t="s">
        <v>2686</v>
      </c>
    </row>
    <row r="640" spans="1:8" x14ac:dyDescent="0.25">
      <c r="A640" s="47" t="s">
        <v>2</v>
      </c>
      <c r="B640">
        <v>213149</v>
      </c>
      <c r="C640">
        <v>2190</v>
      </c>
      <c r="D640" s="47" t="s">
        <v>2526</v>
      </c>
      <c r="E640" s="47"/>
      <c r="G640">
        <v>2190</v>
      </c>
      <c r="H640" t="s">
        <v>2686</v>
      </c>
    </row>
    <row r="641" spans="1:8" x14ac:dyDescent="0.25">
      <c r="A641" s="47" t="s">
        <v>2</v>
      </c>
      <c r="B641">
        <v>223223</v>
      </c>
      <c r="D641" s="47"/>
      <c r="E641" s="47"/>
      <c r="G641" t="s">
        <v>2686</v>
      </c>
      <c r="H641" t="s">
        <v>2686</v>
      </c>
    </row>
    <row r="642" spans="1:8" x14ac:dyDescent="0.25">
      <c r="A642" s="47" t="s">
        <v>2</v>
      </c>
      <c r="B642">
        <v>223153</v>
      </c>
      <c r="C642">
        <v>3590</v>
      </c>
      <c r="D642" s="47" t="s">
        <v>2303</v>
      </c>
      <c r="E642" s="47"/>
      <c r="G642">
        <v>3590</v>
      </c>
      <c r="H642" t="s">
        <v>2686</v>
      </c>
    </row>
    <row r="643" spans="1:8" x14ac:dyDescent="0.25">
      <c r="A643" s="47" t="s">
        <v>2</v>
      </c>
      <c r="B643">
        <v>223155</v>
      </c>
      <c r="C643">
        <v>2841</v>
      </c>
      <c r="D643" s="47" t="s">
        <v>2304</v>
      </c>
      <c r="E643" s="47"/>
      <c r="G643" t="s">
        <v>2686</v>
      </c>
      <c r="H643" t="s">
        <v>2686</v>
      </c>
    </row>
    <row r="644" spans="1:8" x14ac:dyDescent="0.25">
      <c r="A644" s="47" t="s">
        <v>2</v>
      </c>
      <c r="B644">
        <v>204020</v>
      </c>
      <c r="D644" s="47"/>
      <c r="E644" s="47"/>
      <c r="G644" t="s">
        <v>2686</v>
      </c>
      <c r="H644" t="s">
        <v>2686</v>
      </c>
    </row>
    <row r="645" spans="1:8" x14ac:dyDescent="0.25">
      <c r="A645" s="47" t="s">
        <v>2</v>
      </c>
      <c r="B645">
        <v>223179</v>
      </c>
      <c r="C645">
        <v>3590</v>
      </c>
      <c r="D645" s="47" t="s">
        <v>2279</v>
      </c>
      <c r="E645" s="47"/>
      <c r="G645">
        <v>3590</v>
      </c>
      <c r="H645" t="s">
        <v>2686</v>
      </c>
    </row>
    <row r="646" spans="1:8" x14ac:dyDescent="0.25">
      <c r="A646" s="47" t="s">
        <v>2</v>
      </c>
      <c r="B646">
        <v>204349</v>
      </c>
      <c r="D646" s="47"/>
      <c r="E646" s="47"/>
      <c r="G646" t="s">
        <v>2686</v>
      </c>
      <c r="H646" t="s">
        <v>2686</v>
      </c>
    </row>
    <row r="647" spans="1:8" x14ac:dyDescent="0.25">
      <c r="A647" s="47" t="s">
        <v>2</v>
      </c>
      <c r="B647">
        <v>159930</v>
      </c>
      <c r="D647" s="47"/>
      <c r="E647" s="47"/>
      <c r="G647" t="s">
        <v>2686</v>
      </c>
      <c r="H647" t="s">
        <v>2686</v>
      </c>
    </row>
    <row r="648" spans="1:8" x14ac:dyDescent="0.25">
      <c r="A648" s="47" t="s">
        <v>2</v>
      </c>
      <c r="B648">
        <v>158838</v>
      </c>
      <c r="C648">
        <v>4790</v>
      </c>
      <c r="D648" s="47" t="s">
        <v>2271</v>
      </c>
      <c r="E648" s="47"/>
      <c r="G648">
        <v>4790</v>
      </c>
      <c r="H648" t="s">
        <v>2686</v>
      </c>
    </row>
    <row r="649" spans="1:8" x14ac:dyDescent="0.25">
      <c r="A649" s="47" t="s">
        <v>2</v>
      </c>
      <c r="B649">
        <v>158837</v>
      </c>
      <c r="C649">
        <v>4190</v>
      </c>
      <c r="D649" s="47" t="s">
        <v>2324</v>
      </c>
      <c r="E649" s="47"/>
      <c r="G649">
        <v>4190</v>
      </c>
      <c r="H649" t="s">
        <v>2686</v>
      </c>
    </row>
    <row r="650" spans="1:8" x14ac:dyDescent="0.25">
      <c r="A650" s="47" t="s">
        <v>2</v>
      </c>
      <c r="B650">
        <v>136587</v>
      </c>
      <c r="C650">
        <v>3990</v>
      </c>
      <c r="D650" s="47" t="s">
        <v>2325</v>
      </c>
      <c r="E650" s="47"/>
      <c r="G650">
        <v>3990</v>
      </c>
      <c r="H650" t="s">
        <v>2686</v>
      </c>
    </row>
    <row r="651" spans="1:8" x14ac:dyDescent="0.25">
      <c r="A651" s="47" t="s">
        <v>2</v>
      </c>
      <c r="B651">
        <v>158285</v>
      </c>
      <c r="C651">
        <v>4290</v>
      </c>
      <c r="D651" s="47" t="s">
        <v>2302</v>
      </c>
      <c r="E651" s="47"/>
      <c r="G651">
        <v>4290</v>
      </c>
      <c r="H651" t="s">
        <v>2686</v>
      </c>
    </row>
    <row r="652" spans="1:8" x14ac:dyDescent="0.25">
      <c r="A652" s="47" t="s">
        <v>2</v>
      </c>
      <c r="B652">
        <v>223170</v>
      </c>
      <c r="C652">
        <v>4590</v>
      </c>
      <c r="D652" s="47" t="s">
        <v>2301</v>
      </c>
      <c r="E652" s="47"/>
      <c r="G652">
        <v>4590</v>
      </c>
      <c r="H652" t="s">
        <v>2686</v>
      </c>
    </row>
    <row r="653" spans="1:8" x14ac:dyDescent="0.25">
      <c r="A653" s="47" t="s">
        <v>2</v>
      </c>
      <c r="B653">
        <v>223171</v>
      </c>
      <c r="C653">
        <v>4790</v>
      </c>
      <c r="D653" s="47" t="s">
        <v>2271</v>
      </c>
      <c r="E653" s="47"/>
      <c r="G653">
        <v>4790</v>
      </c>
      <c r="H653" t="s">
        <v>2686</v>
      </c>
    </row>
    <row r="654" spans="1:8" x14ac:dyDescent="0.25">
      <c r="A654" s="47" t="s">
        <v>2</v>
      </c>
      <c r="B654">
        <v>158270</v>
      </c>
      <c r="C654">
        <v>4890</v>
      </c>
      <c r="D654" s="47" t="s">
        <v>2270</v>
      </c>
      <c r="E654" s="47"/>
      <c r="G654">
        <v>4890</v>
      </c>
      <c r="H654" t="s">
        <v>2686</v>
      </c>
    </row>
    <row r="655" spans="1:8" x14ac:dyDescent="0.25">
      <c r="A655" s="47" t="s">
        <v>2</v>
      </c>
      <c r="B655">
        <v>202250</v>
      </c>
      <c r="C655">
        <v>490</v>
      </c>
      <c r="D655" s="47" t="s">
        <v>2370</v>
      </c>
      <c r="E655" s="47"/>
      <c r="G655">
        <v>490</v>
      </c>
      <c r="H655" t="s">
        <v>2686</v>
      </c>
    </row>
    <row r="656" spans="1:8" x14ac:dyDescent="0.25">
      <c r="A656" s="47" t="s">
        <v>2</v>
      </c>
      <c r="B656">
        <v>202244</v>
      </c>
      <c r="C656">
        <v>189</v>
      </c>
      <c r="D656" s="47" t="s">
        <v>2371</v>
      </c>
      <c r="E656" s="47"/>
      <c r="G656">
        <v>290</v>
      </c>
      <c r="H656" t="s">
        <v>2686</v>
      </c>
    </row>
    <row r="657" spans="1:8" x14ac:dyDescent="0.25">
      <c r="A657" s="47" t="s">
        <v>2</v>
      </c>
      <c r="B657">
        <v>159495</v>
      </c>
      <c r="D657" s="47"/>
      <c r="E657" s="47"/>
      <c r="G657" t="s">
        <v>2686</v>
      </c>
      <c r="H657" t="s">
        <v>2686</v>
      </c>
    </row>
    <row r="658" spans="1:8" x14ac:dyDescent="0.25">
      <c r="A658" s="47" t="s">
        <v>2</v>
      </c>
      <c r="B658">
        <v>158182</v>
      </c>
      <c r="D658" s="47"/>
      <c r="E658" s="47"/>
      <c r="G658" t="s">
        <v>2686</v>
      </c>
      <c r="H658" t="s">
        <v>2686</v>
      </c>
    </row>
    <row r="659" spans="1:8" x14ac:dyDescent="0.25">
      <c r="A659" s="47" t="s">
        <v>2</v>
      </c>
      <c r="B659">
        <v>158183</v>
      </c>
      <c r="D659" s="47"/>
      <c r="E659" s="47"/>
      <c r="G659" t="s">
        <v>2686</v>
      </c>
      <c r="H659" t="s">
        <v>2686</v>
      </c>
    </row>
    <row r="660" spans="1:8" x14ac:dyDescent="0.25">
      <c r="A660" s="47" t="s">
        <v>2</v>
      </c>
      <c r="B660">
        <v>158185</v>
      </c>
      <c r="D660" s="47"/>
      <c r="E660" s="47"/>
      <c r="G660" t="s">
        <v>2686</v>
      </c>
      <c r="H660" t="s">
        <v>2686</v>
      </c>
    </row>
    <row r="661" spans="1:8" x14ac:dyDescent="0.25">
      <c r="A661" s="47" t="s">
        <v>2</v>
      </c>
      <c r="B661">
        <v>152839</v>
      </c>
      <c r="C661">
        <v>329</v>
      </c>
      <c r="D661" s="47" t="s">
        <v>2372</v>
      </c>
      <c r="E661" s="47"/>
      <c r="G661">
        <v>329</v>
      </c>
      <c r="H661" t="s">
        <v>2686</v>
      </c>
    </row>
    <row r="662" spans="1:8" x14ac:dyDescent="0.25">
      <c r="A662" s="47" t="s">
        <v>2</v>
      </c>
      <c r="B662">
        <v>141824</v>
      </c>
      <c r="C662">
        <v>329</v>
      </c>
      <c r="D662" s="47" t="s">
        <v>2373</v>
      </c>
      <c r="E662" s="47"/>
      <c r="G662">
        <v>329</v>
      </c>
      <c r="H662" t="s">
        <v>2686</v>
      </c>
    </row>
    <row r="663" spans="1:8" x14ac:dyDescent="0.25">
      <c r="A663" s="47" t="s">
        <v>2</v>
      </c>
      <c r="B663">
        <v>181721</v>
      </c>
      <c r="D663" s="47"/>
      <c r="E663" s="47"/>
      <c r="G663" t="s">
        <v>2686</v>
      </c>
      <c r="H663" t="s">
        <v>2686</v>
      </c>
    </row>
    <row r="664" spans="1:8" x14ac:dyDescent="0.25">
      <c r="A664" s="47" t="s">
        <v>2</v>
      </c>
      <c r="B664">
        <v>223154</v>
      </c>
      <c r="C664">
        <v>2490</v>
      </c>
      <c r="D664" s="47" t="s">
        <v>2374</v>
      </c>
      <c r="E664" s="47"/>
      <c r="G664">
        <v>2490</v>
      </c>
      <c r="H664" t="s">
        <v>2686</v>
      </c>
    </row>
    <row r="665" spans="1:8" x14ac:dyDescent="0.25">
      <c r="A665" s="47" t="s">
        <v>2</v>
      </c>
      <c r="B665">
        <v>201489</v>
      </c>
      <c r="C665">
        <v>169</v>
      </c>
      <c r="D665" s="47" t="s">
        <v>2375</v>
      </c>
      <c r="E665" s="47"/>
      <c r="G665">
        <v>169</v>
      </c>
      <c r="H665" t="s">
        <v>2686</v>
      </c>
    </row>
    <row r="666" spans="1:8" x14ac:dyDescent="0.25">
      <c r="A666" s="47" t="s">
        <v>2</v>
      </c>
      <c r="B666">
        <v>223302</v>
      </c>
      <c r="C666">
        <v>79</v>
      </c>
      <c r="D666" s="47" t="s">
        <v>2376</v>
      </c>
      <c r="E666" s="47"/>
      <c r="G666">
        <v>79</v>
      </c>
      <c r="H666" t="s">
        <v>2686</v>
      </c>
    </row>
    <row r="667" spans="1:8" x14ac:dyDescent="0.25">
      <c r="A667" s="47" t="s">
        <v>2</v>
      </c>
      <c r="B667">
        <v>223292</v>
      </c>
      <c r="C667">
        <v>290</v>
      </c>
      <c r="D667" s="47" t="s">
        <v>2377</v>
      </c>
      <c r="E667" s="47"/>
      <c r="G667">
        <v>290</v>
      </c>
      <c r="H667" t="s">
        <v>2686</v>
      </c>
    </row>
    <row r="668" spans="1:8" x14ac:dyDescent="0.25">
      <c r="A668" s="47" t="s">
        <v>2</v>
      </c>
      <c r="B668">
        <v>138870</v>
      </c>
      <c r="C668">
        <v>149</v>
      </c>
      <c r="D668" s="47" t="s">
        <v>2378</v>
      </c>
      <c r="E668" s="47"/>
      <c r="G668">
        <v>149</v>
      </c>
      <c r="H668" t="s">
        <v>2686</v>
      </c>
    </row>
    <row r="669" spans="1:8" x14ac:dyDescent="0.25">
      <c r="A669" s="47" t="s">
        <v>2</v>
      </c>
      <c r="B669">
        <v>138873</v>
      </c>
      <c r="C669">
        <v>149</v>
      </c>
      <c r="D669" s="47" t="s">
        <v>2379</v>
      </c>
      <c r="E669" s="47"/>
      <c r="G669">
        <v>149</v>
      </c>
      <c r="H669" t="s">
        <v>2686</v>
      </c>
    </row>
    <row r="670" spans="1:8" x14ac:dyDescent="0.25">
      <c r="A670" s="47" t="s">
        <v>2</v>
      </c>
      <c r="B670">
        <v>201531</v>
      </c>
      <c r="D670" s="47"/>
      <c r="E670" s="47"/>
      <c r="G670" t="s">
        <v>2686</v>
      </c>
      <c r="H670" t="s">
        <v>2686</v>
      </c>
    </row>
    <row r="671" spans="1:8" x14ac:dyDescent="0.25">
      <c r="A671" s="47" t="s">
        <v>2</v>
      </c>
      <c r="B671">
        <v>201459</v>
      </c>
      <c r="D671" s="47"/>
      <c r="E671" s="47"/>
      <c r="G671" t="s">
        <v>2686</v>
      </c>
      <c r="H671" t="s">
        <v>2686</v>
      </c>
    </row>
    <row r="672" spans="1:8" x14ac:dyDescent="0.25">
      <c r="A672" s="47" t="s">
        <v>2</v>
      </c>
      <c r="B672">
        <v>201461</v>
      </c>
      <c r="C672">
        <v>169</v>
      </c>
      <c r="D672" s="47" t="s">
        <v>2498</v>
      </c>
      <c r="E672" s="47"/>
      <c r="G672">
        <v>169</v>
      </c>
      <c r="H672" t="s">
        <v>2686</v>
      </c>
    </row>
    <row r="673" spans="1:8" x14ac:dyDescent="0.25">
      <c r="A673" s="47" t="s">
        <v>2</v>
      </c>
      <c r="B673">
        <v>201460</v>
      </c>
      <c r="C673">
        <v>169</v>
      </c>
      <c r="D673" s="47" t="s">
        <v>2498</v>
      </c>
      <c r="E673" s="47"/>
      <c r="G673">
        <v>169</v>
      </c>
      <c r="H673" t="s">
        <v>2686</v>
      </c>
    </row>
    <row r="674" spans="1:8" x14ac:dyDescent="0.25">
      <c r="A674" s="47" t="s">
        <v>2</v>
      </c>
      <c r="B674">
        <v>165493</v>
      </c>
      <c r="D674" s="47"/>
      <c r="E674" s="47"/>
      <c r="G674" t="s">
        <v>2686</v>
      </c>
      <c r="H674" t="s">
        <v>2686</v>
      </c>
    </row>
    <row r="675" spans="1:8" x14ac:dyDescent="0.25">
      <c r="A675" s="47" t="s">
        <v>2</v>
      </c>
      <c r="B675">
        <v>165492</v>
      </c>
      <c r="C675">
        <v>129</v>
      </c>
      <c r="D675" s="47" t="s">
        <v>2499</v>
      </c>
      <c r="E675" s="47"/>
      <c r="G675">
        <v>129</v>
      </c>
      <c r="H675" t="s">
        <v>2686</v>
      </c>
    </row>
    <row r="676" spans="1:8" x14ac:dyDescent="0.25">
      <c r="A676" s="47" t="s">
        <v>2</v>
      </c>
      <c r="B676">
        <v>213307</v>
      </c>
      <c r="D676" s="47"/>
      <c r="E676" s="47"/>
      <c r="G676" t="s">
        <v>2686</v>
      </c>
      <c r="H676" t="s">
        <v>2686</v>
      </c>
    </row>
    <row r="677" spans="1:8" x14ac:dyDescent="0.25">
      <c r="A677" s="47" t="s">
        <v>2</v>
      </c>
      <c r="B677">
        <v>213400</v>
      </c>
      <c r="C677">
        <v>290</v>
      </c>
      <c r="D677" s="47" t="s">
        <v>2380</v>
      </c>
      <c r="E677" s="47"/>
      <c r="G677">
        <v>290</v>
      </c>
      <c r="H677" t="s">
        <v>2686</v>
      </c>
    </row>
    <row r="678" spans="1:8" x14ac:dyDescent="0.25">
      <c r="A678" s="47" t="s">
        <v>2</v>
      </c>
      <c r="B678">
        <v>213169</v>
      </c>
      <c r="D678" s="47"/>
      <c r="E678" s="47"/>
      <c r="G678" t="s">
        <v>2686</v>
      </c>
      <c r="H678" t="s">
        <v>2686</v>
      </c>
    </row>
    <row r="679" spans="1:8" x14ac:dyDescent="0.25">
      <c r="A679" s="47" t="s">
        <v>2</v>
      </c>
      <c r="B679">
        <v>218422</v>
      </c>
      <c r="C679">
        <v>590</v>
      </c>
      <c r="D679" s="47" t="s">
        <v>2525</v>
      </c>
      <c r="E679" s="47"/>
      <c r="G679">
        <v>590</v>
      </c>
      <c r="H679" t="s">
        <v>2686</v>
      </c>
    </row>
    <row r="680" spans="1:8" x14ac:dyDescent="0.25">
      <c r="A680" s="47" t="s">
        <v>2</v>
      </c>
      <c r="B680">
        <v>141797</v>
      </c>
      <c r="C680">
        <v>199</v>
      </c>
      <c r="D680" s="47" t="s">
        <v>2524</v>
      </c>
      <c r="E680" s="47"/>
      <c r="G680">
        <v>199</v>
      </c>
      <c r="H680" t="s">
        <v>2686</v>
      </c>
    </row>
    <row r="681" spans="1:8" x14ac:dyDescent="0.25">
      <c r="A681" s="47" t="s">
        <v>2</v>
      </c>
      <c r="B681">
        <v>223248</v>
      </c>
      <c r="C681">
        <v>590</v>
      </c>
      <c r="D681" s="47" t="s">
        <v>2495</v>
      </c>
      <c r="E681" s="47"/>
      <c r="G681">
        <v>590</v>
      </c>
      <c r="H681" t="s">
        <v>2686</v>
      </c>
    </row>
    <row r="682" spans="1:8" x14ac:dyDescent="0.25">
      <c r="A682" s="47" t="s">
        <v>2</v>
      </c>
      <c r="B682">
        <v>202245</v>
      </c>
      <c r="C682">
        <v>189</v>
      </c>
      <c r="D682" s="47" t="s">
        <v>2371</v>
      </c>
      <c r="E682" s="47"/>
      <c r="G682">
        <v>290</v>
      </c>
      <c r="H682" t="s">
        <v>2686</v>
      </c>
    </row>
    <row r="683" spans="1:8" x14ac:dyDescent="0.25">
      <c r="A683" s="47" t="s">
        <v>2</v>
      </c>
      <c r="B683">
        <v>243564</v>
      </c>
      <c r="D683" s="47"/>
      <c r="E683" s="47" t="s">
        <v>3020</v>
      </c>
      <c r="F683" t="s">
        <v>3005</v>
      </c>
      <c r="G683" t="s">
        <v>2686</v>
      </c>
      <c r="H683">
        <v>55</v>
      </c>
    </row>
    <row r="684" spans="1:8" x14ac:dyDescent="0.25">
      <c r="A684" s="47" t="s">
        <v>2</v>
      </c>
      <c r="B684">
        <v>138980</v>
      </c>
      <c r="D684" s="47"/>
      <c r="E684" s="47" t="s">
        <v>2978</v>
      </c>
      <c r="F684" t="s">
        <v>3004</v>
      </c>
      <c r="G684" t="s">
        <v>2686</v>
      </c>
      <c r="H684">
        <v>90</v>
      </c>
    </row>
    <row r="685" spans="1:8" x14ac:dyDescent="0.25">
      <c r="A685" s="47" t="s">
        <v>2</v>
      </c>
      <c r="B685">
        <v>274398</v>
      </c>
      <c r="D685" s="47"/>
      <c r="E685" s="47"/>
      <c r="G685" t="s">
        <v>2686</v>
      </c>
      <c r="H685" t="s">
        <v>2686</v>
      </c>
    </row>
    <row r="686" spans="1:8" x14ac:dyDescent="0.25">
      <c r="A686" s="47" t="s">
        <v>2</v>
      </c>
      <c r="B686">
        <v>158857</v>
      </c>
      <c r="C686">
        <v>3590</v>
      </c>
      <c r="D686" s="47" t="s">
        <v>2523</v>
      </c>
      <c r="E686" s="47"/>
      <c r="G686">
        <v>3590</v>
      </c>
      <c r="H686" t="s">
        <v>2686</v>
      </c>
    </row>
    <row r="687" spans="1:8" x14ac:dyDescent="0.25">
      <c r="A687" s="47" t="s">
        <v>2</v>
      </c>
      <c r="B687">
        <v>158859</v>
      </c>
      <c r="D687" s="47"/>
      <c r="E687" s="47"/>
      <c r="G687" t="s">
        <v>2686</v>
      </c>
      <c r="H687" t="s">
        <v>2686</v>
      </c>
    </row>
    <row r="688" spans="1:8" x14ac:dyDescent="0.25">
      <c r="A688" s="47" t="s">
        <v>2</v>
      </c>
      <c r="B688">
        <v>158860</v>
      </c>
      <c r="C688">
        <v>3190</v>
      </c>
      <c r="D688" s="47" t="s">
        <v>2522</v>
      </c>
      <c r="E688" s="47"/>
      <c r="G688">
        <v>3190</v>
      </c>
      <c r="H688" t="s">
        <v>2686</v>
      </c>
    </row>
    <row r="689" spans="1:8" x14ac:dyDescent="0.25">
      <c r="A689" s="47" t="s">
        <v>2</v>
      </c>
      <c r="B689">
        <v>167251</v>
      </c>
      <c r="D689" s="47"/>
      <c r="E689" s="47" t="s">
        <v>3021</v>
      </c>
      <c r="F689" t="s">
        <v>3003</v>
      </c>
      <c r="G689" t="s">
        <v>2686</v>
      </c>
      <c r="H689">
        <v>35</v>
      </c>
    </row>
    <row r="690" spans="1:8" x14ac:dyDescent="0.25">
      <c r="A690" s="47" t="s">
        <v>2</v>
      </c>
      <c r="B690">
        <v>167460</v>
      </c>
      <c r="D690" s="47"/>
      <c r="E690" s="47" t="s">
        <v>2970</v>
      </c>
      <c r="F690" t="s">
        <v>3002</v>
      </c>
      <c r="G690" t="s">
        <v>2686</v>
      </c>
      <c r="H690">
        <v>25</v>
      </c>
    </row>
    <row r="691" spans="1:8" x14ac:dyDescent="0.25">
      <c r="A691" s="47" t="s">
        <v>2</v>
      </c>
      <c r="B691">
        <v>171772</v>
      </c>
      <c r="C691">
        <v>3190</v>
      </c>
      <c r="D691" s="47" t="s">
        <v>2518</v>
      </c>
      <c r="E691" s="47"/>
      <c r="G691">
        <v>3190</v>
      </c>
      <c r="H691" t="s">
        <v>2686</v>
      </c>
    </row>
    <row r="692" spans="1:8" x14ac:dyDescent="0.25">
      <c r="A692" s="47" t="s">
        <v>2</v>
      </c>
      <c r="B692">
        <v>171773</v>
      </c>
      <c r="C692">
        <v>3890</v>
      </c>
      <c r="D692" s="47" t="s">
        <v>2517</v>
      </c>
      <c r="E692" s="47"/>
      <c r="G692">
        <v>3890</v>
      </c>
      <c r="H692" t="s">
        <v>2686</v>
      </c>
    </row>
    <row r="693" spans="1:8" x14ac:dyDescent="0.25">
      <c r="A693" s="47" t="s">
        <v>2</v>
      </c>
      <c r="B693">
        <v>268256</v>
      </c>
      <c r="C693">
        <v>1090</v>
      </c>
      <c r="D693" s="47" t="s">
        <v>2516</v>
      </c>
      <c r="E693" s="47"/>
      <c r="G693">
        <v>1090</v>
      </c>
      <c r="H693" t="s">
        <v>2686</v>
      </c>
    </row>
    <row r="694" spans="1:8" x14ac:dyDescent="0.25">
      <c r="A694" s="47" t="s">
        <v>2</v>
      </c>
      <c r="B694">
        <v>194114</v>
      </c>
      <c r="C694">
        <v>199</v>
      </c>
      <c r="D694" s="47" t="s">
        <v>2515</v>
      </c>
      <c r="E694" s="47" t="s">
        <v>3022</v>
      </c>
      <c r="F694" t="s">
        <v>3001</v>
      </c>
      <c r="G694">
        <v>199</v>
      </c>
      <c r="H694">
        <v>160</v>
      </c>
    </row>
    <row r="695" spans="1:8" x14ac:dyDescent="0.25">
      <c r="A695" s="47" t="s">
        <v>2</v>
      </c>
      <c r="B695">
        <v>251649</v>
      </c>
      <c r="D695" s="47"/>
      <c r="E695" s="47"/>
      <c r="G695" t="s">
        <v>2686</v>
      </c>
      <c r="H695" t="s">
        <v>2686</v>
      </c>
    </row>
    <row r="696" spans="1:8" x14ac:dyDescent="0.25">
      <c r="A696" s="47" t="s">
        <v>2</v>
      </c>
      <c r="B696">
        <v>331794</v>
      </c>
      <c r="D696" s="47"/>
      <c r="E696" s="47" t="s">
        <v>3023</v>
      </c>
      <c r="F696" t="s">
        <v>3000</v>
      </c>
      <c r="G696" t="s">
        <v>2686</v>
      </c>
      <c r="H696">
        <v>380</v>
      </c>
    </row>
    <row r="697" spans="1:8" x14ac:dyDescent="0.25">
      <c r="A697" s="47" t="s">
        <v>2</v>
      </c>
      <c r="B697">
        <v>202197</v>
      </c>
      <c r="C697">
        <v>290</v>
      </c>
      <c r="D697" s="47" t="s">
        <v>2519</v>
      </c>
      <c r="E697" s="47"/>
      <c r="G697">
        <v>290</v>
      </c>
      <c r="H697" t="s">
        <v>2686</v>
      </c>
    </row>
    <row r="698" spans="1:8" x14ac:dyDescent="0.25">
      <c r="A698" s="47" t="s">
        <v>2</v>
      </c>
      <c r="B698">
        <v>202097</v>
      </c>
      <c r="C698">
        <v>290</v>
      </c>
      <c r="D698" s="47" t="s">
        <v>2521</v>
      </c>
      <c r="E698" s="47"/>
      <c r="G698">
        <v>290</v>
      </c>
      <c r="H698" t="s">
        <v>2686</v>
      </c>
    </row>
    <row r="699" spans="1:8" x14ac:dyDescent="0.25">
      <c r="A699" s="47" t="s">
        <v>2</v>
      </c>
      <c r="B699">
        <v>202099</v>
      </c>
      <c r="C699">
        <v>329</v>
      </c>
      <c r="D699" s="47" t="s">
        <v>2520</v>
      </c>
      <c r="E699" s="47"/>
      <c r="G699">
        <v>329</v>
      </c>
      <c r="H699" t="s">
        <v>2686</v>
      </c>
    </row>
    <row r="700" spans="1:8" x14ac:dyDescent="0.25">
      <c r="A700" s="47" t="s">
        <v>2</v>
      </c>
      <c r="B700">
        <v>329100</v>
      </c>
      <c r="C700">
        <v>169</v>
      </c>
      <c r="D700" s="47" t="s">
        <v>2514</v>
      </c>
      <c r="E700" s="47" t="s">
        <v>3024</v>
      </c>
      <c r="F700" t="s">
        <v>2999</v>
      </c>
      <c r="G700">
        <v>169</v>
      </c>
      <c r="H700">
        <v>105</v>
      </c>
    </row>
    <row r="701" spans="1:8" x14ac:dyDescent="0.25">
      <c r="A701" s="47" t="s">
        <v>2</v>
      </c>
      <c r="B701">
        <v>223291</v>
      </c>
      <c r="C701">
        <v>490</v>
      </c>
      <c r="D701" s="47" t="s">
        <v>2513</v>
      </c>
      <c r="E701" s="47"/>
      <c r="G701">
        <v>490</v>
      </c>
      <c r="H701" t="s">
        <v>2686</v>
      </c>
    </row>
    <row r="702" spans="1:8" x14ac:dyDescent="0.25">
      <c r="A702" s="47" t="s">
        <v>2</v>
      </c>
      <c r="B702">
        <v>346754</v>
      </c>
      <c r="C702">
        <v>129</v>
      </c>
      <c r="D702" s="47" t="s">
        <v>2744</v>
      </c>
      <c r="E702" s="47" t="s">
        <v>3025</v>
      </c>
      <c r="F702" t="s">
        <v>2998</v>
      </c>
      <c r="G702">
        <v>129</v>
      </c>
      <c r="H702">
        <v>100</v>
      </c>
    </row>
    <row r="703" spans="1:8" x14ac:dyDescent="0.25">
      <c r="A703" s="47" t="s">
        <v>2</v>
      </c>
      <c r="B703">
        <v>186398</v>
      </c>
      <c r="D703" s="47"/>
      <c r="E703" s="47"/>
      <c r="G703" t="s">
        <v>2686</v>
      </c>
      <c r="H703" t="s">
        <v>2686</v>
      </c>
    </row>
    <row r="704" spans="1:8" x14ac:dyDescent="0.25">
      <c r="A704" s="47" t="s">
        <v>2</v>
      </c>
      <c r="D704" s="47"/>
      <c r="E704" s="47"/>
      <c r="G704" t="s">
        <v>2686</v>
      </c>
      <c r="H704" t="s">
        <v>2686</v>
      </c>
    </row>
    <row r="705" spans="1:8" x14ac:dyDescent="0.25">
      <c r="A705" s="47" t="s">
        <v>2</v>
      </c>
      <c r="D705" s="47"/>
      <c r="E705" s="47"/>
      <c r="G705" t="s">
        <v>2686</v>
      </c>
      <c r="H705" t="s">
        <v>2686</v>
      </c>
    </row>
    <row r="706" spans="1:8" x14ac:dyDescent="0.25">
      <c r="A706" s="47" t="s">
        <v>2</v>
      </c>
      <c r="D706" s="47"/>
      <c r="E706" s="47"/>
      <c r="G706" t="s">
        <v>2686</v>
      </c>
      <c r="H706" t="s">
        <v>2686</v>
      </c>
    </row>
    <row r="707" spans="1:8" x14ac:dyDescent="0.25">
      <c r="A707" s="47" t="s">
        <v>2</v>
      </c>
      <c r="D707" s="47"/>
      <c r="E707" s="47"/>
      <c r="G707" t="s">
        <v>2686</v>
      </c>
      <c r="H707" t="s">
        <v>2686</v>
      </c>
    </row>
    <row r="708" spans="1:8" x14ac:dyDescent="0.25">
      <c r="A708" s="47" t="s">
        <v>2</v>
      </c>
      <c r="B708">
        <v>186524</v>
      </c>
      <c r="C708">
        <v>849</v>
      </c>
      <c r="D708" s="47" t="s">
        <v>2343</v>
      </c>
      <c r="E708" s="47"/>
      <c r="G708">
        <v>849</v>
      </c>
      <c r="H708" t="s">
        <v>2686</v>
      </c>
    </row>
    <row r="709" spans="1:8" x14ac:dyDescent="0.25">
      <c r="A709" s="47" t="s">
        <v>2</v>
      </c>
      <c r="D709" s="47"/>
      <c r="E709" s="47"/>
      <c r="G709" t="s">
        <v>2686</v>
      </c>
      <c r="H709" t="s">
        <v>2686</v>
      </c>
    </row>
    <row r="710" spans="1:8" x14ac:dyDescent="0.25">
      <c r="A710" s="47" t="s">
        <v>2</v>
      </c>
      <c r="D710" s="47"/>
      <c r="E710" s="47"/>
      <c r="G710" t="s">
        <v>2686</v>
      </c>
      <c r="H710" t="s">
        <v>2686</v>
      </c>
    </row>
    <row r="711" spans="1:8" x14ac:dyDescent="0.25">
      <c r="A711" s="47" t="s">
        <v>2</v>
      </c>
      <c r="D711" s="47"/>
      <c r="E711" s="47"/>
      <c r="G711" t="s">
        <v>2686</v>
      </c>
      <c r="H711" t="s">
        <v>2686</v>
      </c>
    </row>
    <row r="712" spans="1:8" x14ac:dyDescent="0.25">
      <c r="A712" s="47" t="s">
        <v>2</v>
      </c>
      <c r="D712" s="47"/>
      <c r="E712" s="47"/>
      <c r="G712" t="s">
        <v>2686</v>
      </c>
      <c r="H712" t="s">
        <v>2686</v>
      </c>
    </row>
    <row r="713" spans="1:8" x14ac:dyDescent="0.25">
      <c r="A713" s="47" t="s">
        <v>2</v>
      </c>
      <c r="B713">
        <v>186533</v>
      </c>
      <c r="D713" s="47"/>
      <c r="E713" s="47"/>
      <c r="G713" t="s">
        <v>2686</v>
      </c>
      <c r="H713" t="s">
        <v>2686</v>
      </c>
    </row>
    <row r="714" spans="1:8" x14ac:dyDescent="0.25">
      <c r="A714" s="47" t="s">
        <v>2</v>
      </c>
      <c r="D714" s="47"/>
      <c r="E714" s="47"/>
      <c r="G714" t="s">
        <v>2686</v>
      </c>
      <c r="H714" t="s">
        <v>2686</v>
      </c>
    </row>
    <row r="715" spans="1:8" x14ac:dyDescent="0.25">
      <c r="A715" s="47" t="s">
        <v>2</v>
      </c>
      <c r="C715">
        <v>390</v>
      </c>
      <c r="D715" s="47" t="s">
        <v>2599</v>
      </c>
      <c r="E715" s="47"/>
      <c r="G715" t="s">
        <v>2686</v>
      </c>
      <c r="H715" t="s">
        <v>2686</v>
      </c>
    </row>
    <row r="716" spans="1:8" x14ac:dyDescent="0.25">
      <c r="A716" s="47" t="s">
        <v>2</v>
      </c>
      <c r="C716">
        <v>290</v>
      </c>
      <c r="D716" s="47" t="s">
        <v>2822</v>
      </c>
      <c r="E716" s="47"/>
      <c r="G716" t="s">
        <v>2686</v>
      </c>
      <c r="H716" t="s">
        <v>2686</v>
      </c>
    </row>
    <row r="717" spans="1:8" x14ac:dyDescent="0.25">
      <c r="A717" s="47" t="s">
        <v>2</v>
      </c>
      <c r="B717">
        <v>158348</v>
      </c>
      <c r="C717">
        <v>3490</v>
      </c>
      <c r="D717" s="47" t="s">
        <v>2327</v>
      </c>
      <c r="E717" s="47"/>
      <c r="G717">
        <v>3490</v>
      </c>
      <c r="H717" t="s">
        <v>2686</v>
      </c>
    </row>
    <row r="718" spans="1:8" x14ac:dyDescent="0.25">
      <c r="A718" s="47" t="s">
        <v>2</v>
      </c>
      <c r="D718" s="47"/>
      <c r="E718" s="47"/>
      <c r="G718" t="s">
        <v>2686</v>
      </c>
      <c r="H718" t="s">
        <v>2686</v>
      </c>
    </row>
    <row r="719" spans="1:8" x14ac:dyDescent="0.25">
      <c r="A719" s="47" t="s">
        <v>2</v>
      </c>
      <c r="D719" s="47"/>
      <c r="E719" s="47"/>
      <c r="G719" t="s">
        <v>2686</v>
      </c>
      <c r="H719" t="s">
        <v>2686</v>
      </c>
    </row>
    <row r="720" spans="1:8" x14ac:dyDescent="0.25">
      <c r="A720" s="47" t="s">
        <v>2</v>
      </c>
      <c r="D720" s="47"/>
      <c r="E720" s="47"/>
      <c r="G720" t="s">
        <v>2686</v>
      </c>
      <c r="H720" t="s">
        <v>2686</v>
      </c>
    </row>
    <row r="721" spans="1:5" x14ac:dyDescent="0.25">
      <c r="A721" s="47"/>
      <c r="D721" s="47"/>
      <c r="E721" s="47"/>
    </row>
    <row r="722" spans="1:5" x14ac:dyDescent="0.25">
      <c r="A722" s="47"/>
      <c r="D722" s="47"/>
      <c r="E722" s="47"/>
    </row>
    <row r="723" spans="1:5" x14ac:dyDescent="0.25">
      <c r="A723" s="47"/>
      <c r="D723" s="47"/>
      <c r="E723" s="47"/>
    </row>
    <row r="724" spans="1:5" x14ac:dyDescent="0.25">
      <c r="A724" s="47"/>
      <c r="D724" s="47"/>
      <c r="E724" s="47"/>
    </row>
    <row r="725" spans="1:5" x14ac:dyDescent="0.25">
      <c r="A725" s="47"/>
      <c r="D725" s="47"/>
      <c r="E725" s="47"/>
    </row>
    <row r="726" spans="1:5" x14ac:dyDescent="0.25">
      <c r="A726" s="47"/>
      <c r="D726" s="47"/>
      <c r="E726" s="47"/>
    </row>
    <row r="727" spans="1:5" x14ac:dyDescent="0.25">
      <c r="A727" s="47"/>
      <c r="D727" s="47"/>
      <c r="E727" s="47"/>
    </row>
    <row r="728" spans="1:5" x14ac:dyDescent="0.25">
      <c r="A728" s="47"/>
      <c r="D728" s="47"/>
      <c r="E728" s="47"/>
    </row>
    <row r="729" spans="1:5" x14ac:dyDescent="0.25">
      <c r="A729" s="47"/>
      <c r="D729" s="47"/>
      <c r="E729" s="47"/>
    </row>
    <row r="730" spans="1:5" x14ac:dyDescent="0.25">
      <c r="A730" s="47"/>
      <c r="D730" s="47"/>
      <c r="E730" s="47"/>
    </row>
    <row r="731" spans="1:5" x14ac:dyDescent="0.25">
      <c r="A731" s="47"/>
      <c r="D731" s="47"/>
      <c r="E731" s="47"/>
    </row>
    <row r="732" spans="1:5" x14ac:dyDescent="0.25">
      <c r="A732" s="47"/>
      <c r="D732" s="47"/>
      <c r="E732" s="47"/>
    </row>
    <row r="733" spans="1:5" x14ac:dyDescent="0.25">
      <c r="A733" s="47"/>
      <c r="D733" s="47"/>
      <c r="E733" s="47"/>
    </row>
    <row r="734" spans="1:5" x14ac:dyDescent="0.25">
      <c r="A734" s="47"/>
      <c r="D734" s="47"/>
      <c r="E734" s="47"/>
    </row>
    <row r="735" spans="1:5" x14ac:dyDescent="0.25">
      <c r="A735" s="47"/>
      <c r="D735" s="47"/>
      <c r="E735" s="47"/>
    </row>
    <row r="736" spans="1:5" x14ac:dyDescent="0.25">
      <c r="A736" s="47"/>
      <c r="D736" s="47"/>
      <c r="E736" s="47"/>
    </row>
    <row r="737" spans="1:5" x14ac:dyDescent="0.25">
      <c r="A737" s="47"/>
      <c r="D737" s="47"/>
      <c r="E737" s="47"/>
    </row>
    <row r="738" spans="1:5" x14ac:dyDescent="0.25">
      <c r="A738" s="47"/>
      <c r="D738" s="47"/>
      <c r="E738" s="47"/>
    </row>
    <row r="739" spans="1:5" x14ac:dyDescent="0.25">
      <c r="A739" s="47"/>
      <c r="D739" s="47"/>
      <c r="E739" s="47"/>
    </row>
    <row r="740" spans="1:5" x14ac:dyDescent="0.25">
      <c r="A740" s="47"/>
      <c r="D740" s="47"/>
      <c r="E740" s="47"/>
    </row>
    <row r="741" spans="1:5" x14ac:dyDescent="0.25">
      <c r="A741" s="47"/>
      <c r="D741" s="47"/>
      <c r="E741" s="47"/>
    </row>
    <row r="742" spans="1:5" x14ac:dyDescent="0.25">
      <c r="A742" s="47"/>
      <c r="D742" s="47"/>
      <c r="E742" s="47"/>
    </row>
    <row r="743" spans="1:5" x14ac:dyDescent="0.25">
      <c r="A743" s="47"/>
      <c r="D743" s="47"/>
      <c r="E743" s="47"/>
    </row>
    <row r="744" spans="1:5" x14ac:dyDescent="0.25">
      <c r="A744" s="47"/>
      <c r="D744" s="47"/>
      <c r="E744" s="47"/>
    </row>
    <row r="745" spans="1:5" x14ac:dyDescent="0.25">
      <c r="A745" s="47"/>
      <c r="D745" s="47"/>
      <c r="E745" s="47"/>
    </row>
    <row r="746" spans="1:5" x14ac:dyDescent="0.25">
      <c r="A746" s="47"/>
      <c r="D746" s="47"/>
      <c r="E746" s="47"/>
    </row>
    <row r="747" spans="1:5" x14ac:dyDescent="0.25">
      <c r="A747" s="47"/>
      <c r="D747" s="47"/>
      <c r="E747" s="47"/>
    </row>
    <row r="748" spans="1:5" x14ac:dyDescent="0.25">
      <c r="A748" s="47"/>
      <c r="D748" s="47"/>
      <c r="E748" s="47"/>
    </row>
    <row r="749" spans="1:5" x14ac:dyDescent="0.25">
      <c r="A749" s="47"/>
      <c r="D749" s="47"/>
      <c r="E749" s="47"/>
    </row>
    <row r="750" spans="1:5" x14ac:dyDescent="0.25">
      <c r="A750" s="47"/>
      <c r="D750" s="47"/>
      <c r="E750" s="47"/>
    </row>
    <row r="751" spans="1:5" x14ac:dyDescent="0.25">
      <c r="A751" s="47"/>
      <c r="D751" s="47"/>
      <c r="E751" s="47"/>
    </row>
    <row r="752" spans="1:5" x14ac:dyDescent="0.25">
      <c r="A752" s="47"/>
      <c r="D752" s="47"/>
      <c r="E752" s="47"/>
    </row>
    <row r="753" spans="1:5" x14ac:dyDescent="0.25">
      <c r="A753" s="47"/>
      <c r="D753" s="47"/>
      <c r="E753" s="47"/>
    </row>
    <row r="754" spans="1:5" x14ac:dyDescent="0.25">
      <c r="A754" s="47"/>
      <c r="D754" s="47"/>
      <c r="E754" s="47"/>
    </row>
    <row r="755" spans="1:5" x14ac:dyDescent="0.25">
      <c r="A755" s="47"/>
      <c r="D755" s="47"/>
      <c r="E755" s="47"/>
    </row>
    <row r="756" spans="1:5" x14ac:dyDescent="0.25">
      <c r="A756" s="47"/>
      <c r="D756" s="47"/>
      <c r="E756" s="47"/>
    </row>
    <row r="757" spans="1:5" x14ac:dyDescent="0.25">
      <c r="A757" s="47"/>
      <c r="D757" s="47"/>
      <c r="E757" s="47"/>
    </row>
    <row r="758" spans="1:5" x14ac:dyDescent="0.25">
      <c r="A758" s="47"/>
      <c r="D758" s="47"/>
      <c r="E758" s="47"/>
    </row>
    <row r="759" spans="1:5" x14ac:dyDescent="0.25">
      <c r="A759" s="47"/>
      <c r="D759" s="47"/>
      <c r="E759" s="47"/>
    </row>
    <row r="760" spans="1:5" x14ac:dyDescent="0.25">
      <c r="A760" s="47"/>
      <c r="D760" s="47"/>
      <c r="E760" s="47"/>
    </row>
    <row r="761" spans="1:5" x14ac:dyDescent="0.25">
      <c r="A761" s="47"/>
      <c r="D761" s="47"/>
      <c r="E761" s="47"/>
    </row>
    <row r="762" spans="1:5" x14ac:dyDescent="0.25">
      <c r="A762" s="47"/>
      <c r="D762" s="47"/>
      <c r="E762" s="47"/>
    </row>
    <row r="763" spans="1:5" x14ac:dyDescent="0.25">
      <c r="A763" s="47"/>
      <c r="D763" s="47"/>
      <c r="E763" s="47"/>
    </row>
    <row r="764" spans="1:5" x14ac:dyDescent="0.25">
      <c r="A764" s="47"/>
      <c r="D764" s="47"/>
      <c r="E764" s="47"/>
    </row>
    <row r="765" spans="1:5" x14ac:dyDescent="0.25">
      <c r="A765" s="47"/>
      <c r="D765" s="47"/>
      <c r="E765" s="47"/>
    </row>
    <row r="766" spans="1:5" x14ac:dyDescent="0.25">
      <c r="A766" s="47"/>
      <c r="D766" s="47"/>
      <c r="E766" s="47"/>
    </row>
    <row r="767" spans="1:5" x14ac:dyDescent="0.25">
      <c r="A767" s="47"/>
      <c r="D767" s="47"/>
      <c r="E767" s="47"/>
    </row>
    <row r="768" spans="1:5" x14ac:dyDescent="0.25">
      <c r="A768" s="47"/>
      <c r="D768" s="47"/>
      <c r="E768" s="47"/>
    </row>
    <row r="769" spans="1:5" x14ac:dyDescent="0.25">
      <c r="A769" s="47"/>
      <c r="D769" s="47"/>
      <c r="E769" s="47"/>
    </row>
    <row r="770" spans="1:5" x14ac:dyDescent="0.25">
      <c r="A770" s="47"/>
      <c r="D770" s="47"/>
      <c r="E770" s="47"/>
    </row>
    <row r="771" spans="1:5" x14ac:dyDescent="0.25">
      <c r="A771" s="47"/>
      <c r="D771" s="47"/>
      <c r="E771" s="47"/>
    </row>
    <row r="772" spans="1:5" x14ac:dyDescent="0.25">
      <c r="A772" s="47"/>
      <c r="D772" s="47"/>
      <c r="E772" s="47"/>
    </row>
    <row r="773" spans="1:5" x14ac:dyDescent="0.25">
      <c r="A773" s="47"/>
      <c r="D773" s="47"/>
      <c r="E773" s="47"/>
    </row>
    <row r="774" spans="1:5" x14ac:dyDescent="0.25">
      <c r="A774" s="47"/>
      <c r="D774" s="47"/>
      <c r="E774" s="47"/>
    </row>
    <row r="775" spans="1:5" x14ac:dyDescent="0.25">
      <c r="A775" s="47"/>
      <c r="D775" s="47"/>
      <c r="E775" s="47"/>
    </row>
    <row r="776" spans="1:5" x14ac:dyDescent="0.25">
      <c r="A776" s="47"/>
      <c r="D776" s="47"/>
      <c r="E776" s="47"/>
    </row>
    <row r="777" spans="1:5" x14ac:dyDescent="0.25">
      <c r="A777" s="47"/>
      <c r="D777" s="47"/>
      <c r="E777" s="47"/>
    </row>
    <row r="778" spans="1:5" x14ac:dyDescent="0.25">
      <c r="A778" s="47"/>
      <c r="D778" s="47"/>
      <c r="E778" s="47"/>
    </row>
    <row r="779" spans="1:5" x14ac:dyDescent="0.25">
      <c r="A779" s="47"/>
      <c r="D779" s="47"/>
      <c r="E779" s="47"/>
    </row>
    <row r="780" spans="1:5" x14ac:dyDescent="0.25">
      <c r="A780" s="47"/>
      <c r="D780" s="47"/>
      <c r="E780" s="47"/>
    </row>
    <row r="781" spans="1:5" x14ac:dyDescent="0.25">
      <c r="A781" s="47"/>
      <c r="D781" s="47"/>
      <c r="E781" s="47"/>
    </row>
    <row r="782" spans="1:5" x14ac:dyDescent="0.25">
      <c r="A782" s="47"/>
      <c r="D782" s="47"/>
      <c r="E782" s="47"/>
    </row>
    <row r="783" spans="1:5" x14ac:dyDescent="0.25">
      <c r="A783" s="47"/>
      <c r="D783" s="47"/>
      <c r="E783" s="47"/>
    </row>
    <row r="784" spans="1:5" x14ac:dyDescent="0.25">
      <c r="A784" s="47"/>
      <c r="D784" s="47"/>
      <c r="E784" s="47"/>
    </row>
    <row r="785" spans="1:5" x14ac:dyDescent="0.25">
      <c r="A785" s="47"/>
      <c r="D785" s="47"/>
      <c r="E785" s="47"/>
    </row>
    <row r="786" spans="1:5" x14ac:dyDescent="0.25">
      <c r="A786" s="47"/>
      <c r="D786" s="47"/>
      <c r="E786" s="47"/>
    </row>
    <row r="787" spans="1:5" x14ac:dyDescent="0.25">
      <c r="A787" s="47"/>
      <c r="D787" s="47"/>
      <c r="E787" s="47"/>
    </row>
    <row r="788" spans="1:5" x14ac:dyDescent="0.25">
      <c r="A788" s="47"/>
      <c r="D788" s="47"/>
      <c r="E788" s="47"/>
    </row>
    <row r="789" spans="1:5" x14ac:dyDescent="0.25">
      <c r="A789" s="47"/>
      <c r="D789" s="47"/>
      <c r="E789" s="47"/>
    </row>
    <row r="790" spans="1:5" x14ac:dyDescent="0.25">
      <c r="A790" s="47"/>
      <c r="D790" s="47"/>
      <c r="E790" s="47"/>
    </row>
    <row r="791" spans="1:5" x14ac:dyDescent="0.25">
      <c r="A791" s="47"/>
      <c r="D791" s="47"/>
      <c r="E791" s="47"/>
    </row>
    <row r="792" spans="1:5" x14ac:dyDescent="0.25">
      <c r="A792" s="47"/>
      <c r="D792" s="47"/>
      <c r="E792" s="47"/>
    </row>
    <row r="793" spans="1:5" x14ac:dyDescent="0.25">
      <c r="A793" s="47"/>
      <c r="D793" s="47"/>
      <c r="E793" s="47"/>
    </row>
    <row r="794" spans="1:5" x14ac:dyDescent="0.25">
      <c r="A794" s="47"/>
      <c r="D794" s="47"/>
      <c r="E794" s="47"/>
    </row>
    <row r="795" spans="1:5" x14ac:dyDescent="0.25">
      <c r="A795" s="47"/>
      <c r="D795" s="47"/>
      <c r="E795" s="47"/>
    </row>
    <row r="796" spans="1:5" x14ac:dyDescent="0.25">
      <c r="A796" s="47"/>
      <c r="D796" s="47"/>
      <c r="E796" s="47"/>
    </row>
    <row r="797" spans="1:5" x14ac:dyDescent="0.25">
      <c r="A797" s="47"/>
      <c r="D797" s="47"/>
      <c r="E797" s="47"/>
    </row>
    <row r="798" spans="1:5" x14ac:dyDescent="0.25">
      <c r="A798" s="47"/>
      <c r="D798" s="47"/>
      <c r="E798" s="47"/>
    </row>
    <row r="799" spans="1:5" x14ac:dyDescent="0.25">
      <c r="A799" s="47"/>
      <c r="D799" s="47"/>
      <c r="E799" s="47"/>
    </row>
    <row r="800" spans="1:5" x14ac:dyDescent="0.25">
      <c r="A800" s="47"/>
      <c r="D800" s="47"/>
      <c r="E800" s="47"/>
    </row>
    <row r="801" spans="1:5" x14ac:dyDescent="0.25">
      <c r="A801" s="47"/>
      <c r="D801" s="47"/>
      <c r="E801" s="47"/>
    </row>
    <row r="802" spans="1:5" x14ac:dyDescent="0.25">
      <c r="A802" s="47"/>
      <c r="D802" s="47"/>
      <c r="E802" s="47"/>
    </row>
    <row r="803" spans="1:5" x14ac:dyDescent="0.25">
      <c r="A803" s="47"/>
      <c r="D803" s="47"/>
      <c r="E803" s="47"/>
    </row>
    <row r="804" spans="1:5" x14ac:dyDescent="0.25">
      <c r="A804" s="47"/>
      <c r="D804" s="47"/>
      <c r="E804" s="47"/>
    </row>
    <row r="805" spans="1:5" x14ac:dyDescent="0.25">
      <c r="A805" s="47"/>
      <c r="D805" s="47"/>
      <c r="E805" s="47"/>
    </row>
    <row r="806" spans="1:5" x14ac:dyDescent="0.25">
      <c r="A806" s="47"/>
      <c r="D806" s="47"/>
      <c r="E806" s="47"/>
    </row>
    <row r="807" spans="1:5" x14ac:dyDescent="0.25">
      <c r="A807" s="47"/>
      <c r="D807" s="47"/>
      <c r="E807" s="47"/>
    </row>
    <row r="808" spans="1:5" x14ac:dyDescent="0.25">
      <c r="A808" s="47"/>
      <c r="D808" s="47"/>
      <c r="E808" s="47"/>
    </row>
    <row r="809" spans="1:5" x14ac:dyDescent="0.25">
      <c r="A809" s="47"/>
      <c r="D809" s="47"/>
      <c r="E809" s="47"/>
    </row>
    <row r="810" spans="1:5" x14ac:dyDescent="0.25">
      <c r="A810" s="47"/>
      <c r="D810" s="47"/>
      <c r="E810" s="47"/>
    </row>
    <row r="811" spans="1:5" x14ac:dyDescent="0.25">
      <c r="A811" s="47"/>
      <c r="D811" s="47"/>
      <c r="E811" s="47"/>
    </row>
    <row r="812" spans="1:5" x14ac:dyDescent="0.25">
      <c r="A812" s="47"/>
      <c r="D812" s="47"/>
      <c r="E812" s="47"/>
    </row>
    <row r="813" spans="1:5" x14ac:dyDescent="0.25">
      <c r="A813" s="47"/>
      <c r="D813" s="47"/>
      <c r="E813" s="47"/>
    </row>
    <row r="814" spans="1:5" x14ac:dyDescent="0.25">
      <c r="A814" s="47"/>
      <c r="D814" s="47"/>
      <c r="E814" s="47"/>
    </row>
    <row r="815" spans="1:5" x14ac:dyDescent="0.25">
      <c r="A815" s="47"/>
      <c r="D815" s="47"/>
      <c r="E815" s="47"/>
    </row>
    <row r="816" spans="1:5" x14ac:dyDescent="0.25">
      <c r="A816" s="47"/>
      <c r="D816" s="47"/>
      <c r="E816" s="47"/>
    </row>
    <row r="817" spans="1:5" x14ac:dyDescent="0.25">
      <c r="A817" s="47"/>
      <c r="D817" s="47"/>
      <c r="E817" s="47"/>
    </row>
    <row r="818" spans="1:5" x14ac:dyDescent="0.25">
      <c r="A818" s="47"/>
      <c r="D818" s="47"/>
      <c r="E818" s="47"/>
    </row>
    <row r="819" spans="1:5" x14ac:dyDescent="0.25">
      <c r="A819" s="47"/>
      <c r="D819" s="47"/>
      <c r="E819" s="47"/>
    </row>
    <row r="820" spans="1:5" x14ac:dyDescent="0.25">
      <c r="A820" s="47"/>
      <c r="D820" s="47"/>
      <c r="E820" s="47"/>
    </row>
    <row r="821" spans="1:5" x14ac:dyDescent="0.25">
      <c r="A821" s="47"/>
      <c r="D821" s="47"/>
      <c r="E821" s="47"/>
    </row>
    <row r="822" spans="1:5" x14ac:dyDescent="0.25">
      <c r="A822" s="47"/>
      <c r="D822" s="47"/>
      <c r="E822" s="47"/>
    </row>
    <row r="823" spans="1:5" x14ac:dyDescent="0.25">
      <c r="A823" s="47"/>
      <c r="D823" s="47"/>
      <c r="E823" s="47"/>
    </row>
    <row r="824" spans="1:5" x14ac:dyDescent="0.25">
      <c r="A824" s="47"/>
      <c r="D824" s="47"/>
      <c r="E824" s="47"/>
    </row>
    <row r="825" spans="1:5" x14ac:dyDescent="0.25">
      <c r="A825" s="47"/>
      <c r="D825" s="47"/>
      <c r="E825" s="47"/>
    </row>
    <row r="826" spans="1:5" x14ac:dyDescent="0.25">
      <c r="A826" s="47"/>
      <c r="D826" s="47"/>
      <c r="E826" s="47"/>
    </row>
    <row r="827" spans="1:5" x14ac:dyDescent="0.25">
      <c r="A827" s="47"/>
      <c r="D827" s="47"/>
      <c r="E827" s="47"/>
    </row>
    <row r="828" spans="1:5" x14ac:dyDescent="0.25">
      <c r="A828" s="47"/>
      <c r="D828" s="47"/>
      <c r="E828" s="47"/>
    </row>
    <row r="829" spans="1:5" x14ac:dyDescent="0.25">
      <c r="A829" s="47"/>
      <c r="D829" s="47"/>
      <c r="E829" s="47"/>
    </row>
    <row r="830" spans="1:5" x14ac:dyDescent="0.25">
      <c r="A830" s="47"/>
      <c r="D830" s="47"/>
      <c r="E830" s="47"/>
    </row>
    <row r="831" spans="1:5" x14ac:dyDescent="0.25">
      <c r="A831" s="47"/>
      <c r="D831" s="47"/>
      <c r="E831" s="47"/>
    </row>
    <row r="832" spans="1:5" x14ac:dyDescent="0.25">
      <c r="A832" s="47"/>
      <c r="D832" s="47"/>
      <c r="E832" s="47"/>
    </row>
    <row r="833" spans="1:5" x14ac:dyDescent="0.25">
      <c r="A833" s="47"/>
      <c r="D833" s="47"/>
      <c r="E833" s="47"/>
    </row>
    <row r="834" spans="1:5" x14ac:dyDescent="0.25">
      <c r="A834" s="47"/>
      <c r="D834" s="47"/>
      <c r="E834" s="47"/>
    </row>
    <row r="835" spans="1:5" x14ac:dyDescent="0.25">
      <c r="A835" s="47"/>
      <c r="D835" s="47"/>
      <c r="E835" s="47"/>
    </row>
    <row r="836" spans="1:5" x14ac:dyDescent="0.25">
      <c r="A836" s="47"/>
      <c r="D836" s="47"/>
      <c r="E836" s="47"/>
    </row>
    <row r="837" spans="1:5" x14ac:dyDescent="0.25">
      <c r="A837" s="47"/>
      <c r="D837" s="47"/>
      <c r="E837" s="47"/>
    </row>
    <row r="838" spans="1:5" x14ac:dyDescent="0.25">
      <c r="A838" s="47"/>
      <c r="D838" s="47"/>
      <c r="E838" s="47"/>
    </row>
    <row r="839" spans="1:5" x14ac:dyDescent="0.25">
      <c r="A839" s="47"/>
      <c r="D839" s="47"/>
      <c r="E839" s="47"/>
    </row>
    <row r="840" spans="1:5" x14ac:dyDescent="0.25">
      <c r="A840" s="47"/>
      <c r="D840" s="47"/>
      <c r="E840" s="47"/>
    </row>
    <row r="841" spans="1:5" x14ac:dyDescent="0.25">
      <c r="A841" s="47"/>
      <c r="D841" s="47"/>
      <c r="E841" s="47"/>
    </row>
    <row r="842" spans="1:5" x14ac:dyDescent="0.25">
      <c r="A842" s="47"/>
      <c r="D842" s="47"/>
      <c r="E842" s="47"/>
    </row>
    <row r="843" spans="1:5" x14ac:dyDescent="0.25">
      <c r="A843" s="47"/>
      <c r="D843" s="47"/>
      <c r="E843" s="47"/>
    </row>
    <row r="844" spans="1:5" x14ac:dyDescent="0.25">
      <c r="A844" s="47"/>
      <c r="D844" s="47"/>
      <c r="E844" s="47"/>
    </row>
    <row r="845" spans="1:5" x14ac:dyDescent="0.25">
      <c r="A845" s="47"/>
      <c r="D845" s="47"/>
      <c r="E845" s="47"/>
    </row>
    <row r="846" spans="1:5" x14ac:dyDescent="0.25">
      <c r="A846" s="47"/>
      <c r="D846" s="47"/>
      <c r="E846" s="47"/>
    </row>
    <row r="847" spans="1:5" x14ac:dyDescent="0.25">
      <c r="A847" s="47"/>
      <c r="D847" s="47"/>
      <c r="E847" s="47"/>
    </row>
    <row r="848" spans="1:5" x14ac:dyDescent="0.25">
      <c r="A848" s="47"/>
      <c r="D848" s="47"/>
      <c r="E848" s="47"/>
    </row>
    <row r="849" spans="1:5" x14ac:dyDescent="0.25">
      <c r="A849" s="47"/>
      <c r="D849" s="47"/>
      <c r="E849" s="47"/>
    </row>
    <row r="850" spans="1:5" x14ac:dyDescent="0.25">
      <c r="A850" s="47"/>
      <c r="D850" s="47"/>
      <c r="E850" s="47"/>
    </row>
    <row r="851" spans="1:5" x14ac:dyDescent="0.25">
      <c r="A851" s="47"/>
      <c r="D851" s="47"/>
      <c r="E851" s="47"/>
    </row>
    <row r="852" spans="1:5" x14ac:dyDescent="0.25">
      <c r="A852" s="47"/>
      <c r="D852" s="47"/>
      <c r="E852" s="47"/>
    </row>
    <row r="853" spans="1:5" x14ac:dyDescent="0.25">
      <c r="A853" s="47"/>
      <c r="D853" s="47"/>
      <c r="E853" s="47"/>
    </row>
    <row r="854" spans="1:5" x14ac:dyDescent="0.25">
      <c r="A854" s="47"/>
      <c r="D854" s="47"/>
      <c r="E854" s="47"/>
    </row>
    <row r="855" spans="1:5" x14ac:dyDescent="0.25">
      <c r="A855" s="47"/>
      <c r="D855" s="47"/>
      <c r="E855" s="47"/>
    </row>
    <row r="856" spans="1:5" x14ac:dyDescent="0.25">
      <c r="A856" s="47"/>
      <c r="D856" s="47"/>
      <c r="E856" s="47"/>
    </row>
    <row r="857" spans="1:5" x14ac:dyDescent="0.25">
      <c r="A857" s="47"/>
      <c r="D857" s="47"/>
      <c r="E857" s="47"/>
    </row>
    <row r="858" spans="1:5" x14ac:dyDescent="0.25">
      <c r="A858" s="47"/>
      <c r="D858" s="47"/>
      <c r="E858" s="47"/>
    </row>
    <row r="859" spans="1:5" x14ac:dyDescent="0.25">
      <c r="A859" s="47"/>
      <c r="D859" s="47"/>
      <c r="E859" s="47"/>
    </row>
    <row r="860" spans="1:5" x14ac:dyDescent="0.25">
      <c r="A860" s="47"/>
      <c r="D860" s="47"/>
      <c r="E860" s="47"/>
    </row>
    <row r="861" spans="1:5" x14ac:dyDescent="0.25">
      <c r="A861" s="47"/>
      <c r="D861" s="47"/>
      <c r="E861" s="47"/>
    </row>
    <row r="862" spans="1:5" x14ac:dyDescent="0.25">
      <c r="A862" s="47"/>
      <c r="D862" s="47"/>
      <c r="E862" s="47"/>
    </row>
    <row r="863" spans="1:5" x14ac:dyDescent="0.25">
      <c r="A863" s="47"/>
      <c r="D863" s="47"/>
      <c r="E863" s="47"/>
    </row>
    <row r="864" spans="1:5" x14ac:dyDescent="0.25">
      <c r="A864" s="47"/>
      <c r="D864" s="47"/>
      <c r="E864" s="47"/>
    </row>
    <row r="865" spans="1:5" x14ac:dyDescent="0.25">
      <c r="A865" s="47"/>
      <c r="D865" s="47"/>
      <c r="E865" s="47"/>
    </row>
    <row r="866" spans="1:5" x14ac:dyDescent="0.25">
      <c r="A866" s="47"/>
      <c r="D866" s="47"/>
      <c r="E866" s="47"/>
    </row>
    <row r="867" spans="1:5" x14ac:dyDescent="0.25">
      <c r="A867" s="47"/>
      <c r="D867" s="47"/>
      <c r="E867" s="47"/>
    </row>
    <row r="868" spans="1:5" x14ac:dyDescent="0.25">
      <c r="A868" s="47"/>
      <c r="D868" s="47"/>
      <c r="E868" s="47"/>
    </row>
    <row r="869" spans="1:5" x14ac:dyDescent="0.25">
      <c r="A869" s="47"/>
      <c r="D869" s="47"/>
      <c r="E869" s="47"/>
    </row>
    <row r="870" spans="1:5" x14ac:dyDescent="0.25">
      <c r="A870" s="47"/>
      <c r="D870" s="47"/>
      <c r="E870" s="47"/>
    </row>
    <row r="871" spans="1:5" x14ac:dyDescent="0.25">
      <c r="A871" s="47"/>
      <c r="D871" s="47"/>
      <c r="E871" s="47"/>
    </row>
    <row r="872" spans="1:5" x14ac:dyDescent="0.25">
      <c r="A872" s="47"/>
      <c r="D872" s="47"/>
      <c r="E872" s="47"/>
    </row>
    <row r="873" spans="1:5" x14ac:dyDescent="0.25">
      <c r="A873" s="47"/>
      <c r="D873" s="47"/>
      <c r="E873" s="47"/>
    </row>
    <row r="874" spans="1:5" x14ac:dyDescent="0.25">
      <c r="A874" s="47"/>
      <c r="D874" s="47"/>
      <c r="E874" s="47"/>
    </row>
    <row r="875" spans="1:5" x14ac:dyDescent="0.25">
      <c r="A875" s="47"/>
      <c r="D875" s="47"/>
      <c r="E875" s="47"/>
    </row>
    <row r="876" spans="1:5" x14ac:dyDescent="0.25">
      <c r="A876" s="47"/>
      <c r="D876" s="47"/>
      <c r="E876" s="47"/>
    </row>
    <row r="877" spans="1:5" x14ac:dyDescent="0.25">
      <c r="A877" s="47"/>
      <c r="D877" s="47"/>
      <c r="E877" s="47"/>
    </row>
    <row r="878" spans="1:5" x14ac:dyDescent="0.25">
      <c r="A878" s="47"/>
      <c r="D878" s="47"/>
      <c r="E878" s="47"/>
    </row>
    <row r="879" spans="1:5" x14ac:dyDescent="0.25">
      <c r="A879" s="47"/>
      <c r="D879" s="47"/>
      <c r="E879" s="47"/>
    </row>
    <row r="880" spans="1:5" x14ac:dyDescent="0.25">
      <c r="A880" s="47"/>
      <c r="D880" s="47"/>
      <c r="E880" s="47"/>
    </row>
    <row r="881" spans="1:5" x14ac:dyDescent="0.25">
      <c r="A881" s="47"/>
      <c r="D881" s="47"/>
      <c r="E881" s="47"/>
    </row>
    <row r="882" spans="1:5" x14ac:dyDescent="0.25">
      <c r="A882" s="47"/>
      <c r="D882" s="47"/>
      <c r="E882" s="47"/>
    </row>
    <row r="883" spans="1:5" x14ac:dyDescent="0.25">
      <c r="A883" s="47"/>
      <c r="D883" s="47"/>
      <c r="E883" s="47"/>
    </row>
    <row r="884" spans="1:5" x14ac:dyDescent="0.25">
      <c r="A884" s="47"/>
      <c r="D884" s="47"/>
      <c r="E884" s="47"/>
    </row>
    <row r="885" spans="1:5" x14ac:dyDescent="0.25">
      <c r="A885" s="47"/>
      <c r="D885" s="47"/>
      <c r="E885" s="47"/>
    </row>
    <row r="886" spans="1:5" x14ac:dyDescent="0.25">
      <c r="A886" s="47"/>
      <c r="D886" s="47"/>
      <c r="E886" s="47"/>
    </row>
    <row r="887" spans="1:5" x14ac:dyDescent="0.25">
      <c r="A887" s="47"/>
      <c r="D887" s="47"/>
      <c r="E887" s="47"/>
    </row>
    <row r="888" spans="1:5" x14ac:dyDescent="0.25">
      <c r="A888" s="47"/>
      <c r="D888" s="47"/>
      <c r="E888" s="47"/>
    </row>
    <row r="889" spans="1:5" x14ac:dyDescent="0.25">
      <c r="A889" s="47"/>
      <c r="D889" s="47"/>
      <c r="E889" s="47"/>
    </row>
    <row r="890" spans="1:5" x14ac:dyDescent="0.25">
      <c r="A890" s="47"/>
      <c r="D890" s="47"/>
      <c r="E890" s="47"/>
    </row>
    <row r="891" spans="1:5" x14ac:dyDescent="0.25">
      <c r="A891" s="47"/>
      <c r="D891" s="47"/>
      <c r="E891" s="47"/>
    </row>
    <row r="892" spans="1:5" x14ac:dyDescent="0.25">
      <c r="A892" s="47"/>
      <c r="D892" s="47"/>
      <c r="E892" s="47"/>
    </row>
    <row r="893" spans="1:5" x14ac:dyDescent="0.25">
      <c r="A893" s="47"/>
      <c r="D893" s="47"/>
      <c r="E893" s="47"/>
    </row>
    <row r="894" spans="1:5" x14ac:dyDescent="0.25">
      <c r="A894" s="47"/>
      <c r="D894" s="47"/>
      <c r="E894" s="47"/>
    </row>
    <row r="895" spans="1:5" x14ac:dyDescent="0.25">
      <c r="A895" s="47"/>
      <c r="D895" s="47"/>
      <c r="E895" s="47"/>
    </row>
    <row r="896" spans="1:5" x14ac:dyDescent="0.25">
      <c r="A896" s="47"/>
      <c r="D896" s="47"/>
      <c r="E896" s="47"/>
    </row>
    <row r="897" spans="1:5" x14ac:dyDescent="0.25">
      <c r="A897" s="47"/>
      <c r="D897" s="47"/>
      <c r="E897" s="47"/>
    </row>
    <row r="898" spans="1:5" x14ac:dyDescent="0.25">
      <c r="A898" s="47"/>
      <c r="D898" s="47"/>
      <c r="E898" s="47"/>
    </row>
    <row r="899" spans="1:5" x14ac:dyDescent="0.25">
      <c r="A899" s="47"/>
      <c r="D899" s="47"/>
      <c r="E899" s="47"/>
    </row>
    <row r="900" spans="1:5" x14ac:dyDescent="0.25">
      <c r="A900" s="47"/>
      <c r="D900" s="47"/>
      <c r="E900" s="47"/>
    </row>
    <row r="901" spans="1:5" x14ac:dyDescent="0.25">
      <c r="A901" s="47"/>
      <c r="D901" s="47"/>
      <c r="E901" s="47"/>
    </row>
    <row r="902" spans="1:5" x14ac:dyDescent="0.25">
      <c r="A902" s="47"/>
      <c r="D902" s="47"/>
      <c r="E902" s="47"/>
    </row>
    <row r="903" spans="1:5" x14ac:dyDescent="0.25">
      <c r="A903" s="47"/>
      <c r="D903" s="47"/>
      <c r="E903" s="47"/>
    </row>
    <row r="904" spans="1:5" x14ac:dyDescent="0.25">
      <c r="A904" s="47"/>
      <c r="D904" s="47"/>
      <c r="E904" s="47"/>
    </row>
    <row r="905" spans="1:5" x14ac:dyDescent="0.25">
      <c r="A905" s="47"/>
      <c r="D905" s="47"/>
      <c r="E905" s="47"/>
    </row>
    <row r="906" spans="1:5" x14ac:dyDescent="0.25">
      <c r="A906" s="47"/>
      <c r="D906" s="47"/>
      <c r="E906" s="47"/>
    </row>
    <row r="907" spans="1:5" x14ac:dyDescent="0.25">
      <c r="A907" s="47"/>
      <c r="D907" s="47"/>
      <c r="E907" s="47"/>
    </row>
    <row r="908" spans="1:5" x14ac:dyDescent="0.25">
      <c r="A908" s="47"/>
      <c r="D908" s="47"/>
      <c r="E908" s="47"/>
    </row>
    <row r="909" spans="1:5" x14ac:dyDescent="0.25">
      <c r="A909" s="47"/>
      <c r="D909" s="47"/>
      <c r="E909" s="47"/>
    </row>
    <row r="910" spans="1:5" x14ac:dyDescent="0.25">
      <c r="A910" s="47"/>
      <c r="D910" s="47"/>
      <c r="E910" s="47"/>
    </row>
    <row r="911" spans="1:5" x14ac:dyDescent="0.25">
      <c r="A911" s="47"/>
      <c r="D911" s="47"/>
      <c r="E911" s="47"/>
    </row>
    <row r="912" spans="1:5" x14ac:dyDescent="0.25">
      <c r="A912" s="47"/>
      <c r="D912" s="47"/>
      <c r="E912" s="47"/>
    </row>
    <row r="913" spans="1:5" x14ac:dyDescent="0.25">
      <c r="A913" s="47"/>
      <c r="D913" s="47"/>
      <c r="E913" s="47"/>
    </row>
    <row r="914" spans="1:5" x14ac:dyDescent="0.25">
      <c r="A914" s="47"/>
      <c r="D914" s="47"/>
      <c r="E914" s="47"/>
    </row>
    <row r="915" spans="1:5" x14ac:dyDescent="0.25">
      <c r="A915" s="47"/>
      <c r="D915" s="47"/>
      <c r="E915" s="47"/>
    </row>
    <row r="916" spans="1:5" x14ac:dyDescent="0.25">
      <c r="A916" s="47"/>
      <c r="D916" s="47"/>
      <c r="E916" s="47"/>
    </row>
    <row r="917" spans="1:5" x14ac:dyDescent="0.25">
      <c r="A917" s="47"/>
      <c r="D917" s="47"/>
      <c r="E917" s="47"/>
    </row>
    <row r="918" spans="1:5" x14ac:dyDescent="0.25">
      <c r="A918" s="47"/>
      <c r="D918" s="47"/>
      <c r="E918" s="47"/>
    </row>
    <row r="919" spans="1:5" x14ac:dyDescent="0.25">
      <c r="A919" s="47"/>
      <c r="D919" s="47"/>
      <c r="E919" s="47"/>
    </row>
    <row r="920" spans="1:5" x14ac:dyDescent="0.25">
      <c r="A920" s="47"/>
      <c r="D920" s="47"/>
      <c r="E920" s="47"/>
    </row>
    <row r="921" spans="1:5" x14ac:dyDescent="0.25">
      <c r="A921" s="47"/>
      <c r="D921" s="47"/>
      <c r="E921" s="47"/>
    </row>
    <row r="922" spans="1:5" x14ac:dyDescent="0.25">
      <c r="A922" s="47"/>
      <c r="D922" s="47"/>
      <c r="E922" s="47"/>
    </row>
    <row r="923" spans="1:5" x14ac:dyDescent="0.25">
      <c r="A923" s="47"/>
      <c r="D923" s="47"/>
      <c r="E923" s="47"/>
    </row>
    <row r="924" spans="1:5" x14ac:dyDescent="0.25">
      <c r="A924" s="47"/>
      <c r="D924" s="47"/>
      <c r="E924" s="47"/>
    </row>
    <row r="925" spans="1:5" x14ac:dyDescent="0.25">
      <c r="A925" s="47"/>
      <c r="D925" s="47"/>
      <c r="E925" s="47"/>
    </row>
    <row r="926" spans="1:5" x14ac:dyDescent="0.25">
      <c r="A926" s="47"/>
      <c r="D926" s="47"/>
      <c r="E926" s="47"/>
    </row>
    <row r="927" spans="1:5" x14ac:dyDescent="0.25">
      <c r="A927" s="47"/>
      <c r="D927" s="47"/>
      <c r="E927" s="47"/>
    </row>
    <row r="928" spans="1:5" x14ac:dyDescent="0.25">
      <c r="A928" s="47"/>
      <c r="D928" s="47"/>
      <c r="E928" s="47"/>
    </row>
    <row r="929" spans="1:5" x14ac:dyDescent="0.25">
      <c r="A929" s="47"/>
      <c r="D929" s="47"/>
      <c r="E929" s="47"/>
    </row>
    <row r="930" spans="1:5" x14ac:dyDescent="0.25">
      <c r="A930" s="47"/>
      <c r="D930" s="47"/>
      <c r="E930" s="47"/>
    </row>
    <row r="931" spans="1:5" x14ac:dyDescent="0.25">
      <c r="A931" s="47"/>
      <c r="D931" s="47"/>
      <c r="E931" s="47"/>
    </row>
    <row r="932" spans="1:5" x14ac:dyDescent="0.25">
      <c r="A932" s="47"/>
      <c r="D932" s="47"/>
      <c r="E932" s="47"/>
    </row>
    <row r="933" spans="1:5" x14ac:dyDescent="0.25">
      <c r="A933" s="47"/>
      <c r="D933" s="47"/>
      <c r="E933" s="47"/>
    </row>
    <row r="934" spans="1:5" x14ac:dyDescent="0.25">
      <c r="A934" s="47"/>
      <c r="D934" s="47"/>
      <c r="E934" s="47"/>
    </row>
    <row r="935" spans="1:5" x14ac:dyDescent="0.25">
      <c r="A935" s="47"/>
      <c r="D935" s="47"/>
      <c r="E935" s="47"/>
    </row>
    <row r="936" spans="1:5" x14ac:dyDescent="0.25">
      <c r="A936" s="47"/>
      <c r="D936" s="47"/>
      <c r="E936" s="47"/>
    </row>
    <row r="937" spans="1:5" x14ac:dyDescent="0.25">
      <c r="A937" s="47"/>
      <c r="D937" s="47"/>
      <c r="E937" s="47"/>
    </row>
    <row r="938" spans="1:5" x14ac:dyDescent="0.25">
      <c r="A938" s="47"/>
      <c r="D938" s="47"/>
      <c r="E938" s="47"/>
    </row>
    <row r="939" spans="1:5" x14ac:dyDescent="0.25">
      <c r="A939" s="47"/>
      <c r="D939" s="47"/>
      <c r="E939" s="47"/>
    </row>
    <row r="940" spans="1:5" x14ac:dyDescent="0.25">
      <c r="A940" s="47"/>
      <c r="D940" s="47"/>
      <c r="E940" s="47"/>
    </row>
    <row r="941" spans="1:5" x14ac:dyDescent="0.25">
      <c r="A941" s="47"/>
      <c r="D941" s="47"/>
      <c r="E941" s="47"/>
    </row>
    <row r="942" spans="1:5" x14ac:dyDescent="0.25">
      <c r="A942" s="47"/>
      <c r="D942" s="47"/>
      <c r="E942" s="47"/>
    </row>
    <row r="943" spans="1:5" x14ac:dyDescent="0.25">
      <c r="A943" s="47"/>
      <c r="D943" s="47"/>
      <c r="E943" s="47"/>
    </row>
    <row r="944" spans="1:5" x14ac:dyDescent="0.25">
      <c r="A944" s="47"/>
      <c r="D944" s="47"/>
      <c r="E944" s="47"/>
    </row>
    <row r="945" spans="1:5" x14ac:dyDescent="0.25">
      <c r="A945" s="47"/>
      <c r="D945" s="47"/>
      <c r="E945" s="47"/>
    </row>
    <row r="946" spans="1:5" x14ac:dyDescent="0.25">
      <c r="A946" s="47"/>
      <c r="D946" s="47"/>
      <c r="E946" s="47"/>
    </row>
    <row r="947" spans="1:5" x14ac:dyDescent="0.25">
      <c r="A947" s="47"/>
      <c r="D947" s="47"/>
      <c r="E947" s="47"/>
    </row>
    <row r="948" spans="1:5" x14ac:dyDescent="0.25">
      <c r="A948" s="47"/>
      <c r="D948" s="47"/>
      <c r="E948" s="47"/>
    </row>
    <row r="949" spans="1:5" x14ac:dyDescent="0.25">
      <c r="A949" s="47"/>
      <c r="D949" s="47"/>
      <c r="E949" s="47"/>
    </row>
    <row r="950" spans="1:5" x14ac:dyDescent="0.25">
      <c r="A950" s="47"/>
      <c r="D950" s="47"/>
      <c r="E950" s="47"/>
    </row>
    <row r="951" spans="1:5" x14ac:dyDescent="0.25">
      <c r="A951" s="47"/>
      <c r="D951" s="47"/>
      <c r="E951" s="47"/>
    </row>
    <row r="952" spans="1:5" x14ac:dyDescent="0.25">
      <c r="A952" s="47"/>
      <c r="D952" s="47"/>
      <c r="E952" s="47"/>
    </row>
    <row r="953" spans="1:5" x14ac:dyDescent="0.25">
      <c r="A953" s="47"/>
      <c r="D953" s="47"/>
      <c r="E953" s="47"/>
    </row>
    <row r="954" spans="1:5" x14ac:dyDescent="0.25">
      <c r="A954" s="47"/>
      <c r="D954" s="47"/>
      <c r="E954" s="47"/>
    </row>
    <row r="955" spans="1:5" x14ac:dyDescent="0.25">
      <c r="A955" s="47"/>
      <c r="D955" s="47"/>
      <c r="E955" s="47"/>
    </row>
    <row r="956" spans="1:5" x14ac:dyDescent="0.25">
      <c r="A956" s="47"/>
      <c r="D956" s="47"/>
      <c r="E956" s="47"/>
    </row>
    <row r="957" spans="1:5" x14ac:dyDescent="0.25">
      <c r="A957" s="47"/>
      <c r="D957" s="47"/>
      <c r="E957" s="47"/>
    </row>
    <row r="958" spans="1:5" x14ac:dyDescent="0.25">
      <c r="A958" s="47"/>
      <c r="D958" s="47"/>
      <c r="E958" s="47"/>
    </row>
    <row r="959" spans="1:5" x14ac:dyDescent="0.25">
      <c r="A959" s="47"/>
      <c r="D959" s="47"/>
      <c r="E959" s="47"/>
    </row>
    <row r="960" spans="1:5" x14ac:dyDescent="0.25">
      <c r="A960" s="47"/>
      <c r="D960" s="47"/>
      <c r="E960" s="47"/>
    </row>
    <row r="961" spans="1:5" x14ac:dyDescent="0.25">
      <c r="A961" s="47"/>
      <c r="D961" s="47"/>
      <c r="E961" s="47"/>
    </row>
    <row r="962" spans="1:5" x14ac:dyDescent="0.25">
      <c r="A962" s="47"/>
      <c r="D962" s="47"/>
      <c r="E962" s="47"/>
    </row>
    <row r="963" spans="1:5" x14ac:dyDescent="0.25">
      <c r="A963" s="47"/>
      <c r="D963" s="47"/>
      <c r="E963" s="47"/>
    </row>
    <row r="964" spans="1:5" x14ac:dyDescent="0.25">
      <c r="A964" s="47"/>
      <c r="D964" s="47"/>
      <c r="E964" s="47"/>
    </row>
    <row r="965" spans="1:5" x14ac:dyDescent="0.25">
      <c r="A965" s="47"/>
      <c r="D965" s="47"/>
      <c r="E965" s="47"/>
    </row>
    <row r="966" spans="1:5" x14ac:dyDescent="0.25">
      <c r="A966" s="47"/>
      <c r="D966" s="47"/>
      <c r="E966" s="47"/>
    </row>
    <row r="967" spans="1:5" x14ac:dyDescent="0.25">
      <c r="A967" s="47"/>
      <c r="D967" s="47"/>
      <c r="E967" s="47"/>
    </row>
    <row r="968" spans="1:5" x14ac:dyDescent="0.25">
      <c r="A968" s="47"/>
      <c r="D968" s="47"/>
      <c r="E968" s="47"/>
    </row>
    <row r="969" spans="1:5" x14ac:dyDescent="0.25">
      <c r="A969" s="47"/>
      <c r="D969" s="47"/>
      <c r="E969" s="47"/>
    </row>
    <row r="970" spans="1:5" x14ac:dyDescent="0.25">
      <c r="A970" s="47"/>
      <c r="D970" s="47"/>
      <c r="E970" s="47"/>
    </row>
    <row r="971" spans="1:5" x14ac:dyDescent="0.25">
      <c r="A971" s="47"/>
      <c r="D971" s="47"/>
      <c r="E971" s="47"/>
    </row>
    <row r="972" spans="1:5" x14ac:dyDescent="0.25">
      <c r="A972" s="47"/>
      <c r="D972" s="47"/>
      <c r="E972" s="47"/>
    </row>
    <row r="973" spans="1:5" x14ac:dyDescent="0.25">
      <c r="A973" s="47"/>
      <c r="D973" s="47"/>
      <c r="E973" s="47"/>
    </row>
    <row r="974" spans="1:5" x14ac:dyDescent="0.25">
      <c r="A974" s="47"/>
      <c r="D974" s="47"/>
      <c r="E974" s="47"/>
    </row>
    <row r="975" spans="1:5" x14ac:dyDescent="0.25">
      <c r="A975" s="47"/>
      <c r="D975" s="47"/>
      <c r="E975" s="47"/>
    </row>
    <row r="976" spans="1:5" x14ac:dyDescent="0.25">
      <c r="A976" s="47"/>
      <c r="D976" s="47"/>
      <c r="E976" s="47"/>
    </row>
    <row r="977" spans="1:5" x14ac:dyDescent="0.25">
      <c r="A977" s="47"/>
      <c r="D977" s="47"/>
      <c r="E977" s="47"/>
    </row>
    <row r="978" spans="1:5" x14ac:dyDescent="0.25">
      <c r="A978" s="47"/>
      <c r="D978" s="47"/>
      <c r="E978" s="47"/>
    </row>
    <row r="979" spans="1:5" x14ac:dyDescent="0.25">
      <c r="A979" s="47"/>
      <c r="D979" s="47"/>
      <c r="E979" s="47"/>
    </row>
    <row r="980" spans="1:5" x14ac:dyDescent="0.25">
      <c r="A980" s="47"/>
      <c r="D980" s="47"/>
      <c r="E980" s="47"/>
    </row>
    <row r="981" spans="1:5" x14ac:dyDescent="0.25">
      <c r="A981" s="47"/>
      <c r="D981" s="47"/>
      <c r="E981" s="47"/>
    </row>
    <row r="982" spans="1:5" x14ac:dyDescent="0.25">
      <c r="A982" s="47"/>
      <c r="D982" s="47"/>
      <c r="E982" s="47"/>
    </row>
    <row r="983" spans="1:5" x14ac:dyDescent="0.25">
      <c r="A983" s="47"/>
      <c r="D983" s="47"/>
      <c r="E983" s="47"/>
    </row>
    <row r="984" spans="1:5" x14ac:dyDescent="0.25">
      <c r="A984" s="47"/>
      <c r="D984" s="47"/>
      <c r="E984" s="47"/>
    </row>
    <row r="985" spans="1:5" x14ac:dyDescent="0.25">
      <c r="A985" s="47"/>
      <c r="D985" s="47"/>
      <c r="E985" s="47"/>
    </row>
    <row r="986" spans="1:5" x14ac:dyDescent="0.25">
      <c r="A986" s="47"/>
      <c r="D986" s="47"/>
      <c r="E986" s="47"/>
    </row>
    <row r="987" spans="1:5" x14ac:dyDescent="0.25">
      <c r="A987" s="47"/>
      <c r="D987" s="47"/>
      <c r="E987" s="47"/>
    </row>
    <row r="988" spans="1:5" x14ac:dyDescent="0.25">
      <c r="A988" s="47"/>
      <c r="D988" s="47"/>
      <c r="E988" s="47"/>
    </row>
    <row r="989" spans="1:5" x14ac:dyDescent="0.25">
      <c r="A989" s="47"/>
      <c r="D989" s="47"/>
      <c r="E989" s="47"/>
    </row>
    <row r="990" spans="1:5" x14ac:dyDescent="0.25">
      <c r="A990" s="47"/>
      <c r="D990" s="47"/>
      <c r="E990" s="47"/>
    </row>
    <row r="991" spans="1:5" x14ac:dyDescent="0.25">
      <c r="A991" s="47"/>
      <c r="D991" s="47"/>
      <c r="E991" s="47"/>
    </row>
    <row r="992" spans="1:5" x14ac:dyDescent="0.25">
      <c r="A992" s="47"/>
      <c r="D992" s="47"/>
      <c r="E992" s="47"/>
    </row>
    <row r="993" spans="1:5" x14ac:dyDescent="0.25">
      <c r="A993" s="47"/>
      <c r="D993" s="47"/>
      <c r="E993" s="47"/>
    </row>
    <row r="994" spans="1:5" x14ac:dyDescent="0.25">
      <c r="A994" s="47"/>
      <c r="D994" s="47"/>
      <c r="E994" s="47"/>
    </row>
    <row r="995" spans="1:5" x14ac:dyDescent="0.25">
      <c r="A995" s="47"/>
      <c r="D995" s="47"/>
      <c r="E995" s="47"/>
    </row>
    <row r="996" spans="1:5" x14ac:dyDescent="0.25">
      <c r="A996" s="47"/>
      <c r="D996" s="47"/>
      <c r="E996" s="47"/>
    </row>
    <row r="997" spans="1:5" x14ac:dyDescent="0.25">
      <c r="A997" s="47"/>
      <c r="D997" s="47"/>
      <c r="E997" s="47"/>
    </row>
    <row r="998" spans="1:5" x14ac:dyDescent="0.25">
      <c r="A998" s="47"/>
      <c r="D998" s="47"/>
      <c r="E998" s="47"/>
    </row>
    <row r="999" spans="1:5" x14ac:dyDescent="0.25">
      <c r="A999" s="47"/>
      <c r="D999" s="47"/>
      <c r="E999" s="47"/>
    </row>
    <row r="1000" spans="1:5" x14ac:dyDescent="0.25">
      <c r="A1000" s="47"/>
      <c r="D1000" s="47"/>
      <c r="E1000" s="47"/>
    </row>
    <row r="1001" spans="1:5" x14ac:dyDescent="0.25">
      <c r="A1001" s="47"/>
      <c r="D1001" s="47"/>
      <c r="E1001" s="47"/>
    </row>
    <row r="1002" spans="1:5" x14ac:dyDescent="0.25">
      <c r="A1002" s="47"/>
      <c r="D1002" s="47"/>
      <c r="E1002" s="47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1521A1E-070A-4485-B8B8-3FE80165B7C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Кат</vt:lpstr>
      <vt:lpstr>Прайс</vt:lpstr>
      <vt:lpstr>Наценка</vt:lpstr>
      <vt:lpstr>Выгр Кат</vt:lpstr>
      <vt:lpstr>Ссылки</vt:lpstr>
      <vt:lpstr>ИЗ ГУГЛА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Admin</dc:creator>
  <cp:lastModifiedBy>Snab TimeTurbo</cp:lastModifiedBy>
  <dcterms:created xsi:type="dcterms:W3CDTF">2021-12-31T09:50:22Z</dcterms:created>
  <dcterms:modified xsi:type="dcterms:W3CDTF">2024-06-27T06:07:19Z</dcterms:modified>
</cp:coreProperties>
</file>